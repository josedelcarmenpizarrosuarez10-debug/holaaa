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  <Default Extension="jpeg" ContentType="image/jpeg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75" windowWidth="29040" windowHeight="15720" tabRatio="839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ILLA GENERAL DE METRADOS" sheetId="2" state="visible" r:id="rId2"/>
    <sheet xmlns:r="http://schemas.openxmlformats.org/officeDocument/2006/relationships" name="CONCRETO EN CUNETAS" sheetId="3" state="visible" r:id="rId3"/>
    <sheet xmlns:r="http://schemas.openxmlformats.org/officeDocument/2006/relationships" name="ENCOFRADO Y DESENCOFRADO" sheetId="4" state="visible" r:id="rId4"/>
    <sheet xmlns:r="http://schemas.openxmlformats.org/officeDocument/2006/relationships" name="METRADO MONTANTES" sheetId="5" state="visible" r:id="rId5"/>
    <sheet xmlns:r="http://schemas.openxmlformats.org/officeDocument/2006/relationships" name="METRADO  EN PISO (SUMIDERO)" sheetId="6" state="visible" r:id="rId6"/>
    <sheet xmlns:r="http://schemas.openxmlformats.org/officeDocument/2006/relationships" name="METRADO ACERO" sheetId="7" state="visible" r:id="rId7"/>
    <sheet xmlns:r="http://schemas.openxmlformats.org/officeDocument/2006/relationships" name="METRADO DE CURADO" sheetId="8" state="visible" r:id="rId8"/>
    <sheet xmlns:r="http://schemas.openxmlformats.org/officeDocument/2006/relationships" name="METRADO DE REJILLAS" sheetId="9" state="visible" r:id="rId9"/>
    <sheet xmlns:r="http://schemas.openxmlformats.org/officeDocument/2006/relationships" name="METRADO JUNTA DE DILATACION" sheetId="10" state="visible" r:id="rId10"/>
    <sheet xmlns:r="http://schemas.openxmlformats.org/officeDocument/2006/relationships" name="PLANILLA TAPAS REGISTRO INTERNO" sheetId="11" state="visible" r:id="rId11"/>
    <sheet xmlns:r="http://schemas.openxmlformats.org/officeDocument/2006/relationships" name="PARAMETROS" sheetId="12" state="visible" r:id="rId12"/>
    <sheet xmlns:r="http://schemas.openxmlformats.org/officeDocument/2006/relationships" name="Listas" sheetId="13" state="hidden" r:id="rId13"/>
    <sheet xmlns:r="http://schemas.openxmlformats.org/officeDocument/2006/relationships" name="COLECTOR PARAMETROS" sheetId="14" state="visible" r:id="rId14"/>
    <sheet xmlns:r="http://schemas.openxmlformats.org/officeDocument/2006/relationships" name="COLECTOR MOV. TIERRAS" sheetId="15" state="visible" r:id="rId15"/>
    <sheet xmlns:r="http://schemas.openxmlformats.org/officeDocument/2006/relationships" name="COLECTOR CONCRETO" sheetId="16" state="visible" r:id="rId16"/>
    <sheet xmlns:r="http://schemas.openxmlformats.org/officeDocument/2006/relationships" name="COLECTOR ENCOFRADO" sheetId="17" state="visible" r:id="rId17"/>
    <sheet xmlns:r="http://schemas.openxmlformats.org/officeDocument/2006/relationships" name="COLECTOR ACERO" sheetId="18" state="visible" r:id="rId18"/>
    <sheet xmlns:r="http://schemas.openxmlformats.org/officeDocument/2006/relationships" name="COLECTOR REGISTROS Y TAPAS" sheetId="19" state="visible" r:id="rId19"/>
    <sheet xmlns:r="http://schemas.openxmlformats.org/officeDocument/2006/relationships" name="COLECTOR JUNTAS Y EMPALMES" sheetId="20" state="visible" r:id="rId20"/>
    <sheet xmlns:r="http://schemas.openxmlformats.org/officeDocument/2006/relationships" name="COLECTOR INSUMOS" sheetId="21" state="visible" r:id="rId21"/>
  </sheets>
  <definedNames>
    <definedName name="_xlnm.Print_Area" localSheetId="0">'RESUMEN'!$A$1:$D$49</definedName>
    <definedName name="_xlnm.Print_Area" localSheetId="1">'PLANILLA GENERAL DE METRADOS'!$A$1:$L$160</definedName>
    <definedName name="_xlnm.Print_Titles" localSheetId="2">'CONCRETO EN CUNETAS'!$1:$8</definedName>
    <definedName name="_xlnm.Print_Area" localSheetId="2">'CONCRETO EN CUNETAS'!$A$1:$O$79</definedName>
    <definedName name="_xlnm.Print_Titles" localSheetId="3">'ENCOFRADO Y DESENCOFRADO'!$2:$7</definedName>
    <definedName name="_xlnm.Print_Area" localSheetId="3">'ENCOFRADO Y DESENCOFRADO'!$A$1:$P$79</definedName>
    <definedName name="_xlnm.Print_Titles" localSheetId="4">'METRADO MONTANTES'!$1:$10</definedName>
    <definedName name="_xlnm.Print_Area" localSheetId="4">'METRADO MONTANTES'!$A$1:$R$59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8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 Narrow"/>
      <family val="2"/>
      <color theme="1"/>
      <sz val="11"/>
    </font>
    <font>
      <name val="Arial Narrow"/>
      <family val="2"/>
      <b val="1"/>
      <color theme="1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 Narrow"/>
      <family val="2"/>
      <b val="1"/>
      <sz val="12"/>
    </font>
    <font>
      <name val="Arial Narrow"/>
      <family val="2"/>
      <sz val="12"/>
    </font>
    <font>
      <name val="Arial Narrow"/>
      <family val="2"/>
      <color rgb="FF000000"/>
      <sz val="12"/>
    </font>
    <font>
      <name val="Arial Narrow"/>
      <family val="2"/>
      <b val="1"/>
      <color theme="0"/>
      <sz val="16"/>
      <u val="single"/>
    </font>
    <font>
      <name val="Arial Narrow"/>
      <family val="2"/>
      <b val="1"/>
      <color theme="0"/>
      <sz val="12"/>
    </font>
    <font>
      <name val="Arial Narrow"/>
      <family val="2"/>
      <color theme="0"/>
      <sz val="12"/>
    </font>
    <font>
      <name val="Arial Narrow"/>
      <family val="2"/>
      <b val="1"/>
      <color theme="0"/>
      <sz val="12"/>
      <u val="single"/>
    </font>
    <font>
      <name val="Arial Narrow"/>
      <family val="2"/>
      <b val="1"/>
      <color theme="0"/>
      <sz val="14"/>
      <u val="single"/>
    </font>
    <font>
      <name val="Arial Narrow"/>
      <family val="2"/>
      <b val="1"/>
      <sz val="14"/>
    </font>
    <font>
      <name val="Arial Narrow"/>
      <family val="2"/>
      <sz val="14"/>
    </font>
    <font>
      <name val="Arial Narrow"/>
      <family val="2"/>
      <b val="1"/>
      <color rgb="FFFFFFFF"/>
      <sz val="12"/>
    </font>
    <font>
      <name val="Arial Narrow"/>
      <family val="2"/>
      <b val="1"/>
      <color theme="0"/>
      <sz val="14"/>
    </font>
    <font>
      <name val="Arial Narrow"/>
      <family val="2"/>
      <sz val="11"/>
    </font>
    <font>
      <name val="Arial Narrow"/>
      <family val="2"/>
      <b val="1"/>
      <color rgb="FFFFFFFF"/>
      <sz val="14"/>
    </font>
    <font>
      <name val="Arial Narrow"/>
      <family val="2"/>
      <b val="1"/>
      <sz val="11"/>
    </font>
    <font>
      <name val="Arial Narrow"/>
      <family val="2"/>
      <b val="1"/>
      <color rgb="FFFFFFFF"/>
      <sz val="11"/>
    </font>
    <font>
      <name val="Arial Narrow"/>
      <family val="2"/>
      <sz val="10"/>
    </font>
    <font>
      <name val="Carlito"/>
      <b val="1"/>
      <sz val="11"/>
    </font>
    <font>
      <name val="Carlito"/>
      <b val="1"/>
      <color rgb="FFFFFFFF"/>
      <sz val="11"/>
    </font>
    <font>
      <name val="Carlito"/>
      <sz val="11"/>
    </font>
    <font>
      <name val="Carlito"/>
      <b val="1"/>
      <color rgb="FFFFFFFF"/>
      <sz val="14"/>
    </font>
    <font>
      <name val="Arial Narrow"/>
      <family val="2"/>
      <b val="1"/>
      <color rgb="FFFFFFFF"/>
      <sz val="16"/>
    </font>
    <font>
      <name val="Arial Narrow"/>
      <family val="2"/>
      <color rgb="FF1F1F1F"/>
      <sz val="11"/>
    </font>
    <font>
      <name val="Arial Narrow"/>
      <family val="2"/>
      <b val="1"/>
      <color theme="0"/>
      <sz val="11"/>
    </font>
    <font>
      <name val="Arial Narrow"/>
      <family val="2"/>
      <b val="1"/>
      <color rgb="FFFFFFFF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rgb="FF1F1F1F"/>
      <sz val="14"/>
    </font>
    <font>
      <name val="Arial Narrow"/>
      <family val="2"/>
      <b val="1"/>
      <sz val="16"/>
    </font>
    <font>
      <name val="Arial Narrow"/>
      <family val="2"/>
      <sz val="16"/>
    </font>
    <font>
      <name val="Arial Narrow"/>
      <family val="2"/>
      <b val="1"/>
      <color theme="0"/>
      <sz val="18"/>
      <u val="single"/>
    </font>
    <font>
      <name val="Arial Narrow"/>
      <family val="2"/>
      <b val="1"/>
      <color rgb="FFC00000"/>
      <sz val="11"/>
    </font>
    <font>
      <name val="Calibri"/>
      <charset val="1"/>
      <family val="2"/>
      <color theme="1"/>
      <sz val="11"/>
    </font>
    <font>
      <name val="Arial Narrow"/>
      <family val="2"/>
      <color rgb="FF0000FF"/>
      <sz val="11"/>
    </font>
    <font>
      <name val="Arial Narrow"/>
      <family val="2"/>
      <b val="1"/>
      <color rgb="FF1F4E78"/>
      <sz val="11"/>
    </font>
    <font>
      <name val="Arial Narrow"/>
      <b val="1"/>
      <color rgb="00FFFFFF"/>
      <sz val="16"/>
    </font>
    <font>
      <name val="Arial Narrow"/>
      <b val="1"/>
      <sz val="14"/>
    </font>
    <font>
      <name val="Arial Narrow"/>
      <sz val="14"/>
    </font>
    <font>
      <name val="Arial Narrow"/>
      <b val="1"/>
      <sz val="12"/>
    </font>
    <font>
      <name val="Arial Narrow"/>
      <b val="1"/>
      <color rgb="00FFFFFF"/>
      <sz val="12"/>
    </font>
    <font>
      <name val="Arial Narrow"/>
      <sz val="12"/>
    </font>
    <font>
      <name val="Arial Narrow"/>
      <sz val="11"/>
    </font>
    <font>
      <name val="Arial Narrow"/>
      <i val="1"/>
      <sz val="11"/>
    </font>
  </fonts>
  <fills count="4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-0.24997711111789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0F7E8"/>
      </patternFill>
    </fill>
    <fill>
      <patternFill patternType="solid">
        <fgColor rgb="00E4DFEC"/>
      </patternFill>
    </fill>
    <fill>
      <patternFill patternType="solid">
        <fgColor rgb="0017365D"/>
      </patternFill>
    </fill>
    <fill>
      <patternFill patternType="solid">
        <fgColor rgb="00F4B183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0"/>
    <xf numFmtId="0" fontId="5" fillId="0" borderId="0"/>
    <xf numFmtId="0" fontId="25" fillId="0" borderId="0"/>
    <xf numFmtId="0" fontId="37" fillId="0" borderId="0"/>
  </cellStyleXfs>
  <cellXfs count="396"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2" fontId="2" fillId="0" borderId="0" pivotButton="0" quotePrefix="0" xfId="0"/>
    <xf numFmtId="0" fontId="4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1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49" fontId="16" fillId="10" borderId="1" applyAlignment="1" pivotButton="0" quotePrefix="0" xfId="0">
      <alignment horizontal="center" vertical="center" wrapText="1"/>
    </xf>
    <xf numFmtId="49" fontId="6" fillId="15" borderId="1" applyAlignment="1" pivotButton="0" quotePrefix="0" xfId="0">
      <alignment vertical="center" wrapText="1"/>
    </xf>
    <xf numFmtId="2" fontId="6" fillId="15" borderId="1" applyAlignment="1" pivotButton="0" quotePrefix="0" xfId="0">
      <alignment vertical="center" wrapText="1"/>
    </xf>
    <xf numFmtId="49" fontId="7" fillId="0" borderId="1" applyAlignment="1" pivotButton="0" quotePrefix="0" xfId="0">
      <alignment wrapText="1"/>
    </xf>
    <xf numFmtId="2" fontId="7" fillId="0" borderId="1" applyAlignment="1" pivotButton="0" quotePrefix="0" xfId="0">
      <alignment wrapText="1"/>
    </xf>
    <xf numFmtId="2" fontId="6" fillId="15" borderId="1" applyAlignment="1" pivotButton="0" quotePrefix="0" xfId="0">
      <alignment horizontal="right" vertical="center" wrapText="1"/>
    </xf>
    <xf numFmtId="49" fontId="6" fillId="14" borderId="1" applyAlignment="1" pivotButton="0" quotePrefix="0" xfId="0">
      <alignment vertical="center" wrapText="1"/>
    </xf>
    <xf numFmtId="2" fontId="6" fillId="14" borderId="1" applyAlignment="1" pivotButton="0" quotePrefix="0" xfId="0">
      <alignment vertical="center" wrapText="1"/>
    </xf>
    <xf numFmtId="0" fontId="7" fillId="0" borderId="1" applyAlignment="1" pivotButton="0" quotePrefix="0" xfId="0">
      <alignment wrapText="1"/>
    </xf>
    <xf numFmtId="49" fontId="6" fillId="11" borderId="1" applyAlignment="1" pivotButton="0" quotePrefix="0" xfId="0">
      <alignment vertical="center" wrapText="1"/>
    </xf>
    <xf numFmtId="2" fontId="6" fillId="11" borderId="1" applyAlignment="1" pivotButton="0" quotePrefix="0" xfId="0">
      <alignment vertical="center" wrapText="1"/>
    </xf>
    <xf numFmtId="49" fontId="6" fillId="16" borderId="1" applyAlignment="1" pivotButton="0" quotePrefix="0" xfId="0">
      <alignment vertical="center" wrapText="1"/>
    </xf>
    <xf numFmtId="2" fontId="6" fillId="16" borderId="1" applyAlignment="1" pivotButton="0" quotePrefix="0" xfId="0">
      <alignment vertical="center" wrapText="1"/>
    </xf>
    <xf numFmtId="49" fontId="6" fillId="2" borderId="1" applyAlignment="1" pivotButton="0" quotePrefix="0" xfId="0">
      <alignment vertical="center" wrapText="1"/>
    </xf>
    <xf numFmtId="2" fontId="6" fillId="2" borderId="1" applyAlignment="1" pivotButton="0" quotePrefix="0" xfId="0">
      <alignment vertical="center" wrapText="1"/>
    </xf>
    <xf numFmtId="49" fontId="6" fillId="0" borderId="1" applyAlignment="1" pivotButton="0" quotePrefix="0" xfId="0">
      <alignment vertical="center" wrapText="1"/>
    </xf>
    <xf numFmtId="2" fontId="6" fillId="0" borderId="1" applyAlignment="1" pivotButton="0" quotePrefix="0" xfId="0">
      <alignment vertical="center" wrapText="1"/>
    </xf>
    <xf numFmtId="49" fontId="6" fillId="15" borderId="1" applyAlignment="1" pivotButton="0" quotePrefix="0" xfId="0">
      <alignment horizontal="left" vertical="center" wrapText="1"/>
    </xf>
    <xf numFmtId="2" fontId="6" fillId="16" borderId="1" applyAlignment="1" pivotButton="0" quotePrefix="0" xfId="0">
      <alignment horizontal="right" vertical="center" wrapText="1"/>
    </xf>
    <xf numFmtId="49" fontId="6" fillId="16" borderId="1" applyAlignment="1" pivotButton="0" quotePrefix="0" xfId="0">
      <alignment horizontal="left" vertical="center" wrapText="1"/>
    </xf>
    <xf numFmtId="49" fontId="6" fillId="17" borderId="1" applyAlignment="1" pivotButton="0" quotePrefix="0" xfId="0">
      <alignment vertical="center" wrapText="1"/>
    </xf>
    <xf numFmtId="2" fontId="6" fillId="17" borderId="1" applyAlignment="1" pivotButton="0" quotePrefix="0" xfId="0">
      <alignment horizontal="left"/>
    </xf>
    <xf numFmtId="0" fontId="7" fillId="17" borderId="1" pivotButton="0" quotePrefix="0" xfId="0"/>
    <xf numFmtId="2" fontId="6" fillId="17" borderId="1" applyAlignment="1" pivotButton="0" quotePrefix="0" xfId="0">
      <alignment vertical="center" wrapText="1"/>
    </xf>
    <xf numFmtId="2" fontId="6" fillId="17" borderId="1" applyAlignment="1" pivotButton="0" quotePrefix="0" xfId="0">
      <alignment horizontal="right" vertical="center"/>
    </xf>
    <xf numFmtId="2" fontId="6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center" vertical="center" wrapText="1"/>
    </xf>
    <xf numFmtId="0" fontId="7" fillId="2" borderId="1" pivotButton="0" quotePrefix="0" xfId="0"/>
    <xf numFmtId="2" fontId="6" fillId="2" borderId="1" applyAlignment="1" pivotButton="0" quotePrefix="0" xfId="0">
      <alignment horizontal="right" vertical="center"/>
    </xf>
    <xf numFmtId="2" fontId="6" fillId="17" borderId="1" applyAlignment="1" pivotButton="0" quotePrefix="0" xfId="0">
      <alignment horizontal="left" vertical="center" wrapText="1"/>
    </xf>
    <xf numFmtId="2" fontId="6" fillId="17" borderId="1" applyAlignment="1" pivotButton="0" quotePrefix="0" xfId="0">
      <alignment horizontal="right" vertical="center" wrapText="1"/>
    </xf>
    <xf numFmtId="2" fontId="6" fillId="2" borderId="1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left" vertical="top" wrapText="1" indent="1"/>
    </xf>
    <xf numFmtId="0" fontId="13" fillId="1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6" fillId="21" borderId="19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22" borderId="22" applyAlignment="1" pivotButton="0" quotePrefix="0" xfId="0">
      <alignment horizontal="center" vertical="center" wrapText="1"/>
    </xf>
    <xf numFmtId="0" fontId="6" fillId="22" borderId="2" applyAlignment="1" pivotButton="0" quotePrefix="0" xfId="0">
      <alignment horizontal="center" vertical="center" wrapText="1"/>
    </xf>
    <xf numFmtId="0" fontId="6" fillId="22" borderId="21" applyAlignment="1" pivotButton="0" quotePrefix="0" xfId="0">
      <alignment horizontal="center" vertical="center" wrapText="1"/>
    </xf>
    <xf numFmtId="49" fontId="7" fillId="0" borderId="1" applyAlignment="1" pivotButton="0" quotePrefix="0" xfId="0">
      <alignment vertical="center" wrapText="1"/>
    </xf>
    <xf numFmtId="2" fontId="7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0" fillId="9" borderId="2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2" fontId="4" fillId="2" borderId="10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center" vertical="center" wrapText="1"/>
    </xf>
    <xf numFmtId="2" fontId="4" fillId="2" borderId="25" applyAlignment="1" pivotButton="0" quotePrefix="0" xfId="0">
      <alignment horizontal="center" vertical="center" wrapText="1"/>
    </xf>
    <xf numFmtId="0" fontId="4" fillId="2" borderId="26" applyAlignment="1" pivotButton="0" quotePrefix="0" xfId="0">
      <alignment horizontal="center" vertical="center" wrapText="1"/>
    </xf>
    <xf numFmtId="2" fontId="4" fillId="2" borderId="26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 wrapText="1"/>
    </xf>
    <xf numFmtId="0" fontId="10" fillId="9" borderId="30" applyAlignment="1" pivotButton="0" quotePrefix="0" xfId="0">
      <alignment horizontal="center" vertical="center" wrapText="1"/>
    </xf>
    <xf numFmtId="2" fontId="4" fillId="2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 wrapText="1"/>
    </xf>
    <xf numFmtId="2" fontId="4" fillId="23" borderId="25" applyAlignment="1" pivotButton="0" quotePrefix="0" xfId="0">
      <alignment horizontal="center" vertical="center" wrapText="1"/>
    </xf>
    <xf numFmtId="0" fontId="25" fillId="0" borderId="0" pivotButton="0" quotePrefix="0" xfId="2"/>
    <xf numFmtId="0" fontId="24" fillId="13" borderId="0" applyAlignment="1" pivotButton="0" quotePrefix="0" xfId="2">
      <alignment horizontal="center" vertical="center"/>
    </xf>
    <xf numFmtId="165" fontId="25" fillId="15" borderId="0" applyAlignment="1" pivotButton="0" quotePrefix="0" xfId="2">
      <alignment horizontal="center"/>
    </xf>
    <xf numFmtId="0" fontId="25" fillId="15" borderId="0" applyAlignment="1" pivotButton="0" quotePrefix="0" xfId="2">
      <alignment horizontal="center"/>
    </xf>
    <xf numFmtId="0" fontId="25" fillId="21" borderId="0" applyAlignment="1" pivotButton="0" quotePrefix="0" xfId="2">
      <alignment wrapText="1"/>
    </xf>
    <xf numFmtId="0" fontId="25" fillId="26" borderId="0" applyAlignment="1" pivotButton="0" quotePrefix="0" xfId="2">
      <alignment horizontal="center"/>
    </xf>
    <xf numFmtId="0" fontId="16" fillId="12" borderId="23" applyAlignment="1" pivotButton="0" quotePrefix="0" xfId="0">
      <alignment horizontal="center" vertical="center" wrapText="1"/>
    </xf>
    <xf numFmtId="0" fontId="16" fillId="12" borderId="10" applyAlignment="1" pivotButton="0" quotePrefix="0" xfId="0">
      <alignment horizontal="center" vertical="center" wrapText="1"/>
    </xf>
    <xf numFmtId="0" fontId="16" fillId="12" borderId="24" applyAlignment="1" pivotButton="0" quotePrefix="0" xfId="0">
      <alignment horizontal="center" vertical="center" wrapText="1"/>
    </xf>
    <xf numFmtId="0" fontId="14" fillId="30" borderId="1" applyAlignment="1" pivotButton="0" quotePrefix="0" xfId="0">
      <alignment horizontal="center" vertical="center" wrapText="1"/>
    </xf>
    <xf numFmtId="0" fontId="14" fillId="30" borderId="1" applyAlignment="1" pivotButton="0" quotePrefix="0" xfId="0">
      <alignment horizontal="center" vertical="center"/>
    </xf>
    <xf numFmtId="0" fontId="18" fillId="0" borderId="0" pivotButton="0" quotePrefix="0" xfId="2"/>
    <xf numFmtId="2" fontId="21" fillId="29" borderId="0" applyAlignment="1" pivotButton="0" quotePrefix="0" xfId="2">
      <alignment horizontal="center" vertical="center"/>
    </xf>
    <xf numFmtId="0" fontId="7" fillId="0" borderId="0" pivotButton="0" quotePrefix="0" xfId="2"/>
    <xf numFmtId="0" fontId="7" fillId="0" borderId="1" applyAlignment="1" pivotButton="0" quotePrefix="0" xfId="2">
      <alignment horizontal="center" vertical="center" wrapText="1"/>
    </xf>
    <xf numFmtId="0" fontId="19" fillId="12" borderId="0" applyAlignment="1" pivotButton="0" quotePrefix="0" xfId="2">
      <alignment horizontal="center" vertical="center" wrapText="1"/>
    </xf>
    <xf numFmtId="2" fontId="19" fillId="29" borderId="0" applyAlignment="1" pivotButton="0" quotePrefix="0" xfId="2">
      <alignment horizontal="center" vertical="center"/>
    </xf>
    <xf numFmtId="0" fontId="15" fillId="15" borderId="1" applyAlignment="1" pivotButton="0" quotePrefix="0" xfId="2">
      <alignment horizontal="center" vertical="center" wrapText="1"/>
    </xf>
    <xf numFmtId="2" fontId="15" fillId="15" borderId="1" applyAlignment="1" pivotButton="0" quotePrefix="0" xfId="2">
      <alignment horizontal="center" vertical="center" wrapText="1"/>
    </xf>
    <xf numFmtId="2" fontId="15" fillId="27" borderId="1" applyAlignment="1" pivotButton="0" quotePrefix="0" xfId="2">
      <alignment horizontal="center" vertical="center" wrapText="1"/>
    </xf>
    <xf numFmtId="2" fontId="14" fillId="27" borderId="1" applyAlignment="1" pivotButton="0" quotePrefix="0" xfId="2">
      <alignment horizontal="center" vertical="center" wrapText="1"/>
    </xf>
    <xf numFmtId="1" fontId="15" fillId="27" borderId="1" applyAlignment="1" pivotButton="0" quotePrefix="0" xfId="2">
      <alignment horizontal="center" vertical="center" wrapText="1"/>
    </xf>
    <xf numFmtId="0" fontId="15" fillId="18" borderId="1" applyAlignment="1" pivotButton="0" quotePrefix="0" xfId="2">
      <alignment horizontal="center" vertical="center" wrapText="1"/>
    </xf>
    <xf numFmtId="0" fontId="14" fillId="30" borderId="1" applyAlignment="1" pivotButton="0" quotePrefix="0" xfId="2">
      <alignment vertical="center"/>
    </xf>
    <xf numFmtId="2" fontId="6" fillId="31" borderId="1" applyAlignment="1" pivotButton="0" quotePrefix="0" xfId="0">
      <alignment horizontal="right" vertical="center" wrapText="1"/>
    </xf>
    <xf numFmtId="2" fontId="6" fillId="31" borderId="1" applyAlignment="1" pivotButton="0" quotePrefix="0" xfId="0">
      <alignment vertical="center" wrapText="1"/>
    </xf>
    <xf numFmtId="0" fontId="29" fillId="12" borderId="1" applyAlignment="1" pivotButton="0" quotePrefix="0" xfId="2">
      <alignment vertical="center"/>
    </xf>
    <xf numFmtId="17" fontId="18" fillId="0" borderId="1" applyAlignment="1" pivotButton="0" quotePrefix="0" xfId="2">
      <alignment vertical="center" wrapText="1"/>
    </xf>
    <xf numFmtId="0" fontId="30" fillId="12" borderId="1" applyAlignment="1" pivotButton="0" quotePrefix="0" xfId="2">
      <alignment horizontal="center" vertical="center" wrapText="1"/>
    </xf>
    <xf numFmtId="0" fontId="25" fillId="0" borderId="0" applyAlignment="1" pivotButton="0" quotePrefix="0" xfId="2">
      <alignment horizontal="center" vertical="center" wrapText="1"/>
    </xf>
    <xf numFmtId="0" fontId="25" fillId="0" borderId="0" applyAlignment="1" pivotButton="0" quotePrefix="0" xfId="2">
      <alignment vertical="center" wrapText="1"/>
    </xf>
    <xf numFmtId="0" fontId="23" fillId="14" borderId="0" applyAlignment="1" pivotButton="0" quotePrefix="0" xfId="2">
      <alignment horizontal="center" vertical="center" wrapText="1"/>
    </xf>
    <xf numFmtId="165" fontId="25" fillId="0" borderId="0" applyAlignment="1" pivotButton="0" quotePrefix="0" xfId="2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applyAlignment="1" pivotButton="0" quotePrefix="0" xfId="2">
      <alignment horizontal="center" vertical="center" wrapText="1"/>
    </xf>
    <xf numFmtId="0" fontId="16" fillId="13" borderId="1" applyAlignment="1" pivotButton="0" quotePrefix="0" xfId="2">
      <alignment horizontal="center" vertical="center" wrapText="1"/>
    </xf>
    <xf numFmtId="0" fontId="7" fillId="0" borderId="1" applyAlignment="1" pivotButton="0" quotePrefix="0" xfId="2">
      <alignment horizontal="right" vertical="center" wrapText="1"/>
    </xf>
    <xf numFmtId="2" fontId="7" fillId="0" borderId="1" applyAlignment="1" pivotButton="0" quotePrefix="0" xfId="2">
      <alignment horizontal="center" vertical="center" wrapText="1"/>
    </xf>
    <xf numFmtId="0" fontId="6" fillId="14" borderId="1" applyAlignment="1" pivotButton="0" quotePrefix="0" xfId="2">
      <alignment horizontal="center" vertical="center" wrapText="1"/>
    </xf>
    <xf numFmtId="0" fontId="6" fillId="14" borderId="1" applyAlignment="1" pivotButton="0" quotePrefix="0" xfId="2">
      <alignment horizontal="right" vertical="center" wrapText="1"/>
    </xf>
    <xf numFmtId="165" fontId="7" fillId="0" borderId="1" applyAlignment="1" pivotButton="0" quotePrefix="0" xfId="2">
      <alignment horizontal="center" vertical="center" wrapText="1"/>
    </xf>
    <xf numFmtId="165" fontId="6" fillId="14" borderId="1" applyAlignment="1" pivotButton="0" quotePrefix="0" xfId="2">
      <alignment horizontal="center" vertical="center" wrapText="1"/>
    </xf>
    <xf numFmtId="0" fontId="31" fillId="32" borderId="0" applyAlignment="1" pivotButton="0" quotePrefix="0" xfId="0">
      <alignment horizontal="center" vertical="center" wrapText="1"/>
    </xf>
    <xf numFmtId="165" fontId="20" fillId="14" borderId="1" applyAlignment="1" pivotButton="0" quotePrefix="0" xfId="2">
      <alignment horizontal="center" vertical="center" wrapText="1"/>
    </xf>
    <xf numFmtId="2" fontId="6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0" fontId="15" fillId="2" borderId="1" applyAlignment="1" pivotButton="0" quotePrefix="0" xfId="2">
      <alignment horizontal="center" vertical="center" wrapText="1"/>
    </xf>
    <xf numFmtId="2" fontId="15" fillId="2" borderId="1" applyAlignment="1" pivotButton="0" quotePrefix="0" xfId="2">
      <alignment horizontal="center" vertical="center" wrapText="1"/>
    </xf>
    <xf numFmtId="0" fontId="19" fillId="33" borderId="1" applyAlignment="1" pivotButton="0" quotePrefix="0" xfId="2">
      <alignment horizontal="center" vertical="center" wrapText="1"/>
    </xf>
    <xf numFmtId="0" fontId="15" fillId="0" borderId="1" applyAlignment="1" pivotButton="0" quotePrefix="0" xfId="2">
      <alignment horizontal="center" vertical="center" wrapText="1"/>
    </xf>
    <xf numFmtId="0" fontId="14" fillId="26" borderId="1" applyAlignment="1" pivotButton="0" quotePrefix="0" xfId="2">
      <alignment horizontal="center" vertical="center" wrapText="1"/>
    </xf>
    <xf numFmtId="165" fontId="15" fillId="25" borderId="1" applyAlignment="1" pivotButton="0" quotePrefix="0" xfId="2">
      <alignment horizontal="center" vertical="center" wrapText="1"/>
    </xf>
    <xf numFmtId="2" fontId="15" fillId="25" borderId="1" applyAlignment="1" pivotButton="0" quotePrefix="0" xfId="2">
      <alignment horizontal="center" vertical="center" wrapText="1"/>
    </xf>
    <xf numFmtId="0" fontId="15" fillId="21" borderId="1" applyAlignment="1" pivotButton="0" quotePrefix="0" xfId="2">
      <alignment horizontal="center" vertical="center" wrapText="1"/>
    </xf>
    <xf numFmtId="165" fontId="15" fillId="27" borderId="1" applyAlignment="1" pivotButton="0" quotePrefix="0" xfId="2">
      <alignment horizontal="center" vertical="center" wrapText="1"/>
    </xf>
    <xf numFmtId="2" fontId="15" fillId="21" borderId="1" applyAlignment="1" pivotButton="0" quotePrefix="0" xfId="2">
      <alignment horizontal="center" vertical="center" wrapText="1"/>
    </xf>
    <xf numFmtId="2" fontId="14" fillId="20" borderId="1" applyAlignment="1" pivotButton="0" quotePrefix="0" xfId="2">
      <alignment horizontal="center" vertical="center" wrapText="1"/>
    </xf>
    <xf numFmtId="2" fontId="19" fillId="28" borderId="1" applyAlignment="1" pivotButton="0" quotePrefix="0" xfId="2">
      <alignment horizontal="center" vertical="center"/>
    </xf>
    <xf numFmtId="0" fontId="2" fillId="0" borderId="18" applyAlignment="1" pivotButton="0" quotePrefix="0" xfId="0">
      <alignment horizontal="center"/>
    </xf>
    <xf numFmtId="0" fontId="21" fillId="2" borderId="0" applyAlignment="1" pivotButton="0" quotePrefix="0" xfId="2">
      <alignment horizontal="center" vertical="center"/>
    </xf>
    <xf numFmtId="0" fontId="18" fillId="2" borderId="0" applyAlignment="1" pivotButton="0" quotePrefix="0" xfId="2">
      <alignment vertical="center" wrapText="1"/>
    </xf>
    <xf numFmtId="0" fontId="18" fillId="2" borderId="0" pivotButton="0" quotePrefix="0" xfId="2"/>
    <xf numFmtId="0" fontId="32" fillId="20" borderId="1" applyAlignment="1" pivotButton="0" quotePrefix="0" xfId="2">
      <alignment horizontal="center" vertical="center" wrapText="1"/>
    </xf>
    <xf numFmtId="0" fontId="33" fillId="3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wrapText="1"/>
    </xf>
    <xf numFmtId="2" fontId="6" fillId="22" borderId="2" applyAlignment="1" pivotButton="0" quotePrefix="0" xfId="0">
      <alignment horizontal="center" vertical="center" wrapText="1"/>
    </xf>
    <xf numFmtId="0" fontId="13" fillId="2" borderId="0" applyAlignment="1" pivotButton="0" quotePrefix="0" xfId="0">
      <alignment vertical="center" wrapText="1"/>
    </xf>
    <xf numFmtId="49" fontId="16" fillId="12" borderId="1" applyAlignment="1" pivotButton="0" quotePrefix="0" xfId="0">
      <alignment horizontal="center" wrapText="1"/>
    </xf>
    <xf numFmtId="49" fontId="6" fillId="11" borderId="1" applyAlignment="1" pivotButton="0" quotePrefix="0" xfId="0">
      <alignment wrapText="1"/>
    </xf>
    <xf numFmtId="49" fontId="4" fillId="0" borderId="1" applyAlignment="1" pivotButton="0" quotePrefix="0" xfId="0">
      <alignment wrapText="1"/>
    </xf>
    <xf numFmtId="15" fontId="4" fillId="0" borderId="1" applyAlignment="1" pivotButton="0" quotePrefix="0" xfId="0">
      <alignment wrapText="1"/>
    </xf>
    <xf numFmtId="49" fontId="4" fillId="0" borderId="1" applyAlignment="1" pivotButton="0" quotePrefix="0" xfId="0">
      <alignment horizontal="center" wrapText="1"/>
    </xf>
    <xf numFmtId="2" fontId="4" fillId="0" borderId="1" applyAlignment="1" pivotButton="0" quotePrefix="0" xfId="0">
      <alignment horizontal="center" vertical="center"/>
    </xf>
    <xf numFmtId="49" fontId="6" fillId="11" borderId="1" applyAlignment="1" pivotButton="0" quotePrefix="0" xfId="0">
      <alignment horizontal="center" wrapText="1"/>
    </xf>
    <xf numFmtId="2" fontId="6" fillId="11" borderId="1" applyAlignment="1" pivotButton="0" quotePrefix="0" xfId="0">
      <alignment wrapText="1"/>
    </xf>
    <xf numFmtId="49" fontId="6" fillId="0" borderId="1" applyAlignment="1" pivotButton="0" quotePrefix="0" xfId="0">
      <alignment wrapText="1"/>
    </xf>
    <xf numFmtId="49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49" fontId="6" fillId="17" borderId="1" applyAlignment="1" pivotButton="0" quotePrefix="0" xfId="0">
      <alignment horizontal="left" vertical="center" wrapText="1" indent="1"/>
    </xf>
    <xf numFmtId="49" fontId="6" fillId="2" borderId="1" applyAlignment="1" pivotButton="0" quotePrefix="0" xfId="0">
      <alignment horizontal="left" vertical="center" wrapText="1" indent="1"/>
    </xf>
    <xf numFmtId="49" fontId="6" fillId="17" borderId="1" applyAlignment="1" pivotButton="0" quotePrefix="0" xfId="0">
      <alignment horizontal="left" vertical="top" wrapText="1" indent="1"/>
    </xf>
    <xf numFmtId="2" fontId="4" fillId="34" borderId="1" applyAlignment="1" pivotButton="0" quotePrefix="0" xfId="0">
      <alignment horizontal="center" vertical="center" wrapText="1"/>
    </xf>
    <xf numFmtId="2" fontId="4" fillId="34" borderId="10" applyAlignment="1" pivotButton="0" quotePrefix="0" xfId="0">
      <alignment horizontal="center" vertical="center" wrapText="1"/>
    </xf>
    <xf numFmtId="2" fontId="4" fillId="0" borderId="25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164" fontId="4" fillId="0" borderId="0" pivotButton="0" quotePrefix="0" xfId="0"/>
    <xf numFmtId="2" fontId="7" fillId="2" borderId="1" applyAlignment="1" pivotButton="0" quotePrefix="0" xfId="2">
      <alignment horizontal="center" vertical="center" wrapText="1"/>
    </xf>
    <xf numFmtId="2" fontId="6" fillId="27" borderId="1" applyAlignment="1" pivotButton="0" quotePrefix="0" xfId="2">
      <alignment horizontal="center" vertical="center" wrapText="1"/>
    </xf>
    <xf numFmtId="0" fontId="7" fillId="18" borderId="1" applyAlignment="1" pivotButton="0" quotePrefix="0" xfId="2">
      <alignment horizontal="center" vertical="center" wrapText="1"/>
    </xf>
    <xf numFmtId="0" fontId="2" fillId="0" borderId="0" applyAlignment="1" pivotButton="0" quotePrefix="0" xfId="3">
      <alignment horizontal="center" vertical="center" wrapText="1"/>
    </xf>
    <xf numFmtId="0" fontId="36" fillId="0" borderId="1" applyAlignment="1" pivotButton="0" quotePrefix="0" xfId="3">
      <alignment horizontal="center" vertical="center" wrapText="1"/>
    </xf>
    <xf numFmtId="0" fontId="2" fillId="0" borderId="1" applyAlignment="1" pivotButton="0" quotePrefix="0" xfId="3">
      <alignment horizontal="center" vertical="center" wrapText="1"/>
    </xf>
    <xf numFmtId="0" fontId="20" fillId="0" borderId="1" applyAlignment="1" pivotButton="0" quotePrefix="0" xfId="3">
      <alignment horizontal="center" vertical="center" wrapText="1"/>
    </xf>
    <xf numFmtId="0" fontId="38" fillId="36" borderId="1" applyAlignment="1" pivotButton="0" quotePrefix="0" xfId="3">
      <alignment horizontal="center" vertical="center" wrapText="1"/>
    </xf>
    <xf numFmtId="0" fontId="18" fillId="0" borderId="1" applyAlignment="1" pivotButton="0" quotePrefix="0" xfId="3">
      <alignment horizontal="center" vertical="center" wrapText="1"/>
    </xf>
    <xf numFmtId="0" fontId="21" fillId="35" borderId="1" applyAlignment="1" pivotButton="0" quotePrefix="0" xfId="3">
      <alignment horizontal="center" vertical="center" wrapText="1"/>
    </xf>
    <xf numFmtId="0" fontId="39" fillId="0" borderId="1" applyAlignment="1" pivotButton="0" quotePrefix="0" xfId="3">
      <alignment horizontal="center" vertical="center" wrapText="1"/>
    </xf>
    <xf numFmtId="2" fontId="39" fillId="0" borderId="1" applyAlignment="1" pivotButton="0" quotePrefix="0" xfId="3">
      <alignment horizontal="center" vertical="center" wrapText="1"/>
    </xf>
    <xf numFmtId="2" fontId="18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left" vertical="center" wrapText="1"/>
    </xf>
    <xf numFmtId="2" fontId="7" fillId="0" borderId="1" applyAlignment="1" pivotButton="0" quotePrefix="0" xfId="0">
      <alignment horizontal="center" wrapText="1"/>
    </xf>
    <xf numFmtId="0" fontId="18" fillId="2" borderId="0" applyAlignment="1" pivotButton="0" quotePrefix="0" xfId="2">
      <alignment horizontal="center" vertical="center" wrapText="1"/>
    </xf>
    <xf numFmtId="0" fontId="18" fillId="0" borderId="0" applyAlignment="1" pivotButton="0" quotePrefix="0" xfId="2">
      <alignment horizontal="center"/>
    </xf>
    <xf numFmtId="2" fontId="6" fillId="37" borderId="1" applyAlignment="1" pivotButton="0" quotePrefix="0" xfId="0">
      <alignment horizontal="right" vertical="center" wrapText="1"/>
    </xf>
    <xf numFmtId="2" fontId="6" fillId="37" borderId="1" applyAlignment="1" pivotButton="0" quotePrefix="0" xfId="0">
      <alignment vertical="center" wrapText="1"/>
    </xf>
    <xf numFmtId="0" fontId="24" fillId="13" borderId="0" applyAlignment="1" pivotButton="0" quotePrefix="0" xfId="2">
      <alignment horizontal="center" vertical="center" wrapText="1"/>
    </xf>
    <xf numFmtId="49" fontId="4" fillId="31" borderId="1" applyAlignment="1" pivotButton="0" quotePrefix="0" xfId="0">
      <alignment wrapText="1"/>
    </xf>
    <xf numFmtId="49" fontId="6" fillId="31" borderId="1" applyAlignment="1" pivotButton="0" quotePrefix="0" xfId="0">
      <alignment wrapText="1"/>
    </xf>
    <xf numFmtId="49" fontId="4" fillId="31" borderId="1" applyAlignment="1" pivotButton="0" quotePrefix="0" xfId="0">
      <alignment horizontal="center" wrapText="1"/>
    </xf>
    <xf numFmtId="2" fontId="4" fillId="31" borderId="1" applyAlignment="1" pivotButton="0" quotePrefix="0" xfId="0">
      <alignment horizontal="center" vertical="center"/>
    </xf>
    <xf numFmtId="2" fontId="4" fillId="38" borderId="1" applyAlignment="1" pivotButton="0" quotePrefix="0" xfId="0">
      <alignment horizontal="center" vertical="center" wrapText="1"/>
    </xf>
    <xf numFmtId="2" fontId="4" fillId="38" borderId="1" applyAlignment="1" pivotButton="0" quotePrefix="0" xfId="0">
      <alignment horizontal="center" wrapText="1"/>
    </xf>
    <xf numFmtId="2" fontId="15" fillId="37" borderId="1" applyAlignment="1" pivotButton="0" quotePrefix="0" xfId="2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17" fontId="15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49" fontId="6" fillId="11" borderId="1" applyAlignment="1" pivotButton="0" quotePrefix="0" xfId="0">
      <alignment vertical="center" wrapText="1"/>
    </xf>
    <xf numFmtId="2" fontId="6" fillId="2" borderId="1" applyAlignment="1" pivotButton="0" quotePrefix="0" xfId="0">
      <alignment horizontal="right" vertical="center" wrapText="1"/>
    </xf>
    <xf numFmtId="2" fontId="7" fillId="0" borderId="1" applyAlignment="1" pivotButton="0" quotePrefix="0" xfId="0">
      <alignment horizontal="right" vertical="center" wrapText="1"/>
    </xf>
    <xf numFmtId="49" fontId="6" fillId="14" borderId="1" applyAlignment="1" pivotButton="0" quotePrefix="0" xfId="0">
      <alignment vertical="center" wrapText="1"/>
    </xf>
    <xf numFmtId="49" fontId="6" fillId="11" borderId="1" applyAlignment="1" pivotButton="0" quotePrefix="0" xfId="0">
      <alignment horizontal="left" vertical="center" wrapText="1"/>
    </xf>
    <xf numFmtId="2" fontId="3" fillId="2" borderId="2" applyAlignment="1" pivotButton="0" quotePrefix="0" xfId="0">
      <alignment horizontal="center" vertical="center" wrapText="1"/>
    </xf>
    <xf numFmtId="2" fontId="3" fillId="2" borderId="9" applyAlignment="1" pivotButton="0" quotePrefix="0" xfId="0">
      <alignment horizontal="center" vertical="center" wrapText="1"/>
    </xf>
    <xf numFmtId="2" fontId="3" fillId="2" borderId="10" applyAlignment="1" pivotButton="0" quotePrefix="0" xfId="0">
      <alignment horizontal="center" vertical="center" wrapText="1"/>
    </xf>
    <xf numFmtId="2" fontId="3" fillId="2" borderId="30" applyAlignment="1" pivotButton="0" quotePrefix="0" xfId="0">
      <alignment horizontal="center" vertical="center" wrapText="1"/>
    </xf>
    <xf numFmtId="2" fontId="3" fillId="2" borderId="34" applyAlignment="1" pivotButton="0" quotePrefix="0" xfId="0">
      <alignment horizontal="center" vertical="center" wrapText="1"/>
    </xf>
    <xf numFmtId="2" fontId="3" fillId="2" borderId="35" applyAlignment="1" pivotButton="0" quotePrefix="0" xfId="0">
      <alignment horizontal="center" vertical="center" wrapText="1"/>
    </xf>
    <xf numFmtId="2" fontId="3" fillId="2" borderId="11" applyAlignment="1" pivotButton="0" quotePrefix="0" xfId="0">
      <alignment horizontal="center" vertical="center" wrapText="1"/>
    </xf>
    <xf numFmtId="2" fontId="3" fillId="2" borderId="12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17" fillId="9" borderId="36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3" fillId="6" borderId="37" applyAlignment="1" pivotButton="0" quotePrefix="0" xfId="0">
      <alignment horizontal="center" vertical="center" wrapText="1"/>
    </xf>
    <xf numFmtId="0" fontId="3" fillId="6" borderId="34" applyAlignment="1" pivotButton="0" quotePrefix="0" xfId="0">
      <alignment horizontal="center" vertical="center" wrapText="1"/>
    </xf>
    <xf numFmtId="0" fontId="3" fillId="6" borderId="38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10" fillId="9" borderId="27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 wrapText="1"/>
    </xf>
    <xf numFmtId="0" fontId="3" fillId="6" borderId="31" applyAlignment="1" pivotButton="0" quotePrefix="0" xfId="0">
      <alignment horizontal="center" vertical="center" wrapText="1"/>
    </xf>
    <xf numFmtId="0" fontId="3" fillId="6" borderId="28" applyAlignment="1" pivotButton="0" quotePrefix="0" xfId="0">
      <alignment horizontal="center" vertical="center" wrapText="1"/>
    </xf>
    <xf numFmtId="0" fontId="3" fillId="6" borderId="3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33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 wrapText="1"/>
    </xf>
    <xf numFmtId="164" fontId="10" fillId="1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4" fillId="0" borderId="10" applyAlignment="1" pivotButton="0" quotePrefix="0" xfId="0">
      <alignment horizontal="center" vertical="center" wrapText="1"/>
    </xf>
    <xf numFmtId="2" fontId="3" fillId="0" borderId="2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center" vertical="center" wrapText="1"/>
    </xf>
    <xf numFmtId="2" fontId="3" fillId="0" borderId="10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0" fillId="12" borderId="16" applyAlignment="1" pivotButton="0" quotePrefix="0" xfId="0">
      <alignment horizontal="center" vertical="center" wrapText="1"/>
    </xf>
    <xf numFmtId="0" fontId="10" fillId="12" borderId="14" applyAlignment="1" pivotButton="0" quotePrefix="0" xfId="0">
      <alignment horizontal="center" vertical="center" wrapText="1"/>
    </xf>
    <xf numFmtId="0" fontId="10" fillId="12" borderId="15" applyAlignment="1" pivotButton="0" quotePrefix="0" xfId="0">
      <alignment horizontal="center" vertical="center" wrapText="1"/>
    </xf>
    <xf numFmtId="0" fontId="10" fillId="12" borderId="13" applyAlignment="1" pivotButton="0" quotePrefix="0" xfId="0">
      <alignment horizontal="center" vertical="center" wrapText="1"/>
    </xf>
    <xf numFmtId="0" fontId="10" fillId="12" borderId="4" applyAlignment="1" pivotButton="0" quotePrefix="0" xfId="0">
      <alignment horizontal="center" vertical="center" wrapText="1"/>
    </xf>
    <xf numFmtId="0" fontId="10" fillId="12" borderId="17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2" fillId="12" borderId="2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left" vertical="center" wrapText="1"/>
    </xf>
    <xf numFmtId="0" fontId="9" fillId="12" borderId="2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17" fontId="8" fillId="0" borderId="0" applyAlignment="1" pivotButton="0" quotePrefix="0" xfId="0">
      <alignment horizontal="left" vertical="center" wrapText="1"/>
    </xf>
    <xf numFmtId="0" fontId="19" fillId="12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17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9" fillId="28" borderId="1" applyAlignment="1" pivotButton="0" quotePrefix="0" xfId="2">
      <alignment horizontal="center" vertical="center"/>
    </xf>
    <xf numFmtId="0" fontId="27" fillId="13" borderId="1" applyAlignment="1" pivotButton="0" quotePrefix="0" xfId="2">
      <alignment horizontal="center" vertical="center"/>
    </xf>
    <xf numFmtId="0" fontId="32" fillId="24" borderId="1" applyAlignment="1" pivotButton="0" quotePrefix="0" xfId="2">
      <alignment horizontal="center" vertical="center" wrapText="1"/>
    </xf>
    <xf numFmtId="0" fontId="32" fillId="25" borderId="1" applyAlignment="1" pivotButton="0" quotePrefix="0" xfId="2">
      <alignment horizontal="center" vertical="center" wrapText="1"/>
    </xf>
    <xf numFmtId="0" fontId="32" fillId="19" borderId="1" applyAlignment="1" pivotButton="0" quotePrefix="0" xfId="2">
      <alignment horizontal="center" vertical="center" wrapText="1"/>
    </xf>
    <xf numFmtId="0" fontId="32" fillId="21" borderId="1" applyAlignment="1" pivotButton="0" quotePrefix="0" xfId="2">
      <alignment horizontal="center" vertical="center" wrapText="1"/>
    </xf>
    <xf numFmtId="0" fontId="35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 wrapText="1"/>
    </xf>
    <xf numFmtId="17" fontId="34" fillId="5" borderId="1" applyAlignment="1" pivotButton="0" quotePrefix="0" xfId="0">
      <alignment horizontal="left" vertical="center" wrapText="1"/>
    </xf>
    <xf numFmtId="0" fontId="15" fillId="2" borderId="1" applyAlignment="1" pivotButton="0" quotePrefix="0" xfId="2">
      <alignment horizontal="left" vertical="center" wrapText="1"/>
    </xf>
    <xf numFmtId="0" fontId="27" fillId="12" borderId="1" applyAlignment="1" pivotButton="0" quotePrefix="0" xfId="2">
      <alignment horizontal="center" vertical="center"/>
    </xf>
    <xf numFmtId="2" fontId="19" fillId="29" borderId="0" applyAlignment="1" pivotButton="0" quotePrefix="0" xfId="2">
      <alignment horizontal="center" vertical="center"/>
    </xf>
    <xf numFmtId="0" fontId="14" fillId="30" borderId="1" applyAlignment="1" pivotButton="0" quotePrefix="0" xfId="2">
      <alignment vertical="center"/>
    </xf>
    <xf numFmtId="17" fontId="15" fillId="2" borderId="1" applyAlignment="1" pivotButton="0" quotePrefix="0" xfId="2">
      <alignment horizontal="left" vertical="center" wrapText="1"/>
    </xf>
    <xf numFmtId="2" fontId="21" fillId="29" borderId="0" applyAlignment="1" pivotButton="0" quotePrefix="0" xfId="2">
      <alignment horizontal="center" vertical="center"/>
    </xf>
    <xf numFmtId="0" fontId="27" fillId="12" borderId="0" applyAlignment="1" pivotButton="0" quotePrefix="0" xfId="2">
      <alignment horizontal="center" vertical="center"/>
    </xf>
    <xf numFmtId="0" fontId="28" fillId="0" borderId="3" applyAlignment="1" pivotButton="0" quotePrefix="0" xfId="2">
      <alignment horizontal="left" vertical="center" wrapText="1"/>
    </xf>
    <xf numFmtId="0" fontId="28" fillId="0" borderId="8" applyAlignment="1" pivotButton="0" quotePrefix="0" xfId="2">
      <alignment horizontal="left" vertical="center" wrapText="1"/>
    </xf>
    <xf numFmtId="0" fontId="28" fillId="0" borderId="19" applyAlignment="1" pivotButton="0" quotePrefix="0" xfId="2">
      <alignment horizontal="left" vertical="center" wrapText="1"/>
    </xf>
    <xf numFmtId="0" fontId="21" fillId="12" borderId="1" applyAlignment="1" pivotButton="0" quotePrefix="0" xfId="2">
      <alignment horizontal="center" vertical="center"/>
    </xf>
    <xf numFmtId="0" fontId="21" fillId="12" borderId="1" applyAlignment="1" pivotButton="0" quotePrefix="0" xfId="2">
      <alignment horizontal="center" vertical="center" wrapText="1"/>
    </xf>
    <xf numFmtId="0" fontId="18" fillId="0" borderId="3" applyAlignment="1" pivotButton="0" quotePrefix="0" xfId="2">
      <alignment horizontal="left" vertical="center" wrapText="1"/>
    </xf>
    <xf numFmtId="0" fontId="18" fillId="0" borderId="8" applyAlignment="1" pivotButton="0" quotePrefix="0" xfId="2">
      <alignment horizontal="left" vertical="center" wrapText="1"/>
    </xf>
    <xf numFmtId="0" fontId="18" fillId="0" borderId="19" applyAlignment="1" pivotButton="0" quotePrefix="0" xfId="2">
      <alignment horizontal="left" vertical="center" wrapText="1"/>
    </xf>
    <xf numFmtId="0" fontId="16" fillId="35" borderId="0" applyAlignment="1" pivotButton="0" quotePrefix="0" xfId="3">
      <alignment horizontal="center" vertical="center" wrapText="1"/>
    </xf>
    <xf numFmtId="0" fontId="7" fillId="0" borderId="1" applyAlignment="1" pivotButton="0" quotePrefix="0" xfId="3">
      <alignment horizontal="left" vertical="center" wrapText="1"/>
    </xf>
    <xf numFmtId="17" fontId="7" fillId="0" borderId="1" applyAlignment="1" pivotButton="0" quotePrefix="0" xfId="3">
      <alignment horizontal="left" vertical="center" wrapText="1"/>
    </xf>
    <xf numFmtId="0" fontId="7" fillId="0" borderId="3" applyAlignment="1" pivotButton="0" quotePrefix="0" xfId="3">
      <alignment horizontal="left" vertical="center" wrapText="1"/>
    </xf>
    <xf numFmtId="0" fontId="7" fillId="0" borderId="8" applyAlignment="1" pivotButton="0" quotePrefix="0" xfId="3">
      <alignment horizontal="left" vertical="center" wrapText="1"/>
    </xf>
    <xf numFmtId="0" fontId="7" fillId="0" borderId="19" applyAlignment="1" pivotButton="0" quotePrefix="0" xfId="3">
      <alignment horizontal="left" vertical="center" wrapText="1"/>
    </xf>
    <xf numFmtId="0" fontId="27" fillId="12" borderId="20" applyAlignment="1" pivotButton="0" quotePrefix="0" xfId="2">
      <alignment horizontal="center" vertical="center"/>
    </xf>
    <xf numFmtId="0" fontId="16" fillId="13" borderId="1" applyAlignment="1" pivotButton="0" quotePrefix="0" xfId="2">
      <alignment horizontal="center" vertical="center" wrapText="1"/>
    </xf>
    <xf numFmtId="17" fontId="7" fillId="0" borderId="1" applyAlignment="1" pivotButton="0" quotePrefix="0" xfId="2">
      <alignment horizontal="left"/>
    </xf>
    <xf numFmtId="0" fontId="16" fillId="13" borderId="2" applyAlignment="1" pivotButton="0" quotePrefix="0" xfId="2">
      <alignment horizontal="center" vertical="center" wrapText="1"/>
    </xf>
    <xf numFmtId="0" fontId="16" fillId="13" borderId="10" applyAlignment="1" pivotButton="0" quotePrefix="0" xfId="2">
      <alignment horizontal="center" vertical="center" wrapText="1"/>
    </xf>
    <xf numFmtId="0" fontId="24" fillId="13" borderId="0" applyAlignment="1" pivotButton="0" quotePrefix="0" xfId="2">
      <alignment horizontal="center" vertical="center" wrapText="1"/>
    </xf>
    <xf numFmtId="0" fontId="26" fillId="28" borderId="0" applyAlignment="1" pivotButton="0" quotePrefix="0" xfId="2">
      <alignment horizontal="center" vertical="center"/>
    </xf>
    <xf numFmtId="0" fontId="23" fillId="20" borderId="0" applyAlignment="1" pivotButton="0" quotePrefix="0" xfId="2">
      <alignment horizontal="center"/>
    </xf>
    <xf numFmtId="0" fontId="25" fillId="18" borderId="0" applyAlignment="1" pivotButton="0" quotePrefix="0" xfId="2">
      <alignment wrapText="1"/>
    </xf>
    <xf numFmtId="0" fontId="0" fillId="0" borderId="8" pivotButton="0" quotePrefix="0" xfId="0"/>
    <xf numFmtId="0" fontId="0" fillId="0" borderId="19" pivotButton="0" quotePrefix="0" xfId="0"/>
    <xf numFmtId="0" fontId="0" fillId="0" borderId="10" pivotButton="0" quotePrefix="0" xfId="0"/>
    <xf numFmtId="0" fontId="0" fillId="0" borderId="45" pivotButton="0" quotePrefix="0" xfId="0"/>
    <xf numFmtId="0" fontId="0" fillId="0" borderId="46" pivotButton="0" quotePrefix="0" xfId="0"/>
    <xf numFmtId="0" fontId="3" fillId="2" borderId="40" applyAlignment="1" pivotButton="0" quotePrefix="0" xfId="0">
      <alignment horizontal="center" vertical="center" wrapText="1"/>
    </xf>
    <xf numFmtId="2" fontId="3" fillId="2" borderId="41" applyAlignment="1" pivotButton="0" quotePrefix="0" xfId="0">
      <alignment horizontal="center" vertical="center" wrapText="1"/>
    </xf>
    <xf numFmtId="2" fontId="3" fillId="2" borderId="48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4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43" pivotButton="0" quotePrefix="0" xfId="0"/>
    <xf numFmtId="0" fontId="0" fillId="0" borderId="35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39" pivotButton="0" quotePrefix="0" xfId="0"/>
    <xf numFmtId="0" fontId="0" fillId="0" borderId="22" pivotButton="0" quotePrefix="0" xfId="0"/>
    <xf numFmtId="0" fontId="3" fillId="6" borderId="27" applyAlignment="1" pivotButton="0" quotePrefix="0" xfId="0">
      <alignment horizontal="center" vertical="center" wrapText="1"/>
    </xf>
    <xf numFmtId="0" fontId="0" fillId="0" borderId="42" pivotButton="0" quotePrefix="0" xfId="0"/>
    <xf numFmtId="0" fontId="3" fillId="6" borderId="47" applyAlignment="1" pivotButton="0" quotePrefix="0" xfId="0">
      <alignment horizontal="center" vertical="center" wrapText="1"/>
    </xf>
    <xf numFmtId="0" fontId="0" fillId="0" borderId="38" pivotButton="0" quotePrefix="0" xfId="0"/>
    <xf numFmtId="0" fontId="10" fillId="12" borderId="49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17" pivotButton="0" quotePrefix="0" xfId="0"/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4" fillId="0" borderId="0" pivotButton="0" quotePrefix="0" xfId="0"/>
    <xf numFmtId="164" fontId="10" fillId="12" borderId="1" applyAlignment="1" pivotButton="0" quotePrefix="0" xfId="0">
      <alignment horizontal="center" vertical="center" wrapText="1"/>
    </xf>
    <xf numFmtId="165" fontId="15" fillId="25" borderId="1" applyAlignment="1" pivotButton="0" quotePrefix="0" xfId="2">
      <alignment horizontal="center" vertical="center" wrapText="1"/>
    </xf>
    <xf numFmtId="165" fontId="15" fillId="27" borderId="1" applyAlignment="1" pivotButton="0" quotePrefix="0" xfId="2">
      <alignment horizontal="center" vertical="center" wrapText="1"/>
    </xf>
    <xf numFmtId="0" fontId="28" fillId="0" borderId="1" applyAlignment="1" pivotButton="0" quotePrefix="0" xfId="2">
      <alignment horizontal="left" vertical="center" wrapText="1"/>
    </xf>
    <xf numFmtId="0" fontId="18" fillId="0" borderId="1" applyAlignment="1" pivotButton="0" quotePrefix="0" xfId="2">
      <alignment horizontal="left" vertical="center" wrapText="1"/>
    </xf>
    <xf numFmtId="165" fontId="7" fillId="0" borderId="1" applyAlignment="1" pivotButton="0" quotePrefix="0" xfId="2">
      <alignment horizontal="center" vertical="center" wrapText="1"/>
    </xf>
    <xf numFmtId="165" fontId="6" fillId="14" borderId="1" applyAlignment="1" pivotButton="0" quotePrefix="0" xfId="2">
      <alignment horizontal="center" vertical="center" wrapText="1"/>
    </xf>
    <xf numFmtId="165" fontId="20" fillId="14" borderId="1" applyAlignment="1" pivotButton="0" quotePrefix="0" xfId="2">
      <alignment horizontal="center" vertical="center" wrapText="1"/>
    </xf>
    <xf numFmtId="165" fontId="25" fillId="0" borderId="0" applyAlignment="1" pivotButton="0" quotePrefix="0" xfId="2">
      <alignment horizontal="center" vertical="center" wrapText="1"/>
    </xf>
    <xf numFmtId="165" fontId="25" fillId="15" borderId="0" applyAlignment="1" pivotButton="0" quotePrefix="0" xfId="2">
      <alignment horizontal="center"/>
    </xf>
    <xf numFmtId="0" fontId="40" fillId="39" borderId="50" applyAlignment="1" pivotButton="0" quotePrefix="0" xfId="0">
      <alignment horizontal="center" vertical="center" wrapText="1"/>
    </xf>
    <xf numFmtId="0" fontId="0" fillId="39" borderId="0" pivotButton="0" quotePrefix="0" xfId="0"/>
    <xf numFmtId="0" fontId="41" fillId="0" borderId="50" applyAlignment="1" pivotButton="0" quotePrefix="0" xfId="0">
      <alignment horizontal="center" vertical="center"/>
    </xf>
    <xf numFmtId="0" fontId="0" fillId="0" borderId="50" pivotButton="0" quotePrefix="0" xfId="0"/>
    <xf numFmtId="0" fontId="42" fillId="0" borderId="50" applyAlignment="1" pivotButton="0" quotePrefix="0" xfId="0">
      <alignment horizontal="left" vertical="center" wrapText="1"/>
    </xf>
    <xf numFmtId="17" fontId="42" fillId="0" borderId="50" applyAlignment="1" pivotButton="0" quotePrefix="0" xfId="0">
      <alignment horizontal="left" vertical="center" wrapText="1"/>
    </xf>
    <xf numFmtId="0" fontId="43" fillId="40" borderId="50" applyAlignment="1" pivotButton="0" quotePrefix="0" xfId="0">
      <alignment horizontal="left" vertical="center" wrapText="1"/>
    </xf>
    <xf numFmtId="0" fontId="44" fillId="39" borderId="50" applyAlignment="1" pivotButton="0" quotePrefix="0" xfId="0">
      <alignment horizontal="center" vertical="center" wrapText="1"/>
    </xf>
    <xf numFmtId="0" fontId="45" fillId="0" borderId="50" applyAlignment="1" pivotButton="0" quotePrefix="0" xfId="0">
      <alignment horizontal="center" vertical="center"/>
    </xf>
    <xf numFmtId="0" fontId="45" fillId="0" borderId="50" applyAlignment="1" pivotButton="0" quotePrefix="0" xfId="0">
      <alignment horizontal="left" vertical="center" wrapText="1"/>
    </xf>
    <xf numFmtId="165" fontId="45" fillId="41" borderId="50" applyAlignment="1" pivotButton="0" quotePrefix="0" xfId="0">
      <alignment horizontal="center" vertical="center"/>
    </xf>
    <xf numFmtId="0" fontId="45" fillId="42" borderId="50" applyAlignment="1" pivotButton="0" quotePrefix="0" xfId="0">
      <alignment horizontal="center" vertical="center"/>
    </xf>
    <xf numFmtId="0" fontId="46" fillId="0" borderId="50" applyAlignment="1" pivotButton="0" quotePrefix="0" xfId="0">
      <alignment horizontal="left" vertical="center" wrapText="1"/>
    </xf>
    <xf numFmtId="165" fontId="45" fillId="43" borderId="50" applyAlignment="1" pivotButton="0" quotePrefix="0" xfId="0">
      <alignment horizontal="center" vertical="center"/>
    </xf>
    <xf numFmtId="0" fontId="43" fillId="44" borderId="50" applyAlignment="1" pivotButton="0" quotePrefix="0" xfId="0">
      <alignment horizontal="center" vertical="center"/>
    </xf>
    <xf numFmtId="2" fontId="45" fillId="41" borderId="50" applyAlignment="1" pivotButton="0" quotePrefix="0" xfId="0">
      <alignment horizontal="center" vertical="center"/>
    </xf>
    <xf numFmtId="2" fontId="45" fillId="43" borderId="50" applyAlignment="1" pivotButton="0" quotePrefix="0" xfId="0">
      <alignment horizontal="center" vertical="center"/>
    </xf>
    <xf numFmtId="0" fontId="44" fillId="45" borderId="50" applyAlignment="1" pivotButton="0" quotePrefix="0" xfId="0">
      <alignment horizontal="left" vertical="center"/>
    </xf>
    <xf numFmtId="0" fontId="44" fillId="45" borderId="50" applyAlignment="1" pivotButton="0" quotePrefix="0" xfId="0">
      <alignment horizontal="center" vertical="center"/>
    </xf>
    <xf numFmtId="2" fontId="44" fillId="45" borderId="50" applyAlignment="1" pivotButton="0" quotePrefix="0" xfId="0">
      <alignment horizontal="center" vertical="center"/>
    </xf>
    <xf numFmtId="0" fontId="43" fillId="40" borderId="50" applyAlignment="1" pivotButton="0" quotePrefix="0" xfId="0">
      <alignment horizontal="left" vertical="center"/>
    </xf>
    <xf numFmtId="0" fontId="0" fillId="40" borderId="50" pivotButton="0" quotePrefix="0" xfId="0"/>
    <xf numFmtId="0" fontId="45" fillId="0" borderId="50" applyAlignment="1" pivotButton="0" quotePrefix="0" xfId="0">
      <alignment horizontal="left" vertical="center"/>
    </xf>
    <xf numFmtId="0" fontId="0" fillId="0" borderId="53" pivotButton="0" quotePrefix="0" xfId="0"/>
    <xf numFmtId="0" fontId="0" fillId="0" borderId="54" pivotButton="0" quotePrefix="0" xfId="0"/>
    <xf numFmtId="2" fontId="43" fillId="46" borderId="50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 wrapText="1"/>
    </xf>
    <xf numFmtId="1" fontId="45" fillId="41" borderId="50" applyAlignment="1" pivotButton="0" quotePrefix="0" xfId="0">
      <alignment horizontal="center" vertical="center"/>
    </xf>
    <xf numFmtId="1" fontId="45" fillId="43" borderId="50" applyAlignment="1" pivotButton="0" quotePrefix="0" xfId="0">
      <alignment horizontal="center" vertical="center"/>
    </xf>
    <xf numFmtId="1" fontId="44" fillId="45" borderId="50" applyAlignment="1" pivotButton="0" quotePrefix="0" xfId="0">
      <alignment horizontal="center" vertical="center"/>
    </xf>
    <xf numFmtId="0" fontId="0" fillId="40" borderId="50" applyAlignment="1" pivotButton="0" quotePrefix="0" xfId="0">
      <alignment horizontal="left" vertical="center" wrapText="1"/>
    </xf>
    <xf numFmtId="2" fontId="45" fillId="0" borderId="50" applyAlignment="1" pivotButton="0" quotePrefix="0" xfId="0">
      <alignment horizontal="center" vertical="center"/>
    </xf>
    <xf numFmtId="0" fontId="44" fillId="45" borderId="5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50" applyAlignment="1" pivotButton="0" quotePrefix="0" xfId="0">
      <alignment horizontal="left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5723"/>
      </font>
      <fill>
        <patternFill patternType="solid">
          <bgColor rgb="FFE2F0D9"/>
        </patternFill>
      </fill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Unknown Author</author>
  </authors>
  <commentList>
    <comment ref="E13" authorId="0" shapeId="0">
      <text>
        <t>Área de muro (un solo muro) tomada de la hoja 'CONCRETO ARMADO EN CUNETAS' de tu Excel (fila AREA, bajo MUROS de cada eje).</t>
      </text>
    </comment>
    <comment ref="F13" authorId="0" shapeId="0">
      <text>
        <t>Altura de muro = Área de muro / Longitud del eje (misma altura usada para el volumen de concreto de muros en tu hoja original).</t>
      </text>
    </comment>
    <comment ref="H13" authorId="0" shapeId="0">
      <text>
        <t>N° de juntas = REDONDEAR.MAS(Longitud eje / Espaciamiento). Ajusta si tu criterio es distinto (p.ej. no contar junta en los extremos).</t>
      </text>
    </comment>
  </commentList>
</comment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id="1" name="TablaDrenajePisoSumideros" displayName="TablaDrenajePisoSumideros" ref="A7:G12" headerRowCount="1" headerRowDxfId="18" dataDxfId="17" totalsRowDxfId="16">
  <tableColumns count="7">
    <tableColumn id="1" name="SECTOR" dataDxfId="15"/>
    <tableColumn id="2" name="TUBERÍA 4&quot; PVC-U_x000a_Desagüe Clase Pesada (m)" dataDxfId="14"/>
    <tableColumn id="3" name="SUMIDERO DE 4&quot;_x000a_(und)" dataDxfId="13"/>
    <tableColumn id="4" name="CODO 90° x 4&quot;_x000a_(und)" dataDxfId="12"/>
    <tableColumn id="5" name="CODO 45° x 4&quot;_x000a_(und)" dataDxfId="11"/>
    <tableColumn id="6" name="TEE° x 4&quot;_x000a_(und)" dataDxfId="10"/>
    <tableColumn id="7" name="OBSERV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HF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HF1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Id="rIdHF1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Id="rIdHF1" Type="http://schemas.openxmlformats.org/officeDocument/2006/relationships/vmlDrawing" Target="../drawings/vmlDrawing4.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81"/>
  <sheetViews>
    <sheetView view="pageBreakPreview" topLeftCell="A29" zoomScale="130" zoomScaleNormal="130" zoomScaleSheetLayoutView="130" workbookViewId="0">
      <selection activeCell="B32" sqref="B32"/>
    </sheetView>
  </sheetViews>
  <sheetFormatPr baseColWidth="10" defaultColWidth="11.54296875" defaultRowHeight="15.5"/>
  <cols>
    <col width="18.08984375" customWidth="1" style="26" min="1" max="1"/>
    <col width="74.08984375" customWidth="1" style="26" min="2" max="2"/>
    <col width="19.36328125" customWidth="1" style="19" min="3" max="3"/>
    <col width="21.54296875" customWidth="1" style="19" min="4" max="4"/>
    <col width="11.54296875" customWidth="1" style="26" min="5" max="16384"/>
  </cols>
  <sheetData>
    <row r="1" ht="15.65" customHeight="1">
      <c r="A1" s="61" t="n"/>
      <c r="B1" s="156" t="n"/>
      <c r="C1" s="156" t="n"/>
      <c r="D1" s="156" t="n"/>
      <c r="E1" s="61" t="n"/>
    </row>
    <row r="2" ht="23" customHeight="1">
      <c r="A2" s="203" t="inlineStr">
        <is>
          <t>RESUMEN METRADOS DE DRENAJE PLUVIAL</t>
        </is>
      </c>
      <c r="B2" s="313" t="n"/>
      <c r="C2" s="313" t="n"/>
      <c r="D2" s="314" t="n"/>
    </row>
    <row r="3" hidden="1" ht="5" customHeight="1">
      <c r="A3" s="60" t="n"/>
      <c r="B3" s="60" t="n"/>
      <c r="C3" s="60" t="n"/>
      <c r="D3" s="60" t="n"/>
    </row>
    <row r="4" ht="21.65" customHeight="1">
      <c r="A4" s="99" t="inlineStr">
        <is>
          <t>ENTIDAD</t>
        </is>
      </c>
      <c r="B4" s="205" t="inlineStr">
        <is>
          <t>GERENCIA TERRITORIAL BAJO MAYO - TARAPOTO</t>
        </is>
      </c>
      <c r="C4" s="313" t="n"/>
      <c r="D4" s="314" t="n"/>
    </row>
    <row r="5" ht="79.5" customHeight="1">
      <c r="A5" s="98" t="inlineStr">
        <is>
          <t>PROYECTO</t>
        </is>
      </c>
      <c r="B5" s="205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      </is>
      </c>
      <c r="C5" s="313" t="n"/>
      <c r="D5" s="314" t="n"/>
    </row>
    <row r="6" ht="18" customHeight="1">
      <c r="A6" s="99" t="inlineStr">
        <is>
          <t>UBICACIÓN</t>
        </is>
      </c>
      <c r="B6" s="205" t="inlineStr">
        <is>
          <t>SAN MARTIN - SAN MARTIN - MORALES</t>
        </is>
      </c>
      <c r="C6" s="313" t="n"/>
      <c r="D6" s="314" t="n"/>
    </row>
    <row r="7" ht="25.25" customHeight="1">
      <c r="A7" s="99" t="inlineStr">
        <is>
          <t>FECHA</t>
        </is>
      </c>
      <c r="B7" s="204" t="n">
        <v>46266</v>
      </c>
      <c r="C7" s="313" t="n"/>
      <c r="D7" s="314" t="n"/>
    </row>
    <row r="8">
      <c r="A8" s="157" t="inlineStr">
        <is>
          <t>Item</t>
        </is>
      </c>
      <c r="B8" s="157" t="inlineStr">
        <is>
          <t>Descripción</t>
        </is>
      </c>
      <c r="C8" s="157" t="inlineStr">
        <is>
          <t>Unid.</t>
        </is>
      </c>
      <c r="D8" s="157" t="inlineStr">
        <is>
          <t>Total.</t>
        </is>
      </c>
    </row>
    <row r="9">
      <c r="A9" s="158" t="inlineStr">
        <is>
          <t>01.04.03</t>
        </is>
      </c>
      <c r="B9" s="158" t="inlineStr">
        <is>
          <t>SISTEMA DE DRENAJE PLUVIAL</t>
        </is>
      </c>
      <c r="C9" s="158" t="n"/>
      <c r="D9" s="158" t="n"/>
    </row>
    <row r="10">
      <c r="A10" s="158" t="inlineStr">
        <is>
          <t>01.04.03.01</t>
        </is>
      </c>
      <c r="B10" s="158" t="inlineStr">
        <is>
          <t>TRABAJOS PRELIMINARES</t>
        </is>
      </c>
      <c r="C10" s="158" t="n"/>
      <c r="D10" s="158" t="n"/>
    </row>
    <row r="11">
      <c r="A11" s="159" t="inlineStr">
        <is>
          <t>01.04.03.01.01</t>
        </is>
      </c>
      <c r="B11" s="160" t="inlineStr">
        <is>
          <t>LIMPIEZA MANUAL DE TERRENO</t>
        </is>
      </c>
      <c r="C11" s="161" t="inlineStr">
        <is>
          <t>m²</t>
        </is>
      </c>
      <c r="D11" s="162">
        <f>+'PLANILLA GENERAL DE METRADOS'!K11</f>
        <v/>
      </c>
    </row>
    <row r="12">
      <c r="A12" s="159" t="inlineStr">
        <is>
          <t>01.04.03.01.02</t>
        </is>
      </c>
      <c r="B12" s="159" t="inlineStr">
        <is>
          <t>TRAZO, NIVELES Y REPLANTEO PRELIMINAR</t>
        </is>
      </c>
      <c r="C12" s="161" t="inlineStr">
        <is>
          <t>m²</t>
        </is>
      </c>
      <c r="D12" s="162">
        <f>+'PLANILLA GENERAL DE METRADOS'!K24</f>
        <v/>
      </c>
    </row>
    <row r="13">
      <c r="A13" s="158" t="inlineStr">
        <is>
          <t>01.04.03.02</t>
        </is>
      </c>
      <c r="B13" s="158" t="inlineStr">
        <is>
          <t>MOVIMIENTO DE TIERRAS</t>
        </is>
      </c>
      <c r="C13" s="163" t="n"/>
      <c r="D13" s="164" t="n"/>
    </row>
    <row r="14">
      <c r="A14" s="159" t="inlineStr">
        <is>
          <t>01.04.03.02.01</t>
        </is>
      </c>
      <c r="B14" s="159" t="inlineStr">
        <is>
          <t>EXCAVACIÓN MANUAL DE ZANJAS P/CUNETAS</t>
        </is>
      </c>
      <c r="C14" s="161" t="inlineStr">
        <is>
          <t>m³</t>
        </is>
      </c>
      <c r="D14" s="162">
        <f>+'PLANILLA GENERAL DE METRADOS'!K38</f>
        <v/>
      </c>
    </row>
    <row r="15">
      <c r="A15" s="159" t="inlineStr">
        <is>
          <t>01.04.03.02.02</t>
        </is>
      </c>
      <c r="B15" s="159" t="inlineStr">
        <is>
          <t>EXCAVACIÓN MANUAL DE ZANJAS P/DADOS DE CONCRETO</t>
        </is>
      </c>
      <c r="C15" s="161" t="inlineStr">
        <is>
          <t>m³</t>
        </is>
      </c>
      <c r="D15" s="162">
        <f>+'PLANILLA GENERAL DE METRADOS'!K51</f>
        <v/>
      </c>
    </row>
    <row r="16">
      <c r="A16" s="159" t="inlineStr">
        <is>
          <t>01.04.03.02.03</t>
        </is>
      </c>
      <c r="B16" s="159" t="inlineStr">
        <is>
          <t>REFINE, NIVELACIÓN Y COMPACTACIÓN EN TERRENO NORMAL</t>
        </is>
      </c>
      <c r="C16" s="161" t="inlineStr">
        <is>
          <t>m²</t>
        </is>
      </c>
      <c r="D16" s="162">
        <f>+'PLANILLA GENERAL DE METRADOS'!K54</f>
        <v/>
      </c>
    </row>
    <row r="17">
      <c r="A17" s="159" t="inlineStr">
        <is>
          <t>01.04.03.02.04</t>
        </is>
      </c>
      <c r="B17" s="159" t="inlineStr">
        <is>
          <t>RELLENO COMPACTADO CON MATERIAL PROPIO SELECCIONADO</t>
        </is>
      </c>
      <c r="C17" s="161" t="inlineStr">
        <is>
          <t>m³</t>
        </is>
      </c>
      <c r="D17" s="162">
        <f>+'PLANILLA GENERAL DE METRADOS'!K67</f>
        <v/>
      </c>
    </row>
    <row r="18">
      <c r="A18" s="159" t="inlineStr">
        <is>
          <t>01.04.03.02.05</t>
        </is>
      </c>
      <c r="B18" s="159" t="inlineStr">
        <is>
          <t>ELIMINACIÓN DE MATERIAL EXCEDENTE</t>
        </is>
      </c>
      <c r="C18" s="161" t="inlineStr">
        <is>
          <t>m³</t>
        </is>
      </c>
      <c r="D18" s="162">
        <f>+'PLANILLA GENERAL DE METRADOS'!K80</f>
        <v/>
      </c>
    </row>
    <row r="19">
      <c r="A19" s="158" t="inlineStr">
        <is>
          <t>01.04.03.03</t>
        </is>
      </c>
      <c r="B19" s="158" t="inlineStr">
        <is>
          <t>OBRAS DE CONCRETO SIMPLE</t>
        </is>
      </c>
      <c r="C19" s="163" t="n"/>
      <c r="D19" s="164" t="n"/>
    </row>
    <row r="20">
      <c r="A20" s="159" t="inlineStr">
        <is>
          <t>01.04.03.03.01</t>
        </is>
      </c>
      <c r="B20" s="159" t="inlineStr">
        <is>
          <t>CONCRETO f'c=100 kg/cm2 PARA SOLADO E=4''</t>
        </is>
      </c>
      <c r="C20" s="161" t="inlineStr">
        <is>
          <t>m²</t>
        </is>
      </c>
      <c r="D20" s="162">
        <f>+'PLANILLA GENERAL DE METRADOS'!K84</f>
        <v/>
      </c>
    </row>
    <row r="21">
      <c r="A21" s="159" t="inlineStr">
        <is>
          <t>01.04.03.03.02</t>
        </is>
      </c>
      <c r="B21" s="159" t="inlineStr">
        <is>
          <t>CONCRETO f'c=140 Kg/cm2 PARA DADOS DE CONCRETO</t>
        </is>
      </c>
      <c r="C21" s="161" t="inlineStr">
        <is>
          <t>m³</t>
        </is>
      </c>
      <c r="D21" s="162">
        <f>+'PLANILLA GENERAL DE METRADOS'!K97</f>
        <v/>
      </c>
    </row>
    <row r="22">
      <c r="A22" s="158" t="inlineStr">
        <is>
          <t>01.04.03.04</t>
        </is>
      </c>
      <c r="B22" s="158" t="inlineStr">
        <is>
          <t>OBRAS DE CONCRETO ARMADO</t>
        </is>
      </c>
      <c r="C22" s="163" t="n"/>
      <c r="D22" s="164" t="n"/>
    </row>
    <row r="23">
      <c r="A23" s="159" t="inlineStr">
        <is>
          <t>01.04.03.04.02</t>
        </is>
      </c>
      <c r="B23" s="165" t="inlineStr">
        <is>
          <t>CUNETAS</t>
        </is>
      </c>
      <c r="C23" s="161" t="n"/>
      <c r="D23" s="162" t="n"/>
    </row>
    <row r="24">
      <c r="A24" s="159" t="inlineStr">
        <is>
          <t>01.04.03.04.02.01</t>
        </is>
      </c>
      <c r="B24" s="159" t="inlineStr">
        <is>
          <t>CONCRETO P/CUNETAS f'c=175 kg/cm2</t>
        </is>
      </c>
      <c r="C24" s="161" t="inlineStr">
        <is>
          <t>m³</t>
        </is>
      </c>
      <c r="D24" s="162">
        <f>+'PLANILLA GENERAL DE METRADOS'!K101</f>
        <v/>
      </c>
    </row>
    <row r="25">
      <c r="A25" s="159" t="inlineStr">
        <is>
          <t>01.04.03.04.02.02</t>
        </is>
      </c>
      <c r="B25" s="159" t="inlineStr">
        <is>
          <t>ENCOFRADO Y DESENCOFRADO DE CUNETA</t>
        </is>
      </c>
      <c r="C25" s="161" t="inlineStr">
        <is>
          <t>m²</t>
        </is>
      </c>
      <c r="D25" s="162">
        <f>+'PLANILLA GENERAL DE METRADOS'!K114</f>
        <v/>
      </c>
    </row>
    <row r="26">
      <c r="A26" s="159" t="inlineStr">
        <is>
          <t>01.04.03.04.02.03</t>
        </is>
      </c>
      <c r="B26" s="159" t="inlineStr">
        <is>
          <t>ACERO f'y=4200 kg/cm2 PARA CUNETA</t>
        </is>
      </c>
      <c r="C26" s="161" t="inlineStr">
        <is>
          <t>kg</t>
        </is>
      </c>
      <c r="D26" s="162">
        <f>+'PLANILLA GENERAL DE METRADOS'!K127</f>
        <v/>
      </c>
    </row>
    <row r="27">
      <c r="A27" s="159" t="inlineStr">
        <is>
          <t>01.04.03.04.02.04</t>
        </is>
      </c>
      <c r="B27" s="159" t="inlineStr">
        <is>
          <t>CURADO DE CONCRETO EN CUNETA</t>
        </is>
      </c>
      <c r="C27" s="161" t="inlineStr">
        <is>
          <t>m²</t>
        </is>
      </c>
      <c r="D27" s="162">
        <f>+'METRADO DE CURADO'!M38</f>
        <v/>
      </c>
    </row>
    <row r="28">
      <c r="A28" s="159" t="inlineStr">
        <is>
          <t>01.04.03.04.03</t>
        </is>
      </c>
      <c r="B28" s="165" t="inlineStr">
        <is>
          <t>VARIOS</t>
        </is>
      </c>
      <c r="C28" s="161" t="n"/>
      <c r="D28" s="162" t="n"/>
    </row>
    <row r="29">
      <c r="A29" s="159" t="inlineStr">
        <is>
          <t>01.04.03.04.03.01</t>
        </is>
      </c>
      <c r="B29" s="159" t="inlineStr">
        <is>
          <t>REJILLA METALICA P/CUNETA C/PL 1''x 3/16'' Y ANGULO 1'' x 1'' x 3/16''</t>
        </is>
      </c>
      <c r="C29" s="161" t="inlineStr">
        <is>
          <t>ml</t>
        </is>
      </c>
      <c r="D29" s="162">
        <f>+'PLANILLA GENERAL DE METRADOS'!K132</f>
        <v/>
      </c>
    </row>
    <row r="30">
      <c r="A30" s="159" t="inlineStr">
        <is>
          <t>01.04.03.04.03.02</t>
        </is>
      </c>
      <c r="B30" s="159" t="inlineStr">
        <is>
          <t>TAPA DE INSPECCION 0.60m x 0.60m</t>
        </is>
      </c>
      <c r="C30" s="161" t="inlineStr">
        <is>
          <t>und</t>
        </is>
      </c>
      <c r="D30" s="162">
        <f>+'PLANILLA GENERAL DE METRADOS'!K133</f>
        <v/>
      </c>
    </row>
    <row r="31">
      <c r="A31" s="159" t="inlineStr">
        <is>
          <t>01.04.03.04.03.03</t>
        </is>
      </c>
      <c r="B31" s="159" t="inlineStr">
        <is>
          <t>JUNTA DE DILATACION E=1" CON SELLADOR ASFALTO</t>
        </is>
      </c>
      <c r="C31" s="161" t="inlineStr">
        <is>
          <t>ml</t>
        </is>
      </c>
      <c r="D31" s="162">
        <f>+'PLANILLA GENERAL DE METRADOS'!K134</f>
        <v/>
      </c>
    </row>
    <row r="32">
      <c r="A32" s="158" t="inlineStr">
        <is>
          <t>01.04.03.05</t>
        </is>
      </c>
      <c r="B32" s="158" t="inlineStr">
        <is>
          <t>RED DE COLECCIÓN</t>
        </is>
      </c>
      <c r="C32" s="163" t="n"/>
      <c r="D32" s="164" t="n"/>
    </row>
    <row r="33" ht="18.5" customHeight="1">
      <c r="A33" s="159" t="inlineStr">
        <is>
          <t>01.04.03.05.01</t>
        </is>
      </c>
      <c r="B33" s="165" t="inlineStr">
        <is>
          <t>RED DE RECOLECCION TECHO</t>
        </is>
      </c>
      <c r="C33" s="161" t="n"/>
      <c r="D33" s="162" t="n"/>
    </row>
    <row r="34" ht="18.5" customHeight="1">
      <c r="A34" s="196" t="inlineStr">
        <is>
          <t>01.04.03.05.01.01</t>
        </is>
      </c>
      <c r="B34" s="196" t="inlineStr">
        <is>
          <t>MONTANTE TUBERÍA PVC DE 4"</t>
        </is>
      </c>
      <c r="C34" s="198" t="inlineStr">
        <is>
          <t>m</t>
        </is>
      </c>
      <c r="D34" s="199">
        <f>+'PLANILLA GENERAL DE METRADOS'!K138</f>
        <v/>
      </c>
    </row>
    <row r="35" ht="18.5" customHeight="1">
      <c r="A35" s="159" t="inlineStr">
        <is>
          <t>01.04.03.05.01.02</t>
        </is>
      </c>
      <c r="B35" s="159" t="inlineStr">
        <is>
          <t>FALSA COLUMNA P/MONTANTE DE 0.20m x 0.15m x 1.30m</t>
        </is>
      </c>
      <c r="C35" s="161" t="inlineStr">
        <is>
          <t>und</t>
        </is>
      </c>
      <c r="D35" s="162">
        <f>+'PLANILLA GENERAL DE METRADOS'!K139</f>
        <v/>
      </c>
    </row>
    <row r="36" ht="18.5" customHeight="1">
      <c r="A36" s="166" t="inlineStr">
        <is>
          <t>01.04.03.05.01.04,01</t>
        </is>
      </c>
      <c r="B36" s="159" t="inlineStr">
        <is>
          <t>CONCRETO F´C=175 KG/CM2 EN FALSA COLUMNA</t>
        </is>
      </c>
      <c r="C36" s="161" t="inlineStr">
        <is>
          <t>m³</t>
        </is>
      </c>
      <c r="D36" s="162">
        <f>+'PLANILLA GENERAL DE METRADOS'!K140</f>
        <v/>
      </c>
    </row>
    <row r="37">
      <c r="A37" s="166" t="inlineStr">
        <is>
          <t>01.04.03.05.01.04,02</t>
        </is>
      </c>
      <c r="B37" s="159" t="inlineStr">
        <is>
          <t>ENCOFRADO Y DESENCOFRADO EN FALSA COLUMNA - MONTANTE PLUVIAL</t>
        </is>
      </c>
      <c r="C37" s="161" t="inlineStr">
        <is>
          <t>m²</t>
        </is>
      </c>
      <c r="D37" s="162">
        <f>+'PLANILLA GENERAL DE METRADOS'!K142</f>
        <v/>
      </c>
    </row>
    <row r="38">
      <c r="A38" s="166" t="inlineStr">
        <is>
          <t>01.04.03.05.01.04,03</t>
        </is>
      </c>
      <c r="B38" s="159" t="inlineStr">
        <is>
          <t>ACERO FY=4200 KG/CM2 EN FALSA COLUMNA (MONTANTE PLUVIAL)</t>
        </is>
      </c>
      <c r="C38" s="161" t="inlineStr">
        <is>
          <t>kg</t>
        </is>
      </c>
      <c r="D38" s="162">
        <f>+'PLANILLA GENERAL DE METRADOS'!K145</f>
        <v/>
      </c>
    </row>
    <row r="39">
      <c r="A39" s="159" t="inlineStr">
        <is>
          <t>01.04.03.05.02</t>
        </is>
      </c>
      <c r="B39" s="165" t="inlineStr">
        <is>
          <t>RED DE RECOLECCION PISO</t>
        </is>
      </c>
      <c r="C39" s="161" t="n"/>
      <c r="D39" s="162" t="n"/>
    </row>
    <row r="40">
      <c r="A40" s="159" t="inlineStr">
        <is>
          <t>01.04.03.05.02.01</t>
        </is>
      </c>
      <c r="B40" s="159" t="inlineStr">
        <is>
          <t>TUBERIA DESAGÜE PVC-CP Ø4" x 3m</t>
        </is>
      </c>
      <c r="C40" s="161" t="inlineStr">
        <is>
          <t>m</t>
        </is>
      </c>
      <c r="D40" s="162">
        <f>+'PLANILLA GENERAL DE METRADOS'!K150</f>
        <v/>
      </c>
    </row>
    <row r="41">
      <c r="A41" s="159" t="inlineStr">
        <is>
          <t>01.04.03.05.02.02</t>
        </is>
      </c>
      <c r="B41" s="159" t="inlineStr">
        <is>
          <t>SUMIDERO METALICO C/PLATINA 1" X 3/16"</t>
        </is>
      </c>
      <c r="C41" s="161" t="inlineStr">
        <is>
          <t>und</t>
        </is>
      </c>
      <c r="D41" s="162">
        <f>+'PLANILLA GENERAL DE METRADOS'!K151</f>
        <v/>
      </c>
    </row>
    <row r="42">
      <c r="A42" s="159" t="inlineStr">
        <is>
          <t>01.04.03.05.02.03</t>
        </is>
      </c>
      <c r="B42" s="159" t="inlineStr">
        <is>
          <t>CODO 90° x 4"</t>
        </is>
      </c>
      <c r="C42" s="161" t="inlineStr">
        <is>
          <t>und</t>
        </is>
      </c>
      <c r="D42" s="162">
        <f>+'PLANILLA GENERAL DE METRADOS'!K152</f>
        <v/>
      </c>
    </row>
    <row r="43">
      <c r="A43" s="159" t="inlineStr">
        <is>
          <t>01.04.03.05.02.04</t>
        </is>
      </c>
      <c r="B43" s="159" t="inlineStr">
        <is>
          <t>TEE° x 4"</t>
        </is>
      </c>
      <c r="C43" s="161" t="inlineStr">
        <is>
          <t>und</t>
        </is>
      </c>
      <c r="D43" s="162">
        <f>+'PLANILLA GENERAL DE METRADOS'!K153</f>
        <v/>
      </c>
    </row>
    <row r="44">
      <c r="A44" s="196" t="inlineStr">
        <is>
          <t>01.04.03.05.03</t>
        </is>
      </c>
      <c r="B44" s="197" t="inlineStr">
        <is>
          <t>ACCESORIOS</t>
        </is>
      </c>
      <c r="C44" s="198" t="n"/>
      <c r="D44" s="199" t="n"/>
    </row>
    <row r="45">
      <c r="A45" s="196" t="inlineStr">
        <is>
          <t>01.04.03.05.03.01</t>
        </is>
      </c>
      <c r="B45" s="196" t="inlineStr">
        <is>
          <t>CODO DESAGÜE PVC Ø4" x 45°</t>
        </is>
      </c>
      <c r="C45" s="198" t="inlineStr">
        <is>
          <t>und</t>
        </is>
      </c>
      <c r="D45" s="199">
        <f>+'PLANILLA GENERAL DE METRADOS'!K156</f>
        <v/>
      </c>
    </row>
    <row r="46">
      <c r="A46" s="196" t="inlineStr">
        <is>
          <t>01.04.03.05.03.02</t>
        </is>
      </c>
      <c r="B46" s="196" t="inlineStr">
        <is>
          <t>CODO DESAGÜE PVC Ø4" x 90°</t>
        </is>
      </c>
      <c r="C46" s="198" t="inlineStr">
        <is>
          <t>und</t>
        </is>
      </c>
      <c r="D46" s="199">
        <f>+'PLANILLA GENERAL DE METRADOS'!K157</f>
        <v/>
      </c>
    </row>
    <row r="47">
      <c r="A47" s="196" t="inlineStr">
        <is>
          <t>01.04.03.05.03.03</t>
        </is>
      </c>
      <c r="B47" s="196" t="inlineStr">
        <is>
          <t>TEE DESAGÜE PVC Ø4"</t>
        </is>
      </c>
      <c r="C47" s="198" t="inlineStr">
        <is>
          <t>und</t>
        </is>
      </c>
      <c r="D47" s="199">
        <f>+'PLANILLA GENERAL DE METRADOS'!K158</f>
        <v/>
      </c>
    </row>
    <row r="48">
      <c r="A48" s="196" t="inlineStr">
        <is>
          <t>01.04.03.05.03.04</t>
        </is>
      </c>
      <c r="B48" s="196" t="inlineStr">
        <is>
          <t>COLGADOR F°G° P/TUBERIA PVC Ø4"</t>
        </is>
      </c>
      <c r="C48" s="198" t="inlineStr">
        <is>
          <t>und</t>
        </is>
      </c>
      <c r="D48" s="199">
        <f>+'PLANILLA GENERAL DE METRADOS'!K159</f>
        <v/>
      </c>
    </row>
    <row r="49">
      <c r="A49" s="196" t="inlineStr">
        <is>
          <t>01.04.03.05.03.05</t>
        </is>
      </c>
      <c r="B49" s="196" t="inlineStr">
        <is>
          <t>ABRAZADERA DE F°G° P/TUBERIA PVC Ø4"</t>
        </is>
      </c>
      <c r="C49" s="198" t="inlineStr">
        <is>
          <t>und</t>
        </is>
      </c>
      <c r="D49" s="199">
        <f>+'PLANILLA GENERAL DE METRADOS'!K160</f>
        <v/>
      </c>
    </row>
    <row r="51">
      <c r="A51" s="158" t="inlineStr">
        <is>
          <t>01.04.04</t>
        </is>
      </c>
      <c r="B51" s="158" t="inlineStr">
        <is>
          <t>COLECTOR PLUVIAL FRONTAL (TRAMO HOGAR DE REFUGIO - EMPALME CON CAR MUJERES)</t>
        </is>
      </c>
      <c r="C51" s="158" t="n"/>
      <c r="D51" s="158" t="n"/>
    </row>
    <row r="52">
      <c r="A52" s="158" t="inlineStr">
        <is>
          <t>01.04.04.01</t>
        </is>
      </c>
      <c r="B52" s="158" t="inlineStr">
        <is>
          <t>TRABAJOS PRELIMINARES</t>
        </is>
      </c>
      <c r="C52" s="158" t="n"/>
      <c r="D52" s="158" t="n"/>
    </row>
    <row r="53">
      <c r="A53" s="159" t="inlineStr">
        <is>
          <t>01.04.04.01.01</t>
        </is>
      </c>
      <c r="B53" s="160" t="inlineStr">
        <is>
          <t>LIMPIEZA MANUAL DE TERRENO</t>
        </is>
      </c>
      <c r="C53" s="161" t="inlineStr">
        <is>
          <t>m²</t>
        </is>
      </c>
      <c r="D53" s="162">
        <f>+'PLANILLA GENERAL DE METRADOS'!K164</f>
        <v/>
      </c>
    </row>
    <row r="54">
      <c r="A54" s="159" t="inlineStr">
        <is>
          <t>01.04.04.01.02</t>
        </is>
      </c>
      <c r="B54" s="160" t="inlineStr">
        <is>
          <t>TRAZO, NIVELES Y REPLANTEO PRELIMINAR</t>
        </is>
      </c>
      <c r="C54" s="161" t="inlineStr">
        <is>
          <t>m²</t>
        </is>
      </c>
      <c r="D54" s="162">
        <f>+'PLANILLA GENERAL DE METRADOS'!K174</f>
        <v/>
      </c>
    </row>
    <row r="55">
      <c r="A55" s="158" t="inlineStr">
        <is>
          <t>01.04.04.02</t>
        </is>
      </c>
      <c r="B55" s="158" t="inlineStr">
        <is>
          <t>MOVIMIENTO DE TIERRAS</t>
        </is>
      </c>
      <c r="C55" s="158" t="n"/>
      <c r="D55" s="158" t="n"/>
    </row>
    <row r="56">
      <c r="A56" s="159" t="inlineStr">
        <is>
          <t>01.04.04.02.01</t>
        </is>
      </c>
      <c r="B56" s="160" t="inlineStr">
        <is>
          <t>EXCAVACIÓN MANUAL DE ZANJAS P/COLECTOR (ancho 1.60 m)</t>
        </is>
      </c>
      <c r="C56" s="161" t="inlineStr">
        <is>
          <t>m³</t>
        </is>
      </c>
      <c r="D56" s="162">
        <f>+'PLANILLA GENERAL DE METRADOS'!K185</f>
        <v/>
      </c>
    </row>
    <row r="57">
      <c r="A57" s="159" t="inlineStr">
        <is>
          <t>01.04.04.02.02</t>
        </is>
      </c>
      <c r="B57" s="160" t="inlineStr">
        <is>
          <t>REFINE, NIVELACIÓN Y COMPACTACIÓN EN TERRENO NORMAL</t>
        </is>
      </c>
      <c r="C57" s="161" t="inlineStr">
        <is>
          <t>m²</t>
        </is>
      </c>
      <c r="D57" s="162">
        <f>+'PLANILLA GENERAL DE METRADOS'!K195</f>
        <v/>
      </c>
    </row>
    <row r="58">
      <c r="A58" s="159" t="inlineStr">
        <is>
          <t>01.04.04.02.03</t>
        </is>
      </c>
      <c r="B58" s="160" t="inlineStr">
        <is>
          <t>RELLENO COMPACTADO CON MATERIAL PROPIO SELECCIONADO (incluye nivelacion del retiro y base de cajas)</t>
        </is>
      </c>
      <c r="C58" s="161" t="inlineStr">
        <is>
          <t>m³</t>
        </is>
      </c>
      <c r="D58" s="162">
        <f>+'PLANILLA GENERAL DE METRADOS'!K205</f>
        <v/>
      </c>
    </row>
    <row r="59">
      <c r="A59" s="159" t="inlineStr">
        <is>
          <t>01.04.04.02.04</t>
        </is>
      </c>
      <c r="B59" s="160" t="inlineStr">
        <is>
          <t>ELIMINACIÓN DE MATERIAL EXCEDENTE</t>
        </is>
      </c>
      <c r="C59" s="161" t="inlineStr">
        <is>
          <t>m³</t>
        </is>
      </c>
      <c r="D59" s="162">
        <f>+'PLANILLA GENERAL DE METRADOS'!K222</f>
        <v/>
      </c>
    </row>
    <row r="60">
      <c r="A60" s="158" t="inlineStr">
        <is>
          <t>01.04.04.03</t>
        </is>
      </c>
      <c r="B60" s="158" t="inlineStr">
        <is>
          <t>OBRAS DE CONCRETO SIMPLE</t>
        </is>
      </c>
      <c r="C60" s="158" t="n"/>
      <c r="D60" s="158" t="n"/>
    </row>
    <row r="61">
      <c r="A61" s="159" t="inlineStr">
        <is>
          <t>01.04.04.03.01</t>
        </is>
      </c>
      <c r="B61" s="160" t="inlineStr">
        <is>
          <t>CONCRETO f'c=100 kg/cm2 PARA SOLADO E=2" (0.05 m)</t>
        </is>
      </c>
      <c r="C61" s="161" t="inlineStr">
        <is>
          <t>m²</t>
        </is>
      </c>
      <c r="D61" s="162">
        <f>+'PLANILLA GENERAL DE METRADOS'!K226</f>
        <v/>
      </c>
    </row>
    <row r="62">
      <c r="A62" s="158" t="inlineStr">
        <is>
          <t>01.04.04.04</t>
        </is>
      </c>
      <c r="B62" s="158" t="inlineStr">
        <is>
          <t>OBRAS DE CONCRETO ARMADO - COLECTOR Y CAJAS</t>
        </is>
      </c>
      <c r="C62" s="158" t="n"/>
      <c r="D62" s="158" t="n"/>
    </row>
    <row r="63">
      <c r="A63" s="159" t="inlineStr">
        <is>
          <t>01.04.04.04.01</t>
        </is>
      </c>
      <c r="B63" s="160" t="inlineStr">
        <is>
          <t>CONCRETO f'c=210 kg/cm2 EN LOSA DE FONDO</t>
        </is>
      </c>
      <c r="C63" s="161" t="inlineStr">
        <is>
          <t>m³</t>
        </is>
      </c>
      <c r="D63" s="162">
        <f>+'PLANILLA GENERAL DE METRADOS'!K237</f>
        <v/>
      </c>
    </row>
    <row r="64">
      <c r="A64" s="159" t="inlineStr">
        <is>
          <t>01.04.04.04.02</t>
        </is>
      </c>
      <c r="B64" s="160" t="inlineStr">
        <is>
          <t>CONCRETO f'c=210 kg/cm2 EN MUROS</t>
        </is>
      </c>
      <c r="C64" s="161" t="inlineStr">
        <is>
          <t>m³</t>
        </is>
      </c>
      <c r="D64" s="162">
        <f>+'PLANILLA GENERAL DE METRADOS'!K247</f>
        <v/>
      </c>
    </row>
    <row r="65">
      <c r="A65" s="159" t="inlineStr">
        <is>
          <t>01.04.04.04.03</t>
        </is>
      </c>
      <c r="B65" s="160" t="inlineStr">
        <is>
          <t>CONCRETO f'c=210 kg/cm2 EN LOSA SUPERIOR (incluye bordes de registro)</t>
        </is>
      </c>
      <c r="C65" s="161" t="inlineStr">
        <is>
          <t>m³</t>
        </is>
      </c>
      <c r="D65" s="162">
        <f>+'PLANILLA GENERAL DE METRADOS'!K257</f>
        <v/>
      </c>
    </row>
    <row r="66">
      <c r="A66" s="159" t="inlineStr">
        <is>
          <t>01.04.04.04.04</t>
        </is>
      </c>
      <c r="B66" s="160" t="inlineStr">
        <is>
          <t>ENCOFRADO Y DESENCOFRADO NORMAL EN COLECTOR Y CAJAS</t>
        </is>
      </c>
      <c r="C66" s="161" t="inlineStr">
        <is>
          <t>m²</t>
        </is>
      </c>
      <c r="D66" s="162">
        <f>+'PLANILLA GENERAL DE METRADOS'!K269</f>
        <v/>
      </c>
    </row>
    <row r="67">
      <c r="A67" s="159" t="inlineStr">
        <is>
          <t>01.04.04.04.05</t>
        </is>
      </c>
      <c r="B67" s="160" t="inlineStr">
        <is>
          <t>ACERO DE REFUERZO fy=4200 kg/cm2 EN COLECTOR Y CAJAS</t>
        </is>
      </c>
      <c r="C67" s="161" t="inlineStr">
        <is>
          <t>kg</t>
        </is>
      </c>
      <c r="D67" s="162">
        <f>+'PLANILLA GENERAL DE METRADOS'!K279</f>
        <v/>
      </c>
    </row>
    <row r="68">
      <c r="A68" s="159" t="inlineStr">
        <is>
          <t>01.04.04.04.06</t>
        </is>
      </c>
      <c r="B68" s="160" t="inlineStr">
        <is>
          <t>ACABADO FROTACHADO Y BRUÑADO DE LOSA SUPERIOR</t>
        </is>
      </c>
      <c r="C68" s="161" t="inlineStr">
        <is>
          <t>m²</t>
        </is>
      </c>
      <c r="D68" s="162">
        <f>+'PLANILLA GENERAL DE METRADOS'!K289</f>
        <v/>
      </c>
    </row>
    <row r="69">
      <c r="A69" s="159" t="inlineStr">
        <is>
          <t>01.04.04.04.07</t>
        </is>
      </c>
      <c r="B69" s="160" t="inlineStr">
        <is>
          <t>CURADO DE CONCRETO EN COLECTOR Y CAJAS</t>
        </is>
      </c>
      <c r="C69" s="161" t="inlineStr">
        <is>
          <t>m²</t>
        </is>
      </c>
      <c r="D69" s="162">
        <f>+'PLANILLA GENERAL DE METRADOS'!K299</f>
        <v/>
      </c>
    </row>
    <row r="70">
      <c r="A70" s="158" t="inlineStr">
        <is>
          <t>01.04.04.05</t>
        </is>
      </c>
      <c r="B70" s="158" t="inlineStr">
        <is>
          <t>REGISTROS DE LIMPIEZA Y TAPAS</t>
        </is>
      </c>
      <c r="C70" s="158" t="n"/>
      <c r="D70" s="158" t="n"/>
    </row>
    <row r="71">
      <c r="A71" s="159" t="inlineStr">
        <is>
          <t>01.04.04.05.01</t>
        </is>
      </c>
      <c r="B71" s="160" t="inlineStr">
        <is>
          <t>CONTRAMARCO METALICO L 2"x2"x3/16" CON ANCLAJES</t>
        </is>
      </c>
      <c r="C71" s="161" t="inlineStr">
        <is>
          <t>und</t>
        </is>
      </c>
      <c r="D71" s="162">
        <f>+'PLANILLA GENERAL DE METRADOS'!K310</f>
        <v/>
      </c>
    </row>
    <row r="72">
      <c r="A72" s="159" t="inlineStr">
        <is>
          <t>01.04.04.05.02</t>
        </is>
      </c>
      <c r="B72" s="160" t="inlineStr">
        <is>
          <t>MARCO METALICO DE TAPA L 1 1/2"x1 1/2"x1/8"</t>
        </is>
      </c>
      <c r="C72" s="161" t="inlineStr">
        <is>
          <t>und</t>
        </is>
      </c>
      <c r="D72" s="162">
        <f>+'PLANILLA GENERAL DE METRADOS'!K311</f>
        <v/>
      </c>
    </row>
    <row r="73">
      <c r="A73" s="159" t="inlineStr">
        <is>
          <t>01.04.04.05.03</t>
        </is>
      </c>
      <c r="B73" s="160" t="inlineStr">
        <is>
          <t>ANGULOS METALICOS P/MARCO Y CONTRAMARCO (incluye soldadura)</t>
        </is>
      </c>
      <c r="C73" s="161" t="inlineStr">
        <is>
          <t>kg</t>
        </is>
      </c>
      <c r="D73" s="162">
        <f>+'PLANILLA GENERAL DE METRADOS'!K312</f>
        <v/>
      </c>
    </row>
    <row r="74">
      <c r="A74" s="159" t="inlineStr">
        <is>
          <t>01.04.04.05.04</t>
        </is>
      </c>
      <c r="B74" s="160" t="inlineStr">
        <is>
          <t>TAPA DE CONCRETO ARMADO 0.68 x 0.68 x 0.08 m (incluye acero y asas)</t>
        </is>
      </c>
      <c r="C74" s="161" t="inlineStr">
        <is>
          <t>und</t>
        </is>
      </c>
      <c r="D74" s="162">
        <f>+'PLANILLA GENERAL DE METRADOS'!K313</f>
        <v/>
      </c>
    </row>
    <row r="75">
      <c r="A75" s="159" t="inlineStr">
        <is>
          <t>01.04.04.05.05</t>
        </is>
      </c>
      <c r="B75" s="160" t="inlineStr">
        <is>
          <t>CONCRETO f'c=210 kg/cm2 EN TAPAS</t>
        </is>
      </c>
      <c r="C75" s="161" t="inlineStr">
        <is>
          <t>m³</t>
        </is>
      </c>
      <c r="D75" s="162">
        <f>+'PLANILLA GENERAL DE METRADOS'!K314</f>
        <v/>
      </c>
    </row>
    <row r="76">
      <c r="A76" s="159" t="inlineStr">
        <is>
          <t>01.04.04.05.06</t>
        </is>
      </c>
      <c r="B76" s="160" t="inlineStr">
        <is>
          <t>ACERO DE REFUERZO fy=4200 kg/cm2 EN TAPAS, BORDES Y ANCLAJES</t>
        </is>
      </c>
      <c r="C76" s="161" t="inlineStr">
        <is>
          <t>kg</t>
        </is>
      </c>
      <c r="D76" s="162">
        <f>+'PLANILLA GENERAL DE METRADOS'!K315</f>
        <v/>
      </c>
    </row>
    <row r="77">
      <c r="A77" s="159" t="inlineStr">
        <is>
          <t>01.04.04.05.07</t>
        </is>
      </c>
      <c r="B77" s="160" t="inlineStr">
        <is>
          <t>PINTURA ANTICORROSIVA Y ESMALTE EN ANGULOS</t>
        </is>
      </c>
      <c r="C77" s="161" t="inlineStr">
        <is>
          <t>m²</t>
        </is>
      </c>
      <c r="D77" s="162">
        <f>+'PLANILLA GENERAL DE METRADOS'!K316</f>
        <v/>
      </c>
    </row>
    <row r="78">
      <c r="A78" s="158" t="inlineStr">
        <is>
          <t>01.04.04.06</t>
        </is>
      </c>
      <c r="B78" s="158" t="inlineStr">
        <is>
          <t>JUNTAS Y EMPALMES</t>
        </is>
      </c>
      <c r="C78" s="158" t="n"/>
      <c r="D78" s="158" t="n"/>
    </row>
    <row r="79">
      <c r="A79" s="159" t="inlineStr">
        <is>
          <t>01.04.04.06.01</t>
        </is>
      </c>
      <c r="B79" s="160" t="inlineStr">
        <is>
          <t>JUNTA DE DILATACION E=1" CON TECNOPOR Y SELLADOR ELASTOMERICO</t>
        </is>
      </c>
      <c r="C79" s="161" t="inlineStr">
        <is>
          <t>m</t>
        </is>
      </c>
      <c r="D79" s="162">
        <f>+'PLANILLA GENERAL DE METRADOS'!K318</f>
        <v/>
      </c>
    </row>
    <row r="80">
      <c r="A80" s="159" t="inlineStr">
        <is>
          <t>01.04.04.06.02</t>
        </is>
      </c>
      <c r="B80" s="160" t="inlineStr">
        <is>
          <t>JUNTA DE TECNOPOR E=1" ENTRE COLECTOR, CERCO Y PISO ADYACENTE</t>
        </is>
      </c>
      <c r="C80" s="161" t="inlineStr">
        <is>
          <t>m</t>
        </is>
      </c>
      <c r="D80" s="162">
        <f>+'PLANILLA GENERAL DE METRADOS'!K319</f>
        <v/>
      </c>
    </row>
    <row r="81">
      <c r="A81" s="159" t="inlineStr">
        <is>
          <t>01.04.04.06.03</t>
        </is>
      </c>
      <c r="B81" s="160" t="inlineStr">
        <is>
          <t>EMPALME DE CUNETA AL COLECTOR (ventana en muro y caida)</t>
        </is>
      </c>
      <c r="C81" s="161" t="inlineStr">
        <is>
          <t>und</t>
        </is>
      </c>
      <c r="D81" s="162">
        <f>+'PLANILLA GENERAL DE METRADOS'!K320</f>
        <v/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" header="0.3149606299212598" footer="0.3149606299212598"/>
  <pageSetup orientation="portrait" paperSize="9" scale="65" horizontalDpi="300" verticalDpi="300"/>
  <headerFooter>
    <oddHeader>&amp;C&amp;G</oddHeader>
    <oddFooter/>
    <evenHeader/>
    <evenFooter/>
    <firstHeader/>
    <firstFooter/>
  </headerFooter>
  <legacyDrawingHF r:id="rIdHF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view="pageBreakPreview" topLeftCell="A6" zoomScale="130" zoomScaleNormal="100" zoomScaleSheetLayoutView="130" workbookViewId="0">
      <selection activeCell="D134" sqref="D134"/>
    </sheetView>
  </sheetViews>
  <sheetFormatPr baseColWidth="10" defaultRowHeight="14.5"/>
  <cols>
    <col width="18.81640625" customWidth="1" min="1" max="1"/>
    <col width="33.7265625" customWidth="1" min="2" max="2"/>
    <col width="20" bestFit="1" customWidth="1" min="10" max="10"/>
  </cols>
  <sheetData>
    <row r="1"/>
    <row r="2" ht="25" customHeight="1">
      <c r="A2" s="203" t="inlineStr">
        <is>
          <t>RESUMEN METRADOS DE DRENAJE PLUVIAL</t>
        </is>
      </c>
      <c r="B2" s="313" t="n"/>
      <c r="C2" s="313" t="n"/>
      <c r="D2" s="313" t="n"/>
      <c r="E2" s="313" t="n"/>
      <c r="F2" s="313" t="n"/>
      <c r="G2" s="313" t="n"/>
      <c r="H2" s="313" t="n"/>
      <c r="I2" s="313" t="n"/>
      <c r="J2" s="313" t="n"/>
      <c r="K2" s="313" t="n"/>
      <c r="L2" s="314" t="n"/>
    </row>
    <row r="3" ht="25.5" customHeight="1">
      <c r="A3" s="98" t="inlineStr">
        <is>
          <t>ENTIDAD</t>
        </is>
      </c>
      <c r="B3" s="205">
        <f>+RESUMEN!B4</f>
        <v/>
      </c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59" customHeight="1">
      <c r="A4" s="98" t="inlineStr">
        <is>
          <t>PROYECTO</t>
        </is>
      </c>
      <c r="B4" s="205">
        <f>+RESUMEN!B5</f>
        <v/>
      </c>
      <c r="C4" s="313" t="n"/>
      <c r="D4" s="313" t="n"/>
      <c r="E4" s="313" t="n"/>
      <c r="F4" s="313" t="n"/>
      <c r="G4" s="313" t="n"/>
      <c r="H4" s="313" t="n"/>
      <c r="I4" s="313" t="n"/>
      <c r="J4" s="313" t="n"/>
      <c r="K4" s="313" t="n"/>
      <c r="L4" s="314" t="n"/>
    </row>
    <row r="5" ht="25.5" customHeight="1">
      <c r="A5" s="98" t="inlineStr">
        <is>
          <t>UBICACIÓN</t>
        </is>
      </c>
      <c r="B5" s="205">
        <f>+RESUMEN!B6</f>
        <v/>
      </c>
      <c r="C5" s="313" t="n"/>
      <c r="D5" s="313" t="n"/>
      <c r="E5" s="313" t="n"/>
      <c r="F5" s="313" t="n"/>
      <c r="G5" s="313" t="n"/>
      <c r="H5" s="313" t="n"/>
      <c r="I5" s="313" t="n"/>
      <c r="J5" s="313" t="n"/>
      <c r="K5" s="313" t="n"/>
      <c r="L5" s="314" t="n"/>
    </row>
    <row r="6" ht="25.5" customHeight="1">
      <c r="A6" s="98" t="inlineStr">
        <is>
          <t>FECHA</t>
        </is>
      </c>
      <c r="B6" s="204">
        <f>+RESUMEN!B7</f>
        <v/>
      </c>
      <c r="C6" s="313" t="n"/>
      <c r="D6" s="313" t="n"/>
      <c r="E6" s="313" t="n"/>
      <c r="F6" s="313" t="n"/>
      <c r="G6" s="313" t="n"/>
      <c r="H6" s="313" t="n"/>
      <c r="I6" s="313" t="n"/>
      <c r="J6" s="313" t="n"/>
      <c r="K6" s="313" t="n"/>
      <c r="L6" s="314" t="n"/>
    </row>
    <row r="7">
      <c r="A7" s="167" t="n"/>
      <c r="B7" s="167" t="n"/>
      <c r="C7" s="167" t="n"/>
      <c r="D7" s="167" t="n"/>
      <c r="E7" s="167" t="n"/>
      <c r="F7" s="167" t="n"/>
      <c r="G7" s="167" t="n"/>
      <c r="H7" s="167" t="n"/>
      <c r="I7" s="167" t="n"/>
      <c r="J7" s="167" t="n"/>
      <c r="K7" s="167" t="n"/>
      <c r="L7" s="167" t="n"/>
    </row>
    <row r="8" ht="31" customHeight="1">
      <c r="A8" s="27" t="inlineStr">
        <is>
          <t>ITEM</t>
        </is>
      </c>
      <c r="B8" s="27" t="inlineStr">
        <is>
          <t>DESCRIPCION</t>
        </is>
      </c>
      <c r="C8" s="27" t="inlineStr">
        <is>
          <t>Nº DE VECES</t>
        </is>
      </c>
      <c r="D8" s="27" t="inlineStr">
        <is>
          <t>LARGO</t>
        </is>
      </c>
      <c r="E8" s="27" t="inlineStr">
        <is>
          <t>ANCHO</t>
        </is>
      </c>
      <c r="F8" s="27" t="inlineStr">
        <is>
          <t>ALTURA</t>
        </is>
      </c>
      <c r="G8" s="27" t="inlineStr">
        <is>
          <t>FACT.</t>
        </is>
      </c>
      <c r="H8" s="27" t="inlineStr">
        <is>
          <t>AREA</t>
        </is>
      </c>
      <c r="I8" s="27" t="inlineStr">
        <is>
          <t>VOLUMEN</t>
        </is>
      </c>
      <c r="J8" s="27" t="inlineStr">
        <is>
          <t>PARCIAL</t>
        </is>
      </c>
      <c r="K8" s="27" t="inlineStr">
        <is>
          <t>TOTAL</t>
        </is>
      </c>
      <c r="L8" s="27" t="inlineStr">
        <is>
          <t>UND</t>
        </is>
      </c>
    </row>
    <row r="9" ht="15.5" customHeight="1">
      <c r="A9" s="209" t="inlineStr">
        <is>
          <t>01.04.03</t>
        </is>
      </c>
      <c r="B9" s="209" t="inlineStr">
        <is>
          <t>SISTEMA DE DRENAJE PLUVIAL</t>
        </is>
      </c>
      <c r="C9" s="313" t="n"/>
      <c r="D9" s="313" t="n"/>
      <c r="E9" s="313" t="n"/>
      <c r="F9" s="313" t="n"/>
      <c r="G9" s="313" t="n"/>
      <c r="H9" s="313" t="n"/>
      <c r="I9" s="313" t="n"/>
      <c r="J9" s="313" t="n"/>
      <c r="K9" s="313" t="n"/>
      <c r="L9" s="314" t="n"/>
    </row>
    <row r="10" ht="15.5" customHeight="1">
      <c r="A10" s="209" t="inlineStr">
        <is>
          <t>01.04.03.01</t>
        </is>
      </c>
      <c r="B10" s="209" t="inlineStr">
        <is>
          <t>TRABAJOS PRELIMINARES</t>
        </is>
      </c>
      <c r="C10" s="313" t="n"/>
      <c r="D10" s="313" t="n"/>
      <c r="E10" s="313" t="n"/>
      <c r="F10" s="313" t="n"/>
      <c r="G10" s="313" t="n"/>
      <c r="H10" s="313" t="n"/>
      <c r="I10" s="313" t="n"/>
      <c r="J10" s="313" t="n"/>
      <c r="K10" s="313" t="n"/>
      <c r="L10" s="314" t="n"/>
    </row>
    <row r="11" ht="22" customHeight="1">
      <c r="A11" s="28" t="inlineStr">
        <is>
          <t>01.04.03.01.01</t>
        </is>
      </c>
      <c r="B11" s="28" t="inlineStr">
        <is>
          <t>LIMPIEZA MANUAL DE TERRENO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>
        <f>SUM(J12:J23)</f>
        <v/>
      </c>
      <c r="L11" s="28" t="inlineStr">
        <is>
          <t>m²</t>
        </is>
      </c>
    </row>
    <row r="12" ht="15.5" customHeight="1">
      <c r="A12" s="30" t="n"/>
      <c r="B12" s="30" t="inlineStr">
        <is>
          <t>EJE 1</t>
        </is>
      </c>
      <c r="C12" s="31" t="n">
        <v>1</v>
      </c>
      <c r="D12" s="31" t="n">
        <v>37.14</v>
      </c>
      <c r="E12" s="31" t="n">
        <v>1.4</v>
      </c>
      <c r="F12" s="31" t="n"/>
      <c r="G12" s="31" t="n"/>
      <c r="H12" s="31" t="n"/>
      <c r="I12" s="31" t="n"/>
      <c r="J12" s="31">
        <f>C12*D12*E12</f>
        <v/>
      </c>
      <c r="K12" s="31" t="n"/>
      <c r="L12" s="30" t="n"/>
    </row>
    <row r="13" ht="15.5" customHeight="1">
      <c r="A13" s="30" t="n"/>
      <c r="B13" s="30" t="inlineStr">
        <is>
          <t>EJE 2</t>
        </is>
      </c>
      <c r="C13" s="31" t="n">
        <v>1</v>
      </c>
      <c r="D13" s="31" t="n">
        <v>130.85</v>
      </c>
      <c r="E13" s="31" t="n">
        <v>1.4</v>
      </c>
      <c r="F13" s="31" t="n"/>
      <c r="G13" s="31" t="n"/>
      <c r="H13" s="31" t="n"/>
      <c r="I13" s="31" t="n"/>
      <c r="J13" s="31">
        <f>C13*D13*E13</f>
        <v/>
      </c>
      <c r="K13" s="31" t="n"/>
      <c r="L13" s="30" t="n"/>
    </row>
    <row r="14" ht="15.5" customHeight="1">
      <c r="A14" s="30" t="n"/>
      <c r="B14" s="30" t="inlineStr">
        <is>
          <t>EJE 3</t>
        </is>
      </c>
      <c r="C14" s="31" t="n">
        <v>1</v>
      </c>
      <c r="D14" s="31" t="n">
        <v>5.82</v>
      </c>
      <c r="E14" s="31" t="n">
        <v>1.4</v>
      </c>
      <c r="F14" s="31" t="n"/>
      <c r="G14" s="31" t="n"/>
      <c r="H14" s="31" t="n"/>
      <c r="I14" s="31" t="n"/>
      <c r="J14" s="31">
        <f>C14*D14*E14</f>
        <v/>
      </c>
      <c r="K14" s="31" t="n"/>
      <c r="L14" s="30" t="n"/>
    </row>
    <row r="15" ht="15.5" customHeight="1">
      <c r="A15" s="30" t="n"/>
      <c r="B15" s="30" t="inlineStr">
        <is>
          <t>EJE 4</t>
        </is>
      </c>
      <c r="C15" s="31" t="n">
        <v>1</v>
      </c>
      <c r="D15" s="31" t="n">
        <v>8.6</v>
      </c>
      <c r="E15" s="31" t="n">
        <v>1.4</v>
      </c>
      <c r="F15" s="31" t="n"/>
      <c r="G15" s="31" t="n"/>
      <c r="H15" s="31" t="n"/>
      <c r="I15" s="31" t="n"/>
      <c r="J15" s="31">
        <f>C15*D15*E15</f>
        <v/>
      </c>
      <c r="K15" s="31" t="n"/>
      <c r="L15" s="30" t="n"/>
    </row>
    <row r="16" ht="15.5" customHeight="1">
      <c r="A16" s="30" t="n"/>
      <c r="B16" s="30" t="inlineStr">
        <is>
          <t>EJE 5</t>
        </is>
      </c>
      <c r="C16" s="31" t="n">
        <v>1</v>
      </c>
      <c r="D16" s="31" t="n">
        <v>43.23</v>
      </c>
      <c r="E16" s="31" t="n">
        <v>1.4</v>
      </c>
      <c r="F16" s="31" t="n"/>
      <c r="G16" s="31" t="n"/>
      <c r="H16" s="31" t="n"/>
      <c r="I16" s="31" t="n"/>
      <c r="J16" s="31">
        <f>C16*D16*E16</f>
        <v/>
      </c>
      <c r="K16" s="31" t="n"/>
      <c r="L16" s="30" t="n"/>
    </row>
    <row r="17" ht="15.5" customHeight="1">
      <c r="A17" s="30" t="n"/>
      <c r="B17" s="30" t="inlineStr">
        <is>
          <t>EJE 6</t>
        </is>
      </c>
      <c r="C17" s="31" t="n">
        <v>1</v>
      </c>
      <c r="D17" s="31" t="n">
        <v>120.36</v>
      </c>
      <c r="E17" s="31" t="n">
        <v>1.4</v>
      </c>
      <c r="F17" s="31" t="n"/>
      <c r="G17" s="31" t="n"/>
      <c r="H17" s="31" t="n"/>
      <c r="I17" s="31" t="n"/>
      <c r="J17" s="31">
        <f>C17*D17*E17</f>
        <v/>
      </c>
      <c r="K17" s="31" t="n"/>
      <c r="L17" s="30" t="n"/>
    </row>
    <row r="18" ht="15.5" customHeight="1">
      <c r="A18" s="30" t="n"/>
      <c r="B18" s="30" t="inlineStr">
        <is>
          <t>EJE 7</t>
        </is>
      </c>
      <c r="C18" s="31" t="n">
        <v>1</v>
      </c>
      <c r="D18" s="31" t="n">
        <v>125.7</v>
      </c>
      <c r="E18" s="31" t="n">
        <v>1.4</v>
      </c>
      <c r="F18" s="31" t="n"/>
      <c r="G18" s="31" t="n"/>
      <c r="H18" s="31" t="n"/>
      <c r="I18" s="31" t="n"/>
      <c r="J18" s="31">
        <f>C18*D18*E18</f>
        <v/>
      </c>
      <c r="K18" s="31" t="n"/>
      <c r="L18" s="30" t="n"/>
    </row>
    <row r="19" ht="15.5" customHeight="1">
      <c r="A19" s="30" t="n"/>
      <c r="B19" s="30" t="inlineStr">
        <is>
          <t>EJE 8</t>
        </is>
      </c>
      <c r="C19" s="31" t="n">
        <v>1</v>
      </c>
      <c r="D19" s="31" t="n">
        <v>8.199999999999999</v>
      </c>
      <c r="E19" s="31" t="n">
        <v>1.4</v>
      </c>
      <c r="F19" s="31" t="n"/>
      <c r="G19" s="31" t="n"/>
      <c r="H19" s="31" t="n"/>
      <c r="I19" s="31" t="n"/>
      <c r="J19" s="31">
        <f>C19*D19*E19</f>
        <v/>
      </c>
      <c r="K19" s="31" t="n"/>
      <c r="L19" s="30" t="n"/>
    </row>
    <row r="20" ht="15.5" customHeight="1">
      <c r="A20" s="30" t="n"/>
      <c r="B20" s="30" t="inlineStr">
        <is>
          <t>EJE 9</t>
        </is>
      </c>
      <c r="C20" s="31" t="n">
        <v>1</v>
      </c>
      <c r="D20" s="31" t="n">
        <v>7</v>
      </c>
      <c r="E20" s="31" t="n">
        <v>1.4</v>
      </c>
      <c r="F20" s="31" t="n"/>
      <c r="G20" s="31" t="n"/>
      <c r="H20" s="31" t="n"/>
      <c r="I20" s="31" t="n"/>
      <c r="J20" s="31">
        <f>C20*D20*E20</f>
        <v/>
      </c>
      <c r="K20" s="31" t="n"/>
      <c r="L20" s="30" t="n"/>
    </row>
    <row r="21" ht="15.5" customHeight="1">
      <c r="A21" s="30" t="n"/>
      <c r="B21" s="30" t="inlineStr">
        <is>
          <t>EJE 10</t>
        </is>
      </c>
      <c r="C21" s="31" t="n">
        <v>1</v>
      </c>
      <c r="D21" s="31" t="n">
        <v>16</v>
      </c>
      <c r="E21" s="31" t="n">
        <v>1.4</v>
      </c>
      <c r="F21" s="31" t="n"/>
      <c r="G21" s="31" t="n"/>
      <c r="H21" s="31" t="n"/>
      <c r="I21" s="31" t="n"/>
      <c r="J21" s="31">
        <f>C21*D21*E21</f>
        <v/>
      </c>
      <c r="K21" s="31" t="n"/>
      <c r="L21" s="30" t="n"/>
    </row>
    <row r="22" ht="15.5" customHeight="1">
      <c r="A22" s="30" t="n"/>
      <c r="B22" s="30" t="inlineStr">
        <is>
          <t>EJE 11</t>
        </is>
      </c>
      <c r="C22" s="31" t="n">
        <v>1</v>
      </c>
      <c r="D22" s="31" t="n">
        <v>71.45999999999999</v>
      </c>
      <c r="E22" s="31" t="n">
        <v>1.4</v>
      </c>
      <c r="F22" s="31" t="n"/>
      <c r="G22" s="31" t="n"/>
      <c r="H22" s="31" t="n"/>
      <c r="I22" s="31" t="n"/>
      <c r="J22" s="31">
        <f>C22*D22*E22</f>
        <v/>
      </c>
      <c r="K22" s="31" t="n"/>
      <c r="L22" s="30" t="n"/>
    </row>
    <row r="23" ht="15.5" customHeight="1">
      <c r="A23" s="30" t="n"/>
      <c r="B23" s="30" t="inlineStr">
        <is>
          <t>EJE 12</t>
        </is>
      </c>
      <c r="C23" s="31" t="n">
        <v>1</v>
      </c>
      <c r="D23" s="31" t="n">
        <v>109.12</v>
      </c>
      <c r="E23" s="31" t="n">
        <v>1.4</v>
      </c>
      <c r="F23" s="31" t="n"/>
      <c r="G23" s="31" t="n"/>
      <c r="H23" s="31" t="n"/>
      <c r="I23" s="31" t="n"/>
      <c r="J23" s="31">
        <f>C23*D23*E23</f>
        <v/>
      </c>
      <c r="K23" s="31" t="n"/>
      <c r="L23" s="30" t="n"/>
    </row>
    <row r="24" ht="31" customHeight="1">
      <c r="A24" s="28" t="inlineStr">
        <is>
          <t>01.04.03.01.02</t>
        </is>
      </c>
      <c r="B24" s="28" t="inlineStr">
        <is>
          <t>TRAZO, NIVELES Y REPLANTEO PRELIMINAR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32">
        <f>SUM(J25:J36)</f>
        <v/>
      </c>
      <c r="L24" s="28" t="inlineStr">
        <is>
          <t>m²</t>
        </is>
      </c>
    </row>
    <row r="25" ht="15.5" customHeight="1">
      <c r="A25" s="30" t="n"/>
      <c r="B25" s="30" t="inlineStr">
        <is>
          <t>EJE 1</t>
        </is>
      </c>
      <c r="C25" s="31" t="n">
        <v>1</v>
      </c>
      <c r="D25" s="31" t="n">
        <v>37.14</v>
      </c>
      <c r="E25" s="31" t="n">
        <v>1.4</v>
      </c>
      <c r="F25" s="31" t="n"/>
      <c r="G25" s="31" t="n"/>
      <c r="H25" s="31" t="n"/>
      <c r="I25" s="31" t="n"/>
      <c r="J25" s="31">
        <f>C25*D25*E25</f>
        <v/>
      </c>
      <c r="K25" s="31" t="n"/>
      <c r="L25" s="30" t="n"/>
    </row>
    <row r="26" ht="15.5" customHeight="1">
      <c r="A26" s="30" t="n"/>
      <c r="B26" s="30" t="inlineStr">
        <is>
          <t>EJE 2</t>
        </is>
      </c>
      <c r="C26" s="31" t="n">
        <v>1</v>
      </c>
      <c r="D26" s="31" t="n">
        <v>130.85</v>
      </c>
      <c r="E26" s="31" t="n">
        <v>1.4</v>
      </c>
      <c r="F26" s="31" t="n"/>
      <c r="G26" s="31" t="n"/>
      <c r="H26" s="31" t="n"/>
      <c r="I26" s="31" t="n"/>
      <c r="J26" s="31">
        <f>C26*D26*E26</f>
        <v/>
      </c>
      <c r="K26" s="31" t="n"/>
      <c r="L26" s="30" t="n"/>
    </row>
    <row r="27" ht="15.5" customHeight="1">
      <c r="A27" s="30" t="n"/>
      <c r="B27" s="30" t="inlineStr">
        <is>
          <t>EJE 3</t>
        </is>
      </c>
      <c r="C27" s="31" t="n">
        <v>1</v>
      </c>
      <c r="D27" s="31" t="n">
        <v>5.82</v>
      </c>
      <c r="E27" s="31" t="n">
        <v>1.4</v>
      </c>
      <c r="F27" s="31" t="n"/>
      <c r="G27" s="31" t="n"/>
      <c r="H27" s="31" t="n"/>
      <c r="I27" s="31" t="n"/>
      <c r="J27" s="31">
        <f>C27*D27*E27</f>
        <v/>
      </c>
      <c r="K27" s="30" t="n"/>
      <c r="L27" s="30" t="n"/>
    </row>
    <row r="28" ht="15.5" customHeight="1">
      <c r="A28" s="30" t="n"/>
      <c r="B28" s="30" t="inlineStr">
        <is>
          <t>EJE 4</t>
        </is>
      </c>
      <c r="C28" s="31" t="n">
        <v>1</v>
      </c>
      <c r="D28" s="31" t="n">
        <v>8.6</v>
      </c>
      <c r="E28" s="31" t="n">
        <v>1.4</v>
      </c>
      <c r="F28" s="31" t="n"/>
      <c r="G28" s="31" t="n"/>
      <c r="H28" s="31" t="n"/>
      <c r="I28" s="31" t="n"/>
      <c r="J28" s="31">
        <f>C28*D28*E28</f>
        <v/>
      </c>
      <c r="K28" s="30" t="n"/>
      <c r="L28" s="30" t="n"/>
    </row>
    <row r="29" ht="15.5" customHeight="1">
      <c r="A29" s="30" t="n"/>
      <c r="B29" s="30" t="inlineStr">
        <is>
          <t>EJE 5</t>
        </is>
      </c>
      <c r="C29" s="31" t="n">
        <v>1</v>
      </c>
      <c r="D29" s="31" t="n">
        <v>43.23</v>
      </c>
      <c r="E29" s="31" t="n">
        <v>1.4</v>
      </c>
      <c r="F29" s="31" t="n"/>
      <c r="G29" s="31" t="n"/>
      <c r="H29" s="31" t="n"/>
      <c r="I29" s="31" t="n"/>
      <c r="J29" s="31">
        <f>C29*D29*E29</f>
        <v/>
      </c>
      <c r="K29" s="30" t="n"/>
      <c r="L29" s="30" t="n"/>
    </row>
    <row r="30" ht="15.5" customHeight="1">
      <c r="A30" s="30" t="n"/>
      <c r="B30" s="30" t="inlineStr">
        <is>
          <t>EJE 6</t>
        </is>
      </c>
      <c r="C30" s="31" t="n">
        <v>1</v>
      </c>
      <c r="D30" s="31" t="n">
        <v>120.36</v>
      </c>
      <c r="E30" s="31" t="n">
        <v>1.4</v>
      </c>
      <c r="F30" s="31" t="n"/>
      <c r="G30" s="31" t="n"/>
      <c r="H30" s="31" t="n"/>
      <c r="I30" s="31" t="n"/>
      <c r="J30" s="31">
        <f>C30*D30*E30</f>
        <v/>
      </c>
      <c r="K30" s="30" t="n"/>
      <c r="L30" s="30" t="n"/>
    </row>
    <row r="31" ht="15.5" customHeight="1">
      <c r="A31" s="30" t="n"/>
      <c r="B31" s="30" t="inlineStr">
        <is>
          <t>EJE 7</t>
        </is>
      </c>
      <c r="C31" s="31" t="n">
        <v>1</v>
      </c>
      <c r="D31" s="31" t="n">
        <v>125.7</v>
      </c>
      <c r="E31" s="31" t="n">
        <v>1.4</v>
      </c>
      <c r="F31" s="31" t="n"/>
      <c r="G31" s="31" t="n"/>
      <c r="H31" s="31" t="n"/>
      <c r="I31" s="31" t="n"/>
      <c r="J31" s="31">
        <f>C31*D31*E31</f>
        <v/>
      </c>
      <c r="K31" s="30" t="n"/>
      <c r="L31" s="30" t="n"/>
    </row>
    <row r="32" ht="15.5" customHeight="1">
      <c r="A32" s="30" t="n"/>
      <c r="B32" s="30" t="inlineStr">
        <is>
          <t>EJE 8</t>
        </is>
      </c>
      <c r="C32" s="31" t="n">
        <v>1</v>
      </c>
      <c r="D32" s="31" t="n">
        <v>8.199999999999999</v>
      </c>
      <c r="E32" s="31" t="n">
        <v>1.4</v>
      </c>
      <c r="F32" s="31" t="n"/>
      <c r="G32" s="31" t="n"/>
      <c r="H32" s="31" t="n"/>
      <c r="I32" s="31" t="n"/>
      <c r="J32" s="31">
        <f>C32*D32*E32</f>
        <v/>
      </c>
      <c r="K32" s="30" t="n"/>
      <c r="L32" s="30" t="n"/>
    </row>
    <row r="33" ht="15.5" customHeight="1">
      <c r="A33" s="30" t="n"/>
      <c r="B33" s="30" t="inlineStr">
        <is>
          <t>EJE 9</t>
        </is>
      </c>
      <c r="C33" s="31" t="n">
        <v>1</v>
      </c>
      <c r="D33" s="31" t="n">
        <v>7</v>
      </c>
      <c r="E33" s="31" t="n">
        <v>1.4</v>
      </c>
      <c r="F33" s="31" t="n"/>
      <c r="G33" s="31" t="n"/>
      <c r="H33" s="31" t="n"/>
      <c r="I33" s="31" t="n"/>
      <c r="J33" s="31">
        <f>C33*D33*E33</f>
        <v/>
      </c>
      <c r="K33" s="30" t="n"/>
      <c r="L33" s="30" t="n"/>
    </row>
    <row r="34" ht="15.5" customHeight="1">
      <c r="A34" s="30" t="n"/>
      <c r="B34" s="30" t="inlineStr">
        <is>
          <t>EJE 10</t>
        </is>
      </c>
      <c r="C34" s="31" t="n">
        <v>1</v>
      </c>
      <c r="D34" s="31" t="n">
        <v>16</v>
      </c>
      <c r="E34" s="31" t="n">
        <v>1.4</v>
      </c>
      <c r="F34" s="31" t="n"/>
      <c r="G34" s="31" t="n"/>
      <c r="H34" s="31" t="n"/>
      <c r="I34" s="31" t="n"/>
      <c r="J34" s="31">
        <f>C34*D34*E34</f>
        <v/>
      </c>
      <c r="K34" s="30" t="n"/>
      <c r="L34" s="30" t="n"/>
    </row>
    <row r="35" ht="15.5" customHeight="1">
      <c r="A35" s="30" t="n"/>
      <c r="B35" s="30" t="inlineStr">
        <is>
          <t>EJE 11</t>
        </is>
      </c>
      <c r="C35" s="31" t="n">
        <v>1</v>
      </c>
      <c r="D35" s="31" t="n">
        <v>71.45999999999999</v>
      </c>
      <c r="E35" s="31" t="n">
        <v>1.4</v>
      </c>
      <c r="F35" s="31" t="n"/>
      <c r="G35" s="31" t="n"/>
      <c r="H35" s="31" t="n"/>
      <c r="I35" s="31" t="n"/>
      <c r="J35" s="31">
        <f>C35*D35*E35</f>
        <v/>
      </c>
      <c r="K35" s="30" t="n"/>
      <c r="L35" s="30" t="n"/>
    </row>
    <row r="36" ht="15.5" customHeight="1">
      <c r="A36" s="30" t="n"/>
      <c r="B36" s="30" t="inlineStr">
        <is>
          <t>EJE 12</t>
        </is>
      </c>
      <c r="C36" s="31" t="n">
        <v>1</v>
      </c>
      <c r="D36" s="31" t="n">
        <v>109.12</v>
      </c>
      <c r="E36" s="31" t="n">
        <v>1.4</v>
      </c>
      <c r="F36" s="31" t="n"/>
      <c r="G36" s="31" t="n"/>
      <c r="H36" s="31" t="n"/>
      <c r="I36" s="31" t="n"/>
      <c r="J36" s="31">
        <f>C36*D36*E36</f>
        <v/>
      </c>
      <c r="K36" s="30" t="n"/>
      <c r="L36" s="30" t="n"/>
    </row>
    <row r="37" ht="15.5" customHeight="1">
      <c r="A37" s="209" t="inlineStr">
        <is>
          <t>01.04.03.02</t>
        </is>
      </c>
      <c r="B37" s="209" t="inlineStr">
        <is>
          <t>MOVIMIENTO DE TIERRAS</t>
        </is>
      </c>
      <c r="C37" s="34" t="n"/>
      <c r="D37" s="34" t="n"/>
      <c r="E37" s="34" t="n"/>
      <c r="F37" s="34" t="n"/>
      <c r="G37" s="34" t="n"/>
      <c r="H37" s="34" t="n"/>
      <c r="I37" s="34" t="n"/>
      <c r="J37" s="34" t="n"/>
      <c r="K37" s="209" t="n"/>
      <c r="L37" s="209" t="n"/>
    </row>
    <row r="38" ht="31" customHeight="1">
      <c r="A38" s="28" t="inlineStr">
        <is>
          <t>01.04.03.02.01</t>
        </is>
      </c>
      <c r="B38" s="28" t="inlineStr">
        <is>
          <t>EXCAVACIÓN MANUAL DE ZANJAS P/CUNETAS</t>
        </is>
      </c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>
        <f>SUM(J39:J50)</f>
        <v/>
      </c>
      <c r="L38" s="28" t="inlineStr">
        <is>
          <t>m³</t>
        </is>
      </c>
    </row>
    <row r="39" ht="15.5" customHeight="1">
      <c r="A39" s="30" t="n"/>
      <c r="B39" s="30" t="inlineStr">
        <is>
          <t>EJE 1</t>
        </is>
      </c>
      <c r="C39" s="31" t="n">
        <v>1</v>
      </c>
      <c r="D39" s="31" t="n">
        <v>37.14</v>
      </c>
      <c r="E39" s="31" t="n">
        <v>1.4</v>
      </c>
      <c r="F39" s="31" t="n">
        <v>0.4</v>
      </c>
      <c r="G39" s="31" t="n"/>
      <c r="H39" s="31" t="n"/>
      <c r="I39" s="31" t="n"/>
      <c r="J39" s="31">
        <f>C39*D39*E39*(F39+PARAMETROS!$B$15)</f>
        <v/>
      </c>
      <c r="K39" s="30" t="n"/>
      <c r="L39" s="30" t="n"/>
    </row>
    <row r="40" ht="15.5" customHeight="1">
      <c r="A40" s="30" t="n"/>
      <c r="B40" s="30" t="inlineStr">
        <is>
          <t>EJE 2</t>
        </is>
      </c>
      <c r="C40" s="31" t="n">
        <v>1</v>
      </c>
      <c r="D40" s="31" t="n">
        <v>130.85</v>
      </c>
      <c r="E40" s="31" t="n">
        <v>1.4</v>
      </c>
      <c r="F40" s="31" t="n">
        <v>0.62</v>
      </c>
      <c r="G40" s="31" t="n"/>
      <c r="H40" s="31" t="n"/>
      <c r="I40" s="31" t="n"/>
      <c r="J40" s="31">
        <f>C40*D40*E40*(F40+PARAMETROS!$B$15)</f>
        <v/>
      </c>
      <c r="K40" s="30" t="n"/>
      <c r="L40" s="30" t="n"/>
    </row>
    <row r="41" ht="15.5" customHeight="1">
      <c r="A41" s="30" t="n"/>
      <c r="B41" s="30" t="inlineStr">
        <is>
          <t>EJE 3</t>
        </is>
      </c>
      <c r="C41" s="31" t="n">
        <v>1</v>
      </c>
      <c r="D41" s="31" t="n">
        <v>5.82</v>
      </c>
      <c r="E41" s="31" t="n">
        <v>1.4</v>
      </c>
      <c r="F41" s="31" t="n">
        <v>0.3</v>
      </c>
      <c r="G41" s="31" t="n"/>
      <c r="H41" s="31" t="n"/>
      <c r="I41" s="31" t="n"/>
      <c r="J41" s="31">
        <f>C41*D41*E41*(F41+PARAMETROS!$B$15)</f>
        <v/>
      </c>
      <c r="K41" s="30" t="n"/>
      <c r="L41" s="30" t="n"/>
    </row>
    <row r="42" ht="15.5" customHeight="1">
      <c r="A42" s="30" t="n"/>
      <c r="B42" s="30" t="inlineStr">
        <is>
          <t>EJE 4</t>
        </is>
      </c>
      <c r="C42" s="31" t="n">
        <v>1</v>
      </c>
      <c r="D42" s="31" t="n">
        <v>8.6</v>
      </c>
      <c r="E42" s="31" t="n">
        <v>1.4</v>
      </c>
      <c r="F42" s="31" t="n">
        <v>0.32</v>
      </c>
      <c r="G42" s="31" t="n"/>
      <c r="H42" s="31" t="n"/>
      <c r="I42" s="31" t="n"/>
      <c r="J42" s="31">
        <f>C42*D42*E42*(F42+PARAMETROS!$B$15)</f>
        <v/>
      </c>
      <c r="K42" s="30" t="n"/>
      <c r="L42" s="30" t="n"/>
    </row>
    <row r="43" ht="15.5" customHeight="1">
      <c r="A43" s="30" t="n"/>
      <c r="B43" s="30" t="inlineStr">
        <is>
          <t>EJE 5</t>
        </is>
      </c>
      <c r="C43" s="31" t="n">
        <v>1</v>
      </c>
      <c r="D43" s="31" t="n">
        <v>43.23</v>
      </c>
      <c r="E43" s="31" t="n">
        <v>1.4</v>
      </c>
      <c r="F43" s="31" t="n">
        <v>0.4</v>
      </c>
      <c r="G43" s="31" t="n"/>
      <c r="H43" s="31" t="n"/>
      <c r="I43" s="31" t="n"/>
      <c r="J43" s="31">
        <f>C43*D43*E43*(F43+PARAMETROS!$B$15)</f>
        <v/>
      </c>
      <c r="K43" s="30" t="n"/>
      <c r="L43" s="30" t="n"/>
    </row>
    <row r="44" ht="15.5" customHeight="1">
      <c r="A44" s="30" t="n"/>
      <c r="B44" s="30" t="inlineStr">
        <is>
          <t>EJE 6</t>
        </is>
      </c>
      <c r="C44" s="31" t="n">
        <v>1</v>
      </c>
      <c r="D44" s="31" t="n">
        <v>120.36</v>
      </c>
      <c r="E44" s="31" t="n">
        <v>1.4</v>
      </c>
      <c r="F44" s="31" t="n">
        <v>0.6</v>
      </c>
      <c r="G44" s="31" t="n"/>
      <c r="H44" s="31" t="n"/>
      <c r="I44" s="31" t="n"/>
      <c r="J44" s="31">
        <f>C44*D44*E44*(F44+PARAMETROS!$B$15)</f>
        <v/>
      </c>
      <c r="K44" s="30" t="n"/>
      <c r="L44" s="30" t="n"/>
    </row>
    <row r="45" ht="15.5" customHeight="1">
      <c r="A45" s="30" t="n"/>
      <c r="B45" s="30" t="inlineStr">
        <is>
          <t>EJE 7</t>
        </is>
      </c>
      <c r="C45" s="31" t="n">
        <v>1</v>
      </c>
      <c r="D45" s="31" t="n">
        <v>125.7</v>
      </c>
      <c r="E45" s="31" t="n">
        <v>1.4</v>
      </c>
      <c r="F45" s="31" t="n">
        <v>0.61</v>
      </c>
      <c r="G45" s="31" t="n"/>
      <c r="H45" s="31" t="n"/>
      <c r="I45" s="31" t="n"/>
      <c r="J45" s="31">
        <f>C45*D45*E45*(F45+PARAMETROS!$B$15)</f>
        <v/>
      </c>
      <c r="K45" s="30" t="n"/>
      <c r="L45" s="30" t="n"/>
    </row>
    <row r="46" ht="15.5" customHeight="1">
      <c r="A46" s="30" t="n"/>
      <c r="B46" s="30" t="inlineStr">
        <is>
          <t>EJE 8</t>
        </is>
      </c>
      <c r="C46" s="31" t="n">
        <v>1</v>
      </c>
      <c r="D46" s="31" t="n">
        <v>8.199999999999999</v>
      </c>
      <c r="E46" s="31" t="n">
        <v>1.4</v>
      </c>
      <c r="F46" s="31" t="n">
        <v>0.42</v>
      </c>
      <c r="G46" s="31" t="n"/>
      <c r="H46" s="31" t="n"/>
      <c r="I46" s="31" t="n"/>
      <c r="J46" s="31">
        <f>C46*D46*E46*(F46+PARAMETROS!$B$15)</f>
        <v/>
      </c>
      <c r="K46" s="30" t="n"/>
      <c r="L46" s="30" t="n"/>
    </row>
    <row r="47" ht="15.5" customHeight="1">
      <c r="A47" s="30" t="n"/>
      <c r="B47" s="30" t="inlineStr">
        <is>
          <t>EJE 9</t>
        </is>
      </c>
      <c r="C47" s="31" t="n">
        <v>1</v>
      </c>
      <c r="D47" s="31" t="n">
        <v>7</v>
      </c>
      <c r="E47" s="31" t="n">
        <v>1.4</v>
      </c>
      <c r="F47" s="31" t="n">
        <v>0.41</v>
      </c>
      <c r="G47" s="31" t="n"/>
      <c r="H47" s="31" t="n"/>
      <c r="I47" s="31" t="n"/>
      <c r="J47" s="31">
        <f>C47*D47*E47*(F47+PARAMETROS!$B$15)</f>
        <v/>
      </c>
      <c r="K47" s="30" t="n"/>
      <c r="L47" s="30" t="n"/>
    </row>
    <row r="48" ht="15.5" customHeight="1">
      <c r="A48" s="30" t="n"/>
      <c r="B48" s="30" t="inlineStr">
        <is>
          <t>EJE 10</t>
        </is>
      </c>
      <c r="C48" s="31" t="n">
        <v>1</v>
      </c>
      <c r="D48" s="31" t="n">
        <v>16</v>
      </c>
      <c r="E48" s="31" t="n">
        <v>1.4</v>
      </c>
      <c r="F48" s="31" t="n">
        <v>0.35</v>
      </c>
      <c r="G48" s="31" t="n"/>
      <c r="H48" s="31" t="n"/>
      <c r="I48" s="31" t="n"/>
      <c r="J48" s="31">
        <f>C48*D48*E48*(F48+PARAMETROS!$B$15)</f>
        <v/>
      </c>
      <c r="K48" s="30" t="n"/>
      <c r="L48" s="30" t="n"/>
    </row>
    <row r="49" ht="15.5" customHeight="1">
      <c r="A49" s="30" t="n"/>
      <c r="B49" s="30" t="inlineStr">
        <is>
          <t>EJE 11</t>
        </is>
      </c>
      <c r="C49" s="31" t="n">
        <v>1</v>
      </c>
      <c r="D49" s="31" t="n">
        <v>71.45999999999999</v>
      </c>
      <c r="E49" s="31" t="n">
        <v>1.4</v>
      </c>
      <c r="F49" s="31" t="n">
        <v>0.47</v>
      </c>
      <c r="G49" s="31" t="n"/>
      <c r="H49" s="31" t="n"/>
      <c r="I49" s="31" t="n"/>
      <c r="J49" s="31">
        <f>C49*D49*E49*(F49+PARAMETROS!$B$15)</f>
        <v/>
      </c>
      <c r="K49" s="30" t="n"/>
      <c r="L49" s="30" t="n"/>
    </row>
    <row r="50" ht="15.5" customHeight="1">
      <c r="A50" s="30" t="n"/>
      <c r="B50" s="30" t="inlineStr">
        <is>
          <t>EJE 12</t>
        </is>
      </c>
      <c r="C50" s="31" t="n">
        <v>1</v>
      </c>
      <c r="D50" s="31" t="n">
        <v>109.12</v>
      </c>
      <c r="E50" s="31" t="n">
        <v>1.4</v>
      </c>
      <c r="F50" s="31" t="n">
        <v>0.57</v>
      </c>
      <c r="G50" s="31" t="n"/>
      <c r="H50" s="31" t="n"/>
      <c r="I50" s="31" t="n"/>
      <c r="J50" s="31">
        <f>C50*D50*E50*(F50+PARAMETROS!$B$15)</f>
        <v/>
      </c>
      <c r="K50" s="30" t="n"/>
      <c r="L50" s="30" t="n"/>
    </row>
    <row r="51" ht="31" customHeight="1">
      <c r="A51" s="28" t="inlineStr">
        <is>
          <t>01.04.03.02.02</t>
        </is>
      </c>
      <c r="B51" s="28" t="inlineStr">
        <is>
          <t>EXCAVACIÓN MANUAL DE ZANJAS P/DADOS DE CONCRETO</t>
        </is>
      </c>
      <c r="C51" s="194" t="n">
        <v>62</v>
      </c>
      <c r="D51" s="29" t="n"/>
      <c r="E51" s="29" t="n"/>
      <c r="F51" s="29" t="n"/>
      <c r="G51" s="29" t="n"/>
      <c r="H51" s="29" t="n"/>
      <c r="I51" s="29" t="n"/>
      <c r="J51" s="29" t="n"/>
      <c r="K51" s="29">
        <f>J52*C51</f>
        <v/>
      </c>
      <c r="L51" s="28" t="inlineStr">
        <is>
          <t>m³</t>
        </is>
      </c>
    </row>
    <row r="52" ht="15.5" customHeight="1">
      <c r="A52" s="30" t="n"/>
      <c r="B52" s="30" t="inlineStr">
        <is>
          <t>DADO 0.40 X 0.40</t>
        </is>
      </c>
      <c r="C52" s="31" t="n"/>
      <c r="D52" s="31" t="n">
        <v>0.4</v>
      </c>
      <c r="E52" s="31" t="n">
        <v>0.35</v>
      </c>
      <c r="F52" s="31" t="n">
        <v>0.4</v>
      </c>
      <c r="G52" s="31" t="n"/>
      <c r="H52" s="31" t="n"/>
      <c r="I52" s="31" t="n"/>
      <c r="J52" s="35">
        <f>D52*E52*F52</f>
        <v/>
      </c>
      <c r="K52" s="30" t="n"/>
      <c r="L52" s="30" t="n"/>
    </row>
    <row r="53" ht="15.5" customHeight="1">
      <c r="A53" s="30" t="n"/>
      <c r="B53" s="30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0" t="n"/>
      <c r="L53" s="30" t="n"/>
    </row>
    <row r="54" ht="46.5" customHeight="1">
      <c r="A54" s="28" t="inlineStr">
        <is>
          <t>01.04.03.02.03</t>
        </is>
      </c>
      <c r="B54" s="28" t="inlineStr">
        <is>
          <t>REFINE, NIVELACIÓN Y COMPACTACIÓN EN TERRENO NORMAL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>
        <f>SUM(J55:J66)</f>
        <v/>
      </c>
      <c r="L54" s="28" t="inlineStr">
        <is>
          <t>m²</t>
        </is>
      </c>
    </row>
    <row r="55" ht="15.5" customHeight="1">
      <c r="A55" s="30" t="n"/>
      <c r="B55" s="30" t="inlineStr">
        <is>
          <t>EJE 1</t>
        </is>
      </c>
      <c r="C55" s="31" t="n">
        <v>1</v>
      </c>
      <c r="D55" s="31" t="n">
        <v>37.14</v>
      </c>
      <c r="E55" s="31" t="n">
        <v>0.6</v>
      </c>
      <c r="F55" s="31" t="n"/>
      <c r="G55" s="31" t="n"/>
      <c r="H55" s="31" t="n"/>
      <c r="I55" s="31" t="n"/>
      <c r="J55" s="31">
        <f>C55*D55*E55</f>
        <v/>
      </c>
      <c r="K55" s="30" t="n"/>
      <c r="L55" s="30" t="n"/>
    </row>
    <row r="56" ht="15.5" customHeight="1">
      <c r="A56" s="30" t="n"/>
      <c r="B56" s="30" t="inlineStr">
        <is>
          <t>EJE 2</t>
        </is>
      </c>
      <c r="C56" s="31" t="n">
        <v>1</v>
      </c>
      <c r="D56" s="31" t="n">
        <v>130.85</v>
      </c>
      <c r="E56" s="31" t="n">
        <v>0.6</v>
      </c>
      <c r="F56" s="31" t="n"/>
      <c r="G56" s="31" t="n"/>
      <c r="H56" s="31" t="n"/>
      <c r="I56" s="31" t="n"/>
      <c r="J56" s="31">
        <f>C56*D56*E56</f>
        <v/>
      </c>
      <c r="K56" s="30" t="n"/>
      <c r="L56" s="30" t="n"/>
    </row>
    <row r="57" ht="15.5" customHeight="1">
      <c r="A57" s="30" t="n"/>
      <c r="B57" s="30" t="inlineStr">
        <is>
          <t>EJE 3</t>
        </is>
      </c>
      <c r="C57" s="31" t="n">
        <v>1</v>
      </c>
      <c r="D57" s="31" t="n">
        <v>5.82</v>
      </c>
      <c r="E57" s="31" t="n">
        <v>0.6</v>
      </c>
      <c r="F57" s="31" t="n"/>
      <c r="G57" s="31" t="n"/>
      <c r="H57" s="31" t="n"/>
      <c r="I57" s="31" t="n"/>
      <c r="J57" s="31">
        <f>C57*D57*E57</f>
        <v/>
      </c>
      <c r="K57" s="30" t="n"/>
      <c r="L57" s="30" t="n"/>
    </row>
    <row r="58" ht="15.5" customHeight="1">
      <c r="A58" s="30" t="n"/>
      <c r="B58" s="30" t="inlineStr">
        <is>
          <t>EJE 4</t>
        </is>
      </c>
      <c r="C58" s="31" t="n">
        <v>1</v>
      </c>
      <c r="D58" s="31" t="n">
        <v>8.6</v>
      </c>
      <c r="E58" s="31" t="n">
        <v>0.6</v>
      </c>
      <c r="F58" s="31" t="n"/>
      <c r="G58" s="31" t="n"/>
      <c r="H58" s="31" t="n"/>
      <c r="I58" s="31" t="n"/>
      <c r="J58" s="31">
        <f>C58*D58*E58</f>
        <v/>
      </c>
      <c r="K58" s="30" t="n"/>
      <c r="L58" s="30" t="n"/>
    </row>
    <row r="59" ht="15.5" customHeight="1">
      <c r="A59" s="30" t="n"/>
      <c r="B59" s="30" t="inlineStr">
        <is>
          <t>EJE 5</t>
        </is>
      </c>
      <c r="C59" s="31" t="n">
        <v>1</v>
      </c>
      <c r="D59" s="31" t="n">
        <v>43.23</v>
      </c>
      <c r="E59" s="31" t="n">
        <v>0.6</v>
      </c>
      <c r="F59" s="31" t="n"/>
      <c r="G59" s="31" t="n"/>
      <c r="H59" s="31" t="n"/>
      <c r="I59" s="31" t="n"/>
      <c r="J59" s="31">
        <f>C59*D59*E59</f>
        <v/>
      </c>
      <c r="K59" s="30" t="n"/>
      <c r="L59" s="30" t="n"/>
    </row>
    <row r="60" ht="15.5" customHeight="1">
      <c r="A60" s="30" t="n"/>
      <c r="B60" s="30" t="inlineStr">
        <is>
          <t>EJE 6</t>
        </is>
      </c>
      <c r="C60" s="31" t="n">
        <v>1</v>
      </c>
      <c r="D60" s="31" t="n">
        <v>120.36</v>
      </c>
      <c r="E60" s="31" t="n">
        <v>0.6</v>
      </c>
      <c r="F60" s="31" t="n"/>
      <c r="G60" s="31" t="n"/>
      <c r="H60" s="31" t="n"/>
      <c r="I60" s="31" t="n"/>
      <c r="J60" s="31">
        <f>C60*D60*E60</f>
        <v/>
      </c>
      <c r="K60" s="30" t="n"/>
      <c r="L60" s="30" t="n"/>
    </row>
    <row r="61" ht="15.5" customHeight="1">
      <c r="A61" s="30" t="n"/>
      <c r="B61" s="30" t="inlineStr">
        <is>
          <t>EJE 7</t>
        </is>
      </c>
      <c r="C61" s="31" t="n">
        <v>1</v>
      </c>
      <c r="D61" s="31" t="n">
        <v>125.7</v>
      </c>
      <c r="E61" s="31" t="n">
        <v>0.6</v>
      </c>
      <c r="F61" s="31" t="n"/>
      <c r="G61" s="31" t="n"/>
      <c r="H61" s="31" t="n"/>
      <c r="I61" s="31" t="n"/>
      <c r="J61" s="31">
        <f>C61*D61*E61</f>
        <v/>
      </c>
      <c r="K61" s="30" t="n"/>
      <c r="L61" s="30" t="n"/>
    </row>
    <row r="62" ht="15.5" customHeight="1">
      <c r="A62" s="30" t="n"/>
      <c r="B62" s="30" t="inlineStr">
        <is>
          <t>EJE 8</t>
        </is>
      </c>
      <c r="C62" s="31" t="n">
        <v>1</v>
      </c>
      <c r="D62" s="31" t="n">
        <v>8.199999999999999</v>
      </c>
      <c r="E62" s="31" t="n">
        <v>0.6</v>
      </c>
      <c r="F62" s="31" t="n"/>
      <c r="G62" s="31" t="n"/>
      <c r="H62" s="31" t="n"/>
      <c r="I62" s="31" t="n"/>
      <c r="J62" s="31">
        <f>C62*D62*E62</f>
        <v/>
      </c>
      <c r="K62" s="30" t="n"/>
      <c r="L62" s="30" t="n"/>
    </row>
    <row r="63" ht="15.5" customHeight="1">
      <c r="A63" s="30" t="n"/>
      <c r="B63" s="30" t="inlineStr">
        <is>
          <t>EJE 9</t>
        </is>
      </c>
      <c r="C63" s="31" t="n">
        <v>1</v>
      </c>
      <c r="D63" s="31" t="n">
        <v>7</v>
      </c>
      <c r="E63" s="31" t="n">
        <v>0.6</v>
      </c>
      <c r="F63" s="31" t="n"/>
      <c r="G63" s="31" t="n"/>
      <c r="H63" s="31" t="n"/>
      <c r="I63" s="31" t="n"/>
      <c r="J63" s="31">
        <f>C63*D63*E63</f>
        <v/>
      </c>
      <c r="K63" s="30" t="n"/>
      <c r="L63" s="30" t="n"/>
    </row>
    <row r="64" ht="15.5" customHeight="1">
      <c r="A64" s="30" t="n"/>
      <c r="B64" s="30" t="inlineStr">
        <is>
          <t>EJE 10</t>
        </is>
      </c>
      <c r="C64" s="31" t="n">
        <v>1</v>
      </c>
      <c r="D64" s="31" t="n">
        <v>16</v>
      </c>
      <c r="E64" s="31" t="n">
        <v>0.6</v>
      </c>
      <c r="F64" s="31" t="n"/>
      <c r="G64" s="31" t="n"/>
      <c r="H64" s="31" t="n"/>
      <c r="I64" s="31" t="n"/>
      <c r="J64" s="31">
        <f>C64*D64*E64</f>
        <v/>
      </c>
      <c r="K64" s="30" t="n"/>
      <c r="L64" s="30" t="n"/>
    </row>
    <row r="65" ht="15.5" customHeight="1">
      <c r="A65" s="30" t="n"/>
      <c r="B65" s="30" t="inlineStr">
        <is>
          <t>EJE 11</t>
        </is>
      </c>
      <c r="C65" s="31" t="n">
        <v>1</v>
      </c>
      <c r="D65" s="31" t="n">
        <v>71.45999999999999</v>
      </c>
      <c r="E65" s="31" t="n">
        <v>0.6</v>
      </c>
      <c r="F65" s="31" t="n"/>
      <c r="G65" s="31" t="n"/>
      <c r="H65" s="31" t="n"/>
      <c r="I65" s="31" t="n"/>
      <c r="J65" s="31">
        <f>C65*D65*E65</f>
        <v/>
      </c>
      <c r="K65" s="30" t="n"/>
      <c r="L65" s="30" t="n"/>
    </row>
    <row r="66" ht="15.5" customHeight="1">
      <c r="A66" s="30" t="n"/>
      <c r="B66" s="30" t="inlineStr">
        <is>
          <t>EJE 12</t>
        </is>
      </c>
      <c r="C66" s="31" t="n">
        <v>1</v>
      </c>
      <c r="D66" s="31" t="n">
        <v>109.12</v>
      </c>
      <c r="E66" s="31" t="n">
        <v>0.6</v>
      </c>
      <c r="F66" s="31" t="n"/>
      <c r="G66" s="31" t="n"/>
      <c r="H66" s="31" t="n"/>
      <c r="I66" s="31" t="n"/>
      <c r="J66" s="31">
        <f>C66*D66*E66</f>
        <v/>
      </c>
      <c r="K66" s="30" t="n"/>
      <c r="L66" s="30" t="n"/>
    </row>
    <row r="67" ht="31" customHeight="1">
      <c r="A67" s="28" t="inlineStr">
        <is>
          <t>01.04.03.02.04</t>
        </is>
      </c>
      <c r="B67" s="28" t="inlineStr">
        <is>
          <t>RELLENO COMPACTADO CON MATERIAL PROPIO SELECCIONADO</t>
        </is>
      </c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>
        <f>SUM(J68:J79)</f>
        <v/>
      </c>
      <c r="L67" s="28" t="inlineStr">
        <is>
          <t>m³</t>
        </is>
      </c>
    </row>
    <row r="68" ht="15.5" customHeight="1">
      <c r="A68" s="30" t="n"/>
      <c r="B68" s="30" t="inlineStr">
        <is>
          <t>EJE 1</t>
        </is>
      </c>
      <c r="C68" s="31" t="n">
        <v>1</v>
      </c>
      <c r="D68" s="31" t="n">
        <v>37.14</v>
      </c>
      <c r="E68" s="31" t="n">
        <v>0.8</v>
      </c>
      <c r="F68" s="31" t="n">
        <v>0.41</v>
      </c>
      <c r="G68" s="31" t="n"/>
      <c r="H68" s="31" t="n"/>
      <c r="I68" s="31" t="n"/>
      <c r="J68" s="31">
        <f>C68*D68*E68*(F68+PARAMETROS!$B$15)</f>
        <v/>
      </c>
      <c r="K68" s="30" t="n"/>
      <c r="L68" s="30" t="n"/>
    </row>
    <row r="69" ht="15.5" customHeight="1">
      <c r="A69" s="30" t="n"/>
      <c r="B69" s="30" t="inlineStr">
        <is>
          <t>EJE 2</t>
        </is>
      </c>
      <c r="C69" s="31" t="n">
        <v>1</v>
      </c>
      <c r="D69" s="31" t="n">
        <v>130.85</v>
      </c>
      <c r="E69" s="31" t="n">
        <v>0.8</v>
      </c>
      <c r="F69" s="31" t="n">
        <v>0.65</v>
      </c>
      <c r="G69" s="31" t="n"/>
      <c r="H69" s="31" t="n"/>
      <c r="I69" s="31" t="n"/>
      <c r="J69" s="31">
        <f>C69*D69*E69*(F69+PARAMETROS!$B$15)</f>
        <v/>
      </c>
      <c r="K69" s="30" t="n"/>
      <c r="L69" s="30" t="n"/>
    </row>
    <row r="70" ht="15.5" customHeight="1">
      <c r="A70" s="30" t="n"/>
      <c r="B70" s="30" t="inlineStr">
        <is>
          <t>EJE 3</t>
        </is>
      </c>
      <c r="C70" s="31" t="n">
        <v>1</v>
      </c>
      <c r="D70" s="31" t="n">
        <v>5.82</v>
      </c>
      <c r="E70" s="31" t="n">
        <v>0.8</v>
      </c>
      <c r="F70" s="31" t="n">
        <v>0.37</v>
      </c>
      <c r="G70" s="31" t="n"/>
      <c r="H70" s="31" t="n"/>
      <c r="I70" s="31" t="n"/>
      <c r="J70" s="31">
        <f>C70*D70*E70*(F70+PARAMETROS!$B$15)</f>
        <v/>
      </c>
      <c r="K70" s="30" t="n"/>
      <c r="L70" s="30" t="n"/>
    </row>
    <row r="71" ht="15.5" customHeight="1">
      <c r="A71" s="30" t="n"/>
      <c r="B71" s="30" t="inlineStr">
        <is>
          <t>EJE 4</t>
        </is>
      </c>
      <c r="C71" s="31" t="n">
        <v>1</v>
      </c>
      <c r="D71" s="31" t="n">
        <v>8.6</v>
      </c>
      <c r="E71" s="31" t="n">
        <v>0.8</v>
      </c>
      <c r="F71" s="31" t="n">
        <v>0.33</v>
      </c>
      <c r="G71" s="31" t="n"/>
      <c r="H71" s="31" t="n"/>
      <c r="I71" s="31" t="n"/>
      <c r="J71" s="31">
        <f>C71*D71*E71*(F71+PARAMETROS!$B$15)</f>
        <v/>
      </c>
      <c r="K71" s="30" t="n"/>
      <c r="L71" s="30" t="n"/>
    </row>
    <row r="72" ht="15.5" customHeight="1">
      <c r="A72" s="30" t="n"/>
      <c r="B72" s="30" t="inlineStr">
        <is>
          <t>EJE 5</t>
        </is>
      </c>
      <c r="C72" s="31" t="n">
        <v>1</v>
      </c>
      <c r="D72" s="31" t="n">
        <v>43.23</v>
      </c>
      <c r="E72" s="31" t="n">
        <v>0.8</v>
      </c>
      <c r="F72" s="31" t="n">
        <v>0.37</v>
      </c>
      <c r="G72" s="31" t="n"/>
      <c r="H72" s="31" t="n"/>
      <c r="I72" s="31" t="n"/>
      <c r="J72" s="31">
        <f>C72*D72*E72*(F72+PARAMETROS!$B$15)</f>
        <v/>
      </c>
      <c r="K72" s="30" t="n"/>
      <c r="L72" s="30" t="n"/>
    </row>
    <row r="73" ht="15.5" customHeight="1">
      <c r="A73" s="30" t="n"/>
      <c r="B73" s="30" t="inlineStr">
        <is>
          <t>EJE 6</t>
        </is>
      </c>
      <c r="C73" s="31" t="n">
        <v>1</v>
      </c>
      <c r="D73" s="31" t="n">
        <v>120.36</v>
      </c>
      <c r="E73" s="31" t="n">
        <v>0.8</v>
      </c>
      <c r="F73" s="31" t="n">
        <v>0.5600000000000001</v>
      </c>
      <c r="G73" s="31" t="n"/>
      <c r="H73" s="31" t="n"/>
      <c r="I73" s="31" t="n"/>
      <c r="J73" s="31">
        <f>C73*D73*E73*(F73+PARAMETROS!$B$15)</f>
        <v/>
      </c>
      <c r="K73" s="30" t="n"/>
      <c r="L73" s="30" t="n"/>
    </row>
    <row r="74" ht="15.5" customHeight="1">
      <c r="A74" s="30" t="n"/>
      <c r="B74" s="30" t="inlineStr">
        <is>
          <t>EJE 7</t>
        </is>
      </c>
      <c r="C74" s="31" t="n">
        <v>1</v>
      </c>
      <c r="D74" s="31" t="n">
        <v>125.7</v>
      </c>
      <c r="E74" s="31" t="n">
        <v>0.8</v>
      </c>
      <c r="F74" s="31" t="n">
        <v>0.62</v>
      </c>
      <c r="G74" s="31" t="n"/>
      <c r="H74" s="31" t="n"/>
      <c r="I74" s="31" t="n"/>
      <c r="J74" s="31">
        <f>C74*D74*E74*(F74+PARAMETROS!$B$15)</f>
        <v/>
      </c>
      <c r="K74" s="30" t="n"/>
      <c r="L74" s="30" t="n"/>
    </row>
    <row r="75" ht="15.5" customHeight="1">
      <c r="A75" s="30" t="n"/>
      <c r="B75" s="30" t="inlineStr">
        <is>
          <t>EJE 8</t>
        </is>
      </c>
      <c r="C75" s="31" t="n">
        <v>1</v>
      </c>
      <c r="D75" s="31" t="n">
        <v>8.199999999999999</v>
      </c>
      <c r="E75" s="31" t="n">
        <v>0.8</v>
      </c>
      <c r="F75" s="31" t="n">
        <v>0.35</v>
      </c>
      <c r="G75" s="31" t="n"/>
      <c r="H75" s="31" t="n"/>
      <c r="I75" s="31" t="n"/>
      <c r="J75" s="31">
        <f>C75*D75*E75*(F75+PARAMETROS!$B$15)</f>
        <v/>
      </c>
      <c r="K75" s="30" t="n"/>
      <c r="L75" s="30" t="n"/>
    </row>
    <row r="76" ht="15.5" customHeight="1">
      <c r="A76" s="30" t="n"/>
      <c r="B76" s="30" t="inlineStr">
        <is>
          <t>EJE 9</t>
        </is>
      </c>
      <c r="C76" s="31" t="n">
        <v>1</v>
      </c>
      <c r="D76" s="31" t="n">
        <v>7</v>
      </c>
      <c r="E76" s="31" t="n">
        <v>0.8</v>
      </c>
      <c r="F76" s="31" t="n">
        <v>0.45</v>
      </c>
      <c r="G76" s="31" t="n"/>
      <c r="H76" s="31" t="n"/>
      <c r="I76" s="31" t="n"/>
      <c r="J76" s="31">
        <f>C76*D76*E76*(F76+PARAMETROS!$B$15)</f>
        <v/>
      </c>
      <c r="K76" s="30" t="n"/>
      <c r="L76" s="30" t="n"/>
    </row>
    <row r="77" ht="15.5" customHeight="1">
      <c r="A77" s="30" t="n"/>
      <c r="B77" s="30" t="inlineStr">
        <is>
          <t>EJE 10</t>
        </is>
      </c>
      <c r="C77" s="31" t="n">
        <v>1</v>
      </c>
      <c r="D77" s="31" t="n">
        <v>16</v>
      </c>
      <c r="E77" s="31" t="n">
        <v>0.8</v>
      </c>
      <c r="F77" s="31" t="n">
        <v>0.55</v>
      </c>
      <c r="G77" s="31" t="n"/>
      <c r="H77" s="31" t="n"/>
      <c r="I77" s="31" t="n"/>
      <c r="J77" s="31">
        <f>C77*D77*E77*(F77+PARAMETROS!$B$15)</f>
        <v/>
      </c>
      <c r="K77" s="30" t="n"/>
      <c r="L77" s="30" t="n"/>
    </row>
    <row r="78" ht="15.5" customHeight="1">
      <c r="A78" s="30" t="n"/>
      <c r="B78" s="30" t="inlineStr">
        <is>
          <t>EJE 11</t>
        </is>
      </c>
      <c r="C78" s="31" t="n">
        <v>1</v>
      </c>
      <c r="D78" s="31" t="n">
        <v>71.45999999999999</v>
      </c>
      <c r="E78" s="31" t="n">
        <v>0.8</v>
      </c>
      <c r="F78" s="31" t="n">
        <v>0.34</v>
      </c>
      <c r="G78" s="31" t="n"/>
      <c r="H78" s="31" t="n"/>
      <c r="I78" s="31" t="n"/>
      <c r="J78" s="31">
        <f>C78*D78*E78*(F78+PARAMETROS!$B$15)</f>
        <v/>
      </c>
      <c r="K78" s="30" t="n"/>
      <c r="L78" s="30" t="n"/>
    </row>
    <row r="79" ht="15.5" customHeight="1">
      <c r="A79" s="30" t="n"/>
      <c r="B79" s="30" t="inlineStr">
        <is>
          <t>EJE 12</t>
        </is>
      </c>
      <c r="C79" s="31" t="n">
        <v>1</v>
      </c>
      <c r="D79" s="31" t="n">
        <v>109.12</v>
      </c>
      <c r="E79" s="31" t="n">
        <v>0.8</v>
      </c>
      <c r="F79" s="31" t="n">
        <v>0.51</v>
      </c>
      <c r="G79" s="31" t="n"/>
      <c r="H79" s="31" t="n"/>
      <c r="I79" s="31" t="n"/>
      <c r="J79" s="31">
        <f>C79*D79*E79*(F79+PARAMETROS!$B$15)</f>
        <v/>
      </c>
      <c r="K79" s="30" t="n"/>
      <c r="L79" s="30" t="n"/>
    </row>
    <row r="80" ht="31" customHeight="1">
      <c r="A80" s="28" t="inlineStr">
        <is>
          <t>01.04.03.02.05</t>
        </is>
      </c>
      <c r="B80" s="28" t="inlineStr">
        <is>
          <t>ELIMINACIÓN DE MATERIAL EXCEDENTE</t>
        </is>
      </c>
      <c r="C80" s="29" t="n"/>
      <c r="D80" s="29" t="n"/>
      <c r="E80" s="29" t="n"/>
      <c r="F80" s="29" t="n"/>
      <c r="G80" s="31">
        <f>PARAMETROS!$B$16</f>
        <v/>
      </c>
      <c r="H80" s="29" t="n"/>
      <c r="I80" s="29" t="n"/>
      <c r="J80" s="29" t="n"/>
      <c r="K80" s="29">
        <f>(J81+J82)*G80</f>
        <v/>
      </c>
      <c r="L80" s="28" t="inlineStr">
        <is>
          <t>m³</t>
        </is>
      </c>
    </row>
    <row r="81" ht="31" customHeight="1">
      <c r="A81" s="30" t="n"/>
      <c r="B81" s="30" t="inlineStr">
        <is>
          <t>EXCAVACIÓN  MANUAL DE ZANJA PARA CUNETA</t>
        </is>
      </c>
      <c r="C81" s="31" t="n"/>
      <c r="D81" s="31" t="n"/>
      <c r="E81" s="31" t="n"/>
      <c r="F81" s="31" t="n"/>
      <c r="G81" s="31" t="n">
        <v>1</v>
      </c>
      <c r="H81" s="31" t="n"/>
      <c r="I81" s="31">
        <f>+K38</f>
        <v/>
      </c>
      <c r="J81" s="31">
        <f>G81*I81</f>
        <v/>
      </c>
      <c r="K81" s="30" t="n"/>
      <c r="L81" s="30" t="n"/>
    </row>
    <row r="82" ht="31" customHeight="1">
      <c r="A82" s="30" t="n"/>
      <c r="B82" s="30" t="inlineStr">
        <is>
          <t>RELLENO COMPACTADO CON MATERIAL PROPIO</t>
        </is>
      </c>
      <c r="C82" s="31" t="n"/>
      <c r="D82" s="31" t="n"/>
      <c r="E82" s="31" t="n"/>
      <c r="F82" s="31" t="n"/>
      <c r="G82" s="31" t="n">
        <v>-1</v>
      </c>
      <c r="H82" s="31" t="n"/>
      <c r="I82" s="31">
        <f>+K67</f>
        <v/>
      </c>
      <c r="J82" s="31">
        <f>G82*I82</f>
        <v/>
      </c>
      <c r="K82" s="30" t="n"/>
      <c r="L82" s="30" t="n"/>
    </row>
    <row r="83" ht="15.5" customHeight="1">
      <c r="A83" s="209" t="inlineStr">
        <is>
          <t>01.04.03.03</t>
        </is>
      </c>
      <c r="B83" s="209" t="inlineStr">
        <is>
          <t>OBRAS DE CONCRETO SIMPLE</t>
        </is>
      </c>
      <c r="C83" s="34" t="n"/>
      <c r="D83" s="34" t="n"/>
      <c r="E83" s="34" t="n"/>
      <c r="F83" s="34" t="n"/>
      <c r="G83" s="34" t="n"/>
      <c r="H83" s="34" t="n"/>
      <c r="I83" s="34" t="n"/>
      <c r="J83" s="34" t="n"/>
      <c r="K83" s="209" t="n"/>
      <c r="L83" s="209" t="n"/>
    </row>
    <row r="84" ht="31" customHeight="1">
      <c r="A84" s="28" t="inlineStr">
        <is>
          <t>01.04.03.03.01</t>
        </is>
      </c>
      <c r="B84" s="28" t="inlineStr">
        <is>
          <t>CONCRETO f'c=100 kg/cm2 PARA SOLADO E=4''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>
        <f>SUM(J85:J96)</f>
        <v/>
      </c>
      <c r="L84" s="28" t="inlineStr">
        <is>
          <t>m²</t>
        </is>
      </c>
    </row>
    <row r="85" ht="15.5" customHeight="1">
      <c r="A85" s="30" t="n"/>
      <c r="B85" s="30" t="inlineStr">
        <is>
          <t>EJE 1</t>
        </is>
      </c>
      <c r="C85" s="31" t="n">
        <v>1</v>
      </c>
      <c r="D85" s="31" t="n">
        <v>37.14</v>
      </c>
      <c r="E85" s="31" t="n">
        <v>0.6</v>
      </c>
      <c r="F85" s="31" t="n"/>
      <c r="G85" s="31" t="n"/>
      <c r="H85" s="31" t="n"/>
      <c r="I85" s="31" t="n"/>
      <c r="J85" s="31">
        <f>C85*D85*E85</f>
        <v/>
      </c>
      <c r="K85" s="30" t="n"/>
      <c r="L85" s="30" t="n"/>
    </row>
    <row r="86" ht="15.5" customHeight="1">
      <c r="A86" s="30" t="n"/>
      <c r="B86" s="30" t="inlineStr">
        <is>
          <t>EJE 2</t>
        </is>
      </c>
      <c r="C86" s="31" t="n">
        <v>1</v>
      </c>
      <c r="D86" s="31" t="n">
        <v>130.85</v>
      </c>
      <c r="E86" s="31" t="n">
        <v>0.6</v>
      </c>
      <c r="F86" s="31" t="n"/>
      <c r="G86" s="31" t="n"/>
      <c r="H86" s="31" t="n"/>
      <c r="I86" s="31" t="n"/>
      <c r="J86" s="31">
        <f>C86*D86*E86</f>
        <v/>
      </c>
      <c r="K86" s="30" t="n"/>
      <c r="L86" s="30" t="n"/>
    </row>
    <row r="87" ht="15.5" customHeight="1">
      <c r="A87" s="30" t="n"/>
      <c r="B87" s="30" t="inlineStr">
        <is>
          <t>EJE 3</t>
        </is>
      </c>
      <c r="C87" s="31" t="n">
        <v>1</v>
      </c>
      <c r="D87" s="31" t="n">
        <v>5.82</v>
      </c>
      <c r="E87" s="31" t="n">
        <v>0.6</v>
      </c>
      <c r="F87" s="31" t="n"/>
      <c r="G87" s="31" t="n"/>
      <c r="H87" s="31" t="n"/>
      <c r="I87" s="31" t="n"/>
      <c r="J87" s="31">
        <f>C87*D87*E87</f>
        <v/>
      </c>
      <c r="K87" s="30" t="n"/>
      <c r="L87" s="30" t="n"/>
    </row>
    <row r="88" ht="15.5" customHeight="1">
      <c r="A88" s="30" t="n"/>
      <c r="B88" s="30" t="inlineStr">
        <is>
          <t>EJE 4</t>
        </is>
      </c>
      <c r="C88" s="31" t="n">
        <v>1</v>
      </c>
      <c r="D88" s="31" t="n">
        <v>8.6</v>
      </c>
      <c r="E88" s="31" t="n">
        <v>0.6</v>
      </c>
      <c r="F88" s="31" t="n"/>
      <c r="G88" s="31" t="n"/>
      <c r="H88" s="31" t="n"/>
      <c r="I88" s="31" t="n"/>
      <c r="J88" s="31">
        <f>C88*D88*E88</f>
        <v/>
      </c>
      <c r="K88" s="30" t="n"/>
      <c r="L88" s="30" t="n"/>
    </row>
    <row r="89" ht="15.5" customHeight="1">
      <c r="A89" s="30" t="n"/>
      <c r="B89" s="30" t="inlineStr">
        <is>
          <t>EJE 5</t>
        </is>
      </c>
      <c r="C89" s="31" t="n">
        <v>1</v>
      </c>
      <c r="D89" s="31" t="n">
        <v>43.23</v>
      </c>
      <c r="E89" s="31" t="n">
        <v>0.6</v>
      </c>
      <c r="F89" s="31" t="n"/>
      <c r="G89" s="31" t="n"/>
      <c r="H89" s="31" t="n"/>
      <c r="I89" s="31" t="n"/>
      <c r="J89" s="31">
        <f>C89*D89*E89</f>
        <v/>
      </c>
      <c r="K89" s="30" t="n"/>
      <c r="L89" s="30" t="n"/>
    </row>
    <row r="90" ht="15.5" customHeight="1">
      <c r="A90" s="30" t="n"/>
      <c r="B90" s="30" t="inlineStr">
        <is>
          <t>EJE 6</t>
        </is>
      </c>
      <c r="C90" s="31" t="n">
        <v>1</v>
      </c>
      <c r="D90" s="31" t="n">
        <v>120.36</v>
      </c>
      <c r="E90" s="31" t="n">
        <v>0.6</v>
      </c>
      <c r="F90" s="31" t="n"/>
      <c r="G90" s="31" t="n"/>
      <c r="H90" s="31" t="n"/>
      <c r="I90" s="31" t="n"/>
      <c r="J90" s="31">
        <f>C90*D90*E90</f>
        <v/>
      </c>
      <c r="K90" s="30" t="n"/>
      <c r="L90" s="30" t="n"/>
    </row>
    <row r="91" ht="15.5" customHeight="1">
      <c r="A91" s="30" t="n"/>
      <c r="B91" s="30" t="inlineStr">
        <is>
          <t>EJE 7</t>
        </is>
      </c>
      <c r="C91" s="31" t="n">
        <v>1</v>
      </c>
      <c r="D91" s="31" t="n">
        <v>125.7</v>
      </c>
      <c r="E91" s="31" t="n">
        <v>0.6</v>
      </c>
      <c r="F91" s="31" t="n"/>
      <c r="G91" s="31" t="n"/>
      <c r="H91" s="31" t="n"/>
      <c r="I91" s="31" t="n"/>
      <c r="J91" s="31">
        <f>C91*D91*E91</f>
        <v/>
      </c>
      <c r="K91" s="30" t="n"/>
      <c r="L91" s="30" t="n"/>
    </row>
    <row r="92" ht="15.5" customHeight="1">
      <c r="A92" s="30" t="n"/>
      <c r="B92" s="30" t="inlineStr">
        <is>
          <t>EJE 8</t>
        </is>
      </c>
      <c r="C92" s="31" t="n">
        <v>1</v>
      </c>
      <c r="D92" s="31" t="n">
        <v>8.199999999999999</v>
      </c>
      <c r="E92" s="31" t="n">
        <v>0.6</v>
      </c>
      <c r="F92" s="31" t="n"/>
      <c r="G92" s="31" t="n"/>
      <c r="H92" s="31" t="n"/>
      <c r="I92" s="31" t="n"/>
      <c r="J92" s="31">
        <f>C92*D92*E92</f>
        <v/>
      </c>
      <c r="K92" s="30" t="n"/>
      <c r="L92" s="30" t="n"/>
    </row>
    <row r="93" ht="15.5" customHeight="1">
      <c r="A93" s="30" t="n"/>
      <c r="B93" s="30" t="inlineStr">
        <is>
          <t>EJE 9</t>
        </is>
      </c>
      <c r="C93" s="31" t="n">
        <v>1</v>
      </c>
      <c r="D93" s="31" t="n">
        <v>7</v>
      </c>
      <c r="E93" s="31" t="n">
        <v>0.6</v>
      </c>
      <c r="F93" s="31" t="n"/>
      <c r="G93" s="31" t="n"/>
      <c r="H93" s="31" t="n"/>
      <c r="I93" s="31" t="n"/>
      <c r="J93" s="31">
        <f>C93*D93*E93</f>
        <v/>
      </c>
      <c r="K93" s="30" t="n"/>
      <c r="L93" s="30" t="n"/>
    </row>
    <row r="94" ht="15.5" customHeight="1">
      <c r="A94" s="30" t="n"/>
      <c r="B94" s="30" t="inlineStr">
        <is>
          <t>EJE 10</t>
        </is>
      </c>
      <c r="C94" s="31" t="n">
        <v>1</v>
      </c>
      <c r="D94" s="31" t="n">
        <v>16</v>
      </c>
      <c r="E94" s="31" t="n">
        <v>0.6</v>
      </c>
      <c r="F94" s="31" t="n"/>
      <c r="G94" s="31" t="n"/>
      <c r="H94" s="31" t="n"/>
      <c r="I94" s="31" t="n"/>
      <c r="J94" s="31">
        <f>C94*D94*E94</f>
        <v/>
      </c>
      <c r="K94" s="30" t="n"/>
      <c r="L94" s="30" t="n"/>
    </row>
    <row r="95" ht="15.5" customHeight="1">
      <c r="A95" s="30" t="n"/>
      <c r="B95" s="30" t="inlineStr">
        <is>
          <t>EJE 11</t>
        </is>
      </c>
      <c r="C95" s="31" t="n">
        <v>1</v>
      </c>
      <c r="D95" s="31" t="n">
        <v>71.45999999999999</v>
      </c>
      <c r="E95" s="31" t="n">
        <v>0.6</v>
      </c>
      <c r="F95" s="31" t="n"/>
      <c r="G95" s="31" t="n"/>
      <c r="H95" s="31" t="n"/>
      <c r="I95" s="31" t="n"/>
      <c r="J95" s="31">
        <f>C95*D95*E95</f>
        <v/>
      </c>
      <c r="K95" s="30" t="n"/>
      <c r="L95" s="30" t="n"/>
    </row>
    <row r="96" ht="15.5" customHeight="1">
      <c r="A96" s="30" t="n"/>
      <c r="B96" s="30" t="inlineStr">
        <is>
          <t>EJE 12</t>
        </is>
      </c>
      <c r="C96" s="31" t="n">
        <v>1</v>
      </c>
      <c r="D96" s="31" t="n">
        <v>109.12</v>
      </c>
      <c r="E96" s="31" t="n">
        <v>0.6</v>
      </c>
      <c r="F96" s="31" t="n"/>
      <c r="G96" s="31" t="n"/>
      <c r="H96" s="31" t="n"/>
      <c r="I96" s="31" t="n"/>
      <c r="J96" s="31">
        <f>C96*D96*E96</f>
        <v/>
      </c>
      <c r="K96" s="30" t="n"/>
      <c r="L96" s="30" t="n"/>
    </row>
    <row r="97" ht="31" customHeight="1">
      <c r="A97" s="28" t="inlineStr">
        <is>
          <t>01.04.03.03.02</t>
        </is>
      </c>
      <c r="B97" s="28" t="inlineStr">
        <is>
          <t>CONCRETO f'c=140 Kg/cm2 PARA DADOS DE CONCRETO</t>
        </is>
      </c>
      <c r="C97" s="29" t="n">
        <v>62</v>
      </c>
      <c r="D97" s="29" t="n"/>
      <c r="E97" s="29" t="n"/>
      <c r="F97" s="29" t="n"/>
      <c r="G97" s="29" t="n"/>
      <c r="H97" s="29" t="n"/>
      <c r="I97" s="29" t="n"/>
      <c r="J97" s="29" t="n"/>
      <c r="K97" s="29">
        <f>J98*C97</f>
        <v/>
      </c>
      <c r="L97" s="28" t="inlineStr">
        <is>
          <t>m³</t>
        </is>
      </c>
    </row>
    <row r="98" ht="20.5" customFormat="1" customHeight="1" s="75">
      <c r="A98" s="73" t="n"/>
      <c r="B98" s="73" t="inlineStr">
        <is>
          <t>DADO 0.40 X 0.40</t>
        </is>
      </c>
      <c r="C98" s="74" t="n"/>
      <c r="D98" s="74" t="n">
        <v>0.4</v>
      </c>
      <c r="E98" s="74" t="n">
        <v>0.35</v>
      </c>
      <c r="F98" s="74" t="n">
        <v>0.4</v>
      </c>
      <c r="G98" s="74" t="n"/>
      <c r="H98" s="74" t="n"/>
      <c r="I98" s="74" t="n"/>
      <c r="J98" s="74">
        <f>D98*E98*F98</f>
        <v/>
      </c>
      <c r="K98" s="74" t="n"/>
      <c r="L98" s="73" t="n"/>
    </row>
    <row r="99" ht="20.5" customHeight="1">
      <c r="A99" s="209" t="inlineStr">
        <is>
          <t>01.04.03.04</t>
        </is>
      </c>
      <c r="B99" s="209" t="inlineStr">
        <is>
          <t>OBRAS DE CONCRETO ARMADO</t>
        </is>
      </c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209" t="n"/>
    </row>
    <row r="100" ht="15.5" customHeight="1">
      <c r="A100" s="206" t="inlineStr">
        <is>
          <t>01.04.03.04.02</t>
        </is>
      </c>
      <c r="B100" s="206" t="inlineStr">
        <is>
          <t>CUNETAS</t>
        </is>
      </c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206" t="n"/>
    </row>
    <row r="101" ht="31" customHeight="1">
      <c r="A101" s="28" t="inlineStr">
        <is>
          <t>01.04.03.04.02.01</t>
        </is>
      </c>
      <c r="B101" s="28" t="inlineStr">
        <is>
          <t>CONCRETO P/CUNETAS f'c=175 kg/cm2</t>
        </is>
      </c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>
        <f>SUM(J102:J113)</f>
        <v/>
      </c>
      <c r="L101" s="28" t="inlineStr">
        <is>
          <t>m³</t>
        </is>
      </c>
    </row>
    <row r="102" ht="15.5" customHeight="1">
      <c r="A102" s="30" t="n"/>
      <c r="B102" s="30" t="inlineStr">
        <is>
          <t>EJE 1</t>
        </is>
      </c>
      <c r="C102" s="31" t="n">
        <v>1</v>
      </c>
      <c r="D102" s="31" t="n"/>
      <c r="E102" s="31" t="n"/>
      <c r="F102" s="31" t="n"/>
      <c r="G102" s="31" t="n"/>
      <c r="H102" s="31" t="n"/>
      <c r="I102" s="31" t="n"/>
      <c r="J102" s="31">
        <f>+'CONCRETO EN CUNETAS'!G10</f>
        <v/>
      </c>
      <c r="K102" s="31" t="n"/>
      <c r="L102" s="30" t="n"/>
    </row>
    <row r="103" ht="15.5" customHeight="1">
      <c r="A103" s="30" t="n"/>
      <c r="B103" s="30" t="inlineStr">
        <is>
          <t>EJE 2</t>
        </is>
      </c>
      <c r="C103" s="31" t="n">
        <v>1</v>
      </c>
      <c r="D103" s="31" t="n"/>
      <c r="E103" s="31" t="n"/>
      <c r="F103" s="31" t="n"/>
      <c r="G103" s="31" t="n"/>
      <c r="H103" s="31" t="n"/>
      <c r="I103" s="31" t="n"/>
      <c r="J103" s="31">
        <f>+'CONCRETO EN CUNETAS'!G22</f>
        <v/>
      </c>
      <c r="K103" s="31" t="n"/>
      <c r="L103" s="30" t="n"/>
    </row>
    <row r="104" ht="15.5" customHeight="1">
      <c r="A104" s="30" t="n"/>
      <c r="B104" s="30" t="inlineStr">
        <is>
          <t>EJE 3</t>
        </is>
      </c>
      <c r="C104" s="31" t="n">
        <v>1</v>
      </c>
      <c r="D104" s="31" t="n"/>
      <c r="E104" s="31" t="n"/>
      <c r="F104" s="31" t="n"/>
      <c r="G104" s="31" t="n"/>
      <c r="H104" s="31" t="n"/>
      <c r="I104" s="31" t="n"/>
      <c r="J104" s="31">
        <f>+'CONCRETO EN CUNETAS'!G34</f>
        <v/>
      </c>
      <c r="K104" s="31" t="n"/>
      <c r="L104" s="30" t="n"/>
    </row>
    <row r="105" ht="15.5" customHeight="1">
      <c r="A105" s="30" t="n"/>
      <c r="B105" s="30" t="inlineStr">
        <is>
          <t>EJE 4</t>
        </is>
      </c>
      <c r="C105" s="31" t="n">
        <v>1</v>
      </c>
      <c r="D105" s="31" t="n"/>
      <c r="E105" s="31" t="n"/>
      <c r="F105" s="31" t="n"/>
      <c r="G105" s="31" t="n"/>
      <c r="H105" s="31" t="n"/>
      <c r="I105" s="31" t="n"/>
      <c r="J105" s="31">
        <f>+'CONCRETO EN CUNETAS'!G46</f>
        <v/>
      </c>
      <c r="K105" s="31" t="n"/>
      <c r="L105" s="30" t="n"/>
    </row>
    <row r="106" ht="15.5" customHeight="1">
      <c r="A106" s="30" t="n"/>
      <c r="B106" s="30" t="inlineStr">
        <is>
          <t>EJE 5</t>
        </is>
      </c>
      <c r="C106" s="31" t="n">
        <v>1</v>
      </c>
      <c r="D106" s="31" t="n"/>
      <c r="E106" s="31" t="n"/>
      <c r="F106" s="31" t="n"/>
      <c r="G106" s="31" t="n"/>
      <c r="H106" s="31" t="n"/>
      <c r="I106" s="31" t="n"/>
      <c r="J106" s="31">
        <f>+'CONCRETO EN CUNETAS'!G58</f>
        <v/>
      </c>
      <c r="K106" s="31" t="n"/>
      <c r="L106" s="30" t="n"/>
    </row>
    <row r="107" ht="15.5" customHeight="1">
      <c r="A107" s="30" t="n"/>
      <c r="B107" s="30" t="inlineStr">
        <is>
          <t>EJE 6</t>
        </is>
      </c>
      <c r="C107" s="31" t="n">
        <v>1</v>
      </c>
      <c r="D107" s="31" t="n"/>
      <c r="E107" s="31" t="n"/>
      <c r="F107" s="31" t="n"/>
      <c r="G107" s="31" t="n"/>
      <c r="H107" s="31" t="n"/>
      <c r="I107" s="31" t="n"/>
      <c r="J107" s="31">
        <f>+'CONCRETO EN CUNETAS'!G70</f>
        <v/>
      </c>
      <c r="K107" s="31" t="n"/>
      <c r="L107" s="30" t="n"/>
    </row>
    <row r="108" ht="15.5" customHeight="1">
      <c r="A108" s="30" t="n"/>
      <c r="B108" s="30" t="inlineStr">
        <is>
          <t>EJE 7</t>
        </is>
      </c>
      <c r="C108" s="31" t="n">
        <v>1</v>
      </c>
      <c r="D108" s="31" t="n"/>
      <c r="E108" s="31" t="n"/>
      <c r="F108" s="31" t="n"/>
      <c r="G108" s="31" t="n"/>
      <c r="H108" s="31" t="n"/>
      <c r="I108" s="31" t="n"/>
      <c r="J108" s="31">
        <f>+'CONCRETO EN CUNETAS'!O10</f>
        <v/>
      </c>
      <c r="K108" s="31" t="n"/>
      <c r="L108" s="30" t="n"/>
    </row>
    <row r="109" ht="15.5" customHeight="1">
      <c r="A109" s="30" t="n"/>
      <c r="B109" s="30" t="inlineStr">
        <is>
          <t>EJE 8</t>
        </is>
      </c>
      <c r="C109" s="31" t="n">
        <v>1</v>
      </c>
      <c r="D109" s="31" t="n"/>
      <c r="E109" s="31" t="n"/>
      <c r="F109" s="31" t="n"/>
      <c r="G109" s="31" t="n"/>
      <c r="H109" s="31" t="n"/>
      <c r="I109" s="31" t="n"/>
      <c r="J109" s="31">
        <f>+'CONCRETO EN CUNETAS'!O22</f>
        <v/>
      </c>
      <c r="K109" s="31" t="n"/>
      <c r="L109" s="30" t="n"/>
    </row>
    <row r="110" ht="15.5" customHeight="1">
      <c r="A110" s="30" t="n"/>
      <c r="B110" s="30" t="inlineStr">
        <is>
          <t>EJE 9</t>
        </is>
      </c>
      <c r="C110" s="31" t="n">
        <v>1</v>
      </c>
      <c r="D110" s="31" t="n"/>
      <c r="E110" s="31" t="n"/>
      <c r="F110" s="31" t="n"/>
      <c r="G110" s="31" t="n"/>
      <c r="H110" s="31" t="n"/>
      <c r="I110" s="31" t="n"/>
      <c r="J110" s="31">
        <f>+'CONCRETO EN CUNETAS'!O34</f>
        <v/>
      </c>
      <c r="K110" s="31" t="n"/>
      <c r="L110" s="30" t="n"/>
    </row>
    <row r="111" ht="15.5" customHeight="1">
      <c r="A111" s="30" t="n"/>
      <c r="B111" s="30" t="inlineStr">
        <is>
          <t>EJE 10</t>
        </is>
      </c>
      <c r="C111" s="31" t="n">
        <v>1</v>
      </c>
      <c r="D111" s="31" t="n"/>
      <c r="E111" s="31" t="n"/>
      <c r="F111" s="31" t="n"/>
      <c r="G111" s="31" t="n"/>
      <c r="H111" s="31" t="n"/>
      <c r="I111" s="31" t="n"/>
      <c r="J111" s="31">
        <f>+'CONCRETO EN CUNETAS'!O46</f>
        <v/>
      </c>
      <c r="K111" s="31" t="n"/>
      <c r="L111" s="30" t="n"/>
    </row>
    <row r="112" ht="15.5" customHeight="1">
      <c r="A112" s="30" t="n"/>
      <c r="B112" s="30" t="inlineStr">
        <is>
          <t>EJE 11</t>
        </is>
      </c>
      <c r="C112" s="31" t="n">
        <v>1</v>
      </c>
      <c r="D112" s="31" t="n"/>
      <c r="E112" s="31" t="n"/>
      <c r="F112" s="31" t="n"/>
      <c r="G112" s="31" t="n"/>
      <c r="H112" s="31" t="n"/>
      <c r="I112" s="31" t="n"/>
      <c r="J112" s="31">
        <f>+'CONCRETO EN CUNETAS'!O58</f>
        <v/>
      </c>
      <c r="K112" s="31" t="n"/>
      <c r="L112" s="30" t="n"/>
    </row>
    <row r="113" ht="15.5" customHeight="1">
      <c r="A113" s="30" t="n"/>
      <c r="B113" s="30" t="inlineStr">
        <is>
          <t>EJE 12</t>
        </is>
      </c>
      <c r="C113" s="31" t="n">
        <v>1</v>
      </c>
      <c r="D113" s="31" t="n"/>
      <c r="E113" s="31" t="n"/>
      <c r="F113" s="31" t="n"/>
      <c r="G113" s="31" t="n"/>
      <c r="H113" s="31" t="n"/>
      <c r="I113" s="31" t="n"/>
      <c r="J113" s="31">
        <f>+'CONCRETO EN CUNETAS'!O70</f>
        <v/>
      </c>
      <c r="K113" s="31" t="n"/>
      <c r="L113" s="30" t="n"/>
    </row>
    <row r="114" ht="31" customHeight="1">
      <c r="A114" s="28" t="inlineStr">
        <is>
          <t>01.04.03.04.02.02</t>
        </is>
      </c>
      <c r="B114" s="28" t="inlineStr">
        <is>
          <t>ENCOFRADO Y DESENCOFRADO DE CUNETA</t>
        </is>
      </c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29">
        <f>SUM(J115:J126)</f>
        <v/>
      </c>
      <c r="L114" s="28" t="inlineStr">
        <is>
          <t>m²</t>
        </is>
      </c>
    </row>
    <row r="115" ht="15.5" customHeight="1">
      <c r="A115" s="30" t="n"/>
      <c r="B115" s="30" t="inlineStr">
        <is>
          <t>EJE 1</t>
        </is>
      </c>
      <c r="C115" s="31" t="n">
        <v>1</v>
      </c>
      <c r="D115" s="31" t="n"/>
      <c r="E115" s="31" t="n"/>
      <c r="F115" s="31" t="n"/>
      <c r="G115" s="31" t="n"/>
      <c r="H115" s="31" t="n"/>
      <c r="I115" s="31" t="n"/>
      <c r="J115" s="31">
        <f>+'ENCOFRADO Y DESENCOFRADO'!H12</f>
        <v/>
      </c>
      <c r="K115" s="31" t="n"/>
      <c r="L115" s="30" t="n"/>
    </row>
    <row r="116" ht="15.5" customHeight="1">
      <c r="A116" s="30" t="n"/>
      <c r="B116" s="30" t="inlineStr">
        <is>
          <t>EJE 2</t>
        </is>
      </c>
      <c r="C116" s="31" t="n">
        <v>1</v>
      </c>
      <c r="D116" s="31" t="n"/>
      <c r="E116" s="31" t="n"/>
      <c r="F116" s="31" t="n"/>
      <c r="G116" s="31" t="n"/>
      <c r="H116" s="31" t="n"/>
      <c r="I116" s="31" t="n"/>
      <c r="J116" s="31">
        <f>+'ENCOFRADO Y DESENCOFRADO'!P12</f>
        <v/>
      </c>
      <c r="K116" s="31" t="n"/>
      <c r="L116" s="30" t="n"/>
    </row>
    <row r="117" ht="15.5" customHeight="1">
      <c r="A117" s="30" t="n"/>
      <c r="B117" s="30" t="inlineStr">
        <is>
          <t>EJE 3</t>
        </is>
      </c>
      <c r="C117" s="31" t="n">
        <v>1</v>
      </c>
      <c r="D117" s="31" t="n"/>
      <c r="E117" s="31" t="n"/>
      <c r="F117" s="31" t="n"/>
      <c r="G117" s="31" t="n"/>
      <c r="H117" s="31" t="n"/>
      <c r="I117" s="31" t="n"/>
      <c r="J117" s="31">
        <f>+'ENCOFRADO Y DESENCOFRADO'!H23</f>
        <v/>
      </c>
      <c r="K117" s="31" t="n"/>
      <c r="L117" s="30" t="n"/>
    </row>
    <row r="118" ht="15.5" customHeight="1">
      <c r="A118" s="30" t="n"/>
      <c r="B118" s="30" t="inlineStr">
        <is>
          <t>EJE 4</t>
        </is>
      </c>
      <c r="C118" s="31" t="n">
        <v>1</v>
      </c>
      <c r="D118" s="31" t="n"/>
      <c r="E118" s="31" t="n"/>
      <c r="F118" s="31" t="n"/>
      <c r="G118" s="31" t="n"/>
      <c r="H118" s="31" t="n"/>
      <c r="I118" s="31" t="n"/>
      <c r="J118" s="31">
        <f>+'ENCOFRADO Y DESENCOFRADO'!P23</f>
        <v/>
      </c>
      <c r="K118" s="31" t="n"/>
      <c r="L118" s="30" t="n"/>
    </row>
    <row r="119" ht="15.5" customHeight="1">
      <c r="A119" s="30" t="n"/>
      <c r="B119" s="30" t="inlineStr">
        <is>
          <t>EJE 5</t>
        </is>
      </c>
      <c r="C119" s="31" t="n">
        <v>1</v>
      </c>
      <c r="D119" s="31" t="n"/>
      <c r="E119" s="31" t="n"/>
      <c r="F119" s="31" t="n"/>
      <c r="G119" s="31" t="n"/>
      <c r="H119" s="31" t="n"/>
      <c r="I119" s="31" t="n"/>
      <c r="J119" s="31">
        <f>+'ENCOFRADO Y DESENCOFRADO'!H34</f>
        <v/>
      </c>
      <c r="K119" s="31" t="n"/>
      <c r="L119" s="30" t="n"/>
    </row>
    <row r="120" ht="15.5" customHeight="1">
      <c r="A120" s="30" t="n"/>
      <c r="B120" s="30" t="inlineStr">
        <is>
          <t>EJE 6</t>
        </is>
      </c>
      <c r="C120" s="31" t="n">
        <v>1</v>
      </c>
      <c r="D120" s="31" t="n"/>
      <c r="E120" s="31" t="n"/>
      <c r="F120" s="31" t="n"/>
      <c r="G120" s="31" t="n"/>
      <c r="H120" s="31" t="n"/>
      <c r="I120" s="31" t="n"/>
      <c r="J120" s="31">
        <f>+'ENCOFRADO Y DESENCOFRADO'!P34</f>
        <v/>
      </c>
      <c r="K120" s="31" t="n"/>
      <c r="L120" s="30" t="n"/>
    </row>
    <row r="121" ht="15.5" customHeight="1">
      <c r="A121" s="30" t="n"/>
      <c r="B121" s="30" t="inlineStr">
        <is>
          <t>EJE 7</t>
        </is>
      </c>
      <c r="C121" s="31" t="n">
        <v>1</v>
      </c>
      <c r="D121" s="31" t="n"/>
      <c r="E121" s="31" t="n"/>
      <c r="F121" s="31" t="n"/>
      <c r="G121" s="31" t="n"/>
      <c r="H121" s="31" t="n"/>
      <c r="I121" s="31" t="n"/>
      <c r="J121" s="31">
        <f>+'ENCOFRADO Y DESENCOFRADO'!H45</f>
        <v/>
      </c>
      <c r="K121" s="31" t="n"/>
      <c r="L121" s="30" t="n"/>
    </row>
    <row r="122" ht="15.5" customHeight="1">
      <c r="A122" s="30" t="n"/>
      <c r="B122" s="30" t="inlineStr">
        <is>
          <t>EJE 8</t>
        </is>
      </c>
      <c r="C122" s="31" t="n">
        <v>1</v>
      </c>
      <c r="D122" s="31" t="n"/>
      <c r="E122" s="31" t="n"/>
      <c r="F122" s="31" t="n"/>
      <c r="G122" s="31" t="n"/>
      <c r="H122" s="31" t="n"/>
      <c r="I122" s="31" t="n"/>
      <c r="J122" s="31">
        <f>+'ENCOFRADO Y DESENCOFRADO'!P45</f>
        <v/>
      </c>
      <c r="K122" s="31" t="n"/>
      <c r="L122" s="30" t="n"/>
    </row>
    <row r="123" ht="15.5" customHeight="1">
      <c r="A123" s="30" t="n"/>
      <c r="B123" s="30" t="inlineStr">
        <is>
          <t>EJE 9</t>
        </is>
      </c>
      <c r="C123" s="31" t="n">
        <v>1</v>
      </c>
      <c r="D123" s="31" t="n"/>
      <c r="E123" s="31" t="n"/>
      <c r="F123" s="31" t="n"/>
      <c r="G123" s="31" t="n"/>
      <c r="H123" s="31" t="n"/>
      <c r="I123" s="31" t="n"/>
      <c r="J123" s="31">
        <f>+'ENCOFRADO Y DESENCOFRADO'!H57</f>
        <v/>
      </c>
      <c r="K123" s="31" t="n"/>
      <c r="L123" s="30" t="n"/>
    </row>
    <row r="124" ht="15.5" customHeight="1">
      <c r="A124" s="30" t="n"/>
      <c r="B124" s="30" t="inlineStr">
        <is>
          <t>EJE 10</t>
        </is>
      </c>
      <c r="C124" s="31" t="n">
        <v>1</v>
      </c>
      <c r="D124" s="31" t="n"/>
      <c r="E124" s="31" t="n"/>
      <c r="F124" s="31" t="n"/>
      <c r="G124" s="31" t="n"/>
      <c r="H124" s="31" t="n"/>
      <c r="I124" s="31" t="n"/>
      <c r="J124" s="31">
        <f>+'ENCOFRADO Y DESENCOFRADO'!P57</f>
        <v/>
      </c>
      <c r="K124" s="31" t="n"/>
      <c r="L124" s="30" t="n"/>
    </row>
    <row r="125" ht="15.5" customHeight="1">
      <c r="A125" s="30" t="n"/>
      <c r="B125" s="30" t="inlineStr">
        <is>
          <t>EJE 11</t>
        </is>
      </c>
      <c r="C125" s="31" t="n">
        <v>1</v>
      </c>
      <c r="D125" s="31" t="n"/>
      <c r="E125" s="31" t="n"/>
      <c r="F125" s="31" t="n"/>
      <c r="G125" s="31" t="n"/>
      <c r="H125" s="31" t="n"/>
      <c r="I125" s="31" t="n"/>
      <c r="J125" s="31">
        <f>+'ENCOFRADO Y DESENCOFRADO'!H69</f>
        <v/>
      </c>
      <c r="K125" s="31" t="n"/>
      <c r="L125" s="30" t="n"/>
    </row>
    <row r="126" ht="15.5" customHeight="1">
      <c r="A126" s="30" t="n"/>
      <c r="B126" s="30" t="inlineStr">
        <is>
          <t>EJE 12</t>
        </is>
      </c>
      <c r="C126" s="31" t="n">
        <v>1</v>
      </c>
      <c r="D126" s="31" t="n"/>
      <c r="E126" s="31" t="n"/>
      <c r="F126" s="31" t="n"/>
      <c r="G126" s="31" t="n"/>
      <c r="H126" s="31" t="n"/>
      <c r="I126" s="31" t="n"/>
      <c r="J126" s="31">
        <f>+'ENCOFRADO Y DESENCOFRADO'!P69</f>
        <v/>
      </c>
      <c r="K126" s="31" t="n"/>
      <c r="L126" s="30" t="n"/>
    </row>
    <row r="127" ht="31" customHeight="1">
      <c r="A127" s="28" t="inlineStr">
        <is>
          <t>01.04.03.04.02.03</t>
        </is>
      </c>
      <c r="B127" s="28" t="inlineStr">
        <is>
          <t>ACERO f'y=4200 kg/cm2 PARA CUNETA</t>
        </is>
      </c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>
        <f>+'METRADO ACERO'!AG38</f>
        <v/>
      </c>
      <c r="L127" s="28" t="inlineStr">
        <is>
          <t>kg</t>
        </is>
      </c>
    </row>
    <row r="128" ht="15.5" customHeight="1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1" t="n"/>
      <c r="L128" s="30" t="n"/>
    </row>
    <row r="129" ht="15.5" customHeight="1">
      <c r="A129" s="38" t="inlineStr">
        <is>
          <t>01.04.03.04.02.04</t>
        </is>
      </c>
      <c r="B129" s="38" t="inlineStr">
        <is>
          <t>CURADO DE CONCRETO EN CUNETA</t>
        </is>
      </c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9">
        <f>+'METRADO DE CURADO'!M38</f>
        <v/>
      </c>
      <c r="L129" s="38" t="inlineStr">
        <is>
          <t>m²</t>
        </is>
      </c>
    </row>
    <row r="130" ht="15.5" customHeight="1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3" t="n"/>
      <c r="L130" s="42" t="n"/>
    </row>
    <row r="131" ht="15.5" customHeight="1">
      <c r="A131" s="206" t="inlineStr">
        <is>
          <t>01.04.03.04.03</t>
        </is>
      </c>
      <c r="B131" s="210" t="inlineStr">
        <is>
          <t>VARIOS</t>
        </is>
      </c>
      <c r="C131" s="313" t="n"/>
      <c r="D131" s="313" t="n"/>
      <c r="E131" s="313" t="n"/>
      <c r="F131" s="313" t="n"/>
      <c r="G131" s="313" t="n"/>
      <c r="H131" s="313" t="n"/>
      <c r="I131" s="313" t="n"/>
      <c r="J131" s="313" t="n"/>
      <c r="K131" s="313" t="n"/>
      <c r="L131" s="314" t="n"/>
    </row>
    <row r="132" ht="46.5" customHeight="1">
      <c r="A132" s="28" t="inlineStr">
        <is>
          <t>01.04.03.04.03.01</t>
        </is>
      </c>
      <c r="B132" s="28" t="inlineStr">
        <is>
          <t>REJILLA METALICA P/CUNETA C/PL 1''x 3/16'' Y ANGULO 1'' x 1'' x 3/16'', S/DETALLE</t>
        </is>
      </c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32">
        <f>+'METRADO DE REJILLAS'!G38</f>
        <v/>
      </c>
      <c r="L132" s="44" t="inlineStr">
        <is>
          <t>ml</t>
        </is>
      </c>
    </row>
    <row r="133" ht="15.5" customHeight="1">
      <c r="A133" s="38" t="inlineStr">
        <is>
          <t>01.04.03.04.03.02</t>
        </is>
      </c>
      <c r="B133" s="38" t="inlineStr">
        <is>
          <t>TAPA DE INSPECCION 0.60m x 0.60m</t>
        </is>
      </c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45">
        <f>+'PLANILLA TAPAS REGISTRO INTERNO'!J9</f>
        <v/>
      </c>
      <c r="L133" s="46" t="inlineStr">
        <is>
          <t>und</t>
        </is>
      </c>
    </row>
    <row r="134" ht="31" customHeight="1">
      <c r="A134" s="38" t="inlineStr">
        <is>
          <t>01.04.03.04.03.03</t>
        </is>
      </c>
      <c r="B134" s="38" t="inlineStr">
        <is>
          <t>JUNTA DE DILATACION E=1" CON SELLADOR ASFALTO</t>
        </is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193">
        <f>+'METRADO JUNTA DE DILATACION'!J12</f>
        <v/>
      </c>
      <c r="L134" s="46" t="inlineStr">
        <is>
          <t>m</t>
        </is>
      </c>
    </row>
    <row r="135" ht="15.5" customHeight="1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1" t="n"/>
      <c r="L135" s="40" t="n"/>
    </row>
    <row r="136" ht="15.5" customHeight="1">
      <c r="A136" s="209" t="inlineStr">
        <is>
          <t>01.04.03.05</t>
        </is>
      </c>
      <c r="B136" s="209" t="inlineStr">
        <is>
          <t>RED DE COLECCIÓN</t>
        </is>
      </c>
      <c r="C136" s="313" t="n"/>
      <c r="D136" s="313" t="n"/>
      <c r="E136" s="313" t="n"/>
      <c r="F136" s="313" t="n"/>
      <c r="G136" s="313" t="n"/>
      <c r="H136" s="313" t="n"/>
      <c r="I136" s="313" t="n"/>
      <c r="J136" s="313" t="n"/>
      <c r="K136" s="313" t="n"/>
      <c r="L136" s="314" t="n"/>
    </row>
    <row r="137" ht="15.5" customHeight="1">
      <c r="A137" s="206" t="inlineStr">
        <is>
          <t>01.04.03.05.01</t>
        </is>
      </c>
      <c r="B137" s="206" t="inlineStr">
        <is>
          <t>RED DE RECOLECCION TECHO</t>
        </is>
      </c>
      <c r="C137" s="313" t="n"/>
      <c r="D137" s="313" t="n"/>
      <c r="E137" s="313" t="n"/>
      <c r="F137" s="313" t="n"/>
      <c r="G137" s="313" t="n"/>
      <c r="H137" s="313" t="n"/>
      <c r="I137" s="313" t="n"/>
      <c r="J137" s="313" t="n"/>
      <c r="K137" s="313" t="n"/>
      <c r="L137" s="314" t="n"/>
    </row>
    <row r="138" ht="15.5" customHeight="1">
      <c r="A138" s="28" t="inlineStr">
        <is>
          <t>01.04.03.05.01.01</t>
        </is>
      </c>
      <c r="B138" s="28" t="inlineStr">
        <is>
          <t>MONTANTE CON TUBERÍA PVC DE 4"</t>
        </is>
      </c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113">
        <f>+'METRADO MONTANTES'!F57</f>
        <v/>
      </c>
      <c r="L138" s="28" t="inlineStr">
        <is>
          <t>m</t>
        </is>
      </c>
    </row>
    <row r="139" ht="31" customHeight="1">
      <c r="A139" s="38" t="inlineStr">
        <is>
          <t>01.04.03.05.01.04</t>
        </is>
      </c>
      <c r="B139" s="38" t="inlineStr">
        <is>
          <t>FALSA COLUMNA P/MONTANTE DE 0.20m x 0.15m x 1.30m</t>
        </is>
      </c>
      <c r="C139" s="38" t="n"/>
      <c r="D139" s="38" t="n"/>
      <c r="E139" s="38" t="n"/>
      <c r="F139" s="38" t="n"/>
      <c r="G139" s="38" t="n"/>
      <c r="H139" s="38" t="n"/>
      <c r="I139" s="38" t="n"/>
      <c r="J139" s="39" t="n"/>
      <c r="K139" s="45" t="n">
        <v>62</v>
      </c>
      <c r="L139" s="38" t="inlineStr">
        <is>
          <t>und</t>
        </is>
      </c>
    </row>
    <row r="140" ht="31" customHeight="1">
      <c r="A140" s="168" t="inlineStr">
        <is>
          <t>01.04.03.05.01.04,01</t>
        </is>
      </c>
      <c r="B140" s="47" t="inlineStr">
        <is>
          <t>CONCRETO F´C=175 KG/CM2 EN FALSA COLUMNA</t>
        </is>
      </c>
      <c r="C140" s="48" t="n">
        <v>62</v>
      </c>
      <c r="D140" s="49" t="n"/>
      <c r="E140" s="49" t="n"/>
      <c r="F140" s="49" t="n"/>
      <c r="G140" s="49" t="n"/>
      <c r="H140" s="50" t="n"/>
      <c r="I140" s="50" t="n"/>
      <c r="J140" s="50" t="n"/>
      <c r="K140" s="51">
        <f>J141*C140</f>
        <v/>
      </c>
      <c r="L140" s="47" t="inlineStr">
        <is>
          <t>m3</t>
        </is>
      </c>
    </row>
    <row r="141" ht="15.5" customHeight="1">
      <c r="A141" s="169" t="n"/>
      <c r="B141" s="40" t="n"/>
      <c r="C141" s="52" t="n"/>
      <c r="D141" s="53" t="n">
        <v>1.3</v>
      </c>
      <c r="E141" s="53" t="n">
        <v>0.15</v>
      </c>
      <c r="F141" s="53" t="n">
        <v>0.2</v>
      </c>
      <c r="G141" s="54" t="n"/>
      <c r="H141" s="41" t="n"/>
      <c r="I141" s="41" t="n"/>
      <c r="J141" s="41">
        <f>D141*E141*F141</f>
        <v/>
      </c>
      <c r="K141" s="55" t="n"/>
      <c r="L141" s="40" t="n"/>
    </row>
    <row r="142" ht="46.5" customHeight="1">
      <c r="A142" s="170" t="inlineStr">
        <is>
          <t>01.04.03.05.01.04,02</t>
        </is>
      </c>
      <c r="B142" s="47" t="inlineStr">
        <is>
          <t>ENCOFRADO Y DESENCOFRADO EN FALSA COLUMNA - MONTANTE PLUVIAL</t>
        </is>
      </c>
      <c r="C142" s="56" t="n">
        <v>62</v>
      </c>
      <c r="D142" s="47" t="n"/>
      <c r="E142" s="47" t="n"/>
      <c r="F142" s="47" t="n"/>
      <c r="G142" s="47" t="n"/>
      <c r="H142" s="50" t="n"/>
      <c r="I142" s="50" t="n"/>
      <c r="J142" s="50" t="n"/>
      <c r="K142" s="57">
        <f>K143*C142</f>
        <v/>
      </c>
      <c r="L142" s="47" t="inlineStr">
        <is>
          <t>m2</t>
        </is>
      </c>
    </row>
    <row r="143" ht="15.5" customHeight="1">
      <c r="A143" s="59" t="n"/>
      <c r="B143" s="40" t="n"/>
      <c r="C143" s="58" t="n">
        <v>2</v>
      </c>
      <c r="D143" s="53" t="n">
        <v>1.3</v>
      </c>
      <c r="E143" s="53" t="n">
        <v>0.15</v>
      </c>
      <c r="F143" s="40" t="n"/>
      <c r="G143" s="40" t="n"/>
      <c r="H143" s="41" t="n"/>
      <c r="I143" s="41" t="n"/>
      <c r="J143" s="41">
        <f>C143*D143*E143</f>
        <v/>
      </c>
      <c r="K143" s="207">
        <f>J143+J144</f>
        <v/>
      </c>
      <c r="L143" s="40" t="n"/>
    </row>
    <row r="144" ht="15.5" customHeight="1">
      <c r="A144" s="59" t="n"/>
      <c r="B144" s="40" t="n"/>
      <c r="C144" s="58" t="n">
        <v>1</v>
      </c>
      <c r="D144" s="53" t="n">
        <v>1.3</v>
      </c>
      <c r="E144" s="53" t="n">
        <v>0.2</v>
      </c>
      <c r="F144" s="40" t="n"/>
      <c r="G144" s="40" t="n"/>
      <c r="H144" s="41" t="n"/>
      <c r="I144" s="41" t="n"/>
      <c r="J144" s="41">
        <f>C144*D144*E144</f>
        <v/>
      </c>
      <c r="K144" s="315" t="n"/>
      <c r="L144" s="40" t="n"/>
    </row>
    <row r="145" ht="31" customHeight="1">
      <c r="A145" s="170" t="inlineStr">
        <is>
          <t>01.04.03.05.01.04,03</t>
        </is>
      </c>
      <c r="B145" s="47" t="inlineStr">
        <is>
          <t>ACERO FY=4200 KG/CM2 EN FALSA COLUMNA (MONTANTE PLUVIAL)</t>
        </is>
      </c>
      <c r="C145" s="56" t="n">
        <v>62</v>
      </c>
      <c r="D145" s="47" t="n"/>
      <c r="E145" s="47" t="n"/>
      <c r="F145" s="47" t="n"/>
      <c r="G145" s="47" t="n"/>
      <c r="H145" s="50" t="n"/>
      <c r="I145" s="50" t="n"/>
      <c r="J145" s="50" t="n"/>
      <c r="K145" s="57">
        <f>K146*C145</f>
        <v/>
      </c>
      <c r="L145" s="47" t="inlineStr">
        <is>
          <t>Kgr</t>
        </is>
      </c>
    </row>
    <row r="146" ht="15.5" customHeight="1">
      <c r="A146" s="59" t="n"/>
      <c r="B146" s="30" t="inlineStr">
        <is>
          <t>Acero Longitudinal</t>
        </is>
      </c>
      <c r="C146" s="30" t="n"/>
      <c r="D146" s="31" t="n">
        <v>1.2</v>
      </c>
      <c r="E146" s="31" t="n">
        <v>4</v>
      </c>
      <c r="F146" s="31" t="n">
        <v>0.5600000000000001</v>
      </c>
      <c r="G146" s="31" t="n"/>
      <c r="H146" s="31" t="n"/>
      <c r="I146" s="31" t="n"/>
      <c r="J146" s="31">
        <f>D146*E146*F146</f>
        <v/>
      </c>
      <c r="K146" s="208">
        <f>+J146+J147</f>
        <v/>
      </c>
      <c r="L146" s="30" t="n"/>
    </row>
    <row r="147" ht="15.5" customHeight="1">
      <c r="A147" s="59" t="n"/>
      <c r="B147" s="30" t="inlineStr">
        <is>
          <t>Acero Transversal</t>
        </is>
      </c>
      <c r="C147" s="30" t="n"/>
      <c r="D147" s="31" t="n">
        <v>0.58</v>
      </c>
      <c r="E147" s="31" t="n">
        <v>9</v>
      </c>
      <c r="F147" s="31" t="n">
        <v>0.5600000000000001</v>
      </c>
      <c r="G147" s="31" t="n"/>
      <c r="H147" s="31" t="n"/>
      <c r="I147" s="31" t="n"/>
      <c r="J147" s="31">
        <f>D147*E147*F147</f>
        <v/>
      </c>
      <c r="K147" s="315" t="n"/>
      <c r="L147" s="30" t="n"/>
    </row>
    <row r="148" ht="15.5" customHeight="1">
      <c r="A148" s="59" t="n"/>
      <c r="B148" s="40" t="n"/>
      <c r="C148" s="40" t="n"/>
      <c r="D148" s="40" t="n"/>
      <c r="E148" s="40" t="n"/>
      <c r="F148" s="40" t="n"/>
      <c r="G148" s="40" t="n"/>
      <c r="H148" s="41" t="n"/>
      <c r="I148" s="41" t="n"/>
      <c r="J148" s="41" t="n"/>
      <c r="K148" s="41" t="n"/>
      <c r="L148" s="40" t="n"/>
    </row>
    <row r="149" ht="15.5" customHeight="1">
      <c r="A149" s="206" t="inlineStr">
        <is>
          <t>01.04.03.05.02</t>
        </is>
      </c>
      <c r="B149" s="206" t="inlineStr">
        <is>
          <t>RED DE RECOLECCION PISO</t>
        </is>
      </c>
      <c r="C149" s="206" t="n"/>
      <c r="D149" s="206" t="n"/>
      <c r="E149" s="206" t="n"/>
      <c r="F149" s="206" t="n"/>
      <c r="G149" s="206" t="n"/>
      <c r="H149" s="206" t="n"/>
      <c r="I149" s="206" t="n"/>
      <c r="J149" s="37" t="n"/>
      <c r="K149" s="37" t="n"/>
      <c r="L149" s="206" t="n"/>
    </row>
    <row r="150" ht="15.5" customHeight="1">
      <c r="A150" s="28" t="inlineStr">
        <is>
          <t>01.04.03.05.02.01</t>
        </is>
      </c>
      <c r="B150" s="28" t="inlineStr">
        <is>
          <t>TUBERIA DESAGÜE PVC-CP Ø4" x 3m</t>
        </is>
      </c>
      <c r="C150" s="28" t="n"/>
      <c r="D150" s="28" t="n"/>
      <c r="E150" s="28" t="n"/>
      <c r="F150" s="28" t="n"/>
      <c r="G150" s="28" t="n"/>
      <c r="H150" s="28" t="n"/>
      <c r="I150" s="28" t="n"/>
      <c r="J150" s="29" t="n"/>
      <c r="K150" s="194">
        <f>+'METRADO  EN PISO (SUMIDERO)'!B12</f>
        <v/>
      </c>
      <c r="L150" s="28" t="inlineStr">
        <is>
          <t>m</t>
        </is>
      </c>
    </row>
    <row r="151" ht="31" customHeight="1">
      <c r="A151" s="38" t="inlineStr">
        <is>
          <t>01.04.03.05.02.02</t>
        </is>
      </c>
      <c r="B151" s="38" t="inlineStr">
        <is>
          <t>SUMIDERO METALICO C/PLATINA 1" X 3/16"</t>
        </is>
      </c>
      <c r="C151" s="38" t="n"/>
      <c r="D151" s="38" t="n"/>
      <c r="E151" s="38" t="n"/>
      <c r="F151" s="38" t="n"/>
      <c r="G151" s="38" t="n"/>
      <c r="H151" s="38" t="n"/>
      <c r="I151" s="38" t="n"/>
      <c r="J151" s="39" t="n"/>
      <c r="K151" s="194">
        <f>+'METRADO  EN PISO (SUMIDERO)'!C12</f>
        <v/>
      </c>
      <c r="L151" s="38" t="inlineStr">
        <is>
          <t>und</t>
        </is>
      </c>
    </row>
    <row r="152" ht="15.5" customHeight="1">
      <c r="A152" s="38" t="inlineStr">
        <is>
          <t>01.04.03.05.02.03</t>
        </is>
      </c>
      <c r="B152" s="38" t="inlineStr">
        <is>
          <t>CODO 90° x 4"</t>
        </is>
      </c>
      <c r="C152" s="38" t="n"/>
      <c r="D152" s="38" t="n"/>
      <c r="E152" s="38" t="n"/>
      <c r="F152" s="38" t="n"/>
      <c r="G152" s="38" t="n"/>
      <c r="H152" s="38" t="n"/>
      <c r="I152" s="38" t="n"/>
      <c r="J152" s="39" t="n"/>
      <c r="K152" s="194">
        <f>+'METRADO  EN PISO (SUMIDERO)'!D12</f>
        <v/>
      </c>
      <c r="L152" s="38" t="inlineStr">
        <is>
          <t>und</t>
        </is>
      </c>
    </row>
    <row r="153" ht="15.5" customHeight="1">
      <c r="A153" s="38" t="inlineStr">
        <is>
          <t>01.04.03.05.02.04</t>
        </is>
      </c>
      <c r="B153" s="38" t="inlineStr">
        <is>
          <t>TEE° x 4"</t>
        </is>
      </c>
      <c r="C153" s="38" t="n"/>
      <c r="D153" s="38" t="n"/>
      <c r="E153" s="38" t="n"/>
      <c r="F153" s="38" t="n"/>
      <c r="G153" s="38" t="n"/>
      <c r="H153" s="38" t="n"/>
      <c r="I153" s="38" t="n"/>
      <c r="J153" s="39" t="n"/>
      <c r="K153" s="194">
        <f>+'METRADO  EN PISO (SUMIDERO)'!F12</f>
        <v/>
      </c>
      <c r="L153" s="38" t="inlineStr">
        <is>
          <t>und</t>
        </is>
      </c>
    </row>
    <row r="154" ht="15.5" customHeight="1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1" t="n"/>
      <c r="K154" s="41" t="n"/>
      <c r="L154" s="40" t="n"/>
    </row>
    <row r="155" ht="15.5" customHeight="1">
      <c r="A155" s="206" t="inlineStr">
        <is>
          <t>01.04.03.05.03</t>
        </is>
      </c>
      <c r="B155" s="206" t="inlineStr">
        <is>
          <t>ACCESORIOS</t>
        </is>
      </c>
      <c r="C155" s="206" t="n"/>
      <c r="D155" s="206" t="n"/>
      <c r="E155" s="206" t="n"/>
      <c r="F155" s="206" t="n"/>
      <c r="G155" s="206" t="n"/>
      <c r="H155" s="206" t="n"/>
      <c r="I155" s="206" t="n"/>
      <c r="J155" s="37" t="n"/>
      <c r="K155" s="37" t="n"/>
      <c r="L155" s="206" t="n"/>
    </row>
    <row r="156" ht="15.5" customHeight="1">
      <c r="A156" s="38" t="inlineStr">
        <is>
          <t>01.04.03.05.03.01</t>
        </is>
      </c>
      <c r="B156" s="38" t="inlineStr">
        <is>
          <t>CODO DESAGÜE PVC Ø4" x 45°</t>
        </is>
      </c>
      <c r="C156" s="38" t="n"/>
      <c r="D156" s="38" t="n"/>
      <c r="E156" s="38" t="n"/>
      <c r="F156" s="38" t="n"/>
      <c r="G156" s="38" t="n"/>
      <c r="H156" s="38" t="n"/>
      <c r="I156" s="38" t="n"/>
      <c r="J156" s="39" t="n"/>
      <c r="K156" s="114">
        <f>+'METRADO MONTANTES'!R57</f>
        <v/>
      </c>
      <c r="L156" s="38" t="inlineStr">
        <is>
          <t>und</t>
        </is>
      </c>
    </row>
    <row r="157" ht="15.5" customHeight="1">
      <c r="A157" s="38" t="inlineStr">
        <is>
          <t>01.04.03.05.03.02</t>
        </is>
      </c>
      <c r="B157" s="28" t="inlineStr">
        <is>
          <t>CODO DESAGÜE PVC Ø4" x 90°</t>
        </is>
      </c>
      <c r="C157" s="28" t="n"/>
      <c r="D157" s="28" t="n"/>
      <c r="E157" s="28" t="n"/>
      <c r="F157" s="28" t="n"/>
      <c r="G157" s="28" t="n"/>
      <c r="H157" s="28" t="n"/>
      <c r="I157" s="28" t="n"/>
      <c r="J157" s="29" t="n"/>
      <c r="K157" s="114">
        <f>+'METRADO MONTANTES'!I57</f>
        <v/>
      </c>
      <c r="L157" s="28" t="inlineStr">
        <is>
          <t>und</t>
        </is>
      </c>
    </row>
    <row r="158" ht="15.5" customHeight="1">
      <c r="A158" s="38" t="inlineStr">
        <is>
          <t>01.04.03.05.03.03</t>
        </is>
      </c>
      <c r="B158" s="28" t="inlineStr">
        <is>
          <t>TEE DESAGÜE PVC Ø4"</t>
        </is>
      </c>
      <c r="C158" s="28" t="n"/>
      <c r="D158" s="28" t="n"/>
      <c r="E158" s="28" t="n"/>
      <c r="F158" s="28" t="n"/>
      <c r="G158" s="28" t="n"/>
      <c r="H158" s="28" t="n"/>
      <c r="I158" s="28" t="n"/>
      <c r="J158" s="29" t="n"/>
      <c r="K158" s="114" t="n"/>
      <c r="L158" s="28" t="inlineStr">
        <is>
          <t>und</t>
        </is>
      </c>
    </row>
    <row r="159" ht="31" customHeight="1">
      <c r="A159" s="38" t="inlineStr">
        <is>
          <t>01.04.03.05.03.04</t>
        </is>
      </c>
      <c r="B159" s="28" t="inlineStr">
        <is>
          <t>COLGADOR F°G° P/TUBERIA PVC Ø4"</t>
        </is>
      </c>
      <c r="C159" s="28" t="n"/>
      <c r="D159" s="28" t="n"/>
      <c r="E159" s="28" t="n"/>
      <c r="F159" s="28" t="n"/>
      <c r="G159" s="28" t="n"/>
      <c r="H159" s="28" t="n"/>
      <c r="I159" s="28" t="n"/>
      <c r="J159" s="29" t="n"/>
      <c r="K159" s="114">
        <f>+'METRADO MONTANTES'!O57</f>
        <v/>
      </c>
      <c r="L159" s="28" t="inlineStr">
        <is>
          <t>und</t>
        </is>
      </c>
    </row>
    <row r="160" ht="31" customHeight="1">
      <c r="A160" s="38" t="inlineStr">
        <is>
          <t>01.04.03.05.03.05</t>
        </is>
      </c>
      <c r="B160" s="28" t="inlineStr">
        <is>
          <t>ABRAZADERA DE F°G° P/TUBERIA PVC Ø4"</t>
        </is>
      </c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114">
        <f>+'METRADO MONTANTES'!L57</f>
        <v/>
      </c>
      <c r="L160" s="28" t="inlineStr">
        <is>
          <t>und</t>
        </is>
      </c>
    </row>
    <row r="162">
      <c r="A162" s="209" t="inlineStr">
        <is>
          <t>01.04.04</t>
        </is>
      </c>
      <c r="B162" s="209" t="inlineStr">
        <is>
          <t>COLECTOR PLUVIAL FRONTAL (TRAMO HOGAR DE REFUGIO - EMPALME CON CAR MUJERES)</t>
        </is>
      </c>
      <c r="C162" s="313" t="n"/>
      <c r="D162" s="313" t="n"/>
      <c r="E162" s="313" t="n"/>
      <c r="F162" s="313" t="n"/>
      <c r="G162" s="313" t="n"/>
      <c r="H162" s="313" t="n"/>
      <c r="I162" s="313" t="n"/>
      <c r="J162" s="313" t="n"/>
      <c r="K162" s="313" t="n"/>
      <c r="L162" s="314" t="n"/>
    </row>
    <row r="163">
      <c r="A163" s="209" t="inlineStr">
        <is>
          <t>01.04.04.01</t>
        </is>
      </c>
      <c r="B163" s="209" t="inlineStr">
        <is>
          <t>TRABAJOS PRELIMINARES</t>
        </is>
      </c>
      <c r="C163" s="313" t="n"/>
      <c r="D163" s="313" t="n"/>
      <c r="E163" s="313" t="n"/>
      <c r="F163" s="313" t="n"/>
      <c r="G163" s="313" t="n"/>
      <c r="H163" s="313" t="n"/>
      <c r="I163" s="313" t="n"/>
      <c r="J163" s="313" t="n"/>
      <c r="K163" s="313" t="n"/>
      <c r="L163" s="314" t="n"/>
    </row>
    <row r="164">
      <c r="A164" s="28" t="inlineStr">
        <is>
          <t>01.04.04.01.01</t>
        </is>
      </c>
      <c r="B164" s="28" t="inlineStr">
        <is>
          <t>LIMPIEZA MANUAL DE TERRENO</t>
        </is>
      </c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>
        <f>SUM(J165:J173)</f>
        <v/>
      </c>
      <c r="L164" s="28" t="inlineStr">
        <is>
          <t>m²</t>
        </is>
      </c>
    </row>
    <row r="165">
      <c r="A165" s="30" t="n"/>
      <c r="B165" s="30" t="inlineStr">
        <is>
          <t>Tramo normal (0+000.00 - 0+026.32)</t>
        </is>
      </c>
      <c r="C165" s="31" t="n">
        <v>1</v>
      </c>
      <c r="D165" s="31" t="n"/>
      <c r="E165" s="31" t="n"/>
      <c r="F165" s="31" t="n"/>
      <c r="G165" s="31" t="n"/>
      <c r="H165" s="31" t="n"/>
      <c r="I165" s="31" t="n"/>
      <c r="J165" s="31">
        <f>'COLECTOR MOV. TIERRAS'!M10</f>
        <v/>
      </c>
      <c r="K165" s="31" t="n"/>
      <c r="L165" s="30" t="n"/>
    </row>
    <row r="166">
      <c r="A166" s="30" t="n"/>
      <c r="B166" s="30" t="inlineStr">
        <is>
          <t>Cruce de camiones (0+026.32 - 0+031.33)</t>
        </is>
      </c>
      <c r="C166" s="31" t="n">
        <v>1</v>
      </c>
      <c r="D166" s="31" t="n"/>
      <c r="E166" s="31" t="n"/>
      <c r="F166" s="31" t="n"/>
      <c r="G166" s="31" t="n"/>
      <c r="H166" s="31" t="n"/>
      <c r="I166" s="31" t="n"/>
      <c r="J166" s="31">
        <f>'COLECTOR MOV. TIERRAS'!M11</f>
        <v/>
      </c>
      <c r="K166" s="31" t="n"/>
      <c r="L166" s="30" t="n"/>
    </row>
    <row r="167">
      <c r="A167" s="30" t="n"/>
      <c r="B167" s="30" t="inlineStr">
        <is>
          <t>Tramo normal (0+031.33 - 0+039.04)</t>
        </is>
      </c>
      <c r="C167" s="31" t="n">
        <v>1</v>
      </c>
      <c r="D167" s="31" t="n"/>
      <c r="E167" s="31" t="n"/>
      <c r="F167" s="31" t="n"/>
      <c r="G167" s="31" t="n"/>
      <c r="H167" s="31" t="n"/>
      <c r="I167" s="31" t="n"/>
      <c r="J167" s="31">
        <f>'COLECTOR MOV. TIERRAS'!M12</f>
        <v/>
      </c>
      <c r="K167" s="31" t="n"/>
      <c r="L167" s="30" t="n"/>
    </row>
    <row r="168">
      <c r="A168" s="30" t="n"/>
      <c r="B168" s="30" t="inlineStr">
        <is>
          <t>Cruce de motos (0+039.04 - 0+041.04)</t>
        </is>
      </c>
      <c r="C168" s="31" t="n">
        <v>1</v>
      </c>
      <c r="D168" s="31" t="n"/>
      <c r="E168" s="31" t="n"/>
      <c r="F168" s="31" t="n"/>
      <c r="G168" s="31" t="n"/>
      <c r="H168" s="31" t="n"/>
      <c r="I168" s="31" t="n"/>
      <c r="J168" s="31">
        <f>'COLECTOR MOV. TIERRAS'!M13</f>
        <v/>
      </c>
      <c r="K168" s="31" t="n"/>
      <c r="L168" s="30" t="n"/>
    </row>
    <row r="169">
      <c r="A169" s="30" t="n"/>
      <c r="B169" s="30" t="inlineStr">
        <is>
          <t>Tramo normal (0+041.04 - 0+058.81)</t>
        </is>
      </c>
      <c r="C169" s="31" t="n">
        <v>1</v>
      </c>
      <c r="D169" s="31" t="n"/>
      <c r="E169" s="31" t="n"/>
      <c r="F169" s="31" t="n"/>
      <c r="G169" s="31" t="n"/>
      <c r="H169" s="31" t="n"/>
      <c r="I169" s="31" t="n"/>
      <c r="J169" s="31">
        <f>'COLECTOR MOV. TIERRAS'!M14</f>
        <v/>
      </c>
      <c r="K169" s="31" t="n"/>
      <c r="L169" s="30" t="n"/>
    </row>
    <row r="170">
      <c r="A170" s="30" t="n"/>
      <c r="B170" s="30" t="inlineStr">
        <is>
          <t>Tramo diagonal (quiebres) (0+058.81 - 0+066.89)</t>
        </is>
      </c>
      <c r="C170" s="31" t="n">
        <v>1</v>
      </c>
      <c r="D170" s="31" t="n"/>
      <c r="E170" s="31" t="n"/>
      <c r="F170" s="31" t="n"/>
      <c r="G170" s="31" t="n"/>
      <c r="H170" s="31" t="n"/>
      <c r="I170" s="31" t="n"/>
      <c r="J170" s="31">
        <f>'COLECTOR MOV. TIERRAS'!M15</f>
        <v/>
      </c>
      <c r="K170" s="31" t="n"/>
      <c r="L170" s="30" t="n"/>
    </row>
    <row r="171">
      <c r="A171" s="30" t="n"/>
      <c r="B171" s="30" t="inlineStr">
        <is>
          <t>Tramo recto final (0+066.89 - 0+069.89)</t>
        </is>
      </c>
      <c r="C171" s="31" t="n">
        <v>1</v>
      </c>
      <c r="D171" s="31" t="n"/>
      <c r="E171" s="31" t="n"/>
      <c r="F171" s="31" t="n"/>
      <c r="G171" s="31" t="n"/>
      <c r="H171" s="31" t="n"/>
      <c r="I171" s="31" t="n"/>
      <c r="J171" s="31">
        <f>'COLECTOR MOV. TIERRAS'!M16</f>
        <v/>
      </c>
      <c r="K171" s="31" t="n"/>
      <c r="L171" s="30" t="n"/>
    </row>
    <row r="172">
      <c r="A172" s="30" t="n"/>
      <c r="B172" s="30" t="inlineStr">
        <is>
          <t>Caja de llegada CL</t>
        </is>
      </c>
      <c r="C172" s="31" t="n">
        <v>1</v>
      </c>
      <c r="D172" s="31" t="n"/>
      <c r="E172" s="31" t="n"/>
      <c r="F172" s="31" t="n"/>
      <c r="G172" s="31" t="n"/>
      <c r="H172" s="31" t="n"/>
      <c r="I172" s="31" t="n"/>
      <c r="J172" s="31">
        <f>'COLECTOR MOV. TIERRAS'!M21</f>
        <v/>
      </c>
      <c r="K172" s="31" t="n"/>
      <c r="L172" s="30" t="n"/>
    </row>
    <row r="173">
      <c r="A173" s="30" t="n"/>
      <c r="B173" s="30" t="inlineStr">
        <is>
          <t>Caja de caida CC</t>
        </is>
      </c>
      <c r="C173" s="31" t="n">
        <v>1</v>
      </c>
      <c r="D173" s="31" t="n"/>
      <c r="E173" s="31" t="n"/>
      <c r="F173" s="31" t="n"/>
      <c r="G173" s="31" t="n"/>
      <c r="H173" s="31" t="n"/>
      <c r="I173" s="31" t="n"/>
      <c r="J173" s="31">
        <f>'COLECTOR MOV. TIERRAS'!M22</f>
        <v/>
      </c>
      <c r="K173" s="31" t="n"/>
      <c r="L173" s="30" t="n"/>
    </row>
    <row r="174">
      <c r="A174" s="28" t="inlineStr">
        <is>
          <t>01.04.04.01.02</t>
        </is>
      </c>
      <c r="B174" s="28" t="inlineStr">
        <is>
          <t>TRAZO, NIVELES Y REPLANTEO PRELIMINAR</t>
        </is>
      </c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>
        <f>SUM(J175:J183)</f>
        <v/>
      </c>
      <c r="L174" s="28" t="inlineStr">
        <is>
          <t>m²</t>
        </is>
      </c>
    </row>
    <row r="175">
      <c r="A175" s="30" t="n"/>
      <c r="B175" s="30" t="inlineStr">
        <is>
          <t>Tramo normal (0+000.00 - 0+026.32)</t>
        </is>
      </c>
      <c r="C175" s="31" t="n">
        <v>1</v>
      </c>
      <c r="D175" s="31" t="n"/>
      <c r="E175" s="31" t="n"/>
      <c r="F175" s="31" t="n"/>
      <c r="G175" s="31" t="n"/>
      <c r="H175" s="31" t="n"/>
      <c r="I175" s="31" t="n"/>
      <c r="J175" s="31">
        <f>'COLECTOR MOV. TIERRAS'!M10</f>
        <v/>
      </c>
      <c r="K175" s="31" t="n"/>
      <c r="L175" s="30" t="n"/>
    </row>
    <row r="176">
      <c r="A176" s="30" t="n"/>
      <c r="B176" s="30" t="inlineStr">
        <is>
          <t>Cruce de camiones (0+026.32 - 0+031.33)</t>
        </is>
      </c>
      <c r="C176" s="31" t="n">
        <v>1</v>
      </c>
      <c r="D176" s="31" t="n"/>
      <c r="E176" s="31" t="n"/>
      <c r="F176" s="31" t="n"/>
      <c r="G176" s="31" t="n"/>
      <c r="H176" s="31" t="n"/>
      <c r="I176" s="31" t="n"/>
      <c r="J176" s="31">
        <f>'COLECTOR MOV. TIERRAS'!M11</f>
        <v/>
      </c>
      <c r="K176" s="31" t="n"/>
      <c r="L176" s="30" t="n"/>
    </row>
    <row r="177">
      <c r="A177" s="30" t="n"/>
      <c r="B177" s="30" t="inlineStr">
        <is>
          <t>Tramo normal (0+031.33 - 0+039.04)</t>
        </is>
      </c>
      <c r="C177" s="31" t="n">
        <v>1</v>
      </c>
      <c r="D177" s="31" t="n"/>
      <c r="E177" s="31" t="n"/>
      <c r="F177" s="31" t="n"/>
      <c r="G177" s="31" t="n"/>
      <c r="H177" s="31" t="n"/>
      <c r="I177" s="31" t="n"/>
      <c r="J177" s="31">
        <f>'COLECTOR MOV. TIERRAS'!M12</f>
        <v/>
      </c>
      <c r="K177" s="31" t="n"/>
      <c r="L177" s="30" t="n"/>
    </row>
    <row r="178">
      <c r="A178" s="30" t="n"/>
      <c r="B178" s="30" t="inlineStr">
        <is>
          <t>Cruce de motos (0+039.04 - 0+041.04)</t>
        </is>
      </c>
      <c r="C178" s="31" t="n">
        <v>1</v>
      </c>
      <c r="D178" s="31" t="n"/>
      <c r="E178" s="31" t="n"/>
      <c r="F178" s="31" t="n"/>
      <c r="G178" s="31" t="n"/>
      <c r="H178" s="31" t="n"/>
      <c r="I178" s="31" t="n"/>
      <c r="J178" s="31">
        <f>'COLECTOR MOV. TIERRAS'!M13</f>
        <v/>
      </c>
      <c r="K178" s="31" t="n"/>
      <c r="L178" s="30" t="n"/>
    </row>
    <row r="179">
      <c r="A179" s="30" t="n"/>
      <c r="B179" s="30" t="inlineStr">
        <is>
          <t>Tramo normal (0+041.04 - 0+058.81)</t>
        </is>
      </c>
      <c r="C179" s="31" t="n">
        <v>1</v>
      </c>
      <c r="D179" s="31" t="n"/>
      <c r="E179" s="31" t="n"/>
      <c r="F179" s="31" t="n"/>
      <c r="G179" s="31" t="n"/>
      <c r="H179" s="31" t="n"/>
      <c r="I179" s="31" t="n"/>
      <c r="J179" s="31">
        <f>'COLECTOR MOV. TIERRAS'!M14</f>
        <v/>
      </c>
      <c r="K179" s="31" t="n"/>
      <c r="L179" s="30" t="n"/>
    </row>
    <row r="180">
      <c r="A180" s="30" t="n"/>
      <c r="B180" s="30" t="inlineStr">
        <is>
          <t>Tramo diagonal (quiebres) (0+058.81 - 0+066.89)</t>
        </is>
      </c>
      <c r="C180" s="31" t="n">
        <v>1</v>
      </c>
      <c r="D180" s="31" t="n"/>
      <c r="E180" s="31" t="n"/>
      <c r="F180" s="31" t="n"/>
      <c r="G180" s="31" t="n"/>
      <c r="H180" s="31" t="n"/>
      <c r="I180" s="31" t="n"/>
      <c r="J180" s="31">
        <f>'COLECTOR MOV. TIERRAS'!M15</f>
        <v/>
      </c>
      <c r="K180" s="31" t="n"/>
      <c r="L180" s="30" t="n"/>
    </row>
    <row r="181">
      <c r="A181" s="30" t="n"/>
      <c r="B181" s="30" t="inlineStr">
        <is>
          <t>Tramo recto final (0+066.89 - 0+069.89)</t>
        </is>
      </c>
      <c r="C181" s="31" t="n">
        <v>1</v>
      </c>
      <c r="D181" s="31" t="n"/>
      <c r="E181" s="31" t="n"/>
      <c r="F181" s="31" t="n"/>
      <c r="G181" s="31" t="n"/>
      <c r="H181" s="31" t="n"/>
      <c r="I181" s="31" t="n"/>
      <c r="J181" s="31">
        <f>'COLECTOR MOV. TIERRAS'!M16</f>
        <v/>
      </c>
      <c r="K181" s="31" t="n"/>
      <c r="L181" s="30" t="n"/>
    </row>
    <row r="182">
      <c r="A182" s="30" t="n"/>
      <c r="B182" s="30" t="inlineStr">
        <is>
          <t>Caja de llegada CL</t>
        </is>
      </c>
      <c r="C182" s="31" t="n">
        <v>1</v>
      </c>
      <c r="D182" s="31" t="n"/>
      <c r="E182" s="31" t="n"/>
      <c r="F182" s="31" t="n"/>
      <c r="G182" s="31" t="n"/>
      <c r="H182" s="31" t="n"/>
      <c r="I182" s="31" t="n"/>
      <c r="J182" s="31">
        <f>'COLECTOR MOV. TIERRAS'!M21</f>
        <v/>
      </c>
      <c r="K182" s="31" t="n"/>
      <c r="L182" s="30" t="n"/>
    </row>
    <row r="183">
      <c r="A183" s="30" t="n"/>
      <c r="B183" s="30" t="inlineStr">
        <is>
          <t>Caja de caida CC</t>
        </is>
      </c>
      <c r="C183" s="31" t="n">
        <v>1</v>
      </c>
      <c r="D183" s="31" t="n"/>
      <c r="E183" s="31" t="n"/>
      <c r="F183" s="31" t="n"/>
      <c r="G183" s="31" t="n"/>
      <c r="H183" s="31" t="n"/>
      <c r="I183" s="31" t="n"/>
      <c r="J183" s="31">
        <f>'COLECTOR MOV. TIERRAS'!M22</f>
        <v/>
      </c>
      <c r="K183" s="31" t="n"/>
      <c r="L183" s="30" t="n"/>
    </row>
    <row r="184">
      <c r="A184" s="209" t="inlineStr">
        <is>
          <t>01.04.04.02</t>
        </is>
      </c>
      <c r="B184" s="209" t="inlineStr">
        <is>
          <t>MOVIMIENTO DE TIERRAS</t>
        </is>
      </c>
      <c r="C184" s="313" t="n"/>
      <c r="D184" s="313" t="n"/>
      <c r="E184" s="313" t="n"/>
      <c r="F184" s="313" t="n"/>
      <c r="G184" s="313" t="n"/>
      <c r="H184" s="313" t="n"/>
      <c r="I184" s="313" t="n"/>
      <c r="J184" s="313" t="n"/>
      <c r="K184" s="313" t="n"/>
      <c r="L184" s="314" t="n"/>
    </row>
    <row r="185">
      <c r="A185" s="28" t="inlineStr">
        <is>
          <t>01.04.04.02.01</t>
        </is>
      </c>
      <c r="B185" s="28" t="inlineStr">
        <is>
          <t>EXCAVACIÓN MANUAL DE ZANJAS P/COLECTOR (ancho 1.60 m)</t>
        </is>
      </c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>
        <f>SUM(J186:J194)</f>
        <v/>
      </c>
      <c r="L185" s="28" t="inlineStr">
        <is>
          <t>m³</t>
        </is>
      </c>
    </row>
    <row r="186">
      <c r="A186" s="30" t="n"/>
      <c r="B186" s="30" t="inlineStr">
        <is>
          <t>Tramo normal (0+000.00 - 0+026.32)</t>
        </is>
      </c>
      <c r="C186" s="31" t="n">
        <v>1</v>
      </c>
      <c r="D186" s="31" t="n"/>
      <c r="E186" s="31" t="n"/>
      <c r="F186" s="31" t="n"/>
      <c r="G186" s="31" t="n"/>
      <c r="H186" s="31" t="n"/>
      <c r="I186" s="31" t="n"/>
      <c r="J186" s="31">
        <f>'COLECTOR MOV. TIERRAS'!N10</f>
        <v/>
      </c>
      <c r="K186" s="31" t="n"/>
      <c r="L186" s="30" t="n"/>
    </row>
    <row r="187">
      <c r="A187" s="30" t="n"/>
      <c r="B187" s="30" t="inlineStr">
        <is>
          <t>Cruce de camiones (0+026.32 - 0+031.33)</t>
        </is>
      </c>
      <c r="C187" s="31" t="n">
        <v>1</v>
      </c>
      <c r="D187" s="31" t="n"/>
      <c r="E187" s="31" t="n"/>
      <c r="F187" s="31" t="n"/>
      <c r="G187" s="31" t="n"/>
      <c r="H187" s="31" t="n"/>
      <c r="I187" s="31" t="n"/>
      <c r="J187" s="31">
        <f>'COLECTOR MOV. TIERRAS'!N11</f>
        <v/>
      </c>
      <c r="K187" s="31" t="n"/>
      <c r="L187" s="30" t="n"/>
    </row>
    <row r="188">
      <c r="A188" s="30" t="n"/>
      <c r="B188" s="30" t="inlineStr">
        <is>
          <t>Tramo normal (0+031.33 - 0+039.04)</t>
        </is>
      </c>
      <c r="C188" s="31" t="n">
        <v>1</v>
      </c>
      <c r="D188" s="31" t="n"/>
      <c r="E188" s="31" t="n"/>
      <c r="F188" s="31" t="n"/>
      <c r="G188" s="31" t="n"/>
      <c r="H188" s="31" t="n"/>
      <c r="I188" s="31" t="n"/>
      <c r="J188" s="31">
        <f>'COLECTOR MOV. TIERRAS'!N12</f>
        <v/>
      </c>
      <c r="K188" s="31" t="n"/>
      <c r="L188" s="30" t="n"/>
    </row>
    <row r="189">
      <c r="A189" s="30" t="n"/>
      <c r="B189" s="30" t="inlineStr">
        <is>
          <t>Cruce de motos (0+039.04 - 0+041.04)</t>
        </is>
      </c>
      <c r="C189" s="31" t="n">
        <v>1</v>
      </c>
      <c r="D189" s="31" t="n"/>
      <c r="E189" s="31" t="n"/>
      <c r="F189" s="31" t="n"/>
      <c r="G189" s="31" t="n"/>
      <c r="H189" s="31" t="n"/>
      <c r="I189" s="31" t="n"/>
      <c r="J189" s="31">
        <f>'COLECTOR MOV. TIERRAS'!N13</f>
        <v/>
      </c>
      <c r="K189" s="31" t="n"/>
      <c r="L189" s="30" t="n"/>
    </row>
    <row r="190">
      <c r="A190" s="30" t="n"/>
      <c r="B190" s="30" t="inlineStr">
        <is>
          <t>Tramo normal (0+041.04 - 0+058.81)</t>
        </is>
      </c>
      <c r="C190" s="31" t="n">
        <v>1</v>
      </c>
      <c r="D190" s="31" t="n"/>
      <c r="E190" s="31" t="n"/>
      <c r="F190" s="31" t="n"/>
      <c r="G190" s="31" t="n"/>
      <c r="H190" s="31" t="n"/>
      <c r="I190" s="31" t="n"/>
      <c r="J190" s="31">
        <f>'COLECTOR MOV. TIERRAS'!N14</f>
        <v/>
      </c>
      <c r="K190" s="31" t="n"/>
      <c r="L190" s="30" t="n"/>
    </row>
    <row r="191">
      <c r="A191" s="30" t="n"/>
      <c r="B191" s="30" t="inlineStr">
        <is>
          <t>Tramo diagonal (quiebres) (0+058.81 - 0+066.89)</t>
        </is>
      </c>
      <c r="C191" s="31" t="n">
        <v>1</v>
      </c>
      <c r="D191" s="31" t="n"/>
      <c r="E191" s="31" t="n"/>
      <c r="F191" s="31" t="n"/>
      <c r="G191" s="31" t="n"/>
      <c r="H191" s="31" t="n"/>
      <c r="I191" s="31" t="n"/>
      <c r="J191" s="31">
        <f>'COLECTOR MOV. TIERRAS'!N15</f>
        <v/>
      </c>
      <c r="K191" s="31" t="n"/>
      <c r="L191" s="30" t="n"/>
    </row>
    <row r="192">
      <c r="A192" s="30" t="n"/>
      <c r="B192" s="30" t="inlineStr">
        <is>
          <t>Tramo recto final (0+066.89 - 0+069.89)</t>
        </is>
      </c>
      <c r="C192" s="31" t="n">
        <v>1</v>
      </c>
      <c r="D192" s="31" t="n"/>
      <c r="E192" s="31" t="n"/>
      <c r="F192" s="31" t="n"/>
      <c r="G192" s="31" t="n"/>
      <c r="H192" s="31" t="n"/>
      <c r="I192" s="31" t="n"/>
      <c r="J192" s="31">
        <f>'COLECTOR MOV. TIERRAS'!N16</f>
        <v/>
      </c>
      <c r="K192" s="31" t="n"/>
      <c r="L192" s="30" t="n"/>
    </row>
    <row r="193">
      <c r="A193" s="30" t="n"/>
      <c r="B193" s="30" t="inlineStr">
        <is>
          <t>Caja de llegada CL</t>
        </is>
      </c>
      <c r="C193" s="31" t="n">
        <v>1</v>
      </c>
      <c r="D193" s="31" t="n"/>
      <c r="E193" s="31" t="n"/>
      <c r="F193" s="31" t="n"/>
      <c r="G193" s="31" t="n"/>
      <c r="H193" s="31" t="n"/>
      <c r="I193" s="31" t="n"/>
      <c r="J193" s="31">
        <f>'COLECTOR MOV. TIERRAS'!N21</f>
        <v/>
      </c>
      <c r="K193" s="31" t="n"/>
      <c r="L193" s="30" t="n"/>
    </row>
    <row r="194">
      <c r="A194" s="30" t="n"/>
      <c r="B194" s="30" t="inlineStr">
        <is>
          <t>Caja de caida CC</t>
        </is>
      </c>
      <c r="C194" s="31" t="n">
        <v>1</v>
      </c>
      <c r="D194" s="31" t="n"/>
      <c r="E194" s="31" t="n"/>
      <c r="F194" s="31" t="n"/>
      <c r="G194" s="31" t="n"/>
      <c r="H194" s="31" t="n"/>
      <c r="I194" s="31" t="n"/>
      <c r="J194" s="31">
        <f>'COLECTOR MOV. TIERRAS'!N22</f>
        <v/>
      </c>
      <c r="K194" s="31" t="n"/>
      <c r="L194" s="30" t="n"/>
    </row>
    <row r="195">
      <c r="A195" s="28" t="inlineStr">
        <is>
          <t>01.04.04.02.02</t>
        </is>
      </c>
      <c r="B195" s="28" t="inlineStr">
        <is>
          <t>REFINE, NIVELACIÓN Y COMPACTACIÓN EN TERRENO NORMAL</t>
        </is>
      </c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>
        <f>SUM(J196:J204)</f>
        <v/>
      </c>
      <c r="L195" s="28" t="inlineStr">
        <is>
          <t>m²</t>
        </is>
      </c>
    </row>
    <row r="196">
      <c r="A196" s="30" t="n"/>
      <c r="B196" s="30" t="inlineStr">
        <is>
          <t>Tramo normal (0+000.00 - 0+026.32)</t>
        </is>
      </c>
      <c r="C196" s="31" t="n">
        <v>1</v>
      </c>
      <c r="D196" s="31" t="n"/>
      <c r="E196" s="31" t="n"/>
      <c r="F196" s="31" t="n"/>
      <c r="G196" s="31" t="n"/>
      <c r="H196" s="31" t="n"/>
      <c r="I196" s="31" t="n"/>
      <c r="J196" s="31">
        <f>'COLECTOR MOV. TIERRAS'!O10</f>
        <v/>
      </c>
      <c r="K196" s="31" t="n"/>
      <c r="L196" s="30" t="n"/>
    </row>
    <row r="197">
      <c r="A197" s="30" t="n"/>
      <c r="B197" s="30" t="inlineStr">
        <is>
          <t>Cruce de camiones (0+026.32 - 0+031.33)</t>
        </is>
      </c>
      <c r="C197" s="31" t="n">
        <v>1</v>
      </c>
      <c r="D197" s="31" t="n"/>
      <c r="E197" s="31" t="n"/>
      <c r="F197" s="31" t="n"/>
      <c r="G197" s="31" t="n"/>
      <c r="H197" s="31" t="n"/>
      <c r="I197" s="31" t="n"/>
      <c r="J197" s="31">
        <f>'COLECTOR MOV. TIERRAS'!O11</f>
        <v/>
      </c>
      <c r="K197" s="31" t="n"/>
      <c r="L197" s="30" t="n"/>
    </row>
    <row r="198">
      <c r="A198" s="30" t="n"/>
      <c r="B198" s="30" t="inlineStr">
        <is>
          <t>Tramo normal (0+031.33 - 0+039.04)</t>
        </is>
      </c>
      <c r="C198" s="31" t="n">
        <v>1</v>
      </c>
      <c r="D198" s="31" t="n"/>
      <c r="E198" s="31" t="n"/>
      <c r="F198" s="31" t="n"/>
      <c r="G198" s="31" t="n"/>
      <c r="H198" s="31" t="n"/>
      <c r="I198" s="31" t="n"/>
      <c r="J198" s="31">
        <f>'COLECTOR MOV. TIERRAS'!O12</f>
        <v/>
      </c>
      <c r="K198" s="31" t="n"/>
      <c r="L198" s="30" t="n"/>
    </row>
    <row r="199">
      <c r="A199" s="30" t="n"/>
      <c r="B199" s="30" t="inlineStr">
        <is>
          <t>Cruce de motos (0+039.04 - 0+041.04)</t>
        </is>
      </c>
      <c r="C199" s="31" t="n">
        <v>1</v>
      </c>
      <c r="D199" s="31" t="n"/>
      <c r="E199" s="31" t="n"/>
      <c r="F199" s="31" t="n"/>
      <c r="G199" s="31" t="n"/>
      <c r="H199" s="31" t="n"/>
      <c r="I199" s="31" t="n"/>
      <c r="J199" s="31">
        <f>'COLECTOR MOV. TIERRAS'!O13</f>
        <v/>
      </c>
      <c r="K199" s="31" t="n"/>
      <c r="L199" s="30" t="n"/>
    </row>
    <row r="200">
      <c r="A200" s="30" t="n"/>
      <c r="B200" s="30" t="inlineStr">
        <is>
          <t>Tramo normal (0+041.04 - 0+058.81)</t>
        </is>
      </c>
      <c r="C200" s="31" t="n">
        <v>1</v>
      </c>
      <c r="D200" s="31" t="n"/>
      <c r="E200" s="31" t="n"/>
      <c r="F200" s="31" t="n"/>
      <c r="G200" s="31" t="n"/>
      <c r="H200" s="31" t="n"/>
      <c r="I200" s="31" t="n"/>
      <c r="J200" s="31">
        <f>'COLECTOR MOV. TIERRAS'!O14</f>
        <v/>
      </c>
      <c r="K200" s="31" t="n"/>
      <c r="L200" s="30" t="n"/>
    </row>
    <row r="201">
      <c r="A201" s="30" t="n"/>
      <c r="B201" s="30" t="inlineStr">
        <is>
          <t>Tramo diagonal (quiebres) (0+058.81 - 0+066.89)</t>
        </is>
      </c>
      <c r="C201" s="31" t="n">
        <v>1</v>
      </c>
      <c r="D201" s="31" t="n"/>
      <c r="E201" s="31" t="n"/>
      <c r="F201" s="31" t="n"/>
      <c r="G201" s="31" t="n"/>
      <c r="H201" s="31" t="n"/>
      <c r="I201" s="31" t="n"/>
      <c r="J201" s="31">
        <f>'COLECTOR MOV. TIERRAS'!O15</f>
        <v/>
      </c>
      <c r="K201" s="31" t="n"/>
      <c r="L201" s="30" t="n"/>
    </row>
    <row r="202">
      <c r="A202" s="30" t="n"/>
      <c r="B202" s="30" t="inlineStr">
        <is>
          <t>Tramo recto final (0+066.89 - 0+069.89)</t>
        </is>
      </c>
      <c r="C202" s="31" t="n">
        <v>1</v>
      </c>
      <c r="D202" s="31" t="n"/>
      <c r="E202" s="31" t="n"/>
      <c r="F202" s="31" t="n"/>
      <c r="G202" s="31" t="n"/>
      <c r="H202" s="31" t="n"/>
      <c r="I202" s="31" t="n"/>
      <c r="J202" s="31">
        <f>'COLECTOR MOV. TIERRAS'!O16</f>
        <v/>
      </c>
      <c r="K202" s="31" t="n"/>
      <c r="L202" s="30" t="n"/>
    </row>
    <row r="203">
      <c r="A203" s="30" t="n"/>
      <c r="B203" s="30" t="inlineStr">
        <is>
          <t>Caja de llegada CL</t>
        </is>
      </c>
      <c r="C203" s="31" t="n">
        <v>1</v>
      </c>
      <c r="D203" s="31" t="n"/>
      <c r="E203" s="31" t="n"/>
      <c r="F203" s="31" t="n"/>
      <c r="G203" s="31" t="n"/>
      <c r="H203" s="31" t="n"/>
      <c r="I203" s="31" t="n"/>
      <c r="J203" s="31">
        <f>'COLECTOR MOV. TIERRAS'!O21</f>
        <v/>
      </c>
      <c r="K203" s="31" t="n"/>
      <c r="L203" s="30" t="n"/>
    </row>
    <row r="204">
      <c r="A204" s="30" t="n"/>
      <c r="B204" s="30" t="inlineStr">
        <is>
          <t>Caja de caida CC</t>
        </is>
      </c>
      <c r="C204" s="31" t="n">
        <v>1</v>
      </c>
      <c r="D204" s="31" t="n"/>
      <c r="E204" s="31" t="n"/>
      <c r="F204" s="31" t="n"/>
      <c r="G204" s="31" t="n"/>
      <c r="H204" s="31" t="n"/>
      <c r="I204" s="31" t="n"/>
      <c r="J204" s="31">
        <f>'COLECTOR MOV. TIERRAS'!O22</f>
        <v/>
      </c>
      <c r="K204" s="31" t="n"/>
      <c r="L204" s="30" t="n"/>
    </row>
    <row r="205">
      <c r="A205" s="28" t="inlineStr">
        <is>
          <t>01.04.04.02.03</t>
        </is>
      </c>
      <c r="B205" s="28" t="inlineStr">
        <is>
          <t>RELLENO COMPACTADO CON MATERIAL PROPIO SELECCIONADO (incluye nivelacion del retiro y base de cajas)</t>
        </is>
      </c>
      <c r="C205" s="29" t="n"/>
      <c r="D205" s="29" t="n"/>
      <c r="E205" s="29" t="n"/>
      <c r="F205" s="29" t="n"/>
      <c r="G205" s="29" t="n"/>
      <c r="H205" s="29" t="n"/>
      <c r="I205" s="29" t="n"/>
      <c r="J205" s="29" t="n"/>
      <c r="K205" s="29">
        <f>SUM(J206:J221)</f>
        <v/>
      </c>
      <c r="L205" s="28" t="inlineStr">
        <is>
          <t>m³</t>
        </is>
      </c>
    </row>
    <row r="206">
      <c r="A206" s="30" t="n"/>
      <c r="B206" s="30" t="inlineStr">
        <is>
          <t>Tramo normal (0+000.00 - 0+026.32) - lateral de zanja</t>
        </is>
      </c>
      <c r="C206" s="31" t="n">
        <v>1</v>
      </c>
      <c r="D206" s="31" t="n"/>
      <c r="E206" s="31" t="n"/>
      <c r="F206" s="31" t="n"/>
      <c r="G206" s="31" t="n"/>
      <c r="H206" s="31" t="n"/>
      <c r="I206" s="31" t="n"/>
      <c r="J206" s="31">
        <f>'COLECTOR MOV. TIERRAS'!P10</f>
        <v/>
      </c>
      <c r="K206" s="31" t="n"/>
      <c r="L206" s="30" t="n"/>
    </row>
    <row r="207">
      <c r="A207" s="30" t="n"/>
      <c r="B207" s="30" t="inlineStr">
        <is>
          <t>Cruce de camiones (0+026.32 - 0+031.33) - lateral de zanja</t>
        </is>
      </c>
      <c r="C207" s="31" t="n">
        <v>1</v>
      </c>
      <c r="D207" s="31" t="n"/>
      <c r="E207" s="31" t="n"/>
      <c r="F207" s="31" t="n"/>
      <c r="G207" s="31" t="n"/>
      <c r="H207" s="31" t="n"/>
      <c r="I207" s="31" t="n"/>
      <c r="J207" s="31">
        <f>'COLECTOR MOV. TIERRAS'!P11</f>
        <v/>
      </c>
      <c r="K207" s="31" t="n"/>
      <c r="L207" s="30" t="n"/>
    </row>
    <row r="208">
      <c r="A208" s="30" t="n"/>
      <c r="B208" s="30" t="inlineStr">
        <is>
          <t>Tramo normal (0+031.33 - 0+039.04) - lateral de zanja</t>
        </is>
      </c>
      <c r="C208" s="31" t="n">
        <v>1</v>
      </c>
      <c r="D208" s="31" t="n"/>
      <c r="E208" s="31" t="n"/>
      <c r="F208" s="31" t="n"/>
      <c r="G208" s="31" t="n"/>
      <c r="H208" s="31" t="n"/>
      <c r="I208" s="31" t="n"/>
      <c r="J208" s="31">
        <f>'COLECTOR MOV. TIERRAS'!P12</f>
        <v/>
      </c>
      <c r="K208" s="31" t="n"/>
      <c r="L208" s="30" t="n"/>
    </row>
    <row r="209">
      <c r="A209" s="30" t="n"/>
      <c r="B209" s="30" t="inlineStr">
        <is>
          <t>Cruce de motos (0+039.04 - 0+041.04) - lateral de zanja</t>
        </is>
      </c>
      <c r="C209" s="31" t="n">
        <v>1</v>
      </c>
      <c r="D209" s="31" t="n"/>
      <c r="E209" s="31" t="n"/>
      <c r="F209" s="31" t="n"/>
      <c r="G209" s="31" t="n"/>
      <c r="H209" s="31" t="n"/>
      <c r="I209" s="31" t="n"/>
      <c r="J209" s="31">
        <f>'COLECTOR MOV. TIERRAS'!P13</f>
        <v/>
      </c>
      <c r="K209" s="31" t="n"/>
      <c r="L209" s="30" t="n"/>
    </row>
    <row r="210">
      <c r="A210" s="30" t="n"/>
      <c r="B210" s="30" t="inlineStr">
        <is>
          <t>Tramo normal (0+041.04 - 0+058.81) - lateral de zanja</t>
        </is>
      </c>
      <c r="C210" s="31" t="n">
        <v>1</v>
      </c>
      <c r="D210" s="31" t="n"/>
      <c r="E210" s="31" t="n"/>
      <c r="F210" s="31" t="n"/>
      <c r="G210" s="31" t="n"/>
      <c r="H210" s="31" t="n"/>
      <c r="I210" s="31" t="n"/>
      <c r="J210" s="31">
        <f>'COLECTOR MOV. TIERRAS'!P14</f>
        <v/>
      </c>
      <c r="K210" s="31" t="n"/>
      <c r="L210" s="30" t="n"/>
    </row>
    <row r="211">
      <c r="A211" s="30" t="n"/>
      <c r="B211" s="30" t="inlineStr">
        <is>
          <t>Tramo diagonal (quiebres) (0+058.81 - 0+066.89) - lateral de zanja</t>
        </is>
      </c>
      <c r="C211" s="31" t="n">
        <v>1</v>
      </c>
      <c r="D211" s="31" t="n"/>
      <c r="E211" s="31" t="n"/>
      <c r="F211" s="31" t="n"/>
      <c r="G211" s="31" t="n"/>
      <c r="H211" s="31" t="n"/>
      <c r="I211" s="31" t="n"/>
      <c r="J211" s="31">
        <f>'COLECTOR MOV. TIERRAS'!P15</f>
        <v/>
      </c>
      <c r="K211" s="31" t="n"/>
      <c r="L211" s="30" t="n"/>
    </row>
    <row r="212">
      <c r="A212" s="30" t="n"/>
      <c r="B212" s="30" t="inlineStr">
        <is>
          <t>Tramo recto final (0+066.89 - 0+069.89) - lateral de zanja</t>
        </is>
      </c>
      <c r="C212" s="31" t="n">
        <v>1</v>
      </c>
      <c r="D212" s="31" t="n"/>
      <c r="E212" s="31" t="n"/>
      <c r="F212" s="31" t="n"/>
      <c r="G212" s="31" t="n"/>
      <c r="H212" s="31" t="n"/>
      <c r="I212" s="31" t="n"/>
      <c r="J212" s="31">
        <f>'COLECTOR MOV. TIERRAS'!P16</f>
        <v/>
      </c>
      <c r="K212" s="31" t="n"/>
      <c r="L212" s="30" t="n"/>
    </row>
    <row r="213">
      <c r="A213" s="30" t="n"/>
      <c r="B213" s="30" t="inlineStr">
        <is>
          <t>Tramo normal (0+000.00 - 0+026.32) - franja de nivelacion</t>
        </is>
      </c>
      <c r="C213" s="31" t="n">
        <v>1</v>
      </c>
      <c r="D213" s="31" t="n"/>
      <c r="E213" s="31" t="n"/>
      <c r="F213" s="31" t="n"/>
      <c r="G213" s="31" t="n"/>
      <c r="H213" s="31" t="n"/>
      <c r="I213" s="31" t="n"/>
      <c r="J213" s="31">
        <f>'COLECTOR MOV. TIERRAS'!Q10</f>
        <v/>
      </c>
      <c r="K213" s="31" t="n"/>
      <c r="L213" s="30" t="n"/>
    </row>
    <row r="214">
      <c r="A214" s="30" t="n"/>
      <c r="B214" s="30" t="inlineStr">
        <is>
          <t>Cruce de camiones (0+026.32 - 0+031.33) - franja de nivelacion</t>
        </is>
      </c>
      <c r="C214" s="31" t="n">
        <v>1</v>
      </c>
      <c r="D214" s="31" t="n"/>
      <c r="E214" s="31" t="n"/>
      <c r="F214" s="31" t="n"/>
      <c r="G214" s="31" t="n"/>
      <c r="H214" s="31" t="n"/>
      <c r="I214" s="31" t="n"/>
      <c r="J214" s="31">
        <f>'COLECTOR MOV. TIERRAS'!Q11</f>
        <v/>
      </c>
      <c r="K214" s="31" t="n"/>
      <c r="L214" s="30" t="n"/>
    </row>
    <row r="215">
      <c r="A215" s="30" t="n"/>
      <c r="B215" s="30" t="inlineStr">
        <is>
          <t>Tramo normal (0+031.33 - 0+039.04) - franja de nivelacion</t>
        </is>
      </c>
      <c r="C215" s="31" t="n">
        <v>1</v>
      </c>
      <c r="D215" s="31" t="n"/>
      <c r="E215" s="31" t="n"/>
      <c r="F215" s="31" t="n"/>
      <c r="G215" s="31" t="n"/>
      <c r="H215" s="31" t="n"/>
      <c r="I215" s="31" t="n"/>
      <c r="J215" s="31">
        <f>'COLECTOR MOV. TIERRAS'!Q12</f>
        <v/>
      </c>
      <c r="K215" s="31" t="n"/>
      <c r="L215" s="30" t="n"/>
    </row>
    <row r="216">
      <c r="A216" s="30" t="n"/>
      <c r="B216" s="30" t="inlineStr">
        <is>
          <t>Cruce de motos (0+039.04 - 0+041.04) - franja de nivelacion</t>
        </is>
      </c>
      <c r="C216" s="31" t="n">
        <v>1</v>
      </c>
      <c r="D216" s="31" t="n"/>
      <c r="E216" s="31" t="n"/>
      <c r="F216" s="31" t="n"/>
      <c r="G216" s="31" t="n"/>
      <c r="H216" s="31" t="n"/>
      <c r="I216" s="31" t="n"/>
      <c r="J216" s="31">
        <f>'COLECTOR MOV. TIERRAS'!Q13</f>
        <v/>
      </c>
      <c r="K216" s="31" t="n"/>
      <c r="L216" s="30" t="n"/>
    </row>
    <row r="217">
      <c r="A217" s="30" t="n"/>
      <c r="B217" s="30" t="inlineStr">
        <is>
          <t>Tramo normal (0+041.04 - 0+058.81) - franja de nivelacion</t>
        </is>
      </c>
      <c r="C217" s="31" t="n">
        <v>1</v>
      </c>
      <c r="D217" s="31" t="n"/>
      <c r="E217" s="31" t="n"/>
      <c r="F217" s="31" t="n"/>
      <c r="G217" s="31" t="n"/>
      <c r="H217" s="31" t="n"/>
      <c r="I217" s="31" t="n"/>
      <c r="J217" s="31">
        <f>'COLECTOR MOV. TIERRAS'!Q14</f>
        <v/>
      </c>
      <c r="K217" s="31" t="n"/>
      <c r="L217" s="30" t="n"/>
    </row>
    <row r="218">
      <c r="A218" s="30" t="n"/>
      <c r="B218" s="30" t="inlineStr">
        <is>
          <t>Tramo diagonal (quiebres) (0+058.81 - 0+066.89) - franja de nivelacion</t>
        </is>
      </c>
      <c r="C218" s="31" t="n">
        <v>1</v>
      </c>
      <c r="D218" s="31" t="n"/>
      <c r="E218" s="31" t="n"/>
      <c r="F218" s="31" t="n"/>
      <c r="G218" s="31" t="n"/>
      <c r="H218" s="31" t="n"/>
      <c r="I218" s="31" t="n"/>
      <c r="J218" s="31">
        <f>'COLECTOR MOV. TIERRAS'!Q15</f>
        <v/>
      </c>
      <c r="K218" s="31" t="n"/>
      <c r="L218" s="30" t="n"/>
    </row>
    <row r="219">
      <c r="A219" s="30" t="n"/>
      <c r="B219" s="30" t="inlineStr">
        <is>
          <t>Tramo recto final (0+066.89 - 0+069.89) - franja de nivelacion</t>
        </is>
      </c>
      <c r="C219" s="31" t="n">
        <v>1</v>
      </c>
      <c r="D219" s="31" t="n"/>
      <c r="E219" s="31" t="n"/>
      <c r="F219" s="31" t="n"/>
      <c r="G219" s="31" t="n"/>
      <c r="H219" s="31" t="n"/>
      <c r="I219" s="31" t="n"/>
      <c r="J219" s="31">
        <f>'COLECTOR MOV. TIERRAS'!Q16</f>
        <v/>
      </c>
      <c r="K219" s="31" t="n"/>
      <c r="L219" s="30" t="n"/>
    </row>
    <row r="220">
      <c r="A220" s="30" t="n"/>
      <c r="B220" s="30" t="inlineStr">
        <is>
          <t>Caja de llegada CL</t>
        </is>
      </c>
      <c r="C220" s="31" t="n">
        <v>1</v>
      </c>
      <c r="D220" s="31" t="n"/>
      <c r="E220" s="31" t="n"/>
      <c r="F220" s="31" t="n"/>
      <c r="G220" s="31" t="n"/>
      <c r="H220" s="31" t="n"/>
      <c r="I220" s="31" t="n"/>
      <c r="J220" s="31">
        <f>'COLECTOR MOV. TIERRAS'!P21</f>
        <v/>
      </c>
      <c r="K220" s="31" t="n"/>
      <c r="L220" s="30" t="n"/>
    </row>
    <row r="221">
      <c r="A221" s="30" t="n"/>
      <c r="B221" s="30" t="inlineStr">
        <is>
          <t>Caja de caida CC</t>
        </is>
      </c>
      <c r="C221" s="31" t="n">
        <v>1</v>
      </c>
      <c r="D221" s="31" t="n"/>
      <c r="E221" s="31" t="n"/>
      <c r="F221" s="31" t="n"/>
      <c r="G221" s="31" t="n"/>
      <c r="H221" s="31" t="n"/>
      <c r="I221" s="31" t="n"/>
      <c r="J221" s="31">
        <f>'COLECTOR MOV. TIERRAS'!P22</f>
        <v/>
      </c>
      <c r="K221" s="31" t="n"/>
      <c r="L221" s="30" t="n"/>
    </row>
    <row r="222">
      <c r="A222" s="28" t="inlineStr">
        <is>
          <t>01.04.04.02.04</t>
        </is>
      </c>
      <c r="B222" s="28" t="inlineStr">
        <is>
          <t>ELIMINACIÓN DE MATERIAL EXCEDENTE</t>
        </is>
      </c>
      <c r="C222" s="29" t="n"/>
      <c r="D222" s="29" t="n"/>
      <c r="E222" s="29" t="n"/>
      <c r="F222" s="29" t="n"/>
      <c r="G222" s="29" t="n"/>
      <c r="H222" s="29" t="n"/>
      <c r="I222" s="29" t="n"/>
      <c r="J222" s="29" t="n"/>
      <c r="K222" s="29">
        <f>SUM(J223:J224)*PARAMETROS!$B$16</f>
        <v/>
      </c>
      <c r="L222" s="28" t="inlineStr">
        <is>
          <t>m³</t>
        </is>
      </c>
    </row>
    <row r="223">
      <c r="A223" s="30" t="n"/>
      <c r="B223" s="30" t="inlineStr">
        <is>
          <t>Excavacion de zanjas y cajas</t>
        </is>
      </c>
      <c r="C223" s="31" t="n">
        <v>1</v>
      </c>
      <c r="D223" s="31" t="n"/>
      <c r="E223" s="31" t="n"/>
      <c r="F223" s="31" t="n"/>
      <c r="G223" s="31" t="n"/>
      <c r="H223" s="31" t="n"/>
      <c r="I223" s="31" t="n"/>
      <c r="J223" s="31">
        <f>K185</f>
        <v/>
      </c>
      <c r="K223" s="31" t="n"/>
      <c r="L223" s="30" t="n"/>
    </row>
    <row r="224">
      <c r="A224" s="30" t="n"/>
      <c r="B224" s="30" t="inlineStr">
        <is>
          <t>Relleno compactado (se descuenta)</t>
        </is>
      </c>
      <c r="C224" s="31" t="n">
        <v>-1</v>
      </c>
      <c r="D224" s="31" t="n"/>
      <c r="E224" s="31" t="n"/>
      <c r="F224" s="31" t="n"/>
      <c r="G224" s="31" t="n"/>
      <c r="H224" s="31" t="n"/>
      <c r="I224" s="31" t="n"/>
      <c r="J224" s="31">
        <f>-K205</f>
        <v/>
      </c>
      <c r="K224" s="31" t="n"/>
      <c r="L224" s="30" t="n"/>
    </row>
    <row r="225">
      <c r="A225" s="209" t="inlineStr">
        <is>
          <t>01.04.04.03</t>
        </is>
      </c>
      <c r="B225" s="209" t="inlineStr">
        <is>
          <t>OBRAS DE CONCRETO SIMPLE</t>
        </is>
      </c>
      <c r="C225" s="313" t="n"/>
      <c r="D225" s="313" t="n"/>
      <c r="E225" s="313" t="n"/>
      <c r="F225" s="313" t="n"/>
      <c r="G225" s="313" t="n"/>
      <c r="H225" s="313" t="n"/>
      <c r="I225" s="313" t="n"/>
      <c r="J225" s="313" t="n"/>
      <c r="K225" s="313" t="n"/>
      <c r="L225" s="314" t="n"/>
    </row>
    <row r="226">
      <c r="A226" s="28" t="inlineStr">
        <is>
          <t>01.04.04.03.01</t>
        </is>
      </c>
      <c r="B226" s="28" t="inlineStr">
        <is>
          <t>CONCRETO f'c=100 kg/cm2 PARA SOLADO E=2" (0.05 m)</t>
        </is>
      </c>
      <c r="C226" s="29" t="n"/>
      <c r="D226" s="29" t="n"/>
      <c r="E226" s="29" t="n"/>
      <c r="F226" s="29" t="n"/>
      <c r="G226" s="29" t="n"/>
      <c r="H226" s="29" t="n"/>
      <c r="I226" s="29" t="n"/>
      <c r="J226" s="29" t="n"/>
      <c r="K226" s="29">
        <f>SUM(J227:J235)</f>
        <v/>
      </c>
      <c r="L226" s="28" t="inlineStr">
        <is>
          <t>m²</t>
        </is>
      </c>
    </row>
    <row r="227">
      <c r="A227" s="30" t="n"/>
      <c r="B227" s="30" t="inlineStr">
        <is>
          <t>Tramo normal (0+000.00 - 0+026.32)</t>
        </is>
      </c>
      <c r="C227" s="31" t="n">
        <v>1</v>
      </c>
      <c r="D227" s="31" t="n"/>
      <c r="E227" s="31" t="n"/>
      <c r="F227" s="31" t="n"/>
      <c r="G227" s="31" t="n"/>
      <c r="H227" s="31" t="n"/>
      <c r="I227" s="31" t="n"/>
      <c r="J227" s="31">
        <f>'COLECTOR CONCRETO'!H10</f>
        <v/>
      </c>
      <c r="K227" s="31" t="n"/>
      <c r="L227" s="30" t="n"/>
    </row>
    <row r="228">
      <c r="A228" s="30" t="n"/>
      <c r="B228" s="30" t="inlineStr">
        <is>
          <t>Cruce de camiones (0+026.32 - 0+031.33)</t>
        </is>
      </c>
      <c r="C228" s="31" t="n">
        <v>1</v>
      </c>
      <c r="D228" s="31" t="n"/>
      <c r="E228" s="31" t="n"/>
      <c r="F228" s="31" t="n"/>
      <c r="G228" s="31" t="n"/>
      <c r="H228" s="31" t="n"/>
      <c r="I228" s="31" t="n"/>
      <c r="J228" s="31">
        <f>'COLECTOR CONCRETO'!H11</f>
        <v/>
      </c>
      <c r="K228" s="31" t="n"/>
      <c r="L228" s="30" t="n"/>
    </row>
    <row r="229">
      <c r="A229" s="30" t="n"/>
      <c r="B229" s="30" t="inlineStr">
        <is>
          <t>Tramo normal (0+031.33 - 0+039.04)</t>
        </is>
      </c>
      <c r="C229" s="31" t="n">
        <v>1</v>
      </c>
      <c r="D229" s="31" t="n"/>
      <c r="E229" s="31" t="n"/>
      <c r="F229" s="31" t="n"/>
      <c r="G229" s="31" t="n"/>
      <c r="H229" s="31" t="n"/>
      <c r="I229" s="31" t="n"/>
      <c r="J229" s="31">
        <f>'COLECTOR CONCRETO'!H12</f>
        <v/>
      </c>
      <c r="K229" s="31" t="n"/>
      <c r="L229" s="30" t="n"/>
    </row>
    <row r="230">
      <c r="A230" s="30" t="n"/>
      <c r="B230" s="30" t="inlineStr">
        <is>
          <t>Cruce de motos (0+039.04 - 0+041.04)</t>
        </is>
      </c>
      <c r="C230" s="31" t="n">
        <v>1</v>
      </c>
      <c r="D230" s="31" t="n"/>
      <c r="E230" s="31" t="n"/>
      <c r="F230" s="31" t="n"/>
      <c r="G230" s="31" t="n"/>
      <c r="H230" s="31" t="n"/>
      <c r="I230" s="31" t="n"/>
      <c r="J230" s="31">
        <f>'COLECTOR CONCRETO'!H13</f>
        <v/>
      </c>
      <c r="K230" s="31" t="n"/>
      <c r="L230" s="30" t="n"/>
    </row>
    <row r="231">
      <c r="A231" s="30" t="n"/>
      <c r="B231" s="30" t="inlineStr">
        <is>
          <t>Tramo normal (0+041.04 - 0+058.81)</t>
        </is>
      </c>
      <c r="C231" s="31" t="n">
        <v>1</v>
      </c>
      <c r="D231" s="31" t="n"/>
      <c r="E231" s="31" t="n"/>
      <c r="F231" s="31" t="n"/>
      <c r="G231" s="31" t="n"/>
      <c r="H231" s="31" t="n"/>
      <c r="I231" s="31" t="n"/>
      <c r="J231" s="31">
        <f>'COLECTOR CONCRETO'!H14</f>
        <v/>
      </c>
      <c r="K231" s="31" t="n"/>
      <c r="L231" s="30" t="n"/>
    </row>
    <row r="232">
      <c r="A232" s="30" t="n"/>
      <c r="B232" s="30" t="inlineStr">
        <is>
          <t>Tramo diagonal (quiebres) (0+058.81 - 0+066.89)</t>
        </is>
      </c>
      <c r="C232" s="31" t="n">
        <v>1</v>
      </c>
      <c r="D232" s="31" t="n"/>
      <c r="E232" s="31" t="n"/>
      <c r="F232" s="31" t="n"/>
      <c r="G232" s="31" t="n"/>
      <c r="H232" s="31" t="n"/>
      <c r="I232" s="31" t="n"/>
      <c r="J232" s="31">
        <f>'COLECTOR CONCRETO'!H15</f>
        <v/>
      </c>
      <c r="K232" s="31" t="n"/>
      <c r="L232" s="30" t="n"/>
    </row>
    <row r="233">
      <c r="A233" s="30" t="n"/>
      <c r="B233" s="30" t="inlineStr">
        <is>
          <t>Tramo recto final (0+066.89 - 0+069.89)</t>
        </is>
      </c>
      <c r="C233" s="31" t="n">
        <v>1</v>
      </c>
      <c r="D233" s="31" t="n"/>
      <c r="E233" s="31" t="n"/>
      <c r="F233" s="31" t="n"/>
      <c r="G233" s="31" t="n"/>
      <c r="H233" s="31" t="n"/>
      <c r="I233" s="31" t="n"/>
      <c r="J233" s="31">
        <f>'COLECTOR CONCRETO'!H16</f>
        <v/>
      </c>
      <c r="K233" s="31" t="n"/>
      <c r="L233" s="30" t="n"/>
    </row>
    <row r="234">
      <c r="A234" s="30" t="n"/>
      <c r="B234" s="30" t="inlineStr">
        <is>
          <t>Caja de llegada CL</t>
        </is>
      </c>
      <c r="C234" s="31" t="n">
        <v>1</v>
      </c>
      <c r="D234" s="31" t="n"/>
      <c r="E234" s="31" t="n"/>
      <c r="F234" s="31" t="n"/>
      <c r="G234" s="31" t="n"/>
      <c r="H234" s="31" t="n"/>
      <c r="I234" s="31" t="n"/>
      <c r="J234" s="31">
        <f>SUM('COLECTOR CONCRETO'!H21:H30)</f>
        <v/>
      </c>
      <c r="K234" s="31" t="n"/>
      <c r="L234" s="30" t="n"/>
    </row>
    <row r="235">
      <c r="A235" s="30" t="n"/>
      <c r="B235" s="30" t="inlineStr">
        <is>
          <t>Caja de caida CC</t>
        </is>
      </c>
      <c r="C235" s="31" t="n">
        <v>1</v>
      </c>
      <c r="D235" s="31" t="n"/>
      <c r="E235" s="31" t="n"/>
      <c r="F235" s="31" t="n"/>
      <c r="G235" s="31" t="n"/>
      <c r="H235" s="31" t="n"/>
      <c r="I235" s="31" t="n"/>
      <c r="J235" s="31">
        <f>SUM('COLECTOR CONCRETO'!H31:H41)</f>
        <v/>
      </c>
      <c r="K235" s="31" t="n"/>
      <c r="L235" s="30" t="n"/>
    </row>
    <row r="236">
      <c r="A236" s="209" t="inlineStr">
        <is>
          <t>01.04.04.04</t>
        </is>
      </c>
      <c r="B236" s="209" t="inlineStr">
        <is>
          <t>OBRAS DE CONCRETO ARMADO - COLECTOR Y CAJAS</t>
        </is>
      </c>
      <c r="C236" s="313" t="n"/>
      <c r="D236" s="313" t="n"/>
      <c r="E236" s="313" t="n"/>
      <c r="F236" s="313" t="n"/>
      <c r="G236" s="313" t="n"/>
      <c r="H236" s="313" t="n"/>
      <c r="I236" s="313" t="n"/>
      <c r="J236" s="313" t="n"/>
      <c r="K236" s="313" t="n"/>
      <c r="L236" s="314" t="n"/>
    </row>
    <row r="237">
      <c r="A237" s="28" t="inlineStr">
        <is>
          <t>01.04.04.04.01</t>
        </is>
      </c>
      <c r="B237" s="28" t="inlineStr">
        <is>
          <t>CONCRETO f'c=210 kg/cm2 EN LOSA DE FONDO</t>
        </is>
      </c>
      <c r="C237" s="29" t="n"/>
      <c r="D237" s="29" t="n"/>
      <c r="E237" s="29" t="n"/>
      <c r="F237" s="29" t="n"/>
      <c r="G237" s="29" t="n"/>
      <c r="H237" s="29" t="n"/>
      <c r="I237" s="29" t="n"/>
      <c r="J237" s="29" t="n"/>
      <c r="K237" s="29">
        <f>SUM(J238:J246)</f>
        <v/>
      </c>
      <c r="L237" s="28" t="inlineStr">
        <is>
          <t>m³</t>
        </is>
      </c>
    </row>
    <row r="238">
      <c r="A238" s="30" t="n"/>
      <c r="B238" s="30" t="inlineStr">
        <is>
          <t>Tramo normal (0+000.00 - 0+026.32)</t>
        </is>
      </c>
      <c r="C238" s="31" t="n">
        <v>1</v>
      </c>
      <c r="D238" s="31" t="n"/>
      <c r="E238" s="31" t="n"/>
      <c r="F238" s="31" t="n"/>
      <c r="G238" s="31" t="n"/>
      <c r="H238" s="31" t="n"/>
      <c r="I238" s="31" t="n"/>
      <c r="J238" s="31">
        <f>'COLECTOR CONCRETO'!I10</f>
        <v/>
      </c>
      <c r="K238" s="31" t="n"/>
      <c r="L238" s="30" t="n"/>
    </row>
    <row r="239">
      <c r="A239" s="30" t="n"/>
      <c r="B239" s="30" t="inlineStr">
        <is>
          <t>Cruce de camiones (0+026.32 - 0+031.33)</t>
        </is>
      </c>
      <c r="C239" s="31" t="n">
        <v>1</v>
      </c>
      <c r="D239" s="31" t="n"/>
      <c r="E239" s="31" t="n"/>
      <c r="F239" s="31" t="n"/>
      <c r="G239" s="31" t="n"/>
      <c r="H239" s="31" t="n"/>
      <c r="I239" s="31" t="n"/>
      <c r="J239" s="31">
        <f>'COLECTOR CONCRETO'!I11</f>
        <v/>
      </c>
      <c r="K239" s="31" t="n"/>
      <c r="L239" s="30" t="n"/>
    </row>
    <row r="240">
      <c r="A240" s="30" t="n"/>
      <c r="B240" s="30" t="inlineStr">
        <is>
          <t>Tramo normal (0+031.33 - 0+039.04)</t>
        </is>
      </c>
      <c r="C240" s="31" t="n">
        <v>1</v>
      </c>
      <c r="D240" s="31" t="n"/>
      <c r="E240" s="31" t="n"/>
      <c r="F240" s="31" t="n"/>
      <c r="G240" s="31" t="n"/>
      <c r="H240" s="31" t="n"/>
      <c r="I240" s="31" t="n"/>
      <c r="J240" s="31">
        <f>'COLECTOR CONCRETO'!I12</f>
        <v/>
      </c>
      <c r="K240" s="31" t="n"/>
      <c r="L240" s="30" t="n"/>
    </row>
    <row r="241">
      <c r="A241" s="30" t="n"/>
      <c r="B241" s="30" t="inlineStr">
        <is>
          <t>Cruce de motos (0+039.04 - 0+041.04)</t>
        </is>
      </c>
      <c r="C241" s="31" t="n">
        <v>1</v>
      </c>
      <c r="D241" s="31" t="n"/>
      <c r="E241" s="31" t="n"/>
      <c r="F241" s="31" t="n"/>
      <c r="G241" s="31" t="n"/>
      <c r="H241" s="31" t="n"/>
      <c r="I241" s="31" t="n"/>
      <c r="J241" s="31">
        <f>'COLECTOR CONCRETO'!I13</f>
        <v/>
      </c>
      <c r="K241" s="31" t="n"/>
      <c r="L241" s="30" t="n"/>
    </row>
    <row r="242">
      <c r="A242" s="30" t="n"/>
      <c r="B242" s="30" t="inlineStr">
        <is>
          <t>Tramo normal (0+041.04 - 0+058.81)</t>
        </is>
      </c>
      <c r="C242" s="31" t="n">
        <v>1</v>
      </c>
      <c r="D242" s="31" t="n"/>
      <c r="E242" s="31" t="n"/>
      <c r="F242" s="31" t="n"/>
      <c r="G242" s="31" t="n"/>
      <c r="H242" s="31" t="n"/>
      <c r="I242" s="31" t="n"/>
      <c r="J242" s="31">
        <f>'COLECTOR CONCRETO'!I14</f>
        <v/>
      </c>
      <c r="K242" s="31" t="n"/>
      <c r="L242" s="30" t="n"/>
    </row>
    <row r="243">
      <c r="A243" s="30" t="n"/>
      <c r="B243" s="30" t="inlineStr">
        <is>
          <t>Tramo diagonal (quiebres) (0+058.81 - 0+066.89)</t>
        </is>
      </c>
      <c r="C243" s="31" t="n">
        <v>1</v>
      </c>
      <c r="D243" s="31" t="n"/>
      <c r="E243" s="31" t="n"/>
      <c r="F243" s="31" t="n"/>
      <c r="G243" s="31" t="n"/>
      <c r="H243" s="31" t="n"/>
      <c r="I243" s="31" t="n"/>
      <c r="J243" s="31">
        <f>'COLECTOR CONCRETO'!I15</f>
        <v/>
      </c>
      <c r="K243" s="31" t="n"/>
      <c r="L243" s="30" t="n"/>
    </row>
    <row r="244">
      <c r="A244" s="30" t="n"/>
      <c r="B244" s="30" t="inlineStr">
        <is>
          <t>Tramo recto final (0+066.89 - 0+069.89)</t>
        </is>
      </c>
      <c r="C244" s="31" t="n">
        <v>1</v>
      </c>
      <c r="D244" s="31" t="n"/>
      <c r="E244" s="31" t="n"/>
      <c r="F244" s="31" t="n"/>
      <c r="G244" s="31" t="n"/>
      <c r="H244" s="31" t="n"/>
      <c r="I244" s="31" t="n"/>
      <c r="J244" s="31">
        <f>'COLECTOR CONCRETO'!I16</f>
        <v/>
      </c>
      <c r="K244" s="31" t="n"/>
      <c r="L244" s="30" t="n"/>
    </row>
    <row r="245">
      <c r="A245" s="30" t="n"/>
      <c r="B245" s="30" t="inlineStr">
        <is>
          <t>Caja de llegada CL</t>
        </is>
      </c>
      <c r="C245" s="31" t="n">
        <v>1</v>
      </c>
      <c r="D245" s="31" t="n"/>
      <c r="E245" s="31" t="n"/>
      <c r="F245" s="31" t="n"/>
      <c r="G245" s="31" t="n"/>
      <c r="H245" s="31" t="n"/>
      <c r="I245" s="31" t="n"/>
      <c r="J245" s="31">
        <f>SUM('COLECTOR CONCRETO'!I21:I30)</f>
        <v/>
      </c>
      <c r="K245" s="31" t="n"/>
      <c r="L245" s="30" t="n"/>
    </row>
    <row r="246">
      <c r="A246" s="30" t="n"/>
      <c r="B246" s="30" t="inlineStr">
        <is>
          <t>Caja de caida CC (incluye umbral)</t>
        </is>
      </c>
      <c r="C246" s="31" t="n">
        <v>1</v>
      </c>
      <c r="D246" s="31" t="n"/>
      <c r="E246" s="31" t="n"/>
      <c r="F246" s="31" t="n"/>
      <c r="G246" s="31" t="n"/>
      <c r="H246" s="31" t="n"/>
      <c r="I246" s="31" t="n"/>
      <c r="J246" s="31">
        <f>SUM('COLECTOR CONCRETO'!I31:I41)</f>
        <v/>
      </c>
      <c r="K246" s="31" t="n"/>
      <c r="L246" s="30" t="n"/>
    </row>
    <row r="247">
      <c r="A247" s="28" t="inlineStr">
        <is>
          <t>01.04.04.04.02</t>
        </is>
      </c>
      <c r="B247" s="28" t="inlineStr">
        <is>
          <t>CONCRETO f'c=210 kg/cm2 EN MUROS</t>
        </is>
      </c>
      <c r="C247" s="29" t="n"/>
      <c r="D247" s="29" t="n"/>
      <c r="E247" s="29" t="n"/>
      <c r="F247" s="29" t="n"/>
      <c r="G247" s="29" t="n"/>
      <c r="H247" s="29" t="n"/>
      <c r="I247" s="29" t="n"/>
      <c r="J247" s="29" t="n"/>
      <c r="K247" s="29">
        <f>SUM(J248:J256)</f>
        <v/>
      </c>
      <c r="L247" s="28" t="inlineStr">
        <is>
          <t>m³</t>
        </is>
      </c>
    </row>
    <row r="248">
      <c r="A248" s="30" t="n"/>
      <c r="B248" s="30" t="inlineStr">
        <is>
          <t>Tramo normal (0+000.00 - 0+026.32)</t>
        </is>
      </c>
      <c r="C248" s="31" t="n">
        <v>1</v>
      </c>
      <c r="D248" s="31" t="n"/>
      <c r="E248" s="31" t="n"/>
      <c r="F248" s="31" t="n"/>
      <c r="G248" s="31" t="n"/>
      <c r="H248" s="31" t="n"/>
      <c r="I248" s="31" t="n"/>
      <c r="J248" s="31">
        <f>'COLECTOR CONCRETO'!J10</f>
        <v/>
      </c>
      <c r="K248" s="31" t="n"/>
      <c r="L248" s="30" t="n"/>
    </row>
    <row r="249">
      <c r="A249" s="30" t="n"/>
      <c r="B249" s="30" t="inlineStr">
        <is>
          <t>Cruce de camiones (0+026.32 - 0+031.33)</t>
        </is>
      </c>
      <c r="C249" s="31" t="n">
        <v>1</v>
      </c>
      <c r="D249" s="31" t="n"/>
      <c r="E249" s="31" t="n"/>
      <c r="F249" s="31" t="n"/>
      <c r="G249" s="31" t="n"/>
      <c r="H249" s="31" t="n"/>
      <c r="I249" s="31" t="n"/>
      <c r="J249" s="31">
        <f>'COLECTOR CONCRETO'!J11</f>
        <v/>
      </c>
      <c r="K249" s="31" t="n"/>
      <c r="L249" s="30" t="n"/>
    </row>
    <row r="250">
      <c r="A250" s="30" t="n"/>
      <c r="B250" s="30" t="inlineStr">
        <is>
          <t>Tramo normal (0+031.33 - 0+039.04)</t>
        </is>
      </c>
      <c r="C250" s="31" t="n">
        <v>1</v>
      </c>
      <c r="D250" s="31" t="n"/>
      <c r="E250" s="31" t="n"/>
      <c r="F250" s="31" t="n"/>
      <c r="G250" s="31" t="n"/>
      <c r="H250" s="31" t="n"/>
      <c r="I250" s="31" t="n"/>
      <c r="J250" s="31">
        <f>'COLECTOR CONCRETO'!J12</f>
        <v/>
      </c>
      <c r="K250" s="31" t="n"/>
      <c r="L250" s="30" t="n"/>
    </row>
    <row r="251">
      <c r="A251" s="30" t="n"/>
      <c r="B251" s="30" t="inlineStr">
        <is>
          <t>Cruce de motos (0+039.04 - 0+041.04)</t>
        </is>
      </c>
      <c r="C251" s="31" t="n">
        <v>1</v>
      </c>
      <c r="D251" s="31" t="n"/>
      <c r="E251" s="31" t="n"/>
      <c r="F251" s="31" t="n"/>
      <c r="G251" s="31" t="n"/>
      <c r="H251" s="31" t="n"/>
      <c r="I251" s="31" t="n"/>
      <c r="J251" s="31">
        <f>'COLECTOR CONCRETO'!J13</f>
        <v/>
      </c>
      <c r="K251" s="31" t="n"/>
      <c r="L251" s="30" t="n"/>
    </row>
    <row r="252">
      <c r="A252" s="30" t="n"/>
      <c r="B252" s="30" t="inlineStr">
        <is>
          <t>Tramo normal (0+041.04 - 0+058.81)</t>
        </is>
      </c>
      <c r="C252" s="31" t="n">
        <v>1</v>
      </c>
      <c r="D252" s="31" t="n"/>
      <c r="E252" s="31" t="n"/>
      <c r="F252" s="31" t="n"/>
      <c r="G252" s="31" t="n"/>
      <c r="H252" s="31" t="n"/>
      <c r="I252" s="31" t="n"/>
      <c r="J252" s="31">
        <f>'COLECTOR CONCRETO'!J14</f>
        <v/>
      </c>
      <c r="K252" s="31" t="n"/>
      <c r="L252" s="30" t="n"/>
    </row>
    <row r="253">
      <c r="A253" s="30" t="n"/>
      <c r="B253" s="30" t="inlineStr">
        <is>
          <t>Tramo diagonal (quiebres) (0+058.81 - 0+066.89)</t>
        </is>
      </c>
      <c r="C253" s="31" t="n">
        <v>1</v>
      </c>
      <c r="D253" s="31" t="n"/>
      <c r="E253" s="31" t="n"/>
      <c r="F253" s="31" t="n"/>
      <c r="G253" s="31" t="n"/>
      <c r="H253" s="31" t="n"/>
      <c r="I253" s="31" t="n"/>
      <c r="J253" s="31">
        <f>'COLECTOR CONCRETO'!J15</f>
        <v/>
      </c>
      <c r="K253" s="31" t="n"/>
      <c r="L253" s="30" t="n"/>
    </row>
    <row r="254">
      <c r="A254" s="30" t="n"/>
      <c r="B254" s="30" t="inlineStr">
        <is>
          <t>Tramo recto final (0+066.89 - 0+069.89)</t>
        </is>
      </c>
      <c r="C254" s="31" t="n">
        <v>1</v>
      </c>
      <c r="D254" s="31" t="n"/>
      <c r="E254" s="31" t="n"/>
      <c r="F254" s="31" t="n"/>
      <c r="G254" s="31" t="n"/>
      <c r="H254" s="31" t="n"/>
      <c r="I254" s="31" t="n"/>
      <c r="J254" s="31">
        <f>'COLECTOR CONCRETO'!J16</f>
        <v/>
      </c>
      <c r="K254" s="31" t="n"/>
      <c r="L254" s="30" t="n"/>
    </row>
    <row r="255">
      <c r="A255" s="30" t="n"/>
      <c r="B255" s="30" t="inlineStr">
        <is>
          <t>Caja de llegada CL (muros, murete, descuento de ventana)</t>
        </is>
      </c>
      <c r="C255" s="31" t="n">
        <v>1</v>
      </c>
      <c r="D255" s="31" t="n"/>
      <c r="E255" s="31" t="n"/>
      <c r="F255" s="31" t="n"/>
      <c r="G255" s="31" t="n"/>
      <c r="H255" s="31" t="n"/>
      <c r="I255" s="31" t="n"/>
      <c r="J255" s="31">
        <f>SUM('COLECTOR CONCRETO'!J21:J30)</f>
        <v/>
      </c>
      <c r="K255" s="31" t="n"/>
      <c r="L255" s="30" t="n"/>
    </row>
    <row r="256">
      <c r="A256" s="30" t="n"/>
      <c r="B256" s="30" t="inlineStr">
        <is>
          <t>Caja de caida CC (muros, murete, descuento de ventana)</t>
        </is>
      </c>
      <c r="C256" s="31" t="n">
        <v>1</v>
      </c>
      <c r="D256" s="31" t="n"/>
      <c r="E256" s="31" t="n"/>
      <c r="F256" s="31" t="n"/>
      <c r="G256" s="31" t="n"/>
      <c r="H256" s="31" t="n"/>
      <c r="I256" s="31" t="n"/>
      <c r="J256" s="31">
        <f>SUM('COLECTOR CONCRETO'!J31:J41)</f>
        <v/>
      </c>
      <c r="K256" s="31" t="n"/>
      <c r="L256" s="30" t="n"/>
    </row>
    <row r="257">
      <c r="A257" s="28" t="inlineStr">
        <is>
          <t>01.04.04.04.03</t>
        </is>
      </c>
      <c r="B257" s="28" t="inlineStr">
        <is>
          <t>CONCRETO f'c=210 kg/cm2 EN LOSA SUPERIOR (incluye bordes de registro)</t>
        </is>
      </c>
      <c r="C257" s="29" t="n"/>
      <c r="D257" s="29" t="n"/>
      <c r="E257" s="29" t="n"/>
      <c r="F257" s="29" t="n"/>
      <c r="G257" s="29" t="n"/>
      <c r="H257" s="29" t="n"/>
      <c r="I257" s="29" t="n"/>
      <c r="J257" s="29" t="n"/>
      <c r="K257" s="29">
        <f>SUM(J258:J268)</f>
        <v/>
      </c>
      <c r="L257" s="28" t="inlineStr">
        <is>
          <t>m³</t>
        </is>
      </c>
    </row>
    <row r="258">
      <c r="A258" s="30" t="n"/>
      <c r="B258" s="30" t="inlineStr">
        <is>
          <t>Tramo normal (0+000.00 - 0+026.32)</t>
        </is>
      </c>
      <c r="C258" s="31" t="n">
        <v>1</v>
      </c>
      <c r="D258" s="31" t="n"/>
      <c r="E258" s="31" t="n"/>
      <c r="F258" s="31" t="n"/>
      <c r="G258" s="31" t="n"/>
      <c r="H258" s="31" t="n"/>
      <c r="I258" s="31" t="n"/>
      <c r="J258" s="31">
        <f>'COLECTOR CONCRETO'!K10</f>
        <v/>
      </c>
      <c r="K258" s="31" t="n"/>
      <c r="L258" s="30" t="n"/>
    </row>
    <row r="259">
      <c r="A259" s="30" t="n"/>
      <c r="B259" s="30" t="inlineStr">
        <is>
          <t>Cruce de camiones (0+026.32 - 0+031.33)</t>
        </is>
      </c>
      <c r="C259" s="31" t="n">
        <v>1</v>
      </c>
      <c r="D259" s="31" t="n"/>
      <c r="E259" s="31" t="n"/>
      <c r="F259" s="31" t="n"/>
      <c r="G259" s="31" t="n"/>
      <c r="H259" s="31" t="n"/>
      <c r="I259" s="31" t="n"/>
      <c r="J259" s="31">
        <f>'COLECTOR CONCRETO'!K11</f>
        <v/>
      </c>
      <c r="K259" s="31" t="n"/>
      <c r="L259" s="30" t="n"/>
    </row>
    <row r="260">
      <c r="A260" s="30" t="n"/>
      <c r="B260" s="30" t="inlineStr">
        <is>
          <t>Tramo normal (0+031.33 - 0+039.04)</t>
        </is>
      </c>
      <c r="C260" s="31" t="n">
        <v>1</v>
      </c>
      <c r="D260" s="31" t="n"/>
      <c r="E260" s="31" t="n"/>
      <c r="F260" s="31" t="n"/>
      <c r="G260" s="31" t="n"/>
      <c r="H260" s="31" t="n"/>
      <c r="I260" s="31" t="n"/>
      <c r="J260" s="31">
        <f>'COLECTOR CONCRETO'!K12</f>
        <v/>
      </c>
      <c r="K260" s="31" t="n"/>
      <c r="L260" s="30" t="n"/>
    </row>
    <row r="261">
      <c r="A261" s="30" t="n"/>
      <c r="B261" s="30" t="inlineStr">
        <is>
          <t>Cruce de motos (0+039.04 - 0+041.04)</t>
        </is>
      </c>
      <c r="C261" s="31" t="n">
        <v>1</v>
      </c>
      <c r="D261" s="31" t="n"/>
      <c r="E261" s="31" t="n"/>
      <c r="F261" s="31" t="n"/>
      <c r="G261" s="31" t="n"/>
      <c r="H261" s="31" t="n"/>
      <c r="I261" s="31" t="n"/>
      <c r="J261" s="31">
        <f>'COLECTOR CONCRETO'!K13</f>
        <v/>
      </c>
      <c r="K261" s="31" t="n"/>
      <c r="L261" s="30" t="n"/>
    </row>
    <row r="262">
      <c r="A262" s="30" t="n"/>
      <c r="B262" s="30" t="inlineStr">
        <is>
          <t>Tramo normal (0+041.04 - 0+058.81)</t>
        </is>
      </c>
      <c r="C262" s="31" t="n">
        <v>1</v>
      </c>
      <c r="D262" s="31" t="n"/>
      <c r="E262" s="31" t="n"/>
      <c r="F262" s="31" t="n"/>
      <c r="G262" s="31" t="n"/>
      <c r="H262" s="31" t="n"/>
      <c r="I262" s="31" t="n"/>
      <c r="J262" s="31">
        <f>'COLECTOR CONCRETO'!K14</f>
        <v/>
      </c>
      <c r="K262" s="31" t="n"/>
      <c r="L262" s="30" t="n"/>
    </row>
    <row r="263">
      <c r="A263" s="30" t="n"/>
      <c r="B263" s="30" t="inlineStr">
        <is>
          <t>Tramo diagonal (quiebres) (0+058.81 - 0+066.89)</t>
        </is>
      </c>
      <c r="C263" s="31" t="n">
        <v>1</v>
      </c>
      <c r="D263" s="31" t="n"/>
      <c r="E263" s="31" t="n"/>
      <c r="F263" s="31" t="n"/>
      <c r="G263" s="31" t="n"/>
      <c r="H263" s="31" t="n"/>
      <c r="I263" s="31" t="n"/>
      <c r="J263" s="31">
        <f>'COLECTOR CONCRETO'!K15</f>
        <v/>
      </c>
      <c r="K263" s="31" t="n"/>
      <c r="L263" s="30" t="n"/>
    </row>
    <row r="264">
      <c r="A264" s="30" t="n"/>
      <c r="B264" s="30" t="inlineStr">
        <is>
          <t>Tramo recto final (0+066.89 - 0+069.89)</t>
        </is>
      </c>
      <c r="C264" s="31" t="n">
        <v>1</v>
      </c>
      <c r="D264" s="31" t="n"/>
      <c r="E264" s="31" t="n"/>
      <c r="F264" s="31" t="n"/>
      <c r="G264" s="31" t="n"/>
      <c r="H264" s="31" t="n"/>
      <c r="I264" s="31" t="n"/>
      <c r="J264" s="31">
        <f>'COLECTOR CONCRETO'!K16</f>
        <v/>
      </c>
      <c r="K264" s="31" t="n"/>
      <c r="L264" s="30" t="n"/>
    </row>
    <row r="265">
      <c r="A265" s="30" t="n"/>
      <c r="B265" s="30" t="inlineStr">
        <is>
          <t>Caja de llegada CL (descuento de abertura)</t>
        </is>
      </c>
      <c r="C265" s="31" t="n">
        <v>1</v>
      </c>
      <c r="D265" s="31" t="n"/>
      <c r="E265" s="31" t="n"/>
      <c r="F265" s="31" t="n"/>
      <c r="G265" s="31" t="n"/>
      <c r="H265" s="31" t="n"/>
      <c r="I265" s="31" t="n"/>
      <c r="J265" s="31">
        <f>SUM('COLECTOR CONCRETO'!K21:K30)</f>
        <v/>
      </c>
      <c r="K265" s="31" t="n"/>
      <c r="L265" s="30" t="n"/>
    </row>
    <row r="266">
      <c r="A266" s="30" t="n"/>
      <c r="B266" s="30" t="inlineStr">
        <is>
          <t>Caja de caida CC (descuento de aberturas)</t>
        </is>
      </c>
      <c r="C266" s="31" t="n">
        <v>1</v>
      </c>
      <c r="D266" s="31" t="n"/>
      <c r="E266" s="31" t="n"/>
      <c r="F266" s="31" t="n"/>
      <c r="G266" s="31" t="n"/>
      <c r="H266" s="31" t="n"/>
      <c r="I266" s="31" t="n"/>
      <c r="J266" s="31">
        <f>SUM('COLECTOR CONCRETO'!K31:K41)</f>
        <v/>
      </c>
      <c r="K266" s="31" t="n"/>
      <c r="L266" s="30" t="n"/>
    </row>
    <row r="267">
      <c r="A267" s="30" t="n"/>
      <c r="B267" s="30" t="inlineStr">
        <is>
          <t>Bordes engrosados de abertura de registros RS-01 a RS-07</t>
        </is>
      </c>
      <c r="C267" s="31" t="n">
        <v>1</v>
      </c>
      <c r="D267" s="31" t="n"/>
      <c r="E267" s="31" t="n"/>
      <c r="F267" s="31" t="n"/>
      <c r="G267" s="31" t="n"/>
      <c r="H267" s="31" t="n"/>
      <c r="I267" s="31" t="n"/>
      <c r="J267" s="31">
        <f>'COLECTOR CONCRETO'!K43</f>
        <v/>
      </c>
      <c r="K267" s="31" t="n"/>
      <c r="L267" s="30" t="n"/>
    </row>
    <row r="268">
      <c r="A268" s="30" t="n"/>
      <c r="B268" s="30" t="inlineStr">
        <is>
          <t>Descuento de aberturas de registro 0.70 x 0.70 x 0.10</t>
        </is>
      </c>
      <c r="C268" s="31" t="n">
        <v>1</v>
      </c>
      <c r="D268" s="31" t="n"/>
      <c r="E268" s="31" t="n"/>
      <c r="F268" s="31" t="n"/>
      <c r="G268" s="31" t="n"/>
      <c r="H268" s="31" t="n"/>
      <c r="I268" s="31" t="n"/>
      <c r="J268" s="31">
        <f>'COLECTOR CONCRETO'!K44</f>
        <v/>
      </c>
      <c r="K268" s="31" t="n"/>
      <c r="L268" s="30" t="n"/>
    </row>
    <row r="269">
      <c r="A269" s="28" t="inlineStr">
        <is>
          <t>01.04.04.04.04</t>
        </is>
      </c>
      <c r="B269" s="28" t="inlineStr">
        <is>
          <t>ENCOFRADO Y DESENCOFRADO NORMAL EN COLECTOR Y CAJAS</t>
        </is>
      </c>
      <c r="C269" s="29" t="n"/>
      <c r="D269" s="29" t="n"/>
      <c r="E269" s="29" t="n"/>
      <c r="F269" s="29" t="n"/>
      <c r="G269" s="29" t="n"/>
      <c r="H269" s="29" t="n"/>
      <c r="I269" s="29" t="n"/>
      <c r="J269" s="29" t="n"/>
      <c r="K269" s="29">
        <f>SUM(J270:J278)</f>
        <v/>
      </c>
      <c r="L269" s="28" t="inlineStr">
        <is>
          <t>m²</t>
        </is>
      </c>
    </row>
    <row r="270">
      <c r="A270" s="30" t="n"/>
      <c r="B270" s="30" t="inlineStr">
        <is>
          <t>Tramo normal (0+000.00 - 0+026.32)</t>
        </is>
      </c>
      <c r="C270" s="31" t="n">
        <v>1</v>
      </c>
      <c r="D270" s="31" t="n"/>
      <c r="E270" s="31" t="n"/>
      <c r="F270" s="31" t="n"/>
      <c r="G270" s="31" t="n"/>
      <c r="H270" s="31" t="n"/>
      <c r="I270" s="31" t="n"/>
      <c r="J270" s="31">
        <f>'COLECTOR ENCOFRADO'!K10</f>
        <v/>
      </c>
      <c r="K270" s="31" t="n"/>
      <c r="L270" s="30" t="n"/>
    </row>
    <row r="271">
      <c r="A271" s="30" t="n"/>
      <c r="B271" s="30" t="inlineStr">
        <is>
          <t>Cruce de camiones (0+026.32 - 0+031.33)</t>
        </is>
      </c>
      <c r="C271" s="31" t="n">
        <v>1</v>
      </c>
      <c r="D271" s="31" t="n"/>
      <c r="E271" s="31" t="n"/>
      <c r="F271" s="31" t="n"/>
      <c r="G271" s="31" t="n"/>
      <c r="H271" s="31" t="n"/>
      <c r="I271" s="31" t="n"/>
      <c r="J271" s="31">
        <f>'COLECTOR ENCOFRADO'!K11</f>
        <v/>
      </c>
      <c r="K271" s="31" t="n"/>
      <c r="L271" s="30" t="n"/>
    </row>
    <row r="272">
      <c r="A272" s="30" t="n"/>
      <c r="B272" s="30" t="inlineStr">
        <is>
          <t>Tramo normal (0+031.33 - 0+039.04)</t>
        </is>
      </c>
      <c r="C272" s="31" t="n">
        <v>1</v>
      </c>
      <c r="D272" s="31" t="n"/>
      <c r="E272" s="31" t="n"/>
      <c r="F272" s="31" t="n"/>
      <c r="G272" s="31" t="n"/>
      <c r="H272" s="31" t="n"/>
      <c r="I272" s="31" t="n"/>
      <c r="J272" s="31">
        <f>'COLECTOR ENCOFRADO'!K12</f>
        <v/>
      </c>
      <c r="K272" s="31" t="n"/>
      <c r="L272" s="30" t="n"/>
    </row>
    <row r="273">
      <c r="A273" s="30" t="n"/>
      <c r="B273" s="30" t="inlineStr">
        <is>
          <t>Cruce de motos (0+039.04 - 0+041.04)</t>
        </is>
      </c>
      <c r="C273" s="31" t="n">
        <v>1</v>
      </c>
      <c r="D273" s="31" t="n"/>
      <c r="E273" s="31" t="n"/>
      <c r="F273" s="31" t="n"/>
      <c r="G273" s="31" t="n"/>
      <c r="H273" s="31" t="n"/>
      <c r="I273" s="31" t="n"/>
      <c r="J273" s="31">
        <f>'COLECTOR ENCOFRADO'!K13</f>
        <v/>
      </c>
      <c r="K273" s="31" t="n"/>
      <c r="L273" s="30" t="n"/>
    </row>
    <row r="274">
      <c r="A274" s="30" t="n"/>
      <c r="B274" s="30" t="inlineStr">
        <is>
          <t>Tramo normal (0+041.04 - 0+058.81)</t>
        </is>
      </c>
      <c r="C274" s="31" t="n">
        <v>1</v>
      </c>
      <c r="D274" s="31" t="n"/>
      <c r="E274" s="31" t="n"/>
      <c r="F274" s="31" t="n"/>
      <c r="G274" s="31" t="n"/>
      <c r="H274" s="31" t="n"/>
      <c r="I274" s="31" t="n"/>
      <c r="J274" s="31">
        <f>'COLECTOR ENCOFRADO'!K14</f>
        <v/>
      </c>
      <c r="K274" s="31" t="n"/>
      <c r="L274" s="30" t="n"/>
    </row>
    <row r="275">
      <c r="A275" s="30" t="n"/>
      <c r="B275" s="30" t="inlineStr">
        <is>
          <t>Tramo diagonal (quiebres) (0+058.81 - 0+066.89)</t>
        </is>
      </c>
      <c r="C275" s="31" t="n">
        <v>1</v>
      </c>
      <c r="D275" s="31" t="n"/>
      <c r="E275" s="31" t="n"/>
      <c r="F275" s="31" t="n"/>
      <c r="G275" s="31" t="n"/>
      <c r="H275" s="31" t="n"/>
      <c r="I275" s="31" t="n"/>
      <c r="J275" s="31">
        <f>'COLECTOR ENCOFRADO'!K15</f>
        <v/>
      </c>
      <c r="K275" s="31" t="n"/>
      <c r="L275" s="30" t="n"/>
    </row>
    <row r="276">
      <c r="A276" s="30" t="n"/>
      <c r="B276" s="30" t="inlineStr">
        <is>
          <t>Tramo recto final (0+066.89 - 0+069.89)</t>
        </is>
      </c>
      <c r="C276" s="31" t="n">
        <v>1</v>
      </c>
      <c r="D276" s="31" t="n"/>
      <c r="E276" s="31" t="n"/>
      <c r="F276" s="31" t="n"/>
      <c r="G276" s="31" t="n"/>
      <c r="H276" s="31" t="n"/>
      <c r="I276" s="31" t="n"/>
      <c r="J276" s="31">
        <f>'COLECTOR ENCOFRADO'!K16</f>
        <v/>
      </c>
      <c r="K276" s="31" t="n"/>
      <c r="L276" s="30" t="n"/>
    </row>
    <row r="277">
      <c r="A277" s="30" t="n"/>
      <c r="B277" s="30" t="inlineStr">
        <is>
          <t>Caja de llegada CL</t>
        </is>
      </c>
      <c r="C277" s="31" t="n">
        <v>1</v>
      </c>
      <c r="D277" s="31" t="n"/>
      <c r="E277" s="31" t="n"/>
      <c r="F277" s="31" t="n"/>
      <c r="G277" s="31" t="n"/>
      <c r="H277" s="31" t="n"/>
      <c r="I277" s="31" t="n"/>
      <c r="J277" s="31">
        <f>SUM('COLECTOR ENCOFRADO'!K21:K23)</f>
        <v/>
      </c>
      <c r="K277" s="31" t="n"/>
      <c r="L277" s="30" t="n"/>
    </row>
    <row r="278">
      <c r="A278" s="30" t="n"/>
      <c r="B278" s="30" t="inlineStr">
        <is>
          <t>Caja de caida CC</t>
        </is>
      </c>
      <c r="C278" s="31" t="n">
        <v>1</v>
      </c>
      <c r="D278" s="31" t="n"/>
      <c r="E278" s="31" t="n"/>
      <c r="F278" s="31" t="n"/>
      <c r="G278" s="31" t="n"/>
      <c r="H278" s="31" t="n"/>
      <c r="I278" s="31" t="n"/>
      <c r="J278" s="31">
        <f>SUM('COLECTOR ENCOFRADO'!K24:K27)</f>
        <v/>
      </c>
      <c r="K278" s="31" t="n"/>
      <c r="L278" s="30" t="n"/>
    </row>
    <row r="279">
      <c r="A279" s="28" t="inlineStr">
        <is>
          <t>01.04.04.04.05</t>
        </is>
      </c>
      <c r="B279" s="28" t="inlineStr">
        <is>
          <t>ACERO DE REFUERZO fy=4200 kg/cm2 EN COLECTOR Y CAJAS</t>
        </is>
      </c>
      <c r="C279" s="29" t="n"/>
      <c r="D279" s="29" t="n"/>
      <c r="E279" s="29" t="n"/>
      <c r="F279" s="29" t="n"/>
      <c r="G279" s="29" t="n"/>
      <c r="H279" s="29" t="n"/>
      <c r="I279" s="29" t="n"/>
      <c r="J279" s="29" t="n"/>
      <c r="K279" s="29">
        <f>SUM(J280:J288)</f>
        <v/>
      </c>
      <c r="L279" s="28" t="inlineStr">
        <is>
          <t>kg</t>
        </is>
      </c>
    </row>
    <row r="280">
      <c r="A280" s="30" t="n"/>
      <c r="B280" s="30" t="inlineStr">
        <is>
          <t>Tramo normal (0+000.00 - 0+026.32)</t>
        </is>
      </c>
      <c r="C280" s="31" t="n">
        <v>1</v>
      </c>
      <c r="D280" s="31" t="n"/>
      <c r="E280" s="31" t="n"/>
      <c r="F280" s="31" t="n"/>
      <c r="G280" s="31" t="n"/>
      <c r="H280" s="31" t="n"/>
      <c r="I280" s="31" t="n"/>
      <c r="J280" s="31">
        <f>'COLECTOR ACERO'!U10</f>
        <v/>
      </c>
      <c r="K280" s="31" t="n"/>
      <c r="L280" s="30" t="n"/>
    </row>
    <row r="281">
      <c r="A281" s="30" t="n"/>
      <c r="B281" s="30" t="inlineStr">
        <is>
          <t>Cruce de camiones (0+026.32 - 0+031.33)</t>
        </is>
      </c>
      <c r="C281" s="31" t="n">
        <v>1</v>
      </c>
      <c r="D281" s="31" t="n"/>
      <c r="E281" s="31" t="n"/>
      <c r="F281" s="31" t="n"/>
      <c r="G281" s="31" t="n"/>
      <c r="H281" s="31" t="n"/>
      <c r="I281" s="31" t="n"/>
      <c r="J281" s="31">
        <f>'COLECTOR ACERO'!U11</f>
        <v/>
      </c>
      <c r="K281" s="31" t="n"/>
      <c r="L281" s="30" t="n"/>
    </row>
    <row r="282">
      <c r="A282" s="30" t="n"/>
      <c r="B282" s="30" t="inlineStr">
        <is>
          <t>Tramo normal (0+031.33 - 0+039.04)</t>
        </is>
      </c>
      <c r="C282" s="31" t="n">
        <v>1</v>
      </c>
      <c r="D282" s="31" t="n"/>
      <c r="E282" s="31" t="n"/>
      <c r="F282" s="31" t="n"/>
      <c r="G282" s="31" t="n"/>
      <c r="H282" s="31" t="n"/>
      <c r="I282" s="31" t="n"/>
      <c r="J282" s="31">
        <f>'COLECTOR ACERO'!U12</f>
        <v/>
      </c>
      <c r="K282" s="31" t="n"/>
      <c r="L282" s="30" t="n"/>
    </row>
    <row r="283">
      <c r="A283" s="30" t="n"/>
      <c r="B283" s="30" t="inlineStr">
        <is>
          <t>Cruce de motos (0+039.04 - 0+041.04)</t>
        </is>
      </c>
      <c r="C283" s="31" t="n">
        <v>1</v>
      </c>
      <c r="D283" s="31" t="n"/>
      <c r="E283" s="31" t="n"/>
      <c r="F283" s="31" t="n"/>
      <c r="G283" s="31" t="n"/>
      <c r="H283" s="31" t="n"/>
      <c r="I283" s="31" t="n"/>
      <c r="J283" s="31">
        <f>'COLECTOR ACERO'!U13</f>
        <v/>
      </c>
      <c r="K283" s="31" t="n"/>
      <c r="L283" s="30" t="n"/>
    </row>
    <row r="284">
      <c r="A284" s="30" t="n"/>
      <c r="B284" s="30" t="inlineStr">
        <is>
          <t>Tramo normal (0+041.04 - 0+058.81)</t>
        </is>
      </c>
      <c r="C284" s="31" t="n">
        <v>1</v>
      </c>
      <c r="D284" s="31" t="n"/>
      <c r="E284" s="31" t="n"/>
      <c r="F284" s="31" t="n"/>
      <c r="G284" s="31" t="n"/>
      <c r="H284" s="31" t="n"/>
      <c r="I284" s="31" t="n"/>
      <c r="J284" s="31">
        <f>'COLECTOR ACERO'!U14</f>
        <v/>
      </c>
      <c r="K284" s="31" t="n"/>
      <c r="L284" s="30" t="n"/>
    </row>
    <row r="285">
      <c r="A285" s="30" t="n"/>
      <c r="B285" s="30" t="inlineStr">
        <is>
          <t>Tramo diagonal (quiebres) (0+058.81 - 0+066.89)</t>
        </is>
      </c>
      <c r="C285" s="31" t="n">
        <v>1</v>
      </c>
      <c r="D285" s="31" t="n"/>
      <c r="E285" s="31" t="n"/>
      <c r="F285" s="31" t="n"/>
      <c r="G285" s="31" t="n"/>
      <c r="H285" s="31" t="n"/>
      <c r="I285" s="31" t="n"/>
      <c r="J285" s="31">
        <f>'COLECTOR ACERO'!U15</f>
        <v/>
      </c>
      <c r="K285" s="31" t="n"/>
      <c r="L285" s="30" t="n"/>
    </row>
    <row r="286">
      <c r="A286" s="30" t="n"/>
      <c r="B286" s="30" t="inlineStr">
        <is>
          <t>Tramo recto final (0+066.89 - 0+069.89)</t>
        </is>
      </c>
      <c r="C286" s="31" t="n">
        <v>1</v>
      </c>
      <c r="D286" s="31" t="n"/>
      <c r="E286" s="31" t="n"/>
      <c r="F286" s="31" t="n"/>
      <c r="G286" s="31" t="n"/>
      <c r="H286" s="31" t="n"/>
      <c r="I286" s="31" t="n"/>
      <c r="J286" s="31">
        <f>'COLECTOR ACERO'!U16</f>
        <v/>
      </c>
      <c r="K286" s="31" t="n"/>
      <c r="L286" s="30" t="n"/>
    </row>
    <row r="287">
      <c r="A287" s="30" t="n"/>
      <c r="B287" s="30" t="inlineStr">
        <is>
          <t>Caja de llegada CL (malla 3/8" @0.20 ambas caras)</t>
        </is>
      </c>
      <c r="C287" s="31" t="n">
        <v>1</v>
      </c>
      <c r="D287" s="31" t="n"/>
      <c r="E287" s="31" t="n"/>
      <c r="F287" s="31" t="n"/>
      <c r="G287" s="31" t="n"/>
      <c r="H287" s="31" t="n"/>
      <c r="I287" s="31" t="n"/>
      <c r="J287" s="31">
        <f>SUM('COLECTOR ACERO'!U21:U24)</f>
        <v/>
      </c>
      <c r="K287" s="31" t="n"/>
      <c r="L287" s="30" t="n"/>
    </row>
    <row r="288">
      <c r="A288" s="30" t="n"/>
      <c r="B288" s="30" t="inlineStr">
        <is>
          <t>Caja de caida CC (malla 3/8" @0.20 ambas caras)</t>
        </is>
      </c>
      <c r="C288" s="31" t="n">
        <v>1</v>
      </c>
      <c r="D288" s="31" t="n"/>
      <c r="E288" s="31" t="n"/>
      <c r="F288" s="31" t="n"/>
      <c r="G288" s="31" t="n"/>
      <c r="H288" s="31" t="n"/>
      <c r="I288" s="31" t="n"/>
      <c r="J288" s="31">
        <f>SUM('COLECTOR ACERO'!U25:U28)</f>
        <v/>
      </c>
      <c r="K288" s="31" t="n"/>
      <c r="L288" s="30" t="n"/>
    </row>
    <row r="289">
      <c r="A289" s="28" t="inlineStr">
        <is>
          <t>01.04.04.04.06</t>
        </is>
      </c>
      <c r="B289" s="28" t="inlineStr">
        <is>
          <t>ACABADO FROTACHADO Y BRUÑADO DE LOSA SUPERIOR</t>
        </is>
      </c>
      <c r="C289" s="29" t="n"/>
      <c r="D289" s="29" t="n"/>
      <c r="E289" s="29" t="n"/>
      <c r="F289" s="29" t="n"/>
      <c r="G289" s="29" t="n"/>
      <c r="H289" s="29" t="n"/>
      <c r="I289" s="29" t="n"/>
      <c r="J289" s="29" t="n"/>
      <c r="K289" s="29">
        <f>SUM(J290:J298)</f>
        <v/>
      </c>
      <c r="L289" s="28" t="inlineStr">
        <is>
          <t>m²</t>
        </is>
      </c>
    </row>
    <row r="290">
      <c r="A290" s="30" t="n"/>
      <c r="B290" s="30" t="inlineStr">
        <is>
          <t>Tramo normal (0+000.00 - 0+026.32)</t>
        </is>
      </c>
      <c r="C290" s="31" t="n">
        <v>1</v>
      </c>
      <c r="D290" s="31" t="n"/>
      <c r="E290" s="31" t="n"/>
      <c r="F290" s="31" t="n"/>
      <c r="G290" s="31" t="n"/>
      <c r="H290" s="31" t="n"/>
      <c r="I290" s="31" t="n"/>
      <c r="J290" s="31">
        <f>'COLECTOR CONCRETO'!L10</f>
        <v/>
      </c>
      <c r="K290" s="31" t="n"/>
      <c r="L290" s="30" t="n"/>
    </row>
    <row r="291">
      <c r="A291" s="30" t="n"/>
      <c r="B291" s="30" t="inlineStr">
        <is>
          <t>Cruce de camiones (0+026.32 - 0+031.33)</t>
        </is>
      </c>
      <c r="C291" s="31" t="n">
        <v>1</v>
      </c>
      <c r="D291" s="31" t="n"/>
      <c r="E291" s="31" t="n"/>
      <c r="F291" s="31" t="n"/>
      <c r="G291" s="31" t="n"/>
      <c r="H291" s="31" t="n"/>
      <c r="I291" s="31" t="n"/>
      <c r="J291" s="31">
        <f>'COLECTOR CONCRETO'!L11</f>
        <v/>
      </c>
      <c r="K291" s="31" t="n"/>
      <c r="L291" s="30" t="n"/>
    </row>
    <row r="292">
      <c r="A292" s="30" t="n"/>
      <c r="B292" s="30" t="inlineStr">
        <is>
          <t>Tramo normal (0+031.33 - 0+039.04)</t>
        </is>
      </c>
      <c r="C292" s="31" t="n">
        <v>1</v>
      </c>
      <c r="D292" s="31" t="n"/>
      <c r="E292" s="31" t="n"/>
      <c r="F292" s="31" t="n"/>
      <c r="G292" s="31" t="n"/>
      <c r="H292" s="31" t="n"/>
      <c r="I292" s="31" t="n"/>
      <c r="J292" s="31">
        <f>'COLECTOR CONCRETO'!L12</f>
        <v/>
      </c>
      <c r="K292" s="31" t="n"/>
      <c r="L292" s="30" t="n"/>
    </row>
    <row r="293">
      <c r="A293" s="30" t="n"/>
      <c r="B293" s="30" t="inlineStr">
        <is>
          <t>Cruce de motos (0+039.04 - 0+041.04)</t>
        </is>
      </c>
      <c r="C293" s="31" t="n">
        <v>1</v>
      </c>
      <c r="D293" s="31" t="n"/>
      <c r="E293" s="31" t="n"/>
      <c r="F293" s="31" t="n"/>
      <c r="G293" s="31" t="n"/>
      <c r="H293" s="31" t="n"/>
      <c r="I293" s="31" t="n"/>
      <c r="J293" s="31">
        <f>'COLECTOR CONCRETO'!L13</f>
        <v/>
      </c>
      <c r="K293" s="31" t="n"/>
      <c r="L293" s="30" t="n"/>
    </row>
    <row r="294">
      <c r="A294" s="30" t="n"/>
      <c r="B294" s="30" t="inlineStr">
        <is>
          <t>Tramo normal (0+041.04 - 0+058.81)</t>
        </is>
      </c>
      <c r="C294" s="31" t="n">
        <v>1</v>
      </c>
      <c r="D294" s="31" t="n"/>
      <c r="E294" s="31" t="n"/>
      <c r="F294" s="31" t="n"/>
      <c r="G294" s="31" t="n"/>
      <c r="H294" s="31" t="n"/>
      <c r="I294" s="31" t="n"/>
      <c r="J294" s="31">
        <f>'COLECTOR CONCRETO'!L14</f>
        <v/>
      </c>
      <c r="K294" s="31" t="n"/>
      <c r="L294" s="30" t="n"/>
    </row>
    <row r="295">
      <c r="A295" s="30" t="n"/>
      <c r="B295" s="30" t="inlineStr">
        <is>
          <t>Tramo diagonal (quiebres) (0+058.81 - 0+066.89)</t>
        </is>
      </c>
      <c r="C295" s="31" t="n">
        <v>1</v>
      </c>
      <c r="D295" s="31" t="n"/>
      <c r="E295" s="31" t="n"/>
      <c r="F295" s="31" t="n"/>
      <c r="G295" s="31" t="n"/>
      <c r="H295" s="31" t="n"/>
      <c r="I295" s="31" t="n"/>
      <c r="J295" s="31">
        <f>'COLECTOR CONCRETO'!L15</f>
        <v/>
      </c>
      <c r="K295" s="31" t="n"/>
      <c r="L295" s="30" t="n"/>
    </row>
    <row r="296">
      <c r="A296" s="30" t="n"/>
      <c r="B296" s="30" t="inlineStr">
        <is>
          <t>Tramo recto final (0+066.89 - 0+069.89)</t>
        </is>
      </c>
      <c r="C296" s="31" t="n">
        <v>1</v>
      </c>
      <c r="D296" s="31" t="n"/>
      <c r="E296" s="31" t="n"/>
      <c r="F296" s="31" t="n"/>
      <c r="G296" s="31" t="n"/>
      <c r="H296" s="31" t="n"/>
      <c r="I296" s="31" t="n"/>
      <c r="J296" s="31">
        <f>'COLECTOR CONCRETO'!L16</f>
        <v/>
      </c>
      <c r="K296" s="31" t="n"/>
      <c r="L296" s="30" t="n"/>
    </row>
    <row r="297">
      <c r="A297" s="30" t="n"/>
      <c r="B297" s="30" t="inlineStr">
        <is>
          <t>Caja de llegada CL</t>
        </is>
      </c>
      <c r="C297" s="31" t="n">
        <v>1</v>
      </c>
      <c r="D297" s="31" t="n"/>
      <c r="E297" s="31" t="n"/>
      <c r="F297" s="31" t="n"/>
      <c r="G297" s="31" t="n"/>
      <c r="H297" s="31" t="n"/>
      <c r="I297" s="31" t="n"/>
      <c r="J297" s="31">
        <f>SUM('COLECTOR CONCRETO'!L21:L30)</f>
        <v/>
      </c>
      <c r="K297" s="31" t="n"/>
      <c r="L297" s="30" t="n"/>
    </row>
    <row r="298">
      <c r="A298" s="30" t="n"/>
      <c r="B298" s="30" t="inlineStr">
        <is>
          <t>Caja de caida CC</t>
        </is>
      </c>
      <c r="C298" s="31" t="n">
        <v>1</v>
      </c>
      <c r="D298" s="31" t="n"/>
      <c r="E298" s="31" t="n"/>
      <c r="F298" s="31" t="n"/>
      <c r="G298" s="31" t="n"/>
      <c r="H298" s="31" t="n"/>
      <c r="I298" s="31" t="n"/>
      <c r="J298" s="31">
        <f>SUM('COLECTOR CONCRETO'!L31:L41)</f>
        <v/>
      </c>
      <c r="K298" s="31" t="n"/>
      <c r="L298" s="30" t="n"/>
    </row>
    <row r="299">
      <c r="A299" s="28" t="inlineStr">
        <is>
          <t>01.04.04.04.07</t>
        </is>
      </c>
      <c r="B299" s="28" t="inlineStr">
        <is>
          <t>CURADO DE CONCRETO EN COLECTOR Y CAJAS</t>
        </is>
      </c>
      <c r="C299" s="29" t="n"/>
      <c r="D299" s="29" t="n"/>
      <c r="E299" s="29" t="n"/>
      <c r="F299" s="29" t="n"/>
      <c r="G299" s="29" t="n"/>
      <c r="H299" s="29" t="n"/>
      <c r="I299" s="29" t="n"/>
      <c r="J299" s="29" t="n"/>
      <c r="K299" s="29">
        <f>SUM(J300:J308)</f>
        <v/>
      </c>
      <c r="L299" s="28" t="inlineStr">
        <is>
          <t>m²</t>
        </is>
      </c>
    </row>
    <row r="300">
      <c r="A300" s="30" t="n"/>
      <c r="B300" s="30" t="inlineStr">
        <is>
          <t>Tramo normal (0+000.00 - 0+026.32)</t>
        </is>
      </c>
      <c r="C300" s="31" t="n">
        <v>1</v>
      </c>
      <c r="D300" s="31" t="n"/>
      <c r="E300" s="31" t="n"/>
      <c r="F300" s="31" t="n"/>
      <c r="G300" s="31" t="n"/>
      <c r="H300" s="31" t="n"/>
      <c r="I300" s="31" t="n"/>
      <c r="J300" s="31">
        <f>'COLECTOR CONCRETO'!M10</f>
        <v/>
      </c>
      <c r="K300" s="31" t="n"/>
      <c r="L300" s="30" t="n"/>
    </row>
    <row r="301">
      <c r="A301" s="30" t="n"/>
      <c r="B301" s="30" t="inlineStr">
        <is>
          <t>Cruce de camiones (0+026.32 - 0+031.33)</t>
        </is>
      </c>
      <c r="C301" s="31" t="n">
        <v>1</v>
      </c>
      <c r="D301" s="31" t="n"/>
      <c r="E301" s="31" t="n"/>
      <c r="F301" s="31" t="n"/>
      <c r="G301" s="31" t="n"/>
      <c r="H301" s="31" t="n"/>
      <c r="I301" s="31" t="n"/>
      <c r="J301" s="31">
        <f>'COLECTOR CONCRETO'!M11</f>
        <v/>
      </c>
      <c r="K301" s="31" t="n"/>
      <c r="L301" s="30" t="n"/>
    </row>
    <row r="302">
      <c r="A302" s="30" t="n"/>
      <c r="B302" s="30" t="inlineStr">
        <is>
          <t>Tramo normal (0+031.33 - 0+039.04)</t>
        </is>
      </c>
      <c r="C302" s="31" t="n">
        <v>1</v>
      </c>
      <c r="D302" s="31" t="n"/>
      <c r="E302" s="31" t="n"/>
      <c r="F302" s="31" t="n"/>
      <c r="G302" s="31" t="n"/>
      <c r="H302" s="31" t="n"/>
      <c r="I302" s="31" t="n"/>
      <c r="J302" s="31">
        <f>'COLECTOR CONCRETO'!M12</f>
        <v/>
      </c>
      <c r="K302" s="31" t="n"/>
      <c r="L302" s="30" t="n"/>
    </row>
    <row r="303">
      <c r="A303" s="30" t="n"/>
      <c r="B303" s="30" t="inlineStr">
        <is>
          <t>Cruce de motos (0+039.04 - 0+041.04)</t>
        </is>
      </c>
      <c r="C303" s="31" t="n">
        <v>1</v>
      </c>
      <c r="D303" s="31" t="n"/>
      <c r="E303" s="31" t="n"/>
      <c r="F303" s="31" t="n"/>
      <c r="G303" s="31" t="n"/>
      <c r="H303" s="31" t="n"/>
      <c r="I303" s="31" t="n"/>
      <c r="J303" s="31">
        <f>'COLECTOR CONCRETO'!M13</f>
        <v/>
      </c>
      <c r="K303" s="31" t="n"/>
      <c r="L303" s="30" t="n"/>
    </row>
    <row r="304">
      <c r="A304" s="30" t="n"/>
      <c r="B304" s="30" t="inlineStr">
        <is>
          <t>Tramo normal (0+041.04 - 0+058.81)</t>
        </is>
      </c>
      <c r="C304" s="31" t="n">
        <v>1</v>
      </c>
      <c r="D304" s="31" t="n"/>
      <c r="E304" s="31" t="n"/>
      <c r="F304" s="31" t="n"/>
      <c r="G304" s="31" t="n"/>
      <c r="H304" s="31" t="n"/>
      <c r="I304" s="31" t="n"/>
      <c r="J304" s="31">
        <f>'COLECTOR CONCRETO'!M14</f>
        <v/>
      </c>
      <c r="K304" s="31" t="n"/>
      <c r="L304" s="30" t="n"/>
    </row>
    <row r="305">
      <c r="A305" s="30" t="n"/>
      <c r="B305" s="30" t="inlineStr">
        <is>
          <t>Tramo diagonal (quiebres) (0+058.81 - 0+066.89)</t>
        </is>
      </c>
      <c r="C305" s="31" t="n">
        <v>1</v>
      </c>
      <c r="D305" s="31" t="n"/>
      <c r="E305" s="31" t="n"/>
      <c r="F305" s="31" t="n"/>
      <c r="G305" s="31" t="n"/>
      <c r="H305" s="31" t="n"/>
      <c r="I305" s="31" t="n"/>
      <c r="J305" s="31">
        <f>'COLECTOR CONCRETO'!M15</f>
        <v/>
      </c>
      <c r="K305" s="31" t="n"/>
      <c r="L305" s="30" t="n"/>
    </row>
    <row r="306">
      <c r="A306" s="30" t="n"/>
      <c r="B306" s="30" t="inlineStr">
        <is>
          <t>Tramo recto final (0+066.89 - 0+069.89)</t>
        </is>
      </c>
      <c r="C306" s="31" t="n">
        <v>1</v>
      </c>
      <c r="D306" s="31" t="n"/>
      <c r="E306" s="31" t="n"/>
      <c r="F306" s="31" t="n"/>
      <c r="G306" s="31" t="n"/>
      <c r="H306" s="31" t="n"/>
      <c r="I306" s="31" t="n"/>
      <c r="J306" s="31">
        <f>'COLECTOR CONCRETO'!M16</f>
        <v/>
      </c>
      <c r="K306" s="31" t="n"/>
      <c r="L306" s="30" t="n"/>
    </row>
    <row r="307">
      <c r="A307" s="30" t="n"/>
      <c r="B307" s="30" t="inlineStr">
        <is>
          <t>Caja de llegada CL</t>
        </is>
      </c>
      <c r="C307" s="31" t="n">
        <v>1</v>
      </c>
      <c r="D307" s="31" t="n"/>
      <c r="E307" s="31" t="n"/>
      <c r="F307" s="31" t="n"/>
      <c r="G307" s="31" t="n"/>
      <c r="H307" s="31" t="n"/>
      <c r="I307" s="31" t="n"/>
      <c r="J307" s="31">
        <f>SUM('COLECTOR CONCRETO'!M21:M30)</f>
        <v/>
      </c>
      <c r="K307" s="31" t="n"/>
      <c r="L307" s="30" t="n"/>
    </row>
    <row r="308">
      <c r="A308" s="30" t="n"/>
      <c r="B308" s="30" t="inlineStr">
        <is>
          <t>Caja de caida CC</t>
        </is>
      </c>
      <c r="C308" s="31" t="n">
        <v>1</v>
      </c>
      <c r="D308" s="31" t="n"/>
      <c r="E308" s="31" t="n"/>
      <c r="F308" s="31" t="n"/>
      <c r="G308" s="31" t="n"/>
      <c r="H308" s="31" t="n"/>
      <c r="I308" s="31" t="n"/>
      <c r="J308" s="31">
        <f>SUM('COLECTOR CONCRETO'!M31:M41)</f>
        <v/>
      </c>
      <c r="K308" s="31" t="n"/>
      <c r="L308" s="30" t="n"/>
    </row>
    <row r="309">
      <c r="A309" s="209" t="inlineStr">
        <is>
          <t>01.04.04.05</t>
        </is>
      </c>
      <c r="B309" s="209" t="inlineStr">
        <is>
          <t>REGISTROS DE LIMPIEZA Y TAPAS</t>
        </is>
      </c>
      <c r="C309" s="313" t="n"/>
      <c r="D309" s="313" t="n"/>
      <c r="E309" s="313" t="n"/>
      <c r="F309" s="313" t="n"/>
      <c r="G309" s="313" t="n"/>
      <c r="H309" s="313" t="n"/>
      <c r="I309" s="313" t="n"/>
      <c r="J309" s="313" t="n"/>
      <c r="K309" s="313" t="n"/>
      <c r="L309" s="314" t="n"/>
    </row>
    <row r="310">
      <c r="A310" s="28" t="inlineStr">
        <is>
          <t>01.04.04.05.01</t>
        </is>
      </c>
      <c r="B310" s="28" t="inlineStr">
        <is>
          <t>CONTRAMARCO METALICO L 2"x2"x3/16" CON ANCLAJES</t>
        </is>
      </c>
      <c r="C310" s="29" t="n"/>
      <c r="D310" s="29" t="n"/>
      <c r="E310" s="29" t="n"/>
      <c r="F310" s="29" t="n"/>
      <c r="G310" s="29" t="n"/>
      <c r="H310" s="29" t="n"/>
      <c r="I310" s="29" t="n"/>
      <c r="J310" s="29" t="n"/>
      <c r="K310" s="29">
        <f>+'COLECTOR REGISTROS Y TAPAS'!E23</f>
        <v/>
      </c>
      <c r="L310" s="28" t="inlineStr">
        <is>
          <t>und</t>
        </is>
      </c>
    </row>
    <row r="311">
      <c r="A311" s="28" t="inlineStr">
        <is>
          <t>01.04.04.05.02</t>
        </is>
      </c>
      <c r="B311" s="28" t="inlineStr">
        <is>
          <t>MARCO METALICO DE TAPA L 1 1/2"x1 1/2"x1/8"</t>
        </is>
      </c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>
        <f>+'COLECTOR REGISTROS Y TAPAS'!E24</f>
        <v/>
      </c>
      <c r="L311" s="28" t="inlineStr">
        <is>
          <t>und</t>
        </is>
      </c>
    </row>
    <row r="312">
      <c r="A312" s="28" t="inlineStr">
        <is>
          <t>01.04.04.05.03</t>
        </is>
      </c>
      <c r="B312" s="28" t="inlineStr">
        <is>
          <t>ANGULOS METALICOS P/MARCO Y CONTRAMARCO (incluye soldadura)</t>
        </is>
      </c>
      <c r="C312" s="29" t="n"/>
      <c r="D312" s="29" t="n"/>
      <c r="E312" s="29" t="n"/>
      <c r="F312" s="29" t="n"/>
      <c r="G312" s="29" t="n"/>
      <c r="H312" s="29" t="n"/>
      <c r="I312" s="29" t="n"/>
      <c r="J312" s="29" t="n"/>
      <c r="K312" s="29">
        <f>+'COLECTOR REGISTROS Y TAPAS'!E25</f>
        <v/>
      </c>
      <c r="L312" s="28" t="inlineStr">
        <is>
          <t>kg</t>
        </is>
      </c>
    </row>
    <row r="313">
      <c r="A313" s="28" t="inlineStr">
        <is>
          <t>01.04.04.05.04</t>
        </is>
      </c>
      <c r="B313" s="28" t="inlineStr">
        <is>
          <t>TAPA DE CONCRETO ARMADO 0.68 x 0.68 x 0.08 m (incluye acero y asas)</t>
        </is>
      </c>
      <c r="C313" s="29" t="n"/>
      <c r="D313" s="29" t="n"/>
      <c r="E313" s="29" t="n"/>
      <c r="F313" s="29" t="n"/>
      <c r="G313" s="29" t="n"/>
      <c r="H313" s="29" t="n"/>
      <c r="I313" s="29" t="n"/>
      <c r="J313" s="29" t="n"/>
      <c r="K313" s="29">
        <f>+'COLECTOR REGISTROS Y TAPAS'!E26</f>
        <v/>
      </c>
      <c r="L313" s="28" t="inlineStr">
        <is>
          <t>und</t>
        </is>
      </c>
    </row>
    <row r="314">
      <c r="A314" s="28" t="inlineStr">
        <is>
          <t>01.04.04.05.05</t>
        </is>
      </c>
      <c r="B314" s="28" t="inlineStr">
        <is>
          <t>CONCRETO f'c=210 kg/cm2 EN TAPAS</t>
        </is>
      </c>
      <c r="C314" s="29" t="n"/>
      <c r="D314" s="29" t="n"/>
      <c r="E314" s="29" t="n"/>
      <c r="F314" s="29" t="n"/>
      <c r="G314" s="29" t="n"/>
      <c r="H314" s="29" t="n"/>
      <c r="I314" s="29" t="n"/>
      <c r="J314" s="29" t="n"/>
      <c r="K314" s="29">
        <f>+'COLECTOR REGISTROS Y TAPAS'!E27</f>
        <v/>
      </c>
      <c r="L314" s="28" t="inlineStr">
        <is>
          <t>m³</t>
        </is>
      </c>
    </row>
    <row r="315">
      <c r="A315" s="28" t="inlineStr">
        <is>
          <t>01.04.04.05.06</t>
        </is>
      </c>
      <c r="B315" s="28" t="inlineStr">
        <is>
          <t>ACERO DE REFUERZO fy=4200 kg/cm2 EN TAPAS, BORDES Y ANCLAJES</t>
        </is>
      </c>
      <c r="C315" s="29" t="n"/>
      <c r="D315" s="29" t="n"/>
      <c r="E315" s="29" t="n"/>
      <c r="F315" s="29" t="n"/>
      <c r="G315" s="29" t="n"/>
      <c r="H315" s="29" t="n"/>
      <c r="I315" s="29" t="n"/>
      <c r="J315" s="29" t="n"/>
      <c r="K315" s="29">
        <f>+'COLECTOR ACERO'!I41</f>
        <v/>
      </c>
      <c r="L315" s="28" t="inlineStr">
        <is>
          <t>kg</t>
        </is>
      </c>
    </row>
    <row r="316">
      <c r="A316" s="28" t="inlineStr">
        <is>
          <t>01.04.04.05.07</t>
        </is>
      </c>
      <c r="B316" s="28" t="inlineStr">
        <is>
          <t>PINTURA ANTICORROSIVA Y ESMALTE EN ANGULOS</t>
        </is>
      </c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>
        <f>+'COLECTOR REGISTROS Y TAPAS'!E28</f>
        <v/>
      </c>
      <c r="L316" s="28" t="inlineStr">
        <is>
          <t>m²</t>
        </is>
      </c>
    </row>
    <row r="317">
      <c r="A317" s="209" t="inlineStr">
        <is>
          <t>01.04.04.06</t>
        </is>
      </c>
      <c r="B317" s="209" t="inlineStr">
        <is>
          <t>JUNTAS Y EMPALMES</t>
        </is>
      </c>
      <c r="C317" s="313" t="n"/>
      <c r="D317" s="313" t="n"/>
      <c r="E317" s="313" t="n"/>
      <c r="F317" s="313" t="n"/>
      <c r="G317" s="313" t="n"/>
      <c r="H317" s="313" t="n"/>
      <c r="I317" s="313" t="n"/>
      <c r="J317" s="313" t="n"/>
      <c r="K317" s="313" t="n"/>
      <c r="L317" s="314" t="n"/>
    </row>
    <row r="318">
      <c r="A318" s="28" t="inlineStr">
        <is>
          <t>01.04.04.06.01</t>
        </is>
      </c>
      <c r="B318" s="28" t="inlineStr">
        <is>
          <t>JUNTA DE DILATACION E=1" CON TECNOPOR Y SELLADOR ELASTOMERICO</t>
        </is>
      </c>
      <c r="C318" s="29" t="n"/>
      <c r="D318" s="29" t="n"/>
      <c r="E318" s="29" t="n"/>
      <c r="F318" s="29" t="n"/>
      <c r="G318" s="29" t="n"/>
      <c r="H318" s="29" t="n"/>
      <c r="I318" s="29" t="n"/>
      <c r="J318" s="29" t="n"/>
      <c r="K318" s="29">
        <f>+'COLECTOR JUNTAS Y EMPALMES'!F12</f>
        <v/>
      </c>
      <c r="L318" s="28" t="inlineStr">
        <is>
          <t>m</t>
        </is>
      </c>
    </row>
    <row r="319">
      <c r="A319" s="28" t="inlineStr">
        <is>
          <t>01.04.04.06.02</t>
        </is>
      </c>
      <c r="B319" s="28" t="inlineStr">
        <is>
          <t>JUNTA DE TECNOPOR E=1" ENTRE COLECTOR, CERCO Y PISO ADYACENTE</t>
        </is>
      </c>
      <c r="C319" s="29" t="n"/>
      <c r="D319" s="29" t="n"/>
      <c r="E319" s="29" t="n"/>
      <c r="F319" s="29" t="n"/>
      <c r="G319" s="29" t="n"/>
      <c r="H319" s="29" t="n"/>
      <c r="I319" s="29" t="n"/>
      <c r="J319" s="29" t="n"/>
      <c r="K319" s="29">
        <f>+'COLECTOR JUNTAS Y EMPALMES'!F19</f>
        <v/>
      </c>
      <c r="L319" s="28" t="inlineStr">
        <is>
          <t>m</t>
        </is>
      </c>
    </row>
    <row r="320">
      <c r="A320" s="28" t="inlineStr">
        <is>
          <t>01.04.04.06.03</t>
        </is>
      </c>
      <c r="B320" s="28" t="inlineStr">
        <is>
          <t>EMPALME DE CUNETA AL COLECTOR (ventana en muro y caida)</t>
        </is>
      </c>
      <c r="C320" s="29" t="n"/>
      <c r="D320" s="29" t="n"/>
      <c r="E320" s="29" t="n"/>
      <c r="F320" s="29" t="n"/>
      <c r="G320" s="29" t="n"/>
      <c r="H320" s="29" t="n"/>
      <c r="I320" s="29" t="n"/>
      <c r="J320" s="29" t="n"/>
      <c r="K320" s="29">
        <f>+'COLECTOR JUNTAS Y EMPALMES'!F28</f>
        <v/>
      </c>
      <c r="L320" s="28" t="inlineStr">
        <is>
          <t>und</t>
        </is>
      </c>
    </row>
  </sheetData>
  <mergeCells count="12">
    <mergeCell ref="B4:L4"/>
    <mergeCell ref="A2:L2"/>
    <mergeCell ref="B6:L6"/>
    <mergeCell ref="B3:L3"/>
    <mergeCell ref="K143:K144"/>
    <mergeCell ref="B5:L5"/>
    <mergeCell ref="B10:L10"/>
    <mergeCell ref="B137:L137"/>
    <mergeCell ref="K146:K147"/>
    <mergeCell ref="B136:L136"/>
    <mergeCell ref="B131:L131"/>
    <mergeCell ref="B9:L9"/>
  </mergeCells>
  <pageMargins left="0.7" right="0.7" top="0.75" bottom="0.75" header="0.3" footer="0.3"/>
  <pageSetup orientation="portrait" paperSize="9" scale="51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92D050"/>
    <outlinePr summaryBelow="1" summaryRight="1"/>
    <pageSetUpPr/>
  </sheetPr>
  <dimension ref="A2:O157"/>
  <sheetViews>
    <sheetView view="pageBreakPreview" topLeftCell="A15" zoomScale="130" zoomScaleNormal="115" zoomScaleSheetLayoutView="130" workbookViewId="0">
      <selection activeCell="H64" sqref="H64"/>
    </sheetView>
  </sheetViews>
  <sheetFormatPr baseColWidth="10" defaultColWidth="12.36328125" defaultRowHeight="14"/>
  <cols>
    <col width="3.90625" customWidth="1" style="3" min="1" max="1"/>
    <col width="12.90625" customWidth="1" style="3" min="2" max="2"/>
    <col width="15.6328125" customWidth="1" style="3" min="3" max="3"/>
    <col width="12.36328125" customWidth="1" style="3" min="4" max="6"/>
    <col width="13.90625" customWidth="1" style="3" min="7" max="7"/>
    <col width="7.90625" customWidth="1" style="3" min="8" max="8"/>
    <col width="7.08984375" customWidth="1" style="3" min="9" max="9"/>
    <col width="12.36328125" customWidth="1" style="3" min="10" max="14"/>
    <col width="14.1796875" customWidth="1" style="3" min="15" max="15"/>
    <col width="12.36328125" customWidth="1" style="3" min="16" max="16384"/>
  </cols>
  <sheetData>
    <row r="1" ht="27.5" customHeight="1"/>
    <row r="2" ht="25" customHeight="1">
      <c r="B2" s="238" t="inlineStr">
        <is>
          <t>CONCRETO F´C=175 KG/CM2 PARA CUNETAS  - DRENAJE PLUVIAL</t>
        </is>
      </c>
      <c r="C2" s="313" t="n"/>
      <c r="D2" s="313" t="n"/>
      <c r="E2" s="313" t="n"/>
      <c r="F2" s="313" t="n"/>
      <c r="G2" s="313" t="n"/>
      <c r="H2" s="313" t="n"/>
      <c r="I2" s="313" t="n"/>
      <c r="J2" s="313" t="n"/>
      <c r="K2" s="313" t="n"/>
      <c r="L2" s="313" t="n"/>
      <c r="M2" s="313" t="n"/>
      <c r="N2" s="313" t="n"/>
      <c r="O2" s="314" t="n"/>
    </row>
    <row r="3" ht="25" customHeight="1">
      <c r="B3" s="98" t="inlineStr">
        <is>
          <t>ENTIDAD</t>
        </is>
      </c>
      <c r="C3" s="205">
        <f>+RESUMEN!B4</f>
        <v/>
      </c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4" t="n"/>
    </row>
    <row r="4" ht="59.5" customHeight="1">
      <c r="B4" s="98" t="inlineStr">
        <is>
          <t>PROYECTO</t>
        </is>
      </c>
      <c r="C4" s="205">
        <f>+RESUMEN!B5</f>
        <v/>
      </c>
      <c r="D4" s="313" t="n"/>
      <c r="E4" s="313" t="n"/>
      <c r="F4" s="313" t="n"/>
      <c r="G4" s="313" t="n"/>
      <c r="H4" s="313" t="n"/>
      <c r="I4" s="313" t="n"/>
      <c r="J4" s="313" t="n"/>
      <c r="K4" s="313" t="n"/>
      <c r="L4" s="313" t="n"/>
      <c r="M4" s="313" t="n"/>
      <c r="N4" s="313" t="n"/>
      <c r="O4" s="314" t="n"/>
    </row>
    <row r="5" ht="25" customHeight="1">
      <c r="B5" s="98" t="inlineStr">
        <is>
          <t>UBICACIÓN</t>
        </is>
      </c>
      <c r="C5" s="205">
        <f>+RESUMEN!B6</f>
        <v/>
      </c>
      <c r="D5" s="313" t="n"/>
      <c r="E5" s="313" t="n"/>
      <c r="F5" s="313" t="n"/>
      <c r="G5" s="313" t="n"/>
      <c r="H5" s="313" t="n"/>
      <c r="I5" s="313" t="n"/>
      <c r="J5" s="313" t="n"/>
      <c r="K5" s="313" t="n"/>
      <c r="L5" s="313" t="n"/>
      <c r="M5" s="313" t="n"/>
      <c r="N5" s="313" t="n"/>
      <c r="O5" s="314" t="n"/>
    </row>
    <row r="6" ht="25" customHeight="1">
      <c r="B6" s="98" t="inlineStr">
        <is>
          <t>FECHA</t>
        </is>
      </c>
      <c r="C6" s="204">
        <f>+RESUMEN!B7</f>
        <v/>
      </c>
      <c r="D6" s="313" t="n"/>
      <c r="E6" s="313" t="n"/>
      <c r="F6" s="313" t="n"/>
      <c r="G6" s="313" t="n"/>
      <c r="H6" s="313" t="n"/>
      <c r="I6" s="313" t="n"/>
      <c r="J6" s="313" t="n"/>
      <c r="K6" s="313" t="n"/>
      <c r="L6" s="313" t="n"/>
      <c r="M6" s="313" t="n"/>
      <c r="N6" s="313" t="n"/>
      <c r="O6" s="314" t="n"/>
    </row>
    <row r="7" ht="24.5" customHeight="1">
      <c r="A7" s="147" t="n"/>
      <c r="B7" s="222" t="inlineStr">
        <is>
          <t>OBRAS DE CONCRETO ARMADO</t>
        </is>
      </c>
    </row>
    <row r="8" ht="16" customHeight="1" thickBot="1"/>
    <row r="9" ht="24" customHeight="1" thickBot="1">
      <c r="B9" s="232" t="inlineStr">
        <is>
          <t>LONGITUDES Y AREAS</t>
        </is>
      </c>
      <c r="C9" s="316" t="n"/>
      <c r="D9" s="317" t="n"/>
      <c r="E9" s="233" t="inlineStr">
        <is>
          <t>m3</t>
        </is>
      </c>
      <c r="F9" s="233" t="inlineStr">
        <is>
          <t>Sub.TOTAL</t>
        </is>
      </c>
      <c r="G9" s="84" t="inlineStr">
        <is>
          <t>TOTAL (m3)</t>
        </is>
      </c>
      <c r="I9" s="4" t="n"/>
      <c r="J9" s="224" t="inlineStr">
        <is>
          <t>LONGITUDES Y AREAS</t>
        </is>
      </c>
      <c r="K9" s="313" t="n"/>
      <c r="L9" s="314" t="n"/>
      <c r="M9" s="224" t="inlineStr">
        <is>
          <t>m3</t>
        </is>
      </c>
      <c r="N9" s="224" t="inlineStr">
        <is>
          <t>Sub.TOTAL</t>
        </is>
      </c>
      <c r="O9" s="224" t="inlineStr">
        <is>
          <t>TOTAL (m3)</t>
        </is>
      </c>
    </row>
    <row r="10" ht="15.65" customHeight="1">
      <c r="B10" s="234" t="inlineStr">
        <is>
          <t>CUNETA EJE 01</t>
        </is>
      </c>
      <c r="C10" s="318" t="inlineStr">
        <is>
          <t>MUROS</t>
        </is>
      </c>
      <c r="D10" s="79" t="inlineStr">
        <is>
          <t>AREA</t>
        </is>
      </c>
      <c r="E10" s="80" t="n">
        <v>14.07</v>
      </c>
      <c r="F10" s="319">
        <f>E10*E11*E12</f>
        <v/>
      </c>
      <c r="G10" s="320">
        <f>SUM(F10:F18)</f>
        <v/>
      </c>
      <c r="I10" s="4" t="n"/>
      <c r="J10" s="240" t="inlineStr">
        <is>
          <t>CUNETA EJE 07</t>
        </is>
      </c>
      <c r="K10" s="321" t="inlineStr">
        <is>
          <t>MUROS</t>
        </is>
      </c>
      <c r="L10" s="13" t="inlineStr">
        <is>
          <t>AREA</t>
        </is>
      </c>
      <c r="M10" s="14" t="n">
        <v>74.5</v>
      </c>
      <c r="N10" s="322">
        <f>M10*M11*M12</f>
        <v/>
      </c>
      <c r="O10" s="322">
        <f>SUM(N10:N18)</f>
        <v/>
      </c>
    </row>
    <row r="11" ht="15.5" customHeight="1">
      <c r="B11" s="323" t="n"/>
      <c r="C11" s="324" t="n"/>
      <c r="D11" s="13" t="inlineStr">
        <is>
          <t>ESPESOR</t>
        </is>
      </c>
      <c r="E11" s="14" t="n">
        <v>0.1</v>
      </c>
      <c r="F11" s="325" t="n"/>
      <c r="G11" s="326" t="n"/>
      <c r="I11" s="4" t="n"/>
      <c r="J11" s="325" t="n"/>
      <c r="K11" s="325" t="n"/>
      <c r="L11" s="13" t="inlineStr">
        <is>
          <t>ESPESOR</t>
        </is>
      </c>
      <c r="M11" s="14" t="n">
        <v>0.1</v>
      </c>
      <c r="N11" s="325" t="n"/>
      <c r="O11" s="325" t="n"/>
    </row>
    <row r="12" ht="15.65" customHeight="1" thickBot="1">
      <c r="B12" s="323" t="n"/>
      <c r="C12" s="327" t="n"/>
      <c r="D12" s="81" t="inlineStr">
        <is>
          <t>CANT.</t>
        </is>
      </c>
      <c r="E12" s="82" t="n">
        <v>2</v>
      </c>
      <c r="F12" s="328" t="n"/>
      <c r="G12" s="326" t="n"/>
      <c r="I12" s="4" t="n"/>
      <c r="J12" s="325" t="n"/>
      <c r="K12" s="315" t="n"/>
      <c r="L12" s="13" t="inlineStr">
        <is>
          <t>CANT.</t>
        </is>
      </c>
      <c r="M12" s="14" t="n">
        <v>2</v>
      </c>
      <c r="N12" s="315" t="n"/>
      <c r="O12" s="325" t="n"/>
    </row>
    <row r="13" ht="15.65" customHeight="1">
      <c r="B13" s="323" t="n"/>
      <c r="C13" s="318" t="inlineStr">
        <is>
          <t>LOSA</t>
        </is>
      </c>
      <c r="D13" s="79" t="inlineStr">
        <is>
          <t>ESPESOR</t>
        </is>
      </c>
      <c r="E13" s="80" t="n">
        <v>0.1</v>
      </c>
      <c r="F13" s="319">
        <f>E13*E14*E15</f>
        <v/>
      </c>
      <c r="G13" s="326" t="n"/>
      <c r="I13" s="4" t="n"/>
      <c r="J13" s="325" t="n"/>
      <c r="K13" s="321" t="inlineStr">
        <is>
          <t>LOSA</t>
        </is>
      </c>
      <c r="L13" s="13" t="inlineStr">
        <is>
          <t>ESPESOR</t>
        </is>
      </c>
      <c r="M13" s="14" t="n">
        <v>0.1</v>
      </c>
      <c r="N13" s="322">
        <f>M13*M14*M15</f>
        <v/>
      </c>
      <c r="O13" s="325" t="n"/>
    </row>
    <row r="14" ht="15.65" customHeight="1">
      <c r="B14" s="323" t="n"/>
      <c r="C14" s="324" t="n"/>
      <c r="D14" s="13" t="inlineStr">
        <is>
          <t>LONGITUD</t>
        </is>
      </c>
      <c r="E14" s="14" t="n">
        <v>37.14</v>
      </c>
      <c r="F14" s="325" t="n"/>
      <c r="G14" s="326" t="n"/>
      <c r="I14" s="4" t="n"/>
      <c r="J14" s="325" t="n"/>
      <c r="K14" s="325" t="n"/>
      <c r="L14" s="13" t="inlineStr">
        <is>
          <t>LONGITUD</t>
        </is>
      </c>
      <c r="M14" s="14" t="n">
        <v>125.7</v>
      </c>
      <c r="N14" s="325" t="n"/>
      <c r="O14" s="325" t="n"/>
    </row>
    <row r="15" ht="16" customHeight="1" thickBot="1">
      <c r="B15" s="323" t="n"/>
      <c r="C15" s="327" t="n"/>
      <c r="D15" s="81" t="inlineStr">
        <is>
          <t>ANCHO</t>
        </is>
      </c>
      <c r="E15" s="82" t="n">
        <v>0.6</v>
      </c>
      <c r="F15" s="328" t="n"/>
      <c r="G15" s="326" t="n"/>
      <c r="I15" s="4" t="n"/>
      <c r="J15" s="325" t="n"/>
      <c r="K15" s="315" t="n"/>
      <c r="L15" s="13" t="inlineStr">
        <is>
          <t>ANCHO</t>
        </is>
      </c>
      <c r="M15" s="14" t="n">
        <v>0.6</v>
      </c>
      <c r="N15" s="315" t="n"/>
      <c r="O15" s="325" t="n"/>
    </row>
    <row r="16" ht="15.65" customHeight="1">
      <c r="B16" s="323" t="n"/>
      <c r="C16" s="318" t="inlineStr">
        <is>
          <t>TAPA</t>
        </is>
      </c>
      <c r="D16" s="79" t="inlineStr">
        <is>
          <t>LONGITUD</t>
        </is>
      </c>
      <c r="E16" s="80" t="n">
        <v>5.14</v>
      </c>
      <c r="F16" s="319">
        <f>E16*E17*E18</f>
        <v/>
      </c>
      <c r="G16" s="326" t="n"/>
      <c r="I16" s="4" t="n"/>
      <c r="J16" s="325" t="n"/>
      <c r="K16" s="321" t="inlineStr">
        <is>
          <t>TAPA</t>
        </is>
      </c>
      <c r="L16" s="13" t="inlineStr">
        <is>
          <t>LONGITUD</t>
        </is>
      </c>
      <c r="M16" s="251" t="n">
        <v>24.41</v>
      </c>
      <c r="N16" s="322">
        <f>M16*M17*M18</f>
        <v/>
      </c>
      <c r="O16" s="325" t="n"/>
    </row>
    <row r="17" ht="15.5" customHeight="1">
      <c r="B17" s="323" t="n"/>
      <c r="C17" s="324" t="n"/>
      <c r="D17" s="13" t="inlineStr">
        <is>
          <t>ESPESOR</t>
        </is>
      </c>
      <c r="E17" s="14" t="n">
        <v>0.1</v>
      </c>
      <c r="F17" s="325" t="n"/>
      <c r="G17" s="326" t="n"/>
      <c r="I17" s="4" t="n"/>
      <c r="J17" s="325" t="n"/>
      <c r="K17" s="325" t="n"/>
      <c r="L17" s="13" t="inlineStr">
        <is>
          <t>ESPESOR</t>
        </is>
      </c>
      <c r="M17" s="14" t="n">
        <v>0.1</v>
      </c>
      <c r="N17" s="325" t="n"/>
      <c r="O17" s="325" t="n"/>
    </row>
    <row r="18" ht="16" customHeight="1" thickBot="1">
      <c r="B18" s="329" t="n"/>
      <c r="C18" s="327" t="n"/>
      <c r="D18" s="81" t="inlineStr">
        <is>
          <t>ANCHO</t>
        </is>
      </c>
      <c r="E18" s="82" t="n">
        <v>0.6</v>
      </c>
      <c r="F18" s="328" t="n"/>
      <c r="G18" s="330" t="n"/>
      <c r="I18" s="4" t="n"/>
      <c r="J18" s="315" t="n"/>
      <c r="K18" s="315" t="n"/>
      <c r="L18" s="13" t="inlineStr">
        <is>
          <t>ANCHO</t>
        </is>
      </c>
      <c r="M18" s="14" t="n">
        <v>0.6</v>
      </c>
      <c r="N18" s="315" t="n"/>
      <c r="O18" s="315" t="n"/>
    </row>
    <row r="19" ht="15.65" customHeight="1">
      <c r="F19" s="5" t="n"/>
      <c r="I19" s="4" t="n"/>
    </row>
    <row r="20" ht="14.5" customHeight="1" thickBot="1">
      <c r="I20" s="4" t="n"/>
    </row>
    <row r="21" ht="21" customHeight="1" thickBot="1">
      <c r="B21" s="232" t="inlineStr">
        <is>
          <t>LONGITUDES Y AREAS</t>
        </is>
      </c>
      <c r="C21" s="316" t="n"/>
      <c r="D21" s="317" t="n"/>
      <c r="E21" s="233" t="inlineStr">
        <is>
          <t>m3</t>
        </is>
      </c>
      <c r="F21" s="233" t="inlineStr">
        <is>
          <t>Sub.TOTAL</t>
        </is>
      </c>
      <c r="G21" s="84" t="inlineStr">
        <is>
          <t>TOTAL (m3)</t>
        </is>
      </c>
      <c r="I21" s="4" t="n"/>
      <c r="J21" s="224" t="inlineStr">
        <is>
          <t>LONGITUDES Y AREAS</t>
        </is>
      </c>
      <c r="K21" s="313" t="n"/>
      <c r="L21" s="314" t="n"/>
      <c r="M21" s="224" t="inlineStr">
        <is>
          <t>m3</t>
        </is>
      </c>
      <c r="N21" s="224" t="inlineStr">
        <is>
          <t>Sub.TOTAL</t>
        </is>
      </c>
      <c r="O21" s="224" t="inlineStr">
        <is>
          <t>TOTAL (m3)</t>
        </is>
      </c>
    </row>
    <row r="22" ht="16.25" customHeight="1">
      <c r="B22" s="234" t="inlineStr">
        <is>
          <t>CUNETA EJE 02</t>
        </is>
      </c>
      <c r="C22" s="318" t="inlineStr">
        <is>
          <t>MUROS</t>
        </is>
      </c>
      <c r="D22" s="79" t="inlineStr">
        <is>
          <t>AREA</t>
        </is>
      </c>
      <c r="E22" s="80" t="n">
        <v>78.31999999999999</v>
      </c>
      <c r="F22" s="319">
        <f>E22*E23*E24</f>
        <v/>
      </c>
      <c r="G22" s="320">
        <f>SUM(F22:F30)</f>
        <v/>
      </c>
      <c r="J22" s="240" t="inlineStr">
        <is>
          <t>CUNETA EJE 08</t>
        </is>
      </c>
      <c r="K22" s="321" t="inlineStr">
        <is>
          <t>MUROS</t>
        </is>
      </c>
      <c r="L22" s="13" t="inlineStr">
        <is>
          <t>AREA</t>
        </is>
      </c>
      <c r="M22" s="14" t="n">
        <v>2.62</v>
      </c>
      <c r="N22" s="322">
        <f>M22*M23*M24</f>
        <v/>
      </c>
      <c r="O22" s="322">
        <f>SUM(N22:N30)</f>
        <v/>
      </c>
    </row>
    <row r="23" ht="15.5" customHeight="1">
      <c r="B23" s="323" t="n"/>
      <c r="C23" s="324" t="n"/>
      <c r="D23" s="13" t="inlineStr">
        <is>
          <t>ESPESOR</t>
        </is>
      </c>
      <c r="E23" s="14" t="n">
        <v>0.1</v>
      </c>
      <c r="F23" s="325" t="n"/>
      <c r="G23" s="326" t="n"/>
      <c r="J23" s="325" t="n"/>
      <c r="K23" s="325" t="n"/>
      <c r="L23" s="13" t="inlineStr">
        <is>
          <t>ESPESOR</t>
        </is>
      </c>
      <c r="M23" s="14" t="n">
        <v>0.1</v>
      </c>
      <c r="N23" s="325" t="n"/>
      <c r="O23" s="325" t="n"/>
    </row>
    <row r="24" ht="16" customHeight="1" thickBot="1">
      <c r="B24" s="323" t="n"/>
      <c r="C24" s="327" t="n"/>
      <c r="D24" s="81" t="inlineStr">
        <is>
          <t>CANT.</t>
        </is>
      </c>
      <c r="E24" s="82" t="n">
        <v>2</v>
      </c>
      <c r="F24" s="328" t="n"/>
      <c r="G24" s="326" t="n"/>
      <c r="J24" s="325" t="n"/>
      <c r="K24" s="315" t="n"/>
      <c r="L24" s="13" t="inlineStr">
        <is>
          <t>CANT.</t>
        </is>
      </c>
      <c r="M24" s="14" t="n">
        <v>2</v>
      </c>
      <c r="N24" s="315" t="n"/>
      <c r="O24" s="325" t="n"/>
    </row>
    <row r="25" ht="15.5" customHeight="1">
      <c r="B25" s="323" t="n"/>
      <c r="C25" s="318" t="inlineStr">
        <is>
          <t>LOSA</t>
        </is>
      </c>
      <c r="D25" s="79" t="inlineStr">
        <is>
          <t>ESPESOR</t>
        </is>
      </c>
      <c r="E25" s="80" t="n">
        <v>0.1</v>
      </c>
      <c r="F25" s="319">
        <f>E25*E26*E27</f>
        <v/>
      </c>
      <c r="G25" s="326" t="n"/>
      <c r="J25" s="325" t="n"/>
      <c r="K25" s="321" t="inlineStr">
        <is>
          <t>LOSA</t>
        </is>
      </c>
      <c r="L25" s="13" t="inlineStr">
        <is>
          <t>ESPESOR</t>
        </is>
      </c>
      <c r="M25" s="14" t="n">
        <v>0.1</v>
      </c>
      <c r="N25" s="322">
        <f>M25*M26*M27</f>
        <v/>
      </c>
      <c r="O25" s="325" t="n"/>
    </row>
    <row r="26" ht="15.5" customHeight="1">
      <c r="B26" s="323" t="n"/>
      <c r="C26" s="324" t="n"/>
      <c r="D26" s="13" t="inlineStr">
        <is>
          <t>LONGITUD</t>
        </is>
      </c>
      <c r="E26" s="14" t="n">
        <v>130.85</v>
      </c>
      <c r="F26" s="325" t="n"/>
      <c r="G26" s="326" t="n"/>
      <c r="J26" s="325" t="n"/>
      <c r="K26" s="325" t="n"/>
      <c r="L26" s="13" t="inlineStr">
        <is>
          <t>LONGITUD</t>
        </is>
      </c>
      <c r="M26" s="14" t="n">
        <v>8.199999999999999</v>
      </c>
      <c r="N26" s="325" t="n"/>
      <c r="O26" s="325" t="n"/>
    </row>
    <row r="27" ht="16" customHeight="1" thickBot="1">
      <c r="B27" s="323" t="n"/>
      <c r="C27" s="327" t="n"/>
      <c r="D27" s="81" t="inlineStr">
        <is>
          <t>ANCHO</t>
        </is>
      </c>
      <c r="E27" s="82" t="n">
        <v>0.6</v>
      </c>
      <c r="F27" s="328" t="n"/>
      <c r="G27" s="326" t="n"/>
      <c r="J27" s="325" t="n"/>
      <c r="K27" s="315" t="n"/>
      <c r="L27" s="13" t="inlineStr">
        <is>
          <t>ANCHO</t>
        </is>
      </c>
      <c r="M27" s="14" t="n">
        <v>0.6</v>
      </c>
      <c r="N27" s="315" t="n"/>
      <c r="O27" s="325" t="n"/>
    </row>
    <row r="28" ht="15.5" customHeight="1">
      <c r="B28" s="323" t="n"/>
      <c r="C28" s="318" t="inlineStr">
        <is>
          <t>TAPA</t>
        </is>
      </c>
      <c r="D28" s="79" t="inlineStr">
        <is>
          <t>LONGITUD</t>
        </is>
      </c>
      <c r="E28" s="80" t="n">
        <v>31.66</v>
      </c>
      <c r="F28" s="319">
        <f>E28*E29*E30</f>
        <v/>
      </c>
      <c r="G28" s="326" t="n"/>
      <c r="J28" s="325" t="n"/>
      <c r="K28" s="321" t="inlineStr">
        <is>
          <t>TAPA</t>
        </is>
      </c>
      <c r="L28" s="13" t="inlineStr">
        <is>
          <t>LONGITUD</t>
        </is>
      </c>
      <c r="M28" s="14" t="n">
        <v>8.199999999999999</v>
      </c>
      <c r="N28" s="322">
        <f>M28*M29*M30</f>
        <v/>
      </c>
      <c r="O28" s="325" t="n"/>
    </row>
    <row r="29" ht="15.5" customHeight="1">
      <c r="B29" s="323" t="n"/>
      <c r="C29" s="324" t="n"/>
      <c r="D29" s="13" t="inlineStr">
        <is>
          <t>ESPESOR</t>
        </is>
      </c>
      <c r="E29" s="14" t="n">
        <v>0.1</v>
      </c>
      <c r="F29" s="325" t="n"/>
      <c r="G29" s="326" t="n"/>
      <c r="J29" s="325" t="n"/>
      <c r="K29" s="325" t="n"/>
      <c r="L29" s="13" t="inlineStr">
        <is>
          <t>ESPESOR</t>
        </is>
      </c>
      <c r="M29" s="14" t="n">
        <v>0.1</v>
      </c>
      <c r="N29" s="325" t="n"/>
      <c r="O29" s="325" t="n"/>
    </row>
    <row r="30" ht="16" customHeight="1" thickBot="1">
      <c r="B30" s="329" t="n"/>
      <c r="C30" s="327" t="n"/>
      <c r="D30" s="81" t="inlineStr">
        <is>
          <t>ANCHO</t>
        </is>
      </c>
      <c r="E30" s="82" t="n">
        <v>0.6</v>
      </c>
      <c r="F30" s="328" t="n"/>
      <c r="G30" s="330" t="n"/>
      <c r="J30" s="315" t="n"/>
      <c r="K30" s="315" t="n"/>
      <c r="L30" s="13" t="inlineStr">
        <is>
          <t>ANCHO</t>
        </is>
      </c>
      <c r="M30" s="14" t="n">
        <v>0.6</v>
      </c>
      <c r="N30" s="315" t="n"/>
      <c r="O30" s="315" t="n"/>
    </row>
    <row r="31" ht="19.5" customHeight="1"/>
    <row r="33" ht="19" customHeight="1" thickBot="1">
      <c r="B33" s="224" t="inlineStr">
        <is>
          <t>LONGITUDES Y AREAS</t>
        </is>
      </c>
      <c r="C33" s="313" t="n"/>
      <c r="D33" s="314" t="n"/>
      <c r="E33" s="224" t="inlineStr">
        <is>
          <t>m3</t>
        </is>
      </c>
      <c r="F33" s="224" t="inlineStr">
        <is>
          <t>Sub.TOTAL</t>
        </is>
      </c>
      <c r="G33" s="224" t="inlineStr">
        <is>
          <t>TOTAL (m3)</t>
        </is>
      </c>
      <c r="J33" s="224" t="inlineStr">
        <is>
          <t>LONGITUDES Y AREAS</t>
        </is>
      </c>
      <c r="K33" s="313" t="n"/>
      <c r="L33" s="314" t="n"/>
      <c r="M33" s="225" t="inlineStr">
        <is>
          <t>m3</t>
        </is>
      </c>
      <c r="N33" s="225" t="inlineStr">
        <is>
          <t>Sub.TOTAL</t>
        </is>
      </c>
      <c r="O33" s="225" t="inlineStr">
        <is>
          <t>TOTAL (m3)</t>
        </is>
      </c>
    </row>
    <row r="34" ht="15.5" customHeight="1">
      <c r="B34" s="240" t="inlineStr">
        <is>
          <t>CUNETA EJE 03</t>
        </is>
      </c>
      <c r="C34" s="321" t="inlineStr">
        <is>
          <t>MUROS</t>
        </is>
      </c>
      <c r="D34" s="13" t="inlineStr">
        <is>
          <t>AREA</t>
        </is>
      </c>
      <c r="E34" s="14" t="n">
        <v>1.83</v>
      </c>
      <c r="F34" s="322">
        <f>E34*E35*E36</f>
        <v/>
      </c>
      <c r="G34" s="322">
        <f>SUM(F34:F42)</f>
        <v/>
      </c>
      <c r="J34" s="237" t="inlineStr">
        <is>
          <t>CUNETA EJE 09</t>
        </is>
      </c>
      <c r="K34" s="318" t="inlineStr">
        <is>
          <t>MUROS</t>
        </is>
      </c>
      <c r="L34" s="79" t="inlineStr">
        <is>
          <t>AREA</t>
        </is>
      </c>
      <c r="M34" s="80" t="n">
        <v>2.22</v>
      </c>
      <c r="N34" s="319">
        <f>M34*M35*M36</f>
        <v/>
      </c>
      <c r="O34" s="320">
        <f>SUM(N34:N42)</f>
        <v/>
      </c>
    </row>
    <row r="35" ht="16.25" customHeight="1">
      <c r="B35" s="325" t="n"/>
      <c r="C35" s="325" t="n"/>
      <c r="D35" s="13" t="inlineStr">
        <is>
          <t>ESPESOR</t>
        </is>
      </c>
      <c r="E35" s="14" t="n">
        <v>0.1</v>
      </c>
      <c r="F35" s="325" t="n"/>
      <c r="G35" s="325" t="n"/>
      <c r="J35" s="331" t="n"/>
      <c r="K35" s="324" t="n"/>
      <c r="L35" s="13" t="inlineStr">
        <is>
          <t>ESPESOR</t>
        </is>
      </c>
      <c r="M35" s="14" t="n">
        <v>0.1</v>
      </c>
      <c r="N35" s="325" t="n"/>
      <c r="O35" s="326" t="n"/>
    </row>
    <row r="36" ht="16" customHeight="1" thickBot="1">
      <c r="B36" s="325" t="n"/>
      <c r="C36" s="315" t="n"/>
      <c r="D36" s="13" t="inlineStr">
        <is>
          <t>CANT.</t>
        </is>
      </c>
      <c r="E36" s="14" t="n">
        <v>2</v>
      </c>
      <c r="F36" s="315" t="n"/>
      <c r="G36" s="325" t="n"/>
      <c r="J36" s="331" t="n"/>
      <c r="K36" s="327" t="n"/>
      <c r="L36" s="81" t="inlineStr">
        <is>
          <t>CANT.</t>
        </is>
      </c>
      <c r="M36" s="82" t="n">
        <v>2</v>
      </c>
      <c r="N36" s="328" t="n"/>
      <c r="O36" s="326" t="n"/>
    </row>
    <row r="37" ht="20" customHeight="1">
      <c r="B37" s="325" t="n"/>
      <c r="C37" s="321" t="inlineStr">
        <is>
          <t>LOSA</t>
        </is>
      </c>
      <c r="D37" s="13" t="inlineStr">
        <is>
          <t>ESPESOR</t>
        </is>
      </c>
      <c r="E37" s="14" t="n">
        <v>0.1</v>
      </c>
      <c r="F37" s="322">
        <f>E37*E38*E39</f>
        <v/>
      </c>
      <c r="G37" s="325" t="n"/>
      <c r="J37" s="331" t="n"/>
      <c r="K37" s="318" t="inlineStr">
        <is>
          <t>LOSA</t>
        </is>
      </c>
      <c r="L37" s="79" t="inlineStr">
        <is>
          <t>ESPESOR</t>
        </is>
      </c>
      <c r="M37" s="80" t="n">
        <v>0.1</v>
      </c>
      <c r="N37" s="319">
        <f>M37*M38*M39</f>
        <v/>
      </c>
      <c r="O37" s="326" t="n"/>
    </row>
    <row r="38" ht="15.5" customHeight="1">
      <c r="B38" s="325" t="n"/>
      <c r="C38" s="325" t="n"/>
      <c r="D38" s="13" t="inlineStr">
        <is>
          <t>LONGITUD</t>
        </is>
      </c>
      <c r="E38" s="14" t="n">
        <v>5.82</v>
      </c>
      <c r="F38" s="325" t="n"/>
      <c r="G38" s="325" t="n"/>
      <c r="J38" s="331" t="n"/>
      <c r="K38" s="324" t="n"/>
      <c r="L38" s="13" t="inlineStr">
        <is>
          <t>LONGITUD</t>
        </is>
      </c>
      <c r="M38" s="14" t="n">
        <v>7</v>
      </c>
      <c r="N38" s="325" t="n"/>
      <c r="O38" s="326" t="n"/>
    </row>
    <row r="39" ht="16" customHeight="1" thickBot="1">
      <c r="B39" s="325" t="n"/>
      <c r="C39" s="315" t="n"/>
      <c r="D39" s="13" t="inlineStr">
        <is>
          <t>ANCHO</t>
        </is>
      </c>
      <c r="E39" s="14" t="n">
        <v>0.6</v>
      </c>
      <c r="F39" s="315" t="n"/>
      <c r="G39" s="325" t="n"/>
      <c r="J39" s="331" t="n"/>
      <c r="K39" s="327" t="n"/>
      <c r="L39" s="81" t="inlineStr">
        <is>
          <t>ANCHO</t>
        </is>
      </c>
      <c r="M39" s="82" t="n">
        <v>0.6</v>
      </c>
      <c r="N39" s="328" t="n"/>
      <c r="O39" s="326" t="n"/>
    </row>
    <row r="40" ht="15.5" customHeight="1">
      <c r="B40" s="325" t="n"/>
      <c r="C40" s="321" t="inlineStr">
        <is>
          <t>TAPA</t>
        </is>
      </c>
      <c r="D40" s="13" t="inlineStr">
        <is>
          <t>LONGITUD</t>
        </is>
      </c>
      <c r="E40" s="171" t="n">
        <v>0</v>
      </c>
      <c r="F40" s="322">
        <f>E40*E41*E42</f>
        <v/>
      </c>
      <c r="G40" s="325" t="n"/>
      <c r="J40" s="331" t="n"/>
      <c r="K40" s="318" t="inlineStr">
        <is>
          <t>TAPA</t>
        </is>
      </c>
      <c r="L40" s="79" t="inlineStr">
        <is>
          <t>LONGITUD</t>
        </is>
      </c>
      <c r="M40" s="80" t="n">
        <v>7</v>
      </c>
      <c r="N40" s="319">
        <f>M40*M41*M42</f>
        <v/>
      </c>
      <c r="O40" s="326" t="n"/>
    </row>
    <row r="41" ht="15.5" customHeight="1">
      <c r="B41" s="325" t="n"/>
      <c r="C41" s="325" t="n"/>
      <c r="D41" s="13" t="inlineStr">
        <is>
          <t>ESPESOR</t>
        </is>
      </c>
      <c r="E41" s="14" t="n">
        <v>0.1</v>
      </c>
      <c r="F41" s="325" t="n"/>
      <c r="G41" s="325" t="n"/>
      <c r="J41" s="331" t="n"/>
      <c r="K41" s="324" t="n"/>
      <c r="L41" s="13" t="inlineStr">
        <is>
          <t>ESPESOR</t>
        </is>
      </c>
      <c r="M41" s="14" t="n">
        <v>0.1</v>
      </c>
      <c r="N41" s="325" t="n"/>
      <c r="O41" s="326" t="n"/>
    </row>
    <row r="42" ht="15.5" customHeight="1" thickBot="1">
      <c r="B42" s="315" t="n"/>
      <c r="C42" s="315" t="n"/>
      <c r="D42" s="13" t="inlineStr">
        <is>
          <t>ANCHO</t>
        </is>
      </c>
      <c r="E42" s="14" t="n">
        <v>0.6</v>
      </c>
      <c r="F42" s="315" t="n"/>
      <c r="G42" s="315" t="n"/>
      <c r="J42" s="332" t="n"/>
      <c r="K42" s="327" t="n"/>
      <c r="L42" s="81" t="inlineStr">
        <is>
          <t>ANCHO</t>
        </is>
      </c>
      <c r="M42" s="82" t="n">
        <v>0.6</v>
      </c>
      <c r="N42" s="328" t="n"/>
      <c r="O42" s="330" t="n"/>
    </row>
    <row r="45" ht="20" customHeight="1" thickBot="1">
      <c r="B45" s="225" t="inlineStr">
        <is>
          <t>LONGITUDES Y AREAS</t>
        </is>
      </c>
      <c r="C45" s="333" t="n"/>
      <c r="D45" s="334" t="n"/>
      <c r="E45" s="225" t="inlineStr">
        <is>
          <t>m3</t>
        </is>
      </c>
      <c r="F45" s="225" t="inlineStr">
        <is>
          <t>Sub.TOTAL</t>
        </is>
      </c>
      <c r="G45" s="225" t="inlineStr">
        <is>
          <t>TOTAL (m3)</t>
        </is>
      </c>
      <c r="J45" s="224" t="inlineStr">
        <is>
          <t>LONGITUDES Y AREAS</t>
        </is>
      </c>
      <c r="K45" s="313" t="n"/>
      <c r="L45" s="314" t="n"/>
      <c r="M45" s="225" t="inlineStr">
        <is>
          <t>m3</t>
        </is>
      </c>
      <c r="N45" s="225" t="inlineStr">
        <is>
          <t>Sub.TOTAL</t>
        </is>
      </c>
      <c r="O45" s="225" t="inlineStr">
        <is>
          <t>TOTAL (m3)</t>
        </is>
      </c>
    </row>
    <row r="46" ht="15.5" customHeight="1">
      <c r="B46" s="335" t="inlineStr">
        <is>
          <t>CUNETA EJE 04</t>
        </is>
      </c>
      <c r="C46" s="318" t="inlineStr">
        <is>
          <t>MUROS</t>
        </is>
      </c>
      <c r="D46" s="79" t="inlineStr">
        <is>
          <t>AREA</t>
        </is>
      </c>
      <c r="E46" s="80" t="n">
        <v>2.76</v>
      </c>
      <c r="F46" s="319">
        <f>E46*E47*E48</f>
        <v/>
      </c>
      <c r="G46" s="320">
        <f>SUM(F46:F54)</f>
        <v/>
      </c>
      <c r="J46" s="237" t="inlineStr">
        <is>
          <t>CUNETA EJE 10</t>
        </is>
      </c>
      <c r="K46" s="318" t="inlineStr">
        <is>
          <t>MUROS</t>
        </is>
      </c>
      <c r="L46" s="79" t="inlineStr">
        <is>
          <t>AREA</t>
        </is>
      </c>
      <c r="M46" s="80" t="n">
        <v>5.44</v>
      </c>
      <c r="N46" s="319">
        <f>M46*M47*M48</f>
        <v/>
      </c>
      <c r="O46" s="320">
        <f>SUM(N46:N54)</f>
        <v/>
      </c>
    </row>
    <row r="47" ht="15.5" customHeight="1">
      <c r="B47" s="324" t="n"/>
      <c r="C47" s="324" t="n"/>
      <c r="D47" s="13" t="inlineStr">
        <is>
          <t>ESPESOR</t>
        </is>
      </c>
      <c r="E47" s="14" t="n">
        <v>0.1</v>
      </c>
      <c r="F47" s="325" t="n"/>
      <c r="G47" s="326" t="n"/>
      <c r="J47" s="331" t="n"/>
      <c r="K47" s="324" t="n"/>
      <c r="L47" s="13" t="inlineStr">
        <is>
          <t>ESPESOR</t>
        </is>
      </c>
      <c r="M47" s="14" t="n">
        <v>0.1</v>
      </c>
      <c r="N47" s="325" t="n"/>
      <c r="O47" s="326" t="n"/>
    </row>
    <row r="48" ht="16.25" customHeight="1" thickBot="1">
      <c r="B48" s="324" t="n"/>
      <c r="C48" s="327" t="n"/>
      <c r="D48" s="81" t="inlineStr">
        <is>
          <t>CANT.</t>
        </is>
      </c>
      <c r="E48" s="82" t="n">
        <v>2</v>
      </c>
      <c r="F48" s="328" t="n"/>
      <c r="G48" s="326" t="n"/>
      <c r="J48" s="331" t="n"/>
      <c r="K48" s="327" t="n"/>
      <c r="L48" s="81" t="inlineStr">
        <is>
          <t>CANT.</t>
        </is>
      </c>
      <c r="M48" s="82" t="n">
        <v>2</v>
      </c>
      <c r="N48" s="328" t="n"/>
      <c r="O48" s="326" t="n"/>
    </row>
    <row r="49" ht="15.5" customHeight="1">
      <c r="B49" s="324" t="n"/>
      <c r="C49" s="318" t="inlineStr">
        <is>
          <t>LOSA</t>
        </is>
      </c>
      <c r="D49" s="79" t="inlineStr">
        <is>
          <t>ESPESOR</t>
        </is>
      </c>
      <c r="E49" s="80" t="n">
        <v>0.1</v>
      </c>
      <c r="F49" s="319">
        <f>E49*E50*E51</f>
        <v/>
      </c>
      <c r="G49" s="326" t="n"/>
      <c r="J49" s="331" t="n"/>
      <c r="K49" s="318" t="inlineStr">
        <is>
          <t>LOSA</t>
        </is>
      </c>
      <c r="L49" s="79" t="inlineStr">
        <is>
          <t>ESPESOR</t>
        </is>
      </c>
      <c r="M49" s="80" t="n">
        <v>0.1</v>
      </c>
      <c r="N49" s="319">
        <f>M49*M50*M51</f>
        <v/>
      </c>
      <c r="O49" s="326" t="n"/>
    </row>
    <row r="50" ht="15.5" customHeight="1">
      <c r="B50" s="324" t="n"/>
      <c r="C50" s="324" t="n"/>
      <c r="D50" s="13" t="inlineStr">
        <is>
          <t>LONGITUD</t>
        </is>
      </c>
      <c r="E50" s="14" t="n">
        <v>8.6</v>
      </c>
      <c r="F50" s="325" t="n"/>
      <c r="G50" s="326" t="n"/>
      <c r="J50" s="331" t="n"/>
      <c r="K50" s="324" t="n"/>
      <c r="L50" s="13" t="inlineStr">
        <is>
          <t>LONGITUD</t>
        </is>
      </c>
      <c r="M50" s="14" t="n">
        <v>16</v>
      </c>
      <c r="N50" s="325" t="n"/>
      <c r="O50" s="326" t="n"/>
    </row>
    <row r="51" ht="21" customHeight="1" thickBot="1">
      <c r="B51" s="324" t="n"/>
      <c r="C51" s="327" t="n"/>
      <c r="D51" s="81" t="inlineStr">
        <is>
          <t>ANCHO</t>
        </is>
      </c>
      <c r="E51" s="82" t="n">
        <v>0.6</v>
      </c>
      <c r="F51" s="328" t="n"/>
      <c r="G51" s="326" t="n"/>
      <c r="J51" s="331" t="n"/>
      <c r="K51" s="327" t="n"/>
      <c r="L51" s="81" t="inlineStr">
        <is>
          <t>ANCHO</t>
        </is>
      </c>
      <c r="M51" s="82" t="n">
        <v>0.6</v>
      </c>
      <c r="N51" s="328" t="n"/>
      <c r="O51" s="326" t="n"/>
    </row>
    <row r="52" ht="15.5" customHeight="1">
      <c r="B52" s="324" t="n"/>
      <c r="C52" s="239" t="inlineStr">
        <is>
          <t>TAPA</t>
        </is>
      </c>
      <c r="D52" s="77" t="inlineStr">
        <is>
          <t>LONGITUD</t>
        </is>
      </c>
      <c r="E52" s="172" t="n">
        <v>0</v>
      </c>
      <c r="F52" s="218">
        <f>E52*E53*E54</f>
        <v/>
      </c>
      <c r="G52" s="326" t="n"/>
      <c r="J52" s="331" t="n"/>
      <c r="K52" s="318" t="inlineStr">
        <is>
          <t>TAPA</t>
        </is>
      </c>
      <c r="L52" s="79" t="inlineStr">
        <is>
          <t>LONGITUD</t>
        </is>
      </c>
      <c r="M52" s="88" t="n">
        <v>0</v>
      </c>
      <c r="N52" s="319">
        <f>M52*M53*M54</f>
        <v/>
      </c>
      <c r="O52" s="326" t="n"/>
    </row>
    <row r="53" ht="15.5" customHeight="1">
      <c r="B53" s="324" t="n"/>
      <c r="C53" s="325" t="n"/>
      <c r="D53" s="13" t="inlineStr">
        <is>
          <t>ESPESOR</t>
        </is>
      </c>
      <c r="E53" s="14" t="n">
        <v>0.1</v>
      </c>
      <c r="F53" s="325" t="n"/>
      <c r="G53" s="326" t="n"/>
      <c r="J53" s="331" t="n"/>
      <c r="K53" s="324" t="n"/>
      <c r="L53" s="13" t="inlineStr">
        <is>
          <t>ESPESOR</t>
        </is>
      </c>
      <c r="M53" s="14" t="n">
        <v>0.1</v>
      </c>
      <c r="N53" s="325" t="n"/>
      <c r="O53" s="326" t="n"/>
    </row>
    <row r="54" ht="16" customHeight="1" thickBot="1">
      <c r="B54" s="336" t="n"/>
      <c r="C54" s="328" t="n"/>
      <c r="D54" s="81" t="inlineStr">
        <is>
          <t>ANCHO</t>
        </is>
      </c>
      <c r="E54" s="82" t="n">
        <v>0.6</v>
      </c>
      <c r="F54" s="328" t="n"/>
      <c r="G54" s="330" t="n"/>
      <c r="J54" s="332" t="n"/>
      <c r="K54" s="327" t="n"/>
      <c r="L54" s="81" t="inlineStr">
        <is>
          <t>ANCHO</t>
        </is>
      </c>
      <c r="M54" s="82" t="n">
        <v>0.6</v>
      </c>
      <c r="N54" s="328" t="n"/>
      <c r="O54" s="330" t="n"/>
    </row>
    <row r="57" ht="21" customHeight="1" thickBot="1">
      <c r="B57" s="224" t="inlineStr">
        <is>
          <t>LONGITUDES Y AREAS</t>
        </is>
      </c>
      <c r="C57" s="313" t="n"/>
      <c r="D57" s="314" t="n"/>
      <c r="E57" s="224" t="inlineStr">
        <is>
          <t>m3</t>
        </is>
      </c>
      <c r="F57" s="224" t="inlineStr">
        <is>
          <t>Sub.TOTAL</t>
        </is>
      </c>
      <c r="G57" s="224" t="inlineStr">
        <is>
          <t>TOTAL (m3)</t>
        </is>
      </c>
      <c r="J57" s="224" t="inlineStr">
        <is>
          <t>LONGITUDES Y AREAS</t>
        </is>
      </c>
      <c r="K57" s="313" t="n"/>
      <c r="L57" s="314" t="n"/>
      <c r="M57" s="225" t="inlineStr">
        <is>
          <t>m3</t>
        </is>
      </c>
      <c r="N57" s="225" t="inlineStr">
        <is>
          <t>Sub.TOTAL</t>
        </is>
      </c>
      <c r="O57" s="225" t="inlineStr">
        <is>
          <t>TOTAL (m3)</t>
        </is>
      </c>
    </row>
    <row r="58" ht="15.5" customHeight="1">
      <c r="B58" s="240" t="inlineStr">
        <is>
          <t>CUNETA EJE 05</t>
        </is>
      </c>
      <c r="C58" s="321" t="inlineStr">
        <is>
          <t>MUROS</t>
        </is>
      </c>
      <c r="D58" s="13" t="inlineStr">
        <is>
          <t>AREA</t>
        </is>
      </c>
      <c r="E58" s="14" t="n">
        <v>17.7</v>
      </c>
      <c r="F58" s="322">
        <f>E58*E59*E60</f>
        <v/>
      </c>
      <c r="G58" s="322">
        <f>SUM(F58:F66)</f>
        <v/>
      </c>
      <c r="J58" s="237" t="inlineStr">
        <is>
          <t>CUNETA EJE 11</t>
        </is>
      </c>
      <c r="K58" s="318" t="inlineStr">
        <is>
          <t>MUROS</t>
        </is>
      </c>
      <c r="L58" s="79" t="inlineStr">
        <is>
          <t>AREA</t>
        </is>
      </c>
      <c r="M58" s="80" t="n">
        <v>33</v>
      </c>
      <c r="N58" s="319">
        <f>M58*M59*M60</f>
        <v/>
      </c>
      <c r="O58" s="320">
        <f>SUM(N58:N66)</f>
        <v/>
      </c>
    </row>
    <row r="59" ht="15.5" customHeight="1">
      <c r="B59" s="325" t="n"/>
      <c r="C59" s="325" t="n"/>
      <c r="D59" s="13" t="inlineStr">
        <is>
          <t>ESPESOR</t>
        </is>
      </c>
      <c r="E59" s="14" t="n">
        <v>0.1</v>
      </c>
      <c r="F59" s="325" t="n"/>
      <c r="G59" s="325" t="n"/>
      <c r="J59" s="331" t="n"/>
      <c r="K59" s="324" t="n"/>
      <c r="L59" s="13" t="inlineStr">
        <is>
          <t>ESPESOR</t>
        </is>
      </c>
      <c r="M59" s="14" t="n">
        <v>0.1</v>
      </c>
      <c r="N59" s="325" t="n"/>
      <c r="O59" s="326" t="n"/>
    </row>
    <row r="60" ht="16" customHeight="1" thickBot="1">
      <c r="B60" s="325" t="n"/>
      <c r="C60" s="315" t="n"/>
      <c r="D60" s="13" t="inlineStr">
        <is>
          <t>CANT.</t>
        </is>
      </c>
      <c r="E60" s="14" t="n">
        <v>2</v>
      </c>
      <c r="F60" s="315" t="n"/>
      <c r="G60" s="325" t="n"/>
      <c r="J60" s="331" t="n"/>
      <c r="K60" s="327" t="n"/>
      <c r="L60" s="81" t="inlineStr">
        <is>
          <t>CANT.</t>
        </is>
      </c>
      <c r="M60" s="82" t="n">
        <v>2</v>
      </c>
      <c r="N60" s="328" t="n"/>
      <c r="O60" s="326" t="n"/>
    </row>
    <row r="61" ht="15.5" customHeight="1">
      <c r="B61" s="325" t="n"/>
      <c r="C61" s="321" t="inlineStr">
        <is>
          <t>LOSA</t>
        </is>
      </c>
      <c r="D61" s="13" t="inlineStr">
        <is>
          <t>ESPESOR</t>
        </is>
      </c>
      <c r="E61" s="14" t="n">
        <v>0.1</v>
      </c>
      <c r="F61" s="322">
        <f>E61*E62*E63</f>
        <v/>
      </c>
      <c r="G61" s="325" t="n"/>
      <c r="J61" s="331" t="n"/>
      <c r="K61" s="318" t="inlineStr">
        <is>
          <t>LOSA</t>
        </is>
      </c>
      <c r="L61" s="79" t="inlineStr">
        <is>
          <t>ESPESOR</t>
        </is>
      </c>
      <c r="M61" s="80" t="n">
        <v>0.1</v>
      </c>
      <c r="N61" s="319">
        <f>M61*M62*M63</f>
        <v/>
      </c>
      <c r="O61" s="326" t="n"/>
    </row>
    <row r="62" ht="15.5" customHeight="1">
      <c r="B62" s="325" t="n"/>
      <c r="C62" s="325" t="n"/>
      <c r="D62" s="13" t="inlineStr">
        <is>
          <t>LONGITUD</t>
        </is>
      </c>
      <c r="E62" s="14" t="n">
        <v>43.23</v>
      </c>
      <c r="F62" s="325" t="n"/>
      <c r="G62" s="325" t="n"/>
      <c r="I62" s="4" t="n"/>
      <c r="J62" s="331" t="n"/>
      <c r="K62" s="324" t="n"/>
      <c r="L62" s="13" t="inlineStr">
        <is>
          <t>LONGITUD</t>
        </is>
      </c>
      <c r="M62" s="14" t="n">
        <v>71.45999999999999</v>
      </c>
      <c r="N62" s="325" t="n"/>
      <c r="O62" s="326" t="n"/>
    </row>
    <row r="63" ht="16" customHeight="1" thickBot="1">
      <c r="B63" s="325" t="n"/>
      <c r="C63" s="315" t="n"/>
      <c r="D63" s="13" t="inlineStr">
        <is>
          <t>ANCHO</t>
        </is>
      </c>
      <c r="E63" s="14" t="n">
        <v>0.6</v>
      </c>
      <c r="F63" s="315" t="n"/>
      <c r="G63" s="325" t="n"/>
      <c r="I63" s="4" t="n"/>
      <c r="J63" s="331" t="n"/>
      <c r="K63" s="327" t="n"/>
      <c r="L63" s="81" t="inlineStr">
        <is>
          <t>ANCHO</t>
        </is>
      </c>
      <c r="M63" s="82" t="n">
        <v>0.6</v>
      </c>
      <c r="N63" s="328" t="n"/>
      <c r="O63" s="326" t="n"/>
    </row>
    <row r="64" ht="15.5" customHeight="1">
      <c r="B64" s="325" t="n"/>
      <c r="C64" s="321" t="inlineStr">
        <is>
          <t>TAPA</t>
        </is>
      </c>
      <c r="D64" s="13" t="inlineStr">
        <is>
          <t>LONGITUD</t>
        </is>
      </c>
      <c r="E64" s="14" t="n">
        <v>5.7</v>
      </c>
      <c r="F64" s="322">
        <f>E64*E65*E66</f>
        <v/>
      </c>
      <c r="G64" s="325" t="n"/>
      <c r="J64" s="331" t="n"/>
      <c r="K64" s="318" t="inlineStr">
        <is>
          <t>TAPA</t>
        </is>
      </c>
      <c r="L64" s="79" t="inlineStr">
        <is>
          <t>LONGITUD</t>
        </is>
      </c>
      <c r="M64" s="80" t="n">
        <v>8.699999999999999</v>
      </c>
      <c r="N64" s="319">
        <f>M64*M65*M66</f>
        <v/>
      </c>
      <c r="O64" s="326" t="n"/>
    </row>
    <row r="65" ht="15.5" customHeight="1">
      <c r="B65" s="325" t="n"/>
      <c r="C65" s="325" t="n"/>
      <c r="D65" s="13" t="inlineStr">
        <is>
          <t>ESPESOR</t>
        </is>
      </c>
      <c r="E65" s="14" t="n">
        <v>0.1</v>
      </c>
      <c r="F65" s="325" t="n"/>
      <c r="G65" s="325" t="n"/>
      <c r="J65" s="331" t="n"/>
      <c r="K65" s="324" t="n"/>
      <c r="L65" s="13" t="inlineStr">
        <is>
          <t>ESPESOR</t>
        </is>
      </c>
      <c r="M65" s="14" t="n">
        <v>0.1</v>
      </c>
      <c r="N65" s="325" t="n"/>
      <c r="O65" s="326" t="n"/>
    </row>
    <row r="66" ht="18.5" customHeight="1" thickBot="1">
      <c r="B66" s="315" t="n"/>
      <c r="C66" s="315" t="n"/>
      <c r="D66" s="13" t="inlineStr">
        <is>
          <t>ANCHO</t>
        </is>
      </c>
      <c r="E66" s="14" t="n">
        <v>0.6</v>
      </c>
      <c r="F66" s="315" t="n"/>
      <c r="G66" s="315" t="n"/>
      <c r="J66" s="332" t="n"/>
      <c r="K66" s="327" t="n"/>
      <c r="L66" s="81" t="inlineStr">
        <is>
          <t>ANCHO</t>
        </is>
      </c>
      <c r="M66" s="82" t="n">
        <v>0.6</v>
      </c>
      <c r="N66" s="328" t="n"/>
      <c r="O66" s="330" t="n"/>
    </row>
    <row r="68" ht="14.4" customHeight="1" thickBot="1"/>
    <row r="69" ht="24.5" customHeight="1" thickBot="1">
      <c r="B69" s="232" t="inlineStr">
        <is>
          <t>LONGITUDES Y AREAS</t>
        </is>
      </c>
      <c r="C69" s="316" t="n"/>
      <c r="D69" s="317" t="n"/>
      <c r="E69" s="233" t="inlineStr">
        <is>
          <t>m3</t>
        </is>
      </c>
      <c r="F69" s="233" t="inlineStr">
        <is>
          <t>Sub.TOTAL</t>
        </is>
      </c>
      <c r="G69" s="84" t="inlineStr">
        <is>
          <t>TOTAL (m3)</t>
        </is>
      </c>
      <c r="J69" s="224" t="inlineStr">
        <is>
          <t>LONGITUDES Y AREAS</t>
        </is>
      </c>
      <c r="K69" s="313" t="n"/>
      <c r="L69" s="314" t="n"/>
      <c r="M69" s="225" t="inlineStr">
        <is>
          <t>m3</t>
        </is>
      </c>
      <c r="N69" s="225" t="inlineStr">
        <is>
          <t>Sub.TOTAL</t>
        </is>
      </c>
      <c r="O69" s="225" t="inlineStr">
        <is>
          <t>TOTAL (m3)</t>
        </is>
      </c>
    </row>
    <row r="70" ht="19.75" customHeight="1">
      <c r="B70" s="234" t="inlineStr">
        <is>
          <t>CUNETA EJE 06</t>
        </is>
      </c>
      <c r="C70" s="318" t="inlineStr">
        <is>
          <t>MUROS</t>
        </is>
      </c>
      <c r="D70" s="79" t="inlineStr">
        <is>
          <t>AREA</t>
        </is>
      </c>
      <c r="E70" s="80" t="n">
        <v>69.72</v>
      </c>
      <c r="F70" s="319">
        <f>E70*E71*E72</f>
        <v/>
      </c>
      <c r="G70" s="320">
        <f>SUM(F70:F78)</f>
        <v/>
      </c>
      <c r="J70" s="337" t="inlineStr">
        <is>
          <t>CUNETA EJE 12</t>
        </is>
      </c>
      <c r="K70" s="318" t="inlineStr">
        <is>
          <t>MUROS</t>
        </is>
      </c>
      <c r="L70" s="79" t="inlineStr">
        <is>
          <t>AREA</t>
        </is>
      </c>
      <c r="M70" s="80" t="n">
        <v>54</v>
      </c>
      <c r="N70" s="319">
        <f>M70*M71*M72</f>
        <v/>
      </c>
      <c r="O70" s="320">
        <f>SUM(N70:N78)</f>
        <v/>
      </c>
    </row>
    <row r="71" ht="14.4" customHeight="1">
      <c r="B71" s="323" t="n"/>
      <c r="C71" s="324" t="n"/>
      <c r="D71" s="13" t="inlineStr">
        <is>
          <t>ESPESOR</t>
        </is>
      </c>
      <c r="E71" s="14" t="n">
        <v>0.1</v>
      </c>
      <c r="F71" s="325" t="n"/>
      <c r="G71" s="326" t="n"/>
      <c r="J71" s="326" t="n"/>
      <c r="K71" s="324" t="n"/>
      <c r="L71" s="13" t="inlineStr">
        <is>
          <t>ESPESOR</t>
        </is>
      </c>
      <c r="M71" s="14" t="n">
        <v>0.1</v>
      </c>
      <c r="N71" s="325" t="n"/>
      <c r="O71" s="326" t="n"/>
    </row>
    <row r="72" ht="22.75" customHeight="1" thickBot="1">
      <c r="B72" s="323" t="n"/>
      <c r="C72" s="327" t="n"/>
      <c r="D72" s="81" t="inlineStr">
        <is>
          <t>CANT.</t>
        </is>
      </c>
      <c r="E72" s="82" t="n">
        <v>2</v>
      </c>
      <c r="F72" s="328" t="n"/>
      <c r="G72" s="326" t="n"/>
      <c r="J72" s="326" t="n"/>
      <c r="K72" s="327" t="n"/>
      <c r="L72" s="81" t="inlineStr">
        <is>
          <t>CANT.</t>
        </is>
      </c>
      <c r="M72" s="82" t="n">
        <v>2</v>
      </c>
      <c r="N72" s="328" t="n"/>
      <c r="O72" s="326" t="n"/>
    </row>
    <row r="73" ht="15.5" customHeight="1">
      <c r="B73" s="323" t="n"/>
      <c r="C73" s="230" t="inlineStr">
        <is>
          <t>LOSA</t>
        </is>
      </c>
      <c r="D73" s="77" t="inlineStr">
        <is>
          <t>ESPESOR</t>
        </is>
      </c>
      <c r="E73" s="78" t="n">
        <v>0.1</v>
      </c>
      <c r="F73" s="212">
        <f>E73*E74*E75</f>
        <v/>
      </c>
      <c r="G73" s="326" t="n"/>
      <c r="J73" s="326" t="n"/>
      <c r="K73" s="318" t="inlineStr">
        <is>
          <t>LOSA</t>
        </is>
      </c>
      <c r="L73" s="79" t="inlineStr">
        <is>
          <t>ESPESOR</t>
        </is>
      </c>
      <c r="M73" s="80" t="n">
        <v>0.1</v>
      </c>
      <c r="N73" s="319">
        <f>M73*M74*M75</f>
        <v/>
      </c>
      <c r="O73" s="326" t="n"/>
    </row>
    <row r="74" ht="14.4" customHeight="1">
      <c r="B74" s="323" t="n"/>
      <c r="C74" s="325" t="n"/>
      <c r="D74" s="13" t="inlineStr">
        <is>
          <t>LONGITUD</t>
        </is>
      </c>
      <c r="E74" s="14" t="n">
        <v>120.36</v>
      </c>
      <c r="F74" s="325" t="n"/>
      <c r="G74" s="326" t="n"/>
      <c r="J74" s="326" t="n"/>
      <c r="K74" s="324" t="n"/>
      <c r="L74" s="13" t="inlineStr">
        <is>
          <t>LONGITUD</t>
        </is>
      </c>
      <c r="M74" s="14" t="n">
        <v>109.12</v>
      </c>
      <c r="N74" s="325" t="n"/>
      <c r="O74" s="326" t="n"/>
    </row>
    <row r="75" ht="16" customHeight="1" thickBot="1">
      <c r="B75" s="323" t="n"/>
      <c r="C75" s="325" t="n"/>
      <c r="D75" s="86" t="inlineStr">
        <is>
          <t>ANCHO</t>
        </is>
      </c>
      <c r="E75" s="87" t="n">
        <v>0.6</v>
      </c>
      <c r="F75" s="325" t="n"/>
      <c r="G75" s="326" t="n"/>
      <c r="J75" s="326" t="n"/>
      <c r="K75" s="327" t="n"/>
      <c r="L75" s="81" t="inlineStr">
        <is>
          <t>ANCHO</t>
        </is>
      </c>
      <c r="M75" s="82" t="n">
        <v>0.6</v>
      </c>
      <c r="N75" s="328" t="n"/>
      <c r="O75" s="326" t="n"/>
    </row>
    <row r="76" ht="15.5" customHeight="1">
      <c r="B76" s="323" t="n"/>
      <c r="C76" s="318" t="inlineStr">
        <is>
          <t>TAPA</t>
        </is>
      </c>
      <c r="D76" s="79" t="inlineStr">
        <is>
          <t>LONGITUD</t>
        </is>
      </c>
      <c r="E76" s="80" t="n">
        <v>25.9</v>
      </c>
      <c r="F76" s="319">
        <f>E76*E77*E78</f>
        <v/>
      </c>
      <c r="G76" s="326" t="n"/>
      <c r="J76" s="326" t="n"/>
      <c r="K76" s="318" t="inlineStr">
        <is>
          <t>TAPA</t>
        </is>
      </c>
      <c r="L76" s="79" t="inlineStr">
        <is>
          <t>LONGITUD</t>
        </is>
      </c>
      <c r="M76" s="173" t="n">
        <v>56.64</v>
      </c>
      <c r="N76" s="319">
        <f>M76*M77*M78</f>
        <v/>
      </c>
      <c r="O76" s="326" t="n"/>
    </row>
    <row r="77" ht="14.4" customHeight="1">
      <c r="B77" s="323" t="n"/>
      <c r="C77" s="324" t="n"/>
      <c r="D77" s="13" t="inlineStr">
        <is>
          <t>ESPESOR</t>
        </is>
      </c>
      <c r="E77" s="14" t="n">
        <v>0.1</v>
      </c>
      <c r="F77" s="325" t="n"/>
      <c r="G77" s="326" t="n"/>
      <c r="I77" s="4" t="n"/>
      <c r="J77" s="326" t="n"/>
      <c r="K77" s="324" t="n"/>
      <c r="L77" s="13" t="inlineStr">
        <is>
          <t>ESPESOR</t>
        </is>
      </c>
      <c r="M77" s="14" t="n">
        <v>0.1</v>
      </c>
      <c r="N77" s="325" t="n"/>
      <c r="O77" s="326" t="n"/>
    </row>
    <row r="78" ht="16" customHeight="1" thickBot="1">
      <c r="B78" s="329" t="n"/>
      <c r="C78" s="327" t="n"/>
      <c r="D78" s="81" t="inlineStr">
        <is>
          <t>ANCHO</t>
        </is>
      </c>
      <c r="E78" s="82" t="n">
        <v>0.6</v>
      </c>
      <c r="F78" s="328" t="n"/>
      <c r="G78" s="330" t="n"/>
      <c r="I78" s="4" t="n"/>
      <c r="J78" s="338" t="n"/>
      <c r="K78" s="327" t="n"/>
      <c r="L78" s="81" t="inlineStr">
        <is>
          <t>ANCHO</t>
        </is>
      </c>
      <c r="M78" s="82" t="n">
        <v>0.6</v>
      </c>
      <c r="N78" s="328" t="n"/>
      <c r="O78" s="330" t="n"/>
    </row>
    <row r="80">
      <c r="I80" s="4" t="n"/>
    </row>
    <row r="81">
      <c r="I81" s="4" t="n"/>
    </row>
    <row r="85" ht="28" customHeight="1"/>
    <row r="96">
      <c r="I96" s="4" t="n"/>
    </row>
    <row r="97">
      <c r="I97" s="4" t="n"/>
    </row>
    <row r="100" ht="24.5" customHeight="1"/>
    <row r="111">
      <c r="I111" s="4" t="n"/>
    </row>
    <row r="112">
      <c r="I112" s="4" t="n"/>
    </row>
    <row r="115" ht="23.5" customHeight="1"/>
    <row r="126">
      <c r="I126" s="4" t="n"/>
    </row>
    <row r="127">
      <c r="I127" s="4" t="n"/>
    </row>
    <row r="130" ht="26" customHeight="1"/>
    <row r="141">
      <c r="I141" s="4" t="n"/>
    </row>
    <row r="142">
      <c r="I142" s="4" t="n"/>
    </row>
    <row r="145" ht="26" customHeight="1"/>
    <row r="146" ht="15.5" customHeight="1"/>
    <row r="156">
      <c r="I156" s="4" t="n"/>
    </row>
    <row r="157">
      <c r="I157" s="4" t="n"/>
    </row>
  </sheetData>
  <mergeCells count="114"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B2:O2"/>
    <mergeCell ref="K49:K51"/>
    <mergeCell ref="C49:C51"/>
    <mergeCell ref="C58:C60"/>
    <mergeCell ref="C73:C75"/>
    <mergeCell ref="J58:J66"/>
    <mergeCell ref="N46:N48"/>
    <mergeCell ref="K76:K78"/>
    <mergeCell ref="C10:C12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B7:O7"/>
    <mergeCell ref="G34:G42"/>
    <mergeCell ref="N10:N12"/>
    <mergeCell ref="F49:F51"/>
    <mergeCell ref="K37:K39"/>
    <mergeCell ref="G58:G66"/>
    <mergeCell ref="K10:K12"/>
    <mergeCell ref="B9:D9"/>
    <mergeCell ref="N76:N78"/>
    <mergeCell ref="C6:O6"/>
    <mergeCell ref="O58:O66"/>
    <mergeCell ref="J33:L33"/>
    <mergeCell ref="G22:G30"/>
    <mergeCell ref="B45:D45"/>
    <mergeCell ref="K64:K66"/>
    <mergeCell ref="F25:F27"/>
    <mergeCell ref="C64:C66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B21:D21"/>
    <mergeCell ref="K52:K54"/>
    <mergeCell ref="B58:B66"/>
    <mergeCell ref="N13:N15"/>
    <mergeCell ref="K13:K15"/>
    <mergeCell ref="N40:N42"/>
    <mergeCell ref="F58:F60"/>
    <mergeCell ref="N49:N51"/>
    <mergeCell ref="K28:K30"/>
    <mergeCell ref="J22:J30"/>
    <mergeCell ref="C34:C36"/>
    <mergeCell ref="F73:F75"/>
    <mergeCell ref="K25:K27"/>
    <mergeCell ref="C3:O3"/>
    <mergeCell ref="C28:C30"/>
    <mergeCell ref="C37:C39"/>
    <mergeCell ref="C5:O5"/>
    <mergeCell ref="F34:F36"/>
    <mergeCell ref="F16:F18"/>
    <mergeCell ref="J46:J54"/>
    <mergeCell ref="N25:N27"/>
    <mergeCell ref="O34:O42"/>
    <mergeCell ref="J57:L57"/>
    <mergeCell ref="K40:K42"/>
    <mergeCell ref="J9:L9"/>
    <mergeCell ref="F22:F24"/>
    <mergeCell ref="C70:C72"/>
    <mergeCell ref="K58:K60"/>
    <mergeCell ref="J45:L45"/>
    <mergeCell ref="F46:F48"/>
    <mergeCell ref="C76:C78"/>
    <mergeCell ref="K73:K75"/>
    <mergeCell ref="F28:F30"/>
    <mergeCell ref="F37:F39"/>
    <mergeCell ref="F64:F66"/>
    <mergeCell ref="B34:B42"/>
    <mergeCell ref="B69:D69"/>
    <mergeCell ref="F10:F12"/>
    <mergeCell ref="O70:O78"/>
    <mergeCell ref="K34:K36"/>
    <mergeCell ref="K16:K18"/>
    <mergeCell ref="O46:O54"/>
    <mergeCell ref="J21:L21"/>
    <mergeCell ref="N70:N72"/>
    <mergeCell ref="B33:D33"/>
    <mergeCell ref="F40:F42"/>
    <mergeCell ref="N16:N18"/>
    <mergeCell ref="O10:O18"/>
    <mergeCell ref="K22:K24"/>
    <mergeCell ref="N58:N60"/>
    <mergeCell ref="N52:N54"/>
    <mergeCell ref="F76:F78"/>
    <mergeCell ref="K46:K48"/>
    <mergeCell ref="B46:B54"/>
    <mergeCell ref="C46:C48"/>
  </mergeCells>
  <pageMargins left="0.5" right="0.1181102362204725" top="1.26" bottom="0.93" header="0.3" footer="0.1181102362204725"/>
  <pageSetup orientation="portrait" paperSize="9" scale="38"/>
  <headerFooter>
    <oddHeader>&amp;C&amp;G</oddHeader>
    <oddFooter/>
    <evenHeader/>
    <evenFooter/>
    <firstHeader/>
    <firstFooter/>
  </headerFooter>
  <rowBreaks count="1" manualBreakCount="1">
    <brk id="143" min="0" max="15" man="1"/>
  </rowBreaks>
  <legacyDrawingHF r:id="rIdHF1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92D050"/>
    <outlinePr summaryBelow="1" summaryRight="1"/>
    <pageSetUpPr/>
  </sheetPr>
  <dimension ref="B2:P79"/>
  <sheetViews>
    <sheetView topLeftCell="C1" zoomScale="130" zoomScaleNormal="130" zoomScaleSheetLayoutView="130" workbookViewId="0">
      <selection activeCell="H81" sqref="H81"/>
    </sheetView>
  </sheetViews>
  <sheetFormatPr baseColWidth="10" defaultRowHeight="15.5"/>
  <cols>
    <col width="4.453125" customWidth="1" style="6" min="1" max="1"/>
    <col width="13.453125" customWidth="1" style="6" min="2" max="2"/>
    <col width="15" customWidth="1" style="6" min="3" max="3"/>
    <col width="10.90625" customWidth="1" style="6" min="4" max="7"/>
    <col width="12.26953125" customWidth="1" style="6" min="8" max="8"/>
    <col width="10.90625" customWidth="1" style="6" min="9" max="14"/>
    <col width="16.54296875" customWidth="1" style="6" min="15" max="15"/>
    <col width="12.36328125" customWidth="1" style="6" min="16" max="16"/>
    <col width="10.90625" customWidth="1" style="6" min="17" max="16384"/>
  </cols>
  <sheetData>
    <row r="2" ht="21.5" customHeight="1">
      <c r="B2" s="264" t="inlineStr">
        <is>
          <t xml:space="preserve"> ENCOFRADO Y DESENCOFRADO CUNETAS - DRENAJE PLUVIAL</t>
        </is>
      </c>
    </row>
    <row r="3" ht="20.5" customHeight="1">
      <c r="B3" s="174" t="inlineStr">
        <is>
          <t>ENTIDAD</t>
        </is>
      </c>
      <c r="C3" s="253">
        <f>+RESUMEN!B4</f>
        <v/>
      </c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3" t="n"/>
      <c r="P3" s="314" t="n"/>
    </row>
    <row r="4" ht="60" customHeight="1">
      <c r="B4" s="174" t="inlineStr">
        <is>
          <t>PROYECTO</t>
        </is>
      </c>
      <c r="C4" s="253">
        <f>+RESUMEN!B5</f>
        <v/>
      </c>
      <c r="D4" s="313" t="n"/>
      <c r="E4" s="313" t="n"/>
      <c r="F4" s="313" t="n"/>
      <c r="G4" s="313" t="n"/>
      <c r="H4" s="313" t="n"/>
      <c r="I4" s="313" t="n"/>
      <c r="J4" s="313" t="n"/>
      <c r="K4" s="313" t="n"/>
      <c r="L4" s="313" t="n"/>
      <c r="M4" s="313" t="n"/>
      <c r="N4" s="313" t="n"/>
      <c r="O4" s="313" t="n"/>
      <c r="P4" s="314" t="n"/>
    </row>
    <row r="5" ht="36" customHeight="1">
      <c r="B5" s="174" t="inlineStr">
        <is>
          <t>UBICACIÓN</t>
        </is>
      </c>
      <c r="C5" s="253">
        <f>+RESUMEN!B6</f>
        <v/>
      </c>
      <c r="D5" s="313" t="n"/>
      <c r="E5" s="313" t="n"/>
      <c r="F5" s="313" t="n"/>
      <c r="G5" s="313" t="n"/>
      <c r="H5" s="313" t="n"/>
      <c r="I5" s="313" t="n"/>
      <c r="J5" s="313" t="n"/>
      <c r="K5" s="313" t="n"/>
      <c r="L5" s="313" t="n"/>
      <c r="M5" s="313" t="n"/>
      <c r="N5" s="313" t="n"/>
      <c r="O5" s="313" t="n"/>
      <c r="P5" s="314" t="n"/>
    </row>
    <row r="6" ht="19.5" customHeight="1">
      <c r="B6" s="174" t="inlineStr">
        <is>
          <t>FECHA</t>
        </is>
      </c>
      <c r="C6" s="266">
        <f>+RESUMEN!B7</f>
        <v/>
      </c>
      <c r="D6" s="313" t="n"/>
      <c r="E6" s="313" t="n"/>
      <c r="F6" s="313" t="n"/>
      <c r="G6" s="313" t="n"/>
      <c r="H6" s="313" t="n"/>
      <c r="I6" s="313" t="n"/>
      <c r="J6" s="313" t="n"/>
      <c r="K6" s="313" t="n"/>
      <c r="L6" s="313" t="n"/>
      <c r="M6" s="313" t="n"/>
      <c r="N6" s="313" t="n"/>
      <c r="O6" s="313" t="n"/>
      <c r="P6" s="314" t="n"/>
    </row>
    <row r="7" ht="19.5" customHeight="1" thickBot="1">
      <c r="B7" s="62" t="n"/>
      <c r="C7" s="62" t="n"/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</row>
    <row r="8">
      <c r="B8" s="339" t="inlineStr">
        <is>
          <t>OBRAS DE CONCRETO ARMADO - ENCOFRADO Y DESENCOFRADO CUNETAS</t>
        </is>
      </c>
      <c r="C8" s="340" t="n"/>
      <c r="D8" s="340" t="n"/>
      <c r="E8" s="340" t="n"/>
      <c r="F8" s="340" t="n"/>
      <c r="G8" s="340" t="n"/>
      <c r="H8" s="340" t="n"/>
      <c r="I8" s="340" t="n"/>
      <c r="J8" s="340" t="n"/>
      <c r="K8" s="340" t="n"/>
      <c r="L8" s="340" t="n"/>
      <c r="M8" s="340" t="n"/>
      <c r="N8" s="340" t="n"/>
      <c r="O8" s="340" t="n"/>
      <c r="P8" s="341" t="n"/>
    </row>
    <row r="9" ht="16" customHeight="1" thickBot="1">
      <c r="B9" s="342" t="n"/>
      <c r="C9" s="343" t="n"/>
      <c r="D9" s="343" t="n"/>
      <c r="E9" s="343" t="n"/>
      <c r="F9" s="343" t="n"/>
      <c r="G9" s="343" t="n"/>
      <c r="H9" s="343" t="n"/>
      <c r="I9" s="343" t="n"/>
      <c r="J9" s="343" t="n"/>
      <c r="K9" s="343" t="n"/>
      <c r="L9" s="343" t="n"/>
      <c r="M9" s="343" t="n"/>
      <c r="N9" s="343" t="n"/>
      <c r="O9" s="343" t="n"/>
      <c r="P9" s="344" t="n"/>
    </row>
    <row r="11" ht="19.5" customHeight="1">
      <c r="B11" s="262" t="inlineStr">
        <is>
          <t>LONGITUDES Y AREAS</t>
        </is>
      </c>
      <c r="C11" s="313" t="n"/>
      <c r="D11" s="313" t="n"/>
      <c r="E11" s="313" t="n"/>
      <c r="F11" s="314" t="n"/>
      <c r="G11" s="262" t="inlineStr">
        <is>
          <t>Sub.TOTAL</t>
        </is>
      </c>
      <c r="H11" s="262" t="inlineStr">
        <is>
          <t>TOTAL (m2)</t>
        </is>
      </c>
      <c r="I11" s="26" t="n"/>
      <c r="J11" s="262" t="inlineStr">
        <is>
          <t>LONGITUDES Y AREAS</t>
        </is>
      </c>
      <c r="K11" s="313" t="n"/>
      <c r="L11" s="313" t="n"/>
      <c r="M11" s="313" t="n"/>
      <c r="N11" s="314" t="n"/>
      <c r="O11" s="262" t="inlineStr">
        <is>
          <t>Sub.TOTAL</t>
        </is>
      </c>
      <c r="P11" s="262" t="inlineStr">
        <is>
          <t>TOTAL (m2)</t>
        </is>
      </c>
    </row>
    <row r="12" ht="15.5" customHeight="1">
      <c r="B12" s="254" t="inlineStr">
        <is>
          <t>EJE1</t>
        </is>
      </c>
      <c r="C12" s="263" t="inlineStr">
        <is>
          <t>ABIERTA</t>
        </is>
      </c>
      <c r="D12" s="254" t="inlineStr">
        <is>
          <t>MUROS EXTERNO</t>
        </is>
      </c>
      <c r="E12" s="1" t="inlineStr">
        <is>
          <t>AREA</t>
        </is>
      </c>
      <c r="F12" s="251" t="n">
        <v>15.36</v>
      </c>
      <c r="G12" s="251">
        <f>F12*F13</f>
        <v/>
      </c>
      <c r="H12" s="345">
        <f>SUM(G12:G20)</f>
        <v/>
      </c>
      <c r="I12" s="26" t="n"/>
      <c r="J12" s="346" t="inlineStr">
        <is>
          <t>EJE 2</t>
        </is>
      </c>
      <c r="K12" s="347" t="inlineStr">
        <is>
          <t>NORMAL</t>
        </is>
      </c>
      <c r="L12" s="346" t="inlineStr">
        <is>
          <t>MUROS EXTERNO</t>
        </is>
      </c>
      <c r="M12" s="348" t="inlineStr">
        <is>
          <t>AREA</t>
        </is>
      </c>
      <c r="N12" s="251" t="n">
        <v>68.67</v>
      </c>
      <c r="O12" s="251">
        <f>N12*N13</f>
        <v/>
      </c>
      <c r="P12" s="345">
        <f>SUM(O12:O20)</f>
        <v/>
      </c>
    </row>
    <row r="13">
      <c r="B13" s="325" t="n"/>
      <c r="C13" s="325" t="n"/>
      <c r="D13" s="315" t="n"/>
      <c r="E13" s="1" t="inlineStr">
        <is>
          <t>CANT.</t>
        </is>
      </c>
      <c r="F13" s="251" t="n">
        <v>2</v>
      </c>
      <c r="G13" s="315" t="n"/>
      <c r="H13" s="325" t="n"/>
      <c r="I13" s="26" t="n"/>
      <c r="J13" s="325" t="n"/>
      <c r="K13" s="325" t="n"/>
      <c r="L13" s="315" t="n"/>
      <c r="M13" s="348" t="inlineStr">
        <is>
          <t>CANT.</t>
        </is>
      </c>
      <c r="N13" s="251" t="n">
        <v>2</v>
      </c>
      <c r="O13" s="315" t="n"/>
      <c r="P13" s="325" t="n"/>
    </row>
    <row r="14" ht="15.5" customHeight="1">
      <c r="B14" s="325" t="n"/>
      <c r="C14" s="325" t="n"/>
      <c r="D14" s="254" t="inlineStr">
        <is>
          <t>MURO INTERNO</t>
        </is>
      </c>
      <c r="E14" s="1" t="inlineStr">
        <is>
          <t>AREA</t>
        </is>
      </c>
      <c r="F14" s="251" t="n">
        <v>12.16</v>
      </c>
      <c r="G14" s="251">
        <f>F14*F15</f>
        <v/>
      </c>
      <c r="H14" s="325" t="n"/>
      <c r="I14" s="26" t="n"/>
      <c r="J14" s="325" t="n"/>
      <c r="K14" s="325" t="n"/>
      <c r="L14" s="346" t="inlineStr">
        <is>
          <t>MURO INTERNO</t>
        </is>
      </c>
      <c r="M14" s="348" t="inlineStr">
        <is>
          <t>AREA</t>
        </is>
      </c>
      <c r="N14" s="251" t="n">
        <v>58.75</v>
      </c>
      <c r="O14" s="251">
        <f>N14*N15</f>
        <v/>
      </c>
      <c r="P14" s="325" t="n"/>
    </row>
    <row r="15">
      <c r="B15" s="325" t="n"/>
      <c r="C15" s="315" t="n"/>
      <c r="D15" s="315" t="n"/>
      <c r="E15" s="1" t="inlineStr">
        <is>
          <t>CANTIDAD</t>
        </is>
      </c>
      <c r="F15" s="251" t="n">
        <v>2</v>
      </c>
      <c r="G15" s="315" t="n"/>
      <c r="H15" s="325" t="n"/>
      <c r="I15" s="26" t="n"/>
      <c r="J15" s="325" t="n"/>
      <c r="K15" s="315" t="n"/>
      <c r="L15" s="315" t="n"/>
      <c r="M15" s="348" t="inlineStr">
        <is>
          <t>CANTIDAD</t>
        </is>
      </c>
      <c r="N15" s="251" t="n">
        <v>2</v>
      </c>
      <c r="O15" s="315" t="n"/>
      <c r="P15" s="325" t="n"/>
    </row>
    <row r="16" ht="15.5" customHeight="1">
      <c r="B16" s="325" t="n"/>
      <c r="C16" s="255" t="inlineStr">
        <is>
          <t>TAPADO</t>
        </is>
      </c>
      <c r="D16" s="254" t="inlineStr">
        <is>
          <t>MURO EXTERNO</t>
        </is>
      </c>
      <c r="E16" s="1" t="inlineStr">
        <is>
          <t>AREA</t>
        </is>
      </c>
      <c r="F16" s="14" t="n">
        <v>2.94</v>
      </c>
      <c r="G16" s="251">
        <f>F16*F17</f>
        <v/>
      </c>
      <c r="H16" s="325" t="n"/>
      <c r="I16" s="26" t="n"/>
      <c r="J16" s="325" t="n"/>
      <c r="K16" s="349" t="inlineStr">
        <is>
          <t>TAPADO</t>
        </is>
      </c>
      <c r="L16" s="346" t="inlineStr">
        <is>
          <t>MURO EXTERNO</t>
        </is>
      </c>
      <c r="M16" s="348" t="inlineStr">
        <is>
          <t>AREA</t>
        </is>
      </c>
      <c r="N16" s="251" t="n">
        <v>25.9</v>
      </c>
      <c r="O16" s="251">
        <f>N16*N17</f>
        <v/>
      </c>
      <c r="P16" s="325" t="n"/>
    </row>
    <row r="17">
      <c r="B17" s="325" t="n"/>
      <c r="C17" s="325" t="n"/>
      <c r="D17" s="315" t="n"/>
      <c r="E17" s="1" t="inlineStr">
        <is>
          <t>CANT.</t>
        </is>
      </c>
      <c r="F17" s="14" t="n">
        <v>2</v>
      </c>
      <c r="G17" s="315" t="n"/>
      <c r="H17" s="325" t="n"/>
      <c r="I17" s="26" t="n"/>
      <c r="J17" s="325" t="n"/>
      <c r="K17" s="325" t="n"/>
      <c r="L17" s="315" t="n"/>
      <c r="M17" s="348" t="inlineStr">
        <is>
          <t>CANT.</t>
        </is>
      </c>
      <c r="N17" s="251" t="n">
        <v>2</v>
      </c>
      <c r="O17" s="315" t="n"/>
      <c r="P17" s="325" t="n"/>
    </row>
    <row r="18" ht="15.5" customHeight="1">
      <c r="B18" s="325" t="n"/>
      <c r="C18" s="325" t="n"/>
      <c r="D18" s="254" t="inlineStr">
        <is>
          <t>MURO INTERNO</t>
        </is>
      </c>
      <c r="E18" s="1" t="inlineStr">
        <is>
          <t>AREA</t>
        </is>
      </c>
      <c r="F18" s="14" t="n">
        <v>1.91</v>
      </c>
      <c r="G18" s="251">
        <f>(F18*F19)+F20</f>
        <v/>
      </c>
      <c r="H18" s="325" t="n"/>
      <c r="I18" s="26" t="n"/>
      <c r="J18" s="325" t="n"/>
      <c r="K18" s="325" t="n"/>
      <c r="L18" s="346" t="inlineStr">
        <is>
          <t>MURO INTERNO</t>
        </is>
      </c>
      <c r="M18" s="348" t="inlineStr">
        <is>
          <t>AREA</t>
        </is>
      </c>
      <c r="N18" s="251" t="n">
        <v>19.57</v>
      </c>
      <c r="O18" s="251">
        <f>N18*N19+N20</f>
        <v/>
      </c>
      <c r="P18" s="325" t="n"/>
    </row>
    <row r="19">
      <c r="B19" s="325" t="n"/>
      <c r="C19" s="325" t="n"/>
      <c r="D19" s="325" t="n"/>
      <c r="E19" s="1" t="inlineStr">
        <is>
          <t>CANTIDAD</t>
        </is>
      </c>
      <c r="F19" s="14" t="n">
        <v>2</v>
      </c>
      <c r="G19" s="325" t="n"/>
      <c r="H19" s="325" t="n"/>
      <c r="I19" s="26" t="n"/>
      <c r="J19" s="325" t="n"/>
      <c r="K19" s="325" t="n"/>
      <c r="L19" s="325" t="n"/>
      <c r="M19" s="348" t="inlineStr">
        <is>
          <t>CANTIDAD</t>
        </is>
      </c>
      <c r="N19" s="251" t="n">
        <v>2</v>
      </c>
      <c r="O19" s="325" t="n"/>
      <c r="P19" s="325" t="n"/>
    </row>
    <row r="20" ht="14.5" customHeight="1">
      <c r="B20" s="315" t="n"/>
      <c r="C20" s="315" t="n"/>
      <c r="D20" s="315" t="n"/>
      <c r="E20" s="1" t="inlineStr">
        <is>
          <t>TAPA</t>
        </is>
      </c>
      <c r="F20" s="14">
        <f>5.14*0.4</f>
        <v/>
      </c>
      <c r="G20" s="315" t="n"/>
      <c r="H20" s="315" t="n"/>
      <c r="I20" s="26" t="n"/>
      <c r="J20" s="315" t="n"/>
      <c r="K20" s="315" t="n"/>
      <c r="L20" s="315" t="n"/>
      <c r="M20" s="348" t="inlineStr">
        <is>
          <t>TAPA</t>
        </is>
      </c>
      <c r="N20" s="251">
        <f>31.66*0.4</f>
        <v/>
      </c>
      <c r="O20" s="315" t="n"/>
      <c r="P20" s="315" t="n"/>
    </row>
    <row r="21">
      <c r="J21" s="350" t="n"/>
      <c r="K21" s="350" t="n"/>
      <c r="L21" s="350" t="n"/>
      <c r="M21" s="350" t="n"/>
      <c r="N21" s="350" t="n"/>
    </row>
    <row r="22">
      <c r="B22" s="262" t="inlineStr">
        <is>
          <t>LONGITUDES Y AREAS</t>
        </is>
      </c>
      <c r="C22" s="313" t="n"/>
      <c r="D22" s="313" t="n"/>
      <c r="E22" s="313" t="n"/>
      <c r="F22" s="314" t="n"/>
      <c r="G22" s="262" t="inlineStr">
        <is>
          <t>Sub.TOTAL</t>
        </is>
      </c>
      <c r="H22" s="262" t="inlineStr">
        <is>
          <t>TOTAL (m2)</t>
        </is>
      </c>
      <c r="I22" s="26" t="n"/>
      <c r="J22" s="351" t="inlineStr">
        <is>
          <t>LONGITUDES Y AREAS</t>
        </is>
      </c>
      <c r="K22" s="313" t="n"/>
      <c r="L22" s="313" t="n"/>
      <c r="M22" s="313" t="n"/>
      <c r="N22" s="314" t="n"/>
      <c r="O22" s="262" t="inlineStr">
        <is>
          <t>Sub.TOTAL</t>
        </is>
      </c>
      <c r="P22" s="262" t="inlineStr">
        <is>
          <t>TOTAL (m2)</t>
        </is>
      </c>
    </row>
    <row r="23">
      <c r="B23" s="346" t="inlineStr">
        <is>
          <t>EJE 3</t>
        </is>
      </c>
      <c r="C23" s="347" t="inlineStr">
        <is>
          <t>ABIERTA</t>
        </is>
      </c>
      <c r="D23" s="346" t="inlineStr">
        <is>
          <t>MUROS EXTERNO</t>
        </is>
      </c>
      <c r="E23" s="348" t="inlineStr">
        <is>
          <t>AREA</t>
        </is>
      </c>
      <c r="F23" s="251" t="n">
        <v>2.41</v>
      </c>
      <c r="G23" s="251">
        <f>F23*F24</f>
        <v/>
      </c>
      <c r="H23" s="345">
        <f>SUM(G23:G31)</f>
        <v/>
      </c>
      <c r="I23" s="26" t="n"/>
      <c r="J23" s="346" t="inlineStr">
        <is>
          <t>EJE 4</t>
        </is>
      </c>
      <c r="K23" s="347" t="inlineStr">
        <is>
          <t>NORMAL</t>
        </is>
      </c>
      <c r="L23" s="346" t="inlineStr">
        <is>
          <t>MUROS EXTERNO</t>
        </is>
      </c>
      <c r="M23" s="348" t="inlineStr">
        <is>
          <t>AREA</t>
        </is>
      </c>
      <c r="N23" s="251" t="n">
        <v>3.62</v>
      </c>
      <c r="O23" s="251">
        <f>N23*N24</f>
        <v/>
      </c>
      <c r="P23" s="345">
        <f>SUM(O23:O31)</f>
        <v/>
      </c>
    </row>
    <row r="24">
      <c r="B24" s="325" t="n"/>
      <c r="C24" s="325" t="n"/>
      <c r="D24" s="315" t="n"/>
      <c r="E24" s="348" t="inlineStr">
        <is>
          <t>CANT.</t>
        </is>
      </c>
      <c r="F24" s="251" t="n">
        <v>2</v>
      </c>
      <c r="G24" s="315" t="n"/>
      <c r="H24" s="325" t="n"/>
      <c r="I24" s="26" t="n"/>
      <c r="J24" s="325" t="n"/>
      <c r="K24" s="325" t="n"/>
      <c r="L24" s="315" t="n"/>
      <c r="M24" s="348" t="inlineStr">
        <is>
          <t>CANT.</t>
        </is>
      </c>
      <c r="N24" s="251" t="n">
        <v>2</v>
      </c>
      <c r="O24" s="315" t="n"/>
      <c r="P24" s="325" t="n"/>
    </row>
    <row r="25">
      <c r="B25" s="325" t="n"/>
      <c r="C25" s="325" t="n"/>
      <c r="D25" s="346" t="inlineStr">
        <is>
          <t>MURO INTERNO</t>
        </is>
      </c>
      <c r="E25" s="348" t="inlineStr">
        <is>
          <t>AREA</t>
        </is>
      </c>
      <c r="F25" s="251" t="n">
        <v>1.83</v>
      </c>
      <c r="G25" s="251">
        <f>F25*F26</f>
        <v/>
      </c>
      <c r="H25" s="325" t="n"/>
      <c r="I25" s="26" t="n"/>
      <c r="J25" s="325" t="n"/>
      <c r="K25" s="325" t="n"/>
      <c r="L25" s="346" t="inlineStr">
        <is>
          <t>MURO INTERNO</t>
        </is>
      </c>
      <c r="M25" s="348" t="inlineStr">
        <is>
          <t>AREA</t>
        </is>
      </c>
      <c r="N25" s="251" t="n">
        <v>2.76</v>
      </c>
      <c r="O25" s="251">
        <f>N25*N26</f>
        <v/>
      </c>
      <c r="P25" s="325" t="n"/>
    </row>
    <row r="26">
      <c r="B26" s="325" t="n"/>
      <c r="C26" s="315" t="n"/>
      <c r="D26" s="315" t="n"/>
      <c r="E26" s="348" t="inlineStr">
        <is>
          <t>CANTIDAD</t>
        </is>
      </c>
      <c r="F26" s="251" t="n">
        <v>2</v>
      </c>
      <c r="G26" s="315" t="n"/>
      <c r="H26" s="325" t="n"/>
      <c r="I26" s="26" t="n"/>
      <c r="J26" s="325" t="n"/>
      <c r="K26" s="315" t="n"/>
      <c r="L26" s="315" t="n"/>
      <c r="M26" s="348" t="inlineStr">
        <is>
          <t>CANTIDAD</t>
        </is>
      </c>
      <c r="N26" s="251" t="n">
        <v>2</v>
      </c>
      <c r="O26" s="315" t="n"/>
      <c r="P26" s="325" t="n"/>
    </row>
    <row r="27">
      <c r="B27" s="325" t="n"/>
      <c r="C27" s="349" t="inlineStr">
        <is>
          <t>TAPADO</t>
        </is>
      </c>
      <c r="D27" s="346" t="inlineStr">
        <is>
          <t>MURO EXTERNO</t>
        </is>
      </c>
      <c r="E27" s="348" t="inlineStr">
        <is>
          <t>AREA</t>
        </is>
      </c>
      <c r="F27" s="85" t="n">
        <v>0</v>
      </c>
      <c r="G27" s="251">
        <f>F27*F28</f>
        <v/>
      </c>
      <c r="H27" s="325" t="n"/>
      <c r="I27" s="26" t="n"/>
      <c r="J27" s="325" t="n"/>
      <c r="K27" s="349" t="inlineStr">
        <is>
          <t>TAPADO</t>
        </is>
      </c>
      <c r="L27" s="346" t="inlineStr">
        <is>
          <t>MURO EXTERNO</t>
        </is>
      </c>
      <c r="M27" s="348" t="inlineStr">
        <is>
          <t>AREA</t>
        </is>
      </c>
      <c r="N27" s="85" t="n">
        <v>0</v>
      </c>
      <c r="O27" s="251">
        <f>N27*N28</f>
        <v/>
      </c>
      <c r="P27" s="325" t="n"/>
    </row>
    <row r="28">
      <c r="B28" s="325" t="n"/>
      <c r="C28" s="325" t="n"/>
      <c r="D28" s="315" t="n"/>
      <c r="E28" s="348" t="inlineStr">
        <is>
          <t>CANT.</t>
        </is>
      </c>
      <c r="F28" s="85" t="n">
        <v>2</v>
      </c>
      <c r="G28" s="315" t="n"/>
      <c r="H28" s="325" t="n"/>
      <c r="I28" s="26" t="n"/>
      <c r="J28" s="325" t="n"/>
      <c r="K28" s="325" t="n"/>
      <c r="L28" s="315" t="n"/>
      <c r="M28" s="348" t="inlineStr">
        <is>
          <t>CANT.</t>
        </is>
      </c>
      <c r="N28" s="85" t="n">
        <v>2</v>
      </c>
      <c r="O28" s="315" t="n"/>
      <c r="P28" s="325" t="n"/>
    </row>
    <row r="29">
      <c r="B29" s="325" t="n"/>
      <c r="C29" s="325" t="n"/>
      <c r="D29" s="346" t="inlineStr">
        <is>
          <t>MURO INTERNO</t>
        </is>
      </c>
      <c r="E29" s="348" t="inlineStr">
        <is>
          <t>AREA</t>
        </is>
      </c>
      <c r="F29" s="85" t="n">
        <v>0</v>
      </c>
      <c r="G29" s="251">
        <f>F29*F30+F31</f>
        <v/>
      </c>
      <c r="H29" s="325" t="n"/>
      <c r="I29" s="26" t="n"/>
      <c r="J29" s="325" t="n"/>
      <c r="K29" s="325" t="n"/>
      <c r="L29" s="346" t="inlineStr">
        <is>
          <t>MURO INTERNO</t>
        </is>
      </c>
      <c r="M29" s="348" t="inlineStr">
        <is>
          <t>AREA</t>
        </is>
      </c>
      <c r="N29" s="85" t="n">
        <v>0</v>
      </c>
      <c r="O29" s="251">
        <f>N29*N30+N31</f>
        <v/>
      </c>
      <c r="P29" s="325" t="n"/>
    </row>
    <row r="30">
      <c r="B30" s="325" t="n"/>
      <c r="C30" s="325" t="n"/>
      <c r="D30" s="325" t="n"/>
      <c r="E30" s="348" t="inlineStr">
        <is>
          <t>CANTIDAD</t>
        </is>
      </c>
      <c r="F30" s="85" t="n">
        <v>2</v>
      </c>
      <c r="G30" s="325" t="n"/>
      <c r="H30" s="325" t="n"/>
      <c r="I30" s="26" t="n"/>
      <c r="J30" s="325" t="n"/>
      <c r="K30" s="325" t="n"/>
      <c r="L30" s="325" t="n"/>
      <c r="M30" s="348" t="inlineStr">
        <is>
          <t>CANTIDAD</t>
        </is>
      </c>
      <c r="N30" s="85" t="n">
        <v>2</v>
      </c>
      <c r="O30" s="325" t="n"/>
      <c r="P30" s="325" t="n"/>
    </row>
    <row r="31" ht="14" customHeight="1">
      <c r="B31" s="315" t="n"/>
      <c r="C31" s="315" t="n"/>
      <c r="D31" s="315" t="n"/>
      <c r="E31" s="348" t="inlineStr">
        <is>
          <t>TAPA</t>
        </is>
      </c>
      <c r="F31" s="85" t="n">
        <v>0</v>
      </c>
      <c r="G31" s="315" t="n"/>
      <c r="H31" s="315" t="n"/>
      <c r="I31" s="26" t="n"/>
      <c r="J31" s="315" t="n"/>
      <c r="K31" s="315" t="n"/>
      <c r="L31" s="315" t="n"/>
      <c r="M31" s="348" t="inlineStr">
        <is>
          <t>TAPA</t>
        </is>
      </c>
      <c r="N31" s="85" t="n">
        <v>0</v>
      </c>
      <c r="O31" s="315" t="n"/>
      <c r="P31" s="315" t="n"/>
    </row>
    <row r="32">
      <c r="B32" s="350" t="n"/>
      <c r="C32" s="350" t="n"/>
      <c r="D32" s="350" t="n"/>
      <c r="E32" s="350" t="n"/>
      <c r="F32" s="350" t="n"/>
      <c r="J32" s="350" t="n"/>
      <c r="K32" s="350" t="n"/>
      <c r="L32" s="350" t="n"/>
      <c r="M32" s="350" t="n"/>
      <c r="N32" s="350" t="n"/>
    </row>
    <row r="33">
      <c r="B33" s="351" t="inlineStr">
        <is>
          <t>LONGITUDES Y AREAS</t>
        </is>
      </c>
      <c r="C33" s="313" t="n"/>
      <c r="D33" s="313" t="n"/>
      <c r="E33" s="313" t="n"/>
      <c r="F33" s="314" t="n"/>
      <c r="G33" s="262" t="inlineStr">
        <is>
          <t>Sub.TOTAL</t>
        </is>
      </c>
      <c r="H33" s="262" t="inlineStr">
        <is>
          <t>TOTAL (m2)</t>
        </is>
      </c>
      <c r="I33" s="26" t="n"/>
      <c r="J33" s="351" t="inlineStr">
        <is>
          <t>LONGITUDES Y AREAS</t>
        </is>
      </c>
      <c r="K33" s="313" t="n"/>
      <c r="L33" s="313" t="n"/>
      <c r="M33" s="313" t="n"/>
      <c r="N33" s="314" t="n"/>
      <c r="O33" s="262" t="inlineStr">
        <is>
          <t>Sub.TOTAL</t>
        </is>
      </c>
      <c r="P33" s="262" t="inlineStr">
        <is>
          <t>TOTAL (m2)</t>
        </is>
      </c>
    </row>
    <row r="34">
      <c r="B34" s="346" t="inlineStr">
        <is>
          <t>EJE 5</t>
        </is>
      </c>
      <c r="C34" s="347" t="inlineStr">
        <is>
          <t>NORMAL</t>
        </is>
      </c>
      <c r="D34" s="346" t="inlineStr">
        <is>
          <t>MUROS EXTERNO</t>
        </is>
      </c>
      <c r="E34" s="348" t="inlineStr">
        <is>
          <t>AREA</t>
        </is>
      </c>
      <c r="F34" s="251" t="n">
        <v>18.53</v>
      </c>
      <c r="G34" s="251">
        <f>F34*F35</f>
        <v/>
      </c>
      <c r="H34" s="345">
        <f>SUM(G34:G42)</f>
        <v/>
      </c>
      <c r="I34" s="26" t="n"/>
      <c r="J34" s="346" t="inlineStr">
        <is>
          <t>EJE 6</t>
        </is>
      </c>
      <c r="K34" s="347" t="inlineStr">
        <is>
          <t>NORMAL</t>
        </is>
      </c>
      <c r="L34" s="346" t="inlineStr">
        <is>
          <t>MUROS EXTERNO</t>
        </is>
      </c>
      <c r="M34" s="348" t="inlineStr">
        <is>
          <t>AREA</t>
        </is>
      </c>
      <c r="N34" s="251" t="n">
        <v>63.19</v>
      </c>
      <c r="O34" s="251">
        <f>N34*N35</f>
        <v/>
      </c>
      <c r="P34" s="345">
        <f>SUM(O34:O42)</f>
        <v/>
      </c>
    </row>
    <row r="35">
      <c r="B35" s="325" t="n"/>
      <c r="C35" s="325" t="n"/>
      <c r="D35" s="315" t="n"/>
      <c r="E35" s="348" t="inlineStr">
        <is>
          <t>CANT.</t>
        </is>
      </c>
      <c r="F35" s="251" t="n">
        <v>2</v>
      </c>
      <c r="G35" s="315" t="n"/>
      <c r="H35" s="325" t="n"/>
      <c r="I35" s="26" t="n"/>
      <c r="J35" s="325" t="n"/>
      <c r="K35" s="325" t="n"/>
      <c r="L35" s="315" t="n"/>
      <c r="M35" s="348" t="inlineStr">
        <is>
          <t>CANT.</t>
        </is>
      </c>
      <c r="N35" s="251" t="n">
        <v>2</v>
      </c>
      <c r="O35" s="315" t="n"/>
      <c r="P35" s="325" t="n"/>
    </row>
    <row r="36">
      <c r="B36" s="325" t="n"/>
      <c r="C36" s="325" t="n"/>
      <c r="D36" s="346" t="inlineStr">
        <is>
          <t>MURO INTERNO</t>
        </is>
      </c>
      <c r="E36" s="348" t="inlineStr">
        <is>
          <t>AREA</t>
        </is>
      </c>
      <c r="F36" s="251" t="n">
        <v>14.78</v>
      </c>
      <c r="G36" s="251">
        <f>F36*F37</f>
        <v/>
      </c>
      <c r="H36" s="325" t="n"/>
      <c r="I36" s="26" t="n"/>
      <c r="J36" s="325" t="n"/>
      <c r="K36" s="325" t="n"/>
      <c r="L36" s="346" t="inlineStr">
        <is>
          <t>MURO INTERNO</t>
        </is>
      </c>
      <c r="M36" s="348" t="inlineStr">
        <is>
          <t>AREA</t>
        </is>
      </c>
      <c r="N36" s="251" t="n">
        <v>53.74</v>
      </c>
      <c r="O36" s="251">
        <f>N36*N37</f>
        <v/>
      </c>
      <c r="P36" s="325" t="n"/>
    </row>
    <row r="37">
      <c r="B37" s="325" t="n"/>
      <c r="C37" s="315" t="n"/>
      <c r="D37" s="315" t="n"/>
      <c r="E37" s="348" t="inlineStr">
        <is>
          <t>CANTIDAD</t>
        </is>
      </c>
      <c r="F37" s="251" t="n">
        <v>2</v>
      </c>
      <c r="G37" s="315" t="n"/>
      <c r="H37" s="325" t="n"/>
      <c r="I37" s="26" t="n"/>
      <c r="J37" s="325" t="n"/>
      <c r="K37" s="315" t="n"/>
      <c r="L37" s="315" t="n"/>
      <c r="M37" s="348" t="inlineStr">
        <is>
          <t>CANTIDAD</t>
        </is>
      </c>
      <c r="N37" s="251" t="n">
        <v>2</v>
      </c>
      <c r="O37" s="315" t="n"/>
      <c r="P37" s="325" t="n"/>
    </row>
    <row r="38">
      <c r="B38" s="325" t="n"/>
      <c r="C38" s="349" t="inlineStr">
        <is>
          <t>TAPADO</t>
        </is>
      </c>
      <c r="D38" s="346" t="inlineStr">
        <is>
          <t>MURO EXTERNO</t>
        </is>
      </c>
      <c r="E38" s="348" t="inlineStr">
        <is>
          <t>AREA</t>
        </is>
      </c>
      <c r="F38" s="14" t="n">
        <v>3.43</v>
      </c>
      <c r="G38" s="251">
        <f>F38*F39</f>
        <v/>
      </c>
      <c r="H38" s="325" t="n"/>
      <c r="I38" s="26" t="n"/>
      <c r="J38" s="325" t="n"/>
      <c r="K38" s="349" t="inlineStr">
        <is>
          <t>TAPADO</t>
        </is>
      </c>
      <c r="L38" s="346" t="inlineStr">
        <is>
          <t>MURO EXTERNO</t>
        </is>
      </c>
      <c r="M38" s="348" t="inlineStr">
        <is>
          <t>AREA</t>
        </is>
      </c>
      <c r="N38" s="14" t="n">
        <v>21.16</v>
      </c>
      <c r="O38" s="251">
        <f>N38*N39</f>
        <v/>
      </c>
      <c r="P38" s="325" t="n"/>
    </row>
    <row r="39">
      <c r="B39" s="325" t="n"/>
      <c r="C39" s="325" t="n"/>
      <c r="D39" s="315" t="n"/>
      <c r="E39" s="348" t="inlineStr">
        <is>
          <t>CANT.</t>
        </is>
      </c>
      <c r="F39" s="14" t="n">
        <v>2</v>
      </c>
      <c r="G39" s="315" t="n"/>
      <c r="H39" s="325" t="n"/>
      <c r="I39" s="26" t="n"/>
      <c r="J39" s="325" t="n"/>
      <c r="K39" s="325" t="n"/>
      <c r="L39" s="315" t="n"/>
      <c r="M39" s="348" t="inlineStr">
        <is>
          <t>CANT.</t>
        </is>
      </c>
      <c r="N39" s="14" t="n">
        <v>2</v>
      </c>
      <c r="O39" s="315" t="n"/>
      <c r="P39" s="325" t="n"/>
    </row>
    <row r="40">
      <c r="B40" s="325" t="n"/>
      <c r="C40" s="325" t="n"/>
      <c r="D40" s="346" t="inlineStr">
        <is>
          <t>MURO INTERNO</t>
        </is>
      </c>
      <c r="E40" s="348" t="inlineStr">
        <is>
          <t>AREA</t>
        </is>
      </c>
      <c r="F40" s="14" t="n">
        <v>2.3</v>
      </c>
      <c r="G40" s="251">
        <f>F40*F41+F42</f>
        <v/>
      </c>
      <c r="H40" s="325" t="n"/>
      <c r="I40" s="26" t="n"/>
      <c r="J40" s="325" t="n"/>
      <c r="K40" s="325" t="n"/>
      <c r="L40" s="346" t="inlineStr">
        <is>
          <t>MURO INTERNO</t>
        </is>
      </c>
      <c r="M40" s="348" t="inlineStr">
        <is>
          <t>AREA</t>
        </is>
      </c>
      <c r="N40" s="14" t="n">
        <v>16</v>
      </c>
      <c r="O40" s="251">
        <f>N40*N41+N42</f>
        <v/>
      </c>
      <c r="P40" s="325" t="n"/>
    </row>
    <row r="41">
      <c r="B41" s="325" t="n"/>
      <c r="C41" s="325" t="n"/>
      <c r="D41" s="325" t="n"/>
      <c r="E41" s="348" t="inlineStr">
        <is>
          <t>CANTIDAD</t>
        </is>
      </c>
      <c r="F41" s="14" t="n">
        <v>2</v>
      </c>
      <c r="G41" s="325" t="n"/>
      <c r="H41" s="325" t="n"/>
      <c r="I41" s="26" t="n"/>
      <c r="J41" s="325" t="n"/>
      <c r="K41" s="325" t="n"/>
      <c r="L41" s="325" t="n"/>
      <c r="M41" s="348" t="inlineStr">
        <is>
          <t>CANTIDAD</t>
        </is>
      </c>
      <c r="N41" s="14" t="n">
        <v>2</v>
      </c>
      <c r="O41" s="325" t="n"/>
      <c r="P41" s="325" t="n"/>
    </row>
    <row r="42" ht="14" customHeight="1">
      <c r="B42" s="315" t="n"/>
      <c r="C42" s="315" t="n"/>
      <c r="D42" s="315" t="n"/>
      <c r="E42" s="348" t="inlineStr">
        <is>
          <t>TAPA</t>
        </is>
      </c>
      <c r="F42" s="14">
        <f>5.7*0.4</f>
        <v/>
      </c>
      <c r="G42" s="315" t="n"/>
      <c r="H42" s="315" t="n"/>
      <c r="I42" s="26" t="n"/>
      <c r="J42" s="315" t="n"/>
      <c r="K42" s="315" t="n"/>
      <c r="L42" s="315" t="n"/>
      <c r="M42" s="348" t="inlineStr">
        <is>
          <t>TAPA</t>
        </is>
      </c>
      <c r="N42" s="14">
        <f>25.9*0.4</f>
        <v/>
      </c>
      <c r="O42" s="315" t="n"/>
      <c r="P42" s="315" t="n"/>
    </row>
    <row r="43">
      <c r="B43" s="350" t="n"/>
      <c r="C43" s="350" t="n"/>
      <c r="D43" s="350" t="n"/>
      <c r="E43" s="350" t="n"/>
      <c r="F43" s="350" t="n"/>
      <c r="J43" s="350" t="n"/>
      <c r="K43" s="350" t="n"/>
      <c r="L43" s="350" t="n"/>
      <c r="M43" s="350" t="n"/>
      <c r="N43" s="350" t="n"/>
    </row>
    <row r="44">
      <c r="B44" s="351" t="inlineStr">
        <is>
          <t>LONGITUDES Y AREAS</t>
        </is>
      </c>
      <c r="C44" s="313" t="n"/>
      <c r="D44" s="313" t="n"/>
      <c r="E44" s="313" t="n"/>
      <c r="F44" s="314" t="n"/>
      <c r="G44" s="262" t="inlineStr">
        <is>
          <t>Sub.TOTAL</t>
        </is>
      </c>
      <c r="H44" s="262" t="inlineStr">
        <is>
          <t>TOTAL (m2)</t>
        </is>
      </c>
      <c r="I44" s="26" t="n"/>
      <c r="J44" s="351" t="inlineStr">
        <is>
          <t>LONGITUDES Y AREAS</t>
        </is>
      </c>
      <c r="K44" s="313" t="n"/>
      <c r="L44" s="313" t="n"/>
      <c r="M44" s="313" t="n"/>
      <c r="N44" s="314" t="n"/>
      <c r="O44" s="262" t="inlineStr">
        <is>
          <t>Sub.TOTAL</t>
        </is>
      </c>
      <c r="P44" s="262" t="inlineStr">
        <is>
          <t>TOTAL (m2)</t>
        </is>
      </c>
    </row>
    <row r="45">
      <c r="B45" s="346" t="inlineStr">
        <is>
          <t>EJE 7</t>
        </is>
      </c>
      <c r="C45" s="347" t="inlineStr">
        <is>
          <t>NORMAL</t>
        </is>
      </c>
      <c r="D45" s="346" t="inlineStr">
        <is>
          <t>MUROS EXTERNO</t>
        </is>
      </c>
      <c r="E45" s="348" t="inlineStr">
        <is>
          <t>AREA</t>
        </is>
      </c>
      <c r="F45" s="251" t="n">
        <v>68.59999999999999</v>
      </c>
      <c r="G45" s="251">
        <f>F45*F46</f>
        <v/>
      </c>
      <c r="H45" s="345">
        <f>SUM(G45:G53)</f>
        <v/>
      </c>
      <c r="I45" s="26" t="n"/>
      <c r="J45" s="346" t="inlineStr">
        <is>
          <t>EJE 8</t>
        </is>
      </c>
      <c r="K45" s="347" t="inlineStr">
        <is>
          <t>NORMAL</t>
        </is>
      </c>
      <c r="L45" s="346" t="inlineStr">
        <is>
          <t>MUROS EXTERNO</t>
        </is>
      </c>
      <c r="M45" s="348" t="inlineStr">
        <is>
          <t>AREA</t>
        </is>
      </c>
      <c r="N45" s="200" t="n">
        <v>0</v>
      </c>
      <c r="O45" s="251">
        <f>N45*N46</f>
        <v/>
      </c>
      <c r="P45" s="345">
        <f>SUM(O45:O53)</f>
        <v/>
      </c>
    </row>
    <row r="46">
      <c r="B46" s="325" t="n"/>
      <c r="C46" s="325" t="n"/>
      <c r="D46" s="315" t="n"/>
      <c r="E46" s="348" t="inlineStr">
        <is>
          <t>CANT.</t>
        </is>
      </c>
      <c r="F46" s="251" t="n">
        <v>2</v>
      </c>
      <c r="G46" s="315" t="n"/>
      <c r="H46" s="325" t="n"/>
      <c r="I46" s="26" t="n"/>
      <c r="J46" s="325" t="n"/>
      <c r="K46" s="325" t="n"/>
      <c r="L46" s="315" t="n"/>
      <c r="M46" s="348" t="inlineStr">
        <is>
          <t>CANT.</t>
        </is>
      </c>
      <c r="N46" s="200" t="n">
        <v>2</v>
      </c>
      <c r="O46" s="315" t="n"/>
      <c r="P46" s="325" t="n"/>
    </row>
    <row r="47">
      <c r="B47" s="325" t="n"/>
      <c r="C47" s="325" t="n"/>
      <c r="D47" s="346" t="inlineStr">
        <is>
          <t>MURO INTERNO</t>
        </is>
      </c>
      <c r="E47" s="348" t="inlineStr">
        <is>
          <t>AREA</t>
        </is>
      </c>
      <c r="F47" s="251" t="n">
        <v>58.46</v>
      </c>
      <c r="G47" s="251">
        <f>F47*F48</f>
        <v/>
      </c>
      <c r="H47" s="325" t="n"/>
      <c r="I47" s="26" t="n"/>
      <c r="J47" s="325" t="n"/>
      <c r="K47" s="325" t="n"/>
      <c r="L47" s="346" t="inlineStr">
        <is>
          <t>MURO INTERNO</t>
        </is>
      </c>
      <c r="M47" s="348" t="inlineStr">
        <is>
          <t>AREA</t>
        </is>
      </c>
      <c r="N47" s="200" t="n">
        <v>0</v>
      </c>
      <c r="O47" s="251">
        <f>N47*N48</f>
        <v/>
      </c>
      <c r="P47" s="325" t="n"/>
    </row>
    <row r="48">
      <c r="B48" s="325" t="n"/>
      <c r="C48" s="315" t="n"/>
      <c r="D48" s="315" t="n"/>
      <c r="E48" s="348" t="inlineStr">
        <is>
          <t>CANTIDAD</t>
        </is>
      </c>
      <c r="F48" s="251" t="n">
        <v>2</v>
      </c>
      <c r="G48" s="315" t="n"/>
      <c r="H48" s="325" t="n"/>
      <c r="I48" s="26" t="n"/>
      <c r="J48" s="325" t="n"/>
      <c r="K48" s="315" t="n"/>
      <c r="L48" s="315" t="n"/>
      <c r="M48" s="348" t="inlineStr">
        <is>
          <t>CANTIDAD</t>
        </is>
      </c>
      <c r="N48" s="200" t="n">
        <v>2</v>
      </c>
      <c r="O48" s="315" t="n"/>
      <c r="P48" s="325" t="n"/>
    </row>
    <row r="49">
      <c r="B49" s="325" t="n"/>
      <c r="C49" s="349" t="inlineStr">
        <is>
          <t>TAPADO</t>
        </is>
      </c>
      <c r="D49" s="346" t="inlineStr">
        <is>
          <t>MURO EXTERNO</t>
        </is>
      </c>
      <c r="E49" s="348" t="inlineStr">
        <is>
          <t>AREA</t>
        </is>
      </c>
      <c r="F49" s="14" t="n">
        <v>20.91</v>
      </c>
      <c r="G49" s="251">
        <f>F49*F50</f>
        <v/>
      </c>
      <c r="H49" s="325" t="n"/>
      <c r="I49" s="26" t="n"/>
      <c r="J49" s="325" t="n"/>
      <c r="K49" s="349" t="inlineStr">
        <is>
          <t>TAPADO</t>
        </is>
      </c>
      <c r="L49" s="346" t="inlineStr">
        <is>
          <t>MURO EXTERNO</t>
        </is>
      </c>
      <c r="M49" s="348" t="inlineStr">
        <is>
          <t>AREA</t>
        </is>
      </c>
      <c r="N49" s="14" t="n">
        <v>4.26</v>
      </c>
      <c r="O49" s="251">
        <f>N49*N50</f>
        <v/>
      </c>
      <c r="P49" s="325" t="n"/>
    </row>
    <row r="50">
      <c r="B50" s="325" t="n"/>
      <c r="C50" s="325" t="n"/>
      <c r="D50" s="315" t="n"/>
      <c r="E50" s="348" t="inlineStr">
        <is>
          <t>CANT.</t>
        </is>
      </c>
      <c r="F50" s="251" t="n">
        <v>2</v>
      </c>
      <c r="G50" s="315" t="n"/>
      <c r="H50" s="325" t="n"/>
      <c r="I50" s="26" t="n"/>
      <c r="J50" s="325" t="n"/>
      <c r="K50" s="325" t="n"/>
      <c r="L50" s="315" t="n"/>
      <c r="M50" s="348" t="inlineStr">
        <is>
          <t>CANT.</t>
        </is>
      </c>
      <c r="N50" s="14" t="n">
        <v>2</v>
      </c>
      <c r="O50" s="315" t="n"/>
      <c r="P50" s="325" t="n"/>
    </row>
    <row r="51">
      <c r="B51" s="325" t="n"/>
      <c r="C51" s="325" t="n"/>
      <c r="D51" s="346" t="inlineStr">
        <is>
          <t>MURO INTERNO</t>
        </is>
      </c>
      <c r="E51" s="348" t="inlineStr">
        <is>
          <t>AREA</t>
        </is>
      </c>
      <c r="F51" s="14" t="n">
        <v>16</v>
      </c>
      <c r="G51" s="251">
        <f>F51*F52+F53</f>
        <v/>
      </c>
      <c r="H51" s="325" t="n"/>
      <c r="I51" s="26" t="n"/>
      <c r="J51" s="325" t="n"/>
      <c r="K51" s="325" t="n"/>
      <c r="L51" s="346" t="inlineStr">
        <is>
          <t>MURO INTERNO</t>
        </is>
      </c>
      <c r="M51" s="348" t="inlineStr">
        <is>
          <t>AREA</t>
        </is>
      </c>
      <c r="N51" s="14" t="n">
        <v>2.62</v>
      </c>
      <c r="O51" s="251">
        <f>N51*N52+N53</f>
        <v/>
      </c>
      <c r="P51" s="325" t="n"/>
    </row>
    <row r="52">
      <c r="B52" s="325" t="n"/>
      <c r="C52" s="325" t="n"/>
      <c r="D52" s="325" t="n"/>
      <c r="E52" s="348" t="inlineStr">
        <is>
          <t>CANTIDAD</t>
        </is>
      </c>
      <c r="F52" s="251" t="n">
        <v>2</v>
      </c>
      <c r="G52" s="325" t="n"/>
      <c r="H52" s="325" t="n"/>
      <c r="I52" s="26" t="n"/>
      <c r="J52" s="325" t="n"/>
      <c r="K52" s="325" t="n"/>
      <c r="L52" s="325" t="n"/>
      <c r="M52" s="348" t="inlineStr">
        <is>
          <t>CANTIDAD</t>
        </is>
      </c>
      <c r="N52" s="14" t="n">
        <v>2</v>
      </c>
      <c r="O52" s="325" t="n"/>
      <c r="P52" s="325" t="n"/>
    </row>
    <row r="53" ht="14" customHeight="1">
      <c r="B53" s="315" t="n"/>
      <c r="C53" s="315" t="n"/>
      <c r="D53" s="315" t="n"/>
      <c r="E53" s="348" t="inlineStr">
        <is>
          <t>TAPA</t>
        </is>
      </c>
      <c r="F53" s="251">
        <f>24.4*0.4</f>
        <v/>
      </c>
      <c r="G53" s="315" t="n"/>
      <c r="H53" s="315" t="n"/>
      <c r="I53" s="26" t="n"/>
      <c r="J53" s="315" t="n"/>
      <c r="K53" s="315" t="n"/>
      <c r="L53" s="315" t="n"/>
      <c r="M53" s="348" t="inlineStr">
        <is>
          <t>TAPA</t>
        </is>
      </c>
      <c r="N53" s="14">
        <f>8.2*0.4</f>
        <v/>
      </c>
      <c r="O53" s="315" t="n"/>
      <c r="P53" s="315" t="n"/>
    </row>
    <row r="54">
      <c r="B54" s="350" t="n"/>
      <c r="C54" s="350" t="n"/>
      <c r="D54" s="350" t="n"/>
      <c r="E54" s="350" t="n"/>
      <c r="F54" s="350" t="n"/>
      <c r="J54" s="350" t="n"/>
      <c r="K54" s="350" t="n"/>
      <c r="L54" s="350" t="n"/>
      <c r="M54" s="350" t="n"/>
      <c r="N54" s="350" t="n"/>
    </row>
    <row r="55">
      <c r="B55" s="350" t="n"/>
      <c r="C55" s="350" t="n"/>
      <c r="D55" s="350" t="n"/>
      <c r="E55" s="350" t="n"/>
      <c r="F55" s="350" t="n"/>
      <c r="J55" s="350" t="n"/>
      <c r="K55" s="350" t="n"/>
      <c r="L55" s="350" t="n"/>
      <c r="M55" s="350" t="n"/>
      <c r="N55" s="350" t="n"/>
    </row>
    <row r="56">
      <c r="B56" s="351" t="inlineStr">
        <is>
          <t>LONGITUDES Y AREAS</t>
        </is>
      </c>
      <c r="C56" s="313" t="n"/>
      <c r="D56" s="313" t="n"/>
      <c r="E56" s="313" t="n"/>
      <c r="F56" s="314" t="n"/>
      <c r="G56" s="262" t="inlineStr">
        <is>
          <t>Sub.TOTAL</t>
        </is>
      </c>
      <c r="H56" s="262" t="inlineStr">
        <is>
          <t>TOTAL (m2)</t>
        </is>
      </c>
      <c r="J56" s="351" t="inlineStr">
        <is>
          <t>LONGITUDES Y AREAS</t>
        </is>
      </c>
      <c r="K56" s="313" t="n"/>
      <c r="L56" s="313" t="n"/>
      <c r="M56" s="313" t="n"/>
      <c r="N56" s="314" t="n"/>
      <c r="O56" s="262" t="inlineStr">
        <is>
          <t>Sub.TOTAL</t>
        </is>
      </c>
      <c r="P56" s="262" t="inlineStr">
        <is>
          <t>TOTAL (m2)</t>
        </is>
      </c>
    </row>
    <row r="57">
      <c r="B57" s="346" t="inlineStr">
        <is>
          <t>EJE 9</t>
        </is>
      </c>
      <c r="C57" s="347" t="inlineStr">
        <is>
          <t>NORMAL</t>
        </is>
      </c>
      <c r="D57" s="346" t="inlineStr">
        <is>
          <t>MUROS EXTERNO</t>
        </is>
      </c>
      <c r="E57" s="348" t="inlineStr">
        <is>
          <t>AREA</t>
        </is>
      </c>
      <c r="F57" s="200" t="n">
        <v>0</v>
      </c>
      <c r="G57" s="251">
        <f>F57*F58</f>
        <v/>
      </c>
      <c r="H57" s="345">
        <f>SUM(G57:G65)</f>
        <v/>
      </c>
      <c r="J57" s="346" t="inlineStr">
        <is>
          <t>EJE 10</t>
        </is>
      </c>
      <c r="K57" s="347" t="inlineStr">
        <is>
          <t>NORMAL</t>
        </is>
      </c>
      <c r="L57" s="346" t="inlineStr">
        <is>
          <t>MUROS EXTERNO</t>
        </is>
      </c>
      <c r="M57" s="348" t="inlineStr">
        <is>
          <t>AREA</t>
        </is>
      </c>
      <c r="N57" s="14" t="n">
        <v>7.04</v>
      </c>
      <c r="O57" s="251">
        <f>N57*N58</f>
        <v/>
      </c>
      <c r="P57" s="345">
        <f>SUM(O57:O65)</f>
        <v/>
      </c>
    </row>
    <row r="58">
      <c r="B58" s="325" t="n"/>
      <c r="C58" s="325" t="n"/>
      <c r="D58" s="315" t="n"/>
      <c r="E58" s="348" t="inlineStr">
        <is>
          <t>CANT.</t>
        </is>
      </c>
      <c r="F58" s="201" t="n">
        <v>2</v>
      </c>
      <c r="G58" s="315" t="n"/>
      <c r="H58" s="325" t="n"/>
      <c r="J58" s="325" t="n"/>
      <c r="K58" s="325" t="n"/>
      <c r="L58" s="315" t="n"/>
      <c r="M58" s="348" t="inlineStr">
        <is>
          <t>CANT.</t>
        </is>
      </c>
      <c r="N58" s="251" t="n">
        <v>2</v>
      </c>
      <c r="O58" s="315" t="n"/>
      <c r="P58" s="325" t="n"/>
    </row>
    <row r="59">
      <c r="B59" s="325" t="n"/>
      <c r="C59" s="325" t="n"/>
      <c r="D59" s="346" t="inlineStr">
        <is>
          <t>MURO INTERNO</t>
        </is>
      </c>
      <c r="E59" s="348" t="inlineStr">
        <is>
          <t>AREA</t>
        </is>
      </c>
      <c r="F59" s="201" t="n">
        <v>0</v>
      </c>
      <c r="G59" s="251">
        <f>F59*F60</f>
        <v/>
      </c>
      <c r="H59" s="325" t="n"/>
      <c r="J59" s="325" t="n"/>
      <c r="K59" s="325" t="n"/>
      <c r="L59" s="346" t="inlineStr">
        <is>
          <t>MURO INTERNO</t>
        </is>
      </c>
      <c r="M59" s="348" t="inlineStr">
        <is>
          <t>AREA</t>
        </is>
      </c>
      <c r="N59" s="251" t="n">
        <v>5.44</v>
      </c>
      <c r="O59" s="251">
        <f>N59*N60</f>
        <v/>
      </c>
      <c r="P59" s="325" t="n"/>
    </row>
    <row r="60">
      <c r="B60" s="325" t="n"/>
      <c r="C60" s="315" t="n"/>
      <c r="D60" s="315" t="n"/>
      <c r="E60" s="348" t="inlineStr">
        <is>
          <t>CANTIDAD</t>
        </is>
      </c>
      <c r="F60" s="201" t="n">
        <v>2</v>
      </c>
      <c r="G60" s="315" t="n"/>
      <c r="H60" s="325" t="n"/>
      <c r="J60" s="325" t="n"/>
      <c r="K60" s="315" t="n"/>
      <c r="L60" s="315" t="n"/>
      <c r="M60" s="348" t="inlineStr">
        <is>
          <t>CANTIDAD</t>
        </is>
      </c>
      <c r="N60" s="251" t="n">
        <v>2</v>
      </c>
      <c r="O60" s="315" t="n"/>
      <c r="P60" s="325" t="n"/>
    </row>
    <row r="61">
      <c r="B61" s="325" t="n"/>
      <c r="C61" s="349" t="inlineStr">
        <is>
          <t>TAPADO</t>
        </is>
      </c>
      <c r="D61" s="346" t="inlineStr">
        <is>
          <t>MURO EXTERNO</t>
        </is>
      </c>
      <c r="E61" s="348" t="inlineStr">
        <is>
          <t>AREA</t>
        </is>
      </c>
      <c r="F61" s="14" t="n">
        <v>3.62</v>
      </c>
      <c r="G61" s="251">
        <f>F61*F62</f>
        <v/>
      </c>
      <c r="H61" s="325" t="n"/>
      <c r="J61" s="325" t="n"/>
      <c r="K61" s="349" t="inlineStr">
        <is>
          <t>TAPADO</t>
        </is>
      </c>
      <c r="L61" s="346" t="inlineStr">
        <is>
          <t>MURO EXTERNO</t>
        </is>
      </c>
      <c r="M61" s="348" t="inlineStr">
        <is>
          <t>AREA</t>
        </is>
      </c>
      <c r="N61" s="200" t="n">
        <v>0</v>
      </c>
      <c r="O61" s="251">
        <f>N61*N62</f>
        <v/>
      </c>
      <c r="P61" s="325" t="n"/>
    </row>
    <row r="62">
      <c r="B62" s="325" t="n"/>
      <c r="C62" s="325" t="n"/>
      <c r="D62" s="315" t="n"/>
      <c r="E62" s="348" t="inlineStr">
        <is>
          <t>CANT.</t>
        </is>
      </c>
      <c r="F62" s="14" t="n">
        <v>2</v>
      </c>
      <c r="G62" s="315" t="n"/>
      <c r="H62" s="325" t="n"/>
      <c r="J62" s="325" t="n"/>
      <c r="K62" s="325" t="n"/>
      <c r="L62" s="315" t="n"/>
      <c r="M62" s="348" t="inlineStr">
        <is>
          <t>CANT.</t>
        </is>
      </c>
      <c r="N62" s="200" t="n">
        <v>2</v>
      </c>
      <c r="O62" s="315" t="n"/>
      <c r="P62" s="325" t="n"/>
    </row>
    <row r="63">
      <c r="B63" s="325" t="n"/>
      <c r="C63" s="325" t="n"/>
      <c r="D63" s="346" t="inlineStr">
        <is>
          <t>MURO INTERNO</t>
        </is>
      </c>
      <c r="E63" s="348" t="inlineStr">
        <is>
          <t>AREA</t>
        </is>
      </c>
      <c r="F63" s="14" t="n">
        <v>2.22</v>
      </c>
      <c r="G63" s="251">
        <f>F63*F64+F65</f>
        <v/>
      </c>
      <c r="H63" s="325" t="n"/>
      <c r="J63" s="325" t="n"/>
      <c r="K63" s="325" t="n"/>
      <c r="L63" s="346" t="inlineStr">
        <is>
          <t>MURO INTERNO</t>
        </is>
      </c>
      <c r="M63" s="348" t="inlineStr">
        <is>
          <t>AREA</t>
        </is>
      </c>
      <c r="N63" s="200" t="n">
        <v>0</v>
      </c>
      <c r="O63" s="251">
        <f>N63*N64+N65</f>
        <v/>
      </c>
      <c r="P63" s="325" t="n"/>
    </row>
    <row r="64">
      <c r="B64" s="325" t="n"/>
      <c r="C64" s="325" t="n"/>
      <c r="D64" s="325" t="n"/>
      <c r="E64" s="348" t="inlineStr">
        <is>
          <t>CANTIDAD</t>
        </is>
      </c>
      <c r="F64" s="14" t="n">
        <v>2</v>
      </c>
      <c r="G64" s="325" t="n"/>
      <c r="H64" s="325" t="n"/>
      <c r="J64" s="325" t="n"/>
      <c r="K64" s="325" t="n"/>
      <c r="L64" s="325" t="n"/>
      <c r="M64" s="348" t="inlineStr">
        <is>
          <t>CANTIDAD</t>
        </is>
      </c>
      <c r="N64" s="200" t="n">
        <v>2</v>
      </c>
      <c r="O64" s="325" t="n"/>
      <c r="P64" s="325" t="n"/>
    </row>
    <row r="65" ht="14" customHeight="1">
      <c r="B65" s="315" t="n"/>
      <c r="C65" s="315" t="n"/>
      <c r="D65" s="315" t="n"/>
      <c r="E65" s="348" t="inlineStr">
        <is>
          <t>TAPA</t>
        </is>
      </c>
      <c r="F65" s="14">
        <f>7*0.4</f>
        <v/>
      </c>
      <c r="G65" s="315" t="n"/>
      <c r="H65" s="315" t="n"/>
      <c r="J65" s="315" t="n"/>
      <c r="K65" s="315" t="n"/>
      <c r="L65" s="315" t="n"/>
      <c r="M65" s="348" t="inlineStr">
        <is>
          <t>TAPA</t>
        </is>
      </c>
      <c r="N65" s="200" t="n">
        <v>0</v>
      </c>
      <c r="O65" s="315" t="n"/>
      <c r="P65" s="315" t="n"/>
    </row>
    <row r="66">
      <c r="B66" s="350" t="n"/>
      <c r="C66" s="350" t="n"/>
      <c r="D66" s="350" t="n"/>
      <c r="E66" s="350" t="n"/>
      <c r="F66" s="350" t="n"/>
      <c r="J66" s="350" t="n"/>
      <c r="K66" s="350" t="n"/>
      <c r="L66" s="350" t="n"/>
      <c r="M66" s="350" t="n"/>
      <c r="N66" s="350" t="n"/>
    </row>
    <row r="67">
      <c r="B67" s="350" t="n"/>
      <c r="C67" s="350" t="n"/>
      <c r="D67" s="350" t="n"/>
      <c r="E67" s="350" t="n"/>
      <c r="F67" s="350" t="n"/>
      <c r="J67" s="350" t="n"/>
      <c r="K67" s="350" t="n"/>
      <c r="L67" s="350" t="n"/>
      <c r="M67" s="350" t="n"/>
      <c r="N67" s="350" t="n"/>
    </row>
    <row r="68">
      <c r="B68" s="351" t="inlineStr">
        <is>
          <t>LONGITUDES Y AREAS</t>
        </is>
      </c>
      <c r="C68" s="313" t="n"/>
      <c r="D68" s="313" t="n"/>
      <c r="E68" s="313" t="n"/>
      <c r="F68" s="314" t="n"/>
      <c r="G68" s="262" t="inlineStr">
        <is>
          <t>Sub.TOTAL</t>
        </is>
      </c>
      <c r="H68" s="262" t="inlineStr">
        <is>
          <t>TOTAL (m2)</t>
        </is>
      </c>
      <c r="J68" s="351" t="inlineStr">
        <is>
          <t>LONGITUDES Y AREAS</t>
        </is>
      </c>
      <c r="K68" s="313" t="n"/>
      <c r="L68" s="313" t="n"/>
      <c r="M68" s="313" t="n"/>
      <c r="N68" s="314" t="n"/>
      <c r="O68" s="262" t="inlineStr">
        <is>
          <t>Sub.TOTAL</t>
        </is>
      </c>
      <c r="P68" s="262" t="inlineStr">
        <is>
          <t>TOTAL (m2)</t>
        </is>
      </c>
    </row>
    <row r="69">
      <c r="B69" s="346" t="inlineStr">
        <is>
          <t>EJE 11</t>
        </is>
      </c>
      <c r="C69" s="347" t="inlineStr">
        <is>
          <t>NORMAL</t>
        </is>
      </c>
      <c r="D69" s="346" t="inlineStr">
        <is>
          <t>MUROS EXTERNO</t>
        </is>
      </c>
      <c r="E69" s="348" t="inlineStr">
        <is>
          <t>AREA</t>
        </is>
      </c>
      <c r="F69" s="251" t="n">
        <v>34.95</v>
      </c>
      <c r="G69" s="251">
        <f>F69*F70</f>
        <v/>
      </c>
      <c r="H69" s="345">
        <f>SUM(G69:G77)</f>
        <v/>
      </c>
      <c r="J69" s="346" t="inlineStr">
        <is>
          <t>EJE 12</t>
        </is>
      </c>
      <c r="K69" s="347" t="inlineStr">
        <is>
          <t>NORMAL</t>
        </is>
      </c>
      <c r="L69" s="346" t="inlineStr">
        <is>
          <t>MUROS EXTERNO</t>
        </is>
      </c>
      <c r="M69" s="348" t="inlineStr">
        <is>
          <t>AREA</t>
        </is>
      </c>
      <c r="N69" s="14" t="n">
        <v>27.87</v>
      </c>
      <c r="O69" s="251">
        <f>N69*N70</f>
        <v/>
      </c>
      <c r="P69" s="345">
        <f>SUM(O69:O77)</f>
        <v/>
      </c>
    </row>
    <row r="70">
      <c r="B70" s="325" t="n"/>
      <c r="C70" s="325" t="n"/>
      <c r="D70" s="315" t="n"/>
      <c r="E70" s="348" t="inlineStr">
        <is>
          <t>CANT.</t>
        </is>
      </c>
      <c r="F70" s="16" t="n">
        <v>2</v>
      </c>
      <c r="G70" s="315" t="n"/>
      <c r="H70" s="325" t="n"/>
      <c r="J70" s="325" t="n"/>
      <c r="K70" s="325" t="n"/>
      <c r="L70" s="315" t="n"/>
      <c r="M70" s="348" t="inlineStr">
        <is>
          <t>CANT.</t>
        </is>
      </c>
      <c r="N70" s="16" t="n">
        <v>2</v>
      </c>
      <c r="O70" s="315" t="n"/>
      <c r="P70" s="325" t="n"/>
    </row>
    <row r="71">
      <c r="B71" s="325" t="n"/>
      <c r="C71" s="325" t="n"/>
      <c r="D71" s="346" t="inlineStr">
        <is>
          <t>MURO INTERNO</t>
        </is>
      </c>
      <c r="E71" s="348" t="inlineStr">
        <is>
          <t>AREA</t>
        </is>
      </c>
      <c r="F71" s="16" t="n">
        <v>28.67</v>
      </c>
      <c r="G71" s="251">
        <f>F71*F72</f>
        <v/>
      </c>
      <c r="H71" s="325" t="n"/>
      <c r="J71" s="325" t="n"/>
      <c r="K71" s="325" t="n"/>
      <c r="L71" s="346" t="inlineStr">
        <is>
          <t>MURO INTERNO</t>
        </is>
      </c>
      <c r="M71" s="348" t="inlineStr">
        <is>
          <t>AREA</t>
        </is>
      </c>
      <c r="N71" s="154" t="n">
        <v>22.62</v>
      </c>
      <c r="O71" s="251">
        <f>N71*N72</f>
        <v/>
      </c>
      <c r="P71" s="325" t="n"/>
    </row>
    <row r="72">
      <c r="B72" s="325" t="n"/>
      <c r="C72" s="315" t="n"/>
      <c r="D72" s="315" t="n"/>
      <c r="E72" s="348" t="inlineStr">
        <is>
          <t>CANTIDAD</t>
        </is>
      </c>
      <c r="F72" s="16" t="n">
        <v>2</v>
      </c>
      <c r="G72" s="315" t="n"/>
      <c r="H72" s="325" t="n"/>
      <c r="J72" s="325" t="n"/>
      <c r="K72" s="315" t="n"/>
      <c r="L72" s="315" t="n"/>
      <c r="M72" s="348" t="inlineStr">
        <is>
          <t>CANTIDAD</t>
        </is>
      </c>
      <c r="N72" s="16" t="n">
        <v>2</v>
      </c>
      <c r="O72" s="315" t="n"/>
      <c r="P72" s="325" t="n"/>
    </row>
    <row r="73">
      <c r="B73" s="325" t="n"/>
      <c r="C73" s="349" t="inlineStr">
        <is>
          <t>TAPADO</t>
        </is>
      </c>
      <c r="D73" s="346" t="inlineStr">
        <is>
          <t>MURO EXTERNO</t>
        </is>
      </c>
      <c r="E73" s="348" t="inlineStr">
        <is>
          <t>AREA</t>
        </is>
      </c>
      <c r="F73" s="14" t="n">
        <v>6.07</v>
      </c>
      <c r="G73" s="251">
        <f>F73*F74</f>
        <v/>
      </c>
      <c r="H73" s="325" t="n"/>
      <c r="J73" s="325" t="n"/>
      <c r="K73" s="349" t="inlineStr">
        <is>
          <t>TAPADO</t>
        </is>
      </c>
      <c r="L73" s="346" t="inlineStr">
        <is>
          <t>MURO EXTERNO</t>
        </is>
      </c>
      <c r="M73" s="348" t="inlineStr">
        <is>
          <t>AREA</t>
        </is>
      </c>
      <c r="N73" s="251" t="n">
        <v>42.7</v>
      </c>
      <c r="O73" s="251">
        <f>N73*N74</f>
        <v/>
      </c>
      <c r="P73" s="325" t="n"/>
    </row>
    <row r="74">
      <c r="B74" s="325" t="n"/>
      <c r="C74" s="325" t="n"/>
      <c r="D74" s="315" t="n"/>
      <c r="E74" s="348" t="inlineStr">
        <is>
          <t>CANT.</t>
        </is>
      </c>
      <c r="F74" s="14" t="n">
        <v>2</v>
      </c>
      <c r="G74" s="315" t="n"/>
      <c r="H74" s="325" t="n"/>
      <c r="J74" s="325" t="n"/>
      <c r="K74" s="325" t="n"/>
      <c r="L74" s="315" t="n"/>
      <c r="M74" s="348" t="inlineStr">
        <is>
          <t>CANT.</t>
        </is>
      </c>
      <c r="N74" s="251" t="n">
        <v>2</v>
      </c>
      <c r="O74" s="315" t="n"/>
      <c r="P74" s="325" t="n"/>
    </row>
    <row r="75">
      <c r="B75" s="325" t="n"/>
      <c r="C75" s="325" t="n"/>
      <c r="D75" s="346" t="inlineStr">
        <is>
          <t>MURO INTERNO</t>
        </is>
      </c>
      <c r="E75" s="348" t="inlineStr">
        <is>
          <t>AREA</t>
        </is>
      </c>
      <c r="F75" s="14" t="n">
        <v>4.33</v>
      </c>
      <c r="G75" s="251">
        <f>F75*F76+F77</f>
        <v/>
      </c>
      <c r="H75" s="325" t="n"/>
      <c r="J75" s="325" t="n"/>
      <c r="K75" s="325" t="n"/>
      <c r="L75" s="346" t="inlineStr">
        <is>
          <t>MURO INTERNO</t>
        </is>
      </c>
      <c r="M75" s="348" t="inlineStr">
        <is>
          <t>AREA</t>
        </is>
      </c>
      <c r="N75" s="251" t="n">
        <v>31.37</v>
      </c>
      <c r="O75" s="251">
        <f>N75*N76+N77</f>
        <v/>
      </c>
      <c r="P75" s="325" t="n"/>
    </row>
    <row r="76">
      <c r="B76" s="325" t="n"/>
      <c r="C76" s="325" t="n"/>
      <c r="D76" s="325" t="n"/>
      <c r="E76" s="348" t="inlineStr">
        <is>
          <t>CANTIDAD</t>
        </is>
      </c>
      <c r="F76" s="14" t="n">
        <v>2</v>
      </c>
      <c r="G76" s="325" t="n"/>
      <c r="H76" s="325" t="n"/>
      <c r="J76" s="325" t="n"/>
      <c r="K76" s="325" t="n"/>
      <c r="L76" s="325" t="n"/>
      <c r="M76" s="348" t="inlineStr">
        <is>
          <t>CANTIDAD</t>
        </is>
      </c>
      <c r="N76" s="251" t="n">
        <v>2</v>
      </c>
      <c r="O76" s="325" t="n"/>
      <c r="P76" s="325" t="n"/>
    </row>
    <row r="77" ht="14" customHeight="1">
      <c r="B77" s="315" t="n"/>
      <c r="C77" s="315" t="n"/>
      <c r="D77" s="315" t="n"/>
      <c r="E77" s="348" t="inlineStr">
        <is>
          <t>TAPA</t>
        </is>
      </c>
      <c r="F77" s="14">
        <f>6.46*0.4</f>
        <v/>
      </c>
      <c r="G77" s="315" t="n"/>
      <c r="H77" s="315" t="n"/>
      <c r="J77" s="315" t="n"/>
      <c r="K77" s="315" t="n"/>
      <c r="L77" s="315" t="n"/>
      <c r="M77" s="348" t="inlineStr">
        <is>
          <t>TAPA</t>
        </is>
      </c>
      <c r="N77" s="251">
        <f>56.64*0.4</f>
        <v/>
      </c>
      <c r="O77" s="315" t="n"/>
      <c r="P77" s="315" t="n"/>
    </row>
    <row r="78">
      <c r="B78" s="350" t="n"/>
      <c r="C78" s="350" t="n"/>
      <c r="D78" s="350" t="n"/>
      <c r="E78" s="350" t="n"/>
      <c r="F78" s="350" t="n"/>
    </row>
    <row r="79">
      <c r="B79" s="350" t="n"/>
      <c r="C79" s="350" t="n"/>
      <c r="D79" s="350" t="n"/>
      <c r="E79" s="350" t="n"/>
      <c r="F79" s="350" t="n"/>
    </row>
  </sheetData>
  <mergeCells count="162">
    <mergeCell ref="D75:D77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  <mergeCell ref="L75:L77"/>
    <mergeCell ref="K49:K53"/>
    <mergeCell ref="J11:N11"/>
    <mergeCell ref="L38:L39"/>
    <mergeCell ref="D73:D74"/>
    <mergeCell ref="O27:O28"/>
    <mergeCell ref="C57:C60"/>
    <mergeCell ref="J22:N22"/>
    <mergeCell ref="C73:C77"/>
    <mergeCell ref="P69:P77"/>
    <mergeCell ref="D38:D39"/>
    <mergeCell ref="B12:B20"/>
    <mergeCell ref="G12:G13"/>
    <mergeCell ref="J69:J77"/>
    <mergeCell ref="C34:C37"/>
    <mergeCell ref="C16:C20"/>
    <mergeCell ref="K69:K72"/>
    <mergeCell ref="L16:L17"/>
    <mergeCell ref="D34:D35"/>
    <mergeCell ref="G36:G37"/>
    <mergeCell ref="L57:L58"/>
    <mergeCell ref="H34:H42"/>
    <mergeCell ref="O75:O77"/>
    <mergeCell ref="D49:D50"/>
    <mergeCell ref="K45:K48"/>
    <mergeCell ref="D27:D28"/>
    <mergeCell ref="G23:G24"/>
    <mergeCell ref="B23:B31"/>
    <mergeCell ref="K61:K65"/>
    <mergeCell ref="C61:C65"/>
    <mergeCell ref="L63:L65"/>
    <mergeCell ref="G29:G31"/>
    <mergeCell ref="O36:O37"/>
    <mergeCell ref="H45:H53"/>
    <mergeCell ref="B56:F56"/>
    <mergeCell ref="J45:J53"/>
    <mergeCell ref="O45:O46"/>
    <mergeCell ref="O47:O48"/>
    <mergeCell ref="C12:C15"/>
    <mergeCell ref="D12:D13"/>
    <mergeCell ref="G73:G74"/>
    <mergeCell ref="O71:O72"/>
    <mergeCell ref="B8:P9"/>
    <mergeCell ref="L34:L35"/>
    <mergeCell ref="D25:D26"/>
    <mergeCell ref="O73:O74"/>
    <mergeCell ref="G25:G26"/>
    <mergeCell ref="H23:H31"/>
    <mergeCell ref="O23:O24"/>
    <mergeCell ref="B68:F68"/>
    <mergeCell ref="K57:K60"/>
    <mergeCell ref="J57:J65"/>
    <mergeCell ref="O57:O58"/>
    <mergeCell ref="G27:G28"/>
    <mergeCell ref="D23:D24"/>
    <mergeCell ref="O63:O65"/>
    <mergeCell ref="J34:J42"/>
    <mergeCell ref="K34:K37"/>
    <mergeCell ref="O34:O35"/>
    <mergeCell ref="L29:L31"/>
    <mergeCell ref="O49:O50"/>
    <mergeCell ref="G61:G62"/>
    <mergeCell ref="J44:N44"/>
    <mergeCell ref="L71:L72"/>
    <mergeCell ref="H69:H77"/>
    <mergeCell ref="K27:K31"/>
    <mergeCell ref="O69:O70"/>
    <mergeCell ref="B69:B77"/>
    <mergeCell ref="G69:G70"/>
    <mergeCell ref="C27:C31"/>
    <mergeCell ref="G38:G39"/>
    <mergeCell ref="L40:L42"/>
    <mergeCell ref="D18:D20"/>
    <mergeCell ref="P23:P31"/>
    <mergeCell ref="D57:D58"/>
    <mergeCell ref="G75:G77"/>
    <mergeCell ref="D51:D53"/>
    <mergeCell ref="O25:O26"/>
    <mergeCell ref="H12:H20"/>
    <mergeCell ref="J12:J20"/>
    <mergeCell ref="O12:O13"/>
    <mergeCell ref="K12:K15"/>
    <mergeCell ref="L25:L26"/>
    <mergeCell ref="L69:L70"/>
    <mergeCell ref="K23:K26"/>
    <mergeCell ref="L59:L60"/>
    <mergeCell ref="G16:G17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B2:P2"/>
    <mergeCell ref="B57:B65"/>
    <mergeCell ref="G57:G58"/>
    <mergeCell ref="L47:L48"/>
    <mergeCell ref="C6:P6"/>
    <mergeCell ref="G51:G53"/>
    <mergeCell ref="B22:F22"/>
    <mergeCell ref="G63:G65"/>
    <mergeCell ref="B34:B42"/>
    <mergeCell ref="G34:G35"/>
    <mergeCell ref="O16:O17"/>
    <mergeCell ref="H57:H65"/>
    <mergeCell ref="D63:D65"/>
    <mergeCell ref="J68:N68"/>
    <mergeCell ref="L73:L74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L51:L53"/>
    <mergeCell ref="D59:D60"/>
  </mergeCells>
  <pageMargins left="0.3543307086614174" right="0.1181102362204725" top="1.141732283464567" bottom="0.3543307086614174" header="0.1968503937007874" footer="0.3149606299212598"/>
  <pageSetup orientation="portrait" paperSize="9" scale="46"/>
  <headerFooter>
    <oddHeader>&amp;C&amp;G</oddHeader>
    <oddFooter/>
    <evenHeader/>
    <evenFooter/>
    <firstHeader/>
    <firstFooter/>
  </headerFooter>
  <rowBreaks count="1" manualBreakCount="1">
    <brk id="80" min="0" max="15" man="1"/>
  </rowBreaks>
  <legacyDrawingHF r:id="rIdHF1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FF0000"/>
    <outlinePr summaryBelow="1" summaryRight="1"/>
    <pageSetUpPr/>
  </sheetPr>
  <dimension ref="B1:R58"/>
  <sheetViews>
    <sheetView view="pageBreakPreview" topLeftCell="A22" zoomScaleNormal="115" zoomScaleSheetLayoutView="100" workbookViewId="0">
      <selection activeCell="T20" sqref="T20"/>
    </sheetView>
  </sheetViews>
  <sheetFormatPr baseColWidth="10" defaultRowHeight="15.5"/>
  <cols>
    <col width="3.453125" customWidth="1" style="6" min="1" max="1"/>
    <col width="19.1796875" customWidth="1" style="6" min="2" max="2"/>
    <col width="16.26953125" customWidth="1" style="6" min="3" max="3"/>
    <col width="13.08984375" customWidth="1" style="6" min="4" max="4"/>
    <col width="12.90625" customWidth="1" style="6" min="5" max="5"/>
    <col width="8.7265625" customWidth="1" style="6" min="6" max="6"/>
    <col width="12.08984375" customWidth="1" style="6" min="7" max="7"/>
    <col width="8.54296875" customWidth="1" style="6" min="8" max="8"/>
    <col width="7.81640625" customWidth="1" style="6" min="9" max="9"/>
    <col width="12.08984375" customWidth="1" style="6" min="10" max="10"/>
    <col width="9.6328125" customWidth="1" style="6" min="11" max="11"/>
    <col width="8.453125" customWidth="1" style="6" min="12" max="12"/>
    <col width="12.26953125" customWidth="1" style="6" min="13" max="13"/>
    <col width="10.1796875" customWidth="1" style="6" min="14" max="14"/>
    <col width="8.36328125" customWidth="1" style="6" min="15" max="15"/>
    <col width="10.90625" customWidth="1" style="6" min="16" max="16384"/>
  </cols>
  <sheetData>
    <row r="1" ht="14.5" customHeight="1"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</row>
    <row r="2" ht="24.5" customHeight="1">
      <c r="B2" s="267" t="inlineStr">
        <is>
          <t>CALCULO DE MONTANTES POR EDIFICACION  - DRENAJE PLUVIAL</t>
        </is>
      </c>
    </row>
    <row r="3" ht="21" customHeight="1">
      <c r="B3" s="98" t="inlineStr">
        <is>
          <t>ENTIDAD</t>
        </is>
      </c>
      <c r="C3" s="205">
        <f>+RESUMEN!B4</f>
        <v/>
      </c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3" t="n"/>
      <c r="P3" s="313" t="n"/>
      <c r="Q3" s="313" t="n"/>
      <c r="R3" s="314" t="n"/>
    </row>
    <row r="4" ht="42" customHeight="1">
      <c r="B4" s="98" t="inlineStr">
        <is>
          <t>PROYECTO</t>
        </is>
      </c>
      <c r="C4" s="205">
        <f>+RESUMEN!B5</f>
        <v/>
      </c>
      <c r="D4" s="313" t="n"/>
      <c r="E4" s="313" t="n"/>
      <c r="F4" s="313" t="n"/>
      <c r="G4" s="313" t="n"/>
      <c r="H4" s="313" t="n"/>
      <c r="I4" s="313" t="n"/>
      <c r="J4" s="313" t="n"/>
      <c r="K4" s="313" t="n"/>
      <c r="L4" s="313" t="n"/>
      <c r="M4" s="313" t="n"/>
      <c r="N4" s="313" t="n"/>
      <c r="O4" s="313" t="n"/>
      <c r="P4" s="313" t="n"/>
      <c r="Q4" s="313" t="n"/>
      <c r="R4" s="314" t="n"/>
    </row>
    <row r="5" ht="31" customHeight="1">
      <c r="B5" s="98" t="inlineStr">
        <is>
          <t>UBICACIÓN</t>
        </is>
      </c>
      <c r="C5" s="205">
        <f>+RESUMEN!B6</f>
        <v/>
      </c>
      <c r="D5" s="313" t="n"/>
      <c r="E5" s="313" t="n"/>
      <c r="F5" s="313" t="n"/>
      <c r="G5" s="313" t="n"/>
      <c r="H5" s="313" t="n"/>
      <c r="I5" s="313" t="n"/>
      <c r="J5" s="313" t="n"/>
      <c r="K5" s="313" t="n"/>
      <c r="L5" s="313" t="n"/>
      <c r="M5" s="313" t="n"/>
      <c r="N5" s="313" t="n"/>
      <c r="O5" s="313" t="n"/>
      <c r="P5" s="313" t="n"/>
      <c r="Q5" s="313" t="n"/>
      <c r="R5" s="314" t="n"/>
    </row>
    <row r="6" ht="19" customHeight="1">
      <c r="B6" s="98" t="inlineStr">
        <is>
          <t>FECHA</t>
        </is>
      </c>
      <c r="C6" s="204">
        <f>+RESUMEN!B7</f>
        <v/>
      </c>
      <c r="D6" s="313" t="n"/>
      <c r="E6" s="313" t="n"/>
      <c r="F6" s="313" t="n"/>
      <c r="G6" s="313" t="n"/>
      <c r="H6" s="313" t="n"/>
      <c r="I6" s="313" t="n"/>
      <c r="J6" s="313" t="n"/>
      <c r="K6" s="313" t="n"/>
      <c r="L6" s="313" t="n"/>
      <c r="M6" s="313" t="n"/>
      <c r="N6" s="313" t="n"/>
      <c r="O6" s="313" t="n"/>
      <c r="P6" s="313" t="n"/>
      <c r="Q6" s="313" t="n"/>
      <c r="R6" s="314" t="n"/>
    </row>
    <row r="7">
      <c r="B7" s="63" t="n"/>
      <c r="C7" s="269" t="n"/>
    </row>
    <row r="9" ht="16.5" customHeight="1">
      <c r="C9" s="224" t="inlineStr">
        <is>
          <t>MONTANTES</t>
        </is>
      </c>
      <c r="D9" s="224" t="inlineStr">
        <is>
          <t>LONG. TUBERIA PVC 4"</t>
        </is>
      </c>
      <c r="E9" s="313" t="n"/>
      <c r="F9" s="314" t="n"/>
      <c r="G9" s="224" t="inlineStr">
        <is>
          <t>CODO PVC 90° 4"</t>
        </is>
      </c>
      <c r="H9" s="313" t="n"/>
      <c r="I9" s="314" t="n"/>
      <c r="J9" s="224" t="inlineStr">
        <is>
          <t>ABRAZADERA 4"</t>
        </is>
      </c>
      <c r="K9" s="313" t="n"/>
      <c r="L9" s="314" t="n"/>
      <c r="M9" s="224" t="inlineStr">
        <is>
          <t>COLGADOR 4"</t>
        </is>
      </c>
      <c r="N9" s="313" t="n"/>
      <c r="O9" s="314" t="n"/>
      <c r="P9" s="224" t="inlineStr">
        <is>
          <t>CODO PVC 45° 4"</t>
        </is>
      </c>
      <c r="Q9" s="313" t="n"/>
      <c r="R9" s="314" t="n"/>
    </row>
    <row r="10" ht="31" customHeight="1">
      <c r="C10" s="315" t="n"/>
      <c r="D10" s="18" t="inlineStr">
        <is>
          <t>VECES</t>
        </is>
      </c>
      <c r="E10" s="18" t="inlineStr">
        <is>
          <t>LONGITUD</t>
        </is>
      </c>
      <c r="F10" s="7" t="inlineStr">
        <is>
          <t>TOTAL (m)</t>
        </is>
      </c>
      <c r="G10" s="18" t="inlineStr">
        <is>
          <t>CANTIDAD</t>
        </is>
      </c>
      <c r="H10" s="18" t="inlineStr">
        <is>
          <t>VECES</t>
        </is>
      </c>
      <c r="I10" s="7" t="inlineStr">
        <is>
          <t>TOTAL (und)</t>
        </is>
      </c>
      <c r="J10" s="18" t="inlineStr">
        <is>
          <t>CANTIDAD</t>
        </is>
      </c>
      <c r="K10" s="18" t="inlineStr">
        <is>
          <t>VECES</t>
        </is>
      </c>
      <c r="L10" s="7" t="inlineStr">
        <is>
          <t>TOTAL (und)</t>
        </is>
      </c>
      <c r="M10" s="18" t="inlineStr">
        <is>
          <t>CANTIDAD</t>
        </is>
      </c>
      <c r="N10" s="18" t="inlineStr">
        <is>
          <t>VECES</t>
        </is>
      </c>
      <c r="O10" s="7" t="inlineStr">
        <is>
          <t>TOTAL (und)</t>
        </is>
      </c>
      <c r="P10" s="18" t="inlineStr">
        <is>
          <t>CANTIDAD</t>
        </is>
      </c>
      <c r="Q10" s="18" t="inlineStr">
        <is>
          <t>VECES</t>
        </is>
      </c>
      <c r="R10" s="7" t="inlineStr">
        <is>
          <t>TOTAL (und)</t>
        </is>
      </c>
    </row>
    <row r="11" ht="23.5" customHeight="1">
      <c r="B11" s="8" t="inlineStr">
        <is>
          <t>EDIFICACION 01</t>
        </is>
      </c>
      <c r="C11" s="1" t="n"/>
      <c r="D11" s="1" t="n"/>
      <c r="E11" s="1" t="n"/>
      <c r="F11" s="254" t="n"/>
      <c r="G11" s="1" t="n"/>
      <c r="H11" s="1" t="n"/>
      <c r="I11" s="254" t="n"/>
      <c r="J11" s="1" t="n"/>
      <c r="K11" s="1" t="n"/>
      <c r="L11" s="254" t="n"/>
      <c r="M11" s="1" t="n"/>
      <c r="N11" s="1" t="n"/>
      <c r="O11" s="254" t="n"/>
    </row>
    <row r="12" ht="23.5" customHeight="1">
      <c r="B12" s="11" t="inlineStr">
        <is>
          <t>Lado A</t>
        </is>
      </c>
      <c r="C12" s="1" t="n"/>
      <c r="D12" s="1" t="n"/>
      <c r="E12" s="1" t="n"/>
      <c r="F12" s="7">
        <f>E12*D12</f>
        <v/>
      </c>
      <c r="G12" s="1" t="n"/>
      <c r="H12" s="1" t="n"/>
      <c r="I12" s="7">
        <f>H12*G12</f>
        <v/>
      </c>
      <c r="J12" s="1" t="n"/>
      <c r="K12" s="1" t="n"/>
      <c r="L12" s="7">
        <f>K12*J12</f>
        <v/>
      </c>
      <c r="M12" s="1" t="n"/>
      <c r="N12" s="1" t="n"/>
      <c r="O12" s="7">
        <f>N12*M12</f>
        <v/>
      </c>
      <c r="P12" s="21" t="n"/>
      <c r="Q12" s="21" t="n"/>
      <c r="R12" s="23">
        <f>Q12*P12</f>
        <v/>
      </c>
    </row>
    <row r="13" ht="23.5" customHeight="1">
      <c r="B13" s="11" t="inlineStr">
        <is>
          <t>Lado B</t>
        </is>
      </c>
      <c r="C13" s="1" t="n"/>
      <c r="D13" s="1" t="n"/>
      <c r="E13" s="1" t="n"/>
      <c r="F13" s="7">
        <f>E13*D13</f>
        <v/>
      </c>
      <c r="G13" s="1" t="n"/>
      <c r="H13" s="1" t="n"/>
      <c r="I13" s="7">
        <f>H13*G13</f>
        <v/>
      </c>
      <c r="J13" s="1" t="n"/>
      <c r="K13" s="1" t="n"/>
      <c r="L13" s="7">
        <f>K13*J13</f>
        <v/>
      </c>
      <c r="M13" s="1" t="n"/>
      <c r="N13" s="1" t="n"/>
      <c r="O13" s="7">
        <f>N13*M13</f>
        <v/>
      </c>
      <c r="P13" s="21" t="n"/>
      <c r="Q13" s="21" t="n"/>
      <c r="R13" s="23">
        <f>Q13*P13</f>
        <v/>
      </c>
    </row>
    <row r="14" ht="23.5" customHeight="1">
      <c r="B14" s="8" t="inlineStr">
        <is>
          <t>EDIFICACION 02</t>
        </is>
      </c>
      <c r="C14" s="1" t="n"/>
      <c r="D14" s="1" t="n"/>
      <c r="E14" s="1" t="n"/>
      <c r="F14" s="254" t="n"/>
      <c r="G14" s="1" t="n"/>
      <c r="H14" s="1" t="n"/>
      <c r="I14" s="254" t="n"/>
      <c r="J14" s="1" t="n"/>
      <c r="K14" s="1" t="n"/>
      <c r="L14" s="254" t="n"/>
      <c r="M14" s="1" t="n"/>
      <c r="N14" s="1" t="n"/>
      <c r="O14" s="254" t="n"/>
      <c r="P14" s="21" t="n"/>
      <c r="Q14" s="21" t="n"/>
      <c r="R14" s="24" t="n"/>
    </row>
    <row r="15" ht="23.5" customHeight="1">
      <c r="B15" s="11" t="inlineStr">
        <is>
          <t>Lado A</t>
        </is>
      </c>
      <c r="C15" s="1" t="n"/>
      <c r="D15" s="1" t="n"/>
      <c r="E15" s="1" t="n"/>
      <c r="F15" s="7">
        <f>E15*D15</f>
        <v/>
      </c>
      <c r="G15" s="1" t="n"/>
      <c r="H15" s="1" t="n"/>
      <c r="I15" s="7">
        <f>H15*G15</f>
        <v/>
      </c>
      <c r="J15" s="1" t="n"/>
      <c r="K15" s="1" t="n"/>
      <c r="L15" s="7">
        <f>K15*J15</f>
        <v/>
      </c>
      <c r="M15" s="1" t="n"/>
      <c r="N15" s="1" t="n"/>
      <c r="O15" s="7">
        <f>N15*M15</f>
        <v/>
      </c>
      <c r="P15" s="21" t="n"/>
      <c r="Q15" s="21" t="n"/>
      <c r="R15" s="23">
        <f>Q15*P15</f>
        <v/>
      </c>
    </row>
    <row r="16" ht="23.5" customHeight="1">
      <c r="B16" s="11" t="inlineStr">
        <is>
          <t>Lado B</t>
        </is>
      </c>
      <c r="C16" s="1" t="n"/>
      <c r="D16" s="1" t="n"/>
      <c r="E16" s="1" t="n"/>
      <c r="F16" s="7">
        <f>E16*D16</f>
        <v/>
      </c>
      <c r="G16" s="1" t="n"/>
      <c r="H16" s="1" t="n"/>
      <c r="I16" s="7">
        <f>H16*G16</f>
        <v/>
      </c>
      <c r="J16" s="1" t="n"/>
      <c r="K16" s="1" t="n"/>
      <c r="L16" s="7">
        <f>K16*J16</f>
        <v/>
      </c>
      <c r="M16" s="1" t="n"/>
      <c r="N16" s="1" t="n"/>
      <c r="O16" s="7">
        <f>N16*M16</f>
        <v/>
      </c>
      <c r="P16" s="21" t="n"/>
      <c r="Q16" s="21" t="n"/>
      <c r="R16" s="23">
        <f>Q16*P16</f>
        <v/>
      </c>
    </row>
    <row r="17" ht="23.5" customHeight="1">
      <c r="B17" s="8" t="inlineStr">
        <is>
          <t>EDIFICACION 03</t>
        </is>
      </c>
      <c r="C17" s="1" t="n"/>
      <c r="D17" s="1" t="n"/>
      <c r="E17" s="1" t="n"/>
      <c r="F17" s="254" t="n"/>
      <c r="G17" s="1" t="n"/>
      <c r="H17" s="1" t="n"/>
      <c r="I17" s="254" t="n"/>
      <c r="J17" s="1" t="n"/>
      <c r="K17" s="12" t="n"/>
      <c r="L17" s="254" t="n"/>
      <c r="M17" s="1" t="n"/>
      <c r="N17" s="1" t="n"/>
      <c r="O17" s="254" t="n"/>
      <c r="P17" s="21" t="n"/>
      <c r="Q17" s="21" t="n"/>
      <c r="R17" s="24" t="n"/>
    </row>
    <row r="18" ht="23.5" customHeight="1">
      <c r="B18" s="11" t="inlineStr">
        <is>
          <t>Lado A</t>
        </is>
      </c>
      <c r="C18" s="1" t="n"/>
      <c r="D18" s="1" t="n"/>
      <c r="E18" s="1" t="n"/>
      <c r="F18" s="7">
        <f>E18*D18</f>
        <v/>
      </c>
      <c r="G18" s="1" t="n"/>
      <c r="H18" s="1" t="n"/>
      <c r="I18" s="7">
        <f>H18*G18</f>
        <v/>
      </c>
      <c r="J18" s="1" t="n"/>
      <c r="K18" s="1" t="n"/>
      <c r="L18" s="7">
        <f>K18*J18</f>
        <v/>
      </c>
      <c r="M18" s="1" t="n"/>
      <c r="N18" s="1" t="n"/>
      <c r="O18" s="7">
        <f>N18*M18</f>
        <v/>
      </c>
      <c r="P18" s="21" t="n"/>
      <c r="Q18" s="21" t="n"/>
      <c r="R18" s="23">
        <f>Q18*P18</f>
        <v/>
      </c>
    </row>
    <row r="19" ht="23.5" customHeight="1">
      <c r="B19" s="11" t="inlineStr">
        <is>
          <t>Lado B</t>
        </is>
      </c>
      <c r="C19" s="1" t="n"/>
      <c r="D19" s="1" t="n"/>
      <c r="E19" s="1" t="n"/>
      <c r="F19" s="7">
        <f>E19*D19</f>
        <v/>
      </c>
      <c r="G19" s="1" t="n"/>
      <c r="H19" s="1" t="n"/>
      <c r="I19" s="7">
        <f>H19*G19</f>
        <v/>
      </c>
      <c r="J19" s="1" t="n"/>
      <c r="K19" s="1" t="n"/>
      <c r="L19" s="7">
        <f>K19*J19</f>
        <v/>
      </c>
      <c r="M19" s="1" t="n"/>
      <c r="N19" s="1" t="n"/>
      <c r="O19" s="7">
        <f>N19*M19</f>
        <v/>
      </c>
      <c r="P19" s="21" t="n"/>
      <c r="Q19" s="21" t="n"/>
      <c r="R19" s="23">
        <f>Q19*P19</f>
        <v/>
      </c>
    </row>
    <row r="20" ht="23.5" customHeight="1">
      <c r="B20" s="8" t="inlineStr">
        <is>
          <t>EDIFICACION 04</t>
        </is>
      </c>
      <c r="C20" s="1" t="n"/>
      <c r="D20" s="1" t="n"/>
      <c r="E20" s="1" t="n"/>
      <c r="F20" s="254" t="n"/>
      <c r="G20" s="1" t="n"/>
      <c r="H20" s="1" t="n"/>
      <c r="I20" s="254" t="n"/>
      <c r="J20" s="1" t="n"/>
      <c r="K20" s="1" t="n"/>
      <c r="L20" s="254" t="n"/>
      <c r="M20" s="1" t="n"/>
      <c r="N20" s="1" t="n"/>
      <c r="O20" s="254" t="n"/>
      <c r="P20" s="21" t="n"/>
      <c r="Q20" s="21" t="n"/>
      <c r="R20" s="24" t="n"/>
    </row>
    <row r="21" ht="23.5" customHeight="1">
      <c r="B21" s="11" t="inlineStr">
        <is>
          <t>Lado A</t>
        </is>
      </c>
      <c r="C21" s="1" t="n"/>
      <c r="D21" s="1" t="n"/>
      <c r="E21" s="1" t="n"/>
      <c r="F21" s="7">
        <f>E21*D21</f>
        <v/>
      </c>
      <c r="G21" s="1" t="n"/>
      <c r="H21" s="1" t="n"/>
      <c r="I21" s="7">
        <f>H21*G21</f>
        <v/>
      </c>
      <c r="J21" s="1" t="n"/>
      <c r="K21" s="1" t="n"/>
      <c r="L21" s="7">
        <f>K21*J21</f>
        <v/>
      </c>
      <c r="M21" s="1" t="n"/>
      <c r="N21" s="1" t="n"/>
      <c r="O21" s="7">
        <f>N21*M21</f>
        <v/>
      </c>
      <c r="P21" s="21" t="n"/>
      <c r="Q21" s="21" t="n"/>
      <c r="R21" s="23">
        <f>Q21*P21</f>
        <v/>
      </c>
    </row>
    <row r="22" ht="23.5" customHeight="1">
      <c r="B22" s="11" t="inlineStr">
        <is>
          <t>Lado B</t>
        </is>
      </c>
      <c r="C22" s="1" t="n"/>
      <c r="D22" s="1" t="n"/>
      <c r="E22" s="1" t="n"/>
      <c r="F22" s="7">
        <f>E22*D22</f>
        <v/>
      </c>
      <c r="G22" s="1" t="n"/>
      <c r="H22" s="1" t="n"/>
      <c r="I22" s="7">
        <f>H22*G22</f>
        <v/>
      </c>
      <c r="J22" s="1" t="n"/>
      <c r="K22" s="1" t="n"/>
      <c r="L22" s="7">
        <f>K22*J22</f>
        <v/>
      </c>
      <c r="M22" s="1" t="n"/>
      <c r="N22" s="1" t="n"/>
      <c r="O22" s="7">
        <f>N22*M22</f>
        <v/>
      </c>
      <c r="P22" s="21" t="n"/>
      <c r="Q22" s="21" t="n"/>
      <c r="R22" s="23">
        <f>Q22*P22</f>
        <v/>
      </c>
    </row>
    <row r="23" ht="23.5" customHeight="1">
      <c r="B23" s="8" t="inlineStr">
        <is>
          <t>EDIFICACION 05</t>
        </is>
      </c>
      <c r="C23" s="1" t="n"/>
      <c r="D23" s="1" t="n"/>
      <c r="E23" s="1" t="n"/>
      <c r="F23" s="254" t="n"/>
      <c r="G23" s="1" t="n"/>
      <c r="H23" s="1" t="n"/>
      <c r="I23" s="254" t="n"/>
      <c r="J23" s="1" t="n"/>
      <c r="K23" s="1" t="n"/>
      <c r="L23" s="254" t="n"/>
      <c r="M23" s="1" t="n"/>
      <c r="N23" s="1" t="n"/>
      <c r="O23" s="254" t="n"/>
      <c r="P23" s="21" t="n"/>
      <c r="Q23" s="21" t="n"/>
      <c r="R23" s="24" t="n"/>
    </row>
    <row r="24" ht="23.5" customHeight="1">
      <c r="B24" s="11" t="inlineStr">
        <is>
          <t>Lado A</t>
        </is>
      </c>
      <c r="C24" s="1" t="n"/>
      <c r="D24" s="1" t="n"/>
      <c r="E24" s="1" t="n"/>
      <c r="F24" s="7">
        <f>E24*D24</f>
        <v/>
      </c>
      <c r="G24" s="1" t="n"/>
      <c r="H24" s="1" t="n"/>
      <c r="I24" s="7">
        <f>H24*G24</f>
        <v/>
      </c>
      <c r="J24" s="1" t="n"/>
      <c r="K24" s="1" t="n"/>
      <c r="L24" s="7">
        <f>K24*J24</f>
        <v/>
      </c>
      <c r="M24" s="1" t="n"/>
      <c r="N24" s="1" t="n"/>
      <c r="O24" s="7">
        <f>N24*M24</f>
        <v/>
      </c>
      <c r="P24" s="21" t="n"/>
      <c r="Q24" s="21" t="n"/>
      <c r="R24" s="23">
        <f>Q24*P24</f>
        <v/>
      </c>
    </row>
    <row r="25" ht="23.5" customHeight="1">
      <c r="B25" s="11" t="inlineStr">
        <is>
          <t>Lado B</t>
        </is>
      </c>
      <c r="C25" s="1" t="n"/>
      <c r="D25" s="1" t="n"/>
      <c r="E25" s="1" t="n"/>
      <c r="F25" s="7">
        <f>E25*D25</f>
        <v/>
      </c>
      <c r="G25" s="1" t="n"/>
      <c r="H25" s="1" t="n"/>
      <c r="I25" s="7">
        <f>H25*G25</f>
        <v/>
      </c>
      <c r="J25" s="1" t="n"/>
      <c r="K25" s="1" t="n"/>
      <c r="L25" s="7">
        <f>K25*J25</f>
        <v/>
      </c>
      <c r="M25" s="1" t="n"/>
      <c r="N25" s="1" t="n"/>
      <c r="O25" s="7">
        <f>N25*M25</f>
        <v/>
      </c>
      <c r="P25" s="21" t="n"/>
      <c r="Q25" s="21" t="n"/>
      <c r="R25" s="23">
        <f>Q25*P25</f>
        <v/>
      </c>
    </row>
    <row r="26" ht="23.5" customHeight="1">
      <c r="B26" s="8" t="inlineStr">
        <is>
          <t>EDIFICACION 06</t>
        </is>
      </c>
      <c r="C26" s="1" t="n"/>
      <c r="D26" s="1" t="n"/>
      <c r="E26" s="1" t="n"/>
      <c r="F26" s="254" t="n"/>
      <c r="G26" s="1" t="n"/>
      <c r="H26" s="1" t="n"/>
      <c r="I26" s="254" t="n"/>
      <c r="J26" s="1" t="n"/>
      <c r="K26" s="1" t="n"/>
      <c r="L26" s="254" t="n"/>
      <c r="M26" s="1" t="n"/>
      <c r="N26" s="1" t="n"/>
      <c r="O26" s="254" t="n"/>
      <c r="P26" s="21" t="n"/>
      <c r="Q26" s="21" t="n"/>
      <c r="R26" s="24" t="n"/>
    </row>
    <row r="27" ht="23.5" customHeight="1">
      <c r="B27" s="11" t="inlineStr">
        <is>
          <t>Lado A</t>
        </is>
      </c>
      <c r="C27" s="1" t="n"/>
      <c r="D27" s="1" t="n"/>
      <c r="E27" s="1" t="n"/>
      <c r="F27" s="7">
        <f>E27*D27</f>
        <v/>
      </c>
      <c r="G27" s="1" t="n"/>
      <c r="H27" s="1" t="n"/>
      <c r="I27" s="7">
        <f>H27*G27</f>
        <v/>
      </c>
      <c r="J27" s="1" t="n"/>
      <c r="K27" s="1" t="n"/>
      <c r="L27" s="7">
        <f>K27*J27</f>
        <v/>
      </c>
      <c r="M27" s="1" t="n"/>
      <c r="N27" s="1" t="n"/>
      <c r="O27" s="7">
        <f>N27*M27</f>
        <v/>
      </c>
      <c r="P27" s="21" t="n"/>
      <c r="Q27" s="21" t="n"/>
      <c r="R27" s="23">
        <f>Q27*P27</f>
        <v/>
      </c>
    </row>
    <row r="28" ht="23.5" customHeight="1">
      <c r="B28" s="11" t="inlineStr">
        <is>
          <t>Lado B</t>
        </is>
      </c>
      <c r="C28" s="1" t="n"/>
      <c r="D28" s="1" t="n"/>
      <c r="E28" s="1" t="n"/>
      <c r="F28" s="7">
        <f>E28*D28</f>
        <v/>
      </c>
      <c r="G28" s="1" t="n"/>
      <c r="H28" s="1" t="n"/>
      <c r="I28" s="7">
        <f>H28*G28</f>
        <v/>
      </c>
      <c r="J28" s="1" t="n"/>
      <c r="K28" s="1" t="n"/>
      <c r="L28" s="7">
        <f>K28*J28</f>
        <v/>
      </c>
      <c r="M28" s="1" t="n"/>
      <c r="N28" s="1" t="n"/>
      <c r="O28" s="7">
        <f>N28*M28</f>
        <v/>
      </c>
      <c r="P28" s="21" t="n"/>
      <c r="Q28" s="21" t="n"/>
      <c r="R28" s="23">
        <f>Q28*P28</f>
        <v/>
      </c>
    </row>
    <row r="29" ht="23.5" customHeight="1">
      <c r="B29" s="8" t="inlineStr">
        <is>
          <t>EDIFICACION 07</t>
        </is>
      </c>
      <c r="C29" s="1" t="n"/>
      <c r="D29" s="1" t="n"/>
      <c r="E29" s="1" t="n"/>
      <c r="F29" s="254" t="n"/>
      <c r="G29" s="1" t="n"/>
      <c r="H29" s="1" t="n"/>
      <c r="I29" s="254" t="n"/>
      <c r="J29" s="1" t="n"/>
      <c r="K29" s="1" t="n"/>
      <c r="L29" s="254" t="n"/>
      <c r="M29" s="1" t="n"/>
      <c r="N29" s="1" t="n"/>
      <c r="O29" s="254" t="n"/>
      <c r="P29" s="21" t="n"/>
      <c r="Q29" s="21" t="n"/>
      <c r="R29" s="24" t="n"/>
    </row>
    <row r="30" ht="23.5" customHeight="1">
      <c r="B30" s="11" t="inlineStr">
        <is>
          <t>Lado A</t>
        </is>
      </c>
      <c r="C30" s="1" t="n"/>
      <c r="D30" s="1" t="n"/>
      <c r="E30" s="1" t="n"/>
      <c r="F30" s="7">
        <f>E30*D30</f>
        <v/>
      </c>
      <c r="G30" s="1" t="n"/>
      <c r="H30" s="1" t="n"/>
      <c r="I30" s="7">
        <f>H30*G30</f>
        <v/>
      </c>
      <c r="J30" s="1" t="n"/>
      <c r="K30" s="1" t="n"/>
      <c r="L30" s="7">
        <f>K30*J30</f>
        <v/>
      </c>
      <c r="M30" s="1" t="n"/>
      <c r="N30" s="1" t="n"/>
      <c r="O30" s="7">
        <f>N30*M30</f>
        <v/>
      </c>
      <c r="P30" s="21" t="n"/>
      <c r="Q30" s="21" t="n"/>
      <c r="R30" s="23">
        <f>Q30*P30</f>
        <v/>
      </c>
    </row>
    <row r="31" ht="23.5" customHeight="1">
      <c r="B31" s="11" t="inlineStr">
        <is>
          <t>Lado B</t>
        </is>
      </c>
      <c r="C31" s="1" t="n"/>
      <c r="D31" s="1" t="n"/>
      <c r="E31" s="1" t="n"/>
      <c r="F31" s="7">
        <f>E31*D31</f>
        <v/>
      </c>
      <c r="G31" s="1" t="n"/>
      <c r="H31" s="1" t="n"/>
      <c r="I31" s="7">
        <f>H31*G31</f>
        <v/>
      </c>
      <c r="J31" s="1" t="n"/>
      <c r="K31" s="1" t="n"/>
      <c r="L31" s="7">
        <f>K31*J31</f>
        <v/>
      </c>
      <c r="M31" s="1" t="n"/>
      <c r="N31" s="1" t="n"/>
      <c r="O31" s="7">
        <f>N31*M31</f>
        <v/>
      </c>
      <c r="P31" s="21" t="n"/>
      <c r="Q31" s="21" t="n"/>
      <c r="R31" s="23">
        <f>Q31*P31</f>
        <v/>
      </c>
    </row>
    <row r="32" ht="23.5" customHeight="1">
      <c r="B32" s="8" t="inlineStr">
        <is>
          <t>EDIFICACION 08</t>
        </is>
      </c>
      <c r="C32" s="1" t="n"/>
      <c r="D32" s="1" t="n"/>
      <c r="E32" s="1" t="n"/>
      <c r="F32" s="254" t="n"/>
      <c r="G32" s="1" t="n"/>
      <c r="H32" s="1" t="n"/>
      <c r="I32" s="254" t="n"/>
      <c r="J32" s="1" t="n"/>
      <c r="K32" s="1" t="n"/>
      <c r="L32" s="254" t="n"/>
      <c r="M32" s="1" t="n"/>
      <c r="N32" s="1" t="n"/>
      <c r="O32" s="254" t="n"/>
      <c r="P32" s="21" t="n"/>
      <c r="Q32" s="21" t="n"/>
      <c r="R32" s="24" t="n"/>
    </row>
    <row r="33" ht="23.5" customHeight="1">
      <c r="B33" s="11" t="inlineStr">
        <is>
          <t>Lado A</t>
        </is>
      </c>
      <c r="C33" s="1" t="n"/>
      <c r="D33" s="1" t="n"/>
      <c r="E33" s="1" t="n"/>
      <c r="F33" s="7">
        <f>E33*D33</f>
        <v/>
      </c>
      <c r="G33" s="1" t="n"/>
      <c r="H33" s="19" t="n"/>
      <c r="I33" s="7">
        <f>H33*G33</f>
        <v/>
      </c>
      <c r="J33" s="1" t="n"/>
      <c r="K33" s="1" t="n"/>
      <c r="L33" s="7">
        <f>K33*J33</f>
        <v/>
      </c>
      <c r="M33" s="1" t="n"/>
      <c r="N33" s="1" t="n"/>
      <c r="O33" s="7">
        <f>N33*M33</f>
        <v/>
      </c>
      <c r="P33" s="21" t="n"/>
      <c r="Q33" s="21" t="n"/>
      <c r="R33" s="23">
        <f>Q33*P33</f>
        <v/>
      </c>
    </row>
    <row r="34" ht="23.5" customHeight="1">
      <c r="B34" s="11" t="inlineStr">
        <is>
          <t>Lado B</t>
        </is>
      </c>
      <c r="C34" s="1" t="n"/>
      <c r="D34" s="1" t="n"/>
      <c r="E34" s="1" t="n"/>
      <c r="F34" s="7">
        <f>E34*D34</f>
        <v/>
      </c>
      <c r="G34" s="1" t="n"/>
      <c r="H34" s="1" t="n"/>
      <c r="I34" s="7">
        <f>H34*G34</f>
        <v/>
      </c>
      <c r="J34" s="1" t="n"/>
      <c r="K34" s="1" t="n"/>
      <c r="L34" s="7">
        <f>K34*J34</f>
        <v/>
      </c>
      <c r="M34" s="1" t="n"/>
      <c r="N34" s="1" t="n"/>
      <c r="O34" s="7">
        <f>N34*M34</f>
        <v/>
      </c>
      <c r="P34" s="21" t="n"/>
      <c r="Q34" s="21" t="n"/>
      <c r="R34" s="23">
        <f>Q34*P34</f>
        <v/>
      </c>
    </row>
    <row r="35" ht="23.5" customHeight="1">
      <c r="B35" s="8" t="inlineStr">
        <is>
          <t>EDIFICACION 09</t>
        </is>
      </c>
      <c r="C35" s="1" t="n"/>
      <c r="D35" s="1" t="n"/>
      <c r="E35" s="1" t="n"/>
      <c r="F35" s="254" t="n"/>
      <c r="G35" s="1" t="n"/>
      <c r="H35" s="1" t="n"/>
      <c r="I35" s="254" t="n"/>
      <c r="J35" s="1" t="n"/>
      <c r="K35" s="1" t="n"/>
      <c r="L35" s="254" t="n"/>
      <c r="M35" s="1" t="n"/>
      <c r="N35" s="1" t="n"/>
      <c r="O35" s="254" t="n"/>
      <c r="P35" s="21" t="n"/>
      <c r="Q35" s="21" t="n"/>
      <c r="R35" s="24" t="n"/>
    </row>
    <row r="36" ht="23.5" customHeight="1">
      <c r="B36" s="11" t="inlineStr">
        <is>
          <t>Lado A</t>
        </is>
      </c>
      <c r="C36" s="1" t="n"/>
      <c r="D36" s="1" t="n"/>
      <c r="E36" s="1" t="n"/>
      <c r="F36" s="7">
        <f>E36*D36</f>
        <v/>
      </c>
      <c r="G36" s="1" t="n"/>
      <c r="H36" s="1" t="n"/>
      <c r="I36" s="7">
        <f>H36*G36</f>
        <v/>
      </c>
      <c r="J36" s="1" t="n"/>
      <c r="K36" s="1" t="n"/>
      <c r="L36" s="7">
        <f>K36*J36</f>
        <v/>
      </c>
      <c r="M36" s="1" t="n"/>
      <c r="N36" s="1" t="n"/>
      <c r="O36" s="7">
        <f>N36*M36</f>
        <v/>
      </c>
      <c r="P36" s="21" t="n"/>
      <c r="Q36" s="21" t="n"/>
      <c r="R36" s="23">
        <f>Q36*P36</f>
        <v/>
      </c>
    </row>
    <row r="37" ht="23.5" customHeight="1">
      <c r="B37" s="11" t="inlineStr">
        <is>
          <t>Lado B</t>
        </is>
      </c>
      <c r="C37" s="1" t="n"/>
      <c r="D37" s="1" t="n"/>
      <c r="E37" s="1" t="n"/>
      <c r="F37" s="7">
        <f>E37*D37</f>
        <v/>
      </c>
      <c r="G37" s="1" t="n"/>
      <c r="H37" s="1" t="n"/>
      <c r="I37" s="7">
        <f>H37*G37</f>
        <v/>
      </c>
      <c r="J37" s="1" t="n"/>
      <c r="K37" s="1" t="n"/>
      <c r="L37" s="7">
        <f>K37*J37</f>
        <v/>
      </c>
      <c r="M37" s="1" t="n"/>
      <c r="N37" s="1" t="n"/>
      <c r="O37" s="7">
        <f>N37*M37</f>
        <v/>
      </c>
      <c r="P37" s="21" t="n"/>
      <c r="Q37" s="21" t="n"/>
      <c r="R37" s="23">
        <f>Q37*P37</f>
        <v/>
      </c>
    </row>
    <row r="38" ht="23.5" customHeight="1">
      <c r="B38" s="8" t="inlineStr">
        <is>
          <t>EDIFICACION 10</t>
        </is>
      </c>
      <c r="C38" s="20" t="n"/>
      <c r="D38" s="1" t="n"/>
      <c r="E38" s="1" t="n"/>
      <c r="F38" s="254" t="n"/>
      <c r="G38" s="1" t="n"/>
      <c r="H38" s="1" t="n"/>
      <c r="I38" s="254" t="n"/>
      <c r="J38" s="1" t="n"/>
      <c r="K38" s="1" t="n"/>
      <c r="L38" s="254" t="n"/>
      <c r="M38" s="1" t="n"/>
      <c r="N38" s="1" t="n"/>
      <c r="O38" s="254" t="n"/>
      <c r="P38" s="21" t="n"/>
      <c r="Q38" s="21" t="n"/>
      <c r="R38" s="24" t="n"/>
    </row>
    <row r="39" ht="23.5" customHeight="1">
      <c r="B39" s="11" t="inlineStr">
        <is>
          <t>Lado A</t>
        </is>
      </c>
      <c r="C39" s="21" t="n"/>
      <c r="D39" s="1" t="n"/>
      <c r="E39" s="1" t="n"/>
      <c r="F39" s="7">
        <f>E39*D39</f>
        <v/>
      </c>
      <c r="G39" s="1" t="n"/>
      <c r="H39" s="1" t="n"/>
      <c r="I39" s="7">
        <f>H39*G39</f>
        <v/>
      </c>
      <c r="J39" s="1" t="n"/>
      <c r="K39" s="1" t="n"/>
      <c r="L39" s="7">
        <f>K39*J39</f>
        <v/>
      </c>
      <c r="M39" s="1" t="n"/>
      <c r="N39" s="1" t="n"/>
      <c r="O39" s="7">
        <f>N39*M39</f>
        <v/>
      </c>
      <c r="P39" s="21" t="n"/>
      <c r="Q39" s="21" t="n"/>
      <c r="R39" s="23">
        <f>Q39*P39</f>
        <v/>
      </c>
    </row>
    <row r="40" ht="23.5" customHeight="1">
      <c r="B40" s="11" t="inlineStr">
        <is>
          <t>Lado B</t>
        </is>
      </c>
      <c r="C40" s="1" t="n"/>
      <c r="D40" s="1" t="n"/>
      <c r="E40" s="1" t="n"/>
      <c r="F40" s="7">
        <f>E40*D40</f>
        <v/>
      </c>
      <c r="G40" s="1" t="n"/>
      <c r="H40" s="1" t="n"/>
      <c r="I40" s="7">
        <f>H40*G40</f>
        <v/>
      </c>
      <c r="J40" s="1" t="n"/>
      <c r="K40" s="1" t="n"/>
      <c r="L40" s="7">
        <f>K40*J40</f>
        <v/>
      </c>
      <c r="M40" s="1" t="n"/>
      <c r="N40" s="1" t="n"/>
      <c r="O40" s="7">
        <f>N40*M40</f>
        <v/>
      </c>
      <c r="P40" s="21" t="n"/>
      <c r="Q40" s="21" t="n"/>
      <c r="R40" s="23">
        <f>Q40*P40</f>
        <v/>
      </c>
    </row>
    <row r="41" ht="23.5" customHeight="1">
      <c r="B41" s="8" t="inlineStr">
        <is>
          <t>EDIFICACION 11</t>
        </is>
      </c>
      <c r="C41" s="1" t="n"/>
      <c r="D41" s="1" t="n"/>
      <c r="E41" s="1" t="n"/>
      <c r="F41" s="254" t="n"/>
      <c r="G41" s="1" t="n"/>
      <c r="H41" s="1" t="n"/>
      <c r="I41" s="254" t="n"/>
      <c r="J41" s="1" t="n"/>
      <c r="K41" s="1" t="n"/>
      <c r="L41" s="254" t="n"/>
      <c r="M41" s="1" t="n"/>
      <c r="N41" s="1" t="n"/>
      <c r="O41" s="254" t="n"/>
      <c r="P41" s="21" t="n"/>
      <c r="Q41" s="21" t="n"/>
      <c r="R41" s="24" t="n"/>
    </row>
    <row r="42" ht="23.5" customHeight="1">
      <c r="B42" s="11" t="inlineStr">
        <is>
          <t>Lado A</t>
        </is>
      </c>
      <c r="C42" s="1" t="n"/>
      <c r="D42" s="1" t="n"/>
      <c r="E42" s="1" t="n"/>
      <c r="F42" s="7">
        <f>E42*D42</f>
        <v/>
      </c>
      <c r="G42" s="1" t="n"/>
      <c r="H42" s="1" t="n"/>
      <c r="I42" s="7">
        <f>H42*G42</f>
        <v/>
      </c>
      <c r="J42" s="1" t="n"/>
      <c r="K42" s="1" t="n"/>
      <c r="L42" s="7">
        <f>K42*J42</f>
        <v/>
      </c>
      <c r="M42" s="1" t="n"/>
      <c r="N42" s="1" t="n"/>
      <c r="O42" s="7">
        <f>N42*M42</f>
        <v/>
      </c>
      <c r="P42" s="21" t="n"/>
      <c r="Q42" s="21" t="n"/>
      <c r="R42" s="23">
        <f>Q42*P42</f>
        <v/>
      </c>
    </row>
    <row r="43" ht="23.5" customHeight="1">
      <c r="B43" s="11" t="inlineStr">
        <is>
          <t>Lado B</t>
        </is>
      </c>
      <c r="C43" s="1" t="n"/>
      <c r="D43" s="1" t="n"/>
      <c r="E43" s="1" t="n"/>
      <c r="F43" s="7">
        <f>E43*D43</f>
        <v/>
      </c>
      <c r="G43" s="1" t="n"/>
      <c r="H43" s="1" t="n"/>
      <c r="I43" s="7">
        <f>H43*G43</f>
        <v/>
      </c>
      <c r="J43" s="1" t="n"/>
      <c r="K43" s="1" t="n"/>
      <c r="L43" s="7">
        <f>K43*J43</f>
        <v/>
      </c>
      <c r="M43" s="1" t="n"/>
      <c r="N43" s="1" t="n"/>
      <c r="O43" s="7">
        <f>N43*M43</f>
        <v/>
      </c>
      <c r="P43" s="21" t="n"/>
      <c r="Q43" s="21" t="n"/>
      <c r="R43" s="23">
        <f>Q43*P43</f>
        <v/>
      </c>
    </row>
    <row r="44" ht="23.5" customHeight="1">
      <c r="B44" s="8" t="inlineStr">
        <is>
          <t>EDIFICACION 12</t>
        </is>
      </c>
      <c r="C44" s="1" t="n"/>
      <c r="D44" s="1" t="n"/>
      <c r="E44" s="1" t="n"/>
      <c r="F44" s="254" t="n"/>
      <c r="G44" s="1" t="n"/>
      <c r="H44" s="1" t="n"/>
      <c r="I44" s="254" t="n"/>
      <c r="J44" s="1" t="n"/>
      <c r="K44" s="1" t="n"/>
      <c r="L44" s="254" t="n"/>
      <c r="M44" s="1" t="n"/>
      <c r="N44" s="1" t="n"/>
      <c r="O44" s="254" t="n"/>
      <c r="P44" s="21" t="n"/>
      <c r="Q44" s="21" t="n"/>
      <c r="R44" s="24" t="n"/>
    </row>
    <row r="45" ht="23.5" customHeight="1">
      <c r="B45" s="11" t="inlineStr">
        <is>
          <t>Lado A</t>
        </is>
      </c>
      <c r="C45" s="1" t="n"/>
      <c r="D45" s="1" t="n"/>
      <c r="E45" s="1" t="n"/>
      <c r="F45" s="7">
        <f>E45*D45</f>
        <v/>
      </c>
      <c r="G45" s="1" t="n"/>
      <c r="H45" s="1" t="n"/>
      <c r="I45" s="7">
        <f>H45*G45</f>
        <v/>
      </c>
      <c r="J45" s="1" t="n"/>
      <c r="K45" s="1" t="n"/>
      <c r="L45" s="7">
        <f>K45*J45</f>
        <v/>
      </c>
      <c r="M45" s="1" t="n"/>
      <c r="N45" s="1" t="n"/>
      <c r="O45" s="7">
        <f>N45*M45</f>
        <v/>
      </c>
      <c r="P45" s="21" t="n"/>
      <c r="Q45" s="21" t="n"/>
      <c r="R45" s="23">
        <f>Q45*P45</f>
        <v/>
      </c>
    </row>
    <row r="46" ht="23.5" customHeight="1">
      <c r="B46" s="11" t="inlineStr">
        <is>
          <t>Lado B</t>
        </is>
      </c>
      <c r="C46" s="1" t="n"/>
      <c r="D46" s="1" t="n"/>
      <c r="E46" s="1" t="n"/>
      <c r="F46" s="7">
        <f>E46*D46</f>
        <v/>
      </c>
      <c r="G46" s="1" t="n"/>
      <c r="H46" s="1" t="n"/>
      <c r="I46" s="7">
        <f>H46*G46</f>
        <v/>
      </c>
      <c r="J46" s="1" t="n"/>
      <c r="K46" s="1" t="n"/>
      <c r="L46" s="7">
        <f>K46*J46</f>
        <v/>
      </c>
      <c r="M46" s="1" t="n"/>
      <c r="N46" s="1" t="n"/>
      <c r="O46" s="7">
        <f>N46*M46</f>
        <v/>
      </c>
      <c r="P46" s="21" t="n"/>
      <c r="Q46" s="21" t="n"/>
      <c r="R46" s="23">
        <f>Q46*P46</f>
        <v/>
      </c>
    </row>
    <row r="47" ht="23.5" customHeight="1">
      <c r="B47" s="8" t="inlineStr">
        <is>
          <t>EDIFICACION 13</t>
        </is>
      </c>
      <c r="C47" s="1" t="n"/>
      <c r="D47" s="1" t="n"/>
      <c r="E47" s="1" t="n"/>
      <c r="F47" s="254" t="n"/>
      <c r="G47" s="1" t="n"/>
      <c r="H47" s="1" t="n"/>
      <c r="I47" s="254" t="n"/>
      <c r="J47" s="1" t="n"/>
      <c r="K47" s="1" t="n"/>
      <c r="L47" s="254" t="n"/>
      <c r="M47" s="1" t="n"/>
      <c r="N47" s="1" t="n"/>
      <c r="O47" s="254" t="n"/>
      <c r="P47" s="21" t="n"/>
      <c r="Q47" s="21" t="n"/>
      <c r="R47" s="24" t="n"/>
    </row>
    <row r="48" ht="23.5" customHeight="1">
      <c r="B48" s="11" t="inlineStr">
        <is>
          <t>Lado A</t>
        </is>
      </c>
      <c r="C48" s="1" t="n"/>
      <c r="D48" s="1" t="n"/>
      <c r="E48" s="1" t="n"/>
      <c r="F48" s="7">
        <f>E48*D48</f>
        <v/>
      </c>
      <c r="G48" s="1" t="n"/>
      <c r="H48" s="1" t="n"/>
      <c r="I48" s="7">
        <f>H48*G48</f>
        <v/>
      </c>
      <c r="J48" s="1" t="n"/>
      <c r="K48" s="1" t="n"/>
      <c r="L48" s="7">
        <f>K48*J48</f>
        <v/>
      </c>
      <c r="M48" s="1" t="n"/>
      <c r="N48" s="1" t="n"/>
      <c r="O48" s="7">
        <f>N48*M48</f>
        <v/>
      </c>
      <c r="P48" s="21" t="n"/>
      <c r="Q48" s="21" t="n"/>
      <c r="R48" s="23">
        <f>Q48*P48</f>
        <v/>
      </c>
    </row>
    <row r="49" ht="23.5" customHeight="1">
      <c r="B49" s="11" t="inlineStr">
        <is>
          <t>Lado B</t>
        </is>
      </c>
      <c r="C49" s="1" t="n"/>
      <c r="D49" s="1" t="n"/>
      <c r="E49" s="1" t="n"/>
      <c r="F49" s="7">
        <f>E49*D49</f>
        <v/>
      </c>
      <c r="G49" s="1" t="n"/>
      <c r="H49" s="1" t="n"/>
      <c r="I49" s="7">
        <f>H49*G49</f>
        <v/>
      </c>
      <c r="J49" s="1" t="n"/>
      <c r="K49" s="1" t="n"/>
      <c r="L49" s="7">
        <f>K49*J49</f>
        <v/>
      </c>
      <c r="M49" s="1" t="n"/>
      <c r="N49" s="1" t="n"/>
      <c r="O49" s="7">
        <f>N49*M49</f>
        <v/>
      </c>
      <c r="P49" s="21" t="n"/>
      <c r="Q49" s="21" t="n"/>
      <c r="R49" s="23">
        <f>Q49*P49</f>
        <v/>
      </c>
    </row>
    <row r="50" ht="23.5" customHeight="1">
      <c r="B50" s="8" t="inlineStr">
        <is>
          <t>EDIFICACION 14</t>
        </is>
      </c>
      <c r="C50" s="1" t="n"/>
      <c r="D50" s="1" t="n"/>
      <c r="E50" s="1" t="n"/>
      <c r="F50" s="254" t="n"/>
      <c r="G50" s="1" t="n"/>
      <c r="H50" s="1" t="n"/>
      <c r="I50" s="254" t="n"/>
      <c r="J50" s="1" t="n"/>
      <c r="K50" s="1" t="n"/>
      <c r="L50" s="254" t="n"/>
      <c r="M50" s="1" t="n"/>
      <c r="N50" s="1" t="n"/>
      <c r="O50" s="254" t="n"/>
      <c r="P50" s="21" t="n"/>
      <c r="Q50" s="21" t="n"/>
      <c r="R50" s="24" t="n"/>
    </row>
    <row r="51" ht="23.5" customHeight="1">
      <c r="B51" s="11" t="inlineStr">
        <is>
          <t>Lado A</t>
        </is>
      </c>
      <c r="C51" s="1" t="n"/>
      <c r="D51" s="1" t="n"/>
      <c r="E51" s="1" t="n"/>
      <c r="F51" s="7">
        <f>E51*D51</f>
        <v/>
      </c>
      <c r="G51" s="1" t="n"/>
      <c r="H51" s="1" t="n"/>
      <c r="I51" s="7">
        <f>H51*G51</f>
        <v/>
      </c>
      <c r="J51" s="1" t="n"/>
      <c r="K51" s="1" t="n"/>
      <c r="L51" s="7">
        <f>K51*J51</f>
        <v/>
      </c>
      <c r="M51" s="1" t="n"/>
      <c r="N51" s="1" t="n"/>
      <c r="O51" s="7">
        <f>N51*M51</f>
        <v/>
      </c>
      <c r="P51" s="21" t="n"/>
      <c r="Q51" s="21" t="n"/>
      <c r="R51" s="23">
        <f>Q51*P51</f>
        <v/>
      </c>
    </row>
    <row r="52" ht="23.5" customHeight="1">
      <c r="B52" s="11" t="inlineStr">
        <is>
          <t>Lado B</t>
        </is>
      </c>
      <c r="C52" s="1" t="n"/>
      <c r="D52" s="1" t="n"/>
      <c r="E52" s="1" t="n"/>
      <c r="F52" s="7">
        <f>E52*D52</f>
        <v/>
      </c>
      <c r="G52" s="1" t="n"/>
      <c r="H52" s="1" t="n"/>
      <c r="I52" s="7">
        <f>H52*G52</f>
        <v/>
      </c>
      <c r="J52" s="1" t="n"/>
      <c r="K52" s="1" t="n"/>
      <c r="L52" s="7">
        <f>K52*J52</f>
        <v/>
      </c>
      <c r="M52" s="1" t="n"/>
      <c r="N52" s="1" t="n"/>
      <c r="O52" s="7">
        <f>N52*M52</f>
        <v/>
      </c>
      <c r="P52" s="21" t="n"/>
      <c r="Q52" s="21" t="n"/>
      <c r="R52" s="23">
        <f>Q52*P52</f>
        <v/>
      </c>
    </row>
    <row r="53" ht="23.5" customHeight="1">
      <c r="B53" s="8" t="inlineStr">
        <is>
          <t>OBRA EXTERIOR 01</t>
        </is>
      </c>
      <c r="C53" s="1" t="n"/>
      <c r="D53" s="1" t="n"/>
      <c r="E53" s="1" t="n"/>
      <c r="F53" s="7">
        <f>E53*D53</f>
        <v/>
      </c>
      <c r="G53" s="1" t="n"/>
      <c r="H53" s="1" t="n"/>
      <c r="I53" s="7">
        <f>H53*G53</f>
        <v/>
      </c>
      <c r="J53" s="1" t="n"/>
      <c r="K53" s="1" t="n"/>
      <c r="L53" s="7">
        <f>K53*J53</f>
        <v/>
      </c>
      <c r="M53" s="1" t="n"/>
      <c r="N53" s="1" t="n"/>
      <c r="O53" s="7">
        <f>N53*M53</f>
        <v/>
      </c>
      <c r="P53" s="21" t="n"/>
      <c r="Q53" s="21" t="n"/>
      <c r="R53" s="23">
        <f>Q53*P53</f>
        <v/>
      </c>
    </row>
    <row r="54" ht="23.5" customHeight="1">
      <c r="B54" s="8" t="inlineStr">
        <is>
          <t>OBRA EXTERIOR03</t>
        </is>
      </c>
      <c r="C54" s="1" t="n"/>
      <c r="D54" s="1" t="n"/>
      <c r="E54" s="1" t="n"/>
      <c r="F54" s="7">
        <f>E54*D54</f>
        <v/>
      </c>
      <c r="G54" s="1" t="n"/>
      <c r="H54" s="1" t="n"/>
      <c r="I54" s="7">
        <f>H54*G54</f>
        <v/>
      </c>
      <c r="J54" s="1" t="n"/>
      <c r="K54" s="1" t="n"/>
      <c r="L54" s="7">
        <f>K54*J54</f>
        <v/>
      </c>
      <c r="M54" s="1" t="n"/>
      <c r="N54" s="1" t="n"/>
      <c r="O54" s="7">
        <f>N54*M54</f>
        <v/>
      </c>
      <c r="P54" s="21" t="n"/>
      <c r="Q54" s="21" t="n"/>
      <c r="R54" s="23">
        <f>Q54*P54</f>
        <v/>
      </c>
    </row>
    <row r="55" ht="23.5" customHeight="1">
      <c r="B55" s="8" t="inlineStr">
        <is>
          <t>OBRA EXTERIOR 05</t>
        </is>
      </c>
      <c r="C55" s="1" t="n"/>
      <c r="D55" s="1" t="n"/>
      <c r="E55" s="1" t="n"/>
      <c r="F55" s="7">
        <f>E55*D55</f>
        <v/>
      </c>
      <c r="G55" s="1" t="n"/>
      <c r="H55" s="1" t="n"/>
      <c r="I55" s="7">
        <f>H55*G55</f>
        <v/>
      </c>
      <c r="J55" s="1" t="n"/>
      <c r="K55" s="1" t="n"/>
      <c r="L55" s="7">
        <f>K55*J55</f>
        <v/>
      </c>
      <c r="M55" s="1" t="n"/>
      <c r="N55" s="1" t="n"/>
      <c r="O55" s="7">
        <f>N55*M55</f>
        <v/>
      </c>
      <c r="P55" s="21" t="n"/>
      <c r="Q55" s="21" t="n"/>
      <c r="R55" s="23">
        <f>Q55*P55</f>
        <v/>
      </c>
    </row>
    <row r="56" ht="23.5" customHeight="1">
      <c r="B56" s="8" t="inlineStr">
        <is>
          <t>OBRA EXTERIOR 06</t>
        </is>
      </c>
      <c r="C56" s="1" t="n"/>
      <c r="D56" s="1" t="n"/>
      <c r="E56" s="1" t="n"/>
      <c r="F56" s="25">
        <f>E56*D56</f>
        <v/>
      </c>
      <c r="G56" s="1" t="n"/>
      <c r="H56" s="1" t="n"/>
      <c r="I56" s="7">
        <f>H56*G56</f>
        <v/>
      </c>
      <c r="J56" s="1" t="n"/>
      <c r="K56" s="1" t="n"/>
      <c r="L56" s="7">
        <f>K56*J56</f>
        <v/>
      </c>
      <c r="M56" s="1" t="n"/>
      <c r="N56" s="1" t="n"/>
      <c r="O56" s="7">
        <f>N56*M56</f>
        <v/>
      </c>
      <c r="P56" s="21" t="n"/>
      <c r="Q56" s="21" t="n"/>
      <c r="R56" s="22">
        <f>Q56*P56</f>
        <v/>
      </c>
    </row>
    <row r="57" ht="23.5" customHeight="1">
      <c r="C57" s="9">
        <f>SUM(C11:C56)</f>
        <v/>
      </c>
      <c r="D57" s="1" t="n"/>
      <c r="E57" s="1" t="n"/>
      <c r="F57" s="9">
        <f>SUM(F11:F56)</f>
        <v/>
      </c>
      <c r="G57" s="1" t="n"/>
      <c r="H57" s="1" t="n"/>
      <c r="I57" s="9">
        <f>SUM(I11:I56)</f>
        <v/>
      </c>
      <c r="J57" s="1" t="n"/>
      <c r="K57" s="1" t="n"/>
      <c r="L57" s="9">
        <f>SUM(L11:L56)</f>
        <v/>
      </c>
      <c r="M57" s="1" t="n"/>
      <c r="N57" s="1" t="n"/>
      <c r="O57" s="9">
        <f>SUM(O11:O56)</f>
        <v/>
      </c>
      <c r="P57" s="21" t="n"/>
      <c r="Q57" s="21" t="n"/>
      <c r="R57" s="9">
        <f>SUM(R11:R56)</f>
        <v/>
      </c>
    </row>
    <row r="58">
      <c r="M58" s="19" t="n"/>
      <c r="N58" s="19" t="n"/>
      <c r="O58" s="19" t="n"/>
    </row>
  </sheetData>
  <mergeCells count="12">
    <mergeCell ref="C9:C10"/>
    <mergeCell ref="C5:R5"/>
    <mergeCell ref="M9:O9"/>
    <mergeCell ref="C3:R3"/>
    <mergeCell ref="B2:R2"/>
    <mergeCell ref="P9:R9"/>
    <mergeCell ref="C4:R4"/>
    <mergeCell ref="D9:F9"/>
    <mergeCell ref="G9:I9"/>
    <mergeCell ref="J9:L9"/>
    <mergeCell ref="C6:R6"/>
    <mergeCell ref="C7:R7"/>
  </mergeCells>
  <pageMargins left="1.417322834645669" right="0.3937007874015748" top="1.299212598425197" bottom="0.3937007874015748" header="0.3149606299212598" footer="0.3149606299212598"/>
  <pageSetup orientation="landscape" paperSize="9" scale="55"/>
  <headerFooter>
    <oddHeader>&amp;C&amp;G</oddHeader>
    <oddFooter/>
    <evenHeader/>
    <evenFooter/>
    <firstHeader/>
    <firstFooter/>
  </headerFooter>
  <legacyDrawingHF r:id="rIdHF1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G35"/>
  <sheetViews>
    <sheetView view="pageBreakPreview" zoomScale="115" zoomScaleNormal="115" zoomScaleSheetLayoutView="115" workbookViewId="0">
      <selection activeCell="F17" sqref="F17"/>
    </sheetView>
  </sheetViews>
  <sheetFormatPr baseColWidth="10" defaultRowHeight="14"/>
  <cols>
    <col width="17.453125" customWidth="1" style="65" min="1" max="1"/>
    <col width="26.1796875" customWidth="1" style="65" min="2" max="2"/>
    <col width="19.6328125" customWidth="1" style="65" min="3" max="6"/>
    <col width="24" customWidth="1" style="65" min="7" max="7"/>
    <col width="10.90625" customWidth="1" style="65" min="8" max="16384"/>
  </cols>
  <sheetData>
    <row r="1" ht="18" customHeight="1">
      <c r="A1" s="270" t="inlineStr">
        <is>
          <t>PLANILLA DE METRADOS - RED DE DRENAJE EN PISO Y SUMIDEROS</t>
        </is>
      </c>
    </row>
    <row r="2" ht="25" customHeight="1">
      <c r="A2" s="98" t="inlineStr">
        <is>
          <t>ENTIDAD</t>
        </is>
      </c>
      <c r="B2" s="271">
        <f>+RESUMEN!B4</f>
        <v/>
      </c>
      <c r="C2" s="313" t="n"/>
      <c r="D2" s="313" t="n"/>
      <c r="E2" s="313" t="n"/>
      <c r="F2" s="313" t="n"/>
      <c r="G2" s="314" t="n"/>
    </row>
    <row r="3" ht="53.5" customHeight="1">
      <c r="A3" s="98" t="inlineStr">
        <is>
          <t>PROYECTO</t>
        </is>
      </c>
      <c r="B3" s="271">
        <f>+RESUMEN!B5</f>
        <v/>
      </c>
      <c r="C3" s="313" t="n"/>
      <c r="D3" s="313" t="n"/>
      <c r="E3" s="313" t="n"/>
      <c r="F3" s="313" t="n"/>
      <c r="G3" s="314" t="n"/>
    </row>
    <row r="4" ht="25" customHeight="1">
      <c r="A4" s="98" t="inlineStr">
        <is>
          <t>UBICACIÓN</t>
        </is>
      </c>
      <c r="B4" s="271">
        <f>+RESUMEN!B6</f>
        <v/>
      </c>
      <c r="C4" s="313" t="n"/>
      <c r="D4" s="313" t="n"/>
      <c r="E4" s="313" t="n"/>
      <c r="F4" s="313" t="n"/>
      <c r="G4" s="314" t="n"/>
    </row>
    <row r="5" ht="25" customHeight="1">
      <c r="A5" s="98" t="inlineStr">
        <is>
          <t>FECHA</t>
        </is>
      </c>
      <c r="B5" s="272">
        <f>+RESUMEN!B7</f>
        <v/>
      </c>
      <c r="C5" s="313" t="n"/>
      <c r="D5" s="313" t="n"/>
      <c r="E5" s="313" t="n"/>
      <c r="F5" s="313" t="n"/>
      <c r="G5" s="314" t="n"/>
    </row>
    <row r="6">
      <c r="A6" s="66" t="n"/>
      <c r="B6" s="66" t="n"/>
      <c r="C6" s="66" t="n"/>
      <c r="D6" s="66" t="n"/>
      <c r="E6" s="66" t="n"/>
      <c r="F6" s="66" t="n"/>
      <c r="G6" s="66" t="n"/>
    </row>
    <row r="7" ht="39" customHeight="1">
      <c r="A7" s="95" t="inlineStr">
        <is>
          <t>SECTOR</t>
        </is>
      </c>
      <c r="B7" s="96" t="inlineStr">
        <is>
          <t>TUBERÍA 4" PVC-U
Desagüe Clase Pesada (m)</t>
        </is>
      </c>
      <c r="C7" s="96" t="inlineStr">
        <is>
          <t>SUMIDERO DE 4"
(und)</t>
        </is>
      </c>
      <c r="D7" s="96" t="inlineStr">
        <is>
          <t>CODO 90° x 4"
(und)</t>
        </is>
      </c>
      <c r="E7" s="96" t="inlineStr">
        <is>
          <t>CODO 45° x 4"
(und)</t>
        </is>
      </c>
      <c r="F7" s="96" t="inlineStr">
        <is>
          <t>TEE° x 4"
(und)</t>
        </is>
      </c>
      <c r="G7" s="97" t="inlineStr">
        <is>
          <t>OBSERVACIÓN</t>
        </is>
      </c>
    </row>
    <row r="8" ht="21" customHeight="1">
      <c r="A8" s="67" t="inlineStr">
        <is>
          <t>SECTOR 01</t>
        </is>
      </c>
      <c r="B8" s="64" t="n">
        <v>26.52</v>
      </c>
      <c r="C8" s="68" t="n">
        <v>6</v>
      </c>
      <c r="D8" s="68" t="n">
        <v>4</v>
      </c>
      <c r="E8" s="68" t="n">
        <v>0</v>
      </c>
      <c r="F8" s="68" t="n">
        <v>2</v>
      </c>
      <c r="G8" s="69" t="inlineStr">
        <is>
          <t>Según sector</t>
        </is>
      </c>
    </row>
    <row r="9" ht="21" customHeight="1">
      <c r="A9" s="67" t="inlineStr">
        <is>
          <t>SECTOR 02</t>
        </is>
      </c>
      <c r="B9" s="64" t="n">
        <v>27.18</v>
      </c>
      <c r="C9" s="68" t="n">
        <v>8</v>
      </c>
      <c r="D9" s="68" t="n">
        <v>4</v>
      </c>
      <c r="E9" s="68" t="n">
        <v>0</v>
      </c>
      <c r="F9" s="68" t="n">
        <v>2</v>
      </c>
      <c r="G9" s="69" t="inlineStr">
        <is>
          <t>Según sector</t>
        </is>
      </c>
    </row>
    <row r="10" ht="21" customHeight="1">
      <c r="A10" s="67" t="inlineStr">
        <is>
          <t>SECTOR 03</t>
        </is>
      </c>
      <c r="B10" s="64" t="n">
        <v>32</v>
      </c>
      <c r="C10" s="68" t="n">
        <v>6</v>
      </c>
      <c r="D10" s="68" t="n">
        <v>6</v>
      </c>
      <c r="E10" s="68" t="n">
        <v>0</v>
      </c>
      <c r="F10" s="68" t="n">
        <v>0</v>
      </c>
      <c r="G10" s="69" t="inlineStr">
        <is>
          <t>Según sector</t>
        </is>
      </c>
    </row>
    <row r="11" ht="21" customHeight="1">
      <c r="A11" s="67" t="inlineStr">
        <is>
          <t>SECTOR 04</t>
        </is>
      </c>
      <c r="B11" s="64" t="n">
        <v>26.56</v>
      </c>
      <c r="C11" s="68" t="n">
        <v>10</v>
      </c>
      <c r="D11" s="68" t="n">
        <v>10</v>
      </c>
      <c r="E11" s="68" t="n">
        <v>0</v>
      </c>
      <c r="F11" s="68" t="n">
        <v>0</v>
      </c>
      <c r="G11" s="69" t="inlineStr">
        <is>
          <t>Según sector</t>
        </is>
      </c>
    </row>
    <row r="12" ht="21" customHeight="1">
      <c r="A12" s="70" t="inlineStr">
        <is>
          <t>TOTAL</t>
        </is>
      </c>
      <c r="B12" s="155">
        <f>SUM(B8:B11)</f>
        <v/>
      </c>
      <c r="C12" s="71">
        <f>SUM(C8:C11)</f>
        <v/>
      </c>
      <c r="D12" s="71">
        <f>SUM(D8:D11)</f>
        <v/>
      </c>
      <c r="E12" s="71">
        <f>SUM(E8:E11)</f>
        <v/>
      </c>
      <c r="F12" s="71">
        <f>SUM(F8:F11)</f>
        <v/>
      </c>
      <c r="G12" s="72" t="n"/>
    </row>
    <row r="13">
      <c r="A13" s="66" t="n"/>
      <c r="B13" s="66" t="n"/>
      <c r="C13" s="66" t="n"/>
      <c r="D13" s="66" t="n"/>
      <c r="E13" s="66" t="n"/>
      <c r="F13" s="66" t="n"/>
      <c r="G13" s="66" t="n"/>
    </row>
    <row r="14">
      <c r="A14" s="66" t="n"/>
      <c r="B14" s="66" t="n"/>
      <c r="C14" s="66" t="n"/>
      <c r="D14" s="66" t="n"/>
      <c r="E14" s="66" t="n"/>
      <c r="F14" s="66" t="n"/>
      <c r="G14" s="66" t="n"/>
    </row>
    <row r="15">
      <c r="A15" s="66" t="n"/>
      <c r="B15" s="66" t="n"/>
      <c r="C15" s="66" t="n"/>
      <c r="D15" s="66" t="n"/>
      <c r="E15" s="66" t="n"/>
      <c r="F15" s="66" t="n"/>
      <c r="G15" s="66" t="n"/>
    </row>
    <row r="16">
      <c r="A16" s="66" t="n"/>
      <c r="B16" s="66" t="n"/>
      <c r="C16" s="66" t="n"/>
      <c r="D16" s="66" t="n"/>
      <c r="E16" s="66" t="n"/>
      <c r="F16" s="66" t="n"/>
      <c r="G16" s="66" t="n"/>
    </row>
    <row r="17">
      <c r="A17" s="66" t="n"/>
      <c r="B17" s="66" t="n"/>
      <c r="C17" s="66" t="n"/>
      <c r="D17" s="66" t="n"/>
      <c r="E17" s="66" t="n"/>
      <c r="F17" s="66" t="n"/>
      <c r="G17" s="66" t="n"/>
    </row>
    <row r="18">
      <c r="A18" s="66" t="n"/>
      <c r="B18" s="66" t="n"/>
      <c r="C18" s="66" t="n"/>
      <c r="D18" s="66" t="n"/>
      <c r="E18" s="66" t="n"/>
      <c r="F18" s="66" t="n"/>
      <c r="G18" s="66" t="n"/>
    </row>
    <row r="19">
      <c r="A19" s="66" t="n"/>
      <c r="B19" s="66" t="n"/>
      <c r="C19" s="66" t="n"/>
      <c r="D19" s="66" t="n"/>
      <c r="E19" s="66" t="n"/>
      <c r="F19" s="66" t="n"/>
      <c r="G19" s="66" t="n"/>
    </row>
    <row r="20">
      <c r="A20" s="66" t="n"/>
      <c r="B20" s="66" t="n"/>
      <c r="C20" s="66" t="n"/>
      <c r="D20" s="66" t="n"/>
      <c r="E20" s="66" t="n"/>
      <c r="F20" s="66" t="n"/>
      <c r="G20" s="66" t="n"/>
    </row>
    <row r="21">
      <c r="A21" s="66" t="n"/>
      <c r="B21" s="66" t="n"/>
      <c r="C21" s="66" t="n"/>
      <c r="D21" s="66" t="n"/>
      <c r="E21" s="66" t="n"/>
      <c r="F21" s="66" t="n"/>
      <c r="G21" s="66" t="n"/>
    </row>
    <row r="22">
      <c r="A22" s="66" t="n"/>
      <c r="B22" s="66" t="n"/>
      <c r="C22" s="66" t="n"/>
      <c r="D22" s="66" t="n"/>
      <c r="E22" s="66" t="n"/>
      <c r="F22" s="66" t="n"/>
      <c r="G22" s="66" t="n"/>
    </row>
    <row r="23">
      <c r="A23" s="66" t="n"/>
      <c r="B23" s="66" t="n"/>
      <c r="C23" s="66" t="n"/>
      <c r="D23" s="66" t="n"/>
      <c r="E23" s="66" t="n"/>
      <c r="F23" s="66" t="n"/>
      <c r="G23" s="66" t="n"/>
    </row>
    <row r="24">
      <c r="A24" s="66" t="n"/>
      <c r="B24" s="66" t="n"/>
      <c r="C24" s="66" t="n"/>
      <c r="D24" s="66" t="n"/>
      <c r="E24" s="66" t="n"/>
      <c r="F24" s="66" t="n"/>
      <c r="G24" s="66" t="n"/>
    </row>
    <row r="25">
      <c r="A25" s="66" t="n"/>
      <c r="B25" s="66" t="n"/>
      <c r="C25" s="66" t="n"/>
      <c r="D25" s="66" t="n"/>
      <c r="E25" s="66" t="n"/>
      <c r="F25" s="66" t="n"/>
      <c r="G25" s="66" t="n"/>
    </row>
    <row r="26">
      <c r="A26" s="66" t="n"/>
      <c r="B26" s="66" t="n"/>
      <c r="C26" s="66" t="n"/>
      <c r="D26" s="66" t="n"/>
      <c r="E26" s="66" t="n"/>
      <c r="F26" s="66" t="n"/>
      <c r="G26" s="66" t="n"/>
    </row>
    <row r="27">
      <c r="A27" s="66" t="n"/>
      <c r="B27" s="66" t="n"/>
      <c r="C27" s="66" t="n"/>
      <c r="D27" s="66" t="n"/>
      <c r="E27" s="66" t="n"/>
      <c r="F27" s="66" t="n"/>
      <c r="G27" s="66" t="n"/>
    </row>
    <row r="28">
      <c r="A28" s="66" t="n"/>
      <c r="B28" s="66" t="n"/>
      <c r="C28" s="66" t="n"/>
      <c r="D28" s="66" t="n"/>
      <c r="E28" s="66" t="n"/>
      <c r="F28" s="66" t="n"/>
      <c r="G28" s="66" t="n"/>
    </row>
    <row r="29">
      <c r="A29" s="66" t="n"/>
      <c r="B29" s="66" t="n"/>
      <c r="C29" s="66" t="n"/>
      <c r="D29" s="66" t="n"/>
      <c r="E29" s="66" t="n"/>
      <c r="F29" s="66" t="n"/>
      <c r="G29" s="66" t="n"/>
    </row>
    <row r="30">
      <c r="A30" s="66" t="n"/>
      <c r="B30" s="66" t="n"/>
      <c r="C30" s="66" t="n"/>
      <c r="D30" s="66" t="n"/>
      <c r="E30" s="66" t="n"/>
      <c r="F30" s="66" t="n"/>
      <c r="G30" s="66" t="n"/>
    </row>
    <row r="31">
      <c r="A31" s="66" t="n"/>
      <c r="B31" s="66" t="n"/>
      <c r="C31" s="66" t="n"/>
      <c r="D31" s="66" t="n"/>
      <c r="E31" s="66" t="n"/>
      <c r="F31" s="66" t="n"/>
      <c r="G31" s="66" t="n"/>
    </row>
    <row r="32">
      <c r="A32" s="66" t="n"/>
      <c r="B32" s="66" t="n"/>
      <c r="C32" s="66" t="n"/>
      <c r="D32" s="66" t="n"/>
      <c r="E32" s="66" t="n"/>
      <c r="F32" s="66" t="n"/>
      <c r="G32" s="66" t="n"/>
    </row>
    <row r="33">
      <c r="A33" s="66" t="n"/>
      <c r="B33" s="66" t="n"/>
      <c r="C33" s="66" t="n"/>
      <c r="D33" s="66" t="n"/>
      <c r="E33" s="66" t="n"/>
      <c r="F33" s="66" t="n"/>
      <c r="G33" s="66" t="n"/>
    </row>
    <row r="34">
      <c r="A34" s="66" t="n"/>
      <c r="B34" s="66" t="n"/>
      <c r="C34" s="66" t="n"/>
      <c r="D34" s="66" t="n"/>
      <c r="E34" s="66" t="n"/>
      <c r="F34" s="66" t="n"/>
      <c r="G34" s="66" t="n"/>
    </row>
    <row r="35">
      <c r="A35" s="66" t="n"/>
      <c r="B35" s="66" t="n"/>
      <c r="C35" s="66" t="n"/>
      <c r="D35" s="66" t="n"/>
      <c r="E35" s="66" t="n"/>
      <c r="F35" s="66" t="n"/>
      <c r="G35" s="66" t="n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3" footer="0.3"/>
  <pageSetup orientation="landscape" paperSize="9" scale="90" fitToHeight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G38"/>
  <sheetViews>
    <sheetView topLeftCell="A6" zoomScale="85" zoomScaleNormal="85" zoomScaleSheetLayoutView="100" workbookViewId="0">
      <selection activeCell="G11" sqref="G11:G37"/>
    </sheetView>
  </sheetViews>
  <sheetFormatPr baseColWidth="10" defaultColWidth="9.453125" defaultRowHeight="14"/>
  <cols>
    <col width="18" customWidth="1" style="100" min="1" max="1"/>
    <col width="10.81640625" customWidth="1" style="100" min="2" max="2"/>
    <col width="14.1796875" customWidth="1" style="100" min="3" max="3"/>
    <col width="16.36328125" customWidth="1" style="100" min="4" max="4"/>
    <col width="12" customWidth="1" style="100" min="5" max="6"/>
    <col width="13.08984375" customWidth="1" style="192" min="7" max="7"/>
    <col width="12" customWidth="1" style="100" min="8" max="8"/>
    <col width="14.1796875" customWidth="1" style="100" min="9" max="9"/>
    <col width="13.08984375" customWidth="1" style="100" min="10" max="10"/>
    <col width="14.1796875" customWidth="1" style="100" min="11" max="12"/>
    <col width="13.08984375" customWidth="1" style="100" min="13" max="13"/>
    <col width="15.26953125" customWidth="1" style="100" min="14" max="14"/>
    <col width="12" customWidth="1" style="100" min="15" max="15"/>
    <col width="14.1796875" customWidth="1" style="100" min="16" max="16"/>
    <col width="16.36328125" customWidth="1" style="100" min="17" max="18"/>
    <col width="14.1796875" customWidth="1" style="100" min="19" max="20"/>
    <col width="16.36328125" customWidth="1" style="100" min="21" max="21"/>
    <col width="13.08984375" customWidth="1" style="100" min="22" max="22"/>
    <col width="15.26953125" customWidth="1" style="100" min="23" max="23"/>
    <col width="10.90625" customWidth="1" style="100" min="24" max="24"/>
    <col width="13.08984375" customWidth="1" style="100" min="25" max="25"/>
    <col width="15.26953125" customWidth="1" style="100" min="26" max="26"/>
    <col width="16.36328125" customWidth="1" style="100" min="27" max="28"/>
    <col width="15.26953125" customWidth="1" style="100" min="29" max="29"/>
    <col width="14.1796875" customWidth="1" style="100" min="30" max="30"/>
    <col width="16.36328125" customWidth="1" style="100" min="31" max="31"/>
    <col width="14.1796875" customWidth="1" style="100" min="32" max="32"/>
    <col width="15.26953125" customWidth="1" style="100" min="33" max="33"/>
    <col width="9.453125" customWidth="1" style="100" min="34" max="16384"/>
  </cols>
  <sheetData>
    <row r="1" customFormat="1" s="150">
      <c r="A1" s="148" t="n"/>
      <c r="B1" s="149" t="n"/>
      <c r="C1" s="149" t="n"/>
      <c r="D1" s="149" t="n"/>
      <c r="E1" s="149" t="n"/>
      <c r="F1" s="149" t="n"/>
      <c r="G1" s="191" t="n"/>
      <c r="H1" s="149" t="n"/>
      <c r="I1" s="148" t="n"/>
      <c r="J1" s="149" t="n"/>
      <c r="K1" s="149" t="n"/>
      <c r="L1" s="149" t="n"/>
      <c r="M1" s="149" t="n"/>
      <c r="N1" s="148" t="n"/>
      <c r="O1" s="149" t="n"/>
      <c r="P1" s="149" t="n"/>
      <c r="Q1" s="149" t="n"/>
      <c r="R1" s="149" t="n"/>
      <c r="S1" s="149" t="n"/>
      <c r="T1" s="149" t="n"/>
      <c r="U1" s="149" t="n"/>
      <c r="V1" s="149" t="n"/>
      <c r="W1" s="148" t="n"/>
      <c r="X1" s="149" t="n"/>
      <c r="Y1" s="149" t="n"/>
      <c r="Z1" s="149" t="n"/>
      <c r="AA1" s="149" t="n"/>
      <c r="AB1" s="149" t="n"/>
      <c r="AC1" s="149" t="n"/>
      <c r="AD1" s="149" t="n"/>
      <c r="AE1" s="149" t="n"/>
      <c r="AF1" s="149" t="n"/>
      <c r="AG1" s="149" t="n"/>
    </row>
    <row r="2" ht="33.5" customFormat="1" customHeight="1" s="150">
      <c r="A2" s="280" t="inlineStr">
        <is>
          <t>METRADO DE ACERO EN CUNETAS  - DRENAJE PLUVIAL</t>
        </is>
      </c>
      <c r="B2" s="313" t="n"/>
      <c r="C2" s="313" t="n"/>
      <c r="D2" s="313" t="n"/>
      <c r="E2" s="313" t="n"/>
      <c r="F2" s="313" t="n"/>
      <c r="G2" s="313" t="n"/>
      <c r="H2" s="313" t="n"/>
      <c r="I2" s="313" t="n"/>
      <c r="J2" s="313" t="n"/>
      <c r="K2" s="313" t="n"/>
      <c r="L2" s="313" t="n"/>
      <c r="M2" s="313" t="n"/>
      <c r="N2" s="313" t="n"/>
      <c r="O2" s="313" t="n"/>
      <c r="P2" s="313" t="n"/>
      <c r="Q2" s="313" t="n"/>
      <c r="R2" s="313" t="n"/>
      <c r="S2" s="313" t="n"/>
      <c r="T2" s="313" t="n"/>
      <c r="U2" s="313" t="n"/>
      <c r="V2" s="313" t="n"/>
      <c r="W2" s="313" t="n"/>
      <c r="X2" s="313" t="n"/>
      <c r="Y2" s="313" t="n"/>
      <c r="Z2" s="313" t="n"/>
      <c r="AA2" s="313" t="n"/>
      <c r="AB2" s="313" t="n"/>
      <c r="AC2" s="313" t="n"/>
      <c r="AD2" s="313" t="n"/>
      <c r="AE2" s="313" t="n"/>
      <c r="AF2" s="313" t="n"/>
      <c r="AG2" s="314" t="n"/>
    </row>
    <row r="3" ht="30" customFormat="1" customHeight="1" s="150">
      <c r="A3" s="152" t="inlineStr">
        <is>
          <t>ENTIDAD</t>
        </is>
      </c>
      <c r="B3" s="281">
        <f>+RESUMEN!B4</f>
        <v/>
      </c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3" t="n"/>
      <c r="P3" s="313" t="n"/>
      <c r="Q3" s="313" t="n"/>
      <c r="R3" s="313" t="n"/>
      <c r="S3" s="313" t="n"/>
      <c r="T3" s="313" t="n"/>
      <c r="U3" s="313" t="n"/>
      <c r="V3" s="313" t="n"/>
      <c r="W3" s="313" t="n"/>
      <c r="X3" s="313" t="n"/>
      <c r="Y3" s="313" t="n"/>
      <c r="Z3" s="313" t="n"/>
      <c r="AA3" s="313" t="n"/>
      <c r="AB3" s="313" t="n"/>
      <c r="AC3" s="313" t="n"/>
      <c r="AD3" s="313" t="n"/>
      <c r="AE3" s="313" t="n"/>
      <c r="AF3" s="313" t="n"/>
      <c r="AG3" s="314" t="n"/>
    </row>
    <row r="4" ht="40" customFormat="1" customHeight="1" s="150">
      <c r="A4" s="152" t="inlineStr">
        <is>
          <t>PROYECTO</t>
        </is>
      </c>
      <c r="B4" s="281">
        <f>+RESUMEN!B5</f>
        <v/>
      </c>
      <c r="C4" s="313" t="n"/>
      <c r="D4" s="313" t="n"/>
      <c r="E4" s="313" t="n"/>
      <c r="F4" s="313" t="n"/>
      <c r="G4" s="313" t="n"/>
      <c r="H4" s="313" t="n"/>
      <c r="I4" s="313" t="n"/>
      <c r="J4" s="313" t="n"/>
      <c r="K4" s="313" t="n"/>
      <c r="L4" s="313" t="n"/>
      <c r="M4" s="313" t="n"/>
      <c r="N4" s="313" t="n"/>
      <c r="O4" s="313" t="n"/>
      <c r="P4" s="313" t="n"/>
      <c r="Q4" s="313" t="n"/>
      <c r="R4" s="313" t="n"/>
      <c r="S4" s="313" t="n"/>
      <c r="T4" s="313" t="n"/>
      <c r="U4" s="313" t="n"/>
      <c r="V4" s="313" t="n"/>
      <c r="W4" s="313" t="n"/>
      <c r="X4" s="313" t="n"/>
      <c r="Y4" s="313" t="n"/>
      <c r="Z4" s="313" t="n"/>
      <c r="AA4" s="313" t="n"/>
      <c r="AB4" s="313" t="n"/>
      <c r="AC4" s="313" t="n"/>
      <c r="AD4" s="313" t="n"/>
      <c r="AE4" s="313" t="n"/>
      <c r="AF4" s="313" t="n"/>
      <c r="AG4" s="314" t="n"/>
    </row>
    <row r="5" ht="34.5" customFormat="1" customHeight="1" s="150">
      <c r="A5" s="152" t="inlineStr">
        <is>
          <t>UBICACIÓN</t>
        </is>
      </c>
      <c r="B5" s="281">
        <f>+RESUMEN!B6</f>
        <v/>
      </c>
      <c r="C5" s="313" t="n"/>
      <c r="D5" s="313" t="n"/>
      <c r="E5" s="313" t="n"/>
      <c r="F5" s="313" t="n"/>
      <c r="G5" s="313" t="n"/>
      <c r="H5" s="313" t="n"/>
      <c r="I5" s="313" t="n"/>
      <c r="J5" s="313" t="n"/>
      <c r="K5" s="313" t="n"/>
      <c r="L5" s="313" t="n"/>
      <c r="M5" s="313" t="n"/>
      <c r="N5" s="313" t="n"/>
      <c r="O5" s="313" t="n"/>
      <c r="P5" s="313" t="n"/>
      <c r="Q5" s="313" t="n"/>
      <c r="R5" s="313" t="n"/>
      <c r="S5" s="313" t="n"/>
      <c r="T5" s="313" t="n"/>
      <c r="U5" s="313" t="n"/>
      <c r="V5" s="313" t="n"/>
      <c r="W5" s="313" t="n"/>
      <c r="X5" s="313" t="n"/>
      <c r="Y5" s="313" t="n"/>
      <c r="Z5" s="313" t="n"/>
      <c r="AA5" s="313" t="n"/>
      <c r="AB5" s="313" t="n"/>
      <c r="AC5" s="313" t="n"/>
      <c r="AD5" s="313" t="n"/>
      <c r="AE5" s="313" t="n"/>
      <c r="AF5" s="313" t="n"/>
      <c r="AG5" s="314" t="n"/>
    </row>
    <row r="6" ht="30.5" customFormat="1" customHeight="1" s="150">
      <c r="A6" s="152" t="inlineStr">
        <is>
          <t>FECHA</t>
        </is>
      </c>
      <c r="B6" s="282">
        <f>+RESUMEN!B7</f>
        <v/>
      </c>
      <c r="C6" s="313" t="n"/>
      <c r="D6" s="313" t="n"/>
      <c r="E6" s="313" t="n"/>
      <c r="F6" s="313" t="n"/>
      <c r="G6" s="313" t="n"/>
      <c r="H6" s="313" t="n"/>
      <c r="I6" s="313" t="n"/>
      <c r="J6" s="313" t="n"/>
      <c r="K6" s="313" t="n"/>
      <c r="L6" s="313" t="n"/>
      <c r="M6" s="313" t="n"/>
      <c r="N6" s="313" t="n"/>
      <c r="O6" s="313" t="n"/>
      <c r="P6" s="313" t="n"/>
      <c r="Q6" s="313" t="n"/>
      <c r="R6" s="313" t="n"/>
      <c r="S6" s="313" t="n"/>
      <c r="T6" s="313" t="n"/>
      <c r="U6" s="313" t="n"/>
      <c r="V6" s="313" t="n"/>
      <c r="W6" s="313" t="n"/>
      <c r="X6" s="313" t="n"/>
      <c r="Y6" s="313" t="n"/>
      <c r="Z6" s="313" t="n"/>
      <c r="AA6" s="313" t="n"/>
      <c r="AB6" s="313" t="n"/>
      <c r="AC6" s="313" t="n"/>
      <c r="AD6" s="313" t="n"/>
      <c r="AE6" s="313" t="n"/>
      <c r="AF6" s="313" t="n"/>
      <c r="AG6" s="314" t="n"/>
    </row>
    <row r="7" ht="15.5" customFormat="1" customHeight="1" s="15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</row>
    <row r="8" ht="22" customHeight="1">
      <c r="A8" s="275" t="inlineStr">
        <is>
          <t>METRADO DETALLADO POR EJE Y POR TRAMO</t>
        </is>
      </c>
      <c r="B8" s="313" t="n"/>
      <c r="C8" s="313" t="n"/>
      <c r="D8" s="313" t="n"/>
      <c r="E8" s="313" t="n"/>
      <c r="F8" s="313" t="n"/>
      <c r="G8" s="313" t="n"/>
      <c r="H8" s="313" t="n"/>
      <c r="I8" s="313" t="n"/>
      <c r="J8" s="313" t="n"/>
      <c r="K8" s="313" t="n"/>
      <c r="L8" s="313" t="n"/>
      <c r="M8" s="313" t="n"/>
      <c r="N8" s="313" t="n"/>
      <c r="O8" s="313" t="n"/>
      <c r="P8" s="313" t="n"/>
      <c r="Q8" s="313" t="n"/>
      <c r="R8" s="313" t="n"/>
      <c r="S8" s="313" t="n"/>
      <c r="T8" s="313" t="n"/>
      <c r="U8" s="313" t="n"/>
      <c r="V8" s="313" t="n"/>
      <c r="W8" s="313" t="n"/>
      <c r="X8" s="313" t="n"/>
      <c r="Y8" s="313" t="n"/>
      <c r="Z8" s="313" t="n"/>
      <c r="AA8" s="313" t="n"/>
      <c r="AB8" s="313" t="n"/>
      <c r="AC8" s="313" t="n"/>
      <c r="AD8" s="313" t="n"/>
      <c r="AE8" s="313" t="n"/>
      <c r="AF8" s="313" t="n"/>
      <c r="AG8" s="314" t="n"/>
    </row>
    <row r="9" ht="23.5" customHeight="1">
      <c r="A9" s="276" t="inlineStr">
        <is>
          <t>IDENTIFICACIÓN Y GEOMETRÍA</t>
        </is>
      </c>
      <c r="B9" s="313" t="n"/>
      <c r="C9" s="313" t="n"/>
      <c r="D9" s="313" t="n"/>
      <c r="E9" s="313" t="n"/>
      <c r="F9" s="313" t="n"/>
      <c r="G9" s="314" t="n"/>
      <c r="H9" s="277" t="inlineStr">
        <is>
          <t>ACERO LONGITUDINAL DEL CUERPO U</t>
        </is>
      </c>
      <c r="I9" s="313" t="n"/>
      <c r="J9" s="313" t="n"/>
      <c r="K9" s="313" t="n"/>
      <c r="L9" s="313" t="n"/>
      <c r="M9" s="313" t="n"/>
      <c r="N9" s="313" t="n"/>
      <c r="O9" s="314" t="n"/>
      <c r="P9" s="278" t="inlineStr">
        <is>
          <t>ACERO TRANSVERSAL DEL CUERPO U</t>
        </is>
      </c>
      <c r="Q9" s="313" t="n"/>
      <c r="R9" s="313" t="n"/>
      <c r="S9" s="313" t="n"/>
      <c r="T9" s="313" t="n"/>
      <c r="U9" s="313" t="n"/>
      <c r="V9" s="313" t="n"/>
      <c r="W9" s="314" t="n"/>
      <c r="X9" s="279" t="inlineStr">
        <is>
          <t>ACERO TRANSVERSAL DE LA TAPA (SOLO CUNETA TAPADA)</t>
        </is>
      </c>
      <c r="Y9" s="313" t="n"/>
      <c r="Z9" s="313" t="n"/>
      <c r="AA9" s="313" t="n"/>
      <c r="AB9" s="313" t="n"/>
      <c r="AC9" s="313" t="n"/>
      <c r="AD9" s="313" t="n"/>
      <c r="AE9" s="313" t="n"/>
      <c r="AF9" s="314" t="n"/>
      <c r="AG9" s="151" t="inlineStr">
        <is>
          <t>RESULTADO</t>
        </is>
      </c>
    </row>
    <row r="10" ht="60.5" customHeight="1">
      <c r="A10" s="137" t="inlineStr">
        <is>
          <t>N°</t>
        </is>
      </c>
      <c r="B10" s="137" t="inlineStr">
        <is>
          <t>EJE</t>
        </is>
      </c>
      <c r="C10" s="137" t="inlineStr">
        <is>
          <t>TRAMO</t>
        </is>
      </c>
      <c r="D10" s="137" t="inlineStr">
        <is>
          <t>TIPO DE CUNETA</t>
        </is>
      </c>
      <c r="E10" s="137" t="inlineStr">
        <is>
          <t>SEC. INI</t>
        </is>
      </c>
      <c r="F10" s="137" t="inlineStr">
        <is>
          <t>SEC. FIN</t>
        </is>
      </c>
      <c r="G10" s="137" t="inlineStr">
        <is>
          <t>LONGITUD TRAMO (m)</t>
        </is>
      </c>
      <c r="H10" s="137" t="inlineStr">
        <is>
          <t>Ø CUERPO</t>
        </is>
      </c>
      <c r="I10" s="137" t="inlineStr">
        <is>
          <t>FACTOR CUERPO (kg/m)</t>
        </is>
      </c>
      <c r="J10" s="137" t="inlineStr">
        <is>
          <t>SEP. LONG. (m)</t>
        </is>
      </c>
      <c r="K10" s="137" t="inlineStr">
        <is>
          <t>BARRAS LONG. INI</t>
        </is>
      </c>
      <c r="L10" s="137" t="inlineStr">
        <is>
          <t>BARRAS LONG. FIN</t>
        </is>
      </c>
      <c r="M10" s="137" t="inlineStr">
        <is>
          <t>BARRAS PROM.</t>
        </is>
      </c>
      <c r="N10" s="137" t="inlineStr">
        <is>
          <t>LONG. ACERO LONG. (m)</t>
        </is>
      </c>
      <c r="O10" s="137" t="inlineStr">
        <is>
          <t>KG LONG.</t>
        </is>
      </c>
      <c r="P10" s="137" t="inlineStr">
        <is>
          <t>SEP. TRANSV. U (m)</t>
        </is>
      </c>
      <c r="Q10" s="137" t="inlineStr">
        <is>
          <t>DES. TRANSV. U INI (m)</t>
        </is>
      </c>
      <c r="R10" s="137" t="inlineStr">
        <is>
          <t>DES. TRANSV. U FIN (m)</t>
        </is>
      </c>
      <c r="S10" s="137" t="inlineStr">
        <is>
          <t>DES. PROM. U (m)</t>
        </is>
      </c>
      <c r="T10" s="137" t="inlineStr">
        <is>
          <t>CANT. TRANSV. U</t>
        </is>
      </c>
      <c r="U10" s="137" t="inlineStr">
        <is>
          <t>LONG. ACERO TRANSV. U (m)</t>
        </is>
      </c>
      <c r="V10" s="137" t="inlineStr">
        <is>
          <t>KG TRANSV. U</t>
        </is>
      </c>
      <c r="W10" s="137" t="inlineStr">
        <is>
          <t>TOTAL KG CUERPO U</t>
        </is>
      </c>
      <c r="X10" s="137" t="inlineStr">
        <is>
          <t>Ø TAPA</t>
        </is>
      </c>
      <c r="Y10" s="137" t="inlineStr">
        <is>
          <t>FACTOR TAPA (kg/m)</t>
        </is>
      </c>
      <c r="Z10" s="137" t="inlineStr">
        <is>
          <t>SEP. TRANSV. TAPA (m)</t>
        </is>
      </c>
      <c r="AA10" s="137" t="inlineStr">
        <is>
          <t>LONG. BARRA TAPA INI (m)</t>
        </is>
      </c>
      <c r="AB10" s="137" t="inlineStr">
        <is>
          <t>LONG. BARRA TAPA FIN (m)</t>
        </is>
      </c>
      <c r="AC10" s="137" t="inlineStr">
        <is>
          <t>LONG. PROM. TAPA (m)</t>
        </is>
      </c>
      <c r="AD10" s="137" t="inlineStr">
        <is>
          <t>CANT. BARRAS TAPA</t>
        </is>
      </c>
      <c r="AE10" s="137" t="inlineStr">
        <is>
          <t>LONG. ACERO TAPA (m)</t>
        </is>
      </c>
      <c r="AF10" s="137" t="inlineStr">
        <is>
          <t>KG ACERO TAPA</t>
        </is>
      </c>
      <c r="AG10" s="137" t="inlineStr">
        <is>
          <t>TOTAL KG TRAMO</t>
        </is>
      </c>
    </row>
    <row r="11" ht="36.5" customHeight="1">
      <c r="A11" s="138" t="n">
        <v>1</v>
      </c>
      <c r="B11" s="106" t="inlineStr">
        <is>
          <t>EJE 01</t>
        </is>
      </c>
      <c r="C11" s="106" t="inlineStr">
        <is>
          <t>TRAMO 01</t>
        </is>
      </c>
      <c r="D11" s="139" t="inlineStr">
        <is>
          <t>ABIERTA</t>
        </is>
      </c>
      <c r="E11" s="106" t="inlineStr">
        <is>
          <t>SEC 02</t>
        </is>
      </c>
      <c r="F11" s="106" t="inlineStr">
        <is>
          <t>SEC 03</t>
        </is>
      </c>
      <c r="G11" s="107" t="n">
        <v>12</v>
      </c>
      <c r="H11" s="106" t="inlineStr">
        <is>
          <t>3/8"</t>
        </is>
      </c>
      <c r="I11" s="352">
        <f>IF(H11="","",IFERROR(VLOOKUP(H11,Listas!$A$4:$B$11,2,FALSE),""))</f>
        <v/>
      </c>
      <c r="J11" s="107" t="n">
        <v>0.21</v>
      </c>
      <c r="K11" s="107" t="n">
        <v>7</v>
      </c>
      <c r="L11" s="107" t="n">
        <v>7</v>
      </c>
      <c r="M11" s="141">
        <f>IF(B11="","",(K11+L11)/2)</f>
        <v/>
      </c>
      <c r="N11" s="141">
        <f>IF(B11="","",G11*M11)</f>
        <v/>
      </c>
      <c r="O11" s="141">
        <f>IF(B11="","",N11*I11)</f>
        <v/>
      </c>
      <c r="P11" s="107" t="n">
        <v>0.25</v>
      </c>
      <c r="Q11" s="107" t="n">
        <v>1.42</v>
      </c>
      <c r="R11" s="107" t="n">
        <v>1.5</v>
      </c>
      <c r="S11" s="141">
        <f>IF(B11="","",(Q11+R11)/2)</f>
        <v/>
      </c>
      <c r="T11" s="141">
        <f>IF(B11="","",IFERROR(IF($X$1="ENTERO (redondeo arriba)",ROUNDUP(G11/P11,0)+1,G11/P11+1),0))</f>
        <v/>
      </c>
      <c r="U11" s="141">
        <f>IF(B11="","",S11*T11)</f>
        <v/>
      </c>
      <c r="V11" s="141">
        <f>IF(B11="","",U11*I11)</f>
        <v/>
      </c>
      <c r="W11" s="141">
        <f>IF(B11="","",O11+V11)</f>
        <v/>
      </c>
      <c r="X11" s="142" t="n"/>
      <c r="Y11" s="353" t="inlineStr"/>
      <c r="Z11" s="144" t="n"/>
      <c r="AA11" s="144" t="n"/>
      <c r="AB11" s="144" t="n"/>
      <c r="AC11" s="108">
        <f>IF(B11="","",IF(D11="TAPADA",(AA11+AB11)/2,0))</f>
        <v/>
      </c>
      <c r="AD11" s="108">
        <f>IF(B11="","",IF(D11="TAPADA",IFERROR(IF($X$1="ENTERO (redondeo arriba)",ROUNDUP(G11/Z11,0)+1,G11/Z11+1),0),0))</f>
        <v/>
      </c>
      <c r="AE11" s="108">
        <f>IF(B11="","",IF(D11="TAPADA",AC11*AD11,0))</f>
        <v/>
      </c>
      <c r="AF11" s="108">
        <f>IF(B11="","",IF(D11="TAPADA",AE11*Y11,0))</f>
        <v/>
      </c>
      <c r="AG11" s="145">
        <f>IF(B11="","",W11+AF11)</f>
        <v/>
      </c>
    </row>
    <row r="12" ht="36.5" customHeight="1">
      <c r="A12" s="138" t="n">
        <v>2</v>
      </c>
      <c r="B12" s="106" t="inlineStr">
        <is>
          <t>EJE 01</t>
        </is>
      </c>
      <c r="C12" s="106" t="inlineStr">
        <is>
          <t>TRAMO 02</t>
        </is>
      </c>
      <c r="D12" s="139" t="inlineStr">
        <is>
          <t>TAPADA</t>
        </is>
      </c>
      <c r="E12" s="106" t="inlineStr">
        <is>
          <t>SEC 03</t>
        </is>
      </c>
      <c r="F12" s="106" t="inlineStr">
        <is>
          <t>SEC 04</t>
        </is>
      </c>
      <c r="G12" s="107" t="n">
        <v>5.14</v>
      </c>
      <c r="H12" s="106" t="inlineStr">
        <is>
          <t>3/8"</t>
        </is>
      </c>
      <c r="I12" s="352">
        <f>IF(H12="","",IFERROR(VLOOKUP(H12,Listas!$A$4:$B$11,2,FALSE),""))</f>
        <v/>
      </c>
      <c r="J12" s="107" t="n">
        <v>0.23</v>
      </c>
      <c r="K12" s="107" t="n">
        <v>8</v>
      </c>
      <c r="L12" s="107" t="n">
        <v>8</v>
      </c>
      <c r="M12" s="141">
        <f>IF(B12="","",(K12+L12)/2)</f>
        <v/>
      </c>
      <c r="N12" s="141">
        <f>IF(B12="","",G12*M12)</f>
        <v/>
      </c>
      <c r="O12" s="141">
        <f>IF(B12="","",N12*I12)</f>
        <v/>
      </c>
      <c r="P12" s="107" t="n">
        <v>0.25</v>
      </c>
      <c r="Q12" s="107" t="n">
        <v>1.5</v>
      </c>
      <c r="R12" s="107" t="n">
        <v>1.58</v>
      </c>
      <c r="S12" s="141">
        <f>IF(B12="","",(Q12+R12)/2)</f>
        <v/>
      </c>
      <c r="T12" s="141">
        <f>IF(B12="","",IFERROR(IF($X$1="ENTERO (redondeo arriba)",ROUNDUP(G12/P12,0)+1,G12/P12+1),0))</f>
        <v/>
      </c>
      <c r="U12" s="141">
        <f>IF(B12="","",S12*T12)</f>
        <v/>
      </c>
      <c r="V12" s="141">
        <f>IF(B12="","",U12*I12)</f>
        <v/>
      </c>
      <c r="W12" s="141">
        <f>IF(B12="","",O12+V12)</f>
        <v/>
      </c>
      <c r="X12" s="142" t="inlineStr">
        <is>
          <t>3/8"</t>
        </is>
      </c>
      <c r="Y12" s="353" t="n">
        <v>0.5600000000000001</v>
      </c>
      <c r="Z12" s="144" t="n">
        <v>0.25</v>
      </c>
      <c r="AA12" s="144" t="n">
        <v>0.5600000000000001</v>
      </c>
      <c r="AB12" s="144" t="n">
        <v>0.5600000000000001</v>
      </c>
      <c r="AC12" s="108">
        <f>IF(B12="","",IF(D12="TAPADA",(AA12+AB12)/2,0))</f>
        <v/>
      </c>
      <c r="AD12" s="108">
        <f>IF(B12="","",IF(D12="TAPADA",IFERROR(IF($X$1="ENTERO (redondeo arriba)",ROUNDUP(G12/Z12,0)+1,G12/Z12+1),0),0))</f>
        <v/>
      </c>
      <c r="AE12" s="108">
        <f>IF(B12="","",IF(D12="TAPADA",AC12*AD12,0))</f>
        <v/>
      </c>
      <c r="AF12" s="108">
        <f>IF(B12="","",IF(D12="TAPADA",AE12*Y12,0))</f>
        <v/>
      </c>
      <c r="AG12" s="145">
        <f>IF(B12="","",W12+AF12)</f>
        <v/>
      </c>
    </row>
    <row r="13" ht="36.5" customHeight="1">
      <c r="A13" s="138" t="n">
        <v>3</v>
      </c>
      <c r="B13" s="106" t="inlineStr">
        <is>
          <t>EJE 02</t>
        </is>
      </c>
      <c r="C13" s="106" t="inlineStr">
        <is>
          <t>TRAMO 01</t>
        </is>
      </c>
      <c r="D13" s="139" t="inlineStr">
        <is>
          <t>ABIERTA</t>
        </is>
      </c>
      <c r="E13" s="106" t="inlineStr">
        <is>
          <t>SEC 06</t>
        </is>
      </c>
      <c r="F13" s="106" t="inlineStr">
        <is>
          <t>SEC 07</t>
        </is>
      </c>
      <c r="G13" s="107" t="n">
        <v>17.5</v>
      </c>
      <c r="H13" s="106" t="inlineStr">
        <is>
          <t>3/8"</t>
        </is>
      </c>
      <c r="I13" s="352">
        <f>IF(H13="","",IFERROR(VLOOKUP(H13,Listas!$A$4:$B$11,2,FALSE),""))</f>
        <v/>
      </c>
      <c r="J13" s="107" t="n">
        <v>0.23</v>
      </c>
      <c r="K13" s="107" t="n">
        <v>7</v>
      </c>
      <c r="L13" s="107" t="n">
        <v>7</v>
      </c>
      <c r="M13" s="141">
        <f>IF(B13="","",(K13+L13)/2)</f>
        <v/>
      </c>
      <c r="N13" s="141">
        <f>IF(B13="","",G13*M13)</f>
        <v/>
      </c>
      <c r="O13" s="141">
        <f>IF(B13="","",N13*I13)</f>
        <v/>
      </c>
      <c r="P13" s="107" t="n">
        <v>0.25</v>
      </c>
      <c r="Q13" s="107" t="n">
        <v>1.42</v>
      </c>
      <c r="R13" s="107" t="n">
        <v>1.58</v>
      </c>
      <c r="S13" s="141">
        <f>IF(B13="","",(Q13+R13)/2)</f>
        <v/>
      </c>
      <c r="T13" s="141">
        <f>IF(B13="","",IFERROR(IF($X$1="ENTERO (redondeo arriba)",ROUNDUP(G13/P13,0)+1,G13/P13+1),0))</f>
        <v/>
      </c>
      <c r="U13" s="141">
        <f>IF(B13="","",S13*T13)</f>
        <v/>
      </c>
      <c r="V13" s="141">
        <f>IF(B13="","",U13*I13)</f>
        <v/>
      </c>
      <c r="W13" s="141">
        <f>IF(B13="","",O13+V13)</f>
        <v/>
      </c>
      <c r="X13" s="142" t="n"/>
      <c r="Y13" s="353" t="inlineStr"/>
      <c r="Z13" s="144" t="n"/>
      <c r="AA13" s="144" t="n"/>
      <c r="AB13" s="144" t="n"/>
      <c r="AC13" s="108">
        <f>IF(B13="","",IF(D13="TAPADA",(AA13+AB13)/2,0))</f>
        <v/>
      </c>
      <c r="AD13" s="108">
        <f>IF(B13="","",IF(D13="TAPADA",IFERROR(IF($X$1="ENTERO (redondeo arriba)",ROUNDUP(G13/Z13,0)+1,G13/Z13+1),0),0))</f>
        <v/>
      </c>
      <c r="AE13" s="108">
        <f>IF(B13="","",IF(D13="TAPADA",AC13*AD13,0))</f>
        <v/>
      </c>
      <c r="AF13" s="108">
        <f>IF(B13="","",IF(D13="TAPADA",AE13*Y13,0))</f>
        <v/>
      </c>
      <c r="AG13" s="145">
        <f>IF(B13="","",W13+AF13)</f>
        <v/>
      </c>
    </row>
    <row r="14" ht="36.5" customHeight="1">
      <c r="A14" s="138" t="n">
        <v>4</v>
      </c>
      <c r="B14" s="106" t="inlineStr">
        <is>
          <t>EJE 02</t>
        </is>
      </c>
      <c r="C14" s="106" t="inlineStr">
        <is>
          <t>TRAMO 02</t>
        </is>
      </c>
      <c r="D14" s="139" t="inlineStr">
        <is>
          <t>TAPADA</t>
        </is>
      </c>
      <c r="E14" s="106" t="inlineStr">
        <is>
          <t>SEC 07</t>
        </is>
      </c>
      <c r="F14" s="106" t="inlineStr">
        <is>
          <t>SEC 08</t>
        </is>
      </c>
      <c r="G14" s="107" t="n">
        <v>10.2</v>
      </c>
      <c r="H14" s="106" t="inlineStr">
        <is>
          <t>3/8"</t>
        </is>
      </c>
      <c r="I14" s="352">
        <f>IF(H14="","",IFERROR(VLOOKUP(H14,Listas!$A$4:$B$11,2,FALSE),""))</f>
        <v/>
      </c>
      <c r="J14" s="107" t="n">
        <v>0.22</v>
      </c>
      <c r="K14" s="107" t="n">
        <v>8</v>
      </c>
      <c r="L14" s="107" t="n">
        <v>10</v>
      </c>
      <c r="M14" s="141">
        <f>IF(B14="","",(K14+L14)/2)</f>
        <v/>
      </c>
      <c r="N14" s="141">
        <f>IF(B14="","",G14*M14)</f>
        <v/>
      </c>
      <c r="O14" s="141">
        <f>IF(B14="","",N14*I14)</f>
        <v/>
      </c>
      <c r="P14" s="107" t="n">
        <v>0.25</v>
      </c>
      <c r="Q14" s="107" t="n">
        <v>1.58</v>
      </c>
      <c r="R14" s="107" t="n">
        <v>1.66</v>
      </c>
      <c r="S14" s="141">
        <f>IF(B14="","",(Q14+R14)/2)</f>
        <v/>
      </c>
      <c r="T14" s="141">
        <f>IF(B14="","",IFERROR(IF($X$1="ENTERO (redondeo arriba)",ROUNDUP(G14/P14,0)+1,G14/P14+1),0))</f>
        <v/>
      </c>
      <c r="U14" s="141">
        <f>IF(B14="","",S14*T14)</f>
        <v/>
      </c>
      <c r="V14" s="141">
        <f>IF(B14="","",U14*I14)</f>
        <v/>
      </c>
      <c r="W14" s="141">
        <f>IF(B14="","",O14+V14)</f>
        <v/>
      </c>
      <c r="X14" s="142" t="inlineStr">
        <is>
          <t>3/8"</t>
        </is>
      </c>
      <c r="Y14" s="353" t="n">
        <v>0.5600000000000001</v>
      </c>
      <c r="Z14" s="144" t="n">
        <v>0.25</v>
      </c>
      <c r="AA14" s="144" t="n">
        <v>0.5600000000000001</v>
      </c>
      <c r="AB14" s="144" t="n">
        <v>0.5600000000000001</v>
      </c>
      <c r="AC14" s="108">
        <f>IF(B14="","",IF(D14="TAPADA",(AA14+AB14)/2,0))</f>
        <v/>
      </c>
      <c r="AD14" s="108">
        <f>IF(B14="","",IF(D14="TAPADA",IFERROR(IF($X$1="ENTERO (redondeo arriba)",ROUNDUP(G14/Z14,0)+1,G14/Z14+1),0),0))</f>
        <v/>
      </c>
      <c r="AE14" s="108">
        <f>IF(B14="","",IF(D14="TAPADA",AC14*AD14,0))</f>
        <v/>
      </c>
      <c r="AF14" s="108">
        <f>IF(B14="","",IF(D14="TAPADA",AE14*Y14,0))</f>
        <v/>
      </c>
      <c r="AG14" s="145">
        <f>IF(B14="","",W14+AF14)</f>
        <v/>
      </c>
    </row>
    <row r="15" ht="36.5" customHeight="1">
      <c r="A15" s="138" t="n">
        <v>5</v>
      </c>
      <c r="B15" s="106" t="inlineStr">
        <is>
          <t>EJE 02</t>
        </is>
      </c>
      <c r="C15" s="106" t="inlineStr">
        <is>
          <t>TRAMO 03</t>
        </is>
      </c>
      <c r="D15" s="139" t="inlineStr">
        <is>
          <t>ABIERTA</t>
        </is>
      </c>
      <c r="E15" s="106" t="inlineStr">
        <is>
          <t>SEC 08</t>
        </is>
      </c>
      <c r="F15" s="106" t="inlineStr">
        <is>
          <t>SEC 09</t>
        </is>
      </c>
      <c r="G15" s="107" t="n">
        <v>31.33</v>
      </c>
      <c r="H15" s="106" t="inlineStr">
        <is>
          <t>3/8"</t>
        </is>
      </c>
      <c r="I15" s="352">
        <f>IF(H15="","",IFERROR(VLOOKUP(H15,Listas!$A$4:$B$11,2,FALSE),""))</f>
        <v/>
      </c>
      <c r="J15" s="107" t="n">
        <v>0.2</v>
      </c>
      <c r="K15" s="107" t="n">
        <v>9</v>
      </c>
      <c r="L15" s="107" t="n">
        <v>9</v>
      </c>
      <c r="M15" s="141">
        <f>IF(B15="","",(K15+L15)/2)</f>
        <v/>
      </c>
      <c r="N15" s="141">
        <f>IF(B15="","",G15*M15)</f>
        <v/>
      </c>
      <c r="O15" s="141">
        <f>IF(B15="","",N15*I15)</f>
        <v/>
      </c>
      <c r="P15" s="107" t="n">
        <v>0.25</v>
      </c>
      <c r="Q15" s="107" t="n">
        <v>1.66</v>
      </c>
      <c r="R15" s="107" t="n">
        <v>2.02</v>
      </c>
      <c r="S15" s="141">
        <f>IF(B15="","",(Q15+R15)/2)</f>
        <v/>
      </c>
      <c r="T15" s="141">
        <f>IF(B15="","",IFERROR(IF($X$1="ENTERO (redondeo arriba)",ROUNDUP(G15/P15,0)+1,G15/P15+1),0))</f>
        <v/>
      </c>
      <c r="U15" s="141">
        <f>IF(B15="","",S15*T15)</f>
        <v/>
      </c>
      <c r="V15" s="141">
        <f>IF(B15="","",U15*I15)</f>
        <v/>
      </c>
      <c r="W15" s="141">
        <f>IF(B15="","",O15+V15)</f>
        <v/>
      </c>
      <c r="X15" s="142" t="n"/>
      <c r="Y15" s="353" t="inlineStr"/>
      <c r="Z15" s="144" t="n"/>
      <c r="AA15" s="144" t="n"/>
      <c r="AB15" s="144" t="n"/>
      <c r="AC15" s="108">
        <f>IF(B15="","",IF(D15="TAPADA",(AA15+AB15)/2,0))</f>
        <v/>
      </c>
      <c r="AD15" s="108">
        <f>IF(B15="","",IF(D15="TAPADA",IFERROR(IF($X$1="ENTERO (redondeo arriba)",ROUNDUP(G15/Z15,0)+1,G15/Z15+1),0),0))</f>
        <v/>
      </c>
      <c r="AE15" s="108">
        <f>IF(B15="","",IF(D15="TAPADA",AC15*AD15,0))</f>
        <v/>
      </c>
      <c r="AF15" s="108">
        <f>IF(B15="","",IF(D15="TAPADA",AE15*Y15,0))</f>
        <v/>
      </c>
      <c r="AG15" s="145">
        <f>IF(B15="","",W15+AF15)</f>
        <v/>
      </c>
    </row>
    <row r="16" ht="36.5" customHeight="1">
      <c r="A16" s="138" t="n">
        <v>6</v>
      </c>
      <c r="B16" s="106" t="inlineStr">
        <is>
          <t>EJE 02</t>
        </is>
      </c>
      <c r="C16" s="106" t="inlineStr">
        <is>
          <t>TRAMO 04</t>
        </is>
      </c>
      <c r="D16" s="139" t="inlineStr">
        <is>
          <t>TAPADA</t>
        </is>
      </c>
      <c r="E16" s="106" t="inlineStr">
        <is>
          <t>SEC 09</t>
        </is>
      </c>
      <c r="F16" s="106" t="inlineStr">
        <is>
          <t>SEC 10</t>
        </is>
      </c>
      <c r="G16" s="107" t="n">
        <v>8.359999999999999</v>
      </c>
      <c r="H16" s="106" t="inlineStr">
        <is>
          <t>3/8"</t>
        </is>
      </c>
      <c r="I16" s="352">
        <f>IF(H16="","",IFERROR(VLOOKUP(H16,Listas!$A$4:$B$11,2,FALSE),""))</f>
        <v/>
      </c>
      <c r="J16" s="107" t="n">
        <v>0.23</v>
      </c>
      <c r="K16" s="107" t="n">
        <v>10</v>
      </c>
      <c r="L16" s="107" t="n">
        <v>10</v>
      </c>
      <c r="M16" s="141">
        <f>IF(B16="","",(K16+L16)/2)</f>
        <v/>
      </c>
      <c r="N16" s="141">
        <f>IF(B16="","",G16*M16)</f>
        <v/>
      </c>
      <c r="O16" s="141">
        <f>IF(B16="","",N16*I16)</f>
        <v/>
      </c>
      <c r="P16" s="107" t="n">
        <v>0.25</v>
      </c>
      <c r="Q16" s="107" t="n">
        <v>2.02</v>
      </c>
      <c r="R16" s="107" t="n">
        <v>2.08</v>
      </c>
      <c r="S16" s="141">
        <f>IF(B16="","",(Q16+R16)/2)</f>
        <v/>
      </c>
      <c r="T16" s="141">
        <f>IF(B16="","",IFERROR(IF($X$1="ENTERO (redondeo arriba)",ROUNDUP(G16/P16,0)+1,G16/P16+1),0))</f>
        <v/>
      </c>
      <c r="U16" s="141">
        <f>IF(B16="","",S16*T16)</f>
        <v/>
      </c>
      <c r="V16" s="141">
        <f>IF(B16="","",U16*I16)</f>
        <v/>
      </c>
      <c r="W16" s="141">
        <f>IF(B16="","",O16+V16)</f>
        <v/>
      </c>
      <c r="X16" s="142" t="inlineStr">
        <is>
          <t>3/8"</t>
        </is>
      </c>
      <c r="Y16" s="353" t="n">
        <v>0.5600000000000001</v>
      </c>
      <c r="Z16" s="144" t="n">
        <v>0.25</v>
      </c>
      <c r="AA16" s="144" t="n">
        <v>0.5600000000000001</v>
      </c>
      <c r="AB16" s="144" t="n">
        <v>0.5600000000000001</v>
      </c>
      <c r="AC16" s="108">
        <f>IF(B16="","",IF(D16="TAPADA",(AA16+AB16)/2,0))</f>
        <v/>
      </c>
      <c r="AD16" s="108">
        <f>IF(B16="","",IF(D16="TAPADA",IFERROR(IF($X$1="ENTERO (redondeo arriba)",ROUNDUP(G16/Z16,0)+1,G16/Z16+1),0),0))</f>
        <v/>
      </c>
      <c r="AE16" s="108">
        <f>IF(B16="","",IF(D16="TAPADA",AC16*AD16,0))</f>
        <v/>
      </c>
      <c r="AF16" s="108">
        <f>IF(B16="","",IF(D16="TAPADA",AE16*Y16,0))</f>
        <v/>
      </c>
      <c r="AG16" s="145">
        <f>IF(B16="","",W16+AF16)</f>
        <v/>
      </c>
    </row>
    <row r="17" ht="36.5" customHeight="1">
      <c r="A17" s="138" t="n">
        <v>7</v>
      </c>
      <c r="B17" s="106" t="inlineStr">
        <is>
          <t>EJE 02</t>
        </is>
      </c>
      <c r="C17" s="106" t="inlineStr">
        <is>
          <t>TRAMO 05</t>
        </is>
      </c>
      <c r="D17" s="139" t="inlineStr">
        <is>
          <t>ABIERTA</t>
        </is>
      </c>
      <c r="E17" s="106" t="inlineStr">
        <is>
          <t xml:space="preserve">SEC 10 </t>
        </is>
      </c>
      <c r="F17" s="106" t="inlineStr">
        <is>
          <t>SEC 11</t>
        </is>
      </c>
      <c r="G17" s="107" t="n">
        <v>30.36</v>
      </c>
      <c r="H17" s="106" t="inlineStr">
        <is>
          <t>3/8"</t>
        </is>
      </c>
      <c r="I17" s="352">
        <f>IF(H17="","",IFERROR(VLOOKUP(H17,Listas!$A$4:$B$11,2,FALSE),""))</f>
        <v/>
      </c>
      <c r="J17" s="107" t="n">
        <v>0.22</v>
      </c>
      <c r="K17" s="107" t="n">
        <v>9</v>
      </c>
      <c r="L17" s="107" t="n">
        <v>11</v>
      </c>
      <c r="M17" s="141">
        <f>IF(B17="","",(K17+L17)/2)</f>
        <v/>
      </c>
      <c r="N17" s="141">
        <f>IF(B17="","",G17*M17)</f>
        <v/>
      </c>
      <c r="O17" s="141">
        <f>IF(B17="","",N17*I17)</f>
        <v/>
      </c>
      <c r="P17" s="107" t="n">
        <v>0.25</v>
      </c>
      <c r="Q17" s="107" t="n">
        <v>2.08</v>
      </c>
      <c r="R17" s="107" t="n">
        <v>2.36</v>
      </c>
      <c r="S17" s="141">
        <f>IF(B17="","",(Q17+R17)/2)</f>
        <v/>
      </c>
      <c r="T17" s="141">
        <f>IF(B17="","",IFERROR(IF($X$1="ENTERO (redondeo arriba)",ROUNDUP(G17/P17,0)+1,G17/P17+1),0))</f>
        <v/>
      </c>
      <c r="U17" s="141">
        <f>IF(B17="","",S17*T17)</f>
        <v/>
      </c>
      <c r="V17" s="141">
        <f>IF(B17="","",U17*I17)</f>
        <v/>
      </c>
      <c r="W17" s="141">
        <f>IF(B17="","",O17+V17)</f>
        <v/>
      </c>
      <c r="X17" s="142" t="n"/>
      <c r="Y17" s="353" t="inlineStr"/>
      <c r="Z17" s="144" t="n"/>
      <c r="AA17" s="144" t="n"/>
      <c r="AB17" s="144" t="n"/>
      <c r="AC17" s="108">
        <f>IF(B17="","",IF(D17="TAPADA",(AA17+AB17)/2,0))</f>
        <v/>
      </c>
      <c r="AD17" s="108">
        <f>IF(B17="","",IF(D17="TAPADA",IFERROR(IF($X$1="ENTERO (redondeo arriba)",ROUNDUP(G17/Z17,0)+1,G17/Z17+1),0),0))</f>
        <v/>
      </c>
      <c r="AE17" s="108">
        <f>IF(B17="","",IF(D17="TAPADA",AC17*AD17,0))</f>
        <v/>
      </c>
      <c r="AF17" s="108">
        <f>IF(B17="","",IF(D17="TAPADA",AE17*Y17,0))</f>
        <v/>
      </c>
      <c r="AG17" s="145">
        <f>IF(B17="","",W17+AF17)</f>
        <v/>
      </c>
    </row>
    <row r="18" ht="36.5" customHeight="1">
      <c r="A18" s="138" t="n">
        <v>8</v>
      </c>
      <c r="B18" s="106" t="inlineStr">
        <is>
          <t>EJE 02</t>
        </is>
      </c>
      <c r="C18" s="106" t="inlineStr">
        <is>
          <t>TRAMO 06</t>
        </is>
      </c>
      <c r="D18" s="139" t="inlineStr">
        <is>
          <t>TAPADA</t>
        </is>
      </c>
      <c r="E18" s="106" t="inlineStr">
        <is>
          <t>SEC 11</t>
        </is>
      </c>
      <c r="F18" s="106" t="inlineStr">
        <is>
          <t>SEC 12</t>
        </is>
      </c>
      <c r="G18" s="107" t="n">
        <v>2.25</v>
      </c>
      <c r="H18" s="106" t="inlineStr">
        <is>
          <t>3/8"</t>
        </is>
      </c>
      <c r="I18" s="352">
        <f>IF(H18="","",IFERROR(VLOOKUP(H18,Listas!$A$4:$B$11,2,FALSE),""))</f>
        <v/>
      </c>
      <c r="J18" s="107" t="n">
        <v>0.22</v>
      </c>
      <c r="K18" s="107" t="n">
        <v>12</v>
      </c>
      <c r="L18" s="107" t="n">
        <v>12</v>
      </c>
      <c r="M18" s="141">
        <f>IF(B18="","",(K18+L18)/2)</f>
        <v/>
      </c>
      <c r="N18" s="141">
        <f>IF(B18="","",G18*M18)</f>
        <v/>
      </c>
      <c r="O18" s="141">
        <f>IF(B18="","",N18*I18)</f>
        <v/>
      </c>
      <c r="P18" s="107" t="n">
        <v>0.25</v>
      </c>
      <c r="Q18" s="107" t="n">
        <v>2.36</v>
      </c>
      <c r="R18" s="107" t="n">
        <v>2.42</v>
      </c>
      <c r="S18" s="141">
        <f>IF(B18="","",(Q18+R18)/2)</f>
        <v/>
      </c>
      <c r="T18" s="141">
        <f>IF(B18="","",IFERROR(IF($X$1="ENTERO (redondeo arriba)",ROUNDUP(G18/P18,0)+1,G18/P18+1),0))</f>
        <v/>
      </c>
      <c r="U18" s="141">
        <f>IF(B18="","",S18*T18)</f>
        <v/>
      </c>
      <c r="V18" s="141">
        <f>IF(B18="","",U18*I18)</f>
        <v/>
      </c>
      <c r="W18" s="141">
        <f>IF(B18="","",O18+V18)</f>
        <v/>
      </c>
      <c r="X18" s="142" t="inlineStr">
        <is>
          <t>3/8"</t>
        </is>
      </c>
      <c r="Y18" s="353" t="n">
        <v>0.5600000000000001</v>
      </c>
      <c r="Z18" s="144" t="n">
        <v>0.25</v>
      </c>
      <c r="AA18" s="144" t="n">
        <v>0.5600000000000001</v>
      </c>
      <c r="AB18" s="144" t="n">
        <v>0.5600000000000001</v>
      </c>
      <c r="AC18" s="108">
        <f>IF(B18="","",IF(D18="TAPADA",(AA18+AB18)/2,0))</f>
        <v/>
      </c>
      <c r="AD18" s="108">
        <f>IF(B18="","",IF(D18="TAPADA",IFERROR(IF($X$1="ENTERO (redondeo arriba)",ROUNDUP(G18/Z18,0)+1,G18/Z18+1),0),0))</f>
        <v/>
      </c>
      <c r="AE18" s="108">
        <f>IF(B18="","",IF(D18="TAPADA",AC18*AD18,0))</f>
        <v/>
      </c>
      <c r="AF18" s="108">
        <f>IF(B18="","",IF(D18="TAPADA",AE18*Y18,0))</f>
        <v/>
      </c>
      <c r="AG18" s="145">
        <f>IF(B18="","",W18+AF18)</f>
        <v/>
      </c>
    </row>
    <row r="19" ht="36.5" customHeight="1">
      <c r="A19" s="138" t="n">
        <v>9</v>
      </c>
      <c r="B19" s="106" t="inlineStr">
        <is>
          <t>EJE 02</t>
        </is>
      </c>
      <c r="C19" s="106" t="inlineStr">
        <is>
          <t>TRAMO 07</t>
        </is>
      </c>
      <c r="D19" s="139" t="inlineStr">
        <is>
          <t>TAPADA</t>
        </is>
      </c>
      <c r="E19" s="106" t="inlineStr">
        <is>
          <t>SEC 13</t>
        </is>
      </c>
      <c r="F19" s="106" t="inlineStr">
        <is>
          <t>SEC 14</t>
        </is>
      </c>
      <c r="G19" s="107" t="n">
        <v>10.85</v>
      </c>
      <c r="H19" s="106" t="inlineStr">
        <is>
          <t>3/8"</t>
        </is>
      </c>
      <c r="I19" s="352">
        <f>IF(H19="","",IFERROR(VLOOKUP(H19,Listas!$A$4:$B$11,2,FALSE),""))</f>
        <v/>
      </c>
      <c r="J19" s="107" t="n">
        <v>0.21</v>
      </c>
      <c r="K19" s="107" t="n">
        <v>12</v>
      </c>
      <c r="L19" s="107" t="n">
        <v>12</v>
      </c>
      <c r="M19" s="141">
        <f>IF(B19="","",(K19+L19)/2)</f>
        <v/>
      </c>
      <c r="N19" s="141">
        <f>IF(B19="","",G19*M19)</f>
        <v/>
      </c>
      <c r="O19" s="141">
        <f>IF(B19="","",N19*I19)</f>
        <v/>
      </c>
      <c r="P19" s="107" t="n">
        <v>0.25</v>
      </c>
      <c r="Q19" s="107" t="n">
        <v>2.32</v>
      </c>
      <c r="R19" s="107" t="n">
        <v>2.42</v>
      </c>
      <c r="S19" s="141">
        <f>IF(B19="","",(Q19+R19)/2)</f>
        <v/>
      </c>
      <c r="T19" s="141">
        <f>IF(B19="","",IFERROR(IF($X$1="ENTERO (redondeo arriba)",ROUNDUP(G19/P19,0)+1,G19/P19+1),0))</f>
        <v/>
      </c>
      <c r="U19" s="141">
        <f>IF(B19="","",S19*T19)</f>
        <v/>
      </c>
      <c r="V19" s="141">
        <f>IF(B19="","",U19*I19)</f>
        <v/>
      </c>
      <c r="W19" s="141">
        <f>IF(B19="","",O19+V19)</f>
        <v/>
      </c>
      <c r="X19" s="142" t="inlineStr">
        <is>
          <t>3/8"</t>
        </is>
      </c>
      <c r="Y19" s="353" t="n">
        <v>0.5600000000000001</v>
      </c>
      <c r="Z19" s="144" t="n">
        <v>0.25</v>
      </c>
      <c r="AA19" s="144" t="n">
        <v>0.5600000000000001</v>
      </c>
      <c r="AB19" s="144" t="n">
        <v>0.5600000000000001</v>
      </c>
      <c r="AC19" s="108">
        <f>IF(B19="","",IF(D19="TAPADA",(AA19+AB19)/2,0))</f>
        <v/>
      </c>
      <c r="AD19" s="108">
        <f>IF(B19="","",IF(D19="TAPADA",IFERROR(IF($X$1="ENTERO (redondeo arriba)",ROUNDUP(G19/Z19,0)+1,G19/Z19+1),0),0))</f>
        <v/>
      </c>
      <c r="AE19" s="108">
        <f>IF(B19="","",IF(D19="TAPADA",AC19*AD19,0))</f>
        <v/>
      </c>
      <c r="AF19" s="108">
        <f>IF(B19="","",IF(D19="TAPADA",AE19*Y19,0))</f>
        <v/>
      </c>
      <c r="AG19" s="145">
        <f>IF(B19="","",W19+AF19)</f>
        <v/>
      </c>
    </row>
    <row r="20" ht="36.5" customHeight="1">
      <c r="A20" s="138" t="n">
        <v>10</v>
      </c>
      <c r="B20" s="106" t="inlineStr">
        <is>
          <t>EJE 05</t>
        </is>
      </c>
      <c r="C20" s="106" t="inlineStr">
        <is>
          <t>TRAMO 01</t>
        </is>
      </c>
      <c r="D20" s="139" t="inlineStr">
        <is>
          <t>ABIERTA</t>
        </is>
      </c>
      <c r="E20" s="106" t="inlineStr">
        <is>
          <t>SEC 20</t>
        </is>
      </c>
      <c r="F20" s="106" t="inlineStr">
        <is>
          <t>SEC 21</t>
        </is>
      </c>
      <c r="G20" s="107" t="n">
        <v>17.53</v>
      </c>
      <c r="H20" s="106" t="inlineStr">
        <is>
          <t>3/8"</t>
        </is>
      </c>
      <c r="I20" s="352">
        <f>IF(H20="","",IFERROR(VLOOKUP(H20,Listas!$A$4:$B$11,2,FALSE),""))</f>
        <v/>
      </c>
      <c r="J20" s="107" t="n">
        <v>0.22</v>
      </c>
      <c r="K20" s="107" t="n">
        <v>7</v>
      </c>
      <c r="L20" s="107" t="n">
        <v>7</v>
      </c>
      <c r="M20" s="141">
        <f>IF(B20="","",(K20+L20)/2)</f>
        <v/>
      </c>
      <c r="N20" s="141">
        <f>IF(B20="","",G20*M20)</f>
        <v/>
      </c>
      <c r="O20" s="141">
        <f>IF(B20="","",N20*I20)</f>
        <v/>
      </c>
      <c r="P20" s="107" t="n">
        <v>0.25</v>
      </c>
      <c r="Q20" s="107" t="n">
        <v>1.42</v>
      </c>
      <c r="R20" s="107" t="n">
        <v>1.58</v>
      </c>
      <c r="S20" s="141">
        <f>IF(B20="","",(Q20+R20)/2)</f>
        <v/>
      </c>
      <c r="T20" s="141">
        <f>IF(B20="","",IFERROR(IF($X$1="ENTERO (redondeo arriba)",ROUNDUP(G20/P20,0)+1,G20/P20+1),0))</f>
        <v/>
      </c>
      <c r="U20" s="141">
        <f>IF(B20="","",S20*T20)</f>
        <v/>
      </c>
      <c r="V20" s="141">
        <f>IF(B20="","",U20*I20)</f>
        <v/>
      </c>
      <c r="W20" s="141">
        <f>IF(B20="","",O20+V20)</f>
        <v/>
      </c>
      <c r="X20" s="142" t="n"/>
      <c r="Y20" s="353" t="inlineStr"/>
      <c r="Z20" s="144" t="n"/>
      <c r="AA20" s="144" t="n"/>
      <c r="AB20" s="144" t="n"/>
      <c r="AC20" s="108">
        <f>IF(B20="","",IF(D20="TAPADA",(AA20+AB20)/2,0))</f>
        <v/>
      </c>
      <c r="AD20" s="108">
        <f>IF(B20="","",IF(D20="TAPADA",IFERROR(IF($X$1="ENTERO (redondeo arriba)",ROUNDUP(G20/Z20,0)+1,G20/Z20+1),0),0))</f>
        <v/>
      </c>
      <c r="AE20" s="108">
        <f>IF(B20="","",IF(D20="TAPADA",AC20*AD20,0))</f>
        <v/>
      </c>
      <c r="AF20" s="108">
        <f>IF(B20="","",IF(D20="TAPADA",AE20*Y20,0))</f>
        <v/>
      </c>
      <c r="AG20" s="145">
        <f>IF(B20="","",W20+AF20)</f>
        <v/>
      </c>
    </row>
    <row r="21" ht="36.5" customHeight="1">
      <c r="A21" s="138" t="n">
        <v>11</v>
      </c>
      <c r="B21" s="106" t="inlineStr">
        <is>
          <t>EJE 05</t>
        </is>
      </c>
      <c r="C21" s="106" t="inlineStr">
        <is>
          <t>TRAMO 02</t>
        </is>
      </c>
      <c r="D21" s="139" t="inlineStr">
        <is>
          <t>TAPADA</t>
        </is>
      </c>
      <c r="E21" s="106" t="inlineStr">
        <is>
          <t>SEC 21</t>
        </is>
      </c>
      <c r="F21" s="106" t="inlineStr">
        <is>
          <t>SEC 22</t>
        </is>
      </c>
      <c r="G21" s="107" t="n">
        <v>5.7</v>
      </c>
      <c r="H21" s="106" t="inlineStr">
        <is>
          <t>3/8"</t>
        </is>
      </c>
      <c r="I21" s="352">
        <f>IF(H21="","",IFERROR(VLOOKUP(H21,Listas!$A$4:$B$11,2,FALSE),""))</f>
        <v/>
      </c>
      <c r="J21" s="107" t="n">
        <v>0.21</v>
      </c>
      <c r="K21" s="107" t="n">
        <v>8</v>
      </c>
      <c r="L21" s="107" t="n">
        <v>10</v>
      </c>
      <c r="M21" s="141">
        <f>IF(B21="","",(K21+L21)/2)</f>
        <v/>
      </c>
      <c r="N21" s="141">
        <f>IF(B21="","",G21*M21)</f>
        <v/>
      </c>
      <c r="O21" s="141">
        <f>IF(B21="","",N21*I21)</f>
        <v/>
      </c>
      <c r="P21" s="107" t="n">
        <v>0.25</v>
      </c>
      <c r="Q21" s="107" t="n">
        <v>1.58</v>
      </c>
      <c r="R21" s="107" t="n">
        <v>1.62</v>
      </c>
      <c r="S21" s="141">
        <f>IF(B21="","",(Q21+R21)/2)</f>
        <v/>
      </c>
      <c r="T21" s="141">
        <f>IF(B21="","",IFERROR(IF($X$1="ENTERO (redondeo arriba)",ROUNDUP(G21/P21,0)+1,G21/P21+1),0))</f>
        <v/>
      </c>
      <c r="U21" s="141">
        <f>IF(B21="","",S21*T21)</f>
        <v/>
      </c>
      <c r="V21" s="141">
        <f>IF(B21="","",U21*I21)</f>
        <v/>
      </c>
      <c r="W21" s="141">
        <f>IF(B21="","",O21+V21)</f>
        <v/>
      </c>
      <c r="X21" s="142" t="inlineStr">
        <is>
          <t>3/8"</t>
        </is>
      </c>
      <c r="Y21" s="353" t="n">
        <v>0.5600000000000001</v>
      </c>
      <c r="Z21" s="144" t="n">
        <v>0.25</v>
      </c>
      <c r="AA21" s="144" t="n">
        <v>0.5600000000000001</v>
      </c>
      <c r="AB21" s="144" t="n">
        <v>0.5600000000000001</v>
      </c>
      <c r="AC21" s="108">
        <f>IF(B21="","",IF(D21="TAPADA",(AA21+AB21)/2,0))</f>
        <v/>
      </c>
      <c r="AD21" s="108">
        <f>IF(B21="","",IF(D21="TAPADA",IFERROR(IF($X$1="ENTERO (redondeo arriba)",ROUNDUP(G21/Z21,0)+1,G21/Z21+1),0),0))</f>
        <v/>
      </c>
      <c r="AE21" s="108">
        <f>IF(B21="","",IF(D21="TAPADA",AC21*AD21,0))</f>
        <v/>
      </c>
      <c r="AF21" s="108">
        <f>IF(B21="","",IF(D21="TAPADA",AE21*Y21,0))</f>
        <v/>
      </c>
      <c r="AG21" s="145">
        <f>IF(B21="","",W21+AF21)</f>
        <v/>
      </c>
    </row>
    <row r="22" ht="36.5" customHeight="1">
      <c r="A22" s="138" t="n">
        <v>12</v>
      </c>
      <c r="B22" s="106" t="inlineStr">
        <is>
          <t>EJE 06</t>
        </is>
      </c>
      <c r="C22" s="106" t="inlineStr">
        <is>
          <t>TRAMO 01</t>
        </is>
      </c>
      <c r="D22" s="139" t="inlineStr">
        <is>
          <t>ABIERTA</t>
        </is>
      </c>
      <c r="E22" s="106" t="inlineStr">
        <is>
          <t>SEC 24</t>
        </is>
      </c>
      <c r="F22" s="106" t="inlineStr">
        <is>
          <t>SEC 25</t>
        </is>
      </c>
      <c r="G22" s="107" t="n">
        <v>17.53</v>
      </c>
      <c r="H22" s="106" t="inlineStr">
        <is>
          <t>3/8"</t>
        </is>
      </c>
      <c r="I22" s="352">
        <f>IF(H22="","",IFERROR(VLOOKUP(H22,Listas!$A$4:$B$11,2,FALSE),""))</f>
        <v/>
      </c>
      <c r="J22" s="107" t="n">
        <v>0.22</v>
      </c>
      <c r="K22" s="107" t="n">
        <v>7</v>
      </c>
      <c r="L22" s="107" t="n">
        <v>7</v>
      </c>
      <c r="M22" s="141">
        <f>IF(B22="","",(K22+L22)/2)</f>
        <v/>
      </c>
      <c r="N22" s="141">
        <f>IF(B22="","",G22*M22)</f>
        <v/>
      </c>
      <c r="O22" s="141">
        <f>IF(B22="","",N22*I22)</f>
        <v/>
      </c>
      <c r="P22" s="107" t="n">
        <v>0.25</v>
      </c>
      <c r="Q22" s="107" t="n">
        <v>1.42</v>
      </c>
      <c r="R22" s="107" t="n">
        <v>1.58</v>
      </c>
      <c r="S22" s="141">
        <f>IF(B22="","",(Q22+R22)/2)</f>
        <v/>
      </c>
      <c r="T22" s="141">
        <f>IF(B22="","",IFERROR(IF($X$1="ENTERO (redondeo arriba)",ROUNDUP(G22/P22,0)+1,G22/P22+1),0))</f>
        <v/>
      </c>
      <c r="U22" s="141">
        <f>IF(B22="","",S22*T22)</f>
        <v/>
      </c>
      <c r="V22" s="141">
        <f>IF(B22="","",U22*I22)</f>
        <v/>
      </c>
      <c r="W22" s="141">
        <f>IF(B22="","",O22+V22)</f>
        <v/>
      </c>
      <c r="X22" s="142" t="n"/>
      <c r="Y22" s="353" t="inlineStr"/>
      <c r="Z22" s="144" t="n"/>
      <c r="AA22" s="144" t="n"/>
      <c r="AB22" s="144" t="n"/>
      <c r="AC22" s="108">
        <f>IF(B22="","",IF(D22="TAPADA",(AA22+AB22)/2,0))</f>
        <v/>
      </c>
      <c r="AD22" s="108">
        <f>IF(B22="","",IF(D22="TAPADA",IFERROR(IF($X$1="ENTERO (redondeo arriba)",ROUNDUP(G22/Z22,0)+1,G22/Z22+1),0),0))</f>
        <v/>
      </c>
      <c r="AE22" s="108">
        <f>IF(B22="","",IF(D22="TAPADA",AC22*AD22,0))</f>
        <v/>
      </c>
      <c r="AF22" s="108">
        <f>IF(B22="","",IF(D22="TAPADA",AE22*Y22,0))</f>
        <v/>
      </c>
      <c r="AG22" s="145">
        <f>IF(B22="","",W22+AF22)</f>
        <v/>
      </c>
    </row>
    <row r="23" ht="36.5" customHeight="1">
      <c r="A23" s="138" t="n">
        <v>13</v>
      </c>
      <c r="B23" s="106" t="inlineStr">
        <is>
          <t>EJE 06</t>
        </is>
      </c>
      <c r="C23" s="106" t="inlineStr">
        <is>
          <t>TRAMO 02</t>
        </is>
      </c>
      <c r="D23" s="139" t="inlineStr">
        <is>
          <t>TAPADA</t>
        </is>
      </c>
      <c r="E23" s="106" t="inlineStr">
        <is>
          <t>SEC 25</t>
        </is>
      </c>
      <c r="F23" s="106" t="inlineStr">
        <is>
          <t>SEC 26</t>
        </is>
      </c>
      <c r="G23" s="107" t="n">
        <v>10.9</v>
      </c>
      <c r="H23" s="106" t="inlineStr">
        <is>
          <t>3/8"</t>
        </is>
      </c>
      <c r="I23" s="352">
        <f>IF(H23="","",IFERROR(VLOOKUP(H23,Listas!$A$4:$B$11,2,FALSE),""))</f>
        <v/>
      </c>
      <c r="J23" s="107" t="n">
        <v>0.22</v>
      </c>
      <c r="K23" s="107" t="n">
        <v>8</v>
      </c>
      <c r="L23" s="107" t="n">
        <v>10</v>
      </c>
      <c r="M23" s="141">
        <f>IF(B23="","",(K23+L23)/2)</f>
        <v/>
      </c>
      <c r="N23" s="141">
        <f>IF(B23="","",G23*M23)</f>
        <v/>
      </c>
      <c r="O23" s="141">
        <f>IF(B23="","",N23*I23)</f>
        <v/>
      </c>
      <c r="P23" s="107" t="n">
        <v>0.25</v>
      </c>
      <c r="Q23" s="107" t="n">
        <v>1.58</v>
      </c>
      <c r="R23" s="107" t="n">
        <v>1.7</v>
      </c>
      <c r="S23" s="141">
        <f>IF(B23="","",(Q23+R23)/2)</f>
        <v/>
      </c>
      <c r="T23" s="141">
        <f>IF(B23="","",IFERROR(IF($X$1="ENTERO (redondeo arriba)",ROUNDUP(G23/P23,0)+1,G23/P23+1),0))</f>
        <v/>
      </c>
      <c r="U23" s="141">
        <f>IF(B23="","",S23*T23)</f>
        <v/>
      </c>
      <c r="V23" s="141">
        <f>IF(B23="","",U23*I23)</f>
        <v/>
      </c>
      <c r="W23" s="141">
        <f>IF(B23="","",O23+V23)</f>
        <v/>
      </c>
      <c r="X23" s="142" t="inlineStr">
        <is>
          <t>3/8"</t>
        </is>
      </c>
      <c r="Y23" s="353" t="n">
        <v>0.5600000000000001</v>
      </c>
      <c r="Z23" s="144" t="n">
        <v>0.25</v>
      </c>
      <c r="AA23" s="144" t="n">
        <v>0.5600000000000001</v>
      </c>
      <c r="AB23" s="144" t="n">
        <v>0.5600000000000001</v>
      </c>
      <c r="AC23" s="108">
        <f>IF(B23="","",IF(D23="TAPADA",(AA23+AB23)/2,0))</f>
        <v/>
      </c>
      <c r="AD23" s="108">
        <f>IF(B23="","",IF(D23="TAPADA",IFERROR(IF($X$1="ENTERO (redondeo arriba)",ROUNDUP(G23/Z23,0)+1,G23/Z23+1),0),0))</f>
        <v/>
      </c>
      <c r="AE23" s="108">
        <f>IF(B23="","",IF(D23="TAPADA",AC23*AD23,0))</f>
        <v/>
      </c>
      <c r="AF23" s="108">
        <f>IF(B23="","",IF(D23="TAPADA",AE23*Y23,0))</f>
        <v/>
      </c>
      <c r="AG23" s="145">
        <f>IF(B23="","",W23+AF23)</f>
        <v/>
      </c>
    </row>
    <row r="24" ht="36.5" customHeight="1">
      <c r="A24" s="138" t="n">
        <v>14</v>
      </c>
      <c r="B24" s="106" t="inlineStr">
        <is>
          <t>EJE 06</t>
        </is>
      </c>
      <c r="C24" s="106" t="inlineStr">
        <is>
          <t>TRAMO 03</t>
        </is>
      </c>
      <c r="D24" s="139" t="inlineStr">
        <is>
          <t>ABIERTA</t>
        </is>
      </c>
      <c r="E24" s="106" t="inlineStr">
        <is>
          <t xml:space="preserve">SEC 26 </t>
        </is>
      </c>
      <c r="F24" s="106" t="inlineStr">
        <is>
          <t>SEC 27</t>
        </is>
      </c>
      <c r="G24" s="107" t="n">
        <v>56.93</v>
      </c>
      <c r="H24" s="106" t="inlineStr">
        <is>
          <t>3/8"</t>
        </is>
      </c>
      <c r="I24" s="352">
        <f>IF(H24="","",IFERROR(VLOOKUP(H24,Listas!$A$4:$B$11,2,FALSE),""))</f>
        <v/>
      </c>
      <c r="J24" s="107" t="n">
        <v>0.2</v>
      </c>
      <c r="K24" s="107" t="n">
        <v>9</v>
      </c>
      <c r="L24" s="107" t="n">
        <v>11</v>
      </c>
      <c r="M24" s="141">
        <f>IF(B24="","",(K24+L24)/2)</f>
        <v/>
      </c>
      <c r="N24" s="141">
        <f>IF(B24="","",G24*M24)</f>
        <v/>
      </c>
      <c r="O24" s="141">
        <f>IF(B24="","",N24*I24)</f>
        <v/>
      </c>
      <c r="P24" s="107" t="n">
        <v>0.25</v>
      </c>
      <c r="Q24" s="107" t="n">
        <v>1.7</v>
      </c>
      <c r="R24" s="107" t="n">
        <v>2.26</v>
      </c>
      <c r="S24" s="141">
        <f>IF(B24="","",(Q24+R24)/2)</f>
        <v/>
      </c>
      <c r="T24" s="141">
        <f>IF(B24="","",IFERROR(IF($X$1="ENTERO (redondeo arriba)",ROUNDUP(G24/P24,0)+1,G24/P24+1),0))</f>
        <v/>
      </c>
      <c r="U24" s="141">
        <f>IF(B24="","",S24*T24)</f>
        <v/>
      </c>
      <c r="V24" s="141">
        <f>IF(B24="","",U24*I24)</f>
        <v/>
      </c>
      <c r="W24" s="141">
        <f>IF(B24="","",O24+V24)</f>
        <v/>
      </c>
      <c r="X24" s="142" t="n"/>
      <c r="Y24" s="353" t="inlineStr"/>
      <c r="Z24" s="144" t="n"/>
      <c r="AA24" s="144" t="n"/>
      <c r="AB24" s="144" t="n"/>
      <c r="AC24" s="108">
        <f>IF(B24="","",IF(D24="TAPADA",(AA24+AB24)/2,0))</f>
        <v/>
      </c>
      <c r="AD24" s="108">
        <f>IF(B24="","",IF(D24="TAPADA",IFERROR(IF($X$1="ENTERO (redondeo arriba)",ROUNDUP(G24/Z24,0)+1,G24/Z24+1),0),0))</f>
        <v/>
      </c>
      <c r="AE24" s="108">
        <f>IF(B24="","",IF(D24="TAPADA",AC24*AD24,0))</f>
        <v/>
      </c>
      <c r="AF24" s="108">
        <f>IF(B24="","",IF(D24="TAPADA",AE24*Y24,0))</f>
        <v/>
      </c>
      <c r="AG24" s="145">
        <f>IF(B24="","",W24+AF24)</f>
        <v/>
      </c>
    </row>
    <row r="25" ht="36.5" customHeight="1">
      <c r="A25" s="138" t="n">
        <v>15</v>
      </c>
      <c r="B25" s="106" t="inlineStr">
        <is>
          <t>EJE 06</t>
        </is>
      </c>
      <c r="C25" s="106" t="inlineStr">
        <is>
          <t>TRAMO 04</t>
        </is>
      </c>
      <c r="D25" s="139" t="inlineStr">
        <is>
          <t>TAPADA</t>
        </is>
      </c>
      <c r="E25" s="106" t="inlineStr">
        <is>
          <t>SEC 27</t>
        </is>
      </c>
      <c r="F25" s="106" t="inlineStr">
        <is>
          <t>SEC 28</t>
        </is>
      </c>
      <c r="G25" s="107" t="n">
        <v>15</v>
      </c>
      <c r="H25" s="106" t="inlineStr">
        <is>
          <t>3/8"</t>
        </is>
      </c>
      <c r="I25" s="352">
        <f>IF(H25="","",IFERROR(VLOOKUP(H25,Listas!$A$4:$B$11,2,FALSE),""))</f>
        <v/>
      </c>
      <c r="J25" s="107" t="n">
        <v>0.21</v>
      </c>
      <c r="K25" s="107" t="n">
        <v>12</v>
      </c>
      <c r="L25" s="107" t="n">
        <v>12</v>
      </c>
      <c r="M25" s="141">
        <f>IF(B25="","",(K25+L25)/2)</f>
        <v/>
      </c>
      <c r="N25" s="141">
        <f>IF(B25="","",G25*M25)</f>
        <v/>
      </c>
      <c r="O25" s="141">
        <f>IF(B25="","",N25*I25)</f>
        <v/>
      </c>
      <c r="P25" s="107" t="n">
        <v>0.25</v>
      </c>
      <c r="Q25" s="107" t="n">
        <v>2.26</v>
      </c>
      <c r="R25" s="107" t="n">
        <v>2.42</v>
      </c>
      <c r="S25" s="141">
        <f>IF(B25="","",(Q25+R25)/2)</f>
        <v/>
      </c>
      <c r="T25" s="141">
        <f>IF(B25="","",IFERROR(IF($X$1="ENTERO (redondeo arriba)",ROUNDUP(G25/P25,0)+1,G25/P25+1),0))</f>
        <v/>
      </c>
      <c r="U25" s="141">
        <f>IF(B25="","",S25*T25)</f>
        <v/>
      </c>
      <c r="V25" s="141">
        <f>IF(B25="","",U25*I25)</f>
        <v/>
      </c>
      <c r="W25" s="141">
        <f>IF(B25="","",O25+V25)</f>
        <v/>
      </c>
      <c r="X25" s="142" t="inlineStr">
        <is>
          <t>3/8"</t>
        </is>
      </c>
      <c r="Y25" s="353" t="n">
        <v>0.5600000000000001</v>
      </c>
      <c r="Z25" s="144" t="n">
        <v>0.25</v>
      </c>
      <c r="AA25" s="144" t="n">
        <v>0.5600000000000001</v>
      </c>
      <c r="AB25" s="144" t="n">
        <v>0.5600000000000001</v>
      </c>
      <c r="AC25" s="108">
        <f>IF(B25="","",IF(D25="TAPADA",(AA25+AB25)/2,0))</f>
        <v/>
      </c>
      <c r="AD25" s="108">
        <f>IF(B25="","",IF(D25="TAPADA",IFERROR(IF($X$1="ENTERO (redondeo arriba)",ROUNDUP(G25/Z25,0)+1,G25/Z25+1),0),0))</f>
        <v/>
      </c>
      <c r="AE25" s="108">
        <f>IF(B25="","",IF(D25="TAPADA",AC25*AD25,0))</f>
        <v/>
      </c>
      <c r="AF25" s="108">
        <f>IF(B25="","",IF(D25="TAPADA",AE25*Y25,0))</f>
        <v/>
      </c>
      <c r="AG25" s="145">
        <f>IF(B25="","",W25+AF25)</f>
        <v/>
      </c>
    </row>
    <row r="26" ht="36.5" customHeight="1">
      <c r="A26" s="138" t="n">
        <v>16</v>
      </c>
      <c r="B26" s="106" t="inlineStr">
        <is>
          <t>EJE 07</t>
        </is>
      </c>
      <c r="C26" s="106" t="inlineStr">
        <is>
          <t>TRAMO 01</t>
        </is>
      </c>
      <c r="D26" s="139" t="inlineStr">
        <is>
          <t>ABIERTA</t>
        </is>
      </c>
      <c r="E26" s="106" t="inlineStr">
        <is>
          <t>SEC 30</t>
        </is>
      </c>
      <c r="F26" s="106" t="inlineStr">
        <is>
          <t>SEC 31</t>
        </is>
      </c>
      <c r="G26" s="107" t="n">
        <v>17.53</v>
      </c>
      <c r="H26" s="106" t="inlineStr">
        <is>
          <t>3/8"</t>
        </is>
      </c>
      <c r="I26" s="352">
        <f>IF(H26="","",IFERROR(VLOOKUP(H26,Listas!$A$4:$B$11,2,FALSE),""))</f>
        <v/>
      </c>
      <c r="J26" s="107" t="n">
        <v>0.22</v>
      </c>
      <c r="K26" s="107" t="n">
        <v>7</v>
      </c>
      <c r="L26" s="107" t="n">
        <v>7</v>
      </c>
      <c r="M26" s="141">
        <f>IF(B26="","",(K26+L26)/2)</f>
        <v/>
      </c>
      <c r="N26" s="141">
        <f>IF(B26="","",G26*M26)</f>
        <v/>
      </c>
      <c r="O26" s="141">
        <f>IF(B26="","",N26*I26)</f>
        <v/>
      </c>
      <c r="P26" s="107" t="n">
        <v>0.25</v>
      </c>
      <c r="Q26" s="107" t="n">
        <v>1.42</v>
      </c>
      <c r="R26" s="107" t="n">
        <v>1.58</v>
      </c>
      <c r="S26" s="141">
        <f>IF(B26="","",(Q26+R26)/2)</f>
        <v/>
      </c>
      <c r="T26" s="141">
        <f>IF(B26="","",IFERROR(IF($X$1="ENTERO (redondeo arriba)",ROUNDUP(G26/P26,0)+1,G26/P26+1),0))</f>
        <v/>
      </c>
      <c r="U26" s="141">
        <f>IF(B26="","",S26*T26)</f>
        <v/>
      </c>
      <c r="V26" s="141">
        <f>IF(B26="","",U26*I26)</f>
        <v/>
      </c>
      <c r="W26" s="141">
        <f>IF(B26="","",O26+V26)</f>
        <v/>
      </c>
      <c r="X26" s="142" t="n"/>
      <c r="Y26" s="353" t="inlineStr"/>
      <c r="Z26" s="144" t="n"/>
      <c r="AA26" s="144" t="n"/>
      <c r="AB26" s="144" t="n"/>
      <c r="AC26" s="108">
        <f>IF(B26="","",IF(D26="TAPADA",(AA26+AB26)/2,0))</f>
        <v/>
      </c>
      <c r="AD26" s="108">
        <f>IF(B26="","",IF(D26="TAPADA",IFERROR(IF($X$1="ENTERO (redondeo arriba)",ROUNDUP(G26/Z26,0)+1,G26/Z26+1),0),0))</f>
        <v/>
      </c>
      <c r="AE26" s="108">
        <f>IF(B26="","",IF(D26="TAPADA",AC26*AD26,0))</f>
        <v/>
      </c>
      <c r="AF26" s="108">
        <f>IF(B26="","",IF(D26="TAPADA",AE26*Y26,0))</f>
        <v/>
      </c>
      <c r="AG26" s="145">
        <f>IF(B26="","",W26+AF26)</f>
        <v/>
      </c>
    </row>
    <row r="27" ht="36.5" customHeight="1">
      <c r="A27" s="138" t="n">
        <v>17</v>
      </c>
      <c r="B27" s="106" t="inlineStr">
        <is>
          <t>EJE 07</t>
        </is>
      </c>
      <c r="C27" s="106" t="inlineStr">
        <is>
          <t>TRAMO 02</t>
        </is>
      </c>
      <c r="D27" s="139" t="inlineStr">
        <is>
          <t>TAPADA</t>
        </is>
      </c>
      <c r="E27" s="106" t="inlineStr">
        <is>
          <t>SEC 31</t>
        </is>
      </c>
      <c r="F27" s="106" t="inlineStr">
        <is>
          <t>SEC 32</t>
        </is>
      </c>
      <c r="G27" s="107" t="n">
        <v>7.66</v>
      </c>
      <c r="H27" s="106" t="inlineStr">
        <is>
          <t>3/8"</t>
        </is>
      </c>
      <c r="I27" s="352">
        <f>IF(H27="","",IFERROR(VLOOKUP(H27,Listas!$A$4:$B$11,2,FALSE),""))</f>
        <v/>
      </c>
      <c r="J27" s="107" t="n">
        <v>0.22</v>
      </c>
      <c r="K27" s="107" t="n">
        <v>8</v>
      </c>
      <c r="L27" s="107" t="n">
        <v>10</v>
      </c>
      <c r="M27" s="141">
        <f>IF(B27="","",(K27+L27)/2)</f>
        <v/>
      </c>
      <c r="N27" s="141">
        <f>IF(B27="","",G27*M27)</f>
        <v/>
      </c>
      <c r="O27" s="141">
        <f>IF(B27="","",N27*I27)</f>
        <v/>
      </c>
      <c r="P27" s="107" t="n">
        <v>0.25</v>
      </c>
      <c r="Q27" s="107" t="n">
        <v>1.58</v>
      </c>
      <c r="R27" s="107" t="n">
        <v>1.66</v>
      </c>
      <c r="S27" s="141">
        <f>IF(B27="","",(Q27+R27)/2)</f>
        <v/>
      </c>
      <c r="T27" s="141">
        <f>IF(B27="","",IFERROR(IF($X$1="ENTERO (redondeo arriba)",ROUNDUP(G27/P27,0)+1,G27/P27+1),0))</f>
        <v/>
      </c>
      <c r="U27" s="141">
        <f>IF(B27="","",S27*T27)</f>
        <v/>
      </c>
      <c r="V27" s="141">
        <f>IF(B27="","",U27*I27)</f>
        <v/>
      </c>
      <c r="W27" s="141">
        <f>IF(B27="","",O27+V27)</f>
        <v/>
      </c>
      <c r="X27" s="142" t="inlineStr">
        <is>
          <t>3/8"</t>
        </is>
      </c>
      <c r="Y27" s="353" t="n">
        <v>0.5600000000000001</v>
      </c>
      <c r="Z27" s="144" t="n">
        <v>0.25</v>
      </c>
      <c r="AA27" s="144" t="n">
        <v>0.5600000000000001</v>
      </c>
      <c r="AB27" s="144" t="n">
        <v>0.5600000000000001</v>
      </c>
      <c r="AC27" s="108">
        <f>IF(B27="","",IF(D27="TAPADA",(AA27+AB27)/2,0))</f>
        <v/>
      </c>
      <c r="AD27" s="108">
        <f>IF(B27="","",IF(D27="TAPADA",IFERROR(IF($X$1="ENTERO (redondeo arriba)",ROUNDUP(G27/Z27,0)+1,G27/Z27+1),0),0))</f>
        <v/>
      </c>
      <c r="AE27" s="108">
        <f>IF(B27="","",IF(D27="TAPADA",AC27*AD27,0))</f>
        <v/>
      </c>
      <c r="AF27" s="108">
        <f>IF(B27="","",IF(D27="TAPADA",AE27*Y27,0))</f>
        <v/>
      </c>
      <c r="AG27" s="145">
        <f>IF(B27="","",W27+AF27)</f>
        <v/>
      </c>
    </row>
    <row r="28" ht="36.5" customHeight="1">
      <c r="A28" s="138" t="n">
        <v>18</v>
      </c>
      <c r="B28" s="106" t="inlineStr">
        <is>
          <t>EJE 07</t>
        </is>
      </c>
      <c r="C28" s="106" t="inlineStr">
        <is>
          <t>TRAMO 03</t>
        </is>
      </c>
      <c r="D28" s="139" t="inlineStr">
        <is>
          <t>ABIERTA</t>
        </is>
      </c>
      <c r="E28" s="106" t="inlineStr">
        <is>
          <t>SEC 32</t>
        </is>
      </c>
      <c r="F28" s="106" t="inlineStr">
        <is>
          <t>SEC 33</t>
        </is>
      </c>
      <c r="G28" s="107" t="n">
        <v>63.75</v>
      </c>
      <c r="H28" s="106" t="inlineStr">
        <is>
          <t>3/8"</t>
        </is>
      </c>
      <c r="I28" s="352">
        <f>IF(H28="","",IFERROR(VLOOKUP(H28,Listas!$A$4:$B$11,2,FALSE),""))</f>
        <v/>
      </c>
      <c r="J28" s="107" t="n">
        <v>0.19</v>
      </c>
      <c r="K28" s="107" t="n">
        <v>9</v>
      </c>
      <c r="L28" s="107" t="n">
        <v>11</v>
      </c>
      <c r="M28" s="141">
        <f>IF(B28="","",(K28+L28)/2)</f>
        <v/>
      </c>
      <c r="N28" s="141">
        <f>IF(B28="","",G28*M28)</f>
        <v/>
      </c>
      <c r="O28" s="141">
        <f>IF(B28="","",N28*I28)</f>
        <v/>
      </c>
      <c r="P28" s="107" t="n">
        <v>0.25</v>
      </c>
      <c r="Q28" s="107" t="n">
        <v>1.66</v>
      </c>
      <c r="R28" s="107" t="n">
        <v>2.32</v>
      </c>
      <c r="S28" s="141">
        <f>IF(B28="","",(Q28+R28)/2)</f>
        <v/>
      </c>
      <c r="T28" s="141">
        <f>IF(B28="","",IFERROR(IF($X$1="ENTERO (redondeo arriba)",ROUNDUP(G28/P28,0)+1,G28/P28+1),0))</f>
        <v/>
      </c>
      <c r="U28" s="141">
        <f>IF(B28="","",S28*T28)</f>
        <v/>
      </c>
      <c r="V28" s="141">
        <f>IF(B28="","",U28*I28)</f>
        <v/>
      </c>
      <c r="W28" s="141">
        <f>IF(B28="","",O28+V28)</f>
        <v/>
      </c>
      <c r="X28" s="142" t="n"/>
      <c r="Y28" s="353" t="inlineStr"/>
      <c r="Z28" s="144" t="n"/>
      <c r="AA28" s="144" t="n"/>
      <c r="AB28" s="144" t="n"/>
      <c r="AC28" s="108">
        <f>IF(B28="","",IF(D28="TAPADA",(AA28+AB28)/2,0))</f>
        <v/>
      </c>
      <c r="AD28" s="108">
        <f>IF(B28="","",IF(D28="TAPADA",IFERROR(IF($X$1="ENTERO (redondeo arriba)",ROUNDUP(G28/Z28,0)+1,G28/Z28+1),0),0))</f>
        <v/>
      </c>
      <c r="AE28" s="108">
        <f>IF(B28="","",IF(D28="TAPADA",AC28*AD28,0))</f>
        <v/>
      </c>
      <c r="AF28" s="108">
        <f>IF(B28="","",IF(D28="TAPADA",AE28*Y28,0))</f>
        <v/>
      </c>
      <c r="AG28" s="145">
        <f>IF(B28="","",W28+AF28)</f>
        <v/>
      </c>
    </row>
    <row r="29" ht="36.5" customHeight="1">
      <c r="A29" s="138" t="n">
        <v>19</v>
      </c>
      <c r="B29" s="106" t="inlineStr">
        <is>
          <t>EJE 07</t>
        </is>
      </c>
      <c r="C29" s="106" t="inlineStr">
        <is>
          <t>TRAMO 04</t>
        </is>
      </c>
      <c r="D29" s="139" t="inlineStr">
        <is>
          <t>TAPADA</t>
        </is>
      </c>
      <c r="E29" s="106" t="inlineStr">
        <is>
          <t>SEC 33</t>
        </is>
      </c>
      <c r="F29" s="106" t="inlineStr">
        <is>
          <t>SEC 34</t>
        </is>
      </c>
      <c r="G29" s="107" t="n">
        <v>11.47</v>
      </c>
      <c r="H29" s="106" t="inlineStr">
        <is>
          <t>3/8"</t>
        </is>
      </c>
      <c r="I29" s="352">
        <f>IF(H29="","",IFERROR(VLOOKUP(H29,Listas!$A$4:$B$11,2,FALSE),""))</f>
        <v/>
      </c>
      <c r="J29" s="107" t="n">
        <v>0.21</v>
      </c>
      <c r="K29" s="107" t="n">
        <v>12</v>
      </c>
      <c r="L29" s="107" t="n">
        <v>12</v>
      </c>
      <c r="M29" s="141">
        <f>IF(B29="","",(K29+L29)/2)</f>
        <v/>
      </c>
      <c r="N29" s="141">
        <f>IF(B29="","",G29*M29)</f>
        <v/>
      </c>
      <c r="O29" s="141">
        <f>IF(B29="","",N29*I29)</f>
        <v/>
      </c>
      <c r="P29" s="107" t="n">
        <v>0.25</v>
      </c>
      <c r="Q29" s="107" t="n">
        <v>2.32</v>
      </c>
      <c r="R29" s="107" t="n">
        <v>2.42</v>
      </c>
      <c r="S29" s="141">
        <f>IF(B29="","",(Q29+R29)/2)</f>
        <v/>
      </c>
      <c r="T29" s="141">
        <f>IF(B29="","",IFERROR(IF($X$1="ENTERO (redondeo arriba)",ROUNDUP(G29/P29,0)+1,G29/P29+1),0))</f>
        <v/>
      </c>
      <c r="U29" s="141">
        <f>IF(B29="","",S29*T29)</f>
        <v/>
      </c>
      <c r="V29" s="141">
        <f>IF(B29="","",U29*I29)</f>
        <v/>
      </c>
      <c r="W29" s="141">
        <f>IF(B29="","",O29+V29)</f>
        <v/>
      </c>
      <c r="X29" s="142" t="inlineStr">
        <is>
          <t>3/8"</t>
        </is>
      </c>
      <c r="Y29" s="353" t="n">
        <v>0.5600000000000001</v>
      </c>
      <c r="Z29" s="144" t="n">
        <v>0.25</v>
      </c>
      <c r="AA29" s="144" t="n">
        <v>0.5600000000000001</v>
      </c>
      <c r="AB29" s="144" t="n">
        <v>0.5600000000000001</v>
      </c>
      <c r="AC29" s="108">
        <f>IF(B29="","",IF(D29="TAPADA",(AA29+AB29)/2,0))</f>
        <v/>
      </c>
      <c r="AD29" s="108">
        <f>IF(B29="","",IF(D29="TAPADA",IFERROR(IF($X$1="ENTERO (redondeo arriba)",ROUNDUP(G29/Z29,0)+1,G29/Z29+1),0),0))</f>
        <v/>
      </c>
      <c r="AE29" s="108">
        <f>IF(B29="","",IF(D29="TAPADA",AC29*AD29,0))</f>
        <v/>
      </c>
      <c r="AF29" s="108">
        <f>IF(B29="","",IF(D29="TAPADA",AE29*Y29,0))</f>
        <v/>
      </c>
      <c r="AG29" s="145">
        <f>IF(B29="","",W29+AF29)</f>
        <v/>
      </c>
    </row>
    <row r="30" ht="36.5" customHeight="1">
      <c r="A30" s="138" t="n">
        <v>20</v>
      </c>
      <c r="B30" s="106" t="inlineStr">
        <is>
          <t>EJE 07</t>
        </is>
      </c>
      <c r="C30" s="106" t="inlineStr">
        <is>
          <t>TRAMO 05</t>
        </is>
      </c>
      <c r="D30" s="139" t="inlineStr">
        <is>
          <t>TAPADA</t>
        </is>
      </c>
      <c r="E30" s="106" t="inlineStr">
        <is>
          <t>SEC 35</t>
        </is>
      </c>
      <c r="F30" s="106" t="inlineStr">
        <is>
          <t>SEC 36</t>
        </is>
      </c>
      <c r="G30" s="107" t="n">
        <v>5.17</v>
      </c>
      <c r="H30" s="106" t="inlineStr">
        <is>
          <t>3/8"</t>
        </is>
      </c>
      <c r="I30" s="352">
        <f>IF(H30="","",IFERROR(VLOOKUP(H30,Listas!$A$4:$B$11,2,FALSE),""))</f>
        <v/>
      </c>
      <c r="J30" s="107" t="n">
        <v>0.21</v>
      </c>
      <c r="K30" s="107" t="n">
        <v>12</v>
      </c>
      <c r="L30" s="107" t="n">
        <v>12</v>
      </c>
      <c r="M30" s="141">
        <f>IF(B30="","",(K30+L30)/2)</f>
        <v/>
      </c>
      <c r="N30" s="141">
        <f>IF(B30="","",G30*M30)</f>
        <v/>
      </c>
      <c r="O30" s="141">
        <f>IF(B30="","",N30*I30)</f>
        <v/>
      </c>
      <c r="P30" s="107" t="n">
        <v>0.25</v>
      </c>
      <c r="Q30" s="107" t="n">
        <v>2.32</v>
      </c>
      <c r="R30" s="107" t="n">
        <v>2.36</v>
      </c>
      <c r="S30" s="141">
        <f>IF(B30="","",(Q30+R30)/2)</f>
        <v/>
      </c>
      <c r="T30" s="141">
        <f>IF(B30="","",IFERROR(IF($X$1="ENTERO (redondeo arriba)",ROUNDUP(G30/P30,0)+1,G30/P30+1),0))</f>
        <v/>
      </c>
      <c r="U30" s="141">
        <f>IF(B30="","",S30*T30)</f>
        <v/>
      </c>
      <c r="V30" s="141">
        <f>IF(B30="","",U30*I30)</f>
        <v/>
      </c>
      <c r="W30" s="141">
        <f>IF(B30="","",O30+V30)</f>
        <v/>
      </c>
      <c r="X30" s="142" t="inlineStr">
        <is>
          <t>3/8"</t>
        </is>
      </c>
      <c r="Y30" s="353" t="n">
        <v>0.5600000000000001</v>
      </c>
      <c r="Z30" s="144" t="n">
        <v>0.25</v>
      </c>
      <c r="AA30" s="144" t="n">
        <v>0.5600000000000001</v>
      </c>
      <c r="AB30" s="144" t="n">
        <v>0.5600000000000001</v>
      </c>
      <c r="AC30" s="108">
        <f>IF(B30="","",IF(D30="TAPADA",(AA30+AB30)/2,0))</f>
        <v/>
      </c>
      <c r="AD30" s="108">
        <f>IF(B30="","",IF(D30="TAPADA",IFERROR(IF($X$1="ENTERO (redondeo arriba)",ROUNDUP(G30/Z30,0)+1,G30/Z30+1),0),0))</f>
        <v/>
      </c>
      <c r="AE30" s="108">
        <f>IF(B30="","",IF(D30="TAPADA",AC30*AD30,0))</f>
        <v/>
      </c>
      <c r="AF30" s="108">
        <f>IF(B30="","",IF(D30="TAPADA",AE30*Y30,0))</f>
        <v/>
      </c>
      <c r="AG30" s="145">
        <f>IF(B30="","",W30+AF30)</f>
        <v/>
      </c>
    </row>
    <row r="31" ht="36.5" customHeight="1">
      <c r="A31" s="138" t="n">
        <v>21</v>
      </c>
      <c r="B31" s="106" t="inlineStr">
        <is>
          <t>EJE 08</t>
        </is>
      </c>
      <c r="C31" s="106" t="inlineStr">
        <is>
          <t>TRAMO 01</t>
        </is>
      </c>
      <c r="D31" s="139" t="inlineStr">
        <is>
          <t>TAPADA</t>
        </is>
      </c>
      <c r="E31" s="106" t="inlineStr">
        <is>
          <t>SEC 37</t>
        </is>
      </c>
      <c r="F31" s="106" t="inlineStr">
        <is>
          <t>SEC 38</t>
        </is>
      </c>
      <c r="G31" s="107" t="n">
        <v>8.199999999999999</v>
      </c>
      <c r="H31" s="106" t="inlineStr">
        <is>
          <t>3/8"</t>
        </is>
      </c>
      <c r="I31" s="352">
        <f>IF(H31="","",IFERROR(VLOOKUP(H31,Listas!$A$4:$B$11,2,FALSE),""))</f>
        <v/>
      </c>
      <c r="J31" s="107" t="n">
        <v>0.21</v>
      </c>
      <c r="K31" s="107" t="n">
        <v>8</v>
      </c>
      <c r="L31" s="107" t="n">
        <v>8</v>
      </c>
      <c r="M31" s="141">
        <f>IF(B31="","",(K31+L31)/2)</f>
        <v/>
      </c>
      <c r="N31" s="141">
        <f>IF(B31="","",G31*M31)</f>
        <v/>
      </c>
      <c r="O31" s="141">
        <f>IF(B31="","",N31*I31)</f>
        <v/>
      </c>
      <c r="P31" s="107" t="n">
        <v>0.25</v>
      </c>
      <c r="Q31" s="107" t="n">
        <v>1.42</v>
      </c>
      <c r="R31" s="107" t="n">
        <v>1.48</v>
      </c>
      <c r="S31" s="141">
        <f>IF(B31="","",(Q31+R31)/2)</f>
        <v/>
      </c>
      <c r="T31" s="141">
        <f>IF(B31="","",IFERROR(IF($X$1="ENTERO (redondeo arriba)",ROUNDUP(G31/P31,0)+1,G31/P31+1),0))</f>
        <v/>
      </c>
      <c r="U31" s="141">
        <f>IF(B31="","",S31*T31)</f>
        <v/>
      </c>
      <c r="V31" s="141">
        <f>IF(B31="","",U31*I31)</f>
        <v/>
      </c>
      <c r="W31" s="141">
        <f>IF(B31="","",O31+V31)</f>
        <v/>
      </c>
      <c r="X31" s="142" t="inlineStr">
        <is>
          <t>3/8"</t>
        </is>
      </c>
      <c r="Y31" s="353" t="n">
        <v>0.5600000000000001</v>
      </c>
      <c r="Z31" s="144" t="n">
        <v>0.25</v>
      </c>
      <c r="AA31" s="144" t="n">
        <v>0.5600000000000001</v>
      </c>
      <c r="AB31" s="144" t="n">
        <v>0.5600000000000001</v>
      </c>
      <c r="AC31" s="108">
        <f>IF(B31="","",IF(D31="TAPADA",(AA31+AB31)/2,0))</f>
        <v/>
      </c>
      <c r="AD31" s="108">
        <f>IF(B31="","",IF(D31="TAPADA",IFERROR(IF($X$1="ENTERO (redondeo arriba)",ROUNDUP(G31/Z31,0)+1,G31/Z31+1),0),0))</f>
        <v/>
      </c>
      <c r="AE31" s="108">
        <f>IF(B31="","",IF(D31="TAPADA",AC31*AD31,0))</f>
        <v/>
      </c>
      <c r="AF31" s="108">
        <f>IF(B31="","",IF(D31="TAPADA",AE31*Y31,0))</f>
        <v/>
      </c>
      <c r="AG31" s="145">
        <f>IF(B31="","",W31+AF31)</f>
        <v/>
      </c>
    </row>
    <row r="32" ht="36.5" customHeight="1">
      <c r="A32" s="138" t="n">
        <v>22</v>
      </c>
      <c r="B32" s="106" t="inlineStr">
        <is>
          <t>EJE 09</t>
        </is>
      </c>
      <c r="C32" s="106" t="inlineStr">
        <is>
          <t>TRAMO 01</t>
        </is>
      </c>
      <c r="D32" s="139" t="inlineStr">
        <is>
          <t>TAPADA</t>
        </is>
      </c>
      <c r="E32" s="106" t="inlineStr">
        <is>
          <t>SEC 39</t>
        </is>
      </c>
      <c r="F32" s="106" t="inlineStr">
        <is>
          <t>SEC 40</t>
        </is>
      </c>
      <c r="G32" s="107" t="n">
        <v>7</v>
      </c>
      <c r="H32" s="106" t="inlineStr">
        <is>
          <t>3/8"</t>
        </is>
      </c>
      <c r="I32" s="352">
        <f>IF(H32="","",IFERROR(VLOOKUP(H32,Listas!$A$4:$B$11,2,FALSE),""))</f>
        <v/>
      </c>
      <c r="J32" s="107" t="n">
        <v>0.21</v>
      </c>
      <c r="K32" s="107" t="n">
        <v>8</v>
      </c>
      <c r="L32" s="107" t="n">
        <v>8</v>
      </c>
      <c r="M32" s="141">
        <f>IF(B32="","",(K32+L32)/2)</f>
        <v/>
      </c>
      <c r="N32" s="141">
        <f>IF(B32="","",G32*M32)</f>
        <v/>
      </c>
      <c r="O32" s="141">
        <f>IF(B32="","",N32*I32)</f>
        <v/>
      </c>
      <c r="P32" s="107" t="n">
        <v>0.25</v>
      </c>
      <c r="Q32" s="107" t="n">
        <v>1.42</v>
      </c>
      <c r="R32" s="107" t="n">
        <v>1.48</v>
      </c>
      <c r="S32" s="141">
        <f>IF(B32="","",(Q32+R32)/2)</f>
        <v/>
      </c>
      <c r="T32" s="141">
        <f>IF(B32="","",IFERROR(IF($X$1="ENTERO (redondeo arriba)",ROUNDUP(G32/P32,0)+1,G32/P32+1),0))</f>
        <v/>
      </c>
      <c r="U32" s="141">
        <f>IF(B32="","",S32*T32)</f>
        <v/>
      </c>
      <c r="V32" s="141">
        <f>IF(B32="","",U32*I32)</f>
        <v/>
      </c>
      <c r="W32" s="141">
        <f>IF(B32="","",O32+V32)</f>
        <v/>
      </c>
      <c r="X32" s="142" t="inlineStr">
        <is>
          <t>3/8"</t>
        </is>
      </c>
      <c r="Y32" s="353" t="n">
        <v>0.5600000000000001</v>
      </c>
      <c r="Z32" s="144" t="n">
        <v>0.25</v>
      </c>
      <c r="AA32" s="144" t="n">
        <v>0.5600000000000001</v>
      </c>
      <c r="AB32" s="144" t="n">
        <v>0.5600000000000001</v>
      </c>
      <c r="AC32" s="108">
        <f>IF(B32="","",IF(D32="TAPADA",(AA32+AB32)/2,0))</f>
        <v/>
      </c>
      <c r="AD32" s="108">
        <f>IF(B32="","",IF(D32="TAPADA",IFERROR(IF($X$1="ENTERO (redondeo arriba)",ROUNDUP(G32/Z32,0)+1,G32/Z32+1),0),0))</f>
        <v/>
      </c>
      <c r="AE32" s="108">
        <f>IF(B32="","",IF(D32="TAPADA",AC32*AD32,0))</f>
        <v/>
      </c>
      <c r="AF32" s="108">
        <f>IF(B32="","",IF(D32="TAPADA",AE32*Y32,0))</f>
        <v/>
      </c>
      <c r="AG32" s="145">
        <f>IF(B32="","",W32+AF32)</f>
        <v/>
      </c>
    </row>
    <row r="33" ht="36.5" customHeight="1">
      <c r="A33" s="138" t="n">
        <v>23</v>
      </c>
      <c r="B33" s="106" t="inlineStr">
        <is>
          <t>EJE 11</t>
        </is>
      </c>
      <c r="C33" s="106" t="inlineStr">
        <is>
          <t>TRAMO 01</t>
        </is>
      </c>
      <c r="D33" s="139" t="inlineStr">
        <is>
          <t>ABIERTA</t>
        </is>
      </c>
      <c r="E33" s="106" t="inlineStr">
        <is>
          <t>SEC 44</t>
        </is>
      </c>
      <c r="F33" s="106" t="inlineStr">
        <is>
          <t>SEC 45</t>
        </is>
      </c>
      <c r="G33" s="107" t="n">
        <v>42.76</v>
      </c>
      <c r="H33" s="106" t="inlineStr">
        <is>
          <t>3/8"</t>
        </is>
      </c>
      <c r="I33" s="352">
        <f>IF(H33="","",IFERROR(VLOOKUP(H33,Listas!$A$4:$B$11,2,FALSE),""))</f>
        <v/>
      </c>
      <c r="J33" s="107" t="n">
        <v>0.2</v>
      </c>
      <c r="K33" s="107" t="n">
        <v>7</v>
      </c>
      <c r="L33" s="107" t="n">
        <v>9</v>
      </c>
      <c r="M33" s="141">
        <f>IF(B33="","",(K33+L33)/2)</f>
        <v/>
      </c>
      <c r="N33" s="141">
        <f>IF(B33="","",G33*M33)</f>
        <v/>
      </c>
      <c r="O33" s="141">
        <f>IF(B33="","",N33*I33)</f>
        <v/>
      </c>
      <c r="P33" s="107" t="n">
        <v>0.25</v>
      </c>
      <c r="Q33" s="107" t="n">
        <v>1.42</v>
      </c>
      <c r="R33" s="107" t="n">
        <v>1.82</v>
      </c>
      <c r="S33" s="141">
        <f>IF(B33="","",(Q33+R33)/2)</f>
        <v/>
      </c>
      <c r="T33" s="141">
        <f>IF(B33="","",IFERROR(IF($X$1="ENTERO (redondeo arriba)",ROUNDUP(G33/P33,0)+1,G33/P33+1),0))</f>
        <v/>
      </c>
      <c r="U33" s="141">
        <f>IF(B33="","",S33*T33)</f>
        <v/>
      </c>
      <c r="V33" s="141">
        <f>IF(B33="","",U33*I33)</f>
        <v/>
      </c>
      <c r="W33" s="141">
        <f>IF(B33="","",O33+V33)</f>
        <v/>
      </c>
      <c r="X33" s="142" t="n"/>
      <c r="Y33" s="353" t="inlineStr"/>
      <c r="Z33" s="144" t="n"/>
      <c r="AA33" s="144" t="n"/>
      <c r="AB33" s="144" t="n"/>
      <c r="AC33" s="108">
        <f>IF(B33="","",IF(D33="TAPADA",(AA33+AB33)/2,0))</f>
        <v/>
      </c>
      <c r="AD33" s="108">
        <f>IF(B33="","",IF(D33="TAPADA",IFERROR(IF($X$1="ENTERO (redondeo arriba)",ROUNDUP(G33/Z33,0)+1,G33/Z33+1),0),0))</f>
        <v/>
      </c>
      <c r="AE33" s="108">
        <f>IF(B33="","",IF(D33="TAPADA",AC33*AD33,0))</f>
        <v/>
      </c>
      <c r="AF33" s="108">
        <f>IF(B33="","",IF(D33="TAPADA",AE33*Y33,0))</f>
        <v/>
      </c>
      <c r="AG33" s="145">
        <f>IF(B33="","",W33+AF33)</f>
        <v/>
      </c>
    </row>
    <row r="34" ht="36.5" customHeight="1">
      <c r="A34" s="138" t="n">
        <v>24</v>
      </c>
      <c r="B34" s="106" t="inlineStr">
        <is>
          <t>EJE 11</t>
        </is>
      </c>
      <c r="C34" s="106" t="inlineStr">
        <is>
          <t>TRAMO 02</t>
        </is>
      </c>
      <c r="D34" s="139" t="inlineStr">
        <is>
          <t>TAPADA</t>
        </is>
      </c>
      <c r="E34" s="106" t="inlineStr">
        <is>
          <t>SEC 45</t>
        </is>
      </c>
      <c r="F34" s="106" t="inlineStr">
        <is>
          <t>SEC 46</t>
        </is>
      </c>
      <c r="G34" s="107" t="n">
        <v>2.2</v>
      </c>
      <c r="H34" s="106" t="inlineStr">
        <is>
          <t>3/8"</t>
        </is>
      </c>
      <c r="I34" s="352">
        <f>IF(H34="","",IFERROR(VLOOKUP(H34,Listas!$A$4:$B$11,2,FALSE),""))</f>
        <v/>
      </c>
      <c r="J34" s="107" t="n">
        <v>0.2</v>
      </c>
      <c r="K34" s="107" t="n">
        <v>10</v>
      </c>
      <c r="L34" s="107" t="n">
        <v>10</v>
      </c>
      <c r="M34" s="141">
        <f>IF(B34="","",(K34+L34)/2)</f>
        <v/>
      </c>
      <c r="N34" s="141">
        <f>IF(B34="","",G34*M34)</f>
        <v/>
      </c>
      <c r="O34" s="141">
        <f>IF(B34="","",N34*I34)</f>
        <v/>
      </c>
      <c r="P34" s="107" t="n">
        <v>0.25</v>
      </c>
      <c r="Q34" s="107" t="n">
        <v>1.82</v>
      </c>
      <c r="R34" s="107" t="n">
        <v>1.84</v>
      </c>
      <c r="S34" s="141">
        <f>IF(B34="","",(Q34+R34)/2)</f>
        <v/>
      </c>
      <c r="T34" s="141">
        <f>IF(B34="","",IFERROR(IF($X$1="ENTERO (redondeo arriba)",ROUNDUP(G34/P34,0)+1,G34/P34+1),0))</f>
        <v/>
      </c>
      <c r="U34" s="141">
        <f>IF(B34="","",S34*T34)</f>
        <v/>
      </c>
      <c r="V34" s="141">
        <f>IF(B34="","",U34*I34)</f>
        <v/>
      </c>
      <c r="W34" s="141">
        <f>IF(B34="","",O34+V34)</f>
        <v/>
      </c>
      <c r="X34" s="142" t="inlineStr">
        <is>
          <t>3/8"</t>
        </is>
      </c>
      <c r="Y34" s="353" t="n">
        <v>0.5600000000000001</v>
      </c>
      <c r="Z34" s="144" t="n">
        <v>0.25</v>
      </c>
      <c r="AA34" s="144" t="n">
        <v>0.5600000000000001</v>
      </c>
      <c r="AB34" s="144" t="n">
        <v>0.5600000000000001</v>
      </c>
      <c r="AC34" s="108">
        <f>IF(B34="","",IF(D34="TAPADA",(AA34+AB34)/2,0))</f>
        <v/>
      </c>
      <c r="AD34" s="108">
        <f>IF(B34="","",IF(D34="TAPADA",IFERROR(IF($X$1="ENTERO (redondeo arriba)",ROUNDUP(G34/Z34,0)+1,G34/Z34+1),0),0))</f>
        <v/>
      </c>
      <c r="AE34" s="108">
        <f>IF(B34="","",IF(D34="TAPADA",AC34*AD34,0))</f>
        <v/>
      </c>
      <c r="AF34" s="108">
        <f>IF(B34="","",IF(D34="TAPADA",AE34*Y34,0))</f>
        <v/>
      </c>
      <c r="AG34" s="145">
        <f>IF(B34="","",W34+AF34)</f>
        <v/>
      </c>
    </row>
    <row r="35" ht="36.5" customHeight="1">
      <c r="A35" s="138" t="n">
        <v>25</v>
      </c>
      <c r="B35" s="106" t="inlineStr">
        <is>
          <t>EJE 11</t>
        </is>
      </c>
      <c r="C35" s="106" t="inlineStr">
        <is>
          <t>TRAMO 03</t>
        </is>
      </c>
      <c r="D35" s="139" t="inlineStr">
        <is>
          <t>TAPADA</t>
        </is>
      </c>
      <c r="E35" s="106" t="inlineStr">
        <is>
          <t>SEC 47</t>
        </is>
      </c>
      <c r="F35" s="106" t="inlineStr">
        <is>
          <t>SEC 48</t>
        </is>
      </c>
      <c r="G35" s="107" t="n">
        <v>6.5</v>
      </c>
      <c r="H35" s="106" t="inlineStr">
        <is>
          <t>3/8"</t>
        </is>
      </c>
      <c r="I35" s="352">
        <f>IF(H35="","",IFERROR(VLOOKUP(H35,Listas!$A$4:$B$11,2,FALSE),""))</f>
        <v/>
      </c>
      <c r="J35" s="107" t="n">
        <v>0.21</v>
      </c>
      <c r="K35" s="107" t="n">
        <v>10</v>
      </c>
      <c r="L35" s="107" t="n">
        <v>10</v>
      </c>
      <c r="M35" s="141">
        <f>IF(B35="","",(K35+L35)/2)</f>
        <v/>
      </c>
      <c r="N35" s="141">
        <f>IF(B35="","",G35*M35)</f>
        <v/>
      </c>
      <c r="O35" s="141">
        <f>IF(B35="","",N35*I35)</f>
        <v/>
      </c>
      <c r="P35" s="107" t="n">
        <v>0.25</v>
      </c>
      <c r="Q35" s="107" t="n">
        <v>1.76</v>
      </c>
      <c r="R35" s="107" t="n">
        <v>1.82</v>
      </c>
      <c r="S35" s="141">
        <f>IF(B35="","",(Q35+R35)/2)</f>
        <v/>
      </c>
      <c r="T35" s="141">
        <f>IF(B35="","",IFERROR(IF($X$1="ENTERO (redondeo arriba)",ROUNDUP(G35/P35,0)+1,G35/P35+1),0))</f>
        <v/>
      </c>
      <c r="U35" s="141">
        <f>IF(B35="","",S35*T35)</f>
        <v/>
      </c>
      <c r="V35" s="141">
        <f>IF(B35="","",U35*I35)</f>
        <v/>
      </c>
      <c r="W35" s="141">
        <f>IF(B35="","",O35+V35)</f>
        <v/>
      </c>
      <c r="X35" s="142" t="inlineStr">
        <is>
          <t>3/8"</t>
        </is>
      </c>
      <c r="Y35" s="353" t="n">
        <v>0.5600000000000001</v>
      </c>
      <c r="Z35" s="144" t="n">
        <v>0.25</v>
      </c>
      <c r="AA35" s="144" t="n">
        <v>0.5600000000000001</v>
      </c>
      <c r="AB35" s="144" t="n">
        <v>0.5600000000000001</v>
      </c>
      <c r="AC35" s="108">
        <f>IF(B35="","",IF(D35="TAPADA",(AA35+AB35)/2,0))</f>
        <v/>
      </c>
      <c r="AD35" s="108">
        <f>IF(B35="","",IF(D35="TAPADA",IFERROR(IF($X$1="ENTERO (redondeo arriba)",ROUNDUP(G35/Z35,0)+1,G35/Z35+1),0),0))</f>
        <v/>
      </c>
      <c r="AE35" s="108">
        <f>IF(B35="","",IF(D35="TAPADA",AC35*AD35,0))</f>
        <v/>
      </c>
      <c r="AF35" s="108">
        <f>IF(B35="","",IF(D35="TAPADA",AE35*Y35,0))</f>
        <v/>
      </c>
      <c r="AG35" s="145">
        <f>IF(B35="","",W35+AF35)</f>
        <v/>
      </c>
    </row>
    <row r="36" ht="36.5" customHeight="1">
      <c r="A36" s="138" t="n">
        <v>26</v>
      </c>
      <c r="B36" s="106" t="inlineStr">
        <is>
          <t>EJE 12</t>
        </is>
      </c>
      <c r="C36" s="106" t="inlineStr">
        <is>
          <t>TRAMO 01</t>
        </is>
      </c>
      <c r="D36" s="139" t="inlineStr">
        <is>
          <t>ABIERTA</t>
        </is>
      </c>
      <c r="E36" s="106" t="inlineStr">
        <is>
          <t>SEC 50</t>
        </is>
      </c>
      <c r="F36" s="106" t="inlineStr">
        <is>
          <t>SEC 51</t>
        </is>
      </c>
      <c r="G36" s="107" t="n">
        <v>32.48</v>
      </c>
      <c r="H36" s="106" t="inlineStr">
        <is>
          <t>3/8"</t>
        </is>
      </c>
      <c r="I36" s="352">
        <f>IF(H36="","",IFERROR(VLOOKUP(H36,Listas!$A$4:$B$11,2,FALSE),""))</f>
        <v/>
      </c>
      <c r="J36" s="107" t="n">
        <v>0.2</v>
      </c>
      <c r="K36" s="107" t="n">
        <v>7</v>
      </c>
      <c r="L36" s="107" t="n">
        <v>1.76</v>
      </c>
      <c r="M36" s="141">
        <f>IF(B36="","",(K36+L36)/2)</f>
        <v/>
      </c>
      <c r="N36" s="141">
        <f>IF(B36="","",G36*M36)</f>
        <v/>
      </c>
      <c r="O36" s="141">
        <f>IF(B36="","",N36*I36)</f>
        <v/>
      </c>
      <c r="P36" s="107" t="n">
        <v>0.25</v>
      </c>
      <c r="Q36" s="107" t="n">
        <v>1.42</v>
      </c>
      <c r="R36" s="107" t="n">
        <v>1.76</v>
      </c>
      <c r="S36" s="141">
        <f>IF(B36="","",(Q36+R36)/2)</f>
        <v/>
      </c>
      <c r="T36" s="141">
        <f>IF(B36="","",IFERROR(IF($X$1="ENTERO (redondeo arriba)",ROUNDUP(G36/P36,0)+1,G36/P36+1),0))</f>
        <v/>
      </c>
      <c r="U36" s="141">
        <f>IF(B36="","",S36*T36)</f>
        <v/>
      </c>
      <c r="V36" s="141">
        <f>IF(B36="","",U36*I36)</f>
        <v/>
      </c>
      <c r="W36" s="141">
        <f>IF(B36="","",O36+V36)</f>
        <v/>
      </c>
      <c r="X36" s="142" t="n"/>
      <c r="Y36" s="353" t="inlineStr"/>
      <c r="Z36" s="144" t="n"/>
      <c r="AA36" s="144" t="n"/>
      <c r="AB36" s="144" t="n"/>
      <c r="AC36" s="108">
        <f>IF(B36="","",IF(D36="TAPADA",(AA36+AB36)/2,0))</f>
        <v/>
      </c>
      <c r="AD36" s="108">
        <f>IF(B36="","",IF(D36="TAPADA",IFERROR(IF($X$1="ENTERO (redondeo arriba)",ROUNDUP(G36/Z36,0)+1,G36/Z36+1),0),0))</f>
        <v/>
      </c>
      <c r="AE36" s="108">
        <f>IF(B36="","",IF(D36="TAPADA",AC36*AD36,0))</f>
        <v/>
      </c>
      <c r="AF36" s="108">
        <f>IF(B36="","",IF(D36="TAPADA",AE36*Y36,0))</f>
        <v/>
      </c>
      <c r="AG36" s="145">
        <f>IF(B36="","",W36+AF36)</f>
        <v/>
      </c>
    </row>
    <row r="37" ht="36.5" customHeight="1">
      <c r="A37" s="138" t="n">
        <v>27</v>
      </c>
      <c r="B37" s="106" t="inlineStr">
        <is>
          <t>EJE 12</t>
        </is>
      </c>
      <c r="C37" s="106" t="inlineStr">
        <is>
          <t>TRAMO 02</t>
        </is>
      </c>
      <c r="D37" s="139" t="inlineStr">
        <is>
          <t>TAPADA</t>
        </is>
      </c>
      <c r="E37" s="106" t="inlineStr">
        <is>
          <t>SEC 52</t>
        </is>
      </c>
      <c r="F37" s="106" t="inlineStr">
        <is>
          <t>SEC 53</t>
        </is>
      </c>
      <c r="G37" s="107" t="n">
        <v>56.64</v>
      </c>
      <c r="H37" s="106" t="inlineStr">
        <is>
          <t>3/8"</t>
        </is>
      </c>
      <c r="I37" s="352">
        <f>IF(H37="","",IFERROR(VLOOKUP(H37,Listas!$A$4:$B$11,2,FALSE),""))</f>
        <v/>
      </c>
      <c r="J37" s="107" t="n">
        <v>0.21</v>
      </c>
      <c r="K37" s="107" t="n">
        <v>10</v>
      </c>
      <c r="L37" s="107" t="n">
        <v>12</v>
      </c>
      <c r="M37" s="141">
        <f>IF(B37="","",(K37+L37)/2)</f>
        <v/>
      </c>
      <c r="N37" s="141">
        <f>IF(B37="","",G37*M37)</f>
        <v/>
      </c>
      <c r="O37" s="141">
        <f>IF(B37="","",N37*I37)</f>
        <v/>
      </c>
      <c r="P37" s="107" t="n">
        <v>0.25</v>
      </c>
      <c r="Q37" s="107" t="n">
        <v>1.66</v>
      </c>
      <c r="R37" s="107" t="n">
        <v>2.22</v>
      </c>
      <c r="S37" s="141">
        <f>IF(B37="","",(Q37+R37)/2)</f>
        <v/>
      </c>
      <c r="T37" s="141">
        <f>IF(B37="","",IFERROR(IF($X$1="ENTERO (redondeo arriba)",ROUNDUP(G37/P37,0)+1,G37/P37+1),0))</f>
        <v/>
      </c>
      <c r="U37" s="141">
        <f>IF(B37="","",S37*T37)</f>
        <v/>
      </c>
      <c r="V37" s="141">
        <f>IF(B37="","",U37*I37)</f>
        <v/>
      </c>
      <c r="W37" s="141">
        <f>IF(B37="","",O37+V37)</f>
        <v/>
      </c>
      <c r="X37" s="142" t="inlineStr">
        <is>
          <t>3/8"</t>
        </is>
      </c>
      <c r="Y37" s="353" t="n">
        <v>0.5600000000000001</v>
      </c>
      <c r="Z37" s="144" t="n">
        <v>0.25</v>
      </c>
      <c r="AA37" s="144" t="n">
        <v>0.5600000000000001</v>
      </c>
      <c r="AB37" s="144" t="n">
        <v>0.5600000000000001</v>
      </c>
      <c r="AC37" s="108">
        <f>IF(B37="","",IF(D37="TAPADA",(AA37+AB37)/2,0))</f>
        <v/>
      </c>
      <c r="AD37" s="108">
        <f>IF(B37="","",IF(D37="TAPADA",IFERROR(IF($X$1="ENTERO (redondeo arriba)",ROUNDUP(G37/Z37,0)+1,G37/Z37+1),0),0))</f>
        <v/>
      </c>
      <c r="AE37" s="108">
        <f>IF(B37="","",IF(D37="TAPADA",AC37*AD37,0))</f>
        <v/>
      </c>
      <c r="AF37" s="108">
        <f>IF(B37="","",IF(D37="TAPADA",AE37*Y37,0))</f>
        <v/>
      </c>
      <c r="AG37" s="145">
        <f>IF(B37="","",W37+AF37)</f>
        <v/>
      </c>
    </row>
    <row r="38" ht="36.5" customHeight="1">
      <c r="A38" s="274" t="inlineStr">
        <is>
          <t>TOTALES DE LA PLANILLA</t>
        </is>
      </c>
      <c r="B38" s="313" t="n"/>
      <c r="C38" s="313" t="n"/>
      <c r="D38" s="313" t="n"/>
      <c r="E38" s="313" t="n"/>
      <c r="F38" s="314" t="n"/>
      <c r="G38" s="274">
        <f>SUM(G11:G37)</f>
        <v/>
      </c>
      <c r="H38" s="274" t="n"/>
      <c r="I38" s="274" t="n"/>
      <c r="J38" s="274" t="n"/>
      <c r="K38" s="274" t="n"/>
      <c r="L38" s="274" t="n"/>
      <c r="M38" s="274" t="n"/>
      <c r="N38" s="274">
        <f>SUM(N11:N37)</f>
        <v/>
      </c>
      <c r="O38" s="274">
        <f>SUM(O11:O37)</f>
        <v/>
      </c>
      <c r="P38" s="274" t="n"/>
      <c r="Q38" s="274" t="n"/>
      <c r="R38" s="274" t="n"/>
      <c r="S38" s="274" t="n"/>
      <c r="T38" s="274" t="n"/>
      <c r="U38" s="274">
        <f>SUM(U11:U37)</f>
        <v/>
      </c>
      <c r="V38" s="274">
        <f>SUM(V11:V37)</f>
        <v/>
      </c>
      <c r="W38" s="274">
        <f>SUM(W11:W37)</f>
        <v/>
      </c>
      <c r="X38" s="274" t="n"/>
      <c r="Y38" s="274" t="n"/>
      <c r="Z38" s="274" t="n"/>
      <c r="AA38" s="274" t="n"/>
      <c r="AB38" s="274" t="n"/>
      <c r="AC38" s="274" t="n"/>
      <c r="AD38" s="274" t="n"/>
      <c r="AE38" s="274">
        <f>SUM(AE11:AE37)</f>
        <v/>
      </c>
      <c r="AF38" s="274">
        <f>SUM(AF11:AF37)</f>
        <v/>
      </c>
      <c r="AG38" s="274">
        <f>SUM(AG11:AG37)</f>
        <v/>
      </c>
    </row>
  </sheetData>
  <mergeCells count="11">
    <mergeCell ref="A38:F38"/>
    <mergeCell ref="P9:W9"/>
    <mergeCell ref="B5:AG5"/>
    <mergeCell ref="A8:AG8"/>
    <mergeCell ref="A9:G9"/>
    <mergeCell ref="B4:AG4"/>
    <mergeCell ref="A2:AG2"/>
    <mergeCell ref="B3:AG3"/>
    <mergeCell ref="X9:AF9"/>
    <mergeCell ref="B6:AG6"/>
    <mergeCell ref="H9:O9"/>
  </mergeCells>
  <conditionalFormatting sqref="D11:D37">
    <cfRule type="expression" priority="2" dxfId="2">
      <formula>D11="TAPADA"</formula>
    </cfRule>
    <cfRule type="expression" priority="3" dxfId="1">
      <formula>D11="ABIERTA"</formula>
    </cfRule>
  </conditionalFormatting>
  <conditionalFormatting sqref="X11:AF37">
    <cfRule type="expression" priority="1" dxfId="0">
      <formula>$D11="ABIERTA"</formula>
    </cfRule>
  </conditionalFormatting>
  <pageMargins left="0.7" right="0.7" top="0.75" bottom="0.75" header="0.3" footer="0.3"/>
  <pageSetup orientation="landscape" paperSize="9" scale="28" fitToHeight="0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O38"/>
  <sheetViews>
    <sheetView topLeftCell="A22" zoomScaleNormal="100" zoomScaleSheetLayoutView="100" workbookViewId="0">
      <selection activeCell="F15" sqref="F15"/>
    </sheetView>
  </sheetViews>
  <sheetFormatPr baseColWidth="10" defaultColWidth="9.453125" defaultRowHeight="15.5"/>
  <cols>
    <col width="6.54296875" customWidth="1" style="102" min="1" max="1"/>
    <col width="13.08984375" customWidth="1" style="102" min="2" max="2"/>
    <col width="18.81640625" customWidth="1" style="102" min="3" max="3"/>
    <col width="17.453125" customWidth="1" style="102" min="4" max="4"/>
    <col width="16" customWidth="1" style="102" min="5" max="5"/>
    <col width="15.26953125" customWidth="1" style="102" min="6" max="8"/>
    <col width="14.1796875" customWidth="1" style="102" min="9" max="9"/>
    <col width="16.36328125" customWidth="1" style="102" min="10" max="10"/>
    <col width="15.26953125" customWidth="1" style="102" min="11" max="11"/>
    <col width="17.453125" customWidth="1" style="102" min="12" max="12"/>
    <col width="16.36328125" customWidth="1" style="102" min="13" max="13"/>
    <col width="10.90625" customWidth="1" style="102" min="14" max="14"/>
    <col width="8.7265625" customWidth="1" style="102" min="15" max="15"/>
    <col width="9.453125" customWidth="1" style="102" min="16" max="16384"/>
  </cols>
  <sheetData>
    <row r="1" ht="25" customHeight="1">
      <c r="A1" s="284" t="inlineStr">
        <is>
          <t>METRADO DE CURADO DE CONCRETO EN CUNETAS</t>
        </is>
      </c>
      <c r="B1" s="313" t="n"/>
      <c r="C1" s="313" t="n"/>
      <c r="D1" s="313" t="n"/>
      <c r="E1" s="313" t="n"/>
      <c r="F1" s="313" t="n"/>
      <c r="G1" s="313" t="n"/>
      <c r="H1" s="313" t="n"/>
      <c r="I1" s="313" t="n"/>
      <c r="J1" s="313" t="n"/>
      <c r="K1" s="313" t="n"/>
      <c r="L1" s="313" t="n"/>
      <c r="M1" s="313" t="n"/>
      <c r="N1" s="313" t="n"/>
      <c r="O1" s="314" t="n"/>
    </row>
    <row r="2" ht="27" customHeight="1">
      <c r="A2" s="286" t="inlineStr">
        <is>
          <t>ENTIDAD</t>
        </is>
      </c>
      <c r="B2" s="314" t="n"/>
      <c r="C2" s="283" t="inlineStr">
        <is>
          <t>GERENCIA TERRITORIAL BAJO MAYO - TARAPOTO</t>
        </is>
      </c>
      <c r="D2" s="313" t="n"/>
      <c r="E2" s="313" t="n"/>
      <c r="F2" s="313" t="n"/>
      <c r="G2" s="313" t="n"/>
      <c r="H2" s="313" t="n"/>
      <c r="I2" s="313" t="n"/>
      <c r="J2" s="313" t="n"/>
      <c r="K2" s="313" t="n"/>
      <c r="L2" s="313" t="n"/>
      <c r="M2" s="313" t="n"/>
      <c r="N2" s="313" t="n"/>
      <c r="O2" s="314" t="n"/>
    </row>
    <row r="3" ht="47" customHeight="1">
      <c r="A3" s="286" t="inlineStr">
        <is>
          <t>PROYECTO</t>
        </is>
      </c>
      <c r="B3" s="314" t="n"/>
      <c r="C3" s="283">
        <f>+RESUMEN!B5</f>
        <v/>
      </c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4" t="n"/>
    </row>
    <row r="4" ht="27" customHeight="1">
      <c r="A4" s="286" t="inlineStr">
        <is>
          <t>UBICACIÓN</t>
        </is>
      </c>
      <c r="B4" s="314" t="n"/>
      <c r="C4" s="283">
        <f>+RESUMEN!B6</f>
        <v/>
      </c>
      <c r="D4" s="313" t="n"/>
      <c r="E4" s="313" t="n"/>
      <c r="F4" s="313" t="n"/>
      <c r="G4" s="313" t="n"/>
      <c r="H4" s="313" t="n"/>
      <c r="I4" s="313" t="n"/>
      <c r="J4" s="314" t="n"/>
      <c r="K4" s="286" t="inlineStr">
        <is>
          <t>FECHA</t>
        </is>
      </c>
      <c r="L4" s="287">
        <f>+RESUMEN!B7</f>
        <v/>
      </c>
      <c r="M4" s="313" t="n"/>
      <c r="N4" s="313" t="n"/>
      <c r="O4" s="314" t="n"/>
    </row>
    <row r="6" ht="37.4" customHeight="1">
      <c r="A6" s="104" t="inlineStr">
        <is>
          <t>N°</t>
        </is>
      </c>
      <c r="B6" s="104" t="inlineStr">
        <is>
          <t>EJE</t>
        </is>
      </c>
      <c r="C6" s="104" t="inlineStr">
        <is>
          <t>TRAMO</t>
        </is>
      </c>
      <c r="D6" s="104" t="inlineStr">
        <is>
          <t>TIPO DE CUNETA</t>
        </is>
      </c>
      <c r="E6" s="104" t="inlineStr">
        <is>
          <t>LONGITUD (m)</t>
        </is>
      </c>
      <c r="F6" s="104" t="inlineStr">
        <is>
          <t>ANCHO INTERIOR (m)</t>
        </is>
      </c>
      <c r="G6" s="104" t="inlineStr">
        <is>
          <t>ALTURA INT. INI (m)</t>
        </is>
      </c>
      <c r="H6" s="104" t="inlineStr">
        <is>
          <t>ALTURA INT. FIN (m)</t>
        </is>
      </c>
      <c r="I6" s="104" t="inlineStr">
        <is>
          <t>ALTURA PROM. (m)</t>
        </is>
      </c>
      <c r="J6" s="104" t="inlineStr">
        <is>
          <t>ÁREA 2 MUROS (m²)</t>
        </is>
      </c>
      <c r="K6" s="104" t="inlineStr">
        <is>
          <t>ÁREA FONDO (m²)</t>
        </is>
      </c>
      <c r="L6" s="104" t="inlineStr">
        <is>
          <t>ÁREA TAPA / TECHO (m²)</t>
        </is>
      </c>
      <c r="M6" s="104" t="inlineStr">
        <is>
          <t>TOTAL CURADO (m²)</t>
        </is>
      </c>
      <c r="N6" s="104" t="inlineStr">
        <is>
          <t>N° CARAS</t>
        </is>
      </c>
      <c r="O6" s="104" t="inlineStr">
        <is>
          <t>UND.</t>
        </is>
      </c>
    </row>
    <row r="7" ht="33" customHeight="1">
      <c r="A7" s="103" t="n">
        <v>1</v>
      </c>
      <c r="B7" s="135" t="inlineStr">
        <is>
          <t>EJE 01</t>
        </is>
      </c>
      <c r="C7" s="135" t="inlineStr">
        <is>
          <t>TRAMO 01</t>
        </is>
      </c>
      <c r="D7" s="139" t="inlineStr">
        <is>
          <t>ABIERTA</t>
        </is>
      </c>
      <c r="E7" s="136" t="n">
        <v>32</v>
      </c>
      <c r="F7" s="202" t="n">
        <v>0.4</v>
      </c>
      <c r="G7" s="136" t="n">
        <v>0.3</v>
      </c>
      <c r="H7" s="136" t="n">
        <v>0.46</v>
      </c>
      <c r="I7" s="108">
        <f>IF(B7="","",(G7+H7)/2)</f>
        <v/>
      </c>
      <c r="J7" s="108">
        <f>IF(B7="","",2*E7*I7)</f>
        <v/>
      </c>
      <c r="K7" s="108">
        <f>IF(B7="","",E7*F7)</f>
        <v/>
      </c>
      <c r="L7" s="108">
        <f>IF(B7="","",IF(D7="TAPADA",E7*F7,0))</f>
        <v/>
      </c>
      <c r="M7" s="109">
        <f>SUM(J7:L7)</f>
        <v/>
      </c>
      <c r="N7" s="110">
        <f>IF(B7="","",IF(D7="TAPADA",4,3))</f>
        <v/>
      </c>
      <c r="O7" s="111" t="inlineStr">
        <is>
          <t>m²</t>
        </is>
      </c>
    </row>
    <row r="8" ht="33" customHeight="1">
      <c r="A8" s="103" t="n">
        <v>2</v>
      </c>
      <c r="B8" s="135" t="inlineStr">
        <is>
          <t>EJE 01</t>
        </is>
      </c>
      <c r="C8" s="135" t="inlineStr">
        <is>
          <t>TRAMO 02</t>
        </is>
      </c>
      <c r="D8" s="139" t="inlineStr">
        <is>
          <t>TAPADA</t>
        </is>
      </c>
      <c r="E8" s="136" t="n">
        <v>5.14</v>
      </c>
      <c r="F8" s="202" t="n">
        <v>0.4</v>
      </c>
      <c r="G8" s="136" t="n">
        <v>0.46</v>
      </c>
      <c r="H8" s="136" t="n">
        <v>0.48</v>
      </c>
      <c r="I8" s="108">
        <f>IF(B8="","",(G8+H8)/2)</f>
        <v/>
      </c>
      <c r="J8" s="108">
        <f>IF(B8="","",2*E8*I8)</f>
        <v/>
      </c>
      <c r="K8" s="108">
        <f>IF(B8="","",E8*F8)</f>
        <v/>
      </c>
      <c r="L8" s="108">
        <f>IF(B8="","",IF(D8="TAPADA",E8*F8,0))</f>
        <v/>
      </c>
      <c r="M8" s="109">
        <f>SUM(J8:L8)</f>
        <v/>
      </c>
      <c r="N8" s="110">
        <f>IF(B8="","",IF(D8="TAPADA",4,3))</f>
        <v/>
      </c>
      <c r="O8" s="111" t="inlineStr">
        <is>
          <t>m²</t>
        </is>
      </c>
    </row>
    <row r="9" ht="33" customHeight="1">
      <c r="A9" s="103" t="n">
        <v>3</v>
      </c>
      <c r="B9" s="135" t="inlineStr">
        <is>
          <t>EJE 02</t>
        </is>
      </c>
      <c r="C9" s="135" t="inlineStr">
        <is>
          <t>TRAMO 01</t>
        </is>
      </c>
      <c r="D9" s="139" t="inlineStr">
        <is>
          <t>ABIERTA</t>
        </is>
      </c>
      <c r="E9" s="136" t="n">
        <v>37.5</v>
      </c>
      <c r="F9" s="202" t="n">
        <v>0.4</v>
      </c>
      <c r="G9" s="136" t="n">
        <v>0.3</v>
      </c>
      <c r="H9" s="136" t="n">
        <v>0.48</v>
      </c>
      <c r="I9" s="108">
        <f>IF(B9="","",(G9+H9)/2)</f>
        <v/>
      </c>
      <c r="J9" s="108">
        <f>IF(B9="","",2*E9*I9)</f>
        <v/>
      </c>
      <c r="K9" s="108">
        <f>IF(B9="","",E9*F9)</f>
        <v/>
      </c>
      <c r="L9" s="108">
        <f>IF(B9="","",IF(D9="TAPADA",E9*F9,0))</f>
        <v/>
      </c>
      <c r="M9" s="109">
        <f>SUM(J9:L9)</f>
        <v/>
      </c>
      <c r="N9" s="110">
        <f>IF(B9="","",IF(D9="TAPADA",4,3))</f>
        <v/>
      </c>
      <c r="O9" s="111" t="inlineStr">
        <is>
          <t>m²</t>
        </is>
      </c>
    </row>
    <row r="10" ht="33" customHeight="1">
      <c r="A10" s="103" t="n">
        <v>4</v>
      </c>
      <c r="B10" s="135" t="inlineStr">
        <is>
          <t>EJE 02</t>
        </is>
      </c>
      <c r="C10" s="135" t="inlineStr">
        <is>
          <t>TRAMO 02</t>
        </is>
      </c>
      <c r="D10" s="139" t="inlineStr">
        <is>
          <t>TAPADA</t>
        </is>
      </c>
      <c r="E10" s="136" t="n">
        <v>10.2</v>
      </c>
      <c r="F10" s="202" t="n">
        <v>0.4</v>
      </c>
      <c r="G10" s="136" t="n">
        <v>0.48</v>
      </c>
      <c r="H10" s="136" t="n">
        <v>0.53</v>
      </c>
      <c r="I10" s="108">
        <f>IF(B10="","",(G10+H10)/2)</f>
        <v/>
      </c>
      <c r="J10" s="108">
        <f>IF(B10="","",2*E10*I10)</f>
        <v/>
      </c>
      <c r="K10" s="108">
        <f>IF(B10="","",E10*F10)</f>
        <v/>
      </c>
      <c r="L10" s="108">
        <f>IF(B10="","",IF(D10="TAPADA",E10*F10,0))</f>
        <v/>
      </c>
      <c r="M10" s="109">
        <f>SUM(J10:L10)</f>
        <v/>
      </c>
      <c r="N10" s="110">
        <f>IF(B10="","",IF(D10="TAPADA",4,3))</f>
        <v/>
      </c>
      <c r="O10" s="111" t="inlineStr">
        <is>
          <t>m²</t>
        </is>
      </c>
    </row>
    <row r="11" ht="33" customHeight="1">
      <c r="A11" s="103" t="n">
        <v>5</v>
      </c>
      <c r="B11" s="135" t="inlineStr">
        <is>
          <t>EJE 02</t>
        </is>
      </c>
      <c r="C11" s="135" t="inlineStr">
        <is>
          <t>TRAMO 03</t>
        </is>
      </c>
      <c r="D11" s="139" t="inlineStr">
        <is>
          <t>ABIERTA</t>
        </is>
      </c>
      <c r="E11" s="136" t="n">
        <v>31.33</v>
      </c>
      <c r="F11" s="202" t="n">
        <v>0.4</v>
      </c>
      <c r="G11" s="136" t="n">
        <v>0.53</v>
      </c>
      <c r="H11" s="136" t="n">
        <v>0.7</v>
      </c>
      <c r="I11" s="108">
        <f>IF(B11="","",(G11+H11)/2)</f>
        <v/>
      </c>
      <c r="J11" s="108">
        <f>IF(B11="","",2*E11*I11)</f>
        <v/>
      </c>
      <c r="K11" s="108">
        <f>IF(B11="","",E11*F11)</f>
        <v/>
      </c>
      <c r="L11" s="108">
        <f>IF(B11="","",IF(D11="TAPADA",E11*F11,0))</f>
        <v/>
      </c>
      <c r="M11" s="109">
        <f>SUM(J11:L11)</f>
        <v/>
      </c>
      <c r="N11" s="110">
        <f>IF(B11="","",IF(D11="TAPADA",4,3))</f>
        <v/>
      </c>
      <c r="O11" s="111" t="inlineStr">
        <is>
          <t>m²</t>
        </is>
      </c>
    </row>
    <row r="12" ht="40" customHeight="1">
      <c r="A12" s="103" t="n">
        <v>6</v>
      </c>
      <c r="B12" s="135" t="inlineStr">
        <is>
          <t>EJE 02</t>
        </is>
      </c>
      <c r="C12" s="135" t="inlineStr">
        <is>
          <t>TRAMO 04</t>
        </is>
      </c>
      <c r="D12" s="139" t="inlineStr">
        <is>
          <t>TAPADA</t>
        </is>
      </c>
      <c r="E12" s="136" t="n">
        <v>8.359999999999999</v>
      </c>
      <c r="F12" s="202" t="n">
        <v>0.4</v>
      </c>
      <c r="G12" s="136" t="n">
        <v>0.7</v>
      </c>
      <c r="H12" s="136" t="n">
        <v>0.73</v>
      </c>
      <c r="I12" s="108">
        <f>IF(B12="","",(G12+H12)/2)</f>
        <v/>
      </c>
      <c r="J12" s="108">
        <f>IF(B12="","",2*E12*I12)</f>
        <v/>
      </c>
      <c r="K12" s="108">
        <f>IF(B12="","",E12*F12)</f>
        <v/>
      </c>
      <c r="L12" s="108">
        <f>IF(B12="","",IF(D12="TAPADA",E12*F12,0))</f>
        <v/>
      </c>
      <c r="M12" s="109">
        <f>SUM(J12:L12)</f>
        <v/>
      </c>
      <c r="N12" s="110">
        <f>IF(B12="","",IF(D12="TAPADA",4,3))</f>
        <v/>
      </c>
      <c r="O12" s="111" t="inlineStr">
        <is>
          <t>m²</t>
        </is>
      </c>
    </row>
    <row r="13" ht="33" customHeight="1">
      <c r="A13" s="103" t="n">
        <v>7</v>
      </c>
      <c r="B13" s="135" t="inlineStr">
        <is>
          <t>EJE 02</t>
        </is>
      </c>
      <c r="C13" s="135" t="inlineStr">
        <is>
          <t>TRAMO 05</t>
        </is>
      </c>
      <c r="D13" s="139" t="inlineStr">
        <is>
          <t>ABIERTA</t>
        </is>
      </c>
      <c r="E13" s="136" t="n">
        <v>30.36</v>
      </c>
      <c r="F13" s="202" t="n">
        <v>0.4</v>
      </c>
      <c r="G13" s="136" t="n">
        <v>0.73</v>
      </c>
      <c r="H13" s="136" t="n">
        <v>0.88</v>
      </c>
      <c r="I13" s="108">
        <f>IF(B13="","",(G13+H13)/2)</f>
        <v/>
      </c>
      <c r="J13" s="108">
        <f>IF(B13="","",2*E13*I13)</f>
        <v/>
      </c>
      <c r="K13" s="108">
        <f>IF(B13="","",E13*F13)</f>
        <v/>
      </c>
      <c r="L13" s="108">
        <f>IF(B13="","",IF(D13="TAPADA",E13*F13,0))</f>
        <v/>
      </c>
      <c r="M13" s="109">
        <f>SUM(J13:L13)</f>
        <v/>
      </c>
      <c r="N13" s="110">
        <f>IF(B13="","",IF(D13="TAPADA",4,3))</f>
        <v/>
      </c>
      <c r="O13" s="111" t="inlineStr">
        <is>
          <t>m²</t>
        </is>
      </c>
    </row>
    <row r="14" ht="33" customHeight="1">
      <c r="A14" s="103" t="n">
        <v>8</v>
      </c>
      <c r="B14" s="135" t="inlineStr">
        <is>
          <t>EJE 02</t>
        </is>
      </c>
      <c r="C14" s="135" t="inlineStr">
        <is>
          <t>TRAMO 06</t>
        </is>
      </c>
      <c r="D14" s="139" t="inlineStr">
        <is>
          <t>TAPADA</t>
        </is>
      </c>
      <c r="E14" s="136" t="n">
        <v>2.25</v>
      </c>
      <c r="F14" s="202" t="n">
        <v>0.4</v>
      </c>
      <c r="G14" s="136" t="n">
        <v>0.88</v>
      </c>
      <c r="H14" s="136" t="n">
        <v>0.9</v>
      </c>
      <c r="I14" s="108">
        <f>IF(B14="","",(G14+H14)/2)</f>
        <v/>
      </c>
      <c r="J14" s="108">
        <f>IF(B14="","",2*E14*I14)</f>
        <v/>
      </c>
      <c r="K14" s="108">
        <f>IF(B14="","",E14*F14)</f>
        <v/>
      </c>
      <c r="L14" s="108">
        <f>IF(B14="","",IF(D14="TAPADA",E14*F14,0))</f>
        <v/>
      </c>
      <c r="M14" s="109">
        <f>SUM(J14:L14)</f>
        <v/>
      </c>
      <c r="N14" s="110">
        <f>IF(B14="","",IF(D14="TAPADA",4,3))</f>
        <v/>
      </c>
      <c r="O14" s="111" t="inlineStr">
        <is>
          <t>m²</t>
        </is>
      </c>
    </row>
    <row r="15" ht="33" customHeight="1">
      <c r="A15" s="103" t="n">
        <v>9</v>
      </c>
      <c r="B15" s="135" t="inlineStr">
        <is>
          <t>EJE 02</t>
        </is>
      </c>
      <c r="C15" s="135" t="inlineStr">
        <is>
          <t>TRAMO 07</t>
        </is>
      </c>
      <c r="D15" s="139" t="inlineStr">
        <is>
          <t>TAPADA</t>
        </is>
      </c>
      <c r="E15" s="136" t="n">
        <v>10.85</v>
      </c>
      <c r="F15" s="202" t="n">
        <v>0.4</v>
      </c>
      <c r="G15" s="136" t="n">
        <v>0.85</v>
      </c>
      <c r="H15" s="136" t="n">
        <v>0.9</v>
      </c>
      <c r="I15" s="108">
        <f>IF(B15="","",(G15+H15)/2)</f>
        <v/>
      </c>
      <c r="J15" s="108">
        <f>IF(B15="","",2*E15*I15)</f>
        <v/>
      </c>
      <c r="K15" s="108">
        <f>IF(B15="","",E15*F15)</f>
        <v/>
      </c>
      <c r="L15" s="108">
        <f>IF(B15="","",IF(D15="TAPADA",E15*F15,0))</f>
        <v/>
      </c>
      <c r="M15" s="109">
        <f>SUM(J15:L15)</f>
        <v/>
      </c>
      <c r="N15" s="110">
        <f>IF(B15="","",IF(D15="TAPADA",4,3))</f>
        <v/>
      </c>
      <c r="O15" s="111" t="inlineStr">
        <is>
          <t>m²</t>
        </is>
      </c>
    </row>
    <row r="16" ht="33" customHeight="1">
      <c r="A16" s="103" t="n">
        <v>10</v>
      </c>
      <c r="B16" s="135" t="inlineStr">
        <is>
          <t>EJE 03</t>
        </is>
      </c>
      <c r="C16" s="135" t="inlineStr">
        <is>
          <t>TRAMO 01</t>
        </is>
      </c>
      <c r="D16" s="139" t="inlineStr">
        <is>
          <t>ABIERTA</t>
        </is>
      </c>
      <c r="E16" s="136" t="n">
        <v>5.82</v>
      </c>
      <c r="F16" s="202" t="n">
        <v>0.4</v>
      </c>
      <c r="G16" s="136" t="n">
        <v>0.3</v>
      </c>
      <c r="H16" s="136" t="n">
        <v>0.32</v>
      </c>
      <c r="I16" s="108">
        <f>IF(B16="","",(G16+H16)/2)</f>
        <v/>
      </c>
      <c r="J16" s="108">
        <f>IF(B16="","",2*E16*I16)</f>
        <v/>
      </c>
      <c r="K16" s="108">
        <f>IF(B16="","",E16*F16)</f>
        <v/>
      </c>
      <c r="L16" s="108">
        <f>IF(B16="","",IF(D16="TAPADA",E16*F16,0))</f>
        <v/>
      </c>
      <c r="M16" s="109">
        <f>SUM(J16:L16)</f>
        <v/>
      </c>
      <c r="N16" s="110">
        <f>IF(B16="","",IF(D16="TAPADA",4,3))</f>
        <v/>
      </c>
      <c r="O16" s="111" t="inlineStr">
        <is>
          <t>m²</t>
        </is>
      </c>
    </row>
    <row r="17" ht="33" customHeight="1">
      <c r="A17" s="103" t="n">
        <v>11</v>
      </c>
      <c r="B17" s="135" t="inlineStr">
        <is>
          <t>EJE 04</t>
        </is>
      </c>
      <c r="C17" s="135" t="inlineStr">
        <is>
          <t>TRAMO 01</t>
        </is>
      </c>
      <c r="D17" s="139" t="inlineStr">
        <is>
          <t>ABIERTA</t>
        </is>
      </c>
      <c r="E17" s="136" t="n">
        <v>8.6</v>
      </c>
      <c r="F17" s="202" t="n">
        <v>0.4</v>
      </c>
      <c r="G17" s="136" t="n">
        <v>0.3</v>
      </c>
      <c r="H17" s="136" t="n">
        <v>0.34</v>
      </c>
      <c r="I17" s="108">
        <f>IF(B17="","",(G17+H17)/2)</f>
        <v/>
      </c>
      <c r="J17" s="108">
        <f>IF(B17="","",2*E17*I17)</f>
        <v/>
      </c>
      <c r="K17" s="108">
        <f>IF(B17="","",E17*F17)</f>
        <v/>
      </c>
      <c r="L17" s="108">
        <f>IF(B17="","",IF(D17="TAPADA",E17*F17,0))</f>
        <v/>
      </c>
      <c r="M17" s="109">
        <f>SUM(J17:L17)</f>
        <v/>
      </c>
      <c r="N17" s="110">
        <f>IF(B17="","",IF(D17="TAPADA",4,3))</f>
        <v/>
      </c>
      <c r="O17" s="111" t="inlineStr">
        <is>
          <t>m²</t>
        </is>
      </c>
    </row>
    <row r="18" ht="33" customHeight="1">
      <c r="A18" s="103" t="n">
        <v>12</v>
      </c>
      <c r="B18" s="135" t="inlineStr">
        <is>
          <t>EJE 05</t>
        </is>
      </c>
      <c r="C18" s="135" t="inlineStr">
        <is>
          <t>TRAMO 01</t>
        </is>
      </c>
      <c r="D18" s="139" t="inlineStr">
        <is>
          <t>ABIERTA</t>
        </is>
      </c>
      <c r="E18" s="136" t="n">
        <v>37.53</v>
      </c>
      <c r="F18" s="202" t="n">
        <v>0.4</v>
      </c>
      <c r="G18" s="136" t="n">
        <v>0.3</v>
      </c>
      <c r="H18" s="136" t="n">
        <v>0.48</v>
      </c>
      <c r="I18" s="108">
        <f>IF(B18="","",(G18+H18)/2)</f>
        <v/>
      </c>
      <c r="J18" s="108">
        <f>IF(B18="","",2*E18*I18)</f>
        <v/>
      </c>
      <c r="K18" s="108">
        <f>IF(B18="","",E18*F18)</f>
        <v/>
      </c>
      <c r="L18" s="108">
        <f>IF(B18="","",IF(D18="TAPADA",E18*F18,0))</f>
        <v/>
      </c>
      <c r="M18" s="109">
        <f>SUM(J18:L18)</f>
        <v/>
      </c>
      <c r="N18" s="110">
        <f>IF(B18="","",IF(D18="TAPADA",4,3))</f>
        <v/>
      </c>
      <c r="O18" s="111" t="inlineStr">
        <is>
          <t>m²</t>
        </is>
      </c>
    </row>
    <row r="19" ht="33" customHeight="1">
      <c r="A19" s="103" t="n">
        <v>13</v>
      </c>
      <c r="B19" s="135" t="inlineStr">
        <is>
          <t>EJE 05</t>
        </is>
      </c>
      <c r="C19" s="135" t="inlineStr">
        <is>
          <t>TRAMO 02</t>
        </is>
      </c>
      <c r="D19" s="139" t="inlineStr">
        <is>
          <t>TAPADA</t>
        </is>
      </c>
      <c r="E19" s="136" t="n">
        <v>5.7</v>
      </c>
      <c r="F19" s="202" t="n">
        <v>0.4</v>
      </c>
      <c r="G19" s="136" t="n">
        <v>0.48</v>
      </c>
      <c r="H19" s="136" t="n">
        <v>0.51</v>
      </c>
      <c r="I19" s="108">
        <f>IF(B19="","",(G19+H19)/2)</f>
        <v/>
      </c>
      <c r="J19" s="108">
        <f>IF(B19="","",2*E19*I19)</f>
        <v/>
      </c>
      <c r="K19" s="108">
        <f>IF(B19="","",E19*F19)</f>
        <v/>
      </c>
      <c r="L19" s="108">
        <f>IF(B19="","",IF(D19="TAPADA",E19*F19,0))</f>
        <v/>
      </c>
      <c r="M19" s="109">
        <f>SUM(J19:L19)</f>
        <v/>
      </c>
      <c r="N19" s="110">
        <f>IF(B19="","",IF(D19="TAPADA",4,3))</f>
        <v/>
      </c>
      <c r="O19" s="111" t="inlineStr">
        <is>
          <t>m²</t>
        </is>
      </c>
    </row>
    <row r="20" ht="33" customHeight="1">
      <c r="A20" s="103" t="n">
        <v>14</v>
      </c>
      <c r="B20" s="135" t="inlineStr">
        <is>
          <t>EJE 06</t>
        </is>
      </c>
      <c r="C20" s="135" t="inlineStr">
        <is>
          <t>TRAMO 01</t>
        </is>
      </c>
      <c r="D20" s="139" t="inlineStr">
        <is>
          <t>ABIERTA</t>
        </is>
      </c>
      <c r="E20" s="136" t="n">
        <v>37.53</v>
      </c>
      <c r="F20" s="202" t="n">
        <v>0.4</v>
      </c>
      <c r="G20" s="136" t="n">
        <v>0.3</v>
      </c>
      <c r="H20" s="136" t="n">
        <v>0.48</v>
      </c>
      <c r="I20" s="108">
        <f>IF(B20="","",(G20+H20)/2)</f>
        <v/>
      </c>
      <c r="J20" s="108">
        <f>IF(B20="","",2*E20*I20)</f>
        <v/>
      </c>
      <c r="K20" s="108">
        <f>IF(B20="","",E20*F20)</f>
        <v/>
      </c>
      <c r="L20" s="108">
        <f>IF(B20="","",IF(D20="TAPADA",E20*F20,0))</f>
        <v/>
      </c>
      <c r="M20" s="109">
        <f>SUM(J20:L20)</f>
        <v/>
      </c>
      <c r="N20" s="110">
        <f>IF(B20="","",IF(D20="TAPADA",4,3))</f>
        <v/>
      </c>
      <c r="O20" s="111" t="inlineStr">
        <is>
          <t>m²</t>
        </is>
      </c>
    </row>
    <row r="21" ht="33" customHeight="1">
      <c r="A21" s="103" t="n">
        <v>15</v>
      </c>
      <c r="B21" s="135" t="inlineStr">
        <is>
          <t>EJE 06</t>
        </is>
      </c>
      <c r="C21" s="135" t="inlineStr">
        <is>
          <t>TRAMO 02</t>
        </is>
      </c>
      <c r="D21" s="139" t="inlineStr">
        <is>
          <t>TAPADA</t>
        </is>
      </c>
      <c r="E21" s="136" t="n">
        <v>10.9</v>
      </c>
      <c r="F21" s="202" t="n">
        <v>0.4</v>
      </c>
      <c r="G21" s="136" t="n">
        <v>0.48</v>
      </c>
      <c r="H21" s="136" t="n">
        <v>0.54</v>
      </c>
      <c r="I21" s="108">
        <f>IF(B21="","",(G21+H21)/2)</f>
        <v/>
      </c>
      <c r="J21" s="108">
        <f>IF(B21="","",2*E21*I21)</f>
        <v/>
      </c>
      <c r="K21" s="108">
        <f>IF(B21="","",E21*F21)</f>
        <v/>
      </c>
      <c r="L21" s="108">
        <f>IF(B21="","",IF(D21="TAPADA",E21*F21,0))</f>
        <v/>
      </c>
      <c r="M21" s="109">
        <f>SUM(J21:L21)</f>
        <v/>
      </c>
      <c r="N21" s="110">
        <f>IF(B21="","",IF(D21="TAPADA",4,3))</f>
        <v/>
      </c>
      <c r="O21" s="111" t="inlineStr">
        <is>
          <t>m²</t>
        </is>
      </c>
    </row>
    <row r="22" ht="33" customHeight="1">
      <c r="A22" s="103" t="n">
        <v>16</v>
      </c>
      <c r="B22" s="135" t="inlineStr">
        <is>
          <t>EJE 06</t>
        </is>
      </c>
      <c r="C22" s="135" t="inlineStr">
        <is>
          <t>TRAMO 03</t>
        </is>
      </c>
      <c r="D22" s="139" t="inlineStr">
        <is>
          <t>ABIERTA</t>
        </is>
      </c>
      <c r="E22" s="136" t="n">
        <v>56.93</v>
      </c>
      <c r="F22" s="202" t="n">
        <v>0.4</v>
      </c>
      <c r="G22" s="136" t="n">
        <v>0.54</v>
      </c>
      <c r="H22" s="136" t="n">
        <v>0.82</v>
      </c>
      <c r="I22" s="108">
        <f>IF(B22="","",(G22+H22)/2)</f>
        <v/>
      </c>
      <c r="J22" s="108">
        <f>IF(B22="","",2*E22*I22)</f>
        <v/>
      </c>
      <c r="K22" s="108">
        <f>IF(B22="","",E22*F22)</f>
        <v/>
      </c>
      <c r="L22" s="108">
        <f>IF(B22="","",IF(D22="TAPADA",E22*F22,0))</f>
        <v/>
      </c>
      <c r="M22" s="109">
        <f>SUM(J22:L22)</f>
        <v/>
      </c>
      <c r="N22" s="110">
        <f>IF(B22="","",IF(D22="TAPADA",4,3))</f>
        <v/>
      </c>
      <c r="O22" s="111" t="inlineStr">
        <is>
          <t>m²</t>
        </is>
      </c>
    </row>
    <row r="23" ht="33" customHeight="1">
      <c r="A23" s="103" t="n">
        <v>17</v>
      </c>
      <c r="B23" s="135" t="inlineStr">
        <is>
          <t>EJE 06</t>
        </is>
      </c>
      <c r="C23" s="135" t="inlineStr">
        <is>
          <t>TRAMO 04</t>
        </is>
      </c>
      <c r="D23" s="139" t="inlineStr">
        <is>
          <t>TAPADA</t>
        </is>
      </c>
      <c r="E23" s="136" t="n">
        <v>15</v>
      </c>
      <c r="F23" s="202" t="n">
        <v>0.4</v>
      </c>
      <c r="G23" s="136" t="n">
        <v>0.82</v>
      </c>
      <c r="H23" s="136" t="n">
        <v>0.9</v>
      </c>
      <c r="I23" s="108">
        <f>IF(B23="","",(G23+H23)/2)</f>
        <v/>
      </c>
      <c r="J23" s="108">
        <f>IF(B23="","",2*E23*I23)</f>
        <v/>
      </c>
      <c r="K23" s="108">
        <f>IF(B23="","",E23*F23)</f>
        <v/>
      </c>
      <c r="L23" s="108">
        <f>IF(B23="","",IF(D23="TAPADA",E23*F23,0))</f>
        <v/>
      </c>
      <c r="M23" s="109">
        <f>SUM(J23:L23)</f>
        <v/>
      </c>
      <c r="N23" s="110">
        <f>IF(B23="","",IF(D23="TAPADA",4,3))</f>
        <v/>
      </c>
      <c r="O23" s="111" t="inlineStr">
        <is>
          <t>m²</t>
        </is>
      </c>
    </row>
    <row r="24" ht="33" customHeight="1">
      <c r="A24" s="103" t="n">
        <v>18</v>
      </c>
      <c r="B24" s="135" t="inlineStr">
        <is>
          <t>EJE 07</t>
        </is>
      </c>
      <c r="C24" s="135" t="inlineStr">
        <is>
          <t>TRAMO 01</t>
        </is>
      </c>
      <c r="D24" s="139" t="inlineStr">
        <is>
          <t>ABIERTA</t>
        </is>
      </c>
      <c r="E24" s="136" t="n">
        <v>37.53</v>
      </c>
      <c r="F24" s="202" t="n">
        <v>0.4</v>
      </c>
      <c r="G24" s="136" t="n">
        <v>0.3</v>
      </c>
      <c r="H24" s="136" t="n">
        <v>0.48</v>
      </c>
      <c r="I24" s="108">
        <f>IF(B24="","",(G24+H24)/2)</f>
        <v/>
      </c>
      <c r="J24" s="108">
        <f>IF(B24="","",2*E24*I24)</f>
        <v/>
      </c>
      <c r="K24" s="108">
        <f>IF(B24="","",E24*F24)</f>
        <v/>
      </c>
      <c r="L24" s="108">
        <f>IF(B24="","",IF(D24="TAPADA",E24*F24,0))</f>
        <v/>
      </c>
      <c r="M24" s="109">
        <f>SUM(J24:L24)</f>
        <v/>
      </c>
      <c r="N24" s="110">
        <f>IF(B24="","",IF(D24="TAPADA",4,3))</f>
        <v/>
      </c>
      <c r="O24" s="111" t="inlineStr">
        <is>
          <t>m²</t>
        </is>
      </c>
    </row>
    <row r="25" ht="33" customHeight="1">
      <c r="A25" s="103" t="n">
        <v>19</v>
      </c>
      <c r="B25" s="135" t="inlineStr">
        <is>
          <t>EJE 07</t>
        </is>
      </c>
      <c r="C25" s="135" t="inlineStr">
        <is>
          <t>TRAMO 02</t>
        </is>
      </c>
      <c r="D25" s="139" t="inlineStr">
        <is>
          <t>TAPADA</t>
        </is>
      </c>
      <c r="E25" s="136" t="n">
        <v>7.66</v>
      </c>
      <c r="F25" s="202" t="n">
        <v>0.4</v>
      </c>
      <c r="G25" s="136" t="n">
        <v>0.48</v>
      </c>
      <c r="H25" s="136" t="n">
        <v>0.52</v>
      </c>
      <c r="I25" s="108">
        <f>IF(B25="","",(G25+H25)/2)</f>
        <v/>
      </c>
      <c r="J25" s="108">
        <f>IF(B25="","",2*E25*I25)</f>
        <v/>
      </c>
      <c r="K25" s="108">
        <f>IF(B25="","",E25*F25)</f>
        <v/>
      </c>
      <c r="L25" s="108">
        <f>IF(B25="","",IF(D25="TAPADA",E25*F25,0))</f>
        <v/>
      </c>
      <c r="M25" s="109">
        <f>SUM(J25:L25)</f>
        <v/>
      </c>
      <c r="N25" s="110">
        <f>IF(B25="","",IF(D25="TAPADA",4,3))</f>
        <v/>
      </c>
      <c r="O25" s="111" t="inlineStr">
        <is>
          <t>m²</t>
        </is>
      </c>
    </row>
    <row r="26" ht="33" customHeight="1">
      <c r="A26" s="103" t="n">
        <v>20</v>
      </c>
      <c r="B26" s="135" t="inlineStr">
        <is>
          <t>EJE 07</t>
        </is>
      </c>
      <c r="C26" s="135" t="inlineStr">
        <is>
          <t>TRAMO 03</t>
        </is>
      </c>
      <c r="D26" s="139" t="inlineStr">
        <is>
          <t>ABIERTA</t>
        </is>
      </c>
      <c r="E26" s="136" t="n">
        <v>63.75</v>
      </c>
      <c r="F26" s="202" t="n">
        <v>0.4</v>
      </c>
      <c r="G26" s="136" t="n">
        <v>0.52</v>
      </c>
      <c r="H26" s="136" t="n">
        <v>0.84</v>
      </c>
      <c r="I26" s="108">
        <f>IF(B26="","",(G26+H26)/2)</f>
        <v/>
      </c>
      <c r="J26" s="108">
        <f>IF(B26="","",2*E26*I26)</f>
        <v/>
      </c>
      <c r="K26" s="108">
        <f>IF(B26="","",E26*F26)</f>
        <v/>
      </c>
      <c r="L26" s="108">
        <f>IF(B26="","",IF(D26="TAPADA",E26*F26,0))</f>
        <v/>
      </c>
      <c r="M26" s="109">
        <f>SUM(J26:L26)</f>
        <v/>
      </c>
      <c r="N26" s="110">
        <f>IF(B26="","",IF(D26="TAPADA",4,3))</f>
        <v/>
      </c>
      <c r="O26" s="111" t="inlineStr">
        <is>
          <t>m²</t>
        </is>
      </c>
    </row>
    <row r="27" ht="33" customHeight="1">
      <c r="A27" s="103" t="n">
        <v>21</v>
      </c>
      <c r="B27" s="135" t="inlineStr">
        <is>
          <t>EJE 07</t>
        </is>
      </c>
      <c r="C27" s="135" t="inlineStr">
        <is>
          <t>TRAMO 04</t>
        </is>
      </c>
      <c r="D27" s="139" t="inlineStr">
        <is>
          <t>TAPADA</t>
        </is>
      </c>
      <c r="E27" s="136" t="n">
        <v>11.47</v>
      </c>
      <c r="F27" s="202" t="n">
        <v>0.4</v>
      </c>
      <c r="G27" s="136" t="n">
        <v>0.84</v>
      </c>
      <c r="H27" s="136" t="n">
        <v>0.9</v>
      </c>
      <c r="I27" s="108">
        <f>IF(B27="","",(G27+H27)/2)</f>
        <v/>
      </c>
      <c r="J27" s="108">
        <f>IF(B27="","",2*E27*I27)</f>
        <v/>
      </c>
      <c r="K27" s="108">
        <f>IF(B27="","",E27*F27)</f>
        <v/>
      </c>
      <c r="L27" s="108">
        <f>IF(B27="","",IF(D27="TAPADA",E27*F27,0))</f>
        <v/>
      </c>
      <c r="M27" s="109">
        <f>SUM(J27:L27)</f>
        <v/>
      </c>
      <c r="N27" s="110">
        <f>IF(B27="","",IF(D27="TAPADA",4,3))</f>
        <v/>
      </c>
      <c r="O27" s="111" t="inlineStr">
        <is>
          <t>m²</t>
        </is>
      </c>
    </row>
    <row r="28" ht="33" customHeight="1">
      <c r="A28" s="103" t="n">
        <v>22</v>
      </c>
      <c r="B28" s="135" t="inlineStr">
        <is>
          <t>EJE 07</t>
        </is>
      </c>
      <c r="C28" s="135" t="inlineStr">
        <is>
          <t>TRAMO 05</t>
        </is>
      </c>
      <c r="D28" s="139" t="inlineStr">
        <is>
          <t>TAPADA</t>
        </is>
      </c>
      <c r="E28" s="136" t="n">
        <v>5.17</v>
      </c>
      <c r="F28" s="202" t="n">
        <v>0.4</v>
      </c>
      <c r="G28" s="136" t="n">
        <v>0.85</v>
      </c>
      <c r="H28" s="136" t="n">
        <v>0.88</v>
      </c>
      <c r="I28" s="108">
        <f>IF(B28="","",(G28+H28)/2)</f>
        <v/>
      </c>
      <c r="J28" s="108">
        <f>IF(B28="","",2*E28*I28)</f>
        <v/>
      </c>
      <c r="K28" s="108">
        <f>IF(B28="","",E28*F28)</f>
        <v/>
      </c>
      <c r="L28" s="108">
        <f>IF(B28="","",IF(D28="TAPADA",E28*F28,0))</f>
        <v/>
      </c>
      <c r="M28" s="109">
        <f>SUM(J28:L28)</f>
        <v/>
      </c>
      <c r="N28" s="110">
        <f>IF(B28="","",IF(D28="TAPADA",4,3))</f>
        <v/>
      </c>
      <c r="O28" s="111" t="inlineStr">
        <is>
          <t>m²</t>
        </is>
      </c>
    </row>
    <row r="29" ht="33" customHeight="1">
      <c r="A29" s="103" t="n">
        <v>23</v>
      </c>
      <c r="B29" s="135" t="inlineStr">
        <is>
          <t>EJE 08</t>
        </is>
      </c>
      <c r="C29" s="135" t="inlineStr">
        <is>
          <t>TRAMO 01</t>
        </is>
      </c>
      <c r="D29" s="139" t="inlineStr">
        <is>
          <t>TAPADA</t>
        </is>
      </c>
      <c r="E29" s="136" t="n">
        <v>8.199999999999999</v>
      </c>
      <c r="F29" s="202" t="n">
        <v>0.4</v>
      </c>
      <c r="G29" s="136" t="n">
        <v>0.4</v>
      </c>
      <c r="H29" s="136" t="n">
        <v>0.44</v>
      </c>
      <c r="I29" s="108">
        <f>IF(B29="","",(G29+H29)/2)</f>
        <v/>
      </c>
      <c r="J29" s="108">
        <f>IF(B29="","",2*E29*I29)</f>
        <v/>
      </c>
      <c r="K29" s="108">
        <f>IF(B29="","",E29*F29)</f>
        <v/>
      </c>
      <c r="L29" s="108">
        <f>IF(B29="","",IF(D29="TAPADA",E29*F29,0))</f>
        <v/>
      </c>
      <c r="M29" s="109">
        <f>SUM(J29:L29)</f>
        <v/>
      </c>
      <c r="N29" s="110">
        <f>IF(B29="","",IF(D29="TAPADA",4,3))</f>
        <v/>
      </c>
      <c r="O29" s="111" t="inlineStr">
        <is>
          <t>m²</t>
        </is>
      </c>
    </row>
    <row r="30" ht="33" customHeight="1">
      <c r="A30" s="103" t="n">
        <v>24</v>
      </c>
      <c r="B30" s="135" t="inlineStr">
        <is>
          <t>EJE 09</t>
        </is>
      </c>
      <c r="C30" s="135" t="inlineStr">
        <is>
          <t>TRAMO 01</t>
        </is>
      </c>
      <c r="D30" s="139" t="inlineStr">
        <is>
          <t>TAPADA</t>
        </is>
      </c>
      <c r="E30" s="136" t="n">
        <v>7</v>
      </c>
      <c r="F30" s="202" t="n">
        <v>0.4</v>
      </c>
      <c r="G30" s="136" t="n">
        <v>0.4</v>
      </c>
      <c r="H30" s="136" t="n">
        <v>0.43</v>
      </c>
      <c r="I30" s="108">
        <f>IF(B30="","",(G30+H30)/2)</f>
        <v/>
      </c>
      <c r="J30" s="108">
        <f>IF(B30="","",2*E30*I30)</f>
        <v/>
      </c>
      <c r="K30" s="108">
        <f>IF(B30="","",E30*F30)</f>
        <v/>
      </c>
      <c r="L30" s="108">
        <f>IF(B30="","",IF(D30="TAPADA",E30*F30,0))</f>
        <v/>
      </c>
      <c r="M30" s="109">
        <f>SUM(J30:L30)</f>
        <v/>
      </c>
      <c r="N30" s="110">
        <f>IF(B30="","",IF(D30="TAPADA",4,3))</f>
        <v/>
      </c>
      <c r="O30" s="111" t="inlineStr">
        <is>
          <t>m²</t>
        </is>
      </c>
    </row>
    <row r="31" ht="33" customHeight="1">
      <c r="A31" s="103" t="n">
        <v>25</v>
      </c>
      <c r="B31" s="135" t="inlineStr">
        <is>
          <t>EJE 10</t>
        </is>
      </c>
      <c r="C31" s="135" t="inlineStr">
        <is>
          <t>TRAMO 01</t>
        </is>
      </c>
      <c r="D31" s="139" t="inlineStr">
        <is>
          <t>ABIERTA</t>
        </is>
      </c>
      <c r="E31" s="136" t="n">
        <v>16</v>
      </c>
      <c r="F31" s="202" t="n">
        <v>0.4</v>
      </c>
      <c r="G31" s="136" t="n">
        <v>0.3</v>
      </c>
      <c r="H31" s="136" t="n">
        <v>0.38</v>
      </c>
      <c r="I31" s="108">
        <f>IF(B31="","",(G31+H31)/2)</f>
        <v/>
      </c>
      <c r="J31" s="108">
        <f>IF(B31="","",2*E31*I31)</f>
        <v/>
      </c>
      <c r="K31" s="108">
        <f>IF(B31="","",E31*F31)</f>
        <v/>
      </c>
      <c r="L31" s="108">
        <f>IF(B31="","",IF(D31="TAPADA",E31*F31,0))</f>
        <v/>
      </c>
      <c r="M31" s="109">
        <f>SUM(J31:L31)</f>
        <v/>
      </c>
      <c r="N31" s="110">
        <f>IF(B31="","",IF(D31="TAPADA",4,3))</f>
        <v/>
      </c>
      <c r="O31" s="111" t="inlineStr">
        <is>
          <t>m²</t>
        </is>
      </c>
    </row>
    <row r="32" ht="33" customHeight="1">
      <c r="A32" s="103" t="n">
        <v>26</v>
      </c>
      <c r="B32" s="135" t="inlineStr">
        <is>
          <t>EJE 11</t>
        </is>
      </c>
      <c r="C32" s="135" t="inlineStr">
        <is>
          <t>TRAMO 01</t>
        </is>
      </c>
      <c r="D32" s="139" t="inlineStr">
        <is>
          <t>ABIERTA</t>
        </is>
      </c>
      <c r="E32" s="136" t="n">
        <v>62.76</v>
      </c>
      <c r="F32" s="202" t="n">
        <v>0.4</v>
      </c>
      <c r="G32" s="136" t="n">
        <v>0.3</v>
      </c>
      <c r="H32" s="136" t="n">
        <v>0.61</v>
      </c>
      <c r="I32" s="108">
        <f>IF(B32="","",(G32+H32)/2)</f>
        <v/>
      </c>
      <c r="J32" s="108">
        <f>IF(B32="","",2*E32*I32)</f>
        <v/>
      </c>
      <c r="K32" s="108">
        <f>IF(B32="","",E32*F32)</f>
        <v/>
      </c>
      <c r="L32" s="108">
        <f>IF(B32="","",IF(D32="TAPADA",E32*F32,0))</f>
        <v/>
      </c>
      <c r="M32" s="109">
        <f>SUM(J32:L32)</f>
        <v/>
      </c>
      <c r="N32" s="110">
        <f>IF(B32="","",IF(D32="TAPADA",4,3))</f>
        <v/>
      </c>
      <c r="O32" s="111" t="inlineStr">
        <is>
          <t>m²</t>
        </is>
      </c>
    </row>
    <row r="33" ht="33" customHeight="1">
      <c r="A33" s="103" t="n">
        <v>27</v>
      </c>
      <c r="B33" s="135" t="inlineStr">
        <is>
          <t>EJE 11</t>
        </is>
      </c>
      <c r="C33" s="135" t="inlineStr">
        <is>
          <t>TRAMO 02</t>
        </is>
      </c>
      <c r="D33" s="139" t="inlineStr">
        <is>
          <t>TAPADA</t>
        </is>
      </c>
      <c r="E33" s="136" t="n">
        <v>2.2</v>
      </c>
      <c r="F33" s="202" t="n">
        <v>0.4</v>
      </c>
      <c r="G33" s="136" t="n">
        <v>0.61</v>
      </c>
      <c r="H33" s="136" t="n">
        <v>0.62</v>
      </c>
      <c r="I33" s="108">
        <f>IF(B33="","",(G33+H33)/2)</f>
        <v/>
      </c>
      <c r="J33" s="108">
        <f>IF(B33="","",2*E33*I33)</f>
        <v/>
      </c>
      <c r="K33" s="108">
        <f>IF(B33="","",E33*F33)</f>
        <v/>
      </c>
      <c r="L33" s="108">
        <f>IF(B33="","",IF(D33="TAPADA",E33*F33,0))</f>
        <v/>
      </c>
      <c r="M33" s="109">
        <f>SUM(J33:L33)</f>
        <v/>
      </c>
      <c r="N33" s="110">
        <f>IF(B33="","",IF(D33="TAPADA",4,3))</f>
        <v/>
      </c>
      <c r="O33" s="111" t="inlineStr">
        <is>
          <t>m²</t>
        </is>
      </c>
    </row>
    <row r="34" ht="33" customHeight="1">
      <c r="A34" s="103" t="n">
        <v>28</v>
      </c>
      <c r="B34" s="135" t="inlineStr">
        <is>
          <t>EJE 11</t>
        </is>
      </c>
      <c r="C34" s="135" t="inlineStr">
        <is>
          <t>TRAMO 03</t>
        </is>
      </c>
      <c r="D34" s="139" t="inlineStr">
        <is>
          <t>TAPADA</t>
        </is>
      </c>
      <c r="E34" s="136" t="n">
        <v>6.5</v>
      </c>
      <c r="F34" s="202" t="n">
        <v>0.4</v>
      </c>
      <c r="G34" s="136" t="n">
        <v>0.57</v>
      </c>
      <c r="H34" s="136" t="n">
        <v>0.6</v>
      </c>
      <c r="I34" s="108">
        <f>IF(B34="","",(G34+H34)/2)</f>
        <v/>
      </c>
      <c r="J34" s="108">
        <f>IF(B34="","",2*E34*I34)</f>
        <v/>
      </c>
      <c r="K34" s="108">
        <f>IF(B34="","",E34*F34)</f>
        <v/>
      </c>
      <c r="L34" s="108">
        <f>IF(B34="","",IF(D34="TAPADA",E34*F34,0))</f>
        <v/>
      </c>
      <c r="M34" s="109">
        <f>SUM(J34:L34)</f>
        <v/>
      </c>
      <c r="N34" s="110">
        <f>IF(B34="","",IF(D34="TAPADA",4,3))</f>
        <v/>
      </c>
      <c r="O34" s="111" t="inlineStr">
        <is>
          <t>m²</t>
        </is>
      </c>
    </row>
    <row r="35" ht="33" customHeight="1">
      <c r="A35" s="103" t="n">
        <v>29</v>
      </c>
      <c r="B35" s="135" t="inlineStr">
        <is>
          <t>EJE 12</t>
        </is>
      </c>
      <c r="C35" s="135" t="inlineStr">
        <is>
          <t>TRAMO 01</t>
        </is>
      </c>
      <c r="D35" s="139" t="inlineStr">
        <is>
          <t>ABIERTA</t>
        </is>
      </c>
      <c r="E35" s="136" t="n">
        <v>52.47</v>
      </c>
      <c r="F35" s="202" t="n">
        <v>0.4</v>
      </c>
      <c r="G35" s="136" t="n">
        <v>0.3</v>
      </c>
      <c r="H35" s="136" t="n">
        <v>0.5600000000000001</v>
      </c>
      <c r="I35" s="108">
        <f>IF(B35="","",(G35+H35)/2)</f>
        <v/>
      </c>
      <c r="J35" s="108">
        <f>IF(B35="","",2*E35*I35)</f>
        <v/>
      </c>
      <c r="K35" s="108">
        <f>IF(B35="","",E35*F35)</f>
        <v/>
      </c>
      <c r="L35" s="108">
        <f>IF(B35="","",IF(D35="TAPADA",E35*F35,0))</f>
        <v/>
      </c>
      <c r="M35" s="109">
        <f>SUM(J35:L35)</f>
        <v/>
      </c>
      <c r="N35" s="110">
        <f>IF(B35="","",IF(D35="TAPADA",4,3))</f>
        <v/>
      </c>
      <c r="O35" s="111" t="inlineStr">
        <is>
          <t>m²</t>
        </is>
      </c>
    </row>
    <row r="36" ht="33" customHeight="1">
      <c r="A36" s="103" t="n">
        <v>30</v>
      </c>
      <c r="B36" s="135" t="inlineStr">
        <is>
          <t>EJE 12</t>
        </is>
      </c>
      <c r="C36" s="135" t="inlineStr">
        <is>
          <t>TRAMO 02</t>
        </is>
      </c>
      <c r="D36" s="139" t="inlineStr">
        <is>
          <t>TAPADA</t>
        </is>
      </c>
      <c r="E36" s="136" t="n">
        <v>56.64</v>
      </c>
      <c r="F36" s="202" t="n">
        <v>0.4</v>
      </c>
      <c r="G36" s="136" t="n">
        <v>0.51</v>
      </c>
      <c r="H36" s="136" t="n">
        <v>0.8</v>
      </c>
      <c r="I36" s="108">
        <f>IF(B36="","",(G36+H36)/2)</f>
        <v/>
      </c>
      <c r="J36" s="108">
        <f>IF(B36="","",2*E36*I36)</f>
        <v/>
      </c>
      <c r="K36" s="108">
        <f>IF(B36="","",E36*F36)</f>
        <v/>
      </c>
      <c r="L36" s="108">
        <f>IF(B36="","",IF(D36="TAPADA",E36*F36,0))</f>
        <v/>
      </c>
      <c r="M36" s="109">
        <f>SUM(J36:L36)</f>
        <v/>
      </c>
      <c r="N36" s="110">
        <f>IF(B36="","",IF(D36="TAPADA",4,3))</f>
        <v/>
      </c>
      <c r="O36" s="111" t="inlineStr">
        <is>
          <t>m²</t>
        </is>
      </c>
    </row>
    <row r="38" ht="22.5" customHeight="1">
      <c r="A38" s="285" t="inlineStr">
        <is>
          <t>TOTAL DE CURADO DE CONCRETO EN CUNETAS</t>
        </is>
      </c>
      <c r="M38" s="285">
        <f>SUM(M7:M36)</f>
        <v/>
      </c>
      <c r="N38" s="285" t="n"/>
      <c r="O38" s="285" t="inlineStr">
        <is>
          <t>m²</t>
        </is>
      </c>
    </row>
  </sheetData>
  <mergeCells count="9">
    <mergeCell ref="C4:J4"/>
    <mergeCell ref="A38:L38"/>
    <mergeCell ref="A4:B4"/>
    <mergeCell ref="A2:B2"/>
    <mergeCell ref="C3:O3"/>
    <mergeCell ref="A1:O1"/>
    <mergeCell ref="L4:O4"/>
    <mergeCell ref="A3:B3"/>
    <mergeCell ref="C2:O2"/>
  </mergeCells>
  <conditionalFormatting sqref="D7:D36">
    <cfRule type="expression" priority="1" dxfId="2">
      <formula>D7="TAPADA"</formula>
    </cfRule>
    <cfRule type="expression" priority="2" dxfId="1">
      <formula>D7="ABIERTA"</formula>
    </cfRule>
  </conditionalFormatting>
  <conditionalFormatting sqref="L7:L36">
    <cfRule type="expression" priority="5" dxfId="0">
      <formula>$D7="ABIERTA"</formula>
    </cfRule>
  </conditionalFormatting>
  <pageMargins left="0.7" right="0.7" top="0.75" bottom="0.75" header="0.3" footer="0.3"/>
  <pageSetup orientation="landscape" paperSize="9" scale="56" fitToHeight="0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H38"/>
  <sheetViews>
    <sheetView view="pageBreakPreview" topLeftCell="A18" zoomScale="115" zoomScaleNormal="115" zoomScaleSheetLayoutView="115" workbookViewId="0">
      <selection activeCell="L14" sqref="L14"/>
    </sheetView>
  </sheetViews>
  <sheetFormatPr baseColWidth="10" defaultColWidth="9.453125" defaultRowHeight="14"/>
  <cols>
    <col width="6.54296875" customWidth="1" style="100" min="1" max="1"/>
    <col width="15.90625" customWidth="1" style="100" min="2" max="2"/>
    <col width="18.81640625" customWidth="1" style="100" min="3" max="3"/>
    <col width="17.453125" customWidth="1" style="100" min="4" max="4"/>
    <col width="14.7265625" customWidth="1" style="100" min="5" max="5"/>
    <col width="19.6328125" customWidth="1" style="100" min="6" max="6"/>
    <col width="27" customWidth="1" style="100" min="7" max="7"/>
    <col width="8.7265625" customWidth="1" style="100" min="8" max="8"/>
    <col width="9.453125" customWidth="1" style="100" min="9" max="16384"/>
  </cols>
  <sheetData>
    <row r="1" ht="21.4" customHeight="1">
      <c r="A1" s="289" t="inlineStr">
        <is>
          <t>METRADO DE REJILLAS PARA CUNETAS</t>
        </is>
      </c>
    </row>
    <row r="2" ht="22.5" customHeight="1">
      <c r="A2" s="293" t="inlineStr">
        <is>
          <t>ENTIDAD</t>
        </is>
      </c>
      <c r="B2" s="314" t="n"/>
      <c r="C2" s="354" t="inlineStr">
        <is>
          <t>GERENCIA TERRITORIAL BAJO MAYO - TARAPOTO</t>
        </is>
      </c>
      <c r="D2" s="313" t="n"/>
      <c r="E2" s="313" t="n"/>
      <c r="F2" s="313" t="n"/>
      <c r="G2" s="313" t="n"/>
      <c r="H2" s="314" t="n"/>
    </row>
    <row r="3" ht="54.5" customHeight="1">
      <c r="A3" s="293" t="inlineStr">
        <is>
          <t>PROYECTO</t>
        </is>
      </c>
      <c r="B3" s="314" t="n"/>
      <c r="C3" s="354">
        <f>+RESUMEN!B5</f>
        <v/>
      </c>
      <c r="D3" s="313" t="n"/>
      <c r="E3" s="313" t="n"/>
      <c r="F3" s="313" t="n"/>
      <c r="G3" s="313" t="n"/>
      <c r="H3" s="314" t="n"/>
    </row>
    <row r="4" ht="24" customHeight="1">
      <c r="A4" s="293" t="inlineStr">
        <is>
          <t>UBICACIÓN</t>
        </is>
      </c>
      <c r="B4" s="314" t="n"/>
      <c r="C4" s="355">
        <f>+RESUMEN!B6</f>
        <v/>
      </c>
      <c r="D4" s="313" t="n"/>
      <c r="E4" s="313" t="n"/>
      <c r="F4" s="314" t="n"/>
      <c r="G4" s="115" t="inlineStr">
        <is>
          <t>FECHA</t>
        </is>
      </c>
      <c r="H4" s="116">
        <f>+RESUMEN!B7</f>
        <v/>
      </c>
    </row>
    <row r="6" ht="32" customHeight="1">
      <c r="A6" s="117" t="inlineStr">
        <is>
          <t>N°</t>
        </is>
      </c>
      <c r="B6" s="117" t="inlineStr">
        <is>
          <t>EJE</t>
        </is>
      </c>
      <c r="C6" s="117" t="inlineStr">
        <is>
          <t>TRAMO</t>
        </is>
      </c>
      <c r="D6" s="117" t="inlineStr">
        <is>
          <t>TIPO DE CUNETA</t>
        </is>
      </c>
      <c r="E6" s="117" t="inlineStr">
        <is>
          <t>LONGITUD DEL TRAMO (m)</t>
        </is>
      </c>
      <c r="F6" s="117" t="inlineStr">
        <is>
          <t>DESCUENTO SIN REJILLA (m)</t>
        </is>
      </c>
      <c r="G6" s="117" t="inlineStr">
        <is>
          <t>LONGITUD CON REJILLA (m)</t>
        </is>
      </c>
      <c r="H6" s="117" t="inlineStr">
        <is>
          <t>UND.</t>
        </is>
      </c>
    </row>
    <row r="7" ht="30" customHeight="1">
      <c r="A7" s="103" t="n">
        <v>1</v>
      </c>
      <c r="B7" s="135" t="inlineStr">
        <is>
          <t>EJE 01</t>
        </is>
      </c>
      <c r="C7" s="135" t="inlineStr">
        <is>
          <t>TRAMO 01</t>
        </is>
      </c>
      <c r="D7" s="139" t="inlineStr">
        <is>
          <t>ABIERTA</t>
        </is>
      </c>
      <c r="E7" s="136" t="n">
        <v>32</v>
      </c>
      <c r="F7" s="176" t="n">
        <v>0</v>
      </c>
      <c r="G7" s="177">
        <f>IF(B7="","",IF(D7="ABIERTA",IF(E7-F7&lt;0,0,E7-F7),0))</f>
        <v/>
      </c>
      <c r="H7" s="178" t="inlineStr">
        <is>
          <t>m</t>
        </is>
      </c>
    </row>
    <row r="8" ht="33.5" customHeight="1">
      <c r="A8" s="103" t="n">
        <v>2</v>
      </c>
      <c r="B8" s="135" t="inlineStr">
        <is>
          <t>EJE 01</t>
        </is>
      </c>
      <c r="C8" s="135" t="inlineStr">
        <is>
          <t>TRAMO 02</t>
        </is>
      </c>
      <c r="D8" s="139" t="inlineStr">
        <is>
          <t>TAPADA</t>
        </is>
      </c>
      <c r="E8" s="136" t="n">
        <v>5.14</v>
      </c>
      <c r="F8" s="176" t="n">
        <v>0</v>
      </c>
      <c r="G8" s="177">
        <f>IF(B8="","",IF(D8="ABIERTA",IF(E8-F8&lt;0,0,E8-F8),0))</f>
        <v/>
      </c>
      <c r="H8" s="178" t="inlineStr">
        <is>
          <t>m</t>
        </is>
      </c>
    </row>
    <row r="9" ht="28.5" customHeight="1">
      <c r="A9" s="103" t="n">
        <v>3</v>
      </c>
      <c r="B9" s="135" t="inlineStr">
        <is>
          <t>EJE 02</t>
        </is>
      </c>
      <c r="C9" s="135" t="inlineStr">
        <is>
          <t>TRAMO 01</t>
        </is>
      </c>
      <c r="D9" s="139" t="inlineStr">
        <is>
          <t>ABIERTA</t>
        </is>
      </c>
      <c r="E9" s="136" t="n">
        <v>37.5</v>
      </c>
      <c r="F9" s="176" t="n">
        <v>0</v>
      </c>
      <c r="G9" s="177">
        <f>IF(B9="","",IF(D9="ABIERTA",IF(E9-F9&lt;0,0,E9-F9),0))</f>
        <v/>
      </c>
      <c r="H9" s="178" t="inlineStr">
        <is>
          <t>m</t>
        </is>
      </c>
    </row>
    <row r="10" ht="27" customHeight="1">
      <c r="A10" s="103" t="n">
        <v>4</v>
      </c>
      <c r="B10" s="135" t="inlineStr">
        <is>
          <t>EJE 02</t>
        </is>
      </c>
      <c r="C10" s="135" t="inlineStr">
        <is>
          <t>TRAMO 02</t>
        </is>
      </c>
      <c r="D10" s="139" t="inlineStr">
        <is>
          <t>TAPADA</t>
        </is>
      </c>
      <c r="E10" s="136" t="n">
        <v>10.2</v>
      </c>
      <c r="F10" s="176" t="n">
        <v>0</v>
      </c>
      <c r="G10" s="177">
        <f>IF(B10="","",IF(D10="ABIERTA",IF(E10-F10&lt;0,0,E10-F10),0))</f>
        <v/>
      </c>
      <c r="H10" s="178" t="inlineStr">
        <is>
          <t>m</t>
        </is>
      </c>
    </row>
    <row r="11" ht="27" customHeight="1">
      <c r="A11" s="103" t="n">
        <v>5</v>
      </c>
      <c r="B11" s="135" t="inlineStr">
        <is>
          <t>EJE 02</t>
        </is>
      </c>
      <c r="C11" s="135" t="inlineStr">
        <is>
          <t>TRAMO 03</t>
        </is>
      </c>
      <c r="D11" s="139" t="inlineStr">
        <is>
          <t>ABIERTA</t>
        </is>
      </c>
      <c r="E11" s="136" t="n">
        <v>31.33</v>
      </c>
      <c r="F11" s="176" t="n">
        <v>0</v>
      </c>
      <c r="G11" s="177">
        <f>IF(B11="","",IF(D11="ABIERTA",IF(E11-F11&lt;0,0,E11-F11),0))</f>
        <v/>
      </c>
      <c r="H11" s="178" t="inlineStr">
        <is>
          <t>m</t>
        </is>
      </c>
    </row>
    <row r="12" ht="27" customHeight="1">
      <c r="A12" s="103" t="n">
        <v>6</v>
      </c>
      <c r="B12" s="135" t="inlineStr">
        <is>
          <t>EJE 02</t>
        </is>
      </c>
      <c r="C12" s="135" t="inlineStr">
        <is>
          <t>TRAMO 04</t>
        </is>
      </c>
      <c r="D12" s="139" t="inlineStr">
        <is>
          <t>TAPADA</t>
        </is>
      </c>
      <c r="E12" s="136" t="n">
        <v>8.359999999999999</v>
      </c>
      <c r="F12" s="176" t="n">
        <v>0</v>
      </c>
      <c r="G12" s="177">
        <f>IF(B12="","",IF(D12="ABIERTA",IF(E12-F12&lt;0,0,E12-F12),0))</f>
        <v/>
      </c>
      <c r="H12" s="178" t="inlineStr">
        <is>
          <t>m</t>
        </is>
      </c>
    </row>
    <row r="13" ht="27" customHeight="1">
      <c r="A13" s="103" t="n">
        <v>7</v>
      </c>
      <c r="B13" s="135" t="inlineStr">
        <is>
          <t>EJE 02</t>
        </is>
      </c>
      <c r="C13" s="135" t="inlineStr">
        <is>
          <t>TRAMO 05</t>
        </is>
      </c>
      <c r="D13" s="139" t="inlineStr">
        <is>
          <t>ABIERTA</t>
        </is>
      </c>
      <c r="E13" s="136" t="n">
        <v>30.36</v>
      </c>
      <c r="F13" s="176" t="n">
        <v>0</v>
      </c>
      <c r="G13" s="177">
        <f>IF(B13="","",IF(D13="ABIERTA",IF(E13-F13&lt;0,0,E13-F13),0))</f>
        <v/>
      </c>
      <c r="H13" s="178" t="inlineStr">
        <is>
          <t>m</t>
        </is>
      </c>
    </row>
    <row r="14" ht="27" customHeight="1">
      <c r="A14" s="103" t="n">
        <v>8</v>
      </c>
      <c r="B14" s="135" t="inlineStr">
        <is>
          <t>EJE 02</t>
        </is>
      </c>
      <c r="C14" s="135" t="inlineStr">
        <is>
          <t>TRAMO 06</t>
        </is>
      </c>
      <c r="D14" s="139" t="inlineStr">
        <is>
          <t>TAPADA</t>
        </is>
      </c>
      <c r="E14" s="136" t="n">
        <v>2.25</v>
      </c>
      <c r="F14" s="176" t="n">
        <v>0</v>
      </c>
      <c r="G14" s="177">
        <f>IF(B14="","",IF(D14="ABIERTA",IF(E14-F14&lt;0,0,E14-F14),0))</f>
        <v/>
      </c>
      <c r="H14" s="178" t="inlineStr">
        <is>
          <t>m</t>
        </is>
      </c>
    </row>
    <row r="15" ht="27" customHeight="1">
      <c r="A15" s="103" t="n">
        <v>9</v>
      </c>
      <c r="B15" s="135" t="inlineStr">
        <is>
          <t>EJE 02</t>
        </is>
      </c>
      <c r="C15" s="135" t="inlineStr">
        <is>
          <t>TRAMO 07</t>
        </is>
      </c>
      <c r="D15" s="139" t="inlineStr">
        <is>
          <t>TAPADA</t>
        </is>
      </c>
      <c r="E15" s="136" t="n">
        <v>10.85</v>
      </c>
      <c r="F15" s="176" t="n">
        <v>0</v>
      </c>
      <c r="G15" s="177">
        <f>IF(B15="","",IF(D15="ABIERTA",IF(E15-F15&lt;0,0,E15-F15),0))</f>
        <v/>
      </c>
      <c r="H15" s="178" t="inlineStr">
        <is>
          <t>m</t>
        </is>
      </c>
    </row>
    <row r="16" ht="27" customHeight="1">
      <c r="A16" s="103" t="n">
        <v>10</v>
      </c>
      <c r="B16" s="135" t="inlineStr">
        <is>
          <t>EJE 03</t>
        </is>
      </c>
      <c r="C16" s="135" t="inlineStr">
        <is>
          <t>TRAMO 01</t>
        </is>
      </c>
      <c r="D16" s="139" t="inlineStr">
        <is>
          <t>ABIERTA</t>
        </is>
      </c>
      <c r="E16" s="136" t="n">
        <v>5.82</v>
      </c>
      <c r="F16" s="176" t="n">
        <v>0</v>
      </c>
      <c r="G16" s="177">
        <f>IF(B16="","",IF(D16="ABIERTA",IF(E16-F16&lt;0,0,E16-F16),0))</f>
        <v/>
      </c>
      <c r="H16" s="178" t="inlineStr">
        <is>
          <t>m</t>
        </is>
      </c>
    </row>
    <row r="17" ht="27" customHeight="1">
      <c r="A17" s="103" t="n">
        <v>11</v>
      </c>
      <c r="B17" s="135" t="inlineStr">
        <is>
          <t>EJE 04</t>
        </is>
      </c>
      <c r="C17" s="135" t="inlineStr">
        <is>
          <t>TRAMO 01</t>
        </is>
      </c>
      <c r="D17" s="139" t="inlineStr">
        <is>
          <t>ABIERTA</t>
        </is>
      </c>
      <c r="E17" s="136" t="n">
        <v>8.6</v>
      </c>
      <c r="F17" s="176" t="n">
        <v>0</v>
      </c>
      <c r="G17" s="177">
        <f>IF(B17="","",IF(D17="ABIERTA",IF(E17-F17&lt;0,0,E17-F17),0))</f>
        <v/>
      </c>
      <c r="H17" s="178" t="inlineStr">
        <is>
          <t>m</t>
        </is>
      </c>
    </row>
    <row r="18" ht="27" customHeight="1">
      <c r="A18" s="103" t="n">
        <v>12</v>
      </c>
      <c r="B18" s="135" t="inlineStr">
        <is>
          <t>EJE 05</t>
        </is>
      </c>
      <c r="C18" s="135" t="inlineStr">
        <is>
          <t>TRAMO 01</t>
        </is>
      </c>
      <c r="D18" s="139" t="inlineStr">
        <is>
          <t>ABIERTA</t>
        </is>
      </c>
      <c r="E18" s="136" t="n">
        <v>37.53</v>
      </c>
      <c r="F18" s="176" t="n">
        <v>0</v>
      </c>
      <c r="G18" s="177">
        <f>IF(B18="","",IF(D18="ABIERTA",IF(E18-F18&lt;0,0,E18-F18),0))</f>
        <v/>
      </c>
      <c r="H18" s="178" t="inlineStr">
        <is>
          <t>m</t>
        </is>
      </c>
    </row>
    <row r="19" ht="27" customHeight="1">
      <c r="A19" s="103" t="n">
        <v>13</v>
      </c>
      <c r="B19" s="135" t="inlineStr">
        <is>
          <t>EJE 05</t>
        </is>
      </c>
      <c r="C19" s="135" t="inlineStr">
        <is>
          <t>TRAMO 02</t>
        </is>
      </c>
      <c r="D19" s="139" t="inlineStr">
        <is>
          <t>TAPADA</t>
        </is>
      </c>
      <c r="E19" s="136" t="n">
        <v>5.7</v>
      </c>
      <c r="F19" s="176" t="n">
        <v>0</v>
      </c>
      <c r="G19" s="177">
        <f>IF(B19="","",IF(D19="ABIERTA",IF(E19-F19&lt;0,0,E19-F19),0))</f>
        <v/>
      </c>
      <c r="H19" s="178" t="inlineStr">
        <is>
          <t>m</t>
        </is>
      </c>
    </row>
    <row r="20" ht="27" customHeight="1">
      <c r="A20" s="103" t="n">
        <v>14</v>
      </c>
      <c r="B20" s="135" t="inlineStr">
        <is>
          <t>EJE 06</t>
        </is>
      </c>
      <c r="C20" s="135" t="inlineStr">
        <is>
          <t>TRAMO 01</t>
        </is>
      </c>
      <c r="D20" s="139" t="inlineStr">
        <is>
          <t>ABIERTA</t>
        </is>
      </c>
      <c r="E20" s="136" t="n">
        <v>37.53</v>
      </c>
      <c r="F20" s="176" t="n">
        <v>0</v>
      </c>
      <c r="G20" s="177">
        <f>IF(B20="","",IF(D20="ABIERTA",IF(E20-F20&lt;0,0,E20-F20),0))</f>
        <v/>
      </c>
      <c r="H20" s="178" t="inlineStr">
        <is>
          <t>m</t>
        </is>
      </c>
    </row>
    <row r="21" ht="27" customHeight="1">
      <c r="A21" s="103" t="n">
        <v>15</v>
      </c>
      <c r="B21" s="135" t="inlineStr">
        <is>
          <t>EJE 06</t>
        </is>
      </c>
      <c r="C21" s="135" t="inlineStr">
        <is>
          <t>TRAMO 02</t>
        </is>
      </c>
      <c r="D21" s="139" t="inlineStr">
        <is>
          <t>TAPADA</t>
        </is>
      </c>
      <c r="E21" s="136" t="n">
        <v>10.9</v>
      </c>
      <c r="F21" s="176" t="n">
        <v>0</v>
      </c>
      <c r="G21" s="177">
        <f>IF(B21="","",IF(D21="ABIERTA",IF(E21-F21&lt;0,0,E21-F21),0))</f>
        <v/>
      </c>
      <c r="H21" s="178" t="inlineStr">
        <is>
          <t>m</t>
        </is>
      </c>
    </row>
    <row r="22" ht="27" customHeight="1">
      <c r="A22" s="103" t="n">
        <v>16</v>
      </c>
      <c r="B22" s="135" t="inlineStr">
        <is>
          <t>EJE 06</t>
        </is>
      </c>
      <c r="C22" s="135" t="inlineStr">
        <is>
          <t>TRAMO 03</t>
        </is>
      </c>
      <c r="D22" s="139" t="inlineStr">
        <is>
          <t>ABIERTA</t>
        </is>
      </c>
      <c r="E22" s="136" t="n">
        <v>56.93</v>
      </c>
      <c r="F22" s="176" t="n">
        <v>0</v>
      </c>
      <c r="G22" s="177">
        <f>IF(B22="","",IF(D22="ABIERTA",IF(E22-F22&lt;0,0,E22-F22),0))</f>
        <v/>
      </c>
      <c r="H22" s="178" t="inlineStr">
        <is>
          <t>m</t>
        </is>
      </c>
    </row>
    <row r="23" ht="27" customHeight="1">
      <c r="A23" s="103" t="n">
        <v>17</v>
      </c>
      <c r="B23" s="135" t="inlineStr">
        <is>
          <t>EJE 06</t>
        </is>
      </c>
      <c r="C23" s="135" t="inlineStr">
        <is>
          <t>TRAMO 04</t>
        </is>
      </c>
      <c r="D23" s="139" t="inlineStr">
        <is>
          <t>TAPADA</t>
        </is>
      </c>
      <c r="E23" s="136" t="n">
        <v>15</v>
      </c>
      <c r="F23" s="176" t="n">
        <v>0</v>
      </c>
      <c r="G23" s="177">
        <f>IF(B23="","",IF(D23="ABIERTA",IF(E23-F23&lt;0,0,E23-F23),0))</f>
        <v/>
      </c>
      <c r="H23" s="178" t="inlineStr">
        <is>
          <t>m</t>
        </is>
      </c>
    </row>
    <row r="24" ht="27" customHeight="1">
      <c r="A24" s="103" t="n">
        <v>18</v>
      </c>
      <c r="B24" s="135" t="inlineStr">
        <is>
          <t>EJE 07</t>
        </is>
      </c>
      <c r="C24" s="135" t="inlineStr">
        <is>
          <t>TRAMO 01</t>
        </is>
      </c>
      <c r="D24" s="139" t="inlineStr">
        <is>
          <t>ABIERTA</t>
        </is>
      </c>
      <c r="E24" s="136" t="n">
        <v>37.53</v>
      </c>
      <c r="F24" s="176" t="n">
        <v>0</v>
      </c>
      <c r="G24" s="177">
        <f>IF(B24="","",IF(D24="ABIERTA",IF(E24-F24&lt;0,0,E24-F24),0))</f>
        <v/>
      </c>
      <c r="H24" s="178" t="inlineStr">
        <is>
          <t>m</t>
        </is>
      </c>
    </row>
    <row r="25" ht="27" customHeight="1">
      <c r="A25" s="103" t="n">
        <v>19</v>
      </c>
      <c r="B25" s="135" t="inlineStr">
        <is>
          <t>EJE 07</t>
        </is>
      </c>
      <c r="C25" s="135" t="inlineStr">
        <is>
          <t>TRAMO 02</t>
        </is>
      </c>
      <c r="D25" s="139" t="inlineStr">
        <is>
          <t>TAPADA</t>
        </is>
      </c>
      <c r="E25" s="136" t="n">
        <v>7.66</v>
      </c>
      <c r="F25" s="176" t="n">
        <v>0</v>
      </c>
      <c r="G25" s="177">
        <f>IF(B25="","",IF(D25="ABIERTA",IF(E25-F25&lt;0,0,E25-F25),0))</f>
        <v/>
      </c>
      <c r="H25" s="178" t="inlineStr">
        <is>
          <t>m</t>
        </is>
      </c>
    </row>
    <row r="26" ht="27" customHeight="1">
      <c r="A26" s="103" t="n">
        <v>20</v>
      </c>
      <c r="B26" s="135" t="inlineStr">
        <is>
          <t>EJE 07</t>
        </is>
      </c>
      <c r="C26" s="135" t="inlineStr">
        <is>
          <t>TRAMO 03</t>
        </is>
      </c>
      <c r="D26" s="139" t="inlineStr">
        <is>
          <t>ABIERTA</t>
        </is>
      </c>
      <c r="E26" s="136" t="n">
        <v>63.75</v>
      </c>
      <c r="F26" s="176" t="n">
        <v>0</v>
      </c>
      <c r="G26" s="177">
        <f>IF(B26="","",IF(D26="ABIERTA",IF(E26-F26&lt;0,0,E26-F26),0))</f>
        <v/>
      </c>
      <c r="H26" s="178" t="inlineStr">
        <is>
          <t>m</t>
        </is>
      </c>
    </row>
    <row r="27" ht="27" customHeight="1">
      <c r="A27" s="103" t="n">
        <v>21</v>
      </c>
      <c r="B27" s="135" t="inlineStr">
        <is>
          <t>EJE 07</t>
        </is>
      </c>
      <c r="C27" s="135" t="inlineStr">
        <is>
          <t>TRAMO 04</t>
        </is>
      </c>
      <c r="D27" s="139" t="inlineStr">
        <is>
          <t>TAPADA</t>
        </is>
      </c>
      <c r="E27" s="136" t="n">
        <v>11.47</v>
      </c>
      <c r="F27" s="176" t="n">
        <v>0</v>
      </c>
      <c r="G27" s="177">
        <f>IF(B27="","",IF(D27="ABIERTA",IF(E27-F27&lt;0,0,E27-F27),0))</f>
        <v/>
      </c>
      <c r="H27" s="178" t="inlineStr">
        <is>
          <t>m</t>
        </is>
      </c>
    </row>
    <row r="28" ht="27" customHeight="1">
      <c r="A28" s="103" t="n">
        <v>22</v>
      </c>
      <c r="B28" s="135" t="inlineStr">
        <is>
          <t>EJE 07</t>
        </is>
      </c>
      <c r="C28" s="135" t="inlineStr">
        <is>
          <t>TRAMO 05</t>
        </is>
      </c>
      <c r="D28" s="139" t="inlineStr">
        <is>
          <t>TAPADA</t>
        </is>
      </c>
      <c r="E28" s="136" t="n">
        <v>5.17</v>
      </c>
      <c r="F28" s="176" t="n">
        <v>0</v>
      </c>
      <c r="G28" s="177">
        <f>IF(B28="","",IF(D28="ABIERTA",IF(E28-F28&lt;0,0,E28-F28),0))</f>
        <v/>
      </c>
      <c r="H28" s="178" t="inlineStr">
        <is>
          <t>m</t>
        </is>
      </c>
    </row>
    <row r="29" ht="27" customHeight="1">
      <c r="A29" s="103" t="n">
        <v>23</v>
      </c>
      <c r="B29" s="135" t="inlineStr">
        <is>
          <t>EJE 08</t>
        </is>
      </c>
      <c r="C29" s="135" t="inlineStr">
        <is>
          <t>TRAMO 01</t>
        </is>
      </c>
      <c r="D29" s="139" t="inlineStr">
        <is>
          <t>TAPADA</t>
        </is>
      </c>
      <c r="E29" s="136" t="n">
        <v>8.199999999999999</v>
      </c>
      <c r="F29" s="176" t="n">
        <v>0</v>
      </c>
      <c r="G29" s="177">
        <f>IF(B29="","",IF(D29="ABIERTA",IF(E29-F29&lt;0,0,E29-F29),0))</f>
        <v/>
      </c>
      <c r="H29" s="178" t="inlineStr">
        <is>
          <t>m</t>
        </is>
      </c>
    </row>
    <row r="30" ht="27" customHeight="1">
      <c r="A30" s="103" t="n">
        <v>24</v>
      </c>
      <c r="B30" s="135" t="inlineStr">
        <is>
          <t>EJE 09</t>
        </is>
      </c>
      <c r="C30" s="135" t="inlineStr">
        <is>
          <t>TRAMO 01</t>
        </is>
      </c>
      <c r="D30" s="139" t="inlineStr">
        <is>
          <t>TAPADA</t>
        </is>
      </c>
      <c r="E30" s="136" t="n">
        <v>7</v>
      </c>
      <c r="F30" s="176" t="n">
        <v>0</v>
      </c>
      <c r="G30" s="177">
        <f>IF(B30="","",IF(D30="ABIERTA",IF(E30-F30&lt;0,0,E30-F30),0))</f>
        <v/>
      </c>
      <c r="H30" s="178" t="inlineStr">
        <is>
          <t>m</t>
        </is>
      </c>
    </row>
    <row r="31" ht="27" customHeight="1">
      <c r="A31" s="103" t="n">
        <v>25</v>
      </c>
      <c r="B31" s="135" t="inlineStr">
        <is>
          <t>EJE 10</t>
        </is>
      </c>
      <c r="C31" s="135" t="inlineStr">
        <is>
          <t>TRAMO 01</t>
        </is>
      </c>
      <c r="D31" s="139" t="inlineStr">
        <is>
          <t>ABIERTA</t>
        </is>
      </c>
      <c r="E31" s="136" t="n">
        <v>16</v>
      </c>
      <c r="F31" s="176" t="n">
        <v>0</v>
      </c>
      <c r="G31" s="177">
        <f>IF(B31="","",IF(D31="ABIERTA",IF(E31-F31&lt;0,0,E31-F31),0))</f>
        <v/>
      </c>
      <c r="H31" s="178" t="inlineStr">
        <is>
          <t>m</t>
        </is>
      </c>
    </row>
    <row r="32" ht="27" customHeight="1">
      <c r="A32" s="103" t="n">
        <v>26</v>
      </c>
      <c r="B32" s="135" t="inlineStr">
        <is>
          <t>EJE 11</t>
        </is>
      </c>
      <c r="C32" s="135" t="inlineStr">
        <is>
          <t>TRAMO 01</t>
        </is>
      </c>
      <c r="D32" s="139" t="inlineStr">
        <is>
          <t>ABIERTA</t>
        </is>
      </c>
      <c r="E32" s="136" t="n">
        <v>62.76</v>
      </c>
      <c r="F32" s="176" t="n">
        <v>0</v>
      </c>
      <c r="G32" s="177">
        <f>IF(B32="","",IF(D32="ABIERTA",IF(E32-F32&lt;0,0,E32-F32),0))</f>
        <v/>
      </c>
      <c r="H32" s="178" t="inlineStr">
        <is>
          <t>m</t>
        </is>
      </c>
    </row>
    <row r="33" ht="27" customHeight="1">
      <c r="A33" s="103" t="n">
        <v>27</v>
      </c>
      <c r="B33" s="135" t="inlineStr">
        <is>
          <t>EJE 11</t>
        </is>
      </c>
      <c r="C33" s="135" t="inlineStr">
        <is>
          <t>TRAMO 02</t>
        </is>
      </c>
      <c r="D33" s="139" t="inlineStr">
        <is>
          <t>TAPADA</t>
        </is>
      </c>
      <c r="E33" s="136" t="n">
        <v>2.2</v>
      </c>
      <c r="F33" s="176" t="n">
        <v>0</v>
      </c>
      <c r="G33" s="177">
        <f>IF(B33="","",IF(D33="ABIERTA",IF(E33-F33&lt;0,0,E33-F33),0))</f>
        <v/>
      </c>
      <c r="H33" s="178" t="inlineStr">
        <is>
          <t>m</t>
        </is>
      </c>
    </row>
    <row r="34" ht="27" customHeight="1">
      <c r="A34" s="103" t="n">
        <v>28</v>
      </c>
      <c r="B34" s="135" t="inlineStr">
        <is>
          <t>EJE 11</t>
        </is>
      </c>
      <c r="C34" s="135" t="inlineStr">
        <is>
          <t>TRAMO 03</t>
        </is>
      </c>
      <c r="D34" s="139" t="inlineStr">
        <is>
          <t>TAPADA</t>
        </is>
      </c>
      <c r="E34" s="136" t="n">
        <v>6.5</v>
      </c>
      <c r="F34" s="176" t="n">
        <v>0</v>
      </c>
      <c r="G34" s="177">
        <f>IF(B34="","",IF(D34="ABIERTA",IF(E34-F34&lt;0,0,E34-F34),0))</f>
        <v/>
      </c>
      <c r="H34" s="178" t="inlineStr">
        <is>
          <t>m</t>
        </is>
      </c>
    </row>
    <row r="35" ht="27" customHeight="1">
      <c r="A35" s="103" t="n">
        <v>29</v>
      </c>
      <c r="B35" s="135" t="inlineStr">
        <is>
          <t>EJE 12</t>
        </is>
      </c>
      <c r="C35" s="135" t="inlineStr">
        <is>
          <t>TRAMO 01</t>
        </is>
      </c>
      <c r="D35" s="139" t="inlineStr">
        <is>
          <t>ABIERTA</t>
        </is>
      </c>
      <c r="E35" s="136" t="n">
        <v>52.47</v>
      </c>
      <c r="F35" s="176" t="n">
        <v>0</v>
      </c>
      <c r="G35" s="177">
        <f>IF(B35="","",IF(D35="ABIERTA",IF(E35-F35&lt;0,0,E35-F35),0))</f>
        <v/>
      </c>
      <c r="H35" s="178" t="inlineStr">
        <is>
          <t>m</t>
        </is>
      </c>
    </row>
    <row r="36" ht="27" customHeight="1">
      <c r="A36" s="103" t="n">
        <v>30</v>
      </c>
      <c r="B36" s="135" t="inlineStr">
        <is>
          <t>EJE 12</t>
        </is>
      </c>
      <c r="C36" s="135" t="inlineStr">
        <is>
          <t>TRAMO 02</t>
        </is>
      </c>
      <c r="D36" s="139" t="inlineStr">
        <is>
          <t>TAPADA</t>
        </is>
      </c>
      <c r="E36" s="136" t="n">
        <v>56.64</v>
      </c>
      <c r="F36" s="176" t="n">
        <v>0</v>
      </c>
      <c r="G36" s="177">
        <f>IF(B36="","",IF(D36="ABIERTA",IF(E36-F36&lt;0,0,E36-F36),0))</f>
        <v/>
      </c>
      <c r="H36" s="178" t="inlineStr">
        <is>
          <t>m</t>
        </is>
      </c>
    </row>
    <row r="38" ht="18" customHeight="1">
      <c r="A38" s="288" t="inlineStr">
        <is>
          <t>TOTAL CALCULADO DE REJILLA EN CUNETAS ABIERTAS</t>
        </is>
      </c>
      <c r="G38" s="288">
        <f>SUM(G7:G36)</f>
        <v/>
      </c>
      <c r="H38" s="288" t="inlineStr">
        <is>
          <t>m</t>
        </is>
      </c>
    </row>
  </sheetData>
  <mergeCells count="8">
    <mergeCell ref="A38:F38"/>
    <mergeCell ref="A4:B4"/>
    <mergeCell ref="C2:H2"/>
    <mergeCell ref="A2:B2"/>
    <mergeCell ref="C4:F4"/>
    <mergeCell ref="C3:H3"/>
    <mergeCell ref="A1:H1"/>
    <mergeCell ref="A3:B3"/>
  </mergeCells>
  <conditionalFormatting sqref="D7:D36">
    <cfRule type="expression" priority="1" dxfId="2">
      <formula>D7="TAPADA"</formula>
    </cfRule>
    <cfRule type="expression" priority="2" dxfId="1">
      <formula>D7="ABIERTA"</formula>
    </cfRule>
  </conditionalFormatting>
  <conditionalFormatting sqref="G7:G36">
    <cfRule type="expression" priority="7" dxfId="0">
      <formula>$D7="TAPADA"</formula>
    </cfRule>
  </conditionalFormatting>
  <pageMargins left="0.7" right="0.7" top="0.75" bottom="0.75" header="0.3" footer="0.3"/>
  <pageSetup orientation="portrait" paperSize="9" scale="60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J24"/>
  <sheetViews>
    <sheetView view="pageBreakPreview" zoomScaleNormal="130" zoomScaleSheetLayoutView="100" workbookViewId="0">
      <pane ySplit="11" topLeftCell="A12" activePane="bottomLeft" state="frozen"/>
      <selection pane="bottomLeft" activeCell="P10" sqref="P10"/>
    </sheetView>
  </sheetViews>
  <sheetFormatPr baseColWidth="10" defaultColWidth="8.6328125" defaultRowHeight="14"/>
  <cols>
    <col width="24.90625" customWidth="1" style="179" min="1" max="1"/>
    <col width="16" customWidth="1" style="179" min="2" max="2"/>
    <col width="7" customWidth="1" style="179" min="3" max="3"/>
    <col width="15.26953125" customWidth="1" style="179" min="4" max="10"/>
    <col width="8.6328125" customWidth="1" style="179" min="11" max="16384"/>
  </cols>
  <sheetData>
    <row r="1" ht="31.5" customHeight="1">
      <c r="A1" s="298" t="inlineStr">
        <is>
          <t>PLANILLA DE METRADOS - JUNTA DE DILATACIÓN E=1" CON SELLADOR ASFÁLTICO EN MUROS DE CUNETAS</t>
        </is>
      </c>
    </row>
    <row r="2" ht="15" customHeight="1">
      <c r="A2" s="189" t="inlineStr">
        <is>
          <t>ENTIDAD</t>
        </is>
      </c>
      <c r="B2" s="299" t="inlineStr">
        <is>
          <t>GERENCIA TERRITORIAL BAJO MAYO - TARAPOTO</t>
        </is>
      </c>
      <c r="C2" s="313" t="n"/>
      <c r="D2" s="313" t="n"/>
      <c r="E2" s="313" t="n"/>
      <c r="F2" s="313" t="n"/>
      <c r="G2" s="313" t="n"/>
      <c r="H2" s="313" t="n"/>
      <c r="I2" s="313" t="n"/>
      <c r="J2" s="314" t="n"/>
    </row>
    <row r="3" ht="59.5" customHeight="1">
      <c r="A3" s="189" t="inlineStr">
        <is>
          <t>PROYECTO</t>
        </is>
      </c>
      <c r="B3" s="299">
        <f>+RESUMEN!B5</f>
        <v/>
      </c>
      <c r="C3" s="313" t="n"/>
      <c r="D3" s="313" t="n"/>
      <c r="E3" s="313" t="n"/>
      <c r="F3" s="313" t="n"/>
      <c r="G3" s="313" t="n"/>
      <c r="H3" s="313" t="n"/>
      <c r="I3" s="313" t="n"/>
      <c r="J3" s="314" t="n"/>
    </row>
    <row r="4" ht="15" customHeight="1">
      <c r="A4" s="189" t="inlineStr">
        <is>
          <t>UBICACIÓN</t>
        </is>
      </c>
      <c r="B4" s="299">
        <f>+RESUMEN!B6</f>
        <v/>
      </c>
      <c r="C4" s="313" t="n"/>
      <c r="D4" s="313" t="n"/>
      <c r="E4" s="313" t="n"/>
      <c r="F4" s="313" t="n"/>
      <c r="G4" s="313" t="n"/>
      <c r="H4" s="313" t="n"/>
      <c r="I4" s="313" t="n"/>
      <c r="J4" s="314" t="n"/>
    </row>
    <row r="5" ht="15" customHeight="1">
      <c r="A5" s="189" t="inlineStr">
        <is>
          <t>FECHA</t>
        </is>
      </c>
      <c r="B5" s="300">
        <f>+RESUMEN!B7</f>
        <v/>
      </c>
      <c r="C5" s="313" t="n"/>
      <c r="D5" s="313" t="n"/>
      <c r="E5" s="313" t="n"/>
      <c r="F5" s="313" t="n"/>
      <c r="G5" s="313" t="n"/>
      <c r="H5" s="313" t="n"/>
      <c r="I5" s="313" t="n"/>
      <c r="J5" s="314" t="n"/>
    </row>
    <row r="7">
      <c r="A7" s="180" t="inlineStr">
        <is>
          <t>PARÁMETROS</t>
        </is>
      </c>
      <c r="B7" s="181" t="n"/>
    </row>
    <row r="8" ht="36.5" customHeight="1">
      <c r="A8" s="182" t="inlineStr">
        <is>
          <t>Espaciamiento entre juntas (m)</t>
        </is>
      </c>
      <c r="B8" s="183" t="n">
        <v>3</v>
      </c>
    </row>
    <row r="9" ht="26.5" customHeight="1">
      <c r="A9" s="182" t="inlineStr">
        <is>
          <t>N° de muros con junta por cuneta</t>
        </is>
      </c>
      <c r="B9" s="183" t="n">
        <v>2</v>
      </c>
    </row>
    <row r="10" ht="28" customHeight="1">
      <c r="A10" s="184" t="inlineStr">
        <is>
          <t>Espesor de junta (referencial, no interviene en el metrado lineal)</t>
        </is>
      </c>
      <c r="B10" s="184" t="inlineStr">
        <is>
          <t>1" = 0.0254 m</t>
        </is>
      </c>
    </row>
    <row r="11" ht="39.75" customHeight="1">
      <c r="A11" s="185" t="inlineStr">
        <is>
          <t>ITEM</t>
        </is>
      </c>
      <c r="B11" s="185" t="inlineStr">
        <is>
          <t>EJE / DESCRIPCIÓN</t>
        </is>
      </c>
      <c r="C11" s="185" t="inlineStr">
        <is>
          <t>UND.</t>
        </is>
      </c>
      <c r="D11" s="185" t="inlineStr">
        <is>
          <t>LONGITUD
EJE (m)</t>
        </is>
      </c>
      <c r="E11" s="185" t="inlineStr">
        <is>
          <t>ÁREA MURO
(m²)</t>
        </is>
      </c>
      <c r="F11" s="185" t="inlineStr">
        <is>
          <t>ALTURA
MURO (m)</t>
        </is>
      </c>
      <c r="G11" s="185" t="inlineStr">
        <is>
          <t>ESPACIAMIENTO
(m)</t>
        </is>
      </c>
      <c r="H11" s="185" t="inlineStr">
        <is>
          <t>N° DE
JUNTAS</t>
        </is>
      </c>
      <c r="I11" s="185" t="inlineStr">
        <is>
          <t>N° MUROS
x JUNTA</t>
        </is>
      </c>
      <c r="J11" s="185" t="inlineStr">
        <is>
          <t>PARCIAL
(ml)</t>
        </is>
      </c>
    </row>
    <row r="12" ht="25.5" customHeight="1">
      <c r="A12" s="186" t="inlineStr">
        <is>
          <t>Descripccion</t>
        </is>
      </c>
      <c r="B12" s="186" t="inlineStr">
        <is>
          <t>JUNTA DE DILATACION E=1" CON SELLADOR ASFALTO</t>
        </is>
      </c>
      <c r="C12" s="186" t="inlineStr">
        <is>
          <t>ml</t>
        </is>
      </c>
      <c r="D12" s="187" t="n"/>
      <c r="E12" s="187" t="n"/>
      <c r="F12" s="187" t="n"/>
      <c r="G12" s="187" t="n"/>
      <c r="H12" s="187" t="n"/>
      <c r="I12" s="187" t="n"/>
      <c r="J12" s="187">
        <f>SUM(J13:J24)</f>
        <v/>
      </c>
    </row>
    <row r="13" ht="15.5" customHeight="1">
      <c r="A13" s="184" t="n">
        <v>1</v>
      </c>
      <c r="B13" s="184" t="inlineStr">
        <is>
          <t>EJE 01</t>
        </is>
      </c>
      <c r="C13" s="184" t="n"/>
      <c r="D13" s="190" t="n">
        <v>37.14</v>
      </c>
      <c r="E13" s="188">
        <f>+'CONCRETO EN CUNETAS'!E10</f>
        <v/>
      </c>
      <c r="F13" s="188">
        <f>E13/D13</f>
        <v/>
      </c>
      <c r="G13" s="188">
        <f>B8</f>
        <v/>
      </c>
      <c r="H13" s="188">
        <f>ROUNDUP(D13/G13,0)</f>
        <v/>
      </c>
      <c r="I13" s="188">
        <f>B9</f>
        <v/>
      </c>
      <c r="J13" s="188">
        <f>H13*I13*F13</f>
        <v/>
      </c>
    </row>
    <row r="14" ht="15.5" customHeight="1">
      <c r="A14" s="184" t="n">
        <v>2</v>
      </c>
      <c r="B14" s="184" t="inlineStr">
        <is>
          <t>EJE 02</t>
        </is>
      </c>
      <c r="C14" s="184" t="n"/>
      <c r="D14" s="190" t="n">
        <v>130.85</v>
      </c>
      <c r="E14" s="188">
        <f>+'CONCRETO EN CUNETAS'!E22</f>
        <v/>
      </c>
      <c r="F14" s="188">
        <f>E14/D14</f>
        <v/>
      </c>
      <c r="G14" s="188">
        <f>B8</f>
        <v/>
      </c>
      <c r="H14" s="188">
        <f>ROUNDUP(D14/G14,0)</f>
        <v/>
      </c>
      <c r="I14" s="188">
        <f>B9</f>
        <v/>
      </c>
      <c r="J14" s="188">
        <f>H14*I14*F14</f>
        <v/>
      </c>
    </row>
    <row r="15" ht="15.5" customHeight="1">
      <c r="A15" s="184" t="n">
        <v>3</v>
      </c>
      <c r="B15" s="184" t="inlineStr">
        <is>
          <t>EJE 03</t>
        </is>
      </c>
      <c r="C15" s="184" t="n"/>
      <c r="D15" s="190" t="n">
        <v>5.82</v>
      </c>
      <c r="E15" s="188">
        <f>+'CONCRETO EN CUNETAS'!E34</f>
        <v/>
      </c>
      <c r="F15" s="188">
        <f>E15/D15</f>
        <v/>
      </c>
      <c r="G15" s="188">
        <f>B8</f>
        <v/>
      </c>
      <c r="H15" s="188">
        <f>ROUNDUP(D15/G15,0)</f>
        <v/>
      </c>
      <c r="I15" s="188">
        <f>B9</f>
        <v/>
      </c>
      <c r="J15" s="188">
        <f>H15*I15*F15</f>
        <v/>
      </c>
    </row>
    <row r="16" ht="15.5" customHeight="1">
      <c r="A16" s="184" t="n">
        <v>4</v>
      </c>
      <c r="B16" s="184" t="inlineStr">
        <is>
          <t>EJE 04</t>
        </is>
      </c>
      <c r="C16" s="184" t="n"/>
      <c r="D16" s="190" t="n">
        <v>8.6</v>
      </c>
      <c r="E16" s="188">
        <f>+'CONCRETO EN CUNETAS'!E46</f>
        <v/>
      </c>
      <c r="F16" s="188">
        <f>E16/D16</f>
        <v/>
      </c>
      <c r="G16" s="188">
        <f>B8</f>
        <v/>
      </c>
      <c r="H16" s="188">
        <f>ROUNDUP(D16/G16,0)</f>
        <v/>
      </c>
      <c r="I16" s="188">
        <f>B9</f>
        <v/>
      </c>
      <c r="J16" s="188">
        <f>H16*I16*F16</f>
        <v/>
      </c>
    </row>
    <row r="17" ht="15.5" customHeight="1">
      <c r="A17" s="184" t="n">
        <v>5</v>
      </c>
      <c r="B17" s="184" t="inlineStr">
        <is>
          <t>EJE 05</t>
        </is>
      </c>
      <c r="C17" s="184" t="n"/>
      <c r="D17" s="190" t="n">
        <v>43.23</v>
      </c>
      <c r="E17" s="188">
        <f>+'CONCRETO EN CUNETAS'!E58</f>
        <v/>
      </c>
      <c r="F17" s="188">
        <f>E17/D17</f>
        <v/>
      </c>
      <c r="G17" s="188">
        <f>B8</f>
        <v/>
      </c>
      <c r="H17" s="188">
        <f>ROUNDUP(D17/G17,0)</f>
        <v/>
      </c>
      <c r="I17" s="188">
        <f>B9</f>
        <v/>
      </c>
      <c r="J17" s="188">
        <f>H17*I17*F17</f>
        <v/>
      </c>
    </row>
    <row r="18" ht="15.5" customHeight="1">
      <c r="A18" s="184" t="n">
        <v>6</v>
      </c>
      <c r="B18" s="184" t="inlineStr">
        <is>
          <t>EJE 06</t>
        </is>
      </c>
      <c r="C18" s="184" t="n"/>
      <c r="D18" s="190" t="n">
        <v>120.36</v>
      </c>
      <c r="E18" s="188">
        <f>+'CONCRETO EN CUNETAS'!E70</f>
        <v/>
      </c>
      <c r="F18" s="188">
        <f>E18/D18</f>
        <v/>
      </c>
      <c r="G18" s="188">
        <f>B8</f>
        <v/>
      </c>
      <c r="H18" s="188">
        <f>ROUNDUP(D18/G18,0)</f>
        <v/>
      </c>
      <c r="I18" s="188">
        <f>B9</f>
        <v/>
      </c>
      <c r="J18" s="188">
        <f>H18*I18*F18</f>
        <v/>
      </c>
    </row>
    <row r="19" ht="15.5" customHeight="1">
      <c r="A19" s="184" t="n">
        <v>7</v>
      </c>
      <c r="B19" s="184" t="inlineStr">
        <is>
          <t>EJE 07</t>
        </is>
      </c>
      <c r="C19" s="184" t="n"/>
      <c r="D19" s="190" t="n">
        <v>125.7</v>
      </c>
      <c r="E19" s="188">
        <f>+'CONCRETO EN CUNETAS'!M10</f>
        <v/>
      </c>
      <c r="F19" s="188">
        <f>E19/D19</f>
        <v/>
      </c>
      <c r="G19" s="188">
        <f>B8</f>
        <v/>
      </c>
      <c r="H19" s="188">
        <f>ROUNDUP(D19/G19,0)</f>
        <v/>
      </c>
      <c r="I19" s="188">
        <f>B9</f>
        <v/>
      </c>
      <c r="J19" s="188">
        <f>H19*I19*F19</f>
        <v/>
      </c>
    </row>
    <row r="20" ht="15.5" customHeight="1">
      <c r="A20" s="184" t="n">
        <v>8</v>
      </c>
      <c r="B20" s="184" t="inlineStr">
        <is>
          <t>EJE 08</t>
        </is>
      </c>
      <c r="C20" s="184" t="n"/>
      <c r="D20" s="190" t="n">
        <v>8.199999999999999</v>
      </c>
      <c r="E20" s="188">
        <f>+'CONCRETO EN CUNETAS'!M22</f>
        <v/>
      </c>
      <c r="F20" s="188">
        <f>E20/D20</f>
        <v/>
      </c>
      <c r="G20" s="188">
        <f>B8</f>
        <v/>
      </c>
      <c r="H20" s="188">
        <f>ROUNDUP(D20/G20,0)</f>
        <v/>
      </c>
      <c r="I20" s="188">
        <f>B9</f>
        <v/>
      </c>
      <c r="J20" s="188">
        <f>H20*I20*F20</f>
        <v/>
      </c>
    </row>
    <row r="21" ht="15.5" customHeight="1">
      <c r="A21" s="184" t="n">
        <v>9</v>
      </c>
      <c r="B21" s="184" t="inlineStr">
        <is>
          <t>EJE 09</t>
        </is>
      </c>
      <c r="C21" s="184" t="n"/>
      <c r="D21" s="190" t="n">
        <v>7</v>
      </c>
      <c r="E21" s="188">
        <f>+'CONCRETO EN CUNETAS'!M34</f>
        <v/>
      </c>
      <c r="F21" s="188">
        <f>E21/D21</f>
        <v/>
      </c>
      <c r="G21" s="188">
        <f>B8</f>
        <v/>
      </c>
      <c r="H21" s="188">
        <f>ROUNDUP(D21/G21,0)</f>
        <v/>
      </c>
      <c r="I21" s="188">
        <f>B9</f>
        <v/>
      </c>
      <c r="J21" s="188">
        <f>H21*I21*F21</f>
        <v/>
      </c>
    </row>
    <row r="22" ht="15.5" customHeight="1">
      <c r="A22" s="184" t="n">
        <v>10</v>
      </c>
      <c r="B22" s="184" t="inlineStr">
        <is>
          <t>EJE 10</t>
        </is>
      </c>
      <c r="C22" s="184" t="n"/>
      <c r="D22" s="190" t="n">
        <v>16</v>
      </c>
      <c r="E22" s="188">
        <f>+'CONCRETO EN CUNETAS'!M46</f>
        <v/>
      </c>
      <c r="F22" s="188">
        <f>E22/D22</f>
        <v/>
      </c>
      <c r="G22" s="188">
        <f>B8</f>
        <v/>
      </c>
      <c r="H22" s="188">
        <f>ROUNDUP(D22/G22,0)</f>
        <v/>
      </c>
      <c r="I22" s="188">
        <f>B9</f>
        <v/>
      </c>
      <c r="J22" s="188">
        <f>H22*I22*F22</f>
        <v/>
      </c>
    </row>
    <row r="23" ht="15.5" customHeight="1">
      <c r="A23" s="184" t="n">
        <v>11</v>
      </c>
      <c r="B23" s="184" t="inlineStr">
        <is>
          <t>EJE 11</t>
        </is>
      </c>
      <c r="C23" s="184" t="n"/>
      <c r="D23" s="190" t="n">
        <v>71.45999999999999</v>
      </c>
      <c r="E23" s="188">
        <f>+'CONCRETO EN CUNETAS'!M58</f>
        <v/>
      </c>
      <c r="F23" s="188">
        <f>E23/D23</f>
        <v/>
      </c>
      <c r="G23" s="188">
        <f>B8</f>
        <v/>
      </c>
      <c r="H23" s="188">
        <f>ROUNDUP(D23/G23,0)</f>
        <v/>
      </c>
      <c r="I23" s="188">
        <f>B9</f>
        <v/>
      </c>
      <c r="J23" s="188">
        <f>H23*I23*F23</f>
        <v/>
      </c>
    </row>
    <row r="24" ht="15.5" customHeight="1">
      <c r="A24" s="184" t="n">
        <v>12</v>
      </c>
      <c r="B24" s="184" t="inlineStr">
        <is>
          <t>EJE 12</t>
        </is>
      </c>
      <c r="C24" s="184" t="n"/>
      <c r="D24" s="190" t="n">
        <v>109.12</v>
      </c>
      <c r="E24" s="188">
        <f>+'CONCRETO EN CUNETAS'!M70</f>
        <v/>
      </c>
      <c r="F24" s="188">
        <f>E24/D24</f>
        <v/>
      </c>
      <c r="G24" s="188">
        <f>B8</f>
        <v/>
      </c>
      <c r="H24" s="188">
        <f>ROUNDUP(D24/G24,0)</f>
        <v/>
      </c>
      <c r="I24" s="188">
        <f>B9</f>
        <v/>
      </c>
      <c r="J24" s="188">
        <f>H24*I24*F24</f>
        <v/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orientation="portrait" paperSize="9" scale="55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K23"/>
  <sheetViews>
    <sheetView topLeftCell="B5" zoomScale="115" zoomScaleNormal="115" zoomScaleSheetLayoutView="115" workbookViewId="0">
      <selection activeCell="F25" sqref="F25"/>
    </sheetView>
  </sheetViews>
  <sheetFormatPr baseColWidth="10" defaultColWidth="9.453125" defaultRowHeight="15.5"/>
  <cols>
    <col width="22.453125" customWidth="1" style="102" min="1" max="1"/>
    <col width="50.7265625" customWidth="1" style="102" min="2" max="2"/>
    <col width="14.1796875" customWidth="1" style="102" min="3" max="3"/>
    <col width="18.1796875" customWidth="1" style="102" min="4" max="4"/>
    <col width="12.54296875" customWidth="1" style="102" min="5" max="5"/>
    <col width="12" customWidth="1" style="102" min="6" max="8"/>
    <col width="16.36328125" customWidth="1" style="102" min="9" max="10"/>
    <col width="9.81640625" customWidth="1" style="102" min="11" max="11"/>
    <col width="9.453125" customWidth="1" style="102" min="12" max="16384"/>
  </cols>
  <sheetData>
    <row r="1" ht="20" customHeight="1">
      <c r="A1" s="304" t="inlineStr">
        <is>
          <t>METRADO DE TAPAS DE REGISTRO EN CUNETAS TAPADAS</t>
        </is>
      </c>
    </row>
    <row r="2" ht="25" customHeight="1">
      <c r="A2" s="286" t="inlineStr">
        <is>
          <t>ENTIDAD</t>
        </is>
      </c>
      <c r="B2" s="283" t="inlineStr">
        <is>
          <t>GERENCIA TERRITORIAL BAJO MAYO - TARAPOTO</t>
        </is>
      </c>
      <c r="C2" s="313" t="n"/>
      <c r="D2" s="313" t="n"/>
      <c r="E2" s="313" t="n"/>
      <c r="F2" s="313" t="n"/>
      <c r="G2" s="313" t="n"/>
      <c r="H2" s="313" t="n"/>
      <c r="I2" s="313" t="n"/>
      <c r="J2" s="313" t="n"/>
      <c r="K2" s="314" t="n"/>
    </row>
    <row r="3" ht="40" customHeight="1">
      <c r="A3" s="286" t="inlineStr">
        <is>
          <t>PROYECTO</t>
        </is>
      </c>
      <c r="B3" s="283">
        <f>+RESUMEN!B5</f>
        <v/>
      </c>
      <c r="C3" s="313" t="n"/>
      <c r="D3" s="313" t="n"/>
      <c r="E3" s="313" t="n"/>
      <c r="F3" s="313" t="n"/>
      <c r="G3" s="313" t="n"/>
      <c r="H3" s="313" t="n"/>
      <c r="I3" s="313" t="n"/>
      <c r="J3" s="313" t="n"/>
      <c r="K3" s="314" t="n"/>
    </row>
    <row r="4" ht="24.5" customHeight="1">
      <c r="A4" s="286" t="inlineStr">
        <is>
          <t>UBICACIÓN</t>
        </is>
      </c>
      <c r="B4" s="283">
        <f>+RESUMEN!B6</f>
        <v/>
      </c>
      <c r="C4" s="313" t="n"/>
      <c r="D4" s="313" t="n"/>
      <c r="E4" s="313" t="n"/>
      <c r="F4" s="313" t="n"/>
      <c r="G4" s="313" t="n"/>
      <c r="H4" s="313" t="n"/>
      <c r="I4" s="313" t="n"/>
      <c r="J4" s="313" t="n"/>
      <c r="K4" s="314" t="n"/>
    </row>
    <row r="5" ht="18" customHeight="1">
      <c r="A5" s="286" t="inlineStr">
        <is>
          <t>FECHA</t>
        </is>
      </c>
      <c r="B5" s="306">
        <f>+RESUMEN!B7</f>
        <v/>
      </c>
      <c r="C5" s="313" t="n"/>
      <c r="D5" s="313" t="n"/>
      <c r="E5" s="313" t="n"/>
      <c r="F5" s="313" t="n"/>
      <c r="G5" s="313" t="n"/>
      <c r="H5" s="313" t="n"/>
      <c r="I5" s="313" t="n"/>
      <c r="J5" s="313" t="n"/>
      <c r="K5" s="314" t="n"/>
    </row>
    <row r="6" ht="10" customHeight="1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</row>
    <row r="7" ht="20" customHeight="1">
      <c r="A7" s="305" t="inlineStr">
        <is>
          <t>ITEM</t>
        </is>
      </c>
      <c r="B7" s="305" t="inlineStr">
        <is>
          <t>DESCRIPCIÓN</t>
        </is>
      </c>
      <c r="C7" s="305" t="inlineStr">
        <is>
          <t>Nº DE VECES</t>
        </is>
      </c>
      <c r="D7" s="305" t="inlineStr">
        <is>
          <t>DIMENSIONES</t>
        </is>
      </c>
      <c r="E7" s="313" t="n"/>
      <c r="F7" s="313" t="n"/>
      <c r="G7" s="313" t="n"/>
      <c r="H7" s="314" t="n"/>
      <c r="I7" s="305" t="inlineStr">
        <is>
          <t>PARCIAL</t>
        </is>
      </c>
      <c r="J7" s="305" t="inlineStr">
        <is>
          <t>TOTAL</t>
        </is>
      </c>
      <c r="K7" s="305" t="inlineStr">
        <is>
          <t>UND</t>
        </is>
      </c>
    </row>
    <row r="8" ht="36.5" customHeight="1">
      <c r="A8" s="315" t="n"/>
      <c r="B8" s="315" t="n"/>
      <c r="C8" s="305" t="n"/>
      <c r="D8" s="305" t="inlineStr">
        <is>
          <t>LARGO</t>
        </is>
      </c>
      <c r="E8" s="305" t="inlineStr">
        <is>
          <t>ANCHO</t>
        </is>
      </c>
      <c r="F8" s="305" t="inlineStr">
        <is>
          <t>ALTURA</t>
        </is>
      </c>
      <c r="G8" s="305" t="inlineStr">
        <is>
          <t>FACT.</t>
        </is>
      </c>
      <c r="H8" s="305" t="inlineStr">
        <is>
          <t>AREA</t>
        </is>
      </c>
      <c r="I8" s="305" t="inlineStr">
        <is>
          <t>VOLUMEN / PARCIAL</t>
        </is>
      </c>
      <c r="J8" s="315" t="n"/>
      <c r="K8" s="315" t="n"/>
    </row>
    <row r="9" ht="20" customHeight="1">
      <c r="A9" s="103" t="inlineStr">
        <is>
          <t>01.04.03.04.03.02</t>
        </is>
      </c>
      <c r="B9" s="125" t="inlineStr">
        <is>
          <t>TAPA DE REGISTRO (DE CONCRETO)</t>
        </is>
      </c>
      <c r="C9" s="103" t="n"/>
      <c r="D9" s="103" t="n"/>
      <c r="E9" s="103" t="n"/>
      <c r="F9" s="103" t="n"/>
      <c r="G9" s="103" t="n"/>
      <c r="H9" s="103" t="n"/>
      <c r="I9" s="103" t="n"/>
      <c r="J9" s="133">
        <f>+PARAMETROS!B4</f>
        <v/>
      </c>
      <c r="K9" s="134" t="inlineStr">
        <is>
          <t>und</t>
        </is>
      </c>
    </row>
    <row r="10" ht="20" customHeight="1">
      <c r="A10" s="103" t="n"/>
      <c r="B10" s="125" t="n"/>
      <c r="C10" s="103" t="n"/>
      <c r="D10" s="103" t="n"/>
      <c r="E10" s="103" t="n"/>
      <c r="F10" s="103" t="n"/>
      <c r="G10" s="103" t="n"/>
      <c r="H10" s="103" t="n"/>
      <c r="I10" s="103" t="n"/>
      <c r="J10" s="103" t="n"/>
      <c r="K10" s="103" t="n"/>
    </row>
    <row r="11" ht="20" customHeight="1">
      <c r="A11" s="127" t="n"/>
      <c r="B11" s="128" t="inlineStr">
        <is>
          <t>CONCRETO F´C=210 KG/CM2 EN TAPA DE REGISTRO</t>
        </is>
      </c>
      <c r="C11" s="127" t="n"/>
      <c r="D11" s="127" t="n"/>
      <c r="E11" s="127" t="n"/>
      <c r="F11" s="127" t="n"/>
      <c r="G11" s="127" t="n"/>
      <c r="H11" s="127" t="n"/>
      <c r="I11" s="127" t="inlineStr">
        <is>
          <t>TOTAL</t>
        </is>
      </c>
      <c r="J11" s="127" t="n"/>
      <c r="K11" s="127" t="n"/>
    </row>
    <row r="12" ht="20" customHeight="1">
      <c r="A12" s="103" t="n"/>
      <c r="B12" s="125" t="inlineStr">
        <is>
          <t>TAPA 0.60 x 0.60 x 0.10 m</t>
        </is>
      </c>
      <c r="C12" s="126">
        <f>PARAMETROS!B4</f>
        <v/>
      </c>
      <c r="D12" s="126">
        <f>PARAMETROS!B5</f>
        <v/>
      </c>
      <c r="E12" s="126">
        <f>PARAMETROS!B6</f>
        <v/>
      </c>
      <c r="F12" s="126">
        <f>PARAMETROS!B7</f>
        <v/>
      </c>
      <c r="G12" s="356" t="n"/>
      <c r="H12" s="356" t="n"/>
      <c r="I12" s="126">
        <f>C12*D12*E12*F12</f>
        <v/>
      </c>
      <c r="J12" s="133">
        <f>I12</f>
        <v/>
      </c>
      <c r="K12" s="134" t="inlineStr">
        <is>
          <t>m3</t>
        </is>
      </c>
    </row>
    <row r="13" ht="20" customHeight="1">
      <c r="A13" s="103" t="n"/>
      <c r="B13" s="125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103" t="n"/>
    </row>
    <row r="14" ht="29.5" customHeight="1">
      <c r="A14" s="127" t="n"/>
      <c r="B14" s="128" t="inlineStr">
        <is>
          <t>ENCOFRADO Y DESENCOFRADO EN TAPA DE REGISTRO</t>
        </is>
      </c>
      <c r="C14" s="357" t="n"/>
      <c r="D14" s="357" t="n"/>
      <c r="E14" s="357" t="n"/>
      <c r="F14" s="357" t="n"/>
      <c r="G14" s="357" t="n"/>
      <c r="H14" s="357" t="n"/>
      <c r="I14" s="357" t="inlineStr">
        <is>
          <t>TOTAL</t>
        </is>
      </c>
      <c r="J14" s="357" t="n"/>
      <c r="K14" s="127" t="n"/>
    </row>
    <row r="15" ht="20" customHeight="1">
      <c r="A15" s="103" t="n"/>
      <c r="B15" s="125" t="inlineStr">
        <is>
          <t>LATERALES DE TAPA</t>
        </is>
      </c>
      <c r="C15" s="126">
        <f>PARAMETROS!B4</f>
        <v/>
      </c>
      <c r="D15" s="126">
        <f>2*(PARAMETROS!B5+PARAMETROS!B6)</f>
        <v/>
      </c>
      <c r="E15" s="126" t="n"/>
      <c r="F15" s="126">
        <f>PARAMETROS!B7</f>
        <v/>
      </c>
      <c r="G15" s="356" t="n"/>
      <c r="H15" s="126">
        <f>D15*F15</f>
        <v/>
      </c>
      <c r="I15" s="126">
        <f>C15*H15</f>
        <v/>
      </c>
      <c r="J15" s="126">
        <f>I15</f>
        <v/>
      </c>
      <c r="K15" s="103" t="inlineStr">
        <is>
          <t>m2</t>
        </is>
      </c>
    </row>
    <row r="16" ht="20" customHeight="1">
      <c r="A16" s="103" t="n"/>
      <c r="B16" s="125" t="inlineStr">
        <is>
          <t>FONDO DE MOLDE / BASE DE PREFABRICADO</t>
        </is>
      </c>
      <c r="C16" s="126">
        <f>PARAMETROS!B4</f>
        <v/>
      </c>
      <c r="D16" s="126">
        <f>PARAMETROS!B5</f>
        <v/>
      </c>
      <c r="E16" s="126">
        <f>PARAMETROS!B6</f>
        <v/>
      </c>
      <c r="F16" s="126" t="n"/>
      <c r="G16" s="356" t="n"/>
      <c r="H16" s="126">
        <f>D16*E16</f>
        <v/>
      </c>
      <c r="I16" s="126">
        <f>C16*H16</f>
        <v/>
      </c>
      <c r="J16" s="126">
        <f>I16</f>
        <v/>
      </c>
      <c r="K16" s="103" t="inlineStr">
        <is>
          <t>m2</t>
        </is>
      </c>
    </row>
    <row r="17" ht="20" customHeight="1">
      <c r="A17" s="103" t="n"/>
      <c r="B17" s="125" t="inlineStr">
        <is>
          <t>TOTAL ENCOFRADO FONDO + LATERALES</t>
        </is>
      </c>
      <c r="C17" s="356" t="n"/>
      <c r="D17" s="356" t="n"/>
      <c r="E17" s="356" t="n"/>
      <c r="F17" s="356" t="n"/>
      <c r="G17" s="356" t="n"/>
      <c r="H17" s="126" t="n"/>
      <c r="I17" s="126" t="n"/>
      <c r="J17" s="133">
        <f>J15+J16</f>
        <v/>
      </c>
      <c r="K17" s="134" t="inlineStr">
        <is>
          <t>m2</t>
        </is>
      </c>
    </row>
    <row r="18" ht="20" customHeight="1">
      <c r="A18" s="103" t="n"/>
      <c r="B18" s="125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103" t="n"/>
    </row>
    <row r="19" ht="43" customHeight="1">
      <c r="A19" s="127" t="n"/>
      <c r="B19" s="128" t="inlineStr">
        <is>
          <t>ACERO FY=4200 KG/CM2 EN TAPA DE REGISTRO - VARILLA 3/8</t>
        </is>
      </c>
      <c r="C19" s="357" t="n"/>
      <c r="D19" s="358" t="inlineStr">
        <is>
          <t>LONGITUD DE CADA BARRA</t>
        </is>
      </c>
      <c r="E19" s="131" t="inlineStr">
        <is>
          <t>CANTIDAD DE BARRAS POR TAPA</t>
        </is>
      </c>
      <c r="F19" s="357" t="n"/>
      <c r="G19" s="357" t="n"/>
      <c r="H19" s="357" t="n"/>
      <c r="I19" s="357" t="inlineStr">
        <is>
          <t>TOTAL</t>
        </is>
      </c>
      <c r="J19" s="357" t="n"/>
      <c r="K19" s="127" t="n"/>
    </row>
    <row r="20" ht="20" customHeight="1">
      <c r="A20" s="103" t="n"/>
      <c r="B20" s="125" t="inlineStr">
        <is>
          <t>Acero longitudinal 3/8 - parrilla simple</t>
        </is>
      </c>
      <c r="C20" s="126">
        <f>PARAMETROS!B4</f>
        <v/>
      </c>
      <c r="D20" s="126">
        <f>PARAMETROS!B5-2*PARAMETROS!B8</f>
        <v/>
      </c>
      <c r="E20" s="126">
        <f>ROUND((PARAMETROS!B6-2*PARAMETROS!B8)/PARAMETROS!B9,0)+1</f>
        <v/>
      </c>
      <c r="F20" s="126" t="n"/>
      <c r="G20" s="126">
        <f>PARAMETROS!B10</f>
        <v/>
      </c>
      <c r="H20" s="356" t="n"/>
      <c r="I20" s="126">
        <f>C20*D20*E20*G20</f>
        <v/>
      </c>
      <c r="J20" s="126">
        <f>I20</f>
        <v/>
      </c>
      <c r="K20" s="103" t="inlineStr">
        <is>
          <t>kg</t>
        </is>
      </c>
    </row>
    <row r="21" ht="20" customHeight="1">
      <c r="A21" s="103" t="n"/>
      <c r="B21" s="125" t="inlineStr">
        <is>
          <t>Acero transversal 3/8 - parrilla simple</t>
        </is>
      </c>
      <c r="C21" s="126">
        <f>PARAMETROS!B4</f>
        <v/>
      </c>
      <c r="D21" s="126">
        <f>PARAMETROS!B6-2*PARAMETROS!B8</f>
        <v/>
      </c>
      <c r="E21" s="126">
        <f>ROUND((PARAMETROS!B5-2*PARAMETROS!B8)/PARAMETROS!B9,0)+1</f>
        <v/>
      </c>
      <c r="F21" s="126" t="n"/>
      <c r="G21" s="126">
        <f>PARAMETROS!B10</f>
        <v/>
      </c>
      <c r="H21" s="356" t="n"/>
      <c r="I21" s="126">
        <f>C21*D21*E21*G21</f>
        <v/>
      </c>
      <c r="J21" s="126">
        <f>I21</f>
        <v/>
      </c>
      <c r="K21" s="103" t="inlineStr">
        <is>
          <t>kg</t>
        </is>
      </c>
    </row>
    <row r="22" ht="20" customHeight="1">
      <c r="A22" s="103" t="n"/>
      <c r="B22" s="125" t="inlineStr">
        <is>
          <t>TOTAL ACERO 3/8</t>
        </is>
      </c>
      <c r="C22" s="356" t="n"/>
      <c r="D22" s="356" t="n"/>
      <c r="E22" s="356" t="n"/>
      <c r="F22" s="356" t="n"/>
      <c r="G22" s="356" t="n"/>
      <c r="H22" s="356" t="n"/>
      <c r="I22" s="126" t="n"/>
      <c r="J22" s="133">
        <f>J20+J21</f>
        <v/>
      </c>
      <c r="K22" s="134" t="inlineStr">
        <is>
          <t>kg</t>
        </is>
      </c>
    </row>
    <row r="23" ht="20" customHeight="1">
      <c r="A23" s="123" t="n"/>
      <c r="B23" s="122" t="n"/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</row>
  </sheetData>
  <mergeCells count="10">
    <mergeCell ref="D7:H7"/>
    <mergeCell ref="B4:K4"/>
    <mergeCell ref="B7:B8"/>
    <mergeCell ref="A7:A8"/>
    <mergeCell ref="K7:K8"/>
    <mergeCell ref="B2:K2"/>
    <mergeCell ref="J7:J8"/>
    <mergeCell ref="A1:K1"/>
    <mergeCell ref="B3:K3"/>
    <mergeCell ref="B5:K5"/>
  </mergeCells>
  <pageMargins left="0.7" right="0.7" top="0.75" bottom="0.75" header="0.3" footer="0.3"/>
  <pageSetup orientation="landscape" paperSize="9" scale="67" fitToHeight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view="pageBreakPreview" zoomScale="160" zoomScaleNormal="100" zoomScaleSheetLayoutView="160" workbookViewId="0">
      <selection activeCell="B5" sqref="B5"/>
    </sheetView>
  </sheetViews>
  <sheetFormatPr baseColWidth="10" defaultColWidth="9.453125" defaultRowHeight="14"/>
  <cols>
    <col width="34.90625" customWidth="1" style="89" min="1" max="1"/>
    <col width="14.1796875" customWidth="1" style="89" min="2" max="2"/>
    <col width="13.08984375" customWidth="1" style="89" min="3" max="3"/>
    <col width="52.36328125" customWidth="1" style="89" min="4" max="4"/>
    <col width="9.453125" customWidth="1" style="89" min="5" max="16384"/>
  </cols>
  <sheetData>
    <row r="1" ht="10" customHeight="1">
      <c r="A1" s="309" t="inlineStr">
        <is>
          <t>PARÁMETROS  - TAPA DE REGISTRO DE CONCRETO</t>
        </is>
      </c>
    </row>
    <row r="2" ht="10" customHeight="1">
      <c r="A2" s="119" t="n"/>
      <c r="B2" s="119" t="n"/>
      <c r="C2" s="119" t="n"/>
      <c r="D2" s="119" t="n"/>
    </row>
    <row r="3" ht="10" customHeight="1">
      <c r="A3" s="120" t="inlineStr">
        <is>
          <t>Descripción</t>
        </is>
      </c>
      <c r="B3" s="120" t="inlineStr">
        <is>
          <t>Valor</t>
        </is>
      </c>
      <c r="C3" s="120" t="inlineStr">
        <is>
          <t>Unidad</t>
        </is>
      </c>
      <c r="D3" s="120" t="inlineStr">
        <is>
          <t>Criterio</t>
        </is>
      </c>
    </row>
    <row r="4" ht="15.5" customHeight="1">
      <c r="A4" s="119" t="inlineStr">
        <is>
          <t>Cantidad de tapas</t>
        </is>
      </c>
      <c r="B4" s="359" t="n">
        <v>17</v>
      </c>
      <c r="C4" s="118" t="inlineStr">
        <is>
          <t>und</t>
        </is>
      </c>
      <c r="D4" s="119" t="inlineStr">
        <is>
          <t>Según resumen: 10 tapas</t>
        </is>
      </c>
    </row>
    <row r="5" ht="15.5" customHeight="1">
      <c r="A5" s="119" t="inlineStr">
        <is>
          <t>Largo de tapa</t>
        </is>
      </c>
      <c r="B5" s="359" t="n">
        <v>0.6</v>
      </c>
      <c r="C5" s="118" t="inlineStr">
        <is>
          <t>m</t>
        </is>
      </c>
      <c r="D5" s="119" t="inlineStr">
        <is>
          <t>Según detalle</t>
        </is>
      </c>
    </row>
    <row r="6" ht="15.5" customHeight="1">
      <c r="A6" s="119" t="inlineStr">
        <is>
          <t>Ancho de tapa</t>
        </is>
      </c>
      <c r="B6" s="359" t="n">
        <v>0.6</v>
      </c>
      <c r="C6" s="118" t="inlineStr">
        <is>
          <t>m</t>
        </is>
      </c>
      <c r="D6" s="119" t="inlineStr">
        <is>
          <t>Según detalle</t>
        </is>
      </c>
    </row>
    <row r="7" ht="15.5" customHeight="1">
      <c r="A7" s="119" t="inlineStr">
        <is>
          <t>Espesor de tapa</t>
        </is>
      </c>
      <c r="B7" s="359" t="n">
        <v>0.1</v>
      </c>
      <c r="C7" s="118" t="inlineStr">
        <is>
          <t>m</t>
        </is>
      </c>
      <c r="D7" s="119" t="inlineStr">
        <is>
          <t>Según detalle</t>
        </is>
      </c>
    </row>
    <row r="8" ht="15.5" customHeight="1">
      <c r="A8" s="119" t="inlineStr">
        <is>
          <t>Recubrimiento considerado</t>
        </is>
      </c>
      <c r="B8" s="359" t="n">
        <v>0.025</v>
      </c>
      <c r="C8" s="118" t="inlineStr">
        <is>
          <t>m</t>
        </is>
      </c>
      <c r="D8" s="119" t="inlineStr">
        <is>
          <t>Editable según plano estructural</t>
        </is>
      </c>
    </row>
    <row r="9" ht="15.5" customHeight="1">
      <c r="A9" s="119" t="inlineStr">
        <is>
          <t>Separación de varillas 3/8</t>
        </is>
      </c>
      <c r="B9" s="359" t="n">
        <v>0.15</v>
      </c>
      <c r="C9" s="118" t="inlineStr">
        <is>
          <t>m</t>
        </is>
      </c>
      <c r="D9" s="119" t="inlineStr">
        <is>
          <t>Parrilla simple en ambos sentidos</t>
        </is>
      </c>
    </row>
    <row r="10" ht="15.5" customHeight="1">
      <c r="A10" s="119" t="inlineStr">
        <is>
          <t>Peso varilla 3/8</t>
        </is>
      </c>
      <c r="B10" s="359" t="n">
        <v>0.5600000000000001</v>
      </c>
      <c r="C10" s="118" t="inlineStr">
        <is>
          <t>kg/m</t>
        </is>
      </c>
      <c r="D10" s="119" t="inlineStr">
        <is>
          <t>Peso unitario usado para metrado</t>
        </is>
      </c>
    </row>
    <row r="11" ht="15.5" customHeight="1">
      <c r="A11" s="119" t="inlineStr">
        <is>
          <t>Longitud varilla comercial</t>
        </is>
      </c>
      <c r="B11" s="359" t="n">
        <v>9</v>
      </c>
      <c r="C11" s="118" t="inlineStr">
        <is>
          <t>m</t>
        </is>
      </c>
      <c r="D11" s="119" t="inlineStr">
        <is>
          <t>Solo equivalente de longitud, sin redondeo</t>
        </is>
      </c>
    </row>
    <row r="13" ht="28" customHeight="1">
      <c r="A13" s="309" t="inlineStr">
        <is>
          <t>PARÁMETROS - MOVIMIENTO DE TIERRAS</t>
        </is>
      </c>
    </row>
    <row r="14">
      <c r="A14" s="120" t="inlineStr">
        <is>
          <t>Descripción</t>
        </is>
      </c>
      <c r="B14" s="120" t="inlineStr">
        <is>
          <t>Valor</t>
        </is>
      </c>
      <c r="C14" s="120" t="inlineStr">
        <is>
          <t>Unidad</t>
        </is>
      </c>
      <c r="D14" s="120" t="inlineStr">
        <is>
          <t>Criterio</t>
        </is>
      </c>
    </row>
    <row r="15" ht="28" customHeight="1">
      <c r="A15" s="119" t="inlineStr">
        <is>
          <t>Espesor de solado sumado a excavación y relleno</t>
        </is>
      </c>
      <c r="B15" s="359" t="n">
        <v>0.1</v>
      </c>
      <c r="C15" s="118" t="inlineStr">
        <is>
          <t>m</t>
        </is>
      </c>
      <c r="D15" s="119" t="inlineStr">
        <is>
          <t>Solado e=4" bajo la losa. Poner 0 si la altura ya lo incluye</t>
        </is>
      </c>
    </row>
    <row r="16">
      <c r="A16" s="119" t="inlineStr">
        <is>
          <t>Factor de esponjamiento</t>
        </is>
      </c>
      <c r="B16" s="359" t="n">
        <v>1.2</v>
      </c>
      <c r="C16" s="118" t="inlineStr">
        <is>
          <t>-</t>
        </is>
      </c>
      <c r="D16" s="119" t="inlineStr">
        <is>
          <t>Eliminación = (excavación − relleno) × factor</t>
        </is>
      </c>
    </row>
  </sheetData>
  <mergeCells count="1">
    <mergeCell ref="A1:D1"/>
  </mergeCells>
  <pageMargins left="0.7" right="0.7" top="0.75" bottom="0.75" header="0.3" footer="0.3"/>
  <pageSetup orientation="portrait" paperSize="9" scale="7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E20" sqref="E20"/>
    </sheetView>
  </sheetViews>
  <sheetFormatPr baseColWidth="10" defaultColWidth="9.453125" defaultRowHeight="14"/>
  <cols>
    <col width="16.36328125" customWidth="1" style="89" min="1" max="2"/>
    <col width="9.453125" customWidth="1" style="89" min="3" max="3"/>
    <col width="19.6328125" customWidth="1" style="89" min="4" max="4"/>
    <col width="9.453125" customWidth="1" style="89" min="5" max="5"/>
    <col width="30.54296875" customWidth="1" style="89" min="6" max="6"/>
    <col width="9.453125" customWidth="1" style="89" min="7" max="16384"/>
  </cols>
  <sheetData>
    <row r="1" ht="18.65" customHeight="1">
      <c r="A1" s="310" t="inlineStr">
        <is>
          <t>LISTAS, FACTORES Y PARÁMETROS EDITABLES</t>
        </is>
      </c>
    </row>
    <row r="3">
      <c r="A3" s="90" t="inlineStr">
        <is>
          <t>DIÁMETRO</t>
        </is>
      </c>
      <c r="B3" s="90" t="inlineStr">
        <is>
          <t>FACTOR kg/m</t>
        </is>
      </c>
      <c r="D3" s="90" t="inlineStr">
        <is>
          <t>TIPO DE CUNETA</t>
        </is>
      </c>
      <c r="F3" s="90" t="inlineStr">
        <is>
          <t>CRITERIO DE CONTEO</t>
        </is>
      </c>
    </row>
    <row r="4">
      <c r="A4" s="92" t="inlineStr">
        <is>
          <t>6 mm</t>
        </is>
      </c>
      <c r="B4" s="360" t="n">
        <v>0.222</v>
      </c>
      <c r="D4" s="94" t="inlineStr">
        <is>
          <t>ABIERTA</t>
        </is>
      </c>
      <c r="F4" s="93" t="inlineStr">
        <is>
          <t>TEÓRICO (L/s+1)</t>
        </is>
      </c>
    </row>
    <row r="5">
      <c r="A5" s="92" t="inlineStr">
        <is>
          <t>8 mm</t>
        </is>
      </c>
      <c r="B5" s="360" t="n">
        <v>0.395</v>
      </c>
      <c r="D5" s="94" t="inlineStr">
        <is>
          <t>TAPADA</t>
        </is>
      </c>
      <c r="F5" s="93" t="inlineStr">
        <is>
          <t>ENTERO (redondeo arriba)</t>
        </is>
      </c>
    </row>
    <row r="6">
      <c r="A6" s="92" t="inlineStr">
        <is>
          <t>3/8"</t>
        </is>
      </c>
      <c r="B6" s="360" t="n">
        <v>0.5600000000000001</v>
      </c>
    </row>
    <row r="7">
      <c r="A7" s="92" t="inlineStr">
        <is>
          <t>12 mm</t>
        </is>
      </c>
      <c r="B7" s="360" t="n">
        <v>0.888</v>
      </c>
    </row>
    <row r="8">
      <c r="A8" s="92" t="inlineStr">
        <is>
          <t>1/2"</t>
        </is>
      </c>
      <c r="B8" s="360" t="n">
        <v>0.994</v>
      </c>
    </row>
    <row r="9">
      <c r="A9" s="92" t="inlineStr">
        <is>
          <t>5/8"</t>
        </is>
      </c>
      <c r="B9" s="360" t="n">
        <v>1.552</v>
      </c>
    </row>
    <row r="10">
      <c r="A10" s="92" t="inlineStr">
        <is>
          <t>3/4"</t>
        </is>
      </c>
      <c r="B10" s="360" t="n">
        <v>2.235</v>
      </c>
    </row>
    <row r="11">
      <c r="A11" s="92" t="inlineStr">
        <is>
          <t>1"</t>
        </is>
      </c>
      <c r="B11" s="360" t="n">
        <v>3.973</v>
      </c>
    </row>
    <row r="13">
      <c r="A13" s="311" t="inlineStr">
        <is>
          <t>NOTA</t>
        </is>
      </c>
    </row>
    <row r="14">
      <c r="A14" s="312" t="inlineStr">
        <is>
          <t>Los factores kg/m son editables. Si el proyecto usa otro factor, cámbialo aquí.</t>
        </is>
      </c>
    </row>
    <row r="15">
      <c r="A15" s="312" t="inlineStr">
        <is>
          <t>La opción TEÓRICO mantiene cantidades decimales: Longitud / separación + 1.</t>
        </is>
      </c>
    </row>
    <row r="16">
      <c r="A16" s="312" t="inlineStr">
        <is>
          <t>La opción ENTERO redondea hacia arriba antes de sumar la barra final.</t>
        </is>
      </c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2" customWidth="1" min="3" max="3"/>
    <col width="8" customWidth="1" min="4" max="4"/>
    <col width="70" customWidth="1" min="5" max="5"/>
  </cols>
  <sheetData>
    <row r="1" ht="27" customHeight="1">
      <c r="A1" s="361" t="inlineStr">
        <is>
          <t>COLECTOR PLUVIAL FRONTAL - PARAMETROS DE METRADO</t>
        </is>
      </c>
      <c r="B1" s="362" t="n"/>
      <c r="C1" s="362" t="n"/>
      <c r="D1" s="362" t="n"/>
      <c r="E1" s="362" t="n"/>
      <c r="F1" s="362" t="n"/>
    </row>
    <row r="2" ht="25" customHeight="1">
      <c r="A2" s="363" t="inlineStr">
        <is>
          <t>ENTIDAD</t>
        </is>
      </c>
      <c r="B2" s="364" t="n"/>
      <c r="C2" s="365">
        <f>+RESUMEN!B4</f>
        <v/>
      </c>
      <c r="D2" s="364" t="n"/>
      <c r="E2" s="364" t="n"/>
      <c r="F2" s="364" t="n"/>
    </row>
    <row r="3" ht="59" customHeight="1">
      <c r="A3" s="363" t="inlineStr">
        <is>
          <t>PROYECTO</t>
        </is>
      </c>
      <c r="B3" s="364" t="n"/>
      <c r="C3" s="365">
        <f>+RESUMEN!B5</f>
        <v/>
      </c>
      <c r="D3" s="364" t="n"/>
      <c r="E3" s="364" t="n"/>
      <c r="F3" s="364" t="n"/>
    </row>
    <row r="4" ht="25" customHeight="1">
      <c r="A4" s="363" t="inlineStr">
        <is>
          <t>UBICACIÓN</t>
        </is>
      </c>
      <c r="B4" s="364" t="n"/>
      <c r="C4" s="365">
        <f>+RESUMEN!B6</f>
        <v/>
      </c>
      <c r="D4" s="364" t="n"/>
      <c r="E4" s="364" t="n"/>
      <c r="F4" s="364" t="n"/>
    </row>
    <row r="5" ht="25" customHeight="1">
      <c r="A5" s="363" t="inlineStr">
        <is>
          <t>FECHA</t>
        </is>
      </c>
      <c r="B5" s="364" t="n"/>
      <c r="C5" s="366">
        <f>+RESUMEN!B7</f>
        <v/>
      </c>
      <c r="D5" s="364" t="n"/>
      <c r="E5" s="364" t="n"/>
      <c r="F5" s="364" t="n"/>
    </row>
    <row r="7" ht="48" customHeight="1">
      <c r="A7" s="367" t="inlineStr">
        <is>
          <t>Tramo Hogar de Refugio Temporal (CUI 2675514), empalme con el colector de CAR Mujeres (CUI 2717013). Valores tomados de los planos DP-01 a DP-10 y DA-01 a DA-03 y de la memoria de calculo del colector. Celda amarilla = dato; verde = formula.</t>
        </is>
      </c>
      <c r="B7" s="364" t="n"/>
      <c r="C7" s="364" t="n"/>
      <c r="D7" s="364" t="n"/>
      <c r="E7" s="364" t="n"/>
      <c r="F7" s="364" t="n"/>
    </row>
    <row r="9" ht="30" customHeight="1">
      <c r="A9" s="368" t="inlineStr">
        <is>
          <t>N°</t>
        </is>
      </c>
      <c r="B9" s="368" t="inlineStr">
        <is>
          <t>PARAMETRO</t>
        </is>
      </c>
      <c r="C9" s="368" t="inlineStr">
        <is>
          <t>VALOR</t>
        </is>
      </c>
      <c r="D9" s="368" t="inlineStr">
        <is>
          <t>UND</t>
        </is>
      </c>
      <c r="E9" s="368" t="inlineStr">
        <is>
          <t>SUSTENTO (lamina / norma / criterio)</t>
        </is>
      </c>
    </row>
    <row r="10">
      <c r="A10" s="369" t="n">
        <v>1</v>
      </c>
      <c r="B10" s="370" t="inlineStr">
        <is>
          <t>Ancho interior del colector b</t>
        </is>
      </c>
      <c r="C10" s="371" t="n">
        <v>0.8</v>
      </c>
      <c r="D10" s="372" t="inlineStr">
        <is>
          <t>m</t>
        </is>
      </c>
      <c r="E10" s="373" t="inlineStr">
        <is>
          <t>Lamina DP-04 (secciones); memoria de calculo, hoja DATOS</t>
        </is>
      </c>
    </row>
    <row r="11">
      <c r="A11" s="369" t="n">
        <v>2</v>
      </c>
      <c r="B11" s="370" t="inlineStr">
        <is>
          <t>Espesor de muros</t>
        </is>
      </c>
      <c r="C11" s="371" t="n">
        <v>0.15</v>
      </c>
      <c r="D11" s="372" t="inlineStr">
        <is>
          <t>m</t>
        </is>
      </c>
      <c r="E11" s="373" t="inlineStr">
        <is>
          <t>Lamina DP-04; memoria, hoja ESTRUCTURAL</t>
        </is>
      </c>
    </row>
    <row r="12">
      <c r="A12" s="369" t="n">
        <v>3</v>
      </c>
      <c r="B12" s="370" t="inlineStr">
        <is>
          <t>Espesor de losa de fondo</t>
        </is>
      </c>
      <c r="C12" s="371" t="n">
        <v>0.15</v>
      </c>
      <c r="D12" s="372" t="inlineStr">
        <is>
          <t>m</t>
        </is>
      </c>
      <c r="E12" s="373" t="inlineStr">
        <is>
          <t>Lamina DP-04</t>
        </is>
      </c>
    </row>
    <row r="13">
      <c r="A13" s="369" t="n">
        <v>4</v>
      </c>
      <c r="B13" s="370" t="inlineStr">
        <is>
          <t>Espesor de losa superior (tramo normal y cruce de motos)</t>
        </is>
      </c>
      <c r="C13" s="371" t="n">
        <v>0.1</v>
      </c>
      <c r="D13" s="372" t="inlineStr">
        <is>
          <t>m</t>
        </is>
      </c>
      <c r="E13" s="373" t="inlineStr">
        <is>
          <t>Lamina DP-04 (secciones A y B)</t>
        </is>
      </c>
    </row>
    <row r="14">
      <c r="A14" s="369" t="n">
        <v>5</v>
      </c>
      <c r="B14" s="370" t="inlineStr">
        <is>
          <t>Espesor de losa superior (cruce de camiones)</t>
        </is>
      </c>
      <c r="C14" s="371" t="n">
        <v>0.25</v>
      </c>
      <c r="D14" s="372" t="inlineStr">
        <is>
          <t>m</t>
        </is>
      </c>
      <c r="E14" s="373" t="inlineStr">
        <is>
          <t>Lamina DP-04 (seccion C); memoria, hoja ESTRUCTURAL (carga HL-93)</t>
        </is>
      </c>
    </row>
    <row r="15">
      <c r="A15" s="369" t="n">
        <v>6</v>
      </c>
      <c r="B15" s="370" t="inlineStr">
        <is>
          <t>Espesor de solado</t>
        </is>
      </c>
      <c r="C15" s="371" t="n">
        <v>0.05</v>
      </c>
      <c r="D15" s="372" t="inlineStr">
        <is>
          <t>m</t>
        </is>
      </c>
      <c r="E15" s="373" t="inlineStr">
        <is>
          <t>Lamina DP-04 y DA-02</t>
        </is>
      </c>
    </row>
    <row r="16">
      <c r="A16" s="369" t="n">
        <v>7</v>
      </c>
      <c r="B16" s="370" t="inlineStr">
        <is>
          <t>Nivel de piso terminado del frente (cara superior de la losa)</t>
        </is>
      </c>
      <c r="C16" s="371" t="n">
        <v>260.6</v>
      </c>
      <c r="D16" s="372" t="inlineStr">
        <is>
          <t>msnm</t>
        </is>
      </c>
      <c r="E16" s="373" t="inlineStr">
        <is>
          <t>Lamina DP-02 (perfil) y plano de arquitectura</t>
        </is>
      </c>
    </row>
    <row r="17">
      <c r="A17" s="369" t="n">
        <v>8</v>
      </c>
      <c r="B17" s="370" t="inlineStr">
        <is>
          <t>Sobreancho de excavacion a cada lado del colector</t>
        </is>
      </c>
      <c r="C17" s="371" t="n">
        <v>0.25</v>
      </c>
      <c r="D17" s="372" t="inlineStr">
        <is>
          <t>m</t>
        </is>
      </c>
      <c r="E17" s="373" t="inlineStr">
        <is>
          <t>Lamina DA-01: zanja de 1.60 m (1.10 + 2 x 0.25)</t>
        </is>
      </c>
    </row>
    <row r="18">
      <c r="A18" s="369" t="n">
        <v>9</v>
      </c>
      <c r="B18" s="370" t="inlineStr">
        <is>
          <t>Franja de relleno de nivelacion del retiro, lado via</t>
        </is>
      </c>
      <c r="C18" s="371" t="n">
        <v>1</v>
      </c>
      <c r="D18" s="372" t="inlineStr">
        <is>
          <t>m</t>
        </is>
      </c>
      <c r="E18" s="373" t="inlineStr">
        <is>
          <t>Lamina DA-01, nota 2</t>
        </is>
      </c>
    </row>
    <row r="19">
      <c r="A19" s="369" t="n">
        <v>10</v>
      </c>
      <c r="B19" s="370" t="inlineStr">
        <is>
          <t>Recubrimiento del acero</t>
        </is>
      </c>
      <c r="C19" s="371" t="n">
        <v>0.04</v>
      </c>
      <c r="D19" s="372" t="inlineStr">
        <is>
          <t>m</t>
        </is>
      </c>
      <c r="E19" s="373" t="inlineStr">
        <is>
          <t>Norma E.060, tabla 7.7.1 (concreto en contacto con el suelo)</t>
        </is>
      </c>
    </row>
    <row r="20">
      <c r="A20" s="369" t="n">
        <v>11</v>
      </c>
      <c r="B20" s="370" t="inlineStr">
        <is>
          <t>Peso de la barra de 3/8"</t>
        </is>
      </c>
      <c r="C20" s="371" t="n">
        <v>0.5600000000000001</v>
      </c>
      <c r="D20" s="372" t="inlineStr">
        <is>
          <t>kg/m</t>
        </is>
      </c>
      <c r="E20" s="373" t="inlineStr">
        <is>
          <t>Igual a PARAMETROS!B10 de esta planilla</t>
        </is>
      </c>
    </row>
    <row r="21">
      <c r="A21" s="369" t="n">
        <v>12</v>
      </c>
      <c r="B21" s="370" t="inlineStr">
        <is>
          <t>Peso de la barra de 1/2"</t>
        </is>
      </c>
      <c r="C21" s="371" t="n">
        <v>0.994</v>
      </c>
      <c r="D21" s="372" t="inlineStr">
        <is>
          <t>kg/m</t>
        </is>
      </c>
      <c r="E21" s="373" t="inlineStr">
        <is>
          <t>Catalogo del fabricante (0.994 kg/m)</t>
        </is>
      </c>
    </row>
    <row r="22">
      <c r="A22" s="369" t="n">
        <v>13</v>
      </c>
      <c r="B22" s="370" t="inlineStr">
        <is>
          <t>Traslape de barras longitudinales</t>
        </is>
      </c>
      <c r="C22" s="371" t="n">
        <v>0.4</v>
      </c>
      <c r="D22" s="372" t="inlineStr">
        <is>
          <t>m</t>
        </is>
      </c>
      <c r="E22" s="373" t="inlineStr">
        <is>
          <t>Norma E.060, 12.15 (clase B, 3/8"): 0.40 m</t>
        </is>
      </c>
    </row>
    <row r="23">
      <c r="A23" s="369" t="n">
        <v>14</v>
      </c>
      <c r="B23" s="370" t="inlineStr">
        <is>
          <t>Longitud comercial de barra</t>
        </is>
      </c>
      <c r="C23" s="371" t="n">
        <v>9</v>
      </c>
      <c r="D23" s="372" t="inlineStr">
        <is>
          <t>m</t>
        </is>
      </c>
      <c r="E23" s="373" t="inlineStr">
        <is>
          <t>Igual a PARAMETROS!B11 de esta planilla</t>
        </is>
      </c>
    </row>
    <row r="24">
      <c r="A24" s="369" t="n">
        <v>15</v>
      </c>
      <c r="B24" s="370" t="inlineStr">
        <is>
          <t>Ganchos de cierre del marco (2 x 0.15)</t>
        </is>
      </c>
      <c r="C24" s="371" t="n">
        <v>0.3</v>
      </c>
      <c r="D24" s="372" t="inlineStr">
        <is>
          <t>m</t>
        </is>
      </c>
      <c r="E24" s="373" t="inlineStr">
        <is>
          <t>Lamina DP-08, cuadro de doblado</t>
        </is>
      </c>
    </row>
    <row r="25">
      <c r="A25" s="369" t="n">
        <v>16</v>
      </c>
      <c r="B25" s="370" t="inlineStr">
        <is>
          <t>Factor de esponjamiento</t>
        </is>
      </c>
      <c r="C25" s="374">
        <f>PARAMETROS!$B$16</f>
        <v/>
      </c>
      <c r="D25" s="372" t="inlineStr">
        <is>
          <t>-</t>
        </is>
      </c>
      <c r="E25" s="373" t="inlineStr">
        <is>
          <t>Igual a PARAMETROS!B16 de esta planilla</t>
        </is>
      </c>
    </row>
    <row r="26">
      <c r="A26" s="369" t="n">
        <v>17</v>
      </c>
      <c r="B26" s="370" t="inlineStr">
        <is>
          <t>Espaciamiento de marcos en tramo normal</t>
        </is>
      </c>
      <c r="C26" s="371" t="n">
        <v>0.2</v>
      </c>
      <c r="D26" s="372" t="inlineStr">
        <is>
          <t>m</t>
        </is>
      </c>
      <c r="E26" s="373" t="inlineStr">
        <is>
          <t>Lamina DP-04 (seccion A) y DP-08</t>
        </is>
      </c>
    </row>
    <row r="27">
      <c r="A27" s="369" t="n">
        <v>18</v>
      </c>
      <c r="B27" s="370" t="inlineStr">
        <is>
          <t>Espaciamiento de marcos en cruces (motos y camiones)</t>
        </is>
      </c>
      <c r="C27" s="371" t="n">
        <v>0.15</v>
      </c>
      <c r="D27" s="372" t="inlineStr">
        <is>
          <t>m</t>
        </is>
      </c>
      <c r="E27" s="373" t="inlineStr">
        <is>
          <t>Lamina DP-04 (secciones B y C) y DP-08</t>
        </is>
      </c>
    </row>
    <row r="28">
      <c r="A28" s="369" t="n">
        <v>19</v>
      </c>
      <c r="B28" s="370" t="inlineStr">
        <is>
          <t>Espaciamiento de barras longitudinales (normal y motos)</t>
        </is>
      </c>
      <c r="C28" s="371" t="n">
        <v>0.25</v>
      </c>
      <c r="D28" s="372" t="inlineStr">
        <is>
          <t>m</t>
        </is>
      </c>
      <c r="E28" s="373" t="inlineStr">
        <is>
          <t>Lamina DP-04 y DP-08</t>
        </is>
      </c>
    </row>
    <row r="29">
      <c r="A29" s="369" t="n">
        <v>20</v>
      </c>
      <c r="B29" s="370" t="inlineStr">
        <is>
          <t>Espaciamiento de barras longitudinales (camiones)</t>
        </is>
      </c>
      <c r="C29" s="371" t="n">
        <v>0.2</v>
      </c>
      <c r="D29" s="372" t="inlineStr">
        <is>
          <t>m</t>
        </is>
      </c>
      <c r="E29" s="373" t="inlineStr">
        <is>
          <t>Lamina DP-04 (seccion C) y DP-08</t>
        </is>
      </c>
    </row>
    <row r="30">
      <c r="A30" s="369" t="n">
        <v>21</v>
      </c>
      <c r="B30" s="370" t="inlineStr">
        <is>
          <t>Malla de las cajas: espaciamiento 3/8" ambas caras</t>
        </is>
      </c>
      <c r="C30" s="371" t="n">
        <v>0.2</v>
      </c>
      <c r="D30" s="372" t="inlineStr">
        <is>
          <t>m</t>
        </is>
      </c>
      <c r="E30" s="373" t="inlineStr">
        <is>
          <t>Lamina DP-07</t>
        </is>
      </c>
    </row>
    <row r="31">
      <c r="A31" s="369" t="n">
        <v>22</v>
      </c>
      <c r="B31" s="370" t="inlineStr">
        <is>
          <t>Factor por traslapes y ganchos de la malla</t>
        </is>
      </c>
      <c r="C31" s="371" t="n">
        <v>1.1</v>
      </c>
      <c r="D31" s="372" t="inlineStr">
        <is>
          <t>-</t>
        </is>
      </c>
      <c r="E31" s="373" t="inlineStr">
        <is>
          <t>10 % (traslape 0.40 cada 9.00 m y ganchos de esquina 0.40)</t>
        </is>
      </c>
    </row>
    <row r="32">
      <c r="A32" s="369" t="n">
        <v>23</v>
      </c>
      <c r="B32" s="370" t="inlineStr">
        <is>
          <t>Numero de registros de limpieza con tapa</t>
        </is>
      </c>
      <c r="C32" s="371" t="n">
        <v>10</v>
      </c>
      <c r="D32" s="372" t="inlineStr">
        <is>
          <t>und</t>
        </is>
      </c>
      <c r="E32" s="373" t="inlineStr">
        <is>
          <t>Lamina DP-01 (RS-01 a RS-07) + 1 en CL + 2 en CC = 10; hoja COLECTOR REGISTROS Y TAPAS</t>
        </is>
      </c>
    </row>
    <row r="33">
      <c r="A33" s="369" t="n">
        <v>24</v>
      </c>
      <c r="B33" s="370" t="inlineStr">
        <is>
          <t>Lado de la tapa de concreto</t>
        </is>
      </c>
      <c r="C33" s="371" t="n">
        <v>0.68</v>
      </c>
      <c r="D33" s="372" t="inlineStr">
        <is>
          <t>m</t>
        </is>
      </c>
      <c r="E33" s="373" t="inlineStr">
        <is>
          <t>Lamina DP-06B</t>
        </is>
      </c>
    </row>
    <row r="34">
      <c r="A34" s="369" t="n">
        <v>25</v>
      </c>
      <c r="B34" s="370" t="inlineStr">
        <is>
          <t>Espesor de la tapa</t>
        </is>
      </c>
      <c r="C34" s="371" t="n">
        <v>0.08</v>
      </c>
      <c r="D34" s="372" t="inlineStr">
        <is>
          <t>m</t>
        </is>
      </c>
      <c r="E34" s="373" t="inlineStr">
        <is>
          <t>Lamina DP-06B</t>
        </is>
      </c>
    </row>
    <row r="35">
      <c r="A35" s="369" t="n">
        <v>26</v>
      </c>
      <c r="B35" s="370" t="inlineStr">
        <is>
          <t>Lado de la abertura en la losa (luz del contramarco)</t>
        </is>
      </c>
      <c r="C35" s="371" t="n">
        <v>0.7</v>
      </c>
      <c r="D35" s="372" t="inlineStr">
        <is>
          <t>m</t>
        </is>
      </c>
      <c r="E35" s="373" t="inlineStr">
        <is>
          <t>Lamina DP-06B</t>
        </is>
      </c>
    </row>
    <row r="36">
      <c r="A36" s="369" t="n">
        <v>27</v>
      </c>
      <c r="B36" s="370" t="inlineStr">
        <is>
          <t>Perimetro del contramarco L 2"x2"x3/16" (4 x 0.70)</t>
        </is>
      </c>
      <c r="C36" s="371" t="n">
        <v>2.8</v>
      </c>
      <c r="D36" s="372" t="inlineStr">
        <is>
          <t>m</t>
        </is>
      </c>
      <c r="E36" s="373" t="inlineStr">
        <is>
          <t>Lamina DP-06B</t>
        </is>
      </c>
    </row>
    <row r="37">
      <c r="A37" s="369" t="n">
        <v>28</v>
      </c>
      <c r="B37" s="370" t="inlineStr">
        <is>
          <t>Perimetro del marco de tapa L 1 1/2"x1 1/2"x1/8" (4 x 0.68)</t>
        </is>
      </c>
      <c r="C37" s="371" t="n">
        <v>2.72</v>
      </c>
      <c r="D37" s="372" t="inlineStr">
        <is>
          <t>m</t>
        </is>
      </c>
      <c r="E37" s="373" t="inlineStr">
        <is>
          <t>Lamina DP-06B</t>
        </is>
      </c>
    </row>
    <row r="38">
      <c r="A38" s="369" t="n">
        <v>29</v>
      </c>
      <c r="B38" s="370" t="inlineStr">
        <is>
          <t>Peso del angulo L 2"x2"x3/16"</t>
        </is>
      </c>
      <c r="C38" s="371" t="n">
        <v>3.63</v>
      </c>
      <c r="D38" s="372" t="inlineStr">
        <is>
          <t>kg/m</t>
        </is>
      </c>
      <c r="E38" s="373" t="inlineStr">
        <is>
          <t>Catalogo del fabricante</t>
        </is>
      </c>
    </row>
    <row r="39">
      <c r="A39" s="369" t="n">
        <v>30</v>
      </c>
      <c r="B39" s="370" t="inlineStr">
        <is>
          <t>Peso del angulo L 1 1/2"x1 1/2"x1/8"</t>
        </is>
      </c>
      <c r="C39" s="371" t="n">
        <v>1.83</v>
      </c>
      <c r="D39" s="372" t="inlineStr">
        <is>
          <t>kg/m</t>
        </is>
      </c>
      <c r="E39" s="373" t="inlineStr">
        <is>
          <t>Catalogo del fabricante</t>
        </is>
      </c>
    </row>
    <row r="40">
      <c r="A40" s="369" t="n">
        <v>31</v>
      </c>
      <c r="B40" s="370" t="inlineStr">
        <is>
          <t>Desarrollo pintado del angulo 2"x2" (4 caras)</t>
        </is>
      </c>
      <c r="C40" s="371" t="n">
        <v>0.203</v>
      </c>
      <c r="D40" s="372" t="inlineStr">
        <is>
          <t>m2/m</t>
        </is>
      </c>
      <c r="E40" s="373" t="inlineStr">
        <is>
          <t>4 x 0.0508 m</t>
        </is>
      </c>
    </row>
    <row r="41">
      <c r="A41" s="369" t="n">
        <v>32</v>
      </c>
      <c r="B41" s="370" t="inlineStr">
        <is>
          <t>Desarrollo pintado del angulo 1 1/2"x1 1/2" (4 caras)</t>
        </is>
      </c>
      <c r="C41" s="371" t="n">
        <v>0.152</v>
      </c>
      <c r="D41" s="372" t="inlineStr">
        <is>
          <t>m2/m</t>
        </is>
      </c>
      <c r="E41" s="373" t="inlineStr">
        <is>
          <t>4 x 0.0381 m</t>
        </is>
      </c>
    </row>
    <row r="42">
      <c r="A42" s="369" t="n">
        <v>33</v>
      </c>
      <c r="B42" s="370" t="inlineStr">
        <is>
          <t>Borde engrosado de la abertura: perimetro medio</t>
        </is>
      </c>
      <c r="C42" s="371" t="n">
        <v>3</v>
      </c>
      <c r="D42" s="372" t="inlineStr">
        <is>
          <t>m</t>
        </is>
      </c>
      <c r="E42" s="373" t="inlineStr">
        <is>
          <t>Lamina DP-06B (4 x 0.75)</t>
        </is>
      </c>
    </row>
    <row r="43">
      <c r="A43" s="369" t="n">
        <v>34</v>
      </c>
      <c r="B43" s="370" t="inlineStr">
        <is>
          <t>Borde engrosado: seccion (0.15 x 0.10)</t>
        </is>
      </c>
      <c r="C43" s="371" t="n">
        <v>0.015</v>
      </c>
      <c r="D43" s="372" t="inlineStr">
        <is>
          <t>m2</t>
        </is>
      </c>
      <c r="E43" s="373" t="inlineStr">
        <is>
          <t>Lamina DP-06B</t>
        </is>
      </c>
    </row>
    <row r="44">
      <c r="A44" s="369" t="n">
        <v>35</v>
      </c>
      <c r="B44" s="370" t="inlineStr">
        <is>
          <t>Caja de llegada CL: largo interior</t>
        </is>
      </c>
      <c r="C44" s="371" t="n">
        <v>1.5</v>
      </c>
      <c r="D44" s="372" t="inlineStr">
        <is>
          <t>m</t>
        </is>
      </c>
      <c r="E44" s="373" t="inlineStr">
        <is>
          <t>Lamina DP-07</t>
        </is>
      </c>
    </row>
    <row r="45">
      <c r="A45" s="369" t="n">
        <v>36</v>
      </c>
      <c r="B45" s="370" t="inlineStr">
        <is>
          <t>Caja de llegada CL: ancho interior</t>
        </is>
      </c>
      <c r="C45" s="371" t="n">
        <v>1</v>
      </c>
      <c r="D45" s="372" t="inlineStr">
        <is>
          <t>m</t>
        </is>
      </c>
      <c r="E45" s="373" t="inlineStr">
        <is>
          <t>Lamina DP-07</t>
        </is>
      </c>
    </row>
    <row r="46">
      <c r="A46" s="369" t="n">
        <v>37</v>
      </c>
      <c r="B46" s="370" t="inlineStr">
        <is>
          <t>Caja de llegada CL: profundidad de la poza bajo el fondo del colector</t>
        </is>
      </c>
      <c r="C46" s="371" t="n">
        <v>0.3</v>
      </c>
      <c r="D46" s="372" t="inlineStr">
        <is>
          <t>m</t>
        </is>
      </c>
      <c r="E46" s="373" t="inlineStr">
        <is>
          <t>Lamina DP-07</t>
        </is>
      </c>
    </row>
    <row r="47">
      <c r="A47" s="369" t="n">
        <v>38</v>
      </c>
      <c r="B47" s="370" t="inlineStr">
        <is>
          <t>Cota de fondo del colector en el arranque (0+000)</t>
        </is>
      </c>
      <c r="C47" s="371" t="n">
        <v>259.1</v>
      </c>
      <c r="D47" s="372" t="inlineStr">
        <is>
          <t>msnm</t>
        </is>
      </c>
      <c r="E47" s="373" t="inlineStr">
        <is>
          <t>Lamina DP-02; memoria, hoja PERFIL_FLUJO</t>
        </is>
      </c>
    </row>
    <row r="48">
      <c r="A48" s="369" t="n">
        <v>39</v>
      </c>
      <c r="B48" s="370" t="inlineStr">
        <is>
          <t>Caja de llegada CL: ancho de la ventana de llegada del colector CAR Varones</t>
        </is>
      </c>
      <c r="C48" s="371" t="n">
        <v>0.8</v>
      </c>
      <c r="D48" s="372" t="inlineStr">
        <is>
          <t>m</t>
        </is>
      </c>
      <c r="E48" s="373" t="inlineStr">
        <is>
          <t>Lamina DP-07 (corte)</t>
        </is>
      </c>
    </row>
    <row r="49">
      <c r="A49" s="369" t="n">
        <v>40</v>
      </c>
      <c r="B49" s="370" t="inlineStr">
        <is>
          <t>Caja de caida CC: largo interior de la poza</t>
        </is>
      </c>
      <c r="C49" s="371" t="n">
        <v>3.5</v>
      </c>
      <c r="D49" s="372" t="inlineStr">
        <is>
          <t>m</t>
        </is>
      </c>
      <c r="E49" s="373" t="inlineStr">
        <is>
          <t>Lamina DP-07</t>
        </is>
      </c>
    </row>
    <row r="50">
      <c r="A50" s="369" t="n">
        <v>41</v>
      </c>
      <c r="B50" s="370" t="inlineStr">
        <is>
          <t>Caja de caida CC: ancho interior</t>
        </is>
      </c>
      <c r="C50" s="371" t="n">
        <v>1.5</v>
      </c>
      <c r="D50" s="372" t="inlineStr">
        <is>
          <t>m</t>
        </is>
      </c>
      <c r="E50" s="373" t="inlineStr">
        <is>
          <t>Lamina DP-07</t>
        </is>
      </c>
    </row>
    <row r="51">
      <c r="A51" s="369" t="n">
        <v>42</v>
      </c>
      <c r="B51" s="370" t="inlineStr">
        <is>
          <t>Caja de caida CC: profundidad de la poza bajo el fondo del receptor R-01</t>
        </is>
      </c>
      <c r="C51" s="371" t="n">
        <v>0.4</v>
      </c>
      <c r="D51" s="372" t="inlineStr">
        <is>
          <t>m</t>
        </is>
      </c>
      <c r="E51" s="373" t="inlineStr">
        <is>
          <t>Lamina DP-07</t>
        </is>
      </c>
    </row>
    <row r="52">
      <c r="A52" s="369" t="n">
        <v>43</v>
      </c>
      <c r="B52" s="370" t="inlineStr">
        <is>
          <t>Cota de fondo del receptor R-01 (CAR Mujeres, CUI 2717013)</t>
        </is>
      </c>
      <c r="C52" s="371" t="n">
        <v>258.72</v>
      </c>
      <c r="D52" s="372" t="inlineStr">
        <is>
          <t>msnm</t>
        </is>
      </c>
      <c r="E52" s="373" t="inlineStr">
        <is>
          <t>Memoria del colector CAR Mujeres</t>
        </is>
      </c>
    </row>
    <row r="53">
      <c r="A53" s="369" t="n">
        <v>44</v>
      </c>
      <c r="B53" s="370" t="inlineStr">
        <is>
          <t>Nivel de agua en el receptor R-01</t>
        </is>
      </c>
      <c r="C53" s="371" t="n">
        <v>259.062</v>
      </c>
      <c r="D53" s="372" t="inlineStr">
        <is>
          <t>msnm</t>
        </is>
      </c>
      <c r="E53" s="373" t="inlineStr">
        <is>
          <t>Memoria del colector CAR Mujeres</t>
        </is>
      </c>
    </row>
    <row r="54">
      <c r="A54" s="369" t="n">
        <v>45</v>
      </c>
      <c r="B54" s="370" t="inlineStr">
        <is>
          <t>Cota de fondo del colector en la caida (0+069.89)</t>
        </is>
      </c>
      <c r="C54" s="371" t="n">
        <v>258.89</v>
      </c>
      <c r="D54" s="372" t="inlineStr">
        <is>
          <t>msnm</t>
        </is>
      </c>
      <c r="E54" s="373" t="inlineStr">
        <is>
          <t>Lamina DP-02; memoria, hoja PERFIL_FLUJO</t>
        </is>
      </c>
    </row>
    <row r="55">
      <c r="A55" s="369" t="n">
        <v>46</v>
      </c>
      <c r="B55" s="370" t="inlineStr">
        <is>
          <t>Caja de caida CC: ancho de la ventana de salida al receptor</t>
        </is>
      </c>
      <c r="C55" s="371" t="n">
        <v>1.5</v>
      </c>
      <c r="D55" s="372" t="inlineStr">
        <is>
          <t>m</t>
        </is>
      </c>
      <c r="E55" s="373" t="inlineStr">
        <is>
          <t>Lamina DP-07 (corte)</t>
        </is>
      </c>
    </row>
    <row r="56">
      <c r="A56" s="369" t="n">
        <v>47</v>
      </c>
      <c r="B56" s="370" t="inlineStr">
        <is>
          <t>Umbral de la caja de caida: ancho</t>
        </is>
      </c>
      <c r="C56" s="371" t="n">
        <v>0.25</v>
      </c>
      <c r="D56" s="372" t="inlineStr">
        <is>
          <t>m</t>
        </is>
      </c>
      <c r="E56" s="373" t="inlineStr">
        <is>
          <t>Lamina DP-07</t>
        </is>
      </c>
    </row>
    <row r="57">
      <c r="A57" s="369" t="n">
        <v>48</v>
      </c>
      <c r="B57" s="370" t="inlineStr">
        <is>
          <t>Umbral de la caja de caida: alto</t>
        </is>
      </c>
      <c r="C57" s="371" t="n">
        <v>0.4</v>
      </c>
      <c r="D57" s="372" t="inlineStr">
        <is>
          <t>m</t>
        </is>
      </c>
      <c r="E57" s="373" t="inlineStr">
        <is>
          <t>Lamina DP-07</t>
        </is>
      </c>
    </row>
    <row r="58">
      <c r="A58" s="369" t="n">
        <v>49</v>
      </c>
      <c r="B58" s="370" t="inlineStr">
        <is>
          <t>Espaciamiento de juntas de dilatacion</t>
        </is>
      </c>
      <c r="C58" s="371" t="n">
        <v>4</v>
      </c>
      <c r="D58" s="372" t="inlineStr">
        <is>
          <t>m</t>
        </is>
      </c>
      <c r="E58" s="373" t="inlineStr">
        <is>
          <t>Lamina DP-01, nota 5; DP-03</t>
        </is>
      </c>
    </row>
    <row r="59">
      <c r="A59" s="369" t="n">
        <v>50</v>
      </c>
      <c r="B59" s="370" t="inlineStr">
        <is>
          <t>Altura interior maxima del colector (para el perimetro de la junta)</t>
        </is>
      </c>
      <c r="C59" s="371" t="n">
        <v>1.61</v>
      </c>
      <c r="D59" s="372" t="inlineStr">
        <is>
          <t>m</t>
        </is>
      </c>
      <c r="E59" s="373" t="inlineStr">
        <is>
          <t>Lamina DP-02 (perfil)</t>
        </is>
      </c>
    </row>
    <row r="60">
      <c r="A60" s="369" t="n">
        <v>51</v>
      </c>
      <c r="B60" s="370" t="inlineStr">
        <is>
          <t>Progresiva de la caida al receptor (fin del colector)</t>
        </is>
      </c>
      <c r="C60" s="371" t="n">
        <v>69.887</v>
      </c>
      <c r="D60" s="372" t="inlineStr">
        <is>
          <t>m</t>
        </is>
      </c>
      <c r="E60" s="373" t="inlineStr">
        <is>
          <t>Lamina DP-01</t>
        </is>
      </c>
    </row>
    <row r="61">
      <c r="A61" s="369" t="n">
        <v>52</v>
      </c>
      <c r="B61" s="370" t="inlineStr">
        <is>
          <t>Progresiva del primer quiebre (fin del tramo pegado al cerco)</t>
        </is>
      </c>
      <c r="C61" s="371" t="n">
        <v>58.805</v>
      </c>
      <c r="D61" s="372" t="inlineStr">
        <is>
          <t>m</t>
        </is>
      </c>
      <c r="E61" s="373" t="inlineStr">
        <is>
          <t>Lamina DP-01</t>
        </is>
      </c>
    </row>
  </sheetData>
  <mergeCells count="10">
    <mergeCell ref="A4:B4"/>
    <mergeCell ref="C5:F5"/>
    <mergeCell ref="A2:B2"/>
    <mergeCell ref="C3:F3"/>
    <mergeCell ref="C4:F4"/>
    <mergeCell ref="A1:F1"/>
    <mergeCell ref="A5:B5"/>
    <mergeCell ref="C2:F2"/>
    <mergeCell ref="A3:B3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3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6" customWidth="1" min="18" max="18"/>
  </cols>
  <sheetData>
    <row r="1" ht="27" customHeight="1">
      <c r="A1" s="361" t="inlineStr">
        <is>
          <t>COLECTOR PLUVIAL FRONTAL - METRADO DE MOVIMIENTO DE TIERRAS</t>
        </is>
      </c>
      <c r="B1" s="362" t="n"/>
      <c r="C1" s="362" t="n"/>
      <c r="D1" s="362" t="n"/>
      <c r="E1" s="362" t="n"/>
      <c r="F1" s="362" t="n"/>
      <c r="G1" s="362" t="n"/>
      <c r="H1" s="362" t="n"/>
      <c r="I1" s="362" t="n"/>
      <c r="J1" s="362" t="n"/>
      <c r="K1" s="362" t="n"/>
      <c r="L1" s="362" t="n"/>
      <c r="M1" s="362" t="n"/>
      <c r="N1" s="362" t="n"/>
      <c r="O1" s="362" t="n"/>
      <c r="P1" s="362" t="n"/>
      <c r="Q1" s="362" t="n"/>
      <c r="R1" s="362" t="n"/>
    </row>
    <row r="2" ht="25" customHeight="1">
      <c r="A2" s="363" t="inlineStr">
        <is>
          <t>ENTIDAD</t>
        </is>
      </c>
      <c r="B2" s="364" t="n"/>
      <c r="C2" s="365">
        <f>+RESUMEN!B4</f>
        <v/>
      </c>
      <c r="D2" s="364" t="n"/>
      <c r="E2" s="364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</row>
    <row r="3" ht="59" customHeight="1">
      <c r="A3" s="363" t="inlineStr">
        <is>
          <t>PROYECTO</t>
        </is>
      </c>
      <c r="B3" s="364" t="n"/>
      <c r="C3" s="365">
        <f>+RESUMEN!B5</f>
        <v/>
      </c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</row>
    <row r="4" ht="25" customHeight="1">
      <c r="A4" s="363" t="inlineStr">
        <is>
          <t>UBICACIÓN</t>
        </is>
      </c>
      <c r="B4" s="364" t="n"/>
      <c r="C4" s="365">
        <f>+RESUMEN!B6</f>
        <v/>
      </c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</row>
    <row r="5" ht="25" customHeight="1">
      <c r="A5" s="363" t="inlineStr">
        <is>
          <t>FECHA</t>
        </is>
      </c>
      <c r="B5" s="364" t="n"/>
      <c r="C5" s="366">
        <f>+RESUMEN!B7</f>
        <v/>
      </c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</row>
    <row r="7" ht="48" customHeight="1">
      <c r="A7" s="367" t="inlineStr">
        <is>
          <t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</row>
    <row r="9" ht="48" customHeight="1">
      <c r="A9" s="368" t="inlineStr">
        <is>
          <t>N°</t>
        </is>
      </c>
      <c r="B9" s="368" t="inlineStr">
        <is>
          <t>TRAMO</t>
        </is>
      </c>
      <c r="C9" s="368" t="inlineStr">
        <is>
          <t>ZONA</t>
        </is>
      </c>
      <c r="D9" s="368" t="inlineStr">
        <is>
          <t>PROG. INICIO</t>
        </is>
      </c>
      <c r="E9" s="368" t="inlineStr">
        <is>
          <t>PROG. FIN</t>
        </is>
      </c>
      <c r="F9" s="368" t="inlineStr">
        <is>
          <t>LONGITUD (m)</t>
        </is>
      </c>
      <c r="G9" s="368" t="inlineStr">
        <is>
          <t>ALTURA INTERIOR h (m)</t>
        </is>
      </c>
      <c r="H9" s="368" t="inlineStr">
        <is>
          <t>e LOSA SUP. (m)</t>
        </is>
      </c>
      <c r="I9" s="368" t="inlineStr">
        <is>
          <t>ANCHO EXT. b + 2e (m)</t>
        </is>
      </c>
      <c r="J9" s="368" t="inlineStr">
        <is>
          <t>ANCHO DE ZANJA (m)</t>
        </is>
      </c>
      <c r="K9" s="368" t="inlineStr">
        <is>
          <t>Hz: TERRENO - FONDO DE SOLADO (m)</t>
        </is>
      </c>
      <c r="L9" s="368" t="inlineStr">
        <is>
          <t>NPT - TERRENO (m)</t>
        </is>
      </c>
      <c r="M9" s="368" t="inlineStr">
        <is>
          <t>LIMPIEZA Y TRAZO (m2)</t>
        </is>
      </c>
      <c r="N9" s="368" t="inlineStr">
        <is>
          <t>EXCAVACION (m3)</t>
        </is>
      </c>
      <c r="O9" s="368" t="inlineStr">
        <is>
          <t>REFINE Y NIVELACION (m2)</t>
        </is>
      </c>
      <c r="P9" s="368" t="inlineStr">
        <is>
          <t>RELLENO LATERAL DE ZANJA (m3)</t>
        </is>
      </c>
      <c r="Q9" s="368" t="inlineStr">
        <is>
          <t>RELLENO FRANJA DE NIVELACION (m3)</t>
        </is>
      </c>
      <c r="R9" s="368" t="inlineStr">
        <is>
          <t>SUSTENTO</t>
        </is>
      </c>
    </row>
    <row r="10" ht="30" customHeight="1">
      <c r="A10" s="369" t="n">
        <v>1</v>
      </c>
      <c r="B10" s="369" t="inlineStr">
        <is>
          <t>tramo normal</t>
        </is>
      </c>
      <c r="C10" s="375" t="inlineStr">
        <is>
          <t>NORMAL</t>
        </is>
      </c>
      <c r="D10" s="369" t="inlineStr">
        <is>
          <t>0+000.00</t>
        </is>
      </c>
      <c r="E10" s="369" t="inlineStr">
        <is>
          <t>0+026.32</t>
        </is>
      </c>
      <c r="F10" s="376" t="n">
        <v>26.32</v>
      </c>
      <c r="G10" s="371" t="n">
        <v>1.439</v>
      </c>
      <c r="H10" s="376" t="n">
        <v>0.1</v>
      </c>
      <c r="I10" s="377">
        <f>'COLECTOR PARAMETROS'!$C$10+2*'COLECTOR PARAMETROS'!$C$11</f>
        <v/>
      </c>
      <c r="J10" s="377">
        <f>I10+2*'COLECTOR PARAMETROS'!$C$17</f>
        <v/>
      </c>
      <c r="K10" s="371" t="n">
        <v>1.395</v>
      </c>
      <c r="L10" s="371" t="n">
        <v>0.345</v>
      </c>
      <c r="M10" s="377">
        <f>J10*F10</f>
        <v/>
      </c>
      <c r="N10" s="377">
        <f>J10*K10*F10</f>
        <v/>
      </c>
      <c r="O10" s="377">
        <f>(I10+0.10)*F10</f>
        <v/>
      </c>
      <c r="P10" s="377">
        <f>2*'COLECTOR PARAMETROS'!$C$17*K10*F10</f>
        <v/>
      </c>
      <c r="Q10" s="377">
        <f>'COLECTOR PARAMETROS'!$C$18*L10*F10</f>
        <v/>
      </c>
      <c r="R10" s="373" t="inlineStr">
        <is>
          <t>DP-01 (planta), DP-02 (perfil: fondo y terreno), DP-04 (seccion), DA-01 (criterio)</t>
        </is>
      </c>
    </row>
    <row r="11" ht="30" customHeight="1">
      <c r="A11" s="369" t="n">
        <v>2</v>
      </c>
      <c r="B11" s="369" t="inlineStr">
        <is>
          <t>cruce de camiones</t>
        </is>
      </c>
      <c r="C11" s="375" t="inlineStr">
        <is>
          <t>CAMION</t>
        </is>
      </c>
      <c r="D11" s="369" t="inlineStr">
        <is>
          <t>0+026.32</t>
        </is>
      </c>
      <c r="E11" s="369" t="inlineStr">
        <is>
          <t>0+031.33</t>
        </is>
      </c>
      <c r="F11" s="376" t="n">
        <v>5.01</v>
      </c>
      <c r="G11" s="371" t="n">
        <v>1.336</v>
      </c>
      <c r="H11" s="376" t="n">
        <v>0.25</v>
      </c>
      <c r="I11" s="377">
        <f>'COLECTOR PARAMETROS'!$C$10+2*'COLECTOR PARAMETROS'!$C$11</f>
        <v/>
      </c>
      <c r="J11" s="377">
        <f>I11+2*'COLECTOR PARAMETROS'!$C$17</f>
        <v/>
      </c>
      <c r="K11" s="371" t="n">
        <v>1.274</v>
      </c>
      <c r="L11" s="371" t="n">
        <v>0.513</v>
      </c>
      <c r="M11" s="377">
        <f>J11*F11</f>
        <v/>
      </c>
      <c r="N11" s="377">
        <f>J11*K11*F11</f>
        <v/>
      </c>
      <c r="O11" s="377">
        <f>(I11+0.10)*F11</f>
        <v/>
      </c>
      <c r="P11" s="377">
        <f>2*'COLECTOR PARAMETROS'!$C$17*K11*F11</f>
        <v/>
      </c>
      <c r="Q11" s="377">
        <f>'COLECTOR PARAMETROS'!$C$18*L11*F11</f>
        <v/>
      </c>
      <c r="R11" s="373" t="inlineStr">
        <is>
          <t>DP-01 (planta), DP-02 (perfil: fondo y terreno), DP-04 (seccion), DA-01 (criterio)</t>
        </is>
      </c>
    </row>
    <row r="12" ht="30" customHeight="1">
      <c r="A12" s="369" t="n">
        <v>3</v>
      </c>
      <c r="B12" s="369" t="inlineStr">
        <is>
          <t>tramo normal</t>
        </is>
      </c>
      <c r="C12" s="375" t="inlineStr">
        <is>
          <t>NORMAL</t>
        </is>
      </c>
      <c r="D12" s="369" t="inlineStr">
        <is>
          <t>0+031.33</t>
        </is>
      </c>
      <c r="E12" s="369" t="inlineStr">
        <is>
          <t>0+039.04</t>
        </is>
      </c>
      <c r="F12" s="376" t="n">
        <v>7.71</v>
      </c>
      <c r="G12" s="371" t="n">
        <v>1.506</v>
      </c>
      <c r="H12" s="376" t="n">
        <v>0.1</v>
      </c>
      <c r="I12" s="377">
        <f>'COLECTOR PARAMETROS'!$C$10+2*'COLECTOR PARAMETROS'!$C$11</f>
        <v/>
      </c>
      <c r="J12" s="377">
        <f>I12+2*'COLECTOR PARAMETROS'!$C$17</f>
        <v/>
      </c>
      <c r="K12" s="371" t="n">
        <v>1.368</v>
      </c>
      <c r="L12" s="371" t="n">
        <v>0.437</v>
      </c>
      <c r="M12" s="377">
        <f>J12*F12</f>
        <v/>
      </c>
      <c r="N12" s="377">
        <f>J12*K12*F12</f>
        <v/>
      </c>
      <c r="O12" s="377">
        <f>(I12+0.10)*F12</f>
        <v/>
      </c>
      <c r="P12" s="377">
        <f>2*'COLECTOR PARAMETROS'!$C$17*K12*F12</f>
        <v/>
      </c>
      <c r="Q12" s="377">
        <f>'COLECTOR PARAMETROS'!$C$18*L12*F12</f>
        <v/>
      </c>
      <c r="R12" s="373" t="inlineStr">
        <is>
          <t>DP-01 (planta), DP-02 (perfil: fondo y terreno), DP-04 (seccion), DA-01 (criterio)</t>
        </is>
      </c>
    </row>
    <row r="13" ht="30" customHeight="1">
      <c r="A13" s="369" t="n">
        <v>4</v>
      </c>
      <c r="B13" s="369" t="inlineStr">
        <is>
          <t>cruce de motos</t>
        </is>
      </c>
      <c r="C13" s="375" t="inlineStr">
        <is>
          <t>MOTOS</t>
        </is>
      </c>
      <c r="D13" s="369" t="inlineStr">
        <is>
          <t>0+039.04</t>
        </is>
      </c>
      <c r="E13" s="369" t="inlineStr">
        <is>
          <t>0+041.04</t>
        </is>
      </c>
      <c r="F13" s="376" t="n">
        <v>2</v>
      </c>
      <c r="G13" s="371" t="n">
        <v>1.52</v>
      </c>
      <c r="H13" s="376" t="n">
        <v>0.1</v>
      </c>
      <c r="I13" s="377">
        <f>'COLECTOR PARAMETROS'!$C$10+2*'COLECTOR PARAMETROS'!$C$11</f>
        <v/>
      </c>
      <c r="J13" s="377">
        <f>I13+2*'COLECTOR PARAMETROS'!$C$17</f>
        <v/>
      </c>
      <c r="K13" s="371" t="n">
        <v>1.605</v>
      </c>
      <c r="L13" s="371" t="n">
        <v>0.215</v>
      </c>
      <c r="M13" s="377">
        <f>J13*F13</f>
        <v/>
      </c>
      <c r="N13" s="377">
        <f>J13*K13*F13</f>
        <v/>
      </c>
      <c r="O13" s="377">
        <f>(I13+0.10)*F13</f>
        <v/>
      </c>
      <c r="P13" s="377">
        <f>2*'COLECTOR PARAMETROS'!$C$17*K13*F13</f>
        <v/>
      </c>
      <c r="Q13" s="377">
        <f>'COLECTOR PARAMETROS'!$C$18*L13*F13</f>
        <v/>
      </c>
      <c r="R13" s="373" t="inlineStr">
        <is>
          <t>DP-01 (planta), DP-02 (perfil: fondo y terreno), DP-04 (seccion), DA-01 (criterio)</t>
        </is>
      </c>
    </row>
    <row r="14" ht="30" customHeight="1">
      <c r="A14" s="369" t="n">
        <v>5</v>
      </c>
      <c r="B14" s="369" t="inlineStr">
        <is>
          <t>tramo normal</t>
        </is>
      </c>
      <c r="C14" s="375" t="inlineStr">
        <is>
          <t>NORMAL</t>
        </is>
      </c>
      <c r="D14" s="369" t="inlineStr">
        <is>
          <t>0+041.04</t>
        </is>
      </c>
      <c r="E14" s="369" t="inlineStr">
        <is>
          <t>0+058.81</t>
        </is>
      </c>
      <c r="F14" s="376" t="n">
        <v>17.77</v>
      </c>
      <c r="G14" s="371" t="n">
        <v>1.55</v>
      </c>
      <c r="H14" s="376" t="n">
        <v>0.1</v>
      </c>
      <c r="I14" s="377">
        <f>'COLECTOR PARAMETROS'!$C$10+2*'COLECTOR PARAMETROS'!$C$11</f>
        <v/>
      </c>
      <c r="J14" s="377">
        <f>I14+2*'COLECTOR PARAMETROS'!$C$17</f>
        <v/>
      </c>
      <c r="K14" s="371" t="n">
        <v>1.155</v>
      </c>
      <c r="L14" s="371" t="n">
        <v>0.695</v>
      </c>
      <c r="M14" s="377">
        <f>J14*F14</f>
        <v/>
      </c>
      <c r="N14" s="377">
        <f>J14*K14*F14</f>
        <v/>
      </c>
      <c r="O14" s="377">
        <f>(I14+0.10)*F14</f>
        <v/>
      </c>
      <c r="P14" s="377">
        <f>2*'COLECTOR PARAMETROS'!$C$17*K14*F14</f>
        <v/>
      </c>
      <c r="Q14" s="377">
        <f>'COLECTOR PARAMETROS'!$C$18*L14*F14</f>
        <v/>
      </c>
      <c r="R14" s="373" t="inlineStr">
        <is>
          <t>DP-01 (planta), DP-02 (perfil: fondo y terreno), DP-04 (seccion), DA-01 (criterio)</t>
        </is>
      </c>
    </row>
    <row r="15" ht="30" customHeight="1">
      <c r="A15" s="369" t="n">
        <v>6</v>
      </c>
      <c r="B15" s="369" t="inlineStr">
        <is>
          <t>tramo diagonal (quiebres)</t>
        </is>
      </c>
      <c r="C15" s="375" t="inlineStr">
        <is>
          <t>NORMAL</t>
        </is>
      </c>
      <c r="D15" s="369" t="inlineStr">
        <is>
          <t>0+058.81</t>
        </is>
      </c>
      <c r="E15" s="369" t="inlineStr">
        <is>
          <t>0+066.89</t>
        </is>
      </c>
      <c r="F15" s="376" t="n">
        <v>8.08</v>
      </c>
      <c r="G15" s="371" t="n">
        <v>1.589</v>
      </c>
      <c r="H15" s="376" t="n">
        <v>0.1</v>
      </c>
      <c r="I15" s="377">
        <f>'COLECTOR PARAMETROS'!$C$10+2*'COLECTOR PARAMETROS'!$C$11</f>
        <v/>
      </c>
      <c r="J15" s="377">
        <f>I15+2*'COLECTOR PARAMETROS'!$C$17</f>
        <v/>
      </c>
      <c r="K15" s="371" t="n">
        <v>1.033</v>
      </c>
      <c r="L15" s="371" t="n">
        <v>0.855</v>
      </c>
      <c r="M15" s="377">
        <f>J15*F15</f>
        <v/>
      </c>
      <c r="N15" s="377">
        <f>J15*K15*F15</f>
        <v/>
      </c>
      <c r="O15" s="377">
        <f>(I15+0.10)*F15</f>
        <v/>
      </c>
      <c r="P15" s="377">
        <f>2*'COLECTOR PARAMETROS'!$C$17*K15*F15</f>
        <v/>
      </c>
      <c r="Q15" s="377">
        <f>'COLECTOR PARAMETROS'!$C$18*L15*F15</f>
        <v/>
      </c>
      <c r="R15" s="373" t="inlineStr">
        <is>
          <t>DP-01 (planta), DP-02 (perfil: fondo y terreno), DP-04 (seccion), DA-01 (criterio)</t>
        </is>
      </c>
    </row>
    <row r="16" ht="30" customHeight="1">
      <c r="A16" s="369" t="n">
        <v>7</v>
      </c>
      <c r="B16" s="369" t="inlineStr">
        <is>
          <t>tramo recto final</t>
        </is>
      </c>
      <c r="C16" s="375" t="inlineStr">
        <is>
          <t>NORMAL</t>
        </is>
      </c>
      <c r="D16" s="369" t="inlineStr">
        <is>
          <t>0+066.89</t>
        </is>
      </c>
      <c r="E16" s="369" t="inlineStr">
        <is>
          <t>0+069.89</t>
        </is>
      </c>
      <c r="F16" s="376" t="n">
        <v>3</v>
      </c>
      <c r="G16" s="371" t="n">
        <v>1.605</v>
      </c>
      <c r="H16" s="376" t="n">
        <v>0.1</v>
      </c>
      <c r="I16" s="377">
        <f>'COLECTOR PARAMETROS'!$C$10+2*'COLECTOR PARAMETROS'!$C$11</f>
        <v/>
      </c>
      <c r="J16" s="377">
        <f>I16+2*'COLECTOR PARAMETROS'!$C$17</f>
        <v/>
      </c>
      <c r="K16" s="371" t="n">
        <v>1.062</v>
      </c>
      <c r="L16" s="371" t="n">
        <v>0.843</v>
      </c>
      <c r="M16" s="377">
        <f>J16*F16</f>
        <v/>
      </c>
      <c r="N16" s="377">
        <f>J16*K16*F16</f>
        <v/>
      </c>
      <c r="O16" s="377">
        <f>(I16+0.10)*F16</f>
        <v/>
      </c>
      <c r="P16" s="377">
        <f>2*'COLECTOR PARAMETROS'!$C$17*K16*F16</f>
        <v/>
      </c>
      <c r="Q16" s="377">
        <f>'COLECTOR PARAMETROS'!$C$18*L16*F16</f>
        <v/>
      </c>
      <c r="R16" s="373" t="inlineStr">
        <is>
          <t>DP-01 (planta), DP-02 (perfil: fondo y terreno), DP-04 (seccion), DA-01 (criterio)</t>
        </is>
      </c>
    </row>
    <row r="17" ht="22" customHeight="1">
      <c r="A17" s="378" t="inlineStr">
        <is>
          <t>TOTAL COLECTOR (tramos)</t>
        </is>
      </c>
      <c r="B17" s="379" t="n"/>
      <c r="C17" s="379" t="n"/>
      <c r="D17" s="379" t="n"/>
      <c r="E17" s="379" t="n"/>
      <c r="F17" s="380">
        <f>SUM(F10:F16)</f>
        <v/>
      </c>
      <c r="G17" s="379" t="n"/>
      <c r="H17" s="379" t="n"/>
      <c r="I17" s="379" t="n"/>
      <c r="J17" s="379" t="n"/>
      <c r="K17" s="379" t="n"/>
      <c r="L17" s="379" t="n"/>
      <c r="M17" s="380">
        <f>SUM(M10:M16)</f>
        <v/>
      </c>
      <c r="N17" s="380">
        <f>SUM(N10:N16)</f>
        <v/>
      </c>
      <c r="O17" s="380">
        <f>SUM(O10:O16)</f>
        <v/>
      </c>
      <c r="P17" s="380">
        <f>SUM(P10:P16)</f>
        <v/>
      </c>
      <c r="Q17" s="380">
        <f>SUM(Q10:Q16)</f>
        <v/>
      </c>
      <c r="R17" s="379" t="n"/>
    </row>
    <row r="19" ht="20" customHeight="1">
      <c r="A19" s="381" t="inlineStr">
        <is>
          <t>CAJAS DE LLEGADA (CL) Y DE CAIDA (CC) - lamina DP-07. Excavacion en planta = (largo int. + 2e + 2 x sobreancho) x (ancho int. + 2e + 2 x sobreancho); Hz = terreno - fondo del solado. Relleno = excavacion - volumen exterior de la caja (hasta el terreno).</t>
        </is>
      </c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</row>
    <row r="20" ht="48" customHeight="1">
      <c r="A20" s="368" t="inlineStr">
        <is>
          <t>N°</t>
        </is>
      </c>
      <c r="B20" s="368" t="inlineStr">
        <is>
          <t>CAJA</t>
        </is>
      </c>
      <c r="C20" s="368" t="inlineStr">
        <is>
          <t>PROG.</t>
        </is>
      </c>
      <c r="D20" s="368" t="inlineStr">
        <is>
          <t>LARGO INT. (m)</t>
        </is>
      </c>
      <c r="E20" s="368" t="inlineStr">
        <is>
          <t>ANCHO INT. (m)</t>
        </is>
      </c>
      <c r="F20" s="368" t="inlineStr">
        <is>
          <t>ALTURA INT. H (m)</t>
        </is>
      </c>
      <c r="G20" s="368" t="inlineStr">
        <is>
          <t>COTA DE PISO (msnm)</t>
        </is>
      </c>
      <c r="H20" s="368" t="inlineStr">
        <is>
          <t>TERRENO (msnm)</t>
        </is>
      </c>
      <c r="I20" s="368" t="inlineStr">
        <is>
          <t>LARGO EXC. (m)</t>
        </is>
      </c>
      <c r="J20" s="368" t="inlineStr">
        <is>
          <t>ANCHO EXC. (m)</t>
        </is>
      </c>
      <c r="K20" s="368" t="inlineStr">
        <is>
          <t>Hz (m)</t>
        </is>
      </c>
      <c r="L20" s="368" t="inlineStr">
        <is>
          <t>VOL. EXTERIOR CAJA (m3)</t>
        </is>
      </c>
      <c r="M20" s="368" t="inlineStr">
        <is>
          <t>LIMPIEZA Y TRAZO (m2)</t>
        </is>
      </c>
      <c r="N20" s="368" t="inlineStr">
        <is>
          <t>EXCAVACION (m3)</t>
        </is>
      </c>
      <c r="O20" s="368" t="inlineStr">
        <is>
          <t>REFINE Y NIVELACION (m2)</t>
        </is>
      </c>
      <c r="P20" s="368" t="inlineStr">
        <is>
          <t>RELLENO LATERAL (m3)</t>
        </is>
      </c>
      <c r="Q20" s="368" t="inlineStr">
        <is>
          <t>RELLENO FRANJA (m3)</t>
        </is>
      </c>
      <c r="R20" s="368" t="inlineStr">
        <is>
          <t>SUSTENTO</t>
        </is>
      </c>
    </row>
    <row r="21" ht="30" customHeight="1">
      <c r="A21" s="369" t="n">
        <v>1</v>
      </c>
      <c r="B21" s="369" t="inlineStr">
        <is>
          <t>Caja de llegada CL</t>
        </is>
      </c>
      <c r="C21" s="369" t="inlineStr">
        <is>
          <t>0+000.00</t>
        </is>
      </c>
      <c r="D21" s="377">
        <f>'COLECTOR PARAMETROS'!$C$44</f>
        <v/>
      </c>
      <c r="E21" s="377">
        <f>'COLECTOR PARAMETROS'!$C$45</f>
        <v/>
      </c>
      <c r="F21" s="374">
        <f>'COLECTOR PARAMETROS'!$C$16-'COLECTOR PARAMETROS'!$C$13-G21</f>
        <v/>
      </c>
      <c r="G21" s="374">
        <f>'COLECTOR PARAMETROS'!$C$47-'COLECTOR PARAMETROS'!$C$46</f>
        <v/>
      </c>
      <c r="H21" s="371" t="n">
        <v>260.302</v>
      </c>
      <c r="I21" s="377">
        <f>D21+2*'COLECTOR PARAMETROS'!$C$11+2*'COLECTOR PARAMETROS'!$C$17</f>
        <v/>
      </c>
      <c r="J21" s="377">
        <f>E21+2*'COLECTOR PARAMETROS'!$C$11+2*'COLECTOR PARAMETROS'!$C$17</f>
        <v/>
      </c>
      <c r="K21" s="374">
        <f>H21-(G21-'COLECTOR PARAMETROS'!$C$12-'COLECTOR PARAMETROS'!$C$15)</f>
        <v/>
      </c>
      <c r="L21" s="377">
        <f>(D21+2*'COLECTOR PARAMETROS'!$C$11)*(E21+2*'COLECTOR PARAMETROS'!$C$11)*(F21+'COLECTOR PARAMETROS'!$C$13+'COLECTOR PARAMETROS'!$C$12+'COLECTOR PARAMETROS'!$C$15)</f>
        <v/>
      </c>
      <c r="M21" s="377">
        <f>I21*J21</f>
        <v/>
      </c>
      <c r="N21" s="377">
        <f>I21*J21*K21</f>
        <v/>
      </c>
      <c r="O21" s="377">
        <f>(D21+2*'COLECTOR PARAMETROS'!$C$11+0.10)*(E21+2*'COLECTOR PARAMETROS'!$C$11+0.10)</f>
        <v/>
      </c>
      <c r="P21" s="377">
        <f>MAX(0,N21-L21)</f>
        <v/>
      </c>
      <c r="Q21" s="377" t="n">
        <v>0</v>
      </c>
      <c r="R21" s="373" t="inlineStr">
        <is>
          <t>DP-07 (planta y cortes de la caja), DP-02 (cotas), DA-01</t>
        </is>
      </c>
    </row>
    <row r="22" ht="30" customHeight="1">
      <c r="A22" s="369" t="n">
        <v>2</v>
      </c>
      <c r="B22" s="369" t="inlineStr">
        <is>
          <t>Caja de caida CC</t>
        </is>
      </c>
      <c r="C22" s="369" t="inlineStr">
        <is>
          <t>0+069.89</t>
        </is>
      </c>
      <c r="D22" s="377">
        <f>'COLECTOR PARAMETROS'!$C$49</f>
        <v/>
      </c>
      <c r="E22" s="377">
        <f>'COLECTOR PARAMETROS'!$C$50</f>
        <v/>
      </c>
      <c r="F22" s="374">
        <f>'COLECTOR PARAMETROS'!$C$16-'COLECTOR PARAMETROS'!$C$13-G22</f>
        <v/>
      </c>
      <c r="G22" s="374">
        <f>'COLECTOR PARAMETROS'!$C$52-'COLECTOR PARAMETROS'!$C$51</f>
        <v/>
      </c>
      <c r="H22" s="371" t="n">
        <v>259.696</v>
      </c>
      <c r="I22" s="377">
        <f>D22+2*'COLECTOR PARAMETROS'!$C$11+2*'COLECTOR PARAMETROS'!$C$17</f>
        <v/>
      </c>
      <c r="J22" s="377">
        <f>E22+2*'COLECTOR PARAMETROS'!$C$11+2*'COLECTOR PARAMETROS'!$C$17</f>
        <v/>
      </c>
      <c r="K22" s="374">
        <f>H22-(G22-'COLECTOR PARAMETROS'!$C$12-'COLECTOR PARAMETROS'!$C$15)</f>
        <v/>
      </c>
      <c r="L22" s="377">
        <f>(D22+2*'COLECTOR PARAMETROS'!$C$11)*(E22+2*'COLECTOR PARAMETROS'!$C$11)*(F22+'COLECTOR PARAMETROS'!$C$13+'COLECTOR PARAMETROS'!$C$12+'COLECTOR PARAMETROS'!$C$15)</f>
        <v/>
      </c>
      <c r="M22" s="377">
        <f>I22*J22</f>
        <v/>
      </c>
      <c r="N22" s="377">
        <f>I22*J22*K22</f>
        <v/>
      </c>
      <c r="O22" s="377">
        <f>(D22+2*'COLECTOR PARAMETROS'!$C$11+0.10)*(E22+2*'COLECTOR PARAMETROS'!$C$11+0.10)</f>
        <v/>
      </c>
      <c r="P22" s="377">
        <f>MAX(0,N22-L22)</f>
        <v/>
      </c>
      <c r="Q22" s="377" t="n">
        <v>0</v>
      </c>
      <c r="R22" s="373" t="inlineStr">
        <is>
          <t>DP-07 (planta y cortes de la caja), DP-02 (cotas), DA-01</t>
        </is>
      </c>
    </row>
    <row r="23" ht="22" customHeight="1">
      <c r="A23" s="378" t="inlineStr">
        <is>
          <t>TOTAL CAJAS</t>
        </is>
      </c>
      <c r="B23" s="379" t="n"/>
      <c r="C23" s="379" t="n"/>
      <c r="D23" s="379" t="n"/>
      <c r="E23" s="379" t="n"/>
      <c r="F23" s="379" t="n"/>
      <c r="G23" s="379" t="n"/>
      <c r="H23" s="379" t="n"/>
      <c r="I23" s="379" t="n"/>
      <c r="J23" s="379" t="n"/>
      <c r="K23" s="379" t="n"/>
      <c r="L23" s="379" t="n"/>
      <c r="M23" s="380">
        <f>SUM(M21:M22)</f>
        <v/>
      </c>
      <c r="N23" s="380">
        <f>SUM(N21:N22)</f>
        <v/>
      </c>
      <c r="O23" s="380">
        <f>SUM(O21:O22)</f>
        <v/>
      </c>
      <c r="P23" s="380">
        <f>SUM(P21:P22)</f>
        <v/>
      </c>
      <c r="Q23" s="380">
        <f>SUM(Q21:Q22)</f>
        <v/>
      </c>
      <c r="R23" s="379" t="n"/>
    </row>
    <row r="25" ht="20" customHeight="1">
      <c r="A25" s="381" t="inlineStr">
        <is>
          <t>RESUMEN PARA LA PLANILLA GENERAL (partidas 01.04.04.01 y 01.04.04.02)</t>
        </is>
      </c>
      <c r="B25" s="382" t="n"/>
      <c r="C25" s="382" t="n"/>
      <c r="D25" s="382" t="n"/>
      <c r="E25" s="382" t="n"/>
      <c r="F25" s="382" t="n"/>
      <c r="G25" s="382" t="n"/>
      <c r="H25" s="382" t="n"/>
      <c r="I25" s="382" t="n"/>
      <c r="J25" s="382" t="n"/>
      <c r="K25" s="382" t="n"/>
      <c r="L25" s="382" t="n"/>
      <c r="M25" s="382" t="n"/>
      <c r="N25" s="382" t="n"/>
      <c r="O25" s="382" t="n"/>
      <c r="P25" s="382" t="n"/>
      <c r="Q25" s="382" t="n"/>
      <c r="R25" s="382" t="n"/>
    </row>
    <row r="26" ht="22" customHeight="1">
      <c r="A26" s="369" t="n">
        <v>1</v>
      </c>
      <c r="B26" s="383" t="inlineStr">
        <is>
          <t>LIMPIEZA MANUAL DE TERRENO / TRAZO Y REPLANTEO</t>
        </is>
      </c>
      <c r="C26" s="384" t="n"/>
      <c r="D26" s="384" t="n"/>
      <c r="E26" s="385" t="n"/>
      <c r="F26" s="372" t="inlineStr">
        <is>
          <t>m2</t>
        </is>
      </c>
      <c r="G26" s="377">
        <f>M17</f>
        <v/>
      </c>
      <c r="H26" s="377">
        <f>M23</f>
        <v/>
      </c>
      <c r="I26" s="386">
        <f>G26+H26</f>
        <v/>
      </c>
    </row>
    <row r="27" ht="22" customHeight="1">
      <c r="A27" s="369" t="n">
        <v>2</v>
      </c>
      <c r="B27" s="383" t="inlineStr">
        <is>
          <t>EXCAVACION MANUAL DE ZANJAS</t>
        </is>
      </c>
      <c r="C27" s="384" t="n"/>
      <c r="D27" s="384" t="n"/>
      <c r="E27" s="385" t="n"/>
      <c r="F27" s="372" t="inlineStr">
        <is>
          <t>m3</t>
        </is>
      </c>
      <c r="G27" s="377">
        <f>N17</f>
        <v/>
      </c>
      <c r="H27" s="377">
        <f>N23</f>
        <v/>
      </c>
      <c r="I27" s="386">
        <f>G27+H27</f>
        <v/>
      </c>
    </row>
    <row r="28" ht="22" customHeight="1">
      <c r="A28" s="369" t="n">
        <v>3</v>
      </c>
      <c r="B28" s="383" t="inlineStr">
        <is>
          <t>REFINE, NIVELACION Y COMPACTACION</t>
        </is>
      </c>
      <c r="C28" s="384" t="n"/>
      <c r="D28" s="384" t="n"/>
      <c r="E28" s="385" t="n"/>
      <c r="F28" s="372" t="inlineStr">
        <is>
          <t>m2</t>
        </is>
      </c>
      <c r="G28" s="377">
        <f>O17</f>
        <v/>
      </c>
      <c r="H28" s="377">
        <f>O23</f>
        <v/>
      </c>
      <c r="I28" s="386">
        <f>G28+H28</f>
        <v/>
      </c>
    </row>
    <row r="29" ht="22" customHeight="1">
      <c r="A29" s="369" t="n">
        <v>4</v>
      </c>
      <c r="B29" s="383" t="inlineStr">
        <is>
          <t>RELLENO COMPACTADO (lateral + franja + cajas)</t>
        </is>
      </c>
      <c r="C29" s="384" t="n"/>
      <c r="D29" s="384" t="n"/>
      <c r="E29" s="385" t="n"/>
      <c r="F29" s="372" t="inlineStr">
        <is>
          <t>m3</t>
        </is>
      </c>
      <c r="G29" s="377">
        <f>P17+Q17</f>
        <v/>
      </c>
      <c r="H29" s="377">
        <f>P23+Q23</f>
        <v/>
      </c>
      <c r="I29" s="386">
        <f>G29+H29</f>
        <v/>
      </c>
    </row>
    <row r="30" ht="22" customHeight="1">
      <c r="A30" s="369" t="n">
        <v>5</v>
      </c>
      <c r="B30" s="383" t="inlineStr">
        <is>
          <t>ELIMINACION DE MATERIAL EXCEDENTE = (excavacion - relleno) x esponjamiento</t>
        </is>
      </c>
      <c r="C30" s="384" t="n"/>
      <c r="D30" s="384" t="n"/>
      <c r="E30" s="385" t="n"/>
      <c r="F30" s="372" t="inlineStr">
        <is>
          <t>m3</t>
        </is>
      </c>
      <c r="G30" s="377">
        <f>(I27-I29)</f>
        <v/>
      </c>
      <c r="H30" s="377">
        <f>'COLECTOR PARAMETROS'!$C$25</f>
        <v/>
      </c>
      <c r="I30" s="386">
        <f>G30*H30</f>
        <v/>
      </c>
    </row>
    <row r="32" ht="34" customHeight="1">
      <c r="A32" s="387" t="inlineStr">
        <is>
          <t>Nota: las prolongaciones de las cunetas de los Ejes 11 y 12 (1.88 y 5.39 m hasta el muro del colector) no forman parte de esta partida; se metran dentro de las partidas de cunetas del proyecto.</t>
        </is>
      </c>
    </row>
  </sheetData>
  <mergeCells count="18">
    <mergeCell ref="A4:B4"/>
    <mergeCell ref="C2:R2"/>
    <mergeCell ref="C5:R5"/>
    <mergeCell ref="A2:B2"/>
    <mergeCell ref="B26:E26"/>
    <mergeCell ref="A7:R7"/>
    <mergeCell ref="A25:R25"/>
    <mergeCell ref="B27:E27"/>
    <mergeCell ref="A19:R19"/>
    <mergeCell ref="C3:R3"/>
    <mergeCell ref="A5:B5"/>
    <mergeCell ref="B30:E30"/>
    <mergeCell ref="B29:E29"/>
    <mergeCell ref="A32:R32"/>
    <mergeCell ref="C4:R4"/>
    <mergeCell ref="A1:R1"/>
    <mergeCell ref="B28:E28"/>
    <mergeCell ref="A3:B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6" customWidth="1" min="14" max="14"/>
  </cols>
  <sheetData>
    <row r="1" ht="27" customHeight="1">
      <c r="A1" s="361" t="inlineStr">
        <is>
          <t>COLECTOR PLUVIAL FRONTAL - METRADO DE CONCRETO SIMPLE Y ARMADO</t>
        </is>
      </c>
      <c r="B1" s="362" t="n"/>
      <c r="C1" s="362" t="n"/>
      <c r="D1" s="362" t="n"/>
      <c r="E1" s="362" t="n"/>
      <c r="F1" s="362" t="n"/>
      <c r="G1" s="362" t="n"/>
      <c r="H1" s="362" t="n"/>
      <c r="I1" s="362" t="n"/>
      <c r="J1" s="362" t="n"/>
      <c r="K1" s="362" t="n"/>
      <c r="L1" s="362" t="n"/>
      <c r="M1" s="362" t="n"/>
      <c r="N1" s="362" t="n"/>
    </row>
    <row r="2" ht="25" customHeight="1">
      <c r="A2" s="363" t="inlineStr">
        <is>
          <t>ENTIDAD</t>
        </is>
      </c>
      <c r="B2" s="364" t="n"/>
      <c r="C2" s="365">
        <f>+RESUMEN!B4</f>
        <v/>
      </c>
      <c r="D2" s="364" t="n"/>
      <c r="E2" s="364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</row>
    <row r="3" ht="59" customHeight="1">
      <c r="A3" s="363" t="inlineStr">
        <is>
          <t>PROYECTO</t>
        </is>
      </c>
      <c r="B3" s="364" t="n"/>
      <c r="C3" s="365">
        <f>+RESUMEN!B5</f>
        <v/>
      </c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</row>
    <row r="4" ht="25" customHeight="1">
      <c r="A4" s="363" t="inlineStr">
        <is>
          <t>UBICACIÓN</t>
        </is>
      </c>
      <c r="B4" s="364" t="n"/>
      <c r="C4" s="365">
        <f>+RESUMEN!B6</f>
        <v/>
      </c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</row>
    <row r="5" ht="25" customHeight="1">
      <c r="A5" s="363" t="inlineStr">
        <is>
          <t>FECHA</t>
        </is>
      </c>
      <c r="B5" s="364" t="n"/>
      <c r="C5" s="366">
        <f>+RESUMEN!B7</f>
        <v/>
      </c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</row>
    <row r="7" ht="48" customHeight="1">
      <c r="A7" s="367" t="inlineStr">
        <is>
          <t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</row>
    <row r="9" ht="48" customHeight="1">
      <c r="A9" s="368" t="inlineStr">
        <is>
          <t>N°</t>
        </is>
      </c>
      <c r="B9" s="368" t="inlineStr">
        <is>
          <t>TRAMO</t>
        </is>
      </c>
      <c r="C9" s="368" t="inlineStr">
        <is>
          <t>ZONA</t>
        </is>
      </c>
      <c r="D9" s="368" t="inlineStr">
        <is>
          <t>LONGITUD (m)</t>
        </is>
      </c>
      <c r="E9" s="368" t="inlineStr">
        <is>
          <t>ALTURA INTERIOR h (m)</t>
        </is>
      </c>
      <c r="F9" s="368" t="inlineStr">
        <is>
          <t>e LOSA SUP. (m)</t>
        </is>
      </c>
      <c r="G9" s="368" t="inlineStr">
        <is>
          <t>ANCHO EXT. (m)</t>
        </is>
      </c>
      <c r="H9" s="368" t="inlineStr">
        <is>
          <t>SOLADO f'c=100 (m2)</t>
        </is>
      </c>
      <c r="I9" s="368" t="inlineStr">
        <is>
          <t>LOSA DE FONDO (m3)</t>
        </is>
      </c>
      <c r="J9" s="368" t="inlineStr">
        <is>
          <t>MUROS (m3)</t>
        </is>
      </c>
      <c r="K9" s="368" t="inlineStr">
        <is>
          <t>LOSA SUPERIOR (m3)</t>
        </is>
      </c>
      <c r="L9" s="368" t="inlineStr">
        <is>
          <t>ACABADO DE LOSA SUP. (m2)</t>
        </is>
      </c>
      <c r="M9" s="368" t="inlineStr">
        <is>
          <t>CURADO (m2)</t>
        </is>
      </c>
      <c r="N9" s="368" t="inlineStr">
        <is>
          <t>SUSTENTO</t>
        </is>
      </c>
    </row>
    <row r="10" ht="30" customHeight="1">
      <c r="A10" s="369" t="n">
        <v>1</v>
      </c>
      <c r="B10" s="369" t="inlineStr">
        <is>
          <t>tramo normal</t>
        </is>
      </c>
      <c r="C10" s="375" t="inlineStr">
        <is>
          <t>NORMAL</t>
        </is>
      </c>
      <c r="D10" s="377">
        <f>'COLECTOR MOV. TIERRAS'!F10</f>
        <v/>
      </c>
      <c r="E10" s="374">
        <f>'COLECTOR MOV. TIERRAS'!G10</f>
        <v/>
      </c>
      <c r="F10" s="377">
        <f>'COLECTOR MOV. TIERRAS'!H10</f>
        <v/>
      </c>
      <c r="G10" s="377">
        <f>'COLECTOR MOV. TIERRAS'!I10</f>
        <v/>
      </c>
      <c r="H10" s="377">
        <f>(G10+0.10)*D10</f>
        <v/>
      </c>
      <c r="I10" s="377">
        <f>G10*'COLECTOR PARAMETROS'!$C$12*D10</f>
        <v/>
      </c>
      <c r="J10" s="377">
        <f>2*'COLECTOR PARAMETROS'!$C$11*E10*D10</f>
        <v/>
      </c>
      <c r="K10" s="377">
        <f>G10*F10*D10</f>
        <v/>
      </c>
      <c r="L10" s="377">
        <f>G10*D10</f>
        <v/>
      </c>
      <c r="M10" s="377">
        <f>(2*E10+'COLECTOR PARAMETROS'!$C$10+G10)*D10</f>
        <v/>
      </c>
      <c r="N10" s="373" t="inlineStr">
        <is>
          <t>DP-04 (secciones A, B, C), DP-02 (h por tramo), DA-02 (areas por metro)</t>
        </is>
      </c>
    </row>
    <row r="11" ht="30" customHeight="1">
      <c r="A11" s="369" t="n">
        <v>2</v>
      </c>
      <c r="B11" s="369" t="inlineStr">
        <is>
          <t>cruce de camiones</t>
        </is>
      </c>
      <c r="C11" s="375" t="inlineStr">
        <is>
          <t>CAMION</t>
        </is>
      </c>
      <c r="D11" s="377">
        <f>'COLECTOR MOV. TIERRAS'!F11</f>
        <v/>
      </c>
      <c r="E11" s="374">
        <f>'COLECTOR MOV. TIERRAS'!G11</f>
        <v/>
      </c>
      <c r="F11" s="377">
        <f>'COLECTOR MOV. TIERRAS'!H11</f>
        <v/>
      </c>
      <c r="G11" s="377">
        <f>'COLECTOR MOV. TIERRAS'!I11</f>
        <v/>
      </c>
      <c r="H11" s="377">
        <f>(G11+0.10)*D11</f>
        <v/>
      </c>
      <c r="I11" s="377">
        <f>G11*'COLECTOR PARAMETROS'!$C$12*D11</f>
        <v/>
      </c>
      <c r="J11" s="377">
        <f>2*'COLECTOR PARAMETROS'!$C$11*E11*D11</f>
        <v/>
      </c>
      <c r="K11" s="377">
        <f>G11*F11*D11</f>
        <v/>
      </c>
      <c r="L11" s="377">
        <f>G11*D11</f>
        <v/>
      </c>
      <c r="M11" s="377">
        <f>(2*E11+'COLECTOR PARAMETROS'!$C$10+G11)*D11</f>
        <v/>
      </c>
      <c r="N11" s="373" t="inlineStr">
        <is>
          <t>DP-04 (secciones A, B, C), DP-02 (h por tramo), DA-02 (areas por metro)</t>
        </is>
      </c>
    </row>
    <row r="12" ht="30" customHeight="1">
      <c r="A12" s="369" t="n">
        <v>3</v>
      </c>
      <c r="B12" s="369" t="inlineStr">
        <is>
          <t>tramo normal</t>
        </is>
      </c>
      <c r="C12" s="375" t="inlineStr">
        <is>
          <t>NORMAL</t>
        </is>
      </c>
      <c r="D12" s="377">
        <f>'COLECTOR MOV. TIERRAS'!F12</f>
        <v/>
      </c>
      <c r="E12" s="374">
        <f>'COLECTOR MOV. TIERRAS'!G12</f>
        <v/>
      </c>
      <c r="F12" s="377">
        <f>'COLECTOR MOV. TIERRAS'!H12</f>
        <v/>
      </c>
      <c r="G12" s="377">
        <f>'COLECTOR MOV. TIERRAS'!I12</f>
        <v/>
      </c>
      <c r="H12" s="377">
        <f>(G12+0.10)*D12</f>
        <v/>
      </c>
      <c r="I12" s="377">
        <f>G12*'COLECTOR PARAMETROS'!$C$12*D12</f>
        <v/>
      </c>
      <c r="J12" s="377">
        <f>2*'COLECTOR PARAMETROS'!$C$11*E12*D12</f>
        <v/>
      </c>
      <c r="K12" s="377">
        <f>G12*F12*D12</f>
        <v/>
      </c>
      <c r="L12" s="377">
        <f>G12*D12</f>
        <v/>
      </c>
      <c r="M12" s="377">
        <f>(2*E12+'COLECTOR PARAMETROS'!$C$10+G12)*D12</f>
        <v/>
      </c>
      <c r="N12" s="373" t="inlineStr">
        <is>
          <t>DP-04 (secciones A, B, C), DP-02 (h por tramo), DA-02 (areas por metro)</t>
        </is>
      </c>
    </row>
    <row r="13" ht="30" customHeight="1">
      <c r="A13" s="369" t="n">
        <v>4</v>
      </c>
      <c r="B13" s="369" t="inlineStr">
        <is>
          <t>cruce de motos</t>
        </is>
      </c>
      <c r="C13" s="375" t="inlineStr">
        <is>
          <t>MOTOS</t>
        </is>
      </c>
      <c r="D13" s="377">
        <f>'COLECTOR MOV. TIERRAS'!F13</f>
        <v/>
      </c>
      <c r="E13" s="374">
        <f>'COLECTOR MOV. TIERRAS'!G13</f>
        <v/>
      </c>
      <c r="F13" s="377">
        <f>'COLECTOR MOV. TIERRAS'!H13</f>
        <v/>
      </c>
      <c r="G13" s="377">
        <f>'COLECTOR MOV. TIERRAS'!I13</f>
        <v/>
      </c>
      <c r="H13" s="377">
        <f>(G13+0.10)*D13</f>
        <v/>
      </c>
      <c r="I13" s="377">
        <f>G13*'COLECTOR PARAMETROS'!$C$12*D13</f>
        <v/>
      </c>
      <c r="J13" s="377">
        <f>2*'COLECTOR PARAMETROS'!$C$11*E13*D13</f>
        <v/>
      </c>
      <c r="K13" s="377">
        <f>G13*F13*D13</f>
        <v/>
      </c>
      <c r="L13" s="377">
        <f>G13*D13</f>
        <v/>
      </c>
      <c r="M13" s="377">
        <f>(2*E13+'COLECTOR PARAMETROS'!$C$10+G13)*D13</f>
        <v/>
      </c>
      <c r="N13" s="373" t="inlineStr">
        <is>
          <t>DP-04 (secciones A, B, C), DP-02 (h por tramo), DA-02 (areas por metro)</t>
        </is>
      </c>
    </row>
    <row r="14" ht="30" customHeight="1">
      <c r="A14" s="369" t="n">
        <v>5</v>
      </c>
      <c r="B14" s="369" t="inlineStr">
        <is>
          <t>tramo normal</t>
        </is>
      </c>
      <c r="C14" s="375" t="inlineStr">
        <is>
          <t>NORMAL</t>
        </is>
      </c>
      <c r="D14" s="377">
        <f>'COLECTOR MOV. TIERRAS'!F14</f>
        <v/>
      </c>
      <c r="E14" s="374">
        <f>'COLECTOR MOV. TIERRAS'!G14</f>
        <v/>
      </c>
      <c r="F14" s="377">
        <f>'COLECTOR MOV. TIERRAS'!H14</f>
        <v/>
      </c>
      <c r="G14" s="377">
        <f>'COLECTOR MOV. TIERRAS'!I14</f>
        <v/>
      </c>
      <c r="H14" s="377">
        <f>(G14+0.10)*D14</f>
        <v/>
      </c>
      <c r="I14" s="377">
        <f>G14*'COLECTOR PARAMETROS'!$C$12*D14</f>
        <v/>
      </c>
      <c r="J14" s="377">
        <f>2*'COLECTOR PARAMETROS'!$C$11*E14*D14</f>
        <v/>
      </c>
      <c r="K14" s="377">
        <f>G14*F14*D14</f>
        <v/>
      </c>
      <c r="L14" s="377">
        <f>G14*D14</f>
        <v/>
      </c>
      <c r="M14" s="377">
        <f>(2*E14+'COLECTOR PARAMETROS'!$C$10+G14)*D14</f>
        <v/>
      </c>
      <c r="N14" s="373" t="inlineStr">
        <is>
          <t>DP-04 (secciones A, B, C), DP-02 (h por tramo), DA-02 (areas por metro)</t>
        </is>
      </c>
    </row>
    <row r="15" ht="30" customHeight="1">
      <c r="A15" s="369" t="n">
        <v>6</v>
      </c>
      <c r="B15" s="369" t="inlineStr">
        <is>
          <t>tramo diagonal (quiebres)</t>
        </is>
      </c>
      <c r="C15" s="375" t="inlineStr">
        <is>
          <t>NORMAL</t>
        </is>
      </c>
      <c r="D15" s="377">
        <f>'COLECTOR MOV. TIERRAS'!F15</f>
        <v/>
      </c>
      <c r="E15" s="374">
        <f>'COLECTOR MOV. TIERRAS'!G15</f>
        <v/>
      </c>
      <c r="F15" s="377">
        <f>'COLECTOR MOV. TIERRAS'!H15</f>
        <v/>
      </c>
      <c r="G15" s="377">
        <f>'COLECTOR MOV. TIERRAS'!I15</f>
        <v/>
      </c>
      <c r="H15" s="377">
        <f>(G15+0.10)*D15</f>
        <v/>
      </c>
      <c r="I15" s="377">
        <f>G15*'COLECTOR PARAMETROS'!$C$12*D15</f>
        <v/>
      </c>
      <c r="J15" s="377">
        <f>2*'COLECTOR PARAMETROS'!$C$11*E15*D15</f>
        <v/>
      </c>
      <c r="K15" s="377">
        <f>G15*F15*D15</f>
        <v/>
      </c>
      <c r="L15" s="377">
        <f>G15*D15</f>
        <v/>
      </c>
      <c r="M15" s="377">
        <f>(2*E15+'COLECTOR PARAMETROS'!$C$10+G15)*D15</f>
        <v/>
      </c>
      <c r="N15" s="373" t="inlineStr">
        <is>
          <t>DP-04 (secciones A, B, C), DP-02 (h por tramo), DA-02 (areas por metro)</t>
        </is>
      </c>
    </row>
    <row r="16" ht="30" customHeight="1">
      <c r="A16" s="369" t="n">
        <v>7</v>
      </c>
      <c r="B16" s="369" t="inlineStr">
        <is>
          <t>tramo recto final</t>
        </is>
      </c>
      <c r="C16" s="375" t="inlineStr">
        <is>
          <t>NORMAL</t>
        </is>
      </c>
      <c r="D16" s="377">
        <f>'COLECTOR MOV. TIERRAS'!F16</f>
        <v/>
      </c>
      <c r="E16" s="374">
        <f>'COLECTOR MOV. TIERRAS'!G16</f>
        <v/>
      </c>
      <c r="F16" s="377">
        <f>'COLECTOR MOV. TIERRAS'!H16</f>
        <v/>
      </c>
      <c r="G16" s="377">
        <f>'COLECTOR MOV. TIERRAS'!I16</f>
        <v/>
      </c>
      <c r="H16" s="377">
        <f>(G16+0.10)*D16</f>
        <v/>
      </c>
      <c r="I16" s="377">
        <f>G16*'COLECTOR PARAMETROS'!$C$12*D16</f>
        <v/>
      </c>
      <c r="J16" s="377">
        <f>2*'COLECTOR PARAMETROS'!$C$11*E16*D16</f>
        <v/>
      </c>
      <c r="K16" s="377">
        <f>G16*F16*D16</f>
        <v/>
      </c>
      <c r="L16" s="377">
        <f>G16*D16</f>
        <v/>
      </c>
      <c r="M16" s="377">
        <f>(2*E16+'COLECTOR PARAMETROS'!$C$10+G16)*D16</f>
        <v/>
      </c>
      <c r="N16" s="373" t="inlineStr">
        <is>
          <t>DP-04 (secciones A, B, C), DP-02 (h por tramo), DA-02 (areas por metro)</t>
        </is>
      </c>
    </row>
    <row r="17" ht="22" customHeight="1">
      <c r="A17" s="378" t="inlineStr">
        <is>
          <t>TOTAL COLECTOR (tramos)</t>
        </is>
      </c>
      <c r="B17" s="379" t="n"/>
      <c r="C17" s="379" t="n"/>
      <c r="D17" s="380">
        <f>SUM(D10:D16)</f>
        <v/>
      </c>
      <c r="E17" s="379" t="n"/>
      <c r="F17" s="379" t="n"/>
      <c r="G17" s="379" t="n"/>
      <c r="H17" s="380">
        <f>SUM(H10:H16)</f>
        <v/>
      </c>
      <c r="I17" s="380">
        <f>SUM(I10:I16)</f>
        <v/>
      </c>
      <c r="J17" s="380">
        <f>SUM(J10:J16)</f>
        <v/>
      </c>
      <c r="K17" s="380">
        <f>SUM(K10:K16)</f>
        <v/>
      </c>
      <c r="L17" s="380">
        <f>SUM(L10:L16)</f>
        <v/>
      </c>
      <c r="M17" s="380">
        <f>SUM(M10:M16)</f>
        <v/>
      </c>
      <c r="N17" s="379" t="n"/>
    </row>
    <row r="19" ht="20" customHeight="1">
      <c r="A19" s="381" t="inlineStr">
        <is>
          <t>CAJAS CL Y CC POR ELEMENTO - lamina DP-07 (dimensiones interiores de la hoja COLECTOR MOV. TIERRAS; e muro = e fondo = 0.15; losa superior e = 0.10)</t>
        </is>
      </c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</row>
    <row r="20" ht="48" customHeight="1">
      <c r="A20" s="368" t="inlineStr">
        <is>
          <t>N°</t>
        </is>
      </c>
      <c r="B20" s="368" t="inlineStr">
        <is>
          <t>CAJA / ELEMENTO</t>
        </is>
      </c>
      <c r="C20" s="368" t="inlineStr">
        <is>
          <t>DETALLE</t>
        </is>
      </c>
      <c r="D20" s="368" t="inlineStr">
        <is>
          <t>LARGO (m)</t>
        </is>
      </c>
      <c r="E20" s="368" t="inlineStr">
        <is>
          <t>ANCHO (m)</t>
        </is>
      </c>
      <c r="F20" s="368" t="inlineStr">
        <is>
          <t>ALTO / ESPESOR (m)</t>
        </is>
      </c>
      <c r="G20" s="368" t="inlineStr">
        <is>
          <t>VECES</t>
        </is>
      </c>
      <c r="H20" s="368" t="inlineStr">
        <is>
          <t>SOLADO (m2)</t>
        </is>
      </c>
      <c r="I20" s="368" t="inlineStr">
        <is>
          <t>LOSA DE FONDO (m3)</t>
        </is>
      </c>
      <c r="J20" s="368" t="inlineStr">
        <is>
          <t>MUROS (m3)</t>
        </is>
      </c>
      <c r="K20" s="368" t="inlineStr">
        <is>
          <t>LOSA SUPERIOR (m3)</t>
        </is>
      </c>
      <c r="L20" s="368" t="inlineStr">
        <is>
          <t>ACABADO (m2)</t>
        </is>
      </c>
      <c r="M20" s="368" t="inlineStr">
        <is>
          <t>CURADO (m2)</t>
        </is>
      </c>
      <c r="N20" s="368" t="inlineStr">
        <is>
          <t>SUSTENTO</t>
        </is>
      </c>
    </row>
    <row r="21" ht="30" customHeight="1">
      <c r="A21" s="364" t="n"/>
      <c r="B21" s="370" t="inlineStr">
        <is>
          <t>Caja de llegada CL: solado</t>
        </is>
      </c>
      <c r="C21" s="369" t="inlineStr">
        <is>
          <t>fondo + 0.05/lado</t>
        </is>
      </c>
      <c r="D21" s="377">
        <f>'COLECTOR MOV. TIERRAS'!D21+2*'COLECTOR PARAMETROS'!$C$11+0.10</f>
        <v/>
      </c>
      <c r="E21" s="377">
        <f>'COLECTOR MOV. TIERRAS'!E21+2*'COLECTOR PARAMETROS'!$C$11+0.10</f>
        <v/>
      </c>
      <c r="F21" s="371" t="n">
        <v>1</v>
      </c>
      <c r="G21" s="388" t="n">
        <v>1</v>
      </c>
      <c r="H21" s="377">
        <f>D21*E21</f>
        <v/>
      </c>
      <c r="I21" s="364" t="n"/>
      <c r="J21" s="364" t="n"/>
      <c r="K21" s="364" t="n"/>
      <c r="L21" s="364" t="n"/>
      <c r="M21" s="364" t="n"/>
      <c r="N21" s="373" t="inlineStr">
        <is>
          <t>DP-07: solado f'c=100 e=0.05 bajo la losa de fondo</t>
        </is>
      </c>
    </row>
    <row r="22" ht="30" customHeight="1">
      <c r="A22" s="364" t="n"/>
      <c r="B22" s="370" t="inlineStr">
        <is>
          <t>Caja de llegada CL: losa de fondo</t>
        </is>
      </c>
      <c r="C22" s="369" t="inlineStr">
        <is>
          <t>exterior x e</t>
        </is>
      </c>
      <c r="D22" s="377">
        <f>'COLECTOR MOV. TIERRAS'!D21+2*'COLECTOR PARAMETROS'!$C$11</f>
        <v/>
      </c>
      <c r="E22" s="377">
        <f>'COLECTOR MOV. TIERRAS'!E21+2*'COLECTOR PARAMETROS'!$C$11</f>
        <v/>
      </c>
      <c r="F22" s="374">
        <f>'COLECTOR PARAMETROS'!$C$12</f>
        <v/>
      </c>
      <c r="G22" s="388" t="n">
        <v>1</v>
      </c>
      <c r="H22" s="364" t="n"/>
      <c r="I22" s="377">
        <f>D22*E22*F22*G22</f>
        <v/>
      </c>
      <c r="J22" s="364" t="n"/>
      <c r="K22" s="364" t="n"/>
      <c r="L22" s="364" t="n"/>
      <c r="M22" s="364" t="n"/>
      <c r="N22" s="373" t="inlineStr">
        <is>
          <t>DP-07: losa de fondo e=0.15 (ancho exterior)</t>
        </is>
      </c>
    </row>
    <row r="23" ht="30" customHeight="1">
      <c r="A23" s="364" t="n"/>
      <c r="B23" s="370" t="inlineStr">
        <is>
          <t>Caja de llegada CL: muros largos</t>
        </is>
      </c>
      <c r="C23" s="369" t="inlineStr">
        <is>
          <t>exterior x e x H</t>
        </is>
      </c>
      <c r="D23" s="377">
        <f>'COLECTOR MOV. TIERRAS'!D21+2*'COLECTOR PARAMETROS'!$C$11</f>
        <v/>
      </c>
      <c r="E23" s="377">
        <f>'COLECTOR PARAMETROS'!$C$11</f>
        <v/>
      </c>
      <c r="F23" s="374">
        <f>'COLECTOR MOV. TIERRAS'!F21</f>
        <v/>
      </c>
      <c r="G23" s="388" t="n">
        <v>2</v>
      </c>
      <c r="H23" s="364" t="n"/>
      <c r="I23" s="364" t="n"/>
      <c r="J23" s="377">
        <f>D23*E23*F23*G23</f>
        <v/>
      </c>
      <c r="K23" s="364" t="n"/>
      <c r="L23" s="364" t="n"/>
      <c r="M23" s="364" t="n"/>
      <c r="N23" s="373" t="inlineStr">
        <is>
          <t>DP-07: dos muros largos de e=0.15, altura interior H</t>
        </is>
      </c>
    </row>
    <row r="24" ht="30" customHeight="1">
      <c r="A24" s="364" t="n"/>
      <c r="B24" s="370" t="inlineStr">
        <is>
          <t>Caja de llegada CL: muros cortos</t>
        </is>
      </c>
      <c r="C24" s="369" t="inlineStr">
        <is>
          <t>interior x e x H</t>
        </is>
      </c>
      <c r="D24" s="377">
        <f>'COLECTOR MOV. TIERRAS'!E21</f>
        <v/>
      </c>
      <c r="E24" s="377">
        <f>'COLECTOR PARAMETROS'!$C$11</f>
        <v/>
      </c>
      <c r="F24" s="374">
        <f>'COLECTOR MOV. TIERRAS'!F21</f>
        <v/>
      </c>
      <c r="G24" s="388" t="n">
        <v>2</v>
      </c>
      <c r="H24" s="364" t="n"/>
      <c r="I24" s="364" t="n"/>
      <c r="J24" s="377">
        <f>D24*E24*F24*G24</f>
        <v/>
      </c>
      <c r="K24" s="364" t="n"/>
      <c r="L24" s="364" t="n"/>
      <c r="M24" s="364" t="n"/>
      <c r="N24" s="373" t="inlineStr">
        <is>
          <t>DP-07: dos muros de cierre de e=0.15</t>
        </is>
      </c>
    </row>
    <row r="25" ht="30" customHeight="1">
      <c r="A25" s="364" t="n"/>
      <c r="B25" s="370" t="inlineStr">
        <is>
          <t>Caja de llegada CL: descuento ventana de llegada</t>
        </is>
      </c>
      <c r="C25" s="369" t="inlineStr">
        <is>
          <t>ancho x alto x e</t>
        </is>
      </c>
      <c r="D25" s="377">
        <f>'COLECTOR PARAMETROS'!$C$48</f>
        <v/>
      </c>
      <c r="E25" s="377">
        <f>'COLECTOR PARAMETROS'!$C$11</f>
        <v/>
      </c>
      <c r="F25" s="374">
        <f>'COLECTOR PARAMETROS'!$C$16-'COLECTOR PARAMETROS'!$C$13-'COLECTOR PARAMETROS'!$C$47</f>
        <v/>
      </c>
      <c r="G25" s="388" t="n">
        <v>-1</v>
      </c>
      <c r="H25" s="364" t="n"/>
      <c r="I25" s="364" t="n"/>
      <c r="J25" s="377">
        <f>D25*E25*F25*G25</f>
        <v/>
      </c>
      <c r="K25" s="364" t="n"/>
      <c r="L25" s="364" t="n"/>
      <c r="M25" s="364" t="n"/>
      <c r="N25" s="373" t="inlineStr">
        <is>
          <t>DP-07 (corte): ventana del colector de CAR Varones hasta la losa</t>
        </is>
      </c>
    </row>
    <row r="26" ht="30" customHeight="1">
      <c r="A26" s="364" t="n"/>
      <c r="B26" s="370" t="inlineStr">
        <is>
          <t>Caja de llegada CL: murete del escalon de la poza</t>
        </is>
      </c>
      <c r="C26" s="369" t="inlineStr">
        <is>
          <t>ancho x e x desnivel</t>
        </is>
      </c>
      <c r="D26" s="377">
        <f>'COLECTOR MOV. TIERRAS'!E21</f>
        <v/>
      </c>
      <c r="E26" s="377">
        <f>'COLECTOR PARAMETROS'!$C$11</f>
        <v/>
      </c>
      <c r="F26" s="374">
        <f>'COLECTOR PARAMETROS'!$C$46</f>
        <v/>
      </c>
      <c r="G26" s="388" t="n">
        <v>1</v>
      </c>
      <c r="H26" s="364" t="n"/>
      <c r="I26" s="364" t="n"/>
      <c r="J26" s="377">
        <f>D26*E26*F26*G26</f>
        <v/>
      </c>
      <c r="K26" s="364" t="n"/>
      <c r="L26" s="364" t="n"/>
      <c r="M26" s="364" t="n"/>
      <c r="N26" s="373" t="inlineStr">
        <is>
          <t>DP-07 (corte): murete e=0.15 entre el fondo del colector y el piso de la poza</t>
        </is>
      </c>
    </row>
    <row r="27" ht="30" customHeight="1">
      <c r="A27" s="364" t="n"/>
      <c r="B27" s="370" t="inlineStr">
        <is>
          <t>Caja de llegada CL: losa superior</t>
        </is>
      </c>
      <c r="C27" s="369" t="inlineStr">
        <is>
          <t>exterior x e</t>
        </is>
      </c>
      <c r="D27" s="377">
        <f>'COLECTOR MOV. TIERRAS'!D21+2*'COLECTOR PARAMETROS'!$C$11</f>
        <v/>
      </c>
      <c r="E27" s="377">
        <f>'COLECTOR MOV. TIERRAS'!E21+2*'COLECTOR PARAMETROS'!$C$11</f>
        <v/>
      </c>
      <c r="F27" s="374">
        <f>'COLECTOR PARAMETROS'!$C$13</f>
        <v/>
      </c>
      <c r="G27" s="388" t="n">
        <v>1</v>
      </c>
      <c r="H27" s="364" t="n"/>
      <c r="I27" s="364" t="n"/>
      <c r="J27" s="364" t="n"/>
      <c r="K27" s="377">
        <f>D27*E27*F27*G27</f>
        <v/>
      </c>
      <c r="L27" s="364" t="n"/>
      <c r="M27" s="364" t="n"/>
      <c r="N27" s="373" t="inlineStr">
        <is>
          <t>DP-07: losa superior e=0.10 a nivel del piso terminado</t>
        </is>
      </c>
    </row>
    <row r="28" ht="30" customHeight="1">
      <c r="A28" s="364" t="n"/>
      <c r="B28" s="370" t="inlineStr">
        <is>
          <t>Caja de llegada CL: descuento aberturas de registro</t>
        </is>
      </c>
      <c r="C28" s="369" t="inlineStr">
        <is>
          <t>0.70 x 0.70 x e</t>
        </is>
      </c>
      <c r="D28" s="377">
        <f>'COLECTOR PARAMETROS'!$C$35</f>
        <v/>
      </c>
      <c r="E28" s="377">
        <f>'COLECTOR PARAMETROS'!$C$35</f>
        <v/>
      </c>
      <c r="F28" s="374">
        <f>'COLECTOR PARAMETROS'!$C$13</f>
        <v/>
      </c>
      <c r="G28" s="388" t="n">
        <v>-1</v>
      </c>
      <c r="H28" s="364" t="n"/>
      <c r="I28" s="364" t="n"/>
      <c r="J28" s="364" t="n"/>
      <c r="K28" s="377">
        <f>D28*E28*F28*G28</f>
        <v/>
      </c>
      <c r="L28" s="364" t="n"/>
      <c r="M28" s="364" t="n"/>
      <c r="N28" s="373" t="inlineStr">
        <is>
          <t>DP-06B: 1 abertura(s) de registro en la losa</t>
        </is>
      </c>
    </row>
    <row r="29" ht="30" customHeight="1">
      <c r="A29" s="364" t="n"/>
      <c r="B29" s="370" t="inlineStr">
        <is>
          <t>Caja de llegada CL: acabado de losa superior</t>
        </is>
      </c>
      <c r="C29" s="369" t="inlineStr">
        <is>
          <t>exterior</t>
        </is>
      </c>
      <c r="D29" s="377">
        <f>'COLECTOR MOV. TIERRAS'!D21+2*'COLECTOR PARAMETROS'!$C$11</f>
        <v/>
      </c>
      <c r="E29" s="377">
        <f>'COLECTOR MOV. TIERRAS'!E21+2*'COLECTOR PARAMETROS'!$C$11</f>
        <v/>
      </c>
      <c r="F29" s="371" t="n">
        <v>1</v>
      </c>
      <c r="G29" s="388" t="n">
        <v>1</v>
      </c>
      <c r="H29" s="364" t="n"/>
      <c r="I29" s="364" t="n"/>
      <c r="J29" s="364" t="n"/>
      <c r="K29" s="364" t="n"/>
      <c r="L29" s="377">
        <f>D29*E29</f>
        <v/>
      </c>
      <c r="M29" s="364" t="n"/>
      <c r="N29" s="373" t="inlineStr">
        <is>
          <t>DP-07: losa superior frotachada y brunada</t>
        </is>
      </c>
    </row>
    <row r="30" ht="30" customHeight="1">
      <c r="A30" s="364" t="n"/>
      <c r="B30" s="370" t="inlineStr">
        <is>
          <t>Caja de llegada CL: curado</t>
        </is>
      </c>
      <c r="C30" s="369" t="inlineStr">
        <is>
          <t>caras int. + fondo + losa</t>
        </is>
      </c>
      <c r="D30" s="377">
        <f>2*('COLECTOR MOV. TIERRAS'!D21+'COLECTOR MOV. TIERRAS'!E21)</f>
        <v/>
      </c>
      <c r="E30" s="377">
        <f>'COLECTOR MOV. TIERRAS'!F21</f>
        <v/>
      </c>
      <c r="F30" s="371" t="n">
        <v>1</v>
      </c>
      <c r="G30" s="388" t="n">
        <v>1</v>
      </c>
      <c r="H30" s="364" t="n"/>
      <c r="I30" s="364" t="n"/>
      <c r="J30" s="364" t="n"/>
      <c r="K30" s="364" t="n"/>
      <c r="L30" s="364" t="n"/>
      <c r="M30" s="377">
        <f>D30*E30+'COLECTOR MOV. TIERRAS'!D21*'COLECTOR MOV. TIERRAS'!E21+('COLECTOR MOV. TIERRAS'!D21+2*'COLECTOR PARAMETROS'!$C$11)*('COLECTOR MOV. TIERRAS'!E21+2*'COLECTOR PARAMETROS'!$C$11)</f>
        <v/>
      </c>
      <c r="N30" s="373" t="inlineStr">
        <is>
          <t>Caras interiores de muros (perimetro x H) + fondo interior + losa superior</t>
        </is>
      </c>
    </row>
    <row r="31" ht="30" customHeight="1">
      <c r="A31" s="364" t="n"/>
      <c r="B31" s="370" t="inlineStr">
        <is>
          <t>Caja de caida CC: solado</t>
        </is>
      </c>
      <c r="C31" s="369" t="inlineStr">
        <is>
          <t>fondo + 0.05/lado</t>
        </is>
      </c>
      <c r="D31" s="377">
        <f>'COLECTOR MOV. TIERRAS'!D22+2*'COLECTOR PARAMETROS'!$C$11+0.10</f>
        <v/>
      </c>
      <c r="E31" s="377">
        <f>'COLECTOR MOV. TIERRAS'!E22+2*'COLECTOR PARAMETROS'!$C$11+0.10</f>
        <v/>
      </c>
      <c r="F31" s="371" t="n">
        <v>1</v>
      </c>
      <c r="G31" s="388" t="n">
        <v>1</v>
      </c>
      <c r="H31" s="377">
        <f>D31*E31</f>
        <v/>
      </c>
      <c r="I31" s="364" t="n"/>
      <c r="J31" s="364" t="n"/>
      <c r="K31" s="364" t="n"/>
      <c r="L31" s="364" t="n"/>
      <c r="M31" s="364" t="n"/>
      <c r="N31" s="373" t="inlineStr">
        <is>
          <t>DP-07: solado f'c=100 e=0.05 bajo la losa de fondo</t>
        </is>
      </c>
    </row>
    <row r="32" ht="30" customHeight="1">
      <c r="A32" s="364" t="n"/>
      <c r="B32" s="370" t="inlineStr">
        <is>
          <t>Caja de caida CC: losa de fondo</t>
        </is>
      </c>
      <c r="C32" s="369" t="inlineStr">
        <is>
          <t>exterior x e</t>
        </is>
      </c>
      <c r="D32" s="377">
        <f>'COLECTOR MOV. TIERRAS'!D22+2*'COLECTOR PARAMETROS'!$C$11</f>
        <v/>
      </c>
      <c r="E32" s="377">
        <f>'COLECTOR MOV. TIERRAS'!E22+2*'COLECTOR PARAMETROS'!$C$11</f>
        <v/>
      </c>
      <c r="F32" s="374">
        <f>'COLECTOR PARAMETROS'!$C$12</f>
        <v/>
      </c>
      <c r="G32" s="388" t="n">
        <v>1</v>
      </c>
      <c r="H32" s="364" t="n"/>
      <c r="I32" s="377">
        <f>D32*E32*F32*G32</f>
        <v/>
      </c>
      <c r="J32" s="364" t="n"/>
      <c r="K32" s="364" t="n"/>
      <c r="L32" s="364" t="n"/>
      <c r="M32" s="364" t="n"/>
      <c r="N32" s="373" t="inlineStr">
        <is>
          <t>DP-07: losa de fondo e=0.15 (ancho exterior)</t>
        </is>
      </c>
    </row>
    <row r="33" ht="30" customHeight="1">
      <c r="A33" s="364" t="n"/>
      <c r="B33" s="370" t="inlineStr">
        <is>
          <t>Caja de caida CC: umbral de la poza</t>
        </is>
      </c>
      <c r="C33" s="369" t="inlineStr">
        <is>
          <t>0.25 x 0.40</t>
        </is>
      </c>
      <c r="D33" s="377">
        <f>'COLECTOR MOV. TIERRAS'!E22</f>
        <v/>
      </c>
      <c r="E33" s="377">
        <f>'COLECTOR PARAMETROS'!$C$56</f>
        <v/>
      </c>
      <c r="F33" s="374">
        <f>'COLECTOR PARAMETROS'!$C$57</f>
        <v/>
      </c>
      <c r="G33" s="388" t="n">
        <v>1</v>
      </c>
      <c r="H33" s="364" t="n"/>
      <c r="I33" s="377">
        <f>D33*E33*F33*G33</f>
        <v/>
      </c>
      <c r="J33" s="364" t="n"/>
      <c r="K33" s="364" t="n"/>
      <c r="L33" s="364" t="n"/>
      <c r="M33" s="364" t="n"/>
      <c r="N33" s="373" t="inlineStr">
        <is>
          <t>DP-07: umbral 0.25 x 0.40 en el fondo, borde de la poza</t>
        </is>
      </c>
    </row>
    <row r="34" ht="30" customHeight="1">
      <c r="A34" s="364" t="n"/>
      <c r="B34" s="370" t="inlineStr">
        <is>
          <t>Caja de caida CC: muros largos</t>
        </is>
      </c>
      <c r="C34" s="369" t="inlineStr">
        <is>
          <t>exterior x e x H</t>
        </is>
      </c>
      <c r="D34" s="377">
        <f>'COLECTOR MOV. TIERRAS'!D22+2*'COLECTOR PARAMETROS'!$C$11</f>
        <v/>
      </c>
      <c r="E34" s="377">
        <f>'COLECTOR PARAMETROS'!$C$11</f>
        <v/>
      </c>
      <c r="F34" s="374">
        <f>'COLECTOR MOV. TIERRAS'!F22</f>
        <v/>
      </c>
      <c r="G34" s="388" t="n">
        <v>2</v>
      </c>
      <c r="H34" s="364" t="n"/>
      <c r="I34" s="364" t="n"/>
      <c r="J34" s="377">
        <f>D34*E34*F34*G34</f>
        <v/>
      </c>
      <c r="K34" s="364" t="n"/>
      <c r="L34" s="364" t="n"/>
      <c r="M34" s="364" t="n"/>
      <c r="N34" s="373" t="inlineStr">
        <is>
          <t>DP-07: dos muros largos de e=0.15, altura interior H</t>
        </is>
      </c>
    </row>
    <row r="35" ht="30" customHeight="1">
      <c r="A35" s="364" t="n"/>
      <c r="B35" s="370" t="inlineStr">
        <is>
          <t>Caja de caida CC: muros cortos</t>
        </is>
      </c>
      <c r="C35" s="369" t="inlineStr">
        <is>
          <t>interior x e x H</t>
        </is>
      </c>
      <c r="D35" s="377">
        <f>'COLECTOR MOV. TIERRAS'!E22</f>
        <v/>
      </c>
      <c r="E35" s="377">
        <f>'COLECTOR PARAMETROS'!$C$11</f>
        <v/>
      </c>
      <c r="F35" s="374">
        <f>'COLECTOR MOV. TIERRAS'!F22</f>
        <v/>
      </c>
      <c r="G35" s="388" t="n">
        <v>1</v>
      </c>
      <c r="H35" s="364" t="n"/>
      <c r="I35" s="364" t="n"/>
      <c r="J35" s="377">
        <f>D35*E35*F35*G35</f>
        <v/>
      </c>
      <c r="K35" s="364" t="n"/>
      <c r="L35" s="364" t="n"/>
      <c r="M35" s="364" t="n"/>
      <c r="N35" s="373" t="inlineStr">
        <is>
          <t>DP-07: muro(s) de cierre; en CC el lado de llegada lo cierra el colector</t>
        </is>
      </c>
    </row>
    <row r="36" ht="30" customHeight="1">
      <c r="A36" s="364" t="n"/>
      <c r="B36" s="370" t="inlineStr">
        <is>
          <t>Caja de caida CC: descuento ventana de salida</t>
        </is>
      </c>
      <c r="C36" s="369" t="inlineStr">
        <is>
          <t>ancho x alto x e</t>
        </is>
      </c>
      <c r="D36" s="377">
        <f>'COLECTOR PARAMETROS'!$C$55</f>
        <v/>
      </c>
      <c r="E36" s="377">
        <f>'COLECTOR PARAMETROS'!$C$11</f>
        <v/>
      </c>
      <c r="F36" s="374">
        <f>'COLECTOR PARAMETROS'!$C$53+0.50-'COLECTOR PARAMETROS'!$C$52</f>
        <v/>
      </c>
      <c r="G36" s="388" t="n">
        <v>-1</v>
      </c>
      <c r="H36" s="364" t="n"/>
      <c r="I36" s="364" t="n"/>
      <c r="J36" s="377">
        <f>D36*E36*F36*G36</f>
        <v/>
      </c>
      <c r="K36" s="364" t="n"/>
      <c r="L36" s="364" t="n"/>
      <c r="M36" s="364" t="n"/>
      <c r="N36" s="373" t="inlineStr">
        <is>
          <t>DP-07 (corte): ventana de salida al receptor R-01 (0.50 m sobre el nivel de agua)</t>
        </is>
      </c>
    </row>
    <row r="37" ht="30" customHeight="1">
      <c r="A37" s="364" t="n"/>
      <c r="B37" s="370" t="inlineStr">
        <is>
          <t>Caja de caida CC: murete del escalon de la poza</t>
        </is>
      </c>
      <c r="C37" s="369" t="inlineStr">
        <is>
          <t>ancho x e x desnivel</t>
        </is>
      </c>
      <c r="D37" s="377">
        <f>'COLECTOR MOV. TIERRAS'!E22</f>
        <v/>
      </c>
      <c r="E37" s="377">
        <f>'COLECTOR PARAMETROS'!$C$11</f>
        <v/>
      </c>
      <c r="F37" s="374">
        <f>'COLECTOR PARAMETROS'!$C$54-('COLECTOR PARAMETROS'!$C$52-'COLECTOR PARAMETROS'!$C$51)</f>
        <v/>
      </c>
      <c r="G37" s="388" t="n">
        <v>1</v>
      </c>
      <c r="H37" s="364" t="n"/>
      <c r="I37" s="364" t="n"/>
      <c r="J37" s="377">
        <f>D37*E37*F37*G37</f>
        <v/>
      </c>
      <c r="K37" s="364" t="n"/>
      <c r="L37" s="364" t="n"/>
      <c r="M37" s="364" t="n"/>
      <c r="N37" s="373" t="inlineStr">
        <is>
          <t>DP-07 (corte): murete e=0.15 entre el fondo del colector y el piso de la poza</t>
        </is>
      </c>
    </row>
    <row r="38" ht="30" customHeight="1">
      <c r="A38" s="364" t="n"/>
      <c r="B38" s="370" t="inlineStr">
        <is>
          <t>Caja de caida CC: losa superior</t>
        </is>
      </c>
      <c r="C38" s="369" t="inlineStr">
        <is>
          <t>exterior x e</t>
        </is>
      </c>
      <c r="D38" s="377">
        <f>'COLECTOR MOV. TIERRAS'!D22+2*'COLECTOR PARAMETROS'!$C$11</f>
        <v/>
      </c>
      <c r="E38" s="377">
        <f>'COLECTOR MOV. TIERRAS'!E22+2*'COLECTOR PARAMETROS'!$C$11</f>
        <v/>
      </c>
      <c r="F38" s="374">
        <f>'COLECTOR PARAMETROS'!$C$13</f>
        <v/>
      </c>
      <c r="G38" s="388" t="n">
        <v>1</v>
      </c>
      <c r="H38" s="364" t="n"/>
      <c r="I38" s="364" t="n"/>
      <c r="J38" s="364" t="n"/>
      <c r="K38" s="377">
        <f>D38*E38*F38*G38</f>
        <v/>
      </c>
      <c r="L38" s="364" t="n"/>
      <c r="M38" s="364" t="n"/>
      <c r="N38" s="373" t="inlineStr">
        <is>
          <t>DP-07: losa superior e=0.10 a nivel del piso terminado</t>
        </is>
      </c>
    </row>
    <row r="39" ht="30" customHeight="1">
      <c r="A39" s="364" t="n"/>
      <c r="B39" s="370" t="inlineStr">
        <is>
          <t>Caja de caida CC: descuento aberturas de registro</t>
        </is>
      </c>
      <c r="C39" s="369" t="inlineStr">
        <is>
          <t>0.70 x 0.70 x e</t>
        </is>
      </c>
      <c r="D39" s="377">
        <f>'COLECTOR PARAMETROS'!$C$35</f>
        <v/>
      </c>
      <c r="E39" s="377">
        <f>'COLECTOR PARAMETROS'!$C$35</f>
        <v/>
      </c>
      <c r="F39" s="374">
        <f>'COLECTOR PARAMETROS'!$C$13</f>
        <v/>
      </c>
      <c r="G39" s="388" t="n">
        <v>-2</v>
      </c>
      <c r="H39" s="364" t="n"/>
      <c r="I39" s="364" t="n"/>
      <c r="J39" s="364" t="n"/>
      <c r="K39" s="377">
        <f>D39*E39*F39*G39</f>
        <v/>
      </c>
      <c r="L39" s="364" t="n"/>
      <c r="M39" s="364" t="n"/>
      <c r="N39" s="373" t="inlineStr">
        <is>
          <t>DP-06B: 2 abertura(s) de registro en la losa</t>
        </is>
      </c>
    </row>
    <row r="40" ht="30" customHeight="1">
      <c r="A40" s="364" t="n"/>
      <c r="B40" s="370" t="inlineStr">
        <is>
          <t>Caja de caida CC: acabado de losa superior</t>
        </is>
      </c>
      <c r="C40" s="369" t="inlineStr">
        <is>
          <t>exterior</t>
        </is>
      </c>
      <c r="D40" s="377">
        <f>'COLECTOR MOV. TIERRAS'!D22+2*'COLECTOR PARAMETROS'!$C$11</f>
        <v/>
      </c>
      <c r="E40" s="377">
        <f>'COLECTOR MOV. TIERRAS'!E22+2*'COLECTOR PARAMETROS'!$C$11</f>
        <v/>
      </c>
      <c r="F40" s="371" t="n">
        <v>1</v>
      </c>
      <c r="G40" s="388" t="n">
        <v>1</v>
      </c>
      <c r="H40" s="364" t="n"/>
      <c r="I40" s="364" t="n"/>
      <c r="J40" s="364" t="n"/>
      <c r="K40" s="364" t="n"/>
      <c r="L40" s="377">
        <f>D40*E40</f>
        <v/>
      </c>
      <c r="M40" s="364" t="n"/>
      <c r="N40" s="373" t="inlineStr">
        <is>
          <t>DP-07: losa superior frotachada y brunada</t>
        </is>
      </c>
    </row>
    <row r="41" ht="30" customHeight="1">
      <c r="A41" s="364" t="n"/>
      <c r="B41" s="370" t="inlineStr">
        <is>
          <t>Caja de caida CC: curado</t>
        </is>
      </c>
      <c r="C41" s="369" t="inlineStr">
        <is>
          <t>caras int. + fondo + losa</t>
        </is>
      </c>
      <c r="D41" s="377">
        <f>2*('COLECTOR MOV. TIERRAS'!D22+'COLECTOR MOV. TIERRAS'!E22)</f>
        <v/>
      </c>
      <c r="E41" s="377">
        <f>'COLECTOR MOV. TIERRAS'!F22</f>
        <v/>
      </c>
      <c r="F41" s="371" t="n">
        <v>1</v>
      </c>
      <c r="G41" s="388" t="n">
        <v>1</v>
      </c>
      <c r="H41" s="364" t="n"/>
      <c r="I41" s="364" t="n"/>
      <c r="J41" s="364" t="n"/>
      <c r="K41" s="364" t="n"/>
      <c r="L41" s="364" t="n"/>
      <c r="M41" s="377">
        <f>D41*E41+'COLECTOR MOV. TIERRAS'!D22*'COLECTOR MOV. TIERRAS'!E22+('COLECTOR MOV. TIERRAS'!D22+2*'COLECTOR PARAMETROS'!$C$11)*('COLECTOR MOV. TIERRAS'!E22+2*'COLECTOR PARAMETROS'!$C$11)</f>
        <v/>
      </c>
      <c r="N41" s="373" t="inlineStr">
        <is>
          <t>Caras interiores de muros (perimetro x H) + fondo interior + losa superior</t>
        </is>
      </c>
    </row>
    <row r="42" ht="20" customHeight="1">
      <c r="A42" s="381" t="inlineStr">
        <is>
          <t>REGISTROS DE LIMPIEZA EN LA LOSA DEL COLECTOR - lamina DP-06B (borde engrosado 0.15 x 0.10 alrededor de la abertura; descuento de la abertura 0.70 x 0.70 en la losa superior)</t>
        </is>
      </c>
      <c r="B42" s="382" t="n"/>
      <c r="C42" s="382" t="n"/>
      <c r="D42" s="382" t="n"/>
      <c r="E42" s="382" t="n"/>
      <c r="F42" s="382" t="n"/>
      <c r="G42" s="382" t="n"/>
      <c r="H42" s="382" t="n"/>
      <c r="I42" s="382" t="n"/>
      <c r="J42" s="382" t="n"/>
      <c r="K42" s="382" t="n"/>
      <c r="L42" s="382" t="n"/>
      <c r="M42" s="382" t="n"/>
      <c r="N42" s="382" t="n"/>
    </row>
    <row r="43" ht="30" customHeight="1">
      <c r="A43" s="364" t="n"/>
      <c r="B43" s="369" t="inlineStr">
        <is>
          <t>Registros: borde engrosado de la abertura</t>
        </is>
      </c>
      <c r="C43" s="369" t="inlineStr">
        <is>
          <t>perimetro x seccion</t>
        </is>
      </c>
      <c r="D43" s="377">
        <f>'COLECTOR PARAMETROS'!$C$42</f>
        <v/>
      </c>
      <c r="E43" s="377">
        <f>'COLECTOR PARAMETROS'!$C$43</f>
        <v/>
      </c>
      <c r="F43" s="371" t="n">
        <v>1</v>
      </c>
      <c r="G43" s="389">
        <f>'COLECTOR PARAMETROS'!$C$32</f>
        <v/>
      </c>
      <c r="H43" s="364" t="n"/>
      <c r="I43" s="364" t="n"/>
      <c r="J43" s="364" t="n"/>
      <c r="K43" s="377">
        <f>D43*E43*F43*G43</f>
        <v/>
      </c>
      <c r="L43" s="364" t="n"/>
      <c r="M43" s="364" t="n"/>
      <c r="N43" s="373" t="inlineStr">
        <is>
          <t>DP-06B: borde engrosado en los 10 registros (7 en la losa del colector, 1 en CL y 2 en CC)</t>
        </is>
      </c>
    </row>
    <row r="44" ht="30" customHeight="1">
      <c r="A44" s="364" t="n"/>
      <c r="B44" s="369" t="inlineStr">
        <is>
          <t>Registros RS-01 a RS-07: descuento de la abertura en la losa superior</t>
        </is>
      </c>
      <c r="C44" s="369" t="inlineStr">
        <is>
          <t>0.70 x 0.70 x e</t>
        </is>
      </c>
      <c r="D44" s="377">
        <f>'COLECTOR PARAMETROS'!$C$35</f>
        <v/>
      </c>
      <c r="E44" s="377">
        <f>'COLECTOR PARAMETROS'!$C$35</f>
        <v/>
      </c>
      <c r="F44" s="374">
        <f>'COLECTOR PARAMETROS'!$C$13</f>
        <v/>
      </c>
      <c r="G44" s="389">
        <f>-('COLECTOR PARAMETROS'!$C$32-3)</f>
        <v/>
      </c>
      <c r="H44" s="364" t="n"/>
      <c r="I44" s="364" t="n"/>
      <c r="J44" s="364" t="n"/>
      <c r="K44" s="377">
        <f>D44*E44*F44*G44</f>
        <v/>
      </c>
      <c r="L44" s="364" t="n"/>
      <c r="M44" s="364" t="n"/>
      <c r="N44" s="373" t="inlineStr">
        <is>
          <t>DP-06B</t>
        </is>
      </c>
    </row>
    <row r="45" ht="22" customHeight="1">
      <c r="A45" s="378" t="inlineStr">
        <is>
          <t>TOTAL CAJAS Y REGISTROS</t>
        </is>
      </c>
      <c r="B45" s="379" t="n"/>
      <c r="C45" s="379" t="n"/>
      <c r="D45" s="379" t="n"/>
      <c r="E45" s="379" t="n"/>
      <c r="F45" s="379" t="n"/>
      <c r="G45" s="379" t="n"/>
      <c r="H45" s="380">
        <f>SUM(H21:H44)</f>
        <v/>
      </c>
      <c r="I45" s="380">
        <f>SUM(I21:I44)</f>
        <v/>
      </c>
      <c r="J45" s="380">
        <f>SUM(J21:J44)</f>
        <v/>
      </c>
      <c r="K45" s="380">
        <f>SUM(K21:K44)</f>
        <v/>
      </c>
      <c r="L45" s="380">
        <f>SUM(L21:L44)</f>
        <v/>
      </c>
      <c r="M45" s="380">
        <f>SUM(M21:M44)</f>
        <v/>
      </c>
      <c r="N45" s="379" t="n"/>
    </row>
    <row r="47" ht="20" customHeight="1">
      <c r="A47" s="381" t="inlineStr">
        <is>
          <t>RESUMEN PARA LA PLANILLA GENERAL (partidas 01.04.04.03 y 01.04.04.04)</t>
        </is>
      </c>
      <c r="B47" s="382" t="n"/>
      <c r="C47" s="382" t="n"/>
      <c r="D47" s="382" t="n"/>
      <c r="E47" s="382" t="n"/>
      <c r="F47" s="382" t="n"/>
      <c r="G47" s="382" t="n"/>
      <c r="H47" s="382" t="n"/>
      <c r="I47" s="382" t="n"/>
      <c r="J47" s="382" t="n"/>
      <c r="K47" s="382" t="n"/>
      <c r="L47" s="382" t="n"/>
      <c r="M47" s="382" t="n"/>
      <c r="N47" s="382" t="n"/>
    </row>
    <row r="48" ht="22" customHeight="1">
      <c r="A48" s="369" t="n">
        <v>1</v>
      </c>
      <c r="B48" s="383" t="inlineStr">
        <is>
          <t>CONCRETO f'c=100 PARA SOLADO e=0.05</t>
        </is>
      </c>
      <c r="C48" s="384" t="n"/>
      <c r="D48" s="384" t="n"/>
      <c r="E48" s="385" t="n"/>
      <c r="F48" s="372" t="inlineStr">
        <is>
          <t>m2</t>
        </is>
      </c>
      <c r="G48" s="377">
        <f>H17</f>
        <v/>
      </c>
      <c r="H48" s="377">
        <f>H45</f>
        <v/>
      </c>
      <c r="I48" s="386">
        <f>G48+H48</f>
        <v/>
      </c>
    </row>
    <row r="49" ht="22" customHeight="1">
      <c r="A49" s="369" t="n">
        <v>2</v>
      </c>
      <c r="B49" s="383" t="inlineStr">
        <is>
          <t>CONCRETO f'c=210 EN LOSA DE FONDO</t>
        </is>
      </c>
      <c r="C49" s="384" t="n"/>
      <c r="D49" s="384" t="n"/>
      <c r="E49" s="385" t="n"/>
      <c r="F49" s="372" t="inlineStr">
        <is>
          <t>m3</t>
        </is>
      </c>
      <c r="G49" s="377">
        <f>I17</f>
        <v/>
      </c>
      <c r="H49" s="377">
        <f>I45</f>
        <v/>
      </c>
      <c r="I49" s="386">
        <f>G49+H49</f>
        <v/>
      </c>
    </row>
    <row r="50" ht="22" customHeight="1">
      <c r="A50" s="369" t="n">
        <v>3</v>
      </c>
      <c r="B50" s="383" t="inlineStr">
        <is>
          <t>CONCRETO f'c=210 EN MUROS</t>
        </is>
      </c>
      <c r="C50" s="384" t="n"/>
      <c r="D50" s="384" t="n"/>
      <c r="E50" s="385" t="n"/>
      <c r="F50" s="372" t="inlineStr">
        <is>
          <t>m3</t>
        </is>
      </c>
      <c r="G50" s="377">
        <f>J17</f>
        <v/>
      </c>
      <c r="H50" s="377">
        <f>J45</f>
        <v/>
      </c>
      <c r="I50" s="386">
        <f>G50+H50</f>
        <v/>
      </c>
    </row>
    <row r="51" ht="22" customHeight="1">
      <c r="A51" s="369" t="n">
        <v>4</v>
      </c>
      <c r="B51" s="383" t="inlineStr">
        <is>
          <t>CONCRETO f'c=210 EN LOSA SUPERIOR</t>
        </is>
      </c>
      <c r="C51" s="384" t="n"/>
      <c r="D51" s="384" t="n"/>
      <c r="E51" s="385" t="n"/>
      <c r="F51" s="372" t="inlineStr">
        <is>
          <t>m3</t>
        </is>
      </c>
      <c r="G51" s="377">
        <f>K17</f>
        <v/>
      </c>
      <c r="H51" s="377">
        <f>K45</f>
        <v/>
      </c>
      <c r="I51" s="386">
        <f>G51+H51</f>
        <v/>
      </c>
    </row>
    <row r="52" ht="22" customHeight="1">
      <c r="A52" s="369" t="n">
        <v>5</v>
      </c>
      <c r="B52" s="383" t="inlineStr">
        <is>
          <t>ACABADO FROTACHADO Y BRUÑADO DE LOSA SUPERIOR</t>
        </is>
      </c>
      <c r="C52" s="384" t="n"/>
      <c r="D52" s="384" t="n"/>
      <c r="E52" s="385" t="n"/>
      <c r="F52" s="372" t="inlineStr">
        <is>
          <t>m2</t>
        </is>
      </c>
      <c r="G52" s="377">
        <f>L17</f>
        <v/>
      </c>
      <c r="H52" s="377">
        <f>L45</f>
        <v/>
      </c>
      <c r="I52" s="386">
        <f>G52+H52</f>
        <v/>
      </c>
    </row>
    <row r="53" ht="22" customHeight="1">
      <c r="A53" s="369" t="n">
        <v>6</v>
      </c>
      <c r="B53" s="383" t="inlineStr">
        <is>
          <t>CURADO DE CONCRETO</t>
        </is>
      </c>
      <c r="C53" s="384" t="n"/>
      <c r="D53" s="384" t="n"/>
      <c r="E53" s="385" t="n"/>
      <c r="F53" s="372" t="inlineStr">
        <is>
          <t>m2</t>
        </is>
      </c>
      <c r="G53" s="377">
        <f>M17</f>
        <v/>
      </c>
      <c r="H53" s="377">
        <f>M45</f>
        <v/>
      </c>
      <c r="I53" s="386">
        <f>G53+H53</f>
        <v/>
      </c>
    </row>
  </sheetData>
  <mergeCells count="19">
    <mergeCell ref="B49:E49"/>
    <mergeCell ref="B51:E51"/>
    <mergeCell ref="A1:N1"/>
    <mergeCell ref="C2:N2"/>
    <mergeCell ref="B50:E50"/>
    <mergeCell ref="A7:N7"/>
    <mergeCell ref="A3:B3"/>
    <mergeCell ref="A2:B2"/>
    <mergeCell ref="B52:E52"/>
    <mergeCell ref="A5:B5"/>
    <mergeCell ref="B48:E48"/>
    <mergeCell ref="A47:N47"/>
    <mergeCell ref="A42:N42"/>
    <mergeCell ref="C3:N3"/>
    <mergeCell ref="A4:B4"/>
    <mergeCell ref="B53:E53"/>
    <mergeCell ref="C5:N5"/>
    <mergeCell ref="A19:N19"/>
    <mergeCell ref="C4:N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3" customWidth="1" min="8" max="8"/>
    <col width="14" customWidth="1" min="9" max="9"/>
    <col width="13" customWidth="1" min="10" max="10"/>
    <col width="12" customWidth="1" min="11" max="11"/>
    <col width="46" customWidth="1" min="12" max="12"/>
  </cols>
  <sheetData>
    <row r="1" ht="27" customHeight="1">
      <c r="A1" s="361" t="inlineStr">
        <is>
          <t>COLECTOR PLUVIAL FRONTAL - METRADO DE ENCOFRADO Y DESENCOFRADO</t>
        </is>
      </c>
      <c r="B1" s="362" t="n"/>
      <c r="C1" s="362" t="n"/>
      <c r="D1" s="362" t="n"/>
      <c r="E1" s="362" t="n"/>
      <c r="F1" s="362" t="n"/>
      <c r="G1" s="362" t="n"/>
      <c r="H1" s="362" t="n"/>
      <c r="I1" s="362" t="n"/>
      <c r="J1" s="362" t="n"/>
      <c r="K1" s="362" t="n"/>
      <c r="L1" s="362" t="n"/>
    </row>
    <row r="2" ht="25" customHeight="1">
      <c r="A2" s="363" t="inlineStr">
        <is>
          <t>ENTIDAD</t>
        </is>
      </c>
      <c r="B2" s="364" t="n"/>
      <c r="C2" s="365">
        <f>+RESUMEN!B4</f>
        <v/>
      </c>
      <c r="D2" s="364" t="n"/>
      <c r="E2" s="364" t="n"/>
      <c r="F2" s="364" t="n"/>
      <c r="G2" s="364" t="n"/>
      <c r="H2" s="364" t="n"/>
      <c r="I2" s="364" t="n"/>
      <c r="J2" s="364" t="n"/>
      <c r="K2" s="364" t="n"/>
      <c r="L2" s="364" t="n"/>
    </row>
    <row r="3" ht="59" customHeight="1">
      <c r="A3" s="363" t="inlineStr">
        <is>
          <t>PROYECTO</t>
        </is>
      </c>
      <c r="B3" s="364" t="n"/>
      <c r="C3" s="365">
        <f>+RESUMEN!B5</f>
        <v/>
      </c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</row>
    <row r="4" ht="25" customHeight="1">
      <c r="A4" s="363" t="inlineStr">
        <is>
          <t>UBICACIÓN</t>
        </is>
      </c>
      <c r="B4" s="364" t="n"/>
      <c r="C4" s="365">
        <f>+RESUMEN!B6</f>
        <v/>
      </c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</row>
    <row r="5" ht="25" customHeight="1">
      <c r="A5" s="363" t="inlineStr">
        <is>
          <t>FECHA</t>
        </is>
      </c>
      <c r="B5" s="364" t="n"/>
      <c r="C5" s="366">
        <f>+RESUMEN!B7</f>
        <v/>
      </c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</row>
    <row r="7" ht="48" customHeight="1">
      <c r="A7" s="367" t="inlineStr">
        <is>
          <t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</row>
    <row r="9" ht="48" customHeight="1">
      <c r="A9" s="368" t="inlineStr">
        <is>
          <t>N°</t>
        </is>
      </c>
      <c r="B9" s="368" t="inlineStr">
        <is>
          <t>TRAMO</t>
        </is>
      </c>
      <c r="C9" s="368" t="inlineStr">
        <is>
          <t>ZONA</t>
        </is>
      </c>
      <c r="D9" s="368" t="inlineStr">
        <is>
          <t>LONGITUD (m)</t>
        </is>
      </c>
      <c r="E9" s="368" t="inlineStr">
        <is>
          <t>ALTURA INTERIOR h (m)</t>
        </is>
      </c>
      <c r="F9" s="368" t="inlineStr">
        <is>
          <t>e LOSA SUP. (m)</t>
        </is>
      </c>
      <c r="G9" s="368" t="inlineStr">
        <is>
          <t>ANCHO INT. b (m)</t>
        </is>
      </c>
      <c r="H9" s="368" t="inlineStr">
        <is>
          <t>CARAS INTERIORES DE MUROS 2 x h x L (m2)</t>
        </is>
      </c>
      <c r="I9" s="368" t="inlineStr">
        <is>
          <t>CARAS EXTERIORES 2 x (e fondo + h + e losa) x L (m2)</t>
        </is>
      </c>
      <c r="J9" s="368" t="inlineStr">
        <is>
          <t>FONDO DE LOSA SUPERIOR b x L (m2)</t>
        </is>
      </c>
      <c r="K9" s="368" t="inlineStr">
        <is>
          <t>TOTAL ENCOFRADO (m2)</t>
        </is>
      </c>
      <c r="L9" s="368" t="inlineStr">
        <is>
          <t>SUSTENTO</t>
        </is>
      </c>
    </row>
    <row r="10" ht="30" customHeight="1">
      <c r="A10" s="369" t="n">
        <v>1</v>
      </c>
      <c r="B10" s="369" t="inlineStr">
        <is>
          <t>tramo normal</t>
        </is>
      </c>
      <c r="C10" s="375" t="inlineStr">
        <is>
          <t>NORMAL</t>
        </is>
      </c>
      <c r="D10" s="377">
        <f>'COLECTOR MOV. TIERRAS'!F10</f>
        <v/>
      </c>
      <c r="E10" s="374">
        <f>'COLECTOR MOV. TIERRAS'!G10</f>
        <v/>
      </c>
      <c r="F10" s="377">
        <f>'COLECTOR MOV. TIERRAS'!H10</f>
        <v/>
      </c>
      <c r="G10" s="377">
        <f>'COLECTOR PARAMETROS'!$C$10</f>
        <v/>
      </c>
      <c r="H10" s="377">
        <f>2*E10*D10</f>
        <v/>
      </c>
      <c r="I10" s="377">
        <f>2*('COLECTOR PARAMETROS'!$C$12+E10+F10)*D10</f>
        <v/>
      </c>
      <c r="J10" s="377">
        <f>G10*D10</f>
        <v/>
      </c>
      <c r="K10" s="386">
        <f>SUM(H10:J10)</f>
        <v/>
      </c>
      <c r="L10" s="373" t="inlineStr">
        <is>
          <t>DP-04 (secciones), DA-02 (areas por metro)</t>
        </is>
      </c>
    </row>
    <row r="11" ht="30" customHeight="1">
      <c r="A11" s="369" t="n">
        <v>2</v>
      </c>
      <c r="B11" s="369" t="inlineStr">
        <is>
          <t>cruce de camiones</t>
        </is>
      </c>
      <c r="C11" s="375" t="inlineStr">
        <is>
          <t>CAMION</t>
        </is>
      </c>
      <c r="D11" s="377">
        <f>'COLECTOR MOV. TIERRAS'!F11</f>
        <v/>
      </c>
      <c r="E11" s="374">
        <f>'COLECTOR MOV. TIERRAS'!G11</f>
        <v/>
      </c>
      <c r="F11" s="377">
        <f>'COLECTOR MOV. TIERRAS'!H11</f>
        <v/>
      </c>
      <c r="G11" s="377">
        <f>'COLECTOR PARAMETROS'!$C$10</f>
        <v/>
      </c>
      <c r="H11" s="377">
        <f>2*E11*D11</f>
        <v/>
      </c>
      <c r="I11" s="377">
        <f>2*('COLECTOR PARAMETROS'!$C$12+E11+F11)*D11</f>
        <v/>
      </c>
      <c r="J11" s="377">
        <f>G11*D11</f>
        <v/>
      </c>
      <c r="K11" s="386">
        <f>SUM(H11:J11)</f>
        <v/>
      </c>
      <c r="L11" s="373" t="inlineStr">
        <is>
          <t>DP-04 (secciones), DA-02 (areas por metro)</t>
        </is>
      </c>
    </row>
    <row r="12" ht="30" customHeight="1">
      <c r="A12" s="369" t="n">
        <v>3</v>
      </c>
      <c r="B12" s="369" t="inlineStr">
        <is>
          <t>tramo normal</t>
        </is>
      </c>
      <c r="C12" s="375" t="inlineStr">
        <is>
          <t>NORMAL</t>
        </is>
      </c>
      <c r="D12" s="377">
        <f>'COLECTOR MOV. TIERRAS'!F12</f>
        <v/>
      </c>
      <c r="E12" s="374">
        <f>'COLECTOR MOV. TIERRAS'!G12</f>
        <v/>
      </c>
      <c r="F12" s="377">
        <f>'COLECTOR MOV. TIERRAS'!H12</f>
        <v/>
      </c>
      <c r="G12" s="377">
        <f>'COLECTOR PARAMETROS'!$C$10</f>
        <v/>
      </c>
      <c r="H12" s="377">
        <f>2*E12*D12</f>
        <v/>
      </c>
      <c r="I12" s="377">
        <f>2*('COLECTOR PARAMETROS'!$C$12+E12+F12)*D12</f>
        <v/>
      </c>
      <c r="J12" s="377">
        <f>G12*D12</f>
        <v/>
      </c>
      <c r="K12" s="386">
        <f>SUM(H12:J12)</f>
        <v/>
      </c>
      <c r="L12" s="373" t="inlineStr">
        <is>
          <t>DP-04 (secciones), DA-02 (areas por metro)</t>
        </is>
      </c>
    </row>
    <row r="13" ht="30" customHeight="1">
      <c r="A13" s="369" t="n">
        <v>4</v>
      </c>
      <c r="B13" s="369" t="inlineStr">
        <is>
          <t>cruce de motos</t>
        </is>
      </c>
      <c r="C13" s="375" t="inlineStr">
        <is>
          <t>MOTOS</t>
        </is>
      </c>
      <c r="D13" s="377">
        <f>'COLECTOR MOV. TIERRAS'!F13</f>
        <v/>
      </c>
      <c r="E13" s="374">
        <f>'COLECTOR MOV. TIERRAS'!G13</f>
        <v/>
      </c>
      <c r="F13" s="377">
        <f>'COLECTOR MOV. TIERRAS'!H13</f>
        <v/>
      </c>
      <c r="G13" s="377">
        <f>'COLECTOR PARAMETROS'!$C$10</f>
        <v/>
      </c>
      <c r="H13" s="377">
        <f>2*E13*D13</f>
        <v/>
      </c>
      <c r="I13" s="377">
        <f>2*('COLECTOR PARAMETROS'!$C$12+E13+F13)*D13</f>
        <v/>
      </c>
      <c r="J13" s="377">
        <f>G13*D13</f>
        <v/>
      </c>
      <c r="K13" s="386">
        <f>SUM(H13:J13)</f>
        <v/>
      </c>
      <c r="L13" s="373" t="inlineStr">
        <is>
          <t>DP-04 (secciones), DA-02 (areas por metro)</t>
        </is>
      </c>
    </row>
    <row r="14" ht="30" customHeight="1">
      <c r="A14" s="369" t="n">
        <v>5</v>
      </c>
      <c r="B14" s="369" t="inlineStr">
        <is>
          <t>tramo normal</t>
        </is>
      </c>
      <c r="C14" s="375" t="inlineStr">
        <is>
          <t>NORMAL</t>
        </is>
      </c>
      <c r="D14" s="377">
        <f>'COLECTOR MOV. TIERRAS'!F14</f>
        <v/>
      </c>
      <c r="E14" s="374">
        <f>'COLECTOR MOV. TIERRAS'!G14</f>
        <v/>
      </c>
      <c r="F14" s="377">
        <f>'COLECTOR MOV. TIERRAS'!H14</f>
        <v/>
      </c>
      <c r="G14" s="377">
        <f>'COLECTOR PARAMETROS'!$C$10</f>
        <v/>
      </c>
      <c r="H14" s="377">
        <f>2*E14*D14</f>
        <v/>
      </c>
      <c r="I14" s="377">
        <f>2*('COLECTOR PARAMETROS'!$C$12+E14+F14)*D14</f>
        <v/>
      </c>
      <c r="J14" s="377">
        <f>G14*D14</f>
        <v/>
      </c>
      <c r="K14" s="386">
        <f>SUM(H14:J14)</f>
        <v/>
      </c>
      <c r="L14" s="373" t="inlineStr">
        <is>
          <t>DP-04 (secciones), DA-02 (areas por metro)</t>
        </is>
      </c>
    </row>
    <row r="15" ht="30" customHeight="1">
      <c r="A15" s="369" t="n">
        <v>6</v>
      </c>
      <c r="B15" s="369" t="inlineStr">
        <is>
          <t>tramo diagonal (quiebres)</t>
        </is>
      </c>
      <c r="C15" s="375" t="inlineStr">
        <is>
          <t>NORMAL</t>
        </is>
      </c>
      <c r="D15" s="377">
        <f>'COLECTOR MOV. TIERRAS'!F15</f>
        <v/>
      </c>
      <c r="E15" s="374">
        <f>'COLECTOR MOV. TIERRAS'!G15</f>
        <v/>
      </c>
      <c r="F15" s="377">
        <f>'COLECTOR MOV. TIERRAS'!H15</f>
        <v/>
      </c>
      <c r="G15" s="377">
        <f>'COLECTOR PARAMETROS'!$C$10</f>
        <v/>
      </c>
      <c r="H15" s="377">
        <f>2*E15*D15</f>
        <v/>
      </c>
      <c r="I15" s="377">
        <f>2*('COLECTOR PARAMETROS'!$C$12+E15+F15)*D15</f>
        <v/>
      </c>
      <c r="J15" s="377">
        <f>G15*D15</f>
        <v/>
      </c>
      <c r="K15" s="386">
        <f>SUM(H15:J15)</f>
        <v/>
      </c>
      <c r="L15" s="373" t="inlineStr">
        <is>
          <t>DP-04 (secciones), DA-02 (areas por metro)</t>
        </is>
      </c>
    </row>
    <row r="16" ht="30" customHeight="1">
      <c r="A16" s="369" t="n">
        <v>7</v>
      </c>
      <c r="B16" s="369" t="inlineStr">
        <is>
          <t>tramo recto final</t>
        </is>
      </c>
      <c r="C16" s="375" t="inlineStr">
        <is>
          <t>NORMAL</t>
        </is>
      </c>
      <c r="D16" s="377">
        <f>'COLECTOR MOV. TIERRAS'!F16</f>
        <v/>
      </c>
      <c r="E16" s="374">
        <f>'COLECTOR MOV. TIERRAS'!G16</f>
        <v/>
      </c>
      <c r="F16" s="377">
        <f>'COLECTOR MOV. TIERRAS'!H16</f>
        <v/>
      </c>
      <c r="G16" s="377">
        <f>'COLECTOR PARAMETROS'!$C$10</f>
        <v/>
      </c>
      <c r="H16" s="377">
        <f>2*E16*D16</f>
        <v/>
      </c>
      <c r="I16" s="377">
        <f>2*('COLECTOR PARAMETROS'!$C$12+E16+F16)*D16</f>
        <v/>
      </c>
      <c r="J16" s="377">
        <f>G16*D16</f>
        <v/>
      </c>
      <c r="K16" s="386">
        <f>SUM(H16:J16)</f>
        <v/>
      </c>
      <c r="L16" s="373" t="inlineStr">
        <is>
          <t>DP-04 (secciones), DA-02 (areas por metro)</t>
        </is>
      </c>
    </row>
    <row r="17" ht="22" customHeight="1">
      <c r="A17" s="378" t="inlineStr">
        <is>
          <t>TOTAL COLECTOR (tramos)</t>
        </is>
      </c>
      <c r="B17" s="379" t="n"/>
      <c r="C17" s="379" t="n"/>
      <c r="D17" s="380">
        <f>SUM(D10:D16)</f>
        <v/>
      </c>
      <c r="E17" s="379" t="n"/>
      <c r="F17" s="379" t="n"/>
      <c r="G17" s="379" t="n"/>
      <c r="H17" s="380">
        <f>SUM(H10:H16)</f>
        <v/>
      </c>
      <c r="I17" s="380">
        <f>SUM(I10:I16)</f>
        <v/>
      </c>
      <c r="J17" s="380">
        <f>SUM(J10:J16)</f>
        <v/>
      </c>
      <c r="K17" s="380">
        <f>SUM(K10:K16)</f>
        <v/>
      </c>
      <c r="L17" s="379" t="n"/>
    </row>
    <row r="19" ht="20" customHeight="1">
      <c r="A19" s="381" t="inlineStr">
        <is>
          <t>CAJAS CL Y CC - lamina DP-07: caras interiores y exteriores de muros (perimetro x H, dos caras), fondo de la losa superior (interior) y, en CC, caras del umbral y del murete de la poza</t>
        </is>
      </c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</row>
    <row r="20" ht="48" customHeight="1">
      <c r="A20" s="368" t="inlineStr">
        <is>
          <t>N°</t>
        </is>
      </c>
      <c r="B20" s="368" t="inlineStr">
        <is>
          <t>CAJA / ELEMENTO</t>
        </is>
      </c>
      <c r="C20" s="368" t="inlineStr">
        <is>
          <t>DETALLE</t>
        </is>
      </c>
      <c r="D20" s="368" t="inlineStr">
        <is>
          <t>LARGO (m)</t>
        </is>
      </c>
      <c r="E20" s="368" t="inlineStr">
        <is>
          <t>ALTO (m)</t>
        </is>
      </c>
      <c r="F20" s="368" t="inlineStr">
        <is>
          <t>CARAS</t>
        </is>
      </c>
      <c r="G20" s="368" t="inlineStr"/>
      <c r="H20" s="368" t="inlineStr"/>
      <c r="I20" s="368" t="inlineStr"/>
      <c r="J20" s="368" t="inlineStr"/>
      <c r="K20" s="368" t="inlineStr">
        <is>
          <t>AREA (m2)</t>
        </is>
      </c>
      <c r="L20" s="368" t="inlineStr">
        <is>
          <t>SUSTENTO</t>
        </is>
      </c>
    </row>
    <row r="21" ht="30" customHeight="1">
      <c r="A21" s="364" t="n"/>
      <c r="B21" s="370" t="inlineStr">
        <is>
          <t>Caja de llegada CL: muros, cara interior y exterior</t>
        </is>
      </c>
      <c r="C21" s="369" t="inlineStr">
        <is>
          <t>perimetro int. x H</t>
        </is>
      </c>
      <c r="D21" s="377">
        <f>2*('COLECTOR MOV. TIERRAS'!D21+'COLECTOR MOV. TIERRAS'!E21)</f>
        <v/>
      </c>
      <c r="E21" s="374">
        <f>'COLECTOR MOV. TIERRAS'!F21</f>
        <v/>
      </c>
      <c r="F21" s="388" t="n">
        <v>2</v>
      </c>
      <c r="G21" s="364" t="n"/>
      <c r="H21" s="364" t="n"/>
      <c r="I21" s="364" t="n"/>
      <c r="J21" s="364" t="n"/>
      <c r="K21" s="377">
        <f>D21*E21*F21</f>
        <v/>
      </c>
      <c r="L21" s="373" t="inlineStr">
        <is>
          <t>DP-07: muros e=0.15 encofrados por ambas caras</t>
        </is>
      </c>
    </row>
    <row r="22" ht="30" customHeight="1">
      <c r="A22" s="364" t="n"/>
      <c r="B22" s="370" t="inlineStr">
        <is>
          <t>Caja de llegada CL: fondo de la losa superior</t>
        </is>
      </c>
      <c r="C22" s="369" t="inlineStr">
        <is>
          <t>interior</t>
        </is>
      </c>
      <c r="D22" s="377">
        <f>'COLECTOR MOV. TIERRAS'!D21</f>
        <v/>
      </c>
      <c r="E22" s="374">
        <f>'COLECTOR MOV. TIERRAS'!E21</f>
        <v/>
      </c>
      <c r="F22" s="388" t="n">
        <v>1</v>
      </c>
      <c r="G22" s="364" t="n"/>
      <c r="H22" s="364" t="n"/>
      <c r="I22" s="364" t="n"/>
      <c r="J22" s="364" t="n"/>
      <c r="K22" s="377">
        <f>D22*E22*F22</f>
        <v/>
      </c>
      <c r="L22" s="373" t="inlineStr">
        <is>
          <t>DP-07: losa superior e=0.10 encofrada por debajo</t>
        </is>
      </c>
    </row>
    <row r="23" ht="30" customHeight="1">
      <c r="A23" s="364" t="n"/>
      <c r="B23" s="370" t="inlineStr">
        <is>
          <t>Caja de llegada CL: cara del murete de la poza</t>
        </is>
      </c>
      <c r="C23" s="369" t="inlineStr">
        <is>
          <t>ancho x desnivel</t>
        </is>
      </c>
      <c r="D23" s="377">
        <f>'COLECTOR MOV. TIERRAS'!E21</f>
        <v/>
      </c>
      <c r="E23" s="374">
        <f>'COLECTOR PARAMETROS'!$C$46</f>
        <v/>
      </c>
      <c r="F23" s="388" t="n">
        <v>1</v>
      </c>
      <c r="G23" s="364" t="n"/>
      <c r="H23" s="364" t="n"/>
      <c r="I23" s="364" t="n"/>
      <c r="J23" s="364" t="n"/>
      <c r="K23" s="377">
        <f>D23*E23*F23</f>
        <v/>
      </c>
      <c r="L23" s="373" t="inlineStr">
        <is>
          <t>DP-07 (corte): murete entre el fondo del colector y el piso de la poza</t>
        </is>
      </c>
    </row>
    <row r="24" ht="30" customHeight="1">
      <c r="A24" s="364" t="n"/>
      <c r="B24" s="370" t="inlineStr">
        <is>
          <t>Caja de caida CC: muros, cara interior y exterior</t>
        </is>
      </c>
      <c r="C24" s="369" t="inlineStr">
        <is>
          <t>perimetro int. x H</t>
        </is>
      </c>
      <c r="D24" s="377">
        <f>2*('COLECTOR MOV. TIERRAS'!D22+'COLECTOR MOV. TIERRAS'!E22)</f>
        <v/>
      </c>
      <c r="E24" s="374">
        <f>'COLECTOR MOV. TIERRAS'!F22</f>
        <v/>
      </c>
      <c r="F24" s="388" t="n">
        <v>2</v>
      </c>
      <c r="G24" s="364" t="n"/>
      <c r="H24" s="364" t="n"/>
      <c r="I24" s="364" t="n"/>
      <c r="J24" s="364" t="n"/>
      <c r="K24" s="377">
        <f>D24*E24*F24</f>
        <v/>
      </c>
      <c r="L24" s="373" t="inlineStr">
        <is>
          <t>DP-07: muros e=0.15 encofrados por ambas caras</t>
        </is>
      </c>
    </row>
    <row r="25" ht="30" customHeight="1">
      <c r="A25" s="364" t="n"/>
      <c r="B25" s="370" t="inlineStr">
        <is>
          <t>Caja de caida CC: fondo de la losa superior</t>
        </is>
      </c>
      <c r="C25" s="369" t="inlineStr">
        <is>
          <t>interior</t>
        </is>
      </c>
      <c r="D25" s="377">
        <f>'COLECTOR MOV. TIERRAS'!D22</f>
        <v/>
      </c>
      <c r="E25" s="374">
        <f>'COLECTOR MOV. TIERRAS'!E22</f>
        <v/>
      </c>
      <c r="F25" s="388" t="n">
        <v>1</v>
      </c>
      <c r="G25" s="364" t="n"/>
      <c r="H25" s="364" t="n"/>
      <c r="I25" s="364" t="n"/>
      <c r="J25" s="364" t="n"/>
      <c r="K25" s="377">
        <f>D25*E25*F25</f>
        <v/>
      </c>
      <c r="L25" s="373" t="inlineStr">
        <is>
          <t>DP-07: losa superior e=0.10 encofrada por debajo</t>
        </is>
      </c>
    </row>
    <row r="26" ht="30" customHeight="1">
      <c r="A26" s="364" t="n"/>
      <c r="B26" s="370" t="inlineStr">
        <is>
          <t>Caja de caida CC: caras del umbral de la poza</t>
        </is>
      </c>
      <c r="C26" s="369" t="inlineStr">
        <is>
          <t>2 caras x ancho</t>
        </is>
      </c>
      <c r="D26" s="377">
        <f>'COLECTOR MOV. TIERRAS'!E22</f>
        <v/>
      </c>
      <c r="E26" s="374">
        <f>'COLECTOR PARAMETROS'!$C$57</f>
        <v/>
      </c>
      <c r="F26" s="388" t="n">
        <v>2</v>
      </c>
      <c r="G26" s="364" t="n"/>
      <c r="H26" s="364" t="n"/>
      <c r="I26" s="364" t="n"/>
      <c r="J26" s="364" t="n"/>
      <c r="K26" s="377">
        <f>D26*E26*F26</f>
        <v/>
      </c>
      <c r="L26" s="373" t="inlineStr">
        <is>
          <t>DP-07: umbral 0.25 x 0.40</t>
        </is>
      </c>
    </row>
    <row r="27" ht="30" customHeight="1">
      <c r="A27" s="364" t="n"/>
      <c r="B27" s="370" t="inlineStr">
        <is>
          <t>Caja de caida CC: cara del murete de la poza</t>
        </is>
      </c>
      <c r="C27" s="369" t="inlineStr">
        <is>
          <t>ancho x desnivel</t>
        </is>
      </c>
      <c r="D27" s="377">
        <f>'COLECTOR MOV. TIERRAS'!E22</f>
        <v/>
      </c>
      <c r="E27" s="374">
        <f>'COLECTOR PARAMETROS'!$C$54-('COLECTOR PARAMETROS'!$C$52-'COLECTOR PARAMETROS'!$C$51)</f>
        <v/>
      </c>
      <c r="F27" s="388" t="n">
        <v>1</v>
      </c>
      <c r="G27" s="364" t="n"/>
      <c r="H27" s="364" t="n"/>
      <c r="I27" s="364" t="n"/>
      <c r="J27" s="364" t="n"/>
      <c r="K27" s="377">
        <f>D27*E27*F27</f>
        <v/>
      </c>
      <c r="L27" s="373" t="inlineStr">
        <is>
          <t>DP-07 (corte): murete entre el fondo del colector y el piso de la poza</t>
        </is>
      </c>
    </row>
    <row r="28" ht="22" customHeight="1">
      <c r="A28" s="378" t="inlineStr">
        <is>
          <t>TOTAL CAJAS</t>
        </is>
      </c>
      <c r="B28" s="379" t="n"/>
      <c r="C28" s="379" t="n"/>
      <c r="D28" s="379" t="n"/>
      <c r="E28" s="379" t="n"/>
      <c r="F28" s="379" t="n"/>
      <c r="G28" s="379" t="n"/>
      <c r="H28" s="379" t="n"/>
      <c r="I28" s="379" t="n"/>
      <c r="J28" s="379" t="n"/>
      <c r="K28" s="380">
        <f>SUM(K21:K27)</f>
        <v/>
      </c>
      <c r="L28" s="379" t="n"/>
    </row>
    <row r="30" ht="20" customHeight="1">
      <c r="A30" s="381" t="inlineStr">
        <is>
          <t>RESUMEN PARA LA PLANILLA GENERAL (partida 01.04.04.04.04)</t>
        </is>
      </c>
      <c r="B30" s="382" t="n"/>
      <c r="C30" s="382" t="n"/>
      <c r="D30" s="382" t="n"/>
      <c r="E30" s="382" t="n"/>
      <c r="F30" s="382" t="n"/>
      <c r="G30" s="382" t="n"/>
      <c r="H30" s="382" t="n"/>
      <c r="I30" s="382" t="n"/>
      <c r="J30" s="382" t="n"/>
      <c r="K30" s="382" t="n"/>
      <c r="L30" s="382" t="n"/>
    </row>
    <row r="31" ht="22" customHeight="1">
      <c r="A31" s="369" t="n">
        <v>1</v>
      </c>
      <c r="B31" s="383" t="inlineStr">
        <is>
          <t>ENCOFRADO Y DESENCOFRADO NORMAL EN COLECTOR Y CAJAS</t>
        </is>
      </c>
      <c r="C31" s="384" t="n"/>
      <c r="D31" s="384" t="n"/>
      <c r="E31" s="385" t="n"/>
      <c r="F31" s="372" t="inlineStr">
        <is>
          <t>m2</t>
        </is>
      </c>
      <c r="G31" s="377">
        <f>K17</f>
        <v/>
      </c>
      <c r="H31" s="377">
        <f>K28</f>
        <v/>
      </c>
      <c r="I31" s="386">
        <f>G31+H31</f>
        <v/>
      </c>
    </row>
  </sheetData>
  <mergeCells count="13">
    <mergeCell ref="A4:B4"/>
    <mergeCell ref="C5:L5"/>
    <mergeCell ref="A30:L30"/>
    <mergeCell ref="B31:E31"/>
    <mergeCell ref="A2:B2"/>
    <mergeCell ref="A7:L7"/>
    <mergeCell ref="A19:L19"/>
    <mergeCell ref="C4:L4"/>
    <mergeCell ref="A1:L1"/>
    <mergeCell ref="C3:L3"/>
    <mergeCell ref="A5:B5"/>
    <mergeCell ref="C2:L2"/>
    <mergeCell ref="A3:B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44" customWidth="1" min="22" max="22"/>
  </cols>
  <sheetData>
    <row r="1" ht="27" customHeight="1">
      <c r="A1" s="361" t="inlineStr">
        <is>
          <t>COLECTOR PLUVIAL FRONTAL - METRADO DE ACERO DE REFUERZO fy=4200 kg/cm2</t>
        </is>
      </c>
      <c r="B1" s="362" t="n"/>
      <c r="C1" s="362" t="n"/>
      <c r="D1" s="362" t="n"/>
      <c r="E1" s="362" t="n"/>
      <c r="F1" s="362" t="n"/>
      <c r="G1" s="362" t="n"/>
      <c r="H1" s="362" t="n"/>
      <c r="I1" s="362" t="n"/>
      <c r="J1" s="362" t="n"/>
      <c r="K1" s="362" t="n"/>
      <c r="L1" s="362" t="n"/>
      <c r="M1" s="362" t="n"/>
      <c r="N1" s="362" t="n"/>
      <c r="O1" s="362" t="n"/>
      <c r="P1" s="362" t="n"/>
      <c r="Q1" s="362" t="n"/>
      <c r="R1" s="362" t="n"/>
      <c r="S1" s="362" t="n"/>
      <c r="T1" s="362" t="n"/>
      <c r="U1" s="362" t="n"/>
      <c r="V1" s="362" t="n"/>
    </row>
    <row r="2" ht="25" customHeight="1">
      <c r="A2" s="363" t="inlineStr">
        <is>
          <t>ENTIDAD</t>
        </is>
      </c>
      <c r="B2" s="364" t="n"/>
      <c r="C2" s="365">
        <f>+RESUMEN!B4</f>
        <v/>
      </c>
      <c r="D2" s="364" t="n"/>
      <c r="E2" s="364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  <c r="S2" s="364" t="n"/>
      <c r="T2" s="364" t="n"/>
      <c r="U2" s="364" t="n"/>
      <c r="V2" s="364" t="n"/>
    </row>
    <row r="3" ht="59" customHeight="1">
      <c r="A3" s="363" t="inlineStr">
        <is>
          <t>PROYECTO</t>
        </is>
      </c>
      <c r="B3" s="364" t="n"/>
      <c r="C3" s="365">
        <f>+RESUMEN!B5</f>
        <v/>
      </c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</row>
    <row r="4" ht="25" customHeight="1">
      <c r="A4" s="363" t="inlineStr">
        <is>
          <t>UBICACIÓN</t>
        </is>
      </c>
      <c r="B4" s="364" t="n"/>
      <c r="C4" s="365">
        <f>+RESUMEN!B6</f>
        <v/>
      </c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</row>
    <row r="5" ht="25" customHeight="1">
      <c r="A5" s="363" t="inlineStr">
        <is>
          <t>FECHA</t>
        </is>
      </c>
      <c r="B5" s="364" t="n"/>
      <c r="C5" s="366">
        <f>+RESUMEN!B7</f>
        <v/>
      </c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</row>
    <row r="7" ht="48" customHeight="1">
      <c r="A7" s="367" t="inlineStr">
        <is>
          <t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</row>
    <row r="9" ht="60" customHeight="1">
      <c r="A9" s="368" t="inlineStr">
        <is>
          <t>N°</t>
        </is>
      </c>
      <c r="B9" s="368" t="inlineStr">
        <is>
          <t>TRAMO</t>
        </is>
      </c>
      <c r="C9" s="368" t="inlineStr">
        <is>
          <t>ZONA</t>
        </is>
      </c>
      <c r="D9" s="368" t="inlineStr">
        <is>
          <t>LONGITUD (m)</t>
        </is>
      </c>
      <c r="E9" s="368" t="inlineStr">
        <is>
          <t>ALTURA INTERIOR h (m)</t>
        </is>
      </c>
      <c r="F9" s="368" t="inlineStr">
        <is>
          <t>e LOSA SUP. (m)</t>
        </is>
      </c>
      <c r="G9" s="368" t="inlineStr">
        <is>
          <t>ANCHO EXT. (m)</t>
        </is>
      </c>
      <c r="H9" s="368" t="inlineStr">
        <is>
          <t>ESPAC. MARCOS s (m)</t>
        </is>
      </c>
      <c r="I9" s="368" t="inlineStr">
        <is>
          <t>CAPAS (1 = marco unico; 2 = ext. + int.)</t>
        </is>
      </c>
      <c r="J9" s="368" t="inlineStr">
        <is>
          <t>DIAM. MARCOS</t>
        </is>
      </c>
      <c r="K9" s="368" t="inlineStr">
        <is>
          <t>N° DE JUEGOS (L / s, redondeado arriba)</t>
        </is>
      </c>
      <c r="L9" s="368" t="inlineStr">
        <is>
          <t>PERIMETRO MARCO 1 (m)</t>
        </is>
      </c>
      <c r="M9" s="368" t="inlineStr">
        <is>
          <t>PERIMETRO MARCO 2 (m)</t>
        </is>
      </c>
      <c r="N9" s="368" t="inlineStr">
        <is>
          <t>LONGITUD DE MARCOS (m)</t>
        </is>
      </c>
      <c r="O9" s="368" t="inlineStr">
        <is>
          <t>PESO (kg/m)</t>
        </is>
      </c>
      <c r="P9" s="368" t="inlineStr">
        <is>
          <t>ACERO EN MARCOS (kg)</t>
        </is>
      </c>
      <c r="Q9" s="368" t="inlineStr">
        <is>
          <t>ESPAC. LONGIT. (m)</t>
        </is>
      </c>
      <c r="R9" s="368" t="inlineStr">
        <is>
          <t>N° BARRAS LONGIT. (perimetro / espac.)</t>
        </is>
      </c>
      <c r="S9" s="368" t="inlineStr">
        <is>
          <t>LONGITUD LONGIT. CON TRASLAPE (m)</t>
        </is>
      </c>
      <c r="T9" s="368" t="inlineStr">
        <is>
          <t>ACERO LONGIT. 3/8" (kg)</t>
        </is>
      </c>
      <c r="U9" s="368" t="inlineStr">
        <is>
          <t>TOTAL (kg)</t>
        </is>
      </c>
      <c r="V9" s="368" t="inlineStr">
        <is>
          <t>SUSTENTO</t>
        </is>
      </c>
    </row>
    <row r="10" ht="30" customHeight="1">
      <c r="A10" s="369" t="n">
        <v>1</v>
      </c>
      <c r="B10" s="369" t="inlineStr">
        <is>
          <t>tramo normal</t>
        </is>
      </c>
      <c r="C10" s="375" t="inlineStr">
        <is>
          <t>NORMAL</t>
        </is>
      </c>
      <c r="D10" s="377">
        <f>'COLECTOR MOV. TIERRAS'!F10</f>
        <v/>
      </c>
      <c r="E10" s="374">
        <f>'COLECTOR MOV. TIERRAS'!G10</f>
        <v/>
      </c>
      <c r="F10" s="377">
        <f>'COLECTOR MOV. TIERRAS'!H10</f>
        <v/>
      </c>
      <c r="G10" s="377">
        <f>'COLECTOR MOV. TIERRAS'!I10</f>
        <v/>
      </c>
      <c r="H10" s="377">
        <f>'COLECTOR PARAMETROS'!$C$26</f>
        <v/>
      </c>
      <c r="I10" s="388" t="n">
        <v>1</v>
      </c>
      <c r="J10" s="375" t="inlineStr">
        <is>
          <t>3/8"</t>
        </is>
      </c>
      <c r="K10" s="389">
        <f>ROUNDUP(D10/H10,0)</f>
        <v/>
      </c>
      <c r="L10" s="374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/>
      </c>
      <c r="M10" s="374">
        <f>IF(I10=2,2*('COLECTOR PARAMETROS'!$C$10+2*('COLECTOR PARAMETROS'!$C$11-'COLECTOR PARAMETROS'!$C$19))+2*(E10+2*('COLECTOR PARAMETROS'!$C$11-'COLECTOR PARAMETROS'!$C$19))+'COLECTOR PARAMETROS'!$C$24,0)</f>
        <v/>
      </c>
      <c r="N10" s="377">
        <f>K10*(L10+M10)</f>
        <v/>
      </c>
      <c r="O10" s="374">
        <f>IF(J10="1/2""",'COLECTOR PARAMETROS'!$C$21,'COLECTOR PARAMETROS'!$C$20)</f>
        <v/>
      </c>
      <c r="P10" s="377">
        <f>N10*O10</f>
        <v/>
      </c>
      <c r="Q10" s="377">
        <f>'COLECTOR PARAMETROS'!$C$28</f>
        <v/>
      </c>
      <c r="R10" s="389">
        <f>ROUND(L10/Q10,0)+IF(M10&gt;0,ROUND(M10/Q10,0),0)</f>
        <v/>
      </c>
      <c r="S10" s="377">
        <f>R10*D10*(1+'COLECTOR PARAMETROS'!$C$22/'COLECTOR PARAMETROS'!$C$23)</f>
        <v/>
      </c>
      <c r="T10" s="377">
        <f>S10*'COLECTOR PARAMETROS'!$C$20</f>
        <v/>
      </c>
      <c r="U10" s="386">
        <f>P10+T10</f>
        <v/>
      </c>
      <c r="V10" s="373" t="inlineStr">
        <is>
          <t>DP-04 (seccion A), DP-08 (cuadro de doblado), DA-03</t>
        </is>
      </c>
    </row>
    <row r="11" ht="30" customHeight="1">
      <c r="A11" s="369" t="n">
        <v>2</v>
      </c>
      <c r="B11" s="369" t="inlineStr">
        <is>
          <t>cruce de camiones</t>
        </is>
      </c>
      <c r="C11" s="375" t="inlineStr">
        <is>
          <t>CAMION</t>
        </is>
      </c>
      <c r="D11" s="377">
        <f>'COLECTOR MOV. TIERRAS'!F11</f>
        <v/>
      </c>
      <c r="E11" s="374">
        <f>'COLECTOR MOV. TIERRAS'!G11</f>
        <v/>
      </c>
      <c r="F11" s="377">
        <f>'COLECTOR MOV. TIERRAS'!H11</f>
        <v/>
      </c>
      <c r="G11" s="377">
        <f>'COLECTOR MOV. TIERRAS'!I11</f>
        <v/>
      </c>
      <c r="H11" s="377">
        <f>'COLECTOR PARAMETROS'!$C$27</f>
        <v/>
      </c>
      <c r="I11" s="388" t="n">
        <v>2</v>
      </c>
      <c r="J11" s="375" t="inlineStr">
        <is>
          <t>1/2"</t>
        </is>
      </c>
      <c r="K11" s="389">
        <f>ROUNDUP(D11/H11,0)</f>
        <v/>
      </c>
      <c r="L11" s="374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/>
      </c>
      <c r="M11" s="374">
        <f>IF(I11=2,2*('COLECTOR PARAMETROS'!$C$10+2*('COLECTOR PARAMETROS'!$C$11-'COLECTOR PARAMETROS'!$C$19))+2*(E11+2*('COLECTOR PARAMETROS'!$C$11-'COLECTOR PARAMETROS'!$C$19))+'COLECTOR PARAMETROS'!$C$24,0)</f>
        <v/>
      </c>
      <c r="N11" s="377">
        <f>K11*(L11+M11)</f>
        <v/>
      </c>
      <c r="O11" s="374">
        <f>IF(J11="1/2""",'COLECTOR PARAMETROS'!$C$21,'COLECTOR PARAMETROS'!$C$20)</f>
        <v/>
      </c>
      <c r="P11" s="377">
        <f>N11*O11</f>
        <v/>
      </c>
      <c r="Q11" s="377">
        <f>'COLECTOR PARAMETROS'!$C$29</f>
        <v/>
      </c>
      <c r="R11" s="389">
        <f>ROUND(L11/Q11,0)+IF(M11&gt;0,ROUND(M11/Q11,0),0)</f>
        <v/>
      </c>
      <c r="S11" s="377">
        <f>R11*D11*(1+'COLECTOR PARAMETROS'!$C$22/'COLECTOR PARAMETROS'!$C$23)</f>
        <v/>
      </c>
      <c r="T11" s="377">
        <f>S11*'COLECTOR PARAMETROS'!$C$20</f>
        <v/>
      </c>
      <c r="U11" s="386">
        <f>P11+T11</f>
        <v/>
      </c>
      <c r="V11" s="373" t="inlineStr">
        <is>
          <t>DP-04 (seccion C), DP-08 (cuadro de doblado), DA-03</t>
        </is>
      </c>
    </row>
    <row r="12" ht="30" customHeight="1">
      <c r="A12" s="369" t="n">
        <v>3</v>
      </c>
      <c r="B12" s="369" t="inlineStr">
        <is>
          <t>tramo normal</t>
        </is>
      </c>
      <c r="C12" s="375" t="inlineStr">
        <is>
          <t>NORMAL</t>
        </is>
      </c>
      <c r="D12" s="377">
        <f>'COLECTOR MOV. TIERRAS'!F12</f>
        <v/>
      </c>
      <c r="E12" s="374">
        <f>'COLECTOR MOV. TIERRAS'!G12</f>
        <v/>
      </c>
      <c r="F12" s="377">
        <f>'COLECTOR MOV. TIERRAS'!H12</f>
        <v/>
      </c>
      <c r="G12" s="377">
        <f>'COLECTOR MOV. TIERRAS'!I12</f>
        <v/>
      </c>
      <c r="H12" s="377">
        <f>'COLECTOR PARAMETROS'!$C$26</f>
        <v/>
      </c>
      <c r="I12" s="388" t="n">
        <v>1</v>
      </c>
      <c r="J12" s="375" t="inlineStr">
        <is>
          <t>3/8"</t>
        </is>
      </c>
      <c r="K12" s="389">
        <f>ROUNDUP(D12/H12,0)</f>
        <v/>
      </c>
      <c r="L12" s="374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/>
      </c>
      <c r="M12" s="374">
        <f>IF(I12=2,2*('COLECTOR PARAMETROS'!$C$10+2*('COLECTOR PARAMETROS'!$C$11-'COLECTOR PARAMETROS'!$C$19))+2*(E12+2*('COLECTOR PARAMETROS'!$C$11-'COLECTOR PARAMETROS'!$C$19))+'COLECTOR PARAMETROS'!$C$24,0)</f>
        <v/>
      </c>
      <c r="N12" s="377">
        <f>K12*(L12+M12)</f>
        <v/>
      </c>
      <c r="O12" s="374">
        <f>IF(J12="1/2""",'COLECTOR PARAMETROS'!$C$21,'COLECTOR PARAMETROS'!$C$20)</f>
        <v/>
      </c>
      <c r="P12" s="377">
        <f>N12*O12</f>
        <v/>
      </c>
      <c r="Q12" s="377">
        <f>'COLECTOR PARAMETROS'!$C$28</f>
        <v/>
      </c>
      <c r="R12" s="389">
        <f>ROUND(L12/Q12,0)+IF(M12&gt;0,ROUND(M12/Q12,0),0)</f>
        <v/>
      </c>
      <c r="S12" s="377">
        <f>R12*D12*(1+'COLECTOR PARAMETROS'!$C$22/'COLECTOR PARAMETROS'!$C$23)</f>
        <v/>
      </c>
      <c r="T12" s="377">
        <f>S12*'COLECTOR PARAMETROS'!$C$20</f>
        <v/>
      </c>
      <c r="U12" s="386">
        <f>P12+T12</f>
        <v/>
      </c>
      <c r="V12" s="373" t="inlineStr">
        <is>
          <t>DP-04 (seccion A), DP-08 (cuadro de doblado), DA-03</t>
        </is>
      </c>
    </row>
    <row r="13" ht="30" customHeight="1">
      <c r="A13" s="369" t="n">
        <v>4</v>
      </c>
      <c r="B13" s="369" t="inlineStr">
        <is>
          <t>cruce de motos</t>
        </is>
      </c>
      <c r="C13" s="375" t="inlineStr">
        <is>
          <t>MOTOS</t>
        </is>
      </c>
      <c r="D13" s="377">
        <f>'COLECTOR MOV. TIERRAS'!F13</f>
        <v/>
      </c>
      <c r="E13" s="374">
        <f>'COLECTOR MOV. TIERRAS'!G13</f>
        <v/>
      </c>
      <c r="F13" s="377">
        <f>'COLECTOR MOV. TIERRAS'!H13</f>
        <v/>
      </c>
      <c r="G13" s="377">
        <f>'COLECTOR MOV. TIERRAS'!I13</f>
        <v/>
      </c>
      <c r="H13" s="377">
        <f>'COLECTOR PARAMETROS'!$C$27</f>
        <v/>
      </c>
      <c r="I13" s="388" t="n">
        <v>1</v>
      </c>
      <c r="J13" s="375" t="inlineStr">
        <is>
          <t>3/8"</t>
        </is>
      </c>
      <c r="K13" s="389">
        <f>ROUNDUP(D13/H13,0)</f>
        <v/>
      </c>
      <c r="L13" s="374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/>
      </c>
      <c r="M13" s="374">
        <f>IF(I13=2,2*('COLECTOR PARAMETROS'!$C$10+2*('COLECTOR PARAMETROS'!$C$11-'COLECTOR PARAMETROS'!$C$19))+2*(E13+2*('COLECTOR PARAMETROS'!$C$11-'COLECTOR PARAMETROS'!$C$19))+'COLECTOR PARAMETROS'!$C$24,0)</f>
        <v/>
      </c>
      <c r="N13" s="377">
        <f>K13*(L13+M13)</f>
        <v/>
      </c>
      <c r="O13" s="374">
        <f>IF(J13="1/2""",'COLECTOR PARAMETROS'!$C$21,'COLECTOR PARAMETROS'!$C$20)</f>
        <v/>
      </c>
      <c r="P13" s="377">
        <f>N13*O13</f>
        <v/>
      </c>
      <c r="Q13" s="377">
        <f>'COLECTOR PARAMETROS'!$C$28</f>
        <v/>
      </c>
      <c r="R13" s="389">
        <f>ROUND(L13/Q13,0)+IF(M13&gt;0,ROUND(M13/Q13,0),0)</f>
        <v/>
      </c>
      <c r="S13" s="377">
        <f>R13*D13*(1+'COLECTOR PARAMETROS'!$C$22/'COLECTOR PARAMETROS'!$C$23)</f>
        <v/>
      </c>
      <c r="T13" s="377">
        <f>S13*'COLECTOR PARAMETROS'!$C$20</f>
        <v/>
      </c>
      <c r="U13" s="386">
        <f>P13+T13</f>
        <v/>
      </c>
      <c r="V13" s="373" t="inlineStr">
        <is>
          <t>DP-04 (seccion B), DP-08 (cuadro de doblado), DA-03</t>
        </is>
      </c>
    </row>
    <row r="14" ht="30" customHeight="1">
      <c r="A14" s="369" t="n">
        <v>5</v>
      </c>
      <c r="B14" s="369" t="inlineStr">
        <is>
          <t>tramo normal</t>
        </is>
      </c>
      <c r="C14" s="375" t="inlineStr">
        <is>
          <t>NORMAL</t>
        </is>
      </c>
      <c r="D14" s="377">
        <f>'COLECTOR MOV. TIERRAS'!F14</f>
        <v/>
      </c>
      <c r="E14" s="374">
        <f>'COLECTOR MOV. TIERRAS'!G14</f>
        <v/>
      </c>
      <c r="F14" s="377">
        <f>'COLECTOR MOV. TIERRAS'!H14</f>
        <v/>
      </c>
      <c r="G14" s="377">
        <f>'COLECTOR MOV. TIERRAS'!I14</f>
        <v/>
      </c>
      <c r="H14" s="377">
        <f>'COLECTOR PARAMETROS'!$C$26</f>
        <v/>
      </c>
      <c r="I14" s="388" t="n">
        <v>1</v>
      </c>
      <c r="J14" s="375" t="inlineStr">
        <is>
          <t>3/8"</t>
        </is>
      </c>
      <c r="K14" s="389">
        <f>ROUNDUP(D14/H14,0)</f>
        <v/>
      </c>
      <c r="L14" s="374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/>
      </c>
      <c r="M14" s="374">
        <f>IF(I14=2,2*('COLECTOR PARAMETROS'!$C$10+2*('COLECTOR PARAMETROS'!$C$11-'COLECTOR PARAMETROS'!$C$19))+2*(E14+2*('COLECTOR PARAMETROS'!$C$11-'COLECTOR PARAMETROS'!$C$19))+'COLECTOR PARAMETROS'!$C$24,0)</f>
        <v/>
      </c>
      <c r="N14" s="377">
        <f>K14*(L14+M14)</f>
        <v/>
      </c>
      <c r="O14" s="374">
        <f>IF(J14="1/2""",'COLECTOR PARAMETROS'!$C$21,'COLECTOR PARAMETROS'!$C$20)</f>
        <v/>
      </c>
      <c r="P14" s="377">
        <f>N14*O14</f>
        <v/>
      </c>
      <c r="Q14" s="377">
        <f>'COLECTOR PARAMETROS'!$C$28</f>
        <v/>
      </c>
      <c r="R14" s="389">
        <f>ROUND(L14/Q14,0)+IF(M14&gt;0,ROUND(M14/Q14,0),0)</f>
        <v/>
      </c>
      <c r="S14" s="377">
        <f>R14*D14*(1+'COLECTOR PARAMETROS'!$C$22/'COLECTOR PARAMETROS'!$C$23)</f>
        <v/>
      </c>
      <c r="T14" s="377">
        <f>S14*'COLECTOR PARAMETROS'!$C$20</f>
        <v/>
      </c>
      <c r="U14" s="386">
        <f>P14+T14</f>
        <v/>
      </c>
      <c r="V14" s="373" t="inlineStr">
        <is>
          <t>DP-04 (seccion A), DP-08 (cuadro de doblado), DA-03</t>
        </is>
      </c>
    </row>
    <row r="15" ht="30" customHeight="1">
      <c r="A15" s="369" t="n">
        <v>6</v>
      </c>
      <c r="B15" s="369" t="inlineStr">
        <is>
          <t>tramo diagonal (quiebres)</t>
        </is>
      </c>
      <c r="C15" s="375" t="inlineStr">
        <is>
          <t>NORMAL</t>
        </is>
      </c>
      <c r="D15" s="377">
        <f>'COLECTOR MOV. TIERRAS'!F15</f>
        <v/>
      </c>
      <c r="E15" s="374">
        <f>'COLECTOR MOV. TIERRAS'!G15</f>
        <v/>
      </c>
      <c r="F15" s="377">
        <f>'COLECTOR MOV. TIERRAS'!H15</f>
        <v/>
      </c>
      <c r="G15" s="377">
        <f>'COLECTOR MOV. TIERRAS'!I15</f>
        <v/>
      </c>
      <c r="H15" s="377">
        <f>'COLECTOR PARAMETROS'!$C$26</f>
        <v/>
      </c>
      <c r="I15" s="388" t="n">
        <v>1</v>
      </c>
      <c r="J15" s="375" t="inlineStr">
        <is>
          <t>3/8"</t>
        </is>
      </c>
      <c r="K15" s="389">
        <f>ROUNDUP(D15/H15,0)</f>
        <v/>
      </c>
      <c r="L15" s="374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/>
      </c>
      <c r="M15" s="374">
        <f>IF(I15=2,2*('COLECTOR PARAMETROS'!$C$10+2*('COLECTOR PARAMETROS'!$C$11-'COLECTOR PARAMETROS'!$C$19))+2*(E15+2*('COLECTOR PARAMETROS'!$C$11-'COLECTOR PARAMETROS'!$C$19))+'COLECTOR PARAMETROS'!$C$24,0)</f>
        <v/>
      </c>
      <c r="N15" s="377">
        <f>K15*(L15+M15)</f>
        <v/>
      </c>
      <c r="O15" s="374">
        <f>IF(J15="1/2""",'COLECTOR PARAMETROS'!$C$21,'COLECTOR PARAMETROS'!$C$20)</f>
        <v/>
      </c>
      <c r="P15" s="377">
        <f>N15*O15</f>
        <v/>
      </c>
      <c r="Q15" s="377">
        <f>'COLECTOR PARAMETROS'!$C$28</f>
        <v/>
      </c>
      <c r="R15" s="389">
        <f>ROUND(L15/Q15,0)+IF(M15&gt;0,ROUND(M15/Q15,0),0)</f>
        <v/>
      </c>
      <c r="S15" s="377">
        <f>R15*D15*(1+'COLECTOR PARAMETROS'!$C$22/'COLECTOR PARAMETROS'!$C$23)</f>
        <v/>
      </c>
      <c r="T15" s="377">
        <f>S15*'COLECTOR PARAMETROS'!$C$20</f>
        <v/>
      </c>
      <c r="U15" s="386">
        <f>P15+T15</f>
        <v/>
      </c>
      <c r="V15" s="373" t="inlineStr">
        <is>
          <t>DP-04 (seccion A), DP-08 (cuadro de doblado), DA-03</t>
        </is>
      </c>
    </row>
    <row r="16" ht="30" customHeight="1">
      <c r="A16" s="369" t="n">
        <v>7</v>
      </c>
      <c r="B16" s="369" t="inlineStr">
        <is>
          <t>tramo recto final</t>
        </is>
      </c>
      <c r="C16" s="375" t="inlineStr">
        <is>
          <t>NORMAL</t>
        </is>
      </c>
      <c r="D16" s="377">
        <f>'COLECTOR MOV. TIERRAS'!F16</f>
        <v/>
      </c>
      <c r="E16" s="374">
        <f>'COLECTOR MOV. TIERRAS'!G16</f>
        <v/>
      </c>
      <c r="F16" s="377">
        <f>'COLECTOR MOV. TIERRAS'!H16</f>
        <v/>
      </c>
      <c r="G16" s="377">
        <f>'COLECTOR MOV. TIERRAS'!I16</f>
        <v/>
      </c>
      <c r="H16" s="377">
        <f>'COLECTOR PARAMETROS'!$C$26</f>
        <v/>
      </c>
      <c r="I16" s="388" t="n">
        <v>1</v>
      </c>
      <c r="J16" s="375" t="inlineStr">
        <is>
          <t>3/8"</t>
        </is>
      </c>
      <c r="K16" s="389">
        <f>ROUNDUP(D16/H16,0)</f>
        <v/>
      </c>
      <c r="L16" s="374">
        <f>IF(I16=2,2*(G16-2*'COLECTOR PARAMETROS'!$C$19)+2*('COLECTOR PARAMETROS'!$C$12+E16+F16-2*'COLECTOR PARAMETROS'!$C$19)+'COLECTOR PARAMETROS'!$C$24,2*(G16-'COLECTOR PARAMETROS'!$C$11)+2*('COLECTOR PARAMETROS'!$C$12/2+E16+F16/2)+'COLECTOR PARAMETROS'!$C$24)</f>
        <v/>
      </c>
      <c r="M16" s="374">
        <f>IF(I16=2,2*('COLECTOR PARAMETROS'!$C$10+2*('COLECTOR PARAMETROS'!$C$11-'COLECTOR PARAMETROS'!$C$19))+2*(E16+2*('COLECTOR PARAMETROS'!$C$11-'COLECTOR PARAMETROS'!$C$19))+'COLECTOR PARAMETROS'!$C$24,0)</f>
        <v/>
      </c>
      <c r="N16" s="377">
        <f>K16*(L16+M16)</f>
        <v/>
      </c>
      <c r="O16" s="374">
        <f>IF(J16="1/2""",'COLECTOR PARAMETROS'!$C$21,'COLECTOR PARAMETROS'!$C$20)</f>
        <v/>
      </c>
      <c r="P16" s="377">
        <f>N16*O16</f>
        <v/>
      </c>
      <c r="Q16" s="377">
        <f>'COLECTOR PARAMETROS'!$C$28</f>
        <v/>
      </c>
      <c r="R16" s="389">
        <f>ROUND(L16/Q16,0)+IF(M16&gt;0,ROUND(M16/Q16,0),0)</f>
        <v/>
      </c>
      <c r="S16" s="377">
        <f>R16*D16*(1+'COLECTOR PARAMETROS'!$C$22/'COLECTOR PARAMETROS'!$C$23)</f>
        <v/>
      </c>
      <c r="T16" s="377">
        <f>S16*'COLECTOR PARAMETROS'!$C$20</f>
        <v/>
      </c>
      <c r="U16" s="386">
        <f>P16+T16</f>
        <v/>
      </c>
      <c r="V16" s="373" t="inlineStr">
        <is>
          <t>DP-04 (seccion A), DP-08 (cuadro de doblado), DA-03</t>
        </is>
      </c>
    </row>
    <row r="17" ht="22" customHeight="1">
      <c r="A17" s="378" t="inlineStr">
        <is>
          <t>TOTAL COLECTOR (tramos)</t>
        </is>
      </c>
      <c r="B17" s="379" t="n"/>
      <c r="C17" s="379" t="n"/>
      <c r="D17" s="380">
        <f>SUM(D10:D16)</f>
        <v/>
      </c>
      <c r="E17" s="379" t="n"/>
      <c r="F17" s="379" t="n"/>
      <c r="G17" s="379" t="n"/>
      <c r="H17" s="379" t="n"/>
      <c r="I17" s="379" t="n"/>
      <c r="J17" s="379" t="n"/>
      <c r="K17" s="379" t="n"/>
      <c r="L17" s="379" t="n"/>
      <c r="M17" s="379" t="n"/>
      <c r="N17" s="380">
        <f>SUM(N10:N16)</f>
        <v/>
      </c>
      <c r="O17" s="379" t="n"/>
      <c r="P17" s="380">
        <f>SUM(P10:P16)</f>
        <v/>
      </c>
      <c r="Q17" s="379" t="n"/>
      <c r="R17" s="379" t="n"/>
      <c r="S17" s="380">
        <f>SUM(S10:S16)</f>
        <v/>
      </c>
      <c r="T17" s="380">
        <f>SUM(T10:T16)</f>
        <v/>
      </c>
      <c r="U17" s="380">
        <f>SUM(U10:U16)</f>
        <v/>
      </c>
      <c r="V17" s="379" t="n"/>
    </row>
    <row r="19" ht="20" customHeight="1">
      <c r="A19" s="381" t="inlineStr">
        <is>
          <t>CAJAS CL Y CC - lamina DP-07: malla 3/8" @0.20 en ambas caras de losas y muros. Por paño: barras = (L1 / s + 1) x L2 + (L2 / s + 1) x L1, por el numero de caras y el factor de traslapes y ganchos</t>
        </is>
      </c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  <c r="S19" s="382" t="n"/>
      <c r="T19" s="382" t="n"/>
      <c r="U19" s="382" t="n"/>
      <c r="V19" s="382" t="n"/>
    </row>
    <row r="20" ht="60" customHeight="1">
      <c r="A20" s="368" t="inlineStr">
        <is>
          <t>N°</t>
        </is>
      </c>
      <c r="B20" s="368" t="inlineStr">
        <is>
          <t>CAJA / PAÑO</t>
        </is>
      </c>
      <c r="C20" s="368" t="inlineStr">
        <is>
          <t>DETALLE</t>
        </is>
      </c>
      <c r="D20" s="368" t="inlineStr">
        <is>
          <t>L1 (m)</t>
        </is>
      </c>
      <c r="E20" s="368" t="inlineStr">
        <is>
          <t>L2 (m)</t>
        </is>
      </c>
      <c r="F20" s="368" t="inlineStr">
        <is>
          <t>ESPAC. s (m)</t>
        </is>
      </c>
      <c r="G20" s="368" t="inlineStr">
        <is>
          <t>CARAS</t>
        </is>
      </c>
      <c r="H20" s="368" t="inlineStr">
        <is>
          <t>PAÑOS IGUALES</t>
        </is>
      </c>
      <c r="I20" s="368" t="inlineStr">
        <is>
          <t>BARRAS (m)</t>
        </is>
      </c>
      <c r="J20" s="368" t="inlineStr">
        <is>
          <t>FACTOR TRASLAPE</t>
        </is>
      </c>
      <c r="K20" s="368" t="inlineStr">
        <is>
          <t>PESO (kg/m)</t>
        </is>
      </c>
      <c r="L20" s="368" t="inlineStr"/>
      <c r="M20" s="368" t="inlineStr"/>
      <c r="N20" s="368" t="inlineStr"/>
      <c r="O20" s="368" t="inlineStr"/>
      <c r="P20" s="368" t="inlineStr"/>
      <c r="Q20" s="368" t="inlineStr"/>
      <c r="R20" s="368" t="inlineStr"/>
      <c r="S20" s="368" t="inlineStr"/>
      <c r="T20" s="368" t="inlineStr"/>
      <c r="U20" s="368" t="inlineStr">
        <is>
          <t>ACERO (kg)</t>
        </is>
      </c>
      <c r="V20" s="368" t="inlineStr">
        <is>
          <t>SUSTENTO</t>
        </is>
      </c>
    </row>
    <row r="21" ht="30" customHeight="1">
      <c r="A21" s="364" t="n"/>
      <c r="B21" s="370" t="inlineStr">
        <is>
          <t>Caja de llegada CL: losa de fondo</t>
        </is>
      </c>
      <c r="C21" s="369" t="inlineStr">
        <is>
          <t>exterior</t>
        </is>
      </c>
      <c r="D21" s="377">
        <f>'COLECTOR MOV. TIERRAS'!D21+2*'COLECTOR PARAMETROS'!$C$11</f>
        <v/>
      </c>
      <c r="E21" s="374">
        <f>'COLECTOR MOV. TIERRAS'!E21+2*'COLECTOR PARAMETROS'!$C$11</f>
        <v/>
      </c>
      <c r="F21" s="377">
        <f>'COLECTOR PARAMETROS'!$C$30</f>
        <v/>
      </c>
      <c r="G21" s="388" t="n">
        <v>2</v>
      </c>
      <c r="H21" s="388" t="n">
        <v>1</v>
      </c>
      <c r="I21" s="377">
        <f>((D21/F21+1)*E21+(E21/F21+1)*D21)*G21*H21</f>
        <v/>
      </c>
      <c r="J21" s="377">
        <f>'COLECTOR PARAMETROS'!$C$31</f>
        <v/>
      </c>
      <c r="K21" s="374">
        <f>'COLECTOR PARAMETROS'!$C$20</f>
        <v/>
      </c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86">
        <f>I21*J21*K21</f>
        <v/>
      </c>
      <c r="V21" s="373" t="inlineStr">
        <is>
          <t>DP-07: malla 3/8" @0.20 ambas caras</t>
        </is>
      </c>
    </row>
    <row r="22" ht="30" customHeight="1">
      <c r="A22" s="364" t="n"/>
      <c r="B22" s="370" t="inlineStr">
        <is>
          <t>Caja de llegada CL: losa superior</t>
        </is>
      </c>
      <c r="C22" s="369" t="inlineStr">
        <is>
          <t>exterior</t>
        </is>
      </c>
      <c r="D22" s="377">
        <f>'COLECTOR MOV. TIERRAS'!D21+2*'COLECTOR PARAMETROS'!$C$11</f>
        <v/>
      </c>
      <c r="E22" s="374">
        <f>'COLECTOR MOV. TIERRAS'!E21+2*'COLECTOR PARAMETROS'!$C$11</f>
        <v/>
      </c>
      <c r="F22" s="377">
        <f>'COLECTOR PARAMETROS'!$C$30</f>
        <v/>
      </c>
      <c r="G22" s="388" t="n">
        <v>2</v>
      </c>
      <c r="H22" s="388" t="n">
        <v>1</v>
      </c>
      <c r="I22" s="377">
        <f>((D22/F22+1)*E22+(E22/F22+1)*D22)*G22*H22</f>
        <v/>
      </c>
      <c r="J22" s="377">
        <f>'COLECTOR PARAMETROS'!$C$31</f>
        <v/>
      </c>
      <c r="K22" s="374">
        <f>'COLECTOR PARAMETROS'!$C$20</f>
        <v/>
      </c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86">
        <f>I22*J22*K22</f>
        <v/>
      </c>
      <c r="V22" s="373" t="inlineStr">
        <is>
          <t>DP-07: malla 3/8" @0.20 ambas caras</t>
        </is>
      </c>
    </row>
    <row r="23" ht="30" customHeight="1">
      <c r="A23" s="364" t="n"/>
      <c r="B23" s="370" t="inlineStr">
        <is>
          <t>Caja de llegada CL: muros largos</t>
        </is>
      </c>
      <c r="C23" s="369" t="inlineStr">
        <is>
          <t>exterior x H</t>
        </is>
      </c>
      <c r="D23" s="377">
        <f>'COLECTOR MOV. TIERRAS'!D21+2*'COLECTOR PARAMETROS'!$C$11</f>
        <v/>
      </c>
      <c r="E23" s="374">
        <f>'COLECTOR MOV. TIERRAS'!F21</f>
        <v/>
      </c>
      <c r="F23" s="377">
        <f>'COLECTOR PARAMETROS'!$C$30</f>
        <v/>
      </c>
      <c r="G23" s="388" t="n">
        <v>2</v>
      </c>
      <c r="H23" s="388" t="n">
        <v>2</v>
      </c>
      <c r="I23" s="377">
        <f>((D23/F23+1)*E23+(E23/F23+1)*D23)*G23*H23</f>
        <v/>
      </c>
      <c r="J23" s="377">
        <f>'COLECTOR PARAMETROS'!$C$31</f>
        <v/>
      </c>
      <c r="K23" s="374">
        <f>'COLECTOR PARAMETROS'!$C$20</f>
        <v/>
      </c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86">
        <f>I23*J23*K23</f>
        <v/>
      </c>
      <c r="V23" s="373" t="inlineStr">
        <is>
          <t>DP-07: dos muros largos, malla ambas caras</t>
        </is>
      </c>
    </row>
    <row r="24" ht="30" customHeight="1">
      <c r="A24" s="364" t="n"/>
      <c r="B24" s="370" t="inlineStr">
        <is>
          <t>Caja de llegada CL: muros cortos</t>
        </is>
      </c>
      <c r="C24" s="369" t="inlineStr">
        <is>
          <t>interior x H</t>
        </is>
      </c>
      <c r="D24" s="377">
        <f>'COLECTOR MOV. TIERRAS'!E21</f>
        <v/>
      </c>
      <c r="E24" s="374">
        <f>'COLECTOR MOV. TIERRAS'!F21</f>
        <v/>
      </c>
      <c r="F24" s="377">
        <f>'COLECTOR PARAMETROS'!$C$30</f>
        <v/>
      </c>
      <c r="G24" s="388" t="n">
        <v>2</v>
      </c>
      <c r="H24" s="388" t="n">
        <v>2</v>
      </c>
      <c r="I24" s="377">
        <f>((D24/F24+1)*E24+(E24/F24+1)*D24)*G24*H24</f>
        <v/>
      </c>
      <c r="J24" s="377">
        <f>'COLECTOR PARAMETROS'!$C$31</f>
        <v/>
      </c>
      <c r="K24" s="374">
        <f>'COLECTOR PARAMETROS'!$C$20</f>
        <v/>
      </c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86">
        <f>I24*J24*K24</f>
        <v/>
      </c>
      <c r="V24" s="373" t="inlineStr">
        <is>
          <t>DP-07: muro(s) de cierre, malla ambas caras</t>
        </is>
      </c>
    </row>
    <row r="25" ht="30" customHeight="1">
      <c r="A25" s="364" t="n"/>
      <c r="B25" s="370" t="inlineStr">
        <is>
          <t>Caja de caida CC: losa de fondo</t>
        </is>
      </c>
      <c r="C25" s="369" t="inlineStr">
        <is>
          <t>exterior</t>
        </is>
      </c>
      <c r="D25" s="377">
        <f>'COLECTOR MOV. TIERRAS'!D22+2*'COLECTOR PARAMETROS'!$C$11</f>
        <v/>
      </c>
      <c r="E25" s="374">
        <f>'COLECTOR MOV. TIERRAS'!E22+2*'COLECTOR PARAMETROS'!$C$11</f>
        <v/>
      </c>
      <c r="F25" s="377">
        <f>'COLECTOR PARAMETROS'!$C$30</f>
        <v/>
      </c>
      <c r="G25" s="388" t="n">
        <v>2</v>
      </c>
      <c r="H25" s="388" t="n">
        <v>1</v>
      </c>
      <c r="I25" s="377">
        <f>((D25/F25+1)*E25+(E25/F25+1)*D25)*G25*H25</f>
        <v/>
      </c>
      <c r="J25" s="377">
        <f>'COLECTOR PARAMETROS'!$C$31</f>
        <v/>
      </c>
      <c r="K25" s="374">
        <f>'COLECTOR PARAMETROS'!$C$20</f>
        <v/>
      </c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386">
        <f>I25*J25*K25</f>
        <v/>
      </c>
      <c r="V25" s="373" t="inlineStr">
        <is>
          <t>DP-07: malla 3/8" @0.20 ambas caras</t>
        </is>
      </c>
    </row>
    <row r="26" ht="30" customHeight="1">
      <c r="A26" s="364" t="n"/>
      <c r="B26" s="370" t="inlineStr">
        <is>
          <t>Caja de caida CC: losa superior</t>
        </is>
      </c>
      <c r="C26" s="369" t="inlineStr">
        <is>
          <t>exterior</t>
        </is>
      </c>
      <c r="D26" s="377">
        <f>'COLECTOR MOV. TIERRAS'!D22+2*'COLECTOR PARAMETROS'!$C$11</f>
        <v/>
      </c>
      <c r="E26" s="374">
        <f>'COLECTOR MOV. TIERRAS'!E22+2*'COLECTOR PARAMETROS'!$C$11</f>
        <v/>
      </c>
      <c r="F26" s="377">
        <f>'COLECTOR PARAMETROS'!$C$30</f>
        <v/>
      </c>
      <c r="G26" s="388" t="n">
        <v>2</v>
      </c>
      <c r="H26" s="388" t="n">
        <v>1</v>
      </c>
      <c r="I26" s="377">
        <f>((D26/F26+1)*E26+(E26/F26+1)*D26)*G26*H26</f>
        <v/>
      </c>
      <c r="J26" s="377">
        <f>'COLECTOR PARAMETROS'!$C$31</f>
        <v/>
      </c>
      <c r="K26" s="374">
        <f>'COLECTOR PARAMETROS'!$C$20</f>
        <v/>
      </c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386">
        <f>I26*J26*K26</f>
        <v/>
      </c>
      <c r="V26" s="373" t="inlineStr">
        <is>
          <t>DP-07: malla 3/8" @0.20 ambas caras</t>
        </is>
      </c>
    </row>
    <row r="27" ht="30" customHeight="1">
      <c r="A27" s="364" t="n"/>
      <c r="B27" s="370" t="inlineStr">
        <is>
          <t>Caja de caida CC: muros largos</t>
        </is>
      </c>
      <c r="C27" s="369" t="inlineStr">
        <is>
          <t>exterior x H</t>
        </is>
      </c>
      <c r="D27" s="377">
        <f>'COLECTOR MOV. TIERRAS'!D22+2*'COLECTOR PARAMETROS'!$C$11</f>
        <v/>
      </c>
      <c r="E27" s="374">
        <f>'COLECTOR MOV. TIERRAS'!F22</f>
        <v/>
      </c>
      <c r="F27" s="377">
        <f>'COLECTOR PARAMETROS'!$C$30</f>
        <v/>
      </c>
      <c r="G27" s="388" t="n">
        <v>2</v>
      </c>
      <c r="H27" s="388" t="n">
        <v>2</v>
      </c>
      <c r="I27" s="377">
        <f>((D27/F27+1)*E27+(E27/F27+1)*D27)*G27*H27</f>
        <v/>
      </c>
      <c r="J27" s="377">
        <f>'COLECTOR PARAMETROS'!$C$31</f>
        <v/>
      </c>
      <c r="K27" s="374">
        <f>'COLECTOR PARAMETROS'!$C$20</f>
        <v/>
      </c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386">
        <f>I27*J27*K27</f>
        <v/>
      </c>
      <c r="V27" s="373" t="inlineStr">
        <is>
          <t>DP-07: dos muros largos, malla ambas caras</t>
        </is>
      </c>
    </row>
    <row r="28" ht="30" customHeight="1">
      <c r="A28" s="364" t="n"/>
      <c r="B28" s="370" t="inlineStr">
        <is>
          <t>Caja de caida CC: muros cortos</t>
        </is>
      </c>
      <c r="C28" s="369" t="inlineStr">
        <is>
          <t>interior x H</t>
        </is>
      </c>
      <c r="D28" s="377">
        <f>'COLECTOR MOV. TIERRAS'!E22</f>
        <v/>
      </c>
      <c r="E28" s="374">
        <f>'COLECTOR MOV. TIERRAS'!F22</f>
        <v/>
      </c>
      <c r="F28" s="377">
        <f>'COLECTOR PARAMETROS'!$C$30</f>
        <v/>
      </c>
      <c r="G28" s="388" t="n">
        <v>2</v>
      </c>
      <c r="H28" s="388" t="n">
        <v>1</v>
      </c>
      <c r="I28" s="377">
        <f>((D28/F28+1)*E28+(E28/F28+1)*D28)*G28*H28</f>
        <v/>
      </c>
      <c r="J28" s="377">
        <f>'COLECTOR PARAMETROS'!$C$31</f>
        <v/>
      </c>
      <c r="K28" s="374">
        <f>'COLECTOR PARAMETROS'!$C$20</f>
        <v/>
      </c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86">
        <f>I28*J28*K28</f>
        <v/>
      </c>
      <c r="V28" s="373" t="inlineStr">
        <is>
          <t>DP-07: muro(s) de cierre, malla ambas caras</t>
        </is>
      </c>
    </row>
    <row r="29" ht="22" customHeight="1">
      <c r="A29" s="378" t="inlineStr">
        <is>
          <t>TOTAL CAJAS</t>
        </is>
      </c>
      <c r="B29" s="379" t="n"/>
      <c r="C29" s="379" t="n"/>
      <c r="D29" s="379" t="n"/>
      <c r="E29" s="379" t="n"/>
      <c r="F29" s="379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80">
        <f>SUM(U21:U28)</f>
        <v/>
      </c>
      <c r="V29" s="379" t="n"/>
    </row>
    <row r="31" ht="20" customHeight="1">
      <c r="A31" s="381" t="inlineStr">
        <is>
          <t>REGISTROS DE LIMPIEZA Y TAPAS - lamina DP-06B: refuerzo de borde de la abertura, parrilla de la tapa, asas y anclajes del contramarco (cantidad de registros de la hoja COLECTOR REGISTROS Y TAPAS)</t>
        </is>
      </c>
      <c r="B31" s="382" t="n"/>
      <c r="C31" s="382" t="n"/>
      <c r="D31" s="382" t="n"/>
      <c r="E31" s="382" t="n"/>
      <c r="F31" s="382" t="n"/>
      <c r="G31" s="382" t="n"/>
      <c r="H31" s="382" t="n"/>
      <c r="I31" s="382" t="n"/>
      <c r="J31" s="382" t="n"/>
      <c r="K31" s="382" t="n"/>
      <c r="L31" s="382" t="n"/>
      <c r="M31" s="382" t="n"/>
      <c r="N31" s="382" t="n"/>
      <c r="O31" s="382" t="n"/>
      <c r="P31" s="382" t="n"/>
      <c r="Q31" s="382" t="n"/>
      <c r="R31" s="382" t="n"/>
      <c r="S31" s="382" t="n"/>
      <c r="T31" s="382" t="n"/>
      <c r="U31" s="382" t="n"/>
      <c r="V31" s="382" t="n"/>
    </row>
    <row r="32" ht="40" customHeight="1">
      <c r="A32" s="368" t="inlineStr">
        <is>
          <t>N°</t>
        </is>
      </c>
      <c r="B32" s="368" t="inlineStr">
        <is>
          <t>ELEMENTO</t>
        </is>
      </c>
      <c r="C32" s="368" t="inlineStr">
        <is>
          <t>DIAM.</t>
        </is>
      </c>
      <c r="D32" s="368" t="inlineStr">
        <is>
          <t>FORMA</t>
        </is>
      </c>
      <c r="E32" s="368" t="inlineStr">
        <is>
          <t>PIEZAS POR REGISTRO</t>
        </is>
      </c>
      <c r="F32" s="368" t="inlineStr">
        <is>
          <t>REGISTROS</t>
        </is>
      </c>
      <c r="G32" s="368" t="inlineStr">
        <is>
          <t>LONG. POR PIEZA (m)</t>
        </is>
      </c>
      <c r="H32" s="368" t="inlineStr">
        <is>
          <t>LONG. TOTAL (m)</t>
        </is>
      </c>
      <c r="I32" s="368" t="inlineStr">
        <is>
          <t>PESO (kg/m)</t>
        </is>
      </c>
      <c r="J32" s="368" t="inlineStr"/>
      <c r="K32" s="368" t="inlineStr"/>
      <c r="L32" s="368" t="inlineStr"/>
      <c r="M32" s="368" t="inlineStr"/>
      <c r="N32" s="368" t="inlineStr"/>
      <c r="O32" s="368" t="inlineStr"/>
      <c r="P32" s="368" t="inlineStr"/>
      <c r="Q32" s="368" t="inlineStr"/>
      <c r="R32" s="368" t="inlineStr"/>
      <c r="S32" s="368" t="inlineStr"/>
      <c r="T32" s="368" t="inlineStr"/>
      <c r="U32" s="368" t="inlineStr">
        <is>
          <t>ACERO (kg)</t>
        </is>
      </c>
      <c r="V32" s="368" t="inlineStr">
        <is>
          <t>SUSTENTO</t>
        </is>
      </c>
    </row>
    <row r="33" ht="30" customHeight="1">
      <c r="A33" s="369" t="n">
        <v>1</v>
      </c>
      <c r="B33" s="370" t="inlineStr">
        <is>
          <t>Refuerzo de borde de la abertura</t>
        </is>
      </c>
      <c r="C33" s="375" t="inlineStr">
        <is>
          <t>1/2"</t>
        </is>
      </c>
      <c r="D33" s="369" t="inlineStr">
        <is>
          <t>recta</t>
        </is>
      </c>
      <c r="E33" s="388" t="n">
        <v>8</v>
      </c>
      <c r="F33" s="389">
        <f>'COLECTOR PARAMETROS'!$C$32</f>
        <v/>
      </c>
      <c r="G33" s="376" t="n">
        <v>1.4</v>
      </c>
      <c r="H33" s="377">
        <f>E33*F33*G33</f>
        <v/>
      </c>
      <c r="I33" s="374">
        <f>'COLECTOR PARAMETROS'!$C$21</f>
        <v/>
      </c>
      <c r="J33" s="364" t="n"/>
      <c r="K33" s="364" t="n"/>
      <c r="L33" s="364" t="n"/>
      <c r="M33" s="364" t="n"/>
      <c r="N33" s="364" t="n"/>
      <c r="O33" s="364" t="n"/>
      <c r="P33" s="364" t="n"/>
      <c r="Q33" s="364" t="n"/>
      <c r="R33" s="364" t="n"/>
      <c r="S33" s="364" t="n"/>
      <c r="T33" s="364" t="n"/>
      <c r="U33" s="386">
        <f>H33*I33</f>
        <v/>
      </c>
      <c r="V33" s="373" t="inlineStr">
        <is>
          <t>DP-06B: 2 barras de 1/2" por lado, L = 1.40</t>
        </is>
      </c>
    </row>
    <row r="34" ht="30" customHeight="1">
      <c r="A34" s="369" t="n">
        <v>2</v>
      </c>
      <c r="B34" s="370" t="inlineStr">
        <is>
          <t>Parrilla de la tapa de concreto</t>
        </is>
      </c>
      <c r="C34" s="375" t="inlineStr">
        <is>
          <t>3/8"</t>
        </is>
      </c>
      <c r="D34" s="369" t="inlineStr">
        <is>
          <t>recta</t>
        </is>
      </c>
      <c r="E34" s="388" t="n">
        <v>14</v>
      </c>
      <c r="F34" s="389">
        <f>'COLECTOR PARAMETROS'!$C$32</f>
        <v/>
      </c>
      <c r="G34" s="376" t="n">
        <v>0.62</v>
      </c>
      <c r="H34" s="377">
        <f>E34*F34*G34</f>
        <v/>
      </c>
      <c r="I34" s="374">
        <f>'COLECTOR PARAMETROS'!$C$20</f>
        <v/>
      </c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86">
        <f>H34*I34</f>
        <v/>
      </c>
      <c r="V34" s="373" t="inlineStr">
        <is>
          <t>DP-06B: 7 + 7 barras 3/8" @0.10</t>
        </is>
      </c>
    </row>
    <row r="35" ht="30" customHeight="1">
      <c r="A35" s="369" t="n">
        <v>3</v>
      </c>
      <c r="B35" s="370" t="inlineStr">
        <is>
          <t>Asas de la tapa</t>
        </is>
      </c>
      <c r="C35" s="375" t="inlineStr">
        <is>
          <t>3/8" liso</t>
        </is>
      </c>
      <c r="D35" s="369" t="inlineStr">
        <is>
          <t>U</t>
        </is>
      </c>
      <c r="E35" s="388" t="n">
        <v>2</v>
      </c>
      <c r="F35" s="389">
        <f>'COLECTOR PARAMETROS'!$C$32</f>
        <v/>
      </c>
      <c r="G35" s="376" t="n">
        <v>0.4</v>
      </c>
      <c r="H35" s="377">
        <f>E35*F35*G35</f>
        <v/>
      </c>
      <c r="I35" s="374">
        <f>'COLECTOR PARAMETROS'!$C$20</f>
        <v/>
      </c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86">
        <f>H35*I35</f>
        <v/>
      </c>
      <c r="V35" s="373" t="inlineStr">
        <is>
          <t>DP-06B: 2 asas de 0.40 desarrollado</t>
        </is>
      </c>
    </row>
    <row r="36" ht="30" customHeight="1">
      <c r="A36" s="369" t="n">
        <v>4</v>
      </c>
      <c r="B36" s="370" t="inlineStr">
        <is>
          <t>Anclajes del contramarco</t>
        </is>
      </c>
      <c r="C36" s="375" t="inlineStr">
        <is>
          <t>3/8"</t>
        </is>
      </c>
      <c r="D36" s="369" t="inlineStr">
        <is>
          <t>L</t>
        </is>
      </c>
      <c r="E36" s="388" t="n">
        <v>8</v>
      </c>
      <c r="F36" s="389">
        <f>'COLECTOR PARAMETROS'!$C$32</f>
        <v/>
      </c>
      <c r="G36" s="376" t="n">
        <v>0.2</v>
      </c>
      <c r="H36" s="377">
        <f>E36*F36*G36</f>
        <v/>
      </c>
      <c r="I36" s="374">
        <f>'COLECTOR PARAMETROS'!$C$20</f>
        <v/>
      </c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86">
        <f>H36*I36</f>
        <v/>
      </c>
      <c r="V36" s="373" t="inlineStr">
        <is>
          <t>DP-06B: 8 anclajes de 0.20 soldados al angulo</t>
        </is>
      </c>
    </row>
    <row r="37" ht="22" customHeight="1">
      <c r="A37" s="378" t="inlineStr">
        <is>
          <t>TOTAL REGISTROS Y TAPAS</t>
        </is>
      </c>
      <c r="B37" s="379" t="n"/>
      <c r="C37" s="379" t="n"/>
      <c r="D37" s="379" t="n"/>
      <c r="E37" s="379" t="n"/>
      <c r="F37" s="379" t="n"/>
      <c r="G37" s="379" t="n"/>
      <c r="H37" s="379" t="n"/>
      <c r="I37" s="379" t="n"/>
      <c r="J37" s="379" t="n"/>
      <c r="K37" s="379" t="n"/>
      <c r="L37" s="379" t="n"/>
      <c r="M37" s="379" t="n"/>
      <c r="N37" s="379" t="n"/>
      <c r="O37" s="379" t="n"/>
      <c r="P37" s="379" t="n"/>
      <c r="Q37" s="379" t="n"/>
      <c r="R37" s="379" t="n"/>
      <c r="S37" s="379" t="n"/>
      <c r="T37" s="379" t="n"/>
      <c r="U37" s="380">
        <f>SUM(U33:U36)</f>
        <v/>
      </c>
      <c r="V37" s="379" t="n"/>
    </row>
    <row r="39" ht="20" customHeight="1">
      <c r="A39" s="381" t="inlineStr">
        <is>
          <t>RESUMEN PARA LA PLANILLA GENERAL (partidas 01.04.04.04.05 y 01.04.04.05.06)</t>
        </is>
      </c>
      <c r="B39" s="382" t="n"/>
      <c r="C39" s="382" t="n"/>
      <c r="D39" s="382" t="n"/>
      <c r="E39" s="382" t="n"/>
      <c r="F39" s="382" t="n"/>
      <c r="G39" s="382" t="n"/>
      <c r="H39" s="382" t="n"/>
      <c r="I39" s="382" t="n"/>
      <c r="J39" s="382" t="n"/>
      <c r="K39" s="382" t="n"/>
      <c r="L39" s="382" t="n"/>
      <c r="M39" s="382" t="n"/>
      <c r="N39" s="382" t="n"/>
      <c r="O39" s="382" t="n"/>
      <c r="P39" s="382" t="n"/>
      <c r="Q39" s="382" t="n"/>
      <c r="R39" s="382" t="n"/>
      <c r="S39" s="382" t="n"/>
      <c r="T39" s="382" t="n"/>
      <c r="U39" s="382" t="n"/>
      <c r="V39" s="382" t="n"/>
    </row>
    <row r="40" ht="22" customHeight="1">
      <c r="A40" s="369" t="n">
        <v>1</v>
      </c>
      <c r="B40" s="383" t="inlineStr">
        <is>
          <t>ACERO DE REFUERZO EN COLECTOR Y CAJAS</t>
        </is>
      </c>
      <c r="C40" s="384" t="n"/>
      <c r="D40" s="384" t="n"/>
      <c r="E40" s="385" t="n"/>
      <c r="F40" s="372" t="inlineStr">
        <is>
          <t>kg</t>
        </is>
      </c>
      <c r="G40" s="377">
        <f>SUMIF(J10:J16,"3/8""",P10:P16)+T17+U29</f>
        <v/>
      </c>
      <c r="H40" s="377">
        <f>SUMIF(J10:J16,"1/2""",P10:P16)</f>
        <v/>
      </c>
      <c r="I40" s="386">
        <f>U17+U29</f>
        <v/>
      </c>
    </row>
    <row r="41" ht="22" customHeight="1">
      <c r="A41" s="369" t="n">
        <v>2</v>
      </c>
      <c r="B41" s="383" t="inlineStr">
        <is>
          <t>ACERO DE REFUERZO EN TAPAS, BORDES Y ANCLAJES</t>
        </is>
      </c>
      <c r="C41" s="384" t="n"/>
      <c r="D41" s="384" t="n"/>
      <c r="E41" s="385" t="n"/>
      <c r="F41" s="372" t="inlineStr">
        <is>
          <t>kg</t>
        </is>
      </c>
      <c r="G41" s="377">
        <f>SUMIF(C33:C36,"3/8*",U33:U36)</f>
        <v/>
      </c>
      <c r="H41" s="377">
        <f>SUMIF(C33:C36,"1/2*",U33:U36)</f>
        <v/>
      </c>
      <c r="I41" s="386">
        <f>U37</f>
        <v/>
      </c>
    </row>
  </sheetData>
  <mergeCells count="15">
    <mergeCell ref="A4:B4"/>
    <mergeCell ref="B40:E40"/>
    <mergeCell ref="B41:E41"/>
    <mergeCell ref="A2:B2"/>
    <mergeCell ref="A19:V19"/>
    <mergeCell ref="C4:V4"/>
    <mergeCell ref="A1:V1"/>
    <mergeCell ref="C3:V3"/>
    <mergeCell ref="A5:B5"/>
    <mergeCell ref="A31:V31"/>
    <mergeCell ref="C2:V2"/>
    <mergeCell ref="A39:V39"/>
    <mergeCell ref="A3:B3"/>
    <mergeCell ref="A7:V7"/>
    <mergeCell ref="C5:V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40" customWidth="1" min="4" max="4"/>
    <col width="12" customWidth="1" min="5" max="5"/>
    <col width="50" customWidth="1" min="6" max="6"/>
  </cols>
  <sheetData>
    <row r="1" ht="27" customHeight="1">
      <c r="A1" s="361" t="inlineStr">
        <is>
          <t>COLECTOR PLUVIAL FRONTAL - REGISTROS DE LIMPIEZA Y TAPAS</t>
        </is>
      </c>
      <c r="B1" s="362" t="n"/>
      <c r="C1" s="362" t="n"/>
      <c r="D1" s="362" t="n"/>
      <c r="E1" s="362" t="n"/>
      <c r="F1" s="362" t="n"/>
    </row>
    <row r="2" ht="25" customHeight="1">
      <c r="A2" s="363" t="inlineStr">
        <is>
          <t>ENTIDAD</t>
        </is>
      </c>
      <c r="B2" s="364" t="n"/>
      <c r="C2" s="365">
        <f>+RESUMEN!B4</f>
        <v/>
      </c>
      <c r="D2" s="364" t="n"/>
      <c r="E2" s="364" t="n"/>
      <c r="F2" s="364" t="n"/>
    </row>
    <row r="3" ht="59" customHeight="1">
      <c r="A3" s="363" t="inlineStr">
        <is>
          <t>PROYECTO</t>
        </is>
      </c>
      <c r="B3" s="364" t="n"/>
      <c r="C3" s="365">
        <f>+RESUMEN!B5</f>
        <v/>
      </c>
      <c r="D3" s="364" t="n"/>
      <c r="E3" s="364" t="n"/>
      <c r="F3" s="364" t="n"/>
    </row>
    <row r="4" ht="25" customHeight="1">
      <c r="A4" s="363" t="inlineStr">
        <is>
          <t>UBICACIÓN</t>
        </is>
      </c>
      <c r="B4" s="364" t="n"/>
      <c r="C4" s="365">
        <f>+RESUMEN!B6</f>
        <v/>
      </c>
      <c r="D4" s="364" t="n"/>
      <c r="E4" s="364" t="n"/>
      <c r="F4" s="364" t="n"/>
    </row>
    <row r="5" ht="25" customHeight="1">
      <c r="A5" s="363" t="inlineStr">
        <is>
          <t>FECHA</t>
        </is>
      </c>
      <c r="B5" s="364" t="n"/>
      <c r="C5" s="366">
        <f>+RESUMEN!B7</f>
        <v/>
      </c>
      <c r="D5" s="364" t="n"/>
      <c r="E5" s="364" t="n"/>
      <c r="F5" s="364" t="n"/>
    </row>
    <row r="7" ht="48" customHeight="1">
      <c r="A7" s="367" t="inlineStr">
        <is>
          <t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      </is>
      </c>
      <c r="B7" s="364" t="n"/>
      <c r="C7" s="364" t="n"/>
      <c r="D7" s="364" t="n"/>
      <c r="E7" s="364" t="n"/>
      <c r="F7" s="364" t="n"/>
    </row>
    <row r="9" ht="30" customHeight="1">
      <c r="A9" s="368" t="inlineStr">
        <is>
          <t>N°</t>
        </is>
      </c>
      <c r="B9" s="368" t="inlineStr">
        <is>
          <t>REGISTRO</t>
        </is>
      </c>
      <c r="C9" s="368" t="inlineStr">
        <is>
          <t>PROGRESIVA</t>
        </is>
      </c>
      <c r="D9" s="368" t="inlineStr">
        <is>
          <t>UBICACION</t>
        </is>
      </c>
      <c r="E9" s="368" t="inlineStr">
        <is>
          <t>TAPA 0.68 x 0.68 (und)</t>
        </is>
      </c>
      <c r="F9" s="368" t="inlineStr">
        <is>
          <t>SUSTENTO</t>
        </is>
      </c>
    </row>
    <row r="10" ht="24" customHeight="1">
      <c r="A10" s="369" t="n">
        <v>1</v>
      </c>
      <c r="B10" s="369" t="inlineStr">
        <is>
          <t>CL</t>
        </is>
      </c>
      <c r="C10" s="369" t="inlineStr">
        <is>
          <t>0+000.00</t>
        </is>
      </c>
      <c r="D10" s="370" t="inlineStr">
        <is>
          <t>Caja de llegada (empalme con CAR Varones y cuneta Eje 01)</t>
        </is>
      </c>
      <c r="E10" s="388" t="n">
        <v>1</v>
      </c>
      <c r="F10" s="373" t="inlineStr">
        <is>
          <t>DP-07</t>
        </is>
      </c>
    </row>
    <row r="11" ht="24" customHeight="1">
      <c r="A11" s="369" t="n">
        <v>2</v>
      </c>
      <c r="B11" s="369" t="inlineStr">
        <is>
          <t>RS-01</t>
        </is>
      </c>
      <c r="C11" s="369" t="inlineStr">
        <is>
          <t>0+011.27</t>
        </is>
      </c>
      <c r="D11" s="370" t="inlineStr">
        <is>
          <t>Registro en la losa del colector; empalme cuneta</t>
        </is>
      </c>
      <c r="E11" s="388" t="n">
        <v>1</v>
      </c>
      <c r="F11" s="373" t="inlineStr">
        <is>
          <t>DP-01, DP-06B</t>
        </is>
      </c>
    </row>
    <row r="12" ht="24" customHeight="1">
      <c r="A12" s="369" t="n">
        <v>3</v>
      </c>
      <c r="B12" s="369" t="inlineStr">
        <is>
          <t>RS-02</t>
        </is>
      </c>
      <c r="C12" s="369" t="inlineStr">
        <is>
          <t>0+022.00</t>
        </is>
      </c>
      <c r="D12" s="370" t="inlineStr">
        <is>
          <t>Registro en la losa del colector; limpieza / quiebre</t>
        </is>
      </c>
      <c r="E12" s="388" t="n">
        <v>1</v>
      </c>
      <c r="F12" s="373" t="inlineStr">
        <is>
          <t>DP-01, DP-06B</t>
        </is>
      </c>
    </row>
    <row r="13" ht="24" customHeight="1">
      <c r="A13" s="369" t="n">
        <v>4</v>
      </c>
      <c r="B13" s="369" t="inlineStr">
        <is>
          <t>RS-03</t>
        </is>
      </c>
      <c r="C13" s="369" t="inlineStr">
        <is>
          <t>0+032.50</t>
        </is>
      </c>
      <c r="D13" s="370" t="inlineStr">
        <is>
          <t>Registro en la losa del colector; empalme cuneta</t>
        </is>
      </c>
      <c r="E13" s="388" t="n">
        <v>1</v>
      </c>
      <c r="F13" s="373" t="inlineStr">
        <is>
          <t>DP-01, DP-06B</t>
        </is>
      </c>
    </row>
    <row r="14" ht="24" customHeight="1">
      <c r="A14" s="369" t="n">
        <v>5</v>
      </c>
      <c r="B14" s="369" t="inlineStr">
        <is>
          <t>RS-04</t>
        </is>
      </c>
      <c r="C14" s="369" t="inlineStr">
        <is>
          <t>0+042.68</t>
        </is>
      </c>
      <c r="D14" s="370" t="inlineStr">
        <is>
          <t>Registro en la losa del colector; empalme cuneta</t>
        </is>
      </c>
      <c r="E14" s="388" t="n">
        <v>1</v>
      </c>
      <c r="F14" s="373" t="inlineStr">
        <is>
          <t>DP-01, DP-06B</t>
        </is>
      </c>
    </row>
    <row r="15" ht="24" customHeight="1">
      <c r="A15" s="369" t="n">
        <v>6</v>
      </c>
      <c r="B15" s="369" t="inlineStr">
        <is>
          <t>RS-05</t>
        </is>
      </c>
      <c r="C15" s="369" t="inlineStr">
        <is>
          <t>0+052.00</t>
        </is>
      </c>
      <c r="D15" s="370" t="inlineStr">
        <is>
          <t>Registro en la losa del colector; limpieza / quiebre</t>
        </is>
      </c>
      <c r="E15" s="388" t="n">
        <v>1</v>
      </c>
      <c r="F15" s="373" t="inlineStr">
        <is>
          <t>DP-01, DP-06B</t>
        </is>
      </c>
    </row>
    <row r="16" ht="24" customHeight="1">
      <c r="A16" s="369" t="n">
        <v>7</v>
      </c>
      <c r="B16" s="369" t="inlineStr">
        <is>
          <t>RS-06</t>
        </is>
      </c>
      <c r="C16" s="369" t="inlineStr">
        <is>
          <t>0+058.81</t>
        </is>
      </c>
      <c r="D16" s="370" t="inlineStr">
        <is>
          <t>Registro en la losa del colector; limpieza / quiebre</t>
        </is>
      </c>
      <c r="E16" s="388" t="n">
        <v>1</v>
      </c>
      <c r="F16" s="373" t="inlineStr">
        <is>
          <t>DP-01, DP-06B</t>
        </is>
      </c>
    </row>
    <row r="17" ht="24" customHeight="1">
      <c r="A17" s="369" t="n">
        <v>8</v>
      </c>
      <c r="B17" s="369" t="inlineStr">
        <is>
          <t>RS-07</t>
        </is>
      </c>
      <c r="C17" s="369" t="inlineStr">
        <is>
          <t>0+066.89</t>
        </is>
      </c>
      <c r="D17" s="370" t="inlineStr">
        <is>
          <t>Registro en la losa del colector; limpieza / quiebre</t>
        </is>
      </c>
      <c r="E17" s="388" t="n">
        <v>1</v>
      </c>
      <c r="F17" s="373" t="inlineStr">
        <is>
          <t>DP-01, DP-06B</t>
        </is>
      </c>
    </row>
    <row r="18" ht="24" customHeight="1">
      <c r="A18" s="369" t="n">
        <v>9</v>
      </c>
      <c r="B18" s="369" t="inlineStr">
        <is>
          <t>CC (2)</t>
        </is>
      </c>
      <c r="C18" s="369" t="inlineStr">
        <is>
          <t>0+069.89</t>
        </is>
      </c>
      <c r="D18" s="370" t="inlineStr">
        <is>
          <t>Caja de caida: dos registros sobre la poza</t>
        </is>
      </c>
      <c r="E18" s="388" t="n">
        <v>2</v>
      </c>
      <c r="F18" s="373" t="inlineStr">
        <is>
          <t>DP-07</t>
        </is>
      </c>
    </row>
    <row r="19" ht="22" customHeight="1">
      <c r="A19" s="378" t="inlineStr">
        <is>
          <t>TOTAL DE REGISTROS CON TAPA</t>
        </is>
      </c>
      <c r="B19" s="379" t="n"/>
      <c r="C19" s="379" t="n"/>
      <c r="D19" s="379" t="n"/>
      <c r="E19" s="390">
        <f>SUM(E10:E18)</f>
        <v/>
      </c>
      <c r="F19" s="379" t="n"/>
    </row>
    <row r="21" ht="20" customHeight="1">
      <c r="A21" s="381" t="inlineStr">
        <is>
          <t>METRADO DE LAS PARTIDAS DE REGISTROS (cantidad = total de registros; dimensiones de la hoja COLECTOR PARAMETROS)</t>
        </is>
      </c>
      <c r="B21" s="382" t="n"/>
      <c r="C21" s="382" t="n"/>
      <c r="D21" s="382" t="n"/>
      <c r="E21" s="382" t="n"/>
      <c r="F21" s="382" t="n"/>
    </row>
    <row r="22" ht="30" customHeight="1">
      <c r="A22" s="368" t="inlineStr">
        <is>
          <t>N°</t>
        </is>
      </c>
      <c r="B22" s="368" t="inlineStr">
        <is>
          <t>PARTIDA</t>
        </is>
      </c>
      <c r="C22" s="368" t="inlineStr">
        <is>
          <t>UND</t>
        </is>
      </c>
      <c r="D22" s="368" t="inlineStr">
        <is>
          <t>CALCULO</t>
        </is>
      </c>
      <c r="E22" s="368" t="inlineStr">
        <is>
          <t>TOTAL</t>
        </is>
      </c>
      <c r="F22" s="368" t="inlineStr">
        <is>
          <t>SUSTENTO</t>
        </is>
      </c>
    </row>
    <row r="23" ht="30" customHeight="1">
      <c r="A23" s="369" t="n">
        <v>1</v>
      </c>
      <c r="B23" s="370" t="inlineStr">
        <is>
          <t>CONTRAMARCO METALICO L 2"x2"x3/16" CON ANCLAJES</t>
        </is>
      </c>
      <c r="C23" s="372" t="inlineStr">
        <is>
          <t>und</t>
        </is>
      </c>
      <c r="D23" s="369" t="inlineStr">
        <is>
          <t>1 por registro</t>
        </is>
      </c>
      <c r="E23" s="386">
        <f>E19</f>
        <v/>
      </c>
      <c r="F23" s="373" t="inlineStr">
        <is>
          <t>DP-06B</t>
        </is>
      </c>
    </row>
    <row r="24" ht="30" customHeight="1">
      <c r="A24" s="369" t="n">
        <v>2</v>
      </c>
      <c r="B24" s="370" t="inlineStr">
        <is>
          <t>MARCO METALICO DE TAPA L 1 1/2"x1 1/2"x1/8"</t>
        </is>
      </c>
      <c r="C24" s="372" t="inlineStr">
        <is>
          <t>und</t>
        </is>
      </c>
      <c r="D24" s="369" t="inlineStr">
        <is>
          <t>1 por tapa</t>
        </is>
      </c>
      <c r="E24" s="386">
        <f>E19</f>
        <v/>
      </c>
      <c r="F24" s="373" t="inlineStr">
        <is>
          <t>DP-06B</t>
        </is>
      </c>
    </row>
    <row r="25" ht="30" customHeight="1">
      <c r="A25" s="369" t="n">
        <v>3</v>
      </c>
      <c r="B25" s="370" t="inlineStr">
        <is>
          <t>ANGULOS METALICOS P/MARCO Y CONTRAMARCO</t>
        </is>
      </c>
      <c r="C25" s="372" t="inlineStr">
        <is>
          <t>kg</t>
        </is>
      </c>
      <c r="D25" s="369" t="inlineStr">
        <is>
          <t>registros x (2.80 x 3.63 + 2.72 x 1.83)</t>
        </is>
      </c>
      <c r="E25" s="386">
        <f>E19*('COLECTOR PARAMETROS'!$C$36*'COLECTOR PARAMETROS'!$C$38+'COLECTOR PARAMETROS'!$C$37*'COLECTOR PARAMETROS'!$C$39)</f>
        <v/>
      </c>
      <c r="F25" s="373" t="inlineStr">
        <is>
          <t>DP-06B; pesos de catalogo</t>
        </is>
      </c>
    </row>
    <row r="26" ht="30" customHeight="1">
      <c r="A26" s="369" t="n">
        <v>4</v>
      </c>
      <c r="B26" s="370" t="inlineStr">
        <is>
          <t>TAPA DE CONCRETO ARMADO 0.68 x 0.68 x 0.08</t>
        </is>
      </c>
      <c r="C26" s="372" t="inlineStr">
        <is>
          <t>und</t>
        </is>
      </c>
      <c r="D26" s="369" t="inlineStr">
        <is>
          <t>1 por registro</t>
        </is>
      </c>
      <c r="E26" s="386">
        <f>E19</f>
        <v/>
      </c>
      <c r="F26" s="373" t="inlineStr">
        <is>
          <t>DP-06B</t>
        </is>
      </c>
    </row>
    <row r="27" ht="30" customHeight="1">
      <c r="A27" s="369" t="n">
        <v>5</v>
      </c>
      <c r="B27" s="370" t="inlineStr">
        <is>
          <t>CONCRETO f'c=210 EN TAPAS</t>
        </is>
      </c>
      <c r="C27" s="372" t="inlineStr">
        <is>
          <t>m3</t>
        </is>
      </c>
      <c r="D27" s="369" t="inlineStr">
        <is>
          <t>registros x 0.68 x 0.68 x 0.08</t>
        </is>
      </c>
      <c r="E27" s="386">
        <f>E19*'COLECTOR PARAMETROS'!$C$33*'COLECTOR PARAMETROS'!$C$33*'COLECTOR PARAMETROS'!$C$34</f>
        <v/>
      </c>
      <c r="F27" s="373" t="inlineStr">
        <is>
          <t>DP-06B</t>
        </is>
      </c>
    </row>
    <row r="28" ht="30" customHeight="1">
      <c r="A28" s="369" t="n">
        <v>6</v>
      </c>
      <c r="B28" s="370" t="inlineStr">
        <is>
          <t>PINTURA ANTICORROSIVA Y ESMALTE EN ANGULOS</t>
        </is>
      </c>
      <c r="C28" s="372" t="inlineStr">
        <is>
          <t>m2</t>
        </is>
      </c>
      <c r="D28" s="369" t="inlineStr">
        <is>
          <t>registros x (2.80 x 0.203 + 2.72 x 0.152)</t>
        </is>
      </c>
      <c r="E28" s="386">
        <f>E19*('COLECTOR PARAMETROS'!$C$36*'COLECTOR PARAMETROS'!$C$40+'COLECTOR PARAMETROS'!$C$37*'COLECTOR PARAMETROS'!$C$41)</f>
        <v/>
      </c>
      <c r="F28" s="373" t="inlineStr">
        <is>
          <t>4 caras de cada angulo</t>
        </is>
      </c>
    </row>
  </sheetData>
  <mergeCells count="11">
    <mergeCell ref="A4:B4"/>
    <mergeCell ref="C5:F5"/>
    <mergeCell ref="A2:B2"/>
    <mergeCell ref="C3:F3"/>
    <mergeCell ref="C4:F4"/>
    <mergeCell ref="A1:F1"/>
    <mergeCell ref="A5:B5"/>
    <mergeCell ref="C2:F2"/>
    <mergeCell ref="A21:F21"/>
    <mergeCell ref="A3:B3"/>
    <mergeCell ref="A7:F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9" customWidth="1" min="4" max="4"/>
    <col width="12" customWidth="1" min="5" max="5"/>
    <col width="12" customWidth="1" min="6" max="6"/>
    <col width="52" customWidth="1" min="7" max="7"/>
  </cols>
  <sheetData>
    <row r="1" ht="27" customHeight="1">
      <c r="A1" s="361" t="inlineStr">
        <is>
          <t>COLECTOR PLUVIAL FRONTAL - JUNTAS Y EMPALMES DE CUNETAS</t>
        </is>
      </c>
      <c r="B1" s="362" t="n"/>
      <c r="C1" s="362" t="n"/>
      <c r="D1" s="362" t="n"/>
      <c r="E1" s="362" t="n"/>
      <c r="F1" s="362" t="n"/>
      <c r="G1" s="362" t="n"/>
    </row>
    <row r="2" ht="25" customHeight="1">
      <c r="A2" s="363" t="inlineStr">
        <is>
          <t>ENTIDAD</t>
        </is>
      </c>
      <c r="B2" s="364" t="n"/>
      <c r="C2" s="365">
        <f>+RESUMEN!B4</f>
        <v/>
      </c>
      <c r="D2" s="364" t="n"/>
      <c r="E2" s="364" t="n"/>
      <c r="F2" s="364" t="n"/>
      <c r="G2" s="364" t="n"/>
    </row>
    <row r="3" ht="59" customHeight="1">
      <c r="A3" s="363" t="inlineStr">
        <is>
          <t>PROYECTO</t>
        </is>
      </c>
      <c r="B3" s="364" t="n"/>
      <c r="C3" s="365">
        <f>+RESUMEN!B5</f>
        <v/>
      </c>
      <c r="D3" s="364" t="n"/>
      <c r="E3" s="364" t="n"/>
      <c r="F3" s="364" t="n"/>
      <c r="G3" s="364" t="n"/>
    </row>
    <row r="4" ht="25" customHeight="1">
      <c r="A4" s="363" t="inlineStr">
        <is>
          <t>UBICACIÓN</t>
        </is>
      </c>
      <c r="B4" s="364" t="n"/>
      <c r="C4" s="365">
        <f>+RESUMEN!B6</f>
        <v/>
      </c>
      <c r="D4" s="364" t="n"/>
      <c r="E4" s="364" t="n"/>
      <c r="F4" s="364" t="n"/>
      <c r="G4" s="364" t="n"/>
    </row>
    <row r="5" ht="25" customHeight="1">
      <c r="A5" s="363" t="inlineStr">
        <is>
          <t>FECHA</t>
        </is>
      </c>
      <c r="B5" s="364" t="n"/>
      <c r="C5" s="366">
        <f>+RESUMEN!B7</f>
        <v/>
      </c>
      <c r="D5" s="364" t="n"/>
      <c r="E5" s="364" t="n"/>
      <c r="F5" s="364" t="n"/>
      <c r="G5" s="364" t="n"/>
    </row>
    <row r="7" ht="48" customHeight="1">
      <c r="A7" s="367" t="inlineStr">
        <is>
          <t>Lamina DP-01 (nota 5), DP-03 y DP-06C. Junta de dilatacion de 1" cada 4.00 m en todo el perimetro de la seccion (tecnopor + sellador elastomerico). Junta de tecnopor de 1" entre el colector y el cimiento del cerco, y entre el borde de la losa y el piso adyacente. Empalme de cada cuneta por ventana en el muro lado predio con caida libre al fondo (sin dintel adicional).</t>
        </is>
      </c>
      <c r="B7" s="364" t="n"/>
      <c r="C7" s="364" t="n"/>
      <c r="D7" s="364" t="n"/>
      <c r="E7" s="364" t="n"/>
      <c r="F7" s="364" t="n"/>
      <c r="G7" s="364" t="n"/>
    </row>
    <row r="9" ht="30" customHeight="1">
      <c r="A9" s="368" t="inlineStr">
        <is>
          <t>N°</t>
        </is>
      </c>
      <c r="B9" s="368" t="inlineStr">
        <is>
          <t>ELEMENTO</t>
        </is>
      </c>
      <c r="C9" s="368" t="inlineStr">
        <is>
          <t>PROGRESIVA / DETALLE</t>
        </is>
      </c>
      <c r="D9" s="368" t="inlineStr">
        <is>
          <t>VECES</t>
        </is>
      </c>
      <c r="E9" s="368" t="inlineStr">
        <is>
          <t>LONGITUD (m)</t>
        </is>
      </c>
      <c r="F9" s="368" t="inlineStr">
        <is>
          <t>PARCIAL (m)</t>
        </is>
      </c>
      <c r="G9" s="368" t="inlineStr">
        <is>
          <t>SUSTENTO</t>
        </is>
      </c>
    </row>
    <row r="10" ht="20" customHeight="1">
      <c r="A10" s="381" t="inlineStr">
        <is>
          <t>JUNTA DE DILATACION e=1" CON TECNOPOR Y SELLADOR ELASTOMERICO (perimetro = 2 x ancho exterior + 2 x (e fondo + h max + e losa))</t>
        </is>
      </c>
      <c r="B10" s="391" t="n"/>
      <c r="C10" s="382" t="n"/>
      <c r="D10" s="382" t="n"/>
      <c r="E10" s="382" t="n"/>
      <c r="F10" s="382" t="n"/>
      <c r="G10" s="382" t="n"/>
    </row>
    <row r="11" ht="30" customHeight="1">
      <c r="A11" s="369" t="n">
        <v>1</v>
      </c>
      <c r="B11" s="370" t="inlineStr">
        <is>
          <t>Juntas de dilatacion cada 4.00 m entre 0+004.00 y 0+068.00</t>
        </is>
      </c>
      <c r="C11" s="392">
        <f>"n = ENTERO("&amp;TEXT('COLECTOR PARAMETROS'!$C$60,"0.00")&amp;" / 4.00)"</f>
        <v/>
      </c>
      <c r="D11" s="389">
        <f>INT('COLECTOR PARAMETROS'!$C$60/'COLECTOR PARAMETROS'!$C$58)</f>
        <v/>
      </c>
      <c r="E11" s="377">
        <f>2*('COLECTOR PARAMETROS'!$C$10+2*'COLECTOR PARAMETROS'!$C$11)+2*('COLECTOR PARAMETROS'!$C$12+'COLECTOR PARAMETROS'!$C$59+'COLECTOR PARAMETROS'!$C$13)</f>
        <v/>
      </c>
      <c r="F11" s="377">
        <f>D11*E11</f>
        <v/>
      </c>
      <c r="G11" s="373" t="inlineStr">
        <is>
          <t>DP-01 nota 5; DP-03 (juntas en el perfil); perimetro de la seccion</t>
        </is>
      </c>
    </row>
    <row r="12" ht="22" customHeight="1">
      <c r="A12" s="378" t="inlineStr">
        <is>
          <t>TOTAL JUNTA DE DILATACION (m)</t>
        </is>
      </c>
      <c r="B12" s="393" t="n"/>
      <c r="C12" s="379" t="n"/>
      <c r="D12" s="379" t="n"/>
      <c r="E12" s="379" t="n"/>
      <c r="F12" s="380">
        <f>SUM(F11:F11)</f>
        <v/>
      </c>
      <c r="G12" s="379" t="n"/>
    </row>
    <row r="13">
      <c r="B13" s="394" t="n"/>
    </row>
    <row r="14" ht="20" customHeight="1">
      <c r="A14" s="381" t="inlineStr">
        <is>
          <t>JUNTA DE TECNOPOR e=1" ENTRE COLECTOR, CERCO Y PISO ADYACENTE</t>
        </is>
      </c>
      <c r="B14" s="391" t="n"/>
      <c r="C14" s="382" t="n"/>
      <c r="D14" s="382" t="n"/>
      <c r="E14" s="382" t="n"/>
      <c r="F14" s="382" t="n"/>
      <c r="G14" s="382" t="n"/>
    </row>
    <row r="15" ht="30" customHeight="1">
      <c r="A15" s="369" t="n">
        <v>1</v>
      </c>
      <c r="B15" s="370" t="inlineStr">
        <is>
          <t>Contra el cimiento del cerco (tramo pegado al cerco, 0+000 a primer quiebre)</t>
        </is>
      </c>
      <c r="C15" s="392">
        <f>"0+000.00 a 0+"&amp;TEXT('COLECTOR PARAMETROS'!$C$61,"000.00")</f>
        <v/>
      </c>
      <c r="D15" s="388" t="n">
        <v>1</v>
      </c>
      <c r="E15" s="377">
        <f>'COLECTOR PARAMETROS'!$C$61</f>
        <v/>
      </c>
      <c r="F15" s="377">
        <f>D15*E15</f>
        <v/>
      </c>
      <c r="G15" s="373" t="inlineStr">
        <is>
          <t>DP-01, DP-04 (junta entre muro y cimiento del cerco)</t>
        </is>
      </c>
    </row>
    <row r="16" ht="30" customHeight="1">
      <c r="A16" s="369" t="n">
        <v>2</v>
      </c>
      <c r="B16" s="370" t="inlineStr">
        <is>
          <t>Borde de la losa con el piso adyacente: colector (ambos lados)</t>
        </is>
      </c>
      <c r="C16" s="392">
        <f>"2 x 0+"&amp;TEXT('COLECTOR PARAMETROS'!$C$60,"000.00")</f>
        <v/>
      </c>
      <c r="D16" s="388" t="n">
        <v>2</v>
      </c>
      <c r="E16" s="377">
        <f>'COLECTOR PARAMETROS'!$C$60</f>
        <v/>
      </c>
      <c r="F16" s="377">
        <f>D16*E16</f>
        <v/>
      </c>
      <c r="G16" s="373" t="inlineStr">
        <is>
          <t>DP-04: junta de tecnopor en el borde de la losa superior</t>
        </is>
      </c>
    </row>
    <row r="17" ht="30" customHeight="1">
      <c r="A17" s="369" t="n">
        <v>3</v>
      </c>
      <c r="B17" s="370" t="inlineStr">
        <is>
          <t>Borde de la losa con el piso adyacente: caja CL (ambos lados)</t>
        </is>
      </c>
      <c r="C17" s="369" t="inlineStr">
        <is>
          <t>2 x (largo exterior + 0.30)</t>
        </is>
      </c>
      <c r="D17" s="388" t="n">
        <v>2</v>
      </c>
      <c r="E17" s="377">
        <f>'COLECTOR MOV. TIERRAS'!D21+2*'COLECTOR PARAMETROS'!$C$11+0.30</f>
        <v/>
      </c>
      <c r="F17" s="377">
        <f>D17*E17</f>
        <v/>
      </c>
      <c r="G17" s="373" t="inlineStr">
        <is>
          <t>DP-07</t>
        </is>
      </c>
    </row>
    <row r="18" ht="30" customHeight="1">
      <c r="A18" s="369" t="n">
        <v>4</v>
      </c>
      <c r="B18" s="370" t="inlineStr">
        <is>
          <t>Borde de la losa con el piso adyacente: caja CC (ambos lados)</t>
        </is>
      </c>
      <c r="C18" s="369" t="inlineStr">
        <is>
          <t>2 x (largo exterior + 0.30)</t>
        </is>
      </c>
      <c r="D18" s="388" t="n">
        <v>2</v>
      </c>
      <c r="E18" s="377">
        <f>'COLECTOR MOV. TIERRAS'!D22+2*'COLECTOR PARAMETROS'!$C$11+0.30</f>
        <v/>
      </c>
      <c r="F18" s="377">
        <f>D18*E18</f>
        <v/>
      </c>
      <c r="G18" s="373" t="inlineStr">
        <is>
          <t>DP-07</t>
        </is>
      </c>
    </row>
    <row r="19" ht="22" customHeight="1">
      <c r="A19" s="378" t="inlineStr">
        <is>
          <t>TOTAL JUNTA DE TECNOPOR (m)</t>
        </is>
      </c>
      <c r="B19" s="393" t="n"/>
      <c r="C19" s="379" t="n"/>
      <c r="D19" s="379" t="n"/>
      <c r="E19" s="379" t="n"/>
      <c r="F19" s="380">
        <f>SUM(F15:F18)</f>
        <v/>
      </c>
      <c r="G19" s="379" t="n"/>
    </row>
    <row r="20">
      <c r="B20" s="394" t="n"/>
    </row>
    <row r="21" ht="20" customHeight="1">
      <c r="A21" s="381" t="inlineStr">
        <is>
          <t>EMPALME DE CUNETA AL COLECTOR (ventana 0.40 x H en el muro lado predio, caida libre y registro encima) - lamina DP-06C</t>
        </is>
      </c>
      <c r="B21" s="391" t="n"/>
      <c r="C21" s="382" t="n"/>
      <c r="D21" s="382" t="n"/>
      <c r="E21" s="382" t="n"/>
      <c r="F21" s="382" t="n"/>
      <c r="G21" s="382" t="n"/>
    </row>
    <row r="22" ht="24" customHeight="1">
      <c r="A22" s="369" t="n">
        <v>1</v>
      </c>
      <c r="B22" s="370" t="inlineStr">
        <is>
          <t>Cuneta Eje 01 (perimetral este), perfil 01</t>
        </is>
      </c>
      <c r="C22" s="369" t="inlineStr">
        <is>
          <t>0+001.07</t>
        </is>
      </c>
      <c r="D22" s="388" t="n">
        <v>1</v>
      </c>
      <c r="E22" s="364" t="n"/>
      <c r="F22" s="389">
        <f>D22</f>
        <v/>
      </c>
      <c r="G22" s="373" t="inlineStr">
        <is>
          <t>DP-06C (cuadro de empalmes); DP-01</t>
        </is>
      </c>
    </row>
    <row r="23" ht="24" customHeight="1">
      <c r="A23" s="369" t="n">
        <v>2</v>
      </c>
      <c r="B23" s="370" t="inlineStr">
        <is>
          <t>Cuneta Eje 02 (estacionamiento), perfil 02</t>
        </is>
      </c>
      <c r="C23" s="369" t="inlineStr">
        <is>
          <t>0+011.27</t>
        </is>
      </c>
      <c r="D23" s="388" t="n">
        <v>1</v>
      </c>
      <c r="E23" s="364" t="n"/>
      <c r="F23" s="389">
        <f>D23</f>
        <v/>
      </c>
      <c r="G23" s="373" t="inlineStr">
        <is>
          <t>DP-06C (cuadro de empalmes); DP-01</t>
        </is>
      </c>
    </row>
    <row r="24" ht="24" customHeight="1">
      <c r="A24" s="369" t="n">
        <v>3</v>
      </c>
      <c r="B24" s="370" t="inlineStr">
        <is>
          <t>Cuneta Eje 06 (ingreso vehicular), perfil 06</t>
        </is>
      </c>
      <c r="C24" s="369" t="inlineStr">
        <is>
          <t>0+032.50</t>
        </is>
      </c>
      <c r="D24" s="388" t="n">
        <v>1</v>
      </c>
      <c r="E24" s="364" t="n"/>
      <c r="F24" s="389">
        <f>D24</f>
        <v/>
      </c>
      <c r="G24" s="373" t="inlineStr">
        <is>
          <t>DP-06C (cuadro de empalmes); DP-01</t>
        </is>
      </c>
    </row>
    <row r="25" ht="24" customHeight="1">
      <c r="A25" s="369" t="n">
        <v>4</v>
      </c>
      <c r="B25" s="370" t="inlineStr">
        <is>
          <t>Cuneta Eje 07, perfil 07</t>
        </is>
      </c>
      <c r="C25" s="369" t="inlineStr">
        <is>
          <t>0+042.68</t>
        </is>
      </c>
      <c r="D25" s="388" t="n">
        <v>1</v>
      </c>
      <c r="E25" s="364" t="n"/>
      <c r="F25" s="389">
        <f>D25</f>
        <v/>
      </c>
      <c r="G25" s="373" t="inlineStr">
        <is>
          <t>DP-06C (cuadro de empalmes); DP-01</t>
        </is>
      </c>
    </row>
    <row r="26" ht="24" customHeight="1">
      <c r="A26" s="369" t="n">
        <v>5</v>
      </c>
      <c r="B26" s="370" t="inlineStr">
        <is>
          <t>Cuneta Eje 11, perfil 11</t>
        </is>
      </c>
      <c r="C26" s="369" t="inlineStr">
        <is>
          <t>0+060.89</t>
        </is>
      </c>
      <c r="D26" s="388" t="n">
        <v>1</v>
      </c>
      <c r="E26" s="364" t="n"/>
      <c r="F26" s="389">
        <f>D26</f>
        <v/>
      </c>
      <c r="G26" s="373" t="inlineStr">
        <is>
          <t>DP-06C (cuadro de empalmes); DP-01</t>
        </is>
      </c>
    </row>
    <row r="27" ht="24" customHeight="1">
      <c r="A27" s="369" t="n">
        <v>6</v>
      </c>
      <c r="B27" s="370" t="inlineStr">
        <is>
          <t>Cuneta Eje 12 (perimetral oeste), perfil 12</t>
        </is>
      </c>
      <c r="C27" s="369" t="inlineStr">
        <is>
          <t>0+069.56</t>
        </is>
      </c>
      <c r="D27" s="388" t="n">
        <v>1</v>
      </c>
      <c r="E27" s="364" t="n"/>
      <c r="F27" s="389">
        <f>D27</f>
        <v/>
      </c>
      <c r="G27" s="373" t="inlineStr">
        <is>
          <t>DP-06C (cuadro de empalmes); DP-01</t>
        </is>
      </c>
    </row>
    <row r="28" ht="22" customHeight="1">
      <c r="A28" s="378" t="inlineStr">
        <is>
          <t>TOTAL EMPALMES (und)</t>
        </is>
      </c>
      <c r="B28" s="393" t="n"/>
      <c r="C28" s="379" t="n"/>
      <c r="D28" s="379" t="n"/>
      <c r="E28" s="379" t="n"/>
      <c r="F28" s="390">
        <f>SUM(F22:F27)</f>
        <v/>
      </c>
      <c r="G28" s="379" t="n"/>
    </row>
    <row r="30" ht="34" customHeight="1">
      <c r="A30" s="387" t="inlineStr">
        <is>
          <t>Nota: las cunetas de los Ejes 11 y 12 terminan antes del cerco y se prolongan 1.88 y 5.39 m hasta el muro del colector con su misma seccion (DP-06C). Esa prolongacion se metra en las partidas de cunetas del proyecto; aqui solo se cuenta la ventana de empalme.</t>
        </is>
      </c>
    </row>
  </sheetData>
  <mergeCells count="14">
    <mergeCell ref="A4:B4"/>
    <mergeCell ref="A14:G14"/>
    <mergeCell ref="C4:G4"/>
    <mergeCell ref="A2:B2"/>
    <mergeCell ref="A1:G1"/>
    <mergeCell ref="C2:G2"/>
    <mergeCell ref="A21:G21"/>
    <mergeCell ref="A5:B5"/>
    <mergeCell ref="C5:G5"/>
    <mergeCell ref="A30:G30"/>
    <mergeCell ref="A7:G7"/>
    <mergeCell ref="A3:B3"/>
    <mergeCell ref="A10:G10"/>
    <mergeCell ref="C3:G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12" customWidth="1" min="4" max="4"/>
    <col width="44" customWidth="1" min="5" max="5"/>
    <col width="10" customWidth="1" min="6" max="6"/>
    <col width="14" customWidth="1" min="7" max="7"/>
    <col width="14" customWidth="1" min="8" max="8"/>
  </cols>
  <sheetData>
    <row r="1" ht="27" customHeight="1">
      <c r="A1" s="361" t="inlineStr">
        <is>
          <t>COLECTOR PLUVIAL FRONTAL - DESGLOSE DE INSUMOS POR PARTIDA</t>
        </is>
      </c>
      <c r="B1" s="362" t="n"/>
      <c r="C1" s="362" t="n"/>
      <c r="D1" s="362" t="n"/>
      <c r="E1" s="362" t="n"/>
      <c r="F1" s="362" t="n"/>
      <c r="G1" s="362" t="n"/>
      <c r="H1" s="362" t="n"/>
    </row>
    <row r="2" ht="25" customHeight="1">
      <c r="A2" s="363" t="inlineStr">
        <is>
          <t>ENTIDAD</t>
        </is>
      </c>
      <c r="B2" s="364" t="n"/>
      <c r="C2" s="365">
        <f>+RESUMEN!B4</f>
        <v/>
      </c>
      <c r="D2" s="364" t="n"/>
      <c r="E2" s="364" t="n"/>
      <c r="F2" s="364" t="n"/>
      <c r="G2" s="364" t="n"/>
      <c r="H2" s="364" t="n"/>
    </row>
    <row r="3" ht="59" customHeight="1">
      <c r="A3" s="363" t="inlineStr">
        <is>
          <t>PROYECTO</t>
        </is>
      </c>
      <c r="B3" s="364" t="n"/>
      <c r="C3" s="365">
        <f>+RESUMEN!B5</f>
        <v/>
      </c>
      <c r="D3" s="364" t="n"/>
      <c r="E3" s="364" t="n"/>
      <c r="F3" s="364" t="n"/>
      <c r="G3" s="364" t="n"/>
      <c r="H3" s="364" t="n"/>
    </row>
    <row r="4" ht="25" customHeight="1">
      <c r="A4" s="363" t="inlineStr">
        <is>
          <t>UBICACIÓN</t>
        </is>
      </c>
      <c r="B4" s="364" t="n"/>
      <c r="C4" s="365">
        <f>+RESUMEN!B6</f>
        <v/>
      </c>
      <c r="D4" s="364" t="n"/>
      <c r="E4" s="364" t="n"/>
      <c r="F4" s="364" t="n"/>
      <c r="G4" s="364" t="n"/>
      <c r="H4" s="364" t="n"/>
    </row>
    <row r="5" ht="25" customHeight="1">
      <c r="A5" s="363" t="inlineStr">
        <is>
          <t>FECHA</t>
        </is>
      </c>
      <c r="B5" s="364" t="n"/>
      <c r="C5" s="366">
        <f>+RESUMEN!B7</f>
        <v/>
      </c>
      <c r="D5" s="364" t="n"/>
      <c r="E5" s="364" t="n"/>
      <c r="F5" s="364" t="n"/>
      <c r="G5" s="364" t="n"/>
      <c r="H5" s="364" t="n"/>
    </row>
    <row r="7" ht="48" customHeight="1">
      <c r="A7" s="367" t="inlineStr">
        <is>
          <t>Rendimientos unitarios referenciales (celdas amarillas, editar segun el analisis de costos unitarios adoptado). El metrado se toma de la PLANILLA GENERAL DE METRADOS.</t>
        </is>
      </c>
      <c r="B7" s="364" t="n"/>
      <c r="C7" s="364" t="n"/>
      <c r="D7" s="364" t="n"/>
      <c r="E7" s="364" t="n"/>
      <c r="F7" s="364" t="n"/>
      <c r="G7" s="364" t="n"/>
      <c r="H7" s="364" t="n"/>
    </row>
    <row r="9" ht="40" customHeight="1">
      <c r="A9" s="368" t="inlineStr">
        <is>
          <t>N°</t>
        </is>
      </c>
      <c r="B9" s="368" t="inlineStr">
        <is>
          <t>PARTIDA</t>
        </is>
      </c>
      <c r="C9" s="368" t="inlineStr">
        <is>
          <t>UND</t>
        </is>
      </c>
      <c r="D9" s="368" t="inlineStr">
        <is>
          <t>METRADO</t>
        </is>
      </c>
      <c r="E9" s="368" t="inlineStr">
        <is>
          <t>INSUMO</t>
        </is>
      </c>
      <c r="F9" s="368" t="inlineStr">
        <is>
          <t>UND INSUMO</t>
        </is>
      </c>
      <c r="G9" s="368" t="inlineStr">
        <is>
          <t>CANTIDAD POR UND DE PARTIDA</t>
        </is>
      </c>
      <c r="H9" s="368" t="inlineStr">
        <is>
          <t>CANTIDAD TOTAL</t>
        </is>
      </c>
    </row>
    <row r="10" ht="20" customHeight="1">
      <c r="A10" s="369" t="n">
        <v>1</v>
      </c>
      <c r="B10" s="383" t="inlineStr">
        <is>
          <t>01.04.04.04.01 CONCRETO f'c=210 - losa de fondo</t>
        </is>
      </c>
      <c r="C10" s="372" t="inlineStr">
        <is>
          <t>m3</t>
        </is>
      </c>
      <c r="D10" s="377">
        <f>'PLANILLA GENERAL DE METRADOS'!K237</f>
        <v/>
      </c>
      <c r="E10" s="383" t="inlineStr">
        <is>
          <t>Cemento Portland tipo I</t>
        </is>
      </c>
      <c r="F10" s="372" t="inlineStr">
        <is>
          <t>bol</t>
        </is>
      </c>
      <c r="G10" s="371" t="n">
        <v>9.73</v>
      </c>
      <c r="H10" s="386">
        <f>G10*$D$10</f>
        <v/>
      </c>
    </row>
    <row r="11" ht="20" customHeight="1">
      <c r="A11" s="364" t="n"/>
      <c r="B11" s="395" t="n"/>
      <c r="C11" s="364" t="n"/>
      <c r="D11" s="364" t="n"/>
      <c r="E11" s="383" t="inlineStr">
        <is>
          <t>Arena gruesa</t>
        </is>
      </c>
      <c r="F11" s="372" t="inlineStr">
        <is>
          <t>m3</t>
        </is>
      </c>
      <c r="G11" s="371" t="n">
        <v>0.52</v>
      </c>
      <c r="H11" s="386">
        <f>G11*$D$10</f>
        <v/>
      </c>
    </row>
    <row r="12" ht="20" customHeight="1">
      <c r="A12" s="364" t="n"/>
      <c r="B12" s="395" t="n"/>
      <c r="C12" s="364" t="n"/>
      <c r="D12" s="364" t="n"/>
      <c r="E12" s="383" t="inlineStr">
        <is>
          <t>Piedra chancada 1/2"</t>
        </is>
      </c>
      <c r="F12" s="372" t="inlineStr">
        <is>
          <t>m3</t>
        </is>
      </c>
      <c r="G12" s="371" t="n">
        <v>0.53</v>
      </c>
      <c r="H12" s="386">
        <f>G12*$D$10</f>
        <v/>
      </c>
    </row>
    <row r="13" ht="20" customHeight="1">
      <c r="A13" s="364" t="n"/>
      <c r="B13" s="395" t="n"/>
      <c r="C13" s="364" t="n"/>
      <c r="D13" s="364" t="n"/>
      <c r="E13" s="383" t="inlineStr">
        <is>
          <t>Agua</t>
        </is>
      </c>
      <c r="F13" s="372" t="inlineStr">
        <is>
          <t>m3</t>
        </is>
      </c>
      <c r="G13" s="371" t="n">
        <v>0.186</v>
      </c>
      <c r="H13" s="386">
        <f>G13*$D$10</f>
        <v/>
      </c>
    </row>
    <row r="14" ht="20" customHeight="1">
      <c r="A14" s="364" t="n"/>
      <c r="B14" s="395" t="n"/>
      <c r="C14" s="364" t="n"/>
      <c r="D14" s="364" t="n"/>
      <c r="E14" s="383" t="inlineStr">
        <is>
          <t>Mezcladora 9-11 p3</t>
        </is>
      </c>
      <c r="F14" s="372" t="inlineStr">
        <is>
          <t>hm</t>
        </is>
      </c>
      <c r="G14" s="371" t="n">
        <v>0.8</v>
      </c>
      <c r="H14" s="386">
        <f>G14*$D$10</f>
        <v/>
      </c>
    </row>
    <row r="15" ht="20" customHeight="1">
      <c r="A15" s="364" t="n"/>
      <c r="B15" s="395" t="n"/>
      <c r="C15" s="364" t="n"/>
      <c r="D15" s="364" t="n"/>
      <c r="E15" s="383" t="inlineStr">
        <is>
          <t>Vibrador de concreto</t>
        </is>
      </c>
      <c r="F15" s="372" t="inlineStr">
        <is>
          <t>hm</t>
        </is>
      </c>
      <c r="G15" s="371" t="n">
        <v>0.8</v>
      </c>
      <c r="H15" s="386">
        <f>G15*$D$10</f>
        <v/>
      </c>
    </row>
    <row r="16" ht="20" customHeight="1">
      <c r="A16" s="364" t="n"/>
      <c r="B16" s="395" t="n"/>
      <c r="C16" s="364" t="n"/>
      <c r="D16" s="364" t="n"/>
      <c r="E16" s="383" t="inlineStr">
        <is>
          <t>Operario</t>
        </is>
      </c>
      <c r="F16" s="372" t="inlineStr">
        <is>
          <t>hh</t>
        </is>
      </c>
      <c r="G16" s="371" t="n">
        <v>0.8</v>
      </c>
      <c r="H16" s="386">
        <f>G16*$D$10</f>
        <v/>
      </c>
    </row>
    <row r="17" ht="20" customHeight="1">
      <c r="A17" s="364" t="n"/>
      <c r="B17" s="395" t="n"/>
      <c r="C17" s="364" t="n"/>
      <c r="D17" s="364" t="n"/>
      <c r="E17" s="383" t="inlineStr">
        <is>
          <t>Oficial</t>
        </is>
      </c>
      <c r="F17" s="372" t="inlineStr">
        <is>
          <t>hh</t>
        </is>
      </c>
      <c r="G17" s="371" t="n">
        <v>0.8</v>
      </c>
      <c r="H17" s="386">
        <f>G17*$D$10</f>
        <v/>
      </c>
    </row>
    <row r="18" ht="20" customHeight="1">
      <c r="A18" s="364" t="n"/>
      <c r="B18" s="395" t="n"/>
      <c r="C18" s="364" t="n"/>
      <c r="D18" s="364" t="n"/>
      <c r="E18" s="383" t="inlineStr">
        <is>
          <t>Peon</t>
        </is>
      </c>
      <c r="F18" s="372" t="inlineStr">
        <is>
          <t>hh</t>
        </is>
      </c>
      <c r="G18" s="371" t="n">
        <v>6.4</v>
      </c>
      <c r="H18" s="386">
        <f>G18*$D$10</f>
        <v/>
      </c>
    </row>
    <row r="19" ht="20" customHeight="1">
      <c r="A19" s="369" t="n">
        <v>2</v>
      </c>
      <c r="B19" s="383" t="inlineStr">
        <is>
          <t>01.04.04.04.02 CONCRETO f'c=210 - muros</t>
        </is>
      </c>
      <c r="C19" s="372" t="inlineStr">
        <is>
          <t>m3</t>
        </is>
      </c>
      <c r="D19" s="377">
        <f>'PLANILLA GENERAL DE METRADOS'!K247</f>
        <v/>
      </c>
      <c r="E19" s="383" t="inlineStr">
        <is>
          <t>Cemento Portland tipo I</t>
        </is>
      </c>
      <c r="F19" s="372" t="inlineStr">
        <is>
          <t>bol</t>
        </is>
      </c>
      <c r="G19" s="371" t="n">
        <v>9.73</v>
      </c>
      <c r="H19" s="386">
        <f>G19*$D$19</f>
        <v/>
      </c>
    </row>
    <row r="20" ht="20" customHeight="1">
      <c r="A20" s="364" t="n"/>
      <c r="B20" s="395" t="n"/>
      <c r="C20" s="364" t="n"/>
      <c r="D20" s="364" t="n"/>
      <c r="E20" s="383" t="inlineStr">
        <is>
          <t>Arena gruesa</t>
        </is>
      </c>
      <c r="F20" s="372" t="inlineStr">
        <is>
          <t>m3</t>
        </is>
      </c>
      <c r="G20" s="371" t="n">
        <v>0.52</v>
      </c>
      <c r="H20" s="386">
        <f>G20*$D$19</f>
        <v/>
      </c>
    </row>
    <row r="21" ht="20" customHeight="1">
      <c r="A21" s="364" t="n"/>
      <c r="B21" s="395" t="n"/>
      <c r="C21" s="364" t="n"/>
      <c r="D21" s="364" t="n"/>
      <c r="E21" s="383" t="inlineStr">
        <is>
          <t>Piedra chancada 1/2"</t>
        </is>
      </c>
      <c r="F21" s="372" t="inlineStr">
        <is>
          <t>m3</t>
        </is>
      </c>
      <c r="G21" s="371" t="n">
        <v>0.53</v>
      </c>
      <c r="H21" s="386">
        <f>G21*$D$19</f>
        <v/>
      </c>
    </row>
    <row r="22" ht="20" customHeight="1">
      <c r="A22" s="364" t="n"/>
      <c r="B22" s="395" t="n"/>
      <c r="C22" s="364" t="n"/>
      <c r="D22" s="364" t="n"/>
      <c r="E22" s="383" t="inlineStr">
        <is>
          <t>Agua</t>
        </is>
      </c>
      <c r="F22" s="372" t="inlineStr">
        <is>
          <t>m3</t>
        </is>
      </c>
      <c r="G22" s="371" t="n">
        <v>0.186</v>
      </c>
      <c r="H22" s="386">
        <f>G22*$D$19</f>
        <v/>
      </c>
    </row>
    <row r="23" ht="20" customHeight="1">
      <c r="A23" s="364" t="n"/>
      <c r="B23" s="395" t="n"/>
      <c r="C23" s="364" t="n"/>
      <c r="D23" s="364" t="n"/>
      <c r="E23" s="383" t="inlineStr">
        <is>
          <t>Mezcladora 9-11 p3</t>
        </is>
      </c>
      <c r="F23" s="372" t="inlineStr">
        <is>
          <t>hm</t>
        </is>
      </c>
      <c r="G23" s="371" t="n">
        <v>1</v>
      </c>
      <c r="H23" s="386">
        <f>G23*$D$19</f>
        <v/>
      </c>
    </row>
    <row r="24" ht="20" customHeight="1">
      <c r="A24" s="364" t="n"/>
      <c r="B24" s="395" t="n"/>
      <c r="C24" s="364" t="n"/>
      <c r="D24" s="364" t="n"/>
      <c r="E24" s="383" t="inlineStr">
        <is>
          <t>Vibrador de concreto</t>
        </is>
      </c>
      <c r="F24" s="372" t="inlineStr">
        <is>
          <t>hm</t>
        </is>
      </c>
      <c r="G24" s="371" t="n">
        <v>1</v>
      </c>
      <c r="H24" s="386">
        <f>G24*$D$19</f>
        <v/>
      </c>
    </row>
    <row r="25" ht="20" customHeight="1">
      <c r="A25" s="364" t="n"/>
      <c r="B25" s="395" t="n"/>
      <c r="C25" s="364" t="n"/>
      <c r="D25" s="364" t="n"/>
      <c r="E25" s="383" t="inlineStr">
        <is>
          <t>Operario</t>
        </is>
      </c>
      <c r="F25" s="372" t="inlineStr">
        <is>
          <t>hh</t>
        </is>
      </c>
      <c r="G25" s="371" t="n">
        <v>1</v>
      </c>
      <c r="H25" s="386">
        <f>G25*$D$19</f>
        <v/>
      </c>
    </row>
    <row r="26" ht="20" customHeight="1">
      <c r="A26" s="364" t="n"/>
      <c r="B26" s="395" t="n"/>
      <c r="C26" s="364" t="n"/>
      <c r="D26" s="364" t="n"/>
      <c r="E26" s="383" t="inlineStr">
        <is>
          <t>Oficial</t>
        </is>
      </c>
      <c r="F26" s="372" t="inlineStr">
        <is>
          <t>hh</t>
        </is>
      </c>
      <c r="G26" s="371" t="n">
        <v>1</v>
      </c>
      <c r="H26" s="386">
        <f>G26*$D$19</f>
        <v/>
      </c>
    </row>
    <row r="27" ht="20" customHeight="1">
      <c r="A27" s="364" t="n"/>
      <c r="B27" s="395" t="n"/>
      <c r="C27" s="364" t="n"/>
      <c r="D27" s="364" t="n"/>
      <c r="E27" s="383" t="inlineStr">
        <is>
          <t>Peon</t>
        </is>
      </c>
      <c r="F27" s="372" t="inlineStr">
        <is>
          <t>hh</t>
        </is>
      </c>
      <c r="G27" s="371" t="n">
        <v>8</v>
      </c>
      <c r="H27" s="386">
        <f>G27*$D$19</f>
        <v/>
      </c>
    </row>
    <row r="28" ht="20" customHeight="1">
      <c r="A28" s="369" t="n">
        <v>3</v>
      </c>
      <c r="B28" s="383" t="inlineStr">
        <is>
          <t>01.04.04.04.03 CONCRETO f'c=210 - losa superior</t>
        </is>
      </c>
      <c r="C28" s="372" t="inlineStr">
        <is>
          <t>m3</t>
        </is>
      </c>
      <c r="D28" s="377">
        <f>'PLANILLA GENERAL DE METRADOS'!K257</f>
        <v/>
      </c>
      <c r="E28" s="383" t="inlineStr">
        <is>
          <t>Cemento Portland tipo I</t>
        </is>
      </c>
      <c r="F28" s="372" t="inlineStr">
        <is>
          <t>bol</t>
        </is>
      </c>
      <c r="G28" s="371" t="n">
        <v>9.73</v>
      </c>
      <c r="H28" s="386">
        <f>G28*$D$28</f>
        <v/>
      </c>
    </row>
    <row r="29" ht="20" customHeight="1">
      <c r="A29" s="364" t="n"/>
      <c r="B29" s="395" t="n"/>
      <c r="C29" s="364" t="n"/>
      <c r="D29" s="364" t="n"/>
      <c r="E29" s="383" t="inlineStr">
        <is>
          <t>Arena gruesa</t>
        </is>
      </c>
      <c r="F29" s="372" t="inlineStr">
        <is>
          <t>m3</t>
        </is>
      </c>
      <c r="G29" s="371" t="n">
        <v>0.52</v>
      </c>
      <c r="H29" s="386">
        <f>G29*$D$28</f>
        <v/>
      </c>
    </row>
    <row r="30" ht="20" customHeight="1">
      <c r="A30" s="364" t="n"/>
      <c r="B30" s="395" t="n"/>
      <c r="C30" s="364" t="n"/>
      <c r="D30" s="364" t="n"/>
      <c r="E30" s="383" t="inlineStr">
        <is>
          <t>Piedra chancada 1/2"</t>
        </is>
      </c>
      <c r="F30" s="372" t="inlineStr">
        <is>
          <t>m3</t>
        </is>
      </c>
      <c r="G30" s="371" t="n">
        <v>0.53</v>
      </c>
      <c r="H30" s="386">
        <f>G30*$D$28</f>
        <v/>
      </c>
    </row>
    <row r="31" ht="20" customHeight="1">
      <c r="A31" s="364" t="n"/>
      <c r="B31" s="395" t="n"/>
      <c r="C31" s="364" t="n"/>
      <c r="D31" s="364" t="n"/>
      <c r="E31" s="383" t="inlineStr">
        <is>
          <t>Agua</t>
        </is>
      </c>
      <c r="F31" s="372" t="inlineStr">
        <is>
          <t>m3</t>
        </is>
      </c>
      <c r="G31" s="371" t="n">
        <v>0.186</v>
      </c>
      <c r="H31" s="386">
        <f>G31*$D$28</f>
        <v/>
      </c>
    </row>
    <row r="32" ht="20" customHeight="1">
      <c r="A32" s="364" t="n"/>
      <c r="B32" s="395" t="n"/>
      <c r="C32" s="364" t="n"/>
      <c r="D32" s="364" t="n"/>
      <c r="E32" s="383" t="inlineStr">
        <is>
          <t>Mezcladora 9-11 p3</t>
        </is>
      </c>
      <c r="F32" s="372" t="inlineStr">
        <is>
          <t>hm</t>
        </is>
      </c>
      <c r="G32" s="371" t="n">
        <v>0.8</v>
      </c>
      <c r="H32" s="386">
        <f>G32*$D$28</f>
        <v/>
      </c>
    </row>
    <row r="33" ht="20" customHeight="1">
      <c r="A33" s="364" t="n"/>
      <c r="B33" s="395" t="n"/>
      <c r="C33" s="364" t="n"/>
      <c r="D33" s="364" t="n"/>
      <c r="E33" s="383" t="inlineStr">
        <is>
          <t>Vibrador de concreto</t>
        </is>
      </c>
      <c r="F33" s="372" t="inlineStr">
        <is>
          <t>hm</t>
        </is>
      </c>
      <c r="G33" s="371" t="n">
        <v>0.8</v>
      </c>
      <c r="H33" s="386">
        <f>G33*$D$28</f>
        <v/>
      </c>
    </row>
    <row r="34" ht="20" customHeight="1">
      <c r="A34" s="364" t="n"/>
      <c r="B34" s="395" t="n"/>
      <c r="C34" s="364" t="n"/>
      <c r="D34" s="364" t="n"/>
      <c r="E34" s="383" t="inlineStr">
        <is>
          <t>Operario</t>
        </is>
      </c>
      <c r="F34" s="372" t="inlineStr">
        <is>
          <t>hh</t>
        </is>
      </c>
      <c r="G34" s="371" t="n">
        <v>0.8</v>
      </c>
      <c r="H34" s="386">
        <f>G34*$D$28</f>
        <v/>
      </c>
    </row>
    <row r="35" ht="20" customHeight="1">
      <c r="A35" s="364" t="n"/>
      <c r="B35" s="395" t="n"/>
      <c r="C35" s="364" t="n"/>
      <c r="D35" s="364" t="n"/>
      <c r="E35" s="383" t="inlineStr">
        <is>
          <t>Oficial</t>
        </is>
      </c>
      <c r="F35" s="372" t="inlineStr">
        <is>
          <t>hh</t>
        </is>
      </c>
      <c r="G35" s="371" t="n">
        <v>0.8</v>
      </c>
      <c r="H35" s="386">
        <f>G35*$D$28</f>
        <v/>
      </c>
    </row>
    <row r="36" ht="20" customHeight="1">
      <c r="A36" s="364" t="n"/>
      <c r="B36" s="395" t="n"/>
      <c r="C36" s="364" t="n"/>
      <c r="D36" s="364" t="n"/>
      <c r="E36" s="383" t="inlineStr">
        <is>
          <t>Peon</t>
        </is>
      </c>
      <c r="F36" s="372" t="inlineStr">
        <is>
          <t>hh</t>
        </is>
      </c>
      <c r="G36" s="371" t="n">
        <v>6.4</v>
      </c>
      <c r="H36" s="386">
        <f>G36*$D$28</f>
        <v/>
      </c>
    </row>
    <row r="37" ht="20" customHeight="1">
      <c r="A37" s="369" t="n">
        <v>4</v>
      </c>
      <c r="B37" s="383" t="inlineStr">
        <is>
          <t>01.04.04.04.04 ENCOFRADO Y DESENCOFRADO</t>
        </is>
      </c>
      <c r="C37" s="372" t="inlineStr">
        <is>
          <t>m2</t>
        </is>
      </c>
      <c r="D37" s="377">
        <f>'PLANILLA GENERAL DE METRADOS'!K269</f>
        <v/>
      </c>
      <c r="E37" s="383" t="inlineStr">
        <is>
          <t>Madera tornillo</t>
        </is>
      </c>
      <c r="F37" s="372" t="inlineStr">
        <is>
          <t>p2</t>
        </is>
      </c>
      <c r="G37" s="371" t="n">
        <v>4.24</v>
      </c>
      <c r="H37" s="386">
        <f>G37*$D$37</f>
        <v/>
      </c>
    </row>
    <row r="38" ht="20" customHeight="1">
      <c r="A38" s="364" t="n"/>
      <c r="B38" s="395" t="n"/>
      <c r="C38" s="364" t="n"/>
      <c r="D38" s="364" t="n"/>
      <c r="E38" s="383" t="inlineStr">
        <is>
          <t>Clavos 3"</t>
        </is>
      </c>
      <c r="F38" s="372" t="inlineStr">
        <is>
          <t>kg</t>
        </is>
      </c>
      <c r="G38" s="371" t="n">
        <v>0.2</v>
      </c>
      <c r="H38" s="386">
        <f>G38*$D$37</f>
        <v/>
      </c>
    </row>
    <row r="39" ht="20" customHeight="1">
      <c r="A39" s="364" t="n"/>
      <c r="B39" s="395" t="n"/>
      <c r="C39" s="364" t="n"/>
      <c r="D39" s="364" t="n"/>
      <c r="E39" s="383" t="inlineStr">
        <is>
          <t>Alambre negro N 8</t>
        </is>
      </c>
      <c r="F39" s="372" t="inlineStr">
        <is>
          <t>kg</t>
        </is>
      </c>
      <c r="G39" s="371" t="n">
        <v>0.2</v>
      </c>
      <c r="H39" s="386">
        <f>G39*$D$37</f>
        <v/>
      </c>
    </row>
    <row r="40" ht="20" customHeight="1">
      <c r="A40" s="364" t="n"/>
      <c r="B40" s="395" t="n"/>
      <c r="C40" s="364" t="n"/>
      <c r="D40" s="364" t="n"/>
      <c r="E40" s="383" t="inlineStr">
        <is>
          <t>Operario</t>
        </is>
      </c>
      <c r="F40" s="372" t="inlineStr">
        <is>
          <t>hh</t>
        </is>
      </c>
      <c r="G40" s="371" t="n">
        <v>0.8</v>
      </c>
      <c r="H40" s="386">
        <f>G40*$D$37</f>
        <v/>
      </c>
    </row>
    <row r="41" ht="20" customHeight="1">
      <c r="A41" s="364" t="n"/>
      <c r="B41" s="395" t="n"/>
      <c r="C41" s="364" t="n"/>
      <c r="D41" s="364" t="n"/>
      <c r="E41" s="383" t="inlineStr">
        <is>
          <t>Oficial</t>
        </is>
      </c>
      <c r="F41" s="372" t="inlineStr">
        <is>
          <t>hh</t>
        </is>
      </c>
      <c r="G41" s="371" t="n">
        <v>0.8</v>
      </c>
      <c r="H41" s="386">
        <f>G41*$D$37</f>
        <v/>
      </c>
    </row>
    <row r="42" ht="20" customHeight="1">
      <c r="A42" s="369" t="n">
        <v>5</v>
      </c>
      <c r="B42" s="383" t="inlineStr">
        <is>
          <t>01.04.04.04.05 ACERO DE REFUERZO fy=4200</t>
        </is>
      </c>
      <c r="C42" s="372" t="inlineStr">
        <is>
          <t>kg</t>
        </is>
      </c>
      <c r="D42" s="377">
        <f>'PLANILLA GENERAL DE METRADOS'!K279</f>
        <v/>
      </c>
      <c r="E42" s="383" t="inlineStr">
        <is>
          <t>Acero corrugado fy=4200 (incluye 5 % desperdicio)</t>
        </is>
      </c>
      <c r="F42" s="372" t="inlineStr">
        <is>
          <t>kg</t>
        </is>
      </c>
      <c r="G42" s="371" t="n">
        <v>1.05</v>
      </c>
      <c r="H42" s="386">
        <f>G42*$D$42</f>
        <v/>
      </c>
    </row>
    <row r="43" ht="20" customHeight="1">
      <c r="A43" s="364" t="n"/>
      <c r="B43" s="395" t="n"/>
      <c r="C43" s="364" t="n"/>
      <c r="D43" s="364" t="n"/>
      <c r="E43" s="383" t="inlineStr">
        <is>
          <t>Alambre negro N 16</t>
        </is>
      </c>
      <c r="F43" s="372" t="inlineStr">
        <is>
          <t>kg</t>
        </is>
      </c>
      <c r="G43" s="371" t="n">
        <v>0.06</v>
      </c>
      <c r="H43" s="386">
        <f>G43*$D$42</f>
        <v/>
      </c>
    </row>
    <row r="44" ht="20" customHeight="1">
      <c r="A44" s="364" t="n"/>
      <c r="B44" s="395" t="n"/>
      <c r="C44" s="364" t="n"/>
      <c r="D44" s="364" t="n"/>
      <c r="E44" s="383" t="inlineStr">
        <is>
          <t>Operario</t>
        </is>
      </c>
      <c r="F44" s="372" t="inlineStr">
        <is>
          <t>hh</t>
        </is>
      </c>
      <c r="G44" s="371" t="n">
        <v>0.032</v>
      </c>
      <c r="H44" s="386">
        <f>G44*$D$42</f>
        <v/>
      </c>
    </row>
    <row r="45" ht="20" customHeight="1">
      <c r="A45" s="364" t="n"/>
      <c r="B45" s="395" t="n"/>
      <c r="C45" s="364" t="n"/>
      <c r="D45" s="364" t="n"/>
      <c r="E45" s="383" t="inlineStr">
        <is>
          <t>Oficial</t>
        </is>
      </c>
      <c r="F45" s="372" t="inlineStr">
        <is>
          <t>hh</t>
        </is>
      </c>
      <c r="G45" s="371" t="n">
        <v>0.032</v>
      </c>
      <c r="H45" s="386">
        <f>G45*$D$42</f>
        <v/>
      </c>
    </row>
    <row r="46" ht="20" customHeight="1">
      <c r="A46" s="369" t="n">
        <v>6</v>
      </c>
      <c r="B46" s="383" t="inlineStr">
        <is>
          <t>01.04.04.03.01 SOLADO f'c=100 e=0.05</t>
        </is>
      </c>
      <c r="C46" s="372" t="inlineStr">
        <is>
          <t>m2</t>
        </is>
      </c>
      <c r="D46" s="377">
        <f>'PLANILLA GENERAL DE METRADOS'!K226</f>
        <v/>
      </c>
      <c r="E46" s="383" t="inlineStr">
        <is>
          <t>Cemento Portland tipo I</t>
        </is>
      </c>
      <c r="F46" s="372" t="inlineStr">
        <is>
          <t>bol</t>
        </is>
      </c>
      <c r="G46" s="371" t="n">
        <v>0.3</v>
      </c>
      <c r="H46" s="386">
        <f>G46*$D$46</f>
        <v/>
      </c>
    </row>
    <row r="47" ht="20" customHeight="1">
      <c r="A47" s="364" t="n"/>
      <c r="B47" s="395" t="n"/>
      <c r="C47" s="364" t="n"/>
      <c r="D47" s="364" t="n"/>
      <c r="E47" s="383" t="inlineStr">
        <is>
          <t>Hormigon</t>
        </is>
      </c>
      <c r="F47" s="372" t="inlineStr">
        <is>
          <t>m3</t>
        </is>
      </c>
      <c r="G47" s="371" t="n">
        <v>0.064</v>
      </c>
      <c r="H47" s="386">
        <f>G47*$D$46</f>
        <v/>
      </c>
    </row>
    <row r="48" ht="20" customHeight="1">
      <c r="A48" s="364" t="n"/>
      <c r="B48" s="395" t="n"/>
      <c r="C48" s="364" t="n"/>
      <c r="D48" s="364" t="n"/>
      <c r="E48" s="383" t="inlineStr">
        <is>
          <t>Agua</t>
        </is>
      </c>
      <c r="F48" s="372" t="inlineStr">
        <is>
          <t>m3</t>
        </is>
      </c>
      <c r="G48" s="371" t="n">
        <v>0.01</v>
      </c>
      <c r="H48" s="386">
        <f>G48*$D$46</f>
        <v/>
      </c>
    </row>
    <row r="49" ht="20" customHeight="1">
      <c r="A49" s="364" t="n"/>
      <c r="B49" s="395" t="n"/>
      <c r="C49" s="364" t="n"/>
      <c r="D49" s="364" t="n"/>
      <c r="E49" s="383" t="inlineStr">
        <is>
          <t>Operario</t>
        </is>
      </c>
      <c r="F49" s="372" t="inlineStr">
        <is>
          <t>hh</t>
        </is>
      </c>
      <c r="G49" s="371" t="n">
        <v>0.1</v>
      </c>
      <c r="H49" s="386">
        <f>G49*$D$46</f>
        <v/>
      </c>
    </row>
    <row r="50" ht="20" customHeight="1">
      <c r="A50" s="364" t="n"/>
      <c r="B50" s="395" t="n"/>
      <c r="C50" s="364" t="n"/>
      <c r="D50" s="364" t="n"/>
      <c r="E50" s="383" t="inlineStr">
        <is>
          <t>Peon</t>
        </is>
      </c>
      <c r="F50" s="372" t="inlineStr">
        <is>
          <t>hh</t>
        </is>
      </c>
      <c r="G50" s="371" t="n">
        <v>0.4</v>
      </c>
      <c r="H50" s="386">
        <f>G50*$D$46</f>
        <v/>
      </c>
    </row>
    <row r="51" ht="20" customHeight="1">
      <c r="A51" s="369" t="n">
        <v>7</v>
      </c>
      <c r="B51" s="383" t="inlineStr">
        <is>
          <t>01.04.04.02.01 EXCAVACION MANUAL DE ZANJAS</t>
        </is>
      </c>
      <c r="C51" s="372" t="inlineStr">
        <is>
          <t>m3</t>
        </is>
      </c>
      <c r="D51" s="377">
        <f>'PLANILLA GENERAL DE METRADOS'!K185</f>
        <v/>
      </c>
      <c r="E51" s="383" t="inlineStr">
        <is>
          <t>Peon</t>
        </is>
      </c>
      <c r="F51" s="372" t="inlineStr">
        <is>
          <t>hh</t>
        </is>
      </c>
      <c r="G51" s="371" t="n">
        <v>2.67</v>
      </c>
      <c r="H51" s="386">
        <f>G51*$D$51</f>
        <v/>
      </c>
    </row>
    <row r="52" ht="20" customHeight="1">
      <c r="A52" s="364" t="n"/>
      <c r="B52" s="395" t="n"/>
      <c r="C52" s="364" t="n"/>
      <c r="D52" s="364" t="n"/>
      <c r="E52" s="383" t="inlineStr">
        <is>
          <t>Herramientas manuales</t>
        </is>
      </c>
      <c r="F52" s="372" t="inlineStr">
        <is>
          <t>%mo</t>
        </is>
      </c>
      <c r="G52" s="371" t="n">
        <v>0.03</v>
      </c>
      <c r="H52" s="386">
        <f>G52*$D$51</f>
        <v/>
      </c>
    </row>
    <row r="53" ht="20" customHeight="1">
      <c r="A53" s="369" t="n">
        <v>8</v>
      </c>
      <c r="B53" s="383" t="inlineStr">
        <is>
          <t>01.04.04.02.03 RELLENO COMPACTADO CON MATERIAL PROPIO</t>
        </is>
      </c>
      <c r="C53" s="372" t="inlineStr">
        <is>
          <t>m3</t>
        </is>
      </c>
      <c r="D53" s="377">
        <f>'PLANILLA GENERAL DE METRADOS'!K205</f>
        <v/>
      </c>
      <c r="E53" s="383" t="inlineStr">
        <is>
          <t>Agua</t>
        </is>
      </c>
      <c r="F53" s="372" t="inlineStr">
        <is>
          <t>m3</t>
        </is>
      </c>
      <c r="G53" s="371" t="n">
        <v>0.05</v>
      </c>
      <c r="H53" s="386">
        <f>G53*$D$53</f>
        <v/>
      </c>
    </row>
    <row r="54" ht="20" customHeight="1">
      <c r="A54" s="364" t="n"/>
      <c r="B54" s="395" t="n"/>
      <c r="C54" s="364" t="n"/>
      <c r="D54" s="364" t="n"/>
      <c r="E54" s="383" t="inlineStr">
        <is>
          <t>Compactador vibratorio tipo plancha</t>
        </is>
      </c>
      <c r="F54" s="372" t="inlineStr">
        <is>
          <t>hm</t>
        </is>
      </c>
      <c r="G54" s="371" t="n">
        <v>0.4</v>
      </c>
      <c r="H54" s="386">
        <f>G54*$D$53</f>
        <v/>
      </c>
    </row>
    <row r="55" ht="20" customHeight="1">
      <c r="A55" s="364" t="n"/>
      <c r="B55" s="395" t="n"/>
      <c r="C55" s="364" t="n"/>
      <c r="D55" s="364" t="n"/>
      <c r="E55" s="383" t="inlineStr">
        <is>
          <t>Operario</t>
        </is>
      </c>
      <c r="F55" s="372" t="inlineStr">
        <is>
          <t>hh</t>
        </is>
      </c>
      <c r="G55" s="371" t="n">
        <v>0.4</v>
      </c>
      <c r="H55" s="386">
        <f>G55*$D$53</f>
        <v/>
      </c>
    </row>
    <row r="56" ht="20" customHeight="1">
      <c r="A56" s="364" t="n"/>
      <c r="B56" s="395" t="n"/>
      <c r="C56" s="364" t="n"/>
      <c r="D56" s="364" t="n"/>
      <c r="E56" s="383" t="inlineStr">
        <is>
          <t>Peon</t>
        </is>
      </c>
      <c r="F56" s="372" t="inlineStr">
        <is>
          <t>hh</t>
        </is>
      </c>
      <c r="G56" s="371" t="n">
        <v>1.6</v>
      </c>
      <c r="H56" s="386">
        <f>G56*$D$53</f>
        <v/>
      </c>
    </row>
    <row r="57" ht="20" customHeight="1">
      <c r="A57" s="369" t="n">
        <v>9</v>
      </c>
      <c r="B57" s="383" t="inlineStr">
        <is>
          <t>01.04.04.02.04 ELIMINACION DE MATERIAL EXCEDENTE</t>
        </is>
      </c>
      <c r="C57" s="372" t="inlineStr">
        <is>
          <t>m3</t>
        </is>
      </c>
      <c r="D57" s="377">
        <f>'PLANILLA GENERAL DE METRADOS'!K222</f>
        <v/>
      </c>
      <c r="E57" s="383" t="inlineStr">
        <is>
          <t>Volquete 6 m3</t>
        </is>
      </c>
      <c r="F57" s="372" t="inlineStr">
        <is>
          <t>hm</t>
        </is>
      </c>
      <c r="G57" s="371" t="n">
        <v>0.133</v>
      </c>
      <c r="H57" s="386">
        <f>G57*$D$57</f>
        <v/>
      </c>
    </row>
    <row r="58" ht="20" customHeight="1">
      <c r="A58" s="364" t="n"/>
      <c r="B58" s="395" t="n"/>
      <c r="C58" s="364" t="n"/>
      <c r="D58" s="364" t="n"/>
      <c r="E58" s="383" t="inlineStr">
        <is>
          <t>Cargador frontal</t>
        </is>
      </c>
      <c r="F58" s="372" t="inlineStr">
        <is>
          <t>hm</t>
        </is>
      </c>
      <c r="G58" s="371" t="n">
        <v>0.033</v>
      </c>
      <c r="H58" s="386">
        <f>G58*$D$57</f>
        <v/>
      </c>
    </row>
    <row r="59" ht="20" customHeight="1">
      <c r="A59" s="364" t="n"/>
      <c r="B59" s="395" t="n"/>
      <c r="C59" s="364" t="n"/>
      <c r="D59" s="364" t="n"/>
      <c r="E59" s="383" t="inlineStr">
        <is>
          <t>Peon</t>
        </is>
      </c>
      <c r="F59" s="372" t="inlineStr">
        <is>
          <t>hh</t>
        </is>
      </c>
      <c r="G59" s="371" t="n">
        <v>0.133</v>
      </c>
      <c r="H59" s="386">
        <f>G59*$D$57</f>
        <v/>
      </c>
    </row>
    <row r="60" ht="20" customHeight="1">
      <c r="A60" s="369" t="n">
        <v>10</v>
      </c>
      <c r="B60" s="383" t="inlineStr">
        <is>
          <t>01.04.04.05.03 ANGULOS METALICOS (marco y contramarco)</t>
        </is>
      </c>
      <c r="C60" s="372" t="inlineStr">
        <is>
          <t>kg</t>
        </is>
      </c>
      <c r="D60" s="377">
        <f>'PLANILLA GENERAL DE METRADOS'!K312</f>
        <v/>
      </c>
      <c r="E60" s="383" t="inlineStr">
        <is>
          <t>Angulo de acero (incluye corte y soldadura)</t>
        </is>
      </c>
      <c r="F60" s="372" t="inlineStr">
        <is>
          <t>kg</t>
        </is>
      </c>
      <c r="G60" s="371" t="n">
        <v>1.05</v>
      </c>
      <c r="H60" s="386">
        <f>G60*$D$60</f>
        <v/>
      </c>
    </row>
    <row r="61" ht="20" customHeight="1">
      <c r="A61" s="364" t="n"/>
      <c r="B61" s="395" t="n"/>
      <c r="C61" s="364" t="n"/>
      <c r="D61" s="364" t="n"/>
      <c r="E61" s="383" t="inlineStr">
        <is>
          <t>Soldadura cellocord</t>
        </is>
      </c>
      <c r="F61" s="372" t="inlineStr">
        <is>
          <t>kg</t>
        </is>
      </c>
      <c r="G61" s="371" t="n">
        <v>0.03</v>
      </c>
      <c r="H61" s="386">
        <f>G61*$D$60</f>
        <v/>
      </c>
    </row>
    <row r="62" ht="20" customHeight="1">
      <c r="A62" s="364" t="n"/>
      <c r="B62" s="395" t="n"/>
      <c r="C62" s="364" t="n"/>
      <c r="D62" s="364" t="n"/>
      <c r="E62" s="383" t="inlineStr">
        <is>
          <t>Operario</t>
        </is>
      </c>
      <c r="F62" s="372" t="inlineStr">
        <is>
          <t>hh</t>
        </is>
      </c>
      <c r="G62" s="371" t="n">
        <v>0.1</v>
      </c>
      <c r="H62" s="386">
        <f>G62*$D$60</f>
        <v/>
      </c>
    </row>
    <row r="63" ht="20" customHeight="1">
      <c r="A63" s="364" t="n"/>
      <c r="B63" s="395" t="n"/>
      <c r="C63" s="364" t="n"/>
      <c r="D63" s="364" t="n"/>
      <c r="E63" s="383" t="inlineStr">
        <is>
          <t>Oficial</t>
        </is>
      </c>
      <c r="F63" s="372" t="inlineStr">
        <is>
          <t>hh</t>
        </is>
      </c>
      <c r="G63" s="371" t="n">
        <v>0.1</v>
      </c>
      <c r="H63" s="386">
        <f>G63*$D$60</f>
        <v/>
      </c>
    </row>
    <row r="64" ht="20" customHeight="1">
      <c r="A64" s="369" t="n">
        <v>11</v>
      </c>
      <c r="B64" s="383" t="inlineStr">
        <is>
          <t>01.04.04.05.07 PINTURA ANTICORROSIVA Y ESMALTE</t>
        </is>
      </c>
      <c r="C64" s="372" t="inlineStr">
        <is>
          <t>m2</t>
        </is>
      </c>
      <c r="D64" s="377">
        <f>'PLANILLA GENERAL DE METRADOS'!K316</f>
        <v/>
      </c>
      <c r="E64" s="383" t="inlineStr">
        <is>
          <t>Pintura anticorrosiva</t>
        </is>
      </c>
      <c r="F64" s="372" t="inlineStr">
        <is>
          <t>gal</t>
        </is>
      </c>
      <c r="G64" s="371" t="n">
        <v>0.08</v>
      </c>
      <c r="H64" s="386">
        <f>G64*$D$64</f>
        <v/>
      </c>
    </row>
    <row r="65" ht="20" customHeight="1">
      <c r="A65" s="364" t="n"/>
      <c r="B65" s="395" t="n"/>
      <c r="C65" s="364" t="n"/>
      <c r="D65" s="364" t="n"/>
      <c r="E65" s="383" t="inlineStr">
        <is>
          <t>Esmalte sintetico</t>
        </is>
      </c>
      <c r="F65" s="372" t="inlineStr">
        <is>
          <t>gal</t>
        </is>
      </c>
      <c r="G65" s="371" t="n">
        <v>0.08</v>
      </c>
      <c r="H65" s="386">
        <f>G65*$D$64</f>
        <v/>
      </c>
    </row>
    <row r="66" ht="20" customHeight="1">
      <c r="A66" s="364" t="n"/>
      <c r="B66" s="395" t="n"/>
      <c r="C66" s="364" t="n"/>
      <c r="D66" s="364" t="n"/>
      <c r="E66" s="383" t="inlineStr">
        <is>
          <t>Lija y thinner</t>
        </is>
      </c>
      <c r="F66" s="372" t="inlineStr">
        <is>
          <t>glb</t>
        </is>
      </c>
      <c r="G66" s="371" t="n">
        <v>0.05</v>
      </c>
      <c r="H66" s="386">
        <f>G66*$D$64</f>
        <v/>
      </c>
    </row>
    <row r="67" ht="20" customHeight="1">
      <c r="A67" s="364" t="n"/>
      <c r="B67" s="395" t="n"/>
      <c r="C67" s="364" t="n"/>
      <c r="D67" s="364" t="n"/>
      <c r="E67" s="383" t="inlineStr">
        <is>
          <t>Operario</t>
        </is>
      </c>
      <c r="F67" s="372" t="inlineStr">
        <is>
          <t>hh</t>
        </is>
      </c>
      <c r="G67" s="371" t="n">
        <v>0.4</v>
      </c>
      <c r="H67" s="386">
        <f>G67*$D$64</f>
        <v/>
      </c>
    </row>
    <row r="68" ht="20" customHeight="1">
      <c r="A68" s="369" t="n">
        <v>12</v>
      </c>
      <c r="B68" s="383" t="inlineStr">
        <is>
          <t>01.04.04.06.01 JUNTA DE DILATACION e=1" CON SELLADOR</t>
        </is>
      </c>
      <c r="C68" s="372" t="inlineStr">
        <is>
          <t>m</t>
        </is>
      </c>
      <c r="D68" s="377">
        <f>'PLANILLA GENERAL DE METRADOS'!K318</f>
        <v/>
      </c>
      <c r="E68" s="383" t="inlineStr">
        <is>
          <t>Tecnopor 1"</t>
        </is>
      </c>
      <c r="F68" s="372" t="inlineStr">
        <is>
          <t>m2</t>
        </is>
      </c>
      <c r="G68" s="371" t="n">
        <v>0.25</v>
      </c>
      <c r="H68" s="386">
        <f>G68*$D$68</f>
        <v/>
      </c>
    </row>
    <row r="69" ht="20" customHeight="1">
      <c r="A69" s="364" t="n"/>
      <c r="B69" s="395" t="n"/>
      <c r="C69" s="364" t="n"/>
      <c r="D69" s="364" t="n"/>
      <c r="E69" s="383" t="inlineStr">
        <is>
          <t>Sello elastomerico de poliuretano</t>
        </is>
      </c>
      <c r="F69" s="372" t="inlineStr">
        <is>
          <t>kg</t>
        </is>
      </c>
      <c r="G69" s="371" t="n">
        <v>0.35</v>
      </c>
      <c r="H69" s="386">
        <f>G69*$D$68</f>
        <v/>
      </c>
    </row>
    <row r="70" ht="20" customHeight="1">
      <c r="A70" s="364" t="n"/>
      <c r="B70" s="395" t="n"/>
      <c r="C70" s="364" t="n"/>
      <c r="D70" s="364" t="n"/>
      <c r="E70" s="383" t="inlineStr">
        <is>
          <t>Operario</t>
        </is>
      </c>
      <c r="F70" s="372" t="inlineStr">
        <is>
          <t>hh</t>
        </is>
      </c>
      <c r="G70" s="371" t="n">
        <v>0.2</v>
      </c>
      <c r="H70" s="386">
        <f>G70*$D$68</f>
        <v/>
      </c>
    </row>
    <row r="71" ht="20" customHeight="1">
      <c r="A71" s="364" t="n"/>
      <c r="B71" s="395" t="n"/>
      <c r="C71" s="364" t="n"/>
      <c r="D71" s="364" t="n"/>
      <c r="E71" s="383" t="inlineStr">
        <is>
          <t>Peon</t>
        </is>
      </c>
      <c r="F71" s="372" t="inlineStr">
        <is>
          <t>hh</t>
        </is>
      </c>
      <c r="G71" s="371" t="n">
        <v>0.2</v>
      </c>
      <c r="H71" s="386">
        <f>G71*$D$68</f>
        <v/>
      </c>
    </row>
    <row r="72" ht="20" customHeight="1">
      <c r="A72" s="369" t="n">
        <v>13</v>
      </c>
      <c r="B72" s="383" t="inlineStr">
        <is>
          <t>01.04.04.06.02 JUNTA DE TECNOPOR e=1"</t>
        </is>
      </c>
      <c r="C72" s="372" t="inlineStr">
        <is>
          <t>m</t>
        </is>
      </c>
      <c r="D72" s="377">
        <f>'PLANILLA GENERAL DE METRADOS'!K319</f>
        <v/>
      </c>
      <c r="E72" s="383" t="inlineStr">
        <is>
          <t>Tecnopor 1"</t>
        </is>
      </c>
      <c r="F72" s="372" t="inlineStr">
        <is>
          <t>m2</t>
        </is>
      </c>
      <c r="G72" s="371" t="n">
        <v>0.15</v>
      </c>
      <c r="H72" s="386">
        <f>G72*$D$72</f>
        <v/>
      </c>
    </row>
    <row r="73" ht="20" customHeight="1">
      <c r="A73" s="364" t="n"/>
      <c r="B73" s="395" t="n"/>
      <c r="C73" s="364" t="n"/>
      <c r="D73" s="364" t="n"/>
      <c r="E73" s="383" t="inlineStr">
        <is>
          <t>Peon</t>
        </is>
      </c>
      <c r="F73" s="372" t="inlineStr">
        <is>
          <t>hh</t>
        </is>
      </c>
      <c r="G73" s="371" t="n">
        <v>0.1</v>
      </c>
      <c r="H73" s="386">
        <f>G73*$D$72</f>
        <v/>
      </c>
    </row>
  </sheetData>
  <mergeCells count="10">
    <mergeCell ref="A1:H1"/>
    <mergeCell ref="A4:B4"/>
    <mergeCell ref="C2:H2"/>
    <mergeCell ref="A2:B2"/>
    <mergeCell ref="A7:H7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MSI SWORD GAMING</dc:creator>
  <dcterms:created xmlns:dcterms="http://purl.org/dc/terms/" xmlns:xsi="http://www.w3.org/2001/XMLSchema-instance" xsi:type="dcterms:W3CDTF">2025-06-05T14:29:57Z</dcterms:created>
  <dcterms:modified xmlns:dcterms="http://purl.org/dc/terms/" xmlns:xsi="http://www.w3.org/2001/XMLSchema-instance" xsi:type="dcterms:W3CDTF">2026-10-03T20:42:35Z</dcterms:modified>
  <cp:lastModifiedBy>jose pizarro</cp:lastModifiedBy>
  <cp:lastPrinted>2026-03-10T13:03:41Z</cp:lastPrinted>
</cp:coreProperties>
</file>