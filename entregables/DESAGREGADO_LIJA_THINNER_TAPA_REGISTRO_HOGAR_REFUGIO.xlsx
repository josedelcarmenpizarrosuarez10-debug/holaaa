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JA Y THI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<sst xmlns="http://schemas.openxmlformats.org/spreadsheetml/2006/main" count="84" uniqueCount="70">
  <si>
    <t xml:space="preserve">DESAGREGADO DEL INSUMO "LIJA Y THINNER" - ACU TAPA REGISTRO (01.04.04.05.04 TAPA DE CONCRETO ARMADO 0.68 x 0.68 x 0.08 m)</t>
  </si>
  <si>
    <t xml:space="preserve">PROYECTO: HOGAR DE REFUGIO TEMPORAL - MUJERES VIOLENTADAS, DISTRITO DE MORALES, SAN MARTIN - CUI N.° 2675514</t>
  </si>
  <si>
    <t xml:space="preserve">Reemplaza la fila 16 "Lija y thinner" (glb) de la ACU TAPA REGISTRO y la fila 66 de COLECTOR INSUMOS. Celda amarilla = dato (se puede cambiar); verde = formula. Precios sin IGV, referenciales: confirmar con cotizacion en Tarapoto.</t>
  </si>
  <si>
    <t xml:space="preserve">1. DATOS TOMADOS DE LA PLANILLA (ACU TAPA REGISTRO y COLECTOR INSUMOS)</t>
  </si>
  <si>
    <t xml:space="preserve">N°</t>
  </si>
  <si>
    <t xml:space="preserve">DATO</t>
  </si>
  <si>
    <t xml:space="preserve">UND</t>
  </si>
  <si>
    <t xml:space="preserve">VALOR</t>
  </si>
  <si>
    <t xml:space="preserve">FUENTE</t>
  </si>
  <si>
    <t xml:space="preserve">Area pintada de angulos por tapa (marco + contramarco)</t>
  </si>
  <si>
    <t xml:space="preserve">m2</t>
  </si>
  <si>
    <t xml:space="preserve">ACU TAPA REGISTRO F17: 2.80 x 0.203 + 2.72 x 0.152 = 0.98 m2</t>
  </si>
  <si>
    <t xml:space="preserve">Pintura anticorrosiva por m2</t>
  </si>
  <si>
    <t xml:space="preserve">gal/m2</t>
  </si>
  <si>
    <t xml:space="preserve">COLECTOR INSUMOS G64</t>
  </si>
  <si>
    <t xml:space="preserve">Esmalte sintetico por m2</t>
  </si>
  <si>
    <t xml:space="preserve">COLECTOR INSUMOS G65</t>
  </si>
  <si>
    <t xml:space="preserve">Numero de tapas de registro</t>
  </si>
  <si>
    <t xml:space="preserve">und</t>
  </si>
  <si>
    <t xml:space="preserve">ACU TAPA REGISTRO E17 (metrado de tapas)</t>
  </si>
  <si>
    <t xml:space="preserve">Global actual "Lija y thinner" por m2</t>
  </si>
  <si>
    <t xml:space="preserve">glb/m2</t>
  </si>
  <si>
    <t xml:space="preserve">COLECTOR INSUMOS G66 (se reemplaza)</t>
  </si>
  <si>
    <t xml:space="preserve">Precio actual del global</t>
  </si>
  <si>
    <t xml:space="preserve">S/ glb</t>
  </si>
  <si>
    <t xml:space="preserve">ACU TAPA REGISTRO F86 (se reemplaza)</t>
  </si>
  <si>
    <t xml:space="preserve">2. CRITERIO DE CONSUMO</t>
  </si>
  <si>
    <t xml:space="preserve">CRITERIO</t>
  </si>
  <si>
    <t xml:space="preserve">SUSTENTO</t>
  </si>
  <si>
    <t xml:space="preserve">Thinner: porcentaje del volumen de pintura (dilucion + limpieza)</t>
  </si>
  <si>
    <t xml:space="preserve">%</t>
  </si>
  <si>
    <t xml:space="preserve">10 % de dilucion (pintura alquidica, segun ficha del fabricante) + 5 % de limpieza de brochas y equipos</t>
  </si>
  <si>
    <t xml:space="preserve">Thinner por m2 = % x (anticorrosivo + esmalte)</t>
  </si>
  <si>
    <t xml:space="preserve">formula</t>
  </si>
  <si>
    <t xml:space="preserve">Lija para fierro N° 80 por m2</t>
  </si>
  <si>
    <t xml:space="preserve">und/m2</t>
  </si>
  <si>
    <t xml:space="preserve">1 pliego rinde ~4 m2 en la limpieza y desoxidado del angulo antes del anticorrosivo</t>
  </si>
  <si>
    <t xml:space="preserve">3. DESAGREGADO POR TAPA (filas para el cuadro de recursos de la ACU TAPA REGISTRO)</t>
  </si>
  <si>
    <t xml:space="preserve">RECURSO</t>
  </si>
  <si>
    <t xml:space="preserve">RATIO POR m2</t>
  </si>
  <si>
    <t xml:space="preserve">CANTIDAD POR TAPA</t>
  </si>
  <si>
    <t xml:space="preserve">PRECIO S/</t>
  </si>
  <si>
    <t xml:space="preserve">PARCIAL S/</t>
  </si>
  <si>
    <t xml:space="preserve">FUENTE DEL PRECIO</t>
  </si>
  <si>
    <t xml:space="preserve">16</t>
  </si>
  <si>
    <t xml:space="preserve">Lija para fierro N° 80</t>
  </si>
  <si>
    <t xml:space="preserve">Sodimac Peru, lija 3M fierro ASA grano 80: S/ 2.50 con IGV -&gt; 2.50 / 1.18 = 2.12</t>
  </si>
  <si>
    <t xml:space="preserve">17</t>
  </si>
  <si>
    <t xml:space="preserve">Thinner acrilico</t>
  </si>
  <si>
    <t xml:space="preserve">gal</t>
  </si>
  <si>
    <t xml:space="preserve">Sodimac Peru, thinner acrilico TOPEX 3.5 L a S/ 38.90 con IGV -&gt; x 3.785 / 3.5 / 1.18 = 35.65 por galon</t>
  </si>
  <si>
    <t xml:space="preserve">Total lija + thinner por tapa</t>
  </si>
  <si>
    <t xml:space="preserve">Antes: "Lija y thinner" global por tapa</t>
  </si>
  <si>
    <t xml:space="preserve">glb</t>
  </si>
  <si>
    <t xml:space="preserve">valor actual de la ACU</t>
  </si>
  <si>
    <t xml:space="preserve">Diferencia en el costo unitario de la tapa</t>
  </si>
  <si>
    <t xml:space="preserve">S/ por tapa (sube o baja el costo unitario directo)</t>
  </si>
  <si>
    <t xml:space="preserve">4. TOTAL DE OBRA (para la lista de insumos)</t>
  </si>
  <si>
    <t xml:space="preserve">INSUMO</t>
  </si>
  <si>
    <t xml:space="preserve">POR TAPA</t>
  </si>
  <si>
    <t xml:space="preserve">N° TAPAS</t>
  </si>
  <si>
    <t xml:space="preserve">TOTAL</t>
  </si>
  <si>
    <t xml:space="preserve">A COMPRAR</t>
  </si>
  <si>
    <t xml:space="preserve">OBSERVACION</t>
  </si>
  <si>
    <t xml:space="preserve">pliegos enteros</t>
  </si>
  <si>
    <t xml:space="preserve">se compra por 1/4 de galon como minimo</t>
  </si>
  <si>
    <t xml:space="preserve">NOTAS</t>
  </si>
  <si>
    <t xml:space="preserve">1. En la seccion E del desglose de la ACU (fila 52) el global se divide en dos filas: lija = area por tapa x 0.25 und/m2; thinner = area por tapa x ratio de la fila 17.</t>
  </si>
  <si>
    <t xml:space="preserve">2. En COLECTOR INSUMOS (fila 66) el global 0.05 glb/m2 se reemplaza por lija 0.25 und/m2 y thinner 0.0240 gal/m2.</t>
  </si>
  <si>
    <t xml:space="preserve">3. Los ratios y precios son criterio y referencia de mercado (Sodimac Peru); el ingeniero de presupuesto puede cambiar las celdas amarillas y todo se recalcula.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</si>
</sst>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%"/>
    <numFmt numFmtId="167" formatCode="0.00"/>
    <numFmt numFmtId="168" formatCode="\+0.00;\-0.00"/>
    <numFmt numFmtId="169" formatCode="0"/>
    <numFmt numFmtId="170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6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5"/>
      <c r="F6" s="5"/>
      <c r="G6" s="5"/>
      <c r="H6" s="4" t="s">
        <v>8</v>
      </c>
    </row>
    <row r="7" customFormat="false" ht="15" hidden="false" customHeight="false" outlineLevel="0" collapsed="false">
      <c r="A7" s="6" t="n">
        <v>1</v>
      </c>
      <c r="B7" s="2" t="s">
        <v>9</v>
      </c>
      <c r="C7" s="6" t="s">
        <v>10</v>
      </c>
      <c r="D7" s="7" t="n">
        <v>0.98184</v>
      </c>
      <c r="E7" s="6"/>
      <c r="F7" s="6"/>
      <c r="G7" s="6"/>
      <c r="H7" s="2" t="s">
        <v>11</v>
      </c>
    </row>
    <row r="8" customFormat="false" ht="15" hidden="false" customHeight="false" outlineLevel="0" collapsed="false">
      <c r="A8" s="6" t="n">
        <v>2</v>
      </c>
      <c r="B8" s="2" t="s">
        <v>12</v>
      </c>
      <c r="C8" s="6" t="s">
        <v>13</v>
      </c>
      <c r="D8" s="7" t="n">
        <v>0.08</v>
      </c>
      <c r="E8" s="6"/>
      <c r="F8" s="6"/>
      <c r="G8" s="6"/>
      <c r="H8" s="2" t="s">
        <v>14</v>
      </c>
    </row>
    <row r="9" customFormat="false" ht="15" hidden="false" customHeight="false" outlineLevel="0" collapsed="false">
      <c r="A9" s="6" t="n">
        <v>3</v>
      </c>
      <c r="B9" s="2" t="s">
        <v>15</v>
      </c>
      <c r="C9" s="6" t="s">
        <v>13</v>
      </c>
      <c r="D9" s="7" t="n">
        <v>0.08</v>
      </c>
      <c r="E9" s="6"/>
      <c r="F9" s="6"/>
      <c r="G9" s="6"/>
      <c r="H9" s="2" t="s">
        <v>16</v>
      </c>
    </row>
    <row r="10" customFormat="false" ht="15" hidden="false" customHeight="false" outlineLevel="0" collapsed="false">
      <c r="A10" s="6" t="n">
        <v>4</v>
      </c>
      <c r="B10" s="2" t="s">
        <v>17</v>
      </c>
      <c r="C10" s="6" t="s">
        <v>18</v>
      </c>
      <c r="D10" s="7" t="n">
        <v>10</v>
      </c>
      <c r="E10" s="6"/>
      <c r="F10" s="6"/>
      <c r="G10" s="6"/>
      <c r="H10" s="2" t="s">
        <v>19</v>
      </c>
    </row>
    <row r="11" customFormat="false" ht="15" hidden="false" customHeight="false" outlineLevel="0" collapsed="false">
      <c r="A11" s="6" t="n">
        <v>5</v>
      </c>
      <c r="B11" s="2" t="s">
        <v>20</v>
      </c>
      <c r="C11" s="6" t="s">
        <v>21</v>
      </c>
      <c r="D11" s="7" t="n">
        <v>0.05</v>
      </c>
      <c r="E11" s="6"/>
      <c r="F11" s="6"/>
      <c r="G11" s="6"/>
      <c r="H11" s="2" t="s">
        <v>22</v>
      </c>
    </row>
    <row r="12" customFormat="false" ht="15" hidden="false" customHeight="false" outlineLevel="0" collapsed="false">
      <c r="A12" s="6" t="n">
        <v>6</v>
      </c>
      <c r="B12" s="2" t="s">
        <v>23</v>
      </c>
      <c r="C12" s="6" t="s">
        <v>24</v>
      </c>
      <c r="D12" s="7" t="n">
        <v>25.42</v>
      </c>
      <c r="E12" s="6"/>
      <c r="F12" s="6"/>
      <c r="G12" s="6"/>
      <c r="H12" s="2" t="s">
        <v>25</v>
      </c>
    </row>
    <row r="14" customFormat="false" ht="15" hidden="false" customHeight="true" outlineLevel="0" collapsed="false">
      <c r="A14" s="3" t="s">
        <v>26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4</v>
      </c>
      <c r="B15" s="4" t="s">
        <v>27</v>
      </c>
      <c r="C15" s="4" t="s">
        <v>6</v>
      </c>
      <c r="D15" s="4" t="s">
        <v>7</v>
      </c>
      <c r="E15" s="5"/>
      <c r="F15" s="5"/>
      <c r="G15" s="5"/>
      <c r="H15" s="4" t="s">
        <v>28</v>
      </c>
    </row>
    <row r="16" customFormat="false" ht="23.85" hidden="false" customHeight="false" outlineLevel="0" collapsed="false">
      <c r="A16" s="6" t="n">
        <v>1</v>
      </c>
      <c r="B16" s="2" t="s">
        <v>29</v>
      </c>
      <c r="C16" s="6" t="s">
        <v>30</v>
      </c>
      <c r="D16" s="8" t="n">
        <v>0.15</v>
      </c>
      <c r="E16" s="6"/>
      <c r="F16" s="6"/>
      <c r="G16" s="6"/>
      <c r="H16" s="2" t="s">
        <v>31</v>
      </c>
    </row>
    <row r="17" customFormat="false" ht="15" hidden="false" customHeight="false" outlineLevel="0" collapsed="false">
      <c r="A17" s="6" t="n">
        <v>2</v>
      </c>
      <c r="B17" s="2" t="s">
        <v>32</v>
      </c>
      <c r="C17" s="6" t="s">
        <v>13</v>
      </c>
      <c r="D17" s="9" t="n">
        <f aca="false">D16*(D8+D9)</f>
        <v>0.024</v>
      </c>
      <c r="E17" s="6"/>
      <c r="F17" s="6"/>
      <c r="G17" s="6"/>
      <c r="H17" s="2" t="s">
        <v>33</v>
      </c>
    </row>
    <row r="18" customFormat="false" ht="15" hidden="false" customHeight="false" outlineLevel="0" collapsed="false">
      <c r="A18" s="6" t="n">
        <v>3</v>
      </c>
      <c r="B18" s="2" t="s">
        <v>34</v>
      </c>
      <c r="C18" s="6" t="s">
        <v>35</v>
      </c>
      <c r="D18" s="7" t="n">
        <v>0.25</v>
      </c>
      <c r="E18" s="6"/>
      <c r="F18" s="6"/>
      <c r="G18" s="6"/>
      <c r="H18" s="2" t="s">
        <v>36</v>
      </c>
    </row>
    <row r="20" customFormat="false" ht="15" hidden="false" customHeight="true" outlineLevel="0" collapsed="false">
      <c r="A20" s="3" t="s">
        <v>37</v>
      </c>
      <c r="B20" s="3"/>
      <c r="C20" s="3"/>
      <c r="D20" s="3"/>
      <c r="E20" s="3"/>
      <c r="F20" s="3"/>
      <c r="G20" s="3"/>
      <c r="H20" s="3"/>
    </row>
    <row r="21" customFormat="false" ht="23.85" hidden="false" customHeight="false" outlineLevel="0" collapsed="false">
      <c r="A21" s="4" t="s">
        <v>4</v>
      </c>
      <c r="B21" s="4" t="s">
        <v>38</v>
      </c>
      <c r="C21" s="4" t="s">
        <v>6</v>
      </c>
      <c r="D21" s="4" t="s">
        <v>39</v>
      </c>
      <c r="E21" s="4" t="s">
        <v>40</v>
      </c>
      <c r="F21" s="4" t="s">
        <v>41</v>
      </c>
      <c r="G21" s="4" t="s">
        <v>42</v>
      </c>
      <c r="H21" s="4" t="s">
        <v>43</v>
      </c>
    </row>
    <row r="22" customFormat="false" ht="15" hidden="false" customHeight="false" outlineLevel="0" collapsed="false">
      <c r="A22" s="6" t="s">
        <v>44</v>
      </c>
      <c r="B22" s="2" t="s">
        <v>45</v>
      </c>
      <c r="C22" s="6" t="s">
        <v>18</v>
      </c>
      <c r="D22" s="9" t="n">
        <f aca="false">D18</f>
        <v>0.25</v>
      </c>
      <c r="E22" s="9" t="n">
        <f aca="false">D22*$D$7</f>
        <v>0.24546</v>
      </c>
      <c r="F22" s="10" t="n">
        <v>2.12</v>
      </c>
      <c r="G22" s="11" t="n">
        <f aca="false">E22*F22</f>
        <v>0.5203752</v>
      </c>
      <c r="H22" s="2" t="s">
        <v>46</v>
      </c>
    </row>
    <row r="23" customFormat="false" ht="23.85" hidden="false" customHeight="false" outlineLevel="0" collapsed="false">
      <c r="A23" s="6" t="s">
        <v>47</v>
      </c>
      <c r="B23" s="2" t="s">
        <v>48</v>
      </c>
      <c r="C23" s="6" t="s">
        <v>49</v>
      </c>
      <c r="D23" s="9" t="n">
        <f aca="false">D17</f>
        <v>0.024</v>
      </c>
      <c r="E23" s="9" t="n">
        <f aca="false">D23*$D$7</f>
        <v>0.02356416</v>
      </c>
      <c r="F23" s="10" t="n">
        <v>35.65</v>
      </c>
      <c r="G23" s="11" t="n">
        <f aca="false">E23*F23</f>
        <v>0.840062304</v>
      </c>
      <c r="H23" s="2" t="s">
        <v>50</v>
      </c>
    </row>
    <row r="24" customFormat="false" ht="15" hidden="false" customHeight="false" outlineLevel="0" collapsed="false">
      <c r="A24" s="12"/>
      <c r="B24" s="3" t="s">
        <v>51</v>
      </c>
      <c r="C24" s="12"/>
      <c r="D24" s="12"/>
      <c r="E24" s="12"/>
      <c r="F24" s="12"/>
      <c r="G24" s="13" t="n">
        <f aca="false">G22+G23</f>
        <v>1.360437504</v>
      </c>
      <c r="H24" s="12"/>
    </row>
    <row r="25" customFormat="false" ht="15" hidden="false" customHeight="false" outlineLevel="0" collapsed="false">
      <c r="A25" s="6"/>
      <c r="B25" s="2" t="s">
        <v>52</v>
      </c>
      <c r="C25" s="6" t="s">
        <v>53</v>
      </c>
      <c r="D25" s="14" t="n">
        <f aca="false">D11</f>
        <v>0.05</v>
      </c>
      <c r="E25" s="14" t="n">
        <f aca="false">D25*D7</f>
        <v>0.049092</v>
      </c>
      <c r="F25" s="15" t="n">
        <f aca="false">D12</f>
        <v>25.42</v>
      </c>
      <c r="G25" s="15" t="n">
        <f aca="false">E25*F25</f>
        <v>1.24791864</v>
      </c>
      <c r="H25" s="2" t="s">
        <v>54</v>
      </c>
    </row>
    <row r="26" customFormat="false" ht="15" hidden="false" customHeight="false" outlineLevel="0" collapsed="false">
      <c r="A26" s="6"/>
      <c r="B26" s="16" t="s">
        <v>55</v>
      </c>
      <c r="C26" s="6"/>
      <c r="D26" s="6"/>
      <c r="E26" s="6"/>
      <c r="F26" s="6"/>
      <c r="G26" s="17" t="n">
        <f aca="false">G24-G25</f>
        <v>0.112518864</v>
      </c>
      <c r="H26" s="2" t="s">
        <v>56</v>
      </c>
    </row>
    <row r="28" customFormat="false" ht="15" hidden="false" customHeight="true" outlineLevel="0" collapsed="false">
      <c r="A28" s="3" t="s">
        <v>57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4" t="s">
        <v>4</v>
      </c>
      <c r="B29" s="4" t="s">
        <v>58</v>
      </c>
      <c r="C29" s="4" t="s">
        <v>6</v>
      </c>
      <c r="D29" s="4" t="s">
        <v>59</v>
      </c>
      <c r="E29" s="4" t="s">
        <v>60</v>
      </c>
      <c r="F29" s="4" t="s">
        <v>61</v>
      </c>
      <c r="G29" s="4" t="s">
        <v>62</v>
      </c>
      <c r="H29" s="4" t="s">
        <v>63</v>
      </c>
    </row>
    <row r="30" customFormat="false" ht="15" hidden="false" customHeight="false" outlineLevel="0" collapsed="false">
      <c r="A30" s="6" t="n">
        <v>1</v>
      </c>
      <c r="B30" s="2" t="s">
        <v>45</v>
      </c>
      <c r="C30" s="6" t="s">
        <v>18</v>
      </c>
      <c r="D30" s="9" t="n">
        <f aca="false">E22</f>
        <v>0.24546</v>
      </c>
      <c r="E30" s="18" t="n">
        <f aca="false">$D$10</f>
        <v>10</v>
      </c>
      <c r="F30" s="19" t="n">
        <f aca="false">D30*E30</f>
        <v>2.4546</v>
      </c>
      <c r="G30" s="11" t="n">
        <f aca="false">ROUNDUP(F30,0)</f>
        <v>3</v>
      </c>
      <c r="H30" s="2" t="s">
        <v>64</v>
      </c>
    </row>
    <row r="31" customFormat="false" ht="15" hidden="false" customHeight="false" outlineLevel="0" collapsed="false">
      <c r="A31" s="6" t="n">
        <v>2</v>
      </c>
      <c r="B31" s="2" t="s">
        <v>48</v>
      </c>
      <c r="C31" s="6" t="s">
        <v>49</v>
      </c>
      <c r="D31" s="9" t="n">
        <f aca="false">E23</f>
        <v>0.02356416</v>
      </c>
      <c r="E31" s="18" t="n">
        <f aca="false">$D$10</f>
        <v>10</v>
      </c>
      <c r="F31" s="19" t="n">
        <f aca="false">D31*E31</f>
        <v>0.2356416</v>
      </c>
      <c r="G31" s="11" t="n">
        <f aca="false">ROUNDUP(F31*4,0)/4</f>
        <v>0.25</v>
      </c>
      <c r="H31" s="2" t="s">
        <v>65</v>
      </c>
    </row>
    <row r="33" customFormat="false" ht="15" hidden="false" customHeight="true" outlineLevel="0" collapsed="false">
      <c r="A33" s="3" t="s">
        <v>66</v>
      </c>
      <c r="B33" s="3"/>
      <c r="C33" s="3"/>
      <c r="D33" s="3"/>
      <c r="E33" s="3"/>
      <c r="F33" s="3"/>
      <c r="G33" s="3"/>
      <c r="H33" s="3"/>
    </row>
    <row r="34" customFormat="false" ht="27.75" hidden="false" customHeight="true" outlineLevel="0" collapsed="false">
      <c r="A34" s="2" t="s">
        <v>67</v>
      </c>
      <c r="B34" s="2"/>
      <c r="C34" s="2"/>
      <c r="D34" s="2"/>
      <c r="E34" s="2"/>
      <c r="F34" s="2"/>
      <c r="G34" s="2"/>
      <c r="H34" s="2"/>
    </row>
    <row r="35" customFormat="false" ht="27.75" hidden="false" customHeight="true" outlineLevel="0" collapsed="false">
      <c r="A35" s="2" t="s">
        <v>68</v>
      </c>
      <c r="B35" s="2"/>
      <c r="C35" s="2"/>
      <c r="D35" s="2"/>
      <c r="E35" s="2"/>
      <c r="F35" s="2"/>
      <c r="G35" s="2"/>
      <c r="H35" s="2"/>
    </row>
    <row r="36" customFormat="false" ht="27.75" hidden="false" customHeight="true" outlineLevel="0" collapsed="false">
      <c r="A36" s="2" t="s">
        <v>69</v>
      </c>
      <c r="B36" s="2"/>
      <c r="C36" s="2"/>
      <c r="D36" s="2"/>
      <c r="E36" s="2"/>
      <c r="F36" s="2"/>
      <c r="G36" s="2"/>
      <c r="H36" s="2"/>
    </row>
  </sheetData>
  <mergeCells count="11">
    <mergeCell ref="A1:H1"/>
    <mergeCell ref="A2:H2"/>
    <mergeCell ref="A3:H3"/>
    <mergeCell ref="A5:H5"/>
    <mergeCell ref="A14:H14"/>
    <mergeCell ref="A20:H20"/>
    <mergeCell ref="A28:H28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2026-10-14T20:06:15Z</dcterms:created>
  <dc:creator>openpyxl</dc:creator>
  <dc:description/>
  <dc:language>en-US</dc:language>
  <cp:lastModifiedBy/>
  <dcterms:modified xsi:type="dcterms:W3CDTF">2026-10-14T20:06:15Z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