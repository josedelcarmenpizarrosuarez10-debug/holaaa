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CU" sheetId="1" state="visible" r:id="rId1"/>
    <sheet xmlns:r="http://schemas.openxmlformats.org/officeDocument/2006/relationships" name="PRECIOS DE INSUMOS" sheetId="2" state="visible" r:id="rId2"/>
    <sheet xmlns:r="http://schemas.openxmlformats.org/officeDocument/2006/relationships" name="ACU LLORADEROS" sheetId="3" state="visible" r:id="rId3"/>
    <sheet xmlns:r="http://schemas.openxmlformats.org/officeDocument/2006/relationships" name="ACU TAPA REGISTRO" sheetId="4" state="visible" r:id="rId4"/>
    <sheet xmlns:r="http://schemas.openxmlformats.org/officeDocument/2006/relationships" name="ACU JUNTA DILATACION" sheetId="5" state="visible" r:id="rId5"/>
    <sheet xmlns:r="http://schemas.openxmlformats.org/officeDocument/2006/relationships" name="ACU JUNTA CERCO" sheetId="6" state="visible" r:id="rId6"/>
    <sheet xmlns:r="http://schemas.openxmlformats.org/officeDocument/2006/relationships" name="ACU TAPA LATERAL CANALETA" sheetId="7" state="visible" r:id="rId7"/>
    <sheet xmlns:r="http://schemas.openxmlformats.org/officeDocument/2006/relationships" name="ACU CANALETA BANCAS OC-01" sheetId="8" state="visible" r:id="rId8"/>
    <sheet xmlns:r="http://schemas.openxmlformats.org/officeDocument/2006/relationships" name="COSTO HORA HOMBRE 2026" sheetId="9" state="visible" r:id="rId9"/>
  </sheets>
  <definedNames>
    <definedName name="_xlnm.Print_Area" localSheetId="0">'RESUMEN ACU'!$A$1:$G$22</definedName>
    <definedName name="_xlnm.Print_Area" localSheetId="1">'PRECIOS DE INSUMOS'!$A$1:$E$7</definedName>
    <definedName name="_xlnm.Print_Area" localSheetId="2">'ACU LLORADEROS'!$A$1:$H$48</definedName>
    <definedName name="_xlnm.Print_Area" localSheetId="3">'ACU TAPA REGISTRO'!$A$1:$H$55</definedName>
    <definedName name="_xlnm.Print_Area" localSheetId="4">'ACU JUNTA DILATACION'!$A$1:$H$46</definedName>
    <definedName name="_xlnm.Print_Area" localSheetId="5">'ACU JUNTA CERCO'!$A$1:$H$46</definedName>
    <definedName name="_xlnm.Print_Area" localSheetId="6">'ACU TAPA LATERAL CANALETA'!$A$1:$H$43</definedName>
    <definedName name="_xlnm.Print_Area" localSheetId="7">'ACU CANALETA BANCAS OC-01'!$A$1:$H$59</definedName>
    <definedName name="_xlnm.Print_Area" localSheetId="8">'COSTO HORA HOMBRE 2026'!$A$1:$H$50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\-yy"/>
    <numFmt numFmtId="165" formatCode="0.0000"/>
    <numFmt numFmtId="166" formatCode="0.000"/>
  </numFmts>
  <fonts count="15">
    <font>
      <name val="Calibri"/>
      <family val="2"/>
      <color theme="1"/>
      <sz val="11"/>
      <scheme val="minor"/>
    </font>
    <font>
      <name val="Arial Narrow"/>
      <b val="1"/>
      <color rgb="001F4E79"/>
      <sz val="14"/>
    </font>
    <font>
      <name val="Arial Narrow"/>
      <b val="1"/>
    </font>
    <font>
      <name val="Arial Narrow"/>
    </font>
    <font>
      <name val="Arial Narrow"/>
      <b val="1"/>
      <color rgb="00FFFFFF"/>
    </font>
    <font>
      <name val="Arial Narrow"/>
      <b val="1"/>
      <sz val="9"/>
    </font>
    <font>
      <name val="Arial Narrow"/>
      <i val="1"/>
      <sz val="9"/>
    </font>
    <font>
      <name val="Arial Narrow"/>
      <b val="1"/>
      <color rgb="001F4E79"/>
      <sz val="12"/>
    </font>
    <font>
      <name val="Arial Narrow"/>
      <charset val="1"/>
      <family val="0"/>
      <b val="1"/>
      <color rgb="FFFFFFFF"/>
      <sz val="16"/>
    </font>
    <font>
      <name val="Calibri"/>
      <charset val="1"/>
      <family val="2"/>
      <color theme="1"/>
      <sz val="11"/>
    </font>
    <font>
      <name val="Arial Narrow"/>
      <charset val="1"/>
      <family val="0"/>
      <b val="1"/>
      <sz val="14"/>
    </font>
    <font>
      <name val="Arial Narrow"/>
      <charset val="1"/>
      <family val="0"/>
      <sz val="14"/>
    </font>
    <font>
      <name val="Arial Narrow"/>
      <charset val="1"/>
      <family val="0"/>
      <b val="1"/>
      <sz val="12"/>
    </font>
    <font>
      <name val="Arial Narrow"/>
      <charset val="1"/>
      <family val="0"/>
      <b val="1"/>
      <color rgb="FFFFFFFF"/>
      <sz val="12"/>
    </font>
    <font>
      <name val="Arial Narrow"/>
      <charset val="1"/>
      <family val="0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EAF4FB"/>
      </patternFill>
    </fill>
    <fill>
      <patternFill patternType="solid">
        <fgColor theme="4" tint="-0.25"/>
        <bgColor rgb="FF305496"/>
      </patternFill>
    </fill>
    <fill>
      <patternFill patternType="solid">
        <fgColor rgb="FFD9EAF7"/>
        <bgColor rgb="FFDDEBF7"/>
      </patternFill>
    </fill>
    <fill>
      <patternFill patternType="solid">
        <fgColor theme="0" tint="-0.05"/>
        <bgColor rgb="FFEAF3F8"/>
      </patternFill>
    </fill>
    <fill>
      <patternFill patternType="solid">
        <fgColor rgb="FFF0F7E8"/>
        <bgColor rgb="FFF2F2F2"/>
      </patternFill>
    </fill>
    <fill>
      <patternFill patternType="solid">
        <fgColor rgb="FFFFF2CC"/>
        <bgColor rgb="FFFBECC9"/>
      </patternFill>
    </fill>
    <fill>
      <patternFill patternType="solid">
        <fgColor theme="5" tint="0.3999"/>
        <bgColor rgb="FFBFBFBF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164" fontId="11" fillId="0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165" fontId="14" fillId="9" borderId="2" applyAlignment="1" pivotButton="0" quotePrefix="0" xfId="0">
      <alignment horizontal="center" vertical="center"/>
    </xf>
    <xf numFmtId="2" fontId="14" fillId="8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2" fontId="12" fillId="10" borderId="2" applyAlignment="1" pivotButton="0" quotePrefix="0" xfId="0">
      <alignment horizontal="center" vertical="center"/>
    </xf>
    <xf numFmtId="166" fontId="14" fillId="9" borderId="2" applyAlignment="1" pivotButton="0" quotePrefix="0" xfId="0">
      <alignment horizontal="center" vertical="center"/>
    </xf>
    <xf numFmtId="2" fontId="14" fillId="9" borderId="2" applyAlignment="1" pivotButton="0" quotePrefix="0" xfId="0">
      <alignment horizontal="center" vertical="center"/>
    </xf>
    <xf numFmtId="0" fontId="9" fillId="0" borderId="3" pivotButton="0" quotePrefix="0" xfId="0"/>
    <xf numFmtId="0" fontId="9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62" customWidth="1" min="2" max="2"/>
    <col width="6" customWidth="1" min="3" max="3"/>
    <col width="11" customWidth="1" min="4" max="4"/>
    <col width="11" customWidth="1" min="5" max="5"/>
    <col width="13" customWidth="1" min="6" max="6"/>
    <col width="28" customWidth="1" min="7" max="7"/>
  </cols>
  <sheetData>
    <row r="1">
      <c r="A1" s="1" t="inlineStr">
        <is>
          <t>ANALISIS DE COSTOS UNITARIOS - PARTIDAS RESALTADAS DEL METRADO DE DRENAJE PLUVIAL</t>
        </is>
      </c>
    </row>
    <row r="4">
      <c r="A4" s="2" t="inlineStr">
        <is>
          <t>ENTIDAD</t>
        </is>
      </c>
      <c r="C4" s="3" t="inlineStr">
        <is>
          <t>GERENCIA TERRITORIAL BAJO MAYO - TARAPOTO</t>
        </is>
      </c>
    </row>
    <row r="5" ht="62" customHeight="1">
      <c r="A5" s="2" t="inlineStr">
        <is>
          <t>PROYECTO</t>
        </is>
      </c>
      <c r="C5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      </is>
      </c>
    </row>
    <row r="6">
      <c r="A6" s="2" t="inlineStr">
        <is>
          <t>UBICACIÓN</t>
        </is>
      </c>
      <c r="C6" s="3" t="inlineStr">
        <is>
          <t>SAN MARTIN - SAN MARTIN - MORALES</t>
        </is>
      </c>
    </row>
    <row r="7">
      <c r="A7" s="2" t="inlineStr">
        <is>
          <t>FECHA</t>
        </is>
      </c>
      <c r="C7" s="3" t="inlineStr">
        <is>
          <t>01/09/2026</t>
        </is>
      </c>
    </row>
    <row r="9" ht="18" customHeight="1">
      <c r="A9" s="4" t="inlineStr">
        <is>
          <t>Item</t>
        </is>
      </c>
      <c r="B9" s="4" t="inlineStr">
        <is>
          <t>Descripción</t>
        </is>
      </c>
      <c r="C9" s="4" t="inlineStr">
        <is>
          <t>Und</t>
        </is>
      </c>
      <c r="D9" s="4" t="inlineStr">
        <is>
          <t>Metrado</t>
        </is>
      </c>
      <c r="E9" s="4" t="inlineStr">
        <is>
          <t>C.U. S/</t>
        </is>
      </c>
      <c r="F9" s="4" t="inlineStr">
        <is>
          <t>Parcial S/</t>
        </is>
      </c>
      <c r="G9" s="4" t="inlineStr">
        <is>
          <t>Hoja ACU</t>
        </is>
      </c>
    </row>
    <row r="10" ht="30" customHeight="1">
      <c r="A10" s="5" t="inlineStr">
        <is>
          <t>01.04.03.04.03.04</t>
        </is>
      </c>
      <c r="B10" s="6" t="inlineStr">
        <is>
          <t>LLORADERO DE TUBERIA PVC Ø3" C/FILTRO DE GRAVA Y GEOTEXTIL @1.50 m (CUNETA COLINDANTE CON AREA VERDE)</t>
        </is>
      </c>
      <c r="C10" s="5" t="inlineStr">
        <is>
          <t>und</t>
        </is>
      </c>
      <c r="D10" s="7" t="n">
        <v>157</v>
      </c>
      <c r="E10" s="7">
        <f>'ACU LLORADEROS'!G47</f>
        <v/>
      </c>
      <c r="F10" s="7">
        <f>D10*E10</f>
        <v/>
      </c>
      <c r="G10" s="8" t="inlineStr">
        <is>
          <t>ACU LLORADEROS</t>
        </is>
      </c>
    </row>
    <row r="11" ht="30" customHeight="1">
      <c r="A11" s="5" t="inlineStr">
        <is>
          <t>01.04.03.05.01.05</t>
        </is>
      </c>
      <c r="B11" s="6" t="inlineStr">
        <is>
          <t>TAPA LATERAL DE PLANCHA GALVANIZADA P/CANALETA SECCIÓN 0.25m x 0.20m</t>
        </is>
      </c>
      <c r="C11" s="5" t="inlineStr">
        <is>
          <t>und</t>
        </is>
      </c>
      <c r="D11" s="7" t="n">
        <v>40</v>
      </c>
      <c r="E11" s="7">
        <f>'ACU TAPA LATERAL CANALETA'!G42</f>
        <v/>
      </c>
      <c r="F11" s="7">
        <f>D11*E11</f>
        <v/>
      </c>
      <c r="G11" s="8" t="inlineStr">
        <is>
          <t>ACU TAPA LATERAL CANALETA</t>
        </is>
      </c>
    </row>
    <row r="12" ht="30" customHeight="1">
      <c r="A12" s="5" t="inlineStr">
        <is>
          <t>01.04.03.05.04.01</t>
        </is>
      </c>
      <c r="B12" s="6" t="inlineStr">
        <is>
          <t>CANALETA DE PLANCHA DE ACERO GALVANIZADO e=0.50mm, SECCIÓN 0.18m x 0.21m</t>
        </is>
      </c>
      <c r="C12" s="5" t="inlineStr">
        <is>
          <t>m</t>
        </is>
      </c>
      <c r="D12" s="7" t="n">
        <v>35.37</v>
      </c>
      <c r="E12" s="7">
        <f>'ACU CANALETA BANCAS OC-01'!G38</f>
        <v/>
      </c>
      <c r="F12" s="7">
        <f>D12*E12</f>
        <v/>
      </c>
      <c r="G12" s="8" t="inlineStr">
        <is>
          <t>ACU CANALETA BANCAS OC-01</t>
        </is>
      </c>
    </row>
    <row r="13" ht="30" customHeight="1">
      <c r="A13" s="5" t="inlineStr">
        <is>
          <t>01.04.03.05.04.03</t>
        </is>
      </c>
      <c r="B13" s="6" t="inlineStr">
        <is>
          <t>TAPA LATERAL DE PLANCHA GALVANIZADA P/CANALETA SECCIÓN 0.18m x 0.21m</t>
        </is>
      </c>
      <c r="C13" s="5" t="inlineStr">
        <is>
          <t>und</t>
        </is>
      </c>
      <c r="D13" s="7" t="n">
        <v>18</v>
      </c>
      <c r="E13" s="7">
        <f>'ACU CANALETA BANCAS OC-01'!G58</f>
        <v/>
      </c>
      <c r="F13" s="7">
        <f>D13*E13</f>
        <v/>
      </c>
      <c r="G13" s="8" t="inlineStr">
        <is>
          <t>ACU CANALETA BANCAS OC-01</t>
        </is>
      </c>
    </row>
    <row r="14" ht="30" customHeight="1">
      <c r="A14" s="5" t="inlineStr">
        <is>
          <t>01.04.04.05.01</t>
        </is>
      </c>
      <c r="B14" s="6" t="inlineStr">
        <is>
          <t>TAPA DE REGISTRO CIEGA DE CONCRETO ARMADO 0.68x0.68x0.08</t>
        </is>
      </c>
      <c r="C14" s="5" t="inlineStr">
        <is>
          <t>und</t>
        </is>
      </c>
      <c r="D14" s="7" t="n">
        <v>10</v>
      </c>
      <c r="E14" s="7">
        <f>'ACU TAPA REGISTRO'!G54</f>
        <v/>
      </c>
      <c r="F14" s="7">
        <f>D14*E14</f>
        <v/>
      </c>
      <c r="G14" s="8" t="inlineStr">
        <is>
          <t>ACU TAPA REGISTRO</t>
        </is>
      </c>
    </row>
    <row r="15" ht="30" customHeight="1">
      <c r="A15" s="5" t="inlineStr">
        <is>
          <t>01.04.04.06.01</t>
        </is>
      </c>
      <c r="B15" s="6" t="inlineStr">
        <is>
          <t>JUNTA DE DILATACION E=1" CON TECNOPOR Y SELLADOR ASFALTICO EN COLECTOR</t>
        </is>
      </c>
      <c r="C15" s="5" t="inlineStr">
        <is>
          <t>m</t>
        </is>
      </c>
      <c r="D15" s="7" t="n">
        <v>100.64</v>
      </c>
      <c r="E15" s="7">
        <f>'ACU JUNTA DILATACION'!G45</f>
        <v/>
      </c>
      <c r="F15" s="7">
        <f>D15*E15</f>
        <v/>
      </c>
      <c r="G15" s="8" t="inlineStr">
        <is>
          <t>ACU JUNTA DILATACION</t>
        </is>
      </c>
    </row>
    <row r="16" ht="30" customHeight="1">
      <c r="A16" s="5" t="inlineStr">
        <is>
          <t>01.04.04.06.02</t>
        </is>
      </c>
      <c r="B16" s="6" t="inlineStr">
        <is>
          <t>JUNTA E=1" CON TECNOPOR Y SELLADOR ASFALTICO ENTRE COLECTOR Y CERCO PERIMETRICO</t>
        </is>
      </c>
      <c r="C16" s="5" t="inlineStr">
        <is>
          <t>m</t>
        </is>
      </c>
      <c r="D16" s="7" t="n">
        <v>58.805</v>
      </c>
      <c r="E16" s="7">
        <f>'ACU JUNTA CERCO'!G45</f>
        <v/>
      </c>
      <c r="F16" s="7">
        <f>D16*E16</f>
        <v/>
      </c>
      <c r="G16" s="8" t="inlineStr">
        <is>
          <t>ACU JUNTA CERCO</t>
        </is>
      </c>
    </row>
    <row r="17">
      <c r="A17" s="9" t="n"/>
      <c r="B17" s="10" t="inlineStr">
        <is>
          <t>COSTO DIRECTO TOTAL DE LAS PARTIDAS RESALTADAS</t>
        </is>
      </c>
      <c r="C17" s="9" t="n"/>
      <c r="D17" s="9" t="n"/>
      <c r="E17" s="9" t="n"/>
      <c r="F17" s="11">
        <f>SUM(F10:F16)</f>
        <v/>
      </c>
      <c r="G17" s="9" t="n"/>
    </row>
    <row r="19">
      <c r="A19" s="12" t="inlineStr">
        <is>
          <t>Notas:</t>
        </is>
      </c>
    </row>
    <row r="20">
      <c r="A20" s="13" t="inlineStr">
        <is>
          <t>Metrados tomados de la hoja RESUMEN del metrado de drenaje pluvial (partidas con el nombre resaltado en amarillo).</t>
        </is>
      </c>
    </row>
    <row r="21">
      <c r="A21" s="13" t="inlineStr">
        <is>
          <t>Mano de obra: tabla oficial CAPECO-FTCCP 2026 (operario 28.95, oficial 22.68, peon 20.54 S/ hh). Precios sin IGV, con su fuente en cada ACU.</t>
        </is>
      </c>
    </row>
    <row r="22">
      <c r="A22" s="13" t="inlineStr">
        <is>
          <t>Costo directo; no incluye gastos generales, utilidad ni IGV.</t>
        </is>
      </c>
    </row>
  </sheetData>
  <mergeCells count="5">
    <mergeCell ref="C4:G4"/>
    <mergeCell ref="C7:G7"/>
    <mergeCell ref="A1:G1"/>
    <mergeCell ref="C6:G6"/>
    <mergeCell ref="C5:G5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11" customWidth="1" min="4" max="4"/>
    <col width="90" customWidth="1" min="5" max="5"/>
  </cols>
  <sheetData>
    <row r="1">
      <c r="A1" s="14" t="inlineStr">
        <is>
          <t>PRECIOS DE INSUMOS PARA LAS ACU DE LAS BANCAS OC-01 (sin IGV)</t>
        </is>
      </c>
    </row>
    <row r="4">
      <c r="A4" s="15" t="inlineStr">
        <is>
          <t>N°</t>
        </is>
      </c>
      <c r="B4" s="15" t="inlineStr">
        <is>
          <t>INSUMO</t>
        </is>
      </c>
      <c r="C4" s="15" t="inlineStr">
        <is>
          <t>UND</t>
        </is>
      </c>
      <c r="D4" s="15" t="inlineStr">
        <is>
          <t>PRECIO S/</t>
        </is>
      </c>
      <c r="E4" s="15" t="inlineStr">
        <is>
          <t>FUENTE</t>
        </is>
      </c>
    </row>
    <row r="5" ht="42" customHeight="1">
      <c r="A5" s="16" t="n">
        <v>1</v>
      </c>
      <c r="B5" s="16" t="inlineStr">
        <is>
          <t>Plancha de acero galvanizado e=0.50 mm</t>
        </is>
      </c>
      <c r="C5" s="16" t="inlineStr">
        <is>
          <t>m2</t>
        </is>
      </c>
      <c r="D5" s="17">
        <f>26.95*(0.5*7.85+0.3)/(0.9*7.85+0.3)</f>
        <v/>
      </c>
      <c r="E5" s="16" t="inlineStr">
        <is>
          <t>Referencial: precio por kg de la plancha de 0.9 mm de la ACU CANALETAS (S/ 26.95 por m2, Mercado Tarapoto 2026) aplicado al peso de la de 0.50 mm (4.225 frente a 7.365 kg/m2). Por cotizar en Tarapoto.</t>
        </is>
      </c>
    </row>
    <row r="6" ht="18" customHeight="1">
      <c r="A6" s="16" t="n">
        <v>2</v>
      </c>
      <c r="B6" s="16" t="inlineStr">
        <is>
          <t>Remache pop 1/8"</t>
        </is>
      </c>
      <c r="C6" s="16" t="inlineStr">
        <is>
          <t>und</t>
        </is>
      </c>
      <c r="D6" s="17" t="n">
        <v>0.1</v>
      </c>
      <c r="E6" s="16" t="inlineStr">
        <is>
          <t>mismo precio de la ACU CANALETAS de la planilla (Mercado Tarapoto 2026, sin IGV)</t>
        </is>
      </c>
    </row>
    <row r="7" ht="18" customHeight="1">
      <c r="A7" s="16" t="n">
        <v>3</v>
      </c>
      <c r="B7" s="16" t="inlineStr">
        <is>
          <t>Sellador de poliuretano (cartucho 300 ml)</t>
        </is>
      </c>
      <c r="C7" s="16" t="inlineStr">
        <is>
          <t>und</t>
        </is>
      </c>
      <c r="D7" s="17" t="n">
        <v>21.19</v>
      </c>
      <c r="E7" s="16" t="inlineStr">
        <is>
          <t>mismo precio de la ACU CANALETAS de la planilla (sin IGV)</t>
        </is>
      </c>
    </row>
  </sheetData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44" customWidth="1" min="8" max="8"/>
  </cols>
  <sheetData>
    <row r="1">
      <c r="A1" s="18" t="inlineStr">
        <is>
          <t>ANALISIS DE COSTO UNITARIO - LLORADERO DE TUBERIA PVC Ø3" C/FILTRO DE GRAVA Y GEOTEXTIL @1.50 m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Partida de Delphin 01.04.03.04.03.04 LLORADERO DE TUBERIA PVC Ø3" C/FILTRO DE GRAVA Y GEOTEXTIL @1.50 m (CUNETA COLINDANTE CON AREA VERDE) (metrado: hojas METRADO LLORADEROS y DESAGREGADO LLORADEROS). Cantidades por lloradero de las laminas DL-01 y DL-02: tubo PVC-U Ø 3" de 0.30 m con 8 perforaciones Ø 3/8", filtro de grava de 0.30 x 0.30 x 0.30 m forrado con geotextil no tejido y mortero 1:3 de sellado. Mano de obra de la hoja COSTO HORA HOMBRE 2026. Celda amarilla = dato; verde = formula. Precios sin IGV.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1. CANTIDADES POR LLORADERO (hoja DESAGREGADO LLORADEROS)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CONCEPTO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28" t="inlineStr">
        <is>
          <t>Numero de lloraderos de la partida</t>
        </is>
      </c>
      <c r="C11" s="29" t="inlineStr">
        <is>
          <t>und</t>
        </is>
      </c>
      <c r="D11" s="30">
        <f>157</f>
        <v/>
      </c>
      <c r="E11" s="31" t="n"/>
      <c r="F11" s="31" t="n"/>
      <c r="G11" s="31" t="n"/>
      <c r="H11" s="28" t="inlineStr">
        <is>
          <t>DESAGREGADO LLORADEROS fila 23</t>
        </is>
      </c>
    </row>
    <row r="12">
      <c r="A12" s="27" t="n">
        <v>2</v>
      </c>
      <c r="B12" s="28" t="inlineStr">
        <is>
          <t>Tubo PVC-U Ø 3" por lloradero</t>
        </is>
      </c>
      <c r="C12" s="29" t="inlineStr">
        <is>
          <t>m</t>
        </is>
      </c>
      <c r="D12" s="30">
        <f>0.3</f>
        <v/>
      </c>
      <c r="E12" s="31" t="n"/>
      <c r="F12" s="31" t="n"/>
      <c r="G12" s="31" t="n"/>
      <c r="H12" s="28" t="inlineStr">
        <is>
          <t>DESAGREGADO LLORADEROS fila 37 (DL-02 B)</t>
        </is>
      </c>
    </row>
    <row r="13">
      <c r="A13" s="27" t="n">
        <v>3</v>
      </c>
      <c r="B13" s="28" t="inlineStr">
        <is>
          <t>Desperdicio del tubo (corte de 10 piezas por tubo de 3 m)</t>
        </is>
      </c>
      <c r="C13" s="29" t="inlineStr">
        <is>
          <t>-</t>
        </is>
      </c>
      <c r="D13" s="32" t="n">
        <v>0.05</v>
      </c>
      <c r="E13" s="31" t="n"/>
      <c r="F13" s="31" t="n"/>
      <c r="G13" s="31" t="n"/>
      <c r="H13" s="28" t="inlineStr">
        <is>
          <t>criterio de obra</t>
        </is>
      </c>
    </row>
    <row r="14">
      <c r="A14" s="27" t="n">
        <v>4</v>
      </c>
      <c r="B14" s="28" t="inlineStr">
        <is>
          <t>Grava filtrante por lloradero (incluye 10 % de desperdicio)</t>
        </is>
      </c>
      <c r="C14" s="29" t="inlineStr">
        <is>
          <t>m3</t>
        </is>
      </c>
      <c r="D14" s="30">
        <f>0.0297</f>
        <v/>
      </c>
      <c r="E14" s="31" t="n"/>
      <c r="F14" s="31" t="n"/>
      <c r="G14" s="31" t="n"/>
      <c r="H14" s="28" t="inlineStr">
        <is>
          <t>DESAGREGADO LLORADEROS fila 40 (DL-02 A)</t>
        </is>
      </c>
    </row>
    <row r="15">
      <c r="A15" s="27" t="n">
        <v>5</v>
      </c>
      <c r="B15" s="28" t="inlineStr">
        <is>
          <t>Geotextil por lloradero (6 caras + 10 % de traslapes)</t>
        </is>
      </c>
      <c r="C15" s="29" t="inlineStr">
        <is>
          <t>m2</t>
        </is>
      </c>
      <c r="D15" s="30">
        <f>0.594</f>
        <v/>
      </c>
      <c r="E15" s="31" t="n"/>
      <c r="F15" s="31" t="n"/>
      <c r="G15" s="31" t="n"/>
      <c r="H15" s="28" t="inlineStr">
        <is>
          <t>DESAGREGADO LLORADEROS fila 41 (DL-01 etapa 3)</t>
        </is>
      </c>
    </row>
    <row r="16">
      <c r="A16" s="27" t="n">
        <v>6</v>
      </c>
      <c r="B16" s="28" t="inlineStr">
        <is>
          <t>Desperdicio del geotextil (corte del rollo)</t>
        </is>
      </c>
      <c r="C16" s="29" t="inlineStr">
        <is>
          <t>-</t>
        </is>
      </c>
      <c r="D16" s="32" t="n">
        <v>0.05</v>
      </c>
      <c r="E16" s="31" t="n"/>
      <c r="F16" s="31" t="n"/>
      <c r="G16" s="31" t="n"/>
      <c r="H16" s="28" t="inlineStr">
        <is>
          <t>criterio de obra</t>
        </is>
      </c>
    </row>
    <row r="17">
      <c r="A17" s="27" t="n">
        <v>7</v>
      </c>
      <c r="B17" s="28" t="inlineStr">
        <is>
          <t>Mortero 1:3 de sellado alrededor del tubo</t>
        </is>
      </c>
      <c r="C17" s="29" t="inlineStr">
        <is>
          <t>m3</t>
        </is>
      </c>
      <c r="D17" s="30">
        <f>0.0005</f>
        <v/>
      </c>
      <c r="E17" s="31" t="n"/>
      <c r="F17" s="31" t="n"/>
      <c r="G17" s="31" t="n"/>
      <c r="H17" s="28" t="inlineStr">
        <is>
          <t>DESAGREGADO LLORADEROS fila 42 (DL-02)</t>
        </is>
      </c>
    </row>
    <row r="18">
      <c r="A18" s="27" t="n">
        <v>8</v>
      </c>
      <c r="B18" s="28" t="inlineStr">
        <is>
          <t>Cemento por m3 de mortero 1:3</t>
        </is>
      </c>
      <c r="C18" s="29" t="inlineStr">
        <is>
          <t>bol/m3</t>
        </is>
      </c>
      <c r="D18" s="32" t="n">
        <v>10.5</v>
      </c>
      <c r="E18" s="31" t="n"/>
      <c r="F18" s="31" t="n"/>
      <c r="G18" s="31" t="n"/>
      <c r="H18" s="28" t="inlineStr">
        <is>
          <t>dosificacion usual del mortero 1:3</t>
        </is>
      </c>
    </row>
    <row r="19">
      <c r="A19" s="27" t="n">
        <v>9</v>
      </c>
      <c r="B19" s="28" t="inlineStr">
        <is>
          <t>Arena gruesa por m3 de mortero 1:3</t>
        </is>
      </c>
      <c r="C19" s="29" t="inlineStr">
        <is>
          <t>m3/m3</t>
        </is>
      </c>
      <c r="D19" s="32" t="n">
        <v>1.05</v>
      </c>
      <c r="E19" s="31" t="n"/>
      <c r="F19" s="31" t="n"/>
      <c r="G19" s="31" t="n"/>
      <c r="H19" s="28" t="inlineStr">
        <is>
          <t>arena suelta con 5 % de desperdicio</t>
        </is>
      </c>
    </row>
    <row r="20">
      <c r="A20" s="27" t="n">
        <v>10</v>
      </c>
      <c r="B20" s="28" t="inlineStr">
        <is>
          <t>Agua por m3 de mortero 1:3</t>
        </is>
      </c>
      <c r="C20" s="29" t="inlineStr">
        <is>
          <t>m3/m3</t>
        </is>
      </c>
      <c r="D20" s="32" t="n">
        <v>0.27</v>
      </c>
      <c r="E20" s="31" t="n"/>
      <c r="F20" s="31" t="n"/>
      <c r="G20" s="31" t="n"/>
      <c r="H20" s="28" t="inlineStr">
        <is>
          <t>dosificacion usual del mortero 1:3</t>
        </is>
      </c>
    </row>
    <row r="21">
      <c r="A21" s="27" t="n">
        <v>11</v>
      </c>
      <c r="B21" s="28" t="inlineStr">
        <is>
          <t>Rendimiento de la cuadrilla</t>
        </is>
      </c>
      <c r="C21" s="29" t="inlineStr">
        <is>
          <t>und/dia</t>
        </is>
      </c>
      <c r="D21" s="32" t="n">
        <v>24</v>
      </c>
      <c r="E21" s="31" t="n"/>
      <c r="F21" s="31" t="n"/>
      <c r="G21" s="31" t="n"/>
      <c r="H21" s="28" t="inlineStr">
        <is>
          <t>excavacion local de 0.027 m3, forrado, grava y cierre; el tubo se deja al vaciar el muro</t>
        </is>
      </c>
    </row>
    <row r="22">
      <c r="A22" s="27" t="n">
        <v>12</v>
      </c>
      <c r="B22" s="28" t="inlineStr">
        <is>
          <t>Operarios en la cuadrilla</t>
        </is>
      </c>
      <c r="C22" s="29" t="inlineStr">
        <is>
          <t>-</t>
        </is>
      </c>
      <c r="D22" s="32" t="n">
        <v>0.5</v>
      </c>
      <c r="E22" s="31" t="n"/>
      <c r="F22" s="31" t="n"/>
      <c r="G22" s="31" t="n"/>
      <c r="H22" s="28" t="inlineStr">
        <is>
          <t>colocacion del tubo, sellado y control</t>
        </is>
      </c>
    </row>
    <row r="23">
      <c r="A23" s="27" t="n">
        <v>13</v>
      </c>
      <c r="B23" s="28" t="inlineStr">
        <is>
          <t>Peones en la cuadrilla</t>
        </is>
      </c>
      <c r="C23" s="29" t="inlineStr">
        <is>
          <t>-</t>
        </is>
      </c>
      <c r="D23" s="32" t="n">
        <v>1</v>
      </c>
      <c r="E23" s="31" t="n"/>
      <c r="F23" s="31" t="n"/>
      <c r="G23" s="31" t="n"/>
      <c r="H23" s="28" t="inlineStr">
        <is>
          <t>excavacion, grava y relleno</t>
        </is>
      </c>
    </row>
    <row r="24"/>
    <row r="25">
      <c r="A25" s="25" t="inlineStr">
        <is>
          <t>2. ANALISIS DE COSTO UNITARIO (formato Delphin)</t>
        </is>
      </c>
      <c r="B25" s="19" t="n"/>
      <c r="C25" s="19" t="n"/>
      <c r="D25" s="19" t="n"/>
      <c r="E25" s="19" t="n"/>
      <c r="F25" s="19" t="n"/>
      <c r="G25" s="19" t="n"/>
      <c r="H25" s="20" t="n"/>
    </row>
    <row r="26">
      <c r="A26" s="25" t="inlineStr">
        <is>
          <t>Partida</t>
        </is>
      </c>
      <c r="B26" s="20" t="n"/>
      <c r="C26" s="31" t="inlineStr">
        <is>
          <t>01.04.03.04.03.04 LLORADERO DE TUBERIA PVC Ø3" C/FILTRO DE GRAVA Y GEOTEXTIL @1.50 m (CUNETA COLINDANTE CON AREA VERDE)</t>
        </is>
      </c>
      <c r="D26" s="19" t="n"/>
      <c r="E26" s="19" t="n"/>
      <c r="F26" s="19" t="n"/>
      <c r="G26" s="19" t="n"/>
      <c r="H26" s="20" t="n"/>
    </row>
    <row r="27">
      <c r="A27" s="25" t="inlineStr">
        <is>
          <t>Partida del metrado</t>
        </is>
      </c>
      <c r="B27" s="20" t="n"/>
      <c r="C27" s="31" t="inlineStr">
        <is>
          <t>01.04.03.04.03.04 (hojas METRADO LLORADEROS y DESAGREGADO LLORADEROS)</t>
        </is>
      </c>
      <c r="D27" s="19" t="n"/>
      <c r="E27" s="19" t="n"/>
      <c r="F27" s="19" t="n"/>
      <c r="G27" s="19" t="n"/>
      <c r="H27" s="20" t="n"/>
    </row>
    <row r="28">
      <c r="A28" s="25" t="inlineStr">
        <is>
          <t>Unidad</t>
        </is>
      </c>
      <c r="B28" s="20" t="n"/>
      <c r="C28" s="31" t="inlineStr">
        <is>
          <t>und</t>
        </is>
      </c>
      <c r="D28" s="19" t="n"/>
      <c r="E28" s="19" t="n"/>
      <c r="F28" s="19" t="n"/>
      <c r="G28" s="19" t="n"/>
      <c r="H28" s="20" t="n"/>
    </row>
    <row r="29">
      <c r="A29" s="25" t="inlineStr">
        <is>
          <t>Metrado</t>
        </is>
      </c>
      <c r="B29" s="20" t="n"/>
      <c r="C29" s="33">
        <f>'RESUMEN ACU'!D10</f>
        <v/>
      </c>
      <c r="D29" s="19" t="n"/>
      <c r="E29" s="19" t="n"/>
      <c r="F29" s="19" t="n"/>
      <c r="G29" s="19" t="n"/>
      <c r="H29" s="20" t="n"/>
    </row>
    <row r="30">
      <c r="A30" s="25" t="inlineStr">
        <is>
          <t>Rendimiento (und/dia, cuadrilla 0.5 operario + 1 peon)</t>
        </is>
      </c>
      <c r="B30" s="20" t="n"/>
      <c r="C30" s="33">
        <f>$D$21</f>
        <v/>
      </c>
      <c r="D30" s="19" t="n"/>
      <c r="E30" s="19" t="n"/>
      <c r="F30" s="19" t="n"/>
      <c r="G30" s="19" t="n"/>
      <c r="H30" s="20" t="n"/>
    </row>
    <row r="31">
      <c r="A31" s="26" t="inlineStr">
        <is>
          <t>N°</t>
        </is>
      </c>
      <c r="B31" s="26" t="inlineStr">
        <is>
          <t>RECURSO</t>
        </is>
      </c>
      <c r="C31" s="26" t="inlineStr">
        <is>
          <t>UND</t>
        </is>
      </c>
      <c r="D31" s="26" t="inlineStr">
        <is>
          <t>CUADRILLA</t>
        </is>
      </c>
      <c r="E31" s="26" t="inlineStr">
        <is>
          <t>CANTIDAD POR UND</t>
        </is>
      </c>
      <c r="F31" s="26" t="inlineStr">
        <is>
          <t>PRECIO S/</t>
        </is>
      </c>
      <c r="G31" s="26" t="inlineStr">
        <is>
          <t>PARCIAL S/</t>
        </is>
      </c>
      <c r="H31" s="26" t="inlineStr">
        <is>
          <t>FUENTE DEL PRECIO</t>
        </is>
      </c>
    </row>
    <row r="32">
      <c r="A32" s="34" t="n"/>
      <c r="B32" s="25" t="inlineStr">
        <is>
          <t>MANO DE OBRA</t>
        </is>
      </c>
      <c r="C32" s="19" t="n"/>
      <c r="D32" s="19" t="n"/>
      <c r="E32" s="19" t="n"/>
      <c r="F32" s="19" t="n"/>
      <c r="G32" s="19" t="n"/>
      <c r="H32" s="20" t="n"/>
    </row>
    <row r="33">
      <c r="A33" s="27" t="n">
        <v>1</v>
      </c>
      <c r="B33" s="31" t="inlineStr">
        <is>
          <t>Operario</t>
        </is>
      </c>
      <c r="C33" s="29" t="inlineStr">
        <is>
          <t>hh</t>
        </is>
      </c>
      <c r="D33" s="30">
        <f>E33*$C$30/8</f>
        <v/>
      </c>
      <c r="E33" s="30">
        <f>$D$22*8/$D$21</f>
        <v/>
      </c>
      <c r="F33" s="33">
        <f>'COSTO HORA HOMBRE 2026'!$G$11</f>
        <v/>
      </c>
      <c r="G33" s="33">
        <f>E33*F33</f>
        <v/>
      </c>
      <c r="H33" s="28" t="inlineStr">
        <is>
          <t>hoja COSTO HORA HOMBRE 2026 (tabla oficial CAPECO - FTCCP 2026)</t>
        </is>
      </c>
    </row>
    <row r="34">
      <c r="A34" s="27" t="n">
        <v>2</v>
      </c>
      <c r="B34" s="31" t="inlineStr">
        <is>
          <t>Peon</t>
        </is>
      </c>
      <c r="C34" s="29" t="inlineStr">
        <is>
          <t>hh</t>
        </is>
      </c>
      <c r="D34" s="30">
        <f>E34*$C$30/8</f>
        <v/>
      </c>
      <c r="E34" s="30">
        <f>$D$23*8/$D$21</f>
        <v/>
      </c>
      <c r="F34" s="33">
        <f>'COSTO HORA HOMBRE 2026'!$G$13</f>
        <v/>
      </c>
      <c r="G34" s="33">
        <f>E34*F34</f>
        <v/>
      </c>
      <c r="H34" s="28" t="inlineStr">
        <is>
          <t>hoja COSTO HORA HOMBRE 2026 (tabla oficial CAPECO - FTCCP 2026)</t>
        </is>
      </c>
    </row>
    <row r="35">
      <c r="A35" s="34" t="n"/>
      <c r="B35" s="25" t="inlineStr">
        <is>
          <t>Subtotal mano de obra</t>
        </is>
      </c>
      <c r="C35" s="31" t="n"/>
      <c r="D35" s="31" t="n"/>
      <c r="E35" s="31" t="n"/>
      <c r="F35" s="31" t="n"/>
      <c r="G35" s="35">
        <f>SUM(G33:G34)</f>
        <v/>
      </c>
      <c r="H35" s="31" t="n"/>
    </row>
    <row r="36">
      <c r="A36" s="34" t="n"/>
      <c r="B36" s="25" t="inlineStr">
        <is>
          <t>MATERIALES</t>
        </is>
      </c>
      <c r="C36" s="19" t="n"/>
      <c r="D36" s="19" t="n"/>
      <c r="E36" s="19" t="n"/>
      <c r="F36" s="19" t="n"/>
      <c r="G36" s="19" t="n"/>
      <c r="H36" s="20" t="n"/>
    </row>
    <row r="37">
      <c r="A37" s="27" t="n">
        <v>3</v>
      </c>
      <c r="B37" s="31" t="inlineStr">
        <is>
          <t>Tubo PVC-U Ø 3" desague (NTP 399.003)</t>
        </is>
      </c>
      <c r="C37" s="29" t="inlineStr">
        <is>
          <t>m</t>
        </is>
      </c>
      <c r="D37" s="31" t="n"/>
      <c r="E37" s="30">
        <f>$D$12*(1+$D$13)</f>
        <v/>
      </c>
      <c r="F37" s="33">
        <f>39.9/1.18/3</f>
        <v/>
      </c>
      <c r="G37" s="33">
        <f>E37*F37</f>
        <v/>
      </c>
      <c r="H37" s="28" t="inlineStr">
        <is>
          <t>Sodimac Peru y Promart: tubo desague PVC 3" x 3 m liviano Pavco S/ 39.90 con IGV (S/ 11.27 el m sin IGV)</t>
        </is>
      </c>
    </row>
    <row r="38">
      <c r="A38" s="27" t="n">
        <v>4</v>
      </c>
      <c r="B38" s="31" t="inlineStr">
        <is>
          <t>Grava filtrante 20 a 40 mm</t>
        </is>
      </c>
      <c r="C38" s="29" t="inlineStr">
        <is>
          <t>m3</t>
        </is>
      </c>
      <c r="D38" s="31" t="n"/>
      <c r="E38" s="30">
        <f>$D$14</f>
        <v/>
      </c>
      <c r="F38" s="33">
        <f>70.0/1.18</f>
        <v/>
      </c>
      <c r="G38" s="33">
        <f>E38*F38</f>
        <v/>
      </c>
      <c r="H38" s="28" t="inlineStr">
        <is>
          <t>Agregados Tarapoto (Morales): piedra chancada 3/4" S/ 70.00 el m3 puesto en obra (precio publicado mas cercano a la grava 20 a 40 mm)</t>
        </is>
      </c>
    </row>
    <row r="39">
      <c r="A39" s="27" t="n">
        <v>5</v>
      </c>
      <c r="B39" s="31" t="inlineStr">
        <is>
          <t>Geotextil no tejido 200 g/m2</t>
        </is>
      </c>
      <c r="C39" s="29" t="inlineStr">
        <is>
          <t>m2</t>
        </is>
      </c>
      <c r="D39" s="31" t="n"/>
      <c r="E39" s="30">
        <f>$D$15*(1+$D$16)</f>
        <v/>
      </c>
      <c r="F39" s="33">
        <f>2300.0/400/1.18</f>
        <v/>
      </c>
      <c r="G39" s="33">
        <f>E39*F39</f>
        <v/>
      </c>
      <c r="H39" s="28" t="inlineStr">
        <is>
          <t>Ferropolis Peru: geotextil no tejido 200 g/m2, rollo de 4 x 100 m S/ 2,300.00 (S/ 5.75 el m2 con IGV)</t>
        </is>
      </c>
    </row>
    <row r="40">
      <c r="A40" s="27" t="n">
        <v>6</v>
      </c>
      <c r="B40" s="31" t="inlineStr">
        <is>
          <t>Cemento Portland tipo I</t>
        </is>
      </c>
      <c r="C40" s="29" t="inlineStr">
        <is>
          <t>bol</t>
        </is>
      </c>
      <c r="D40" s="31" t="n"/>
      <c r="E40" s="30">
        <f>$D$17*$D$18</f>
        <v/>
      </c>
      <c r="F40" s="33">
        <f>'ACU TAPA REGISTRO'!F42</f>
        <v/>
      </c>
      <c r="G40" s="33">
        <f>E40*F40</f>
        <v/>
      </c>
      <c r="H40" s="28" t="inlineStr">
        <is>
          <t>precio de la ACU TAPA REGISTRO (Cemento Pacasmayo tipo I S/ 36.50 con IGV)</t>
        </is>
      </c>
    </row>
    <row r="41">
      <c r="A41" s="27" t="n">
        <v>7</v>
      </c>
      <c r="B41" s="31" t="inlineStr">
        <is>
          <t>Arena gruesa</t>
        </is>
      </c>
      <c r="C41" s="29" t="inlineStr">
        <is>
          <t>m3</t>
        </is>
      </c>
      <c r="D41" s="31" t="n"/>
      <c r="E41" s="30">
        <f>$D$17*$D$19</f>
        <v/>
      </c>
      <c r="F41" s="33">
        <f>'ACU TAPA REGISTRO'!F43</f>
        <v/>
      </c>
      <c r="G41" s="33">
        <f>E41*F41</f>
        <v/>
      </c>
      <c r="H41" s="28" t="inlineStr">
        <is>
          <t>precio de la ACU TAPA REGISTRO (Agregados Tarapoto, Morales)</t>
        </is>
      </c>
    </row>
    <row r="42">
      <c r="A42" s="27" t="n">
        <v>8</v>
      </c>
      <c r="B42" s="31" t="inlineStr">
        <is>
          <t>Agua</t>
        </is>
      </c>
      <c r="C42" s="29" t="inlineStr">
        <is>
          <t>m3</t>
        </is>
      </c>
      <c r="D42" s="31" t="n"/>
      <c r="E42" s="30">
        <f>$D$17*$D$20</f>
        <v/>
      </c>
      <c r="F42" s="33">
        <f>'ACU TAPA REGISTRO'!F45</f>
        <v/>
      </c>
      <c r="G42" s="33">
        <f>E42*F42</f>
        <v/>
      </c>
      <c r="H42" s="28" t="inlineStr">
        <is>
          <t>precio de la ACU TAPA REGISTRO (EMAPA San Martin)</t>
        </is>
      </c>
    </row>
    <row r="43">
      <c r="A43" s="34" t="n"/>
      <c r="B43" s="25" t="inlineStr">
        <is>
          <t>Subtotal materiales</t>
        </is>
      </c>
      <c r="C43" s="31" t="n"/>
      <c r="D43" s="31" t="n"/>
      <c r="E43" s="31" t="n"/>
      <c r="F43" s="31" t="n"/>
      <c r="G43" s="35">
        <f>SUM(G37:G42)</f>
        <v/>
      </c>
      <c r="H43" s="31" t="n"/>
    </row>
    <row r="44">
      <c r="A44" s="34" t="n"/>
      <c r="B44" s="25" t="inlineStr">
        <is>
          <t>EQUIPOS</t>
        </is>
      </c>
      <c r="C44" s="19" t="n"/>
      <c r="D44" s="19" t="n"/>
      <c r="E44" s="19" t="n"/>
      <c r="F44" s="19" t="n"/>
      <c r="G44" s="19" t="n"/>
      <c r="H44" s="20" t="n"/>
    </row>
    <row r="45">
      <c r="A45" s="27" t="n">
        <v>9</v>
      </c>
      <c r="B45" s="31" t="inlineStr">
        <is>
          <t>Herramientas manuales</t>
        </is>
      </c>
      <c r="C45" s="29" t="inlineStr">
        <is>
          <t>%mo</t>
        </is>
      </c>
      <c r="D45" s="31" t="n"/>
      <c r="E45" s="36" t="n">
        <v>0.03</v>
      </c>
      <c r="F45" s="33">
        <f>+G35</f>
        <v/>
      </c>
      <c r="G45" s="33">
        <f>E45*F45</f>
        <v/>
      </c>
      <c r="H45" s="28" t="inlineStr">
        <is>
          <t>3 % del costo de mano de obra (pala, pico, barreta, sierra para PVC y taladro para las perforaciones)</t>
        </is>
      </c>
    </row>
    <row r="46">
      <c r="A46" s="34" t="n"/>
      <c r="B46" s="25" t="inlineStr">
        <is>
          <t>Subtotal equipos</t>
        </is>
      </c>
      <c r="C46" s="31" t="n"/>
      <c r="D46" s="31" t="n"/>
      <c r="E46" s="31" t="n"/>
      <c r="F46" s="31" t="n"/>
      <c r="G46" s="35">
        <f>SUM(G45:G45)</f>
        <v/>
      </c>
      <c r="H46" s="31" t="n"/>
    </row>
    <row r="47">
      <c r="A47" s="25" t="inlineStr">
        <is>
          <t>COSTO UNITARIO DIRECTO (S/ por und)</t>
        </is>
      </c>
      <c r="B47" s="19" t="n"/>
      <c r="C47" s="19" t="n"/>
      <c r="D47" s="19" t="n"/>
      <c r="E47" s="19" t="n"/>
      <c r="F47" s="20" t="n"/>
      <c r="G47" s="35">
        <f>+G35+G43+G46</f>
        <v/>
      </c>
      <c r="H47" s="31" t="n"/>
    </row>
    <row r="48">
      <c r="A48" s="25" t="inlineStr">
        <is>
          <t>COSTO DIRECTO DE LA PARTIDA (metrado x costo unitario, S/)</t>
        </is>
      </c>
      <c r="B48" s="19" t="n"/>
      <c r="C48" s="19" t="n"/>
      <c r="D48" s="19" t="n"/>
      <c r="E48" s="19" t="n"/>
      <c r="F48" s="20" t="n"/>
      <c r="G48" s="35">
        <f>G47*C29</f>
        <v/>
      </c>
      <c r="H48" s="31" t="n"/>
    </row>
  </sheetData>
  <mergeCells count="27">
    <mergeCell ref="A9:H9"/>
    <mergeCell ref="A30:B30"/>
    <mergeCell ref="A1:H1"/>
    <mergeCell ref="B36:H36"/>
    <mergeCell ref="B32:H32"/>
    <mergeCell ref="C2:H2"/>
    <mergeCell ref="A47:F47"/>
    <mergeCell ref="A7:H7"/>
    <mergeCell ref="A25:H25"/>
    <mergeCell ref="C27:H27"/>
    <mergeCell ref="A27:B27"/>
    <mergeCell ref="A3:B3"/>
    <mergeCell ref="A26:B26"/>
    <mergeCell ref="A2:B2"/>
    <mergeCell ref="C28:H28"/>
    <mergeCell ref="A5:B5"/>
    <mergeCell ref="C3:H3"/>
    <mergeCell ref="A48:F48"/>
    <mergeCell ref="C30:H30"/>
    <mergeCell ref="A4:B4"/>
    <mergeCell ref="A29:B29"/>
    <mergeCell ref="C5:H5"/>
    <mergeCell ref="B44:H44"/>
    <mergeCell ref="A28:B28"/>
    <mergeCell ref="C4:H4"/>
    <mergeCell ref="C26:H26"/>
    <mergeCell ref="C29:H29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44" customWidth="1" min="8" max="8"/>
  </cols>
  <sheetData>
    <row r="1">
      <c r="A1" s="18" t="inlineStr">
        <is>
          <t>ANALISIS DE COSTO UNITARIO - TAPA DE REGISTRO CIEGA DE CONCRETO ARMADO 0.68x0.68x0.08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Partida de Delphin 01.04.04.06.05.01 TAPA DE REGISTRO CIEGA DE CONCRETO ARMADO 0.68x0.68x0.08 (metrado 01.04.04.05.01, hojas COLECTOR REGISTROS Y TAPAS y COLECTOR ACERO). Tapa ciega de concreto armado vaciada aparte en obra sobre tablero, con parrilla 3/8" @0.10, 2 asas de fierro liso 1/2" en cajuelas y cantos biselados; se coloca en el rebaje de concreto de 0.70 x 0.70 x 0.08 de la losa (el rebaje y el borde engrosado se metran con el concreto del colector). Incluye el refuerzo de borde de la abertura (2 barras de 1/2" por lado). Sin marco ni contramarco metalico. Celda amarilla = dato; verde = formula. Precios sin IGV.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1. CANTIDADES POR TAPA (hojas COLECTOR PARAMETROS, COLECTOR REGISTROS Y TAPAS y COLECTOR ACERO)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CONCEPTO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28" t="inlineStr">
        <is>
          <t>Numero de tapas (registros)</t>
        </is>
      </c>
      <c r="C11" s="29" t="inlineStr">
        <is>
          <t>und</t>
        </is>
      </c>
      <c r="D11" s="30">
        <f>10</f>
        <v/>
      </c>
      <c r="E11" s="31" t="n"/>
      <c r="F11" s="31" t="n"/>
      <c r="G11" s="31" t="n"/>
      <c r="H11" s="28" t="inlineStr">
        <is>
          <t>COLECTOR REGISTROS Y TAPAS</t>
        </is>
      </c>
    </row>
    <row r="12">
      <c r="A12" s="27" t="n">
        <v>2</v>
      </c>
      <c r="B12" s="28" t="inlineStr">
        <is>
          <t>Concreto f'c=210 por tapa: 0.68 x 0.68 x 0.08</t>
        </is>
      </c>
      <c r="C12" s="29" t="inlineStr">
        <is>
          <t>m3</t>
        </is>
      </c>
      <c r="D12" s="30">
        <f>0.68^2*0.08</f>
        <v/>
      </c>
      <c r="E12" s="31" t="n"/>
      <c r="F12" s="31" t="n"/>
      <c r="G12" s="31" t="n"/>
      <c r="H12" s="28" t="inlineStr">
        <is>
          <t>DP-06B rev. 02</t>
        </is>
      </c>
    </row>
    <row r="13">
      <c r="A13" s="27" t="n">
        <v>3</v>
      </c>
      <c r="B13" s="28" t="inlineStr">
        <is>
          <t>Encofrado lateral por tapa: 4 x 0.68 x 0.08 (molde de madera)</t>
        </is>
      </c>
      <c r="C13" s="29" t="inlineStr">
        <is>
          <t>m2</t>
        </is>
      </c>
      <c r="D13" s="30">
        <f>2.72*0.08</f>
        <v/>
      </c>
      <c r="E13" s="31" t="n"/>
      <c r="F13" s="31" t="n"/>
      <c r="G13" s="31" t="n"/>
      <c r="H13" s="28" t="inlineStr">
        <is>
          <t>DP-06B rev. 02</t>
        </is>
      </c>
    </row>
    <row r="14">
      <c r="A14" s="27" t="n">
        <v>4</v>
      </c>
      <c r="B14" s="28" t="inlineStr">
        <is>
          <t>Tablero de vaciado: 0.80 x 0.80 x 1" = 6.89 p2 en 6 usos</t>
        </is>
      </c>
      <c r="C14" s="29" t="inlineStr">
        <is>
          <t>p2</t>
        </is>
      </c>
      <c r="D14" s="32" t="n">
        <v>1.15</v>
      </c>
      <c r="E14" s="31" t="n"/>
      <c r="F14" s="31" t="n"/>
      <c r="G14" s="31" t="n"/>
      <c r="H14" s="28" t="inlineStr">
        <is>
          <t>criterio de obra</t>
        </is>
      </c>
    </row>
    <row r="15">
      <c r="A15" s="27" t="n">
        <v>5</v>
      </c>
      <c r="B15" s="28" t="inlineStr">
        <is>
          <t>Acero 3/8" de la parrilla por tapa (7 + 7 barras, L = 0.62)</t>
        </is>
      </c>
      <c r="C15" s="29" t="inlineStr">
        <is>
          <t>kg</t>
        </is>
      </c>
      <c r="D15" s="30">
        <f>48.608/10</f>
        <v/>
      </c>
      <c r="E15" s="31" t="n"/>
      <c r="F15" s="31" t="n"/>
      <c r="G15" s="31" t="n"/>
      <c r="H15" s="28" t="inlineStr">
        <is>
          <t>COLECTOR ACERO</t>
        </is>
      </c>
    </row>
    <row r="16">
      <c r="A16" s="27" t="n">
        <v>6</v>
      </c>
      <c r="B16" s="28" t="inlineStr">
        <is>
          <t>Acero 1/2" de borde de la abertura por registro (8 barras, L = 1.40)</t>
        </is>
      </c>
      <c r="C16" s="29" t="inlineStr">
        <is>
          <t>kg</t>
        </is>
      </c>
      <c r="D16" s="30">
        <f>111.328/10</f>
        <v/>
      </c>
      <c r="E16" s="31" t="n"/>
      <c r="F16" s="31" t="n"/>
      <c r="G16" s="31" t="n"/>
      <c r="H16" s="28" t="inlineStr">
        <is>
          <t>COLECTOR ACERO</t>
        </is>
      </c>
    </row>
    <row r="17">
      <c r="A17" s="27" t="n">
        <v>7</v>
      </c>
      <c r="B17" s="28" t="inlineStr">
        <is>
          <t>Fierro liso 1/2" de las 2 asas por tapa (desarrollo 0.50 c/u)</t>
        </is>
      </c>
      <c r="C17" s="29" t="inlineStr">
        <is>
          <t>kg</t>
        </is>
      </c>
      <c r="D17" s="30">
        <f>9.94/10</f>
        <v/>
      </c>
      <c r="E17" s="31" t="n"/>
      <c r="F17" s="31" t="n"/>
      <c r="G17" s="31" t="n"/>
      <c r="H17" s="28" t="inlineStr">
        <is>
          <t>COLECTOR ACERO</t>
        </is>
      </c>
    </row>
    <row r="18">
      <c r="A18" s="27" t="n">
        <v>8</v>
      </c>
      <c r="B18" s="28" t="inlineStr">
        <is>
          <t>Desperdicio de acero</t>
        </is>
      </c>
      <c r="C18" s="29" t="inlineStr">
        <is>
          <t>-</t>
        </is>
      </c>
      <c r="D18" s="32" t="n">
        <v>0.05</v>
      </c>
      <c r="E18" s="31" t="n"/>
      <c r="F18" s="31" t="n"/>
      <c r="G18" s="31" t="n"/>
      <c r="H18" s="28" t="inlineStr">
        <is>
          <t>criterio</t>
        </is>
      </c>
    </row>
    <row r="19">
      <c r="A19" s="27" t="n">
        <v>9</v>
      </c>
      <c r="B19" s="28" t="inlineStr">
        <is>
          <t>Cemento por m3 de concreto f'c=210</t>
        </is>
      </c>
      <c r="C19" s="29" t="inlineStr">
        <is>
          <t>bol/m3</t>
        </is>
      </c>
      <c r="D19" s="30">
        <f>9.73</f>
        <v/>
      </c>
      <c r="E19" s="31" t="n"/>
      <c r="F19" s="31" t="n"/>
      <c r="G19" s="31" t="n"/>
      <c r="H19" s="28" t="inlineStr">
        <is>
          <t>COLECTOR INSUMOS (diseno de mezcla)</t>
        </is>
      </c>
    </row>
    <row r="20">
      <c r="A20" s="27" t="n">
        <v>10</v>
      </c>
      <c r="B20" s="28" t="inlineStr">
        <is>
          <t>Arena gruesa por m3</t>
        </is>
      </c>
      <c r="C20" s="29" t="inlineStr">
        <is>
          <t>m3/m3</t>
        </is>
      </c>
      <c r="D20" s="30">
        <f>0.52</f>
        <v/>
      </c>
      <c r="E20" s="31" t="n"/>
      <c r="F20" s="31" t="n"/>
      <c r="G20" s="31" t="n"/>
      <c r="H20" s="28" t="inlineStr">
        <is>
          <t>COLECTOR INSUMOS</t>
        </is>
      </c>
    </row>
    <row r="21">
      <c r="A21" s="27" t="n">
        <v>11</v>
      </c>
      <c r="B21" s="28" t="inlineStr">
        <is>
          <t>Piedra chancada 1/2" por m3</t>
        </is>
      </c>
      <c r="C21" s="29" t="inlineStr">
        <is>
          <t>m3/m3</t>
        </is>
      </c>
      <c r="D21" s="30">
        <f>0.53</f>
        <v/>
      </c>
      <c r="E21" s="31" t="n"/>
      <c r="F21" s="31" t="n"/>
      <c r="G21" s="31" t="n"/>
      <c r="H21" s="28" t="inlineStr">
        <is>
          <t>COLECTOR INSUMOS</t>
        </is>
      </c>
    </row>
    <row r="22">
      <c r="A22" s="27" t="n">
        <v>12</v>
      </c>
      <c r="B22" s="28" t="inlineStr">
        <is>
          <t>Agua por m3 (mezcla) + curado de la tapa (0.01 m3)</t>
        </is>
      </c>
      <c r="C22" s="29" t="inlineStr">
        <is>
          <t>m3/m3</t>
        </is>
      </c>
      <c r="D22" s="30">
        <f>0.186</f>
        <v/>
      </c>
      <c r="E22" s="31" t="n"/>
      <c r="F22" s="31" t="n"/>
      <c r="G22" s="31" t="n"/>
      <c r="H22" s="28" t="inlineStr">
        <is>
          <t>COLECTOR INSUMOS</t>
        </is>
      </c>
    </row>
    <row r="23">
      <c r="A23" s="27" t="n">
        <v>13</v>
      </c>
      <c r="B23" s="28" t="inlineStr">
        <is>
          <t>Mano de obra del concreto: operario / oficial / peon por m3</t>
        </is>
      </c>
      <c r="C23" s="29" t="inlineStr">
        <is>
          <t>hh/m3</t>
        </is>
      </c>
      <c r="D23" s="30">
        <f>0.8</f>
        <v/>
      </c>
      <c r="E23" s="31" t="n"/>
      <c r="F23" s="31" t="n"/>
      <c r="G23" s="31" t="n"/>
      <c r="H23" s="28" t="inlineStr">
        <is>
          <t>COLECTOR INSUMOS (0.8 / 0.8 / 6.4)</t>
        </is>
      </c>
    </row>
    <row r="24">
      <c r="A24" s="27" t="n">
        <v>14</v>
      </c>
      <c r="B24" s="28" t="inlineStr">
        <is>
          <t>Peon por m3 de concreto</t>
        </is>
      </c>
      <c r="C24" s="29" t="inlineStr">
        <is>
          <t>hh/m3</t>
        </is>
      </c>
      <c r="D24" s="30">
        <f>6.4</f>
        <v/>
      </c>
      <c r="E24" s="31" t="n"/>
      <c r="F24" s="31" t="n"/>
      <c r="G24" s="31" t="n"/>
      <c r="H24" s="28" t="inlineStr">
        <is>
          <t>COLECTOR INSUMOS</t>
        </is>
      </c>
    </row>
    <row r="25">
      <c r="A25" s="27" t="n">
        <v>15</v>
      </c>
      <c r="B25" s="28" t="inlineStr">
        <is>
          <t>Mano de obra del acero: operario / oficial por kg</t>
        </is>
      </c>
      <c r="C25" s="29" t="inlineStr">
        <is>
          <t>hh/kg</t>
        </is>
      </c>
      <c r="D25" s="30">
        <f>0.032</f>
        <v/>
      </c>
      <c r="E25" s="31" t="n"/>
      <c r="F25" s="31" t="n"/>
      <c r="G25" s="31" t="n"/>
      <c r="H25" s="28" t="inlineStr">
        <is>
          <t>COLECTOR INSUMOS</t>
        </is>
      </c>
    </row>
    <row r="26">
      <c r="A26" s="27" t="n">
        <v>16</v>
      </c>
      <c r="B26" s="28" t="inlineStr">
        <is>
          <t>Mano de obra del encofrado: operario / oficial por m2</t>
        </is>
      </c>
      <c r="C26" s="29" t="inlineStr">
        <is>
          <t>hh/m2</t>
        </is>
      </c>
      <c r="D26" s="32" t="n">
        <v>0.8</v>
      </c>
      <c r="E26" s="31" t="n"/>
      <c r="F26" s="31" t="n"/>
      <c r="G26" s="31" t="n"/>
      <c r="H26" s="28" t="inlineStr">
        <is>
          <t>COLECTOR INSUMOS (encofrado)</t>
        </is>
      </c>
    </row>
    <row r="27">
      <c r="A27" s="27" t="n">
        <v>17</v>
      </c>
      <c r="B27" s="28" t="inlineStr">
        <is>
          <t>Colocacion de la tapa en el rebaje: operario + peon</t>
        </is>
      </c>
      <c r="C27" s="29" t="inlineStr">
        <is>
          <t>hh/und</t>
        </is>
      </c>
      <c r="D27" s="32" t="n">
        <v>1</v>
      </c>
      <c r="E27" s="31" t="n"/>
      <c r="F27" s="31" t="n"/>
      <c r="G27" s="31" t="n"/>
      <c r="H27" s="28" t="inlineStr">
        <is>
          <t>criterio de obra: 1 hh por tapa</t>
        </is>
      </c>
    </row>
    <row r="28"/>
    <row r="29">
      <c r="A29" s="25" t="inlineStr">
        <is>
          <t>2. ANALISIS DE COSTO UNITARIO (formato Delphin)</t>
        </is>
      </c>
      <c r="B29" s="19" t="n"/>
      <c r="C29" s="19" t="n"/>
      <c r="D29" s="19" t="n"/>
      <c r="E29" s="19" t="n"/>
      <c r="F29" s="19" t="n"/>
      <c r="G29" s="19" t="n"/>
      <c r="H29" s="20" t="n"/>
    </row>
    <row r="30">
      <c r="A30" s="25" t="inlineStr">
        <is>
          <t>Partida</t>
        </is>
      </c>
      <c r="B30" s="20" t="n"/>
      <c r="C30" s="31" t="inlineStr">
        <is>
          <t>01.04.04.06.05.01 TAPA DE REGISTRO CIEGA DE CONCRETO ARMADO 0.68x0.68x0.08</t>
        </is>
      </c>
      <c r="D30" s="19" t="n"/>
      <c r="E30" s="19" t="n"/>
      <c r="F30" s="19" t="n"/>
      <c r="G30" s="19" t="n"/>
      <c r="H30" s="20" t="n"/>
    </row>
    <row r="31">
      <c r="A31" s="25" t="inlineStr">
        <is>
          <t>Partida del metrado</t>
        </is>
      </c>
      <c r="B31" s="20" t="n"/>
      <c r="C31" s="31" t="inlineStr">
        <is>
          <t>01.04.04.05.01 (hoja COLECTOR REGISTROS Y TAPAS)</t>
        </is>
      </c>
      <c r="D31" s="19" t="n"/>
      <c r="E31" s="19" t="n"/>
      <c r="F31" s="19" t="n"/>
      <c r="G31" s="19" t="n"/>
      <c r="H31" s="20" t="n"/>
    </row>
    <row r="32">
      <c r="A32" s="25" t="inlineStr">
        <is>
          <t>Unidad</t>
        </is>
      </c>
      <c r="B32" s="20" t="n"/>
      <c r="C32" s="31" t="inlineStr">
        <is>
          <t>und</t>
        </is>
      </c>
      <c r="D32" s="19" t="n"/>
      <c r="E32" s="19" t="n"/>
      <c r="F32" s="19" t="n"/>
      <c r="G32" s="19" t="n"/>
      <c r="H32" s="20" t="n"/>
    </row>
    <row r="33">
      <c r="A33" s="25" t="inlineStr">
        <is>
          <t>Metrado</t>
        </is>
      </c>
      <c r="B33" s="20" t="n"/>
      <c r="C33" s="33">
        <f>'RESUMEN ACU'!D14</f>
        <v/>
      </c>
      <c r="D33" s="19" t="n"/>
      <c r="E33" s="19" t="n"/>
      <c r="F33" s="19" t="n"/>
      <c r="G33" s="19" t="n"/>
      <c r="H33" s="20" t="n"/>
    </row>
    <row r="34">
      <c r="A34" s="25" t="inlineStr">
        <is>
          <t>Rendimiento (und/dia, cuadrilla de 1 operario)</t>
        </is>
      </c>
      <c r="B34" s="20" t="n"/>
      <c r="C34" s="33">
        <f>8/E37</f>
        <v/>
      </c>
      <c r="D34" s="19" t="n"/>
      <c r="E34" s="19" t="n"/>
      <c r="F34" s="19" t="n"/>
      <c r="G34" s="19" t="n"/>
      <c r="H34" s="20" t="n"/>
    </row>
    <row r="35">
      <c r="A35" s="26" t="inlineStr">
        <is>
          <t>N°</t>
        </is>
      </c>
      <c r="B35" s="26" t="inlineStr">
        <is>
          <t>RECURSO</t>
        </is>
      </c>
      <c r="C35" s="26" t="inlineStr">
        <is>
          <t>UND</t>
        </is>
      </c>
      <c r="D35" s="26" t="inlineStr">
        <is>
          <t>CUADRILLA</t>
        </is>
      </c>
      <c r="E35" s="26" t="inlineStr">
        <is>
          <t>CANTIDAD POR TAPA</t>
        </is>
      </c>
      <c r="F35" s="26" t="inlineStr">
        <is>
          <t>PRECIO S/</t>
        </is>
      </c>
      <c r="G35" s="26" t="inlineStr">
        <is>
          <t>PARCIAL S/</t>
        </is>
      </c>
      <c r="H35" s="26" t="inlineStr">
        <is>
          <t>FUENTE DEL PRECIO</t>
        </is>
      </c>
    </row>
    <row r="36">
      <c r="A36" s="34" t="n"/>
      <c r="B36" s="25" t="inlineStr">
        <is>
          <t>MANO DE OBRA</t>
        </is>
      </c>
      <c r="C36" s="19" t="n"/>
      <c r="D36" s="19" t="n"/>
      <c r="E36" s="19" t="n"/>
      <c r="F36" s="19" t="n"/>
      <c r="G36" s="19" t="n"/>
      <c r="H36" s="20" t="n"/>
    </row>
    <row r="37">
      <c r="A37" s="27" t="n">
        <v>1</v>
      </c>
      <c r="B37" s="31" t="inlineStr">
        <is>
          <t>Operario</t>
        </is>
      </c>
      <c r="C37" s="29" t="inlineStr">
        <is>
          <t>hh</t>
        </is>
      </c>
      <c r="D37" s="30">
        <f>E37*$C$34/8</f>
        <v/>
      </c>
      <c r="E37" s="30">
        <f>$D$12*$D$23+($D$15+$D$16+$D$17)*$D$25+$D$13*$D$26+$D$27</f>
        <v/>
      </c>
      <c r="F37" s="33">
        <f>'COSTO HORA HOMBRE 2026'!$G$11</f>
        <v/>
      </c>
      <c r="G37" s="33">
        <f>E37*F37</f>
        <v/>
      </c>
      <c r="H37" s="28" t="inlineStr">
        <is>
          <t>hoja COSTO HORA HOMBRE 2026 (tabla oficial CAPECO - FTCCP 2026)</t>
        </is>
      </c>
    </row>
    <row r="38">
      <c r="A38" s="27" t="n">
        <v>2</v>
      </c>
      <c r="B38" s="31" t="inlineStr">
        <is>
          <t>Oficial</t>
        </is>
      </c>
      <c r="C38" s="29" t="inlineStr">
        <is>
          <t>hh</t>
        </is>
      </c>
      <c r="D38" s="30">
        <f>E38*$C$34/8</f>
        <v/>
      </c>
      <c r="E38" s="30">
        <f>$D$12*$D$23+($D$15+$D$16+$D$17)*$D$25+$D$13*$D$26</f>
        <v/>
      </c>
      <c r="F38" s="33">
        <f>'COSTO HORA HOMBRE 2026'!$G$12</f>
        <v/>
      </c>
      <c r="G38" s="33">
        <f>E38*F38</f>
        <v/>
      </c>
      <c r="H38" s="28" t="inlineStr">
        <is>
          <t>hoja COSTO HORA HOMBRE 2026 (tabla oficial CAPECO - FTCCP 2026)</t>
        </is>
      </c>
    </row>
    <row r="39">
      <c r="A39" s="27" t="n">
        <v>3</v>
      </c>
      <c r="B39" s="31" t="inlineStr">
        <is>
          <t>Peon</t>
        </is>
      </c>
      <c r="C39" s="29" t="inlineStr">
        <is>
          <t>hh</t>
        </is>
      </c>
      <c r="D39" s="30">
        <f>E39*$C$34/8</f>
        <v/>
      </c>
      <c r="E39" s="30">
        <f>$D$12*$D$24+$D$27</f>
        <v/>
      </c>
      <c r="F39" s="33">
        <f>'COSTO HORA HOMBRE 2026'!$G$13</f>
        <v/>
      </c>
      <c r="G39" s="33">
        <f>E39*F39</f>
        <v/>
      </c>
      <c r="H39" s="28" t="inlineStr">
        <is>
          <t>hoja COSTO HORA HOMBRE 2026 (tabla oficial CAPECO - FTCCP 2026)</t>
        </is>
      </c>
    </row>
    <row r="40">
      <c r="A40" s="34" t="n"/>
      <c r="B40" s="25" t="inlineStr">
        <is>
          <t>Subtotal mano de obra</t>
        </is>
      </c>
      <c r="C40" s="31" t="n"/>
      <c r="D40" s="31" t="n"/>
      <c r="E40" s="31" t="n"/>
      <c r="F40" s="31" t="n"/>
      <c r="G40" s="35">
        <f>SUM(G37:G39)</f>
        <v/>
      </c>
      <c r="H40" s="31" t="n"/>
    </row>
    <row r="41">
      <c r="A41" s="34" t="n"/>
      <c r="B41" s="25" t="inlineStr">
        <is>
          <t>MATERIALES</t>
        </is>
      </c>
      <c r="C41" s="19" t="n"/>
      <c r="D41" s="19" t="n"/>
      <c r="E41" s="19" t="n"/>
      <c r="F41" s="19" t="n"/>
      <c r="G41" s="19" t="n"/>
      <c r="H41" s="20" t="n"/>
    </row>
    <row r="42">
      <c r="A42" s="27" t="n">
        <v>4</v>
      </c>
      <c r="B42" s="31" t="inlineStr">
        <is>
          <t>Cemento Portland tipo I</t>
        </is>
      </c>
      <c r="C42" s="29" t="inlineStr">
        <is>
          <t>bol</t>
        </is>
      </c>
      <c r="D42" s="31" t="n"/>
      <c r="E42" s="30">
        <f>$D$12*$D$19</f>
        <v/>
      </c>
      <c r="F42" s="37" t="n">
        <v>30.93</v>
      </c>
      <c r="G42" s="33">
        <f>E42*F42</f>
        <v/>
      </c>
      <c r="H42" s="28" t="inlineStr">
        <is>
          <t>Cemento Pacasmayo tipo I 42.5 kg: S/ 36.50 con IGV</t>
        </is>
      </c>
    </row>
    <row r="43">
      <c r="A43" s="27" t="n">
        <v>5</v>
      </c>
      <c r="B43" s="31" t="inlineStr">
        <is>
          <t>Arena gruesa</t>
        </is>
      </c>
      <c r="C43" s="29" t="inlineStr">
        <is>
          <t>m3</t>
        </is>
      </c>
      <c r="D43" s="31" t="n"/>
      <c r="E43" s="30">
        <f>$D$12*$D$20</f>
        <v/>
      </c>
      <c r="F43" s="37" t="n">
        <v>40.68</v>
      </c>
      <c r="G43" s="33">
        <f>E43*F43</f>
        <v/>
      </c>
      <c r="H43" s="28" t="inlineStr">
        <is>
          <t>Agregados Tarapoto (Morales): S/ 48.00 el m3</t>
        </is>
      </c>
    </row>
    <row r="44">
      <c r="A44" s="27" t="n">
        <v>6</v>
      </c>
      <c r="B44" s="31" t="inlineStr">
        <is>
          <t>Piedra chancada 1/2"</t>
        </is>
      </c>
      <c r="C44" s="29" t="inlineStr">
        <is>
          <t>m3</t>
        </is>
      </c>
      <c r="D44" s="31" t="n"/>
      <c r="E44" s="30">
        <f>$D$12*$D$21</f>
        <v/>
      </c>
      <c r="F44" s="37" t="n">
        <v>101.69</v>
      </c>
      <c r="G44" s="33">
        <f>E44*F44</f>
        <v/>
      </c>
      <c r="H44" s="28" t="inlineStr">
        <is>
          <t>Por cotizar en Tarapoto: no hay precio publicado de la piedra de 1/2"</t>
        </is>
      </c>
    </row>
    <row r="45">
      <c r="A45" s="27" t="n">
        <v>7</v>
      </c>
      <c r="B45" s="31" t="inlineStr">
        <is>
          <t>Agua</t>
        </is>
      </c>
      <c r="C45" s="29" t="inlineStr">
        <is>
          <t>m3</t>
        </is>
      </c>
      <c r="D45" s="31" t="n"/>
      <c r="E45" s="30">
        <f>$D$12*$D$22+0.01</f>
        <v/>
      </c>
      <c r="F45" s="37" t="n">
        <v>8.33</v>
      </c>
      <c r="G45" s="33">
        <f>E45*F45</f>
        <v/>
      </c>
      <c r="H45" s="28" t="inlineStr">
        <is>
          <t>EMAPA San Martin: tarifa comercial de 30 m3 a mas, agua 6.80 + alcantarillado 1.53</t>
        </is>
      </c>
    </row>
    <row r="46">
      <c r="A46" s="27" t="n">
        <v>8</v>
      </c>
      <c r="B46" s="31" t="inlineStr">
        <is>
          <t>Madera tornillo</t>
        </is>
      </c>
      <c r="C46" s="29" t="inlineStr">
        <is>
          <t>p2</t>
        </is>
      </c>
      <c r="D46" s="31" t="n"/>
      <c r="E46" s="30">
        <f>$D$13*4.24/6+$D$14</f>
        <v/>
      </c>
      <c r="F46" s="37" t="n">
        <v>4.41</v>
      </c>
      <c r="G46" s="33">
        <f>E46*F46</f>
        <v/>
      </c>
      <c r="H46" s="28" t="inlineStr">
        <is>
          <t>Maderas del Norte: S/ 5.20 el p2 con IGV</t>
        </is>
      </c>
    </row>
    <row r="47">
      <c r="A47" s="27" t="n">
        <v>9</v>
      </c>
      <c r="B47" s="31" t="inlineStr">
        <is>
          <t>Acero corrugado fy=4200</t>
        </is>
      </c>
      <c r="C47" s="29" t="inlineStr">
        <is>
          <t>kg</t>
        </is>
      </c>
      <c r="D47" s="31" t="n"/>
      <c r="E47" s="30">
        <f>($D$15+$D$16)*(1+$D$18)</f>
        <v/>
      </c>
      <c r="F47" s="37" t="n">
        <v>3.44</v>
      </c>
      <c r="G47" s="33">
        <f>E47*F47</f>
        <v/>
      </c>
      <c r="H47" s="28" t="inlineStr">
        <is>
          <t>Sodimac Peru, Aceros Arequipa: 1/2" x 9 m S/ 36.50 y 3/8" x 9 m S/ 20.35 con IGV (ponderado)</t>
        </is>
      </c>
    </row>
    <row r="48">
      <c r="A48" s="27" t="n">
        <v>10</v>
      </c>
      <c r="B48" s="31" t="inlineStr">
        <is>
          <t>Fierro liso 1/2" (asas)</t>
        </is>
      </c>
      <c r="C48" s="29" t="inlineStr">
        <is>
          <t>kg</t>
        </is>
      </c>
      <c r="D48" s="31" t="n"/>
      <c r="E48" s="30">
        <f>$D$17*(1+$D$18)</f>
        <v/>
      </c>
      <c r="F48" s="37" t="n">
        <v>3.44</v>
      </c>
      <c r="G48" s="33">
        <f>E48*F48</f>
        <v/>
      </c>
      <c r="H48" s="28" t="inlineStr">
        <is>
          <t>mismo precio por kg del acero corrugado (referencial): Sodimac Peru, Aceros Arequipa: 1/2" x 9 m S/ 36.50 y 3/8" x 9 m S/ 20.35 con IGV (ponderado)</t>
        </is>
      </c>
    </row>
    <row r="49">
      <c r="A49" s="27" t="n">
        <v>11</v>
      </c>
      <c r="B49" s="31" t="inlineStr">
        <is>
          <t>Alambre negro N 16</t>
        </is>
      </c>
      <c r="C49" s="29" t="inlineStr">
        <is>
          <t>kg</t>
        </is>
      </c>
      <c r="D49" s="31" t="n"/>
      <c r="E49" s="30">
        <f>($D$15+$D$16+$D$17)*0.06</f>
        <v/>
      </c>
      <c r="F49" s="37" t="n">
        <v>5.08</v>
      </c>
      <c r="G49" s="33">
        <f>E49*F49</f>
        <v/>
      </c>
      <c r="H49" s="28" t="inlineStr">
        <is>
          <t>Sodimac Peru: rollo de 10 kg S/ 59.90 con IGV</t>
        </is>
      </c>
    </row>
    <row r="50">
      <c r="A50" s="34" t="n"/>
      <c r="B50" s="25" t="inlineStr">
        <is>
          <t>Subtotal materiales</t>
        </is>
      </c>
      <c r="C50" s="31" t="n"/>
      <c r="D50" s="31" t="n"/>
      <c r="E50" s="31" t="n"/>
      <c r="F50" s="31" t="n"/>
      <c r="G50" s="35">
        <f>SUM(G42:G49)</f>
        <v/>
      </c>
      <c r="H50" s="31" t="n"/>
    </row>
    <row r="51">
      <c r="A51" s="34" t="n"/>
      <c r="B51" s="25" t="inlineStr">
        <is>
          <t>EQUIPOS</t>
        </is>
      </c>
      <c r="C51" s="19" t="n"/>
      <c r="D51" s="19" t="n"/>
      <c r="E51" s="19" t="n"/>
      <c r="F51" s="19" t="n"/>
      <c r="G51" s="19" t="n"/>
      <c r="H51" s="20" t="n"/>
    </row>
    <row r="52">
      <c r="A52" s="27" t="n">
        <v>12</v>
      </c>
      <c r="B52" s="31" t="inlineStr">
        <is>
          <t>Herramientas manuales</t>
        </is>
      </c>
      <c r="C52" s="29" t="inlineStr">
        <is>
          <t>%mo</t>
        </is>
      </c>
      <c r="D52" s="31" t="n"/>
      <c r="E52" s="36" t="n">
        <v>0.03</v>
      </c>
      <c r="F52" s="33">
        <f>+G40</f>
        <v/>
      </c>
      <c r="G52" s="33">
        <f>E52*F52</f>
        <v/>
      </c>
      <c r="H52" s="28" t="inlineStr">
        <is>
          <t>3 % del costo de mano de obra (incluye mezcla y vibrado manual del concreto de la tapa)</t>
        </is>
      </c>
    </row>
    <row r="53">
      <c r="A53" s="34" t="n"/>
      <c r="B53" s="25" t="inlineStr">
        <is>
          <t>Subtotal equipos</t>
        </is>
      </c>
      <c r="C53" s="31" t="n"/>
      <c r="D53" s="31" t="n"/>
      <c r="E53" s="31" t="n"/>
      <c r="F53" s="31" t="n"/>
      <c r="G53" s="35">
        <f>SUM(G52:G52)</f>
        <v/>
      </c>
      <c r="H53" s="31" t="n"/>
    </row>
    <row r="54">
      <c r="A54" s="25" t="inlineStr">
        <is>
          <t>COSTO UNITARIO DIRECTO (S/ por und)</t>
        </is>
      </c>
      <c r="B54" s="19" t="n"/>
      <c r="C54" s="19" t="n"/>
      <c r="D54" s="19" t="n"/>
      <c r="E54" s="19" t="n"/>
      <c r="F54" s="20" t="n"/>
      <c r="G54" s="35">
        <f>+G40+G50+G53</f>
        <v/>
      </c>
      <c r="H54" s="31" t="n"/>
    </row>
    <row r="55">
      <c r="A55" s="25" t="inlineStr">
        <is>
          <t>COSTO DIRECTO DE LA PARTIDA (metrado x costo unitario, S/)</t>
        </is>
      </c>
      <c r="B55" s="19" t="n"/>
      <c r="C55" s="19" t="n"/>
      <c r="D55" s="19" t="n"/>
      <c r="E55" s="19" t="n"/>
      <c r="F55" s="20" t="n"/>
      <c r="G55" s="35">
        <f>G54*C33</f>
        <v/>
      </c>
      <c r="H55" s="31" t="n"/>
    </row>
  </sheetData>
  <mergeCells count="27">
    <mergeCell ref="A9:H9"/>
    <mergeCell ref="A54:F54"/>
    <mergeCell ref="A30:B30"/>
    <mergeCell ref="C31:H31"/>
    <mergeCell ref="A1:H1"/>
    <mergeCell ref="B51:H51"/>
    <mergeCell ref="A55:F55"/>
    <mergeCell ref="B36:H36"/>
    <mergeCell ref="C2:H2"/>
    <mergeCell ref="B41:H41"/>
    <mergeCell ref="A7:H7"/>
    <mergeCell ref="A3:B3"/>
    <mergeCell ref="C32:H32"/>
    <mergeCell ref="A2:B2"/>
    <mergeCell ref="A33:B33"/>
    <mergeCell ref="A5:B5"/>
    <mergeCell ref="A32:B32"/>
    <mergeCell ref="C3:H3"/>
    <mergeCell ref="C34:H34"/>
    <mergeCell ref="C30:H30"/>
    <mergeCell ref="A4:B4"/>
    <mergeCell ref="C33:H33"/>
    <mergeCell ref="A29:H29"/>
    <mergeCell ref="C5:H5"/>
    <mergeCell ref="C4:H4"/>
    <mergeCell ref="A31:B31"/>
    <mergeCell ref="A34:B34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44" customWidth="1" min="8" max="8"/>
  </cols>
  <sheetData>
    <row r="1">
      <c r="A1" s="18" t="inlineStr">
        <is>
          <t>ANALISIS DE COSTO UNITARIO - JUNTA DE DILATACION E=1" CON TECNOPOR Y SELLADOR ASFALTICO EN COLECTOR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Partida de Delphin 01.04.04.06.01 JUNTA DE DILATACION E=1" CON TECNOPOR Y SELLADOR ASFALTICO EN COLECTOR (metrado 01.04.04.06.01, hoja COLECTOR JUNTAS Y EMPALMES). Se mide por metro de junta a lo largo del perimetro de la seccion. Cantidades de la lamina DD-03: plancha de tecnopor de 1" en toda la seccion y sellador asfaltico 1" x 2" (asfalto liquido RC-250 + arena gruesa) en las caras interiores y en la cara superior (EG-2013 MTC, 510). Celda amarilla = dato; verde = formula. Precios sin IGV.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1. CANTIDADES POR METRO DE JUNTA (lamina DD-03 y hoja COLECTOR JUNTAS Y EMPALMES)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CONCEPTO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28" t="inlineStr">
        <is>
          <t>Perimetro de la seccion en cada junta: 2 x 1.10 + 2 x (0.15 + 1.61 + 0.10)</t>
        </is>
      </c>
      <c r="C11" s="29" t="inlineStr">
        <is>
          <t>m</t>
        </is>
      </c>
      <c r="D11" s="30">
        <f>5.92</f>
        <v/>
      </c>
      <c r="E11" s="31" t="n"/>
      <c r="F11" s="31" t="n"/>
      <c r="G11" s="31" t="n"/>
      <c r="H11" s="28" t="inlineStr">
        <is>
          <t>COLECTOR JUNTAS Y EMPALMES fila 11; DD-03 A</t>
        </is>
      </c>
    </row>
    <row r="12">
      <c r="A12" s="27" t="n">
        <v>2</v>
      </c>
      <c r="B12" s="28" t="inlineStr">
        <is>
          <t>Numero de juntas de dilatacion (cada 4.00 m)</t>
        </is>
      </c>
      <c r="C12" s="29" t="inlineStr">
        <is>
          <t>und</t>
        </is>
      </c>
      <c r="D12" s="30">
        <f>17</f>
        <v/>
      </c>
      <c r="E12" s="31" t="n"/>
      <c r="F12" s="31" t="n"/>
      <c r="G12" s="31" t="n"/>
      <c r="H12" s="28" t="inlineStr">
        <is>
          <t>COLECTOR JUNTAS Y EMPALMES fila 11; DD-03 E</t>
        </is>
      </c>
    </row>
    <row r="13">
      <c r="A13" s="27" t="n">
        <v>3</v>
      </c>
      <c r="B13" s="28" t="inlineStr">
        <is>
          <t>Area de tecnopor por junta: seccion 1.10 x 1.86 menos el hueco 0.80 x 1.61</t>
        </is>
      </c>
      <c r="C13" s="29" t="inlineStr">
        <is>
          <t>m2</t>
        </is>
      </c>
      <c r="D13" s="30">
        <f>1.10*(0.15+1.61+0.10)-0.80*1.61</f>
        <v/>
      </c>
      <c r="E13" s="31" t="n"/>
      <c r="F13" s="31" t="n"/>
      <c r="G13" s="31" t="n"/>
      <c r="H13" s="28" t="inlineStr">
        <is>
          <t>DD-03, cuadro de componentes</t>
        </is>
      </c>
    </row>
    <row r="14">
      <c r="A14" s="27" t="n">
        <v>4</v>
      </c>
      <c r="B14" s="28" t="inlineStr">
        <is>
          <t>Tecnopor por metro de junta (area neta)</t>
        </is>
      </c>
      <c r="C14" s="29" t="inlineStr">
        <is>
          <t>m2/m</t>
        </is>
      </c>
      <c r="D14" s="30">
        <f>D13/D11</f>
        <v/>
      </c>
      <c r="E14" s="31" t="n"/>
      <c r="F14" s="31" t="n"/>
      <c r="G14" s="31" t="n"/>
      <c r="H14" s="28" t="inlineStr">
        <is>
          <t>formula</t>
        </is>
      </c>
    </row>
    <row r="15">
      <c r="A15" s="27" t="n">
        <v>5</v>
      </c>
      <c r="B15" s="28" t="inlineStr">
        <is>
          <t>Desperdicio por el corte del anillo en planchas de 1.20 x 2.40</t>
        </is>
      </c>
      <c r="C15" s="29" t="inlineStr">
        <is>
          <t>-</t>
        </is>
      </c>
      <c r="D15" s="32" t="n">
        <v>0.1</v>
      </c>
      <c r="E15" s="31" t="n"/>
      <c r="F15" s="31" t="n"/>
      <c r="G15" s="31" t="n"/>
      <c r="H15" s="28" t="inlineStr">
        <is>
          <t>criterio: recortes del hueco interior y de las esquinas</t>
        </is>
      </c>
    </row>
    <row r="16">
      <c r="A16" s="27" t="n">
        <v>6</v>
      </c>
      <c r="B16" s="28" t="inlineStr">
        <is>
          <t>Area de una plancha de tecnopor 1" (1.20 x 2.40 m)</t>
        </is>
      </c>
      <c r="C16" s="29" t="inlineStr">
        <is>
          <t>m2</t>
        </is>
      </c>
      <c r="D16" s="32" t="n">
        <v>2.88</v>
      </c>
      <c r="E16" s="31" t="n"/>
      <c r="F16" s="31" t="n"/>
      <c r="G16" s="31" t="n"/>
      <c r="H16" s="28" t="inlineStr">
        <is>
          <t>medida comercial</t>
        </is>
      </c>
    </row>
    <row r="17">
      <c r="A17" s="27" t="n">
        <v>7</v>
      </c>
      <c r="B17" s="28" t="inlineStr">
        <is>
          <t>Planchas de tecnopor por metro de junta</t>
        </is>
      </c>
      <c r="C17" s="29" t="inlineStr">
        <is>
          <t>pln/m</t>
        </is>
      </c>
      <c r="D17" s="30">
        <f>D14*(1+D15)/D16</f>
        <v/>
      </c>
      <c r="E17" s="31" t="n"/>
      <c r="F17" s="31" t="n"/>
      <c r="G17" s="31" t="n"/>
      <c r="H17" s="28" t="inlineStr">
        <is>
          <t>formula</t>
        </is>
      </c>
    </row>
    <row r="18">
      <c r="A18" s="27" t="n">
        <v>8</v>
      </c>
      <c r="B18" s="28" t="inlineStr">
        <is>
          <t>Longitud sellada por junta: caras interiores 2 x 1.61 + 0.80 y cara superior 1.10</t>
        </is>
      </c>
      <c r="C18" s="29" t="inlineStr">
        <is>
          <t>m</t>
        </is>
      </c>
      <c r="D18" s="30">
        <f>2*1.61+0.80+1.10</f>
        <v/>
      </c>
      <c r="E18" s="31" t="n"/>
      <c r="F18" s="31" t="n"/>
      <c r="G18" s="31" t="n"/>
      <c r="H18" s="28" t="inlineStr">
        <is>
          <t>DD-03, cuadro de componentes</t>
        </is>
      </c>
    </row>
    <row r="19">
      <c r="A19" s="27" t="n">
        <v>9</v>
      </c>
      <c r="B19" s="28" t="inlineStr">
        <is>
          <t>Seccion del sellador 1" x 2" (0.0254 x 0.0508)</t>
        </is>
      </c>
      <c r="C19" s="29" t="inlineStr">
        <is>
          <t>m2</t>
        </is>
      </c>
      <c r="D19" s="30">
        <f>0.0254*0.0508</f>
        <v/>
      </c>
      <c r="E19" s="31" t="n"/>
      <c r="F19" s="31" t="n"/>
      <c r="G19" s="31" t="n"/>
      <c r="H19" s="28" t="inlineStr">
        <is>
          <t>DD-03 B; EG-2013 MTC, Seccion 510</t>
        </is>
      </c>
    </row>
    <row r="20">
      <c r="A20" s="27" t="n">
        <v>10</v>
      </c>
      <c r="B20" s="28" t="inlineStr">
        <is>
          <t>Mezcla de sellador por metro de junta</t>
        </is>
      </c>
      <c r="C20" s="29" t="inlineStr">
        <is>
          <t>m3/m</t>
        </is>
      </c>
      <c r="D20" s="30">
        <f>D19*D18/D11</f>
        <v/>
      </c>
      <c r="E20" s="31" t="n"/>
      <c r="F20" s="31" t="n"/>
      <c r="G20" s="31" t="n"/>
      <c r="H20" s="28" t="inlineStr">
        <is>
          <t>formula</t>
        </is>
      </c>
    </row>
    <row r="21">
      <c r="A21" s="27" t="n">
        <v>11</v>
      </c>
      <c r="B21" s="28" t="inlineStr">
        <is>
          <t>Asfalto liquido RC-250 por m3 de mezcla</t>
        </is>
      </c>
      <c r="C21" s="29" t="inlineStr">
        <is>
          <t>gal/m3</t>
        </is>
      </c>
      <c r="D21" s="32" t="n">
        <v>50</v>
      </c>
      <c r="E21" s="31" t="n"/>
      <c r="F21" s="31" t="n"/>
      <c r="G21" s="31" t="n"/>
      <c r="H21" s="28" t="inlineStr">
        <is>
          <t>criterio: mezcla de ~2,000 kg/m3 con ~9 % de asfalto = 180 kg / 3.6 kg/gal</t>
        </is>
      </c>
    </row>
    <row r="22">
      <c r="A22" s="27" t="n">
        <v>12</v>
      </c>
      <c r="B22" s="28" t="inlineStr">
        <is>
          <t>Arena gruesa por m3 de mezcla</t>
        </is>
      </c>
      <c r="C22" s="29" t="inlineStr">
        <is>
          <t>m3/m3</t>
        </is>
      </c>
      <c r="D22" s="32" t="n">
        <v>1.05</v>
      </c>
      <c r="E22" s="31" t="n"/>
      <c r="F22" s="31" t="n"/>
      <c r="G22" s="31" t="n"/>
      <c r="H22" s="28" t="inlineStr">
        <is>
          <t>criterio: arena suelta con 5 % de desperdicio</t>
        </is>
      </c>
    </row>
    <row r="23">
      <c r="A23" s="27" t="n">
        <v>13</v>
      </c>
      <c r="B23" s="28" t="inlineStr">
        <is>
          <t>Operario por metro de junta (colocacion del tecnopor y sellado)</t>
        </is>
      </c>
      <c r="C23" s="29" t="inlineStr">
        <is>
          <t>hh/m</t>
        </is>
      </c>
      <c r="D23" s="30">
        <f>0.2</f>
        <v/>
      </c>
      <c r="E23" s="31" t="n"/>
      <c r="F23" s="31" t="n"/>
      <c r="G23" s="31" t="n"/>
      <c r="H23" s="28" t="inlineStr">
        <is>
          <t>COLECTOR INSUMOS fila 71</t>
        </is>
      </c>
    </row>
    <row r="24">
      <c r="A24" s="27" t="n">
        <v>14</v>
      </c>
      <c r="B24" s="28" t="inlineStr">
        <is>
          <t>Peon por metro de junta</t>
        </is>
      </c>
      <c r="C24" s="29" t="inlineStr">
        <is>
          <t>hh/m</t>
        </is>
      </c>
      <c r="D24" s="30">
        <f>0.2</f>
        <v/>
      </c>
      <c r="E24" s="31" t="n"/>
      <c r="F24" s="31" t="n"/>
      <c r="G24" s="31" t="n"/>
      <c r="H24" s="28" t="inlineStr">
        <is>
          <t>COLECTOR INSUMOS fila 72</t>
        </is>
      </c>
    </row>
    <row r="25"/>
    <row r="26">
      <c r="A26" s="25" t="inlineStr">
        <is>
          <t>2. ANALISIS DE COSTO UNITARIO (formato Delphin)</t>
        </is>
      </c>
      <c r="B26" s="19" t="n"/>
      <c r="C26" s="19" t="n"/>
      <c r="D26" s="19" t="n"/>
      <c r="E26" s="19" t="n"/>
      <c r="F26" s="19" t="n"/>
      <c r="G26" s="19" t="n"/>
      <c r="H26" s="20" t="n"/>
    </row>
    <row r="27">
      <c r="A27" s="25" t="inlineStr">
        <is>
          <t>Partida</t>
        </is>
      </c>
      <c r="B27" s="20" t="n"/>
      <c r="C27" s="31" t="inlineStr">
        <is>
          <t>01.04.04.06.01 JUNTA DE DILATACION E=1" CON TECNOPOR Y SELLADOR ASFALTICO EN COLECTOR</t>
        </is>
      </c>
      <c r="D27" s="19" t="n"/>
      <c r="E27" s="19" t="n"/>
      <c r="F27" s="19" t="n"/>
      <c r="G27" s="19" t="n"/>
      <c r="H27" s="20" t="n"/>
    </row>
    <row r="28">
      <c r="A28" s="25" t="inlineStr">
        <is>
          <t>Partida del metrado</t>
        </is>
      </c>
      <c r="B28" s="20" t="n"/>
      <c r="C28" s="31" t="inlineStr">
        <is>
          <t>01.04.04.06.01 (hoja COLECTOR JUNTAS Y EMPALMES)</t>
        </is>
      </c>
      <c r="D28" s="19" t="n"/>
      <c r="E28" s="19" t="n"/>
      <c r="F28" s="19" t="n"/>
      <c r="G28" s="19" t="n"/>
      <c r="H28" s="20" t="n"/>
    </row>
    <row r="29">
      <c r="A29" s="25" t="inlineStr">
        <is>
          <t>Unidad</t>
        </is>
      </c>
      <c r="B29" s="20" t="n"/>
      <c r="C29" s="31" t="inlineStr">
        <is>
          <t>m</t>
        </is>
      </c>
      <c r="D29" s="19" t="n"/>
      <c r="E29" s="19" t="n"/>
      <c r="F29" s="19" t="n"/>
      <c r="G29" s="19" t="n"/>
      <c r="H29" s="20" t="n"/>
    </row>
    <row r="30">
      <c r="A30" s="25" t="inlineStr">
        <is>
          <t>Metrado</t>
        </is>
      </c>
      <c r="B30" s="20" t="n"/>
      <c r="C30" s="33">
        <f>'RESUMEN ACU'!D15</f>
        <v/>
      </c>
      <c r="D30" s="19" t="n"/>
      <c r="E30" s="19" t="n"/>
      <c r="F30" s="19" t="n"/>
      <c r="G30" s="19" t="n"/>
      <c r="H30" s="20" t="n"/>
    </row>
    <row r="31">
      <c r="A31" s="25" t="inlineStr">
        <is>
          <t>Rendimiento (m/dia, cuadrilla de 1 operario)</t>
        </is>
      </c>
      <c r="B31" s="20" t="n"/>
      <c r="C31" s="33">
        <f>8/E34</f>
        <v/>
      </c>
      <c r="D31" s="19" t="n"/>
      <c r="E31" s="19" t="n"/>
      <c r="F31" s="19" t="n"/>
      <c r="G31" s="19" t="n"/>
      <c r="H31" s="20" t="n"/>
    </row>
    <row r="32">
      <c r="A32" s="26" t="inlineStr">
        <is>
          <t>N°</t>
        </is>
      </c>
      <c r="B32" s="26" t="inlineStr">
        <is>
          <t>RECURSO</t>
        </is>
      </c>
      <c r="C32" s="26" t="inlineStr">
        <is>
          <t>UND</t>
        </is>
      </c>
      <c r="D32" s="26" t="inlineStr">
        <is>
          <t>CUADRILLA</t>
        </is>
      </c>
      <c r="E32" s="26" t="inlineStr">
        <is>
          <t>CANTIDAD POR M</t>
        </is>
      </c>
      <c r="F32" s="26" t="inlineStr">
        <is>
          <t>PRECIO S/</t>
        </is>
      </c>
      <c r="G32" s="26" t="inlineStr">
        <is>
          <t>PARCIAL S/</t>
        </is>
      </c>
      <c r="H32" s="26" t="inlineStr">
        <is>
          <t>FUENTE DEL PRECIO</t>
        </is>
      </c>
    </row>
    <row r="33">
      <c r="A33" s="34" t="n"/>
      <c r="B33" s="25" t="inlineStr">
        <is>
          <t>MANO DE OBRA</t>
        </is>
      </c>
      <c r="C33" s="19" t="n"/>
      <c r="D33" s="19" t="n"/>
      <c r="E33" s="19" t="n"/>
      <c r="F33" s="19" t="n"/>
      <c r="G33" s="19" t="n"/>
      <c r="H33" s="20" t="n"/>
    </row>
    <row r="34">
      <c r="A34" s="27" t="n">
        <v>1</v>
      </c>
      <c r="B34" s="31" t="inlineStr">
        <is>
          <t>Operario</t>
        </is>
      </c>
      <c r="C34" s="29" t="inlineStr">
        <is>
          <t>hh</t>
        </is>
      </c>
      <c r="D34" s="30">
        <f>E34*$C$31/8</f>
        <v/>
      </c>
      <c r="E34" s="30">
        <f>$D$23</f>
        <v/>
      </c>
      <c r="F34" s="33">
        <f>'COSTO HORA HOMBRE 2026'!$G$11</f>
        <v/>
      </c>
      <c r="G34" s="33">
        <f>E34*F34</f>
        <v/>
      </c>
      <c r="H34" s="28" t="inlineStr">
        <is>
          <t>hoja COSTO HORA HOMBRE 2026 (tabla oficial CAPECO - FTCCP 2026)</t>
        </is>
      </c>
    </row>
    <row r="35">
      <c r="A35" s="27" t="n">
        <v>2</v>
      </c>
      <c r="B35" s="31" t="inlineStr">
        <is>
          <t>Peon</t>
        </is>
      </c>
      <c r="C35" s="29" t="inlineStr">
        <is>
          <t>hh</t>
        </is>
      </c>
      <c r="D35" s="30">
        <f>E35*$C$31/8</f>
        <v/>
      </c>
      <c r="E35" s="30">
        <f>$D$24</f>
        <v/>
      </c>
      <c r="F35" s="33">
        <f>'COSTO HORA HOMBRE 2026'!$G$13</f>
        <v/>
      </c>
      <c r="G35" s="33">
        <f>E35*F35</f>
        <v/>
      </c>
      <c r="H35" s="28" t="inlineStr">
        <is>
          <t>hoja COSTO HORA HOMBRE 2026 (tabla oficial CAPECO - FTCCP 2026)</t>
        </is>
      </c>
    </row>
    <row r="36">
      <c r="A36" s="34" t="n"/>
      <c r="B36" s="25" t="inlineStr">
        <is>
          <t>Subtotal mano de obra</t>
        </is>
      </c>
      <c r="C36" s="31" t="n"/>
      <c r="D36" s="31" t="n"/>
      <c r="E36" s="31" t="n"/>
      <c r="F36" s="31" t="n"/>
      <c r="G36" s="35">
        <f>SUM(G34:G35)</f>
        <v/>
      </c>
      <c r="H36" s="31" t="n"/>
    </row>
    <row r="37">
      <c r="A37" s="34" t="n"/>
      <c r="B37" s="25" t="inlineStr">
        <is>
          <t>MATERIALES</t>
        </is>
      </c>
      <c r="C37" s="19" t="n"/>
      <c r="D37" s="19" t="n"/>
      <c r="E37" s="19" t="n"/>
      <c r="F37" s="19" t="n"/>
      <c r="G37" s="19" t="n"/>
      <c r="H37" s="20" t="n"/>
    </row>
    <row r="38">
      <c r="A38" s="27" t="n">
        <v>3</v>
      </c>
      <c r="B38" s="31" t="inlineStr">
        <is>
          <t>Plancha de tecnopor 1" x 1.20 x 2.40 m</t>
        </is>
      </c>
      <c r="C38" s="29" t="inlineStr">
        <is>
          <t>pln</t>
        </is>
      </c>
      <c r="D38" s="31" t="n"/>
      <c r="E38" s="30">
        <f>$D$17</f>
        <v/>
      </c>
      <c r="F38" s="33">
        <f>13.9/1.18</f>
        <v/>
      </c>
      <c r="G38" s="33">
        <f>E38*F38</f>
        <v/>
      </c>
      <c r="H38" s="28" t="inlineStr">
        <is>
          <t>Sodimac Peru: plancha de poliestireno expandido 1" x 1.20 x 2.40 m (Dipropor) S/ 13.90 con IGV</t>
        </is>
      </c>
    </row>
    <row r="39">
      <c r="A39" s="27" t="n">
        <v>4</v>
      </c>
      <c r="B39" s="31" t="inlineStr">
        <is>
          <t>Asfalto liquido RC-250</t>
        </is>
      </c>
      <c r="C39" s="29" t="inlineStr">
        <is>
          <t>gal</t>
        </is>
      </c>
      <c r="D39" s="31" t="n"/>
      <c r="E39" s="30">
        <f>$D$20*$D$21</f>
        <v/>
      </c>
      <c r="F39" s="33">
        <f>17.7/1.18</f>
        <v/>
      </c>
      <c r="G39" s="33">
        <f>E39*F39</f>
        <v/>
      </c>
      <c r="H39" s="28" t="inlineStr">
        <is>
          <t>Conselva: asfalto liquido RC-250 por galon S/ 17.70 con IGV (Petroperu publica su lista ex planta; confirmar en Tarapoto)</t>
        </is>
      </c>
    </row>
    <row r="40">
      <c r="A40" s="27" t="n">
        <v>5</v>
      </c>
      <c r="B40" s="31" t="inlineStr">
        <is>
          <t>Arena gruesa</t>
        </is>
      </c>
      <c r="C40" s="29" t="inlineStr">
        <is>
          <t>m3</t>
        </is>
      </c>
      <c r="D40" s="31" t="n"/>
      <c r="E40" s="30">
        <f>$D$20*$D$22</f>
        <v/>
      </c>
      <c r="F40" s="33">
        <f>'ACU TAPA REGISTRO'!F43</f>
        <v/>
      </c>
      <c r="G40" s="33">
        <f>E40*F40</f>
        <v/>
      </c>
      <c r="H40" s="28" t="inlineStr">
        <is>
          <t>precio de la ACU TAPA REGISTRO (Agregados Tarapoto, Morales)</t>
        </is>
      </c>
    </row>
    <row r="41">
      <c r="A41" s="34" t="n"/>
      <c r="B41" s="25" t="inlineStr">
        <is>
          <t>Subtotal materiales</t>
        </is>
      </c>
      <c r="C41" s="31" t="n"/>
      <c r="D41" s="31" t="n"/>
      <c r="E41" s="31" t="n"/>
      <c r="F41" s="31" t="n"/>
      <c r="G41" s="35">
        <f>SUM(G38:G40)</f>
        <v/>
      </c>
      <c r="H41" s="31" t="n"/>
    </row>
    <row r="42">
      <c r="A42" s="34" t="n"/>
      <c r="B42" s="25" t="inlineStr">
        <is>
          <t>EQUIPOS</t>
        </is>
      </c>
      <c r="C42" s="19" t="n"/>
      <c r="D42" s="19" t="n"/>
      <c r="E42" s="19" t="n"/>
      <c r="F42" s="19" t="n"/>
      <c r="G42" s="19" t="n"/>
      <c r="H42" s="20" t="n"/>
    </row>
    <row r="43">
      <c r="A43" s="27" t="n">
        <v>6</v>
      </c>
      <c r="B43" s="31" t="inlineStr">
        <is>
          <t>Herramientas manuales</t>
        </is>
      </c>
      <c r="C43" s="29" t="inlineStr">
        <is>
          <t>%mo</t>
        </is>
      </c>
      <c r="D43" s="31" t="n"/>
      <c r="E43" s="36" t="n">
        <v>0.03</v>
      </c>
      <c r="F43" s="33">
        <f>+G36</f>
        <v/>
      </c>
      <c r="G43" s="33">
        <f>E43*F43</f>
        <v/>
      </c>
      <c r="H43" s="28" t="inlineStr">
        <is>
          <t>3 % del costo de mano de obra (incluye recipiente para calentar el asfalto)</t>
        </is>
      </c>
    </row>
    <row r="44">
      <c r="A44" s="34" t="n"/>
      <c r="B44" s="25" t="inlineStr">
        <is>
          <t>Subtotal equipos</t>
        </is>
      </c>
      <c r="C44" s="31" t="n"/>
      <c r="D44" s="31" t="n"/>
      <c r="E44" s="31" t="n"/>
      <c r="F44" s="31" t="n"/>
      <c r="G44" s="35">
        <f>SUM(G43:G43)</f>
        <v/>
      </c>
      <c r="H44" s="31" t="n"/>
    </row>
    <row r="45">
      <c r="A45" s="25" t="inlineStr">
        <is>
          <t>COSTO UNITARIO DIRECTO (S/ por m)</t>
        </is>
      </c>
      <c r="B45" s="19" t="n"/>
      <c r="C45" s="19" t="n"/>
      <c r="D45" s="19" t="n"/>
      <c r="E45" s="19" t="n"/>
      <c r="F45" s="20" t="n"/>
      <c r="G45" s="35">
        <f>+G36+G41+G44</f>
        <v/>
      </c>
      <c r="H45" s="31" t="n"/>
    </row>
    <row r="46">
      <c r="A46" s="25" t="inlineStr">
        <is>
          <t>COSTO DIRECTO DE LA PARTIDA (metrado x costo unitario, S/)</t>
        </is>
      </c>
      <c r="B46" s="19" t="n"/>
      <c r="C46" s="19" t="n"/>
      <c r="D46" s="19" t="n"/>
      <c r="E46" s="19" t="n"/>
      <c r="F46" s="20" t="n"/>
      <c r="G46" s="35">
        <f>G45*C30</f>
        <v/>
      </c>
      <c r="H46" s="31" t="n"/>
    </row>
  </sheetData>
  <mergeCells count="27">
    <mergeCell ref="A9:H9"/>
    <mergeCell ref="A30:B30"/>
    <mergeCell ref="A46:F46"/>
    <mergeCell ref="C31:H31"/>
    <mergeCell ref="B33:H33"/>
    <mergeCell ref="A1:H1"/>
    <mergeCell ref="B37:H37"/>
    <mergeCell ref="C2:H2"/>
    <mergeCell ref="A7:H7"/>
    <mergeCell ref="C27:H27"/>
    <mergeCell ref="A27:B27"/>
    <mergeCell ref="A3:B3"/>
    <mergeCell ref="A26:H26"/>
    <mergeCell ref="A2:B2"/>
    <mergeCell ref="C28:H28"/>
    <mergeCell ref="A5:B5"/>
    <mergeCell ref="B42:H42"/>
    <mergeCell ref="C3:H3"/>
    <mergeCell ref="C30:H30"/>
    <mergeCell ref="A4:B4"/>
    <mergeCell ref="A29:B29"/>
    <mergeCell ref="C5:H5"/>
    <mergeCell ref="A45:F45"/>
    <mergeCell ref="A28:B28"/>
    <mergeCell ref="C4:H4"/>
    <mergeCell ref="A31:B31"/>
    <mergeCell ref="C29:H29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44" customWidth="1" min="8" max="8"/>
  </cols>
  <sheetData>
    <row r="1">
      <c r="A1" s="18" t="inlineStr">
        <is>
          <t>ANALISIS DE COSTO UNITARIO - JUNTA E=1" CON TECNOPOR Y SELLADOR ASFALTICO ENTRE COLECTOR Y CERCO PERIMETRICO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Partida de Delphin 01.04.04.06.02 JUNTA E=1" CON TECNOPOR Y SELLADOR ASFALTICO ENTRE COLECTOR Y CERCO PERIMETRICO (metrado 01.04.04.06.02, hoja COLECTOR JUNTAS Y EMPALMES). Cantidades de la lamina DD-03: junta longitudinal con plancha de tecnopor de 1" de 0.90 m de altura contra el cimiento del cerco, en todo el tramo pegado al cerco, con sellador asfaltico 1" x 2" (RC-250 + arena) en la cara superior. Al otro lado hay terreno natural: no lleva junta. Celda amarilla = dato; verde = formula. Precios sin IGV.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1. CANTIDADES POR METRO DE JUNTA (lamina DD-03 y hoja COLECTOR JUNTAS Y EMPALMES)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CONCEPTO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28" t="inlineStr">
        <is>
          <t>Junta contra el cimiento del cerco (0+000.00 a 0+058.81)</t>
        </is>
      </c>
      <c r="C11" s="29" t="inlineStr">
        <is>
          <t>m</t>
        </is>
      </c>
      <c r="D11" s="30">
        <f>58.805</f>
        <v/>
      </c>
      <c r="E11" s="31" t="n"/>
      <c r="F11" s="31" t="n"/>
      <c r="G11" s="31" t="n"/>
      <c r="H11" s="28" t="inlineStr">
        <is>
          <t>COLECTOR JUNTAS Y EMPALMES fila 15</t>
        </is>
      </c>
    </row>
    <row r="12">
      <c r="A12" s="27" t="n">
        <v>2</v>
      </c>
      <c r="B12" s="28" t="inlineStr">
        <is>
          <t>Altura de la plancha contra el cerco</t>
        </is>
      </c>
      <c r="C12" s="29" t="inlineStr">
        <is>
          <t>m</t>
        </is>
      </c>
      <c r="D12" s="32" t="n">
        <v>0.9</v>
      </c>
      <c r="E12" s="31" t="n"/>
      <c r="F12" s="31" t="n"/>
      <c r="G12" s="31" t="n"/>
      <c r="H12" s="28" t="inlineStr">
        <is>
          <t>DD-03 C</t>
        </is>
      </c>
    </row>
    <row r="13">
      <c r="A13" s="27" t="n">
        <v>3</v>
      </c>
      <c r="B13" s="28" t="inlineStr">
        <is>
          <t>Lado opuesto al cerco: terreno natural, sin junta</t>
        </is>
      </c>
      <c r="C13" s="29" t="inlineStr">
        <is>
          <t>m</t>
        </is>
      </c>
      <c r="D13" s="30">
        <f>0</f>
        <v/>
      </c>
      <c r="E13" s="31" t="n"/>
      <c r="F13" s="31" t="n"/>
      <c r="G13" s="31" t="n"/>
      <c r="H13" s="28" t="inlineStr">
        <is>
          <t>COLECTOR JUNTAS Y EMPALMES fila 16 (0 m)</t>
        </is>
      </c>
    </row>
    <row r="14">
      <c r="A14" s="27" t="n">
        <v>4</v>
      </c>
      <c r="B14" s="28" t="inlineStr">
        <is>
          <t>Altura de plancha en el lado opuesto (no aplica)</t>
        </is>
      </c>
      <c r="C14" s="29" t="inlineStr">
        <is>
          <t>m</t>
        </is>
      </c>
      <c r="D14" s="32" t="n">
        <v>0</v>
      </c>
      <c r="E14" s="31" t="n"/>
      <c r="F14" s="31" t="n"/>
      <c r="G14" s="31" t="n"/>
      <c r="H14" s="28" t="inlineStr">
        <is>
          <t>DD-03 D</t>
        </is>
      </c>
    </row>
    <row r="15">
      <c r="A15" s="27" t="n">
        <v>5</v>
      </c>
      <c r="B15" s="28" t="inlineStr">
        <is>
          <t>Longitud total de la partida</t>
        </is>
      </c>
      <c r="C15" s="29" t="inlineStr">
        <is>
          <t>m</t>
        </is>
      </c>
      <c r="D15" s="30">
        <f>58.805</f>
        <v/>
      </c>
      <c r="E15" s="31" t="n"/>
      <c r="F15" s="31" t="n"/>
      <c r="G15" s="31" t="n"/>
      <c r="H15" s="28" t="inlineStr">
        <is>
          <t>COLECTOR JUNTAS Y EMPALMES fila 19</t>
        </is>
      </c>
    </row>
    <row r="16">
      <c r="A16" s="27" t="n">
        <v>6</v>
      </c>
      <c r="B16" s="28" t="inlineStr">
        <is>
          <t>Tecnopor por metro de junta (promedio ponderado)</t>
        </is>
      </c>
      <c r="C16" s="29" t="inlineStr">
        <is>
          <t>m2/m</t>
        </is>
      </c>
      <c r="D16" s="30">
        <f>(D11*D12+D13*D14)/D15</f>
        <v/>
      </c>
      <c r="E16" s="31" t="n"/>
      <c r="F16" s="31" t="n"/>
      <c r="G16" s="31" t="n"/>
      <c r="H16" s="28" t="inlineStr">
        <is>
          <t>formula</t>
        </is>
      </c>
    </row>
    <row r="17">
      <c r="A17" s="27" t="n">
        <v>7</v>
      </c>
      <c r="B17" s="28" t="inlineStr">
        <is>
          <t>Desperdicio por el corte en tiras</t>
        </is>
      </c>
      <c r="C17" s="29" t="inlineStr">
        <is>
          <t>-</t>
        </is>
      </c>
      <c r="D17" s="32" t="n">
        <v>0.05</v>
      </c>
      <c r="E17" s="31" t="n"/>
      <c r="F17" s="31" t="n"/>
      <c r="G17" s="31" t="n"/>
      <c r="H17" s="28" t="inlineStr">
        <is>
          <t>criterio</t>
        </is>
      </c>
    </row>
    <row r="18">
      <c r="A18" s="27" t="n">
        <v>8</v>
      </c>
      <c r="B18" s="28" t="inlineStr">
        <is>
          <t>Area de una plancha de tecnopor 1" (1.20 x 2.40 m)</t>
        </is>
      </c>
      <c r="C18" s="29" t="inlineStr">
        <is>
          <t>m2</t>
        </is>
      </c>
      <c r="D18" s="32" t="n">
        <v>2.88</v>
      </c>
      <c r="E18" s="31" t="n"/>
      <c r="F18" s="31" t="n"/>
      <c r="G18" s="31" t="n"/>
      <c r="H18" s="28" t="inlineStr">
        <is>
          <t>medida comercial</t>
        </is>
      </c>
    </row>
    <row r="19">
      <c r="A19" s="27" t="n">
        <v>9</v>
      </c>
      <c r="B19" s="28" t="inlineStr">
        <is>
          <t>Planchas de tecnopor por metro de junta</t>
        </is>
      </c>
      <c r="C19" s="29" t="inlineStr">
        <is>
          <t>pln/m</t>
        </is>
      </c>
      <c r="D19" s="30">
        <f>D16*(1+D17)/D18</f>
        <v/>
      </c>
      <c r="E19" s="31" t="n"/>
      <c r="F19" s="31" t="n"/>
      <c r="G19" s="31" t="n"/>
      <c r="H19" s="28" t="inlineStr">
        <is>
          <t>formula</t>
        </is>
      </c>
    </row>
    <row r="20">
      <c r="A20" s="27" t="n">
        <v>10</v>
      </c>
      <c r="B20" s="28" t="inlineStr">
        <is>
          <t>Mezcla de sellador por metro de junta: 1" x 2" en la cara superior (0.0254 x 0.0508)</t>
        </is>
      </c>
      <c r="C20" s="29" t="inlineStr">
        <is>
          <t>m3/m</t>
        </is>
      </c>
      <c r="D20" s="30">
        <f>0.0254*0.0508</f>
        <v/>
      </c>
      <c r="E20" s="31" t="n"/>
      <c r="F20" s="31" t="n"/>
      <c r="G20" s="31" t="n"/>
      <c r="H20" s="28" t="inlineStr">
        <is>
          <t>DD-03 C; EG-2013 MTC, Seccion 510</t>
        </is>
      </c>
    </row>
    <row r="21">
      <c r="A21" s="27" t="n">
        <v>11</v>
      </c>
      <c r="B21" s="28" t="inlineStr">
        <is>
          <t>Asfalto liquido RC-250 por m3 de mezcla</t>
        </is>
      </c>
      <c r="C21" s="29" t="inlineStr">
        <is>
          <t>gal/m3</t>
        </is>
      </c>
      <c r="D21" s="32" t="n">
        <v>50</v>
      </c>
      <c r="E21" s="31" t="n"/>
      <c r="F21" s="31" t="n"/>
      <c r="G21" s="31" t="n"/>
      <c r="H21" s="28" t="inlineStr">
        <is>
          <t>criterio: mezcla de ~2,000 kg/m3 con ~9 % de asfalto = 180 kg / 3.6 kg/gal</t>
        </is>
      </c>
    </row>
    <row r="22">
      <c r="A22" s="27" t="n">
        <v>12</v>
      </c>
      <c r="B22" s="28" t="inlineStr">
        <is>
          <t>Arena gruesa por m3 de mezcla</t>
        </is>
      </c>
      <c r="C22" s="29" t="inlineStr">
        <is>
          <t>m3/m3</t>
        </is>
      </c>
      <c r="D22" s="32" t="n">
        <v>1.05</v>
      </c>
      <c r="E22" s="31" t="n"/>
      <c r="F22" s="31" t="n"/>
      <c r="G22" s="31" t="n"/>
      <c r="H22" s="28" t="inlineStr">
        <is>
          <t>criterio: arena suelta con 5 % de desperdicio</t>
        </is>
      </c>
    </row>
    <row r="23">
      <c r="A23" s="27" t="n">
        <v>13</v>
      </c>
      <c r="B23" s="28" t="inlineStr">
        <is>
          <t>Peon por metro de junta (corte y colocacion de las tiras)</t>
        </is>
      </c>
      <c r="C23" s="29" t="inlineStr">
        <is>
          <t>hh/m</t>
        </is>
      </c>
      <c r="D23" s="30">
        <f>0.1</f>
        <v/>
      </c>
      <c r="E23" s="31" t="n"/>
      <c r="F23" s="31" t="n"/>
      <c r="G23" s="31" t="n"/>
      <c r="H23" s="28" t="inlineStr">
        <is>
          <t>COLECTOR INSUMOS fila 74</t>
        </is>
      </c>
    </row>
    <row r="24">
      <c r="A24" s="27" t="n">
        <v>14</v>
      </c>
      <c r="B24" s="28" t="inlineStr">
        <is>
          <t>Operario por metro de junta (sellado)</t>
        </is>
      </c>
      <c r="C24" s="29" t="inlineStr">
        <is>
          <t>hh/m</t>
        </is>
      </c>
      <c r="D24" s="30">
        <f>0.05</f>
        <v/>
      </c>
      <c r="E24" s="31" t="n"/>
      <c r="F24" s="31" t="n"/>
      <c r="G24" s="31" t="n"/>
      <c r="H24" s="28" t="inlineStr">
        <is>
          <t>COLECTOR INSUMOS fila 76</t>
        </is>
      </c>
    </row>
    <row r="25"/>
    <row r="26">
      <c r="A26" s="25" t="inlineStr">
        <is>
          <t>2. ANALISIS DE COSTO UNITARIO (formato Delphin)</t>
        </is>
      </c>
      <c r="B26" s="19" t="n"/>
      <c r="C26" s="19" t="n"/>
      <c r="D26" s="19" t="n"/>
      <c r="E26" s="19" t="n"/>
      <c r="F26" s="19" t="n"/>
      <c r="G26" s="19" t="n"/>
      <c r="H26" s="20" t="n"/>
    </row>
    <row r="27">
      <c r="A27" s="25" t="inlineStr">
        <is>
          <t>Partida</t>
        </is>
      </c>
      <c r="B27" s="20" t="n"/>
      <c r="C27" s="31" t="inlineStr">
        <is>
          <t>01.04.04.06.02 JUNTA E=1" CON TECNOPOR Y SELLADOR ASFALTICO ENTRE COLECTOR Y CERCO PERIMETRICO</t>
        </is>
      </c>
      <c r="D27" s="19" t="n"/>
      <c r="E27" s="19" t="n"/>
      <c r="F27" s="19" t="n"/>
      <c r="G27" s="19" t="n"/>
      <c r="H27" s="20" t="n"/>
    </row>
    <row r="28">
      <c r="A28" s="25" t="inlineStr">
        <is>
          <t>Partida del metrado</t>
        </is>
      </c>
      <c r="B28" s="20" t="n"/>
      <c r="C28" s="31" t="inlineStr">
        <is>
          <t>01.04.04.06.02 (hoja COLECTOR JUNTAS Y EMPALMES)</t>
        </is>
      </c>
      <c r="D28" s="19" t="n"/>
      <c r="E28" s="19" t="n"/>
      <c r="F28" s="19" t="n"/>
      <c r="G28" s="19" t="n"/>
      <c r="H28" s="20" t="n"/>
    </row>
    <row r="29">
      <c r="A29" s="25" t="inlineStr">
        <is>
          <t>Unidad</t>
        </is>
      </c>
      <c r="B29" s="20" t="n"/>
      <c r="C29" s="31" t="inlineStr">
        <is>
          <t>m</t>
        </is>
      </c>
      <c r="D29" s="19" t="n"/>
      <c r="E29" s="19" t="n"/>
      <c r="F29" s="19" t="n"/>
      <c r="G29" s="19" t="n"/>
      <c r="H29" s="20" t="n"/>
    </row>
    <row r="30">
      <c r="A30" s="25" t="inlineStr">
        <is>
          <t>Metrado</t>
        </is>
      </c>
      <c r="B30" s="20" t="n"/>
      <c r="C30" s="33">
        <f>'RESUMEN ACU'!D16</f>
        <v/>
      </c>
      <c r="D30" s="19" t="n"/>
      <c r="E30" s="19" t="n"/>
      <c r="F30" s="19" t="n"/>
      <c r="G30" s="19" t="n"/>
      <c r="H30" s="20" t="n"/>
    </row>
    <row r="31">
      <c r="A31" s="25" t="inlineStr">
        <is>
          <t>Rendimiento (m/dia, operario de sellado)</t>
        </is>
      </c>
      <c r="B31" s="20" t="n"/>
      <c r="C31" s="33">
        <f>8/E34</f>
        <v/>
      </c>
      <c r="D31" s="19" t="n"/>
      <c r="E31" s="19" t="n"/>
      <c r="F31" s="19" t="n"/>
      <c r="G31" s="19" t="n"/>
      <c r="H31" s="20" t="n"/>
    </row>
    <row r="32">
      <c r="A32" s="26" t="inlineStr">
        <is>
          <t>N°</t>
        </is>
      </c>
      <c r="B32" s="26" t="inlineStr">
        <is>
          <t>RECURSO</t>
        </is>
      </c>
      <c r="C32" s="26" t="inlineStr">
        <is>
          <t>UND</t>
        </is>
      </c>
      <c r="D32" s="26" t="inlineStr">
        <is>
          <t>CUADRILLA</t>
        </is>
      </c>
      <c r="E32" s="26" t="inlineStr">
        <is>
          <t>CANTIDAD POR M</t>
        </is>
      </c>
      <c r="F32" s="26" t="inlineStr">
        <is>
          <t>PRECIO S/</t>
        </is>
      </c>
      <c r="G32" s="26" t="inlineStr">
        <is>
          <t>PARCIAL S/</t>
        </is>
      </c>
      <c r="H32" s="26" t="inlineStr">
        <is>
          <t>FUENTE DEL PRECIO</t>
        </is>
      </c>
    </row>
    <row r="33">
      <c r="A33" s="34" t="n"/>
      <c r="B33" s="25" t="inlineStr">
        <is>
          <t>MANO DE OBRA</t>
        </is>
      </c>
      <c r="C33" s="19" t="n"/>
      <c r="D33" s="19" t="n"/>
      <c r="E33" s="19" t="n"/>
      <c r="F33" s="19" t="n"/>
      <c r="G33" s="19" t="n"/>
      <c r="H33" s="20" t="n"/>
    </row>
    <row r="34">
      <c r="A34" s="27" t="n">
        <v>1</v>
      </c>
      <c r="B34" s="31" t="inlineStr">
        <is>
          <t>Operario</t>
        </is>
      </c>
      <c r="C34" s="29" t="inlineStr">
        <is>
          <t>hh</t>
        </is>
      </c>
      <c r="D34" s="30">
        <f>E34*$C$31/8</f>
        <v/>
      </c>
      <c r="E34" s="30">
        <f>$D$24</f>
        <v/>
      </c>
      <c r="F34" s="33">
        <f>'COSTO HORA HOMBRE 2026'!$G$11</f>
        <v/>
      </c>
      <c r="G34" s="33">
        <f>E34*F34</f>
        <v/>
      </c>
      <c r="H34" s="28" t="inlineStr">
        <is>
          <t>hoja COSTO HORA HOMBRE 2026 (tabla oficial CAPECO - FTCCP 2026)</t>
        </is>
      </c>
    </row>
    <row r="35">
      <c r="A35" s="27" t="n">
        <v>2</v>
      </c>
      <c r="B35" s="31" t="inlineStr">
        <is>
          <t>Peon</t>
        </is>
      </c>
      <c r="C35" s="29" t="inlineStr">
        <is>
          <t>hh</t>
        </is>
      </c>
      <c r="D35" s="30">
        <f>E35*$C$31/8</f>
        <v/>
      </c>
      <c r="E35" s="30">
        <f>$D$23</f>
        <v/>
      </c>
      <c r="F35" s="33">
        <f>'COSTO HORA HOMBRE 2026'!$G$13</f>
        <v/>
      </c>
      <c r="G35" s="33">
        <f>E35*F35</f>
        <v/>
      </c>
      <c r="H35" s="28" t="inlineStr">
        <is>
          <t>hoja COSTO HORA HOMBRE 2026 (tabla oficial CAPECO - FTCCP 2026)</t>
        </is>
      </c>
    </row>
    <row r="36">
      <c r="A36" s="34" t="n"/>
      <c r="B36" s="25" t="inlineStr">
        <is>
          <t>Subtotal mano de obra</t>
        </is>
      </c>
      <c r="C36" s="31" t="n"/>
      <c r="D36" s="31" t="n"/>
      <c r="E36" s="31" t="n"/>
      <c r="F36" s="31" t="n"/>
      <c r="G36" s="35">
        <f>SUM(G34:G35)</f>
        <v/>
      </c>
      <c r="H36" s="31" t="n"/>
    </row>
    <row r="37">
      <c r="A37" s="34" t="n"/>
      <c r="B37" s="25" t="inlineStr">
        <is>
          <t>MATERIALES</t>
        </is>
      </c>
      <c r="C37" s="19" t="n"/>
      <c r="D37" s="19" t="n"/>
      <c r="E37" s="19" t="n"/>
      <c r="F37" s="19" t="n"/>
      <c r="G37" s="19" t="n"/>
      <c r="H37" s="20" t="n"/>
    </row>
    <row r="38">
      <c r="A38" s="27" t="n">
        <v>3</v>
      </c>
      <c r="B38" s="31" t="inlineStr">
        <is>
          <t>Plancha de tecnopor 1" x 1.20 x 2.40 m</t>
        </is>
      </c>
      <c r="C38" s="29" t="inlineStr">
        <is>
          <t>pln</t>
        </is>
      </c>
      <c r="D38" s="31" t="n"/>
      <c r="E38" s="30">
        <f>$D$19</f>
        <v/>
      </c>
      <c r="F38" s="33">
        <f>13.9/1.18</f>
        <v/>
      </c>
      <c r="G38" s="33">
        <f>E38*F38</f>
        <v/>
      </c>
      <c r="H38" s="28" t="inlineStr">
        <is>
          <t>Sodimac Peru: plancha de poliestireno expandido 1" x 1.20 x 2.40 m (Dipropor) S/ 13.90 con IGV</t>
        </is>
      </c>
    </row>
    <row r="39">
      <c r="A39" s="27" t="n">
        <v>4</v>
      </c>
      <c r="B39" s="31" t="inlineStr">
        <is>
          <t>Asfalto liquido RC-250</t>
        </is>
      </c>
      <c r="C39" s="29" t="inlineStr">
        <is>
          <t>gal</t>
        </is>
      </c>
      <c r="D39" s="31" t="n"/>
      <c r="E39" s="30">
        <f>$D$20*$D$21</f>
        <v/>
      </c>
      <c r="F39" s="33">
        <f>17.7/1.18</f>
        <v/>
      </c>
      <c r="G39" s="33">
        <f>E39*F39</f>
        <v/>
      </c>
      <c r="H39" s="28" t="inlineStr">
        <is>
          <t>Conselva: asfalto liquido RC-250 por galon S/ 17.70 con IGV (Petroperu publica su lista ex planta; confirmar en Tarapoto)</t>
        </is>
      </c>
    </row>
    <row r="40">
      <c r="A40" s="27" t="n">
        <v>5</v>
      </c>
      <c r="B40" s="31" t="inlineStr">
        <is>
          <t>Arena gruesa</t>
        </is>
      </c>
      <c r="C40" s="29" t="inlineStr">
        <is>
          <t>m3</t>
        </is>
      </c>
      <c r="D40" s="31" t="n"/>
      <c r="E40" s="30">
        <f>$D$20*$D$22</f>
        <v/>
      </c>
      <c r="F40" s="33">
        <f>'ACU TAPA REGISTRO'!F43</f>
        <v/>
      </c>
      <c r="G40" s="33">
        <f>E40*F40</f>
        <v/>
      </c>
      <c r="H40" s="28" t="inlineStr">
        <is>
          <t>precio de la ACU TAPA REGISTRO (Agregados Tarapoto, Morales)</t>
        </is>
      </c>
    </row>
    <row r="41">
      <c r="A41" s="34" t="n"/>
      <c r="B41" s="25" t="inlineStr">
        <is>
          <t>Subtotal materiales</t>
        </is>
      </c>
      <c r="C41" s="31" t="n"/>
      <c r="D41" s="31" t="n"/>
      <c r="E41" s="31" t="n"/>
      <c r="F41" s="31" t="n"/>
      <c r="G41" s="35">
        <f>SUM(G38:G40)</f>
        <v/>
      </c>
      <c r="H41" s="31" t="n"/>
    </row>
    <row r="42">
      <c r="A42" s="34" t="n"/>
      <c r="B42" s="25" t="inlineStr">
        <is>
          <t>EQUIPOS</t>
        </is>
      </c>
      <c r="C42" s="19" t="n"/>
      <c r="D42" s="19" t="n"/>
      <c r="E42" s="19" t="n"/>
      <c r="F42" s="19" t="n"/>
      <c r="G42" s="19" t="n"/>
      <c r="H42" s="20" t="n"/>
    </row>
    <row r="43">
      <c r="A43" s="27" t="n">
        <v>6</v>
      </c>
      <c r="B43" s="31" t="inlineStr">
        <is>
          <t>Herramientas manuales</t>
        </is>
      </c>
      <c r="C43" s="29" t="inlineStr">
        <is>
          <t>%mo</t>
        </is>
      </c>
      <c r="D43" s="31" t="n"/>
      <c r="E43" s="36" t="n">
        <v>0.03</v>
      </c>
      <c r="F43" s="33">
        <f>+G36</f>
        <v/>
      </c>
      <c r="G43" s="33">
        <f>E43*F43</f>
        <v/>
      </c>
      <c r="H43" s="28" t="inlineStr">
        <is>
          <t>3 % del costo de mano de obra (incluye recipiente para calentar el asfalto)</t>
        </is>
      </c>
    </row>
    <row r="44">
      <c r="A44" s="34" t="n"/>
      <c r="B44" s="25" t="inlineStr">
        <is>
          <t>Subtotal equipos</t>
        </is>
      </c>
      <c r="C44" s="31" t="n"/>
      <c r="D44" s="31" t="n"/>
      <c r="E44" s="31" t="n"/>
      <c r="F44" s="31" t="n"/>
      <c r="G44" s="35">
        <f>SUM(G43:G43)</f>
        <v/>
      </c>
      <c r="H44" s="31" t="n"/>
    </row>
    <row r="45">
      <c r="A45" s="25" t="inlineStr">
        <is>
          <t>COSTO UNITARIO DIRECTO (S/ por m)</t>
        </is>
      </c>
      <c r="B45" s="19" t="n"/>
      <c r="C45" s="19" t="n"/>
      <c r="D45" s="19" t="n"/>
      <c r="E45" s="19" t="n"/>
      <c r="F45" s="20" t="n"/>
      <c r="G45" s="35">
        <f>+G36+G41+G44</f>
        <v/>
      </c>
      <c r="H45" s="31" t="n"/>
    </row>
    <row r="46">
      <c r="A46" s="25" t="inlineStr">
        <is>
          <t>COSTO DIRECTO DE LA PARTIDA (metrado x costo unitario, S/)</t>
        </is>
      </c>
      <c r="B46" s="19" t="n"/>
      <c r="C46" s="19" t="n"/>
      <c r="D46" s="19" t="n"/>
      <c r="E46" s="19" t="n"/>
      <c r="F46" s="20" t="n"/>
      <c r="G46" s="35">
        <f>G45*C30</f>
        <v/>
      </c>
      <c r="H46" s="31" t="n"/>
    </row>
  </sheetData>
  <mergeCells count="27">
    <mergeCell ref="A9:H9"/>
    <mergeCell ref="A30:B30"/>
    <mergeCell ref="A46:F46"/>
    <mergeCell ref="C31:H31"/>
    <mergeCell ref="B33:H33"/>
    <mergeCell ref="A1:H1"/>
    <mergeCell ref="B37:H37"/>
    <mergeCell ref="C2:H2"/>
    <mergeCell ref="A7:H7"/>
    <mergeCell ref="C27:H27"/>
    <mergeCell ref="A27:B27"/>
    <mergeCell ref="A3:B3"/>
    <mergeCell ref="A26:H26"/>
    <mergeCell ref="A2:B2"/>
    <mergeCell ref="C28:H28"/>
    <mergeCell ref="A5:B5"/>
    <mergeCell ref="B42:H42"/>
    <mergeCell ref="C3:H3"/>
    <mergeCell ref="C30:H30"/>
    <mergeCell ref="A4:B4"/>
    <mergeCell ref="A29:B29"/>
    <mergeCell ref="C5:H5"/>
    <mergeCell ref="A45:F45"/>
    <mergeCell ref="A28:B28"/>
    <mergeCell ref="C4:H4"/>
    <mergeCell ref="A31:B31"/>
    <mergeCell ref="C29:H29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13" customWidth="1" min="4" max="4"/>
    <col width="46" customWidth="1" min="8" max="8"/>
  </cols>
  <sheetData>
    <row r="1">
      <c r="A1" s="18" t="inlineStr">
        <is>
          <t>ANALISIS DE COSTO UNITARIO - TAPA LATERAL DE PLANCHA GALVANIZADA P/CANALETA SECCIÓN 0.25m x 0.20m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Partida 01.04.03.05.01.05 (ACU 3 de la hoja ACU CANALETAS de la planilla; datos de la hoja METRADO CANALETAS)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DATOS DE CALCULO (de la hoja METRADO CANALETAS y de catalogo)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DATO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31" t="inlineStr">
        <is>
          <t>Fondo interior de la canaleta</t>
        </is>
      </c>
      <c r="C11" s="29" t="inlineStr">
        <is>
          <t>m</t>
        </is>
      </c>
      <c r="D11" s="30">
        <f>+0.25</f>
        <v/>
      </c>
      <c r="E11" s="31" t="n"/>
      <c r="F11" s="31" t="n"/>
      <c r="G11" s="31" t="n"/>
      <c r="H11" s="28" t="inlineStr">
        <is>
          <t>METRADO CANALETAS F45</t>
        </is>
      </c>
    </row>
    <row r="12">
      <c r="A12" s="27" t="n">
        <v>2</v>
      </c>
      <c r="B12" s="31" t="inlineStr">
        <is>
          <t>Altura interior de la canaleta</t>
        </is>
      </c>
      <c r="C12" s="29" t="inlineStr">
        <is>
          <t>m</t>
        </is>
      </c>
      <c r="D12" s="30">
        <f>+0.2</f>
        <v/>
      </c>
      <c r="E12" s="31" t="n"/>
      <c r="F12" s="31" t="n"/>
      <c r="G12" s="31" t="n"/>
      <c r="H12" s="28" t="inlineStr">
        <is>
          <t>METRADO CANALETAS F46</t>
        </is>
      </c>
    </row>
    <row r="13">
      <c r="A13" s="27" t="n">
        <v>3</v>
      </c>
      <c r="B13" s="31" t="inlineStr">
        <is>
          <t>Pestana superior (cada lado)</t>
        </is>
      </c>
      <c r="C13" s="29" t="inlineStr">
        <is>
          <t>m</t>
        </is>
      </c>
      <c r="D13" s="30">
        <f>+0.05</f>
        <v/>
      </c>
      <c r="E13" s="31" t="n"/>
      <c r="F13" s="31" t="n"/>
      <c r="G13" s="31" t="n"/>
      <c r="H13" s="28" t="inlineStr">
        <is>
          <t>METRADO CANALETAS F47</t>
        </is>
      </c>
    </row>
    <row r="14">
      <c r="A14" s="27" t="n">
        <v>4</v>
      </c>
      <c r="B14" s="31" t="inlineStr">
        <is>
          <t>Desarrollo de plancha por metro de canaleta</t>
        </is>
      </c>
      <c r="C14" s="29" t="inlineStr">
        <is>
          <t>m2/m</t>
        </is>
      </c>
      <c r="D14" s="30">
        <f>+0.75</f>
        <v/>
      </c>
      <c r="E14" s="31" t="n"/>
      <c r="F14" s="31" t="n"/>
      <c r="G14" s="31" t="n"/>
      <c r="H14" s="28" t="inlineStr">
        <is>
          <t>fondo + 2 alturas + 2 pestanas</t>
        </is>
      </c>
    </row>
    <row r="15">
      <c r="A15" s="27" t="n">
        <v>5</v>
      </c>
      <c r="B15" s="31" t="inlineStr">
        <is>
          <t>Espesor de plancha galvanizada</t>
        </is>
      </c>
      <c r="C15" s="29" t="inlineStr">
        <is>
          <t>mm</t>
        </is>
      </c>
      <c r="D15" s="30">
        <f>+0.9</f>
        <v/>
      </c>
      <c r="E15" s="31" t="n"/>
      <c r="F15" s="31" t="n"/>
      <c r="G15" s="31" t="n"/>
      <c r="H15" s="28" t="inlineStr">
        <is>
          <t>METRADO CANALETAS F49</t>
        </is>
      </c>
    </row>
    <row r="16">
      <c r="A16" s="27" t="n">
        <v>6</v>
      </c>
      <c r="B16" s="31" t="inlineStr">
        <is>
          <t>Separacion de soportes</t>
        </is>
      </c>
      <c r="C16" s="29" t="inlineStr">
        <is>
          <t>m</t>
        </is>
      </c>
      <c r="D16" s="30">
        <f>+0.6</f>
        <v/>
      </c>
      <c r="E16" s="31" t="n"/>
      <c r="F16" s="31" t="n"/>
      <c r="G16" s="31" t="n"/>
      <c r="H16" s="28" t="inlineStr">
        <is>
          <t>METRADO CANALETAS F50</t>
        </is>
      </c>
    </row>
    <row r="17">
      <c r="A17" s="27" t="n">
        <v>7</v>
      </c>
      <c r="B17" s="31" t="inlineStr">
        <is>
          <t>Peso de la plancha galvanizada</t>
        </is>
      </c>
      <c r="C17" s="29" t="inlineStr">
        <is>
          <t>kg/m2</t>
        </is>
      </c>
      <c r="D17" s="30">
        <f>D15*7.85+0.3</f>
        <v/>
      </c>
      <c r="E17" s="31" t="n"/>
      <c r="F17" s="31" t="n"/>
      <c r="G17" s="31" t="n"/>
      <c r="H17" s="28" t="inlineStr">
        <is>
          <t>espesor x 7.85 kg/m2 por mm + zinc (0.3 kg/m2)</t>
        </is>
      </c>
    </row>
    <row r="18">
      <c r="A18" s="27" t="n">
        <v>8</v>
      </c>
      <c r="B18" s="31" t="inlineStr">
        <is>
          <t>Largo de la plancha comercial (1.22 x 2.44)</t>
        </is>
      </c>
      <c r="C18" s="29" t="inlineStr">
        <is>
          <t>m</t>
        </is>
      </c>
      <c r="D18" s="32" t="n">
        <v>2.44</v>
      </c>
      <c r="E18" s="31" t="n"/>
      <c r="F18" s="31" t="n"/>
      <c r="G18" s="31" t="n"/>
      <c r="H18" s="28" t="inlineStr">
        <is>
          <t>catalogo; la canaleta se fabrica en tramos de 2.44 m</t>
        </is>
      </c>
    </row>
    <row r="19">
      <c r="A19" s="27" t="n">
        <v>9</v>
      </c>
      <c r="B19" s="31" t="inlineStr">
        <is>
          <t>Traslape entre tramos</t>
        </is>
      </c>
      <c r="C19" s="29" t="inlineStr">
        <is>
          <t>m</t>
        </is>
      </c>
      <c r="D19" s="32" t="n">
        <v>0.05</v>
      </c>
      <c r="E19" s="31" t="n"/>
      <c r="F19" s="31" t="n"/>
      <c r="G19" s="31" t="n"/>
      <c r="H19" s="28" t="inlineStr">
        <is>
          <t>criterio de obra (remachado y sellado)</t>
        </is>
      </c>
    </row>
    <row r="20">
      <c r="A20" s="27" t="n">
        <v>10</v>
      </c>
      <c r="B20" s="31" t="inlineStr">
        <is>
          <t>Desarrollo de la platina de un soporte</t>
        </is>
      </c>
      <c r="C20" s="29" t="inlineStr">
        <is>
          <t>m</t>
        </is>
      </c>
      <c r="D20" s="30">
        <f>D11+2*D12+2*0.1</f>
        <v/>
      </c>
      <c r="E20" s="31" t="n"/>
      <c r="F20" s="31" t="n"/>
      <c r="G20" s="31" t="n"/>
      <c r="H20" s="28" t="inlineStr">
        <is>
          <t>abraza la canaleta (fondo + 2 lados) + 2 orejas de fijacion de 0.10</t>
        </is>
      </c>
    </row>
    <row r="21">
      <c r="A21" s="27" t="n">
        <v>11</v>
      </c>
      <c r="B21" s="31" t="inlineStr">
        <is>
          <t>Peso de la platina 1" x 1/8"</t>
        </is>
      </c>
      <c r="C21" s="29" t="inlineStr">
        <is>
          <t>kg/m</t>
        </is>
      </c>
      <c r="D21" s="32" t="n">
        <v>0.633</v>
      </c>
      <c r="E21" s="31" t="n"/>
      <c r="F21" s="31" t="n"/>
      <c r="G21" s="31" t="n"/>
      <c r="H21" s="28" t="inlineStr">
        <is>
          <t>25.4 x 3.18 mm x 7.85 = 0.633 kg/m</t>
        </is>
      </c>
    </row>
    <row r="22">
      <c r="A22" s="27" t="n">
        <v>12</v>
      </c>
      <c r="B22" s="31" t="inlineStr">
        <is>
          <t>Largo de la platina comercial</t>
        </is>
      </c>
      <c r="C22" s="29" t="inlineStr">
        <is>
          <t>m</t>
        </is>
      </c>
      <c r="D22" s="32" t="n">
        <v>6</v>
      </c>
      <c r="E22" s="31" t="n"/>
      <c r="F22" s="31" t="n"/>
      <c r="G22" s="31" t="n"/>
      <c r="H22" s="28" t="inlineStr">
        <is>
          <t>catalogo</t>
        </is>
      </c>
    </row>
    <row r="25">
      <c r="A25" s="25" t="inlineStr">
        <is>
          <t>ACU: 01.04.03.05.01.05 TAPA LATERAL DE PLANCHA GALVANIZADA P/CANALETA SECCIÓN 0.25m x 0.20m</t>
        </is>
      </c>
      <c r="B25" s="19" t="n"/>
      <c r="C25" s="19" t="n"/>
      <c r="D25" s="19" t="n"/>
      <c r="E25" s="19" t="n"/>
      <c r="F25" s="19" t="n"/>
      <c r="G25" s="19" t="n"/>
      <c r="H25" s="20" t="n"/>
    </row>
    <row r="26">
      <c r="A26" s="25" t="inlineStr">
        <is>
          <t>Unidad</t>
        </is>
      </c>
      <c r="B26" s="20" t="n"/>
      <c r="C26" s="31" t="inlineStr">
        <is>
          <t>und</t>
        </is>
      </c>
      <c r="D26" s="31" t="n"/>
      <c r="E26" s="31" t="n"/>
      <c r="F26" s="31" t="n"/>
      <c r="G26" s="31" t="n"/>
      <c r="H26" s="31" t="n"/>
    </row>
    <row r="27">
      <c r="A27" s="25" t="inlineStr">
        <is>
          <t>Metrado</t>
        </is>
      </c>
      <c r="B27" s="20" t="n"/>
      <c r="C27" s="33">
        <f>'RESUMEN ACU'!D11</f>
        <v/>
      </c>
      <c r="D27" s="31" t="n"/>
      <c r="E27" s="31" t="n"/>
      <c r="F27" s="31" t="n"/>
      <c r="G27" s="31" t="n"/>
      <c r="H27" s="31" t="n"/>
    </row>
    <row r="28">
      <c r="A28" s="25" t="inlineStr">
        <is>
          <t>Rendimiento (und/dia)</t>
        </is>
      </c>
      <c r="B28" s="20" t="n"/>
      <c r="C28" s="37" t="n">
        <v>30</v>
      </c>
      <c r="D28" s="31" t="n"/>
      <c r="E28" s="31" t="inlineStr">
        <is>
          <t>trazo, corte, doblez de pestanas, remachado y sellado en el extremo de la canaleta; cuadrilla 1 op + 0.5 peon</t>
        </is>
      </c>
      <c r="F28" s="19" t="n"/>
      <c r="G28" s="19" t="n"/>
      <c r="H28" s="20" t="n"/>
    </row>
    <row r="29">
      <c r="A29" s="26" t="inlineStr">
        <is>
          <t>N°</t>
        </is>
      </c>
      <c r="B29" s="26" t="inlineStr">
        <is>
          <t>RECURSO</t>
        </is>
      </c>
      <c r="C29" s="26" t="inlineStr">
        <is>
          <t>UND</t>
        </is>
      </c>
      <c r="D29" s="26" t="inlineStr">
        <is>
          <t>CUADRILLA</t>
        </is>
      </c>
      <c r="E29" s="26" t="inlineStr">
        <is>
          <t>CANTIDAD</t>
        </is>
      </c>
      <c r="F29" s="26" t="inlineStr">
        <is>
          <t>PRECIO S/</t>
        </is>
      </c>
      <c r="G29" s="26" t="inlineStr">
        <is>
          <t>PARCIAL S/</t>
        </is>
      </c>
      <c r="H29" s="26" t="inlineStr">
        <is>
          <t>SUSTENTO / FUENTE</t>
        </is>
      </c>
    </row>
    <row r="30">
      <c r="A30" s="34" t="n"/>
      <c r="B30" s="25" t="inlineStr">
        <is>
          <t>MANO DE OBRA</t>
        </is>
      </c>
      <c r="C30" s="19" t="n"/>
      <c r="D30" s="19" t="n"/>
      <c r="E30" s="19" t="n"/>
      <c r="F30" s="19" t="n"/>
      <c r="G30" s="19" t="n"/>
      <c r="H30" s="20" t="n"/>
    </row>
    <row r="31">
      <c r="A31" s="27" t="n">
        <v>1</v>
      </c>
      <c r="B31" s="31" t="inlineStr">
        <is>
          <t>Operario (hojalatero)</t>
        </is>
      </c>
      <c r="C31" s="29" t="inlineStr">
        <is>
          <t>hh</t>
        </is>
      </c>
      <c r="D31" s="36" t="n">
        <v>1</v>
      </c>
      <c r="E31" s="30">
        <f>D31*8/$C$28</f>
        <v/>
      </c>
      <c r="F31" s="37">
        <f>'COSTO HORA HOMBRE 2026'!$G$11</f>
        <v/>
      </c>
      <c r="G31" s="33">
        <f>E31*F31</f>
        <v/>
      </c>
      <c r="H31" s="28" t="inlineStr">
        <is>
          <t>hoja COSTO HORA HOMBRE 2026 (tabla oficial CAPECO - FTCCP 2026)</t>
        </is>
      </c>
    </row>
    <row r="32">
      <c r="A32" s="27" t="n">
        <v>2</v>
      </c>
      <c r="B32" s="31" t="inlineStr">
        <is>
          <t>Peon</t>
        </is>
      </c>
      <c r="C32" s="29" t="inlineStr">
        <is>
          <t>hh</t>
        </is>
      </c>
      <c r="D32" s="36" t="n">
        <v>0.5</v>
      </c>
      <c r="E32" s="30">
        <f>D32*8/$C$28</f>
        <v/>
      </c>
      <c r="F32" s="37">
        <f>'COSTO HORA HOMBRE 2026'!$G$13</f>
        <v/>
      </c>
      <c r="G32" s="33">
        <f>E32*F32</f>
        <v/>
      </c>
      <c r="H32" s="28" t="inlineStr">
        <is>
          <t>hoja COSTO HORA HOMBRE 2026 (tabla oficial CAPECO - FTCCP 2026)</t>
        </is>
      </c>
    </row>
    <row r="33">
      <c r="A33" s="34" t="n"/>
      <c r="B33" s="25" t="inlineStr">
        <is>
          <t>Subtotal mano de obra</t>
        </is>
      </c>
      <c r="C33" s="31" t="n"/>
      <c r="D33" s="31" t="n"/>
      <c r="E33" s="31" t="n"/>
      <c r="F33" s="31" t="n"/>
      <c r="G33" s="35">
        <f>SUM(G31:G32)</f>
        <v/>
      </c>
      <c r="H33" s="31" t="n"/>
    </row>
    <row r="34">
      <c r="A34" s="34" t="n"/>
      <c r="B34" s="25" t="inlineStr">
        <is>
          <t>MATERIALES</t>
        </is>
      </c>
      <c r="C34" s="19" t="n"/>
      <c r="D34" s="19" t="n"/>
      <c r="E34" s="19" t="n"/>
      <c r="F34" s="19" t="n"/>
      <c r="G34" s="19" t="n"/>
      <c r="H34" s="20" t="n"/>
    </row>
    <row r="35">
      <c r="A35" s="27" t="n">
        <v>3</v>
      </c>
      <c r="B35" s="31" t="inlineStr">
        <is>
          <t>Plancha de acero galvanizado e=0.9 mm</t>
        </is>
      </c>
      <c r="C35" s="29" t="inlineStr">
        <is>
          <t>m2</t>
        </is>
      </c>
      <c r="D35" s="31" t="n"/>
      <c r="E35" s="30">
        <f>($D$11*$D$12+2*($D$11+$D$12)*0.03)*1.1</f>
        <v/>
      </c>
      <c r="F35" s="37" t="n">
        <v>26.95</v>
      </c>
      <c r="G35" s="33">
        <f>E35*F35</f>
        <v/>
      </c>
      <c r="H35" s="28" t="inlineStr">
        <is>
          <t>tapa 0.25 x 0.20 + pestana de 0.03 en el contorno, 10 % desperdicio</t>
        </is>
      </c>
    </row>
    <row r="36">
      <c r="A36" s="27" t="n">
        <v>4</v>
      </c>
      <c r="B36" s="31" t="inlineStr">
        <is>
          <t>Remache pop 1/8"</t>
        </is>
      </c>
      <c r="C36" s="29" t="inlineStr">
        <is>
          <t>und</t>
        </is>
      </c>
      <c r="D36" s="31" t="n"/>
      <c r="E36" s="32" t="n">
        <v>6</v>
      </c>
      <c r="F36" s="37" t="n">
        <v>0.1</v>
      </c>
      <c r="G36" s="33">
        <f>E36*F36</f>
        <v/>
      </c>
      <c r="H36" s="28" t="inlineStr">
        <is>
          <t>6 por tapa</t>
        </is>
      </c>
    </row>
    <row r="37">
      <c r="A37" s="27" t="n">
        <v>5</v>
      </c>
      <c r="B37" s="31" t="inlineStr">
        <is>
          <t>Sellador de poliuretano (cartucho 300 ml)</t>
        </is>
      </c>
      <c r="C37" s="29" t="inlineStr">
        <is>
          <t>und</t>
        </is>
      </c>
      <c r="D37" s="31" t="n"/>
      <c r="E37" s="30">
        <f>($D$11+2*$D$12)/8</f>
        <v/>
      </c>
      <c r="F37" s="37" t="n">
        <v>21.19</v>
      </c>
      <c r="G37" s="33">
        <f>E37*F37</f>
        <v/>
      </c>
      <c r="H37" s="28" t="inlineStr">
        <is>
          <t>contorno de la tapa (0.65 m) / 8 m por cartucho</t>
        </is>
      </c>
    </row>
    <row r="38">
      <c r="A38" s="34" t="n"/>
      <c r="B38" s="25" t="inlineStr">
        <is>
          <t>Subtotal materiales</t>
        </is>
      </c>
      <c r="C38" s="31" t="n"/>
      <c r="D38" s="31" t="n"/>
      <c r="E38" s="31" t="n"/>
      <c r="F38" s="31" t="n"/>
      <c r="G38" s="35">
        <f>SUM(G35:G37)</f>
        <v/>
      </c>
      <c r="H38" s="31" t="n"/>
    </row>
    <row r="39">
      <c r="A39" s="34" t="n"/>
      <c r="B39" s="25" t="inlineStr">
        <is>
          <t>EQUIPOS</t>
        </is>
      </c>
      <c r="C39" s="19" t="n"/>
      <c r="D39" s="19" t="n"/>
      <c r="E39" s="19" t="n"/>
      <c r="F39" s="19" t="n"/>
      <c r="G39" s="19" t="n"/>
      <c r="H39" s="20" t="n"/>
    </row>
    <row r="40">
      <c r="A40" s="27" t="n">
        <v>6</v>
      </c>
      <c r="B40" s="31" t="inlineStr">
        <is>
          <t>Herramientas manuales</t>
        </is>
      </c>
      <c r="C40" s="29" t="inlineStr">
        <is>
          <t>%mo</t>
        </is>
      </c>
      <c r="D40" s="31" t="n"/>
      <c r="E40" s="36" t="n">
        <v>0.05</v>
      </c>
      <c r="F40" s="33">
        <f>+G33</f>
        <v/>
      </c>
      <c r="G40" s="33">
        <f>E40*F40</f>
        <v/>
      </c>
      <c r="H40" s="28" t="inlineStr">
        <is>
          <t>5 % del costo de mano de obra (hojalateria)</t>
        </is>
      </c>
    </row>
    <row r="41">
      <c r="A41" s="34" t="n"/>
      <c r="B41" s="25" t="inlineStr">
        <is>
          <t>Subtotal equipos</t>
        </is>
      </c>
      <c r="C41" s="31" t="n"/>
      <c r="D41" s="31" t="n"/>
      <c r="E41" s="31" t="n"/>
      <c r="F41" s="31" t="n"/>
      <c r="G41" s="35">
        <f>SUM(G40:G40)</f>
        <v/>
      </c>
      <c r="H41" s="31" t="n"/>
    </row>
    <row r="42">
      <c r="A42" s="25" t="inlineStr">
        <is>
          <t>COSTO UNITARIO DIRECTO (S/ por und)</t>
        </is>
      </c>
      <c r="B42" s="19" t="n"/>
      <c r="C42" s="19" t="n"/>
      <c r="D42" s="19" t="n"/>
      <c r="E42" s="19" t="n"/>
      <c r="F42" s="20" t="n"/>
      <c r="G42" s="35">
        <f>+G33+G38+G41</f>
        <v/>
      </c>
      <c r="H42" s="31" t="n"/>
    </row>
    <row r="43">
      <c r="A43" s="25" t="inlineStr">
        <is>
          <t>COSTO DIRECTO DE LA PARTIDA (metrado x costo unitario)</t>
        </is>
      </c>
      <c r="B43" s="19" t="n"/>
      <c r="C43" s="19" t="n"/>
      <c r="D43" s="19" t="n"/>
      <c r="E43" s="19" t="n"/>
      <c r="F43" s="20" t="n"/>
      <c r="G43" s="35">
        <f>G42*C27</f>
        <v/>
      </c>
      <c r="H43" s="31" t="n"/>
    </row>
  </sheetData>
  <mergeCells count="21">
    <mergeCell ref="A9:H9"/>
    <mergeCell ref="B30:H30"/>
    <mergeCell ref="A1:H1"/>
    <mergeCell ref="C2:H2"/>
    <mergeCell ref="A42:F42"/>
    <mergeCell ref="A7:H7"/>
    <mergeCell ref="A25:H25"/>
    <mergeCell ref="A27:B27"/>
    <mergeCell ref="A3:B3"/>
    <mergeCell ref="A43:F43"/>
    <mergeCell ref="A26:B26"/>
    <mergeCell ref="A2:B2"/>
    <mergeCell ref="B39:H39"/>
    <mergeCell ref="A5:B5"/>
    <mergeCell ref="C3:H3"/>
    <mergeCell ref="E28:H28"/>
    <mergeCell ref="A4:B4"/>
    <mergeCell ref="C5:H5"/>
    <mergeCell ref="A28:B28"/>
    <mergeCell ref="C4:H4"/>
    <mergeCell ref="B34:H34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13" customWidth="1" min="4" max="4"/>
    <col width="46" customWidth="1" min="8" max="8"/>
  </cols>
  <sheetData>
    <row r="1" ht="27" customHeight="1">
      <c r="A1" s="18" t="inlineStr">
        <is>
          <t>ANALISIS DE COSTOS UNITARIOS - CANALETA DE TECHO DE BANCAS CON PERGOLA (OC-01)</t>
        </is>
      </c>
      <c r="B1" s="19" t="n"/>
      <c r="C1" s="19" t="n"/>
      <c r="D1" s="19" t="n"/>
      <c r="E1" s="19" t="n"/>
      <c r="F1" s="19" t="n"/>
      <c r="G1" s="19" t="n"/>
      <c r="H1" s="20" t="n"/>
    </row>
    <row r="2" ht="24.75" customHeight="1">
      <c r="A2" s="21" t="inlineStr">
        <is>
          <t>ENTIDAD</t>
        </is>
      </c>
      <c r="B2" s="20" t="n"/>
      <c r="C2" s="22">
        <f>'RESUMEN ACU'!C4</f>
        <v/>
      </c>
      <c r="D2" s="19" t="n"/>
      <c r="E2" s="19" t="n"/>
      <c r="F2" s="19" t="n"/>
      <c r="G2" s="19" t="n"/>
      <c r="H2" s="20" t="n"/>
    </row>
    <row r="3" ht="58.5" customHeight="1">
      <c r="A3" s="21" t="inlineStr">
        <is>
          <t>PROYECTO</t>
        </is>
      </c>
      <c r="B3" s="20" t="n"/>
      <c r="C3" s="22">
        <f>'RESUMEN ACU'!C5</f>
        <v/>
      </c>
      <c r="D3" s="19" t="n"/>
      <c r="E3" s="19" t="n"/>
      <c r="F3" s="19" t="n"/>
      <c r="G3" s="19" t="n"/>
      <c r="H3" s="20" t="n"/>
    </row>
    <row r="4" ht="24.75" customHeight="1">
      <c r="A4" s="21" t="inlineStr">
        <is>
          <t>UBICACIÓN</t>
        </is>
      </c>
      <c r="B4" s="20" t="n"/>
      <c r="C4" s="22">
        <f>'RESUMEN ACU'!C6</f>
        <v/>
      </c>
      <c r="D4" s="19" t="n"/>
      <c r="E4" s="19" t="n"/>
      <c r="F4" s="19" t="n"/>
      <c r="G4" s="19" t="n"/>
      <c r="H4" s="20" t="n"/>
    </row>
    <row r="5" ht="24.75" customHeight="1">
      <c r="A5" s="21" t="inlineStr">
        <is>
          <t>FECHA</t>
        </is>
      </c>
      <c r="B5" s="20" t="n"/>
      <c r="C5" s="23">
        <f>'RESUMEN ACU'!C7</f>
        <v/>
      </c>
      <c r="D5" s="19" t="n"/>
      <c r="E5" s="19" t="n"/>
      <c r="F5" s="19" t="n"/>
      <c r="G5" s="19" t="n"/>
      <c r="H5" s="20" t="n"/>
    </row>
    <row r="7" ht="40" customHeight="1">
      <c r="A7" s="24" t="inlineStr">
        <is>
          <t>Analisis de las partidas 01.04.03.05.04.01 y 01.04.03.05.04.03 (3 juegos OC-01 de tres techos de 3.79, 4.21 y 3.79 m; laminas DPL-41 y DPL-42). Mismo criterio de las canaletas de techo (hoja ACU CANALETAS de la planilla).</t>
        </is>
      </c>
      <c r="B7" s="19" t="n"/>
      <c r="C7" s="19" t="n"/>
      <c r="D7" s="19" t="n"/>
      <c r="E7" s="19" t="n"/>
      <c r="F7" s="19" t="n"/>
      <c r="G7" s="19" t="n"/>
      <c r="H7" s="20" t="n"/>
    </row>
    <row r="9" ht="19.5" customHeight="1">
      <c r="A9" s="25" t="inlineStr">
        <is>
          <t>DATOS DE CALCULO (hoja METRADO CANALETA BANCAS y especificaciones tecnicas)</t>
        </is>
      </c>
      <c r="B9" s="19" t="n"/>
      <c r="C9" s="19" t="n"/>
      <c r="D9" s="19" t="n"/>
      <c r="E9" s="19" t="n"/>
      <c r="F9" s="19" t="n"/>
      <c r="G9" s="19" t="n"/>
      <c r="H9" s="20" t="n"/>
    </row>
    <row r="10" ht="21.75" customHeight="1">
      <c r="A10" s="26" t="inlineStr">
        <is>
          <t>N°</t>
        </is>
      </c>
      <c r="B10" s="26" t="inlineStr">
        <is>
          <t>DATO</t>
        </is>
      </c>
      <c r="C10" s="26" t="inlineStr">
        <is>
          <t>UND</t>
        </is>
      </c>
      <c r="D10" s="26" t="inlineStr">
        <is>
          <t>VALOR</t>
        </is>
      </c>
      <c r="E10" s="26" t="n"/>
      <c r="F10" s="26" t="n"/>
      <c r="G10" s="26" t="n"/>
      <c r="H10" s="26" t="inlineStr">
        <is>
          <t>SUSTENTO</t>
        </is>
      </c>
    </row>
    <row r="11">
      <c r="A11" s="27" t="n">
        <v>1</v>
      </c>
      <c r="B11" s="31" t="inlineStr">
        <is>
          <t>Ancho interior de la canaleta</t>
        </is>
      </c>
      <c r="C11" s="29" t="inlineStr">
        <is>
          <t>m</t>
        </is>
      </c>
      <c r="D11" s="30" t="n">
        <v>0.18</v>
      </c>
      <c r="E11" s="31" t="n"/>
      <c r="F11" s="31" t="n"/>
      <c r="G11" s="31" t="n"/>
      <c r="H11" s="28" t="inlineStr">
        <is>
          <t>METRADO CANALETA BANCAS F18; laminas DPL-41 y DPL-42</t>
        </is>
      </c>
    </row>
    <row r="12">
      <c r="A12" s="27" t="n">
        <v>2</v>
      </c>
      <c r="B12" s="31" t="inlineStr">
        <is>
          <t>Altura interior de la canaleta</t>
        </is>
      </c>
      <c r="C12" s="29" t="inlineStr">
        <is>
          <t>m</t>
        </is>
      </c>
      <c r="D12" s="30" t="n">
        <v>0.21</v>
      </c>
      <c r="E12" s="31" t="n"/>
      <c r="F12" s="31" t="n"/>
      <c r="G12" s="31" t="n"/>
      <c r="H12" s="28" t="inlineStr">
        <is>
          <t>METRADO CANALETA BANCAS F19</t>
        </is>
      </c>
    </row>
    <row r="13">
      <c r="A13" s="27" t="n">
        <v>3</v>
      </c>
      <c r="B13" s="31" t="inlineStr">
        <is>
          <t>Ala posterior apoyada sobre la viga de la pergola</t>
        </is>
      </c>
      <c r="C13" s="29" t="inlineStr">
        <is>
          <t>m</t>
        </is>
      </c>
      <c r="D13" s="30" t="n">
        <v>0.1</v>
      </c>
      <c r="E13" s="31" t="n"/>
      <c r="F13" s="31" t="n"/>
      <c r="G13" s="31" t="n"/>
      <c r="H13" s="28" t="inlineStr">
        <is>
          <t>especificacion 01.04.03.05.04.01</t>
        </is>
      </c>
    </row>
    <row r="14">
      <c r="A14" s="27" t="n">
        <v>4</v>
      </c>
      <c r="B14" s="31" t="inlineStr">
        <is>
          <t>Desarrollo de plancha por metro de canaleta</t>
        </is>
      </c>
      <c r="C14" s="29" t="inlineStr">
        <is>
          <t>m2/m</t>
        </is>
      </c>
      <c r="D14" s="30">
        <f>D11+2*D12+D13</f>
        <v/>
      </c>
      <c r="E14" s="31" t="n"/>
      <c r="F14" s="31" t="n"/>
      <c r="G14" s="31" t="n"/>
      <c r="H14" s="28" t="inlineStr">
        <is>
          <t>fondo + 2 lados + ala = 0.70 m</t>
        </is>
      </c>
    </row>
    <row r="15">
      <c r="A15" s="27" t="n">
        <v>5</v>
      </c>
      <c r="B15" s="31" t="inlineStr">
        <is>
          <t>Espesor de plancha galvanizada</t>
        </is>
      </c>
      <c r="C15" s="29" t="inlineStr">
        <is>
          <t>mm</t>
        </is>
      </c>
      <c r="D15" s="30" t="n">
        <v>0.5</v>
      </c>
      <c r="E15" s="31" t="n"/>
      <c r="F15" s="31" t="n"/>
      <c r="G15" s="31" t="n"/>
      <c r="H15" s="28" t="inlineStr">
        <is>
          <t>METRADO CANALETA BANCAS F20</t>
        </is>
      </c>
    </row>
    <row r="16">
      <c r="A16" s="27" t="n">
        <v>6</v>
      </c>
      <c r="B16" s="31" t="inlineStr">
        <is>
          <t>Peso de la plancha galvanizada</t>
        </is>
      </c>
      <c r="C16" s="29" t="inlineStr">
        <is>
          <t>kg/m2</t>
        </is>
      </c>
      <c r="D16" s="30">
        <f>D15*7.85+0.3</f>
        <v/>
      </c>
      <c r="E16" s="31" t="n"/>
      <c r="F16" s="31" t="n"/>
      <c r="G16" s="31" t="n"/>
      <c r="H16" s="28" t="inlineStr">
        <is>
          <t>espesor x 7.85 kg/m2 por mm + zinc (0.3 kg/m2)</t>
        </is>
      </c>
    </row>
    <row r="17">
      <c r="A17" s="27" t="n">
        <v>7</v>
      </c>
      <c r="B17" s="31" t="inlineStr">
        <is>
          <t>Pestana de la tapa lateral (contorno)</t>
        </is>
      </c>
      <c r="C17" s="29" t="inlineStr">
        <is>
          <t>m</t>
        </is>
      </c>
      <c r="D17" s="30" t="n">
        <v>0.02</v>
      </c>
      <c r="E17" s="31" t="n"/>
      <c r="F17" s="31" t="n"/>
      <c r="G17" s="31" t="n"/>
      <c r="H17" s="28" t="inlineStr">
        <is>
          <t>especificacion 01.04.03.05.04.03</t>
        </is>
      </c>
    </row>
    <row r="18">
      <c r="A18" s="27" t="n">
        <v>8</v>
      </c>
      <c r="B18" s="31" t="inlineStr">
        <is>
          <t>Piezas por techo</t>
        </is>
      </c>
      <c r="C18" s="29" t="inlineStr">
        <is>
          <t>und</t>
        </is>
      </c>
      <c r="D18" s="32" t="n">
        <v>1</v>
      </c>
      <c r="E18" s="31" t="n"/>
      <c r="F18" s="31" t="n"/>
      <c r="G18" s="31" t="n"/>
      <c r="H18" s="28" t="inlineStr">
        <is>
          <t>una sola pieza por techo, sin uniones ni traslapes (especificacion)</t>
        </is>
      </c>
    </row>
    <row r="23">
      <c r="A23" s="25" t="inlineStr">
        <is>
          <t>ACU 1: 01.04.03.05.04.01 CANALETA DE PLANCHA DE ACERO GALVANIZADO e=0.50mm, SECCIÓN 0.18m x 0.21m</t>
        </is>
      </c>
      <c r="B23" s="19" t="n"/>
      <c r="C23" s="19" t="n"/>
      <c r="D23" s="19" t="n"/>
      <c r="E23" s="19" t="n"/>
      <c r="F23" s="19" t="n"/>
      <c r="G23" s="19" t="n"/>
      <c r="H23" s="20" t="n"/>
    </row>
    <row r="24">
      <c r="A24" s="25" t="inlineStr">
        <is>
          <t>Unidad</t>
        </is>
      </c>
      <c r="B24" s="20" t="n"/>
      <c r="C24" s="31" t="inlineStr">
        <is>
          <t>m</t>
        </is>
      </c>
      <c r="D24" s="31" t="n"/>
      <c r="E24" s="31" t="n"/>
      <c r="F24" s="31" t="n"/>
      <c r="G24" s="31" t="n"/>
      <c r="H24" s="31" t="n"/>
    </row>
    <row r="25">
      <c r="A25" s="25" t="inlineStr">
        <is>
          <t>Metrado</t>
        </is>
      </c>
      <c r="B25" s="20" t="n"/>
      <c r="C25" s="33">
        <f>'RESUMEN ACU'!D12</f>
        <v/>
      </c>
      <c r="D25" s="31" t="n"/>
      <c r="E25" s="31" t="n"/>
      <c r="F25" s="31" t="n"/>
      <c r="G25" s="31" t="n"/>
      <c r="H25" s="31" t="n"/>
    </row>
    <row r="26" ht="30" customHeight="1">
      <c r="A26" s="25" t="inlineStr">
        <is>
          <t>Rendimiento (m/dia)</t>
        </is>
      </c>
      <c r="B26" s="20" t="n"/>
      <c r="C26" s="37" t="n">
        <v>25</v>
      </c>
      <c r="D26" s="31" t="n"/>
      <c r="E26" s="31" t="inlineStr">
        <is>
          <t>fabricacion en una pieza por techo (corte y doblado en obra) y colocacion sobre sus dos soportes; cuadrilla 1 op + 1 peon</t>
        </is>
      </c>
      <c r="F26" s="19" t="n"/>
      <c r="G26" s="19" t="n"/>
      <c r="H26" s="20" t="n"/>
    </row>
    <row r="27" ht="31.5" customHeight="1">
      <c r="A27" s="26" t="inlineStr">
        <is>
          <t>N°</t>
        </is>
      </c>
      <c r="B27" s="26" t="inlineStr">
        <is>
          <t>RECURSO</t>
        </is>
      </c>
      <c r="C27" s="26" t="inlineStr">
        <is>
          <t>UND</t>
        </is>
      </c>
      <c r="D27" s="26" t="inlineStr">
        <is>
          <t>CUADRILLA</t>
        </is>
      </c>
      <c r="E27" s="26" t="inlineStr">
        <is>
          <t>CANTIDAD</t>
        </is>
      </c>
      <c r="F27" s="26" t="inlineStr">
        <is>
          <t>PRECIO S/</t>
        </is>
      </c>
      <c r="G27" s="26" t="inlineStr">
        <is>
          <t>PARCIAL S/</t>
        </is>
      </c>
      <c r="H27" s="26" t="inlineStr">
        <is>
          <t>SUSTENTO / FUENTE</t>
        </is>
      </c>
    </row>
    <row r="28">
      <c r="A28" s="34" t="n"/>
      <c r="B28" s="25" t="inlineStr">
        <is>
          <t>MANO DE OBRA</t>
        </is>
      </c>
      <c r="C28" s="38" t="n"/>
      <c r="D28" s="38" t="n"/>
      <c r="E28" s="38" t="n"/>
      <c r="F28" s="38" t="n"/>
      <c r="G28" s="38" t="n"/>
      <c r="H28" s="39" t="n"/>
    </row>
    <row r="29">
      <c r="A29" s="27" t="n">
        <v>1</v>
      </c>
      <c r="B29" s="31" t="inlineStr">
        <is>
          <t>Operario (hojalatero)</t>
        </is>
      </c>
      <c r="C29" s="29" t="inlineStr">
        <is>
          <t>hh</t>
        </is>
      </c>
      <c r="D29" s="36" t="n">
        <v>1</v>
      </c>
      <c r="E29" s="30">
        <f>D29*8/$C$26</f>
        <v/>
      </c>
      <c r="F29" s="37">
        <f>'COSTO HORA HOMBRE 2026'!$G$11</f>
        <v/>
      </c>
      <c r="G29" s="33">
        <f>E29*F29</f>
        <v/>
      </c>
      <c r="H29" s="28" t="inlineStr">
        <is>
          <t>hoja COSTO HORA HOMBRE 2026 (tabla oficial CAPECO-FTCCP 2026)</t>
        </is>
      </c>
    </row>
    <row r="30">
      <c r="A30" s="27" t="n">
        <v>2</v>
      </c>
      <c r="B30" s="31" t="inlineStr">
        <is>
          <t>Peon</t>
        </is>
      </c>
      <c r="C30" s="29" t="inlineStr">
        <is>
          <t>hh</t>
        </is>
      </c>
      <c r="D30" s="36" t="n">
        <v>1</v>
      </c>
      <c r="E30" s="30">
        <f>D30*8/$C$26</f>
        <v/>
      </c>
      <c r="F30" s="37">
        <f>'COSTO HORA HOMBRE 2026'!$G$13</f>
        <v/>
      </c>
      <c r="G30" s="33">
        <f>E30*F30</f>
        <v/>
      </c>
      <c r="H30" s="28" t="inlineStr">
        <is>
          <t>hoja COSTO HORA HOMBRE 2026 (tabla oficial CAPECO-FTCCP 2026)</t>
        </is>
      </c>
    </row>
    <row r="31">
      <c r="A31" s="34" t="n"/>
      <c r="B31" s="25" t="inlineStr">
        <is>
          <t>Subtotal mano de obra</t>
        </is>
      </c>
      <c r="C31" s="31" t="n"/>
      <c r="D31" s="31" t="n"/>
      <c r="E31" s="31" t="n"/>
      <c r="F31" s="31" t="n"/>
      <c r="G31" s="35">
        <f>SUM(G29:G30)</f>
        <v/>
      </c>
      <c r="H31" s="31" t="n"/>
    </row>
    <row r="32">
      <c r="A32" s="34" t="n"/>
      <c r="B32" s="25" t="inlineStr">
        <is>
          <t>MATERIALES</t>
        </is>
      </c>
      <c r="C32" s="38" t="n"/>
      <c r="D32" s="38" t="n"/>
      <c r="E32" s="38" t="n"/>
      <c r="F32" s="38" t="n"/>
      <c r="G32" s="38" t="n"/>
      <c r="H32" s="39" t="n"/>
    </row>
    <row r="33">
      <c r="A33" s="27" t="n">
        <v>3</v>
      </c>
      <c r="B33" s="31" t="inlineStr">
        <is>
          <t>Plancha de acero galvanizado e=0.50 mm</t>
        </is>
      </c>
      <c r="C33" s="29" t="inlineStr">
        <is>
          <t>m2</t>
        </is>
      </c>
      <c r="D33" s="31" t="n"/>
      <c r="E33" s="30">
        <f>$D$14*1.05</f>
        <v/>
      </c>
      <c r="F33" s="37">
        <f>'PRECIOS DE INSUMOS'!$D$5</f>
        <v/>
      </c>
      <c r="G33" s="33">
        <f>E33*F33</f>
        <v/>
      </c>
      <c r="H33" s="28" t="inlineStr">
        <is>
          <t>desarrollo 0.70 m2/m x 1.05 desperdicio (sin traslapes: una pieza por techo)</t>
        </is>
      </c>
    </row>
    <row r="34">
      <c r="A34" s="34" t="n"/>
      <c r="B34" s="25" t="inlineStr">
        <is>
          <t>Subtotal materiales</t>
        </is>
      </c>
      <c r="C34" s="31" t="n"/>
      <c r="D34" s="31" t="n"/>
      <c r="E34" s="31" t="n"/>
      <c r="F34" s="31" t="n"/>
      <c r="G34" s="35">
        <f>SUM(G33:G33)</f>
        <v/>
      </c>
      <c r="H34" s="31" t="n"/>
    </row>
    <row r="35">
      <c r="A35" s="34" t="n"/>
      <c r="B35" s="25" t="inlineStr">
        <is>
          <t>EQUIPOS</t>
        </is>
      </c>
      <c r="C35" s="38" t="n"/>
      <c r="D35" s="38" t="n"/>
      <c r="E35" s="38" t="n"/>
      <c r="F35" s="38" t="n"/>
      <c r="G35" s="38" t="n"/>
      <c r="H35" s="39" t="n"/>
    </row>
    <row r="36">
      <c r="A36" s="27" t="n">
        <v>4</v>
      </c>
      <c r="B36" s="31" t="inlineStr">
        <is>
          <t>Herramientas manuales</t>
        </is>
      </c>
      <c r="C36" s="29" t="inlineStr">
        <is>
          <t>%mo</t>
        </is>
      </c>
      <c r="D36" s="31" t="n"/>
      <c r="E36" s="36" t="n">
        <v>0.05</v>
      </c>
      <c r="F36" s="33">
        <f>+G31</f>
        <v/>
      </c>
      <c r="G36" s="33">
        <f>E36*F36</f>
        <v/>
      </c>
      <c r="H36" s="28" t="inlineStr">
        <is>
          <t>5 % del costo de mano de obra (hojalateria)</t>
        </is>
      </c>
    </row>
    <row r="37">
      <c r="A37" s="34" t="n"/>
      <c r="B37" s="25" t="inlineStr">
        <is>
          <t>Subtotal equipos</t>
        </is>
      </c>
      <c r="C37" s="31" t="n"/>
      <c r="D37" s="31" t="n"/>
      <c r="E37" s="31" t="n"/>
      <c r="F37" s="31" t="n"/>
      <c r="G37" s="35">
        <f>SUM(G36:G36)</f>
        <v/>
      </c>
      <c r="H37" s="31" t="n"/>
    </row>
    <row r="38">
      <c r="A38" s="25" t="inlineStr">
        <is>
          <t>COSTO UNITARIO DIRECTO (S/ por m)</t>
        </is>
      </c>
      <c r="B38" s="38" t="n"/>
      <c r="C38" s="38" t="n"/>
      <c r="D38" s="38" t="n"/>
      <c r="E38" s="38" t="n"/>
      <c r="F38" s="39" t="n"/>
      <c r="G38" s="35">
        <f>+G31+G34+G37</f>
        <v/>
      </c>
      <c r="H38" s="31" t="n"/>
    </row>
    <row r="39">
      <c r="A39" s="25" t="inlineStr">
        <is>
          <t>COSTO DIRECTO DE LA PARTIDA (metrado x costo unitario)</t>
        </is>
      </c>
      <c r="B39" s="38" t="n"/>
      <c r="C39" s="38" t="n"/>
      <c r="D39" s="38" t="n"/>
      <c r="E39" s="38" t="n"/>
      <c r="F39" s="39" t="n"/>
      <c r="G39" s="35">
        <f>G38*C25</f>
        <v/>
      </c>
      <c r="H39" s="31" t="n"/>
    </row>
    <row r="41">
      <c r="A41" s="25" t="inlineStr">
        <is>
          <t>ACU 2: 01.04.03.05.04.03 TAPA LATERAL DE PLANCHA GALVANIZADA P/CANALETA SECCIÓN 0.18m x 0.21m</t>
        </is>
      </c>
      <c r="B41" s="19" t="n"/>
      <c r="C41" s="19" t="n"/>
      <c r="D41" s="19" t="n"/>
      <c r="E41" s="19" t="n"/>
      <c r="F41" s="19" t="n"/>
      <c r="G41" s="19" t="n"/>
      <c r="H41" s="20" t="n"/>
    </row>
    <row r="42">
      <c r="A42" s="25" t="inlineStr">
        <is>
          <t>Unidad</t>
        </is>
      </c>
      <c r="B42" s="20" t="n"/>
      <c r="C42" s="31" t="inlineStr">
        <is>
          <t>und</t>
        </is>
      </c>
      <c r="D42" s="31" t="n"/>
      <c r="E42" s="31" t="n"/>
      <c r="F42" s="31" t="n"/>
      <c r="G42" s="31" t="n"/>
      <c r="H42" s="31" t="n"/>
    </row>
    <row r="43">
      <c r="A43" s="25" t="inlineStr">
        <is>
          <t>Metrado</t>
        </is>
      </c>
      <c r="B43" s="20" t="n"/>
      <c r="C43" s="33">
        <f>'RESUMEN ACU'!D13</f>
        <v/>
      </c>
      <c r="D43" s="31" t="n"/>
      <c r="E43" s="31" t="n"/>
      <c r="F43" s="31" t="n"/>
      <c r="G43" s="31" t="n"/>
      <c r="H43" s="31" t="n"/>
    </row>
    <row r="44" ht="30" customHeight="1">
      <c r="A44" s="25" t="inlineStr">
        <is>
          <t>Rendimiento (und/dia)</t>
        </is>
      </c>
      <c r="B44" s="20" t="n"/>
      <c r="C44" s="37" t="n">
        <v>30</v>
      </c>
      <c r="D44" s="31" t="n"/>
      <c r="E44" s="31" t="inlineStr">
        <is>
          <t>trazo, corte, doblez de pestanas, remachado y sellado en el extremo de la canaleta; cuadrilla 1 op + 0.5 peon</t>
        </is>
      </c>
      <c r="F44" s="19" t="n"/>
      <c r="G44" s="19" t="n"/>
      <c r="H44" s="20" t="n"/>
    </row>
    <row r="45" ht="31.5" customHeight="1">
      <c r="A45" s="26" t="inlineStr">
        <is>
          <t>N°</t>
        </is>
      </c>
      <c r="B45" s="26" t="inlineStr">
        <is>
          <t>RECURSO</t>
        </is>
      </c>
      <c r="C45" s="26" t="inlineStr">
        <is>
          <t>UND</t>
        </is>
      </c>
      <c r="D45" s="26" t="inlineStr">
        <is>
          <t>CUADRILLA</t>
        </is>
      </c>
      <c r="E45" s="26" t="inlineStr">
        <is>
          <t>CANTIDAD</t>
        </is>
      </c>
      <c r="F45" s="26" t="inlineStr">
        <is>
          <t>PRECIO S/</t>
        </is>
      </c>
      <c r="G45" s="26" t="inlineStr">
        <is>
          <t>PARCIAL S/</t>
        </is>
      </c>
      <c r="H45" s="26" t="inlineStr">
        <is>
          <t>SUSTENTO / FUENTE</t>
        </is>
      </c>
    </row>
    <row r="46">
      <c r="A46" s="34" t="n"/>
      <c r="B46" s="25" t="inlineStr">
        <is>
          <t>MANO DE OBRA</t>
        </is>
      </c>
      <c r="C46" s="38" t="n"/>
      <c r="D46" s="38" t="n"/>
      <c r="E46" s="38" t="n"/>
      <c r="F46" s="38" t="n"/>
      <c r="G46" s="38" t="n"/>
      <c r="H46" s="39" t="n"/>
    </row>
    <row r="47">
      <c r="A47" s="27" t="n">
        <v>1</v>
      </c>
      <c r="B47" s="31" t="inlineStr">
        <is>
          <t>Operario (hojalatero)</t>
        </is>
      </c>
      <c r="C47" s="29" t="inlineStr">
        <is>
          <t>hh</t>
        </is>
      </c>
      <c r="D47" s="36" t="n">
        <v>1</v>
      </c>
      <c r="E47" s="30">
        <f>D47*8/$C$44</f>
        <v/>
      </c>
      <c r="F47" s="37">
        <f>'COSTO HORA HOMBRE 2026'!$G$11</f>
        <v/>
      </c>
      <c r="G47" s="33">
        <f>E47*F47</f>
        <v/>
      </c>
      <c r="H47" s="28" t="inlineStr">
        <is>
          <t>hoja COSTO HORA HOMBRE 2026 (tabla oficial CAPECO-FTCCP 2026)</t>
        </is>
      </c>
    </row>
    <row r="48">
      <c r="A48" s="27" t="n">
        <v>2</v>
      </c>
      <c r="B48" s="31" t="inlineStr">
        <is>
          <t>Peon</t>
        </is>
      </c>
      <c r="C48" s="29" t="inlineStr">
        <is>
          <t>hh</t>
        </is>
      </c>
      <c r="D48" s="36" t="n">
        <v>0.5</v>
      </c>
      <c r="E48" s="30">
        <f>D48*8/$C$44</f>
        <v/>
      </c>
      <c r="F48" s="37">
        <f>'COSTO HORA HOMBRE 2026'!$G$13</f>
        <v/>
      </c>
      <c r="G48" s="33">
        <f>E48*F48</f>
        <v/>
      </c>
      <c r="H48" s="28" t="inlineStr">
        <is>
          <t>hoja COSTO HORA HOMBRE 2026 (tabla oficial CAPECO-FTCCP 2026)</t>
        </is>
      </c>
    </row>
    <row r="49">
      <c r="A49" s="34" t="n"/>
      <c r="B49" s="25" t="inlineStr">
        <is>
          <t>Subtotal mano de obra</t>
        </is>
      </c>
      <c r="C49" s="31" t="n"/>
      <c r="D49" s="31" t="n"/>
      <c r="E49" s="31" t="n"/>
      <c r="F49" s="31" t="n"/>
      <c r="G49" s="35">
        <f>SUM(G47:G48)</f>
        <v/>
      </c>
      <c r="H49" s="31" t="n"/>
    </row>
    <row r="50">
      <c r="A50" s="34" t="n"/>
      <c r="B50" s="25" t="inlineStr">
        <is>
          <t>MATERIALES</t>
        </is>
      </c>
      <c r="C50" s="38" t="n"/>
      <c r="D50" s="38" t="n"/>
      <c r="E50" s="38" t="n"/>
      <c r="F50" s="38" t="n"/>
      <c r="G50" s="38" t="n"/>
      <c r="H50" s="39" t="n"/>
    </row>
    <row r="51">
      <c r="A51" s="27" t="n">
        <v>3</v>
      </c>
      <c r="B51" s="31" t="inlineStr">
        <is>
          <t>Plancha de acero galvanizado e=0.50 mm</t>
        </is>
      </c>
      <c r="C51" s="29" t="inlineStr">
        <is>
          <t>m2</t>
        </is>
      </c>
      <c r="D51" s="31" t="n"/>
      <c r="E51" s="30">
        <f>($D$11*$D$12+2*($D$11+$D$12)*$D$17)*1.1</f>
        <v/>
      </c>
      <c r="F51" s="37">
        <f>'PRECIOS DE INSUMOS'!$D$5</f>
        <v/>
      </c>
      <c r="G51" s="33">
        <f>E51*F51</f>
        <v/>
      </c>
      <c r="H51" s="28" t="inlineStr">
        <is>
          <t>tapa 0.18 x 0.21 + pestana de 0.02 en el contorno, 10 % desperdicio</t>
        </is>
      </c>
    </row>
    <row r="52">
      <c r="A52" s="27" t="n">
        <v>4</v>
      </c>
      <c r="B52" s="31" t="inlineStr">
        <is>
          <t>Remache pop 1/8"</t>
        </is>
      </c>
      <c r="C52" s="29" t="inlineStr">
        <is>
          <t>und</t>
        </is>
      </c>
      <c r="D52" s="31" t="n"/>
      <c r="E52" s="30" t="n">
        <v>6</v>
      </c>
      <c r="F52" s="37">
        <f>'PRECIOS DE INSUMOS'!$D$6</f>
        <v/>
      </c>
      <c r="G52" s="33">
        <f>E52*F52</f>
        <v/>
      </c>
      <c r="H52" s="28" t="inlineStr">
        <is>
          <t>6 por tapa</t>
        </is>
      </c>
    </row>
    <row r="53">
      <c r="A53" s="27" t="n">
        <v>5</v>
      </c>
      <c r="B53" s="31" t="inlineStr">
        <is>
          <t>Sellador de poliuretano (cartucho 300 ml)</t>
        </is>
      </c>
      <c r="C53" s="29" t="inlineStr">
        <is>
          <t>und</t>
        </is>
      </c>
      <c r="D53" s="31" t="n"/>
      <c r="E53" s="30">
        <f>($D$11+2*$D$12)/8</f>
        <v/>
      </c>
      <c r="F53" s="37">
        <f>'PRECIOS DE INSUMOS'!$D$7</f>
        <v/>
      </c>
      <c r="G53" s="33">
        <f>E53*F53</f>
        <v/>
      </c>
      <c r="H53" s="28" t="inlineStr">
        <is>
          <t>contorno de la tapa (0.60 m) / 8 m por cartucho</t>
        </is>
      </c>
    </row>
    <row r="54">
      <c r="A54" s="34" t="n"/>
      <c r="B54" s="25" t="inlineStr">
        <is>
          <t>Subtotal materiales</t>
        </is>
      </c>
      <c r="C54" s="31" t="n"/>
      <c r="D54" s="31" t="n"/>
      <c r="E54" s="31" t="n"/>
      <c r="F54" s="31" t="n"/>
      <c r="G54" s="35">
        <f>SUM(G51:G53)</f>
        <v/>
      </c>
      <c r="H54" s="31" t="n"/>
    </row>
    <row r="55">
      <c r="A55" s="34" t="n"/>
      <c r="B55" s="25" t="inlineStr">
        <is>
          <t>EQUIPOS</t>
        </is>
      </c>
      <c r="C55" s="38" t="n"/>
      <c r="D55" s="38" t="n"/>
      <c r="E55" s="38" t="n"/>
      <c r="F55" s="38" t="n"/>
      <c r="G55" s="38" t="n"/>
      <c r="H55" s="39" t="n"/>
    </row>
    <row r="56">
      <c r="A56" s="27" t="n">
        <v>6</v>
      </c>
      <c r="B56" s="31" t="inlineStr">
        <is>
          <t>Herramientas manuales</t>
        </is>
      </c>
      <c r="C56" s="29" t="inlineStr">
        <is>
          <t>%mo</t>
        </is>
      </c>
      <c r="D56" s="31" t="n"/>
      <c r="E56" s="36" t="n">
        <v>0.05</v>
      </c>
      <c r="F56" s="33">
        <f>+G49</f>
        <v/>
      </c>
      <c r="G56" s="33">
        <f>E56*F56</f>
        <v/>
      </c>
      <c r="H56" s="28" t="inlineStr">
        <is>
          <t>5 % del costo de mano de obra (hojalateria)</t>
        </is>
      </c>
    </row>
    <row r="57">
      <c r="A57" s="34" t="n"/>
      <c r="B57" s="25" t="inlineStr">
        <is>
          <t>Subtotal equipos</t>
        </is>
      </c>
      <c r="C57" s="31" t="n"/>
      <c r="D57" s="31" t="n"/>
      <c r="E57" s="31" t="n"/>
      <c r="F57" s="31" t="n"/>
      <c r="G57" s="35">
        <f>SUM(G56:G56)</f>
        <v/>
      </c>
      <c r="H57" s="31" t="n"/>
    </row>
    <row r="58">
      <c r="A58" s="25" t="inlineStr">
        <is>
          <t>COSTO UNITARIO DIRECTO (S/ por und)</t>
        </is>
      </c>
      <c r="B58" s="38" t="n"/>
      <c r="C58" s="38" t="n"/>
      <c r="D58" s="38" t="n"/>
      <c r="E58" s="38" t="n"/>
      <c r="F58" s="39" t="n"/>
      <c r="G58" s="35">
        <f>+G49+G54+G57</f>
        <v/>
      </c>
      <c r="H58" s="31" t="n"/>
    </row>
    <row r="59">
      <c r="A59" s="25" t="inlineStr">
        <is>
          <t>COSTO DIRECTO DE LA PARTIDA (metrado x costo unitario)</t>
        </is>
      </c>
      <c r="B59" s="38" t="n"/>
      <c r="C59" s="38" t="n"/>
      <c r="D59" s="38" t="n"/>
      <c r="E59" s="38" t="n"/>
      <c r="F59" s="39" t="n"/>
      <c r="G59" s="35">
        <f>G58*C43</f>
        <v/>
      </c>
      <c r="H59" s="31" t="n"/>
    </row>
  </sheetData>
  <mergeCells count="21">
    <mergeCell ref="A9:H9"/>
    <mergeCell ref="A24:B24"/>
    <mergeCell ref="E26:H26"/>
    <mergeCell ref="A1:H1"/>
    <mergeCell ref="C2:H2"/>
    <mergeCell ref="A7:H7"/>
    <mergeCell ref="A25:B25"/>
    <mergeCell ref="A41:H41"/>
    <mergeCell ref="A3:B3"/>
    <mergeCell ref="A26:B26"/>
    <mergeCell ref="A2:B2"/>
    <mergeCell ref="A5:B5"/>
    <mergeCell ref="E44:H44"/>
    <mergeCell ref="A42:B42"/>
    <mergeCell ref="C3:H3"/>
    <mergeCell ref="A23:H23"/>
    <mergeCell ref="A4:B4"/>
    <mergeCell ref="A43:B43"/>
    <mergeCell ref="C5:H5"/>
    <mergeCell ref="A44:B44"/>
    <mergeCell ref="C4:H4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44" customWidth="1" min="8" max="8"/>
  </cols>
  <sheetData>
    <row r="1">
      <c r="A1" s="18" t="inlineStr">
        <is>
          <t>COSTO DE LA HORA-HOMBRE 2026 - REGIMEN DE CONSTRUCCION CIVIL (TABLA OFICIAL CAPECO - FTCCP)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21" t="inlineStr">
        <is>
          <t>ENTIDAD</t>
        </is>
      </c>
      <c r="B2" s="20" t="n"/>
      <c r="C2" s="22">
        <f>+'RESUMEN ACU'!C4</f>
        <v/>
      </c>
      <c r="D2" s="19" t="n"/>
      <c r="E2" s="19" t="n"/>
      <c r="F2" s="19" t="n"/>
      <c r="G2" s="19" t="n"/>
      <c r="H2" s="20" t="n"/>
    </row>
    <row r="3">
      <c r="A3" s="21" t="inlineStr">
        <is>
          <t>PROYECTO</t>
        </is>
      </c>
      <c r="B3" s="20" t="n"/>
      <c r="C3" s="22">
        <f>+'RESUMEN ACU'!C5</f>
        <v/>
      </c>
      <c r="D3" s="19" t="n"/>
      <c r="E3" s="19" t="n"/>
      <c r="F3" s="19" t="n"/>
      <c r="G3" s="19" t="n"/>
      <c r="H3" s="20" t="n"/>
    </row>
    <row r="4">
      <c r="A4" s="21" t="inlineStr">
        <is>
          <t>UBICACIÓN</t>
        </is>
      </c>
      <c r="B4" s="20" t="n"/>
      <c r="C4" s="22">
        <f>+'RESUMEN ACU'!C6</f>
        <v/>
      </c>
      <c r="D4" s="19" t="n"/>
      <c r="E4" s="19" t="n"/>
      <c r="F4" s="19" t="n"/>
      <c r="G4" s="19" t="n"/>
      <c r="H4" s="20" t="n"/>
    </row>
    <row r="5">
      <c r="A5" s="21" t="inlineStr">
        <is>
          <t>FECHA</t>
        </is>
      </c>
      <c r="B5" s="20" t="n"/>
      <c r="C5" s="23">
        <f>+'RESUMEN ACU'!C7</f>
        <v/>
      </c>
      <c r="D5" s="19" t="n"/>
      <c r="E5" s="19" t="n"/>
      <c r="F5" s="19" t="n"/>
      <c r="G5" s="19" t="n"/>
      <c r="H5" s="20" t="n"/>
    </row>
    <row r="6"/>
    <row r="7">
      <c r="A7" s="24" t="inlineStr">
        <is>
          <t>Costo de la hora-hombre en edificacion del 01.01.2026 al 31.12.2026, segun la tabla oficial elaborada entre CAPECO y la FTCCP (Remuneracion y condiciones de trabajo en construccion civil 2026, Acta final de negociacion colectiva, Exp. N° 339-2025-MTPE/2.14-NC). El resumen de la parte 1 es el que usan todas las ACU de la planilla. Celda amarilla = dato de la tabla oficial; verde = formula.</t>
        </is>
      </c>
      <c r="B7" s="19" t="n"/>
      <c r="C7" s="19" t="n"/>
      <c r="D7" s="19" t="n"/>
      <c r="E7" s="19" t="n"/>
      <c r="F7" s="19" t="n"/>
      <c r="G7" s="19" t="n"/>
      <c r="H7" s="20" t="n"/>
    </row>
    <row r="8"/>
    <row r="9">
      <c r="A9" s="25" t="inlineStr">
        <is>
          <t>1. COSTO HORA-HOMBRE 2026 POR CATEGORIA (lo usan todas las ACU)</t>
        </is>
      </c>
      <c r="B9" s="19" t="n"/>
      <c r="C9" s="19" t="n"/>
      <c r="D9" s="19" t="n"/>
      <c r="E9" s="19" t="n"/>
      <c r="F9" s="19" t="n"/>
      <c r="G9" s="19" t="n"/>
      <c r="H9" s="20" t="n"/>
    </row>
    <row r="10">
      <c r="A10" s="26" t="inlineStr">
        <is>
          <t>N°</t>
        </is>
      </c>
      <c r="B10" s="26" t="inlineStr">
        <is>
          <t>CATEGORIA</t>
        </is>
      </c>
      <c r="C10" s="26" t="inlineStr">
        <is>
          <t>JORNAL BASICO (S/ dia)</t>
        </is>
      </c>
      <c r="D10" s="26" t="inlineStr">
        <is>
          <t>TOTAL POR DIA DE 8 h (S/)</t>
        </is>
      </c>
      <c r="E10" s="26" t="n"/>
      <c r="F10" s="26" t="n"/>
      <c r="G10" s="26" t="inlineStr">
        <is>
          <t>COSTO HH 2026 (S/ hh)</t>
        </is>
      </c>
      <c r="H10" s="26" t="inlineStr">
        <is>
          <t>FUENTE</t>
        </is>
      </c>
    </row>
    <row r="11">
      <c r="A11" s="27" t="n">
        <v>1</v>
      </c>
      <c r="B11" s="28" t="inlineStr">
        <is>
          <t>Operario</t>
        </is>
      </c>
      <c r="C11" s="33">
        <f>D17</f>
        <v/>
      </c>
      <c r="D11" s="33">
        <f>D25</f>
        <v/>
      </c>
      <c r="E11" s="31" t="n"/>
      <c r="F11" s="31" t="n"/>
      <c r="G11" s="35">
        <f>D26</f>
        <v/>
      </c>
      <c r="H11" s="28" t="inlineStr">
        <is>
          <t>Tabla oficial CAPECO - FTCCP 2026 (Exp. N° 339-2025-MTPE/2.14-NC)</t>
        </is>
      </c>
    </row>
    <row r="12">
      <c r="A12" s="27" t="n">
        <v>2</v>
      </c>
      <c r="B12" s="28" t="inlineStr">
        <is>
          <t>Oficial</t>
        </is>
      </c>
      <c r="C12" s="33">
        <f>E17</f>
        <v/>
      </c>
      <c r="D12" s="33">
        <f>E25</f>
        <v/>
      </c>
      <c r="E12" s="31" t="n"/>
      <c r="F12" s="31" t="n"/>
      <c r="G12" s="35">
        <f>E26</f>
        <v/>
      </c>
      <c r="H12" s="28" t="inlineStr">
        <is>
          <t>Tabla oficial CAPECO - FTCCP 2026 (Exp. N° 339-2025-MTPE/2.14-NC)</t>
        </is>
      </c>
    </row>
    <row r="13">
      <c r="A13" s="27" t="n">
        <v>3</v>
      </c>
      <c r="B13" s="28" t="inlineStr">
        <is>
          <t>Peon</t>
        </is>
      </c>
      <c r="C13" s="33">
        <f>F17</f>
        <v/>
      </c>
      <c r="D13" s="33">
        <f>F25</f>
        <v/>
      </c>
      <c r="E13" s="31" t="n"/>
      <c r="F13" s="31" t="n"/>
      <c r="G13" s="35">
        <f>F26</f>
        <v/>
      </c>
      <c r="H13" s="28" t="inlineStr">
        <is>
          <t>Tabla oficial CAPECO - FTCCP 2026 (Exp. N° 339-2025-MTPE/2.14-NC)</t>
        </is>
      </c>
    </row>
    <row r="14"/>
    <row r="15">
      <c r="A15" s="25" t="inlineStr">
        <is>
          <t>2. COSTO HORA-HOMBRE EN EDIFICACION DEL 01.01.2026 AL 31.12.2026</t>
        </is>
      </c>
      <c r="B15" s="19" t="n"/>
      <c r="C15" s="19" t="n"/>
      <c r="D15" s="19" t="n"/>
      <c r="E15" s="19" t="n"/>
      <c r="F15" s="19" t="n"/>
      <c r="G15" s="19" t="n"/>
      <c r="H15" s="20" t="n"/>
    </row>
    <row r="16">
      <c r="A16" s="26" t="inlineStr">
        <is>
          <t>N°</t>
        </is>
      </c>
      <c r="B16" s="26" t="inlineStr">
        <is>
          <t>CONCEPTO</t>
        </is>
      </c>
      <c r="C16" s="26" t="inlineStr">
        <is>
          <t>BASE</t>
        </is>
      </c>
      <c r="D16" s="26" t="inlineStr">
        <is>
          <t>OPERARIO</t>
        </is>
      </c>
      <c r="E16" s="26" t="inlineStr">
        <is>
          <t>OFICIAL</t>
        </is>
      </c>
      <c r="F16" s="26" t="inlineStr">
        <is>
          <t>PEON</t>
        </is>
      </c>
      <c r="G16" s="26" t="n"/>
      <c r="H16" s="26" t="inlineStr">
        <is>
          <t>SUSTENTO</t>
        </is>
      </c>
    </row>
    <row r="17">
      <c r="A17" s="27" t="n">
        <v>1</v>
      </c>
      <c r="B17" s="28" t="inlineStr">
        <is>
          <t>Remuneracion basica del 01/01/2026 al 31/12/2026</t>
        </is>
      </c>
      <c r="C17" s="29" t="inlineStr">
        <is>
          <t>jornal</t>
        </is>
      </c>
      <c r="D17" s="37" t="n">
        <v>89.3</v>
      </c>
      <c r="E17" s="37" t="n">
        <v>69.75</v>
      </c>
      <c r="F17" s="37" t="n">
        <v>62.8</v>
      </c>
      <c r="G17" s="31" t="n"/>
      <c r="H17" s="28" t="inlineStr">
        <is>
          <t>R.M. 197-2025-TR; tabla oficial CAPECO - FTCCP 2026</t>
        </is>
      </c>
    </row>
    <row r="18">
      <c r="A18" s="27" t="n">
        <v>2</v>
      </c>
      <c r="B18" s="28" t="inlineStr">
        <is>
          <t>Beneficios y leyes sociales sobre el jornal basico (%)</t>
        </is>
      </c>
      <c r="C18" s="33">
        <f>$D$50</f>
        <v/>
      </c>
      <c r="D18" s="33">
        <f>ROUND(D17*$C$18/100,2)</f>
        <v/>
      </c>
      <c r="E18" s="33">
        <f>ROUND(E17*$C$18/100,2)</f>
        <v/>
      </c>
      <c r="F18" s="33">
        <f>ROUND(F17*$C$18/100,2)</f>
        <v/>
      </c>
      <c r="G18" s="31" t="n"/>
      <c r="H18" s="28" t="inlineStr">
        <is>
          <t>parte 3: 112.20 % sobre el jornal basico</t>
        </is>
      </c>
    </row>
    <row r="19">
      <c r="A19" s="27" t="n">
        <v>3</v>
      </c>
      <c r="B19" s="28" t="inlineStr">
        <is>
          <t>Bonificacion unificada de construccion (BUC)</t>
        </is>
      </c>
      <c r="C19" s="29" t="inlineStr">
        <is>
          <t>32/30/30 %</t>
        </is>
      </c>
      <c r="D19" s="33">
        <f>ROUND(D17*0.32,2)</f>
        <v/>
      </c>
      <c r="E19" s="33">
        <f>ROUND(E17*0.30,2)</f>
        <v/>
      </c>
      <c r="F19" s="33">
        <f>ROUND(F17*0.30,2)</f>
        <v/>
      </c>
      <c r="G19" s="31" t="n"/>
      <c r="H19" s="28" t="inlineStr">
        <is>
          <t>32 % operario; 30 % oficial y peon</t>
        </is>
      </c>
    </row>
    <row r="20">
      <c r="A20" s="27" t="n">
        <v>4</v>
      </c>
      <c r="B20" s="28" t="inlineStr">
        <is>
          <t>Beneficios y leyes sociales sobre el BUC (%)</t>
        </is>
      </c>
      <c r="C20" s="33">
        <f>$E$50</f>
        <v/>
      </c>
      <c r="D20" s="33">
        <f>ROUND(D19*$C$20/100,2)</f>
        <v/>
      </c>
      <c r="E20" s="33">
        <f>ROUND(E19*$C$20/100,2)</f>
        <v/>
      </c>
      <c r="F20" s="33">
        <f>ROUND(F19*$C$20/100,2)</f>
        <v/>
      </c>
      <c r="G20" s="31" t="n"/>
      <c r="H20" s="28" t="inlineStr">
        <is>
          <t>parte 3: 12.25 % sobre el BUC</t>
        </is>
      </c>
    </row>
    <row r="21">
      <c r="A21" s="27" t="n">
        <v>5</v>
      </c>
      <c r="B21" s="28" t="inlineStr">
        <is>
          <t>Seguro de vida ESSALUD + Vida (S/ 5.00 por mes)</t>
        </is>
      </c>
      <c r="C21" s="29" t="inlineStr">
        <is>
          <t>dia</t>
        </is>
      </c>
      <c r="D21" s="37" t="n">
        <v>0.16</v>
      </c>
      <c r="E21" s="37" t="n">
        <v>0.16</v>
      </c>
      <c r="F21" s="37" t="n">
        <v>0.16</v>
      </c>
      <c r="G21" s="31" t="n"/>
      <c r="H21" s="28" t="inlineStr">
        <is>
          <t>tabla oficial</t>
        </is>
      </c>
    </row>
    <row r="22">
      <c r="A22" s="27" t="n">
        <v>6</v>
      </c>
      <c r="B22" s="28" t="inlineStr">
        <is>
          <t>Fondo de capacitacion (Exp. N° 339-2025-MTPE/2.14-NC)</t>
        </is>
      </c>
      <c r="C22" s="29" t="inlineStr">
        <is>
          <t>dia</t>
        </is>
      </c>
      <c r="D22" s="37" t="n">
        <v>0.4</v>
      </c>
      <c r="E22" s="37" t="n">
        <v>0.31</v>
      </c>
      <c r="F22" s="37" t="n">
        <v>0.28</v>
      </c>
      <c r="G22" s="31" t="n"/>
      <c r="H22" s="28" t="inlineStr">
        <is>
          <t>tabla oficial</t>
        </is>
      </c>
    </row>
    <row r="23">
      <c r="A23" s="27" t="n">
        <v>7</v>
      </c>
      <c r="B23" s="28" t="inlineStr">
        <is>
          <t>Bonificacion por movilidad (R.M. N° 139-2024-TR)</t>
        </is>
      </c>
      <c r="C23" s="29" t="inlineStr">
        <is>
          <t>dia</t>
        </is>
      </c>
      <c r="D23" s="37" t="n">
        <v>8.6</v>
      </c>
      <c r="E23" s="37" t="n">
        <v>8.6</v>
      </c>
      <c r="F23" s="37" t="n">
        <v>8.6</v>
      </c>
      <c r="G23" s="31" t="n"/>
      <c r="H23" s="28" t="inlineStr">
        <is>
          <t>S/ 8.60 por dia laborado en todo el pais</t>
        </is>
      </c>
    </row>
    <row r="24">
      <c r="A24" s="27" t="n">
        <v>8</v>
      </c>
      <c r="B24" s="28" t="inlineStr">
        <is>
          <t>Overol (R.D. N° 777-87-DR-LIM): (2 x S/ 132.80) / 300</t>
        </is>
      </c>
      <c r="C24" s="29" t="inlineStr">
        <is>
          <t>dia</t>
        </is>
      </c>
      <c r="D24" s="33">
        <f>ROUND(2*132.8/300,2)</f>
        <v/>
      </c>
      <c r="E24" s="33">
        <f>ROUND(2*132.8/300,2)</f>
        <v/>
      </c>
      <c r="F24" s="33">
        <f>ROUND(2*132.8/300,2)</f>
        <v/>
      </c>
      <c r="G24" s="31" t="n"/>
      <c r="H24" s="28" t="inlineStr">
        <is>
          <t>tabla oficial</t>
        </is>
      </c>
    </row>
    <row r="25">
      <c r="A25" s="34" t="n"/>
      <c r="B25" s="25" t="inlineStr">
        <is>
          <t>Total por dia de 8 horas (S/)</t>
        </is>
      </c>
      <c r="C25" s="31" t="n"/>
      <c r="D25" s="35">
        <f>SUM(D17:D24)</f>
        <v/>
      </c>
      <c r="E25" s="35">
        <f>SUM(E17:E24)</f>
        <v/>
      </c>
      <c r="F25" s="35">
        <f>SUM(F17:F24)</f>
        <v/>
      </c>
      <c r="G25" s="31" t="n"/>
      <c r="H25" s="31" t="n"/>
    </row>
    <row r="26">
      <c r="A26" s="34" t="n"/>
      <c r="B26" s="25" t="inlineStr">
        <is>
          <t>Costo de la hora-hombre (S/ hh)</t>
        </is>
      </c>
      <c r="C26" s="31" t="n"/>
      <c r="D26" s="35">
        <f>ROUND(D25/8,2)</f>
        <v/>
      </c>
      <c r="E26" s="35">
        <f>ROUND(E25/8,2)</f>
        <v/>
      </c>
      <c r="F26" s="35">
        <f>ROUND(F25/8,2)</f>
        <v/>
      </c>
      <c r="G26" s="31" t="n"/>
      <c r="H26" s="28" t="inlineStr">
        <is>
          <t>total por dia / 8 horas</t>
        </is>
      </c>
    </row>
    <row r="27"/>
    <row r="28">
      <c r="A28" s="25" t="inlineStr">
        <is>
          <t>3. PORCENTAJES DE BENEFICIOS Y LEYES SOCIALES EN EDIFICACION (tabla oficial CAPECO - FTCCP 2026)</t>
        </is>
      </c>
      <c r="B28" s="19" t="n"/>
      <c r="C28" s="19" t="n"/>
      <c r="D28" s="19" t="n"/>
      <c r="E28" s="19" t="n"/>
      <c r="F28" s="19" t="n"/>
      <c r="G28" s="19" t="n"/>
      <c r="H28" s="20" t="n"/>
    </row>
    <row r="29">
      <c r="A29" s="26" t="inlineStr">
        <is>
          <t>N°</t>
        </is>
      </c>
      <c r="B29" s="26" t="inlineStr">
        <is>
          <t>CONCEPTO</t>
        </is>
      </c>
      <c r="C29" s="26" t="n"/>
      <c r="D29" s="26" t="inlineStr">
        <is>
          <t>SOBRE JORNAL BASICO (%)</t>
        </is>
      </c>
      <c r="E29" s="26" t="inlineStr">
        <is>
          <t>SOBRE BUC (%)</t>
        </is>
      </c>
      <c r="F29" s="26" t="n"/>
      <c r="G29" s="26" t="n"/>
      <c r="H29" s="26" t="inlineStr">
        <is>
          <t>SUSTENTO</t>
        </is>
      </c>
    </row>
    <row r="30">
      <c r="A30" s="27" t="n">
        <v>1</v>
      </c>
      <c r="B30" s="28" t="inlineStr">
        <is>
          <t>1.01 Indemnizacion por tiempo de servicios</t>
        </is>
      </c>
      <c r="C30" s="31" t="n"/>
      <c r="D30" s="37" t="n">
        <v>12</v>
      </c>
      <c r="E30" s="31" t="n"/>
      <c r="F30" s="31" t="n"/>
      <c r="G30" s="31" t="n"/>
      <c r="H30" s="28" t="inlineStr">
        <is>
          <t>tabla oficial</t>
        </is>
      </c>
    </row>
    <row r="31">
      <c r="A31" s="27" t="n">
        <v>2</v>
      </c>
      <c r="B31" s="28" t="inlineStr">
        <is>
          <t>1.01 Indemnizacion por participacion de utilidades</t>
        </is>
      </c>
      <c r="C31" s="31" t="n"/>
      <c r="D31" s="37" t="n">
        <v>3</v>
      </c>
      <c r="E31" s="31" t="n"/>
      <c r="F31" s="31" t="n"/>
      <c r="G31" s="31" t="n"/>
      <c r="H31" s="28" t="inlineStr">
        <is>
          <t>tabla oficial</t>
        </is>
      </c>
    </row>
    <row r="32">
      <c r="A32" s="27" t="n">
        <v>3</v>
      </c>
      <c r="B32" s="28" t="inlineStr">
        <is>
          <t>1.02 SCTR: prestaciones asistenciales (Ley 26790)</t>
        </is>
      </c>
      <c r="C32" s="31" t="n"/>
      <c r="D32" s="37" t="n">
        <v>1.3</v>
      </c>
      <c r="E32" s="37" t="n">
        <v>1.3</v>
      </c>
      <c r="F32" s="31" t="n"/>
      <c r="G32" s="31" t="n"/>
      <c r="H32" s="28" t="inlineStr">
        <is>
          <t>tabla oficial</t>
        </is>
      </c>
    </row>
    <row r="33">
      <c r="A33" s="27" t="n">
        <v>4</v>
      </c>
      <c r="B33" s="28" t="inlineStr">
        <is>
          <t>1.02 SCTR: prestaciones economicas</t>
        </is>
      </c>
      <c r="C33" s="31" t="n"/>
      <c r="D33" s="37" t="n">
        <v>1.05</v>
      </c>
      <c r="E33" s="37" t="n">
        <v>1.05</v>
      </c>
      <c r="F33" s="31" t="n"/>
      <c r="G33" s="31" t="n"/>
      <c r="H33" s="28" t="inlineStr">
        <is>
          <t>tabla oficial</t>
        </is>
      </c>
    </row>
    <row r="34">
      <c r="A34" s="27" t="n">
        <v>5</v>
      </c>
      <c r="B34" s="28" t="inlineStr">
        <is>
          <t>1.04 Regimen de prestaciones de salud (ESSALUD)</t>
        </is>
      </c>
      <c r="C34" s="31" t="n"/>
      <c r="D34" s="37" t="n">
        <v>9</v>
      </c>
      <c r="E34" s="37" t="n">
        <v>9</v>
      </c>
      <c r="F34" s="31" t="n"/>
      <c r="G34" s="31" t="n"/>
      <c r="H34" s="28" t="inlineStr">
        <is>
          <t>tabla oficial</t>
        </is>
      </c>
    </row>
    <row r="35">
      <c r="A35" s="27" t="n">
        <v>6</v>
      </c>
      <c r="B35" s="28" t="inlineStr">
        <is>
          <t>1.05 Seguro de vida ley</t>
        </is>
      </c>
      <c r="C35" s="31" t="n"/>
      <c r="D35" s="37" t="n">
        <v>0.9</v>
      </c>
      <c r="E35" s="37" t="n">
        <v>0.9</v>
      </c>
      <c r="F35" s="31" t="n"/>
      <c r="G35" s="31" t="n"/>
      <c r="H35" s="28" t="inlineStr">
        <is>
          <t>tabla oficial</t>
        </is>
      </c>
    </row>
    <row r="36">
      <c r="A36" s="27" t="n">
        <v>7</v>
      </c>
      <c r="B36" s="28" t="inlineStr">
        <is>
          <t>2.01 Salario dominical</t>
        </is>
      </c>
      <c r="C36" s="31" t="n"/>
      <c r="D36" s="37" t="n">
        <v>17.58</v>
      </c>
      <c r="E36" s="31" t="n"/>
      <c r="F36" s="31" t="n"/>
      <c r="G36" s="31" t="n"/>
      <c r="H36" s="28" t="inlineStr">
        <is>
          <t>tabla oficial</t>
        </is>
      </c>
    </row>
    <row r="37">
      <c r="A37" s="27" t="n">
        <v>8</v>
      </c>
      <c r="B37" s="28" t="inlineStr">
        <is>
          <t>2.02 Vacaciones record (30 dias)</t>
        </is>
      </c>
      <c r="C37" s="31" t="n"/>
      <c r="D37" s="37" t="n">
        <v>10</v>
      </c>
      <c r="E37" s="31" t="n"/>
      <c r="F37" s="31" t="n"/>
      <c r="G37" s="31" t="n"/>
      <c r="H37" s="28" t="inlineStr">
        <is>
          <t>tabla oficial</t>
        </is>
      </c>
    </row>
    <row r="38">
      <c r="A38" s="27" t="n">
        <v>9</v>
      </c>
      <c r="B38" s="28" t="inlineStr">
        <is>
          <t>2.03 Gratificacion por Fiestas Patrias y Navidad</t>
        </is>
      </c>
      <c r="C38" s="31" t="n"/>
      <c r="D38" s="37" t="n">
        <v>22.22</v>
      </c>
      <c r="E38" s="31" t="n"/>
      <c r="F38" s="31" t="n"/>
      <c r="G38" s="31" t="n"/>
      <c r="H38" s="28" t="inlineStr">
        <is>
          <t>tabla oficial</t>
        </is>
      </c>
    </row>
    <row r="39">
      <c r="A39" s="27" t="n">
        <v>10</v>
      </c>
      <c r="B39" s="28" t="inlineStr">
        <is>
          <t>2.04 Jornales por dias feriados no laborables</t>
        </is>
      </c>
      <c r="C39" s="31" t="n"/>
      <c r="D39" s="37" t="n">
        <v>4.33</v>
      </c>
      <c r="E39" s="31" t="n"/>
      <c r="F39" s="31" t="n"/>
      <c r="G39" s="31" t="n"/>
      <c r="H39" s="28" t="inlineStr">
        <is>
          <t>tabla oficial</t>
        </is>
      </c>
    </row>
    <row r="40">
      <c r="A40" s="27" t="n">
        <v>11</v>
      </c>
      <c r="B40" s="28" t="inlineStr">
        <is>
          <t>2.05 Asignacion escolar (promedio 3 hijos)</t>
        </is>
      </c>
      <c r="C40" s="31" t="n"/>
      <c r="D40" s="37" t="n">
        <v>25</v>
      </c>
      <c r="E40" s="31" t="n"/>
      <c r="F40" s="31" t="n"/>
      <c r="G40" s="31" t="n"/>
      <c r="H40" s="28" t="inlineStr">
        <is>
          <t>tabla oficial</t>
        </is>
      </c>
    </row>
    <row r="41">
      <c r="A41" s="27" t="n">
        <v>12</v>
      </c>
      <c r="B41" s="28" t="inlineStr">
        <is>
          <t>3.01 ESSALUD sobre salario dominical (9 % de 17.58 %)</t>
        </is>
      </c>
      <c r="C41" s="31" t="n"/>
      <c r="D41" s="37" t="n">
        <v>1.58</v>
      </c>
      <c r="E41" s="31" t="n"/>
      <c r="F41" s="31" t="n"/>
      <c r="G41" s="31" t="n"/>
      <c r="H41" s="28" t="inlineStr">
        <is>
          <t>tabla oficial</t>
        </is>
      </c>
    </row>
    <row r="42">
      <c r="A42" s="27" t="n">
        <v>13</v>
      </c>
      <c r="B42" s="28" t="inlineStr">
        <is>
          <t>3.02 ESSALUD sobre vacaciones (9 % de 10.00 %)</t>
        </is>
      </c>
      <c r="C42" s="31" t="n"/>
      <c r="D42" s="37" t="n">
        <v>0.9</v>
      </c>
      <c r="E42" s="31" t="n"/>
      <c r="F42" s="31" t="n"/>
      <c r="G42" s="31" t="n"/>
      <c r="H42" s="28" t="inlineStr">
        <is>
          <t>tabla oficial</t>
        </is>
      </c>
    </row>
    <row r="43">
      <c r="A43" s="27" t="n">
        <v>14</v>
      </c>
      <c r="B43" s="28" t="inlineStr">
        <is>
          <t>3.03 ESSALUD sobre feriados (9 % de 4.33 %)</t>
        </is>
      </c>
      <c r="C43" s="31" t="n"/>
      <c r="D43" s="37" t="n">
        <v>0.39</v>
      </c>
      <c r="E43" s="31" t="n"/>
      <c r="F43" s="31" t="n"/>
      <c r="G43" s="31" t="n"/>
      <c r="H43" s="28" t="inlineStr">
        <is>
          <t>tabla oficial</t>
        </is>
      </c>
    </row>
    <row r="44">
      <c r="A44" s="27" t="n">
        <v>15</v>
      </c>
      <c r="B44" s="28" t="inlineStr">
        <is>
          <t>4.01 SCTR sobre salario dominical (2.35 % de 17.58 %)</t>
        </is>
      </c>
      <c r="C44" s="31" t="n"/>
      <c r="D44" s="37" t="n">
        <v>0.41</v>
      </c>
      <c r="E44" s="31" t="n"/>
      <c r="F44" s="31" t="n"/>
      <c r="G44" s="31" t="n"/>
      <c r="H44" s="28" t="inlineStr">
        <is>
          <t>tabla oficial</t>
        </is>
      </c>
    </row>
    <row r="45">
      <c r="A45" s="27" t="n">
        <v>16</v>
      </c>
      <c r="B45" s="28" t="inlineStr">
        <is>
          <t>4.02 SCTR sobre vacaciones (2.35 % de 10.00 %)</t>
        </is>
      </c>
      <c r="C45" s="31" t="n"/>
      <c r="D45" s="37" t="n">
        <v>0.24</v>
      </c>
      <c r="E45" s="31" t="n"/>
      <c r="F45" s="31" t="n"/>
      <c r="G45" s="31" t="n"/>
      <c r="H45" s="28" t="inlineStr">
        <is>
          <t>tabla oficial</t>
        </is>
      </c>
    </row>
    <row r="46">
      <c r="A46" s="27" t="n">
        <v>17</v>
      </c>
      <c r="B46" s="28" t="inlineStr">
        <is>
          <t>4.03 SCTR sobre feriados (2.35 % de 4.33 %)</t>
        </is>
      </c>
      <c r="C46" s="31" t="n"/>
      <c r="D46" s="37" t="n">
        <v>0.1</v>
      </c>
      <c r="E46" s="31" t="n"/>
      <c r="F46" s="31" t="n"/>
      <c r="G46" s="31" t="n"/>
      <c r="H46" s="28" t="inlineStr">
        <is>
          <t>tabla oficial</t>
        </is>
      </c>
    </row>
    <row r="47">
      <c r="A47" s="27" t="n">
        <v>18</v>
      </c>
      <c r="B47" s="28" t="inlineStr">
        <is>
          <t>5.01 Seguro de vida ley sobre salario dominical (0.90 % de 17.58 %)</t>
        </is>
      </c>
      <c r="C47" s="31" t="n"/>
      <c r="D47" s="37" t="n">
        <v>0.16</v>
      </c>
      <c r="E47" s="31" t="n"/>
      <c r="F47" s="31" t="n"/>
      <c r="G47" s="31" t="n"/>
      <c r="H47" s="28" t="inlineStr">
        <is>
          <t>tabla oficial</t>
        </is>
      </c>
    </row>
    <row r="48">
      <c r="A48" s="27" t="n">
        <v>19</v>
      </c>
      <c r="B48" s="28" t="inlineStr">
        <is>
          <t>5.02 Seguro de vida ley sobre feriados (0.90 % de 4.33 %)</t>
        </is>
      </c>
      <c r="C48" s="31" t="n"/>
      <c r="D48" s="37" t="n">
        <v>0.04</v>
      </c>
      <c r="E48" s="31" t="n"/>
      <c r="F48" s="31" t="n"/>
      <c r="G48" s="31" t="n"/>
      <c r="H48" s="28" t="inlineStr">
        <is>
          <t>tabla oficial</t>
        </is>
      </c>
    </row>
    <row r="49">
      <c r="A49" s="27" t="n">
        <v>20</v>
      </c>
      <c r="B49" s="28" t="inlineStr">
        <is>
          <t>6.01 Bonificacion extraordinaria Ley 30334 (9 % de 22.22 %)</t>
        </is>
      </c>
      <c r="C49" s="31" t="n"/>
      <c r="D49" s="37" t="n">
        <v>2</v>
      </c>
      <c r="E49" s="31" t="n"/>
      <c r="F49" s="31" t="n"/>
      <c r="G49" s="31" t="n"/>
      <c r="H49" s="28" t="inlineStr">
        <is>
          <t>tabla oficial</t>
        </is>
      </c>
    </row>
    <row r="50">
      <c r="A50" s="34" t="n"/>
      <c r="B50" s="25" t="inlineStr">
        <is>
          <t>PORCENTAJE TOTAL DE LEYES Y BENEFICIOS SOCIALES</t>
        </is>
      </c>
      <c r="C50" s="31" t="n"/>
      <c r="D50" s="35">
        <f>SUM(D30:D49)</f>
        <v/>
      </c>
      <c r="E50" s="35">
        <f>SUM(E30:E49)</f>
        <v/>
      </c>
      <c r="F50" s="31" t="n"/>
      <c r="G50" s="31" t="n"/>
      <c r="H50" s="28" t="inlineStr">
        <is>
          <t>112.20 % y 12.25 %</t>
        </is>
      </c>
    </row>
  </sheetData>
  <mergeCells count="13">
    <mergeCell ref="A4:B4"/>
    <mergeCell ref="A9:H9"/>
    <mergeCell ref="A1:H1"/>
    <mergeCell ref="C2:H2"/>
    <mergeCell ref="A2:B2"/>
    <mergeCell ref="A15:H15"/>
    <mergeCell ref="A7:H7"/>
    <mergeCell ref="C5:H5"/>
    <mergeCell ref="A5:B5"/>
    <mergeCell ref="A28:H28"/>
    <mergeCell ref="C4:H4"/>
    <mergeCell ref="C3:H3"/>
    <mergeCell ref="A3:B3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ACU - partidas resaltadas - Hogar de Refugio Temporal</dc:title>
  <dcterms:created xmlns:dcterms="http://purl.org/dc/terms/" xmlns:xsi="http://www.w3.org/2001/XMLSchema-instance" xsi:type="dcterms:W3CDTF">2026-10-26T17:04:48Z</dcterms:created>
  <dcterms:modified xmlns:dcterms="http://purl.org/dc/terms/" xmlns:xsi="http://www.w3.org/2001/XMLSchema-instance" xsi:type="dcterms:W3CDTF">2026-10-26T17:04:49Z</dcterms:modified>
</cp:coreProperties>
</file>