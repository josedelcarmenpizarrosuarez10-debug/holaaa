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POR EDIFICACIÓN" sheetId="2" state="visible" r:id="rId2"/>
    <sheet xmlns:r="http://schemas.openxmlformats.org/officeDocument/2006/relationships" name="ERRORES DEL ARCHIVO" sheetId="3" state="visible" r:id="rId3"/>
  </sheets>
  <definedNames>
    <definedName name="_xlnm.Print_Area" localSheetId="0">'COMPARACIÓN'!$A$1:$I$26</definedName>
    <definedName name="_xlnm.Print_Area" localSheetId="1">'POR EDIFICACIÓN'!$A$1:$O$36</definedName>
    <definedName name="_xlnm.Print_Area" localSheetId="2">'ERRORES DEL ARCHIVO'!$A$1:$D$15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;-0;0"/>
    <numFmt numFmtId="165" formatCode="+0.00;-0.00;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007B1E2B"/>
      </patternFill>
    </fill>
    <fill>
      <patternFill patternType="solid">
        <fgColor rgb="00F2F2F2"/>
      </patternFill>
    </fill>
    <fill>
      <patternFill patternType="solid">
        <fgColor rgb="00F2E6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6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62" customWidth="1" min="9" max="9"/>
  </cols>
  <sheetData>
    <row r="1" ht="24" customHeight="1">
      <c r="A1" s="1" t="inlineStr">
        <is>
          <t>COMPARACIÓN DEL METRADO DE EVACUACIÓN DE ARQUITECTURA CON EL PLANO DE SEÑALIZACIÓN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2" t="inlineStr">
        <is>
          <t>ESPECIALIDAD</t>
        </is>
      </c>
      <c r="B4" s="5" t="inlineStr">
        <is>
          <t>ARQUITECTURA - SEÑALIZACIÓN Y SEGURIDAD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  <c r="H5" s="4" t="n"/>
      <c r="I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  <c r="E6" s="4" t="n"/>
      <c r="F6" s="4" t="n"/>
      <c r="G6" s="4" t="n"/>
      <c r="H6" s="4" t="n"/>
      <c r="I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  <c r="E7" s="4" t="n"/>
      <c r="F7" s="4" t="n"/>
      <c r="G7" s="4" t="n"/>
      <c r="H7" s="4" t="n"/>
      <c r="I7" s="4" t="n"/>
    </row>
    <row r="9">
      <c r="A9" s="6" t="inlineStr">
        <is>
          <t>ITEM (HR)</t>
        </is>
      </c>
      <c r="B9" s="6" t="inlineStr">
        <is>
          <t>PARTIDA DEL METRADO DE ARQUITECTURA</t>
        </is>
      </c>
      <c r="C9" s="6" t="inlineStr">
        <is>
          <t>UND</t>
        </is>
      </c>
      <c r="D9" s="6" t="inlineStr">
        <is>
          <t>METRADO HR</t>
        </is>
      </c>
      <c r="E9" s="6" t="inlineStr">
        <is>
          <t>DESAGREGADO HD</t>
        </is>
      </c>
      <c r="F9" s="6" t="inlineStr">
        <is>
          <t>PLANO SE-S-02</t>
        </is>
      </c>
      <c r="G9" s="6" t="inlineStr">
        <is>
          <t>DIFERENCIA (PLANO - HR)</t>
        </is>
      </c>
      <c r="H9" s="6" t="inlineStr">
        <is>
          <t>RESULTADO</t>
        </is>
      </c>
      <c r="I9" s="6" t="inlineStr">
        <is>
          <t>OBSERVACIÓN</t>
        </is>
      </c>
    </row>
    <row r="10" ht="24" customHeight="1">
      <c r="A10" s="7" t="inlineStr">
        <is>
          <t>03.14.01.01</t>
        </is>
      </c>
      <c r="B10" s="5" t="inlineStr">
        <is>
          <t>SUMINISTRO Y COLOCACION DE SEÑAL DE SALIDA</t>
        </is>
      </c>
      <c r="C10" s="7" t="inlineStr">
        <is>
          <t>Und</t>
        </is>
      </c>
      <c r="D10" s="8" t="n">
        <v>49</v>
      </c>
      <c r="E10" s="8" t="n">
        <v>49</v>
      </c>
      <c r="F10" s="9" t="n">
        <v>49</v>
      </c>
      <c r="G10" s="10">
        <f>F10-D10</f>
        <v/>
      </c>
      <c r="H10" s="11">
        <f>IF(AND(D10=F10,E10=F10),"BIEN","REVISAR")</f>
        <v/>
      </c>
      <c r="I10" s="12" t="inlineStr">
        <is>
          <t>Conforme con el plano.</t>
        </is>
      </c>
    </row>
    <row r="11" ht="24" customHeight="1">
      <c r="A11" s="7" t="inlineStr">
        <is>
          <t>03.14.01.02</t>
        </is>
      </c>
      <c r="B11" s="5" t="inlineStr">
        <is>
          <t>SUMINISTRO Y COLOCACION DE SEÑAL DE ZONA SEGURA</t>
        </is>
      </c>
      <c r="C11" s="7" t="inlineStr">
        <is>
          <t>Und</t>
        </is>
      </c>
      <c r="D11" s="8" t="n">
        <v>209</v>
      </c>
      <c r="E11" s="8" t="n">
        <v>209</v>
      </c>
      <c r="F11" s="9" t="n">
        <v>209</v>
      </c>
      <c r="G11" s="10">
        <f>F11-D11</f>
        <v/>
      </c>
      <c r="H11" s="11">
        <f>IF(AND(D11=F11,E11=F11),"BIEN","REVISAR")</f>
        <v/>
      </c>
      <c r="I11" s="12" t="inlineStr">
        <is>
          <t>Conforme con el plano (la leyenda dice 210, pero hay 209 dibujadas).</t>
        </is>
      </c>
    </row>
    <row r="12" ht="24" customHeight="1">
      <c r="A12" s="7" t="inlineStr">
        <is>
          <t>03.14.01.03</t>
        </is>
      </c>
      <c r="B12" s="5" t="inlineStr">
        <is>
          <t>SUMINISTRO Y COLOCACION DE SEÑAL DEDIRECCIÓN DE EVACUACIÓN</t>
        </is>
      </c>
      <c r="C12" s="7" t="inlineStr">
        <is>
          <t>Und</t>
        </is>
      </c>
      <c r="D12" s="8" t="n">
        <v>63</v>
      </c>
      <c r="E12" s="8" t="n">
        <v>63</v>
      </c>
      <c r="F12" s="9" t="n">
        <v>63</v>
      </c>
      <c r="G12" s="10">
        <f>F12-D12</f>
        <v/>
      </c>
      <c r="H12" s="11">
        <f>IF(AND(D12=F12,E12=F12),"BIEN","REVISAR")</f>
        <v/>
      </c>
      <c r="I12" s="12" t="inlineStr">
        <is>
          <t>Conforme con el plano.</t>
        </is>
      </c>
    </row>
    <row r="13" ht="36" customHeight="1">
      <c r="A13" s="7" t="inlineStr">
        <is>
          <t>03.14.01.04</t>
        </is>
      </c>
      <c r="B13" s="5" t="inlineStr">
        <is>
          <t>SUMINISTRO Y COLOCACION DE SEÑAL DE RIESGO ELECTRICO</t>
        </is>
      </c>
      <c r="C13" s="7" t="inlineStr">
        <is>
          <t>Und</t>
        </is>
      </c>
      <c r="D13" s="8" t="n">
        <v>39</v>
      </c>
      <c r="E13" s="8" t="n">
        <v>39</v>
      </c>
      <c r="F13" s="9" t="n">
        <v>39</v>
      </c>
      <c r="G13" s="10">
        <f>F13-D13</f>
        <v/>
      </c>
      <c r="H13" s="11">
        <f>IF(AND(D13=F13,E13=F13),"BIEN","REVISAR")</f>
        <v/>
      </c>
      <c r="I13" s="12" t="inlineStr">
        <is>
          <t>Total conforme con las 39 imágenes del plano (la leyenda dice 38). El reparto por edificación no se puede comprobar en el DXF (imágenes sin posición): se toma el de este metrado.</t>
        </is>
      </c>
    </row>
    <row r="14" ht="36" customHeight="1">
      <c r="A14" s="7" t="inlineStr">
        <is>
          <t>03.14.01.05</t>
        </is>
      </c>
      <c r="B14" s="5" t="inlineStr">
        <is>
          <t>SUMINISTRO Y COLOCACION DE SEÑAL DE LUCES DE EMERGENCIA</t>
        </is>
      </c>
      <c r="C14" s="7" t="inlineStr">
        <is>
          <t>Und</t>
        </is>
      </c>
      <c r="D14" s="8" t="n">
        <v>115</v>
      </c>
      <c r="E14" s="8" t="n">
        <v>115</v>
      </c>
      <c r="F14" s="9" t="n">
        <v>115</v>
      </c>
      <c r="G14" s="10">
        <f>F14-D14</f>
        <v/>
      </c>
      <c r="H14" s="11">
        <f>IF(AND(D14=F14,E14=F14),"BIEN","REVISAR")</f>
        <v/>
      </c>
      <c r="I14" s="12" t="inlineStr">
        <is>
          <t>Total conforme (77 "LE" + 38 "A$C7A2016C2"). En el metrado propio es la unidad de luces de emergencia (equipo); en este, "señal de luces de emergencia": definir si el equipo va en instalaciones eléctricas.</t>
        </is>
      </c>
    </row>
    <row r="15" ht="24" customHeight="1">
      <c r="A15" s="7" t="inlineStr">
        <is>
          <t>03.14.01.06</t>
        </is>
      </c>
      <c r="B15" s="5" t="inlineStr">
        <is>
          <t>SUMINISTRO Y COLOCACION DE SEÑAL DE AFORO</t>
        </is>
      </c>
      <c r="C15" s="7" t="inlineStr">
        <is>
          <t>Und</t>
        </is>
      </c>
      <c r="D15" s="8" t="n">
        <v>55</v>
      </c>
      <c r="E15" s="8" t="n">
        <v>55</v>
      </c>
      <c r="F15" s="9" t="n">
        <v>55</v>
      </c>
      <c r="G15" s="10">
        <f>F15-D15</f>
        <v/>
      </c>
      <c r="H15" s="11">
        <f>IF(AND(D15=F15,E15=F15),"BIEN","REVISAR")</f>
        <v/>
      </c>
      <c r="I15" s="12" t="inlineStr">
        <is>
          <t>Conforme con el plano.</t>
        </is>
      </c>
    </row>
    <row r="16" ht="24" customHeight="1">
      <c r="A16" s="7" t="inlineStr">
        <is>
          <t>03.14.01.07</t>
        </is>
      </c>
      <c r="B16" s="5" t="inlineStr">
        <is>
          <t>SUMINISTRO Y COLOCACION DE SEÑAL DE EXTINTOR PQS</t>
        </is>
      </c>
      <c r="C16" s="7" t="inlineStr">
        <is>
          <t>Und</t>
        </is>
      </c>
      <c r="D16" s="8" t="n">
        <v>33</v>
      </c>
      <c r="E16" s="8" t="n">
        <v>33</v>
      </c>
      <c r="F16" s="9" t="n">
        <v>33</v>
      </c>
      <c r="G16" s="10">
        <f>F16-D16</f>
        <v/>
      </c>
      <c r="H16" s="11">
        <f>IF(AND(D16=F16,E16=F16),"BIEN","REVISAR")</f>
        <v/>
      </c>
      <c r="I16" s="12" t="inlineStr">
        <is>
          <t>Conforme con el plano.</t>
        </is>
      </c>
    </row>
    <row r="17" ht="36" customHeight="1">
      <c r="A17" s="7" t="inlineStr">
        <is>
          <t>03.14.01.08</t>
        </is>
      </c>
      <c r="B17" s="5" t="inlineStr">
        <is>
          <t>SUMINISTRO Y COLOCACION DE SEÑAL DE BOTIQUIN</t>
        </is>
      </c>
      <c r="C17" s="7" t="inlineStr">
        <is>
          <t>Und</t>
        </is>
      </c>
      <c r="D17" s="8" t="n">
        <v>9</v>
      </c>
      <c r="E17" s="8" t="n">
        <v>9</v>
      </c>
      <c r="F17" s="9" t="n">
        <v>0</v>
      </c>
      <c r="G17" s="10">
        <f>F17-D17</f>
        <v/>
      </c>
      <c r="H17" s="11">
        <f>IF(AND(D17=F17,E17=F17),"BIEN","REVISAR")</f>
        <v/>
      </c>
      <c r="I17" s="12" t="inlineStr">
        <is>
          <t>El plano no tiene señales de botiquín (la fila de la leyenda está en 00). Si se quieren las 9 (una por edificación), hay que dibujarlas en la planta; si no, retirar la partida.</t>
        </is>
      </c>
    </row>
    <row r="18" ht="24" customHeight="1">
      <c r="A18" s="7" t="inlineStr">
        <is>
          <t>03.14.01.09</t>
        </is>
      </c>
      <c r="B18" s="5" t="inlineStr">
        <is>
          <t>SUMINISTRO Y COLOCACION DE SEÑAL DE SS.HH HOMBRES</t>
        </is>
      </c>
      <c r="C18" s="7" t="inlineStr">
        <is>
          <t>Und</t>
        </is>
      </c>
      <c r="D18" s="8" t="n">
        <v>3</v>
      </c>
      <c r="E18" s="8" t="n">
        <v>3</v>
      </c>
      <c r="F18" s="9" t="n">
        <v>3</v>
      </c>
      <c r="G18" s="10">
        <f>F18-D18</f>
        <v/>
      </c>
      <c r="H18" s="11">
        <f>IF(AND(D18=F18,E18=F18),"BIEN","REVISAR")</f>
        <v/>
      </c>
      <c r="I18" s="12" t="inlineStr">
        <is>
          <t>Conforme con el plano.</t>
        </is>
      </c>
    </row>
    <row r="19" ht="24" customHeight="1">
      <c r="A19" s="7" t="inlineStr">
        <is>
          <t>03.14.01.10</t>
        </is>
      </c>
      <c r="B19" s="5" t="inlineStr">
        <is>
          <t>SUMINISTRO Y COLOCACION DE SEÑAL DE SS.HH MUJERES</t>
        </is>
      </c>
      <c r="C19" s="7" t="inlineStr">
        <is>
          <t>Und</t>
        </is>
      </c>
      <c r="D19" s="8" t="n">
        <v>3</v>
      </c>
      <c r="E19" s="8" t="n">
        <v>3</v>
      </c>
      <c r="F19" s="9" t="n">
        <v>3</v>
      </c>
      <c r="G19" s="10">
        <f>F19-D19</f>
        <v/>
      </c>
      <c r="H19" s="11">
        <f>IF(AND(D19=F19,E19=F19),"BIEN","REVISAR")</f>
        <v/>
      </c>
      <c r="I19" s="12" t="inlineStr">
        <is>
          <t>Conforme con el plano.</t>
        </is>
      </c>
    </row>
    <row r="20" ht="36" customHeight="1">
      <c r="A20" s="7" t="inlineStr">
        <is>
          <t>03.14.01.11</t>
        </is>
      </c>
      <c r="B20" s="5" t="inlineStr">
        <is>
          <t>SUMINISTRO Y COLOCACION DE SEÑAL DE SS.HH MIXTOS</t>
        </is>
      </c>
      <c r="C20" s="7" t="inlineStr">
        <is>
          <t>Und</t>
        </is>
      </c>
      <c r="D20" s="8" t="n">
        <v>0</v>
      </c>
      <c r="E20" s="8" t="n">
        <v>19</v>
      </c>
      <c r="F20" s="9" t="n">
        <v>20</v>
      </c>
      <c r="G20" s="10">
        <f>F20-D20</f>
        <v/>
      </c>
      <c r="H20" s="11">
        <f>IF(AND(D20=F20,E20=F20),"BIEN","REVISAR")</f>
        <v/>
      </c>
      <c r="I20" s="12" t="inlineStr">
        <is>
          <t>Falta la señal de la garita de control (SS.HH. del ingreso): son 20. Además, en HR sale 0 por un error de fórmula (ver hoja ERRORES DEL ARCHIVO).</t>
        </is>
      </c>
    </row>
    <row r="21" ht="24" customHeight="1">
      <c r="A21" s="7" t="inlineStr">
        <is>
          <t>03.14.01.12</t>
        </is>
      </c>
      <c r="B21" s="5" t="inlineStr">
        <is>
          <t>SUMINISTRO Y COLOCACION DE SEÑAL DE SS.HH DISCAPACITADOS</t>
        </is>
      </c>
      <c r="C21" s="7" t="inlineStr">
        <is>
          <t>Und</t>
        </is>
      </c>
      <c r="D21" s="8" t="n">
        <v>3</v>
      </c>
      <c r="E21" s="8" t="n">
        <v>3</v>
      </c>
      <c r="F21" s="9" t="n">
        <v>3</v>
      </c>
      <c r="G21" s="10">
        <f>F21-D21</f>
        <v/>
      </c>
      <c r="H21" s="11">
        <f>IF(AND(D21=F21,E21=F21),"BIEN","REVISAR")</f>
        <v/>
      </c>
      <c r="I21" s="12" t="inlineStr">
        <is>
          <t>Total conforme, pero la tercera señal está en E-06 (junto al baño accesible de las habitaciones), no en E-05 (hoja POR EDIFICACIÓN).</t>
        </is>
      </c>
    </row>
    <row r="22" ht="24" customHeight="1">
      <c r="A22" s="7" t="inlineStr">
        <is>
          <t>03.14.01.13</t>
        </is>
      </c>
      <c r="B22" s="5" t="inlineStr">
        <is>
          <t>SUMINISTRO Y COLOCACION DE SEÑAL DE DETECTOR DE HUMO</t>
        </is>
      </c>
      <c r="C22" s="7" t="inlineStr">
        <is>
          <t>Und</t>
        </is>
      </c>
      <c r="D22" s="8" t="n">
        <v>66</v>
      </c>
      <c r="E22" s="8" t="n">
        <v>66</v>
      </c>
      <c r="F22" s="9" t="n">
        <v>67</v>
      </c>
      <c r="G22" s="10">
        <f>F22-D22</f>
        <v/>
      </c>
      <c r="H22" s="11">
        <f>IF(AND(D22=F22,E22=F22),"BIEN","REVISAR")</f>
        <v/>
      </c>
      <c r="I22" s="12" t="inlineStr">
        <is>
          <t>Falta el detector de la garita de control: son 67 (la leyenda dice 68 por una copia suelta fuera del dibujo).</t>
        </is>
      </c>
    </row>
    <row r="23" ht="48" customHeight="1">
      <c r="A23" s="7" t="inlineStr">
        <is>
          <t>03.14.02.01</t>
        </is>
      </c>
      <c r="B23" s="5" t="inlineStr">
        <is>
          <t>PINTURA ZONA SEGURA E=10CM</t>
        </is>
      </c>
      <c r="C23" s="7" t="inlineStr">
        <is>
          <t>M2</t>
        </is>
      </c>
      <c r="D23" s="13" t="n">
        <v>25.48</v>
      </c>
      <c r="E23" s="13" t="n">
        <v>25.48</v>
      </c>
      <c r="F23" s="14" t="n">
        <v>0</v>
      </c>
      <c r="G23" s="15">
        <f>F23-D23</f>
        <v/>
      </c>
      <c r="H23" s="11">
        <f>IF(AND(D23=F23,E23=F23),"BIEN","REVISAR")</f>
        <v/>
      </c>
      <c r="I23" s="12" t="inlineStr">
        <is>
          <t>El plano SE-S-02 no tiene zonas de reunión (la fila "zona de reuniones" de la leyenda está en 00). Las 13 zonas de 1.96 m² (círculo de 4.30 m de diámetro y línea de 0.15 m: π x (2.15² - 2.00²) = 1.96 m²) no tienen sustento en los planos recibidos: se necesita la lámina SE-E-01.</t>
        </is>
      </c>
    </row>
    <row r="24" ht="24" customHeight="1">
      <c r="A24" s="7" t="inlineStr">
        <is>
          <t>03.14.03.01</t>
        </is>
      </c>
      <c r="B24" s="5" t="inlineStr">
        <is>
          <t>EXTINTOR PQS 9 KG</t>
        </is>
      </c>
      <c r="C24" s="7" t="inlineStr">
        <is>
          <t>Und</t>
        </is>
      </c>
      <c r="D24" s="8" t="n">
        <v>33</v>
      </c>
      <c r="E24" s="8" t="n">
        <v>33</v>
      </c>
      <c r="F24" s="9" t="n">
        <v>33</v>
      </c>
      <c r="G24" s="10">
        <f>F24-D24</f>
        <v/>
      </c>
      <c r="H24" s="11">
        <f>IF(AND(D24=F24,E24=F24),"BIEN","REVISAR")</f>
        <v/>
      </c>
      <c r="I24" s="12" t="inlineStr">
        <is>
          <t>Conforme: un extintor PQS de 9 kg por cada señal de extintor.</t>
        </is>
      </c>
    </row>
    <row r="25">
      <c r="A25" s="7" t="inlineStr">
        <is>
          <t>—</t>
        </is>
      </c>
      <c r="B25" s="5" t="inlineStr">
        <is>
          <t>(no está) SEÑAL DE PUNTO ECOLÓGICO CON BRAILLE</t>
        </is>
      </c>
      <c r="C25" s="7" t="inlineStr">
        <is>
          <t>Und</t>
        </is>
      </c>
      <c r="D25" s="8" t="n">
        <v>0</v>
      </c>
      <c r="E25" s="8" t="n">
        <v>0</v>
      </c>
      <c r="F25" s="9" t="n">
        <v>4</v>
      </c>
      <c r="G25" s="10">
        <f>F25-D25</f>
        <v/>
      </c>
      <c r="H25" s="11">
        <f>IF(AND(D25=F25,E25=F25),"BIEN","REVISAR")</f>
        <v/>
      </c>
      <c r="I25" s="12" t="inlineStr">
        <is>
          <t>En los exteriores hay 4 puntos ecológicos dibujados (la leyenda dice 00): falta la partida de su señal.</t>
        </is>
      </c>
    </row>
  </sheetData>
  <mergeCells count="7">
    <mergeCell ref="B7:I7"/>
    <mergeCell ref="B6:I6"/>
    <mergeCell ref="B2:I2"/>
    <mergeCell ref="A1:I1"/>
    <mergeCell ref="B3:I3"/>
    <mergeCell ref="B5:I5"/>
    <mergeCell ref="B4:I4"/>
  </mergeCells>
  <conditionalFormatting sqref="H10:H25">
    <cfRule type="cellIs" priority="1" operator="equal" dxfId="0">
      <formula>"BIEN"</formula>
    </cfRule>
    <cfRule type="cellIs" priority="2" operator="equal" dxfId="1">
      <formula>"REVISAR"</formula>
    </cfRule>
  </conditionalFormatting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  <col width="11" customWidth="1" min="15" max="15"/>
  </cols>
  <sheetData>
    <row r="1" ht="24" customHeight="1">
      <c r="A1" s="1" t="inlineStr">
        <is>
          <t>COMPARACIÓN POR EDIFICACIÓN (HD DEL METRADO DE ARQUITECTURA / PLANO SE-S-02)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inlineStr">
        <is>
          <t>ESPECIALIDAD</t>
        </is>
      </c>
      <c r="B4" s="5" t="inlineStr">
        <is>
          <t>ARQUITECTURA - SEÑALIZACIÓN Y SEGURIDAD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9">
      <c r="A9" s="6" t="inlineStr">
        <is>
          <t>ITEM</t>
        </is>
      </c>
      <c r="B9" s="6" t="inlineStr">
        <is>
          <t>PARTIDA</t>
        </is>
      </c>
      <c r="C9" s="6" t="inlineStr">
        <is>
          <t>FUENTE</t>
        </is>
      </c>
      <c r="D9" s="6" t="inlineStr">
        <is>
          <t>E-01</t>
        </is>
      </c>
      <c r="E9" s="6" t="inlineStr">
        <is>
          <t>E-02</t>
        </is>
      </c>
      <c r="F9" s="6" t="inlineStr">
        <is>
          <t>E-03</t>
        </is>
      </c>
      <c r="G9" s="6" t="inlineStr">
        <is>
          <t>E-04</t>
        </is>
      </c>
      <c r="H9" s="6" t="inlineStr">
        <is>
          <t>E-05</t>
        </is>
      </c>
      <c r="I9" s="6" t="inlineStr">
        <is>
          <t>E-06</t>
        </is>
      </c>
      <c r="J9" s="6" t="inlineStr">
        <is>
          <t>E-07</t>
        </is>
      </c>
      <c r="K9" s="6" t="inlineStr">
        <is>
          <t>E-08</t>
        </is>
      </c>
      <c r="L9" s="6" t="inlineStr">
        <is>
          <t>E-09</t>
        </is>
      </c>
      <c r="M9" s="6" t="inlineStr">
        <is>
          <t>EXT</t>
        </is>
      </c>
      <c r="N9" s="6" t="inlineStr">
        <is>
          <t>TOTAL</t>
        </is>
      </c>
      <c r="O9" s="6" t="inlineStr">
        <is>
          <t>RESULTADO</t>
        </is>
      </c>
    </row>
    <row r="10">
      <c r="A10" s="7" t="inlineStr">
        <is>
          <t>03.14.01.01</t>
        </is>
      </c>
      <c r="B10" s="12" t="inlineStr">
        <is>
          <t>SUMINISTRO Y COLOCACION DE SEÑAL DE SALIDA</t>
        </is>
      </c>
      <c r="C10" s="16" t="inlineStr">
        <is>
          <t>HD arquitectura</t>
        </is>
      </c>
      <c r="D10" s="8" t="n">
        <v>3</v>
      </c>
      <c r="E10" s="8" t="n">
        <v>3</v>
      </c>
      <c r="F10" s="8" t="n">
        <v>5</v>
      </c>
      <c r="G10" s="8" t="n">
        <v>7</v>
      </c>
      <c r="H10" s="8" t="n">
        <v>6</v>
      </c>
      <c r="I10" s="8" t="n">
        <v>6</v>
      </c>
      <c r="J10" s="8" t="n">
        <v>12</v>
      </c>
      <c r="K10" s="8" t="n">
        <v>6</v>
      </c>
      <c r="L10" s="8" t="n">
        <v>1</v>
      </c>
      <c r="M10" s="8" t="n"/>
      <c r="N10" s="17">
        <f>SUM(D10:M10)</f>
        <v/>
      </c>
      <c r="O10" s="7" t="n"/>
    </row>
    <row r="11">
      <c r="A11" s="7" t="inlineStr"/>
      <c r="B11" s="12" t="inlineStr"/>
      <c r="C11" s="18" t="inlineStr">
        <is>
          <t>Plano SE-S-02</t>
        </is>
      </c>
      <c r="D11" s="19" t="n">
        <v>3</v>
      </c>
      <c r="E11" s="19" t="n">
        <v>3</v>
      </c>
      <c r="F11" s="19" t="n">
        <v>5</v>
      </c>
      <c r="G11" s="19" t="n">
        <v>7</v>
      </c>
      <c r="H11" s="19" t="n">
        <v>6</v>
      </c>
      <c r="I11" s="19" t="n">
        <v>6</v>
      </c>
      <c r="J11" s="19" t="n">
        <v>12</v>
      </c>
      <c r="K11" s="19" t="n">
        <v>6</v>
      </c>
      <c r="L11" s="19" t="n">
        <v>1</v>
      </c>
      <c r="M11" s="19" t="n"/>
      <c r="N11" s="17">
        <f>SUM(D11:M11)</f>
        <v/>
      </c>
      <c r="O11" s="11">
        <f>IF(AND(D10=D11,E10=E11,F10=F11,G10=G11,H10=H11,I10=I11,J10=J11,K10=K11,L10=L11,M10=M11,N10=N11),"BIEN","REVISAR")</f>
        <v/>
      </c>
    </row>
    <row r="12">
      <c r="A12" s="7" t="inlineStr">
        <is>
          <t>03.14.01.02</t>
        </is>
      </c>
      <c r="B12" s="12" t="inlineStr">
        <is>
          <t>SUMINISTRO Y COLOCACION DE SEÑAL DE ZONA SEGURA</t>
        </is>
      </c>
      <c r="C12" s="16" t="inlineStr">
        <is>
          <t>HD arquitectura</t>
        </is>
      </c>
      <c r="D12" s="8" t="n">
        <v>28</v>
      </c>
      <c r="E12" s="8" t="n">
        <v>12</v>
      </c>
      <c r="F12" s="8" t="n">
        <v>14</v>
      </c>
      <c r="G12" s="8" t="n">
        <v>37</v>
      </c>
      <c r="H12" s="8" t="n">
        <v>22</v>
      </c>
      <c r="I12" s="8" t="n">
        <v>20</v>
      </c>
      <c r="J12" s="8" t="n">
        <v>45</v>
      </c>
      <c r="K12" s="8" t="n">
        <v>20</v>
      </c>
      <c r="L12" s="8" t="n">
        <v>11</v>
      </c>
      <c r="M12" s="8" t="n"/>
      <c r="N12" s="17">
        <f>SUM(D12:M12)</f>
        <v/>
      </c>
      <c r="O12" s="7" t="n"/>
    </row>
    <row r="13">
      <c r="A13" s="7" t="inlineStr"/>
      <c r="B13" s="12" t="inlineStr"/>
      <c r="C13" s="18" t="inlineStr">
        <is>
          <t>Plano SE-S-02</t>
        </is>
      </c>
      <c r="D13" s="19" t="n">
        <v>28</v>
      </c>
      <c r="E13" s="19" t="n">
        <v>12</v>
      </c>
      <c r="F13" s="19" t="n">
        <v>14</v>
      </c>
      <c r="G13" s="19" t="n">
        <v>37</v>
      </c>
      <c r="H13" s="19" t="n">
        <v>22</v>
      </c>
      <c r="I13" s="19" t="n">
        <v>20</v>
      </c>
      <c r="J13" s="19" t="n">
        <v>45</v>
      </c>
      <c r="K13" s="19" t="n">
        <v>20</v>
      </c>
      <c r="L13" s="19" t="n">
        <v>11</v>
      </c>
      <c r="M13" s="19" t="n"/>
      <c r="N13" s="17">
        <f>SUM(D13:M13)</f>
        <v/>
      </c>
      <c r="O13" s="11">
        <f>IF(AND(D12=D13,E12=E13,F12=F13,G12=G13,H12=H13,I12=I13,J12=J13,K12=K13,L12=L13,M12=M13,N12=N13),"BIEN","REVISAR")</f>
        <v/>
      </c>
    </row>
    <row r="14">
      <c r="A14" s="7" t="inlineStr">
        <is>
          <t>03.14.01.03</t>
        </is>
      </c>
      <c r="B14" s="12" t="inlineStr">
        <is>
          <t>SUMINISTRO Y COLOCACION DE SEÑAL DEDIRECCIÓN DE EVACUACIÓN</t>
        </is>
      </c>
      <c r="C14" s="16" t="inlineStr">
        <is>
          <t>HD arquitectura</t>
        </is>
      </c>
      <c r="D14" s="8" t="n">
        <v>12</v>
      </c>
      <c r="E14" s="8" t="n">
        <v>4</v>
      </c>
      <c r="F14" s="8" t="n"/>
      <c r="G14" s="8" t="n">
        <v>20</v>
      </c>
      <c r="H14" s="8" t="n">
        <v>10</v>
      </c>
      <c r="I14" s="8" t="n">
        <v>5</v>
      </c>
      <c r="J14" s="8" t="n">
        <v>7</v>
      </c>
      <c r="K14" s="8" t="n">
        <v>5</v>
      </c>
      <c r="L14" s="8" t="n"/>
      <c r="M14" s="8" t="n"/>
      <c r="N14" s="17">
        <f>SUM(D14:M14)</f>
        <v/>
      </c>
      <c r="O14" s="7" t="n"/>
    </row>
    <row r="15">
      <c r="A15" s="7" t="inlineStr"/>
      <c r="B15" s="12" t="inlineStr"/>
      <c r="C15" s="18" t="inlineStr">
        <is>
          <t>Plano SE-S-02</t>
        </is>
      </c>
      <c r="D15" s="19" t="n">
        <v>12</v>
      </c>
      <c r="E15" s="19" t="n">
        <v>4</v>
      </c>
      <c r="F15" s="19" t="n"/>
      <c r="G15" s="19" t="n">
        <v>20</v>
      </c>
      <c r="H15" s="19" t="n">
        <v>10</v>
      </c>
      <c r="I15" s="19" t="n">
        <v>5</v>
      </c>
      <c r="J15" s="19" t="n">
        <v>7</v>
      </c>
      <c r="K15" s="19" t="n">
        <v>5</v>
      </c>
      <c r="L15" s="19" t="n"/>
      <c r="M15" s="19" t="n"/>
      <c r="N15" s="17">
        <f>SUM(D15:M15)</f>
        <v/>
      </c>
      <c r="O15" s="11">
        <f>IF(AND(D14=D15,E14=E15,F14=F15,G14=G15,H14=H15,I14=I15,J14=J15,K14=K15,L14=L15,M14=M15,N14=N15),"BIEN","REVISAR")</f>
        <v/>
      </c>
    </row>
    <row r="16">
      <c r="A16" s="7" t="inlineStr">
        <is>
          <t>03.14.01.04</t>
        </is>
      </c>
      <c r="B16" s="12" t="inlineStr">
        <is>
          <t>SUMINISTRO Y COLOCACION DE SEÑAL DE RIESGO ELECTRICO</t>
        </is>
      </c>
      <c r="C16" s="16" t="inlineStr">
        <is>
          <t>HD arquitectura</t>
        </is>
      </c>
      <c r="D16" s="8" t="n">
        <v>8</v>
      </c>
      <c r="E16" s="8" t="n">
        <v>2</v>
      </c>
      <c r="F16" s="8" t="n">
        <v>2</v>
      </c>
      <c r="G16" s="8" t="n">
        <v>5</v>
      </c>
      <c r="H16" s="8" t="n">
        <v>3</v>
      </c>
      <c r="I16" s="8" t="n">
        <v>6</v>
      </c>
      <c r="J16" s="8" t="n">
        <v>6</v>
      </c>
      <c r="K16" s="8" t="n">
        <v>6</v>
      </c>
      <c r="L16" s="8" t="n">
        <v>1</v>
      </c>
      <c r="M16" s="8" t="n"/>
      <c r="N16" s="17">
        <f>SUM(D16:M16)</f>
        <v/>
      </c>
      <c r="O16" s="7" t="n"/>
    </row>
    <row r="17">
      <c r="A17" s="7" t="inlineStr"/>
      <c r="B17" s="12" t="inlineStr"/>
      <c r="C17" s="18" t="inlineStr">
        <is>
          <t>Plano SE-S-02</t>
        </is>
      </c>
      <c r="D17" s="19" t="n">
        <v>8</v>
      </c>
      <c r="E17" s="19" t="n">
        <v>2</v>
      </c>
      <c r="F17" s="19" t="n">
        <v>2</v>
      </c>
      <c r="G17" s="19" t="n">
        <v>5</v>
      </c>
      <c r="H17" s="19" t="n">
        <v>3</v>
      </c>
      <c r="I17" s="19" t="n">
        <v>6</v>
      </c>
      <c r="J17" s="19" t="n">
        <v>6</v>
      </c>
      <c r="K17" s="19" t="n">
        <v>6</v>
      </c>
      <c r="L17" s="19" t="n">
        <v>1</v>
      </c>
      <c r="M17" s="19" t="n"/>
      <c r="N17" s="17">
        <f>SUM(D17:M17)</f>
        <v/>
      </c>
      <c r="O17" s="11">
        <f>IF(AND(D16=D17,E16=E17,F16=F17,G16=G17,H16=H17,I16=I17,J16=J17,K16=K17,L16=L17,M16=M17,N16=N17),"BIEN","REVISAR")</f>
        <v/>
      </c>
    </row>
    <row r="18">
      <c r="A18" s="7" t="inlineStr">
        <is>
          <t>03.14.01.05</t>
        </is>
      </c>
      <c r="B18" s="12" t="inlineStr">
        <is>
          <t>SUMINISTRO Y COLOCACION DE SEÑAL DE LUCES DE EMERGENCIA</t>
        </is>
      </c>
      <c r="C18" s="16" t="inlineStr">
        <is>
          <t>HD arquitectura</t>
        </is>
      </c>
      <c r="D18" s="8" t="n">
        <v>16</v>
      </c>
      <c r="E18" s="8" t="n">
        <v>2</v>
      </c>
      <c r="F18" s="8" t="n">
        <v>9</v>
      </c>
      <c r="G18" s="8" t="n">
        <v>20</v>
      </c>
      <c r="H18" s="8" t="n">
        <v>18</v>
      </c>
      <c r="I18" s="8" t="n">
        <v>12</v>
      </c>
      <c r="J18" s="8" t="n">
        <v>21</v>
      </c>
      <c r="K18" s="8" t="n">
        <v>12</v>
      </c>
      <c r="L18" s="8" t="n">
        <v>5</v>
      </c>
      <c r="M18" s="8" t="n"/>
      <c r="N18" s="17">
        <f>SUM(D18:M18)</f>
        <v/>
      </c>
      <c r="O18" s="7" t="n"/>
    </row>
    <row r="19">
      <c r="A19" s="7" t="inlineStr"/>
      <c r="B19" s="12" t="inlineStr"/>
      <c r="C19" s="18" t="inlineStr">
        <is>
          <t>Plano SE-S-02</t>
        </is>
      </c>
      <c r="D19" s="19" t="n">
        <v>16</v>
      </c>
      <c r="E19" s="19" t="n">
        <v>2</v>
      </c>
      <c r="F19" s="19" t="n">
        <v>9</v>
      </c>
      <c r="G19" s="19" t="n">
        <v>20</v>
      </c>
      <c r="H19" s="19" t="n">
        <v>18</v>
      </c>
      <c r="I19" s="19" t="n">
        <v>12</v>
      </c>
      <c r="J19" s="19" t="n">
        <v>21</v>
      </c>
      <c r="K19" s="19" t="n">
        <v>12</v>
      </c>
      <c r="L19" s="19" t="n">
        <v>5</v>
      </c>
      <c r="M19" s="19" t="n"/>
      <c r="N19" s="17">
        <f>SUM(D19:M19)</f>
        <v/>
      </c>
      <c r="O19" s="11">
        <f>IF(AND(D18=D19,E18=E19,F18=F19,G18=G19,H18=H19,I18=I19,J18=J19,K18=K19,L18=L19,M18=M19,N18=N19),"BIEN","REVISAR")</f>
        <v/>
      </c>
    </row>
    <row r="20">
      <c r="A20" s="7" t="inlineStr">
        <is>
          <t>03.14.01.06</t>
        </is>
      </c>
      <c r="B20" s="12" t="inlineStr">
        <is>
          <t>SUMINISTRO Y COLOCACION DE SEÑAL DE AFORO</t>
        </is>
      </c>
      <c r="C20" s="16" t="inlineStr">
        <is>
          <t>HD arquitectura</t>
        </is>
      </c>
      <c r="D20" s="8" t="n">
        <v>10</v>
      </c>
      <c r="E20" s="8" t="n">
        <v>3</v>
      </c>
      <c r="F20" s="8" t="n">
        <v>5</v>
      </c>
      <c r="G20" s="8" t="n">
        <v>7</v>
      </c>
      <c r="H20" s="8" t="n">
        <v>5</v>
      </c>
      <c r="I20" s="8" t="n">
        <v>6</v>
      </c>
      <c r="J20" s="8" t="n">
        <v>12</v>
      </c>
      <c r="K20" s="8" t="n">
        <v>6</v>
      </c>
      <c r="L20" s="8" t="n">
        <v>1</v>
      </c>
      <c r="M20" s="8" t="n"/>
      <c r="N20" s="17">
        <f>SUM(D20:M20)</f>
        <v/>
      </c>
      <c r="O20" s="7" t="n"/>
    </row>
    <row r="21">
      <c r="A21" s="7" t="inlineStr"/>
      <c r="B21" s="12" t="inlineStr"/>
      <c r="C21" s="18" t="inlineStr">
        <is>
          <t>Plano SE-S-02</t>
        </is>
      </c>
      <c r="D21" s="19" t="n">
        <v>10</v>
      </c>
      <c r="E21" s="19" t="n">
        <v>3</v>
      </c>
      <c r="F21" s="19" t="n">
        <v>5</v>
      </c>
      <c r="G21" s="19" t="n">
        <v>7</v>
      </c>
      <c r="H21" s="19" t="n">
        <v>5</v>
      </c>
      <c r="I21" s="19" t="n">
        <v>6</v>
      </c>
      <c r="J21" s="19" t="n">
        <v>12</v>
      </c>
      <c r="K21" s="19" t="n">
        <v>6</v>
      </c>
      <c r="L21" s="19" t="n">
        <v>1</v>
      </c>
      <c r="M21" s="19" t="n"/>
      <c r="N21" s="17">
        <f>SUM(D21:M21)</f>
        <v/>
      </c>
      <c r="O21" s="11">
        <f>IF(AND(D20=D21,E20=E21,F20=F21,G20=G21,H20=H21,I20=I21,J20=J21,K20=K21,L20=L21,M20=M21,N20=N21),"BIEN","REVISAR")</f>
        <v/>
      </c>
    </row>
    <row r="22">
      <c r="A22" s="7" t="inlineStr">
        <is>
          <t>03.14.01.07</t>
        </is>
      </c>
      <c r="B22" s="12" t="inlineStr">
        <is>
          <t>SUMINISTRO Y COLOCACION DE SEÑAL DE EXTINTOR PQS</t>
        </is>
      </c>
      <c r="C22" s="16" t="inlineStr">
        <is>
          <t>HD arquitectura</t>
        </is>
      </c>
      <c r="D22" s="8" t="n">
        <v>3</v>
      </c>
      <c r="E22" s="8" t="n">
        <v>4</v>
      </c>
      <c r="F22" s="8" t="n">
        <v>3</v>
      </c>
      <c r="G22" s="8" t="n">
        <v>2</v>
      </c>
      <c r="H22" s="8" t="n">
        <v>4</v>
      </c>
      <c r="I22" s="8" t="n">
        <v>4</v>
      </c>
      <c r="J22" s="8" t="n">
        <v>8</v>
      </c>
      <c r="K22" s="8" t="n">
        <v>4</v>
      </c>
      <c r="L22" s="8" t="n">
        <v>1</v>
      </c>
      <c r="M22" s="8" t="n"/>
      <c r="N22" s="17">
        <f>SUM(D22:M22)</f>
        <v/>
      </c>
      <c r="O22" s="7" t="n"/>
    </row>
    <row r="23">
      <c r="A23" s="7" t="inlineStr"/>
      <c r="B23" s="12" t="inlineStr"/>
      <c r="C23" s="18" t="inlineStr">
        <is>
          <t>Plano SE-S-02</t>
        </is>
      </c>
      <c r="D23" s="19" t="n">
        <v>3</v>
      </c>
      <c r="E23" s="19" t="n">
        <v>4</v>
      </c>
      <c r="F23" s="19" t="n">
        <v>3</v>
      </c>
      <c r="G23" s="19" t="n">
        <v>2</v>
      </c>
      <c r="H23" s="19" t="n">
        <v>4</v>
      </c>
      <c r="I23" s="19" t="n">
        <v>4</v>
      </c>
      <c r="J23" s="19" t="n">
        <v>8</v>
      </c>
      <c r="K23" s="19" t="n">
        <v>4</v>
      </c>
      <c r="L23" s="19" t="n">
        <v>1</v>
      </c>
      <c r="M23" s="19" t="n"/>
      <c r="N23" s="17">
        <f>SUM(D23:M23)</f>
        <v/>
      </c>
      <c r="O23" s="11">
        <f>IF(AND(D22=D23,E22=E23,F22=F23,G22=G23,H22=H23,I22=I23,J22=J23,K22=K23,L22=L23,M22=M23,N22=N23),"BIEN","REVISAR")</f>
        <v/>
      </c>
    </row>
    <row r="24">
      <c r="A24" s="7" t="inlineStr">
        <is>
          <t>03.14.01.09</t>
        </is>
      </c>
      <c r="B24" s="12" t="inlineStr">
        <is>
          <t>SUMINISTRO Y COLOCACION DE SEÑAL DE SS.HH HOMBRES</t>
        </is>
      </c>
      <c r="C24" s="16" t="inlineStr">
        <is>
          <t>HD arquitectura</t>
        </is>
      </c>
      <c r="D24" s="8" t="n">
        <v>1</v>
      </c>
      <c r="E24" s="8" t="n"/>
      <c r="F24" s="8" t="n"/>
      <c r="G24" s="8" t="n">
        <v>1</v>
      </c>
      <c r="H24" s="8" t="n"/>
      <c r="I24" s="8" t="n"/>
      <c r="J24" s="8" t="n"/>
      <c r="K24" s="8" t="n"/>
      <c r="L24" s="8" t="n">
        <v>1</v>
      </c>
      <c r="M24" s="8" t="n"/>
      <c r="N24" s="17">
        <f>SUM(D24:M24)</f>
        <v/>
      </c>
      <c r="O24" s="7" t="n"/>
    </row>
    <row r="25">
      <c r="A25" s="7" t="inlineStr"/>
      <c r="B25" s="12" t="inlineStr"/>
      <c r="C25" s="18" t="inlineStr">
        <is>
          <t>Plano SE-S-02</t>
        </is>
      </c>
      <c r="D25" s="19" t="n">
        <v>1</v>
      </c>
      <c r="E25" s="19" t="n"/>
      <c r="F25" s="19" t="n"/>
      <c r="G25" s="19" t="n">
        <v>1</v>
      </c>
      <c r="H25" s="19" t="n"/>
      <c r="I25" s="19" t="n"/>
      <c r="J25" s="19" t="n"/>
      <c r="K25" s="19" t="n"/>
      <c r="L25" s="19" t="n">
        <v>1</v>
      </c>
      <c r="M25" s="19" t="n"/>
      <c r="N25" s="17">
        <f>SUM(D25:M25)</f>
        <v/>
      </c>
      <c r="O25" s="11">
        <f>IF(AND(D24=D25,E24=E25,F24=F25,G24=G25,H24=H25,I24=I25,J24=J25,K24=K25,L24=L25,M24=M25,N24=N25),"BIEN","REVISAR")</f>
        <v/>
      </c>
    </row>
    <row r="26">
      <c r="A26" s="7" t="inlineStr">
        <is>
          <t>03.14.01.10</t>
        </is>
      </c>
      <c r="B26" s="12" t="inlineStr">
        <is>
          <t>SUMINISTRO Y COLOCACION DE SEÑAL DE SS.HH MUJERES</t>
        </is>
      </c>
      <c r="C26" s="16" t="inlineStr">
        <is>
          <t>HD arquitectura</t>
        </is>
      </c>
      <c r="D26" s="8" t="n">
        <v>1</v>
      </c>
      <c r="E26" s="8" t="n"/>
      <c r="F26" s="8" t="n"/>
      <c r="G26" s="8" t="n">
        <v>1</v>
      </c>
      <c r="H26" s="8" t="n"/>
      <c r="I26" s="8" t="n"/>
      <c r="J26" s="8" t="n"/>
      <c r="K26" s="8" t="n"/>
      <c r="L26" s="8" t="n">
        <v>1</v>
      </c>
      <c r="M26" s="8" t="n"/>
      <c r="N26" s="17">
        <f>SUM(D26:M26)</f>
        <v/>
      </c>
      <c r="O26" s="7" t="n"/>
    </row>
    <row r="27">
      <c r="A27" s="7" t="inlineStr"/>
      <c r="B27" s="12" t="inlineStr"/>
      <c r="C27" s="18" t="inlineStr">
        <is>
          <t>Plano SE-S-02</t>
        </is>
      </c>
      <c r="D27" s="19" t="n">
        <v>1</v>
      </c>
      <c r="E27" s="19" t="n"/>
      <c r="F27" s="19" t="n"/>
      <c r="G27" s="19" t="n">
        <v>1</v>
      </c>
      <c r="H27" s="19" t="n"/>
      <c r="I27" s="19" t="n"/>
      <c r="J27" s="19" t="n"/>
      <c r="K27" s="19" t="n"/>
      <c r="L27" s="19" t="n">
        <v>1</v>
      </c>
      <c r="M27" s="19" t="n"/>
      <c r="N27" s="17">
        <f>SUM(D27:M27)</f>
        <v/>
      </c>
      <c r="O27" s="11">
        <f>IF(AND(D26=D27,E26=E27,F26=F27,G26=G27,H26=H27,I26=I27,J26=J27,K26=K27,L26=L27,M26=M27,N26=N27),"BIEN","REVISAR")</f>
        <v/>
      </c>
    </row>
    <row r="28">
      <c r="A28" s="7" t="inlineStr">
        <is>
          <t>03.14.01.11</t>
        </is>
      </c>
      <c r="B28" s="12" t="inlineStr">
        <is>
          <t>SUMINISTRO Y COLOCACION DE SEÑAL DE SS.HH MIXTOS</t>
        </is>
      </c>
      <c r="C28" s="16" t="inlineStr">
        <is>
          <t>HD arquitectura</t>
        </is>
      </c>
      <c r="D28" s="8" t="n">
        <v>1</v>
      </c>
      <c r="E28" s="8" t="n"/>
      <c r="F28" s="8" t="n"/>
      <c r="G28" s="8" t="n"/>
      <c r="H28" s="8" t="n"/>
      <c r="I28" s="8" t="n">
        <v>3</v>
      </c>
      <c r="J28" s="8" t="n">
        <v>11</v>
      </c>
      <c r="K28" s="8" t="n">
        <v>4</v>
      </c>
      <c r="L28" s="8" t="n"/>
      <c r="M28" s="8" t="n"/>
      <c r="N28" s="17">
        <f>SUM(D28:M28)</f>
        <v/>
      </c>
      <c r="O28" s="7" t="n"/>
    </row>
    <row r="29">
      <c r="A29" s="7" t="inlineStr"/>
      <c r="B29" s="12" t="inlineStr"/>
      <c r="C29" s="18" t="inlineStr">
        <is>
          <t>Plano SE-S-02</t>
        </is>
      </c>
      <c r="D29" s="19" t="n">
        <v>1</v>
      </c>
      <c r="E29" s="19" t="n"/>
      <c r="F29" s="19" t="n"/>
      <c r="G29" s="19" t="n"/>
      <c r="H29" s="19" t="n"/>
      <c r="I29" s="19" t="n">
        <v>3</v>
      </c>
      <c r="J29" s="19" t="n">
        <v>11</v>
      </c>
      <c r="K29" s="19" t="n">
        <v>4</v>
      </c>
      <c r="L29" s="19" t="n"/>
      <c r="M29" s="19" t="n">
        <v>1</v>
      </c>
      <c r="N29" s="17">
        <f>SUM(D29:M29)</f>
        <v/>
      </c>
      <c r="O29" s="11">
        <f>IF(AND(D28=D29,E28=E29,F28=F29,G28=G29,H28=H29,I28=I29,J28=J29,K28=K29,L28=L29,M28=M29,N28=N29),"BIEN","REVISAR")</f>
        <v/>
      </c>
    </row>
    <row r="30">
      <c r="A30" s="7" t="inlineStr">
        <is>
          <t>03.14.01.12</t>
        </is>
      </c>
      <c r="B30" s="12" t="inlineStr">
        <is>
          <t>SUMINISTRO Y COLOCACION DE SEÑAL DE SS.HH DISCAPACITADOS</t>
        </is>
      </c>
      <c r="C30" s="16" t="inlineStr">
        <is>
          <t>HD arquitectura</t>
        </is>
      </c>
      <c r="D30" s="8" t="n">
        <v>1</v>
      </c>
      <c r="E30" s="8" t="n"/>
      <c r="F30" s="8" t="n"/>
      <c r="G30" s="8" t="n">
        <v>1</v>
      </c>
      <c r="H30" s="8" t="n">
        <v>1</v>
      </c>
      <c r="I30" s="8" t="n"/>
      <c r="J30" s="8" t="n"/>
      <c r="K30" s="8" t="n"/>
      <c r="L30" s="8" t="n"/>
      <c r="M30" s="8" t="n"/>
      <c r="N30" s="17">
        <f>SUM(D30:M30)</f>
        <v/>
      </c>
      <c r="O30" s="7" t="n"/>
    </row>
    <row r="31">
      <c r="A31" s="7" t="inlineStr"/>
      <c r="B31" s="12" t="inlineStr"/>
      <c r="C31" s="18" t="inlineStr">
        <is>
          <t>Plano SE-S-02</t>
        </is>
      </c>
      <c r="D31" s="19" t="n">
        <v>1</v>
      </c>
      <c r="E31" s="19" t="n"/>
      <c r="F31" s="19" t="n"/>
      <c r="G31" s="19" t="n">
        <v>1</v>
      </c>
      <c r="H31" s="19" t="n"/>
      <c r="I31" s="19" t="n">
        <v>1</v>
      </c>
      <c r="J31" s="19" t="n"/>
      <c r="K31" s="19" t="n"/>
      <c r="L31" s="19" t="n"/>
      <c r="M31" s="19" t="n"/>
      <c r="N31" s="17">
        <f>SUM(D31:M31)</f>
        <v/>
      </c>
      <c r="O31" s="11">
        <f>IF(AND(D30=D31,E30=E31,F30=F31,G30=G31,H30=H31,I30=I31,J30=J31,K30=K31,L30=L31,M30=M31,N30=N31),"BIEN","REVISAR")</f>
        <v/>
      </c>
    </row>
    <row r="32">
      <c r="A32" s="7" t="inlineStr">
        <is>
          <t>03.14.01.13</t>
        </is>
      </c>
      <c r="B32" s="12" t="inlineStr">
        <is>
          <t>SUMINISTRO Y COLOCACION DE SEÑAL DE DETECTOR DE HUMO</t>
        </is>
      </c>
      <c r="C32" s="16" t="inlineStr">
        <is>
          <t>HD arquitectura</t>
        </is>
      </c>
      <c r="D32" s="8" t="n">
        <v>13</v>
      </c>
      <c r="E32" s="8" t="n">
        <v>2</v>
      </c>
      <c r="F32" s="8" t="n">
        <v>5</v>
      </c>
      <c r="G32" s="8" t="n">
        <v>9</v>
      </c>
      <c r="H32" s="8" t="n">
        <v>12</v>
      </c>
      <c r="I32" s="8" t="n">
        <v>6</v>
      </c>
      <c r="J32" s="8" t="n">
        <v>12</v>
      </c>
      <c r="K32" s="8" t="n">
        <v>6</v>
      </c>
      <c r="L32" s="8" t="n">
        <v>1</v>
      </c>
      <c r="M32" s="8" t="n"/>
      <c r="N32" s="17">
        <f>SUM(D32:M32)</f>
        <v/>
      </c>
      <c r="O32" s="7" t="n"/>
    </row>
    <row r="33">
      <c r="A33" s="7" t="inlineStr"/>
      <c r="B33" s="12" t="inlineStr"/>
      <c r="C33" s="18" t="inlineStr">
        <is>
          <t>Plano SE-S-02</t>
        </is>
      </c>
      <c r="D33" s="19" t="n">
        <v>13</v>
      </c>
      <c r="E33" s="19" t="n">
        <v>2</v>
      </c>
      <c r="F33" s="19" t="n">
        <v>5</v>
      </c>
      <c r="G33" s="19" t="n">
        <v>9</v>
      </c>
      <c r="H33" s="19" t="n">
        <v>12</v>
      </c>
      <c r="I33" s="19" t="n">
        <v>6</v>
      </c>
      <c r="J33" s="19" t="n">
        <v>12</v>
      </c>
      <c r="K33" s="19" t="n">
        <v>6</v>
      </c>
      <c r="L33" s="19" t="n">
        <v>1</v>
      </c>
      <c r="M33" s="19" t="n">
        <v>1</v>
      </c>
      <c r="N33" s="17">
        <f>SUM(D33:M33)</f>
        <v/>
      </c>
      <c r="O33" s="11">
        <f>IF(AND(D32=D33,E32=E33,F32=F33,G32=G33,H32=H33,I32=I33,J32=J33,K32=K33,L32=L33,M32=M33,N32=N33),"BIEN","REVISAR")</f>
        <v/>
      </c>
    </row>
    <row r="34">
      <c r="A34" s="7" t="inlineStr">
        <is>
          <t>03.14.03.01</t>
        </is>
      </c>
      <c r="B34" s="12" t="inlineStr">
        <is>
          <t>EXTINTOR PQS 9 KG</t>
        </is>
      </c>
      <c r="C34" s="16" t="inlineStr">
        <is>
          <t>HD arquitectura</t>
        </is>
      </c>
      <c r="D34" s="8" t="n">
        <v>3</v>
      </c>
      <c r="E34" s="8" t="n">
        <v>4</v>
      </c>
      <c r="F34" s="8" t="n">
        <v>3</v>
      </c>
      <c r="G34" s="8" t="n">
        <v>2</v>
      </c>
      <c r="H34" s="8" t="n">
        <v>4</v>
      </c>
      <c r="I34" s="8" t="n">
        <v>4</v>
      </c>
      <c r="J34" s="8" t="n">
        <v>8</v>
      </c>
      <c r="K34" s="8" t="n">
        <v>4</v>
      </c>
      <c r="L34" s="8" t="n">
        <v>1</v>
      </c>
      <c r="M34" s="8" t="n"/>
      <c r="N34" s="17">
        <f>SUM(D34:M34)</f>
        <v/>
      </c>
      <c r="O34" s="7" t="n"/>
    </row>
    <row r="35">
      <c r="A35" s="7" t="inlineStr"/>
      <c r="B35" s="12" t="inlineStr"/>
      <c r="C35" s="18" t="inlineStr">
        <is>
          <t>Plano SE-S-02</t>
        </is>
      </c>
      <c r="D35" s="19" t="n">
        <v>3</v>
      </c>
      <c r="E35" s="19" t="n">
        <v>4</v>
      </c>
      <c r="F35" s="19" t="n">
        <v>3</v>
      </c>
      <c r="G35" s="19" t="n">
        <v>2</v>
      </c>
      <c r="H35" s="19" t="n">
        <v>4</v>
      </c>
      <c r="I35" s="19" t="n">
        <v>4</v>
      </c>
      <c r="J35" s="19" t="n">
        <v>8</v>
      </c>
      <c r="K35" s="19" t="n">
        <v>4</v>
      </c>
      <c r="L35" s="19" t="n">
        <v>1</v>
      </c>
      <c r="M35" s="19" t="n"/>
      <c r="N35" s="17">
        <f>SUM(D35:M35)</f>
        <v/>
      </c>
      <c r="O35" s="11">
        <f>IF(AND(D34=D35,E34=E35,F34=F35,G34=G35,H34=H35,I34=I35,J34=J35,K34=K35,L34=L35,M34=M35,N34=N35),"BIEN","REVISAR")</f>
        <v/>
      </c>
    </row>
  </sheetData>
  <mergeCells count="7">
    <mergeCell ref="B4:O4"/>
    <mergeCell ref="B6:O6"/>
    <mergeCell ref="B2:O2"/>
    <mergeCell ref="B7:O7"/>
    <mergeCell ref="A1:O1"/>
    <mergeCell ref="B3:O3"/>
    <mergeCell ref="B5:O5"/>
  </mergeCells>
  <conditionalFormatting sqref="O7:O36">
    <cfRule type="cellIs" priority="1" operator="equal" dxfId="0">
      <formula>"BIEN"</formula>
    </cfRule>
    <cfRule type="cellIs" priority="2" operator="equal" dxfId="1">
      <formula>"REVISAR"</formula>
    </cfRule>
  </conditionalFormatting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40" customWidth="1" min="4" max="4"/>
  </cols>
  <sheetData>
    <row r="1" ht="24" customHeight="1">
      <c r="A1" s="1" t="inlineStr">
        <is>
          <t>ERRORES DEL ARCHIVO DEL METRADO DE ARQUITECTURA (FÓRMULAS Y FORMATO)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</row>
    <row r="4">
      <c r="A4" s="2" t="inlineStr">
        <is>
          <t>ESPECIALIDAD</t>
        </is>
      </c>
      <c r="B4" s="5" t="inlineStr">
        <is>
          <t>ARQUITECTURA - SEÑALIZACIÓN Y SEGURIDAD</t>
        </is>
      </c>
      <c r="C4" s="4" t="n"/>
      <c r="D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</row>
    <row r="9">
      <c r="A9" s="6" t="inlineStr">
        <is>
          <t>N.°</t>
        </is>
      </c>
      <c r="B9" s="6" t="inlineStr">
        <is>
          <t>CELDA / HOJA</t>
        </is>
      </c>
      <c r="C9" s="6" t="inlineStr">
        <is>
          <t>ERROR</t>
        </is>
      </c>
      <c r="D9" s="6" t="inlineStr">
        <is>
          <t>CORRECCIÓN</t>
        </is>
      </c>
    </row>
    <row r="10" ht="30" customHeight="1">
      <c r="A10" s="7" t="n">
        <v>1</v>
      </c>
      <c r="B10" s="7" t="inlineStr">
        <is>
          <t>HR!E26</t>
        </is>
      </c>
      <c r="C10" s="5" t="inlineStr">
        <is>
          <t>La partida 03.14.01.11 SUMINISTRO Y COLOCACION DE SEÑAL DE SS.HH MIXTOS enlaza a HD!K107 (vacía) en lugar de HD!K112: en el resumen sale 0 y en el desagregado 19.</t>
        </is>
      </c>
      <c r="D10" s="5" t="inlineStr">
        <is>
          <t>Cambiar la fórmula a =HD!K112.</t>
        </is>
      </c>
    </row>
    <row r="11" ht="30" customHeight="1">
      <c r="A11" s="7" t="n">
        <v>2</v>
      </c>
      <c r="B11" s="7" t="inlineStr">
        <is>
          <t>HD!B134:C135</t>
        </is>
      </c>
      <c r="C11" s="5" t="inlineStr">
        <is>
          <t>El título “PINTADO DE ZONA SEGURA” está repetido en dos filas seguidas.</t>
        </is>
      </c>
      <c r="D11" s="5" t="inlineStr">
        <is>
          <t>Borrar una de las dos filas.</t>
        </is>
      </c>
    </row>
    <row r="12" ht="30" customHeight="1">
      <c r="A12" s="7" t="n">
        <v>3</v>
      </c>
      <c r="B12" s="7" t="inlineStr">
        <is>
          <t>HR!C8 / HD!C8</t>
        </is>
      </c>
      <c r="C12" s="5" t="inlineStr">
        <is>
          <t>Fechas distintas: HR 01/09/2026 y HD 01/09/2025.</t>
        </is>
      </c>
      <c r="D12" s="5" t="inlineStr">
        <is>
          <t>Poner la misma fecha en las dos hojas.</t>
        </is>
      </c>
    </row>
    <row r="13" ht="30" customHeight="1">
      <c r="A13" s="7" t="n">
        <v>4</v>
      </c>
      <c r="B13" s="7" t="inlineStr">
        <is>
          <t>Hoja Hoja1</t>
        </is>
      </c>
      <c r="C13" s="5" t="inlineStr">
        <is>
          <t>Hoja de otro proyecto: “CUADRO DE EQUIPAMIENTO; AULA PEDAGÓGICA (AULA 01 Y 02) - EDIFICACIÓN I - PRIMER NIVEL...”.</t>
        </is>
      </c>
      <c r="D13" s="5" t="inlineStr">
        <is>
          <t>Retirar la hoja del metrado del hogar.</t>
        </is>
      </c>
    </row>
    <row r="14" ht="30" customHeight="1">
      <c r="A14" s="7" t="n">
        <v>5</v>
      </c>
      <c r="B14" s="7" t="inlineStr">
        <is>
          <t>HR!C18</t>
        </is>
      </c>
      <c r="C14" s="5" t="inlineStr">
        <is>
          <t>Texto “SUMINISTRO Y COLOCACION DE SEÑAL DEDIRECCIÓN DE EVACUACIÓN”.</t>
        </is>
      </c>
      <c r="D14" s="5" t="inlineStr">
        <is>
          <t>Corregir a “SEÑAL DE DIRECCIÓN DE EVACUACIÓN”.</t>
        </is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Comparación del metrado de señalización - Hogar de Refugio Temporal</dc:title>
  <dcterms:created xmlns:dcterms="http://purl.org/dc/terms/" xmlns:xsi="http://www.w3.org/2001/XMLSchema-instance" xsi:type="dcterms:W3CDTF">2026-10-29T19:49:44Z</dcterms:created>
  <dcterms:modified xmlns:dcterms="http://purl.org/dc/terms/" xmlns:xsi="http://www.w3.org/2001/XMLSchema-instance" xsi:type="dcterms:W3CDTF">2026-10-29T19:49:44Z</dcterms:modified>
</cp:coreProperties>
</file>