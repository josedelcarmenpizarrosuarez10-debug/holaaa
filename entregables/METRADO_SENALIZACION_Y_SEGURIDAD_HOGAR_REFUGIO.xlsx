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RADO" sheetId="2" state="visible" r:id="rId2"/>
    <sheet xmlns:r="http://schemas.openxmlformats.org/officeDocument/2006/relationships" name="LEYENDA" sheetId="3" state="visible" r:id="rId3"/>
    <sheet xmlns:r="http://schemas.openxmlformats.org/officeDocument/2006/relationships" name="POBLACIÓN" sheetId="4" state="visible" r:id="rId4"/>
    <sheet xmlns:r="http://schemas.openxmlformats.org/officeDocument/2006/relationships" name="SEÑALES" sheetId="5" state="visible" r:id="rId5"/>
  </sheets>
  <definedNames>
    <definedName name="_xlnm.Print_Area" localSheetId="0">'RESUMEN'!$A$1:$D$29</definedName>
    <definedName name="_xlnm.Print_Area" localSheetId="1">'METRADO'!$A$1:$R$39</definedName>
    <definedName name="_xlnm.Print_Area" localSheetId="2">'LEYENDA'!$A$1:$G$37</definedName>
    <definedName name="_xlnm.Print_Area" localSheetId="3">'POBLACIÓN'!$A$1:$D$27</definedName>
    <definedName name="_xlnm.Print_Area" localSheetId="4">'SEÑALES'!$A$1:$G$28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&quot;conforme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sz val="7"/>
    </font>
    <font>
      <name val="Arial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007B1E2B"/>
      </patternFill>
    </fill>
    <fill>
      <patternFill patternType="solid">
        <fgColor rgb="00F2F2F2"/>
      </patternFill>
    </fill>
    <fill>
      <patternFill patternType="solid">
        <fgColor rgb="00F2E6E8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0" customWidth="1" min="2" max="2"/>
    <col width="7" customWidth="1" min="3" max="3"/>
    <col width="12" customWidth="1" min="4" max="4"/>
  </cols>
  <sheetData>
    <row r="1" ht="24" customHeight="1">
      <c r="A1" s="1" t="inlineStr">
        <is>
          <t>RESUMEN DE METRADOS - SEÑALIZACIÓN Y SEGURIDAD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</row>
    <row r="4">
      <c r="A4" s="2" t="inlineStr">
        <is>
          <t>ESPECIALIDAD</t>
        </is>
      </c>
      <c r="B4" s="5" t="inlineStr">
        <is>
          <t>ARQUITECTURA - SEÑALIZACIÓN Y SEGURIDAD</t>
        </is>
      </c>
      <c r="C4" s="4" t="n"/>
      <c r="D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</row>
    <row r="9">
      <c r="A9" s="6" t="inlineStr">
        <is>
          <t>ITEM</t>
        </is>
      </c>
      <c r="B9" s="6" t="inlineStr">
        <is>
          <t>DESCRIPCIÓN</t>
        </is>
      </c>
      <c r="C9" s="6" t="inlineStr">
        <is>
          <t>UND</t>
        </is>
      </c>
      <c r="D9" s="6" t="inlineStr">
        <is>
          <t>METRADO</t>
        </is>
      </c>
    </row>
    <row r="10">
      <c r="A10" s="7" t="inlineStr">
        <is>
          <t>01</t>
        </is>
      </c>
      <c r="B10" s="2" t="inlineStr">
        <is>
          <t>SEÑALIZACIÓN Y SEGURIDAD</t>
        </is>
      </c>
      <c r="C10" s="8" t="n"/>
      <c r="D10" s="8" t="n"/>
    </row>
    <row r="11">
      <c r="A11" s="9" t="inlineStr">
        <is>
          <t>01.01</t>
        </is>
      </c>
      <c r="B11" s="3" t="inlineStr">
        <is>
          <t>SEÑALES DE EVACUACIÓN Y EMERGENCIA</t>
        </is>
      </c>
      <c r="C11" s="10" t="n"/>
      <c r="D11" s="10" t="n"/>
    </row>
    <row r="12">
      <c r="A12" s="10" t="inlineStr">
        <is>
          <t>01.01.01</t>
        </is>
      </c>
      <c r="B12" s="5" t="inlineStr">
        <is>
          <t>SEÑAL DE SALIDA CON BRAILLE</t>
        </is>
      </c>
      <c r="C12" s="10" t="inlineStr">
        <is>
          <t>und</t>
        </is>
      </c>
      <c r="D12" s="11">
        <f>'METRADO'!O12</f>
        <v/>
      </c>
    </row>
    <row r="13">
      <c r="A13" s="10" t="inlineStr">
        <is>
          <t>01.01.02</t>
        </is>
      </c>
      <c r="B13" s="5" t="inlineStr">
        <is>
          <t>SEÑAL DE DIRECCIÓN DE EVACUACIÓN</t>
        </is>
      </c>
      <c r="C13" s="10" t="inlineStr">
        <is>
          <t>und</t>
        </is>
      </c>
      <c r="D13" s="11">
        <f>'METRADO'!O13</f>
        <v/>
      </c>
    </row>
    <row r="14">
      <c r="A14" s="10" t="inlineStr">
        <is>
          <t>01.01.03</t>
        </is>
      </c>
      <c r="B14" s="5" t="inlineStr">
        <is>
          <t>SEÑAL DE ZONA SEGURA EN CASO DE SISMO CON BRAILLE</t>
        </is>
      </c>
      <c r="C14" s="10" t="inlineStr">
        <is>
          <t>und</t>
        </is>
      </c>
      <c r="D14" s="11">
        <f>'METRADO'!O14</f>
        <v/>
      </c>
    </row>
    <row r="15">
      <c r="A15" s="10" t="inlineStr">
        <is>
          <t>01.01.04</t>
        </is>
      </c>
      <c r="B15" s="5" t="inlineStr">
        <is>
          <t>LETRERO DE AFORO CON BRAILLE</t>
        </is>
      </c>
      <c r="C15" s="10" t="inlineStr">
        <is>
          <t>und</t>
        </is>
      </c>
      <c r="D15" s="11">
        <f>'METRADO'!O15</f>
        <v/>
      </c>
    </row>
    <row r="16">
      <c r="A16" s="9" t="inlineStr">
        <is>
          <t>01.02</t>
        </is>
      </c>
      <c r="B16" s="3" t="inlineStr">
        <is>
          <t>SEÑALES DE EQUIPOS CONTRA INCENDIO</t>
        </is>
      </c>
      <c r="C16" s="10" t="n"/>
      <c r="D16" s="10" t="n"/>
    </row>
    <row r="17">
      <c r="A17" s="10" t="inlineStr">
        <is>
          <t>01.02.01</t>
        </is>
      </c>
      <c r="B17" s="5" t="inlineStr">
        <is>
          <t>SEÑAL DE UBICACIÓN DE EXTINTOR PQS CON BRAILLE</t>
        </is>
      </c>
      <c r="C17" s="10" t="inlineStr">
        <is>
          <t>und</t>
        </is>
      </c>
      <c r="D17" s="11">
        <f>'METRADO'!O17</f>
        <v/>
      </c>
    </row>
    <row r="18">
      <c r="A18" s="9" t="inlineStr">
        <is>
          <t>01.03</t>
        </is>
      </c>
      <c r="B18" s="3" t="inlineStr">
        <is>
          <t>SEÑALES DE ADVERTENCIA</t>
        </is>
      </c>
      <c r="C18" s="10" t="n"/>
      <c r="D18" s="10" t="n"/>
    </row>
    <row r="19">
      <c r="A19" s="10" t="inlineStr">
        <is>
          <t>01.03.01</t>
        </is>
      </c>
      <c r="B19" s="5" t="inlineStr">
        <is>
          <t>SEÑAL DE ATENCIÓN RIESGO ELÉCTRICO CON BRAILLE</t>
        </is>
      </c>
      <c r="C19" s="10" t="inlineStr">
        <is>
          <t>und</t>
        </is>
      </c>
      <c r="D19" s="11">
        <f>'METRADO'!O19</f>
        <v/>
      </c>
    </row>
    <row r="20">
      <c r="A20" s="9" t="inlineStr">
        <is>
          <t>01.04</t>
        </is>
      </c>
      <c r="B20" s="3" t="inlineStr">
        <is>
          <t>SEÑALES INFORMATIVAS</t>
        </is>
      </c>
      <c r="C20" s="10" t="n"/>
      <c r="D20" s="10" t="n"/>
    </row>
    <row r="21">
      <c r="A21" s="10" t="inlineStr">
        <is>
          <t>01.04.01</t>
        </is>
      </c>
      <c r="B21" s="5" t="inlineStr">
        <is>
          <t>SEÑAL DE SERVICIOS HIGIÉNICOS PARA PERSONAS CON DISCAPACIDAD CON BRAILLE</t>
        </is>
      </c>
      <c r="C21" s="10" t="inlineStr">
        <is>
          <t>und</t>
        </is>
      </c>
      <c r="D21" s="11">
        <f>'METRADO'!O21</f>
        <v/>
      </c>
    </row>
    <row r="22">
      <c r="A22" s="10" t="inlineStr">
        <is>
          <t>01.04.02</t>
        </is>
      </c>
      <c r="B22" s="5" t="inlineStr">
        <is>
          <t>SEÑAL DE SERVICIOS HIGIÉNICOS MIXTO CON BRAILLE</t>
        </is>
      </c>
      <c r="C22" s="10" t="inlineStr">
        <is>
          <t>und</t>
        </is>
      </c>
      <c r="D22" s="11">
        <f>'METRADO'!O22</f>
        <v/>
      </c>
    </row>
    <row r="23">
      <c r="A23" s="10" t="inlineStr">
        <is>
          <t>01.04.03</t>
        </is>
      </c>
      <c r="B23" s="5" t="inlineStr">
        <is>
          <t>SEÑAL DE SERVICIOS HIGIÉNICOS MUJER CON BRAILLE</t>
        </is>
      </c>
      <c r="C23" s="10" t="inlineStr">
        <is>
          <t>und</t>
        </is>
      </c>
      <c r="D23" s="11">
        <f>'METRADO'!O23</f>
        <v/>
      </c>
    </row>
    <row r="24">
      <c r="A24" s="10" t="inlineStr">
        <is>
          <t>01.04.04</t>
        </is>
      </c>
      <c r="B24" s="5" t="inlineStr">
        <is>
          <t>SEÑAL DE SERVICIOS HIGIÉNICOS VARÓN CON BRAILLE</t>
        </is>
      </c>
      <c r="C24" s="10" t="inlineStr">
        <is>
          <t>und</t>
        </is>
      </c>
      <c r="D24" s="11">
        <f>'METRADO'!O24</f>
        <v/>
      </c>
    </row>
    <row r="25">
      <c r="A25" s="10" t="inlineStr">
        <is>
          <t>01.04.05</t>
        </is>
      </c>
      <c r="B25" s="5" t="inlineStr">
        <is>
          <t>SEÑAL DE PUNTO ECOLÓGICO CON BRAILLE</t>
        </is>
      </c>
      <c r="C25" s="10" t="inlineStr">
        <is>
          <t>und</t>
        </is>
      </c>
      <c r="D25" s="11">
        <f>'METRADO'!O25</f>
        <v/>
      </c>
    </row>
    <row r="26">
      <c r="A26" s="9" t="inlineStr">
        <is>
          <t>01.05</t>
        </is>
      </c>
      <c r="B26" s="3" t="inlineStr">
        <is>
          <t>EQUIPOS DE PROTECCIÓN CONTRA INCENDIO Y EMERGENCIA</t>
        </is>
      </c>
      <c r="C26" s="10" t="n"/>
      <c r="D26" s="10" t="n"/>
    </row>
    <row r="27">
      <c r="A27" s="10" t="inlineStr">
        <is>
          <t>01.05.01</t>
        </is>
      </c>
      <c r="B27" s="5" t="inlineStr">
        <is>
          <t>EXTINTOR DE POLVO QUÍMICO SECO (PQS) TIPO ABC DE 9 kg</t>
        </is>
      </c>
      <c r="C27" s="10" t="inlineStr">
        <is>
          <t>und</t>
        </is>
      </c>
      <c r="D27" s="11">
        <f>'METRADO'!O27</f>
        <v/>
      </c>
    </row>
    <row r="28">
      <c r="A28" s="10" t="inlineStr">
        <is>
          <t>01.05.02</t>
        </is>
      </c>
      <c r="B28" s="5" t="inlineStr">
        <is>
          <t>UNIDAD DE LUCES DE EMERGENCIA</t>
        </is>
      </c>
      <c r="C28" s="10" t="inlineStr">
        <is>
          <t>und</t>
        </is>
      </c>
      <c r="D28" s="11">
        <f>'METRADO'!O28</f>
        <v/>
      </c>
    </row>
    <row r="29">
      <c r="A29" s="10" t="inlineStr">
        <is>
          <t>01.05.03</t>
        </is>
      </c>
      <c r="B29" s="5" t="inlineStr">
        <is>
          <t>DETECTOR DE HUMO</t>
        </is>
      </c>
      <c r="C29" s="10" t="inlineStr">
        <is>
          <t>und</t>
        </is>
      </c>
      <c r="D29" s="11">
        <f>'METRADO'!O29</f>
        <v/>
      </c>
    </row>
  </sheetData>
  <mergeCells count="7">
    <mergeCell ref="A1:D1"/>
    <mergeCell ref="B3:D3"/>
    <mergeCell ref="B5:D5"/>
    <mergeCell ref="B4:D4"/>
    <mergeCell ref="B7:D7"/>
    <mergeCell ref="B6:D6"/>
    <mergeCell ref="B2:D2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8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.5" customWidth="1" min="14" max="14"/>
    <col width="7.5" customWidth="1" min="15" max="15"/>
    <col width="8.5" customWidth="1" min="16" max="16"/>
    <col width="9" customWidth="1" min="17" max="17"/>
    <col width="44" customWidth="1" min="18" max="18"/>
  </cols>
  <sheetData>
    <row r="1" ht="24" customHeight="1">
      <c r="A1" s="1" t="inlineStr">
        <is>
          <t>METRADO DE SEÑALIZACIÓN Y SEGURIDAD POR EDIFICACIÓN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A4" s="2" t="inlineStr">
        <is>
          <t>ESPECIALIDAD</t>
        </is>
      </c>
      <c r="B4" s="5" t="inlineStr">
        <is>
          <t>ARQUITECTURA - SEÑALIZACIÓN Y SEGURIDAD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9">
      <c r="A9" s="6" t="inlineStr">
        <is>
          <t>ITEM</t>
        </is>
      </c>
      <c r="B9" s="6" t="inlineStr">
        <is>
          <t>DESCRIPCIÓN</t>
        </is>
      </c>
      <c r="C9" s="6" t="inlineStr">
        <is>
          <t>UND</t>
        </is>
      </c>
      <c r="D9" s="6" t="inlineStr">
        <is>
          <t>E-01</t>
        </is>
      </c>
      <c r="E9" s="6" t="inlineStr">
        <is>
          <t>E-02</t>
        </is>
      </c>
      <c r="F9" s="6" t="inlineStr">
        <is>
          <t>E-03</t>
        </is>
      </c>
      <c r="G9" s="6" t="inlineStr">
        <is>
          <t>E-04</t>
        </is>
      </c>
      <c r="H9" s="6" t="inlineStr">
        <is>
          <t>E-05</t>
        </is>
      </c>
      <c r="I9" s="6" t="inlineStr">
        <is>
          <t>E-06</t>
        </is>
      </c>
      <c r="J9" s="6" t="inlineStr">
        <is>
          <t>E-07</t>
        </is>
      </c>
      <c r="K9" s="6" t="inlineStr">
        <is>
          <t>E-08</t>
        </is>
      </c>
      <c r="L9" s="6" t="inlineStr">
        <is>
          <t>E-09</t>
        </is>
      </c>
      <c r="M9" s="6" t="inlineStr">
        <is>
          <t>EXT</t>
        </is>
      </c>
      <c r="N9" s="6" t="inlineStr">
        <is>
          <t>SIN UBICAR</t>
        </is>
      </c>
      <c r="O9" s="6" t="inlineStr">
        <is>
          <t>TOTAL</t>
        </is>
      </c>
      <c r="P9" s="6" t="inlineStr">
        <is>
          <t>LEYENDA SE-S-02</t>
        </is>
      </c>
      <c r="Q9" s="6" t="inlineStr">
        <is>
          <t>DIFERENCIA</t>
        </is>
      </c>
      <c r="R9" s="6" t="inlineStr">
        <is>
          <t>FUENTE DE LA CANTIDAD</t>
        </is>
      </c>
    </row>
    <row r="10" ht="60" customHeight="1">
      <c r="A10" s="12" t="n"/>
      <c r="B10" s="12" t="n"/>
      <c r="C10" s="12" t="n"/>
      <c r="D10" s="13" t="inlineStr">
        <is>
          <t>Administración</t>
        </is>
      </c>
      <c r="E10" s="13" t="inlineStr">
        <is>
          <t>Almacén de donaciones y tópico</t>
        </is>
      </c>
      <c r="F10" s="13" t="inlineStr">
        <is>
          <t>Mantenimiento</t>
        </is>
      </c>
      <c r="G10" s="13" t="inlineStr">
        <is>
          <t>Talleres</t>
        </is>
      </c>
      <c r="H10" s="13" t="inlineStr">
        <is>
          <t>SUM-comedor, cocina, lavandería, módulo de enseñanza y módulo infantil</t>
        </is>
      </c>
      <c r="I10" s="13" t="inlineStr">
        <is>
          <t>Habitaciones (1)</t>
        </is>
      </c>
      <c r="J10" s="13" t="inlineStr">
        <is>
          <t>Habitaciones (2)</t>
        </is>
      </c>
      <c r="K10" s="13" t="inlineStr">
        <is>
          <t>Habitaciones (3)</t>
        </is>
      </c>
      <c r="L10" s="13" t="inlineStr">
        <is>
          <t>Vestidores y almacén de implementos deportivos</t>
        </is>
      </c>
      <c r="M10" s="13" t="inlineStr">
        <is>
          <t>Exteriores</t>
        </is>
      </c>
      <c r="N10" s="12" t="n"/>
      <c r="O10" s="12" t="n"/>
      <c r="P10" s="12" t="n"/>
      <c r="Q10" s="12" t="n"/>
      <c r="R10" s="12" t="n"/>
    </row>
    <row r="11">
      <c r="A11" s="7" t="inlineStr">
        <is>
          <t>01</t>
        </is>
      </c>
      <c r="B11" s="2" t="inlineStr">
        <is>
          <t>SEÑALES DE EVACUACIÓN Y EMERGENCIA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10" t="inlineStr">
        <is>
          <t>01.01</t>
        </is>
      </c>
      <c r="B12" s="5" t="inlineStr">
        <is>
          <t>SEÑAL DE SALIDA CON BRAILLE</t>
        </is>
      </c>
      <c r="C12" s="10" t="inlineStr">
        <is>
          <t>und</t>
        </is>
      </c>
      <c r="D12" s="14" t="n">
        <v>3</v>
      </c>
      <c r="E12" s="14" t="n">
        <v>3</v>
      </c>
      <c r="F12" s="14" t="n">
        <v>5</v>
      </c>
      <c r="G12" s="14" t="n">
        <v>7</v>
      </c>
      <c r="H12" s="14" t="n">
        <v>6</v>
      </c>
      <c r="I12" s="14" t="n">
        <v>6</v>
      </c>
      <c r="J12" s="14" t="n">
        <v>12</v>
      </c>
      <c r="K12" s="14" t="n">
        <v>6</v>
      </c>
      <c r="L12" s="14" t="n">
        <v>1</v>
      </c>
      <c r="M12" s="14" t="n"/>
      <c r="N12" s="14" t="n"/>
      <c r="O12" s="15">
        <f>SUM(D12:N12)</f>
        <v/>
      </c>
      <c r="P12" s="14" t="n">
        <v>49</v>
      </c>
      <c r="Q12" s="16">
        <f>O12-P12</f>
        <v/>
      </c>
      <c r="R12" s="17" t="inlineStr">
        <is>
          <t>Planta de SE-S-02: símbolos dibujados; leyenda: 49</t>
        </is>
      </c>
    </row>
    <row r="13">
      <c r="A13" s="10" t="inlineStr">
        <is>
          <t>01.02</t>
        </is>
      </c>
      <c r="B13" s="5" t="inlineStr">
        <is>
          <t>SEÑAL DE DIRECCIÓN DE EVACUACIÓN</t>
        </is>
      </c>
      <c r="C13" s="10" t="inlineStr">
        <is>
          <t>und</t>
        </is>
      </c>
      <c r="D13" s="14" t="n">
        <v>12</v>
      </c>
      <c r="E13" s="14" t="n">
        <v>4</v>
      </c>
      <c r="F13" s="14" t="n"/>
      <c r="G13" s="14" t="n">
        <v>20</v>
      </c>
      <c r="H13" s="14" t="n">
        <v>10</v>
      </c>
      <c r="I13" s="14" t="n">
        <v>5</v>
      </c>
      <c r="J13" s="14" t="n">
        <v>7</v>
      </c>
      <c r="K13" s="14" t="n">
        <v>5</v>
      </c>
      <c r="L13" s="14" t="n"/>
      <c r="M13" s="14" t="n"/>
      <c r="N13" s="14" t="n"/>
      <c r="O13" s="15">
        <f>SUM(D13:N13)</f>
        <v/>
      </c>
      <c r="P13" s="14" t="n">
        <v>63</v>
      </c>
      <c r="Q13" s="16">
        <f>O13-P13</f>
        <v/>
      </c>
      <c r="R13" s="17" t="inlineStr">
        <is>
          <t>Planta de SE-S-02: símbolos dibujados; leyenda: 63</t>
        </is>
      </c>
    </row>
    <row r="14">
      <c r="A14" s="10" t="inlineStr">
        <is>
          <t>01.03</t>
        </is>
      </c>
      <c r="B14" s="5" t="inlineStr">
        <is>
          <t>SEÑAL DE ZONA SEGURA EN CASO DE SISMO CON BRAILLE</t>
        </is>
      </c>
      <c r="C14" s="10" t="inlineStr">
        <is>
          <t>und</t>
        </is>
      </c>
      <c r="D14" s="14" t="n">
        <v>28</v>
      </c>
      <c r="E14" s="14" t="n">
        <v>12</v>
      </c>
      <c r="F14" s="14" t="n">
        <v>14</v>
      </c>
      <c r="G14" s="14" t="n">
        <v>37</v>
      </c>
      <c r="H14" s="14" t="n">
        <v>22</v>
      </c>
      <c r="I14" s="14" t="n">
        <v>20</v>
      </c>
      <c r="J14" s="14" t="n">
        <v>45</v>
      </c>
      <c r="K14" s="14" t="n">
        <v>20</v>
      </c>
      <c r="L14" s="14" t="n">
        <v>11</v>
      </c>
      <c r="M14" s="14" t="n"/>
      <c r="N14" s="14" t="n"/>
      <c r="O14" s="15">
        <f>SUM(D14:N14)</f>
        <v/>
      </c>
      <c r="P14" s="14" t="n">
        <v>210</v>
      </c>
      <c r="Q14" s="16">
        <f>O14-P14</f>
        <v/>
      </c>
      <c r="R14" s="17" t="inlineStr">
        <is>
          <t>Planta de SE-S-02: símbolos dibujados; leyenda: 210</t>
        </is>
      </c>
    </row>
    <row r="15">
      <c r="A15" s="10" t="inlineStr">
        <is>
          <t>01.04</t>
        </is>
      </c>
      <c r="B15" s="5" t="inlineStr">
        <is>
          <t>LETRERO DE AFORO CON BRAILLE</t>
        </is>
      </c>
      <c r="C15" s="10" t="inlineStr">
        <is>
          <t>und</t>
        </is>
      </c>
      <c r="D15" s="14" t="n">
        <v>13</v>
      </c>
      <c r="E15" s="14" t="n">
        <v>4</v>
      </c>
      <c r="F15" s="14" t="n">
        <v>5</v>
      </c>
      <c r="G15" s="14" t="n">
        <v>5</v>
      </c>
      <c r="H15" s="14" t="n">
        <v>4</v>
      </c>
      <c r="I15" s="14" t="n">
        <v>6</v>
      </c>
      <c r="J15" s="14" t="n">
        <v>12</v>
      </c>
      <c r="K15" s="14" t="n">
        <v>6</v>
      </c>
      <c r="L15" s="14" t="n"/>
      <c r="M15" s="14" t="n"/>
      <c r="N15" s="14" t="n"/>
      <c r="O15" s="15">
        <f>SUM(D15:N15)</f>
        <v/>
      </c>
      <c r="P15" s="14" t="n">
        <v>55</v>
      </c>
      <c r="Q15" s="16">
        <f>O15-P15</f>
        <v/>
      </c>
      <c r="R15" s="17" t="inlineStr">
        <is>
          <t>Planta de SE-S-02: símbolos dibujados; leyenda: 55</t>
        </is>
      </c>
    </row>
    <row r="16">
      <c r="A16" s="7" t="inlineStr">
        <is>
          <t>02</t>
        </is>
      </c>
      <c r="B16" s="2" t="inlineStr">
        <is>
          <t>SEÑALES DE EQUIPOS CONTRA INCENDIO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10" t="inlineStr">
        <is>
          <t>02.01</t>
        </is>
      </c>
      <c r="B17" s="5" t="inlineStr">
        <is>
          <t>SEÑAL DE UBICACIÓN DE EXTINTOR PQS CON BRAILLE</t>
        </is>
      </c>
      <c r="C17" s="10" t="inlineStr">
        <is>
          <t>und</t>
        </is>
      </c>
      <c r="D17" s="14" t="n">
        <v>3</v>
      </c>
      <c r="E17" s="14" t="n">
        <v>5</v>
      </c>
      <c r="F17" s="14" t="n">
        <v>3</v>
      </c>
      <c r="G17" s="14" t="n">
        <v>2</v>
      </c>
      <c r="H17" s="14" t="n">
        <v>3</v>
      </c>
      <c r="I17" s="14" t="n">
        <v>4</v>
      </c>
      <c r="J17" s="14" t="n">
        <v>8</v>
      </c>
      <c r="K17" s="14" t="n">
        <v>4</v>
      </c>
      <c r="L17" s="14" t="n">
        <v>1</v>
      </c>
      <c r="M17" s="14" t="n"/>
      <c r="N17" s="14" t="n"/>
      <c r="O17" s="15">
        <f>SUM(D17:N17)</f>
        <v/>
      </c>
      <c r="P17" s="14" t="n">
        <v>44</v>
      </c>
      <c r="Q17" s="16">
        <f>O17-P17</f>
        <v/>
      </c>
      <c r="R17" s="17" t="inlineStr">
        <is>
          <t>Planta de SE-S-02: símbolos dibujados; leyenda: 44</t>
        </is>
      </c>
    </row>
    <row r="18">
      <c r="A18" s="7" t="inlineStr">
        <is>
          <t>03</t>
        </is>
      </c>
      <c r="B18" s="2" t="inlineStr">
        <is>
          <t>SEÑALES DE ADVERTENCIA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10" t="inlineStr">
        <is>
          <t>03.01</t>
        </is>
      </c>
      <c r="B19" s="5" t="inlineStr">
        <is>
          <t>SEÑAL DE ATENCIÓN RIESGO ELÉCTRICO CON BRAILLE</t>
        </is>
      </c>
      <c r="C19" s="10" t="inlineStr">
        <is>
          <t>und</t>
        </is>
      </c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>
        <v>39</v>
      </c>
      <c r="O19" s="15">
        <f>SUM(D19:N19)</f>
        <v/>
      </c>
      <c r="P19" s="14" t="n">
        <v>38</v>
      </c>
      <c r="Q19" s="16">
        <f>O19-P19</f>
        <v/>
      </c>
      <c r="R19" s="17" t="inlineStr">
        <is>
          <t>Imagen pegada en el DXF (sin ubicación): 39 imágenes en el espacio modelo; leyenda: 38</t>
        </is>
      </c>
    </row>
    <row r="20">
      <c r="A20" s="7" t="inlineStr">
        <is>
          <t>04</t>
        </is>
      </c>
      <c r="B20" s="2" t="inlineStr">
        <is>
          <t>SEÑALES INFORMATIVAS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10" t="inlineStr">
        <is>
          <t>04.01</t>
        </is>
      </c>
      <c r="B21" s="5" t="inlineStr">
        <is>
          <t>SEÑAL DE SERVICIOS HIGIÉNICOS PARA PERSONAS CON DISCAPACIDAD CON BRAILLE</t>
        </is>
      </c>
      <c r="C21" s="10" t="inlineStr">
        <is>
          <t>und</t>
        </is>
      </c>
      <c r="D21" s="14" t="n">
        <v>1</v>
      </c>
      <c r="E21" s="14" t="n"/>
      <c r="F21" s="14" t="n"/>
      <c r="G21" s="14" t="n">
        <v>1</v>
      </c>
      <c r="H21" s="14" t="n"/>
      <c r="I21" s="14" t="n">
        <v>1</v>
      </c>
      <c r="J21" s="14" t="n"/>
      <c r="K21" s="14" t="n"/>
      <c r="L21" s="14" t="n"/>
      <c r="M21" s="14" t="n"/>
      <c r="N21" s="14" t="n"/>
      <c r="O21" s="15">
        <f>SUM(D21:N21)</f>
        <v/>
      </c>
      <c r="P21" s="14" t="n">
        <v>3</v>
      </c>
      <c r="Q21" s="16">
        <f>O21-P21</f>
        <v/>
      </c>
      <c r="R21" s="17" t="inlineStr">
        <is>
          <t>Planta de SE-S-02: símbolos dibujados; leyenda: 3</t>
        </is>
      </c>
    </row>
    <row r="22">
      <c r="A22" s="10" t="inlineStr">
        <is>
          <t>04.02</t>
        </is>
      </c>
      <c r="B22" s="5" t="inlineStr">
        <is>
          <t>SEÑAL DE SERVICIOS HIGIÉNICOS MIXTO CON BRAILLE</t>
        </is>
      </c>
      <c r="C22" s="10" t="inlineStr">
        <is>
          <t>und</t>
        </is>
      </c>
      <c r="D22" s="14" t="n">
        <v>1</v>
      </c>
      <c r="E22" s="14" t="n"/>
      <c r="F22" s="14" t="n"/>
      <c r="G22" s="14" t="n"/>
      <c r="H22" s="14" t="n"/>
      <c r="I22" s="14" t="n">
        <v>3</v>
      </c>
      <c r="J22" s="14" t="n">
        <v>11</v>
      </c>
      <c r="K22" s="14" t="n">
        <v>4</v>
      </c>
      <c r="L22" s="14" t="n"/>
      <c r="M22" s="14" t="n">
        <v>1</v>
      </c>
      <c r="N22" s="14" t="n"/>
      <c r="O22" s="15">
        <f>SUM(D22:N22)</f>
        <v/>
      </c>
      <c r="P22" s="14" t="n">
        <v>20</v>
      </c>
      <c r="Q22" s="16">
        <f>O22-P22</f>
        <v/>
      </c>
      <c r="R22" s="17" t="inlineStr">
        <is>
          <t>Planta de SE-S-02: símbolos dibujados; leyenda: 20</t>
        </is>
      </c>
    </row>
    <row r="23">
      <c r="A23" s="10" t="inlineStr">
        <is>
          <t>04.03</t>
        </is>
      </c>
      <c r="B23" s="5" t="inlineStr">
        <is>
          <t>SEÑAL DE SERVICIOS HIGIÉNICOS MUJER CON BRAILLE</t>
        </is>
      </c>
      <c r="C23" s="10" t="inlineStr">
        <is>
          <t>und</t>
        </is>
      </c>
      <c r="D23" s="14" t="n">
        <v>1</v>
      </c>
      <c r="E23" s="14" t="n"/>
      <c r="F23" s="14" t="n"/>
      <c r="G23" s="14" t="n">
        <v>1</v>
      </c>
      <c r="H23" s="14" t="n"/>
      <c r="I23" s="14" t="n"/>
      <c r="J23" s="14" t="n"/>
      <c r="K23" s="14" t="n"/>
      <c r="L23" s="14" t="n">
        <v>1</v>
      </c>
      <c r="M23" s="14" t="n"/>
      <c r="N23" s="14" t="n"/>
      <c r="O23" s="15">
        <f>SUM(D23:N23)</f>
        <v/>
      </c>
      <c r="P23" s="14" t="n">
        <v>3</v>
      </c>
      <c r="Q23" s="16">
        <f>O23-P23</f>
        <v/>
      </c>
      <c r="R23" s="17" t="inlineStr">
        <is>
          <t>Planta de SE-S-02: símbolos dibujados; leyenda: 3</t>
        </is>
      </c>
    </row>
    <row r="24">
      <c r="A24" s="10" t="inlineStr">
        <is>
          <t>04.04</t>
        </is>
      </c>
      <c r="B24" s="5" t="inlineStr">
        <is>
          <t>SEÑAL DE SERVICIOS HIGIÉNICOS VARÓN CON BRAILLE</t>
        </is>
      </c>
      <c r="C24" s="10" t="inlineStr">
        <is>
          <t>und</t>
        </is>
      </c>
      <c r="D24" s="14" t="n">
        <v>1</v>
      </c>
      <c r="E24" s="14" t="n"/>
      <c r="F24" s="14" t="n"/>
      <c r="G24" s="14" t="n">
        <v>1</v>
      </c>
      <c r="H24" s="14" t="n"/>
      <c r="I24" s="14" t="n"/>
      <c r="J24" s="14" t="n"/>
      <c r="K24" s="14" t="n"/>
      <c r="L24" s="14" t="n">
        <v>1</v>
      </c>
      <c r="M24" s="14" t="n"/>
      <c r="N24" s="14" t="n"/>
      <c r="O24" s="15">
        <f>SUM(D24:N24)</f>
        <v/>
      </c>
      <c r="P24" s="14" t="n">
        <v>3</v>
      </c>
      <c r="Q24" s="16">
        <f>O24-P24</f>
        <v/>
      </c>
      <c r="R24" s="17" t="inlineStr">
        <is>
          <t>Planta de SE-S-02: símbolos dibujados; leyenda: 3</t>
        </is>
      </c>
    </row>
    <row r="25">
      <c r="A25" s="10" t="inlineStr">
        <is>
          <t>04.05</t>
        </is>
      </c>
      <c r="B25" s="5" t="inlineStr">
        <is>
          <t>SEÑAL DE PUNTO ECOLÓGICO CON BRAILLE</t>
        </is>
      </c>
      <c r="C25" s="10" t="inlineStr">
        <is>
          <t>und</t>
        </is>
      </c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>
        <v>4</v>
      </c>
      <c r="N25" s="14" t="n"/>
      <c r="O25" s="15">
        <f>SUM(D25:N25)</f>
        <v/>
      </c>
      <c r="P25" s="14" t="n">
        <v>0</v>
      </c>
      <c r="Q25" s="16">
        <f>O25-P25</f>
        <v/>
      </c>
      <c r="R25" s="17" t="inlineStr">
        <is>
          <t>Planta de SE-S-02: símbolos dibujados; leyenda: 0</t>
        </is>
      </c>
    </row>
    <row r="26">
      <c r="A26" s="7" t="inlineStr">
        <is>
          <t>05</t>
        </is>
      </c>
      <c r="B26" s="2" t="inlineStr">
        <is>
          <t>EQUIPOS DE PROTECCIÓN CONTRA INCENDIO Y EMERGENCIA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  <row r="27">
      <c r="A27" s="10" t="inlineStr">
        <is>
          <t>05.01</t>
        </is>
      </c>
      <c r="B27" s="5" t="inlineStr">
        <is>
          <t>EXTINTOR DE POLVO QUÍMICO SECO (PQS) TIPO ABC DE 9 kg</t>
        </is>
      </c>
      <c r="C27" s="10" t="inlineStr">
        <is>
          <t>und</t>
        </is>
      </c>
      <c r="D27" s="14" t="n">
        <v>3</v>
      </c>
      <c r="E27" s="14" t="n">
        <v>5</v>
      </c>
      <c r="F27" s="14" t="n">
        <v>3</v>
      </c>
      <c r="G27" s="14" t="n">
        <v>2</v>
      </c>
      <c r="H27" s="14" t="n">
        <v>3</v>
      </c>
      <c r="I27" s="14" t="n">
        <v>4</v>
      </c>
      <c r="J27" s="14" t="n">
        <v>8</v>
      </c>
      <c r="K27" s="14" t="n">
        <v>4</v>
      </c>
      <c r="L27" s="14" t="n">
        <v>1</v>
      </c>
      <c r="M27" s="14" t="n"/>
      <c r="N27" s="14" t="n"/>
      <c r="O27" s="15">
        <f>SUM(D27:N27)</f>
        <v/>
      </c>
      <c r="P27" s="14" t="n">
        <v>44</v>
      </c>
      <c r="Q27" s="16">
        <f>O27-P27</f>
        <v/>
      </c>
      <c r="R27" s="17" t="inlineStr">
        <is>
          <t>Planta de SE-S-02: símbolos dibujados; leyenda: 44</t>
        </is>
      </c>
    </row>
    <row r="28">
      <c r="A28" s="10" t="inlineStr">
        <is>
          <t>05.02</t>
        </is>
      </c>
      <c r="B28" s="5" t="inlineStr">
        <is>
          <t>UNIDAD DE LUCES DE EMERGENCIA</t>
        </is>
      </c>
      <c r="C28" s="10" t="inlineStr">
        <is>
          <t>und</t>
        </is>
      </c>
      <c r="D28" s="14" t="n">
        <v>17</v>
      </c>
      <c r="E28" s="14" t="n">
        <v>3</v>
      </c>
      <c r="F28" s="14" t="n">
        <v>9</v>
      </c>
      <c r="G28" s="14" t="n">
        <v>19</v>
      </c>
      <c r="H28" s="14" t="n">
        <v>17</v>
      </c>
      <c r="I28" s="14" t="n">
        <v>12</v>
      </c>
      <c r="J28" s="14" t="n">
        <v>21</v>
      </c>
      <c r="K28" s="14" t="n">
        <v>12</v>
      </c>
      <c r="L28" s="14" t="n">
        <v>5</v>
      </c>
      <c r="M28" s="14" t="n"/>
      <c r="N28" s="14" t="n"/>
      <c r="O28" s="15">
        <f>SUM(D28:N28)</f>
        <v/>
      </c>
      <c r="P28" s="14" t="n">
        <v>77</v>
      </c>
      <c r="Q28" s="16">
        <f>O28-P28</f>
        <v/>
      </c>
      <c r="R28" s="17" t="inlineStr">
        <is>
          <t>Planta de SE-S-02: símbolos dibujados (77 "LE" + 38 "A$C7A2016C2"); leyenda: 77</t>
        </is>
      </c>
    </row>
    <row r="29">
      <c r="A29" s="10" t="inlineStr">
        <is>
          <t>05.03</t>
        </is>
      </c>
      <c r="B29" s="5" t="inlineStr">
        <is>
          <t>DETECTOR DE HUMO</t>
        </is>
      </c>
      <c r="C29" s="10" t="inlineStr">
        <is>
          <t>und</t>
        </is>
      </c>
      <c r="D29" s="14" t="n">
        <v>13</v>
      </c>
      <c r="E29" s="14" t="n">
        <v>2</v>
      </c>
      <c r="F29" s="14" t="n">
        <v>5</v>
      </c>
      <c r="G29" s="14" t="n">
        <v>9</v>
      </c>
      <c r="H29" s="14" t="n">
        <v>12</v>
      </c>
      <c r="I29" s="14" t="n">
        <v>6</v>
      </c>
      <c r="J29" s="14" t="n">
        <v>12</v>
      </c>
      <c r="K29" s="14" t="n">
        <v>6</v>
      </c>
      <c r="L29" s="14" t="n">
        <v>1</v>
      </c>
      <c r="M29" s="14" t="n">
        <v>1</v>
      </c>
      <c r="N29" s="14" t="n"/>
      <c r="O29" s="15">
        <f>SUM(D29:N29)</f>
        <v/>
      </c>
      <c r="P29" s="14" t="n">
        <v>68</v>
      </c>
      <c r="Q29" s="16">
        <f>O29-P29</f>
        <v/>
      </c>
      <c r="R29" s="17" t="inlineStr">
        <is>
          <t>Planta de SE-S-02: símbolos dibujados; 1 copia fuera del terreno no se metra; leyenda: 68</t>
        </is>
      </c>
    </row>
    <row r="30">
      <c r="A30" s="18" t="n"/>
      <c r="B30" s="19" t="inlineStr">
        <is>
          <t>TOTAL DE SEÑALES Y EQUIPOS</t>
        </is>
      </c>
      <c r="C30" s="18" t="n"/>
      <c r="D30" s="15">
        <f>SUM(D11:D29)</f>
        <v/>
      </c>
      <c r="E30" s="15">
        <f>SUM(E11:E29)</f>
        <v/>
      </c>
      <c r="F30" s="15">
        <f>SUM(F11:F29)</f>
        <v/>
      </c>
      <c r="G30" s="15">
        <f>SUM(G11:G29)</f>
        <v/>
      </c>
      <c r="H30" s="15">
        <f>SUM(H11:H29)</f>
        <v/>
      </c>
      <c r="I30" s="15">
        <f>SUM(I11:I29)</f>
        <v/>
      </c>
      <c r="J30" s="15">
        <f>SUM(J11:J29)</f>
        <v/>
      </c>
      <c r="K30" s="15">
        <f>SUM(K11:K29)</f>
        <v/>
      </c>
      <c r="L30" s="15">
        <f>SUM(L11:L29)</f>
        <v/>
      </c>
      <c r="M30" s="15">
        <f>SUM(M11:M29)</f>
        <v/>
      </c>
      <c r="N30" s="15">
        <f>SUM(N11:N29)</f>
        <v/>
      </c>
      <c r="O30" s="15">
        <f>SUM(O11:O29)</f>
        <v/>
      </c>
      <c r="P30" s="18" t="n"/>
      <c r="Q30" s="18" t="n"/>
      <c r="R30" s="18" t="n"/>
    </row>
    <row r="32" ht="12" customHeight="1">
      <c r="A32" s="20" t="inlineStr">
        <is>
          <t>Notas:</t>
        </is>
      </c>
    </row>
    <row r="33" ht="26" customHeight="1">
      <c r="A33" s="21" t="inlineStr">
        <is>
          <t>1. Cantidad por edificación: cada símbolo de la planta de la lámina SE-S-02 se asigna a la edificación donde está (contorno del bloque de la planta general, con 0.60 m de margen para las señales de fachada); EXT = exteriores (patios, estacionamientos, puntos ecológicos y circulaciones). No se metran las copias de símbolos que están fuera del terreno.</t>
        </is>
      </c>
    </row>
    <row r="34" ht="26" customHeight="1">
      <c r="A34" s="21" t="inlineStr">
        <is>
          <t>2. SIN UBICAR: la señal de atención riesgo eléctrico es en el DXF una imagen pegada (OLE) que no exporta su ubicación; se metran las 39 imágenes de igual tamaño del espacio modelo (la leyenda indica 38). Se instalan en los tableros y ambientes eléctricos que indica la lámina, en coordinación con el plano de instalaciones eléctricas.</t>
        </is>
      </c>
    </row>
    <row r="35" ht="26" customHeight="1">
      <c r="A35" s="21" t="inlineStr">
        <is>
          <t>3. Unidad de luces de emergencia: los bloques "LE" (77) y "A$C7A2016C2" (38) son el mismo símbolo de la leyenda (el primero contiene al segundo); se suman los dos: 115 und. La leyenda indica 77.</t>
        </is>
      </c>
    </row>
    <row r="36" ht="26" customHeight="1">
      <c r="A36" s="21" t="inlineStr">
        <is>
          <t>4. Extintores: uno por cada señal de ubicación de extintor de la planta (33), PQS tipo ABC de 9 kg.</t>
        </is>
      </c>
    </row>
    <row r="37" ht="26" customHeight="1">
      <c r="A37" s="21" t="inlineStr">
        <is>
          <t>5. DIFERENCIA = metrado - leyenda: las filas distintas de "conforme" son correcciones a la leyenda del plano (nota de observaciones de señalización).</t>
        </is>
      </c>
    </row>
    <row r="38" ht="26" customHeight="1">
      <c r="A38" s="21" t="inlineStr">
        <is>
          <t>6. Unidades de luces de emergencia y detectores de humo: su conexión y circuitos son de instalaciones eléctricas.</t>
        </is>
      </c>
    </row>
  </sheetData>
  <mergeCells count="27">
    <mergeCell ref="B4:R4"/>
    <mergeCell ref="B26:R26"/>
    <mergeCell ref="P9:P10"/>
    <mergeCell ref="B7:R7"/>
    <mergeCell ref="B16:R16"/>
    <mergeCell ref="A37:R37"/>
    <mergeCell ref="B3:R3"/>
    <mergeCell ref="C9:C10"/>
    <mergeCell ref="B18:R18"/>
    <mergeCell ref="A33:R33"/>
    <mergeCell ref="Q9:Q10"/>
    <mergeCell ref="A32:R32"/>
    <mergeCell ref="B2:R2"/>
    <mergeCell ref="B11:R11"/>
    <mergeCell ref="A35:R35"/>
    <mergeCell ref="B9:B10"/>
    <mergeCell ref="A38:R38"/>
    <mergeCell ref="N9:N10"/>
    <mergeCell ref="A34:R34"/>
    <mergeCell ref="R9:R10"/>
    <mergeCell ref="A9:A10"/>
    <mergeCell ref="O9:O10"/>
    <mergeCell ref="B6:R6"/>
    <mergeCell ref="A36:R36"/>
    <mergeCell ref="B20:R20"/>
    <mergeCell ref="A1:R1"/>
    <mergeCell ref="B5:R5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11" customWidth="1" min="4" max="4"/>
    <col width="11" customWidth="1" min="5" max="5"/>
    <col width="11" customWidth="1" min="6" max="6"/>
    <col width="48" customWidth="1" min="7" max="7"/>
  </cols>
  <sheetData>
    <row r="1" ht="24" customHeight="1">
      <c r="A1" s="1" t="inlineStr">
        <is>
          <t>COTEJO DE LA LEYENDA DE LA LÁMINA SE-S-02 CON LA PLANTA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  <c r="F2" s="4" t="n"/>
      <c r="G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  <c r="F3" s="4" t="n"/>
      <c r="G3" s="4" t="n"/>
    </row>
    <row r="4">
      <c r="A4" s="2" t="inlineStr">
        <is>
          <t>ESPECIALIDAD</t>
        </is>
      </c>
      <c r="B4" s="5" t="inlineStr">
        <is>
          <t>ARQUITECTURA - SEÑALIZACIÓN Y SEGURIDAD</t>
        </is>
      </c>
      <c r="C4" s="4" t="n"/>
      <c r="D4" s="4" t="n"/>
      <c r="E4" s="4" t="n"/>
      <c r="F4" s="4" t="n"/>
      <c r="G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  <c r="E6" s="4" t="n"/>
      <c r="F6" s="4" t="n"/>
      <c r="G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  <c r="E7" s="4" t="n"/>
      <c r="F7" s="4" t="n"/>
      <c r="G7" s="4" t="n"/>
    </row>
    <row r="9">
      <c r="A9" s="6" t="inlineStr">
        <is>
          <t>N.°</t>
        </is>
      </c>
      <c r="B9" s="6" t="inlineStr">
        <is>
          <t>FILA DE LA LEYENDA (TEXTO DEL PLANO)</t>
        </is>
      </c>
      <c r="C9" s="6" t="inlineStr">
        <is>
          <t>ALTURA EN LA LEYENDA</t>
        </is>
      </c>
      <c r="D9" s="6" t="inlineStr">
        <is>
          <t>CANTIDAD EN LA LEYENDA</t>
        </is>
      </c>
      <c r="E9" s="6" t="inlineStr">
        <is>
          <t>DIBUJADO EN LA PLANTA</t>
        </is>
      </c>
      <c r="F9" s="6" t="inlineStr">
        <is>
          <t>DIFERENCIA</t>
        </is>
      </c>
      <c r="G9" s="6" t="inlineStr">
        <is>
          <t>OBSERVACIÓN</t>
        </is>
      </c>
    </row>
    <row r="10">
      <c r="A10" s="10" t="n">
        <v>1</v>
      </c>
      <c r="B10" s="5" t="inlineStr">
        <is>
          <t>SALIDA CON BRAILLE</t>
        </is>
      </c>
      <c r="C10" s="10" t="inlineStr">
        <is>
          <t>2.10</t>
        </is>
      </c>
      <c r="D10" s="14" t="n">
        <v>49</v>
      </c>
      <c r="E10" s="14" t="n">
        <v>49</v>
      </c>
      <c r="F10" s="16">
        <f>E10-D10</f>
        <v/>
      </c>
      <c r="G10" s="17" t="inlineStr">
        <is>
          <t>Conforme.</t>
        </is>
      </c>
    </row>
    <row r="11">
      <c r="A11" s="10" t="n">
        <v>2</v>
      </c>
      <c r="B11" s="5" t="inlineStr">
        <is>
          <t>SEÑALES DE SERVICIOS HIGIENICOS PHD CON BRAILLE</t>
        </is>
      </c>
      <c r="C11" s="10" t="inlineStr">
        <is>
          <t>1.80</t>
        </is>
      </c>
      <c r="D11" s="14" t="n">
        <v>3</v>
      </c>
      <c r="E11" s="14" t="n">
        <v>3</v>
      </c>
      <c r="F11" s="16">
        <f>E11-D11</f>
        <v/>
      </c>
      <c r="G11" s="17" t="inlineStr">
        <is>
          <t>Conforme.</t>
        </is>
      </c>
    </row>
    <row r="12">
      <c r="A12" s="10" t="n">
        <v>3</v>
      </c>
      <c r="B12" s="5" t="inlineStr">
        <is>
          <t>ZONA SEGURA EN CASO DE SISMO CON BRAILLE</t>
        </is>
      </c>
      <c r="C12" s="10" t="inlineStr">
        <is>
          <t>1.80</t>
        </is>
      </c>
      <c r="D12" s="14" t="n">
        <v>210</v>
      </c>
      <c r="E12" s="14" t="n">
        <v>209</v>
      </c>
      <c r="F12" s="16">
        <f>E12-D12</f>
        <v/>
      </c>
      <c r="G12" s="17" t="inlineStr">
        <is>
          <t>Corregir la leyenda a 209 (lo dibujado).</t>
        </is>
      </c>
    </row>
    <row r="13">
      <c r="A13" s="10" t="n">
        <v>4</v>
      </c>
      <c r="B13" s="5" t="inlineStr">
        <is>
          <t>AVISADOR SONORO CON BRAILLE</t>
        </is>
      </c>
      <c r="C13" s="10" t="inlineStr">
        <is>
          <t>2.00</t>
        </is>
      </c>
      <c r="D13" s="14" t="n">
        <v>0</v>
      </c>
      <c r="E13" s="14" t="n">
        <v>0</v>
      </c>
      <c r="F13" s="16">
        <f>E13-D13</f>
        <v/>
      </c>
      <c r="G13" s="17" t="inlineStr">
        <is>
          <t>Sin símbolos en la planta; no se metra.</t>
        </is>
      </c>
    </row>
    <row r="14">
      <c r="A14" s="10" t="n">
        <v>5</v>
      </c>
      <c r="B14" s="5" t="inlineStr">
        <is>
          <t>ESCALERA DE SALIDA CON BRAILLE</t>
        </is>
      </c>
      <c r="C14" s="10" t="inlineStr">
        <is>
          <t>1.80</t>
        </is>
      </c>
      <c r="D14" s="14" t="n">
        <v>0</v>
      </c>
      <c r="E14" s="14" t="n">
        <v>0</v>
      </c>
      <c r="F14" s="16">
        <f>E14-D14</f>
        <v/>
      </c>
      <c r="G14" s="17" t="inlineStr">
        <is>
          <t>Sin símbolos en la planta; no se metra.</t>
        </is>
      </c>
    </row>
    <row r="15">
      <c r="A15" s="10" t="n">
        <v>6</v>
      </c>
      <c r="B15" s="5" t="inlineStr">
        <is>
          <t>SEÑALES DE SERVICIOS HIGIENICOS MIXTO CON BRAILLE</t>
        </is>
      </c>
      <c r="C15" s="10" t="inlineStr">
        <is>
          <t>1.80</t>
        </is>
      </c>
      <c r="D15" s="14" t="n">
        <v>20</v>
      </c>
      <c r="E15" s="14" t="n">
        <v>20</v>
      </c>
      <c r="F15" s="16">
        <f>E15-D15</f>
        <v/>
      </c>
      <c r="G15" s="17" t="inlineStr">
        <is>
          <t>Conforme.</t>
        </is>
      </c>
    </row>
    <row r="16">
      <c r="A16" s="10" t="n">
        <v>7</v>
      </c>
      <c r="B16" s="5" t="inlineStr">
        <is>
          <t>SEÑALES DE SERVICIOS HIGIENICOS MUJER CON BRAILLE</t>
        </is>
      </c>
      <c r="C16" s="10" t="inlineStr">
        <is>
          <t>1.80</t>
        </is>
      </c>
      <c r="D16" s="14" t="n">
        <v>3</v>
      </c>
      <c r="E16" s="14" t="n">
        <v>3</v>
      </c>
      <c r="F16" s="16">
        <f>E16-D16</f>
        <v/>
      </c>
      <c r="G16" s="17" t="inlineStr">
        <is>
          <t>Conforme.</t>
        </is>
      </c>
    </row>
    <row r="17">
      <c r="A17" s="10" t="n">
        <v>8</v>
      </c>
      <c r="B17" s="5" t="inlineStr">
        <is>
          <t>SEÑALES DE SERVICIOS HIGIENICOS VARÓN CON BRAILLE</t>
        </is>
      </c>
      <c r="C17" s="10" t="inlineStr">
        <is>
          <t>1.80</t>
        </is>
      </c>
      <c r="D17" s="14" t="n">
        <v>3</v>
      </c>
      <c r="E17" s="14" t="n">
        <v>3</v>
      </c>
      <c r="F17" s="16">
        <f>E17-D17</f>
        <v/>
      </c>
      <c r="G17" s="17" t="inlineStr">
        <is>
          <t>Conforme.</t>
        </is>
      </c>
    </row>
    <row r="18">
      <c r="A18" s="10" t="n">
        <v>9</v>
      </c>
      <c r="B18" s="5" t="inlineStr">
        <is>
          <t>SEÑAL DE UBICACIÓN DE EXTINTOR PQS CON BRAILLE</t>
        </is>
      </c>
      <c r="C18" s="10" t="inlineStr">
        <is>
          <t>1.20</t>
        </is>
      </c>
      <c r="D18" s="14" t="n">
        <v>44</v>
      </c>
      <c r="E18" s="14" t="n">
        <v>33</v>
      </c>
      <c r="F18" s="16">
        <f>E18-D18</f>
        <v/>
      </c>
      <c r="G18" s="17" t="inlineStr">
        <is>
          <t>Corregir la leyenda a 33 (lo dibujado).</t>
        </is>
      </c>
    </row>
    <row r="19">
      <c r="A19" s="10" t="n">
        <v>10</v>
      </c>
      <c r="B19" s="5" t="inlineStr">
        <is>
          <t>SEÑAL DE UBICACIÓN DE EXTINTOR CO2 CON BRAILLE</t>
        </is>
      </c>
      <c r="C19" s="10" t="inlineStr">
        <is>
          <t>1.20</t>
        </is>
      </c>
      <c r="D19" s="14" t="n">
        <v>0</v>
      </c>
      <c r="E19" s="14" t="n">
        <v>0</v>
      </c>
      <c r="F19" s="16">
        <f>E19-D19</f>
        <v/>
      </c>
      <c r="G19" s="17" t="inlineStr">
        <is>
          <t>Sin símbolos en la planta; no se metra.</t>
        </is>
      </c>
    </row>
    <row r="20">
      <c r="A20" s="10" t="n">
        <v>11</v>
      </c>
      <c r="B20" s="5" t="inlineStr">
        <is>
          <t>SEÑAL DE UBICACIÓN DE EXTINTOR K CON BRAILLE</t>
        </is>
      </c>
      <c r="C20" s="10" t="inlineStr">
        <is>
          <t>1.20</t>
        </is>
      </c>
      <c r="D20" s="14" t="n">
        <v>0</v>
      </c>
      <c r="E20" s="14" t="n">
        <v>0</v>
      </c>
      <c r="F20" s="16">
        <f>E20-D20</f>
        <v/>
      </c>
      <c r="G20" s="17" t="inlineStr">
        <is>
          <t>Sin símbolos en la planta; no se metra.</t>
        </is>
      </c>
    </row>
    <row r="21">
      <c r="A21" s="10" t="n">
        <v>12</v>
      </c>
      <c r="B21" s="5" t="inlineStr">
        <is>
          <t>ALARMA CONTRA INCEDIOS CON BRAILLE</t>
        </is>
      </c>
      <c r="C21" s="10" t="inlineStr">
        <is>
          <t>1.80</t>
        </is>
      </c>
      <c r="D21" s="14" t="n">
        <v>0</v>
      </c>
      <c r="E21" s="14" t="n">
        <v>0</v>
      </c>
      <c r="F21" s="16">
        <f>E21-D21</f>
        <v/>
      </c>
      <c r="G21" s="17" t="inlineStr">
        <is>
          <t>Sin símbolos en la planta; no se metra.</t>
        </is>
      </c>
    </row>
    <row r="22">
      <c r="A22" s="10" t="n">
        <v>13</v>
      </c>
      <c r="B22" s="5" t="inlineStr">
        <is>
          <t>DETECTOR DE HUMO</t>
        </is>
      </c>
      <c r="C22" s="10" t="inlineStr">
        <is>
          <t>TECHO</t>
        </is>
      </c>
      <c r="D22" s="14" t="n">
        <v>68</v>
      </c>
      <c r="E22" s="14" t="n">
        <v>67</v>
      </c>
      <c r="F22" s="16">
        <f>E22-D22</f>
        <v/>
      </c>
      <c r="G22" s="17" t="inlineStr">
        <is>
          <t>Corregir la leyenda a 67 (lo dibujado).</t>
        </is>
      </c>
    </row>
    <row r="23">
      <c r="A23" s="10" t="n">
        <v>14</v>
      </c>
      <c r="B23" s="5" t="inlineStr">
        <is>
          <t>BARRA ANTIPÁNICO CON BRAILLE</t>
        </is>
      </c>
      <c r="C23" s="10" t="inlineStr">
        <is>
          <t>PUERTA</t>
        </is>
      </c>
      <c r="D23" s="14" t="n">
        <v>0</v>
      </c>
      <c r="E23" s="14" t="n">
        <v>0</v>
      </c>
      <c r="F23" s="16">
        <f>E23-D23</f>
        <v/>
      </c>
      <c r="G23" s="17" t="inlineStr">
        <is>
          <t>Sin símbolos en la planta; no se metra.</t>
        </is>
      </c>
    </row>
    <row r="24">
      <c r="A24" s="10" t="n">
        <v>15</v>
      </c>
      <c r="B24" s="5" t="inlineStr">
        <is>
          <t>UNIDAD DE LUCES DE EMERGENCIA CON BRAILLE</t>
        </is>
      </c>
      <c r="C24" s="10" t="inlineStr">
        <is>
          <t>2.10</t>
        </is>
      </c>
      <c r="D24" s="14" t="n">
        <v>77</v>
      </c>
      <c r="E24" s="14" t="n">
        <v>115</v>
      </c>
      <c r="F24" s="16">
        <f>E24-D24</f>
        <v/>
      </c>
      <c r="G24" s="17" t="inlineStr">
        <is>
          <t>Corregir la leyenda a 115 (lo dibujado).</t>
        </is>
      </c>
    </row>
    <row r="25">
      <c r="A25" s="10" t="n">
        <v>16</v>
      </c>
      <c r="B25" s="5" t="inlineStr">
        <is>
          <t>BOTIQUIN PRIMEROS AUXILIOS CON BRAILLE</t>
        </is>
      </c>
      <c r="C25" s="10" t="inlineStr">
        <is>
          <t>1.80</t>
        </is>
      </c>
      <c r="D25" s="14" t="n">
        <v>0</v>
      </c>
      <c r="E25" s="14" t="n">
        <v>0</v>
      </c>
      <c r="F25" s="16">
        <f>E25-D25</f>
        <v/>
      </c>
      <c r="G25" s="17" t="inlineStr">
        <is>
          <t>Sin símbolos en la planta; no se metra.</t>
        </is>
      </c>
    </row>
    <row r="26">
      <c r="A26" s="10" t="n">
        <v>17</v>
      </c>
      <c r="B26" s="5" t="inlineStr">
        <is>
          <t>ATENCIÓN RIESGO ELECTRICO CON BRAILLE</t>
        </is>
      </c>
      <c r="C26" s="10" t="inlineStr">
        <is>
          <t>1.10</t>
        </is>
      </c>
      <c r="D26" s="14" t="n">
        <v>38</v>
      </c>
      <c r="E26" s="14" t="n">
        <v>39</v>
      </c>
      <c r="F26" s="16">
        <f>E26-D26</f>
        <v/>
      </c>
      <c r="G26" s="17" t="inlineStr">
        <is>
          <t>Imagen pegada (OLE): 39 imágenes en el espacio modelo, sin ubicación.</t>
        </is>
      </c>
    </row>
    <row r="27">
      <c r="A27" s="10" t="n">
        <v>18</v>
      </c>
      <c r="B27" s="5" t="inlineStr">
        <is>
          <t>RIESGO DE DESCARGA ELECTRICA CON BRAILLE</t>
        </is>
      </c>
      <c r="C27" s="10" t="inlineStr">
        <is>
          <t>1.10</t>
        </is>
      </c>
      <c r="D27" s="14" t="n">
        <v>0</v>
      </c>
      <c r="E27" s="14" t="n">
        <v>0</v>
      </c>
      <c r="F27" s="16">
        <f>E27-D27</f>
        <v/>
      </c>
      <c r="G27" s="17" t="inlineStr">
        <is>
          <t>Sin símbolos en la planta; no se metra.</t>
        </is>
      </c>
    </row>
    <row r="28">
      <c r="A28" s="10" t="n">
        <v>19</v>
      </c>
      <c r="B28" s="5" t="inlineStr">
        <is>
          <t>PROHIBIDO EL INGRESO SOLO PERSONAL AUTORIZADO CON BRAILLE</t>
        </is>
      </c>
      <c r="C28" s="10" t="inlineStr">
        <is>
          <t>1.10</t>
        </is>
      </c>
      <c r="D28" s="14" t="n">
        <v>0</v>
      </c>
      <c r="E28" s="14" t="n">
        <v>0</v>
      </c>
      <c r="F28" s="16">
        <f>E28-D28</f>
        <v/>
      </c>
      <c r="G28" s="17" t="inlineStr">
        <is>
          <t>Sin símbolos en la planta; no se metra.</t>
        </is>
      </c>
    </row>
    <row r="29">
      <c r="A29" s="10" t="n">
        <v>20</v>
      </c>
      <c r="B29" s="5" t="inlineStr">
        <is>
          <t>SENSOR DE TEMPERATURA CON BRAILLE</t>
        </is>
      </c>
      <c r="C29" s="10" t="inlineStr">
        <is>
          <t>TECHO</t>
        </is>
      </c>
      <c r="D29" s="14" t="n">
        <v>0</v>
      </c>
      <c r="E29" s="14" t="n">
        <v>0</v>
      </c>
      <c r="F29" s="16">
        <f>E29-D29</f>
        <v/>
      </c>
      <c r="G29" s="17" t="inlineStr">
        <is>
          <t>Sin símbolos en la planta; no se metra.</t>
        </is>
      </c>
    </row>
    <row r="30">
      <c r="A30" s="10" t="n">
        <v>21</v>
      </c>
      <c r="B30" s="5" t="inlineStr">
        <is>
          <t>PUNTO ECOLÓGICO CON BRAILLE</t>
        </is>
      </c>
      <c r="C30" s="10" t="inlineStr">
        <is>
          <t>—</t>
        </is>
      </c>
      <c r="D30" s="14" t="n">
        <v>0</v>
      </c>
      <c r="E30" s="14" t="n">
        <v>4</v>
      </c>
      <c r="F30" s="16">
        <f>E30-D30</f>
        <v/>
      </c>
      <c r="G30" s="17" t="inlineStr">
        <is>
          <t>Corregir la leyenda a 4 (lo dibujado).</t>
        </is>
      </c>
    </row>
    <row r="31">
      <c r="A31" s="10" t="n">
        <v>22</v>
      </c>
      <c r="B31" s="5" t="inlineStr">
        <is>
          <t>POZO A TIERRA CON BRAILLE</t>
        </is>
      </c>
      <c r="C31" s="10" t="inlineStr">
        <is>
          <t>Suelo</t>
        </is>
      </c>
      <c r="D31" s="14" t="n">
        <v>0</v>
      </c>
      <c r="E31" s="14" t="n">
        <v>0</v>
      </c>
      <c r="F31" s="16">
        <f>E31-D31</f>
        <v/>
      </c>
      <c r="G31" s="17" t="inlineStr">
        <is>
          <t>Sin símbolos en la planta; no se metra.</t>
        </is>
      </c>
    </row>
    <row r="32">
      <c r="A32" s="10" t="n">
        <v>23</v>
      </c>
      <c r="B32" s="5" t="inlineStr">
        <is>
          <t>CENTRAL DE ALARMA CONTRA INCENDIO CON BRAILLE</t>
        </is>
      </c>
      <c r="C32" s="10" t="inlineStr">
        <is>
          <t>1.10</t>
        </is>
      </c>
      <c r="D32" s="14" t="n">
        <v>0</v>
      </c>
      <c r="E32" s="14" t="n">
        <v>0</v>
      </c>
      <c r="F32" s="16">
        <f>E32-D32</f>
        <v/>
      </c>
      <c r="G32" s="17" t="inlineStr">
        <is>
          <t>Sin símbolos en la planta; no se metra.</t>
        </is>
      </c>
    </row>
    <row r="33">
      <c r="A33" s="10" t="n">
        <v>24</v>
      </c>
      <c r="B33" s="5" t="inlineStr">
        <is>
          <t>ZONA DE REUNIONES CON BRAILLE</t>
        </is>
      </c>
      <c r="C33" s="10" t="inlineStr">
        <is>
          <t>EN PISO</t>
        </is>
      </c>
      <c r="D33" s="14" t="n">
        <v>0</v>
      </c>
      <c r="E33" s="14" t="n">
        <v>0</v>
      </c>
      <c r="F33" s="16">
        <f>E33-D33</f>
        <v/>
      </c>
      <c r="G33" s="17" t="inlineStr">
        <is>
          <t>Sin símbolos en la planta; no se metra.</t>
        </is>
      </c>
    </row>
    <row r="34">
      <c r="A34" s="10" t="n">
        <v>25</v>
      </c>
      <c r="B34" s="5" t="inlineStr">
        <is>
          <t>LETRERO DE AFORO CON BRAILLE</t>
        </is>
      </c>
      <c r="C34" s="10" t="inlineStr">
        <is>
          <t>2.10</t>
        </is>
      </c>
      <c r="D34" s="14" t="n">
        <v>55</v>
      </c>
      <c r="E34" s="14" t="n">
        <v>55</v>
      </c>
      <c r="F34" s="16">
        <f>E34-D34</f>
        <v/>
      </c>
      <c r="G34" s="17" t="inlineStr">
        <is>
          <t>Conforme.</t>
        </is>
      </c>
    </row>
    <row r="35">
      <c r="A35" s="10" t="n">
        <v>26</v>
      </c>
      <c r="B35" s="5" t="inlineStr">
        <is>
          <t>PANEL DE ALARMA CONTRA INCENDIO</t>
        </is>
      </c>
      <c r="C35" s="10" t="inlineStr">
        <is>
          <t>1.10</t>
        </is>
      </c>
      <c r="D35" s="14" t="n">
        <v>0</v>
      </c>
      <c r="E35" s="14" t="n">
        <v>0</v>
      </c>
      <c r="F35" s="16">
        <f>E35-D35</f>
        <v/>
      </c>
      <c r="G35" s="17" t="inlineStr">
        <is>
          <t>Sin símbolos en la planta; no se metra.</t>
        </is>
      </c>
    </row>
    <row r="36">
      <c r="A36" s="10" t="n">
        <v>27</v>
      </c>
      <c r="B36" s="5" t="inlineStr">
        <is>
          <t>DIRECCIÓN DE EVACUACIÓN</t>
        </is>
      </c>
      <c r="C36" s="10" t="inlineStr">
        <is>
          <t>2.10</t>
        </is>
      </c>
      <c r="D36" s="14" t="n">
        <v>63</v>
      </c>
      <c r="E36" s="14" t="n">
        <v>63</v>
      </c>
      <c r="F36" s="16">
        <f>E36-D36</f>
        <v/>
      </c>
      <c r="G36" s="17" t="inlineStr">
        <is>
          <t>Conforme.</t>
        </is>
      </c>
    </row>
    <row r="37">
      <c r="A37" s="18" t="n"/>
      <c r="B37" s="19" t="inlineStr">
        <is>
          <t>TOTAL</t>
        </is>
      </c>
      <c r="C37" s="18" t="n"/>
      <c r="D37" s="15">
        <f>SUM(D10:D36)</f>
        <v/>
      </c>
      <c r="E37" s="15">
        <f>SUM(E10:E36)</f>
        <v/>
      </c>
      <c r="F37" s="15">
        <f>SUM(F10:F36)</f>
        <v/>
      </c>
      <c r="G37" s="18" t="n"/>
    </row>
  </sheetData>
  <mergeCells count="7">
    <mergeCell ref="B3:G3"/>
    <mergeCell ref="B2:G2"/>
    <mergeCell ref="A1:G1"/>
    <mergeCell ref="B5:G5"/>
    <mergeCell ref="B4:G4"/>
    <mergeCell ref="B7:G7"/>
    <mergeCell ref="B6:G6"/>
  </mergeCells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2" customWidth="1" min="4" max="4"/>
  </cols>
  <sheetData>
    <row r="1" ht="24" customHeight="1">
      <c r="A1" s="1" t="inlineStr">
        <is>
          <t>POBLACIÓN DEL HOGAR (OCUPANTES PARA LA EVACUACIÓN)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</row>
    <row r="4">
      <c r="A4" s="2" t="inlineStr">
        <is>
          <t>ESPECIALIDAD</t>
        </is>
      </c>
      <c r="B4" s="5" t="inlineStr">
        <is>
          <t>ARQUITECTURA - SEÑALIZACIÓN Y SEGURIDAD</t>
        </is>
      </c>
      <c r="C4" s="4" t="n"/>
      <c r="D4" s="4" t="n"/>
      <c r="E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  <c r="E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  <c r="E7" s="4" t="n"/>
    </row>
    <row r="9">
      <c r="A9" s="6" t="inlineStr">
        <is>
          <t>HABITACIÓN</t>
        </is>
      </c>
      <c r="B9" s="6" t="inlineStr">
        <is>
          <t>CANTIDAD</t>
        </is>
      </c>
      <c r="C9" s="6" t="inlineStr">
        <is>
          <t>CAMAS / PLAZAS POR HABITACIÓN</t>
        </is>
      </c>
      <c r="D9" s="6" t="inlineStr">
        <is>
          <t>PLAZAS</t>
        </is>
      </c>
    </row>
    <row r="10">
      <c r="A10" s="5" t="inlineStr">
        <is>
          <t>Habitaciones simples - tipo I</t>
        </is>
      </c>
      <c r="B10" s="14" t="n">
        <v>3</v>
      </c>
      <c r="C10" s="14" t="n">
        <v>3</v>
      </c>
      <c r="D10" s="14">
        <f>B10*C10</f>
        <v/>
      </c>
    </row>
    <row r="11">
      <c r="A11" s="5" t="inlineStr">
        <is>
          <t>Habitaciones simples - tipo II</t>
        </is>
      </c>
      <c r="B11" s="14" t="n">
        <v>3</v>
      </c>
      <c r="C11" s="14" t="n">
        <v>3</v>
      </c>
      <c r="D11" s="14">
        <f>B11*C11</f>
        <v/>
      </c>
    </row>
    <row r="12">
      <c r="A12" s="5" t="inlineStr">
        <is>
          <t>Habitaciones doble - tipo I</t>
        </is>
      </c>
      <c r="B12" s="14" t="n">
        <v>3</v>
      </c>
      <c r="C12" s="14" t="n">
        <v>5</v>
      </c>
      <c r="D12" s="14">
        <f>B12*C12</f>
        <v/>
      </c>
    </row>
    <row r="13">
      <c r="A13" s="5" t="inlineStr">
        <is>
          <t>Habitaciones doble - tipo II</t>
        </is>
      </c>
      <c r="B13" s="14" t="n">
        <v>7</v>
      </c>
      <c r="C13" s="14" t="n">
        <v>5</v>
      </c>
      <c r="D13" s="14">
        <f>B13*C13</f>
        <v/>
      </c>
    </row>
    <row r="14">
      <c r="A14" s="5" t="inlineStr">
        <is>
          <t>Habitaciones triple - tipo I</t>
        </is>
      </c>
      <c r="B14" s="14" t="n">
        <v>3</v>
      </c>
      <c r="C14" s="14" t="n">
        <v>7</v>
      </c>
      <c r="D14" s="14">
        <f>B14*C14</f>
        <v/>
      </c>
    </row>
    <row r="15">
      <c r="A15" s="5" t="inlineStr">
        <is>
          <t>Habitaciones triple - tipo II</t>
        </is>
      </c>
      <c r="B15" s="14" t="n">
        <v>3</v>
      </c>
      <c r="C15" s="14" t="n">
        <v>7</v>
      </c>
      <c r="D15" s="14">
        <f>B15*C15</f>
        <v/>
      </c>
    </row>
    <row r="16">
      <c r="A16" s="5" t="inlineStr">
        <is>
          <t>Habitación especial</t>
        </is>
      </c>
      <c r="B16" s="14" t="n">
        <v>1</v>
      </c>
      <c r="C16" s="14" t="n">
        <v>3</v>
      </c>
      <c r="D16" s="14">
        <f>B16*C16</f>
        <v/>
      </c>
    </row>
    <row r="17">
      <c r="A17" s="19" t="inlineStr">
        <is>
          <t>RESIDENTES (mujeres con sus hijas e hijos)</t>
        </is>
      </c>
      <c r="B17" s="15">
        <f>SUM(B10:B16)</f>
        <v/>
      </c>
      <c r="C17" s="18" t="n"/>
      <c r="D17" s="15">
        <f>SUM(D10:D16)</f>
        <v/>
      </c>
    </row>
    <row r="19">
      <c r="A19" s="6" t="inlineStr">
        <is>
          <t>POBLACIÓN</t>
        </is>
      </c>
      <c r="B19" s="6" t="inlineStr">
        <is>
          <t>DETALLE</t>
        </is>
      </c>
      <c r="D19" s="6" t="inlineStr">
        <is>
          <t>PERSONAS</t>
        </is>
      </c>
    </row>
    <row r="20">
      <c r="A20" s="5" t="inlineStr">
        <is>
          <t>Residentes</t>
        </is>
      </c>
      <c r="B20" s="5" t="inlineStr">
        <is>
          <t>Plazas de las habitaciones (A.030 art. 5)</t>
        </is>
      </c>
      <c r="C20" s="22" t="n"/>
      <c r="D20" s="14">
        <f>D17</f>
        <v/>
      </c>
    </row>
    <row r="21">
      <c r="A21" s="5" t="inlineStr">
        <is>
          <t>Personal</t>
        </is>
      </c>
      <c r="B21" s="5" t="inlineStr">
        <is>
          <t>Administrativo, atención especializada, mantenimiento y vigilancia</t>
        </is>
      </c>
      <c r="C21" s="22" t="n"/>
      <c r="D21" s="14" t="n">
        <v>62</v>
      </c>
    </row>
    <row r="22">
      <c r="A22" s="19" t="inlineStr">
        <is>
          <t>Permanentes</t>
        </is>
      </c>
      <c r="B22" s="19" t="inlineStr">
        <is>
          <t>Residentes + personal</t>
        </is>
      </c>
      <c r="C22" s="22" t="n"/>
      <c r="D22" s="15">
        <f>D20+D21</f>
        <v/>
      </c>
    </row>
    <row r="23">
      <c r="A23" s="5" t="inlineStr">
        <is>
          <t>Temporales</t>
        </is>
      </c>
      <c r="B23" s="5" t="inlineStr">
        <is>
          <t>Visitas, talleres, sala de reuniones y personal eventual</t>
        </is>
      </c>
      <c r="C23" s="22" t="n"/>
      <c r="D23" s="14" t="n">
        <v>130</v>
      </c>
    </row>
    <row r="24">
      <c r="A24" s="19" t="inlineStr">
        <is>
          <t>CAPACIDAD MÁXIMA</t>
        </is>
      </c>
      <c r="B24" s="19" t="inlineStr">
        <is>
          <t>Permanentes + temporales</t>
        </is>
      </c>
      <c r="C24" s="22" t="n"/>
      <c r="D24" s="15">
        <f>D22+D23</f>
        <v/>
      </c>
    </row>
    <row r="26" ht="26" customHeight="1">
      <c r="A26" s="21" t="inlineStr">
        <is>
          <t>Fuente: residentes = tabla de plazas de la memoria descriptiva de arquitectura (23 habitaciones); personal y temporales = memoria de evacuación de arquitectura del hogar.</t>
        </is>
      </c>
    </row>
  </sheetData>
  <mergeCells count="13">
    <mergeCell ref="B21:C21"/>
    <mergeCell ref="B24:C24"/>
    <mergeCell ref="B4:E4"/>
    <mergeCell ref="B20:C20"/>
    <mergeCell ref="B6:E6"/>
    <mergeCell ref="A26:D26"/>
    <mergeCell ref="B23:C23"/>
    <mergeCell ref="B7:E7"/>
    <mergeCell ref="A1:E1"/>
    <mergeCell ref="B22:C22"/>
    <mergeCell ref="B3:E3"/>
    <mergeCell ref="B5:E5"/>
    <mergeCell ref="B2:E2"/>
  </mergeCells>
  <pageMargins left="0.4" right="0.4" top="0.5" bottom="0.5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8" customWidth="1" min="3" max="3"/>
    <col width="40" customWidth="1" min="4" max="4"/>
    <col width="12" customWidth="1" min="5" max="5"/>
    <col width="11" customWidth="1" min="6" max="6"/>
    <col width="48" customWidth="1" min="7" max="7"/>
  </cols>
  <sheetData>
    <row r="1" ht="24" customHeight="1">
      <c r="A1" s="1" t="inlineStr">
        <is>
          <t>CARACTERÍSTICAS DE LAS SEÑALES Y EQUIPOS (NTP 399.010-1, RNE A.120 Y A.130)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  <c r="F2" s="4" t="n"/>
      <c r="G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  <c r="F3" s="4" t="n"/>
      <c r="G3" s="4" t="n"/>
    </row>
    <row r="4">
      <c r="A4" s="2" t="inlineStr">
        <is>
          <t>ESPECIALIDAD</t>
        </is>
      </c>
      <c r="B4" s="5" t="inlineStr">
        <is>
          <t>ARQUITECTURA - SEÑALIZACIÓN Y SEGURIDAD</t>
        </is>
      </c>
      <c r="C4" s="4" t="n"/>
      <c r="D4" s="4" t="n"/>
      <c r="E4" s="4" t="n"/>
      <c r="F4" s="4" t="n"/>
      <c r="G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  <c r="E6" s="4" t="n"/>
      <c r="F6" s="4" t="n"/>
      <c r="G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  <c r="E7" s="4" t="n"/>
      <c r="F7" s="4" t="n"/>
      <c r="G7" s="4" t="n"/>
    </row>
    <row r="9">
      <c r="A9" s="6" t="inlineStr">
        <is>
          <t>ITEM</t>
        </is>
      </c>
      <c r="B9" s="6" t="inlineStr">
        <is>
          <t>PARTIDA</t>
        </is>
      </c>
      <c r="C9" s="6" t="inlineStr">
        <is>
          <t>DIMENSIONES</t>
        </is>
      </c>
      <c r="D9" s="6" t="inlineStr">
        <is>
          <t>MATERIAL</t>
        </is>
      </c>
      <c r="E9" s="6" t="inlineStr">
        <is>
          <t>ALTURA DE INSTALACIÓN</t>
        </is>
      </c>
      <c r="F9" s="6" t="inlineStr">
        <is>
          <t>ALTURA EN LA LEYENDA</t>
        </is>
      </c>
      <c r="G9" s="6" t="inlineStr">
        <is>
          <t>FUNCIÓN Y UBICACIÓN</t>
        </is>
      </c>
    </row>
    <row r="10">
      <c r="A10" s="7" t="inlineStr">
        <is>
          <t>01</t>
        </is>
      </c>
      <c r="B10" s="2" t="inlineStr">
        <is>
          <t>SEÑALES DE EVACUACIÓN Y EMERGENCIA</t>
        </is>
      </c>
      <c r="C10" s="4" t="n"/>
      <c r="D10" s="4" t="n"/>
      <c r="E10" s="4" t="n"/>
      <c r="F10" s="4" t="n"/>
      <c r="G10" s="4" t="n"/>
    </row>
    <row r="11">
      <c r="A11" s="23" t="inlineStr">
        <is>
          <t>01.01</t>
        </is>
      </c>
      <c r="B11" s="17" t="inlineStr">
        <is>
          <t>SEÑAL DE SALIDA CON BRAILLE</t>
        </is>
      </c>
      <c r="C11" s="23" t="inlineStr">
        <is>
          <t>0.30 x 0.20 m</t>
        </is>
      </c>
      <c r="D11" s="17" t="inlineStr">
        <is>
          <t>Lámina de PVC celtex de 3 mm con vinil fotoluminiscente impreso y placa de acrílico con texto en braille</t>
        </is>
      </c>
      <c r="E11" s="23" t="inlineStr">
        <is>
          <t>2.10 m</t>
        </is>
      </c>
      <c r="F11" s="23" t="inlineStr">
        <is>
          <t>2.10</t>
        </is>
      </c>
      <c r="G11" s="17" t="inlineStr">
        <is>
          <t>Indica la puerta de salida de cada ambiente y de cada edificación hacia la circulación exterior; sobre el dintel.</t>
        </is>
      </c>
    </row>
    <row r="12">
      <c r="A12" s="23" t="inlineStr">
        <is>
          <t>01.02</t>
        </is>
      </c>
      <c r="B12" s="17" t="inlineStr">
        <is>
          <t>SEÑAL DE DIRECCIÓN DE EVACUACIÓN</t>
        </is>
      </c>
      <c r="C12" s="23" t="inlineStr">
        <is>
          <t>0.20 x 0.30 m</t>
        </is>
      </c>
      <c r="D12" s="17" t="inlineStr">
        <is>
          <t>Lámina de PVC celtex de 3 mm con vinil fotoluminiscente impreso</t>
        </is>
      </c>
      <c r="E12" s="23" t="inlineStr">
        <is>
          <t>2.10 m</t>
        </is>
      </c>
      <c r="F12" s="23" t="inlineStr">
        <is>
          <t>2.10</t>
        </is>
      </c>
      <c r="G12" s="17" t="inlineStr">
        <is>
          <t>Indica con una flecha el sentido de la ruta de evacuación en pasadizos y circulaciones, hasta la salida.</t>
        </is>
      </c>
    </row>
    <row r="13">
      <c r="A13" s="23" t="inlineStr">
        <is>
          <t>01.03</t>
        </is>
      </c>
      <c r="B13" s="17" t="inlineStr">
        <is>
          <t>SEÑAL DE ZONA SEGURA EN CASO DE SISMO CON BRAILLE</t>
        </is>
      </c>
      <c r="C13" s="23" t="inlineStr">
        <is>
          <t>0.20 x 0.30 m</t>
        </is>
      </c>
      <c r="D13" s="17" t="inlineStr">
        <is>
          <t>Lámina de PVC celtex de 3 mm con vinil fotoluminiscente impreso y placa de acrílico con texto en braille</t>
        </is>
      </c>
      <c r="E13" s="23" t="inlineStr">
        <is>
          <t>1.80 m</t>
        </is>
      </c>
      <c r="F13" s="23" t="inlineStr">
        <is>
          <t>1.80</t>
        </is>
      </c>
      <c r="G13" s="17" t="inlineStr">
        <is>
          <t>Identifica los lugares de protección dentro de los ambientes (columnas y muros estructurales) durante un sismo.</t>
        </is>
      </c>
    </row>
    <row r="14">
      <c r="A14" s="23" t="inlineStr">
        <is>
          <t>01.04</t>
        </is>
      </c>
      <c r="B14" s="17" t="inlineStr">
        <is>
          <t>LETRERO DE AFORO CON BRAILLE</t>
        </is>
      </c>
      <c r="C14" s="23" t="inlineStr">
        <is>
          <t>0.30 x 0.20 m</t>
        </is>
      </c>
      <c r="D14" s="17" t="inlineStr">
        <is>
          <t>Lámina de PVC celtex de 3 mm con vinil adhesivo impreso y placa de acrílico con texto en braille</t>
        </is>
      </c>
      <c r="E14" s="23" t="inlineStr">
        <is>
          <t>2.10 m</t>
        </is>
      </c>
      <c r="F14" s="23" t="inlineStr">
        <is>
          <t>2.10</t>
        </is>
      </c>
      <c r="G14" s="17" t="inlineStr">
        <is>
          <t>Indica la capacidad máxima de personas del ambiente; junto al ingreso, en el lado de la cerradura.</t>
        </is>
      </c>
    </row>
    <row r="15">
      <c r="A15" s="7" t="inlineStr">
        <is>
          <t>02</t>
        </is>
      </c>
      <c r="B15" s="2" t="inlineStr">
        <is>
          <t>SEÑALES DE EQUIPOS CONTRA INCENDIO</t>
        </is>
      </c>
      <c r="C15" s="4" t="n"/>
      <c r="D15" s="4" t="n"/>
      <c r="E15" s="4" t="n"/>
      <c r="F15" s="4" t="n"/>
      <c r="G15" s="4" t="n"/>
    </row>
    <row r="16">
      <c r="A16" s="23" t="inlineStr">
        <is>
          <t>02.01</t>
        </is>
      </c>
      <c r="B16" s="17" t="inlineStr">
        <is>
          <t>SEÑAL DE UBICACIÓN DE EXTINTOR PQS CON BRAILLE</t>
        </is>
      </c>
      <c r="C16" s="23" t="inlineStr">
        <is>
          <t>0.20 x 0.30 m</t>
        </is>
      </c>
      <c r="D16" s="17" t="inlineStr">
        <is>
          <t>Lámina de PVC celtex de 3 mm con vinil fotoluminiscente impreso y placa de acrílico con texto en braille</t>
        </is>
      </c>
      <c r="E16" s="23" t="inlineStr">
        <is>
          <t>1.80 m</t>
        </is>
      </c>
      <c r="F16" s="23" t="inlineStr">
        <is>
          <t>1.20</t>
        </is>
      </c>
      <c r="G16" s="17" t="inlineStr">
        <is>
          <t>Identifica la ubicación del extintor de polvo químico seco; sobre el equipo.</t>
        </is>
      </c>
    </row>
    <row r="17">
      <c r="A17" s="7" t="inlineStr">
        <is>
          <t>03</t>
        </is>
      </c>
      <c r="B17" s="2" t="inlineStr">
        <is>
          <t>SEÑALES DE ADVERTENCIA</t>
        </is>
      </c>
      <c r="C17" s="4" t="n"/>
      <c r="D17" s="4" t="n"/>
      <c r="E17" s="4" t="n"/>
      <c r="F17" s="4" t="n"/>
      <c r="G17" s="4" t="n"/>
    </row>
    <row r="18">
      <c r="A18" s="23" t="inlineStr">
        <is>
          <t>03.01</t>
        </is>
      </c>
      <c r="B18" s="17" t="inlineStr">
        <is>
          <t>SEÑAL DE ATENCIÓN RIESGO ELÉCTRICO CON BRAILLE</t>
        </is>
      </c>
      <c r="C18" s="23" t="inlineStr">
        <is>
          <t>0.20 x 0.30 m</t>
        </is>
      </c>
      <c r="D18" s="17" t="inlineStr">
        <is>
          <t>Lámina de PVC celtex de 3 mm con vinil adhesivo impreso y placa de acrílico con texto en braille</t>
        </is>
      </c>
      <c r="E18" s="23" t="inlineStr">
        <is>
          <t>1.10 m</t>
        </is>
      </c>
      <c r="F18" s="23" t="inlineStr">
        <is>
          <t>1.10</t>
        </is>
      </c>
      <c r="G18" s="17" t="inlineStr">
        <is>
          <t>Advierte la presencia de tableros y equipos eléctricos; en la puerta o el frente del tablero.</t>
        </is>
      </c>
    </row>
    <row r="19">
      <c r="A19" s="7" t="inlineStr">
        <is>
          <t>04</t>
        </is>
      </c>
      <c r="B19" s="2" t="inlineStr">
        <is>
          <t>SEÑALES INFORMATIVAS</t>
        </is>
      </c>
      <c r="C19" s="4" t="n"/>
      <c r="D19" s="4" t="n"/>
      <c r="E19" s="4" t="n"/>
      <c r="F19" s="4" t="n"/>
      <c r="G19" s="4" t="n"/>
    </row>
    <row r="20">
      <c r="A20" s="23" t="inlineStr">
        <is>
          <t>04.01</t>
        </is>
      </c>
      <c r="B20" s="17" t="inlineStr">
        <is>
          <t>SEÑAL DE SERVICIOS HIGIÉNICOS PARA PERSONAS CON DISCAPACIDAD CON BRAILLE</t>
        </is>
      </c>
      <c r="C20" s="23" t="inlineStr">
        <is>
          <t>0.20 x 0.30 m</t>
        </is>
      </c>
      <c r="D20" s="17" t="inlineStr">
        <is>
          <t>Lámina de PVC celtex de 3 mm con vinil adhesivo impreso y placa de acrílico con texto en braille</t>
        </is>
      </c>
      <c r="E20" s="23" t="inlineStr">
        <is>
          <t>1.80 m</t>
        </is>
      </c>
      <c r="F20" s="23" t="inlineStr">
        <is>
          <t>1.80</t>
        </is>
      </c>
      <c r="G20" s="17" t="inlineStr">
        <is>
          <t>Identifica el servicio higiénico accesible.</t>
        </is>
      </c>
    </row>
    <row r="21">
      <c r="A21" s="23" t="inlineStr">
        <is>
          <t>04.02</t>
        </is>
      </c>
      <c r="B21" s="17" t="inlineStr">
        <is>
          <t>SEÑAL DE SERVICIOS HIGIÉNICOS MIXTO CON BRAILLE</t>
        </is>
      </c>
      <c r="C21" s="23" t="inlineStr">
        <is>
          <t>0.20 x 0.30 m</t>
        </is>
      </c>
      <c r="D21" s="17" t="inlineStr">
        <is>
          <t>Lámina de PVC celtex de 3 mm con vinil adhesivo impreso y placa de acrílico con texto en braille</t>
        </is>
      </c>
      <c r="E21" s="23" t="inlineStr">
        <is>
          <t>1.80 m</t>
        </is>
      </c>
      <c r="F21" s="23" t="inlineStr">
        <is>
          <t>1.80</t>
        </is>
      </c>
      <c r="G21" s="17" t="inlineStr">
        <is>
          <t>Identifica el servicio higiénico de uso mixto (habitaciones, tópico y vestidores).</t>
        </is>
      </c>
    </row>
    <row r="22">
      <c r="A22" s="23" t="inlineStr">
        <is>
          <t>04.03</t>
        </is>
      </c>
      <c r="B22" s="17" t="inlineStr">
        <is>
          <t>SEÑAL DE SERVICIOS HIGIÉNICOS MUJER CON BRAILLE</t>
        </is>
      </c>
      <c r="C22" s="23" t="inlineStr">
        <is>
          <t>0.20 x 0.30 m</t>
        </is>
      </c>
      <c r="D22" s="17" t="inlineStr">
        <is>
          <t>Lámina de PVC celtex de 3 mm con vinil adhesivo impreso y placa de acrílico con texto en braille</t>
        </is>
      </c>
      <c r="E22" s="23" t="inlineStr">
        <is>
          <t>1.80 m</t>
        </is>
      </c>
      <c r="F22" s="23" t="inlineStr">
        <is>
          <t>1.80</t>
        </is>
      </c>
      <c r="G22" s="17" t="inlineStr">
        <is>
          <t>Identifica el servicio higiénico de mujeres.</t>
        </is>
      </c>
    </row>
    <row r="23">
      <c r="A23" s="23" t="inlineStr">
        <is>
          <t>04.04</t>
        </is>
      </c>
      <c r="B23" s="17" t="inlineStr">
        <is>
          <t>SEÑAL DE SERVICIOS HIGIÉNICOS VARÓN CON BRAILLE</t>
        </is>
      </c>
      <c r="C23" s="23" t="inlineStr">
        <is>
          <t>0.20 x 0.30 m</t>
        </is>
      </c>
      <c r="D23" s="17" t="inlineStr">
        <is>
          <t>Lámina de PVC celtex de 3 mm con vinil adhesivo impreso y placa de acrílico con texto en braille</t>
        </is>
      </c>
      <c r="E23" s="23" t="inlineStr">
        <is>
          <t>1.80 m</t>
        </is>
      </c>
      <c r="F23" s="23" t="inlineStr">
        <is>
          <t>1.80</t>
        </is>
      </c>
      <c r="G23" s="17" t="inlineStr">
        <is>
          <t>Identifica el servicio higiénico de varones.</t>
        </is>
      </c>
    </row>
    <row r="24">
      <c r="A24" s="23" t="inlineStr">
        <is>
          <t>04.05</t>
        </is>
      </c>
      <c r="B24" s="17" t="inlineStr">
        <is>
          <t>SEÑAL DE PUNTO ECOLÓGICO CON BRAILLE</t>
        </is>
      </c>
      <c r="C24" s="23" t="inlineStr">
        <is>
          <t>0.30 x 0.20 m</t>
        </is>
      </c>
      <c r="D24" s="17" t="inlineStr">
        <is>
          <t>Lámina de PVC celtex de 3 mm con vinil adhesivo impreso y placa de acrílico con texto en braille</t>
        </is>
      </c>
      <c r="E24" s="23" t="inlineStr">
        <is>
          <t>1.80 m</t>
        </is>
      </c>
      <c r="F24" s="23" t="inlineStr">
        <is>
          <t>—</t>
        </is>
      </c>
      <c r="G24" s="17" t="inlineStr">
        <is>
          <t>Identifica el punto de acopio selectivo de residuos sólidos (cuatro contenedores de colores).</t>
        </is>
      </c>
    </row>
    <row r="25">
      <c r="A25" s="7" t="inlineStr">
        <is>
          <t>05</t>
        </is>
      </c>
      <c r="B25" s="2" t="inlineStr">
        <is>
          <t>EQUIPOS DE PROTECCIÓN CONTRA INCENDIO Y EMERGENCIA</t>
        </is>
      </c>
      <c r="C25" s="4" t="n"/>
      <c r="D25" s="4" t="n"/>
      <c r="E25" s="4" t="n"/>
      <c r="F25" s="4" t="n"/>
      <c r="G25" s="4" t="n"/>
    </row>
    <row r="26">
      <c r="A26" s="23" t="inlineStr">
        <is>
          <t>05.01</t>
        </is>
      </c>
      <c r="B26" s="17" t="inlineStr">
        <is>
          <t>EXTINTOR DE POLVO QUÍMICO SECO (PQS) TIPO ABC DE 9 kg</t>
        </is>
      </c>
      <c r="C26" s="23" t="inlineStr">
        <is>
          <t>extintor portátil de 9 kg, agente PQS multipropósito ABC</t>
        </is>
      </c>
      <c r="D26" s="17" t="inlineStr">
        <is>
          <t>Cilindro de acero con manómetro, manguera, soporte de pared y tarjeta de control</t>
        </is>
      </c>
      <c r="E26" s="23" t="inlineStr">
        <is>
          <t>1.50 m (parte superior)</t>
        </is>
      </c>
      <c r="F26" s="23" t="inlineStr">
        <is>
          <t>—</t>
        </is>
      </c>
      <c r="G26" s="17" t="inlineStr">
        <is>
          <t>Combate fuegos de clase A, B y C en las nueve edificaciones.</t>
        </is>
      </c>
    </row>
    <row r="27">
      <c r="A27" s="23" t="inlineStr">
        <is>
          <t>05.02</t>
        </is>
      </c>
      <c r="B27" s="17" t="inlineStr">
        <is>
          <t>UNIDAD DE LUCES DE EMERGENCIA</t>
        </is>
      </c>
      <c r="C27" s="23" t="inlineStr">
        <is>
          <t>equipo de dos faros LED, autonomía mínima 90 min</t>
        </is>
      </c>
      <c r="D27" s="17" t="inlineStr">
        <is>
          <t>Equipo autónomo con batería recargable, 220 V</t>
        </is>
      </c>
      <c r="E27" s="23" t="inlineStr">
        <is>
          <t>2.10 m</t>
        </is>
      </c>
      <c r="F27" s="23" t="inlineStr">
        <is>
          <t>2.10</t>
        </is>
      </c>
      <c r="G27" s="17" t="inlineStr">
        <is>
          <t>Ilumina las salidas, las circulaciones y los ambientes al cortarse la energía.</t>
        </is>
      </c>
    </row>
    <row r="28">
      <c r="A28" s="23" t="inlineStr">
        <is>
          <t>05.03</t>
        </is>
      </c>
      <c r="B28" s="17" t="inlineStr">
        <is>
          <t>DETECTOR DE HUMO</t>
        </is>
      </c>
      <c r="C28" s="23" t="inlineStr">
        <is>
          <t>detector fotoeléctrico de techo</t>
        </is>
      </c>
      <c r="D28" s="17" t="inlineStr">
        <is>
          <t>Equipo fotoeléctrico con base de montaje</t>
        </is>
      </c>
      <c r="E28" s="23" t="inlineStr">
        <is>
          <t>techo</t>
        </is>
      </c>
      <c r="F28" s="23" t="inlineStr">
        <is>
          <t>TECHO</t>
        </is>
      </c>
      <c r="G28" s="17" t="inlineStr">
        <is>
          <t>Detecta el humo en los ambientes en su etapa inicial.</t>
        </is>
      </c>
    </row>
  </sheetData>
  <mergeCells count="12">
    <mergeCell ref="B3:G3"/>
    <mergeCell ref="B2:G2"/>
    <mergeCell ref="B19:G19"/>
    <mergeCell ref="B10:G10"/>
    <mergeCell ref="A1:G1"/>
    <mergeCell ref="B5:G5"/>
    <mergeCell ref="B17:G17"/>
    <mergeCell ref="B4:G4"/>
    <mergeCell ref="B15:G15"/>
    <mergeCell ref="B7:G7"/>
    <mergeCell ref="B25:G25"/>
    <mergeCell ref="B6:G6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Metrado de señalización y seguridad - Hogar de Refugio Temporal</dc:title>
  <dcterms:created xmlns:dcterms="http://purl.org/dc/terms/" xmlns:xsi="http://www.w3.org/2001/XMLSchema-instance" xsi:type="dcterms:W3CDTF">2026-10-29T17:20:39Z</dcterms:created>
  <dcterms:modified xmlns:dcterms="http://purl.org/dc/terms/" xmlns:xsi="http://www.w3.org/2001/XMLSchema-instance" xsi:type="dcterms:W3CDTF">2026-10-29T17:20:39Z</dcterms:modified>
</cp:coreProperties>
</file>