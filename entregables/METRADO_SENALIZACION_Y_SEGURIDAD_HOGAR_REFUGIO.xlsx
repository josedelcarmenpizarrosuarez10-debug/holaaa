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METRADO" sheetId="2" state="visible" r:id="rId2"/>
    <sheet xmlns:r="http://schemas.openxmlformats.org/officeDocument/2006/relationships" name="LEYENDA" sheetId="3" state="visible" r:id="rId3"/>
    <sheet xmlns:r="http://schemas.openxmlformats.org/officeDocument/2006/relationships" name="POBLACIÓN" sheetId="4" state="visible" r:id="rId4"/>
    <sheet xmlns:r="http://schemas.openxmlformats.org/officeDocument/2006/relationships" name="SEÑALES" sheetId="5" state="visible" r:id="rId5"/>
  </sheets>
  <definedNames>
    <definedName name="_xlnm.Print_Area" localSheetId="0">'RESUMEN'!$A$1:$D$29</definedName>
    <definedName name="_xlnm.Print_Area" localSheetId="1">'METRADO'!$A$1:$R$39</definedName>
    <definedName name="_xlnm.Print_Area" localSheetId="2">'LEYENDA'!$A$1:$G$37</definedName>
    <definedName name="_xlnm.Print_Area" localSheetId="3">'POBLACIÓN'!$A$1:$D$27</definedName>
    <definedName name="_xlnm.Print_Area" localSheetId="4">'SEÑALES'!$A$1:$G$28</definedName>
  </definedNames>
  <calcPr calcId="124519" fullCalcOnLoad="1"/>
</workbook>
</file>

<file path=xl/styles.xml><?xml version="1.0" encoding="utf-8"?>
<styleSheet xmlns="http://schemas.openxmlformats.org/spreadsheetml/2006/main">
  <numFmts count="1">
    <numFmt numFmtId="164" formatCode="+0;-0;&quot;conforme&quot;"/>
  </numFmts>
  <fonts count="8">
    <font>
      <name val="Calibri"/>
      <family val="2"/>
      <color theme="1"/>
      <sz val="11"/>
      <scheme val="minor"/>
    </font>
    <font>
      <name val="Arial"/>
      <b val="1"/>
      <color rgb="00FFFFFF"/>
      <sz val="12"/>
    </font>
    <font>
      <name val="Arial"/>
      <b val="1"/>
      <sz val="9"/>
    </font>
    <font>
      <name val="Arial"/>
      <sz val="9"/>
    </font>
    <font>
      <name val="Arial"/>
      <b val="1"/>
      <color rgb="00FFFFFF"/>
      <sz val="9"/>
    </font>
    <font>
      <name val="Arial"/>
      <sz val="7"/>
    </font>
    <font>
      <name val="Arial"/>
      <sz val="8"/>
    </font>
    <font>
      <name val="Arial"/>
      <b val="1"/>
      <sz val="8"/>
    </font>
  </fonts>
  <fills count="5">
    <fill>
      <patternFill/>
    </fill>
    <fill>
      <patternFill patternType="gray125"/>
    </fill>
    <fill>
      <patternFill patternType="solid">
        <fgColor rgb="007B1E2B"/>
      </patternFill>
    </fill>
    <fill>
      <patternFill patternType="solid">
        <fgColor rgb="00F2F2F2"/>
      </patternFill>
    </fill>
    <fill>
      <patternFill patternType="solid">
        <fgColor rgb="00F2E6E8"/>
      </patternFill>
    </fill>
  </fills>
  <borders count="8">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
      <left/>
      <right/>
      <top style="thin">
        <color rgb="00808080"/>
      </top>
      <bottom/>
      <diagonal/>
    </border>
    <border>
      <left/>
      <right style="thin">
        <color rgb="00808080"/>
      </right>
      <top style="thin">
        <color rgb="00808080"/>
      </top>
      <bottom/>
      <diagonal/>
    </border>
    <border>
      <left/>
      <right style="thin">
        <color rgb="00808080"/>
      </right>
      <top style="thin">
        <color rgb="00808080"/>
      </top>
      <bottom style="thin">
        <color rgb="00808080"/>
      </bottom>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1" pivotButton="0" quotePrefix="0" xfId="0"/>
    <xf numFmtId="0" fontId="3" fillId="0" borderId="1" applyAlignment="1" pivotButton="0" quotePrefix="0" xfId="0">
      <alignment horizontal="left" vertical="center"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2" fontId="2" fillId="0" borderId="1" applyAlignment="1" pivotButton="0" quotePrefix="0" xfId="0">
      <alignment horizontal="center" vertical="center" wrapText="1"/>
    </xf>
    <xf numFmtId="0" fontId="0" fillId="0" borderId="4" pivotButton="0" quotePrefix="0" xfId="0"/>
    <xf numFmtId="0" fontId="5" fillId="4" borderId="1" applyAlignment="1" pivotButton="0" quotePrefix="0" xfId="0">
      <alignment horizontal="center" vertical="center" wrapText="1"/>
    </xf>
    <xf numFmtId="1" fontId="3" fillId="0" borderId="1" applyAlignment="1" pivotButton="0" quotePrefix="0" xfId="0">
      <alignment horizontal="center" vertical="center" wrapText="1"/>
    </xf>
    <xf numFmtId="1" fontId="2" fillId="4" borderId="1" applyAlignment="1" pivotButton="0" quotePrefix="0" xfId="0">
      <alignment horizontal="center" vertical="center" wrapText="1"/>
    </xf>
    <xf numFmtId="164" fontId="3"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3" fillId="4" borderId="1" applyAlignment="1" pivotButton="0" quotePrefix="0" xfId="0">
      <alignment horizontal="center" vertical="center" wrapText="1"/>
    </xf>
    <xf numFmtId="0" fontId="2" fillId="4" borderId="1" applyAlignment="1" pivotButton="0" quotePrefix="0" xfId="0">
      <alignment horizontal="left" vertical="center" wrapText="1"/>
    </xf>
    <xf numFmtId="0" fontId="7"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7" pivotButton="0" quotePrefix="0" xfId="0"/>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29"/>
  <sheetViews>
    <sheetView showGridLines="0" workbookViewId="0">
      <selection activeCell="A1" sqref="A1"/>
    </sheetView>
  </sheetViews>
  <sheetFormatPr baseColWidth="8" defaultRowHeight="15"/>
  <cols>
    <col width="11" customWidth="1" min="1" max="1"/>
    <col width="70" customWidth="1" min="2" max="2"/>
    <col width="7" customWidth="1" min="3" max="3"/>
    <col width="12" customWidth="1" min="4" max="4"/>
  </cols>
  <sheetData>
    <row r="1" ht="24" customHeight="1">
      <c r="A1" s="1" t="inlineStr">
        <is>
          <t>RESUMEN DE METRADOS - SEÑALIZACIÓN Y SEGURIDAD</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row>
    <row r="3">
      <c r="A3" s="2" t="inlineStr">
        <is>
          <t>CUI</t>
        </is>
      </c>
      <c r="B3" s="5" t="inlineStr">
        <is>
          <t>N.° 2675514</t>
        </is>
      </c>
      <c r="C3" s="4" t="n"/>
      <c r="D3" s="4" t="n"/>
    </row>
    <row r="4">
      <c r="A4" s="2" t="inlineStr">
        <is>
          <t>ESPECIALIDAD</t>
        </is>
      </c>
      <c r="B4" s="5" t="inlineStr">
        <is>
          <t>ARQUITECTURA - SEÑALIZACIÓN Y SEGURIDAD</t>
        </is>
      </c>
      <c r="C4" s="4" t="n"/>
      <c r="D4" s="4" t="n"/>
    </row>
    <row r="5">
      <c r="A5" s="2" t="inlineStr">
        <is>
          <t>UBICACIÓN</t>
        </is>
      </c>
      <c r="B5" s="5" t="inlineStr">
        <is>
          <t>Distrito de Morales, provincia y departamento de San Martín</t>
        </is>
      </c>
      <c r="C5" s="4" t="n"/>
      <c r="D5" s="4" t="n"/>
    </row>
    <row r="6">
      <c r="A6" s="2" t="inlineStr">
        <is>
          <t>LÁMINAS</t>
        </is>
      </c>
      <c r="B6" s="5" t="inlineStr">
        <is>
          <t>SE-E-01 Planta general de evacuación (esc. 1/150) y SE-S-02 Planta general de señalización (esc. 1/150)</t>
        </is>
      </c>
      <c r="C6" s="4" t="n"/>
      <c r="D6" s="4" t="n"/>
    </row>
    <row r="7">
      <c r="A7" s="2" t="inlineStr">
        <is>
          <t>FECHA</t>
        </is>
      </c>
      <c r="B7" s="5" t="inlineStr">
        <is>
          <t>OCTUBRE 2026</t>
        </is>
      </c>
      <c r="C7" s="4" t="n"/>
      <c r="D7" s="4" t="n"/>
    </row>
    <row r="9">
      <c r="A9" s="6" t="inlineStr">
        <is>
          <t>ITEM</t>
        </is>
      </c>
      <c r="B9" s="6" t="inlineStr">
        <is>
          <t>DESCRIPCIÓN</t>
        </is>
      </c>
      <c r="C9" s="6" t="inlineStr">
        <is>
          <t>UND</t>
        </is>
      </c>
      <c r="D9" s="6" t="inlineStr">
        <is>
          <t>METRADO</t>
        </is>
      </c>
    </row>
    <row r="10">
      <c r="A10" s="7" t="inlineStr">
        <is>
          <t>01</t>
        </is>
      </c>
      <c r="B10" s="2" t="inlineStr">
        <is>
          <t>SEÑALIZACIÓN Y SEGURIDAD</t>
        </is>
      </c>
      <c r="C10" s="8" t="n"/>
      <c r="D10" s="8" t="n"/>
    </row>
    <row r="11">
      <c r="A11" s="9" t="inlineStr">
        <is>
          <t>01.01</t>
        </is>
      </c>
      <c r="B11" s="3" t="inlineStr">
        <is>
          <t>SEÑALES DE EVACUACIÓN Y EMERGENCIA</t>
        </is>
      </c>
      <c r="C11" s="10" t="n"/>
      <c r="D11" s="10" t="n"/>
    </row>
    <row r="12">
      <c r="A12" s="10" t="inlineStr">
        <is>
          <t>01.01.01</t>
        </is>
      </c>
      <c r="B12" s="5" t="inlineStr">
        <is>
          <t>SEÑAL DE SALIDA CON BRAILLE</t>
        </is>
      </c>
      <c r="C12" s="10" t="inlineStr">
        <is>
          <t>und</t>
        </is>
      </c>
      <c r="D12" s="11">
        <f>'METRADO'!O12</f>
        <v/>
      </c>
    </row>
    <row r="13">
      <c r="A13" s="10" t="inlineStr">
        <is>
          <t>01.01.02</t>
        </is>
      </c>
      <c r="B13" s="5" t="inlineStr">
        <is>
          <t>SEÑAL DE DIRECCIÓN DE EVACUACIÓN</t>
        </is>
      </c>
      <c r="C13" s="10" t="inlineStr">
        <is>
          <t>und</t>
        </is>
      </c>
      <c r="D13" s="11">
        <f>'METRADO'!O13</f>
        <v/>
      </c>
    </row>
    <row r="14">
      <c r="A14" s="10" t="inlineStr">
        <is>
          <t>01.01.03</t>
        </is>
      </c>
      <c r="B14" s="5" t="inlineStr">
        <is>
          <t>SEÑAL DE ZONA SEGURA EN CASO DE SISMO CON BRAILLE</t>
        </is>
      </c>
      <c r="C14" s="10" t="inlineStr">
        <is>
          <t>und</t>
        </is>
      </c>
      <c r="D14" s="11">
        <f>'METRADO'!O14</f>
        <v/>
      </c>
    </row>
    <row r="15">
      <c r="A15" s="10" t="inlineStr">
        <is>
          <t>01.01.04</t>
        </is>
      </c>
      <c r="B15" s="5" t="inlineStr">
        <is>
          <t>LETRERO DE AFORO CON BRAILLE</t>
        </is>
      </c>
      <c r="C15" s="10" t="inlineStr">
        <is>
          <t>und</t>
        </is>
      </c>
      <c r="D15" s="11">
        <f>'METRADO'!O15</f>
        <v/>
      </c>
    </row>
    <row r="16">
      <c r="A16" s="9" t="inlineStr">
        <is>
          <t>01.02</t>
        </is>
      </c>
      <c r="B16" s="3" t="inlineStr">
        <is>
          <t>SEÑALES DE EQUIPOS CONTRA INCENDIO</t>
        </is>
      </c>
      <c r="C16" s="10" t="n"/>
      <c r="D16" s="10" t="n"/>
    </row>
    <row r="17">
      <c r="A17" s="10" t="inlineStr">
        <is>
          <t>01.02.01</t>
        </is>
      </c>
      <c r="B17" s="5" t="inlineStr">
        <is>
          <t>SEÑAL DE UBICACIÓN DE EXTINTOR PQS CON BRAILLE</t>
        </is>
      </c>
      <c r="C17" s="10" t="inlineStr">
        <is>
          <t>und</t>
        </is>
      </c>
      <c r="D17" s="11">
        <f>'METRADO'!O17</f>
        <v/>
      </c>
    </row>
    <row r="18">
      <c r="A18" s="9" t="inlineStr">
        <is>
          <t>01.03</t>
        </is>
      </c>
      <c r="B18" s="3" t="inlineStr">
        <is>
          <t>SEÑALES DE ADVERTENCIA</t>
        </is>
      </c>
      <c r="C18" s="10" t="n"/>
      <c r="D18" s="10" t="n"/>
    </row>
    <row r="19">
      <c r="A19" s="10" t="inlineStr">
        <is>
          <t>01.03.01</t>
        </is>
      </c>
      <c r="B19" s="5" t="inlineStr">
        <is>
          <t>SEÑAL DE ATENCIÓN RIESGO ELÉCTRICO CON BRAILLE</t>
        </is>
      </c>
      <c r="C19" s="10" t="inlineStr">
        <is>
          <t>und</t>
        </is>
      </c>
      <c r="D19" s="11">
        <f>'METRADO'!O19</f>
        <v/>
      </c>
    </row>
    <row r="20">
      <c r="A20" s="9" t="inlineStr">
        <is>
          <t>01.04</t>
        </is>
      </c>
      <c r="B20" s="3" t="inlineStr">
        <is>
          <t>SEÑALES INFORMATIVAS</t>
        </is>
      </c>
      <c r="C20" s="10" t="n"/>
      <c r="D20" s="10" t="n"/>
    </row>
    <row r="21">
      <c r="A21" s="10" t="inlineStr">
        <is>
          <t>01.04.01</t>
        </is>
      </c>
      <c r="B21" s="5" t="inlineStr">
        <is>
          <t>SEÑAL DE SERVICIOS HIGIÉNICOS PARA PERSONAS CON DISCAPACIDAD CON BRAILLE</t>
        </is>
      </c>
      <c r="C21" s="10" t="inlineStr">
        <is>
          <t>und</t>
        </is>
      </c>
      <c r="D21" s="11">
        <f>'METRADO'!O21</f>
        <v/>
      </c>
    </row>
    <row r="22">
      <c r="A22" s="10" t="inlineStr">
        <is>
          <t>01.04.02</t>
        </is>
      </c>
      <c r="B22" s="5" t="inlineStr">
        <is>
          <t>SEÑAL DE SERVICIOS HIGIÉNICOS MIXTO CON BRAILLE</t>
        </is>
      </c>
      <c r="C22" s="10" t="inlineStr">
        <is>
          <t>und</t>
        </is>
      </c>
      <c r="D22" s="11">
        <f>'METRADO'!O22</f>
        <v/>
      </c>
    </row>
    <row r="23">
      <c r="A23" s="10" t="inlineStr">
        <is>
          <t>01.04.03</t>
        </is>
      </c>
      <c r="B23" s="5" t="inlineStr">
        <is>
          <t>SEÑAL DE SERVICIOS HIGIÉNICOS MUJER CON BRAILLE</t>
        </is>
      </c>
      <c r="C23" s="10" t="inlineStr">
        <is>
          <t>und</t>
        </is>
      </c>
      <c r="D23" s="11">
        <f>'METRADO'!O23</f>
        <v/>
      </c>
    </row>
    <row r="24">
      <c r="A24" s="10" t="inlineStr">
        <is>
          <t>01.04.04</t>
        </is>
      </c>
      <c r="B24" s="5" t="inlineStr">
        <is>
          <t>SEÑAL DE SERVICIOS HIGIÉNICOS VARÓN CON BRAILLE</t>
        </is>
      </c>
      <c r="C24" s="10" t="inlineStr">
        <is>
          <t>und</t>
        </is>
      </c>
      <c r="D24" s="11">
        <f>'METRADO'!O24</f>
        <v/>
      </c>
    </row>
    <row r="25">
      <c r="A25" s="10" t="inlineStr">
        <is>
          <t>01.04.05</t>
        </is>
      </c>
      <c r="B25" s="5" t="inlineStr">
        <is>
          <t>SEÑAL DE PUNTO ECOLÓGICO CON BRAILLE</t>
        </is>
      </c>
      <c r="C25" s="10" t="inlineStr">
        <is>
          <t>und</t>
        </is>
      </c>
      <c r="D25" s="11">
        <f>'METRADO'!O25</f>
        <v/>
      </c>
    </row>
    <row r="26">
      <c r="A26" s="9" t="inlineStr">
        <is>
          <t>01.05</t>
        </is>
      </c>
      <c r="B26" s="3" t="inlineStr">
        <is>
          <t>EQUIPOS DE PROTECCIÓN CONTRA INCENDIO Y EMERGENCIA</t>
        </is>
      </c>
      <c r="C26" s="10" t="n"/>
      <c r="D26" s="10" t="n"/>
    </row>
    <row r="27">
      <c r="A27" s="10" t="inlineStr">
        <is>
          <t>01.05.01</t>
        </is>
      </c>
      <c r="B27" s="5" t="inlineStr">
        <is>
          <t>EXTINTOR DE POLVO QUÍMICO SECO (PQS) TIPO ABC DE 9 kg</t>
        </is>
      </c>
      <c r="C27" s="10" t="inlineStr">
        <is>
          <t>und</t>
        </is>
      </c>
      <c r="D27" s="11">
        <f>'METRADO'!O27</f>
        <v/>
      </c>
    </row>
    <row r="28">
      <c r="A28" s="10" t="inlineStr">
        <is>
          <t>01.05.02</t>
        </is>
      </c>
      <c r="B28" s="5" t="inlineStr">
        <is>
          <t>UNIDAD DE LUCES DE EMERGENCIA</t>
        </is>
      </c>
      <c r="C28" s="10" t="inlineStr">
        <is>
          <t>und</t>
        </is>
      </c>
      <c r="D28" s="11">
        <f>'METRADO'!O28</f>
        <v/>
      </c>
    </row>
    <row r="29">
      <c r="A29" s="10" t="inlineStr">
        <is>
          <t>01.05.03</t>
        </is>
      </c>
      <c r="B29" s="5" t="inlineStr">
        <is>
          <t>DETECTOR DE HUMO</t>
        </is>
      </c>
      <c r="C29" s="10" t="inlineStr">
        <is>
          <t>und</t>
        </is>
      </c>
      <c r="D29" s="11">
        <f>'METRADO'!O29</f>
        <v/>
      </c>
    </row>
  </sheetData>
  <mergeCells count="7">
    <mergeCell ref="A1:D1"/>
    <mergeCell ref="B3:D3"/>
    <mergeCell ref="B5:D5"/>
    <mergeCell ref="B4:D4"/>
    <mergeCell ref="B7:D7"/>
    <mergeCell ref="B6:D6"/>
    <mergeCell ref="B2:D2"/>
  </mergeCells>
  <pageMargins left="0.4" right="0.4" top="0.5" bottom="0.5"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R38"/>
  <sheetViews>
    <sheetView showGridLines="0" workbookViewId="0">
      <pane xSplit="3" ySplit="9" topLeftCell="D10"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5"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5" customWidth="1" min="14" max="14"/>
    <col width="7.5" customWidth="1" min="15" max="15"/>
    <col width="8.5" customWidth="1" min="16" max="16"/>
    <col width="9" customWidth="1" min="17" max="17"/>
    <col width="44" customWidth="1" min="18" max="18"/>
  </cols>
  <sheetData>
    <row r="1" ht="24" customHeight="1">
      <c r="A1" s="1" t="inlineStr">
        <is>
          <t>METRADO DE SEÑALIZACIÓN Y SEGURIDAD POR EDIFICACIÓN</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c r="F2" s="4" t="n"/>
      <c r="G2" s="4" t="n"/>
      <c r="H2" s="4" t="n"/>
      <c r="I2" s="4" t="n"/>
      <c r="J2" s="4" t="n"/>
      <c r="K2" s="4" t="n"/>
      <c r="L2" s="4" t="n"/>
      <c r="M2" s="4" t="n"/>
      <c r="N2" s="4" t="n"/>
      <c r="O2" s="4" t="n"/>
      <c r="P2" s="4" t="n"/>
      <c r="Q2" s="4" t="n"/>
      <c r="R2" s="4" t="n"/>
    </row>
    <row r="3">
      <c r="A3" s="2" t="inlineStr">
        <is>
          <t>CUI</t>
        </is>
      </c>
      <c r="B3" s="5" t="inlineStr">
        <is>
          <t>N.° 2675514</t>
        </is>
      </c>
      <c r="C3" s="4" t="n"/>
      <c r="D3" s="4" t="n"/>
      <c r="E3" s="4" t="n"/>
      <c r="F3" s="4" t="n"/>
      <c r="G3" s="4" t="n"/>
      <c r="H3" s="4" t="n"/>
      <c r="I3" s="4" t="n"/>
      <c r="J3" s="4" t="n"/>
      <c r="K3" s="4" t="n"/>
      <c r="L3" s="4" t="n"/>
      <c r="M3" s="4" t="n"/>
      <c r="N3" s="4" t="n"/>
      <c r="O3" s="4" t="n"/>
      <c r="P3" s="4" t="n"/>
      <c r="Q3" s="4" t="n"/>
      <c r="R3" s="4" t="n"/>
    </row>
    <row r="4">
      <c r="A4" s="2" t="inlineStr">
        <is>
          <t>ESPECIALIDAD</t>
        </is>
      </c>
      <c r="B4" s="5" t="inlineStr">
        <is>
          <t>ARQUITECTURA - SEÑALIZACIÓN Y SEGURIDAD</t>
        </is>
      </c>
      <c r="C4" s="4" t="n"/>
      <c r="D4" s="4" t="n"/>
      <c r="E4" s="4" t="n"/>
      <c r="F4" s="4" t="n"/>
      <c r="G4" s="4" t="n"/>
      <c r="H4" s="4" t="n"/>
      <c r="I4" s="4" t="n"/>
      <c r="J4" s="4" t="n"/>
      <c r="K4" s="4" t="n"/>
      <c r="L4" s="4" t="n"/>
      <c r="M4" s="4" t="n"/>
      <c r="N4" s="4" t="n"/>
      <c r="O4" s="4" t="n"/>
      <c r="P4" s="4" t="n"/>
      <c r="Q4" s="4" t="n"/>
      <c r="R4" s="4" t="n"/>
    </row>
    <row r="5">
      <c r="A5" s="2" t="inlineStr">
        <is>
          <t>UBICACIÓN</t>
        </is>
      </c>
      <c r="B5" s="5" t="inlineStr">
        <is>
          <t>Distrito de Morales, provincia y departamento de San Martín</t>
        </is>
      </c>
      <c r="C5" s="4" t="n"/>
      <c r="D5" s="4" t="n"/>
      <c r="E5" s="4" t="n"/>
      <c r="F5" s="4" t="n"/>
      <c r="G5" s="4" t="n"/>
      <c r="H5" s="4" t="n"/>
      <c r="I5" s="4" t="n"/>
      <c r="J5" s="4" t="n"/>
      <c r="K5" s="4" t="n"/>
      <c r="L5" s="4" t="n"/>
      <c r="M5" s="4" t="n"/>
      <c r="N5" s="4" t="n"/>
      <c r="O5" s="4" t="n"/>
      <c r="P5" s="4" t="n"/>
      <c r="Q5" s="4" t="n"/>
      <c r="R5" s="4" t="n"/>
    </row>
    <row r="6">
      <c r="A6" s="2" t="inlineStr">
        <is>
          <t>LÁMINAS</t>
        </is>
      </c>
      <c r="B6" s="5" t="inlineStr">
        <is>
          <t>SE-E-01 Planta general de evacuación (esc. 1/150) y SE-S-02 Planta general de señalización (esc. 1/150)</t>
        </is>
      </c>
      <c r="C6" s="4" t="n"/>
      <c r="D6" s="4" t="n"/>
      <c r="E6" s="4" t="n"/>
      <c r="F6" s="4" t="n"/>
      <c r="G6" s="4" t="n"/>
      <c r="H6" s="4" t="n"/>
      <c r="I6" s="4" t="n"/>
      <c r="J6" s="4" t="n"/>
      <c r="K6" s="4" t="n"/>
      <c r="L6" s="4" t="n"/>
      <c r="M6" s="4" t="n"/>
      <c r="N6" s="4" t="n"/>
      <c r="O6" s="4" t="n"/>
      <c r="P6" s="4" t="n"/>
      <c r="Q6" s="4" t="n"/>
      <c r="R6" s="4" t="n"/>
    </row>
    <row r="7">
      <c r="A7" s="2" t="inlineStr">
        <is>
          <t>FECHA</t>
        </is>
      </c>
      <c r="B7" s="5" t="inlineStr">
        <is>
          <t>OCTUBRE 2026</t>
        </is>
      </c>
      <c r="C7" s="4" t="n"/>
      <c r="D7" s="4" t="n"/>
      <c r="E7" s="4" t="n"/>
      <c r="F7" s="4" t="n"/>
      <c r="G7" s="4" t="n"/>
      <c r="H7" s="4" t="n"/>
      <c r="I7" s="4" t="n"/>
      <c r="J7" s="4" t="n"/>
      <c r="K7" s="4" t="n"/>
      <c r="L7" s="4" t="n"/>
      <c r="M7" s="4" t="n"/>
      <c r="N7" s="4" t="n"/>
      <c r="O7" s="4" t="n"/>
      <c r="P7" s="4" t="n"/>
      <c r="Q7" s="4" t="n"/>
      <c r="R7" s="4" t="n"/>
    </row>
    <row r="9">
      <c r="A9" s="6" t="inlineStr">
        <is>
          <t>ITEM</t>
        </is>
      </c>
      <c r="B9" s="6" t="inlineStr">
        <is>
          <t>DESCRIPCIÓN</t>
        </is>
      </c>
      <c r="C9" s="6" t="inlineStr">
        <is>
          <t>UND</t>
        </is>
      </c>
      <c r="D9" s="6" t="inlineStr">
        <is>
          <t>E-01</t>
        </is>
      </c>
      <c r="E9" s="6" t="inlineStr">
        <is>
          <t>E-02</t>
        </is>
      </c>
      <c r="F9" s="6" t="inlineStr">
        <is>
          <t>E-03</t>
        </is>
      </c>
      <c r="G9" s="6" t="inlineStr">
        <is>
          <t>E-04</t>
        </is>
      </c>
      <c r="H9" s="6" t="inlineStr">
        <is>
          <t>E-05</t>
        </is>
      </c>
      <c r="I9" s="6" t="inlineStr">
        <is>
          <t>E-06</t>
        </is>
      </c>
      <c r="J9" s="6" t="inlineStr">
        <is>
          <t>E-07</t>
        </is>
      </c>
      <c r="K9" s="6" t="inlineStr">
        <is>
          <t>E-08</t>
        </is>
      </c>
      <c r="L9" s="6" t="inlineStr">
        <is>
          <t>E-09</t>
        </is>
      </c>
      <c r="M9" s="6" t="inlineStr">
        <is>
          <t>EXT</t>
        </is>
      </c>
      <c r="N9" s="6" t="inlineStr">
        <is>
          <t>SIN UBICAR</t>
        </is>
      </c>
      <c r="O9" s="6" t="inlineStr">
        <is>
          <t>TOTAL</t>
        </is>
      </c>
      <c r="P9" s="6" t="inlineStr">
        <is>
          <t>LEYENDA SE-S-02</t>
        </is>
      </c>
      <c r="Q9" s="6" t="inlineStr">
        <is>
          <t>DIFERENCIA</t>
        </is>
      </c>
      <c r="R9" s="6" t="inlineStr">
        <is>
          <t>FUENTE DE LA CANTIDAD</t>
        </is>
      </c>
    </row>
    <row r="10" ht="60" customHeight="1">
      <c r="A10" s="12" t="n"/>
      <c r="B10" s="12" t="n"/>
      <c r="C10" s="12" t="n"/>
      <c r="D10" s="13" t="inlineStr">
        <is>
          <t>Administración</t>
        </is>
      </c>
      <c r="E10" s="13" t="inlineStr">
        <is>
          <t>Almacén de donaciones y tópico</t>
        </is>
      </c>
      <c r="F10" s="13" t="inlineStr">
        <is>
          <t>Mantenimiento</t>
        </is>
      </c>
      <c r="G10" s="13" t="inlineStr">
        <is>
          <t>Talleres</t>
        </is>
      </c>
      <c r="H10" s="13" t="inlineStr">
        <is>
          <t>SUM-comedor, cocina, lavandería, módulo de enseñanza y módulo infantil</t>
        </is>
      </c>
      <c r="I10" s="13" t="inlineStr">
        <is>
          <t>Habitaciones (1)</t>
        </is>
      </c>
      <c r="J10" s="13" t="inlineStr">
        <is>
          <t>Habitaciones (2)</t>
        </is>
      </c>
      <c r="K10" s="13" t="inlineStr">
        <is>
          <t>Habitaciones (3)</t>
        </is>
      </c>
      <c r="L10" s="13" t="inlineStr">
        <is>
          <t>Vestidores y almacén de implementos deportivos</t>
        </is>
      </c>
      <c r="M10" s="13" t="inlineStr">
        <is>
          <t>Exteriores</t>
        </is>
      </c>
      <c r="N10" s="12" t="n"/>
      <c r="O10" s="12" t="n"/>
      <c r="P10" s="12" t="n"/>
      <c r="Q10" s="12" t="n"/>
      <c r="R10" s="12" t="n"/>
    </row>
    <row r="11">
      <c r="A11" s="7" t="inlineStr">
        <is>
          <t>01</t>
        </is>
      </c>
      <c r="B11" s="2" t="inlineStr">
        <is>
          <t>SEÑALES DE EVACUACIÓN Y EMERGENCIA</t>
        </is>
      </c>
      <c r="C11" s="4" t="n"/>
      <c r="D11" s="4" t="n"/>
      <c r="E11" s="4" t="n"/>
      <c r="F11" s="4" t="n"/>
      <c r="G11" s="4" t="n"/>
      <c r="H11" s="4" t="n"/>
      <c r="I11" s="4" t="n"/>
      <c r="J11" s="4" t="n"/>
      <c r="K11" s="4" t="n"/>
      <c r="L11" s="4" t="n"/>
      <c r="M11" s="4" t="n"/>
      <c r="N11" s="4" t="n"/>
      <c r="O11" s="4" t="n"/>
      <c r="P11" s="4" t="n"/>
      <c r="Q11" s="4" t="n"/>
      <c r="R11" s="4" t="n"/>
    </row>
    <row r="12">
      <c r="A12" s="10" t="inlineStr">
        <is>
          <t>01.01</t>
        </is>
      </c>
      <c r="B12" s="5" t="inlineStr">
        <is>
          <t>SEÑAL DE SALIDA CON BRAILLE</t>
        </is>
      </c>
      <c r="C12" s="10" t="inlineStr">
        <is>
          <t>und</t>
        </is>
      </c>
      <c r="D12" s="14" t="n">
        <v>3</v>
      </c>
      <c r="E12" s="14" t="n">
        <v>3</v>
      </c>
      <c r="F12" s="14" t="n">
        <v>5</v>
      </c>
      <c r="G12" s="14" t="n">
        <v>7</v>
      </c>
      <c r="H12" s="14" t="n">
        <v>6</v>
      </c>
      <c r="I12" s="14" t="n">
        <v>6</v>
      </c>
      <c r="J12" s="14" t="n">
        <v>12</v>
      </c>
      <c r="K12" s="14" t="n">
        <v>6</v>
      </c>
      <c r="L12" s="14" t="n">
        <v>1</v>
      </c>
      <c r="M12" s="14" t="n"/>
      <c r="N12" s="14" t="n"/>
      <c r="O12" s="15">
        <f>SUM(D12:N12)</f>
        <v/>
      </c>
      <c r="P12" s="14" t="n">
        <v>49</v>
      </c>
      <c r="Q12" s="16">
        <f>O12-P12</f>
        <v/>
      </c>
      <c r="R12" s="17" t="inlineStr">
        <is>
          <t>Planta de SE-S-02: símbolos dibujados; leyenda: 49</t>
        </is>
      </c>
    </row>
    <row r="13">
      <c r="A13" s="10" t="inlineStr">
        <is>
          <t>01.02</t>
        </is>
      </c>
      <c r="B13" s="5" t="inlineStr">
        <is>
          <t>SEÑAL DE DIRECCIÓN DE EVACUACIÓN</t>
        </is>
      </c>
      <c r="C13" s="10" t="inlineStr">
        <is>
          <t>und</t>
        </is>
      </c>
      <c r="D13" s="14" t="n">
        <v>12</v>
      </c>
      <c r="E13" s="14" t="n">
        <v>4</v>
      </c>
      <c r="F13" s="14" t="n"/>
      <c r="G13" s="14" t="n">
        <v>20</v>
      </c>
      <c r="H13" s="14" t="n">
        <v>10</v>
      </c>
      <c r="I13" s="14" t="n">
        <v>5</v>
      </c>
      <c r="J13" s="14" t="n">
        <v>7</v>
      </c>
      <c r="K13" s="14" t="n">
        <v>5</v>
      </c>
      <c r="L13" s="14" t="n"/>
      <c r="M13" s="14" t="n"/>
      <c r="N13" s="14" t="n"/>
      <c r="O13" s="15">
        <f>SUM(D13:N13)</f>
        <v/>
      </c>
      <c r="P13" s="14" t="n">
        <v>63</v>
      </c>
      <c r="Q13" s="16">
        <f>O13-P13</f>
        <v/>
      </c>
      <c r="R13" s="17" t="inlineStr">
        <is>
          <t>Planta de SE-S-02: símbolos dibujados; leyenda: 63</t>
        </is>
      </c>
    </row>
    <row r="14">
      <c r="A14" s="10" t="inlineStr">
        <is>
          <t>01.03</t>
        </is>
      </c>
      <c r="B14" s="5" t="inlineStr">
        <is>
          <t>SEÑAL DE ZONA SEGURA EN CASO DE SISMO CON BRAILLE</t>
        </is>
      </c>
      <c r="C14" s="10" t="inlineStr">
        <is>
          <t>und</t>
        </is>
      </c>
      <c r="D14" s="14" t="n">
        <v>28</v>
      </c>
      <c r="E14" s="14" t="n">
        <v>12</v>
      </c>
      <c r="F14" s="14" t="n">
        <v>14</v>
      </c>
      <c r="G14" s="14" t="n">
        <v>37</v>
      </c>
      <c r="H14" s="14" t="n">
        <v>22</v>
      </c>
      <c r="I14" s="14" t="n">
        <v>20</v>
      </c>
      <c r="J14" s="14" t="n">
        <v>45</v>
      </c>
      <c r="K14" s="14" t="n">
        <v>20</v>
      </c>
      <c r="L14" s="14" t="n">
        <v>11</v>
      </c>
      <c r="M14" s="14" t="n"/>
      <c r="N14" s="14" t="n"/>
      <c r="O14" s="15">
        <f>SUM(D14:N14)</f>
        <v/>
      </c>
      <c r="P14" s="14" t="n">
        <v>210</v>
      </c>
      <c r="Q14" s="16">
        <f>O14-P14</f>
        <v/>
      </c>
      <c r="R14" s="17" t="inlineStr">
        <is>
          <t>Planta de SE-S-02: símbolos dibujados; leyenda: 210</t>
        </is>
      </c>
    </row>
    <row r="15">
      <c r="A15" s="10" t="inlineStr">
        <is>
          <t>01.04</t>
        </is>
      </c>
      <c r="B15" s="5" t="inlineStr">
        <is>
          <t>LETRERO DE AFORO CON BRAILLE</t>
        </is>
      </c>
      <c r="C15" s="10" t="inlineStr">
        <is>
          <t>und</t>
        </is>
      </c>
      <c r="D15" s="14" t="n">
        <v>10</v>
      </c>
      <c r="E15" s="14" t="n">
        <v>3</v>
      </c>
      <c r="F15" s="14" t="n">
        <v>5</v>
      </c>
      <c r="G15" s="14" t="n">
        <v>7</v>
      </c>
      <c r="H15" s="14" t="n">
        <v>5</v>
      </c>
      <c r="I15" s="14" t="n">
        <v>6</v>
      </c>
      <c r="J15" s="14" t="n">
        <v>12</v>
      </c>
      <c r="K15" s="14" t="n">
        <v>6</v>
      </c>
      <c r="L15" s="14" t="n">
        <v>1</v>
      </c>
      <c r="M15" s="14" t="n"/>
      <c r="N15" s="14" t="n"/>
      <c r="O15" s="15">
        <f>SUM(D15:N15)</f>
        <v/>
      </c>
      <c r="P15" s="14" t="n">
        <v>55</v>
      </c>
      <c r="Q15" s="16">
        <f>O15-P15</f>
        <v/>
      </c>
      <c r="R15" s="17" t="inlineStr">
        <is>
          <t>Planta de SE-S-02: símbolos dibujados; leyenda: 55</t>
        </is>
      </c>
    </row>
    <row r="16">
      <c r="A16" s="7" t="inlineStr">
        <is>
          <t>02</t>
        </is>
      </c>
      <c r="B16" s="2" t="inlineStr">
        <is>
          <t>SEÑALES DE EQUIPOS CONTRA INCENDIO</t>
        </is>
      </c>
      <c r="C16" s="4" t="n"/>
      <c r="D16" s="4" t="n"/>
      <c r="E16" s="4" t="n"/>
      <c r="F16" s="4" t="n"/>
      <c r="G16" s="4" t="n"/>
      <c r="H16" s="4" t="n"/>
      <c r="I16" s="4" t="n"/>
      <c r="J16" s="4" t="n"/>
      <c r="K16" s="4" t="n"/>
      <c r="L16" s="4" t="n"/>
      <c r="M16" s="4" t="n"/>
      <c r="N16" s="4" t="n"/>
      <c r="O16" s="4" t="n"/>
      <c r="P16" s="4" t="n"/>
      <c r="Q16" s="4" t="n"/>
      <c r="R16" s="4" t="n"/>
    </row>
    <row r="17">
      <c r="A17" s="10" t="inlineStr">
        <is>
          <t>02.01</t>
        </is>
      </c>
      <c r="B17" s="5" t="inlineStr">
        <is>
          <t>SEÑAL DE UBICACIÓN DE EXTINTOR PQS CON BRAILLE</t>
        </is>
      </c>
      <c r="C17" s="10" t="inlineStr">
        <is>
          <t>und</t>
        </is>
      </c>
      <c r="D17" s="14" t="n">
        <v>3</v>
      </c>
      <c r="E17" s="14" t="n">
        <v>4</v>
      </c>
      <c r="F17" s="14" t="n">
        <v>3</v>
      </c>
      <c r="G17" s="14" t="n">
        <v>2</v>
      </c>
      <c r="H17" s="14" t="n">
        <v>4</v>
      </c>
      <c r="I17" s="14" t="n">
        <v>4</v>
      </c>
      <c r="J17" s="14" t="n">
        <v>8</v>
      </c>
      <c r="K17" s="14" t="n">
        <v>4</v>
      </c>
      <c r="L17" s="14" t="n">
        <v>1</v>
      </c>
      <c r="M17" s="14" t="n"/>
      <c r="N17" s="14" t="n"/>
      <c r="O17" s="15">
        <f>SUM(D17:N17)</f>
        <v/>
      </c>
      <c r="P17" s="14" t="n">
        <v>44</v>
      </c>
      <c r="Q17" s="16">
        <f>O17-P17</f>
        <v/>
      </c>
      <c r="R17" s="17" t="inlineStr">
        <is>
          <t>Planta de SE-S-02: símbolos dibujados; leyenda: 44</t>
        </is>
      </c>
    </row>
    <row r="18">
      <c r="A18" s="7" t="inlineStr">
        <is>
          <t>03</t>
        </is>
      </c>
      <c r="B18" s="2" t="inlineStr">
        <is>
          <t>SEÑALES DE ADVERTENCIA</t>
        </is>
      </c>
      <c r="C18" s="4" t="n"/>
      <c r="D18" s="4" t="n"/>
      <c r="E18" s="4" t="n"/>
      <c r="F18" s="4" t="n"/>
      <c r="G18" s="4" t="n"/>
      <c r="H18" s="4" t="n"/>
      <c r="I18" s="4" t="n"/>
      <c r="J18" s="4" t="n"/>
      <c r="K18" s="4" t="n"/>
      <c r="L18" s="4" t="n"/>
      <c r="M18" s="4" t="n"/>
      <c r="N18" s="4" t="n"/>
      <c r="O18" s="4" t="n"/>
      <c r="P18" s="4" t="n"/>
      <c r="Q18" s="4" t="n"/>
      <c r="R18" s="4" t="n"/>
    </row>
    <row r="19">
      <c r="A19" s="10" t="inlineStr">
        <is>
          <t>03.01</t>
        </is>
      </c>
      <c r="B19" s="5" t="inlineStr">
        <is>
          <t>SEÑAL DE ATENCIÓN RIESGO ELÉCTRICO CON BRAILLE</t>
        </is>
      </c>
      <c r="C19" s="10" t="inlineStr">
        <is>
          <t>und</t>
        </is>
      </c>
      <c r="D19" s="14" t="n">
        <v>8</v>
      </c>
      <c r="E19" s="14" t="n">
        <v>2</v>
      </c>
      <c r="F19" s="14" t="n">
        <v>2</v>
      </c>
      <c r="G19" s="14" t="n">
        <v>5</v>
      </c>
      <c r="H19" s="14" t="n">
        <v>3</v>
      </c>
      <c r="I19" s="14" t="n">
        <v>6</v>
      </c>
      <c r="J19" s="14" t="n">
        <v>6</v>
      </c>
      <c r="K19" s="14" t="n">
        <v>6</v>
      </c>
      <c r="L19" s="14" t="n">
        <v>1</v>
      </c>
      <c r="M19" s="14" t="n"/>
      <c r="N19" s="14" t="n"/>
      <c r="O19" s="15">
        <f>SUM(D19:N19)</f>
        <v/>
      </c>
      <c r="P19" s="14" t="n">
        <v>38</v>
      </c>
      <c r="Q19" s="16">
        <f>O19-P19</f>
        <v/>
      </c>
      <c r="R19" s="17" t="inlineStr">
        <is>
          <t>Imagen pegada en el DXF (sin ubicación): 39 imágenes en el espacio modelo; reparto por edificación del metrado de evacuación de arquitectura; leyenda: 38</t>
        </is>
      </c>
    </row>
    <row r="20">
      <c r="A20" s="7" t="inlineStr">
        <is>
          <t>04</t>
        </is>
      </c>
      <c r="B20" s="2" t="inlineStr">
        <is>
          <t>SEÑALES INFORMATIVAS</t>
        </is>
      </c>
      <c r="C20" s="4" t="n"/>
      <c r="D20" s="4" t="n"/>
      <c r="E20" s="4" t="n"/>
      <c r="F20" s="4" t="n"/>
      <c r="G20" s="4" t="n"/>
      <c r="H20" s="4" t="n"/>
      <c r="I20" s="4" t="n"/>
      <c r="J20" s="4" t="n"/>
      <c r="K20" s="4" t="n"/>
      <c r="L20" s="4" t="n"/>
      <c r="M20" s="4" t="n"/>
      <c r="N20" s="4" t="n"/>
      <c r="O20" s="4" t="n"/>
      <c r="P20" s="4" t="n"/>
      <c r="Q20" s="4" t="n"/>
      <c r="R20" s="4" t="n"/>
    </row>
    <row r="21">
      <c r="A21" s="10" t="inlineStr">
        <is>
          <t>04.01</t>
        </is>
      </c>
      <c r="B21" s="5" t="inlineStr">
        <is>
          <t>SEÑAL DE SERVICIOS HIGIÉNICOS PARA PERSONAS CON DISCAPACIDAD CON BRAILLE</t>
        </is>
      </c>
      <c r="C21" s="10" t="inlineStr">
        <is>
          <t>und</t>
        </is>
      </c>
      <c r="D21" s="14" t="n">
        <v>1</v>
      </c>
      <c r="E21" s="14" t="n"/>
      <c r="F21" s="14" t="n"/>
      <c r="G21" s="14" t="n">
        <v>1</v>
      </c>
      <c r="H21" s="14" t="n"/>
      <c r="I21" s="14" t="n">
        <v>1</v>
      </c>
      <c r="J21" s="14" t="n"/>
      <c r="K21" s="14" t="n"/>
      <c r="L21" s="14" t="n"/>
      <c r="M21" s="14" t="n"/>
      <c r="N21" s="14" t="n"/>
      <c r="O21" s="15">
        <f>SUM(D21:N21)</f>
        <v/>
      </c>
      <c r="P21" s="14" t="n">
        <v>3</v>
      </c>
      <c r="Q21" s="16">
        <f>O21-P21</f>
        <v/>
      </c>
      <c r="R21" s="17" t="inlineStr">
        <is>
          <t>Planta de SE-S-02: símbolos dibujados; leyenda: 3</t>
        </is>
      </c>
    </row>
    <row r="22">
      <c r="A22" s="10" t="inlineStr">
        <is>
          <t>04.02</t>
        </is>
      </c>
      <c r="B22" s="5" t="inlineStr">
        <is>
          <t>SEÑAL DE SERVICIOS HIGIÉNICOS MIXTO CON BRAILLE</t>
        </is>
      </c>
      <c r="C22" s="10" t="inlineStr">
        <is>
          <t>und</t>
        </is>
      </c>
      <c r="D22" s="14" t="n">
        <v>1</v>
      </c>
      <c r="E22" s="14" t="n"/>
      <c r="F22" s="14" t="n"/>
      <c r="G22" s="14" t="n"/>
      <c r="H22" s="14" t="n"/>
      <c r="I22" s="14" t="n">
        <v>3</v>
      </c>
      <c r="J22" s="14" t="n">
        <v>11</v>
      </c>
      <c r="K22" s="14" t="n">
        <v>4</v>
      </c>
      <c r="L22" s="14" t="n"/>
      <c r="M22" s="14" t="n">
        <v>1</v>
      </c>
      <c r="N22" s="14" t="n"/>
      <c r="O22" s="15">
        <f>SUM(D22:N22)</f>
        <v/>
      </c>
      <c r="P22" s="14" t="n">
        <v>20</v>
      </c>
      <c r="Q22" s="16">
        <f>O22-P22</f>
        <v/>
      </c>
      <c r="R22" s="17" t="inlineStr">
        <is>
          <t>Planta de SE-S-02: símbolos dibujados; leyenda: 20</t>
        </is>
      </c>
    </row>
    <row r="23">
      <c r="A23" s="10" t="inlineStr">
        <is>
          <t>04.03</t>
        </is>
      </c>
      <c r="B23" s="5" t="inlineStr">
        <is>
          <t>SEÑAL DE SERVICIOS HIGIÉNICOS MUJER CON BRAILLE</t>
        </is>
      </c>
      <c r="C23" s="10" t="inlineStr">
        <is>
          <t>und</t>
        </is>
      </c>
      <c r="D23" s="14" t="n">
        <v>1</v>
      </c>
      <c r="E23" s="14" t="n"/>
      <c r="F23" s="14" t="n"/>
      <c r="G23" s="14" t="n">
        <v>1</v>
      </c>
      <c r="H23" s="14" t="n"/>
      <c r="I23" s="14" t="n"/>
      <c r="J23" s="14" t="n"/>
      <c r="K23" s="14" t="n"/>
      <c r="L23" s="14" t="n">
        <v>1</v>
      </c>
      <c r="M23" s="14" t="n"/>
      <c r="N23" s="14" t="n"/>
      <c r="O23" s="15">
        <f>SUM(D23:N23)</f>
        <v/>
      </c>
      <c r="P23" s="14" t="n">
        <v>3</v>
      </c>
      <c r="Q23" s="16">
        <f>O23-P23</f>
        <v/>
      </c>
      <c r="R23" s="17" t="inlineStr">
        <is>
          <t>Planta de SE-S-02: símbolos dibujados; leyenda: 3</t>
        </is>
      </c>
    </row>
    <row r="24">
      <c r="A24" s="10" t="inlineStr">
        <is>
          <t>04.04</t>
        </is>
      </c>
      <c r="B24" s="5" t="inlineStr">
        <is>
          <t>SEÑAL DE SERVICIOS HIGIÉNICOS VARÓN CON BRAILLE</t>
        </is>
      </c>
      <c r="C24" s="10" t="inlineStr">
        <is>
          <t>und</t>
        </is>
      </c>
      <c r="D24" s="14" t="n">
        <v>1</v>
      </c>
      <c r="E24" s="14" t="n"/>
      <c r="F24" s="14" t="n"/>
      <c r="G24" s="14" t="n">
        <v>1</v>
      </c>
      <c r="H24" s="14" t="n"/>
      <c r="I24" s="14" t="n"/>
      <c r="J24" s="14" t="n"/>
      <c r="K24" s="14" t="n"/>
      <c r="L24" s="14" t="n">
        <v>1</v>
      </c>
      <c r="M24" s="14" t="n"/>
      <c r="N24" s="14" t="n"/>
      <c r="O24" s="15">
        <f>SUM(D24:N24)</f>
        <v/>
      </c>
      <c r="P24" s="14" t="n">
        <v>3</v>
      </c>
      <c r="Q24" s="16">
        <f>O24-P24</f>
        <v/>
      </c>
      <c r="R24" s="17" t="inlineStr">
        <is>
          <t>Planta de SE-S-02: símbolos dibujados; leyenda: 3</t>
        </is>
      </c>
    </row>
    <row r="25">
      <c r="A25" s="10" t="inlineStr">
        <is>
          <t>04.05</t>
        </is>
      </c>
      <c r="B25" s="5" t="inlineStr">
        <is>
          <t>SEÑAL DE PUNTO ECOLÓGICO CON BRAILLE</t>
        </is>
      </c>
      <c r="C25" s="10" t="inlineStr">
        <is>
          <t>und</t>
        </is>
      </c>
      <c r="D25" s="14" t="n"/>
      <c r="E25" s="14" t="n"/>
      <c r="F25" s="14" t="n"/>
      <c r="G25" s="14" t="n"/>
      <c r="H25" s="14" t="n"/>
      <c r="I25" s="14" t="n"/>
      <c r="J25" s="14" t="n"/>
      <c r="K25" s="14" t="n"/>
      <c r="L25" s="14" t="n"/>
      <c r="M25" s="14" t="n">
        <v>4</v>
      </c>
      <c r="N25" s="14" t="n"/>
      <c r="O25" s="15">
        <f>SUM(D25:N25)</f>
        <v/>
      </c>
      <c r="P25" s="14" t="n">
        <v>0</v>
      </c>
      <c r="Q25" s="16">
        <f>O25-P25</f>
        <v/>
      </c>
      <c r="R25" s="17" t="inlineStr">
        <is>
          <t>Planta de SE-S-02: símbolos dibujados; leyenda: 0</t>
        </is>
      </c>
    </row>
    <row r="26">
      <c r="A26" s="7" t="inlineStr">
        <is>
          <t>05</t>
        </is>
      </c>
      <c r="B26" s="2" t="inlineStr">
        <is>
          <t>EQUIPOS DE PROTECCIÓN CONTRA INCENDIO Y EMERGENCIA</t>
        </is>
      </c>
      <c r="C26" s="4" t="n"/>
      <c r="D26" s="4" t="n"/>
      <c r="E26" s="4" t="n"/>
      <c r="F26" s="4" t="n"/>
      <c r="G26" s="4" t="n"/>
      <c r="H26" s="4" t="n"/>
      <c r="I26" s="4" t="n"/>
      <c r="J26" s="4" t="n"/>
      <c r="K26" s="4" t="n"/>
      <c r="L26" s="4" t="n"/>
      <c r="M26" s="4" t="n"/>
      <c r="N26" s="4" t="n"/>
      <c r="O26" s="4" t="n"/>
      <c r="P26" s="4" t="n"/>
      <c r="Q26" s="4" t="n"/>
      <c r="R26" s="4" t="n"/>
    </row>
    <row r="27">
      <c r="A27" s="10" t="inlineStr">
        <is>
          <t>05.01</t>
        </is>
      </c>
      <c r="B27" s="5" t="inlineStr">
        <is>
          <t>EXTINTOR DE POLVO QUÍMICO SECO (PQS) TIPO ABC DE 9 kg</t>
        </is>
      </c>
      <c r="C27" s="10" t="inlineStr">
        <is>
          <t>und</t>
        </is>
      </c>
      <c r="D27" s="14" t="n">
        <v>3</v>
      </c>
      <c r="E27" s="14" t="n">
        <v>4</v>
      </c>
      <c r="F27" s="14" t="n">
        <v>3</v>
      </c>
      <c r="G27" s="14" t="n">
        <v>2</v>
      </c>
      <c r="H27" s="14" t="n">
        <v>4</v>
      </c>
      <c r="I27" s="14" t="n">
        <v>4</v>
      </c>
      <c r="J27" s="14" t="n">
        <v>8</v>
      </c>
      <c r="K27" s="14" t="n">
        <v>4</v>
      </c>
      <c r="L27" s="14" t="n">
        <v>1</v>
      </c>
      <c r="M27" s="14" t="n"/>
      <c r="N27" s="14" t="n"/>
      <c r="O27" s="15">
        <f>SUM(D27:N27)</f>
        <v/>
      </c>
      <c r="P27" s="14" t="n">
        <v>44</v>
      </c>
      <c r="Q27" s="16">
        <f>O27-P27</f>
        <v/>
      </c>
      <c r="R27" s="17" t="inlineStr">
        <is>
          <t>Planta de SE-S-02: símbolos dibujados; leyenda: 44</t>
        </is>
      </c>
    </row>
    <row r="28">
      <c r="A28" s="10" t="inlineStr">
        <is>
          <t>05.02</t>
        </is>
      </c>
      <c r="B28" s="5" t="inlineStr">
        <is>
          <t>UNIDAD DE LUCES DE EMERGENCIA</t>
        </is>
      </c>
      <c r="C28" s="10" t="inlineStr">
        <is>
          <t>und</t>
        </is>
      </c>
      <c r="D28" s="14" t="n">
        <v>16</v>
      </c>
      <c r="E28" s="14" t="n">
        <v>2</v>
      </c>
      <c r="F28" s="14" t="n">
        <v>9</v>
      </c>
      <c r="G28" s="14" t="n">
        <v>20</v>
      </c>
      <c r="H28" s="14" t="n">
        <v>18</v>
      </c>
      <c r="I28" s="14" t="n">
        <v>12</v>
      </c>
      <c r="J28" s="14" t="n">
        <v>21</v>
      </c>
      <c r="K28" s="14" t="n">
        <v>12</v>
      </c>
      <c r="L28" s="14" t="n">
        <v>5</v>
      </c>
      <c r="M28" s="14" t="n"/>
      <c r="N28" s="14" t="n"/>
      <c r="O28" s="15">
        <f>SUM(D28:N28)</f>
        <v/>
      </c>
      <c r="P28" s="14" t="n">
        <v>77</v>
      </c>
      <c r="Q28" s="16">
        <f>O28-P28</f>
        <v/>
      </c>
      <c r="R28" s="17" t="inlineStr">
        <is>
          <t>Planta de SE-S-02: símbolos dibujados (77 "LE" + 38 "A$C7A2016C2"); leyenda: 77</t>
        </is>
      </c>
    </row>
    <row r="29">
      <c r="A29" s="10" t="inlineStr">
        <is>
          <t>05.03</t>
        </is>
      </c>
      <c r="B29" s="5" t="inlineStr">
        <is>
          <t>DETECTOR DE HUMO</t>
        </is>
      </c>
      <c r="C29" s="10" t="inlineStr">
        <is>
          <t>und</t>
        </is>
      </c>
      <c r="D29" s="14" t="n">
        <v>13</v>
      </c>
      <c r="E29" s="14" t="n">
        <v>2</v>
      </c>
      <c r="F29" s="14" t="n">
        <v>5</v>
      </c>
      <c r="G29" s="14" t="n">
        <v>9</v>
      </c>
      <c r="H29" s="14" t="n">
        <v>12</v>
      </c>
      <c r="I29" s="14" t="n">
        <v>6</v>
      </c>
      <c r="J29" s="14" t="n">
        <v>12</v>
      </c>
      <c r="K29" s="14" t="n">
        <v>6</v>
      </c>
      <c r="L29" s="14" t="n">
        <v>1</v>
      </c>
      <c r="M29" s="14" t="n">
        <v>1</v>
      </c>
      <c r="N29" s="14" t="n"/>
      <c r="O29" s="15">
        <f>SUM(D29:N29)</f>
        <v/>
      </c>
      <c r="P29" s="14" t="n">
        <v>68</v>
      </c>
      <c r="Q29" s="16">
        <f>O29-P29</f>
        <v/>
      </c>
      <c r="R29" s="17" t="inlineStr">
        <is>
          <t>Planta de SE-S-02: símbolos dibujados; 1 copia fuera del terreno no se metra; leyenda: 68</t>
        </is>
      </c>
    </row>
    <row r="30">
      <c r="A30" s="18" t="n"/>
      <c r="B30" s="19" t="inlineStr">
        <is>
          <t>TOTAL DE SEÑALES Y EQUIPOS</t>
        </is>
      </c>
      <c r="C30" s="18" t="n"/>
      <c r="D30" s="15">
        <f>SUM(D11:D29)</f>
        <v/>
      </c>
      <c r="E30" s="15">
        <f>SUM(E11:E29)</f>
        <v/>
      </c>
      <c r="F30" s="15">
        <f>SUM(F11:F29)</f>
        <v/>
      </c>
      <c r="G30" s="15">
        <f>SUM(G11:G29)</f>
        <v/>
      </c>
      <c r="H30" s="15">
        <f>SUM(H11:H29)</f>
        <v/>
      </c>
      <c r="I30" s="15">
        <f>SUM(I11:I29)</f>
        <v/>
      </c>
      <c r="J30" s="15">
        <f>SUM(J11:J29)</f>
        <v/>
      </c>
      <c r="K30" s="15">
        <f>SUM(K11:K29)</f>
        <v/>
      </c>
      <c r="L30" s="15">
        <f>SUM(L11:L29)</f>
        <v/>
      </c>
      <c r="M30" s="15">
        <f>SUM(M11:M29)</f>
        <v/>
      </c>
      <c r="N30" s="15">
        <f>SUM(N11:N29)</f>
        <v/>
      </c>
      <c r="O30" s="15">
        <f>SUM(O11:O29)</f>
        <v/>
      </c>
      <c r="P30" s="18" t="n"/>
      <c r="Q30" s="18" t="n"/>
      <c r="R30" s="18" t="n"/>
    </row>
    <row r="32" ht="12" customHeight="1">
      <c r="A32" s="20" t="inlineStr">
        <is>
          <t>Notas:</t>
        </is>
      </c>
    </row>
    <row r="33" ht="26" customHeight="1">
      <c r="A33" s="21" t="inlineStr">
        <is>
          <t>1. Cantidad por edificación: cada símbolo de la planta de la lámina SE-S-02 se asigna a la edificación donde está (contorno del bloque de la planta general, con 0.60 m de margen para las señales de fachada; donde los contornos se traslapan en los aleros, la edificación que lo contiene con más holgura); EXT = exteriores (garita de control, patios, estacionamientos, puntos ecológicos y circulaciones). No se metran las copias de símbolos que están fuera del terreno.</t>
        </is>
      </c>
    </row>
    <row r="34" ht="26" customHeight="1">
      <c r="A34" s="21" t="inlineStr">
        <is>
          <t>2. Atención riesgo eléctrico: en el DXF es una imagen pegada (OLE) que no exporta su ubicación; se metran las 39 imágenes de igual tamaño del espacio modelo (la leyenda indica 38), con el reparto por edificación del metrado de evacuación de arquitectura, que suma lo mismo. Se instalan en los tableros y ambientes eléctricos que indica la lámina.</t>
        </is>
      </c>
    </row>
    <row r="35" ht="26" customHeight="1">
      <c r="A35" s="21" t="inlineStr">
        <is>
          <t>3. Unidad de luces de emergencia: los bloques "LE" (77) y "A$C7A2016C2" (38) son el mismo símbolo de la leyenda (el primero contiene al segundo); se suman los dos: 115 und. La leyenda indica 77.</t>
        </is>
      </c>
    </row>
    <row r="36" ht="26" customHeight="1">
      <c r="A36" s="21" t="inlineStr">
        <is>
          <t>4. Extintores: uno por cada señal de ubicación de extintor de la planta (33), PQS tipo ABC de 9 kg.</t>
        </is>
      </c>
    </row>
    <row r="37" ht="26" customHeight="1">
      <c r="A37" s="21" t="inlineStr">
        <is>
          <t>5. DIFERENCIA = metrado - leyenda: las filas distintas de "conforme" son correcciones a la leyenda del plano (nota de observaciones de señalización).</t>
        </is>
      </c>
    </row>
    <row r="38" ht="26" customHeight="1">
      <c r="A38" s="21" t="inlineStr">
        <is>
          <t>6. Unidades de luces de emergencia y detectores de humo: su conexión y circuitos son de instalaciones eléctricas.</t>
        </is>
      </c>
    </row>
  </sheetData>
  <mergeCells count="27">
    <mergeCell ref="B4:R4"/>
    <mergeCell ref="B26:R26"/>
    <mergeCell ref="P9:P10"/>
    <mergeCell ref="B7:R7"/>
    <mergeCell ref="B16:R16"/>
    <mergeCell ref="A37:R37"/>
    <mergeCell ref="B3:R3"/>
    <mergeCell ref="C9:C10"/>
    <mergeCell ref="B18:R18"/>
    <mergeCell ref="A33:R33"/>
    <mergeCell ref="Q9:Q10"/>
    <mergeCell ref="A32:R32"/>
    <mergeCell ref="B2:R2"/>
    <mergeCell ref="B11:R11"/>
    <mergeCell ref="A35:R35"/>
    <mergeCell ref="B9:B10"/>
    <mergeCell ref="A38:R38"/>
    <mergeCell ref="N9:N10"/>
    <mergeCell ref="A34:R34"/>
    <mergeCell ref="R9:R10"/>
    <mergeCell ref="A9:A10"/>
    <mergeCell ref="O9:O10"/>
    <mergeCell ref="B6:R6"/>
    <mergeCell ref="A36:R36"/>
    <mergeCell ref="B20:R20"/>
    <mergeCell ref="A1:R1"/>
    <mergeCell ref="B5:R5"/>
  </mergeCells>
  <pageMargins left="0.4" right="0.4" top="0.5" bottom="0.5"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G37"/>
  <sheetViews>
    <sheetView showGridLines="0" workbookViewId="0">
      <selection activeCell="A1" sqref="A1"/>
    </sheetView>
  </sheetViews>
  <sheetFormatPr baseColWidth="8" defaultRowHeight="15"/>
  <cols>
    <col width="5" customWidth="1" min="1" max="1"/>
    <col width="50" customWidth="1" min="2" max="2"/>
    <col width="10" customWidth="1" min="3" max="3"/>
    <col width="11" customWidth="1" min="4" max="4"/>
    <col width="11" customWidth="1" min="5" max="5"/>
    <col width="11" customWidth="1" min="6" max="6"/>
    <col width="48" customWidth="1" min="7" max="7"/>
  </cols>
  <sheetData>
    <row r="1" ht="24" customHeight="1">
      <c r="A1" s="1" t="inlineStr">
        <is>
          <t>COTEJO DE LA LEYENDA DE LA LÁMINA SE-S-02 CON LA PLANTA</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c r="F2" s="4" t="n"/>
      <c r="G2" s="4" t="n"/>
    </row>
    <row r="3">
      <c r="A3" s="2" t="inlineStr">
        <is>
          <t>CUI</t>
        </is>
      </c>
      <c r="B3" s="5" t="inlineStr">
        <is>
          <t>N.° 2675514</t>
        </is>
      </c>
      <c r="C3" s="4" t="n"/>
      <c r="D3" s="4" t="n"/>
      <c r="E3" s="4" t="n"/>
      <c r="F3" s="4" t="n"/>
      <c r="G3" s="4" t="n"/>
    </row>
    <row r="4">
      <c r="A4" s="2" t="inlineStr">
        <is>
          <t>ESPECIALIDAD</t>
        </is>
      </c>
      <c r="B4" s="5" t="inlineStr">
        <is>
          <t>ARQUITECTURA - SEÑALIZACIÓN Y SEGURIDAD</t>
        </is>
      </c>
      <c r="C4" s="4" t="n"/>
      <c r="D4" s="4" t="n"/>
      <c r="E4" s="4" t="n"/>
      <c r="F4" s="4" t="n"/>
      <c r="G4" s="4" t="n"/>
    </row>
    <row r="5">
      <c r="A5" s="2" t="inlineStr">
        <is>
          <t>UBICACIÓN</t>
        </is>
      </c>
      <c r="B5" s="5" t="inlineStr">
        <is>
          <t>Distrito de Morales, provincia y departamento de San Martín</t>
        </is>
      </c>
      <c r="C5" s="4" t="n"/>
      <c r="D5" s="4" t="n"/>
      <c r="E5" s="4" t="n"/>
      <c r="F5" s="4" t="n"/>
      <c r="G5" s="4" t="n"/>
    </row>
    <row r="6">
      <c r="A6" s="2" t="inlineStr">
        <is>
          <t>LÁMINAS</t>
        </is>
      </c>
      <c r="B6" s="5" t="inlineStr">
        <is>
          <t>SE-E-01 Planta general de evacuación (esc. 1/150) y SE-S-02 Planta general de señalización (esc. 1/150)</t>
        </is>
      </c>
      <c r="C6" s="4" t="n"/>
      <c r="D6" s="4" t="n"/>
      <c r="E6" s="4" t="n"/>
      <c r="F6" s="4" t="n"/>
      <c r="G6" s="4" t="n"/>
    </row>
    <row r="7">
      <c r="A7" s="2" t="inlineStr">
        <is>
          <t>FECHA</t>
        </is>
      </c>
      <c r="B7" s="5" t="inlineStr">
        <is>
          <t>OCTUBRE 2026</t>
        </is>
      </c>
      <c r="C7" s="4" t="n"/>
      <c r="D7" s="4" t="n"/>
      <c r="E7" s="4" t="n"/>
      <c r="F7" s="4" t="n"/>
      <c r="G7" s="4" t="n"/>
    </row>
    <row r="9">
      <c r="A9" s="6" t="inlineStr">
        <is>
          <t>N.°</t>
        </is>
      </c>
      <c r="B9" s="6" t="inlineStr">
        <is>
          <t>FILA DE LA LEYENDA (TEXTO DEL PLANO)</t>
        </is>
      </c>
      <c r="C9" s="6" t="inlineStr">
        <is>
          <t>ALTURA EN LA LEYENDA</t>
        </is>
      </c>
      <c r="D9" s="6" t="inlineStr">
        <is>
          <t>CANTIDAD EN LA LEYENDA</t>
        </is>
      </c>
      <c r="E9" s="6" t="inlineStr">
        <is>
          <t>DIBUJADO EN LA PLANTA</t>
        </is>
      </c>
      <c r="F9" s="6" t="inlineStr">
        <is>
          <t>DIFERENCIA</t>
        </is>
      </c>
      <c r="G9" s="6" t="inlineStr">
        <is>
          <t>OBSERVACIÓN</t>
        </is>
      </c>
    </row>
    <row r="10">
      <c r="A10" s="10" t="n">
        <v>1</v>
      </c>
      <c r="B10" s="5" t="inlineStr">
        <is>
          <t>SALIDA CON BRAILLE</t>
        </is>
      </c>
      <c r="C10" s="10" t="inlineStr">
        <is>
          <t>2.10</t>
        </is>
      </c>
      <c r="D10" s="14" t="n">
        <v>49</v>
      </c>
      <c r="E10" s="14" t="n">
        <v>49</v>
      </c>
      <c r="F10" s="16">
        <f>E10-D10</f>
        <v/>
      </c>
      <c r="G10" s="17" t="inlineStr">
        <is>
          <t>Conforme.</t>
        </is>
      </c>
    </row>
    <row r="11">
      <c r="A11" s="10" t="n">
        <v>2</v>
      </c>
      <c r="B11" s="5" t="inlineStr">
        <is>
          <t>SEÑALES DE SERVICIOS HIGIENICOS PHD CON BRAILLE</t>
        </is>
      </c>
      <c r="C11" s="10" t="inlineStr">
        <is>
          <t>1.80</t>
        </is>
      </c>
      <c r="D11" s="14" t="n">
        <v>3</v>
      </c>
      <c r="E11" s="14" t="n">
        <v>3</v>
      </c>
      <c r="F11" s="16">
        <f>E11-D11</f>
        <v/>
      </c>
      <c r="G11" s="17" t="inlineStr">
        <is>
          <t>Conforme.</t>
        </is>
      </c>
    </row>
    <row r="12">
      <c r="A12" s="10" t="n">
        <v>3</v>
      </c>
      <c r="B12" s="5" t="inlineStr">
        <is>
          <t>ZONA SEGURA EN CASO DE SISMO CON BRAILLE</t>
        </is>
      </c>
      <c r="C12" s="10" t="inlineStr">
        <is>
          <t>1.80</t>
        </is>
      </c>
      <c r="D12" s="14" t="n">
        <v>210</v>
      </c>
      <c r="E12" s="14" t="n">
        <v>209</v>
      </c>
      <c r="F12" s="16">
        <f>E12-D12</f>
        <v/>
      </c>
      <c r="G12" s="17" t="inlineStr">
        <is>
          <t>Corregir la leyenda a 209 (lo dibujado).</t>
        </is>
      </c>
    </row>
    <row r="13">
      <c r="A13" s="10" t="n">
        <v>4</v>
      </c>
      <c r="B13" s="5" t="inlineStr">
        <is>
          <t>AVISADOR SONORO CON BRAILLE</t>
        </is>
      </c>
      <c r="C13" s="10" t="inlineStr">
        <is>
          <t>2.00</t>
        </is>
      </c>
      <c r="D13" s="14" t="n">
        <v>0</v>
      </c>
      <c r="E13" s="14" t="n">
        <v>0</v>
      </c>
      <c r="F13" s="16">
        <f>E13-D13</f>
        <v/>
      </c>
      <c r="G13" s="17" t="inlineStr">
        <is>
          <t>Sin símbolos en la planta; no se metra.</t>
        </is>
      </c>
    </row>
    <row r="14">
      <c r="A14" s="10" t="n">
        <v>5</v>
      </c>
      <c r="B14" s="5" t="inlineStr">
        <is>
          <t>ESCALERA DE SALIDA CON BRAILLE</t>
        </is>
      </c>
      <c r="C14" s="10" t="inlineStr">
        <is>
          <t>1.80</t>
        </is>
      </c>
      <c r="D14" s="14" t="n">
        <v>0</v>
      </c>
      <c r="E14" s="14" t="n">
        <v>0</v>
      </c>
      <c r="F14" s="16">
        <f>E14-D14</f>
        <v/>
      </c>
      <c r="G14" s="17" t="inlineStr">
        <is>
          <t>Sin símbolos en la planta; no se metra.</t>
        </is>
      </c>
    </row>
    <row r="15">
      <c r="A15" s="10" t="n">
        <v>6</v>
      </c>
      <c r="B15" s="5" t="inlineStr">
        <is>
          <t>SEÑALES DE SERVICIOS HIGIENICOS MIXTO CON BRAILLE</t>
        </is>
      </c>
      <c r="C15" s="10" t="inlineStr">
        <is>
          <t>1.80</t>
        </is>
      </c>
      <c r="D15" s="14" t="n">
        <v>20</v>
      </c>
      <c r="E15" s="14" t="n">
        <v>20</v>
      </c>
      <c r="F15" s="16">
        <f>E15-D15</f>
        <v/>
      </c>
      <c r="G15" s="17" t="inlineStr">
        <is>
          <t>Conforme.</t>
        </is>
      </c>
    </row>
    <row r="16">
      <c r="A16" s="10" t="n">
        <v>7</v>
      </c>
      <c r="B16" s="5" t="inlineStr">
        <is>
          <t>SEÑALES DE SERVICIOS HIGIENICOS MUJER CON BRAILLE</t>
        </is>
      </c>
      <c r="C16" s="10" t="inlineStr">
        <is>
          <t>1.80</t>
        </is>
      </c>
      <c r="D16" s="14" t="n">
        <v>3</v>
      </c>
      <c r="E16" s="14" t="n">
        <v>3</v>
      </c>
      <c r="F16" s="16">
        <f>E16-D16</f>
        <v/>
      </c>
      <c r="G16" s="17" t="inlineStr">
        <is>
          <t>Conforme.</t>
        </is>
      </c>
    </row>
    <row r="17">
      <c r="A17" s="10" t="n">
        <v>8</v>
      </c>
      <c r="B17" s="5" t="inlineStr">
        <is>
          <t>SEÑALES DE SERVICIOS HIGIENICOS VARÓN CON BRAILLE</t>
        </is>
      </c>
      <c r="C17" s="10" t="inlineStr">
        <is>
          <t>1.80</t>
        </is>
      </c>
      <c r="D17" s="14" t="n">
        <v>3</v>
      </c>
      <c r="E17" s="14" t="n">
        <v>3</v>
      </c>
      <c r="F17" s="16">
        <f>E17-D17</f>
        <v/>
      </c>
      <c r="G17" s="17" t="inlineStr">
        <is>
          <t>Conforme.</t>
        </is>
      </c>
    </row>
    <row r="18">
      <c r="A18" s="10" t="n">
        <v>9</v>
      </c>
      <c r="B18" s="5" t="inlineStr">
        <is>
          <t>SEÑAL DE UBICACIÓN DE EXTINTOR PQS CON BRAILLE</t>
        </is>
      </c>
      <c r="C18" s="10" t="inlineStr">
        <is>
          <t>1.20</t>
        </is>
      </c>
      <c r="D18" s="14" t="n">
        <v>44</v>
      </c>
      <c r="E18" s="14" t="n">
        <v>33</v>
      </c>
      <c r="F18" s="16">
        <f>E18-D18</f>
        <v/>
      </c>
      <c r="G18" s="17" t="inlineStr">
        <is>
          <t>Corregir la leyenda a 33 (lo dibujado).</t>
        </is>
      </c>
    </row>
    <row r="19">
      <c r="A19" s="10" t="n">
        <v>10</v>
      </c>
      <c r="B19" s="5" t="inlineStr">
        <is>
          <t>SEÑAL DE UBICACIÓN DE EXTINTOR CO2 CON BRAILLE</t>
        </is>
      </c>
      <c r="C19" s="10" t="inlineStr">
        <is>
          <t>1.20</t>
        </is>
      </c>
      <c r="D19" s="14" t="n">
        <v>0</v>
      </c>
      <c r="E19" s="14" t="n">
        <v>0</v>
      </c>
      <c r="F19" s="16">
        <f>E19-D19</f>
        <v/>
      </c>
      <c r="G19" s="17" t="inlineStr">
        <is>
          <t>Sin símbolos en la planta; no se metra.</t>
        </is>
      </c>
    </row>
    <row r="20">
      <c r="A20" s="10" t="n">
        <v>11</v>
      </c>
      <c r="B20" s="5" t="inlineStr">
        <is>
          <t>SEÑAL DE UBICACIÓN DE EXTINTOR K CON BRAILLE</t>
        </is>
      </c>
      <c r="C20" s="10" t="inlineStr">
        <is>
          <t>1.20</t>
        </is>
      </c>
      <c r="D20" s="14" t="n">
        <v>0</v>
      </c>
      <c r="E20" s="14" t="n">
        <v>0</v>
      </c>
      <c r="F20" s="16">
        <f>E20-D20</f>
        <v/>
      </c>
      <c r="G20" s="17" t="inlineStr">
        <is>
          <t>Sin símbolos en la planta; no se metra.</t>
        </is>
      </c>
    </row>
    <row r="21">
      <c r="A21" s="10" t="n">
        <v>12</v>
      </c>
      <c r="B21" s="5" t="inlineStr">
        <is>
          <t>ALARMA CONTRA INCEDIOS CON BRAILLE</t>
        </is>
      </c>
      <c r="C21" s="10" t="inlineStr">
        <is>
          <t>1.80</t>
        </is>
      </c>
      <c r="D21" s="14" t="n">
        <v>0</v>
      </c>
      <c r="E21" s="14" t="n">
        <v>0</v>
      </c>
      <c r="F21" s="16">
        <f>E21-D21</f>
        <v/>
      </c>
      <c r="G21" s="17" t="inlineStr">
        <is>
          <t>Sin símbolos en la planta; no se metra.</t>
        </is>
      </c>
    </row>
    <row r="22">
      <c r="A22" s="10" t="n">
        <v>13</v>
      </c>
      <c r="B22" s="5" t="inlineStr">
        <is>
          <t>DETECTOR DE HUMO</t>
        </is>
      </c>
      <c r="C22" s="10" t="inlineStr">
        <is>
          <t>TECHO</t>
        </is>
      </c>
      <c r="D22" s="14" t="n">
        <v>68</v>
      </c>
      <c r="E22" s="14" t="n">
        <v>67</v>
      </c>
      <c r="F22" s="16">
        <f>E22-D22</f>
        <v/>
      </c>
      <c r="G22" s="17" t="inlineStr">
        <is>
          <t>Corregir la leyenda a 67 (lo dibujado).</t>
        </is>
      </c>
    </row>
    <row r="23">
      <c r="A23" s="10" t="n">
        <v>14</v>
      </c>
      <c r="B23" s="5" t="inlineStr">
        <is>
          <t>BARRA ANTIPÁNICO CON BRAILLE</t>
        </is>
      </c>
      <c r="C23" s="10" t="inlineStr">
        <is>
          <t>PUERTA</t>
        </is>
      </c>
      <c r="D23" s="14" t="n">
        <v>0</v>
      </c>
      <c r="E23" s="14" t="n">
        <v>0</v>
      </c>
      <c r="F23" s="16">
        <f>E23-D23</f>
        <v/>
      </c>
      <c r="G23" s="17" t="inlineStr">
        <is>
          <t>Sin símbolos en la planta; no se metra.</t>
        </is>
      </c>
    </row>
    <row r="24">
      <c r="A24" s="10" t="n">
        <v>15</v>
      </c>
      <c r="B24" s="5" t="inlineStr">
        <is>
          <t>UNIDAD DE LUCES DE EMERGENCIA CON BRAILLE</t>
        </is>
      </c>
      <c r="C24" s="10" t="inlineStr">
        <is>
          <t>2.10</t>
        </is>
      </c>
      <c r="D24" s="14" t="n">
        <v>77</v>
      </c>
      <c r="E24" s="14" t="n">
        <v>115</v>
      </c>
      <c r="F24" s="16">
        <f>E24-D24</f>
        <v/>
      </c>
      <c r="G24" s="17" t="inlineStr">
        <is>
          <t>Corregir la leyenda a 115 (lo dibujado).</t>
        </is>
      </c>
    </row>
    <row r="25">
      <c r="A25" s="10" t="n">
        <v>16</v>
      </c>
      <c r="B25" s="5" t="inlineStr">
        <is>
          <t>BOTIQUIN PRIMEROS AUXILIOS CON BRAILLE</t>
        </is>
      </c>
      <c r="C25" s="10" t="inlineStr">
        <is>
          <t>1.80</t>
        </is>
      </c>
      <c r="D25" s="14" t="n">
        <v>0</v>
      </c>
      <c r="E25" s="14" t="n">
        <v>0</v>
      </c>
      <c r="F25" s="16">
        <f>E25-D25</f>
        <v/>
      </c>
      <c r="G25" s="17" t="inlineStr">
        <is>
          <t>Sin símbolos en la planta; no se metra.</t>
        </is>
      </c>
    </row>
    <row r="26">
      <c r="A26" s="10" t="n">
        <v>17</v>
      </c>
      <c r="B26" s="5" t="inlineStr">
        <is>
          <t>ATENCIÓN RIESGO ELECTRICO CON BRAILLE</t>
        </is>
      </c>
      <c r="C26" s="10" t="inlineStr">
        <is>
          <t>1.10</t>
        </is>
      </c>
      <c r="D26" s="14" t="n">
        <v>38</v>
      </c>
      <c r="E26" s="14" t="n">
        <v>39</v>
      </c>
      <c r="F26" s="16">
        <f>E26-D26</f>
        <v/>
      </c>
      <c r="G26" s="17" t="inlineStr">
        <is>
          <t>Imagen pegada (OLE): 39 imágenes en el espacio modelo, sin ubicación.</t>
        </is>
      </c>
    </row>
    <row r="27">
      <c r="A27" s="10" t="n">
        <v>18</v>
      </c>
      <c r="B27" s="5" t="inlineStr">
        <is>
          <t>RIESGO DE DESCARGA ELECTRICA CON BRAILLE</t>
        </is>
      </c>
      <c r="C27" s="10" t="inlineStr">
        <is>
          <t>1.10</t>
        </is>
      </c>
      <c r="D27" s="14" t="n">
        <v>0</v>
      </c>
      <c r="E27" s="14" t="n">
        <v>0</v>
      </c>
      <c r="F27" s="16">
        <f>E27-D27</f>
        <v/>
      </c>
      <c r="G27" s="17" t="inlineStr">
        <is>
          <t>Sin símbolos en la planta; no se metra.</t>
        </is>
      </c>
    </row>
    <row r="28">
      <c r="A28" s="10" t="n">
        <v>19</v>
      </c>
      <c r="B28" s="5" t="inlineStr">
        <is>
          <t>PROHIBIDO EL INGRESO SOLO PERSONAL AUTORIZADO CON BRAILLE</t>
        </is>
      </c>
      <c r="C28" s="10" t="inlineStr">
        <is>
          <t>1.10</t>
        </is>
      </c>
      <c r="D28" s="14" t="n">
        <v>0</v>
      </c>
      <c r="E28" s="14" t="n">
        <v>0</v>
      </c>
      <c r="F28" s="16">
        <f>E28-D28</f>
        <v/>
      </c>
      <c r="G28" s="17" t="inlineStr">
        <is>
          <t>Sin símbolos en la planta; no se metra.</t>
        </is>
      </c>
    </row>
    <row r="29">
      <c r="A29" s="10" t="n">
        <v>20</v>
      </c>
      <c r="B29" s="5" t="inlineStr">
        <is>
          <t>SENSOR DE TEMPERATURA CON BRAILLE</t>
        </is>
      </c>
      <c r="C29" s="10" t="inlineStr">
        <is>
          <t>TECHO</t>
        </is>
      </c>
      <c r="D29" s="14" t="n">
        <v>0</v>
      </c>
      <c r="E29" s="14" t="n">
        <v>0</v>
      </c>
      <c r="F29" s="16">
        <f>E29-D29</f>
        <v/>
      </c>
      <c r="G29" s="17" t="inlineStr">
        <is>
          <t>Sin símbolos en la planta; no se metra.</t>
        </is>
      </c>
    </row>
    <row r="30">
      <c r="A30" s="10" t="n">
        <v>21</v>
      </c>
      <c r="B30" s="5" t="inlineStr">
        <is>
          <t>PUNTO ECOLÓGICO CON BRAILLE</t>
        </is>
      </c>
      <c r="C30" s="10" t="inlineStr">
        <is>
          <t>—</t>
        </is>
      </c>
      <c r="D30" s="14" t="n">
        <v>0</v>
      </c>
      <c r="E30" s="14" t="n">
        <v>4</v>
      </c>
      <c r="F30" s="16">
        <f>E30-D30</f>
        <v/>
      </c>
      <c r="G30" s="17" t="inlineStr">
        <is>
          <t>Corregir la leyenda a 4 (lo dibujado).</t>
        </is>
      </c>
    </row>
    <row r="31">
      <c r="A31" s="10" t="n">
        <v>22</v>
      </c>
      <c r="B31" s="5" t="inlineStr">
        <is>
          <t>POZO A TIERRA CON BRAILLE</t>
        </is>
      </c>
      <c r="C31" s="10" t="inlineStr">
        <is>
          <t>Suelo</t>
        </is>
      </c>
      <c r="D31" s="14" t="n">
        <v>0</v>
      </c>
      <c r="E31" s="14" t="n">
        <v>0</v>
      </c>
      <c r="F31" s="16">
        <f>E31-D31</f>
        <v/>
      </c>
      <c r="G31" s="17" t="inlineStr">
        <is>
          <t>Sin símbolos en la planta; no se metra.</t>
        </is>
      </c>
    </row>
    <row r="32">
      <c r="A32" s="10" t="n">
        <v>23</v>
      </c>
      <c r="B32" s="5" t="inlineStr">
        <is>
          <t>CENTRAL DE ALARMA CONTRA INCENDIO CON BRAILLE</t>
        </is>
      </c>
      <c r="C32" s="10" t="inlineStr">
        <is>
          <t>1.10</t>
        </is>
      </c>
      <c r="D32" s="14" t="n">
        <v>0</v>
      </c>
      <c r="E32" s="14" t="n">
        <v>0</v>
      </c>
      <c r="F32" s="16">
        <f>E32-D32</f>
        <v/>
      </c>
      <c r="G32" s="17" t="inlineStr">
        <is>
          <t>Sin símbolos en la planta; no se metra.</t>
        </is>
      </c>
    </row>
    <row r="33">
      <c r="A33" s="10" t="n">
        <v>24</v>
      </c>
      <c r="B33" s="5" t="inlineStr">
        <is>
          <t>ZONA DE REUNIONES CON BRAILLE</t>
        </is>
      </c>
      <c r="C33" s="10" t="inlineStr">
        <is>
          <t>EN PISO</t>
        </is>
      </c>
      <c r="D33" s="14" t="n">
        <v>0</v>
      </c>
      <c r="E33" s="14" t="n">
        <v>0</v>
      </c>
      <c r="F33" s="16">
        <f>E33-D33</f>
        <v/>
      </c>
      <c r="G33" s="17" t="inlineStr">
        <is>
          <t>Sin símbolos en la planta; no se metra.</t>
        </is>
      </c>
    </row>
    <row r="34">
      <c r="A34" s="10" t="n">
        <v>25</v>
      </c>
      <c r="B34" s="5" t="inlineStr">
        <is>
          <t>LETRERO DE AFORO CON BRAILLE</t>
        </is>
      </c>
      <c r="C34" s="10" t="inlineStr">
        <is>
          <t>2.10</t>
        </is>
      </c>
      <c r="D34" s="14" t="n">
        <v>55</v>
      </c>
      <c r="E34" s="14" t="n">
        <v>55</v>
      </c>
      <c r="F34" s="16">
        <f>E34-D34</f>
        <v/>
      </c>
      <c r="G34" s="17" t="inlineStr">
        <is>
          <t>Conforme.</t>
        </is>
      </c>
    </row>
    <row r="35">
      <c r="A35" s="10" t="n">
        <v>26</v>
      </c>
      <c r="B35" s="5" t="inlineStr">
        <is>
          <t>PANEL DE ALARMA CONTRA INCENDIO</t>
        </is>
      </c>
      <c r="C35" s="10" t="inlineStr">
        <is>
          <t>1.10</t>
        </is>
      </c>
      <c r="D35" s="14" t="n">
        <v>0</v>
      </c>
      <c r="E35" s="14" t="n">
        <v>0</v>
      </c>
      <c r="F35" s="16">
        <f>E35-D35</f>
        <v/>
      </c>
      <c r="G35" s="17" t="inlineStr">
        <is>
          <t>Sin símbolos en la planta; no se metra.</t>
        </is>
      </c>
    </row>
    <row r="36">
      <c r="A36" s="10" t="n">
        <v>27</v>
      </c>
      <c r="B36" s="5" t="inlineStr">
        <is>
          <t>DIRECCIÓN DE EVACUACIÓN</t>
        </is>
      </c>
      <c r="C36" s="10" t="inlineStr">
        <is>
          <t>2.10</t>
        </is>
      </c>
      <c r="D36" s="14" t="n">
        <v>63</v>
      </c>
      <c r="E36" s="14" t="n">
        <v>63</v>
      </c>
      <c r="F36" s="16">
        <f>E36-D36</f>
        <v/>
      </c>
      <c r="G36" s="17" t="inlineStr">
        <is>
          <t>Conforme.</t>
        </is>
      </c>
    </row>
    <row r="37">
      <c r="A37" s="18" t="n"/>
      <c r="B37" s="19" t="inlineStr">
        <is>
          <t>TOTAL</t>
        </is>
      </c>
      <c r="C37" s="18" t="n"/>
      <c r="D37" s="15">
        <f>SUM(D10:D36)</f>
        <v/>
      </c>
      <c r="E37" s="15">
        <f>SUM(E10:E36)</f>
        <v/>
      </c>
      <c r="F37" s="15">
        <f>SUM(F10:F36)</f>
        <v/>
      </c>
      <c r="G37" s="18" t="n"/>
    </row>
  </sheetData>
  <mergeCells count="7">
    <mergeCell ref="B3:G3"/>
    <mergeCell ref="B2:G2"/>
    <mergeCell ref="A1:G1"/>
    <mergeCell ref="B5:G5"/>
    <mergeCell ref="B4:G4"/>
    <mergeCell ref="B7:G7"/>
    <mergeCell ref="B6:G6"/>
  </mergeCells>
  <pageMargins left="0.4" right="0.4" top="0.5" bottom="0.5" header="0.5" footer="0.5"/>
  <pageSetup orientation="portrait" paperSize="9" fitToHeight="0" fitToWidth="1"/>
</worksheet>
</file>

<file path=xl/worksheets/sheet4.xml><?xml version="1.0" encoding="utf-8"?>
<worksheet xmlns="http://schemas.openxmlformats.org/spreadsheetml/2006/main">
  <sheetPr>
    <outlinePr summaryBelow="1" summaryRight="1"/>
    <pageSetUpPr fitToPage="1"/>
  </sheetPr>
  <dimension ref="A1:E26"/>
  <sheetViews>
    <sheetView showGridLines="0" workbookViewId="0">
      <selection activeCell="A1" sqref="A1"/>
    </sheetView>
  </sheetViews>
  <sheetFormatPr baseColWidth="8" defaultRowHeight="15"/>
  <cols>
    <col width="40" customWidth="1" min="1" max="1"/>
    <col width="30" customWidth="1" min="2" max="2"/>
    <col width="18" customWidth="1" min="3" max="3"/>
    <col width="12" customWidth="1" min="4" max="4"/>
  </cols>
  <sheetData>
    <row r="1" ht="24" customHeight="1">
      <c r="A1" s="1" t="inlineStr">
        <is>
          <t>POBLACIÓN DEL HOGAR (OCUPANTES PARA LA EVACUACIÓN)</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row>
    <row r="3">
      <c r="A3" s="2" t="inlineStr">
        <is>
          <t>CUI</t>
        </is>
      </c>
      <c r="B3" s="5" t="inlineStr">
        <is>
          <t>N.° 2675514</t>
        </is>
      </c>
      <c r="C3" s="4" t="n"/>
      <c r="D3" s="4" t="n"/>
      <c r="E3" s="4" t="n"/>
    </row>
    <row r="4">
      <c r="A4" s="2" t="inlineStr">
        <is>
          <t>ESPECIALIDAD</t>
        </is>
      </c>
      <c r="B4" s="5" t="inlineStr">
        <is>
          <t>ARQUITECTURA - SEÑALIZACIÓN Y SEGURIDAD</t>
        </is>
      </c>
      <c r="C4" s="4" t="n"/>
      <c r="D4" s="4" t="n"/>
      <c r="E4" s="4" t="n"/>
    </row>
    <row r="5">
      <c r="A5" s="2" t="inlineStr">
        <is>
          <t>UBICACIÓN</t>
        </is>
      </c>
      <c r="B5" s="5" t="inlineStr">
        <is>
          <t>Distrito de Morales, provincia y departamento de San Martín</t>
        </is>
      </c>
      <c r="C5" s="4" t="n"/>
      <c r="D5" s="4" t="n"/>
      <c r="E5" s="4" t="n"/>
    </row>
    <row r="6">
      <c r="A6" s="2" t="inlineStr">
        <is>
          <t>LÁMINAS</t>
        </is>
      </c>
      <c r="B6" s="5" t="inlineStr">
        <is>
          <t>SE-E-01 Planta general de evacuación (esc. 1/150) y SE-S-02 Planta general de señalización (esc. 1/150)</t>
        </is>
      </c>
      <c r="C6" s="4" t="n"/>
      <c r="D6" s="4" t="n"/>
      <c r="E6" s="4" t="n"/>
    </row>
    <row r="7">
      <c r="A7" s="2" t="inlineStr">
        <is>
          <t>FECHA</t>
        </is>
      </c>
      <c r="B7" s="5" t="inlineStr">
        <is>
          <t>OCTUBRE 2026</t>
        </is>
      </c>
      <c r="C7" s="4" t="n"/>
      <c r="D7" s="4" t="n"/>
      <c r="E7" s="4" t="n"/>
    </row>
    <row r="9">
      <c r="A9" s="6" t="inlineStr">
        <is>
          <t>HABITACIÓN</t>
        </is>
      </c>
      <c r="B9" s="6" t="inlineStr">
        <is>
          <t>CANTIDAD</t>
        </is>
      </c>
      <c r="C9" s="6" t="inlineStr">
        <is>
          <t>CAMAS / PLAZAS POR HABITACIÓN</t>
        </is>
      </c>
      <c r="D9" s="6" t="inlineStr">
        <is>
          <t>PLAZAS</t>
        </is>
      </c>
    </row>
    <row r="10">
      <c r="A10" s="5" t="inlineStr">
        <is>
          <t>Habitaciones simples - tipo I</t>
        </is>
      </c>
      <c r="B10" s="14" t="n">
        <v>3</v>
      </c>
      <c r="C10" s="14" t="n">
        <v>3</v>
      </c>
      <c r="D10" s="14">
        <f>B10*C10</f>
        <v/>
      </c>
    </row>
    <row r="11">
      <c r="A11" s="5" t="inlineStr">
        <is>
          <t>Habitaciones simples - tipo II</t>
        </is>
      </c>
      <c r="B11" s="14" t="n">
        <v>3</v>
      </c>
      <c r="C11" s="14" t="n">
        <v>3</v>
      </c>
      <c r="D11" s="14">
        <f>B11*C11</f>
        <v/>
      </c>
    </row>
    <row r="12">
      <c r="A12" s="5" t="inlineStr">
        <is>
          <t>Habitaciones doble - tipo I</t>
        </is>
      </c>
      <c r="B12" s="14" t="n">
        <v>3</v>
      </c>
      <c r="C12" s="14" t="n">
        <v>5</v>
      </c>
      <c r="D12" s="14">
        <f>B12*C12</f>
        <v/>
      </c>
    </row>
    <row r="13">
      <c r="A13" s="5" t="inlineStr">
        <is>
          <t>Habitaciones doble - tipo II</t>
        </is>
      </c>
      <c r="B13" s="14" t="n">
        <v>7</v>
      </c>
      <c r="C13" s="14" t="n">
        <v>5</v>
      </c>
      <c r="D13" s="14">
        <f>B13*C13</f>
        <v/>
      </c>
    </row>
    <row r="14">
      <c r="A14" s="5" t="inlineStr">
        <is>
          <t>Habitaciones triple - tipo I</t>
        </is>
      </c>
      <c r="B14" s="14" t="n">
        <v>3</v>
      </c>
      <c r="C14" s="14" t="n">
        <v>7</v>
      </c>
      <c r="D14" s="14">
        <f>B14*C14</f>
        <v/>
      </c>
    </row>
    <row r="15">
      <c r="A15" s="5" t="inlineStr">
        <is>
          <t>Habitaciones triple - tipo II</t>
        </is>
      </c>
      <c r="B15" s="14" t="n">
        <v>3</v>
      </c>
      <c r="C15" s="14" t="n">
        <v>7</v>
      </c>
      <c r="D15" s="14">
        <f>B15*C15</f>
        <v/>
      </c>
    </row>
    <row r="16">
      <c r="A16" s="5" t="inlineStr">
        <is>
          <t>Habitación especial</t>
        </is>
      </c>
      <c r="B16" s="14" t="n">
        <v>1</v>
      </c>
      <c r="C16" s="14" t="n">
        <v>3</v>
      </c>
      <c r="D16" s="14">
        <f>B16*C16</f>
        <v/>
      </c>
    </row>
    <row r="17">
      <c r="A17" s="19" t="inlineStr">
        <is>
          <t>RESIDENTES (mujeres con sus hijas e hijos)</t>
        </is>
      </c>
      <c r="B17" s="15">
        <f>SUM(B10:B16)</f>
        <v/>
      </c>
      <c r="C17" s="18" t="n"/>
      <c r="D17" s="15">
        <f>SUM(D10:D16)</f>
        <v/>
      </c>
    </row>
    <row r="19">
      <c r="A19" s="6" t="inlineStr">
        <is>
          <t>POBLACIÓN</t>
        </is>
      </c>
      <c r="B19" s="6" t="inlineStr">
        <is>
          <t>DETALLE</t>
        </is>
      </c>
      <c r="D19" s="6" t="inlineStr">
        <is>
          <t>PERSONAS</t>
        </is>
      </c>
    </row>
    <row r="20">
      <c r="A20" s="5" t="inlineStr">
        <is>
          <t>Residentes</t>
        </is>
      </c>
      <c r="B20" s="5" t="inlineStr">
        <is>
          <t>Plazas de las habitaciones (A.030 art. 5)</t>
        </is>
      </c>
      <c r="C20" s="22" t="n"/>
      <c r="D20" s="14">
        <f>D17</f>
        <v/>
      </c>
    </row>
    <row r="21">
      <c r="A21" s="5" t="inlineStr">
        <is>
          <t>Personal</t>
        </is>
      </c>
      <c r="B21" s="5" t="inlineStr">
        <is>
          <t>Administrativo, atención especializada, mantenimiento y vigilancia</t>
        </is>
      </c>
      <c r="C21" s="22" t="n"/>
      <c r="D21" s="14" t="n">
        <v>62</v>
      </c>
    </row>
    <row r="22">
      <c r="A22" s="19" t="inlineStr">
        <is>
          <t>Permanentes</t>
        </is>
      </c>
      <c r="B22" s="19" t="inlineStr">
        <is>
          <t>Residentes + personal</t>
        </is>
      </c>
      <c r="C22" s="22" t="n"/>
      <c r="D22" s="15">
        <f>D20+D21</f>
        <v/>
      </c>
    </row>
    <row r="23">
      <c r="A23" s="5" t="inlineStr">
        <is>
          <t>Temporales</t>
        </is>
      </c>
      <c r="B23" s="5" t="inlineStr">
        <is>
          <t>Visitas, talleres, sala de reuniones y personal eventual</t>
        </is>
      </c>
      <c r="C23" s="22" t="n"/>
      <c r="D23" s="14" t="n">
        <v>130</v>
      </c>
    </row>
    <row r="24">
      <c r="A24" s="19" t="inlineStr">
        <is>
          <t>CAPACIDAD MÁXIMA</t>
        </is>
      </c>
      <c r="B24" s="19" t="inlineStr">
        <is>
          <t>Permanentes + temporales</t>
        </is>
      </c>
      <c r="C24" s="22" t="n"/>
      <c r="D24" s="15">
        <f>D22+D23</f>
        <v/>
      </c>
    </row>
    <row r="26" ht="26" customHeight="1">
      <c r="A26" s="21" t="inlineStr">
        <is>
          <t>Fuente: residentes = tabla de plazas de la memoria descriptiva de arquitectura (23 habitaciones); personal y temporales = memoria de evacuación de arquitectura del hogar.</t>
        </is>
      </c>
    </row>
  </sheetData>
  <mergeCells count="13">
    <mergeCell ref="B21:C21"/>
    <mergeCell ref="B24:C24"/>
    <mergeCell ref="B4:E4"/>
    <mergeCell ref="B20:C20"/>
    <mergeCell ref="B6:E6"/>
    <mergeCell ref="A26:D26"/>
    <mergeCell ref="B23:C23"/>
    <mergeCell ref="B7:E7"/>
    <mergeCell ref="A1:E1"/>
    <mergeCell ref="B22:C22"/>
    <mergeCell ref="B3:E3"/>
    <mergeCell ref="B5:E5"/>
    <mergeCell ref="B2:E2"/>
  </mergeCells>
  <pageMargins left="0.4" right="0.4" top="0.5" bottom="0.5" header="0.5" footer="0.5"/>
  <pageSetup orientation="portrait" paperSize="9" fitToHeight="0" fitToWidth="1"/>
</worksheet>
</file>

<file path=xl/worksheets/sheet5.xml><?xml version="1.0" encoding="utf-8"?>
<worksheet xmlns="http://schemas.openxmlformats.org/spreadsheetml/2006/main">
  <sheetPr>
    <outlinePr summaryBelow="1" summaryRight="1"/>
    <pageSetUpPr fitToPage="1"/>
  </sheetPr>
  <dimension ref="A1:G28"/>
  <sheetViews>
    <sheetView showGridLines="0" workbookViewId="0">
      <selection activeCell="A1" sqref="A1"/>
    </sheetView>
  </sheetViews>
  <sheetFormatPr baseColWidth="8" defaultRowHeight="15"/>
  <cols>
    <col width="7" customWidth="1" min="1" max="1"/>
    <col width="40" customWidth="1" min="2" max="2"/>
    <col width="18" customWidth="1" min="3" max="3"/>
    <col width="40" customWidth="1" min="4" max="4"/>
    <col width="12" customWidth="1" min="5" max="5"/>
    <col width="11" customWidth="1" min="6" max="6"/>
    <col width="48" customWidth="1" min="7" max="7"/>
  </cols>
  <sheetData>
    <row r="1" ht="24" customHeight="1">
      <c r="A1" s="1" t="inlineStr">
        <is>
          <t>CARACTERÍSTICAS DE LAS SEÑALES Y EQUIPOS (NTP 399.010-1, RNE A.120 Y A.130)</t>
        </is>
      </c>
    </row>
    <row r="2" ht="36" customHeight="1">
      <c r="A2" s="2" t="inlineStr">
        <is>
          <t>PROYECTO</t>
        </is>
      </c>
      <c r="B2" s="3" t="inlineStr">
        <is>
          <t>“CREACIÓN DEL SERVICIO DE PROTECCIÓN A MUJERES VÍCTIMAS DE VIOLENCIA EN SITUACIÓN DE RIESGO DE FEMINICIDIO O PELIGRE SU INTEGRIDAD Y/O SALUD FÍSICA Y/O MENTAL EN HOGAR DE REFUGIO TEMPORAL DISTRITO DE MORALES DE LA PROVINCIA DE SAN MARTÍN DEL DEPARTAMENTO DE SAN MARTÍN”</t>
        </is>
      </c>
      <c r="C2" s="4" t="n"/>
      <c r="D2" s="4" t="n"/>
      <c r="E2" s="4" t="n"/>
      <c r="F2" s="4" t="n"/>
      <c r="G2" s="4" t="n"/>
    </row>
    <row r="3">
      <c r="A3" s="2" t="inlineStr">
        <is>
          <t>CUI</t>
        </is>
      </c>
      <c r="B3" s="5" t="inlineStr">
        <is>
          <t>N.° 2675514</t>
        </is>
      </c>
      <c r="C3" s="4" t="n"/>
      <c r="D3" s="4" t="n"/>
      <c r="E3" s="4" t="n"/>
      <c r="F3" s="4" t="n"/>
      <c r="G3" s="4" t="n"/>
    </row>
    <row r="4">
      <c r="A4" s="2" t="inlineStr">
        <is>
          <t>ESPECIALIDAD</t>
        </is>
      </c>
      <c r="B4" s="5" t="inlineStr">
        <is>
          <t>ARQUITECTURA - SEÑALIZACIÓN Y SEGURIDAD</t>
        </is>
      </c>
      <c r="C4" s="4" t="n"/>
      <c r="D4" s="4" t="n"/>
      <c r="E4" s="4" t="n"/>
      <c r="F4" s="4" t="n"/>
      <c r="G4" s="4" t="n"/>
    </row>
    <row r="5">
      <c r="A5" s="2" t="inlineStr">
        <is>
          <t>UBICACIÓN</t>
        </is>
      </c>
      <c r="B5" s="5" t="inlineStr">
        <is>
          <t>Distrito de Morales, provincia y departamento de San Martín</t>
        </is>
      </c>
      <c r="C5" s="4" t="n"/>
      <c r="D5" s="4" t="n"/>
      <c r="E5" s="4" t="n"/>
      <c r="F5" s="4" t="n"/>
      <c r="G5" s="4" t="n"/>
    </row>
    <row r="6">
      <c r="A6" s="2" t="inlineStr">
        <is>
          <t>LÁMINAS</t>
        </is>
      </c>
      <c r="B6" s="5" t="inlineStr">
        <is>
          <t>SE-E-01 Planta general de evacuación (esc. 1/150) y SE-S-02 Planta general de señalización (esc. 1/150)</t>
        </is>
      </c>
      <c r="C6" s="4" t="n"/>
      <c r="D6" s="4" t="n"/>
      <c r="E6" s="4" t="n"/>
      <c r="F6" s="4" t="n"/>
      <c r="G6" s="4" t="n"/>
    </row>
    <row r="7">
      <c r="A7" s="2" t="inlineStr">
        <is>
          <t>FECHA</t>
        </is>
      </c>
      <c r="B7" s="5" t="inlineStr">
        <is>
          <t>OCTUBRE 2026</t>
        </is>
      </c>
      <c r="C7" s="4" t="n"/>
      <c r="D7" s="4" t="n"/>
      <c r="E7" s="4" t="n"/>
      <c r="F7" s="4" t="n"/>
      <c r="G7" s="4" t="n"/>
    </row>
    <row r="9">
      <c r="A9" s="6" t="inlineStr">
        <is>
          <t>ITEM</t>
        </is>
      </c>
      <c r="B9" s="6" t="inlineStr">
        <is>
          <t>PARTIDA</t>
        </is>
      </c>
      <c r="C9" s="6" t="inlineStr">
        <is>
          <t>DIMENSIONES</t>
        </is>
      </c>
      <c r="D9" s="6" t="inlineStr">
        <is>
          <t>MATERIAL</t>
        </is>
      </c>
      <c r="E9" s="6" t="inlineStr">
        <is>
          <t>ALTURA DE INSTALACIÓN</t>
        </is>
      </c>
      <c r="F9" s="6" t="inlineStr">
        <is>
          <t>ALTURA EN LA LEYENDA</t>
        </is>
      </c>
      <c r="G9" s="6" t="inlineStr">
        <is>
          <t>FUNCIÓN Y UBICACIÓN</t>
        </is>
      </c>
    </row>
    <row r="10">
      <c r="A10" s="7" t="inlineStr">
        <is>
          <t>01</t>
        </is>
      </c>
      <c r="B10" s="2" t="inlineStr">
        <is>
          <t>SEÑALES DE EVACUACIÓN Y EMERGENCIA</t>
        </is>
      </c>
      <c r="C10" s="4" t="n"/>
      <c r="D10" s="4" t="n"/>
      <c r="E10" s="4" t="n"/>
      <c r="F10" s="4" t="n"/>
      <c r="G10" s="4" t="n"/>
    </row>
    <row r="11">
      <c r="A11" s="23" t="inlineStr">
        <is>
          <t>01.01</t>
        </is>
      </c>
      <c r="B11" s="17" t="inlineStr">
        <is>
          <t>SEÑAL DE SALIDA CON BRAILLE</t>
        </is>
      </c>
      <c r="C11" s="23" t="inlineStr">
        <is>
          <t>0.30 x 0.20 m</t>
        </is>
      </c>
      <c r="D11" s="17" t="inlineStr">
        <is>
          <t>Lámina de PVC celtex de 3 mm con vinil fotoluminiscente impreso y placa de acrílico con texto en braille</t>
        </is>
      </c>
      <c r="E11" s="23" t="inlineStr">
        <is>
          <t>2.10 m</t>
        </is>
      </c>
      <c r="F11" s="23" t="inlineStr">
        <is>
          <t>2.10</t>
        </is>
      </c>
      <c r="G11" s="17" t="inlineStr">
        <is>
          <t>Indica la puerta de salida de cada ambiente y de cada edificación hacia la circulación exterior; sobre el dintel.</t>
        </is>
      </c>
    </row>
    <row r="12">
      <c r="A12" s="23" t="inlineStr">
        <is>
          <t>01.02</t>
        </is>
      </c>
      <c r="B12" s="17" t="inlineStr">
        <is>
          <t>SEÑAL DE DIRECCIÓN DE EVACUACIÓN</t>
        </is>
      </c>
      <c r="C12" s="23" t="inlineStr">
        <is>
          <t>0.20 x 0.30 m</t>
        </is>
      </c>
      <c r="D12" s="17" t="inlineStr">
        <is>
          <t>Lámina de PVC celtex de 3 mm con vinil fotoluminiscente impreso</t>
        </is>
      </c>
      <c r="E12" s="23" t="inlineStr">
        <is>
          <t>2.10 m</t>
        </is>
      </c>
      <c r="F12" s="23" t="inlineStr">
        <is>
          <t>2.10</t>
        </is>
      </c>
      <c r="G12" s="17" t="inlineStr">
        <is>
          <t>Indica con una flecha el sentido de la ruta de evacuación en pasadizos y circulaciones, hasta la salida.</t>
        </is>
      </c>
    </row>
    <row r="13">
      <c r="A13" s="23" t="inlineStr">
        <is>
          <t>01.03</t>
        </is>
      </c>
      <c r="B13" s="17" t="inlineStr">
        <is>
          <t>SEÑAL DE ZONA SEGURA EN CASO DE SISMO CON BRAILLE</t>
        </is>
      </c>
      <c r="C13" s="23" t="inlineStr">
        <is>
          <t>0.20 x 0.30 m</t>
        </is>
      </c>
      <c r="D13" s="17" t="inlineStr">
        <is>
          <t>Lámina de PVC celtex de 3 mm con vinil fotoluminiscente impreso y placa de acrílico con texto en braille</t>
        </is>
      </c>
      <c r="E13" s="23" t="inlineStr">
        <is>
          <t>1.80 m</t>
        </is>
      </c>
      <c r="F13" s="23" t="inlineStr">
        <is>
          <t>1.80</t>
        </is>
      </c>
      <c r="G13" s="17" t="inlineStr">
        <is>
          <t>Identifica los lugares de protección dentro de los ambientes (columnas y muros estructurales) durante un sismo.</t>
        </is>
      </c>
    </row>
    <row r="14">
      <c r="A14" s="23" t="inlineStr">
        <is>
          <t>01.04</t>
        </is>
      </c>
      <c r="B14" s="17" t="inlineStr">
        <is>
          <t>LETRERO DE AFORO CON BRAILLE</t>
        </is>
      </c>
      <c r="C14" s="23" t="inlineStr">
        <is>
          <t>0.30 x 0.20 m</t>
        </is>
      </c>
      <c r="D14" s="17" t="inlineStr">
        <is>
          <t>Lámina de PVC celtex de 3 mm con vinil adhesivo impreso y placa de acrílico con texto en braille</t>
        </is>
      </c>
      <c r="E14" s="23" t="inlineStr">
        <is>
          <t>2.10 m</t>
        </is>
      </c>
      <c r="F14" s="23" t="inlineStr">
        <is>
          <t>2.10</t>
        </is>
      </c>
      <c r="G14" s="17" t="inlineStr">
        <is>
          <t>Indica la capacidad máxima de personas del ambiente; junto al ingreso, en el lado de la cerradura.</t>
        </is>
      </c>
    </row>
    <row r="15">
      <c r="A15" s="7" t="inlineStr">
        <is>
          <t>02</t>
        </is>
      </c>
      <c r="B15" s="2" t="inlineStr">
        <is>
          <t>SEÑALES DE EQUIPOS CONTRA INCENDIO</t>
        </is>
      </c>
      <c r="C15" s="4" t="n"/>
      <c r="D15" s="4" t="n"/>
      <c r="E15" s="4" t="n"/>
      <c r="F15" s="4" t="n"/>
      <c r="G15" s="4" t="n"/>
    </row>
    <row r="16">
      <c r="A16" s="23" t="inlineStr">
        <is>
          <t>02.01</t>
        </is>
      </c>
      <c r="B16" s="17" t="inlineStr">
        <is>
          <t>SEÑAL DE UBICACIÓN DE EXTINTOR PQS CON BRAILLE</t>
        </is>
      </c>
      <c r="C16" s="23" t="inlineStr">
        <is>
          <t>0.20 x 0.30 m</t>
        </is>
      </c>
      <c r="D16" s="17" t="inlineStr">
        <is>
          <t>Lámina de PVC celtex de 3 mm con vinil fotoluminiscente impreso y placa de acrílico con texto en braille</t>
        </is>
      </c>
      <c r="E16" s="23" t="inlineStr">
        <is>
          <t>1.80 m</t>
        </is>
      </c>
      <c r="F16" s="23" t="inlineStr">
        <is>
          <t>1.20</t>
        </is>
      </c>
      <c r="G16" s="17" t="inlineStr">
        <is>
          <t>Identifica la ubicación del extintor de polvo químico seco; sobre el equipo.</t>
        </is>
      </c>
    </row>
    <row r="17">
      <c r="A17" s="7" t="inlineStr">
        <is>
          <t>03</t>
        </is>
      </c>
      <c r="B17" s="2" t="inlineStr">
        <is>
          <t>SEÑALES DE ADVERTENCIA</t>
        </is>
      </c>
      <c r="C17" s="4" t="n"/>
      <c r="D17" s="4" t="n"/>
      <c r="E17" s="4" t="n"/>
      <c r="F17" s="4" t="n"/>
      <c r="G17" s="4" t="n"/>
    </row>
    <row r="18">
      <c r="A18" s="23" t="inlineStr">
        <is>
          <t>03.01</t>
        </is>
      </c>
      <c r="B18" s="17" t="inlineStr">
        <is>
          <t>SEÑAL DE ATENCIÓN RIESGO ELÉCTRICO CON BRAILLE</t>
        </is>
      </c>
      <c r="C18" s="23" t="inlineStr">
        <is>
          <t>0.20 x 0.30 m</t>
        </is>
      </c>
      <c r="D18" s="17" t="inlineStr">
        <is>
          <t>Lámina de PVC celtex de 3 mm con vinil adhesivo impreso y placa de acrílico con texto en braille</t>
        </is>
      </c>
      <c r="E18" s="23" t="inlineStr">
        <is>
          <t>1.10 m</t>
        </is>
      </c>
      <c r="F18" s="23" t="inlineStr">
        <is>
          <t>1.10</t>
        </is>
      </c>
      <c r="G18" s="17" t="inlineStr">
        <is>
          <t>Advierte la presencia de tableros y equipos eléctricos; en la puerta o el frente del tablero.</t>
        </is>
      </c>
    </row>
    <row r="19">
      <c r="A19" s="7" t="inlineStr">
        <is>
          <t>04</t>
        </is>
      </c>
      <c r="B19" s="2" t="inlineStr">
        <is>
          <t>SEÑALES INFORMATIVAS</t>
        </is>
      </c>
      <c r="C19" s="4" t="n"/>
      <c r="D19" s="4" t="n"/>
      <c r="E19" s="4" t="n"/>
      <c r="F19" s="4" t="n"/>
      <c r="G19" s="4" t="n"/>
    </row>
    <row r="20">
      <c r="A20" s="23" t="inlineStr">
        <is>
          <t>04.01</t>
        </is>
      </c>
      <c r="B20" s="17" t="inlineStr">
        <is>
          <t>SEÑAL DE SERVICIOS HIGIÉNICOS PARA PERSONAS CON DISCAPACIDAD CON BRAILLE</t>
        </is>
      </c>
      <c r="C20" s="23" t="inlineStr">
        <is>
          <t>0.20 x 0.30 m</t>
        </is>
      </c>
      <c r="D20" s="17" t="inlineStr">
        <is>
          <t>Lámina de PVC celtex de 3 mm con vinil adhesivo impreso y placa de acrílico con texto en braille</t>
        </is>
      </c>
      <c r="E20" s="23" t="inlineStr">
        <is>
          <t>1.80 m</t>
        </is>
      </c>
      <c r="F20" s="23" t="inlineStr">
        <is>
          <t>1.80</t>
        </is>
      </c>
      <c r="G20" s="17" t="inlineStr">
        <is>
          <t>Identifica el servicio higiénico accesible.</t>
        </is>
      </c>
    </row>
    <row r="21">
      <c r="A21" s="23" t="inlineStr">
        <is>
          <t>04.02</t>
        </is>
      </c>
      <c r="B21" s="17" t="inlineStr">
        <is>
          <t>SEÑAL DE SERVICIOS HIGIÉNICOS MIXTO CON BRAILLE</t>
        </is>
      </c>
      <c r="C21" s="23" t="inlineStr">
        <is>
          <t>0.20 x 0.30 m</t>
        </is>
      </c>
      <c r="D21" s="17" t="inlineStr">
        <is>
          <t>Lámina de PVC celtex de 3 mm con vinil adhesivo impreso y placa de acrílico con texto en braille</t>
        </is>
      </c>
      <c r="E21" s="23" t="inlineStr">
        <is>
          <t>1.80 m</t>
        </is>
      </c>
      <c r="F21" s="23" t="inlineStr">
        <is>
          <t>1.80</t>
        </is>
      </c>
      <c r="G21" s="17" t="inlineStr">
        <is>
          <t>Identifica el servicio higiénico de uso mixto (habitaciones, tópico y vestidores).</t>
        </is>
      </c>
    </row>
    <row r="22">
      <c r="A22" s="23" t="inlineStr">
        <is>
          <t>04.03</t>
        </is>
      </c>
      <c r="B22" s="17" t="inlineStr">
        <is>
          <t>SEÑAL DE SERVICIOS HIGIÉNICOS MUJER CON BRAILLE</t>
        </is>
      </c>
      <c r="C22" s="23" t="inlineStr">
        <is>
          <t>0.20 x 0.30 m</t>
        </is>
      </c>
      <c r="D22" s="17" t="inlineStr">
        <is>
          <t>Lámina de PVC celtex de 3 mm con vinil adhesivo impreso y placa de acrílico con texto en braille</t>
        </is>
      </c>
      <c r="E22" s="23" t="inlineStr">
        <is>
          <t>1.80 m</t>
        </is>
      </c>
      <c r="F22" s="23" t="inlineStr">
        <is>
          <t>1.80</t>
        </is>
      </c>
      <c r="G22" s="17" t="inlineStr">
        <is>
          <t>Identifica el servicio higiénico de mujeres.</t>
        </is>
      </c>
    </row>
    <row r="23">
      <c r="A23" s="23" t="inlineStr">
        <is>
          <t>04.04</t>
        </is>
      </c>
      <c r="B23" s="17" t="inlineStr">
        <is>
          <t>SEÑAL DE SERVICIOS HIGIÉNICOS VARÓN CON BRAILLE</t>
        </is>
      </c>
      <c r="C23" s="23" t="inlineStr">
        <is>
          <t>0.20 x 0.30 m</t>
        </is>
      </c>
      <c r="D23" s="17" t="inlineStr">
        <is>
          <t>Lámina de PVC celtex de 3 mm con vinil adhesivo impreso y placa de acrílico con texto en braille</t>
        </is>
      </c>
      <c r="E23" s="23" t="inlineStr">
        <is>
          <t>1.80 m</t>
        </is>
      </c>
      <c r="F23" s="23" t="inlineStr">
        <is>
          <t>1.80</t>
        </is>
      </c>
      <c r="G23" s="17" t="inlineStr">
        <is>
          <t>Identifica el servicio higiénico de varones.</t>
        </is>
      </c>
    </row>
    <row r="24">
      <c r="A24" s="23" t="inlineStr">
        <is>
          <t>04.05</t>
        </is>
      </c>
      <c r="B24" s="17" t="inlineStr">
        <is>
          <t>SEÑAL DE PUNTO ECOLÓGICO CON BRAILLE</t>
        </is>
      </c>
      <c r="C24" s="23" t="inlineStr">
        <is>
          <t>0.30 x 0.20 m</t>
        </is>
      </c>
      <c r="D24" s="17" t="inlineStr">
        <is>
          <t>Lámina de PVC celtex de 3 mm con vinil adhesivo impreso y placa de acrílico con texto en braille</t>
        </is>
      </c>
      <c r="E24" s="23" t="inlineStr">
        <is>
          <t>1.80 m</t>
        </is>
      </c>
      <c r="F24" s="23" t="inlineStr">
        <is>
          <t>—</t>
        </is>
      </c>
      <c r="G24" s="17" t="inlineStr">
        <is>
          <t>Identifica el punto de acopio selectivo de residuos sólidos (cuatro contenedores de colores).</t>
        </is>
      </c>
    </row>
    <row r="25">
      <c r="A25" s="7" t="inlineStr">
        <is>
          <t>05</t>
        </is>
      </c>
      <c r="B25" s="2" t="inlineStr">
        <is>
          <t>EQUIPOS DE PROTECCIÓN CONTRA INCENDIO Y EMERGENCIA</t>
        </is>
      </c>
      <c r="C25" s="4" t="n"/>
      <c r="D25" s="4" t="n"/>
      <c r="E25" s="4" t="n"/>
      <c r="F25" s="4" t="n"/>
      <c r="G25" s="4" t="n"/>
    </row>
    <row r="26">
      <c r="A26" s="23" t="inlineStr">
        <is>
          <t>05.01</t>
        </is>
      </c>
      <c r="B26" s="17" t="inlineStr">
        <is>
          <t>EXTINTOR DE POLVO QUÍMICO SECO (PQS) TIPO ABC DE 9 kg</t>
        </is>
      </c>
      <c r="C26" s="23" t="inlineStr">
        <is>
          <t>extintor portátil de 9 kg, agente PQS multipropósito ABC</t>
        </is>
      </c>
      <c r="D26" s="17" t="inlineStr">
        <is>
          <t>Cilindro de acero con manómetro, manguera, soporte de pared y tarjeta de control</t>
        </is>
      </c>
      <c r="E26" s="23" t="inlineStr">
        <is>
          <t>1.50 m (parte superior)</t>
        </is>
      </c>
      <c r="F26" s="23" t="inlineStr">
        <is>
          <t>—</t>
        </is>
      </c>
      <c r="G26" s="17" t="inlineStr">
        <is>
          <t>Combate fuegos de clase A, B y C en las nueve edificaciones.</t>
        </is>
      </c>
    </row>
    <row r="27">
      <c r="A27" s="23" t="inlineStr">
        <is>
          <t>05.02</t>
        </is>
      </c>
      <c r="B27" s="17" t="inlineStr">
        <is>
          <t>UNIDAD DE LUCES DE EMERGENCIA</t>
        </is>
      </c>
      <c r="C27" s="23" t="inlineStr">
        <is>
          <t>equipo de dos faros LED, autonomía mínima 90 min</t>
        </is>
      </c>
      <c r="D27" s="17" t="inlineStr">
        <is>
          <t>Equipo autónomo con batería recargable, 220 V</t>
        </is>
      </c>
      <c r="E27" s="23" t="inlineStr">
        <is>
          <t>2.10 m</t>
        </is>
      </c>
      <c r="F27" s="23" t="inlineStr">
        <is>
          <t>2.10</t>
        </is>
      </c>
      <c r="G27" s="17" t="inlineStr">
        <is>
          <t>Ilumina las salidas, las circulaciones y los ambientes al cortarse la energía.</t>
        </is>
      </c>
    </row>
    <row r="28">
      <c r="A28" s="23" t="inlineStr">
        <is>
          <t>05.03</t>
        </is>
      </c>
      <c r="B28" s="17" t="inlineStr">
        <is>
          <t>DETECTOR DE HUMO</t>
        </is>
      </c>
      <c r="C28" s="23" t="inlineStr">
        <is>
          <t>detector fotoeléctrico de techo</t>
        </is>
      </c>
      <c r="D28" s="17" t="inlineStr">
        <is>
          <t>Equipo fotoeléctrico con base de montaje</t>
        </is>
      </c>
      <c r="E28" s="23" t="inlineStr">
        <is>
          <t>techo</t>
        </is>
      </c>
      <c r="F28" s="23" t="inlineStr">
        <is>
          <t>TECHO</t>
        </is>
      </c>
      <c r="G28" s="17" t="inlineStr">
        <is>
          <t>Detecta el humo en los ambientes en su etapa inicial.</t>
        </is>
      </c>
    </row>
  </sheetData>
  <mergeCells count="12">
    <mergeCell ref="B3:G3"/>
    <mergeCell ref="B2:G2"/>
    <mergeCell ref="B19:G19"/>
    <mergeCell ref="B10:G10"/>
    <mergeCell ref="A1:G1"/>
    <mergeCell ref="B5:G5"/>
    <mergeCell ref="B17:G17"/>
    <mergeCell ref="B4:G4"/>
    <mergeCell ref="B15:G15"/>
    <mergeCell ref="B7:G7"/>
    <mergeCell ref="B25:G25"/>
    <mergeCell ref="B6:G6"/>
  </mergeCells>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c:title xmlns:dc="http://purl.org/dc/elements/1.1/">Metrado de señalización y seguridad - Hogar de Refugio Temporal</dc:title>
  <dcterms:created xmlns:dcterms="http://purl.org/dc/terms/" xmlns:xsi="http://www.w3.org/2001/XMLSchema-instance" xsi:type="dcterms:W3CDTF">2026-10-29T19:42:45Z</dcterms:created>
  <dcterms:modified xmlns:dcterms="http://purl.org/dc/terms/" xmlns:xsi="http://www.w3.org/2001/XMLSchema-instance" xsi:type="dcterms:W3CDTF">2026-10-29T19:42:45Z</dcterms:modified>
</cp:coreProperties>
</file>