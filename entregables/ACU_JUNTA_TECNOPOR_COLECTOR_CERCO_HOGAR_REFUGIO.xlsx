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CU JUNTA TECNOP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<sst xmlns="http://schemas.openxmlformats.org/spreadsheetml/2006/main" count="130" uniqueCount="114">
  <si>
    <t xml:space="preserve">ANALISIS DE COSTO UNITARIO - 01.04.04.06.02 JUNTA E=1" CON TECNOPOR Y SELLADOR ASFALTICO ENTRE COLECTOR Y CERCO PERIMETRICO</t>
  </si>
  <si>
    <t xml:space="preserve">PROYECTO: HOGAR DE REFUGIO TEMPORAL - MUJERES VIOLENTADAS, DISTRITO DE MORALES, PROVINCIA Y DEPARTAMENTO DE SAN MARTIN - CUI N.° 2675514</t>
  </si>
  <si>
    <t xml:space="preserve">Junta de 1" (25 mm) de plancha de poliestireno expandido (tecnopor) con sello asfaltico superficial de 1" x 2" (RC-250 + arena) entre el colector y el cerco perimetrico (no hay vereda exterior): contacto con el cimiento del cerco, bordes de la losa superior y bordes de las cajas CL y CC segun el desglose del metrado, de modo que cada estructura trabaje en forma independiente. Celda amarilla = dato; verde = formula. Precios sin IGV, referenciales.</t>
  </si>
  <si>
    <t xml:space="preserve">1. METRADO DE LA PARTIDA (hoja COLECTOR JUNTAS Y EMPALMES de la planilla)</t>
  </si>
  <si>
    <t xml:space="preserve">N°</t>
  </si>
  <si>
    <t xml:space="preserve">ELEMENTO</t>
  </si>
  <si>
    <t xml:space="preserve">VECES</t>
  </si>
  <si>
    <t xml:space="preserve">LONGITUD (m)</t>
  </si>
  <si>
    <t xml:space="preserve">PARCIAL (m)</t>
  </si>
  <si>
    <t xml:space="preserve">PROGRESIVA / SUSTENTO</t>
  </si>
  <si>
    <t xml:space="preserve">Contra el cimiento del cerco (tramo pegado al cerco, 0+000 a primer quiebre)</t>
  </si>
  <si>
    <t xml:space="preserve">0+000.00 a 0+058.81 - DP-01, DP-04 (junta entre muro y cimiento del cerco)</t>
  </si>
  <si>
    <t xml:space="preserve">Borde de la losa con el piso adyacente: colector (ambos lados)</t>
  </si>
  <si>
    <t xml:space="preserve">2 x 0+069.89 - DP-04: junta de tecnopor en el borde de la losa superior</t>
  </si>
  <si>
    <t xml:space="preserve">Borde de la losa con el piso adyacente: caja CL (ambos lados)</t>
  </si>
  <si>
    <t xml:space="preserve">2 x (largo exterior + 0.30) - DP-07</t>
  </si>
  <si>
    <t xml:space="preserve">Borde de la losa con el piso adyacente: caja CC (ambos lados)</t>
  </si>
  <si>
    <t xml:space="preserve">TOTAL JUNTA DE TECNOPOR (m)</t>
  </si>
  <si>
    <t xml:space="preserve">Valor del RESUMEN: 210.979 m</t>
  </si>
  <si>
    <t xml:space="preserve">2. DATOS DEL ANALISIS</t>
  </si>
  <si>
    <t xml:space="preserve">DATO</t>
  </si>
  <si>
    <t xml:space="preserve">UND</t>
  </si>
  <si>
    <t xml:space="preserve">VALOR</t>
  </si>
  <si>
    <t xml:space="preserve">SUSTENTO</t>
  </si>
  <si>
    <t xml:space="preserve">Espesor de la junta</t>
  </si>
  <si>
    <t xml:space="preserve">pulg</t>
  </si>
  <si>
    <t xml:space="preserve">Partida: junta e = 1" (25 mm)</t>
  </si>
  <si>
    <t xml:space="preserve">Tecnopor por metro de junta</t>
  </si>
  <si>
    <t xml:space="preserve">m2/m</t>
  </si>
  <si>
    <t xml:space="preserve">COLECTOR INSUMOS fila 72: altura promedio de contacto 0.15 m (losa superior 0.10 m en tramo normal y 0.25 m en cruces, y contacto con el cimiento del cerco)</t>
  </si>
  <si>
    <t xml:space="preserve">Area de una plancha de tecnopor 1" (1.20 x 2.40 m)</t>
  </si>
  <si>
    <t xml:space="preserve">m2</t>
  </si>
  <si>
    <t xml:space="preserve">Medida comercial de plancha</t>
  </si>
  <si>
    <t xml:space="preserve">Planchas por metro de junta</t>
  </si>
  <si>
    <t xml:space="preserve">pln/m</t>
  </si>
  <si>
    <t xml:space="preserve">formula</t>
  </si>
  <si>
    <t xml:space="preserve">Rendimiento: m de junta por dia (cuadrilla 1 peon)</t>
  </si>
  <si>
    <t xml:space="preserve">m/dia</t>
  </si>
  <si>
    <t xml:space="preserve">COLECTOR INSUMOS fila 73: peon 0.10 hh/m -&gt; 8 / 0.10 = 80 m/dia; corte de planchas en tiras y fijacion al encofrado o al concreto existente antes del vaciado</t>
  </si>
  <si>
    <t xml:space="preserve">Mezcla de sello asfaltico por metro de junta (1" x 2")</t>
  </si>
  <si>
    <t xml:space="preserve">m3/m</t>
  </si>
  <si>
    <t xml:space="preserve">COLECTOR INSUMOS fila 74: 0.0254 x 0.0508 = 0.0013 m3/m; sello superficial en la cara expuesta (EG-2013 510.02 c; procedimiento: RC-250 + arena en juntas de 1" x 2")</t>
  </si>
  <si>
    <t xml:space="preserve">Asfalto liquido RC-250 por m3 de mezcla</t>
  </si>
  <si>
    <t xml:space="preserve">gal/m3</t>
  </si>
  <si>
    <t xml:space="preserve">Criterio: mezcla de ~2,000 kg/m3 con ~9 % de asfalto en peso = 180 kg / 3.6 kg/gal = 50 gal/m3</t>
  </si>
  <si>
    <t xml:space="preserve">Arena gruesa por m3 de mezcla</t>
  </si>
  <si>
    <t xml:space="preserve">m3/m3</t>
  </si>
  <si>
    <t xml:space="preserve">Criterio: arena suelta con 5 % de desperdicio</t>
  </si>
  <si>
    <t xml:space="preserve">Operario de sellado por metro de junta</t>
  </si>
  <si>
    <t xml:space="preserve">hh/m</t>
  </si>
  <si>
    <t xml:space="preserve">COLECTOR INSUMOS fila 75: 0.05 hh/m (sellado de ~160 m por dia: limpieza, calentado y mezcla, colocacion compactando con tacos)</t>
  </si>
  <si>
    <t xml:space="preserve">3. ANALISIS DE COSTO UNITARIO</t>
  </si>
  <si>
    <t xml:space="preserve">Partida</t>
  </si>
  <si>
    <t xml:space="preserve">01.04.04.06.02 JUNTA E=1" CON TECNOPOR Y SELLADOR ASFALTICO ENTRE COLECTOR Y CERCO PERIMETRICO</t>
  </si>
  <si>
    <t xml:space="preserve">Unidad</t>
  </si>
  <si>
    <t xml:space="preserve">m</t>
  </si>
  <si>
    <t xml:space="preserve">Metrado</t>
  </si>
  <si>
    <t xml:space="preserve">suma del desglose (seccion 1)</t>
  </si>
  <si>
    <t xml:space="preserve">Rendimiento (m/dia)</t>
  </si>
  <si>
    <t xml:space="preserve">seccion 2</t>
  </si>
  <si>
    <t xml:space="preserve">RECURSO</t>
  </si>
  <si>
    <t xml:space="preserve">CUADRILLA</t>
  </si>
  <si>
    <t xml:space="preserve">CANTIDAD</t>
  </si>
  <si>
    <t xml:space="preserve">PRECIO S/</t>
  </si>
  <si>
    <t xml:space="preserve">PARCIAL S/</t>
  </si>
  <si>
    <t xml:space="preserve">SUSTENTO / FUENTE</t>
  </si>
  <si>
    <t xml:space="preserve">MANO DE OBRA</t>
  </si>
  <si>
    <t xml:space="preserve">Peon</t>
  </si>
  <si>
    <t xml:space="preserve">hh</t>
  </si>
  <si>
    <t xml:space="preserve">Mismo costo hh de peon de la ACU TAPA REGISTRO de la planilla (CAPECO 2026 oficial: S/ 20.54 hh)</t>
  </si>
  <si>
    <t xml:space="preserve">Operario (sellado asfaltico)</t>
  </si>
  <si>
    <t xml:space="preserve">Cuadrilla = 0.05 hh/m x rendimiento / 8; costo hh de operario de la ACU TAPA REGISTRO (CAPECO 2026 oficial: S/ 28.95 hh)</t>
  </si>
  <si>
    <t xml:space="preserve">Subtotal mano de obra</t>
  </si>
  <si>
    <t xml:space="preserve">MATERIALES</t>
  </si>
  <si>
    <t xml:space="preserve">Plancha de tecnopor (poliestireno expandido) 1" x 1.20 x 2.40 m</t>
  </si>
  <si>
    <t xml:space="preserve">pln</t>
  </si>
  <si>
    <t xml:space="preserve">Estimado: plancha DIPROPOR 2" x 1.20 x 2.40 a S/ 28.90 con IGV en Sodimac Peru; la de 1" ~ la mitad = S/ 14.90 con IGV -&gt; 14.90 / 1.18 = 12.63 sin IGV. Confirmar con cotizacion</t>
  </si>
  <si>
    <t xml:space="preserve">Asfalto liquido RC-250</t>
  </si>
  <si>
    <t xml:space="preserve">gal</t>
  </si>
  <si>
    <t xml:space="preserve">ESTIMADO, POR COTIZAR: no hay precio publicado; pedir cotizacion a PETROPERU o distribuidor (balde 5 gal o cilindro 55 gal)</t>
  </si>
  <si>
    <t xml:space="preserve">Arena gruesa</t>
  </si>
  <si>
    <t xml:space="preserve">m3</t>
  </si>
  <si>
    <t xml:space="preserve">Mismo precio de arena gruesa de la ACU TAPA REGISTRO de la planilla</t>
  </si>
  <si>
    <t xml:space="preserve">Subtotal materiales</t>
  </si>
  <si>
    <t xml:space="preserve">EQUIPOS Y HERRAMIENTAS</t>
  </si>
  <si>
    <t xml:space="preserve">Herramientas manuales (cuchilla, regla, wincha, tacos de madera y recipiente para calentar el asfalto)</t>
  </si>
  <si>
    <t xml:space="preserve">%mo</t>
  </si>
  <si>
    <t xml:space="preserve">3 % del costo de mano de obra (criterio de las demas ACU de la planilla)</t>
  </si>
  <si>
    <t xml:space="preserve">Subtotal equipos y herramientas</t>
  </si>
  <si>
    <t xml:space="preserve">COSTO UNITARIO DIRECTO (S/ por m)</t>
  </si>
  <si>
    <t xml:space="preserve">COSTO DIRECTO DE LA PARTIDA (metrado x costo unitario)</t>
  </si>
  <si>
    <t xml:space="preserve">S/ sin IGV</t>
  </si>
  <si>
    <t xml:space="preserve">INSUMOS TOTALES DE LA PARTIDA</t>
  </si>
  <si>
    <t xml:space="preserve">INSUMO</t>
  </si>
  <si>
    <t xml:space="preserve">POR m</t>
  </si>
  <si>
    <t xml:space="preserve">METRADO (m)</t>
  </si>
  <si>
    <t xml:space="preserve">TOTAL</t>
  </si>
  <si>
    <t xml:space="preserve">A COMPRAR</t>
  </si>
  <si>
    <t xml:space="preserve">OBSERVACION</t>
  </si>
  <si>
    <t xml:space="preserve">Plancha de tecnopor 1" x 1.20 x 2.40 m</t>
  </si>
  <si>
    <t xml:space="preserve">planchas enteras; se cortan en tiras de la altura de cada contacto</t>
  </si>
  <si>
    <t xml:space="preserve">Tecnopor (area)</t>
  </si>
  <si>
    <t xml:space="preserve">area neta de junta</t>
  </si>
  <si>
    <t xml:space="preserve">galones enteros</t>
  </si>
  <si>
    <t xml:space="preserve">arena limpia, seca</t>
  </si>
  <si>
    <t xml:space="preserve">2.6 dias de 1 peon</t>
  </si>
  <si>
    <t xml:space="preserve">Operario</t>
  </si>
  <si>
    <t xml:space="preserve">1.3 dias de 1 operario</t>
  </si>
  <si>
    <t xml:space="preserve">PROCEDIMIENTO</t>
  </si>
  <si>
    <t xml:space="preserve">1. Cortar las planchas de 1" en tiras de la altura de cada contacto (borde de losa superior, cimiento del cerco, bordes de cajas).</t>
  </si>
  <si>
    <t xml:space="preserve">2. Fijar las tiras contra la cara del concreto existente o del encofrado antes del vaciado, continuas y sin huecos, 2" por debajo de la superficie terminada (caja del sello).</t>
  </si>
  <si>
    <t xml:space="preserve">3. Vaciar el concreto sin desplazar el tecnopor.</t>
  </si>
  <si>
    <t xml:space="preserve">4. Sello: limpiar y secar la caja de 1" x 2"; calentar el RC-250, mezclarlo con la arena y colocarlo compactando con tacos de madera hasta el ras; retirar lo que salpique al concreto.</t>
  </si>
  <si>
    <t xml:space="preserve">5. Medicion: metro lineal de junta terminada (tecnopor + sello), segun el desglose de la seccion 1.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</si>
</sst>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00"/>
    <numFmt numFmtId="167" formatCode="0.00"/>
    <numFmt numFmtId="168" formatCode="0.0000"/>
    <numFmt numFmtId="169" formatCode="0.00%"/>
    <numFmt numFmtId="170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6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43.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5" customFormat="false" ht="15" hidden="false" customHeight="true" outlineLevel="0" collapsed="false">
      <c r="A5" s="3" t="s">
        <v>3</v>
      </c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/>
      <c r="G6" s="4"/>
      <c r="H6" s="4" t="s">
        <v>9</v>
      </c>
    </row>
    <row r="7" customFormat="false" ht="15" hidden="false" customHeight="false" outlineLevel="0" collapsed="false">
      <c r="A7" s="5" t="n">
        <v>1</v>
      </c>
      <c r="B7" s="2" t="s">
        <v>10</v>
      </c>
      <c r="C7" s="6" t="n">
        <v>1</v>
      </c>
      <c r="D7" s="7" t="n">
        <v>58.805</v>
      </c>
      <c r="E7" s="8" t="n">
        <f aca="false">C7*D7</f>
        <v>58.805</v>
      </c>
      <c r="F7" s="5"/>
      <c r="G7" s="5"/>
      <c r="H7" s="2" t="s">
        <v>11</v>
      </c>
    </row>
    <row r="8" customFormat="false" ht="15" hidden="false" customHeight="false" outlineLevel="0" collapsed="false">
      <c r="A8" s="5" t="n">
        <v>2</v>
      </c>
      <c r="B8" s="2" t="s">
        <v>12</v>
      </c>
      <c r="C8" s="6" t="n">
        <v>2</v>
      </c>
      <c r="D8" s="7" t="n">
        <v>69.887</v>
      </c>
      <c r="E8" s="8" t="n">
        <f aca="false">C8*D8</f>
        <v>139.774</v>
      </c>
      <c r="F8" s="5"/>
      <c r="G8" s="5"/>
      <c r="H8" s="2" t="s">
        <v>13</v>
      </c>
    </row>
    <row r="9" customFormat="false" ht="15" hidden="false" customHeight="false" outlineLevel="0" collapsed="false">
      <c r="A9" s="5" t="n">
        <v>3</v>
      </c>
      <c r="B9" s="2" t="s">
        <v>14</v>
      </c>
      <c r="C9" s="6" t="n">
        <v>2</v>
      </c>
      <c r="D9" s="7" t="n">
        <v>2.1</v>
      </c>
      <c r="E9" s="8" t="n">
        <f aca="false">C9*D9</f>
        <v>4.2</v>
      </c>
      <c r="F9" s="5"/>
      <c r="G9" s="5"/>
      <c r="H9" s="2" t="s">
        <v>15</v>
      </c>
    </row>
    <row r="10" customFormat="false" ht="15" hidden="false" customHeight="false" outlineLevel="0" collapsed="false">
      <c r="A10" s="5" t="n">
        <v>4</v>
      </c>
      <c r="B10" s="2" t="s">
        <v>16</v>
      </c>
      <c r="C10" s="6" t="n">
        <v>2</v>
      </c>
      <c r="D10" s="7" t="n">
        <v>4.1</v>
      </c>
      <c r="E10" s="8" t="n">
        <f aca="false">C10*D10</f>
        <v>8.2</v>
      </c>
      <c r="F10" s="5"/>
      <c r="G10" s="5"/>
      <c r="H10" s="2" t="s">
        <v>15</v>
      </c>
    </row>
    <row r="11" customFormat="false" ht="15" hidden="false" customHeight="false" outlineLevel="0" collapsed="false">
      <c r="A11" s="9"/>
      <c r="B11" s="3" t="s">
        <v>17</v>
      </c>
      <c r="C11" s="9"/>
      <c r="D11" s="9"/>
      <c r="E11" s="10" t="n">
        <f aca="false">SUM(E7:E10)</f>
        <v>210.979</v>
      </c>
      <c r="F11" s="9"/>
      <c r="G11" s="9"/>
      <c r="H11" s="11" t="s">
        <v>18</v>
      </c>
    </row>
    <row r="13" customFormat="false" ht="15" hidden="false" customHeight="true" outlineLevel="0" collapsed="false">
      <c r="A13" s="3" t="s">
        <v>19</v>
      </c>
      <c r="B13" s="3"/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4" t="s">
        <v>4</v>
      </c>
      <c r="B14" s="4" t="s">
        <v>20</v>
      </c>
      <c r="C14" s="4" t="s">
        <v>21</v>
      </c>
      <c r="D14" s="4" t="s">
        <v>22</v>
      </c>
      <c r="E14" s="4"/>
      <c r="F14" s="4"/>
      <c r="G14" s="4"/>
      <c r="H14" s="4" t="s">
        <v>23</v>
      </c>
    </row>
    <row r="15" customFormat="false" ht="15" hidden="false" customHeight="false" outlineLevel="0" collapsed="false">
      <c r="A15" s="5" t="n">
        <v>1</v>
      </c>
      <c r="B15" s="2" t="s">
        <v>24</v>
      </c>
      <c r="C15" s="5" t="s">
        <v>25</v>
      </c>
      <c r="D15" s="12" t="n">
        <v>1</v>
      </c>
      <c r="E15" s="5"/>
      <c r="F15" s="5"/>
      <c r="G15" s="5"/>
      <c r="H15" s="2" t="s">
        <v>26</v>
      </c>
    </row>
    <row r="16" customFormat="false" ht="23.85" hidden="false" customHeight="false" outlineLevel="0" collapsed="false">
      <c r="A16" s="5" t="n">
        <v>2</v>
      </c>
      <c r="B16" s="2" t="s">
        <v>27</v>
      </c>
      <c r="C16" s="5" t="s">
        <v>28</v>
      </c>
      <c r="D16" s="13" t="n">
        <v>0.15</v>
      </c>
      <c r="E16" s="5"/>
      <c r="F16" s="5"/>
      <c r="G16" s="5"/>
      <c r="H16" s="2" t="s">
        <v>29</v>
      </c>
    </row>
    <row r="17" customFormat="false" ht="15" hidden="false" customHeight="false" outlineLevel="0" collapsed="false">
      <c r="A17" s="5" t="n">
        <v>3</v>
      </c>
      <c r="B17" s="2" t="s">
        <v>30</v>
      </c>
      <c r="C17" s="5" t="s">
        <v>31</v>
      </c>
      <c r="D17" s="13" t="n">
        <v>2.88</v>
      </c>
      <c r="E17" s="5"/>
      <c r="F17" s="5"/>
      <c r="G17" s="5"/>
      <c r="H17" s="2" t="s">
        <v>32</v>
      </c>
    </row>
    <row r="18" customFormat="false" ht="15" hidden="false" customHeight="false" outlineLevel="0" collapsed="false">
      <c r="A18" s="5" t="n">
        <v>4</v>
      </c>
      <c r="B18" s="2" t="s">
        <v>33</v>
      </c>
      <c r="C18" s="5" t="s">
        <v>34</v>
      </c>
      <c r="D18" s="14" t="n">
        <f aca="false">D16/D17</f>
        <v>0.0520833333333333</v>
      </c>
      <c r="E18" s="5"/>
      <c r="F18" s="5"/>
      <c r="G18" s="5"/>
      <c r="H18" s="2" t="s">
        <v>35</v>
      </c>
    </row>
    <row r="19" customFormat="false" ht="23.85" hidden="false" customHeight="false" outlineLevel="0" collapsed="false">
      <c r="A19" s="5" t="n">
        <v>5</v>
      </c>
      <c r="B19" s="2" t="s">
        <v>36</v>
      </c>
      <c r="C19" s="5" t="s">
        <v>37</v>
      </c>
      <c r="D19" s="15" t="n">
        <f aca="false">8/0.1</f>
        <v>80</v>
      </c>
      <c r="E19" s="5"/>
      <c r="F19" s="5"/>
      <c r="G19" s="5"/>
      <c r="H19" s="2" t="s">
        <v>38</v>
      </c>
    </row>
    <row r="20" customFormat="false" ht="23.85" hidden="false" customHeight="false" outlineLevel="0" collapsed="false">
      <c r="A20" s="5" t="n">
        <v>6</v>
      </c>
      <c r="B20" s="2" t="s">
        <v>39</v>
      </c>
      <c r="C20" s="5" t="s">
        <v>40</v>
      </c>
      <c r="D20" s="13" t="n">
        <v>0.0013</v>
      </c>
      <c r="E20" s="5"/>
      <c r="F20" s="5"/>
      <c r="G20" s="5"/>
      <c r="H20" s="2" t="s">
        <v>41</v>
      </c>
    </row>
    <row r="21" customFormat="false" ht="15" hidden="false" customHeight="false" outlineLevel="0" collapsed="false">
      <c r="A21" s="5" t="n">
        <v>7</v>
      </c>
      <c r="B21" s="2" t="s">
        <v>42</v>
      </c>
      <c r="C21" s="5" t="s">
        <v>43</v>
      </c>
      <c r="D21" s="12" t="n">
        <v>50</v>
      </c>
      <c r="E21" s="5"/>
      <c r="F21" s="5"/>
      <c r="G21" s="5"/>
      <c r="H21" s="2" t="s">
        <v>44</v>
      </c>
    </row>
    <row r="22" customFormat="false" ht="15" hidden="false" customHeight="false" outlineLevel="0" collapsed="false">
      <c r="A22" s="5" t="n">
        <v>8</v>
      </c>
      <c r="B22" s="2" t="s">
        <v>45</v>
      </c>
      <c r="C22" s="5" t="s">
        <v>46</v>
      </c>
      <c r="D22" s="12" t="n">
        <v>1.05</v>
      </c>
      <c r="E22" s="5"/>
      <c r="F22" s="5"/>
      <c r="G22" s="5"/>
      <c r="H22" s="2" t="s">
        <v>47</v>
      </c>
    </row>
    <row r="23" customFormat="false" ht="23.85" hidden="false" customHeight="false" outlineLevel="0" collapsed="false">
      <c r="A23" s="5" t="n">
        <v>9</v>
      </c>
      <c r="B23" s="2" t="s">
        <v>48</v>
      </c>
      <c r="C23" s="5" t="s">
        <v>49</v>
      </c>
      <c r="D23" s="13" t="n">
        <v>0.05</v>
      </c>
      <c r="E23" s="5"/>
      <c r="F23" s="5"/>
      <c r="G23" s="5"/>
      <c r="H23" s="2" t="s">
        <v>50</v>
      </c>
    </row>
    <row r="25" customFormat="false" ht="15" hidden="false" customHeight="true" outlineLevel="0" collapsed="false">
      <c r="A25" s="3" t="s">
        <v>51</v>
      </c>
      <c r="B25" s="3"/>
      <c r="C25" s="3"/>
      <c r="D25" s="3"/>
      <c r="E25" s="3"/>
      <c r="F25" s="3"/>
      <c r="G25" s="3"/>
      <c r="H25" s="3"/>
    </row>
    <row r="26" customFormat="false" ht="23.85" hidden="false" customHeight="false" outlineLevel="0" collapsed="false">
      <c r="A26" s="3" t="s">
        <v>52</v>
      </c>
      <c r="B26" s="16" t="s">
        <v>53</v>
      </c>
      <c r="C26" s="5"/>
      <c r="D26" s="5"/>
      <c r="E26" s="5"/>
      <c r="F26" s="5"/>
      <c r="G26" s="5"/>
      <c r="H26" s="2"/>
    </row>
    <row r="27" customFormat="false" ht="15" hidden="false" customHeight="false" outlineLevel="0" collapsed="false">
      <c r="A27" s="3" t="s">
        <v>54</v>
      </c>
      <c r="B27" s="2" t="s">
        <v>55</v>
      </c>
      <c r="C27" s="5"/>
      <c r="D27" s="5"/>
      <c r="E27" s="5"/>
      <c r="F27" s="5"/>
      <c r="G27" s="5"/>
      <c r="H27" s="2"/>
    </row>
    <row r="28" customFormat="false" ht="15" hidden="false" customHeight="false" outlineLevel="0" collapsed="false">
      <c r="A28" s="3" t="s">
        <v>56</v>
      </c>
      <c r="B28" s="17" t="n">
        <f aca="false">E11</f>
        <v>210.979</v>
      </c>
      <c r="C28" s="5"/>
      <c r="D28" s="5"/>
      <c r="E28" s="5"/>
      <c r="F28" s="5"/>
      <c r="G28" s="5"/>
      <c r="H28" s="2" t="s">
        <v>57</v>
      </c>
    </row>
    <row r="29" customFormat="false" ht="35.05" hidden="false" customHeight="false" outlineLevel="0" collapsed="false">
      <c r="A29" s="3" t="s">
        <v>58</v>
      </c>
      <c r="B29" s="17" t="n">
        <f aca="false">D19</f>
        <v>80</v>
      </c>
      <c r="C29" s="5"/>
      <c r="D29" s="5"/>
      <c r="E29" s="5"/>
      <c r="F29" s="5"/>
      <c r="G29" s="5"/>
      <c r="H29" s="2" t="s">
        <v>59</v>
      </c>
    </row>
    <row r="31" customFormat="false" ht="15" hidden="false" customHeight="false" outlineLevel="0" collapsed="false">
      <c r="A31" s="4" t="s">
        <v>4</v>
      </c>
      <c r="B31" s="4" t="s">
        <v>60</v>
      </c>
      <c r="C31" s="4" t="s">
        <v>21</v>
      </c>
      <c r="D31" s="4" t="s">
        <v>61</v>
      </c>
      <c r="E31" s="4" t="s">
        <v>62</v>
      </c>
      <c r="F31" s="4" t="s">
        <v>63</v>
      </c>
      <c r="G31" s="4" t="s">
        <v>64</v>
      </c>
      <c r="H31" s="4" t="s">
        <v>65</v>
      </c>
    </row>
    <row r="32" customFormat="false" ht="15" hidden="false" customHeight="true" outlineLevel="0" collapsed="false">
      <c r="A32" s="3" t="s">
        <v>66</v>
      </c>
      <c r="B32" s="3"/>
      <c r="C32" s="3"/>
      <c r="D32" s="3"/>
      <c r="E32" s="3"/>
      <c r="F32" s="3"/>
      <c r="G32" s="3"/>
      <c r="H32" s="3"/>
    </row>
    <row r="33" customFormat="false" ht="23.85" hidden="false" customHeight="false" outlineLevel="0" collapsed="false">
      <c r="A33" s="5" t="n">
        <v>1</v>
      </c>
      <c r="B33" s="2" t="s">
        <v>67</v>
      </c>
      <c r="C33" s="5" t="s">
        <v>68</v>
      </c>
      <c r="D33" s="12" t="n">
        <v>1</v>
      </c>
      <c r="E33" s="14" t="n">
        <f aca="false">D33*8/$B$29</f>
        <v>0.1</v>
      </c>
      <c r="F33" s="12" t="n">
        <v>20.79</v>
      </c>
      <c r="G33" s="15" t="n">
        <f aca="false">E33*F33</f>
        <v>2.079</v>
      </c>
      <c r="H33" s="2" t="s">
        <v>69</v>
      </c>
    </row>
    <row r="34" customFormat="false" ht="23.85" hidden="false" customHeight="false" outlineLevel="0" collapsed="false">
      <c r="A34" s="5" t="n">
        <v>2</v>
      </c>
      <c r="B34" s="2" t="s">
        <v>70</v>
      </c>
      <c r="C34" s="5" t="s">
        <v>68</v>
      </c>
      <c r="D34" s="15" t="n">
        <f aca="false">D23*$B$29/8</f>
        <v>0.5</v>
      </c>
      <c r="E34" s="14" t="n">
        <f aca="false">D34*8/$B$29</f>
        <v>0.05</v>
      </c>
      <c r="F34" s="12" t="n">
        <v>30.42</v>
      </c>
      <c r="G34" s="15" t="n">
        <f aca="false">E34*F34</f>
        <v>1.521</v>
      </c>
      <c r="H34" s="2" t="s">
        <v>71</v>
      </c>
    </row>
    <row r="35" customFormat="false" ht="15" hidden="false" customHeight="false" outlineLevel="0" collapsed="false">
      <c r="A35" s="9"/>
      <c r="B35" s="3" t="s">
        <v>72</v>
      </c>
      <c r="C35" s="9"/>
      <c r="D35" s="9"/>
      <c r="E35" s="9"/>
      <c r="F35" s="9"/>
      <c r="G35" s="18" t="n">
        <f aca="false">G33+G34</f>
        <v>3.6</v>
      </c>
      <c r="H35" s="9"/>
    </row>
    <row r="36" customFormat="false" ht="15" hidden="false" customHeight="true" outlineLevel="0" collapsed="false">
      <c r="A36" s="3" t="s">
        <v>73</v>
      </c>
      <c r="B36" s="3"/>
      <c r="C36" s="3"/>
      <c r="D36" s="3"/>
      <c r="E36" s="3"/>
      <c r="F36" s="3"/>
      <c r="G36" s="3"/>
      <c r="H36" s="3"/>
    </row>
    <row r="37" customFormat="false" ht="23.85" hidden="false" customHeight="false" outlineLevel="0" collapsed="false">
      <c r="A37" s="5" t="n">
        <v>3</v>
      </c>
      <c r="B37" s="2" t="s">
        <v>74</v>
      </c>
      <c r="C37" s="5" t="s">
        <v>75</v>
      </c>
      <c r="D37" s="5"/>
      <c r="E37" s="14" t="n">
        <f aca="false">D18</f>
        <v>0.0520833333333333</v>
      </c>
      <c r="F37" s="12" t="n">
        <v>12.63</v>
      </c>
      <c r="G37" s="15" t="n">
        <f aca="false">E37*F37</f>
        <v>0.6578125</v>
      </c>
      <c r="H37" s="2" t="s">
        <v>76</v>
      </c>
    </row>
    <row r="38" customFormat="false" ht="23.85" hidden="false" customHeight="false" outlineLevel="0" collapsed="false">
      <c r="A38" s="5" t="n">
        <v>4</v>
      </c>
      <c r="B38" s="2" t="s">
        <v>77</v>
      </c>
      <c r="C38" s="5" t="s">
        <v>78</v>
      </c>
      <c r="D38" s="5"/>
      <c r="E38" s="14" t="n">
        <f aca="false">D20*D21</f>
        <v>0.065</v>
      </c>
      <c r="F38" s="12" t="n">
        <v>20</v>
      </c>
      <c r="G38" s="15" t="n">
        <f aca="false">E38*F38</f>
        <v>1.3</v>
      </c>
      <c r="H38" s="2" t="s">
        <v>79</v>
      </c>
    </row>
    <row r="39" customFormat="false" ht="15" hidden="false" customHeight="false" outlineLevel="0" collapsed="false">
      <c r="A39" s="5" t="n">
        <v>5</v>
      </c>
      <c r="B39" s="2" t="s">
        <v>80</v>
      </c>
      <c r="C39" s="5" t="s">
        <v>81</v>
      </c>
      <c r="D39" s="5"/>
      <c r="E39" s="14" t="n">
        <f aca="false">D20*D22</f>
        <v>0.001365</v>
      </c>
      <c r="F39" s="12" t="n">
        <v>50.85</v>
      </c>
      <c r="G39" s="15" t="n">
        <f aca="false">E39*F39</f>
        <v>0.06941025</v>
      </c>
      <c r="H39" s="2" t="s">
        <v>82</v>
      </c>
    </row>
    <row r="40" customFormat="false" ht="15" hidden="false" customHeight="false" outlineLevel="0" collapsed="false">
      <c r="A40" s="9"/>
      <c r="B40" s="3" t="s">
        <v>83</v>
      </c>
      <c r="C40" s="9"/>
      <c r="D40" s="9"/>
      <c r="E40" s="9"/>
      <c r="F40" s="9"/>
      <c r="G40" s="18" t="n">
        <f aca="false">G37+G38+G39</f>
        <v>2.02722275</v>
      </c>
      <c r="H40" s="9"/>
    </row>
    <row r="41" customFormat="false" ht="15" hidden="false" customHeight="true" outlineLevel="0" collapsed="false">
      <c r="A41" s="3" t="s">
        <v>84</v>
      </c>
      <c r="B41" s="3"/>
      <c r="C41" s="3"/>
      <c r="D41" s="3"/>
      <c r="E41" s="3"/>
      <c r="F41" s="3"/>
      <c r="G41" s="3"/>
      <c r="H41" s="3"/>
    </row>
    <row r="42" customFormat="false" ht="23.85" hidden="false" customHeight="false" outlineLevel="0" collapsed="false">
      <c r="A42" s="5" t="n">
        <v>6</v>
      </c>
      <c r="B42" s="2" t="s">
        <v>85</v>
      </c>
      <c r="C42" s="5" t="s">
        <v>86</v>
      </c>
      <c r="D42" s="5"/>
      <c r="E42" s="19" t="n">
        <v>0.03</v>
      </c>
      <c r="F42" s="15" t="n">
        <f aca="false">G35</f>
        <v>3.6</v>
      </c>
      <c r="G42" s="15" t="n">
        <f aca="false">E42*F42</f>
        <v>0.108</v>
      </c>
      <c r="H42" s="2" t="s">
        <v>87</v>
      </c>
    </row>
    <row r="43" customFormat="false" ht="15" hidden="false" customHeight="false" outlineLevel="0" collapsed="false">
      <c r="A43" s="9"/>
      <c r="B43" s="3" t="s">
        <v>88</v>
      </c>
      <c r="C43" s="9"/>
      <c r="D43" s="9"/>
      <c r="E43" s="9"/>
      <c r="F43" s="9"/>
      <c r="G43" s="18" t="n">
        <f aca="false">G42</f>
        <v>0.108</v>
      </c>
      <c r="H43" s="9"/>
    </row>
    <row r="44" customFormat="false" ht="15" hidden="false" customHeight="true" outlineLevel="0" collapsed="false">
      <c r="A44" s="1" t="s">
        <v>89</v>
      </c>
      <c r="B44" s="1"/>
      <c r="C44" s="1"/>
      <c r="D44" s="1"/>
      <c r="E44" s="1"/>
      <c r="F44" s="1"/>
      <c r="G44" s="20" t="n">
        <f aca="false">G35+G40+G43</f>
        <v>5.73522275</v>
      </c>
      <c r="H44" s="21"/>
    </row>
    <row r="45" customFormat="false" ht="15" hidden="false" customHeight="true" outlineLevel="0" collapsed="false">
      <c r="A45" s="3" t="s">
        <v>90</v>
      </c>
      <c r="B45" s="3"/>
      <c r="C45" s="3"/>
      <c r="D45" s="3"/>
      <c r="E45" s="3"/>
      <c r="F45" s="3"/>
      <c r="G45" s="22" t="n">
        <f aca="false">G44*B28</f>
        <v>1210.01156057225</v>
      </c>
      <c r="H45" s="11" t="s">
        <v>91</v>
      </c>
    </row>
    <row r="47" customFormat="false" ht="15" hidden="false" customHeight="true" outlineLevel="0" collapsed="false">
      <c r="A47" s="3" t="s">
        <v>92</v>
      </c>
      <c r="B47" s="3"/>
      <c r="C47" s="3"/>
      <c r="D47" s="3"/>
      <c r="E47" s="3"/>
      <c r="F47" s="3"/>
      <c r="G47" s="3"/>
      <c r="H47" s="3"/>
    </row>
    <row r="48" customFormat="false" ht="15" hidden="false" customHeight="false" outlineLevel="0" collapsed="false">
      <c r="A48" s="4" t="s">
        <v>4</v>
      </c>
      <c r="B48" s="4" t="s">
        <v>93</v>
      </c>
      <c r="C48" s="4" t="s">
        <v>21</v>
      </c>
      <c r="D48" s="4" t="s">
        <v>94</v>
      </c>
      <c r="E48" s="4" t="s">
        <v>95</v>
      </c>
      <c r="F48" s="4" t="s">
        <v>96</v>
      </c>
      <c r="G48" s="4" t="s">
        <v>97</v>
      </c>
      <c r="H48" s="4" t="s">
        <v>98</v>
      </c>
    </row>
    <row r="49" customFormat="false" ht="15" hidden="false" customHeight="false" outlineLevel="0" collapsed="false">
      <c r="A49" s="5" t="n">
        <v>1</v>
      </c>
      <c r="B49" s="2" t="s">
        <v>99</v>
      </c>
      <c r="C49" s="5" t="s">
        <v>75</v>
      </c>
      <c r="D49" s="14" t="n">
        <f aca="false">E37</f>
        <v>0.0520833333333333</v>
      </c>
      <c r="E49" s="8" t="n">
        <f aca="false">B28</f>
        <v>210.979</v>
      </c>
      <c r="F49" s="15" t="n">
        <f aca="false">D49*E49</f>
        <v>10.9884895833333</v>
      </c>
      <c r="G49" s="23" t="n">
        <f aca="false">ROUNDUP(F49,0)</f>
        <v>11</v>
      </c>
      <c r="H49" s="2" t="s">
        <v>100</v>
      </c>
    </row>
    <row r="50" customFormat="false" ht="15" hidden="false" customHeight="false" outlineLevel="0" collapsed="false">
      <c r="A50" s="5" t="n">
        <v>2</v>
      </c>
      <c r="B50" s="2" t="s">
        <v>101</v>
      </c>
      <c r="C50" s="5" t="s">
        <v>31</v>
      </c>
      <c r="D50" s="14" t="n">
        <f aca="false">D16</f>
        <v>0.15</v>
      </c>
      <c r="E50" s="8" t="n">
        <f aca="false">B28</f>
        <v>210.979</v>
      </c>
      <c r="F50" s="15" t="n">
        <f aca="false">D50*E50</f>
        <v>31.64685</v>
      </c>
      <c r="G50" s="6"/>
      <c r="H50" s="2" t="s">
        <v>102</v>
      </c>
    </row>
    <row r="51" customFormat="false" ht="15" hidden="false" customHeight="false" outlineLevel="0" collapsed="false">
      <c r="A51" s="5" t="n">
        <v>3</v>
      </c>
      <c r="B51" s="2" t="s">
        <v>77</v>
      </c>
      <c r="C51" s="5" t="s">
        <v>78</v>
      </c>
      <c r="D51" s="14" t="n">
        <f aca="false">E38</f>
        <v>0.065</v>
      </c>
      <c r="E51" s="8" t="n">
        <f aca="false">B28</f>
        <v>210.979</v>
      </c>
      <c r="F51" s="15" t="n">
        <f aca="false">D51*E51</f>
        <v>13.713635</v>
      </c>
      <c r="G51" s="23" t="n">
        <f aca="false">ROUNDUP(F51,0)</f>
        <v>14</v>
      </c>
      <c r="H51" s="2" t="s">
        <v>103</v>
      </c>
    </row>
    <row r="52" customFormat="false" ht="15" hidden="false" customHeight="false" outlineLevel="0" collapsed="false">
      <c r="A52" s="5" t="n">
        <v>4</v>
      </c>
      <c r="B52" s="2" t="s">
        <v>80</v>
      </c>
      <c r="C52" s="5" t="s">
        <v>81</v>
      </c>
      <c r="D52" s="14" t="n">
        <f aca="false">E39</f>
        <v>0.001365</v>
      </c>
      <c r="E52" s="8" t="n">
        <f aca="false">B28</f>
        <v>210.979</v>
      </c>
      <c r="F52" s="15" t="n">
        <f aca="false">D52*E52</f>
        <v>0.287986335</v>
      </c>
      <c r="G52" s="6"/>
      <c r="H52" s="2" t="s">
        <v>104</v>
      </c>
    </row>
    <row r="53" customFormat="false" ht="15" hidden="false" customHeight="false" outlineLevel="0" collapsed="false">
      <c r="A53" s="5" t="n">
        <v>5</v>
      </c>
      <c r="B53" s="2" t="s">
        <v>67</v>
      </c>
      <c r="C53" s="5" t="s">
        <v>68</v>
      </c>
      <c r="D53" s="14" t="n">
        <f aca="false">E33</f>
        <v>0.1</v>
      </c>
      <c r="E53" s="8" t="n">
        <f aca="false">B28</f>
        <v>210.979</v>
      </c>
      <c r="F53" s="15" t="n">
        <f aca="false">D53*E53</f>
        <v>21.0979</v>
      </c>
      <c r="G53" s="6"/>
      <c r="H53" s="2" t="s">
        <v>105</v>
      </c>
    </row>
    <row r="54" customFormat="false" ht="15" hidden="false" customHeight="false" outlineLevel="0" collapsed="false">
      <c r="A54" s="5" t="n">
        <v>6</v>
      </c>
      <c r="B54" s="2" t="s">
        <v>106</v>
      </c>
      <c r="C54" s="5" t="s">
        <v>68</v>
      </c>
      <c r="D54" s="14" t="n">
        <f aca="false">E34</f>
        <v>0.05</v>
      </c>
      <c r="E54" s="8" t="n">
        <f aca="false">B28</f>
        <v>210.979</v>
      </c>
      <c r="F54" s="15" t="n">
        <f aca="false">D54*E54</f>
        <v>10.54895</v>
      </c>
      <c r="G54" s="6"/>
      <c r="H54" s="2" t="s">
        <v>107</v>
      </c>
    </row>
    <row r="56" customFormat="false" ht="15" hidden="false" customHeight="true" outlineLevel="0" collapsed="false">
      <c r="A56" s="3" t="s">
        <v>108</v>
      </c>
      <c r="B56" s="3"/>
      <c r="C56" s="3"/>
      <c r="D56" s="3"/>
      <c r="E56" s="3"/>
      <c r="F56" s="3"/>
      <c r="G56" s="3"/>
      <c r="H56" s="3"/>
    </row>
    <row r="57" customFormat="false" ht="15" hidden="false" customHeight="true" outlineLevel="0" collapsed="false">
      <c r="A57" s="2" t="s">
        <v>109</v>
      </c>
      <c r="B57" s="2"/>
      <c r="C57" s="2"/>
      <c r="D57" s="2"/>
      <c r="E57" s="2"/>
      <c r="F57" s="2"/>
      <c r="G57" s="2"/>
      <c r="H57" s="2"/>
    </row>
    <row r="58" customFormat="false" ht="15" hidden="false" customHeight="true" outlineLevel="0" collapsed="false">
      <c r="A58" s="2" t="s">
        <v>110</v>
      </c>
      <c r="B58" s="2"/>
      <c r="C58" s="2"/>
      <c r="D58" s="2"/>
      <c r="E58" s="2"/>
      <c r="F58" s="2"/>
      <c r="G58" s="2"/>
      <c r="H58" s="2"/>
    </row>
    <row r="59" customFormat="false" ht="15" hidden="false" customHeight="true" outlineLevel="0" collapsed="false">
      <c r="A59" s="2" t="s">
        <v>111</v>
      </c>
      <c r="B59" s="2"/>
      <c r="C59" s="2"/>
      <c r="D59" s="2"/>
      <c r="E59" s="2"/>
      <c r="F59" s="2"/>
      <c r="G59" s="2"/>
      <c r="H59" s="2"/>
    </row>
    <row r="60" customFormat="false" ht="15" hidden="false" customHeight="true" outlineLevel="0" collapsed="false">
      <c r="A60" s="2" t="s">
        <v>112</v>
      </c>
      <c r="B60" s="2"/>
      <c r="C60" s="2"/>
      <c r="D60" s="2"/>
      <c r="E60" s="2"/>
      <c r="F60" s="2"/>
      <c r="G60" s="2"/>
      <c r="H60" s="2"/>
    </row>
    <row r="61" customFormat="false" ht="15" hidden="false" customHeight="true" outlineLevel="0" collapsed="false">
      <c r="A61" s="2" t="s">
        <v>113</v>
      </c>
      <c r="B61" s="2"/>
      <c r="C61" s="2"/>
      <c r="D61" s="2"/>
      <c r="E61" s="2"/>
      <c r="F61" s="2"/>
      <c r="G61" s="2"/>
      <c r="H61" s="2"/>
    </row>
  </sheetData>
  <mergeCells count="18">
    <mergeCell ref="A1:H1"/>
    <mergeCell ref="A2:H2"/>
    <mergeCell ref="A3:H3"/>
    <mergeCell ref="A5:H5"/>
    <mergeCell ref="A13:H13"/>
    <mergeCell ref="A25:H25"/>
    <mergeCell ref="A32:H32"/>
    <mergeCell ref="A36:H36"/>
    <mergeCell ref="A41:H41"/>
    <mergeCell ref="A44:F44"/>
    <mergeCell ref="A45:F45"/>
    <mergeCell ref="A47:H47"/>
    <mergeCell ref="A56:H56"/>
    <mergeCell ref="A57:H57"/>
    <mergeCell ref="A58:H58"/>
    <mergeCell ref="A59:H59"/>
    <mergeCell ref="A60:H60"/>
    <mergeCell ref="A61:H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2026-10-14T22:49:00Z</dcterms:created>
  <dc:creator>openpyxl</dc:creator>
  <dc:description/>
  <dc:language>en-US</dc:language>
  <cp:lastModifiedBy/>
  <dcterms:modified xsi:type="dcterms:W3CDTF">2026-10-14T22:49:00Z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