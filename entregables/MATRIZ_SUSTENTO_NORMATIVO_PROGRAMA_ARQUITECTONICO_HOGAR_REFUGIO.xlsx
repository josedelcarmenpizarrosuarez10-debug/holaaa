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IDENCIAL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NORM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'MATRIZ'!$A$4:$O$82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7B1E2B"/>
      <sz val="12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E6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2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6" customWidth="1" min="3" max="3"/>
    <col width="9" customWidth="1" min="4" max="4"/>
    <col width="9" customWidth="1" min="5" max="5"/>
    <col width="22" customWidth="1" min="6" max="6"/>
    <col width="10" customWidth="1" min="7" max="7"/>
    <col width="11" customWidth="1" min="8" max="8"/>
    <col width="10" customWidth="1" min="9" max="9"/>
    <col width="11" customWidth="1" min="10" max="10"/>
    <col width="8" customWidth="1" min="11" max="11"/>
    <col width="8" customWidth="1" min="12" max="12"/>
    <col width="11" customWidth="1" min="13" max="13"/>
    <col width="11" customWidth="1" min="14" max="14"/>
    <col width="70" customWidth="1" min="15" max="15"/>
  </cols>
  <sheetData>
    <row r="1">
      <c r="A1" s="1" t="inlineStr">
        <is>
          <t>MATRIZ DE SUSTENTO NORMATIVO DEL PROGRAMA ARQUITECTÓNICO</t>
        </is>
      </c>
    </row>
    <row r="2">
      <c r="A2" s="2" t="inlineStr">
        <is>
          <t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      </is>
      </c>
    </row>
    <row r="4" ht="32" customHeight="1">
      <c r="A4" s="3" t="inlineStr">
        <is>
          <t>ZONA</t>
        </is>
      </c>
      <c r="B4" s="3" t="inlineStr">
        <is>
          <t>AMBIENTE</t>
        </is>
      </c>
      <c r="C4" s="3" t="inlineStr">
        <is>
          <t>CANT.</t>
        </is>
      </c>
      <c r="D4" s="3" t="inlineStr">
        <is>
          <t>CAPACIDAD</t>
        </is>
      </c>
      <c r="E4" s="3" t="inlineStr">
        <is>
          <t>I.O. (m²/pers.)</t>
        </is>
      </c>
      <c r="F4" s="3" t="inlineStr">
        <is>
          <t>NORMA</t>
        </is>
      </c>
      <c r="G4" s="3" t="inlineStr">
        <is>
          <t>ÁREA MÍN. NORMA (m²)</t>
        </is>
      </c>
      <c r="H4" s="3" t="inlineStr">
        <is>
          <t>ÁREA MÍN. CALCULADA (m²)</t>
        </is>
      </c>
      <c r="I4" s="3" t="inlineStr">
        <is>
          <t>ÁREA PROYECTO (m²)</t>
        </is>
      </c>
      <c r="J4" s="3" t="inlineStr">
        <is>
          <t>RESULTADO</t>
        </is>
      </c>
      <c r="K4" s="3" t="inlineStr">
        <is>
          <t>LIN. MÍN. (m²)</t>
        </is>
      </c>
      <c r="L4" s="3" t="inlineStr">
        <is>
          <t>LIN. MÁX. (m²)</t>
        </is>
      </c>
      <c r="M4" s="3" t="inlineStr">
        <is>
          <t>LINEAMIENTOS</t>
        </is>
      </c>
      <c r="N4" s="3" t="inlineStr">
        <is>
          <t>ÁREA TOTAL PROGRAMA (m²)</t>
        </is>
      </c>
      <c r="O4" s="3" t="inlineStr">
        <is>
          <t>SUSTENTO</t>
        </is>
      </c>
    </row>
    <row r="5">
      <c r="A5" s="4" t="inlineStr">
        <is>
          <t>Zona de obras exteriores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36" customHeight="1">
      <c r="A6" s="6" t="inlineStr">
        <is>
          <t>Zona de obras exteriores</t>
        </is>
      </c>
      <c r="B6" s="6" t="inlineStr">
        <is>
          <t>Estacionamiento de autos</t>
        </is>
      </c>
      <c r="C6" s="7" t="n">
        <v>6</v>
      </c>
      <c r="D6" s="7" t="n"/>
      <c r="E6" s="8" t="n"/>
      <c r="F6" s="6" t="inlineStr">
        <is>
          <t>A.090 art. 17; lineamientos 3.8</t>
        </is>
      </c>
      <c r="G6" s="8" t="n"/>
      <c r="H6" s="8">
        <f>IF(AND(ISNUMBER(D6),ISNUMBER(E6)),D6*E6,IF(ISNUMBER(G6),G6,"—"))</f>
        <v/>
      </c>
      <c r="I6" s="8" t="n">
        <v>12.5</v>
      </c>
      <c r="J6" s="7">
        <f>IF(AND(ISNUMBER(H6),ISNUMBER(I6)),IF(I6&gt;=H6-0.001,"CUMPLE","NO CUMPLE"),"CONFORME")</f>
        <v/>
      </c>
      <c r="K6" s="8" t="n"/>
      <c r="L6" s="8" t="n"/>
      <c r="M6" s="7">
        <f>IF(AND(ISNUMBER(K6),ISNUMBER(I6)),IF(AND(ISNUMBER(L6),I6&lt;=L6),"EN RANGO","SUPERA"),"—")</f>
        <v/>
      </c>
      <c r="N6" s="8" t="n">
        <v>244</v>
      </c>
      <c r="O6" s="6" t="inlineStr">
        <is>
          <t>La A.090 art. 17 pide 1 estacionamiento cada 6 personas del personal dentro del predio: las 6 plazas atienden hasta 36 personas. El estacionamiento interno permite que las usuarias desciendan dentro del refugio (lineamientos 3.8).</t>
        </is>
      </c>
    </row>
    <row r="7" ht="24" customHeight="1">
      <c r="A7" s="6" t="inlineStr">
        <is>
          <t>Zona de obras exteriores</t>
        </is>
      </c>
      <c r="B7" s="6" t="inlineStr">
        <is>
          <t>Patio de descarga</t>
        </is>
      </c>
      <c r="C7" s="7" t="n">
        <v>3</v>
      </c>
      <c r="D7" s="7" t="n"/>
      <c r="E7" s="8" t="n"/>
      <c r="F7" s="6" t="inlineStr">
        <is>
          <t>Lineamientos 2.6</t>
        </is>
      </c>
      <c r="G7" s="8" t="n"/>
      <c r="H7" s="8">
        <f>IF(AND(ISNUMBER(D7),ISNUMBER(E7)),D7*E7,IF(ISNUMBER(G7),G7,"—"))</f>
        <v/>
      </c>
      <c r="I7" s="8" t="n">
        <v>16</v>
      </c>
      <c r="J7" s="7">
        <f>IF(AND(ISNUMBER(H7),ISNUMBER(I7)),IF(I7&gt;=H7-0.001,"CUMPLE","NO CUMPLE"),"CONFORME")</f>
        <v/>
      </c>
      <c r="K7" s="8" t="n"/>
      <c r="L7" s="8" t="n"/>
      <c r="M7" s="7">
        <f>IF(AND(ISNUMBER(K7),ISNUMBER(I7)),IF(AND(ISNUMBER(L7),I7&lt;=L7),"EN RANGO","SUPERA"),"—")</f>
        <v/>
      </c>
      <c r="N7" s="8" t="n">
        <v>256</v>
      </c>
      <c r="O7" s="6" t="inlineStr">
        <is>
          <t>Zona de carga y descarga de proveedores (zaguán de servicio), con acceso a almacenes, despensa y residuos, separada de los espacios de las residentes (lineamientos 2.6).</t>
        </is>
      </c>
    </row>
    <row r="8" ht="24" customHeight="1">
      <c r="A8" s="6" t="inlineStr">
        <is>
          <t>Zona de obras exteriores</t>
        </is>
      </c>
      <c r="B8" s="6" t="inlineStr">
        <is>
          <t>Estacionamiento de motos</t>
        </is>
      </c>
      <c r="C8" s="7" t="n">
        <v>12</v>
      </c>
      <c r="D8" s="7" t="n"/>
      <c r="E8" s="8" t="n"/>
      <c r="F8" s="6" t="inlineStr">
        <is>
          <t>A.090 art. 17</t>
        </is>
      </c>
      <c r="G8" s="8" t="n"/>
      <c r="H8" s="8">
        <f>IF(AND(ISNUMBER(D8),ISNUMBER(E8)),D8*E8,IF(ISNUMBER(G8),G8,"—"))</f>
        <v/>
      </c>
      <c r="I8" s="8" t="n">
        <v>2.52</v>
      </c>
      <c r="J8" s="7">
        <f>IF(AND(ISNUMBER(H8),ISNUMBER(I8)),IF(I8&gt;=H8-0.001,"CUMPLE","NO CUMPLE"),"CONFORME")</f>
        <v/>
      </c>
      <c r="K8" s="8" t="n"/>
      <c r="L8" s="8" t="n"/>
      <c r="M8" s="7">
        <f>IF(AND(ISNUMBER(K8),ISNUMBER(I8)),IF(AND(ISNUMBER(L8),I8&lt;=L8),"EN RANGO","SUPERA"),"—")</f>
        <v/>
      </c>
      <c r="N8" s="8" t="n">
        <v>94.59999999999999</v>
      </c>
      <c r="O8" s="6" t="inlineStr">
        <is>
          <t>Estacionamiento del personal dentro del predio (A.090 art. 17).</t>
        </is>
      </c>
    </row>
    <row r="9" ht="48" customHeight="1">
      <c r="A9" s="6" t="inlineStr">
        <is>
          <t>Zona de obras exteriores</t>
        </is>
      </c>
      <c r="B9" s="6" t="inlineStr">
        <is>
          <t>Garita + SS.HH.</t>
        </is>
      </c>
      <c r="C9" s="7" t="n">
        <v>1</v>
      </c>
      <c r="D9" s="7" t="n">
        <v>1</v>
      </c>
      <c r="E9" s="8" t="n">
        <v>3</v>
      </c>
      <c r="F9" s="6" t="inlineStr">
        <is>
          <t>R.V.M. 208-2019; lineamientos 2.4</t>
        </is>
      </c>
      <c r="G9" s="8" t="n"/>
      <c r="H9" s="8">
        <f>IF(AND(ISNUMBER(D9),ISNUMBER(E9)),D9*E9,IF(ISNUMBER(G9),G9,"—"))</f>
        <v/>
      </c>
      <c r="I9" s="8" t="n">
        <v>10</v>
      </c>
      <c r="J9" s="7">
        <f>IF(AND(ISNUMBER(H9),ISNUMBER(I9)),IF(I9&gt;=H9-0.001,"CUMPLE","NO CUMPLE"),"CONFORME")</f>
        <v/>
      </c>
      <c r="K9" s="8" t="n"/>
      <c r="L9" s="8" t="n"/>
      <c r="M9" s="7">
        <f>IF(AND(ISNUMBER(K9),ISNUMBER(I9)),IF(AND(ISNUMBER(L9),I9&lt;=L9),"EN RANGO","SUPERA"),"—")</f>
        <v/>
      </c>
      <c r="N9" s="8" t="n">
        <v>10</v>
      </c>
      <c r="O9" s="6" t="inlineStr">
        <is>
          <t>Con 1 persona a 3.00 m² por persona (R.V.M. 208-2019), el área mínima es de 3.00 m², y el ambiente tiene 10.00 m². Caseta de vigilancia en el acceso principal, con servicio higiénico para el personal de guardia, comunicación interna y control de los accesos (lineamientos 2.4 y 2.6; R.V.M. 104-2019 num. 13.3.2).</t>
        </is>
      </c>
    </row>
    <row r="10" ht="24" customHeight="1">
      <c r="A10" s="6" t="inlineStr">
        <is>
          <t>Zona de obras exteriores</t>
        </is>
      </c>
      <c r="B10" s="6" t="inlineStr">
        <is>
          <t>Cisterna y tanque elevado</t>
        </is>
      </c>
      <c r="C10" s="7" t="n">
        <v>1</v>
      </c>
      <c r="D10" s="7" t="n"/>
      <c r="E10" s="8" t="n"/>
      <c r="F10" s="6" t="inlineStr">
        <is>
          <t>IS.010; lineamientos 2.8</t>
        </is>
      </c>
      <c r="G10" s="8" t="n"/>
      <c r="H10" s="8">
        <f>IF(AND(ISNUMBER(D10),ISNUMBER(E10)),D10*E10,IF(ISNUMBER(G10),G10,"—"))</f>
        <v/>
      </c>
      <c r="I10" s="8" t="n">
        <v>12</v>
      </c>
      <c r="J10" s="7">
        <f>IF(AND(ISNUMBER(H10),ISNUMBER(I10)),IF(I10&gt;=H10-0.001,"CUMPLE","NO CUMPLE"),"CONFORME")</f>
        <v/>
      </c>
      <c r="K10" s="8" t="n"/>
      <c r="L10" s="8" t="n"/>
      <c r="M10" s="7">
        <f>IF(AND(ISNUMBER(K10),ISNUMBER(I10)),IF(AND(ISNUMBER(L10),I10&lt;=L10),"EN RANGO","SUPERA"),"—")</f>
        <v/>
      </c>
      <c r="N10" s="8" t="n">
        <v>12</v>
      </c>
      <c r="O10" s="6" t="inlineStr">
        <is>
          <t>Almacenamiento de agua potable (lineamientos 2.8; A.030, anexos).</t>
        </is>
      </c>
    </row>
    <row r="11" ht="24" customHeight="1">
      <c r="A11" s="6" t="inlineStr">
        <is>
          <t>Zona de obras exteriores</t>
        </is>
      </c>
      <c r="B11" s="6" t="inlineStr">
        <is>
          <t>PTAR</t>
        </is>
      </c>
      <c r="C11" s="7" t="n">
        <v>1</v>
      </c>
      <c r="D11" s="7" t="n"/>
      <c r="E11" s="8" t="n"/>
      <c r="F11" s="6" t="inlineStr">
        <is>
          <t>IS.020; A.030 anexos</t>
        </is>
      </c>
      <c r="G11" s="8" t="n"/>
      <c r="H11" s="8">
        <f>IF(AND(ISNUMBER(D11),ISNUMBER(E11)),D11*E11,IF(ISNUMBER(G11),G11,"—"))</f>
        <v/>
      </c>
      <c r="I11" s="8" t="n">
        <v>152</v>
      </c>
      <c r="J11" s="7">
        <f>IF(AND(ISNUMBER(H11),ISNUMBER(I11)),IF(I11&gt;=H11-0.001,"CUMPLE","NO CUMPLE"),"CONFORME")</f>
        <v/>
      </c>
      <c r="K11" s="8" t="n"/>
      <c r="L11" s="8" t="n"/>
      <c r="M11" s="7">
        <f>IF(AND(ISNUMBER(K11),ISNUMBER(I11)),IF(AND(ISNUMBER(L11),I11&lt;=L11),"EN RANGO","SUPERA"),"—")</f>
        <v/>
      </c>
      <c r="N11" s="8" t="n">
        <v>152</v>
      </c>
      <c r="O11" s="6" t="inlineStr">
        <is>
          <t>Tratamiento de las aguas residuales del local, previsto por la A.030 cuando no existe red pública de alcantarillado.</t>
        </is>
      </c>
    </row>
    <row r="12" ht="24" customHeight="1">
      <c r="A12" s="6" t="inlineStr">
        <is>
          <t>Zona de obras exteriores</t>
        </is>
      </c>
      <c r="B12" s="6" t="inlineStr">
        <is>
          <t>Cunetas de drenaje pluvial</t>
        </is>
      </c>
      <c r="C12" s="7" t="n">
        <v>1</v>
      </c>
      <c r="D12" s="7" t="n"/>
      <c r="E12" s="8" t="n"/>
      <c r="F12" s="6" t="inlineStr">
        <is>
          <t>Drenaje pluvial</t>
        </is>
      </c>
      <c r="G12" s="8" t="n"/>
      <c r="H12" s="8">
        <f>IF(AND(ISNUMBER(D12),ISNUMBER(E12)),D12*E12,IF(ISNUMBER(G12),G12,"—"))</f>
        <v/>
      </c>
      <c r="I12" s="8" t="n">
        <v>410.1</v>
      </c>
      <c r="J12" s="7">
        <f>IF(AND(ISNUMBER(H12),ISNUMBER(I12)),IF(I12&gt;=H12-0.001,"CUMPLE","NO CUMPLE"),"CONFORME")</f>
        <v/>
      </c>
      <c r="K12" s="8" t="n"/>
      <c r="L12" s="8" t="n"/>
      <c r="M12" s="7">
        <f>IF(AND(ISNUMBER(K12),ISNUMBER(I12)),IF(AND(ISNUMBER(L12),I12&lt;=L12),"EN RANGO","SUPERA"),"—")</f>
        <v/>
      </c>
      <c r="N12" s="8" t="n">
        <v>410.1</v>
      </c>
      <c r="O12" s="6" t="inlineStr">
        <is>
          <t>Sistema de drenaje pluvial del local.</t>
        </is>
      </c>
    </row>
    <row r="13" ht="24" customHeight="1">
      <c r="A13" s="6" t="inlineStr">
        <is>
          <t>Zona de obras exteriores</t>
        </is>
      </c>
      <c r="B13" s="6" t="inlineStr">
        <is>
          <t>Cerco perimétrico</t>
        </is>
      </c>
      <c r="C13" s="7" t="n">
        <v>1</v>
      </c>
      <c r="D13" s="7" t="n"/>
      <c r="E13" s="8" t="n"/>
      <c r="F13" s="6" t="inlineStr">
        <is>
          <t>Lineamientos 2.4</t>
        </is>
      </c>
      <c r="G13" s="8" t="n"/>
      <c r="H13" s="8">
        <f>IF(AND(ISNUMBER(D13),ISNUMBER(E13)),D13*E13,IF(ISNUMBER(G13),G13,"—"))</f>
        <v/>
      </c>
      <c r="I13" s="8" t="n">
        <v>56.75</v>
      </c>
      <c r="J13" s="7">
        <f>IF(AND(ISNUMBER(H13),ISNUMBER(I13)),IF(I13&gt;=H13-0.001,"CUMPLE","NO CUMPLE"),"CONFORME")</f>
        <v/>
      </c>
      <c r="K13" s="8" t="n"/>
      <c r="L13" s="8" t="n"/>
      <c r="M13" s="7">
        <f>IF(AND(ISNUMBER(K13),ISNUMBER(I13)),IF(AND(ISNUMBER(L13),I13&lt;=L13),"EN RANGO","SUPERA"),"—")</f>
        <v/>
      </c>
      <c r="N13" s="8" t="n">
        <v>56.75</v>
      </c>
      <c r="O13" s="6" t="inlineStr">
        <is>
          <t>Cerco de seguridad en todo el perímetro (lineamientos 2.4: barda de al menos 2.00 m).</t>
        </is>
      </c>
    </row>
    <row r="14">
      <c r="A14" s="4" t="inlineStr">
        <is>
          <t>Zona administrativa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36" customHeight="1">
      <c r="A15" s="6" t="inlineStr">
        <is>
          <t>Zona administrativa</t>
        </is>
      </c>
      <c r="B15" s="6" t="inlineStr">
        <is>
          <t>Área de bienvenida</t>
        </is>
      </c>
      <c r="C15" s="7" t="n">
        <v>1</v>
      </c>
      <c r="D15" s="7" t="n">
        <v>5</v>
      </c>
      <c r="E15" s="8" t="n">
        <v>9.5</v>
      </c>
      <c r="F15" s="6" t="inlineStr">
        <is>
          <t>A.080 art. 6</t>
        </is>
      </c>
      <c r="G15" s="8" t="n"/>
      <c r="H15" s="8">
        <f>IF(AND(ISNUMBER(D15),ISNUMBER(E15)),D15*E15,IF(ISNUMBER(G15),G15,"—"))</f>
        <v/>
      </c>
      <c r="I15" s="8" t="n">
        <v>47.5</v>
      </c>
      <c r="J15" s="7">
        <f>IF(AND(ISNUMBER(H15),ISNUMBER(I15)),IF(I15&gt;=H15-0.001,"CUMPLE","NO CUMPLE"),"CONFORME")</f>
        <v/>
      </c>
      <c r="K15" s="8" t="n">
        <v>30</v>
      </c>
      <c r="L15" s="8" t="n">
        <v>40</v>
      </c>
      <c r="M15" s="7">
        <f>IF(AND(ISNUMBER(K15),ISNUMBER(I15)),IF(AND(ISNUMBER(L15),I15&lt;=L15),"EN RANGO","SUPERA"),"—")</f>
        <v/>
      </c>
      <c r="N15" s="8" t="n">
        <v>47.5</v>
      </c>
      <c r="O15" s="6" t="inlineStr">
        <is>
          <t>Con 5 personas a 9.50 m² por persona (A.080 art. 6), el área mínima es de 47.50 m², y el ambiente tiene 47.50 m². Supera la superficie sugerida por los lineamientos (30.00 a 40.00 m²). Recibe a las usuarias desde el ingreso, como espacio acogedor de llegada (lineamientos 2.6 y 3.2).</t>
        </is>
      </c>
    </row>
    <row r="16" ht="24" customHeight="1">
      <c r="A16" s="6" t="inlineStr">
        <is>
          <t>Zona administrativa</t>
        </is>
      </c>
      <c r="B16" s="6" t="inlineStr">
        <is>
          <t>Oficina de dirección</t>
        </is>
      </c>
      <c r="C16" s="7" t="n">
        <v>1</v>
      </c>
      <c r="D16" s="7" t="n">
        <v>2</v>
      </c>
      <c r="E16" s="8" t="n">
        <v>9.5</v>
      </c>
      <c r="F16" s="6" t="inlineStr">
        <is>
          <t>A.080 art. 6</t>
        </is>
      </c>
      <c r="G16" s="8" t="n"/>
      <c r="H16" s="8">
        <f>IF(AND(ISNUMBER(D16),ISNUMBER(E16)),D16*E16,IF(ISNUMBER(G16),G16,"—"))</f>
        <v/>
      </c>
      <c r="I16" s="8" t="n">
        <v>19</v>
      </c>
      <c r="J16" s="7">
        <f>IF(AND(ISNUMBER(H16),ISNUMBER(I16)),IF(I16&gt;=H16-0.001,"CUMPLE","NO CUMPLE"),"CONFORME")</f>
        <v/>
      </c>
      <c r="K16" s="8" t="n">
        <v>6</v>
      </c>
      <c r="L16" s="8" t="n">
        <v>10</v>
      </c>
      <c r="M16" s="7">
        <f>IF(AND(ISNUMBER(K16),ISNUMBER(I16)),IF(AND(ISNUMBER(L16),I16&lt;=L16),"EN RANGO","SUPERA"),"—")</f>
        <v/>
      </c>
      <c r="N16" s="8" t="n">
        <v>19</v>
      </c>
      <c r="O16" s="6" t="inlineStr">
        <is>
          <t>Con 2 personas a 9.50 m² por persona (A.080 art. 6), el área mínima es de 19.00 m², y el ambiente tiene 19.00 m². Supera la superficie sugerida por los lineamientos (6.00 a 10.00 m²).</t>
        </is>
      </c>
    </row>
    <row r="17" ht="24" customHeight="1">
      <c r="A17" s="6" t="inlineStr">
        <is>
          <t>Zona administrativa</t>
        </is>
      </c>
      <c r="B17" s="6" t="inlineStr">
        <is>
          <t>Sala de reuniones</t>
        </is>
      </c>
      <c r="C17" s="7" t="n">
        <v>1</v>
      </c>
      <c r="D17" s="7" t="n">
        <v>25</v>
      </c>
      <c r="E17" s="8" t="n">
        <v>1</v>
      </c>
      <c r="F17" s="6" t="inlineStr">
        <is>
          <t>A.090 art. 11</t>
        </is>
      </c>
      <c r="G17" s="8" t="n"/>
      <c r="H17" s="8">
        <f>IF(AND(ISNUMBER(D17),ISNUMBER(E17)),D17*E17,IF(ISNUMBER(G17),G17,"—"))</f>
        <v/>
      </c>
      <c r="I17" s="8" t="n">
        <v>25</v>
      </c>
      <c r="J17" s="7">
        <f>IF(AND(ISNUMBER(H17),ISNUMBER(I17)),IF(I17&gt;=H17-0.001,"CUMPLE","NO CUMPLE"),"CONFORME")</f>
        <v/>
      </c>
      <c r="K17" s="8" t="n">
        <v>12</v>
      </c>
      <c r="L17" s="8" t="n">
        <v>20</v>
      </c>
      <c r="M17" s="7">
        <f>IF(AND(ISNUMBER(K17),ISNUMBER(I17)),IF(AND(ISNUMBER(L17),I17&lt;=L17),"EN RANGO","SUPERA"),"—")</f>
        <v/>
      </c>
      <c r="N17" s="8" t="n">
        <v>25</v>
      </c>
      <c r="O17" s="6" t="inlineStr">
        <is>
          <t>Con 25 personas a 1.00 m² por persona (A.090 art. 11), el área mínima es de 25.00 m², y el ambiente tiene 25.00 m². Supera la superficie sugerida por los lineamientos (12.00 a 20.00 m²).</t>
        </is>
      </c>
    </row>
    <row r="18" ht="24" customHeight="1">
      <c r="A18" s="6" t="inlineStr">
        <is>
          <t>Zona administrativa</t>
        </is>
      </c>
      <c r="B18" s="6" t="inlineStr">
        <is>
          <t>Secretaría dirección</t>
        </is>
      </c>
      <c r="C18" s="7" t="n">
        <v>1</v>
      </c>
      <c r="D18" s="7" t="n">
        <v>1</v>
      </c>
      <c r="E18" s="8" t="n">
        <v>9.5</v>
      </c>
      <c r="F18" s="6" t="inlineStr">
        <is>
          <t>A.080 art. 6</t>
        </is>
      </c>
      <c r="G18" s="8" t="n"/>
      <c r="H18" s="8">
        <f>IF(AND(ISNUMBER(D18),ISNUMBER(E18)),D18*E18,IF(ISNUMBER(G18),G18,"—"))</f>
        <v/>
      </c>
      <c r="I18" s="8" t="n">
        <v>9.5</v>
      </c>
      <c r="J18" s="7">
        <f>IF(AND(ISNUMBER(H18),ISNUMBER(I18)),IF(I18&gt;=H18-0.001,"CUMPLE","NO CUMPLE"),"CONFORME")</f>
        <v/>
      </c>
      <c r="K18" s="8" t="n"/>
      <c r="L18" s="8" t="n"/>
      <c r="M18" s="7">
        <f>IF(AND(ISNUMBER(K18),ISNUMBER(I18)),IF(AND(ISNUMBER(L18),I18&lt;=L18),"EN RANGO","SUPERA"),"—")</f>
        <v/>
      </c>
      <c r="N18" s="8" t="n">
        <v>9.5</v>
      </c>
      <c r="O18" s="6" t="inlineStr">
        <is>
          <t>Con 1 persona a 9.50 m² por persona (A.080 art. 6), el área mínima es de 9.50 m², y el ambiente tiene 9.50 m².</t>
        </is>
      </c>
    </row>
    <row r="19" ht="24" customHeight="1">
      <c r="A19" s="6" t="inlineStr">
        <is>
          <t>Zona administrativa</t>
        </is>
      </c>
      <c r="B19" s="6" t="inlineStr">
        <is>
          <t>Oficina de administración</t>
        </is>
      </c>
      <c r="C19" s="7" t="n">
        <v>1</v>
      </c>
      <c r="D19" s="7" t="n">
        <v>2</v>
      </c>
      <c r="E19" s="8" t="n">
        <v>9.5</v>
      </c>
      <c r="F19" s="6" t="inlineStr">
        <is>
          <t>A.080 art. 6</t>
        </is>
      </c>
      <c r="G19" s="8" t="n"/>
      <c r="H19" s="8">
        <f>IF(AND(ISNUMBER(D19),ISNUMBER(E19)),D19*E19,IF(ISNUMBER(G19),G19,"—"))</f>
        <v/>
      </c>
      <c r="I19" s="8" t="n">
        <v>19.5</v>
      </c>
      <c r="J19" s="7">
        <f>IF(AND(ISNUMBER(H19),ISNUMBER(I19)),IF(I19&gt;=H19-0.001,"CUMPLE","NO CUMPLE"),"CONFORME")</f>
        <v/>
      </c>
      <c r="K19" s="8" t="n"/>
      <c r="L19" s="8" t="n"/>
      <c r="M19" s="7">
        <f>IF(AND(ISNUMBER(K19),ISNUMBER(I19)),IF(AND(ISNUMBER(L19),I19&lt;=L19),"EN RANGO","SUPERA"),"—")</f>
        <v/>
      </c>
      <c r="N19" s="8" t="n">
        <v>19.5</v>
      </c>
      <c r="O19" s="6" t="inlineStr">
        <is>
          <t>Con 2 personas a 9.50 m² por persona (A.080 art. 6), el área mínima es de 19.00 m², y el ambiente tiene 19.50 m².</t>
        </is>
      </c>
    </row>
    <row r="20" ht="24" customHeight="1">
      <c r="A20" s="6" t="inlineStr">
        <is>
          <t>Zona administrativa</t>
        </is>
      </c>
      <c r="B20" s="6" t="inlineStr">
        <is>
          <t>Sala de espera</t>
        </is>
      </c>
      <c r="C20" s="7" t="n">
        <v>1</v>
      </c>
      <c r="D20" s="7" t="n">
        <v>4</v>
      </c>
      <c r="E20" s="8" t="n">
        <v>9.5</v>
      </c>
      <c r="F20" s="6" t="inlineStr">
        <is>
          <t>A.080 art. 6</t>
        </is>
      </c>
      <c r="G20" s="8" t="n"/>
      <c r="H20" s="8">
        <f>IF(AND(ISNUMBER(D20),ISNUMBER(E20)),D20*E20,IF(ISNUMBER(G20),G20,"—"))</f>
        <v/>
      </c>
      <c r="I20" s="8" t="n">
        <v>38</v>
      </c>
      <c r="J20" s="7">
        <f>IF(AND(ISNUMBER(H20),ISNUMBER(I20)),IF(I20&gt;=H20-0.001,"CUMPLE","NO CUMPLE"),"CONFORME")</f>
        <v/>
      </c>
      <c r="K20" s="8" t="n"/>
      <c r="L20" s="8" t="n"/>
      <c r="M20" s="7">
        <f>IF(AND(ISNUMBER(K20),ISNUMBER(I20)),IF(AND(ISNUMBER(L20),I20&lt;=L20),"EN RANGO","SUPERA"),"—")</f>
        <v/>
      </c>
      <c r="N20" s="8" t="n">
        <v>38</v>
      </c>
      <c r="O20" s="6" t="inlineStr">
        <is>
          <t>Con 4 personas a 9.50 m² por persona (A.080 art. 6), el área mínima es de 38.00 m², y el ambiente tiene 38.00 m². Área de espera junto a las oficinas (R.V.M. 104-2019 num. 13.1.1).</t>
        </is>
      </c>
    </row>
    <row r="21" ht="24" customHeight="1">
      <c r="A21" s="6" t="inlineStr">
        <is>
          <t>Zona administrativa</t>
        </is>
      </c>
      <c r="B21" s="6" t="inlineStr">
        <is>
          <t>SS.HH. mujeres</t>
        </is>
      </c>
      <c r="C21" s="7" t="n">
        <v>1</v>
      </c>
      <c r="D21" s="7" t="n"/>
      <c r="E21" s="8" t="n"/>
      <c r="F21" s="6" t="inlineStr">
        <is>
          <t>A.090 art. 15</t>
        </is>
      </c>
      <c r="G21" s="8" t="n"/>
      <c r="H21" s="8">
        <f>IF(AND(ISNUMBER(D21),ISNUMBER(E21)),D21*E21,IF(ISNUMBER(G21),G21,"—"))</f>
        <v/>
      </c>
      <c r="I21" s="8" t="n">
        <v>4</v>
      </c>
      <c r="J21" s="7">
        <f>IF(AND(ISNUMBER(H21),ISNUMBER(I21)),IF(I21&gt;=H21-0.001,"CUMPLE","NO CUMPLE"),"CONFORME")</f>
        <v/>
      </c>
      <c r="K21" s="8" t="n"/>
      <c r="L21" s="8" t="n"/>
      <c r="M21" s="7">
        <f>IF(AND(ISNUMBER(K21),ISNUMBER(I21)),IF(AND(ISNUMBER(L21),I21&lt;=L21),"EN RANGO","SUPERA"),"—")</f>
        <v/>
      </c>
      <c r="N21" s="8" t="n">
        <v>4</v>
      </c>
      <c r="O21" s="6" t="inlineStr">
        <is>
          <t>A.090 art. 15, de 7 a 25 empleados: mujeres 1 lavatorio y 1 inodoro.</t>
        </is>
      </c>
    </row>
    <row r="22" ht="24" customHeight="1">
      <c r="A22" s="6" t="inlineStr">
        <is>
          <t>Zona administrativa</t>
        </is>
      </c>
      <c r="B22" s="6" t="inlineStr">
        <is>
          <t>SS.HH. varones</t>
        </is>
      </c>
      <c r="C22" s="7" t="n">
        <v>1</v>
      </c>
      <c r="D22" s="7" t="n"/>
      <c r="E22" s="8" t="n"/>
      <c r="F22" s="6" t="inlineStr">
        <is>
          <t>A.090 art. 15</t>
        </is>
      </c>
      <c r="G22" s="8" t="n"/>
      <c r="H22" s="8">
        <f>IF(AND(ISNUMBER(D22),ISNUMBER(E22)),D22*E22,IF(ISNUMBER(G22),G22,"—"))</f>
        <v/>
      </c>
      <c r="I22" s="8" t="n">
        <v>7.2</v>
      </c>
      <c r="J22" s="7">
        <f>IF(AND(ISNUMBER(H22),ISNUMBER(I22)),IF(I22&gt;=H22-0.001,"CUMPLE","NO CUMPLE"),"CONFORME")</f>
        <v/>
      </c>
      <c r="K22" s="8" t="n"/>
      <c r="L22" s="8" t="n"/>
      <c r="M22" s="7">
        <f>IF(AND(ISNUMBER(K22),ISNUMBER(I22)),IF(AND(ISNUMBER(L22),I22&lt;=L22),"EN RANGO","SUPERA"),"—")</f>
        <v/>
      </c>
      <c r="N22" s="8" t="n">
        <v>7.2</v>
      </c>
      <c r="O22" s="6" t="inlineStr">
        <is>
          <t>A.090 art. 15, de 7 a 25 empleados: hombres 1 lavatorio, 1 urinario y 1 inodoro.</t>
        </is>
      </c>
    </row>
    <row r="23" ht="24" customHeight="1">
      <c r="A23" s="6" t="inlineStr">
        <is>
          <t>Zona administrativa</t>
        </is>
      </c>
      <c r="B23" s="6" t="inlineStr">
        <is>
          <t>SS.HH. discapacitados</t>
        </is>
      </c>
      <c r="C23" s="7" t="n">
        <v>1</v>
      </c>
      <c r="D23" s="7" t="n"/>
      <c r="E23" s="8" t="n"/>
      <c r="F23" s="6" t="inlineStr">
        <is>
          <t>A.090 art. 16; A.120</t>
        </is>
      </c>
      <c r="G23" s="8" t="n"/>
      <c r="H23" s="8">
        <f>IF(AND(ISNUMBER(D23),ISNUMBER(E23)),D23*E23,IF(ISNUMBER(G23),G23,"—"))</f>
        <v/>
      </c>
      <c r="I23" s="8" t="n">
        <v>5</v>
      </c>
      <c r="J23" s="7">
        <f>IF(AND(ISNUMBER(H23),ISNUMBER(I23)),IF(I23&gt;=H23-0.001,"CUMPLE","NO CUMPLE"),"CONFORME")</f>
        <v/>
      </c>
      <c r="K23" s="8" t="n"/>
      <c r="L23" s="8" t="n"/>
      <c r="M23" s="7">
        <f>IF(AND(ISNUMBER(K23),ISNUMBER(I23)),IF(AND(ISNUMBER(L23),I23&lt;=L23),"EN RANGO","SUPERA"),"—")</f>
        <v/>
      </c>
      <c r="N23" s="8" t="n">
        <v>5</v>
      </c>
      <c r="O23" s="6" t="inlineStr">
        <is>
          <t>Servicio para personas con discapacidad adicional a los aparatos exigibles (A.090 art. 16), con las dimensiones de la A.120.</t>
        </is>
      </c>
    </row>
    <row r="24" ht="24" customHeight="1">
      <c r="A24" s="6" t="inlineStr">
        <is>
          <t>Zona administrativa</t>
        </is>
      </c>
      <c r="B24" s="6" t="inlineStr">
        <is>
          <t>Cuarto de limpieza</t>
        </is>
      </c>
      <c r="C24" s="7" t="n">
        <v>1</v>
      </c>
      <c r="D24" s="7" t="n"/>
      <c r="E24" s="8" t="n"/>
      <c r="F24" s="6" t="inlineStr">
        <is>
          <t>R.V.M. 104-2019 num. 13.3.5</t>
        </is>
      </c>
      <c r="G24" s="8" t="n"/>
      <c r="H24" s="8">
        <f>IF(AND(ISNUMBER(D24),ISNUMBER(E24)),D24*E24,IF(ISNUMBER(G24),G24,"—"))</f>
        <v/>
      </c>
      <c r="I24" s="8" t="n">
        <v>4.8</v>
      </c>
      <c r="J24" s="7">
        <f>IF(AND(ISNUMBER(H24),ISNUMBER(I24)),IF(I24&gt;=H24-0.001,"CUMPLE","NO CUMPLE"),"CONFORME")</f>
        <v/>
      </c>
      <c r="K24" s="8" t="n"/>
      <c r="L24" s="8" t="n"/>
      <c r="M24" s="7">
        <f>IF(AND(ISNUMBER(K24),ISNUMBER(I24)),IF(AND(ISNUMBER(L24),I24&lt;=L24),"EN RANGO","SUPERA"),"—")</f>
        <v/>
      </c>
      <c r="N24" s="8" t="n">
        <v>4.8</v>
      </c>
      <c r="O24" s="6" t="inlineStr">
        <is>
          <t>Guardado de implementos de limpieza, con lavadero y sumidero (R.V.M. 104-2019 num. 13.3.5).</t>
        </is>
      </c>
    </row>
    <row r="25" ht="36" customHeight="1">
      <c r="A25" s="6" t="inlineStr">
        <is>
          <t>Zona administrativa</t>
        </is>
      </c>
      <c r="B25" s="6" t="inlineStr">
        <is>
          <t>Sala de visitas</t>
        </is>
      </c>
      <c r="C25" s="7" t="n">
        <v>1</v>
      </c>
      <c r="D25" s="7" t="n">
        <v>5</v>
      </c>
      <c r="E25" s="8" t="n">
        <v>9.5</v>
      </c>
      <c r="F25" s="6" t="inlineStr">
        <is>
          <t>A.080 art. 6</t>
        </is>
      </c>
      <c r="G25" s="8" t="n"/>
      <c r="H25" s="8">
        <f>IF(AND(ISNUMBER(D25),ISNUMBER(E25)),D25*E25,IF(ISNUMBER(G25),G25,"—"))</f>
        <v/>
      </c>
      <c r="I25" s="8" t="n">
        <v>47.5</v>
      </c>
      <c r="J25" s="7">
        <f>IF(AND(ISNUMBER(H25),ISNUMBER(I25)),IF(I25&gt;=H25-0.001,"CUMPLE","NO CUMPLE"),"CONFORME")</f>
        <v/>
      </c>
      <c r="K25" s="8" t="n"/>
      <c r="L25" s="8" t="n"/>
      <c r="M25" s="7">
        <f>IF(AND(ISNUMBER(K25),ISNUMBER(I25)),IF(AND(ISNUMBER(L25),I25&lt;=L25),"EN RANGO","SUPERA"),"—")</f>
        <v/>
      </c>
      <c r="N25" s="8" t="n">
        <v>47.5</v>
      </c>
      <c r="O25" s="6" t="inlineStr">
        <is>
          <t>Con 5 personas a 9.50 m² por persona (A.080 art. 6), el área mínima es de 47.50 m², y el ambiente tiene 47.50 m². Junto al ingreso y separada de las áreas privadas, para la confidencialidad de las usuarias (lineamientos 2.6).</t>
        </is>
      </c>
    </row>
    <row r="26" ht="36" customHeight="1">
      <c r="A26" s="6" t="inlineStr">
        <is>
          <t>Zona administrativa</t>
        </is>
      </c>
      <c r="B26" s="6" t="inlineStr">
        <is>
          <t>Psicología</t>
        </is>
      </c>
      <c r="C26" s="7" t="n">
        <v>1</v>
      </c>
      <c r="D26" s="7" t="n">
        <v>2</v>
      </c>
      <c r="E26" s="8" t="n">
        <v>10</v>
      </c>
      <c r="F26" s="6" t="inlineStr">
        <is>
          <t>A.090 art. 11</t>
        </is>
      </c>
      <c r="G26" s="8" t="n"/>
      <c r="H26" s="8">
        <f>IF(AND(ISNUMBER(D26),ISNUMBER(E26)),D26*E26,IF(ISNUMBER(G26),G26,"—"))</f>
        <v/>
      </c>
      <c r="I26" s="8" t="n">
        <v>20</v>
      </c>
      <c r="J26" s="7">
        <f>IF(AND(ISNUMBER(H26),ISNUMBER(I26)),IF(I26&gt;=H26-0.001,"CUMPLE","NO CUMPLE"),"CONFORME")</f>
        <v/>
      </c>
      <c r="K26" s="8" t="n">
        <v>9</v>
      </c>
      <c r="L26" s="8" t="n">
        <v>13</v>
      </c>
      <c r="M26" s="7">
        <f>IF(AND(ISNUMBER(K26),ISNUMBER(I26)),IF(AND(ISNUMBER(L26),I26&lt;=L26),"EN RANGO","SUPERA"),"—")</f>
        <v/>
      </c>
      <c r="N26" s="8" t="n">
        <v>20</v>
      </c>
      <c r="O26" s="6" t="inlineStr">
        <is>
          <t>Con 2 personas a 10.00 m² por persona (A.090 art. 11), el área mínima es de 20.00 m², y el ambiente tiene 20.00 m². Supera la superficie sugerida por los lineamientos (9.00 a 13.00 m²). Atención individual con privacidad acústica (lineamientos 3.5).</t>
        </is>
      </c>
    </row>
    <row r="27" ht="24" customHeight="1">
      <c r="A27" s="6" t="inlineStr">
        <is>
          <t>Zona administrativa</t>
        </is>
      </c>
      <c r="B27" s="6" t="inlineStr">
        <is>
          <t>Asesoría legal</t>
        </is>
      </c>
      <c r="C27" s="7" t="n">
        <v>1</v>
      </c>
      <c r="D27" s="7" t="n">
        <v>2</v>
      </c>
      <c r="E27" s="8" t="n">
        <v>10</v>
      </c>
      <c r="F27" s="6" t="inlineStr">
        <is>
          <t>A.090 art. 11</t>
        </is>
      </c>
      <c r="G27" s="8" t="n"/>
      <c r="H27" s="8">
        <f>IF(AND(ISNUMBER(D27),ISNUMBER(E27)),D27*E27,IF(ISNUMBER(G27),G27,"—"))</f>
        <v/>
      </c>
      <c r="I27" s="8" t="n">
        <v>20</v>
      </c>
      <c r="J27" s="7">
        <f>IF(AND(ISNUMBER(H27),ISNUMBER(I27)),IF(I27&gt;=H27-0.001,"CUMPLE","NO CUMPLE"),"CONFORME")</f>
        <v/>
      </c>
      <c r="K27" s="8" t="n">
        <v>6</v>
      </c>
      <c r="L27" s="8" t="n">
        <v>10</v>
      </c>
      <c r="M27" s="7">
        <f>IF(AND(ISNUMBER(K27),ISNUMBER(I27)),IF(AND(ISNUMBER(L27),I27&lt;=L27),"EN RANGO","SUPERA"),"—")</f>
        <v/>
      </c>
      <c r="N27" s="8" t="n">
        <v>20</v>
      </c>
      <c r="O27" s="6" t="inlineStr">
        <is>
          <t>Con 2 personas a 10.00 m² por persona (A.090 art. 11), el área mínima es de 20.00 m², y el ambiente tiene 20.00 m². Supera la superficie sugerida por los lineamientos (6.00 a 10.00 m²).</t>
        </is>
      </c>
    </row>
    <row r="28" ht="24" customHeight="1">
      <c r="A28" s="6" t="inlineStr">
        <is>
          <t>Zona administrativa</t>
        </is>
      </c>
      <c r="B28" s="6" t="inlineStr">
        <is>
          <t>Asistencia social</t>
        </is>
      </c>
      <c r="C28" s="7" t="n">
        <v>1</v>
      </c>
      <c r="D28" s="7" t="n">
        <v>2</v>
      </c>
      <c r="E28" s="8" t="n">
        <v>10</v>
      </c>
      <c r="F28" s="6" t="inlineStr">
        <is>
          <t>A.090 art. 11</t>
        </is>
      </c>
      <c r="G28" s="8" t="n"/>
      <c r="H28" s="8">
        <f>IF(AND(ISNUMBER(D28),ISNUMBER(E28)),D28*E28,IF(ISNUMBER(G28),G28,"—"))</f>
        <v/>
      </c>
      <c r="I28" s="8" t="n">
        <v>20</v>
      </c>
      <c r="J28" s="7">
        <f>IF(AND(ISNUMBER(H28),ISNUMBER(I28)),IF(I28&gt;=H28-0.001,"CUMPLE","NO CUMPLE"),"CONFORME")</f>
        <v/>
      </c>
      <c r="K28" s="8" t="n">
        <v>6</v>
      </c>
      <c r="L28" s="8" t="n">
        <v>10</v>
      </c>
      <c r="M28" s="7">
        <f>IF(AND(ISNUMBER(K28),ISNUMBER(I28)),IF(AND(ISNUMBER(L28),I28&lt;=L28),"EN RANGO","SUPERA"),"—")</f>
        <v/>
      </c>
      <c r="N28" s="8" t="n">
        <v>20</v>
      </c>
      <c r="O28" s="6" t="inlineStr">
        <is>
          <t>Con 2 personas a 10.00 m² por persona (A.090 art. 11), el área mínima es de 20.00 m², y el ambiente tiene 20.00 m². Supera la superficie sugerida por los lineamientos (6.00 a 10.00 m²).</t>
        </is>
      </c>
    </row>
    <row r="29" ht="36" customHeight="1">
      <c r="A29" s="6" t="inlineStr">
        <is>
          <t>Zona administrativa</t>
        </is>
      </c>
      <c r="B29" s="6" t="inlineStr">
        <is>
          <t>Tópico</t>
        </is>
      </c>
      <c r="C29" s="7" t="n">
        <v>1</v>
      </c>
      <c r="D29" s="7" t="n">
        <v>3</v>
      </c>
      <c r="E29" s="8" t="n">
        <v>10</v>
      </c>
      <c r="F29" s="6" t="inlineStr">
        <is>
          <t>A.090 art. 11</t>
        </is>
      </c>
      <c r="G29" s="8" t="n"/>
      <c r="H29" s="8">
        <f>IF(AND(ISNUMBER(D29),ISNUMBER(E29)),D29*E29,IF(ISNUMBER(G29),G29,"—"))</f>
        <v/>
      </c>
      <c r="I29" s="8" t="n">
        <v>30</v>
      </c>
      <c r="J29" s="7">
        <f>IF(AND(ISNUMBER(H29),ISNUMBER(I29)),IF(I29&gt;=H29-0.001,"CUMPLE","NO CUMPLE"),"CONFORME")</f>
        <v/>
      </c>
      <c r="K29" s="8" t="n">
        <v>9</v>
      </c>
      <c r="L29" s="8" t="n">
        <v>14</v>
      </c>
      <c r="M29" s="7">
        <f>IF(AND(ISNUMBER(K29),ISNUMBER(I29)),IF(AND(ISNUMBER(L29),I29&lt;=L29),"EN RANGO","SUPERA"),"—")</f>
        <v/>
      </c>
      <c r="N29" s="8" t="n">
        <v>30</v>
      </c>
      <c r="O29" s="6" t="inlineStr">
        <is>
          <t>Con 3 personas a 10.00 m² por persona (A.090 art. 11), el área mínima es de 30.00 m², y el ambiente tiene 30.00 m². Supera la superficie sugerida por los lineamientos (9.00 a 14.00 m²). Mayor que el tópico de la R.V.M. 104-2019 (7.00 m², cuadro 22).</t>
        </is>
      </c>
    </row>
    <row r="30" ht="36" customHeight="1">
      <c r="A30" s="6" t="inlineStr">
        <is>
          <t>Zona administrativa</t>
        </is>
      </c>
      <c r="B30" s="6" t="inlineStr">
        <is>
          <t>Cuarto de cámaras de vigilancia</t>
        </is>
      </c>
      <c r="C30" s="7" t="n">
        <v>1</v>
      </c>
      <c r="D30" s="7" t="n">
        <v>4</v>
      </c>
      <c r="E30" s="8" t="n">
        <v>3</v>
      </c>
      <c r="F30" s="6" t="inlineStr">
        <is>
          <t>R.V.M. 208-2019; lineamientos 2.4</t>
        </is>
      </c>
      <c r="G30" s="8" t="n"/>
      <c r="H30" s="8">
        <f>IF(AND(ISNUMBER(D30),ISNUMBER(E30)),D30*E30,IF(ISNUMBER(G30),G30,"—"))</f>
        <v/>
      </c>
      <c r="I30" s="8" t="n">
        <v>15</v>
      </c>
      <c r="J30" s="7">
        <f>IF(AND(ISNUMBER(H30),ISNUMBER(I30)),IF(I30&gt;=H30-0.001,"CUMPLE","NO CUMPLE"),"CONFORME")</f>
        <v/>
      </c>
      <c r="K30" s="8" t="n"/>
      <c r="L30" s="8" t="n"/>
      <c r="M30" s="7">
        <f>IF(AND(ISNUMBER(K30),ISNUMBER(I30)),IF(AND(ISNUMBER(L30),I30&lt;=L30),"EN RANGO","SUPERA"),"—")</f>
        <v/>
      </c>
      <c r="N30" s="8" t="n">
        <v>15</v>
      </c>
      <c r="O30" s="6" t="inlineStr">
        <is>
          <t>Con 4 personas a 3.00 m² por persona (R.V.M. 208-2019), el área mínima es de 12.00 m², y el ambiente tiene 15.00 m². Monitoreo del circuito cerrado de accesos, perímetro y áreas comunes (lineamientos 2.4 y 2.5).</t>
        </is>
      </c>
    </row>
    <row r="31" ht="24" customHeight="1">
      <c r="A31" s="6" t="inlineStr">
        <is>
          <t>Zona administrativa</t>
        </is>
      </c>
      <c r="B31" s="6" t="inlineStr">
        <is>
          <t>Data center</t>
        </is>
      </c>
      <c r="C31" s="7" t="n">
        <v>1</v>
      </c>
      <c r="D31" s="7" t="n">
        <v>2</v>
      </c>
      <c r="E31" s="8" t="n"/>
      <c r="F31" s="6" t="inlineStr">
        <is>
          <t>EM.010; lineamientos 2.8</t>
        </is>
      </c>
      <c r="G31" s="8" t="n"/>
      <c r="H31" s="8">
        <f>IF(AND(ISNUMBER(D31),ISNUMBER(E31)),D31*E31,IF(ISNUMBER(G31),G31,"—"))</f>
        <v/>
      </c>
      <c r="I31" s="8" t="n">
        <v>6</v>
      </c>
      <c r="J31" s="7">
        <f>IF(AND(ISNUMBER(H31),ISNUMBER(I31)),IF(I31&gt;=H31-0.001,"CUMPLE","NO CUMPLE"),"CONFORME")</f>
        <v/>
      </c>
      <c r="K31" s="8" t="n"/>
      <c r="L31" s="8" t="n"/>
      <c r="M31" s="7">
        <f>IF(AND(ISNUMBER(K31),ISNUMBER(I31)),IF(AND(ISNUMBER(L31),I31&lt;=L31),"EN RANGO","SUPERA"),"—")</f>
        <v/>
      </c>
      <c r="N31" s="8" t="n">
        <v>6</v>
      </c>
      <c r="O31" s="6" t="inlineStr">
        <is>
          <t>Equipos de comunicaciones e internet (lineamientos 2.8).</t>
        </is>
      </c>
    </row>
    <row r="32" ht="24" customHeight="1">
      <c r="A32" s="6" t="inlineStr">
        <is>
          <t>Zona administrativa</t>
        </is>
      </c>
      <c r="B32" s="6" t="inlineStr">
        <is>
          <t>Archivo</t>
        </is>
      </c>
      <c r="C32" s="7" t="n">
        <v>1</v>
      </c>
      <c r="D32" s="7" t="n">
        <v>2</v>
      </c>
      <c r="E32" s="8" t="n"/>
      <c r="F32" s="6" t="inlineStr">
        <is>
          <t>R.V.M. 104-2019 cuadro 21</t>
        </is>
      </c>
      <c r="G32" s="8" t="n">
        <v>6</v>
      </c>
      <c r="H32" s="8">
        <f>IF(AND(ISNUMBER(D32),ISNUMBER(E32)),D32*E32,IF(ISNUMBER(G32),G32,"—"))</f>
        <v/>
      </c>
      <c r="I32" s="8" t="n">
        <v>12</v>
      </c>
      <c r="J32" s="7">
        <f>IF(AND(ISNUMBER(H32),ISNUMBER(I32)),IF(I32&gt;=H32-0.001,"CUMPLE","NO CUMPLE"),"CONFORME")</f>
        <v/>
      </c>
      <c r="K32" s="8" t="n"/>
      <c r="L32" s="8" t="n"/>
      <c r="M32" s="7">
        <f>IF(AND(ISNUMBER(K32),ISNUMBER(I32)),IF(AND(ISNUMBER(L32),I32&lt;=L32),"EN RANGO","SUPERA"),"—")</f>
        <v/>
      </c>
      <c r="N32" s="8" t="n">
        <v>12</v>
      </c>
      <c r="O32" s="6" t="inlineStr">
        <is>
          <t>El área mínima es de 6.00 m² y el ambiente tiene 12.00 m². R.V.M. 104-2019: archivo de 6.00 m², contiguo a las oficinas.</t>
        </is>
      </c>
    </row>
    <row r="33" ht="24" customHeight="1">
      <c r="A33" s="6" t="inlineStr">
        <is>
          <t>Zona administrativa</t>
        </is>
      </c>
      <c r="B33" s="6" t="inlineStr">
        <is>
          <t>Depósito</t>
        </is>
      </c>
      <c r="C33" s="7" t="n">
        <v>1</v>
      </c>
      <c r="D33" s="7" t="n">
        <v>2</v>
      </c>
      <c r="E33" s="8" t="n"/>
      <c r="F33" s="6" t="inlineStr">
        <is>
          <t>R.V.M. 104-2019 num. 13.3.1</t>
        </is>
      </c>
      <c r="G33" s="8" t="n">
        <v>10</v>
      </c>
      <c r="H33" s="8">
        <f>IF(AND(ISNUMBER(D33),ISNUMBER(E33)),D33*E33,IF(ISNUMBER(G33),G33,"—"))</f>
        <v/>
      </c>
      <c r="I33" s="8" t="n">
        <v>15</v>
      </c>
      <c r="J33" s="7">
        <f>IF(AND(ISNUMBER(H33),ISNUMBER(I33)),IF(I33&gt;=H33-0.001,"CUMPLE","NO CUMPLE"),"CONFORME")</f>
        <v/>
      </c>
      <c r="K33" s="8" t="n"/>
      <c r="L33" s="8" t="n"/>
      <c r="M33" s="7">
        <f>IF(AND(ISNUMBER(K33),ISNUMBER(I33)),IF(AND(ISNUMBER(L33),I33&lt;=L33),"EN RANGO","SUPERA"),"—")</f>
        <v/>
      </c>
      <c r="N33" s="8" t="n">
        <v>15</v>
      </c>
      <c r="O33" s="6" t="inlineStr">
        <is>
          <t>El área mínima es de 10.00 m² y el ambiente tiene 15.00 m². R.V.M. 104-2019: almacén o depósito no menor de 10.00 m².</t>
        </is>
      </c>
    </row>
    <row r="34">
      <c r="A34" s="4" t="inlineStr">
        <is>
          <t>Zona de ambientes especializados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36" customHeight="1">
      <c r="A35" s="6" t="inlineStr">
        <is>
          <t>Zona de ambientes especializados</t>
        </is>
      </c>
      <c r="B35" s="6" t="inlineStr">
        <is>
          <t>Taller de bisutería</t>
        </is>
      </c>
      <c r="C35" s="7" t="n">
        <v>1</v>
      </c>
      <c r="D35" s="7" t="n">
        <v>20</v>
      </c>
      <c r="E35" s="8" t="n">
        <v>3</v>
      </c>
      <c r="F35" s="6" t="inlineStr">
        <is>
          <t>A.040 art. 13</t>
        </is>
      </c>
      <c r="G35" s="8" t="n"/>
      <c r="H35" s="8">
        <f>IF(AND(ISNUMBER(D35),ISNUMBER(E35)),D35*E35,IF(ISNUMBER(G35),G35,"—"))</f>
        <v/>
      </c>
      <c r="I35" s="8" t="n">
        <v>60</v>
      </c>
      <c r="J35" s="7">
        <f>IF(AND(ISNUMBER(H35),ISNUMBER(I35)),IF(I35&gt;=H35-0.001,"CUMPLE","NO CUMPLE"),"CONFORME")</f>
        <v/>
      </c>
      <c r="K35" s="8" t="n">
        <v>45</v>
      </c>
      <c r="L35" s="8" t="n"/>
      <c r="M35" s="7">
        <f>IF(AND(ISNUMBER(K35),ISNUMBER(I35)),IF(AND(ISNUMBER(L35),I35&lt;=L35),"EN RANGO","SUPERA"),"—")</f>
        <v/>
      </c>
      <c r="N35" s="8" t="n">
        <v>60</v>
      </c>
      <c r="O35" s="6" t="inlineStr">
        <is>
          <t>Con 20 personas a 3.00 m² por persona (A.040 art. 13), el área mínima es de 60.00 m², y el ambiente tiene 60.00 m². Supera la superficie sugerida por los lineamientos (45.00 m²). Taller productivo para la autonomía económica de las usuarias (lineamientos 3.7).</t>
        </is>
      </c>
    </row>
    <row r="36" ht="36" customHeight="1">
      <c r="A36" s="6" t="inlineStr">
        <is>
          <t>Zona de ambientes especializados</t>
        </is>
      </c>
      <c r="B36" s="6" t="inlineStr">
        <is>
          <t>Taller de repostería</t>
        </is>
      </c>
      <c r="C36" s="7" t="n">
        <v>1</v>
      </c>
      <c r="D36" s="7" t="n">
        <v>20</v>
      </c>
      <c r="E36" s="8" t="n">
        <v>3</v>
      </c>
      <c r="F36" s="6" t="inlineStr">
        <is>
          <t>A.040 art. 13</t>
        </is>
      </c>
      <c r="G36" s="8" t="n"/>
      <c r="H36" s="8">
        <f>IF(AND(ISNUMBER(D36),ISNUMBER(E36)),D36*E36,IF(ISNUMBER(G36),G36,"—"))</f>
        <v/>
      </c>
      <c r="I36" s="8" t="n">
        <v>60</v>
      </c>
      <c r="J36" s="7">
        <f>IF(AND(ISNUMBER(H36),ISNUMBER(I36)),IF(I36&gt;=H36-0.001,"CUMPLE","NO CUMPLE"),"CONFORME")</f>
        <v/>
      </c>
      <c r="K36" s="8" t="n">
        <v>45</v>
      </c>
      <c r="L36" s="8" t="n"/>
      <c r="M36" s="7">
        <f>IF(AND(ISNUMBER(K36),ISNUMBER(I36)),IF(AND(ISNUMBER(L36),I36&lt;=L36),"EN RANGO","SUPERA"),"—")</f>
        <v/>
      </c>
      <c r="N36" s="8" t="n">
        <v>60</v>
      </c>
      <c r="O36" s="6" t="inlineStr">
        <is>
          <t>Con 20 personas a 3.00 m² por persona (A.040 art. 13), el área mínima es de 60.00 m², y el ambiente tiene 60.00 m². Supera la superficie sugerida por los lineamientos (45.00 m²). Taller productivo para la autonomía económica de las usuarias (lineamientos 3.7).</t>
        </is>
      </c>
    </row>
    <row r="37" ht="36" customHeight="1">
      <c r="A37" s="6" t="inlineStr">
        <is>
          <t>Zona de ambientes especializados</t>
        </is>
      </c>
      <c r="B37" s="6" t="inlineStr">
        <is>
          <t>Taller de costura</t>
        </is>
      </c>
      <c r="C37" s="7" t="n">
        <v>1</v>
      </c>
      <c r="D37" s="7" t="n">
        <v>20</v>
      </c>
      <c r="E37" s="8" t="n">
        <v>3</v>
      </c>
      <c r="F37" s="6" t="inlineStr">
        <is>
          <t>A.040 art. 13</t>
        </is>
      </c>
      <c r="G37" s="8" t="n"/>
      <c r="H37" s="8">
        <f>IF(AND(ISNUMBER(D37),ISNUMBER(E37)),D37*E37,IF(ISNUMBER(G37),G37,"—"))</f>
        <v/>
      </c>
      <c r="I37" s="8" t="n">
        <v>60</v>
      </c>
      <c r="J37" s="7">
        <f>IF(AND(ISNUMBER(H37),ISNUMBER(I37)),IF(I37&gt;=H37-0.001,"CUMPLE","NO CUMPLE"),"CONFORME")</f>
        <v/>
      </c>
      <c r="K37" s="8" t="n">
        <v>45</v>
      </c>
      <c r="L37" s="8" t="n"/>
      <c r="M37" s="7">
        <f>IF(AND(ISNUMBER(K37),ISNUMBER(I37)),IF(AND(ISNUMBER(L37),I37&lt;=L37),"EN RANGO","SUPERA"),"—")</f>
        <v/>
      </c>
      <c r="N37" s="8" t="n">
        <v>60</v>
      </c>
      <c r="O37" s="6" t="inlineStr">
        <is>
          <t>Con 20 personas a 3.00 m² por persona (A.040 art. 13), el área mínima es de 60.00 m², y el ambiente tiene 60.00 m². Supera la superficie sugerida por los lineamientos (45.00 m²). Taller productivo para la autonomía económica de las usuarias (lineamientos 3.7).</t>
        </is>
      </c>
    </row>
    <row r="38" ht="36" customHeight="1">
      <c r="A38" s="6" t="inlineStr">
        <is>
          <t>Zona de ambientes especializados</t>
        </is>
      </c>
      <c r="B38" s="6" t="inlineStr">
        <is>
          <t>Terapia grupal</t>
        </is>
      </c>
      <c r="C38" s="7" t="n">
        <v>1</v>
      </c>
      <c r="D38" s="7" t="n">
        <v>5</v>
      </c>
      <c r="E38" s="8" t="n">
        <v>10</v>
      </c>
      <c r="F38" s="6" t="inlineStr">
        <is>
          <t>A.090 art. 11</t>
        </is>
      </c>
      <c r="G38" s="8" t="n"/>
      <c r="H38" s="8">
        <f>IF(AND(ISNUMBER(D38),ISNUMBER(E38)),D38*E38,IF(ISNUMBER(G38),G38,"—"))</f>
        <v/>
      </c>
      <c r="I38" s="8" t="n">
        <v>50</v>
      </c>
      <c r="J38" s="7">
        <f>IF(AND(ISNUMBER(H38),ISNUMBER(I38)),IF(I38&gt;=H38-0.001,"CUMPLE","NO CUMPLE"),"CONFORME")</f>
        <v/>
      </c>
      <c r="K38" s="8" t="n">
        <v>15</v>
      </c>
      <c r="L38" s="8" t="n">
        <v>21</v>
      </c>
      <c r="M38" s="7">
        <f>IF(AND(ISNUMBER(K38),ISNUMBER(I38)),IF(AND(ISNUMBER(L38),I38&lt;=L38),"EN RANGO","SUPERA"),"—")</f>
        <v/>
      </c>
      <c r="N38" s="8" t="n">
        <v>50</v>
      </c>
      <c r="O38" s="6" t="inlineStr">
        <is>
          <t>Con 5 personas a 10.00 m² por persona (A.090 art. 11), el área mínima es de 50.00 m², y el ambiente tiene 50.00 m². Supera la superficie sugerida por los lineamientos (15.00 a 21.00 m²). Sesiones grupales con buena iluminación y ventilación natural (lineamientos 3.5).</t>
        </is>
      </c>
    </row>
    <row r="39" ht="48" customHeight="1">
      <c r="A39" s="6" t="inlineStr">
        <is>
          <t>Zona de ambientes especializados</t>
        </is>
      </c>
      <c r="B39" s="6" t="inlineStr">
        <is>
          <t>Módulo infantil</t>
        </is>
      </c>
      <c r="C39" s="7" t="n">
        <v>1</v>
      </c>
      <c r="D39" s="7" t="n">
        <v>10</v>
      </c>
      <c r="E39" s="8" t="n">
        <v>2</v>
      </c>
      <c r="F39" s="6" t="inlineStr">
        <is>
          <t>R.V.M. 104-2019 cuadro 18</t>
        </is>
      </c>
      <c r="G39" s="8" t="n"/>
      <c r="H39" s="8">
        <f>IF(AND(ISNUMBER(D39),ISNUMBER(E39)),D39*E39,IF(ISNUMBER(G39),G39,"—"))</f>
        <v/>
      </c>
      <c r="I39" s="8" t="n">
        <v>25</v>
      </c>
      <c r="J39" s="7">
        <f>IF(AND(ISNUMBER(H39),ISNUMBER(I39)),IF(I39&gt;=H39-0.001,"CUMPLE","NO CUMPLE"),"CONFORME")</f>
        <v/>
      </c>
      <c r="K39" s="8" t="n">
        <v>25</v>
      </c>
      <c r="L39" s="8" t="n">
        <v>30</v>
      </c>
      <c r="M39" s="7">
        <f>IF(AND(ISNUMBER(K39),ISNUMBER(I39)),IF(AND(ISNUMBER(L39),I39&lt;=L39),"EN RANGO","SUPERA"),"—")</f>
        <v/>
      </c>
      <c r="N39" s="8" t="n">
        <v>25</v>
      </c>
      <c r="O39" s="6" t="inlineStr">
        <is>
          <t>Con 10 personas a 2.00 m² por persona (R.V.M. 104-2019 cuadro 18), el área mínima es de 20.00 m², y el ambiente tiene 25.00 m². Se encuentra dentro de la superficie sugerida por los lineamientos (25.00 a 30.00 m²). Espacio de juego y aprendizaje para niñas y niños, acompañados por personal del hogar (lineamientos 3.2, ludoteca).</t>
        </is>
      </c>
    </row>
    <row r="40" ht="36" customHeight="1">
      <c r="A40" s="6" t="inlineStr">
        <is>
          <t>Zona de ambientes especializados</t>
        </is>
      </c>
      <c r="B40" s="6" t="inlineStr">
        <is>
          <t>Módulo de enseñanza</t>
        </is>
      </c>
      <c r="C40" s="7" t="n">
        <v>1</v>
      </c>
      <c r="D40" s="7" t="n">
        <v>15</v>
      </c>
      <c r="E40" s="8" t="n">
        <v>2.4</v>
      </c>
      <c r="F40" s="6" t="inlineStr">
        <is>
          <t>R.V.M. 104-2019 cuadro 16</t>
        </is>
      </c>
      <c r="G40" s="8" t="n"/>
      <c r="H40" s="8">
        <f>IF(AND(ISNUMBER(D40),ISNUMBER(E40)),D40*E40,IF(ISNUMBER(G40),G40,"—"))</f>
        <v/>
      </c>
      <c r="I40" s="8" t="n">
        <v>39</v>
      </c>
      <c r="J40" s="7">
        <f>IF(AND(ISNUMBER(H40),ISNUMBER(I40)),IF(I40&gt;=H40-0.001,"CUMPLE","NO CUMPLE"),"CONFORME")</f>
        <v/>
      </c>
      <c r="K40" s="8" t="n">
        <v>16</v>
      </c>
      <c r="L40" s="8" t="n">
        <v>21</v>
      </c>
      <c r="M40" s="7">
        <f>IF(AND(ISNUMBER(K40),ISNUMBER(I40)),IF(AND(ISNUMBER(L40),I40&lt;=L40),"EN RANGO","SUPERA"),"—")</f>
        <v/>
      </c>
      <c r="N40" s="8" t="n">
        <v>39</v>
      </c>
      <c r="O40" s="6" t="inlineStr">
        <is>
          <t>Con 15 personas a 2.40 m² por persona (R.V.M. 104-2019 cuadro 16), el área mínima es de 36.00 m², y el ambiente tiene 39.00 m². Supera la superficie sugerida por los lineamientos (16.00 a 21.00 m²). Continuidad educativa de niñas y niños (lineamientos 3.5).</t>
        </is>
      </c>
    </row>
    <row r="41" ht="24" customHeight="1">
      <c r="A41" s="6" t="inlineStr">
        <is>
          <t>Zona de ambientes especializados</t>
        </is>
      </c>
      <c r="B41" s="6" t="inlineStr">
        <is>
          <t>SS.HH. mujeres</t>
        </is>
      </c>
      <c r="C41" s="7" t="n">
        <v>1</v>
      </c>
      <c r="D41" s="7" t="n"/>
      <c r="E41" s="8" t="n"/>
      <c r="F41" s="6" t="inlineStr">
        <is>
          <t>A.040 art. 20 (cuadro 8)</t>
        </is>
      </c>
      <c r="G41" s="8" t="n"/>
      <c r="H41" s="8">
        <f>IF(AND(ISNUMBER(D41),ISNUMBER(E41)),D41*E41,IF(ISNUMBER(G41),G41,"—"))</f>
        <v/>
      </c>
      <c r="I41" s="8" t="n">
        <v>17</v>
      </c>
      <c r="J41" s="7">
        <f>IF(AND(ISNUMBER(H41),ISNUMBER(I41)),IF(I41&gt;=H41-0.001,"CUMPLE","NO CUMPLE"),"CONFORME")</f>
        <v/>
      </c>
      <c r="K41" s="8" t="n"/>
      <c r="L41" s="8" t="n"/>
      <c r="M41" s="7">
        <f>IF(AND(ISNUMBER(K41),ISNUMBER(I41)),IF(AND(ISNUMBER(L41),I41&lt;=L41),"EN RANGO","SUPERA"),"—")</f>
        <v/>
      </c>
      <c r="N41" s="8" t="n">
        <v>17</v>
      </c>
      <c r="O41" s="6" t="inlineStr">
        <is>
          <t>A.040 cuadro 8: mujeres 1 inodoro cada 30 y 1 lavatorio cada 30.</t>
        </is>
      </c>
    </row>
    <row r="42" ht="24" customHeight="1">
      <c r="A42" s="6" t="inlineStr">
        <is>
          <t>Zona de ambientes especializados</t>
        </is>
      </c>
      <c r="B42" s="6" t="inlineStr">
        <is>
          <t>SS.HH. varones</t>
        </is>
      </c>
      <c r="C42" s="7" t="n">
        <v>1</v>
      </c>
      <c r="D42" s="7" t="n"/>
      <c r="E42" s="8" t="n"/>
      <c r="F42" s="6" t="inlineStr">
        <is>
          <t>A.040 art. 20 (cuadro 8)</t>
        </is>
      </c>
      <c r="G42" s="8" t="n"/>
      <c r="H42" s="8">
        <f>IF(AND(ISNUMBER(D42),ISNUMBER(E42)),D42*E42,IF(ISNUMBER(G42),G42,"—"))</f>
        <v/>
      </c>
      <c r="I42" s="8" t="n">
        <v>14.5</v>
      </c>
      <c r="J42" s="7">
        <f>IF(AND(ISNUMBER(H42),ISNUMBER(I42)),IF(I42&gt;=H42-0.001,"CUMPLE","NO CUMPLE"),"CONFORME")</f>
        <v/>
      </c>
      <c r="K42" s="8" t="n"/>
      <c r="L42" s="8" t="n"/>
      <c r="M42" s="7">
        <f>IF(AND(ISNUMBER(K42),ISNUMBER(I42)),IF(AND(ISNUMBER(L42),I42&lt;=L42),"EN RANGO","SUPERA"),"—")</f>
        <v/>
      </c>
      <c r="N42" s="8" t="n">
        <v>14.5</v>
      </c>
      <c r="O42" s="6" t="inlineStr">
        <is>
          <t>A.040 cuadro 8: hombres 1 inodoro cada 60, 1 lavatorio cada 30 y 1 urinario cada 60.</t>
        </is>
      </c>
    </row>
    <row r="43" ht="24" customHeight="1">
      <c r="A43" s="6" t="inlineStr">
        <is>
          <t>Zona de ambientes especializados</t>
        </is>
      </c>
      <c r="B43" s="6" t="inlineStr">
        <is>
          <t>SS.HH. discapacitados</t>
        </is>
      </c>
      <c r="C43" s="7" t="n">
        <v>1</v>
      </c>
      <c r="D43" s="7" t="n"/>
      <c r="E43" s="8" t="n"/>
      <c r="F43" s="6" t="inlineStr">
        <is>
          <t>A.040 art. 20.2; A.120</t>
        </is>
      </c>
      <c r="G43" s="8" t="n"/>
      <c r="H43" s="8">
        <f>IF(AND(ISNUMBER(D43),ISNUMBER(E43)),D43*E43,IF(ISNUMBER(G43),G43,"—"))</f>
        <v/>
      </c>
      <c r="I43" s="8" t="n">
        <v>5</v>
      </c>
      <c r="J43" s="7">
        <f>IF(AND(ISNUMBER(H43),ISNUMBER(I43)),IF(I43&gt;=H43-0.001,"CUMPLE","NO CUMPLE"),"CONFORME")</f>
        <v/>
      </c>
      <c r="K43" s="8" t="n"/>
      <c r="L43" s="8" t="n"/>
      <c r="M43" s="7">
        <f>IF(AND(ISNUMBER(K43),ISNUMBER(I43)),IF(AND(ISNUMBER(L43),I43&lt;=L43),"EN RANGO","SUPERA"),"—")</f>
        <v/>
      </c>
      <c r="N43" s="8" t="n">
        <v>5</v>
      </c>
      <c r="O43" s="6" t="inlineStr">
        <is>
          <t>A.040 art. 20.2: al menos un lavatorio, un inodoro y un urinario por piso para personas con discapacidad, de uso mixto.</t>
        </is>
      </c>
    </row>
    <row r="44">
      <c r="A44" s="4" t="inlineStr">
        <is>
          <t>Zona residencial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36" customHeight="1">
      <c r="A45" s="6" t="inlineStr">
        <is>
          <t>Zona residencial</t>
        </is>
      </c>
      <c r="B45" s="6" t="inlineStr">
        <is>
          <t>Habitaciones simples - tipo I</t>
        </is>
      </c>
      <c r="C45" s="7" t="n">
        <v>3</v>
      </c>
      <c r="D45" s="7" t="n">
        <v>3</v>
      </c>
      <c r="E45" s="8" t="n">
        <v>4</v>
      </c>
      <c r="F45" s="6" t="inlineStr">
        <is>
          <t>A.030 art. 5</t>
        </is>
      </c>
      <c r="G45" s="8" t="n"/>
      <c r="H45" s="8">
        <f>IF(AND(ISNUMBER(D45),ISNUMBER(E45)),D45*E45,IF(ISNUMBER(G45),G45,"—"))</f>
        <v/>
      </c>
      <c r="I45" s="8" t="n">
        <v>12</v>
      </c>
      <c r="J45" s="7">
        <f>IF(AND(ISNUMBER(H45),ISNUMBER(I45)),IF(I45&gt;=H45-0.001,"CUMPLE","NO CUMPLE"),"CONFORME")</f>
        <v/>
      </c>
      <c r="K45" s="8" t="n">
        <v>11</v>
      </c>
      <c r="L45" s="8" t="n">
        <v>25</v>
      </c>
      <c r="M45" s="7">
        <f>IF(AND(ISNUMBER(K45),ISNUMBER(I45)),IF(AND(ISNUMBER(L45),I45&lt;=L45),"EN RANGO","SUPERA"),"—")</f>
        <v/>
      </c>
      <c r="N45" s="8" t="n">
        <v>36</v>
      </c>
      <c r="O45" s="6" t="inlineStr">
        <is>
          <t>Con 3 personas a 4.00 m² por persona (A.030 art. 5), el área mínima es de 12.00 m², y el ambiente tiene 12.00 m². Se encuentra dentro de la superficie sugerida por los lineamientos (11.00 a 25.00 m²). Mayor que el área mínima de habitación de 6.00 m² (A.030 art. 6).</t>
        </is>
      </c>
    </row>
    <row r="46" ht="24" customHeight="1">
      <c r="A46" s="6" t="inlineStr">
        <is>
          <t>Zona residencial</t>
        </is>
      </c>
      <c r="B46" s="6" t="inlineStr">
        <is>
          <t>SS.HH. hab. simple</t>
        </is>
      </c>
      <c r="C46" s="7" t="n">
        <v>3</v>
      </c>
      <c r="D46" s="7" t="n">
        <v>3</v>
      </c>
      <c r="E46" s="8" t="n"/>
      <c r="F46" s="6" t="inlineStr">
        <is>
          <t>A.030 art. 6</t>
        </is>
      </c>
      <c r="G46" s="8" t="n">
        <v>2.5</v>
      </c>
      <c r="H46" s="8">
        <f>IF(AND(ISNUMBER(D46),ISNUMBER(E46)),D46*E46,IF(ISNUMBER(G46),G46,"—"))</f>
        <v/>
      </c>
      <c r="I46" s="8" t="n">
        <v>3</v>
      </c>
      <c r="J46" s="7">
        <f>IF(AND(ISNUMBER(H46),ISNUMBER(I46)),IF(I46&gt;=H46-0.001,"CUMPLE","NO CUMPLE"),"CONFORME")</f>
        <v/>
      </c>
      <c r="K46" s="8" t="n"/>
      <c r="L46" s="8" t="n"/>
      <c r="M46" s="7">
        <f>IF(AND(ISNUMBER(K46),ISNUMBER(I46)),IF(AND(ISNUMBER(L46),I46&lt;=L46),"EN RANGO","SUPERA"),"—")</f>
        <v/>
      </c>
      <c r="N46" s="8" t="n">
        <v>9</v>
      </c>
      <c r="O46" s="6" t="inlineStr">
        <is>
          <t>El área mínima es de 2.50 m² y el ambiente tiene 3.00 m². A.030 art. 6: servicio higiénico de 2.50 m² mínimo con inodoro, lavatorio y ducha.</t>
        </is>
      </c>
    </row>
    <row r="47" ht="36" customHeight="1">
      <c r="A47" s="6" t="inlineStr">
        <is>
          <t>Zona residencial</t>
        </is>
      </c>
      <c r="B47" s="6" t="inlineStr">
        <is>
          <t>Habitaciones simples - tipo II</t>
        </is>
      </c>
      <c r="C47" s="7" t="n">
        <v>3</v>
      </c>
      <c r="D47" s="7" t="n">
        <v>3</v>
      </c>
      <c r="E47" s="8" t="n">
        <v>4</v>
      </c>
      <c r="F47" s="6" t="inlineStr">
        <is>
          <t>A.030 art. 5</t>
        </is>
      </c>
      <c r="G47" s="8" t="n"/>
      <c r="H47" s="8">
        <f>IF(AND(ISNUMBER(D47),ISNUMBER(E47)),D47*E47,IF(ISNUMBER(G47),G47,"—"))</f>
        <v/>
      </c>
      <c r="I47" s="8" t="n">
        <v>12</v>
      </c>
      <c r="J47" s="7">
        <f>IF(AND(ISNUMBER(H47),ISNUMBER(I47)),IF(I47&gt;=H47-0.001,"CUMPLE","NO CUMPLE"),"CONFORME")</f>
        <v/>
      </c>
      <c r="K47" s="8" t="n">
        <v>11</v>
      </c>
      <c r="L47" s="8" t="n">
        <v>25</v>
      </c>
      <c r="M47" s="7">
        <f>IF(AND(ISNUMBER(K47),ISNUMBER(I47)),IF(AND(ISNUMBER(L47),I47&lt;=L47),"EN RANGO","SUPERA"),"—")</f>
        <v/>
      </c>
      <c r="N47" s="8" t="n">
        <v>36</v>
      </c>
      <c r="O47" s="6" t="inlineStr">
        <is>
          <t>Con 3 personas a 4.00 m² por persona (A.030 art. 5), el área mínima es de 12.00 m², y el ambiente tiene 12.00 m². Se encuentra dentro de la superficie sugerida por los lineamientos (11.00 a 25.00 m²). Mayor que el área mínima de habitación de 6.00 m² (A.030 art. 6).</t>
        </is>
      </c>
    </row>
    <row r="48" ht="24" customHeight="1">
      <c r="A48" s="6" t="inlineStr">
        <is>
          <t>Zona residencial</t>
        </is>
      </c>
      <c r="B48" s="6" t="inlineStr">
        <is>
          <t>SS.HH. hab. simple - tipo II</t>
        </is>
      </c>
      <c r="C48" s="7" t="n">
        <v>3</v>
      </c>
      <c r="D48" s="7" t="n">
        <v>3</v>
      </c>
      <c r="E48" s="8" t="n"/>
      <c r="F48" s="6" t="inlineStr">
        <is>
          <t>A.030 art. 6</t>
        </is>
      </c>
      <c r="G48" s="8" t="n">
        <v>2.5</v>
      </c>
      <c r="H48" s="8">
        <f>IF(AND(ISNUMBER(D48),ISNUMBER(E48)),D48*E48,IF(ISNUMBER(G48),G48,"—"))</f>
        <v/>
      </c>
      <c r="I48" s="8" t="n">
        <v>3</v>
      </c>
      <c r="J48" s="7">
        <f>IF(AND(ISNUMBER(H48),ISNUMBER(I48)),IF(I48&gt;=H48-0.001,"CUMPLE","NO CUMPLE"),"CONFORME")</f>
        <v/>
      </c>
      <c r="K48" s="8" t="n"/>
      <c r="L48" s="8" t="n"/>
      <c r="M48" s="7">
        <f>IF(AND(ISNUMBER(K48),ISNUMBER(I48)),IF(AND(ISNUMBER(L48),I48&lt;=L48),"EN RANGO","SUPERA"),"—")</f>
        <v/>
      </c>
      <c r="N48" s="8" t="n">
        <v>9</v>
      </c>
      <c r="O48" s="6" t="inlineStr">
        <is>
          <t>El área mínima es de 2.50 m² y el ambiente tiene 3.00 m². A.030 art. 6: servicio higiénico de 2.50 m² mínimo con inodoro, lavatorio y ducha.</t>
        </is>
      </c>
    </row>
    <row r="49" ht="36" customHeight="1">
      <c r="A49" s="6" t="inlineStr">
        <is>
          <t>Zona residencial</t>
        </is>
      </c>
      <c r="B49" s="6" t="inlineStr">
        <is>
          <t>Habitaciones doble - tipo I</t>
        </is>
      </c>
      <c r="C49" s="7" t="n">
        <v>3</v>
      </c>
      <c r="D49" s="7" t="n">
        <v>5</v>
      </c>
      <c r="E49" s="8" t="n">
        <v>4</v>
      </c>
      <c r="F49" s="6" t="inlineStr">
        <is>
          <t>A.030 art. 5</t>
        </is>
      </c>
      <c r="G49" s="8" t="n"/>
      <c r="H49" s="8">
        <f>IF(AND(ISNUMBER(D49),ISNUMBER(E49)),D49*E49,IF(ISNUMBER(G49),G49,"—"))</f>
        <v/>
      </c>
      <c r="I49" s="8" t="n">
        <v>20</v>
      </c>
      <c r="J49" s="7">
        <f>IF(AND(ISNUMBER(H49),ISNUMBER(I49)),IF(I49&gt;=H49-0.001,"CUMPLE","NO CUMPLE"),"CONFORME")</f>
        <v/>
      </c>
      <c r="K49" s="8" t="n">
        <v>11</v>
      </c>
      <c r="L49" s="8" t="n">
        <v>25</v>
      </c>
      <c r="M49" s="7">
        <f>IF(AND(ISNUMBER(K49),ISNUMBER(I49)),IF(AND(ISNUMBER(L49),I49&lt;=L49),"EN RANGO","SUPERA"),"—")</f>
        <v/>
      </c>
      <c r="N49" s="8" t="n">
        <v>60</v>
      </c>
      <c r="O49" s="6" t="inlineStr">
        <is>
          <t>Con 5 personas a 4.00 m² por persona (A.030 art. 5), el área mínima es de 20.00 m², y el ambiente tiene 20.00 m². Se encuentra dentro de la superficie sugerida por los lineamientos (11.00 a 25.00 m²). Mayor que el área mínima de habitación de 6.00 m² (A.030 art. 6).</t>
        </is>
      </c>
    </row>
    <row r="50" ht="36" customHeight="1">
      <c r="A50" s="6" t="inlineStr">
        <is>
          <t>Zona residencial</t>
        </is>
      </c>
      <c r="B50" s="6" t="inlineStr">
        <is>
          <t>Habitaciones doble - tipo II</t>
        </is>
      </c>
      <c r="C50" s="7" t="n">
        <v>7</v>
      </c>
      <c r="D50" s="7" t="n">
        <v>5</v>
      </c>
      <c r="E50" s="8" t="n">
        <v>4</v>
      </c>
      <c r="F50" s="6" t="inlineStr">
        <is>
          <t>A.030 art. 5</t>
        </is>
      </c>
      <c r="G50" s="8" t="n"/>
      <c r="H50" s="8">
        <f>IF(AND(ISNUMBER(D50),ISNUMBER(E50)),D50*E50,IF(ISNUMBER(G50),G50,"—"))</f>
        <v/>
      </c>
      <c r="I50" s="8" t="n">
        <v>20</v>
      </c>
      <c r="J50" s="7">
        <f>IF(AND(ISNUMBER(H50),ISNUMBER(I50)),IF(I50&gt;=H50-0.001,"CUMPLE","NO CUMPLE"),"CONFORME")</f>
        <v/>
      </c>
      <c r="K50" s="8" t="n">
        <v>11</v>
      </c>
      <c r="L50" s="8" t="n">
        <v>25</v>
      </c>
      <c r="M50" s="7">
        <f>IF(AND(ISNUMBER(K50),ISNUMBER(I50)),IF(AND(ISNUMBER(L50),I50&lt;=L50),"EN RANGO","SUPERA"),"—")</f>
        <v/>
      </c>
      <c r="N50" s="8" t="n">
        <v>140</v>
      </c>
      <c r="O50" s="6" t="inlineStr">
        <is>
          <t>Con 5 personas a 4.00 m² por persona (A.030 art. 5), el área mínima es de 20.00 m², y el ambiente tiene 20.00 m². Se encuentra dentro de la superficie sugerida por los lineamientos (11.00 a 25.00 m²). Mayor que el área mínima de habitación de 6.00 m² (A.030 art. 6).</t>
        </is>
      </c>
    </row>
    <row r="51" ht="36" customHeight="1">
      <c r="A51" s="6" t="inlineStr">
        <is>
          <t>Zona residencial</t>
        </is>
      </c>
      <c r="B51" s="6" t="inlineStr">
        <is>
          <t>SS.HH. hab. doble compartido</t>
        </is>
      </c>
      <c r="C51" s="7" t="n">
        <v>7</v>
      </c>
      <c r="D51" s="7" t="n">
        <v>4</v>
      </c>
      <c r="E51" s="8" t="n"/>
      <c r="F51" s="6" t="inlineStr">
        <is>
          <t>A.030 art. 6</t>
        </is>
      </c>
      <c r="G51" s="8" t="n">
        <v>2.5</v>
      </c>
      <c r="H51" s="8">
        <f>IF(AND(ISNUMBER(D51),ISNUMBER(E51)),D51*E51,IF(ISNUMBER(G51),G51,"—"))</f>
        <v/>
      </c>
      <c r="I51" s="8" t="n">
        <v>4</v>
      </c>
      <c r="J51" s="7">
        <f>IF(AND(ISNUMBER(H51),ISNUMBER(I51)),IF(I51&gt;=H51-0.001,"CUMPLE","NO CUMPLE"),"CONFORME")</f>
        <v/>
      </c>
      <c r="K51" s="8" t="n"/>
      <c r="L51" s="8" t="n"/>
      <c r="M51" s="7">
        <f>IF(AND(ISNUMBER(K51),ISNUMBER(I51)),IF(AND(ISNUMBER(L51),I51&lt;=L51),"EN RANGO","SUPERA"),"—")</f>
        <v/>
      </c>
      <c r="N51" s="8" t="n">
        <v>28</v>
      </c>
      <c r="O51" s="6" t="inlineStr">
        <is>
          <t>El área mínima es de 2.50 m² y el ambiente tiene 4.00 m². Baño completo compartido por no más de tres habitaciones (lineamientos 3.4); ver la verificación de los servicios higiénicos de la zona residencial.</t>
        </is>
      </c>
    </row>
    <row r="52" ht="36" customHeight="1">
      <c r="A52" s="6" t="inlineStr">
        <is>
          <t>Zona residencial</t>
        </is>
      </c>
      <c r="B52" s="6" t="inlineStr">
        <is>
          <t>Habitaciones triple - tipo I</t>
        </is>
      </c>
      <c r="C52" s="7" t="n">
        <v>3</v>
      </c>
      <c r="D52" s="7" t="n">
        <v>7</v>
      </c>
      <c r="E52" s="8" t="n">
        <v>4</v>
      </c>
      <c r="F52" s="6" t="inlineStr">
        <is>
          <t>A.030 art. 5</t>
        </is>
      </c>
      <c r="G52" s="8" t="n"/>
      <c r="H52" s="8">
        <f>IF(AND(ISNUMBER(D52),ISNUMBER(E52)),D52*E52,IF(ISNUMBER(G52),G52,"—"))</f>
        <v/>
      </c>
      <c r="I52" s="8" t="n">
        <v>28</v>
      </c>
      <c r="J52" s="7">
        <f>IF(AND(ISNUMBER(H52),ISNUMBER(I52)),IF(I52&gt;=H52-0.001,"CUMPLE","NO CUMPLE"),"CONFORME")</f>
        <v/>
      </c>
      <c r="K52" s="8" t="n"/>
      <c r="L52" s="8" t="n"/>
      <c r="M52" s="7">
        <f>IF(AND(ISNUMBER(K52),ISNUMBER(I52)),IF(AND(ISNUMBER(L52),I52&lt;=L52),"EN RANGO","SUPERA"),"—")</f>
        <v/>
      </c>
      <c r="N52" s="8" t="n">
        <v>84</v>
      </c>
      <c r="O52" s="6" t="inlineStr">
        <is>
          <t>Con 7 personas a 4.00 m² por persona (A.030 art. 5), el área mínima es de 28.00 m², y el ambiente tiene 28.00 m². Para núcleos familiares numerosos (lineamientos 1.6: hasta 1 mujer y 5 o más hijas o hijos).</t>
        </is>
      </c>
    </row>
    <row r="53" ht="24" customHeight="1">
      <c r="A53" s="6" t="inlineStr">
        <is>
          <t>Zona residencial</t>
        </is>
      </c>
      <c r="B53" s="6" t="inlineStr">
        <is>
          <t>SS.HH. hab. triple - tipo I</t>
        </is>
      </c>
      <c r="C53" s="7" t="n">
        <v>3</v>
      </c>
      <c r="D53" s="7" t="n">
        <v>6</v>
      </c>
      <c r="E53" s="8" t="n"/>
      <c r="F53" s="6" t="inlineStr">
        <is>
          <t>A.030 art. 6</t>
        </is>
      </c>
      <c r="G53" s="8" t="n">
        <v>2.5</v>
      </c>
      <c r="H53" s="8">
        <f>IF(AND(ISNUMBER(D53),ISNUMBER(E53)),D53*E53,IF(ISNUMBER(G53),G53,"—"))</f>
        <v/>
      </c>
      <c r="I53" s="8" t="n">
        <v>6</v>
      </c>
      <c r="J53" s="7">
        <f>IF(AND(ISNUMBER(H53),ISNUMBER(I53)),IF(I53&gt;=H53-0.001,"CUMPLE","NO CUMPLE"),"CONFORME")</f>
        <v/>
      </c>
      <c r="K53" s="8" t="n"/>
      <c r="L53" s="8" t="n"/>
      <c r="M53" s="7">
        <f>IF(AND(ISNUMBER(K53),ISNUMBER(I53)),IF(AND(ISNUMBER(L53),I53&lt;=L53),"EN RANGO","SUPERA"),"—")</f>
        <v/>
      </c>
      <c r="N53" s="8" t="n">
        <v>18</v>
      </c>
      <c r="O53" s="6" t="inlineStr">
        <is>
          <t>El área mínima es de 2.50 m² y el ambiente tiene 6.00 m². A.030 art. 6: servicio higiénico de 2.50 m² mínimo con inodoro, lavatorio y ducha.</t>
        </is>
      </c>
    </row>
    <row r="54" ht="24" customHeight="1">
      <c r="A54" s="6" t="inlineStr">
        <is>
          <t>Zona residencial</t>
        </is>
      </c>
      <c r="B54" s="6" t="inlineStr">
        <is>
          <t>Habitaciones triple - tipo II</t>
        </is>
      </c>
      <c r="C54" s="7" t="n">
        <v>3</v>
      </c>
      <c r="D54" s="7" t="n">
        <v>7</v>
      </c>
      <c r="E54" s="8" t="n">
        <v>4</v>
      </c>
      <c r="F54" s="6" t="inlineStr">
        <is>
          <t>A.030 art. 5</t>
        </is>
      </c>
      <c r="G54" s="8" t="n"/>
      <c r="H54" s="8">
        <f>IF(AND(ISNUMBER(D54),ISNUMBER(E54)),D54*E54,IF(ISNUMBER(G54),G54,"—"))</f>
        <v/>
      </c>
      <c r="I54" s="8" t="n">
        <v>28</v>
      </c>
      <c r="J54" s="7">
        <f>IF(AND(ISNUMBER(H54),ISNUMBER(I54)),IF(I54&gt;=H54-0.001,"CUMPLE","NO CUMPLE"),"CONFORME")</f>
        <v/>
      </c>
      <c r="K54" s="8" t="n"/>
      <c r="L54" s="8" t="n"/>
      <c r="M54" s="7">
        <f>IF(AND(ISNUMBER(K54),ISNUMBER(I54)),IF(AND(ISNUMBER(L54),I54&lt;=L54),"EN RANGO","SUPERA"),"—")</f>
        <v/>
      </c>
      <c r="N54" s="8" t="n">
        <v>84</v>
      </c>
      <c r="O54" s="6" t="inlineStr">
        <is>
          <t>Con 7 personas a 4.00 m² por persona (A.030 art. 5), el área mínima es de 28.00 m², y el ambiente tiene 28.00 m². Para núcleos familiares numerosos (lineamientos 1.6).</t>
        </is>
      </c>
    </row>
    <row r="55" ht="24" customHeight="1">
      <c r="A55" s="6" t="inlineStr">
        <is>
          <t>Zona residencial</t>
        </is>
      </c>
      <c r="B55" s="6" t="inlineStr">
        <is>
          <t>SS.HH. hab. triple - tipo III</t>
        </is>
      </c>
      <c r="C55" s="7" t="n">
        <v>3</v>
      </c>
      <c r="D55" s="7" t="n">
        <v>3</v>
      </c>
      <c r="E55" s="8" t="n"/>
      <c r="F55" s="6" t="inlineStr">
        <is>
          <t>A.030 art. 6</t>
        </is>
      </c>
      <c r="G55" s="8" t="n">
        <v>2.5</v>
      </c>
      <c r="H55" s="8">
        <f>IF(AND(ISNUMBER(D55),ISNUMBER(E55)),D55*E55,IF(ISNUMBER(G55),G55,"—"))</f>
        <v/>
      </c>
      <c r="I55" s="8" t="n">
        <v>6</v>
      </c>
      <c r="J55" s="7">
        <f>IF(AND(ISNUMBER(H55),ISNUMBER(I55)),IF(I55&gt;=H55-0.001,"CUMPLE","NO CUMPLE"),"CONFORME")</f>
        <v/>
      </c>
      <c r="K55" s="8" t="n"/>
      <c r="L55" s="8" t="n"/>
      <c r="M55" s="7">
        <f>IF(AND(ISNUMBER(K55),ISNUMBER(I55)),IF(AND(ISNUMBER(L55),I55&lt;=L55),"EN RANGO","SUPERA"),"—")</f>
        <v/>
      </c>
      <c r="N55" s="8" t="n">
        <v>18</v>
      </c>
      <c r="O55" s="6" t="inlineStr">
        <is>
          <t>El área mínima es de 2.50 m² y el ambiente tiene 6.00 m². A.030 art. 6: servicio higiénico de 2.50 m² mínimo con inodoro, lavatorio y ducha.</t>
        </is>
      </c>
    </row>
    <row r="56" ht="36" customHeight="1">
      <c r="A56" s="6" t="inlineStr">
        <is>
          <t>Zona residencial</t>
        </is>
      </c>
      <c r="B56" s="6" t="inlineStr">
        <is>
          <t>Habitación especial</t>
        </is>
      </c>
      <c r="C56" s="7" t="n">
        <v>1</v>
      </c>
      <c r="D56" s="7" t="n">
        <v>3</v>
      </c>
      <c r="E56" s="8" t="n">
        <v>4</v>
      </c>
      <c r="F56" s="6" t="inlineStr">
        <is>
          <t>A.030 arts. 4 y 5; A.120</t>
        </is>
      </c>
      <c r="G56" s="8" t="n"/>
      <c r="H56" s="8">
        <f>IF(AND(ISNUMBER(D56),ISNUMBER(E56)),D56*E56,IF(ISNUMBER(G56),G56,"—"))</f>
        <v/>
      </c>
      <c r="I56" s="8" t="n">
        <v>12</v>
      </c>
      <c r="J56" s="7">
        <f>IF(AND(ISNUMBER(H56),ISNUMBER(I56)),IF(I56&gt;=H56-0.001,"CUMPLE","NO CUMPLE"),"CONFORME")</f>
        <v/>
      </c>
      <c r="K56" s="8" t="n"/>
      <c r="L56" s="8" t="n"/>
      <c r="M56" s="7">
        <f>IF(AND(ISNUMBER(K56),ISNUMBER(I56)),IF(AND(ISNUMBER(L56),I56&lt;=L56),"EN RANGO","SUPERA"),"—")</f>
        <v/>
      </c>
      <c r="N56" s="8" t="n">
        <v>12</v>
      </c>
      <c r="O56" s="6" t="inlineStr">
        <is>
          <t>Con 3 personas a 4.00 m² por persona (A.030 art. 5), el área mínima es de 12.00 m², y el ambiente tiene 12.00 m². Habitación accesible para casos especiales; según la A.030 art. 4 las habitaciones accesibles se ubican en el nivel de ingreso, con las condiciones de la A.120.</t>
        </is>
      </c>
    </row>
    <row r="57" ht="24" customHeight="1">
      <c r="A57" s="6" t="inlineStr">
        <is>
          <t>Zona residencial</t>
        </is>
      </c>
      <c r="B57" s="6" t="inlineStr">
        <is>
          <t>SS.HH. habitación especial</t>
        </is>
      </c>
      <c r="C57" s="7" t="n">
        <v>1</v>
      </c>
      <c r="D57" s="7" t="n">
        <v>3</v>
      </c>
      <c r="E57" s="8" t="n"/>
      <c r="F57" s="6" t="inlineStr">
        <is>
          <t>A.030 art. 6; A.120</t>
        </is>
      </c>
      <c r="G57" s="8" t="n">
        <v>2.5</v>
      </c>
      <c r="H57" s="8">
        <f>IF(AND(ISNUMBER(D57),ISNUMBER(E57)),D57*E57,IF(ISNUMBER(G57),G57,"—"))</f>
        <v/>
      </c>
      <c r="I57" s="8" t="n">
        <v>7</v>
      </c>
      <c r="J57" s="7">
        <f>IF(AND(ISNUMBER(H57),ISNUMBER(I57)),IF(I57&gt;=H57-0.001,"CUMPLE","NO CUMPLE"),"CONFORME")</f>
        <v/>
      </c>
      <c r="K57" s="8" t="n"/>
      <c r="L57" s="8" t="n"/>
      <c r="M57" s="7">
        <f>IF(AND(ISNUMBER(K57),ISNUMBER(I57)),IF(AND(ISNUMBER(L57),I57&lt;=L57),"EN RANGO","SUPERA"),"—")</f>
        <v/>
      </c>
      <c r="N57" s="8" t="n">
        <v>7</v>
      </c>
      <c r="O57" s="6" t="inlineStr">
        <is>
          <t>El área mínima es de 2.50 m² y el ambiente tiene 7.00 m². Baño accesible de la habitación especial (A.120).</t>
        </is>
      </c>
    </row>
    <row r="58">
      <c r="A58" s="4" t="inlineStr">
        <is>
          <t>Zona de servicios complementarios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36" customHeight="1">
      <c r="A59" s="6" t="inlineStr">
        <is>
          <t>Zona de servicios complementarios</t>
        </is>
      </c>
      <c r="B59" s="6" t="inlineStr">
        <is>
          <t>Cocina</t>
        </is>
      </c>
      <c r="C59" s="7" t="n">
        <v>1</v>
      </c>
      <c r="D59" s="7" t="n">
        <v>6</v>
      </c>
      <c r="E59" s="8" t="n">
        <v>6</v>
      </c>
      <c r="F59" s="6" t="inlineStr">
        <is>
          <t>R.V.M. 208-2019; lineamientos 3.2</t>
        </is>
      </c>
      <c r="G59" s="8" t="n"/>
      <c r="H59" s="8">
        <f>IF(AND(ISNUMBER(D59),ISNUMBER(E59)),D59*E59,IF(ISNUMBER(G59),G59,"—"))</f>
        <v/>
      </c>
      <c r="I59" s="8" t="n">
        <v>36</v>
      </c>
      <c r="J59" s="7">
        <f>IF(AND(ISNUMBER(H59),ISNUMBER(I59)),IF(I59&gt;=H59-0.001,"CUMPLE","NO CUMPLE"),"CONFORME")</f>
        <v/>
      </c>
      <c r="K59" s="8" t="n"/>
      <c r="L59" s="8" t="n"/>
      <c r="M59" s="7">
        <f>IF(AND(ISNUMBER(K59),ISNUMBER(I59)),IF(AND(ISNUMBER(L59),I59&lt;=L59),"EN RANGO","SUPERA"),"—")</f>
        <v/>
      </c>
      <c r="N59" s="8" t="n">
        <v>36</v>
      </c>
      <c r="O59" s="6" t="inlineStr">
        <is>
          <t>Con 6 personas a 6.00 m² por persona (R.V.M. 208-2019), el área mínima es de 36.00 m², y el ambiente tiene 36.00 m². Supera los 0.40 m² por comensal de los lineamientos (80 x 0.40 = 32.00 m²); acceso restringido a niñas y niños.</t>
        </is>
      </c>
    </row>
    <row r="60" ht="36" customHeight="1">
      <c r="A60" s="6" t="inlineStr">
        <is>
          <t>Zona de servicios complementarios</t>
        </is>
      </c>
      <c r="B60" s="6" t="inlineStr">
        <is>
          <t>Despensa</t>
        </is>
      </c>
      <c r="C60" s="7" t="n">
        <v>1</v>
      </c>
      <c r="D60" s="7" t="n">
        <v>1</v>
      </c>
      <c r="E60" s="8" t="n">
        <v>6</v>
      </c>
      <c r="F60" s="6" t="inlineStr">
        <is>
          <t>R.V.M. 208-2019; lineamientos 3.2</t>
        </is>
      </c>
      <c r="G60" s="8" t="n"/>
      <c r="H60" s="8">
        <f>IF(AND(ISNUMBER(D60),ISNUMBER(E60)),D60*E60,IF(ISNUMBER(G60),G60,"—"))</f>
        <v/>
      </c>
      <c r="I60" s="8" t="n">
        <v>6</v>
      </c>
      <c r="J60" s="7">
        <f>IF(AND(ISNUMBER(H60),ISNUMBER(I60)),IF(I60&gt;=H60-0.001,"CUMPLE","NO CUMPLE"),"CONFORME")</f>
        <v/>
      </c>
      <c r="K60" s="8" t="n"/>
      <c r="L60" s="8" t="n"/>
      <c r="M60" s="7">
        <f>IF(AND(ISNUMBER(K60),ISNUMBER(I60)),IF(AND(ISNUMBER(L60),I60&lt;=L60),"EN RANGO","SUPERA"),"—")</f>
        <v/>
      </c>
      <c r="N60" s="8" t="n">
        <v>6</v>
      </c>
      <c r="O60" s="6" t="inlineStr">
        <is>
          <t>Con 1 persona a 6.00 m² por persona (R.V.M. 208-2019), el área mínima es de 6.00 m², y el ambiente tiene 6.00 m². Con la alacena (9.00 m²) suma 15.00 m² de almacenamiento de alimentos, por encima de la superficie sugerida para la despensa (9/12 m², lineamientos 3.2).</t>
        </is>
      </c>
    </row>
    <row r="61" ht="24" customHeight="1">
      <c r="A61" s="6" t="inlineStr">
        <is>
          <t>Zona de servicios complementarios</t>
        </is>
      </c>
      <c r="B61" s="6" t="inlineStr">
        <is>
          <t>Alacena</t>
        </is>
      </c>
      <c r="C61" s="7" t="n">
        <v>1</v>
      </c>
      <c r="D61" s="7" t="n">
        <v>1</v>
      </c>
      <c r="E61" s="8" t="n">
        <v>6</v>
      </c>
      <c r="F61" s="6" t="inlineStr">
        <is>
          <t>R.V.M. 208-2019</t>
        </is>
      </c>
      <c r="G61" s="8" t="n"/>
      <c r="H61" s="8">
        <f>IF(AND(ISNUMBER(D61),ISNUMBER(E61)),D61*E61,IF(ISNUMBER(G61),G61,"—"))</f>
        <v/>
      </c>
      <c r="I61" s="8" t="n">
        <v>9</v>
      </c>
      <c r="J61" s="7">
        <f>IF(AND(ISNUMBER(H61),ISNUMBER(I61)),IF(I61&gt;=H61-0.001,"CUMPLE","NO CUMPLE"),"CONFORME")</f>
        <v/>
      </c>
      <c r="K61" s="8" t="n"/>
      <c r="L61" s="8" t="n"/>
      <c r="M61" s="7">
        <f>IF(AND(ISNUMBER(K61),ISNUMBER(I61)),IF(AND(ISNUMBER(L61),I61&lt;=L61),"EN RANGO","SUPERA"),"—")</f>
        <v/>
      </c>
      <c r="N61" s="8" t="n">
        <v>9</v>
      </c>
      <c r="O61" s="6" t="inlineStr">
        <is>
          <t>Con 1 persona a 6.00 m² por persona (R.V.M. 208-2019), el área mínima es de 6.00 m², y el ambiente tiene 9.00 m². Complementa la despensa.</t>
        </is>
      </c>
    </row>
    <row r="62" ht="36" customHeight="1">
      <c r="A62" s="6" t="inlineStr">
        <is>
          <t>Zona de servicios complementarios</t>
        </is>
      </c>
      <c r="B62" s="6" t="inlineStr">
        <is>
          <t>Comedor/SUM</t>
        </is>
      </c>
      <c r="C62" s="7" t="n">
        <v>1</v>
      </c>
      <c r="D62" s="7" t="n">
        <v>80</v>
      </c>
      <c r="E62" s="8" t="n">
        <v>1</v>
      </c>
      <c r="F62" s="6" t="inlineStr">
        <is>
          <t>A.040 art. 13</t>
        </is>
      </c>
      <c r="G62" s="8" t="n"/>
      <c r="H62" s="8">
        <f>IF(AND(ISNUMBER(D62),ISNUMBER(E62)),D62*E62,IF(ISNUMBER(G62),G62,"—"))</f>
        <v/>
      </c>
      <c r="I62" s="8" t="n">
        <v>240</v>
      </c>
      <c r="J62" s="7">
        <f>IF(AND(ISNUMBER(H62),ISNUMBER(I62)),IF(I62&gt;=H62-0.001,"CUMPLE","NO CUMPLE"),"CONFORME")</f>
        <v/>
      </c>
      <c r="K62" s="8" t="n"/>
      <c r="L62" s="8" t="n"/>
      <c r="M62" s="7">
        <f>IF(AND(ISNUMBER(K62),ISNUMBER(I62)),IF(AND(ISNUMBER(L62),I62&lt;=L62),"EN RANGO","SUPERA"),"—")</f>
        <v/>
      </c>
      <c r="N62" s="8" t="n">
        <v>240</v>
      </c>
      <c r="O62" s="6" t="inlineStr">
        <is>
          <t>Con 80 personas a 1.00 m² por persona (A.040 art. 13), el área mínima es de 80.00 m², y el ambiente tiene 240.00 m². Con 1.00 m² por residente (lineamientos 3.2), sus 240.00 m² permiten atender a la totalidad de las residentes en un solo turno.</t>
        </is>
      </c>
    </row>
    <row r="63" ht="36" customHeight="1">
      <c r="A63" s="6" t="inlineStr">
        <is>
          <t>Zona de servicios complementarios</t>
        </is>
      </c>
      <c r="B63" s="6" t="inlineStr">
        <is>
          <t>Lavandería general</t>
        </is>
      </c>
      <c r="C63" s="7" t="n">
        <v>1</v>
      </c>
      <c r="D63" s="7" t="n">
        <v>12</v>
      </c>
      <c r="E63" s="8" t="n">
        <v>3</v>
      </c>
      <c r="F63" s="6" t="inlineStr">
        <is>
          <t>R.V.M. 208-2019; lineamientos 3.4</t>
        </is>
      </c>
      <c r="G63" s="8" t="n"/>
      <c r="H63" s="8">
        <f>IF(AND(ISNUMBER(D63),ISNUMBER(E63)),D63*E63,IF(ISNUMBER(G63),G63,"—"))</f>
        <v/>
      </c>
      <c r="I63" s="8" t="n">
        <v>36</v>
      </c>
      <c r="J63" s="7">
        <f>IF(AND(ISNUMBER(H63),ISNUMBER(I63)),IF(I63&gt;=H63-0.001,"CUMPLE","NO CUMPLE"),"CONFORME")</f>
        <v/>
      </c>
      <c r="K63" s="8" t="n"/>
      <c r="L63" s="8" t="n"/>
      <c r="M63" s="7">
        <f>IF(AND(ISNUMBER(K63),ISNUMBER(I63)),IF(AND(ISNUMBER(L63),I63&lt;=L63),"EN RANGO","SUPERA"),"—")</f>
        <v/>
      </c>
      <c r="N63" s="8" t="n">
        <v>36</v>
      </c>
      <c r="O63" s="6" t="inlineStr">
        <is>
          <t>Con 12 personas a 3.00 m² por persona (R.V.M. 208-2019), el área mínima es de 36.00 m², y el ambiente tiene 36.00 m². Lavado, secado y planchado con tendido al aire libre y cubierto (lineamientos 3.4).</t>
        </is>
      </c>
    </row>
    <row r="64" ht="24" customHeight="1">
      <c r="A64" s="6" t="inlineStr">
        <is>
          <t>Zona de servicios complementarios</t>
        </is>
      </c>
      <c r="B64" s="6" t="inlineStr">
        <is>
          <t>Biohuerto</t>
        </is>
      </c>
      <c r="C64" s="7" t="n">
        <v>7</v>
      </c>
      <c r="D64" s="7" t="n"/>
      <c r="E64" s="8" t="n"/>
      <c r="F64" s="6" t="inlineStr">
        <is>
          <t>R.V.M. 104-2019 num. 12.4.1; lineamientos 3.9</t>
        </is>
      </c>
      <c r="G64" s="8" t="n"/>
      <c r="H64" s="8">
        <f>IF(AND(ISNUMBER(D64),ISNUMBER(E64)),D64*E64,IF(ISNUMBER(G64),G64,"—"))</f>
        <v/>
      </c>
      <c r="I64" s="8" t="n">
        <v>22</v>
      </c>
      <c r="J64" s="7">
        <f>IF(AND(ISNUMBER(H64),ISNUMBER(I64)),IF(I64&gt;=H64-0.001,"CUMPLE","NO CUMPLE"),"CONFORME")</f>
        <v/>
      </c>
      <c r="K64" s="8" t="n"/>
      <c r="L64" s="8" t="n"/>
      <c r="M64" s="7">
        <f>IF(AND(ISNUMBER(K64),ISNUMBER(I64)),IF(AND(ISNUMBER(L64),I64&lt;=L64),"EN RANGO","SUPERA"),"—")</f>
        <v/>
      </c>
      <c r="N64" s="8" t="n">
        <v>154</v>
      </c>
      <c r="O64" s="6" t="inlineStr">
        <is>
          <t>Huertos previstos en los lineamientos (3.9 y 4.4).</t>
        </is>
      </c>
    </row>
    <row r="65" ht="24" customHeight="1">
      <c r="A65" s="6" t="inlineStr">
        <is>
          <t>Zona de servicios complementarios</t>
        </is>
      </c>
      <c r="B65" s="6" t="inlineStr">
        <is>
          <t>Patio cívico</t>
        </is>
      </c>
      <c r="C65" s="7" t="n">
        <v>1</v>
      </c>
      <c r="D65" s="7" t="n"/>
      <c r="E65" s="8" t="n"/>
      <c r="F65" s="6" t="inlineStr">
        <is>
          <t>R.V.M. 208-2019</t>
        </is>
      </c>
      <c r="G65" s="8" t="n"/>
      <c r="H65" s="8">
        <f>IF(AND(ISNUMBER(D65),ISNUMBER(E65)),D65*E65,IF(ISNUMBER(G65),G65,"—"))</f>
        <v/>
      </c>
      <c r="I65" s="8" t="n">
        <v>222.75</v>
      </c>
      <c r="J65" s="7">
        <f>IF(AND(ISNUMBER(H65),ISNUMBER(I65)),IF(I65&gt;=H65-0.001,"CUMPLE","NO CUMPLE"),"CONFORME")</f>
        <v/>
      </c>
      <c r="K65" s="8" t="n"/>
      <c r="L65" s="8" t="n"/>
      <c r="M65" s="7">
        <f>IF(AND(ISNUMBER(K65),ISNUMBER(I65)),IF(AND(ISNUMBER(L65),I65&lt;=L65),"EN RANGO","SUPERA"),"—")</f>
        <v/>
      </c>
      <c r="N65" s="8" t="n">
        <v>222.75</v>
      </c>
      <c r="O65" s="6" t="inlineStr">
        <is>
          <t>Área exterior de reunión y recreación (lineamientos 3.9).</t>
        </is>
      </c>
    </row>
    <row r="66" ht="24" customHeight="1">
      <c r="A66" s="6" t="inlineStr">
        <is>
          <t>Zona de servicios complementarios</t>
        </is>
      </c>
      <c r="B66" s="6" t="inlineStr">
        <is>
          <t>Patio de juegos</t>
        </is>
      </c>
      <c r="C66" s="7" t="n">
        <v>1</v>
      </c>
      <c r="D66" s="7" t="n"/>
      <c r="E66" s="8" t="n"/>
      <c r="F66" s="6" t="inlineStr">
        <is>
          <t>R.V.M. 104-2019 num. 11.3; lineamientos 3.9</t>
        </is>
      </c>
      <c r="G66" s="8" t="n"/>
      <c r="H66" s="8">
        <f>IF(AND(ISNUMBER(D66),ISNUMBER(E66)),D66*E66,IF(ISNUMBER(G66),G66,"—"))</f>
        <v/>
      </c>
      <c r="I66" s="8" t="n">
        <v>138.95</v>
      </c>
      <c r="J66" s="7">
        <f>IF(AND(ISNUMBER(H66),ISNUMBER(I66)),IF(I66&gt;=H66-0.001,"CUMPLE","NO CUMPLE"),"CONFORME")</f>
        <v/>
      </c>
      <c r="K66" s="8" t="n"/>
      <c r="L66" s="8" t="n"/>
      <c r="M66" s="7">
        <f>IF(AND(ISNUMBER(K66),ISNUMBER(I66)),IF(AND(ISNUMBER(L66),I66&lt;=L66),"EN RANGO","SUPERA"),"—")</f>
        <v/>
      </c>
      <c r="N66" s="8" t="n">
        <v>138.95</v>
      </c>
      <c r="O66" s="6" t="inlineStr">
        <is>
          <t>Con unas 75 niñas y niños (2/3 de las residentes, lineamientos 1.6) y 2.00 m² por niño(a) (R.V.M. 104-2019) se requieren 150.00 m², cubiertos por el patio de juegos y el patio cívico (361.70 m²).</t>
        </is>
      </c>
    </row>
    <row r="67" ht="24" customHeight="1">
      <c r="A67" s="6" t="inlineStr">
        <is>
          <t>Zona de servicios complementarios</t>
        </is>
      </c>
      <c r="B67" s="6" t="inlineStr">
        <is>
          <t>Área de descanso (banca + pérgola)</t>
        </is>
      </c>
      <c r="C67" s="7" t="n">
        <v>3</v>
      </c>
      <c r="D67" s="7" t="n">
        <v>20</v>
      </c>
      <c r="E67" s="8" t="n">
        <v>1</v>
      </c>
      <c r="F67" s="6" t="inlineStr">
        <is>
          <t>A.090 art. 11; lineamientos 3.9</t>
        </is>
      </c>
      <c r="G67" s="8" t="n"/>
      <c r="H67" s="8">
        <f>IF(AND(ISNUMBER(D67),ISNUMBER(E67)),D67*E67,IF(ISNUMBER(G67),G67,"—"))</f>
        <v/>
      </c>
      <c r="I67" s="8" t="n">
        <v>44</v>
      </c>
      <c r="J67" s="7">
        <f>IF(AND(ISNUMBER(H67),ISNUMBER(I67)),IF(I67&gt;=H67-0.001,"CUMPLE","NO CUMPLE"),"CONFORME")</f>
        <v/>
      </c>
      <c r="K67" s="8" t="n"/>
      <c r="L67" s="8" t="n"/>
      <c r="M67" s="7">
        <f>IF(AND(ISNUMBER(K67),ISNUMBER(I67)),IF(AND(ISNUMBER(L67),I67&lt;=L67),"EN RANGO","SUPERA"),"—")</f>
        <v/>
      </c>
      <c r="N67" s="8" t="n">
        <v>132</v>
      </c>
      <c r="O67" s="6" t="inlineStr">
        <is>
          <t>Con 20 personas a 1.00 m² por persona (A.090 art. 11), el área mínima es de 20.00 m², y el ambiente tiene 44.00 m². Área sombreada con pérgola y bancos (lineamientos 3.9).</t>
        </is>
      </c>
    </row>
    <row r="68" ht="24" customHeight="1">
      <c r="A68" s="6" t="inlineStr">
        <is>
          <t>Zona de servicios complementarios</t>
        </is>
      </c>
      <c r="B68" s="6" t="inlineStr">
        <is>
          <t>Losa multiuso</t>
        </is>
      </c>
      <c r="C68" s="7" t="n">
        <v>1</v>
      </c>
      <c r="D68" s="7" t="n"/>
      <c r="E68" s="8" t="n"/>
      <c r="F68" s="6" t="inlineStr">
        <is>
          <t>Lineamientos 3.9</t>
        </is>
      </c>
      <c r="G68" s="8" t="n"/>
      <c r="H68" s="8">
        <f>IF(AND(ISNUMBER(D68),ISNUMBER(E68)),D68*E68,IF(ISNUMBER(G68),G68,"—"))</f>
        <v/>
      </c>
      <c r="I68" s="8" t="n">
        <v>809</v>
      </c>
      <c r="J68" s="7">
        <f>IF(AND(ISNUMBER(H68),ISNUMBER(I68)),IF(I68&gt;=H68-0.001,"CUMPLE","NO CUMPLE"),"CONFORME")</f>
        <v/>
      </c>
      <c r="K68" s="8" t="n">
        <v>420</v>
      </c>
      <c r="L68" s="8" t="n"/>
      <c r="M68" s="7">
        <f>IF(AND(ISNUMBER(K68),ISNUMBER(I68)),IF(AND(ISNUMBER(L68),I68&lt;=L68),"EN RANGO","SUPERA"),"—")</f>
        <v/>
      </c>
      <c r="N68" s="8" t="n">
        <v>809</v>
      </c>
      <c r="O68" s="6" t="inlineStr">
        <is>
          <t>Supera la superficie sugerida por los lineamientos (420.00 m²). Permite canchas de básquet (15 x 28 m) y voleibol (9 x 18 m) (lineamientos 3.9).</t>
        </is>
      </c>
    </row>
    <row r="69" ht="24" customHeight="1">
      <c r="A69" s="6" t="inlineStr">
        <is>
          <t>Zona de servicios complementarios</t>
        </is>
      </c>
      <c r="B69" s="6" t="inlineStr">
        <is>
          <t>Vestidores</t>
        </is>
      </c>
      <c r="C69" s="7" t="n">
        <v>1</v>
      </c>
      <c r="D69" s="7" t="n"/>
      <c r="E69" s="8" t="n"/>
      <c r="F69" s="6" t="inlineStr">
        <is>
          <t>A.040 art. 20</t>
        </is>
      </c>
      <c r="G69" s="8" t="n"/>
      <c r="H69" s="8">
        <f>IF(AND(ISNUMBER(D69),ISNUMBER(E69)),D69*E69,IF(ISNUMBER(G69),G69,"—"))</f>
        <v/>
      </c>
      <c r="I69" s="8" t="n">
        <v>39.2</v>
      </c>
      <c r="J69" s="7">
        <f>IF(AND(ISNUMBER(H69),ISNUMBER(I69)),IF(I69&gt;=H69-0.001,"CUMPLE","NO CUMPLE"),"CONFORME")</f>
        <v/>
      </c>
      <c r="K69" s="8" t="n"/>
      <c r="L69" s="8" t="n"/>
      <c r="M69" s="7">
        <f>IF(AND(ISNUMBER(K69),ISNUMBER(I69)),IF(AND(ISNUMBER(L69),I69&lt;=L69),"EN RANGO","SUPERA"),"—")</f>
        <v/>
      </c>
      <c r="N69" s="8" t="n">
        <v>39.2</v>
      </c>
      <c r="O69" s="6" t="inlineStr">
        <is>
          <t>Servicios de la losa multiuso (A.040 art. 20).</t>
        </is>
      </c>
    </row>
    <row r="70" ht="24" customHeight="1">
      <c r="A70" s="6" t="inlineStr">
        <is>
          <t>Zona de servicios complementarios</t>
        </is>
      </c>
      <c r="B70" s="6" t="inlineStr">
        <is>
          <t>Almacén de implementos deportivos</t>
        </is>
      </c>
      <c r="C70" s="7" t="n">
        <v>1</v>
      </c>
      <c r="D70" s="7" t="n"/>
      <c r="E70" s="8" t="n"/>
      <c r="F70" s="6" t="inlineStr">
        <is>
          <t>R.V.M. 208-2019</t>
        </is>
      </c>
      <c r="G70" s="8" t="n"/>
      <c r="H70" s="8">
        <f>IF(AND(ISNUMBER(D70),ISNUMBER(E70)),D70*E70,IF(ISNUMBER(G70),G70,"—"))</f>
        <v/>
      </c>
      <c r="I70" s="8" t="n">
        <v>20.5</v>
      </c>
      <c r="J70" s="7">
        <f>IF(AND(ISNUMBER(H70),ISNUMBER(I70)),IF(I70&gt;=H70-0.001,"CUMPLE","NO CUMPLE"),"CONFORME")</f>
        <v/>
      </c>
      <c r="K70" s="8" t="n"/>
      <c r="L70" s="8" t="n"/>
      <c r="M70" s="7">
        <f>IF(AND(ISNUMBER(K70),ISNUMBER(I70)),IF(AND(ISNUMBER(L70),I70&lt;=L70),"EN RANGO","SUPERA"),"—")</f>
        <v/>
      </c>
      <c r="N70" s="8" t="n">
        <v>20.5</v>
      </c>
      <c r="O70" s="6" t="inlineStr">
        <is>
          <t>Guardado de implementos deportivos.</t>
        </is>
      </c>
    </row>
    <row r="71">
      <c r="A71" s="4" t="inlineStr">
        <is>
          <t>Zona de servicios generales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 ht="24" customHeight="1">
      <c r="A72" s="6" t="inlineStr">
        <is>
          <t>Zona de servicios generales</t>
        </is>
      </c>
      <c r="B72" s="6" t="inlineStr">
        <is>
          <t>Almacén de donaciones</t>
        </is>
      </c>
      <c r="C72" s="7" t="n">
        <v>1</v>
      </c>
      <c r="D72" s="7" t="n">
        <v>3</v>
      </c>
      <c r="E72" s="8" t="n"/>
      <c r="F72" s="6" t="inlineStr">
        <is>
          <t>Lineamientos 3.4</t>
        </is>
      </c>
      <c r="G72" s="8" t="n"/>
      <c r="H72" s="8">
        <f>IF(AND(ISNUMBER(D72),ISNUMBER(E72)),D72*E72,IF(ISNUMBER(G72),G72,"—"))</f>
        <v/>
      </c>
      <c r="I72" s="8" t="n">
        <v>25</v>
      </c>
      <c r="J72" s="7">
        <f>IF(AND(ISNUMBER(H72),ISNUMBER(I72)),IF(I72&gt;=H72-0.001,"CUMPLE","NO CUMPLE"),"CONFORME")</f>
        <v/>
      </c>
      <c r="K72" s="8" t="n"/>
      <c r="L72" s="8" t="n"/>
      <c r="M72" s="7">
        <f>IF(AND(ISNUMBER(K72),ISNUMBER(I72)),IF(AND(ISNUMBER(L72),I72&lt;=L72),"EN RANGO","SUPERA"),"—")</f>
        <v/>
      </c>
      <c r="N72" s="8" t="n">
        <v>25</v>
      </c>
      <c r="O72" s="6" t="inlineStr">
        <is>
          <t>Almacén de donativos en especie, de acceso solo del personal (lineamientos 3.4).</t>
        </is>
      </c>
    </row>
    <row r="73" ht="24" customHeight="1">
      <c r="A73" s="6" t="inlineStr">
        <is>
          <t>Zona de servicios generales</t>
        </is>
      </c>
      <c r="B73" s="6" t="inlineStr">
        <is>
          <t>Almacén general y de limpieza</t>
        </is>
      </c>
      <c r="C73" s="7" t="n">
        <v>1</v>
      </c>
      <c r="D73" s="7" t="n">
        <v>2</v>
      </c>
      <c r="E73" s="8" t="n"/>
      <c r="F73" s="6" t="inlineStr">
        <is>
          <t>R.V.M. 104-2019 num. 13.3.1</t>
        </is>
      </c>
      <c r="G73" s="8" t="n">
        <v>10</v>
      </c>
      <c r="H73" s="8">
        <f>IF(AND(ISNUMBER(D73),ISNUMBER(E73)),D73*E73,IF(ISNUMBER(G73),G73,"—"))</f>
        <v/>
      </c>
      <c r="I73" s="8" t="n">
        <v>17.6</v>
      </c>
      <c r="J73" s="7">
        <f>IF(AND(ISNUMBER(H73),ISNUMBER(I73)),IF(I73&gt;=H73-0.001,"CUMPLE","NO CUMPLE"),"CONFORME")</f>
        <v/>
      </c>
      <c r="K73" s="8" t="n"/>
      <c r="L73" s="8" t="n"/>
      <c r="M73" s="7">
        <f>IF(AND(ISNUMBER(K73),ISNUMBER(I73)),IF(AND(ISNUMBER(L73),I73&lt;=L73),"EN RANGO","SUPERA"),"—")</f>
        <v/>
      </c>
      <c r="N73" s="8" t="n">
        <v>17.6</v>
      </c>
      <c r="O73" s="6" t="inlineStr">
        <is>
          <t>El área mínima es de 10.00 m² y el ambiente tiene 17.60 m². R.V.M. 104-2019: almacén general no menor de 10.00 m²; productos de limpieza bajo llave (lineamientos 2.5).</t>
        </is>
      </c>
    </row>
    <row r="74" ht="24" customHeight="1">
      <c r="A74" s="6" t="inlineStr">
        <is>
          <t>Zona de servicios generales</t>
        </is>
      </c>
      <c r="B74" s="6" t="inlineStr">
        <is>
          <t>Maestranza</t>
        </is>
      </c>
      <c r="C74" s="7" t="n">
        <v>1</v>
      </c>
      <c r="D74" s="7" t="n">
        <v>4</v>
      </c>
      <c r="E74" s="8" t="n">
        <v>3</v>
      </c>
      <c r="F74" s="6" t="inlineStr">
        <is>
          <t>R.V.M. 208-2019</t>
        </is>
      </c>
      <c r="G74" s="8" t="n"/>
      <c r="H74" s="8">
        <f>IF(AND(ISNUMBER(D74),ISNUMBER(E74)),D74*E74,IF(ISNUMBER(G74),G74,"—"))</f>
        <v/>
      </c>
      <c r="I74" s="8" t="n">
        <v>15</v>
      </c>
      <c r="J74" s="7">
        <f>IF(AND(ISNUMBER(H74),ISNUMBER(I74)),IF(I74&gt;=H74-0.001,"CUMPLE","NO CUMPLE"),"CONFORME")</f>
        <v/>
      </c>
      <c r="K74" s="8" t="n"/>
      <c r="L74" s="8" t="n"/>
      <c r="M74" s="7">
        <f>IF(AND(ISNUMBER(K74),ISNUMBER(I74)),IF(AND(ISNUMBER(L74),I74&lt;=L74),"EN RANGO","SUPERA"),"—")</f>
        <v/>
      </c>
      <c r="N74" s="8" t="n">
        <v>15</v>
      </c>
      <c r="O74" s="6" t="inlineStr">
        <is>
          <t>Con 4 personas a 3.00 m² por persona (R.V.M. 208-2019), el área mínima es de 12.00 m², y el ambiente tiene 15.00 m². Mantenimiento del local.</t>
        </is>
      </c>
    </row>
    <row r="75" ht="36" customHeight="1">
      <c r="A75" s="6" t="inlineStr">
        <is>
          <t>Zona de servicios generales</t>
        </is>
      </c>
      <c r="B75" s="6" t="inlineStr">
        <is>
          <t>Almacén de residuos sólidos</t>
        </is>
      </c>
      <c r="C75" s="7" t="n">
        <v>1</v>
      </c>
      <c r="D75" s="7" t="n">
        <v>3</v>
      </c>
      <c r="E75" s="8" t="n"/>
      <c r="F75" s="6" t="inlineStr">
        <is>
          <t>A.080 art. 23; R.V.M. 104-2019 num. 13.3.4</t>
        </is>
      </c>
      <c r="G75" s="8" t="n">
        <v>6</v>
      </c>
      <c r="H75" s="8">
        <f>IF(AND(ISNUMBER(D75),ISNUMBER(E75)),D75*E75,IF(ISNUMBER(G75),G75,"—"))</f>
        <v/>
      </c>
      <c r="I75" s="8" t="n">
        <v>25</v>
      </c>
      <c r="J75" s="7">
        <f>IF(AND(ISNUMBER(H75),ISNUMBER(I75)),IF(I75&gt;=H75-0.001,"CUMPLE","NO CUMPLE"),"CONFORME")</f>
        <v/>
      </c>
      <c r="K75" s="8" t="n"/>
      <c r="L75" s="8" t="n"/>
      <c r="M75" s="7">
        <f>IF(AND(ISNUMBER(K75),ISNUMBER(I75)),IF(AND(ISNUMBER(L75),I75&lt;=L75),"EN RANGO","SUPERA"),"—")</f>
        <v/>
      </c>
      <c r="N75" s="8" t="n">
        <v>25</v>
      </c>
      <c r="O75" s="6" t="inlineStr">
        <is>
          <t>El área mínima es de 6.00 m² y el ambiente tiene 25.00 m². Ambiente cerrado con punto de agua y sumidero (R.V.M. 104-2019), con acceso desde el zaguán de servicio y contenedores diferenciados (lineamientos 3.4).</t>
        </is>
      </c>
    </row>
    <row r="76" ht="24" customHeight="1">
      <c r="A76" s="6" t="inlineStr">
        <is>
          <t>Zona de servicios generales</t>
        </is>
      </c>
      <c r="B76" s="6" t="inlineStr">
        <is>
          <t>Tablero eléctrico</t>
        </is>
      </c>
      <c r="C76" s="7" t="n">
        <v>1</v>
      </c>
      <c r="D76" s="7" t="n">
        <v>2</v>
      </c>
      <c r="E76" s="8" t="n"/>
      <c r="F76" s="6" t="inlineStr">
        <is>
          <t>EM.010; R.V.M. 104-2019 num. 13.3.6</t>
        </is>
      </c>
      <c r="G76" s="8" t="n"/>
      <c r="H76" s="8">
        <f>IF(AND(ISNUMBER(D76),ISNUMBER(E76)),D76*E76,IF(ISNUMBER(G76),G76,"—"))</f>
        <v/>
      </c>
      <c r="I76" s="8" t="n">
        <v>6</v>
      </c>
      <c r="J76" s="7">
        <f>IF(AND(ISNUMBER(H76),ISNUMBER(I76)),IF(I76&gt;=H76-0.001,"CUMPLE","NO CUMPLE"),"CONFORME")</f>
        <v/>
      </c>
      <c r="K76" s="8" t="n"/>
      <c r="L76" s="8" t="n"/>
      <c r="M76" s="7">
        <f>IF(AND(ISNUMBER(K76),ISNUMBER(I76)),IF(AND(ISNUMBER(L76),I76&lt;=L76),"EN RANGO","SUPERA"),"—")</f>
        <v/>
      </c>
      <c r="N76" s="8" t="n">
        <v>6</v>
      </c>
      <c r="O76" s="6" t="inlineStr">
        <is>
          <t>Fuera del alcance de niñas y niños (R.V.M. 104-2019 num. 13.3.6).</t>
        </is>
      </c>
    </row>
    <row r="77" ht="24" customHeight="1">
      <c r="A77" s="6" t="inlineStr">
        <is>
          <t>Zona de servicios generales</t>
        </is>
      </c>
      <c r="B77" s="6" t="inlineStr">
        <is>
          <t>Cuarto de máquinas</t>
        </is>
      </c>
      <c r="C77" s="7" t="n">
        <v>1</v>
      </c>
      <c r="D77" s="7" t="n">
        <v>2</v>
      </c>
      <c r="E77" s="8" t="n"/>
      <c r="F77" s="6" t="inlineStr">
        <is>
          <t>R.V.M. 104-2019 num. 13.3.3</t>
        </is>
      </c>
      <c r="G77" s="8" t="n"/>
      <c r="H77" s="8">
        <f>IF(AND(ISNUMBER(D77),ISNUMBER(E77)),D77*E77,IF(ISNUMBER(G77),G77,"—"))</f>
        <v/>
      </c>
      <c r="I77" s="8" t="n">
        <v>8</v>
      </c>
      <c r="J77" s="7">
        <f>IF(AND(ISNUMBER(H77),ISNUMBER(I77)),IF(I77&gt;=H77-0.001,"CUMPLE","NO CUMPLE"),"CONFORME")</f>
        <v/>
      </c>
      <c r="K77" s="8" t="n"/>
      <c r="L77" s="8" t="n"/>
      <c r="M77" s="7">
        <f>IF(AND(ISNUMBER(K77),ISNUMBER(I77)),IF(AND(ISNUMBER(L77),I77&lt;=L77),"EN RANGO","SUPERA"),"—")</f>
        <v/>
      </c>
      <c r="N77" s="8" t="n">
        <v>8</v>
      </c>
      <c r="O77" s="6" t="inlineStr">
        <is>
          <t>Acceso solo del personal autorizado.</t>
        </is>
      </c>
    </row>
    <row r="78" ht="24" customHeight="1">
      <c r="A78" s="6" t="inlineStr">
        <is>
          <t>Zona de servicios generales</t>
        </is>
      </c>
      <c r="B78" s="6" t="inlineStr">
        <is>
          <t>Garita + SS.HH.</t>
        </is>
      </c>
      <c r="C78" s="7" t="n">
        <v>1</v>
      </c>
      <c r="D78" s="7" t="n">
        <v>1</v>
      </c>
      <c r="E78" s="8" t="n">
        <v>3</v>
      </c>
      <c r="F78" s="6" t="inlineStr">
        <is>
          <t>R.V.M. 208-2019; lineamientos 2.4</t>
        </is>
      </c>
      <c r="G78" s="8" t="n"/>
      <c r="H78" s="8">
        <f>IF(AND(ISNUMBER(D78),ISNUMBER(E78)),D78*E78,IF(ISNUMBER(G78),G78,"—"))</f>
        <v/>
      </c>
      <c r="I78" s="8" t="n">
        <v>10</v>
      </c>
      <c r="J78" s="7">
        <f>IF(AND(ISNUMBER(H78),ISNUMBER(I78)),IF(I78&gt;=H78-0.001,"CUMPLE","NO CUMPLE"),"CONFORME")</f>
        <v/>
      </c>
      <c r="K78" s="8" t="n"/>
      <c r="L78" s="8" t="n"/>
      <c r="M78" s="7">
        <f>IF(AND(ISNUMBER(K78),ISNUMBER(I78)),IF(AND(ISNUMBER(L78),I78&lt;=L78),"EN RANGO","SUPERA"),"—")</f>
        <v/>
      </c>
      <c r="N78" s="8" t="n">
        <v>10</v>
      </c>
      <c r="O78" s="6" t="inlineStr">
        <is>
          <t>Con 1 persona a 3.00 m² por persona (R.V.M. 208-2019), el área mínima es de 3.00 m², y el ambiente tiene 10.00 m². Caseta de control de los accesos de servicio (lineamientos 2.4).</t>
        </is>
      </c>
    </row>
    <row r="79" ht="24" customHeight="1">
      <c r="A79" s="6" t="inlineStr">
        <is>
          <t>Zona de servicios generales</t>
        </is>
      </c>
      <c r="B79" s="6" t="inlineStr">
        <is>
          <t>Subestación</t>
        </is>
      </c>
      <c r="C79" s="7" t="n">
        <v>1</v>
      </c>
      <c r="D79" s="7" t="n">
        <v>2</v>
      </c>
      <c r="E79" s="8" t="n"/>
      <c r="F79" s="6" t="inlineStr">
        <is>
          <t>EM.010; Código Nacional de Electricidad</t>
        </is>
      </c>
      <c r="G79" s="8" t="n"/>
      <c r="H79" s="8">
        <f>IF(AND(ISNUMBER(D79),ISNUMBER(E79)),D79*E79,IF(ISNUMBER(G79),G79,"—"))</f>
        <v/>
      </c>
      <c r="I79" s="8" t="n">
        <v>10</v>
      </c>
      <c r="J79" s="7">
        <f>IF(AND(ISNUMBER(H79),ISNUMBER(I79)),IF(I79&gt;=H79-0.001,"CUMPLE","NO CUMPLE"),"CONFORME")</f>
        <v/>
      </c>
      <c r="K79" s="8" t="n"/>
      <c r="L79" s="8" t="n"/>
      <c r="M79" s="7">
        <f>IF(AND(ISNUMBER(K79),ISNUMBER(I79)),IF(AND(ISNUMBER(L79),I79&lt;=L79),"EN RANGO","SUPERA"),"—")</f>
        <v/>
      </c>
      <c r="N79" s="8" t="n">
        <v>10</v>
      </c>
      <c r="O79" s="6" t="inlineStr">
        <is>
          <t>Suministro eléctrico del local.</t>
        </is>
      </c>
    </row>
    <row r="80" ht="24" customHeight="1">
      <c r="A80" s="6" t="inlineStr">
        <is>
          <t>Zona de servicios generales</t>
        </is>
      </c>
      <c r="B80" s="6" t="inlineStr">
        <is>
          <t>Grupo electrógeno</t>
        </is>
      </c>
      <c r="C80" s="7" t="n">
        <v>1</v>
      </c>
      <c r="D80" s="7" t="n">
        <v>2</v>
      </c>
      <c r="E80" s="8" t="n"/>
      <c r="F80" s="6" t="inlineStr">
        <is>
          <t>EM.010; A.030 anexos</t>
        </is>
      </c>
      <c r="G80" s="8" t="n"/>
      <c r="H80" s="8">
        <f>IF(AND(ISNUMBER(D80),ISNUMBER(E80)),D80*E80,IF(ISNUMBER(G80),G80,"—"))</f>
        <v/>
      </c>
      <c r="I80" s="8" t="n">
        <v>9</v>
      </c>
      <c r="J80" s="7">
        <f>IF(AND(ISNUMBER(H80),ISNUMBER(I80)),IF(I80&gt;=H80-0.001,"CUMPLE","NO CUMPLE"),"CONFORME")</f>
        <v/>
      </c>
      <c r="K80" s="8" t="n"/>
      <c r="L80" s="8" t="n"/>
      <c r="M80" s="7">
        <f>IF(AND(ISNUMBER(K80),ISNUMBER(I80)),IF(AND(ISNUMBER(L80),I80&lt;=L80),"EN RANGO","SUPERA"),"—")</f>
        <v/>
      </c>
      <c r="N80" s="8" t="n">
        <v>9</v>
      </c>
      <c r="O80" s="6" t="inlineStr">
        <is>
          <t>Energía de respaldo en ambiente separado (A.030, anexos).</t>
        </is>
      </c>
    </row>
    <row r="81">
      <c r="A81" s="4" t="inlineStr">
        <is>
          <t>Circulación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 ht="24" customHeight="1">
      <c r="A82" s="6" t="inlineStr">
        <is>
          <t>Circulación</t>
        </is>
      </c>
      <c r="B82" s="6" t="inlineStr">
        <is>
          <t>Circulaciones</t>
        </is>
      </c>
      <c r="C82" s="7" t="n">
        <v>1</v>
      </c>
      <c r="D82" s="7" t="n"/>
      <c r="E82" s="8" t="n"/>
      <c r="F82" s="6" t="inlineStr">
        <is>
          <t>A.030 art. 4; A.130</t>
        </is>
      </c>
      <c r="G82" s="8" t="n"/>
      <c r="H82" s="8">
        <f>IF(AND(ISNUMBER(D82),ISNUMBER(E82)),D82*E82,IF(ISNUMBER(G82),G82,"—"))</f>
        <v/>
      </c>
      <c r="I82" s="8" t="n">
        <v>2267.8</v>
      </c>
      <c r="J82" s="7">
        <f>IF(AND(ISNUMBER(H82),ISNUMBER(I82)),IF(I82&gt;=H82-0.001,"CUMPLE","NO CUMPLE"),"CONFORME")</f>
        <v/>
      </c>
      <c r="K82" s="8" t="n"/>
      <c r="L82" s="8" t="n"/>
      <c r="M82" s="7">
        <f>IF(AND(ISNUMBER(K82),ISNUMBER(I82)),IF(AND(ISNUMBER(L82),I82&lt;=L82),"EN RANGO","SUPERA"),"—")</f>
        <v/>
      </c>
      <c r="N82" s="8" t="n">
        <v>2267.8</v>
      </c>
      <c r="O82" s="6" t="inlineStr">
        <is>
          <t>Pasajes y escaleras de 1.20 m de ancho libre mínimo (A.030 art. 4) y evacuación según la A.130.</t>
        </is>
      </c>
    </row>
  </sheetData>
  <autoFilter ref="A4:O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ZONA RESIDENCIAL: PLAZAS Y SERVICIOS HIGIÉNICOS (A.030 Y LINEAMIENTOS)</t>
        </is>
      </c>
    </row>
    <row r="2">
      <c r="A2" s="2" t="inlineStr">
        <is>
          <t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      </is>
      </c>
    </row>
    <row r="4" ht="32" customHeight="1">
      <c r="A4" s="3" t="inlineStr">
        <is>
          <t>HABITACIÓN</t>
        </is>
      </c>
      <c r="B4" s="3" t="inlineStr">
        <is>
          <t>CANT.</t>
        </is>
      </c>
      <c r="C4" s="3" t="inlineStr">
        <is>
          <t>CAPACIDAD</t>
        </is>
      </c>
      <c r="D4" s="3" t="inlineStr">
        <is>
          <t>PLAZAS</t>
        </is>
      </c>
      <c r="E4" s="3" t="inlineStr">
        <is>
          <t>ÁREA UNIT. (m²)</t>
        </is>
      </c>
      <c r="F4" s="3" t="inlineStr">
        <is>
          <t>m² POR PERSONA</t>
        </is>
      </c>
      <c r="G4" s="3" t="inlineStr">
        <is>
          <t>BAÑO PRIVADO</t>
        </is>
      </c>
    </row>
    <row r="5">
      <c r="A5" s="6" t="inlineStr">
        <is>
          <t>Habitaciones simples - tipo I</t>
        </is>
      </c>
      <c r="B5" s="7" t="n">
        <v>3</v>
      </c>
      <c r="C5" s="7" t="n">
        <v>3</v>
      </c>
      <c r="D5" s="7">
        <f>B5*C5</f>
        <v/>
      </c>
      <c r="E5" s="8" t="n">
        <v>12</v>
      </c>
      <c r="F5" s="8">
        <f>E5/C5</f>
        <v/>
      </c>
      <c r="G5" s="7" t="inlineStr">
        <is>
          <t>SÍ</t>
        </is>
      </c>
    </row>
    <row r="6">
      <c r="A6" s="6" t="inlineStr">
        <is>
          <t>Habitaciones simples - tipo II</t>
        </is>
      </c>
      <c r="B6" s="7" t="n">
        <v>3</v>
      </c>
      <c r="C6" s="7" t="n">
        <v>3</v>
      </c>
      <c r="D6" s="7">
        <f>B6*C6</f>
        <v/>
      </c>
      <c r="E6" s="8" t="n">
        <v>12</v>
      </c>
      <c r="F6" s="8">
        <f>E6/C6</f>
        <v/>
      </c>
      <c r="G6" s="7" t="inlineStr">
        <is>
          <t>SÍ</t>
        </is>
      </c>
    </row>
    <row r="7">
      <c r="A7" s="6" t="inlineStr">
        <is>
          <t>Habitaciones doble - tipo I</t>
        </is>
      </c>
      <c r="B7" s="7" t="n">
        <v>3</v>
      </c>
      <c r="C7" s="7" t="n">
        <v>5</v>
      </c>
      <c r="D7" s="7">
        <f>B7*C7</f>
        <v/>
      </c>
      <c r="E7" s="8" t="n">
        <v>20</v>
      </c>
      <c r="F7" s="8">
        <f>E7/C7</f>
        <v/>
      </c>
      <c r="G7" s="7" t="inlineStr">
        <is>
          <t>NO</t>
        </is>
      </c>
    </row>
    <row r="8">
      <c r="A8" s="6" t="inlineStr">
        <is>
          <t>Habitaciones doble - tipo II</t>
        </is>
      </c>
      <c r="B8" s="7" t="n">
        <v>7</v>
      </c>
      <c r="C8" s="7" t="n">
        <v>5</v>
      </c>
      <c r="D8" s="7">
        <f>B8*C8</f>
        <v/>
      </c>
      <c r="E8" s="8" t="n">
        <v>20</v>
      </c>
      <c r="F8" s="8">
        <f>E8/C8</f>
        <v/>
      </c>
      <c r="G8" s="7" t="inlineStr">
        <is>
          <t>NO</t>
        </is>
      </c>
    </row>
    <row r="9">
      <c r="A9" s="6" t="inlineStr">
        <is>
          <t>Habitaciones triple - tipo I</t>
        </is>
      </c>
      <c r="B9" s="7" t="n">
        <v>3</v>
      </c>
      <c r="C9" s="7" t="n">
        <v>7</v>
      </c>
      <c r="D9" s="7">
        <f>B9*C9</f>
        <v/>
      </c>
      <c r="E9" s="8" t="n">
        <v>28</v>
      </c>
      <c r="F9" s="8">
        <f>E9/C9</f>
        <v/>
      </c>
      <c r="G9" s="7" t="inlineStr">
        <is>
          <t>SÍ</t>
        </is>
      </c>
    </row>
    <row r="10">
      <c r="A10" s="6" t="inlineStr">
        <is>
          <t>Habitaciones triple - tipo II</t>
        </is>
      </c>
      <c r="B10" s="7" t="n">
        <v>3</v>
      </c>
      <c r="C10" s="7" t="n">
        <v>7</v>
      </c>
      <c r="D10" s="7">
        <f>B10*C10</f>
        <v/>
      </c>
      <c r="E10" s="8" t="n">
        <v>28</v>
      </c>
      <c r="F10" s="8">
        <f>E10/C10</f>
        <v/>
      </c>
      <c r="G10" s="7" t="inlineStr">
        <is>
          <t>SÍ</t>
        </is>
      </c>
    </row>
    <row r="11">
      <c r="A11" s="6" t="inlineStr">
        <is>
          <t>Habitación especial</t>
        </is>
      </c>
      <c r="B11" s="7" t="n">
        <v>1</v>
      </c>
      <c r="C11" s="7" t="n">
        <v>3</v>
      </c>
      <c r="D11" s="7">
        <f>B11*C11</f>
        <v/>
      </c>
      <c r="E11" s="8" t="n">
        <v>12</v>
      </c>
      <c r="F11" s="8">
        <f>E11/C11</f>
        <v/>
      </c>
      <c r="G11" s="7" t="inlineStr">
        <is>
          <t>SÍ</t>
        </is>
      </c>
    </row>
    <row r="12">
      <c r="A12" s="9" t="inlineStr">
        <is>
          <t>TOTAL</t>
        </is>
      </c>
      <c r="B12" s="10">
        <f>SUM(B5:B11)</f>
        <v/>
      </c>
      <c r="C12" s="10" t="n"/>
      <c r="D12" s="11">
        <f>SUM(D5:D11)</f>
        <v/>
      </c>
    </row>
    <row r="14" ht="32" customHeight="1">
      <c r="A14" s="3" t="inlineStr">
        <is>
          <t>CRITERIO</t>
        </is>
      </c>
      <c r="B14" s="3" t="inlineStr">
        <is>
          <t>REQUERIDO</t>
        </is>
      </c>
      <c r="C14" s="3" t="inlineStr">
        <is>
          <t>PROGRAMA</t>
        </is>
      </c>
      <c r="D14" s="3" t="inlineStr">
        <is>
          <t>RESULTADO</t>
        </is>
      </c>
    </row>
    <row r="15">
      <c r="A15" s="6" t="inlineStr">
        <is>
          <t>Habitaciones con baño privado (%) - A.030 art. 6 num. 6</t>
        </is>
      </c>
      <c r="B15" s="8" t="n">
        <v>50</v>
      </c>
      <c r="C15" s="8">
        <f>SUMIF(G5:G11,"SÍ",B5:B11)/B12*100</f>
        <v/>
      </c>
      <c r="D15" s="7">
        <f>IF(C15&gt;=B15,"CUMPLE","NO CUMPLE")</f>
        <v/>
      </c>
    </row>
    <row r="16">
      <c r="A16" s="6" t="inlineStr">
        <is>
          <t>SS.HH. comunes: 2 por cada 4 habitaciones sin baño - A.030 art. 6 num. 7</t>
        </is>
      </c>
      <c r="B16" s="8">
        <f>2*ROUNDUP(SUMIF(G5:G11,"NO",B5:B11)/4,0)</f>
        <v/>
      </c>
      <c r="C16" s="8" t="n">
        <v>7</v>
      </c>
      <c r="D16" s="7">
        <f>IF(C16&gt;=B16,"CUMPLE","NO CUMPLE")</f>
        <v/>
      </c>
    </row>
    <row r="17">
      <c r="A17" s="6" t="inlineStr">
        <is>
          <t>Baño compartido por un máximo de 3 habitaciones - lineamientos 3.4</t>
        </is>
      </c>
      <c r="B17" s="8">
        <f>ROUNDUP(SUMIF(G5:G11,"NO",B5:B11)/3,0)</f>
        <v/>
      </c>
      <c r="C17" s="8" t="n">
        <v>7</v>
      </c>
      <c r="D17" s="7">
        <f>IF(C17&gt;=B17,"CUMPLE","NO CUMPLE")</f>
        <v/>
      </c>
    </row>
    <row r="18">
      <c r="A18" s="6" t="inlineStr">
        <is>
          <t>Patio exterior: 2.00 m² por niño(a), 2/3 de las plazas - R.V.M. 104-2019 num. 11.3; lineamientos 1.6</t>
        </is>
      </c>
      <c r="B18" s="8">
        <f>ROUND(D12*2/3,0)*2</f>
        <v/>
      </c>
      <c r="C18" s="8" t="n">
        <v>361.7</v>
      </c>
      <c r="D18" s="7">
        <f>IF(C18&gt;=B18,"CUMPLE","NO CUMPLE")</f>
        <v/>
      </c>
    </row>
    <row r="19">
      <c r="A19" s="6" t="inlineStr">
        <is>
          <t>Comedor: 1.00 m² por residente - lineamientos 3.2</t>
        </is>
      </c>
      <c r="B19" s="8">
        <f>D12*1</f>
        <v/>
      </c>
      <c r="C19" s="8" t="n">
        <v>240</v>
      </c>
      <c r="D19" s="7">
        <f>IF(C19&gt;=B19,"CUMPLE","NO CUMPLE")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  <col width="10" customWidth="1" min="4" max="4"/>
  </cols>
  <sheetData>
    <row r="1">
      <c r="A1" s="1" t="inlineStr">
        <is>
          <t>ÍNDICES DE OCUPACIÓN DE LAS NORMAS</t>
        </is>
      </c>
    </row>
    <row r="2">
      <c r="A2" s="2" t="inlineStr">
        <is>
          <t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      </is>
      </c>
    </row>
    <row r="4" ht="32" customHeight="1">
      <c r="A4" s="3" t="inlineStr">
        <is>
          <t>CLAVE</t>
        </is>
      </c>
      <c r="B4" s="3" t="inlineStr">
        <is>
          <t>NORMA</t>
        </is>
      </c>
      <c r="C4" s="3" t="inlineStr">
        <is>
          <t>TEXTO DEL ARTÍCULO</t>
        </is>
      </c>
      <c r="D4" s="3" t="inlineStr">
        <is>
          <t>ÍNDICE</t>
        </is>
      </c>
    </row>
    <row r="5">
      <c r="A5" s="6" t="inlineStr">
        <is>
          <t>A080</t>
        </is>
      </c>
      <c r="B5" s="6" t="inlineStr">
        <is>
          <t>A.080 art. 6</t>
        </is>
      </c>
      <c r="C5" s="6" t="inlineStr">
        <is>
          <t>El número de ocupantes de una edificación de oficinas se calculará a razón de una persona cada 9.5 m2.</t>
        </is>
      </c>
      <c r="D5" s="12" t="n">
        <v>9.5</v>
      </c>
    </row>
    <row r="6">
      <c r="A6" s="6" t="inlineStr">
        <is>
          <t>A090of</t>
        </is>
      </c>
      <c r="B6" s="6" t="inlineStr">
        <is>
          <t>A.090 art. 11</t>
        </is>
      </c>
      <c r="C6" s="6" t="inlineStr">
        <is>
          <t>Ambientes para oficinas administrativas: 10.0 m2 por persona.</t>
        </is>
      </c>
      <c r="D6" s="12" t="n">
        <v>10</v>
      </c>
    </row>
    <row r="7">
      <c r="A7" s="6" t="inlineStr">
        <is>
          <t>A090reu</t>
        </is>
      </c>
      <c r="B7" s="6" t="inlineStr">
        <is>
          <t>A.090 art. 11</t>
        </is>
      </c>
      <c r="C7" s="6" t="inlineStr">
        <is>
          <t>Ambientes de reunión: 1.0 m2 por persona.</t>
        </is>
      </c>
      <c r="D7" s="12" t="n">
        <v>1</v>
      </c>
    </row>
    <row r="8">
      <c r="A8" s="6" t="inlineStr">
        <is>
          <t>A090asi</t>
        </is>
      </c>
      <c r="B8" s="6" t="inlineStr">
        <is>
          <t>A.090 art. 11</t>
        </is>
      </c>
      <c r="C8" s="6" t="inlineStr">
        <is>
          <t>Asilos y orfanatos: 6.0 m2 por persona.</t>
        </is>
      </c>
      <c r="D8" s="12" t="n">
        <v>6</v>
      </c>
    </row>
    <row r="9">
      <c r="A9" s="6" t="inlineStr">
        <is>
          <t>A090est</t>
        </is>
      </c>
      <c r="B9" s="6" t="inlineStr">
        <is>
          <t>A.090 art. 11</t>
        </is>
      </c>
      <c r="C9" s="6" t="inlineStr">
        <is>
          <t>Estacionamientos de uso general: 16.0 m2 por persona.</t>
        </is>
      </c>
      <c r="D9" s="12" t="n">
        <v>16</v>
      </c>
    </row>
    <row r="10">
      <c r="A10" s="6" t="inlineStr">
        <is>
          <t>A030alb</t>
        </is>
      </c>
      <c r="B10" s="6" t="inlineStr">
        <is>
          <t>A.030 art. 5</t>
        </is>
      </c>
      <c r="C10" s="6" t="inlineStr">
        <is>
          <t>Albergue: 04.0 m² por persona.</t>
        </is>
      </c>
      <c r="D10" s="12" t="n">
        <v>4</v>
      </c>
    </row>
    <row r="11">
      <c r="A11" s="6" t="inlineStr">
        <is>
          <t>A030eh</t>
        </is>
      </c>
      <c r="B11" s="6" t="inlineStr">
        <is>
          <t>A.030 art. 5</t>
        </is>
      </c>
      <c r="C11" s="6" t="inlineStr">
        <is>
          <t>Establecimientos de hospedaje: 12.0 m² por persona.</t>
        </is>
      </c>
      <c r="D11" s="12" t="n">
        <v>12</v>
      </c>
    </row>
    <row r="12">
      <c r="A12" s="6" t="inlineStr">
        <is>
          <t>A040tal</t>
        </is>
      </c>
      <c r="B12" s="6" t="inlineStr">
        <is>
          <t>A.040 art. 13</t>
        </is>
      </c>
      <c r="C12" s="6" t="inlineStr">
        <is>
          <t>Talleres y laboratorios: 3.0 m² por persona.</t>
        </is>
      </c>
      <c r="D12" s="12" t="n">
        <v>3</v>
      </c>
    </row>
    <row r="13">
      <c r="A13" s="6" t="inlineStr">
        <is>
          <t>A040sum</t>
        </is>
      </c>
      <c r="B13" s="6" t="inlineStr">
        <is>
          <t>A.040 art. 13</t>
        </is>
      </c>
      <c r="C13" s="6" t="inlineStr">
        <is>
          <t>Salas de usos múltiples: 1.0 m² por persona.</t>
        </is>
      </c>
      <c r="D13" s="12" t="n">
        <v>1</v>
      </c>
    </row>
    <row r="14">
      <c r="A14" s="6" t="inlineStr">
        <is>
          <t>A040aula</t>
        </is>
      </c>
      <c r="B14" s="6" t="inlineStr">
        <is>
          <t>A.040 art. 13</t>
        </is>
      </c>
      <c r="C14" s="6" t="inlineStr">
        <is>
          <t>Aulas: 1.5 m² por persona.</t>
        </is>
      </c>
      <c r="D14" s="12" t="n">
        <v>1.5</v>
      </c>
    </row>
    <row r="15">
      <c r="A15" s="6" t="inlineStr">
        <is>
          <t>R104aula</t>
        </is>
      </c>
      <c r="B15" s="6" t="inlineStr">
        <is>
          <t>R.V.M. 104-2019 cuadro 16</t>
        </is>
      </c>
      <c r="C15" s="6" t="inlineStr">
        <is>
          <t>Aula de Ciclo II: capacidad 25 niños(as), I.O. 2.40 m², área 60.00 m².</t>
        </is>
      </c>
      <c r="D15" s="12" t="n">
        <v>2.4</v>
      </c>
    </row>
    <row r="16">
      <c r="A16" s="6" t="inlineStr">
        <is>
          <t>R104psi</t>
        </is>
      </c>
      <c r="B16" s="6" t="inlineStr">
        <is>
          <t>R.V.M. 104-2019 cuadro 18</t>
        </is>
      </c>
      <c r="C16" s="6" t="inlineStr">
        <is>
          <t>Sala de psicomotricidad: capacidad 25 niños(as), I.O. 2.00 m², área 50.00 m².</t>
        </is>
      </c>
      <c r="D16" s="12" t="n">
        <v>2</v>
      </c>
    </row>
    <row r="17">
      <c r="A17" s="6" t="inlineStr">
        <is>
          <t>R104sum</t>
        </is>
      </c>
      <c r="B17" s="6" t="inlineStr">
        <is>
          <t>R.V.M. 104-2019 num. 12.2.1</t>
        </is>
      </c>
      <c r="C17" s="6" t="inlineStr">
        <is>
          <t>SUM: I.O. 1.00 m² por niño(a); área no menor de 60.00 m² ni mayor de 120.00 m².</t>
        </is>
      </c>
      <c r="D17" s="12" t="n">
        <v>1</v>
      </c>
    </row>
    <row r="18">
      <c r="A18" s="6" t="inlineStr">
        <is>
          <t>R104ext</t>
        </is>
      </c>
      <c r="B18" s="6" t="inlineStr">
        <is>
          <t>R.V.M. 104-2019 num. 11.3</t>
        </is>
      </c>
      <c r="C18" s="6" t="inlineStr">
        <is>
          <t>Espacio exterior: I.O. de 2.00 m² por niño(a) del aula o aulas a la que sirve.</t>
        </is>
      </c>
      <c r="D18" s="12" t="n">
        <v>2</v>
      </c>
    </row>
    <row r="19">
      <c r="A19" s="6" t="inlineStr">
        <is>
          <t>R104adm</t>
        </is>
      </c>
      <c r="B19" s="6" t="inlineStr">
        <is>
          <t>R.V.M. 104-2019 cuadro 21</t>
        </is>
      </c>
      <c r="C19" s="6" t="inlineStr">
        <is>
          <t>Espacios independientes para el personal: I.O. por usuario = 9.50 m² por persona.</t>
        </is>
      </c>
      <c r="D19" s="12" t="n">
        <v>9.5</v>
      </c>
    </row>
    <row r="20">
      <c r="A20" s="6" t="inlineStr">
        <is>
          <t>R104reu</t>
        </is>
      </c>
      <c r="B20" s="6" t="inlineStr">
        <is>
          <t>R.V.M. 104-2019 num. 13.1.4</t>
        </is>
      </c>
      <c r="C20" s="6" t="inlineStr">
        <is>
          <t>Sala de reuniones: I.O. de 1.50 m² por personal docente; no menor de 12.00 m².</t>
        </is>
      </c>
      <c r="D20" s="1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8" customWidth="1" min="3" max="3"/>
    <col width="70" customWidth="1" min="4" max="4"/>
  </cols>
  <sheetData>
    <row r="1">
      <c r="A1" s="1" t="inlineStr">
        <is>
          <t>MARCO NORMATIVO</t>
        </is>
      </c>
    </row>
    <row r="2">
      <c r="A2" s="2" t="inlineStr">
        <is>
          <t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      </is>
      </c>
    </row>
    <row r="4" ht="32" customHeight="1">
      <c r="A4" s="3" t="inlineStr">
        <is>
          <t>GRUPO</t>
        </is>
      </c>
      <c r="B4" s="3" t="inlineStr">
        <is>
          <t>NORMA</t>
        </is>
      </c>
      <c r="C4" s="3" t="inlineStr">
        <is>
          <t>DISPOSITIVOS</t>
        </is>
      </c>
      <c r="D4" s="3" t="inlineStr">
        <is>
          <t>APLICACIÓN</t>
        </is>
      </c>
    </row>
    <row r="5" ht="42" customHeight="1">
      <c r="A5" s="6" t="inlineStr">
        <is>
          <t>Marco legal del servicio</t>
        </is>
      </c>
      <c r="B5" s="6" t="inlineStr">
        <is>
          <t>Ley N.° 30364, Ley para prevenir, sancionar y erradicar la violencia contra las mujeres y los integrantes del grupo familiar, y su Reglamento (D.S. N.° 009-2016-MIMP y modificatorias)</t>
        </is>
      </c>
      <c r="C5" s="6" t="inlineStr">
        <is>
          <t>Ley y reglamento</t>
        </is>
      </c>
      <c r="D5" s="6" t="inlineStr">
        <is>
          <t>Marco del servicio de Hogares de Refugio Temporal: creación, implementación, registro y acreditación.</t>
        </is>
      </c>
    </row>
    <row r="6" ht="42" customHeight="1">
      <c r="A6" s="6" t="inlineStr">
        <is>
          <t>Marco legal del servicio</t>
        </is>
      </c>
      <c r="B6" s="6" t="inlineStr">
        <is>
          <t>Ley N.° 31621 y su Reglamento (D.S. N.° 005-2023-MIMP)</t>
        </is>
      </c>
      <c r="C6" s="6" t="inlineStr">
        <is>
          <t>Ley y reglamento</t>
        </is>
      </c>
      <c r="D6" s="6" t="inlineStr">
        <is>
          <t>Promueve la implementación y el funcionamiento de los Hogares de Refugio Temporal por los gobiernos regionales y locales.</t>
        </is>
      </c>
    </row>
    <row r="7" ht="42" customHeight="1">
      <c r="A7" s="6" t="inlineStr">
        <is>
          <t>Marco legal del servicio</t>
        </is>
      </c>
      <c r="B7" s="6" t="inlineStr">
        <is>
          <t>R.M. N.° 150-2016-MIMP: Lineamientos para la atención y funcionamiento de los Hogares de Refugio Temporal, criterios de derivación y modelo de reglamento interno</t>
        </is>
      </c>
      <c r="C7" s="6" t="inlineStr">
        <is>
          <t>Resolución ministerial</t>
        </is>
      </c>
      <c r="D7" s="6" t="inlineStr">
        <is>
          <t>Organización del servicio y de la atención; base de la programación funcional.</t>
        </is>
      </c>
    </row>
    <row r="8" ht="42" customHeight="1">
      <c r="A8" s="6" t="inlineStr">
        <is>
          <t>Reglamento Nacional de Edificaciones</t>
        </is>
      </c>
      <c r="B8" s="6" t="inlineStr">
        <is>
          <t>Norma Técnica A.030 Hospedaje (R.M. N.° 005-2019-VIVIENDA)</t>
        </is>
      </c>
      <c r="C8" s="6" t="inlineStr">
        <is>
          <t>Arts. 4, 5 y 6; Anexos 1, 3 y 4</t>
        </is>
      </c>
      <c r="D8" s="6" t="inlineStr">
        <is>
          <t>Zona residencial: cálculo de ocupantes (albergue 4.0 m²/persona), área mínima de habitación (6.00 m²), servicios higiénicos (2.50 m² mínimo, 50 % de habitaciones con baño privado), pasajes de 1.20 m.</t>
        </is>
      </c>
    </row>
    <row r="9" ht="42" customHeight="1">
      <c r="A9" s="6" t="inlineStr">
        <is>
          <t>Reglamento Nacional de Edificaciones</t>
        </is>
      </c>
      <c r="B9" s="6" t="inlineStr">
        <is>
          <t>Norma Técnica A.040 Educación (R.M. N.° 068-2020-VIVIENDA)</t>
        </is>
      </c>
      <c r="C9" s="6" t="inlineStr">
        <is>
          <t>Arts. 13 y 20</t>
        </is>
      </c>
      <c r="D9" s="6" t="inlineStr">
        <is>
          <t>Talleres, módulo de enseñanza, SUM y sus servicios higiénicos: índices de ocupación y dotación de aparatos sanitarios.</t>
        </is>
      </c>
    </row>
    <row r="10" ht="42" customHeight="1">
      <c r="A10" s="6" t="inlineStr">
        <is>
          <t>Reglamento Nacional de Edificaciones</t>
        </is>
      </c>
      <c r="B10" s="6" t="inlineStr">
        <is>
          <t>Norma A.080 Oficinas (D.S. N.° 011-2006-VIVIENDA)</t>
        </is>
      </c>
      <c r="C10" s="6" t="inlineStr">
        <is>
          <t>Arts. 3, 6, 7, 9, 15 y 23</t>
        </is>
      </c>
      <c r="D10" s="6" t="inlineStr">
        <is>
          <t>Zona administrativa: 9.5 m² por persona, altura libre 2.40 m, servicios para empleados, ambiente para basura.</t>
        </is>
      </c>
    </row>
    <row r="11" ht="42" customHeight="1">
      <c r="A11" s="6" t="inlineStr">
        <is>
          <t>Reglamento Nacional de Edificaciones</t>
        </is>
      </c>
      <c r="B11" s="6" t="inlineStr">
        <is>
          <t>Norma A.090 Servicios Comunales (D.S. N.° 011-2006-VIVIENDA)</t>
        </is>
      </c>
      <c r="C11" s="6" t="inlineStr">
        <is>
          <t>Arts. 2, 6, 10, 11, 15, 16 y 17</t>
        </is>
      </c>
      <c r="D11" s="6" t="inlineStr">
        <is>
          <t>Uso de protección social; tabla de ocupación (oficinas 10.0, asilos y orfanatos 6.0, reunión 1.0 m²/persona), servicios higiénicos para empleados y público, estacionamientos.</t>
        </is>
      </c>
    </row>
    <row r="12" ht="42" customHeight="1">
      <c r="A12" s="6" t="inlineStr">
        <is>
          <t>Reglamento Nacional de Edificaciones</t>
        </is>
      </c>
      <c r="B12" s="6" t="inlineStr">
        <is>
          <t>Normas A.010 Condiciones generales de diseño, A.120 Accesibilidad universal y A.130 Requisitos de seguridad</t>
        </is>
      </c>
      <c r="C12" s="6" t="inlineStr">
        <is>
          <t>Exigidas por A.080 (arts. 3 y 9), A.090 (arts. 6 y 10) y A.030 (art. 4)</t>
        </is>
      </c>
      <c r="D12" s="6" t="inlineStr">
        <is>
          <t>Ventilación, iluminación, accesibilidad para personas con discapacidad, evacuación y seguridad.</t>
        </is>
      </c>
    </row>
    <row r="13" ht="42" customHeight="1">
      <c r="A13" s="6" t="inlineStr">
        <is>
          <t>Normas del MINEDU</t>
        </is>
      </c>
      <c r="B13" s="6" t="inlineStr">
        <is>
          <t>R.V.M. N.° 104-2019-MINEDU, Norma Técnica "Criterios de diseño para locales educativos del nivel de Educación Inicial"</t>
        </is>
      </c>
      <c r="C13" s="6" t="inlineStr">
        <is>
          <t>Arts. 10, 12 y 13; cuadros 7, 16, 18, 19, 21 y 22</t>
        </is>
      </c>
      <c r="D13" s="6" t="inlineStr">
        <is>
          <t>Módulo infantil, módulo de enseñanza, ambientes administrativos, tópico, archivo, almacén y servicios generales.</t>
        </is>
      </c>
    </row>
    <row r="14" ht="42" customHeight="1">
      <c r="A14" s="6" t="inlineStr">
        <is>
          <t>Normas del MINEDU</t>
        </is>
      </c>
      <c r="B14" s="6" t="inlineStr">
        <is>
          <t>R.V.M. N.° 208-2019-MINEDU, Norma Técnica "Criterios de diseño para locales educativos de primaria y secundaria"</t>
        </is>
      </c>
      <c r="C14" s="6" t="inlineStr">
        <is>
          <t>Programación arquitectónica</t>
        </is>
      </c>
      <c r="D14" s="6" t="inlineStr">
        <is>
          <t>Índices citados en la programación para cocina, comedor/SUM, lavandería, patios, losa y servicios generales.</t>
        </is>
      </c>
    </row>
    <row r="15" ht="42" customHeight="1">
      <c r="A15" s="6" t="inlineStr">
        <is>
          <t>Referencia internacional</t>
        </is>
      </c>
      <c r="B15" s="6" t="inlineStr">
        <is>
          <t>Lineamientos arquitectónicos para el diseño y construcción de refugios especializados para mujeres, sus hijas e hijos, víctimas de violencia extrema, familiar y/o de género (ONU-Habitat / CONAVIM, México, 2016)</t>
        </is>
      </c>
      <c r="C15" s="6" t="inlineStr">
        <is>
          <t>Capítulos I a IV</t>
        </is>
      </c>
      <c r="D15" s="6" t="inlineStr">
        <is>
          <t>Buena práctica: programa funcional en ocho áreas, superficies sugeridas por ambiente, seguridad, accesos, accesibilidad, diseño bioclimático y ecotecnias.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0" customWidth="1" min="3" max="3"/>
    <col width="11" customWidth="1" min="4" max="4"/>
    <col width="16" customWidth="1" min="5" max="5"/>
  </cols>
  <sheetData>
    <row r="1">
      <c r="A1" s="1" t="inlineStr">
        <is>
          <t>RESULTADO POR ZONA</t>
        </is>
      </c>
    </row>
    <row r="2">
      <c r="A2" s="2" t="inlineStr">
        <is>
          <t>Proyecto: 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CUI N.° 2675514</t>
        </is>
      </c>
    </row>
    <row r="4" ht="32" customHeight="1">
      <c r="A4" s="3" t="inlineStr">
        <is>
          <t>ZONA</t>
        </is>
      </c>
      <c r="B4" s="3" t="inlineStr">
        <is>
          <t>AMBIENTES</t>
        </is>
      </c>
      <c r="C4" s="3" t="inlineStr">
        <is>
          <t>CUMPLE</t>
        </is>
      </c>
      <c r="D4" s="3" t="inlineStr">
        <is>
          <t>CONFORME</t>
        </is>
      </c>
      <c r="E4" s="3" t="inlineStr">
        <is>
          <t>ÁREA PROYECTO (m²)</t>
        </is>
      </c>
    </row>
    <row r="5">
      <c r="A5" s="6" t="inlineStr">
        <is>
          <t>Zona de obras exteriores</t>
        </is>
      </c>
      <c r="B5" s="7">
        <f>COUNTIFS(MATRIZ!$A$6:$A$82,A5,MATRIZ!$B$6:$B$82,"?*")</f>
        <v/>
      </c>
      <c r="C5" s="7">
        <f>COUNTIFS(MATRIZ!$A$6:$A$82,A5,MATRIZ!$J$6:$J$82,"CUMPLE")</f>
        <v/>
      </c>
      <c r="D5" s="7">
        <f>COUNTIFS(MATRIZ!$A$6:$A$82,A5,MATRIZ!$J$6:$J$82,"CONFORME")</f>
        <v/>
      </c>
      <c r="E5" s="13">
        <f>SUMIF(MATRIZ!$A$6:$A$82,A5,MATRIZ!$N$6:$N$82)</f>
        <v/>
      </c>
    </row>
    <row r="6">
      <c r="A6" s="6" t="inlineStr">
        <is>
          <t>Zona administrativa</t>
        </is>
      </c>
      <c r="B6" s="7">
        <f>COUNTIFS(MATRIZ!$A$6:$A$82,A6,MATRIZ!$B$6:$B$82,"?*")</f>
        <v/>
      </c>
      <c r="C6" s="7">
        <f>COUNTIFS(MATRIZ!$A$6:$A$82,A6,MATRIZ!$J$6:$J$82,"CUMPLE")</f>
        <v/>
      </c>
      <c r="D6" s="7">
        <f>COUNTIFS(MATRIZ!$A$6:$A$82,A6,MATRIZ!$J$6:$J$82,"CONFORME")</f>
        <v/>
      </c>
      <c r="E6" s="13">
        <f>SUMIF(MATRIZ!$A$6:$A$82,A6,MATRIZ!$N$6:$N$82)</f>
        <v/>
      </c>
    </row>
    <row r="7">
      <c r="A7" s="6" t="inlineStr">
        <is>
          <t>Zona de ambientes especializados</t>
        </is>
      </c>
      <c r="B7" s="7">
        <f>COUNTIFS(MATRIZ!$A$6:$A$82,A7,MATRIZ!$B$6:$B$82,"?*")</f>
        <v/>
      </c>
      <c r="C7" s="7">
        <f>COUNTIFS(MATRIZ!$A$6:$A$82,A7,MATRIZ!$J$6:$J$82,"CUMPLE")</f>
        <v/>
      </c>
      <c r="D7" s="7">
        <f>COUNTIFS(MATRIZ!$A$6:$A$82,A7,MATRIZ!$J$6:$J$82,"CONFORME")</f>
        <v/>
      </c>
      <c r="E7" s="13">
        <f>SUMIF(MATRIZ!$A$6:$A$82,A7,MATRIZ!$N$6:$N$82)</f>
        <v/>
      </c>
    </row>
    <row r="8">
      <c r="A8" s="6" t="inlineStr">
        <is>
          <t>Zona residencial</t>
        </is>
      </c>
      <c r="B8" s="7">
        <f>COUNTIFS(MATRIZ!$A$6:$A$82,A8,MATRIZ!$B$6:$B$82,"?*")</f>
        <v/>
      </c>
      <c r="C8" s="7">
        <f>COUNTIFS(MATRIZ!$A$6:$A$82,A8,MATRIZ!$J$6:$J$82,"CUMPLE")</f>
        <v/>
      </c>
      <c r="D8" s="7">
        <f>COUNTIFS(MATRIZ!$A$6:$A$82,A8,MATRIZ!$J$6:$J$82,"CONFORME")</f>
        <v/>
      </c>
      <c r="E8" s="13">
        <f>SUMIF(MATRIZ!$A$6:$A$82,A8,MATRIZ!$N$6:$N$82)</f>
        <v/>
      </c>
    </row>
    <row r="9">
      <c r="A9" s="6" t="inlineStr">
        <is>
          <t>Zona de servicios complementarios</t>
        </is>
      </c>
      <c r="B9" s="7">
        <f>COUNTIFS(MATRIZ!$A$6:$A$82,A9,MATRIZ!$B$6:$B$82,"?*")</f>
        <v/>
      </c>
      <c r="C9" s="7">
        <f>COUNTIFS(MATRIZ!$A$6:$A$82,A9,MATRIZ!$J$6:$J$82,"CUMPLE")</f>
        <v/>
      </c>
      <c r="D9" s="7">
        <f>COUNTIFS(MATRIZ!$A$6:$A$82,A9,MATRIZ!$J$6:$J$82,"CONFORME")</f>
        <v/>
      </c>
      <c r="E9" s="13">
        <f>SUMIF(MATRIZ!$A$6:$A$82,A9,MATRIZ!$N$6:$N$82)</f>
        <v/>
      </c>
    </row>
    <row r="10">
      <c r="A10" s="6" t="inlineStr">
        <is>
          <t>Zona de servicios generales</t>
        </is>
      </c>
      <c r="B10" s="7">
        <f>COUNTIFS(MATRIZ!$A$6:$A$82,A10,MATRIZ!$B$6:$B$82,"?*")</f>
        <v/>
      </c>
      <c r="C10" s="7">
        <f>COUNTIFS(MATRIZ!$A$6:$A$82,A10,MATRIZ!$J$6:$J$82,"CUMPLE")</f>
        <v/>
      </c>
      <c r="D10" s="7">
        <f>COUNTIFS(MATRIZ!$A$6:$A$82,A10,MATRIZ!$J$6:$J$82,"CONFORME")</f>
        <v/>
      </c>
      <c r="E10" s="13">
        <f>SUMIF(MATRIZ!$A$6:$A$82,A10,MATRIZ!$N$6:$N$82)</f>
        <v/>
      </c>
    </row>
    <row r="11">
      <c r="A11" s="6" t="inlineStr">
        <is>
          <t>Circulación</t>
        </is>
      </c>
      <c r="B11" s="7">
        <f>COUNTIFS(MATRIZ!$A$6:$A$82,A11,MATRIZ!$B$6:$B$82,"?*")</f>
        <v/>
      </c>
      <c r="C11" s="7">
        <f>COUNTIFS(MATRIZ!$A$6:$A$82,A11,MATRIZ!$J$6:$J$82,"CUMPLE")</f>
        <v/>
      </c>
      <c r="D11" s="7">
        <f>COUNTIFS(MATRIZ!$A$6:$A$82,A11,MATRIZ!$J$6:$J$82,"CONFORME")</f>
        <v/>
      </c>
      <c r="E11" s="13">
        <f>SUMIF(MATRIZ!$A$6:$A$82,A11,MATRIZ!$N$6:$N$82)</f>
        <v/>
      </c>
    </row>
    <row r="12">
      <c r="A12" s="14" t="inlineStr">
        <is>
          <t>TOTAL</t>
        </is>
      </c>
      <c r="B12" s="11">
        <f>SUM(B5:B11)</f>
        <v/>
      </c>
      <c r="C12" s="11">
        <f>SUM(C5:C11)</f>
        <v/>
      </c>
      <c r="D12" s="11">
        <f>SUM(D5:D11)</f>
        <v/>
      </c>
      <c r="E12" s="15">
        <f>SUM(E5:E11)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Matriz de sustento normativo - Hogar de Refugio Temporal</dc:title>
  <dcterms:created xmlns:dcterms="http://purl.org/dc/terms/" xmlns:xsi="http://www.w3.org/2001/XMLSchema-instance" xsi:type="dcterms:W3CDTF">2026-10-28T17:24:04Z</dcterms:created>
  <dcterms:modified xmlns:dcterms="http://purl.org/dc/terms/" xmlns:xsi="http://www.w3.org/2001/XMLSchema-instance" xsi:type="dcterms:W3CDTF">2026-10-28T17:24:04Z</dcterms:modified>
</cp:coreProperties>
</file>