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RIZ" sheetId="1" state="visible" r:id="rId1"/>
    <sheet xmlns:r="http://schemas.openxmlformats.org/officeDocument/2006/relationships" name="RESIDENCIAL" sheetId="2" state="visible" r:id="rId2"/>
    <sheet xmlns:r="http://schemas.openxmlformats.org/officeDocument/2006/relationships" name="INDICES" sheetId="3" state="visible" r:id="rId3"/>
    <sheet xmlns:r="http://schemas.openxmlformats.org/officeDocument/2006/relationships" name="NORMAS" sheetId="4" state="visible" r:id="rId4"/>
    <sheet xmlns:r="http://schemas.openxmlformats.org/officeDocument/2006/relationships" name="AMBIENTES FALTANTES" sheetId="5" state="visible" r:id="rId5"/>
    <sheet xmlns:r="http://schemas.openxmlformats.org/officeDocument/2006/relationships" name="RESUMEN" sheetId="6" state="visible" r:id="rId6"/>
  </sheets>
  <definedNames>
    <definedName name="_xlnm._FilterDatabase" localSheetId="0" hidden="1">'MATRIZ'!$A$4:$T$82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7B1E2B"/>
      <sz val="12"/>
    </font>
    <font>
      <name val="Arial"/>
      <sz val="9"/>
    </font>
    <font>
      <name val="Arial"/>
      <b val="1"/>
      <color rgb="00FFFFFF"/>
      <sz val="9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7B1E2B"/>
      </patternFill>
    </fill>
    <fill>
      <patternFill patternType="solid">
        <fgColor rgb="00F2E6E8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3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2" fontId="2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vertical="center" wrapText="1"/>
    </xf>
    <xf numFmtId="2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vertical="center" wrapText="1"/>
    </xf>
    <xf numFmtId="4" fontId="2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4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8" customWidth="1" min="3" max="3"/>
    <col width="6" customWidth="1" min="4" max="4"/>
    <col width="9" customWidth="1" min="5" max="5"/>
    <col width="9" customWidth="1" min="6" max="6"/>
    <col width="18" customWidth="1" min="7" max="7"/>
    <col width="22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8" customWidth="1" min="14" max="14"/>
    <col width="11" customWidth="1" min="15" max="15"/>
    <col width="11" customWidth="1" min="16" max="16"/>
    <col width="11" customWidth="1" min="17" max="17"/>
    <col width="10" customWidth="1" min="18" max="18"/>
    <col width="12" customWidth="1" min="19" max="19"/>
    <col width="60" customWidth="1" min="20" max="20"/>
  </cols>
  <sheetData>
    <row r="1">
      <c r="A1" s="1" t="inlineStr">
        <is>
          <t>MATRIZ DE SUSTENTO NORMATIVO DEL PROGRAMA ARQUITECTÓNICO</t>
        </is>
      </c>
    </row>
    <row r="2">
      <c r="A2" s="2" t="inlineStr">
        <is>
          <t>Proyecto: 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CUI N.° 2675514</t>
        </is>
      </c>
    </row>
    <row r="4" ht="32" customHeight="1">
      <c r="A4" s="3" t="inlineStr">
        <is>
          <t>FILA PROG.</t>
        </is>
      </c>
      <c r="B4" s="3" t="inlineStr">
        <is>
          <t>ZONA</t>
        </is>
      </c>
      <c r="C4" s="3" t="inlineStr">
        <is>
          <t>AMBIENTE</t>
        </is>
      </c>
      <c r="D4" s="3" t="inlineStr">
        <is>
          <t>CANT.</t>
        </is>
      </c>
      <c r="E4" s="3" t="inlineStr">
        <is>
          <t>CAPACIDAD</t>
        </is>
      </c>
      <c r="F4" s="3" t="inlineStr">
        <is>
          <t>ÍNDICE (m²/pers.)</t>
        </is>
      </c>
      <c r="G4" s="3" t="inlineStr">
        <is>
          <t>NORMA DEL ÍNDICE</t>
        </is>
      </c>
      <c r="H4" s="3" t="inlineStr">
        <is>
          <t>NORMA CITADA EN LA PROGRAMACIÓN</t>
        </is>
      </c>
      <c r="I4" s="3" t="inlineStr">
        <is>
          <t>ÁREA MÍN. NORMA (m²)</t>
        </is>
      </c>
      <c r="J4" s="3" t="inlineStr">
        <is>
          <t>ÁREA REQ. UNIT. (m²)</t>
        </is>
      </c>
      <c r="K4" s="3" t="inlineStr">
        <is>
          <t>ÁREA PROY. UNIT. (m²)</t>
        </is>
      </c>
      <c r="L4" s="3" t="inlineStr">
        <is>
          <t>CUMPLE NORMA</t>
        </is>
      </c>
      <c r="M4" s="3" t="inlineStr">
        <is>
          <t>LIN. MÍN. (m²)</t>
        </is>
      </c>
      <c r="N4" s="3" t="inlineStr">
        <is>
          <t>LIN. MÁX. (m²)</t>
        </is>
      </c>
      <c r="O4" s="3" t="inlineStr">
        <is>
          <t>LINEAMIENTOS</t>
        </is>
      </c>
      <c r="P4" s="3" t="inlineStr">
        <is>
          <t>ÁREA CANT. x UNIT. (m²)</t>
        </is>
      </c>
      <c r="Q4" s="3" t="inlineStr">
        <is>
          <t>TOTAL PROGRAMA (m²)</t>
        </is>
      </c>
      <c r="R4" s="3" t="inlineStr">
        <is>
          <t>DIFERENCIA (m²)</t>
        </is>
      </c>
      <c r="S4" s="3" t="inlineStr">
        <is>
          <t>RESULTADO</t>
        </is>
      </c>
      <c r="T4" s="3" t="inlineStr">
        <is>
          <t>OBSERVACIÓN</t>
        </is>
      </c>
    </row>
    <row r="5">
      <c r="A5" s="4" t="inlineStr">
        <is>
          <t>ZONA DE OBRAS EXTERIORES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</row>
    <row r="6" ht="60" customHeight="1">
      <c r="A6" s="6" t="n">
        <v>6</v>
      </c>
      <c r="B6" s="7" t="inlineStr">
        <is>
          <t>ZONA DE OBRAS EXTERIORES</t>
        </is>
      </c>
      <c r="C6" s="7" t="inlineStr">
        <is>
          <t>Estacionamiento de Autos: Según diseño Arquitectonico</t>
        </is>
      </c>
      <c r="D6" s="6" t="n">
        <v>6</v>
      </c>
      <c r="E6" s="6" t="n"/>
      <c r="F6" s="8" t="n"/>
      <c r="G6" s="7" t="inlineStr">
        <is>
          <t>A.090 art. 17; A.080 art. 21</t>
        </is>
      </c>
      <c r="H6" s="7" t="inlineStr">
        <is>
          <t>Estacionamiento de Autos: Según diseño Arquitectonico</t>
        </is>
      </c>
      <c r="I6" s="8" t="n"/>
      <c r="J6" s="8">
        <f>IF(AND(ISNUMBER(E6),ISNUMBER(F6)),E6*F6,IF(ISNUMBER(I6),I6,"—"))</f>
        <v/>
      </c>
      <c r="K6" s="8" t="n">
        <v>12.5</v>
      </c>
      <c r="L6" s="6">
        <f>IF(AND(ISNUMBER(J6),ISNUMBER(K6)),IF(K6&gt;=J6-0.001,"CUMPLE","NO CUMPLE"),"—")</f>
        <v/>
      </c>
      <c r="M6" s="8" t="n"/>
      <c r="N6" s="8" t="n"/>
      <c r="O6" s="6">
        <f>IF(AND(ISNUMBER(M6),ISNUMBER(K6)),IF(K6&lt;M6,"MENOR",IF(AND(ISNUMBER(N6),K6&gt;N6),"SUPERA","EN RANGO")),"—")</f>
        <v/>
      </c>
      <c r="P6" s="8">
        <f>IF(AND(ISNUMBER(D6),ISNUMBER(K6)),D6*K6,"—")</f>
        <v/>
      </c>
      <c r="Q6" s="8" t="n">
        <v>244</v>
      </c>
      <c r="R6" s="8">
        <f>IF(AND(ISNUMBER(P6),ISNUMBER(Q6)),Q6-P6,"—")</f>
        <v/>
      </c>
      <c r="S6" s="6" t="inlineStr">
        <is>
          <t>OBSERVAR</t>
        </is>
      </c>
      <c r="T6" s="7" t="inlineStr">
        <is>
          <t>A.090 art. 17: 1 estacionamiento cada 6 personas del personal y 1 cada 10 del público, con 1 accesible de 3.80 x 5.00 m cada 50. Las 6 plazas cubren hasta 36 personas de personal. Los lineamientos (3.8) piden al menos 1 plaza interior para el vehículo institucional, para que las usuarias no desciendan fuera del predio. El total de la programación (244.00 m²) no es 6 x 12.50 = 75.00 m²: indicar si incluye el patio de maniobras.</t>
        </is>
      </c>
    </row>
    <row r="7" ht="36" customHeight="1">
      <c r="A7" s="6" t="n">
        <v>7</v>
      </c>
      <c r="B7" s="7" t="inlineStr">
        <is>
          <t>ZONA DE OBRAS EXTERIORES</t>
        </is>
      </c>
      <c r="C7" s="7" t="inlineStr">
        <is>
          <t>Patio de descarga</t>
        </is>
      </c>
      <c r="D7" s="6" t="n">
        <v>3</v>
      </c>
      <c r="E7" s="6" t="n"/>
      <c r="F7" s="8" t="n"/>
      <c r="G7" s="7" t="inlineStr">
        <is>
          <t>Lineamientos 2.6 (zaguán de servicio)</t>
        </is>
      </c>
      <c r="H7" s="7" t="inlineStr">
        <is>
          <t>Según diseño Arquitectonico</t>
        </is>
      </c>
      <c r="I7" s="8" t="n"/>
      <c r="J7" s="8">
        <f>IF(AND(ISNUMBER(E7),ISNUMBER(F7)),E7*F7,IF(ISNUMBER(I7),I7,"—"))</f>
        <v/>
      </c>
      <c r="K7" s="8" t="n">
        <v>16</v>
      </c>
      <c r="L7" s="6">
        <f>IF(AND(ISNUMBER(J7),ISNUMBER(K7)),IF(K7&gt;=J7-0.001,"CUMPLE","NO CUMPLE"),"—")</f>
        <v/>
      </c>
      <c r="M7" s="8" t="n"/>
      <c r="N7" s="8" t="n"/>
      <c r="O7" s="6">
        <f>IF(AND(ISNUMBER(M7),ISNUMBER(K7)),IF(K7&lt;M7,"MENOR",IF(AND(ISNUMBER(N7),K7&gt;N7),"SUPERA","EN RANGO")),"—")</f>
        <v/>
      </c>
      <c r="P7" s="8">
        <f>IF(AND(ISNUMBER(D7),ISNUMBER(K7)),D7*K7,"—")</f>
        <v/>
      </c>
      <c r="Q7" s="8" t="n">
        <v>256</v>
      </c>
      <c r="R7" s="8">
        <f>IF(AND(ISNUMBER(P7),ISNUMBER(Q7)),Q7-P7,"—")</f>
        <v/>
      </c>
      <c r="S7" s="6" t="inlineStr">
        <is>
          <t>OBSERVAR</t>
        </is>
      </c>
      <c r="T7" s="7" t="inlineStr">
        <is>
          <t>Los lineamientos piden un zaguán o patio de servicio con acceso solo a almacenes, despensa y basura, separado de los espacios de las residentes. El total de la programación (256.00 m²) no es 3 x 16.00 = 48.00 m²: indicar la base del cálculo.</t>
        </is>
      </c>
    </row>
    <row r="8" ht="24" customHeight="1">
      <c r="A8" s="6" t="n">
        <v>8</v>
      </c>
      <c r="B8" s="7" t="inlineStr">
        <is>
          <t>ZONA DE OBRAS EXTERIORES</t>
        </is>
      </c>
      <c r="C8" s="7" t="inlineStr">
        <is>
          <t>Estacionamiento de Motos: Según diseño Arquitectonico</t>
        </is>
      </c>
      <c r="D8" s="6" t="n">
        <v>12</v>
      </c>
      <c r="E8" s="6" t="n"/>
      <c r="F8" s="8" t="n"/>
      <c r="G8" s="7" t="inlineStr">
        <is>
          <t>Diseño arquitectónico</t>
        </is>
      </c>
      <c r="H8" s="7" t="inlineStr">
        <is>
          <t>Estacionamiento de Motos: Según diseño Arquitectonico</t>
        </is>
      </c>
      <c r="I8" s="8" t="n"/>
      <c r="J8" s="8">
        <f>IF(AND(ISNUMBER(E8),ISNUMBER(F8)),E8*F8,IF(ISNUMBER(I8),I8,"—"))</f>
        <v/>
      </c>
      <c r="K8" s="8" t="n">
        <v>2.52</v>
      </c>
      <c r="L8" s="6">
        <f>IF(AND(ISNUMBER(J8),ISNUMBER(K8)),IF(K8&gt;=J8-0.001,"CUMPLE","NO CUMPLE"),"—")</f>
        <v/>
      </c>
      <c r="M8" s="8" t="n"/>
      <c r="N8" s="8" t="n"/>
      <c r="O8" s="6">
        <f>IF(AND(ISNUMBER(M8),ISNUMBER(K8)),IF(K8&lt;M8,"MENOR",IF(AND(ISNUMBER(N8),K8&gt;N8),"SUPERA","EN RANGO")),"—")</f>
        <v/>
      </c>
      <c r="P8" s="8">
        <f>IF(AND(ISNUMBER(D8),ISNUMBER(K8)),D8*K8,"—")</f>
        <v/>
      </c>
      <c r="Q8" s="8" t="n">
        <v>94.59999999999999</v>
      </c>
      <c r="R8" s="8">
        <f>IF(AND(ISNUMBER(P8),ISNUMBER(Q8)),Q8-P8,"—")</f>
        <v/>
      </c>
      <c r="S8" s="6" t="inlineStr">
        <is>
          <t>OBSERVAR</t>
        </is>
      </c>
      <c r="T8" s="7" t="inlineStr">
        <is>
          <t>El total de la programación (94.60 m²) no es 12 x 2.52 = 30.24 m²: indicar si incluye la circulación de las motos.</t>
        </is>
      </c>
    </row>
    <row r="9" ht="48" customHeight="1">
      <c r="A9" s="6" t="n">
        <v>9</v>
      </c>
      <c r="B9" s="7" t="inlineStr">
        <is>
          <t>ZONA DE OBRAS EXTERIORES</t>
        </is>
      </c>
      <c r="C9" s="7" t="inlineStr">
        <is>
          <t>GARITA + SS.HH</t>
        </is>
      </c>
      <c r="D9" s="6" t="n">
        <v>1</v>
      </c>
      <c r="E9" s="6" t="n">
        <v>1</v>
      </c>
      <c r="F9" s="8" t="n"/>
      <c r="G9" s="7" t="inlineStr">
        <is>
          <t>Lineamientos 2.4; R.V.M. 104-2019 num. 13.3.2</t>
        </is>
      </c>
      <c r="H9" s="7" t="inlineStr">
        <is>
          <t>R.V.M. Nº208 - 2019 -MINEDU-Programación arquitectonica</t>
        </is>
      </c>
      <c r="I9" s="8" t="n"/>
      <c r="J9" s="8">
        <f>IF(AND(ISNUMBER(E9),ISNUMBER(F9)),E9*F9,IF(ISNUMBER(I9),I9,"—"))</f>
        <v/>
      </c>
      <c r="K9" s="8" t="n">
        <v>10</v>
      </c>
      <c r="L9" s="6">
        <f>IF(AND(ISNUMBER(J9),ISNUMBER(K9)),IF(K9&gt;=J9-0.001,"CUMPLE","NO CUMPLE"),"—")</f>
        <v/>
      </c>
      <c r="M9" s="8" t="n"/>
      <c r="N9" s="8" t="n"/>
      <c r="O9" s="6">
        <f>IF(AND(ISNUMBER(M9),ISNUMBER(K9)),IF(K9&lt;M9,"MENOR",IF(AND(ISNUMBER(N9),K9&gt;N9),"SUPERA","EN RANGO")),"—")</f>
        <v/>
      </c>
      <c r="P9" s="8">
        <f>IF(AND(ISNUMBER(D9),ISNUMBER(K9)),D9*K9,"—")</f>
        <v/>
      </c>
      <c r="Q9" s="8" t="n">
        <v>10</v>
      </c>
      <c r="R9" s="8">
        <f>IF(AND(ISNUMBER(P9),ISNUMBER(Q9)),Q9-P9,"—")</f>
        <v/>
      </c>
      <c r="S9" s="6" t="inlineStr">
        <is>
          <t>OBSERVAR</t>
        </is>
      </c>
      <c r="T9" s="7" t="inlineStr">
        <is>
          <t>La caseta de vigilancia va en la entrada principal, con comunicación interna y línea telefónica externa, y vigila los accesos peatonal, vehicular y de proveedores (lineamientos 2.4 y 2.6). La GARITA + SS.HH. se repite en la zona de servicios generales (fila 78): se cuenta dos veces (10.00 m²).</t>
        </is>
      </c>
    </row>
    <row r="10" ht="24" customHeight="1">
      <c r="A10" s="6" t="n">
        <v>10</v>
      </c>
      <c r="B10" s="7" t="inlineStr">
        <is>
          <t>ZONA DE OBRAS EXTERIORES</t>
        </is>
      </c>
      <c r="C10" s="7" t="inlineStr">
        <is>
          <t>CISTERNA Y TANQUE ELEVADO</t>
        </is>
      </c>
      <c r="D10" s="6" t="n">
        <v>1</v>
      </c>
      <c r="E10" s="6" t="n"/>
      <c r="F10" s="8" t="n"/>
      <c r="G10" s="7" t="inlineStr">
        <is>
          <t>IS.010; lineamientos 2.8</t>
        </is>
      </c>
      <c r="H10" s="7" t="inlineStr"/>
      <c r="I10" s="8" t="n"/>
      <c r="J10" s="8">
        <f>IF(AND(ISNUMBER(E10),ISNUMBER(F10)),E10*F10,IF(ISNUMBER(I10),I10,"—"))</f>
        <v/>
      </c>
      <c r="K10" s="8" t="n">
        <v>12</v>
      </c>
      <c r="L10" s="6">
        <f>IF(AND(ISNUMBER(J10),ISNUMBER(K10)),IF(K10&gt;=J10-0.001,"CUMPLE","NO CUMPLE"),"—")</f>
        <v/>
      </c>
      <c r="M10" s="8" t="n"/>
      <c r="N10" s="8" t="n"/>
      <c r="O10" s="6">
        <f>IF(AND(ISNUMBER(M10),ISNUMBER(K10)),IF(K10&lt;M10,"MENOR",IF(AND(ISNUMBER(N10),K10&gt;N10),"SUPERA","EN RANGO")),"—")</f>
        <v/>
      </c>
      <c r="P10" s="8">
        <f>IF(AND(ISNUMBER(D10),ISNUMBER(K10)),D10*K10,"—")</f>
        <v/>
      </c>
      <c r="Q10" s="8" t="n">
        <v>12</v>
      </c>
      <c r="R10" s="8">
        <f>IF(AND(ISNUMBER(P10),ISNUMBER(Q10)),Q10-P10,"—")</f>
        <v/>
      </c>
      <c r="S10" s="6" t="inlineStr">
        <is>
          <t>NO APLICA</t>
        </is>
      </c>
      <c r="T10" s="7" t="inlineStr">
        <is>
          <t>Sin índice de ocupación. Infraestructura básica exigida por los lineamientos (2.8): agua, cisterna y tanque elevado.</t>
        </is>
      </c>
    </row>
    <row r="11" ht="24" customHeight="1">
      <c r="A11" s="6" t="n">
        <v>11</v>
      </c>
      <c r="B11" s="7" t="inlineStr">
        <is>
          <t>ZONA DE OBRAS EXTERIORES</t>
        </is>
      </c>
      <c r="C11" s="7" t="inlineStr">
        <is>
          <t>PTAR</t>
        </is>
      </c>
      <c r="D11" s="6" t="n">
        <v>1</v>
      </c>
      <c r="E11" s="6" t="n"/>
      <c r="F11" s="8" t="n"/>
      <c r="G11" s="7" t="inlineStr">
        <is>
          <t>IS.020; lineamientos 2.8</t>
        </is>
      </c>
      <c r="H11" s="7" t="inlineStr"/>
      <c r="I11" s="8" t="n"/>
      <c r="J11" s="8">
        <f>IF(AND(ISNUMBER(E11),ISNUMBER(F11)),E11*F11,IF(ISNUMBER(I11),I11,"—"))</f>
        <v/>
      </c>
      <c r="K11" s="8" t="n">
        <v>152</v>
      </c>
      <c r="L11" s="6">
        <f>IF(AND(ISNUMBER(J11),ISNUMBER(K11)),IF(K11&gt;=J11-0.001,"CUMPLE","NO CUMPLE"),"—")</f>
        <v/>
      </c>
      <c r="M11" s="8" t="n"/>
      <c r="N11" s="8" t="n"/>
      <c r="O11" s="6">
        <f>IF(AND(ISNUMBER(M11),ISNUMBER(K11)),IF(K11&lt;M11,"MENOR",IF(AND(ISNUMBER(N11),K11&gt;N11),"SUPERA","EN RANGO")),"—")</f>
        <v/>
      </c>
      <c r="P11" s="8">
        <f>IF(AND(ISNUMBER(D11),ISNUMBER(K11)),D11*K11,"—")</f>
        <v/>
      </c>
      <c r="Q11" s="8" t="n">
        <v>152</v>
      </c>
      <c r="R11" s="8">
        <f>IF(AND(ISNUMBER(P11),ISNUMBER(Q11)),Q11-P11,"—")</f>
        <v/>
      </c>
      <c r="S11" s="6" t="inlineStr">
        <is>
          <t>NO APLICA</t>
        </is>
      </c>
      <c r="T11" s="7" t="inlineStr">
        <is>
          <t>Sin índice de ocupación. A.030 (anexos): sin red de alcantarillado, el proyecto contempla el tratamiento y la evacuación con un sistema de depuración.</t>
        </is>
      </c>
    </row>
    <row r="12" ht="24" customHeight="1">
      <c r="A12" s="6" t="n">
        <v>12</v>
      </c>
      <c r="B12" s="7" t="inlineStr">
        <is>
          <t>ZONA DE OBRAS EXTERIORES</t>
        </is>
      </c>
      <c r="C12" s="7" t="inlineStr">
        <is>
          <t>CUNETAS DE DRENAJE PLUVIAL</t>
        </is>
      </c>
      <c r="D12" s="6" t="n">
        <v>1</v>
      </c>
      <c r="E12" s="6" t="n"/>
      <c r="F12" s="8" t="n"/>
      <c r="G12" s="7" t="inlineStr">
        <is>
          <t>Drenaje pluvial del proyecto</t>
        </is>
      </c>
      <c r="H12" s="7" t="inlineStr"/>
      <c r="I12" s="8" t="n"/>
      <c r="J12" s="8">
        <f>IF(AND(ISNUMBER(E12),ISNUMBER(F12)),E12*F12,IF(ISNUMBER(I12),I12,"—"))</f>
        <v/>
      </c>
      <c r="K12" s="8" t="n">
        <v>410.1</v>
      </c>
      <c r="L12" s="6">
        <f>IF(AND(ISNUMBER(J12),ISNUMBER(K12)),IF(K12&gt;=J12-0.001,"CUMPLE","NO CUMPLE"),"—")</f>
        <v/>
      </c>
      <c r="M12" s="8" t="n"/>
      <c r="N12" s="8" t="n"/>
      <c r="O12" s="6">
        <f>IF(AND(ISNUMBER(M12),ISNUMBER(K12)),IF(K12&lt;M12,"MENOR",IF(AND(ISNUMBER(N12),K12&gt;N12),"SUPERA","EN RANGO")),"—")</f>
        <v/>
      </c>
      <c r="P12" s="8">
        <f>IF(AND(ISNUMBER(D12),ISNUMBER(K12)),D12*K12,"—")</f>
        <v/>
      </c>
      <c r="Q12" s="8" t="n">
        <v>410.1</v>
      </c>
      <c r="R12" s="8">
        <f>IF(AND(ISNUMBER(P12),ISNUMBER(Q12)),Q12-P12,"—")</f>
        <v/>
      </c>
      <c r="S12" s="6" t="inlineStr">
        <is>
          <t>NO APLICA</t>
        </is>
      </c>
      <c r="T12" s="7" t="inlineStr">
        <is>
          <t>Sin índice de ocupación. Obra del sistema de drenaje pluvial del proyecto.</t>
        </is>
      </c>
    </row>
    <row r="13" ht="24" customHeight="1">
      <c r="A13" s="6" t="n">
        <v>13</v>
      </c>
      <c r="B13" s="7" t="inlineStr">
        <is>
          <t>ZONA DE OBRAS EXTERIORES</t>
        </is>
      </c>
      <c r="C13" s="7" t="inlineStr">
        <is>
          <t>CERCO PERIMÉTRICO</t>
        </is>
      </c>
      <c r="D13" s="6" t="n">
        <v>1</v>
      </c>
      <c r="E13" s="6" t="n"/>
      <c r="F13" s="8" t="n"/>
      <c r="G13" s="7" t="inlineStr">
        <is>
          <t>Lineamientos 2.4</t>
        </is>
      </c>
      <c r="H13" s="7" t="inlineStr"/>
      <c r="I13" s="8" t="n"/>
      <c r="J13" s="8">
        <f>IF(AND(ISNUMBER(E13),ISNUMBER(F13)),E13*F13,IF(ISNUMBER(I13),I13,"—"))</f>
        <v/>
      </c>
      <c r="K13" s="8" t="n">
        <v>56.75</v>
      </c>
      <c r="L13" s="6">
        <f>IF(AND(ISNUMBER(J13),ISNUMBER(K13)),IF(K13&gt;=J13-0.001,"CUMPLE","NO CUMPLE"),"—")</f>
        <v/>
      </c>
      <c r="M13" s="8" t="n"/>
      <c r="N13" s="8" t="n"/>
      <c r="O13" s="6">
        <f>IF(AND(ISNUMBER(M13),ISNUMBER(K13)),IF(K13&lt;M13,"MENOR",IF(AND(ISNUMBER(N13),K13&gt;N13),"SUPERA","EN RANGO")),"—")</f>
        <v/>
      </c>
      <c r="P13" s="8">
        <f>IF(AND(ISNUMBER(D13),ISNUMBER(K13)),D13*K13,"—")</f>
        <v/>
      </c>
      <c r="Q13" s="8" t="n">
        <v>56.75</v>
      </c>
      <c r="R13" s="8">
        <f>IF(AND(ISNUMBER(P13),ISNUMBER(Q13)),Q13-P13,"—")</f>
        <v/>
      </c>
      <c r="S13" s="6" t="inlineStr">
        <is>
          <t>NO APLICA</t>
        </is>
      </c>
      <c r="T13" s="7" t="inlineStr">
        <is>
          <t>Los lineamientos piden una barda perimetral de al menos 2.00 m, con acabados acordes al contexto y sin árboles ni postes adosados que permitan escalarla.</t>
        </is>
      </c>
    </row>
    <row r="14">
      <c r="A14" s="4" t="inlineStr">
        <is>
          <t>ZONA ADMINISTRATIVA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</row>
    <row r="15" ht="24" customHeight="1">
      <c r="A15" s="6" t="n">
        <v>15</v>
      </c>
      <c r="B15" s="7" t="inlineStr">
        <is>
          <t>ZONA ADMINISTRATIVA</t>
        </is>
      </c>
      <c r="C15" s="7" t="inlineStr">
        <is>
          <t>AREA DE BIENVENIDA</t>
        </is>
      </c>
      <c r="D15" s="6" t="n">
        <v>1</v>
      </c>
      <c r="E15" s="6" t="n">
        <v>5</v>
      </c>
      <c r="F15" s="8" t="n">
        <v>9.5</v>
      </c>
      <c r="G15" s="7" t="inlineStr">
        <is>
          <t>A.080 art. 6</t>
        </is>
      </c>
      <c r="H15" s="7" t="inlineStr">
        <is>
          <t>RNE-NORMA A080-Oficinas art.06</t>
        </is>
      </c>
      <c r="I15" s="8" t="n"/>
      <c r="J15" s="8">
        <f>IF(AND(ISNUMBER(E15),ISNUMBER(F15)),E15*F15,IF(ISNUMBER(I15),I15,"—"))</f>
        <v/>
      </c>
      <c r="K15" s="8" t="n">
        <v>47.5</v>
      </c>
      <c r="L15" s="6">
        <f>IF(AND(ISNUMBER(J15),ISNUMBER(K15)),IF(K15&gt;=J15-0.001,"CUMPLE","NO CUMPLE"),"—")</f>
        <v/>
      </c>
      <c r="M15" s="8" t="n">
        <v>30</v>
      </c>
      <c r="N15" s="8" t="n">
        <v>40</v>
      </c>
      <c r="O15" s="6">
        <f>IF(AND(ISNUMBER(M15),ISNUMBER(K15)),IF(K15&lt;M15,"MENOR",IF(AND(ISNUMBER(N15),K15&gt;N15),"SUPERA","EN RANGO")),"—")</f>
        <v/>
      </c>
      <c r="P15" s="8">
        <f>IF(AND(ISNUMBER(D15),ISNUMBER(K15)),D15*K15,"—")</f>
        <v/>
      </c>
      <c r="Q15" s="8" t="n">
        <v>47.5</v>
      </c>
      <c r="R15" s="8">
        <f>IF(AND(ISNUMBER(P15),ISNUMBER(Q15)),Q15-P15,"—")</f>
        <v/>
      </c>
      <c r="S15" s="6" t="inlineStr">
        <is>
          <t>CUMPLE</t>
        </is>
      </c>
      <c r="T15" s="7" t="inlineStr">
        <is>
          <t>Supera la superficie sugerida (30/40 m²). Debe abrirse desde el zaguán de entrada por una puerta con mirilla (lineamientos 2.6).</t>
        </is>
      </c>
    </row>
    <row r="16" ht="24" customHeight="1">
      <c r="A16" s="6" t="n">
        <v>16</v>
      </c>
      <c r="B16" s="7" t="inlineStr">
        <is>
          <t>ZONA ADMINISTRATIVA</t>
        </is>
      </c>
      <c r="C16" s="7" t="inlineStr">
        <is>
          <t>OFICINA DE DIRECCIÓN</t>
        </is>
      </c>
      <c r="D16" s="6" t="n">
        <v>1</v>
      </c>
      <c r="E16" s="6" t="n">
        <v>2</v>
      </c>
      <c r="F16" s="8" t="n">
        <v>9.5</v>
      </c>
      <c r="G16" s="7" t="inlineStr">
        <is>
          <t>A.080 art. 6</t>
        </is>
      </c>
      <c r="H16" s="7" t="inlineStr">
        <is>
          <t>RNE-NORMA A080-Oficinas art.06</t>
        </is>
      </c>
      <c r="I16" s="8" t="n"/>
      <c r="J16" s="8">
        <f>IF(AND(ISNUMBER(E16),ISNUMBER(F16)),E16*F16,IF(ISNUMBER(I16),I16,"—"))</f>
        <v/>
      </c>
      <c r="K16" s="8" t="n">
        <v>19</v>
      </c>
      <c r="L16" s="6">
        <f>IF(AND(ISNUMBER(J16),ISNUMBER(K16)),IF(K16&gt;=J16-0.001,"CUMPLE","NO CUMPLE"),"—")</f>
        <v/>
      </c>
      <c r="M16" s="8" t="n">
        <v>6</v>
      </c>
      <c r="N16" s="8" t="n">
        <v>10</v>
      </c>
      <c r="O16" s="6">
        <f>IF(AND(ISNUMBER(M16),ISNUMBER(K16)),IF(K16&lt;M16,"MENOR",IF(AND(ISNUMBER(N16),K16&gt;N16),"SUPERA","EN RANGO")),"—")</f>
        <v/>
      </c>
      <c r="P16" s="8">
        <f>IF(AND(ISNUMBER(D16),ISNUMBER(K16)),D16*K16,"—")</f>
        <v/>
      </c>
      <c r="Q16" s="8" t="n">
        <v>19</v>
      </c>
      <c r="R16" s="8">
        <f>IF(AND(ISNUMBER(P16),ISNUMBER(Q16)),Q16-P16,"—")</f>
        <v/>
      </c>
      <c r="S16" s="6" t="inlineStr">
        <is>
          <t>CUMPLE</t>
        </is>
      </c>
      <c r="T16" s="7" t="inlineStr">
        <is>
          <t>Supera la superficie sugerida (6/10 m²). Los lineamientos piden que las pantallas de las cámaras de las áreas comunes estén también en esta oficina.</t>
        </is>
      </c>
    </row>
    <row r="17" ht="36" customHeight="1">
      <c r="A17" s="6" t="n">
        <v>17</v>
      </c>
      <c r="B17" s="7" t="inlineStr">
        <is>
          <t>ZONA ADMINISTRATIVA</t>
        </is>
      </c>
      <c r="C17" s="7" t="inlineStr">
        <is>
          <t>SALA DE REUNIONES</t>
        </is>
      </c>
      <c r="D17" s="6" t="n">
        <v>1</v>
      </c>
      <c r="E17" s="6" t="n">
        <v>25</v>
      </c>
      <c r="F17" s="8" t="n">
        <v>1</v>
      </c>
      <c r="G17" s="7" t="inlineStr">
        <is>
          <t>A.090 art. 11</t>
        </is>
      </c>
      <c r="H17" s="7" t="inlineStr">
        <is>
          <t>RNE-NORMA A080-Oficinas art.06</t>
        </is>
      </c>
      <c r="I17" s="8" t="n"/>
      <c r="J17" s="8">
        <f>IF(AND(ISNUMBER(E17),ISNUMBER(F17)),E17*F17,IF(ISNUMBER(I17),I17,"—"))</f>
        <v/>
      </c>
      <c r="K17" s="8" t="n">
        <v>25</v>
      </c>
      <c r="L17" s="6">
        <f>IF(AND(ISNUMBER(J17),ISNUMBER(K17)),IF(K17&gt;=J17-0.001,"CUMPLE","NO CUMPLE"),"—")</f>
        <v/>
      </c>
      <c r="M17" s="8" t="n">
        <v>12</v>
      </c>
      <c r="N17" s="8" t="n">
        <v>20</v>
      </c>
      <c r="O17" s="6">
        <f>IF(AND(ISNUMBER(M17),ISNUMBER(K17)),IF(K17&lt;M17,"MENOR",IF(AND(ISNUMBER(N17),K17&gt;N17),"SUPERA","EN RANGO")),"—")</f>
        <v/>
      </c>
      <c r="P17" s="8">
        <f>IF(AND(ISNUMBER(D17),ISNUMBER(K17)),D17*K17,"—")</f>
        <v/>
      </c>
      <c r="Q17" s="8" t="n">
        <v>25</v>
      </c>
      <c r="R17" s="8">
        <f>IF(AND(ISNUMBER(P17),ISNUMBER(Q17)),Q17-P17,"—")</f>
        <v/>
      </c>
      <c r="S17" s="6" t="inlineStr">
        <is>
          <t>CUMPLE</t>
        </is>
      </c>
      <c r="T17" s="7" t="inlineStr">
        <is>
          <t>La programación cita la A.080 art. 6 (9.5 m²/persona), pero el índice de 1.00 m²/persona es el de "ambientes de reunión" de la A.090 art. 11: corregir la cita. Con la R.V.M. 104-2019 (1.50 m²/persona) 25 personas requerirían 37.50 m².</t>
        </is>
      </c>
    </row>
    <row r="18" ht="24" customHeight="1">
      <c r="A18" s="6" t="n">
        <v>18</v>
      </c>
      <c r="B18" s="7" t="inlineStr">
        <is>
          <t>ZONA ADMINISTRATIVA</t>
        </is>
      </c>
      <c r="C18" s="7" t="inlineStr">
        <is>
          <t>SECRETARÍA DIRECCIÓN</t>
        </is>
      </c>
      <c r="D18" s="6" t="n">
        <v>1</v>
      </c>
      <c r="E18" s="6" t="n">
        <v>1</v>
      </c>
      <c r="F18" s="8" t="n">
        <v>9.5</v>
      </c>
      <c r="G18" s="7" t="inlineStr">
        <is>
          <t>A.080 art. 6</t>
        </is>
      </c>
      <c r="H18" s="7" t="inlineStr">
        <is>
          <t>RNE-NORMA A080-Oficinas art.06</t>
        </is>
      </c>
      <c r="I18" s="8" t="n"/>
      <c r="J18" s="8">
        <f>IF(AND(ISNUMBER(E18),ISNUMBER(F18)),E18*F18,IF(ISNUMBER(I18),I18,"—"))</f>
        <v/>
      </c>
      <c r="K18" s="8" t="n">
        <v>9.5</v>
      </c>
      <c r="L18" s="6">
        <f>IF(AND(ISNUMBER(J18),ISNUMBER(K18)),IF(K18&gt;=J18-0.001,"CUMPLE","NO CUMPLE"),"—")</f>
        <v/>
      </c>
      <c r="M18" s="8" t="n"/>
      <c r="N18" s="8" t="n"/>
      <c r="O18" s="6">
        <f>IF(AND(ISNUMBER(M18),ISNUMBER(K18)),IF(K18&lt;M18,"MENOR",IF(AND(ISNUMBER(N18),K18&gt;N18),"SUPERA","EN RANGO")),"—")</f>
        <v/>
      </c>
      <c r="P18" s="8">
        <f>IF(AND(ISNUMBER(D18),ISNUMBER(K18)),D18*K18,"—")</f>
        <v/>
      </c>
      <c r="Q18" s="8" t="n">
        <v>9.5</v>
      </c>
      <c r="R18" s="8">
        <f>IF(AND(ISNUMBER(P18),ISNUMBER(Q18)),Q18-P18,"—")</f>
        <v/>
      </c>
      <c r="S18" s="6" t="inlineStr">
        <is>
          <t>CUMPLE</t>
        </is>
      </c>
      <c r="T18" s="7" t="inlineStr">
        <is>
          <t>Igual al índice de oficinas.</t>
        </is>
      </c>
    </row>
    <row r="19" ht="24" customHeight="1">
      <c r="A19" s="6" t="n">
        <v>19</v>
      </c>
      <c r="B19" s="7" t="inlineStr">
        <is>
          <t>ZONA ADMINISTRATIVA</t>
        </is>
      </c>
      <c r="C19" s="7" t="inlineStr">
        <is>
          <t>OFICINA DE ADMINISTRACIÓN</t>
        </is>
      </c>
      <c r="D19" s="6" t="n">
        <v>1</v>
      </c>
      <c r="E19" s="6" t="n">
        <v>2</v>
      </c>
      <c r="F19" s="8" t="n">
        <v>9.5</v>
      </c>
      <c r="G19" s="7" t="inlineStr">
        <is>
          <t>A.080 art. 6</t>
        </is>
      </c>
      <c r="H19" s="7" t="inlineStr">
        <is>
          <t>RNE-NORMA A080-Oficinas art.06</t>
        </is>
      </c>
      <c r="I19" s="8" t="n"/>
      <c r="J19" s="8">
        <f>IF(AND(ISNUMBER(E19),ISNUMBER(F19)),E19*F19,IF(ISNUMBER(I19),I19,"—"))</f>
        <v/>
      </c>
      <c r="K19" s="8" t="n">
        <v>19.5</v>
      </c>
      <c r="L19" s="6">
        <f>IF(AND(ISNUMBER(J19),ISNUMBER(K19)),IF(K19&gt;=J19-0.001,"CUMPLE","NO CUMPLE"),"—")</f>
        <v/>
      </c>
      <c r="M19" s="8" t="n"/>
      <c r="N19" s="8" t="n"/>
      <c r="O19" s="6">
        <f>IF(AND(ISNUMBER(M19),ISNUMBER(K19)),IF(K19&lt;M19,"MENOR",IF(AND(ISNUMBER(N19),K19&gt;N19),"SUPERA","EN RANGO")),"—")</f>
        <v/>
      </c>
      <c r="P19" s="8">
        <f>IF(AND(ISNUMBER(D19),ISNUMBER(K19)),D19*K19,"—")</f>
        <v/>
      </c>
      <c r="Q19" s="8" t="n">
        <v>19.5</v>
      </c>
      <c r="R19" s="8">
        <f>IF(AND(ISNUMBER(P19),ISNUMBER(Q19)),Q19-P19,"—")</f>
        <v/>
      </c>
      <c r="S19" s="6" t="inlineStr">
        <is>
          <t>CUMPLE</t>
        </is>
      </c>
      <c r="T19" s="7" t="inlineStr">
        <is>
          <t>2 x 9.50 = 19.00 m²; la programación pone 19.50 m².</t>
        </is>
      </c>
    </row>
    <row r="20" ht="36" customHeight="1">
      <c r="A20" s="6" t="n">
        <v>20</v>
      </c>
      <c r="B20" s="7" t="inlineStr">
        <is>
          <t>ZONA ADMINISTRATIVA</t>
        </is>
      </c>
      <c r="C20" s="7" t="inlineStr">
        <is>
          <t>SALA DE ESPERA</t>
        </is>
      </c>
      <c r="D20" s="6" t="n">
        <v>1</v>
      </c>
      <c r="E20" s="6" t="n">
        <v>4</v>
      </c>
      <c r="F20" s="8" t="n">
        <v>9.5</v>
      </c>
      <c r="G20" s="7" t="inlineStr">
        <is>
          <t>A.080 art. 6</t>
        </is>
      </c>
      <c r="H20" s="7" t="inlineStr">
        <is>
          <t>RNE-NORMA A080-Oficinas art.06</t>
        </is>
      </c>
      <c r="I20" s="8" t="n"/>
      <c r="J20" s="8">
        <f>IF(AND(ISNUMBER(E20),ISNUMBER(F20)),E20*F20,IF(ISNUMBER(I20),I20,"—"))</f>
        <v/>
      </c>
      <c r="K20" s="8" t="n">
        <v>38</v>
      </c>
      <c r="L20" s="6">
        <f>IF(AND(ISNUMBER(J20),ISNUMBER(K20)),IF(K20&gt;=J20-0.001,"CUMPLE","NO CUMPLE"),"—")</f>
        <v/>
      </c>
      <c r="M20" s="8" t="n"/>
      <c r="N20" s="8" t="n"/>
      <c r="O20" s="6">
        <f>IF(AND(ISNUMBER(M20),ISNUMBER(K20)),IF(K20&lt;M20,"MENOR",IF(AND(ISNUMBER(N20),K20&gt;N20),"SUPERA","EN RANGO")),"—")</f>
        <v/>
      </c>
      <c r="P20" s="8">
        <f>IF(AND(ISNUMBER(D20),ISNUMBER(K20)),D20*K20,"—")</f>
        <v/>
      </c>
      <c r="Q20" s="8" t="n">
        <v>38</v>
      </c>
      <c r="R20" s="8">
        <f>IF(AND(ISNUMBER(P20),ISNUMBER(Q20)),Q20-P20,"—")</f>
        <v/>
      </c>
      <c r="S20" s="6" t="inlineStr">
        <is>
          <t>CUMPLE</t>
        </is>
      </c>
      <c r="T20" s="7" t="inlineStr">
        <is>
          <t>El índice de 9.5 m²/persona es de oficinas; para una sala de espera el uso más parecido es "ambientes de reunión" (1.0 m²/persona, A.090 art. 11), con lo que 38.00 m² admite hasta 38 personas en el cálculo de evacuación.</t>
        </is>
      </c>
    </row>
    <row r="21" ht="24" customHeight="1">
      <c r="A21" s="6" t="n">
        <v>21</v>
      </c>
      <c r="B21" s="7" t="inlineStr">
        <is>
          <t>ZONA ADMINISTRATIVA</t>
        </is>
      </c>
      <c r="C21" s="7" t="inlineStr">
        <is>
          <t>SS.HH MUJERES</t>
        </is>
      </c>
      <c r="D21" s="6" t="n">
        <v>1</v>
      </c>
      <c r="E21" s="6" t="n"/>
      <c r="F21" s="8" t="n"/>
      <c r="G21" s="7" t="inlineStr">
        <is>
          <t>A.090 art. 15</t>
        </is>
      </c>
      <c r="H21" s="7" t="inlineStr">
        <is>
          <t>RNE-NORMA A090-Servicios comunales art.15</t>
        </is>
      </c>
      <c r="I21" s="8" t="n"/>
      <c r="J21" s="8">
        <f>IF(AND(ISNUMBER(E21),ISNUMBER(F21)),E21*F21,IF(ISNUMBER(I21),I21,"—"))</f>
        <v/>
      </c>
      <c r="K21" s="8" t="n">
        <v>4</v>
      </c>
      <c r="L21" s="6">
        <f>IF(AND(ISNUMBER(J21),ISNUMBER(K21)),IF(K21&gt;=J21-0.001,"CUMPLE","NO CUMPLE"),"—")</f>
        <v/>
      </c>
      <c r="M21" s="8" t="n"/>
      <c r="N21" s="8" t="n"/>
      <c r="O21" s="6">
        <f>IF(AND(ISNUMBER(M21),ISNUMBER(K21)),IF(K21&lt;M21,"MENOR",IF(AND(ISNUMBER(N21),K21&gt;N21),"SUPERA","EN RANGO")),"—")</f>
        <v/>
      </c>
      <c r="P21" s="8">
        <f>IF(AND(ISNUMBER(D21),ISNUMBER(K21)),D21*K21,"—")</f>
        <v/>
      </c>
      <c r="Q21" s="8" t="n">
        <v>4</v>
      </c>
      <c r="R21" s="8">
        <f>IF(AND(ISNUMBER(P21),ISNUMBER(Q21)),Q21-P21,"—")</f>
        <v/>
      </c>
      <c r="S21" s="6" t="inlineStr">
        <is>
          <t>CUMPLE</t>
        </is>
      </c>
      <c r="T21" s="7" t="inlineStr">
        <is>
          <t>A.090 art. 15, de 7 a 25 empleados: mujeres 1 lavatorio y 1 inodoro. La A.080 art. 15 tiene una tabla semejante (de 7 a 20 empleados).</t>
        </is>
      </c>
    </row>
    <row r="22" ht="24" customHeight="1">
      <c r="A22" s="6" t="n">
        <v>22</v>
      </c>
      <c r="B22" s="7" t="inlineStr">
        <is>
          <t>ZONA ADMINISTRATIVA</t>
        </is>
      </c>
      <c r="C22" s="7" t="inlineStr">
        <is>
          <t>SS.HH VARONES</t>
        </is>
      </c>
      <c r="D22" s="6" t="n">
        <v>1</v>
      </c>
      <c r="E22" s="6" t="n"/>
      <c r="F22" s="8" t="n"/>
      <c r="G22" s="7" t="inlineStr">
        <is>
          <t>A.090 art. 15</t>
        </is>
      </c>
      <c r="H22" s="7" t="inlineStr">
        <is>
          <t>RNE-NORMA A090-Servicios comunales art.15</t>
        </is>
      </c>
      <c r="I22" s="8" t="n"/>
      <c r="J22" s="8">
        <f>IF(AND(ISNUMBER(E22),ISNUMBER(F22)),E22*F22,IF(ISNUMBER(I22),I22,"—"))</f>
        <v/>
      </c>
      <c r="K22" s="8" t="n">
        <v>7.2</v>
      </c>
      <c r="L22" s="6">
        <f>IF(AND(ISNUMBER(J22),ISNUMBER(K22)),IF(K22&gt;=J22-0.001,"CUMPLE","NO CUMPLE"),"—")</f>
        <v/>
      </c>
      <c r="M22" s="8" t="n"/>
      <c r="N22" s="8" t="n"/>
      <c r="O22" s="6">
        <f>IF(AND(ISNUMBER(M22),ISNUMBER(K22)),IF(K22&lt;M22,"MENOR",IF(AND(ISNUMBER(N22),K22&gt;N22),"SUPERA","EN RANGO")),"—")</f>
        <v/>
      </c>
      <c r="P22" s="8">
        <f>IF(AND(ISNUMBER(D22),ISNUMBER(K22)),D22*K22,"—")</f>
        <v/>
      </c>
      <c r="Q22" s="8" t="n">
        <v>7.2</v>
      </c>
      <c r="R22" s="8">
        <f>IF(AND(ISNUMBER(P22),ISNUMBER(Q22)),Q22-P22,"—")</f>
        <v/>
      </c>
      <c r="S22" s="6" t="inlineStr">
        <is>
          <t>CUMPLE</t>
        </is>
      </c>
      <c r="T22" s="7" t="inlineStr">
        <is>
          <t>A.090 art. 15, de 7 a 25 empleados: hombres 1 lavatorio, 1 urinario y 1 inodoro.</t>
        </is>
      </c>
    </row>
    <row r="23" ht="24" customHeight="1">
      <c r="A23" s="6" t="n">
        <v>23</v>
      </c>
      <c r="B23" s="7" t="inlineStr">
        <is>
          <t>ZONA ADMINISTRATIVA</t>
        </is>
      </c>
      <c r="C23" s="7" t="inlineStr">
        <is>
          <t>SS.HH DISCAPACITADOS</t>
        </is>
      </c>
      <c r="D23" s="6" t="n">
        <v>1</v>
      </c>
      <c r="E23" s="6" t="n"/>
      <c r="F23" s="8" t="n"/>
      <c r="G23" s="7" t="inlineStr">
        <is>
          <t>A.090 art. 16; A.120</t>
        </is>
      </c>
      <c r="H23" s="7" t="inlineStr">
        <is>
          <t>RNE-NORMA A090-Servicios comunales art.15</t>
        </is>
      </c>
      <c r="I23" s="8" t="n"/>
      <c r="J23" s="8">
        <f>IF(AND(ISNUMBER(E23),ISNUMBER(F23)),E23*F23,IF(ISNUMBER(I23),I23,"—"))</f>
        <v/>
      </c>
      <c r="K23" s="8" t="n">
        <v>5</v>
      </c>
      <c r="L23" s="6">
        <f>IF(AND(ISNUMBER(J23),ISNUMBER(K23)),IF(K23&gt;=J23-0.001,"CUMPLE","NO CUMPLE"),"—")</f>
        <v/>
      </c>
      <c r="M23" s="8" t="n"/>
      <c r="N23" s="8" t="n"/>
      <c r="O23" s="6">
        <f>IF(AND(ISNUMBER(M23),ISNUMBER(K23)),IF(K23&lt;M23,"MENOR",IF(AND(ISNUMBER(N23),K23&gt;N23),"SUPERA","EN RANGO")),"—")</f>
        <v/>
      </c>
      <c r="P23" s="8">
        <f>IF(AND(ISNUMBER(D23),ISNUMBER(K23)),D23*K23,"—")</f>
        <v/>
      </c>
      <c r="Q23" s="8" t="n">
        <v>5</v>
      </c>
      <c r="R23" s="8">
        <f>IF(AND(ISNUMBER(P23),ISNUMBER(Q23)),Q23-P23,"—")</f>
        <v/>
      </c>
      <c r="S23" s="6" t="inlineStr">
        <is>
          <t>CUMPLE</t>
        </is>
      </c>
      <c r="T23" s="7" t="inlineStr">
        <is>
          <t>A.090 art. 16: el servicio exclusivo para personas con discapacidad, sin diferenciación de sexo, es adicional a los aparatos exigibles; dimensiones según la A.120.</t>
        </is>
      </c>
    </row>
    <row r="24" ht="24" customHeight="1">
      <c r="A24" s="6" t="n">
        <v>24</v>
      </c>
      <c r="B24" s="7" t="inlineStr">
        <is>
          <t>ZONA ADMINISTRATIVA</t>
        </is>
      </c>
      <c r="C24" s="7" t="inlineStr">
        <is>
          <t>CUARTO DE LIMPIEZA</t>
        </is>
      </c>
      <c r="D24" s="6" t="n">
        <v>1</v>
      </c>
      <c r="E24" s="6" t="n"/>
      <c r="F24" s="8" t="n"/>
      <c r="G24" s="7" t="inlineStr">
        <is>
          <t>R.V.M. 104-2019 num. 13.3.5</t>
        </is>
      </c>
      <c r="H24" s="7" t="inlineStr">
        <is>
          <t>RNE-NORMA A090-Servicios comunales art.15</t>
        </is>
      </c>
      <c r="I24" s="8" t="n"/>
      <c r="J24" s="8">
        <f>IF(AND(ISNUMBER(E24),ISNUMBER(F24)),E24*F24,IF(ISNUMBER(I24),I24,"—"))</f>
        <v/>
      </c>
      <c r="K24" s="8" t="n">
        <v>4.8</v>
      </c>
      <c r="L24" s="6">
        <f>IF(AND(ISNUMBER(J24),ISNUMBER(K24)),IF(K24&gt;=J24-0.001,"CUMPLE","NO CUMPLE"),"—")</f>
        <v/>
      </c>
      <c r="M24" s="8" t="n"/>
      <c r="N24" s="8" t="n"/>
      <c r="O24" s="6">
        <f>IF(AND(ISNUMBER(M24),ISNUMBER(K24)),IF(K24&lt;M24,"MENOR",IF(AND(ISNUMBER(N24),K24&gt;N24),"SUPERA","EN RANGO")),"—")</f>
        <v/>
      </c>
      <c r="P24" s="8">
        <f>IF(AND(ISNUMBER(D24),ISNUMBER(K24)),D24*K24,"—")</f>
        <v/>
      </c>
      <c r="Q24" s="8" t="n">
        <v>4.8</v>
      </c>
      <c r="R24" s="8">
        <f>IF(AND(ISNUMBER(P24),ISNUMBER(Q24)),Q24-P24,"—")</f>
        <v/>
      </c>
      <c r="S24" s="6" t="inlineStr">
        <is>
          <t>CUMPLE</t>
        </is>
      </c>
      <c r="T24" s="7" t="inlineStr">
        <is>
          <t>La A.090 art. 15 trata de servicios higiénicos; el cuarto de limpieza está en la R.V.M. 104-2019 num. 13.3.5 (guardado de implementos, lavadero exclusivo y sumidero): corregir la cita.</t>
        </is>
      </c>
    </row>
    <row r="25" ht="24" customHeight="1">
      <c r="A25" s="6" t="n">
        <v>25</v>
      </c>
      <c r="B25" s="7" t="inlineStr">
        <is>
          <t>ZONA ADMINISTRATIVA</t>
        </is>
      </c>
      <c r="C25" s="7" t="inlineStr">
        <is>
          <t>SALA DE VISITAS</t>
        </is>
      </c>
      <c r="D25" s="6" t="n">
        <v>1</v>
      </c>
      <c r="E25" s="6" t="n">
        <v>5</v>
      </c>
      <c r="F25" s="8" t="n">
        <v>9.5</v>
      </c>
      <c r="G25" s="7" t="inlineStr">
        <is>
          <t>A.080 art. 6</t>
        </is>
      </c>
      <c r="H25" s="7" t="inlineStr">
        <is>
          <t>RNE-NORMA A080-Oficinas art.06</t>
        </is>
      </c>
      <c r="I25" s="8" t="n"/>
      <c r="J25" s="8">
        <f>IF(AND(ISNUMBER(E25),ISNUMBER(F25)),E25*F25,IF(ISNUMBER(I25),I25,"—"))</f>
        <v/>
      </c>
      <c r="K25" s="8" t="n">
        <v>47.5</v>
      </c>
      <c r="L25" s="6">
        <f>IF(AND(ISNUMBER(J25),ISNUMBER(K25)),IF(K25&gt;=J25-0.001,"CUMPLE","NO CUMPLE"),"—")</f>
        <v/>
      </c>
      <c r="M25" s="8" t="n"/>
      <c r="N25" s="8" t="n"/>
      <c r="O25" s="6">
        <f>IF(AND(ISNUMBER(M25),ISNUMBER(K25)),IF(K25&lt;M25,"MENOR",IF(AND(ISNUMBER(N25),K25&gt;N25),"SUPERA","EN RANGO")),"—")</f>
        <v/>
      </c>
      <c r="P25" s="8">
        <f>IF(AND(ISNUMBER(D25),ISNUMBER(K25)),D25*K25,"—")</f>
        <v/>
      </c>
      <c r="Q25" s="8" t="n">
        <v>47.5</v>
      </c>
      <c r="R25" s="8">
        <f>IF(AND(ISNUMBER(P25),ISNUMBER(Q25)),Q25-P25,"—")</f>
        <v/>
      </c>
      <c r="S25" s="6" t="inlineStr">
        <is>
          <t>CUMPLE</t>
        </is>
      </c>
      <c r="T25" s="7" t="inlineStr">
        <is>
          <t>Por confidencialidad (lineamientos 2.4 y 2.6), la sala de visitas debe estar junto al ingreso, separada de las áreas privadas y de atención, con registro previo de cada visitante.</t>
        </is>
      </c>
    </row>
    <row r="26" ht="36" customHeight="1">
      <c r="A26" s="6" t="n">
        <v>26</v>
      </c>
      <c r="B26" s="7" t="inlineStr">
        <is>
          <t>ZONA ADMINISTRATIVA</t>
        </is>
      </c>
      <c r="C26" s="7" t="inlineStr">
        <is>
          <t>PSICOLOGÍA</t>
        </is>
      </c>
      <c r="D26" s="6" t="n">
        <v>1</v>
      </c>
      <c r="E26" s="6" t="n">
        <v>2</v>
      </c>
      <c r="F26" s="8" t="n">
        <v>10</v>
      </c>
      <c r="G26" s="7" t="inlineStr">
        <is>
          <t>A.090 art. 11</t>
        </is>
      </c>
      <c r="H26" s="7" t="inlineStr">
        <is>
          <t>RNE-NORMA A090-Servicios comunales art.11</t>
        </is>
      </c>
      <c r="I26" s="8" t="n"/>
      <c r="J26" s="8">
        <f>IF(AND(ISNUMBER(E26),ISNUMBER(F26)),E26*F26,IF(ISNUMBER(I26),I26,"—"))</f>
        <v/>
      </c>
      <c r="K26" s="8" t="n">
        <v>20</v>
      </c>
      <c r="L26" s="6">
        <f>IF(AND(ISNUMBER(J26),ISNUMBER(K26)),IF(K26&gt;=J26-0.001,"CUMPLE","NO CUMPLE"),"—")</f>
        <v/>
      </c>
      <c r="M26" s="8" t="n">
        <v>9</v>
      </c>
      <c r="N26" s="8" t="n">
        <v>13</v>
      </c>
      <c r="O26" s="6">
        <f>IF(AND(ISNUMBER(M26),ISNUMBER(K26)),IF(K26&lt;M26,"MENOR",IF(AND(ISNUMBER(N26),K26&gt;N26),"SUPERA","EN RANGO")),"—")</f>
        <v/>
      </c>
      <c r="P26" s="8">
        <f>IF(AND(ISNUMBER(D26),ISNUMBER(K26)),D26*K26,"—")</f>
        <v/>
      </c>
      <c r="Q26" s="8" t="n">
        <v>20</v>
      </c>
      <c r="R26" s="8">
        <f>IF(AND(ISNUMBER(P26),ISNUMBER(Q26)),Q26-P26,"—")</f>
        <v/>
      </c>
      <c r="S26" s="6" t="inlineStr">
        <is>
          <t>CUMPLE</t>
        </is>
      </c>
      <c r="T26" s="7" t="inlineStr">
        <is>
          <t>Supera la superficie sugerida. Los lineamientos piden divisiones fijas de piso a techo y puerta (aislamiento acústico), vista a un jardín silencioso y sin escritorio entre la profesional y la usuaria en la zona de atención.</t>
        </is>
      </c>
    </row>
    <row r="27" ht="24" customHeight="1">
      <c r="A27" s="6" t="n">
        <v>27</v>
      </c>
      <c r="B27" s="7" t="inlineStr">
        <is>
          <t>ZONA ADMINISTRATIVA</t>
        </is>
      </c>
      <c r="C27" s="7" t="inlineStr">
        <is>
          <t>ASESORÍA LEGAL</t>
        </is>
      </c>
      <c r="D27" s="6" t="n">
        <v>1</v>
      </c>
      <c r="E27" s="6" t="n">
        <v>2</v>
      </c>
      <c r="F27" s="8" t="n">
        <v>10</v>
      </c>
      <c r="G27" s="7" t="inlineStr">
        <is>
          <t>A.090 art. 11</t>
        </is>
      </c>
      <c r="H27" s="7" t="inlineStr">
        <is>
          <t>RNE-NORMA A090-Servicios comunales art.11</t>
        </is>
      </c>
      <c r="I27" s="8" t="n"/>
      <c r="J27" s="8">
        <f>IF(AND(ISNUMBER(E27),ISNUMBER(F27)),E27*F27,IF(ISNUMBER(I27),I27,"—"))</f>
        <v/>
      </c>
      <c r="K27" s="8" t="n">
        <v>20</v>
      </c>
      <c r="L27" s="6">
        <f>IF(AND(ISNUMBER(J27),ISNUMBER(K27)),IF(K27&gt;=J27-0.001,"CUMPLE","NO CUMPLE"),"—")</f>
        <v/>
      </c>
      <c r="M27" s="8" t="n">
        <v>6</v>
      </c>
      <c r="N27" s="8" t="n">
        <v>10</v>
      </c>
      <c r="O27" s="6">
        <f>IF(AND(ISNUMBER(M27),ISNUMBER(K27)),IF(K27&lt;M27,"MENOR",IF(AND(ISNUMBER(N27),K27&gt;N27),"SUPERA","EN RANGO")),"—")</f>
        <v/>
      </c>
      <c r="P27" s="8">
        <f>IF(AND(ISNUMBER(D27),ISNUMBER(K27)),D27*K27,"—")</f>
        <v/>
      </c>
      <c r="Q27" s="8" t="n">
        <v>20</v>
      </c>
      <c r="R27" s="8">
        <f>IF(AND(ISNUMBER(P27),ISNUMBER(Q27)),Q27-P27,"—")</f>
        <v/>
      </c>
      <c r="S27" s="6" t="inlineStr">
        <is>
          <t>CUMPLE</t>
        </is>
      </c>
      <c r="T27" s="7" t="inlineStr">
        <is>
          <t>Supera la superficie sugerida (6/10 m²).</t>
        </is>
      </c>
    </row>
    <row r="28" ht="24" customHeight="1">
      <c r="A28" s="6" t="n">
        <v>28</v>
      </c>
      <c r="B28" s="7" t="inlineStr">
        <is>
          <t>ZONA ADMINISTRATIVA</t>
        </is>
      </c>
      <c r="C28" s="7" t="inlineStr">
        <is>
          <t>ASISTENCIA SOCIAL</t>
        </is>
      </c>
      <c r="D28" s="6" t="n">
        <v>1</v>
      </c>
      <c r="E28" s="6" t="n">
        <v>2</v>
      </c>
      <c r="F28" s="8" t="n">
        <v>10</v>
      </c>
      <c r="G28" s="7" t="inlineStr">
        <is>
          <t>A.090 art. 11</t>
        </is>
      </c>
      <c r="H28" s="7" t="inlineStr">
        <is>
          <t>RNE-NORMA A090-Servicios comunales art.11</t>
        </is>
      </c>
      <c r="I28" s="8" t="n"/>
      <c r="J28" s="8">
        <f>IF(AND(ISNUMBER(E28),ISNUMBER(F28)),E28*F28,IF(ISNUMBER(I28),I28,"—"))</f>
        <v/>
      </c>
      <c r="K28" s="8" t="n">
        <v>20</v>
      </c>
      <c r="L28" s="6">
        <f>IF(AND(ISNUMBER(J28),ISNUMBER(K28)),IF(K28&gt;=J28-0.001,"CUMPLE","NO CUMPLE"),"—")</f>
        <v/>
      </c>
      <c r="M28" s="8" t="n">
        <v>6</v>
      </c>
      <c r="N28" s="8" t="n">
        <v>10</v>
      </c>
      <c r="O28" s="6">
        <f>IF(AND(ISNUMBER(M28),ISNUMBER(K28)),IF(K28&lt;M28,"MENOR",IF(AND(ISNUMBER(N28),K28&gt;N28),"SUPERA","EN RANGO")),"—")</f>
        <v/>
      </c>
      <c r="P28" s="8">
        <f>IF(AND(ISNUMBER(D28),ISNUMBER(K28)),D28*K28,"—")</f>
        <v/>
      </c>
      <c r="Q28" s="8" t="n">
        <v>20</v>
      </c>
      <c r="R28" s="8">
        <f>IF(AND(ISNUMBER(P28),ISNUMBER(Q28)),Q28-P28,"—")</f>
        <v/>
      </c>
      <c r="S28" s="6" t="inlineStr">
        <is>
          <t>CUMPLE</t>
        </is>
      </c>
      <c r="T28" s="7" t="inlineStr">
        <is>
          <t>Supera la superficie sugerida. Los lineamientos piden casilleros con candado para las pertenencias de valor de cada usuaria.</t>
        </is>
      </c>
    </row>
    <row r="29" ht="24" customHeight="1">
      <c r="A29" s="6" t="n">
        <v>29</v>
      </c>
      <c r="B29" s="7" t="inlineStr">
        <is>
          <t>ZONA ADMINISTRATIVA</t>
        </is>
      </c>
      <c r="C29" s="7" t="inlineStr">
        <is>
          <t>TÓPICO</t>
        </is>
      </c>
      <c r="D29" s="6" t="n">
        <v>1</v>
      </c>
      <c r="E29" s="6" t="n">
        <v>3</v>
      </c>
      <c r="F29" s="8" t="n">
        <v>10</v>
      </c>
      <c r="G29" s="7" t="inlineStr">
        <is>
          <t>A.090 art. 11</t>
        </is>
      </c>
      <c r="H29" s="7" t="inlineStr">
        <is>
          <t>RNE-NORMA A090-Servicios comunales art.11</t>
        </is>
      </c>
      <c r="I29" s="8" t="n"/>
      <c r="J29" s="8">
        <f>IF(AND(ISNUMBER(E29),ISNUMBER(F29)),E29*F29,IF(ISNUMBER(I29),I29,"—"))</f>
        <v/>
      </c>
      <c r="K29" s="8" t="n">
        <v>30</v>
      </c>
      <c r="L29" s="6">
        <f>IF(AND(ISNUMBER(J29),ISNUMBER(K29)),IF(K29&gt;=J29-0.001,"CUMPLE","NO CUMPLE"),"—")</f>
        <v/>
      </c>
      <c r="M29" s="8" t="n">
        <v>9</v>
      </c>
      <c r="N29" s="8" t="n">
        <v>14</v>
      </c>
      <c r="O29" s="6">
        <f>IF(AND(ISNUMBER(M29),ISNUMBER(K29)),IF(K29&lt;M29,"MENOR",IF(AND(ISNUMBER(N29),K29&gt;N29),"SUPERA","EN RANGO")),"—")</f>
        <v/>
      </c>
      <c r="P29" s="8">
        <f>IF(AND(ISNUMBER(D29),ISNUMBER(K29)),D29*K29,"—")</f>
        <v/>
      </c>
      <c r="Q29" s="8" t="n">
        <v>30</v>
      </c>
      <c r="R29" s="8">
        <f>IF(AND(ISNUMBER(P29),ISNUMBER(Q29)),Q29-P29,"—")</f>
        <v/>
      </c>
      <c r="S29" s="6" t="inlineStr">
        <is>
          <t>CUMPLE</t>
        </is>
      </c>
      <c r="T29" s="7" t="inlineStr">
        <is>
          <t>Supera el tópico de la R.V.M. 104-2019 (7.00 m²) y la superficie sugerida (9/14 m²). Medicamentos bajo llave.</t>
        </is>
      </c>
    </row>
    <row r="30" ht="36" customHeight="1">
      <c r="A30" s="6" t="n">
        <v>30</v>
      </c>
      <c r="B30" s="7" t="inlineStr">
        <is>
          <t>ZONA ADMINISTRATIVA</t>
        </is>
      </c>
      <c r="C30" s="7" t="inlineStr">
        <is>
          <t>CUARTO DE CÁMARAS DE VIGILANCIA</t>
        </is>
      </c>
      <c r="D30" s="6" t="n">
        <v>1</v>
      </c>
      <c r="E30" s="6" t="n">
        <v>4</v>
      </c>
      <c r="F30" s="8" t="n"/>
      <c r="G30" s="7" t="inlineStr">
        <is>
          <t>R.V.M. 208-2019 (cotejar); lineamientos 2.4 y 2.5</t>
        </is>
      </c>
      <c r="H30" s="7" t="inlineStr">
        <is>
          <t>R.V.M. Nº208 - 2019 -MINEDU-Programación arquitectonica</t>
        </is>
      </c>
      <c r="I30" s="8" t="n"/>
      <c r="J30" s="8">
        <f>IF(AND(ISNUMBER(E30),ISNUMBER(F30)),E30*F30,IF(ISNUMBER(I30),I30,"—"))</f>
        <v/>
      </c>
      <c r="K30" s="8" t="n">
        <v>15</v>
      </c>
      <c r="L30" s="6">
        <f>IF(AND(ISNUMBER(J30),ISNUMBER(K30)),IF(K30&gt;=J30-0.001,"CUMPLE","NO CUMPLE"),"—")</f>
        <v/>
      </c>
      <c r="M30" s="8" t="n"/>
      <c r="N30" s="8" t="n"/>
      <c r="O30" s="6">
        <f>IF(AND(ISNUMBER(M30),ISNUMBER(K30)),IF(K30&lt;M30,"MENOR",IF(AND(ISNUMBER(N30),K30&gt;N30),"SUPERA","EN RANGO")),"—")</f>
        <v/>
      </c>
      <c r="P30" s="8">
        <f>IF(AND(ISNUMBER(D30),ISNUMBER(K30)),D30*K30,"—")</f>
        <v/>
      </c>
      <c r="Q30" s="8" t="n">
        <v>15</v>
      </c>
      <c r="R30" s="8">
        <f>IF(AND(ISNUMBER(P30),ISNUMBER(Q30)),Q30-P30,"—")</f>
        <v/>
      </c>
      <c r="S30" s="6" t="inlineStr">
        <is>
          <t>CUMPLE</t>
        </is>
      </c>
      <c r="T30" s="7" t="inlineStr">
        <is>
          <t>Índice de 3.00 m²/persona de la programación (R.V.M. 208-2019, por cotejar): 4 x 3.00 = 12.00 m² &lt; 15.00 m². Los lineamientos piden cámaras en accesos, perímetro y áreas comunes, con pantallas en la caseta y en la oficina de la dirección.</t>
        </is>
      </c>
    </row>
    <row r="31" ht="24" customHeight="1">
      <c r="A31" s="6" t="n">
        <v>31</v>
      </c>
      <c r="B31" s="7" t="inlineStr">
        <is>
          <t>ZONA ADMINISTRATIVA</t>
        </is>
      </c>
      <c r="C31" s="7" t="inlineStr">
        <is>
          <t>DATA CENTER</t>
        </is>
      </c>
      <c r="D31" s="6" t="n">
        <v>1</v>
      </c>
      <c r="E31" s="6" t="n">
        <v>2</v>
      </c>
      <c r="F31" s="8" t="n"/>
      <c r="G31" s="7" t="inlineStr">
        <is>
          <t>EM.010; lineamientos 2.8</t>
        </is>
      </c>
      <c r="H31" s="7" t="inlineStr">
        <is>
          <t>R.V.M. Nº208 - 2019 -MINEDU-Programación arquitectonica</t>
        </is>
      </c>
      <c r="I31" s="8" t="n"/>
      <c r="J31" s="8">
        <f>IF(AND(ISNUMBER(E31),ISNUMBER(F31)),E31*F31,IF(ISNUMBER(I31),I31,"—"))</f>
        <v/>
      </c>
      <c r="K31" s="8" t="n">
        <v>6</v>
      </c>
      <c r="L31" s="6">
        <f>IF(AND(ISNUMBER(J31),ISNUMBER(K31)),IF(K31&gt;=J31-0.001,"CUMPLE","NO CUMPLE"),"—")</f>
        <v/>
      </c>
      <c r="M31" s="8" t="n"/>
      <c r="N31" s="8" t="n"/>
      <c r="O31" s="6">
        <f>IF(AND(ISNUMBER(M31),ISNUMBER(K31)),IF(K31&lt;M31,"MENOR",IF(AND(ISNUMBER(N31),K31&gt;N31),"SUPERA","EN RANGO")),"—")</f>
        <v/>
      </c>
      <c r="P31" s="8">
        <f>IF(AND(ISNUMBER(D31),ISNUMBER(K31)),D31*K31,"—")</f>
        <v/>
      </c>
      <c r="Q31" s="8" t="n">
        <v>6</v>
      </c>
      <c r="R31" s="8">
        <f>IF(AND(ISNUMBER(P31),ISNUMBER(Q31)),Q31-P31,"—")</f>
        <v/>
      </c>
      <c r="S31" s="6" t="inlineStr">
        <is>
          <t>NO APLICA</t>
        </is>
      </c>
      <c r="T31" s="7" t="inlineStr">
        <is>
          <t>Sin índice de ocupación.</t>
        </is>
      </c>
    </row>
    <row r="32" ht="24" customHeight="1">
      <c r="A32" s="6" t="n">
        <v>32</v>
      </c>
      <c r="B32" s="7" t="inlineStr">
        <is>
          <t>ZONA ADMINISTRATIVA</t>
        </is>
      </c>
      <c r="C32" s="7" t="inlineStr">
        <is>
          <t>ARCHIVO</t>
        </is>
      </c>
      <c r="D32" s="6" t="n">
        <v>1</v>
      </c>
      <c r="E32" s="6" t="n">
        <v>2</v>
      </c>
      <c r="F32" s="8" t="n"/>
      <c r="G32" s="7" t="inlineStr">
        <is>
          <t>R.V.M. 104-2019 cuadro 21</t>
        </is>
      </c>
      <c r="H32" s="7" t="inlineStr">
        <is>
          <t>R.V.M. Nº208 - 2019 -MINEDU-Programación arquitectonica</t>
        </is>
      </c>
      <c r="I32" s="8" t="n">
        <v>6</v>
      </c>
      <c r="J32" s="8">
        <f>IF(AND(ISNUMBER(E32),ISNUMBER(F32)),E32*F32,IF(ISNUMBER(I32),I32,"—"))</f>
        <v/>
      </c>
      <c r="K32" s="8" t="n">
        <v>12</v>
      </c>
      <c r="L32" s="6">
        <f>IF(AND(ISNUMBER(J32),ISNUMBER(K32)),IF(K32&gt;=J32-0.001,"CUMPLE","NO CUMPLE"),"—")</f>
        <v/>
      </c>
      <c r="M32" s="8" t="n"/>
      <c r="N32" s="8" t="n"/>
      <c r="O32" s="6">
        <f>IF(AND(ISNUMBER(M32),ISNUMBER(K32)),IF(K32&lt;M32,"MENOR",IF(AND(ISNUMBER(N32),K32&gt;N32),"SUPERA","EN RANGO")),"—")</f>
        <v/>
      </c>
      <c r="P32" s="8">
        <f>IF(AND(ISNUMBER(D32),ISNUMBER(K32)),D32*K32,"—")</f>
        <v/>
      </c>
      <c r="Q32" s="8" t="n">
        <v>12</v>
      </c>
      <c r="R32" s="8">
        <f>IF(AND(ISNUMBER(P32),ISNUMBER(Q32)),Q32-P32,"—")</f>
        <v/>
      </c>
      <c r="S32" s="6" t="inlineStr">
        <is>
          <t>CUMPLE</t>
        </is>
      </c>
      <c r="T32" s="7" t="inlineStr">
        <is>
          <t>R.V.M. 104-2019: archivo de 6.00 m², contiguo al área de oficinas.</t>
        </is>
      </c>
    </row>
    <row r="33" ht="24" customHeight="1">
      <c r="A33" s="6" t="n">
        <v>33</v>
      </c>
      <c r="B33" s="7" t="inlineStr">
        <is>
          <t>ZONA ADMINISTRATIVA</t>
        </is>
      </c>
      <c r="C33" s="7" t="inlineStr">
        <is>
          <t>DEPÓSITO</t>
        </is>
      </c>
      <c r="D33" s="6" t="n">
        <v>1</v>
      </c>
      <c r="E33" s="6" t="n">
        <v>2</v>
      </c>
      <c r="F33" s="8" t="n"/>
      <c r="G33" s="7" t="inlineStr">
        <is>
          <t>R.V.M. 104-2019 num. 13.3.1</t>
        </is>
      </c>
      <c r="H33" s="7" t="inlineStr">
        <is>
          <t>R.V.M. Nº208 - 2019 -MINEDU-Programación arquitectonica</t>
        </is>
      </c>
      <c r="I33" s="8" t="n">
        <v>10</v>
      </c>
      <c r="J33" s="8">
        <f>IF(AND(ISNUMBER(E33),ISNUMBER(F33)),E33*F33,IF(ISNUMBER(I33),I33,"—"))</f>
        <v/>
      </c>
      <c r="K33" s="8" t="n">
        <v>15</v>
      </c>
      <c r="L33" s="6">
        <f>IF(AND(ISNUMBER(J33),ISNUMBER(K33)),IF(K33&gt;=J33-0.001,"CUMPLE","NO CUMPLE"),"—")</f>
        <v/>
      </c>
      <c r="M33" s="8" t="n"/>
      <c r="N33" s="8" t="n"/>
      <c r="O33" s="6">
        <f>IF(AND(ISNUMBER(M33),ISNUMBER(K33)),IF(K33&lt;M33,"MENOR",IF(AND(ISNUMBER(N33),K33&gt;N33),"SUPERA","EN RANGO")),"—")</f>
        <v/>
      </c>
      <c r="P33" s="8">
        <f>IF(AND(ISNUMBER(D33),ISNUMBER(K33)),D33*K33,"—")</f>
        <v/>
      </c>
      <c r="Q33" s="8" t="n">
        <v>15</v>
      </c>
      <c r="R33" s="8">
        <f>IF(AND(ISNUMBER(P33),ISNUMBER(Q33)),Q33-P33,"—")</f>
        <v/>
      </c>
      <c r="S33" s="6" t="inlineStr">
        <is>
          <t>CUMPLE</t>
        </is>
      </c>
      <c r="T33" s="7" t="inlineStr">
        <is>
          <t>R.V.M. 104-2019: almacén o depósito general de 1.50 m² por aula, no menor de 10.00 m².</t>
        </is>
      </c>
    </row>
    <row r="34">
      <c r="A34" s="4" t="inlineStr">
        <is>
          <t>ZONA DE AMBIENTES ESPECIALIZADOS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</row>
    <row r="35" ht="24" customHeight="1">
      <c r="A35" s="6" t="n">
        <v>35</v>
      </c>
      <c r="B35" s="7" t="inlineStr">
        <is>
          <t>ZONA DE AMBIENTES ESPECIALIZADOS</t>
        </is>
      </c>
      <c r="C35" s="7" t="inlineStr">
        <is>
          <t>TALLER DE BISUTERÍA</t>
        </is>
      </c>
      <c r="D35" s="6" t="n">
        <v>1</v>
      </c>
      <c r="E35" s="6" t="n">
        <v>20</v>
      </c>
      <c r="F35" s="8" t="n">
        <v>3</v>
      </c>
      <c r="G35" s="7" t="inlineStr">
        <is>
          <t>A.040 art. 13</t>
        </is>
      </c>
      <c r="H35" s="7" t="inlineStr">
        <is>
          <t>R.V.M. Nº208 - 2019 -MINEDU</t>
        </is>
      </c>
      <c r="I35" s="8" t="n"/>
      <c r="J35" s="8">
        <f>IF(AND(ISNUMBER(E35),ISNUMBER(F35)),E35*F35,IF(ISNUMBER(I35),I35,"—"))</f>
        <v/>
      </c>
      <c r="K35" s="8" t="n">
        <v>60</v>
      </c>
      <c r="L35" s="6">
        <f>IF(AND(ISNUMBER(J35),ISNUMBER(K35)),IF(K35&gt;=J35-0.001,"CUMPLE","NO CUMPLE"),"—")</f>
        <v/>
      </c>
      <c r="M35" s="8" t="n">
        <v>45</v>
      </c>
      <c r="N35" s="8" t="n"/>
      <c r="O35" s="6">
        <f>IF(AND(ISNUMBER(M35),ISNUMBER(K35)),IF(K35&lt;M35,"MENOR",IF(AND(ISNUMBER(N35),K35&gt;N35),"SUPERA","EN RANGO")),"—")</f>
        <v/>
      </c>
      <c r="P35" s="8">
        <f>IF(AND(ISNUMBER(D35),ISNUMBER(K35)),D35*K35,"—")</f>
        <v/>
      </c>
      <c r="Q35" s="8" t="n">
        <v>60</v>
      </c>
      <c r="R35" s="8">
        <f>IF(AND(ISNUMBER(P35),ISNUMBER(Q35)),Q35-P35,"—")</f>
        <v/>
      </c>
      <c r="S35" s="6" t="inlineStr">
        <is>
          <t>CUMPLE</t>
        </is>
      </c>
      <c r="T35" s="7" t="inlineStr">
        <is>
          <t>Los lineamientos (3.7) piden que los talleres productivos respondan a la oferta de empleo de la región.</t>
        </is>
      </c>
    </row>
    <row r="36" ht="24" customHeight="1">
      <c r="A36" s="6" t="n">
        <v>36</v>
      </c>
      <c r="B36" s="7" t="inlineStr">
        <is>
          <t>ZONA DE AMBIENTES ESPECIALIZADOS</t>
        </is>
      </c>
      <c r="C36" s="7" t="inlineStr">
        <is>
          <t>TALLER DE REPOSTERÍA</t>
        </is>
      </c>
      <c r="D36" s="6" t="n">
        <v>1</v>
      </c>
      <c r="E36" s="6" t="n">
        <v>20</v>
      </c>
      <c r="F36" s="8" t="n">
        <v>3</v>
      </c>
      <c r="G36" s="7" t="inlineStr">
        <is>
          <t>A.040 art. 13</t>
        </is>
      </c>
      <c r="H36" s="7" t="inlineStr">
        <is>
          <t>R.V.M. Nº208 - 2019 -MINEDU</t>
        </is>
      </c>
      <c r="I36" s="8" t="n"/>
      <c r="J36" s="8">
        <f>IF(AND(ISNUMBER(E36),ISNUMBER(F36)),E36*F36,IF(ISNUMBER(I36),I36,"—"))</f>
        <v/>
      </c>
      <c r="K36" s="8" t="n">
        <v>60</v>
      </c>
      <c r="L36" s="6">
        <f>IF(AND(ISNUMBER(J36),ISNUMBER(K36)),IF(K36&gt;=J36-0.001,"CUMPLE","NO CUMPLE"),"—")</f>
        <v/>
      </c>
      <c r="M36" s="8" t="n">
        <v>45</v>
      </c>
      <c r="N36" s="8" t="n"/>
      <c r="O36" s="6">
        <f>IF(AND(ISNUMBER(M36),ISNUMBER(K36)),IF(K36&lt;M36,"MENOR",IF(AND(ISNUMBER(N36),K36&gt;N36),"SUPERA","EN RANGO")),"—")</f>
        <v/>
      </c>
      <c r="P36" s="8">
        <f>IF(AND(ISNUMBER(D36),ISNUMBER(K36)),D36*K36,"—")</f>
        <v/>
      </c>
      <c r="Q36" s="8" t="n">
        <v>60</v>
      </c>
      <c r="R36" s="8">
        <f>IF(AND(ISNUMBER(P36),ISNUMBER(Q36)),Q36-P36,"—")</f>
        <v/>
      </c>
      <c r="S36" s="6" t="inlineStr">
        <is>
          <t>CUMPLE</t>
        </is>
      </c>
      <c r="T36" s="7" t="inlineStr">
        <is>
          <t>Requiere instalaciones de agua, desagüe, gas o electricidad de cocina, y punzocortantes bajo llave (lineamientos 2.5).</t>
        </is>
      </c>
    </row>
    <row r="37" ht="24" customHeight="1">
      <c r="A37" s="6" t="n">
        <v>37</v>
      </c>
      <c r="B37" s="7" t="inlineStr">
        <is>
          <t>ZONA DE AMBIENTES ESPECIALIZADOS</t>
        </is>
      </c>
      <c r="C37" s="7" t="inlineStr">
        <is>
          <t>TALLER DE COSTURA</t>
        </is>
      </c>
      <c r="D37" s="6" t="n">
        <v>1</v>
      </c>
      <c r="E37" s="6" t="n">
        <v>20</v>
      </c>
      <c r="F37" s="8" t="n">
        <v>3</v>
      </c>
      <c r="G37" s="7" t="inlineStr">
        <is>
          <t>A.040 art. 13</t>
        </is>
      </c>
      <c r="H37" s="7" t="inlineStr">
        <is>
          <t>R.V.M. Nº208 - 2019 -MINEDU</t>
        </is>
      </c>
      <c r="I37" s="8" t="n"/>
      <c r="J37" s="8">
        <f>IF(AND(ISNUMBER(E37),ISNUMBER(F37)),E37*F37,IF(ISNUMBER(I37),I37,"—"))</f>
        <v/>
      </c>
      <c r="K37" s="8" t="n">
        <v>60</v>
      </c>
      <c r="L37" s="6">
        <f>IF(AND(ISNUMBER(J37),ISNUMBER(K37)),IF(K37&gt;=J37-0.001,"CUMPLE","NO CUMPLE"),"—")</f>
        <v/>
      </c>
      <c r="M37" s="8" t="n">
        <v>45</v>
      </c>
      <c r="N37" s="8" t="n"/>
      <c r="O37" s="6">
        <f>IF(AND(ISNUMBER(M37),ISNUMBER(K37)),IF(K37&lt;M37,"MENOR",IF(AND(ISNUMBER(N37),K37&gt;N37),"SUPERA","EN RANGO")),"—")</f>
        <v/>
      </c>
      <c r="P37" s="8">
        <f>IF(AND(ISNUMBER(D37),ISNUMBER(K37)),D37*K37,"—")</f>
        <v/>
      </c>
      <c r="Q37" s="8" t="n">
        <v>60</v>
      </c>
      <c r="R37" s="8">
        <f>IF(AND(ISNUMBER(P37),ISNUMBER(Q37)),Q37-P37,"—")</f>
        <v/>
      </c>
      <c r="S37" s="6" t="inlineStr">
        <is>
          <t>CUMPLE</t>
        </is>
      </c>
      <c r="T37" s="7" t="inlineStr"/>
    </row>
    <row r="38" ht="48" customHeight="1">
      <c r="A38" s="6" t="n">
        <v>38</v>
      </c>
      <c r="B38" s="7" t="inlineStr">
        <is>
          <t>ZONA DE AMBIENTES ESPECIALIZADOS</t>
        </is>
      </c>
      <c r="C38" s="7" t="inlineStr">
        <is>
          <t>TERAPIA GRUPAL</t>
        </is>
      </c>
      <c r="D38" s="6" t="n">
        <v>1</v>
      </c>
      <c r="E38" s="6" t="n">
        <v>5</v>
      </c>
      <c r="F38" s="8" t="n">
        <v>10</v>
      </c>
      <c r="G38" s="7" t="inlineStr">
        <is>
          <t>A.090 art. 11</t>
        </is>
      </c>
      <c r="H38" s="7" t="inlineStr">
        <is>
          <t>RNE-NORMA A090-Servicios comunales art.11</t>
        </is>
      </c>
      <c r="I38" s="8" t="n"/>
      <c r="J38" s="8">
        <f>IF(AND(ISNUMBER(E38),ISNUMBER(F38)),E38*F38,IF(ISNUMBER(I38),I38,"—"))</f>
        <v/>
      </c>
      <c r="K38" s="8" t="n">
        <v>50</v>
      </c>
      <c r="L38" s="6">
        <f>IF(AND(ISNUMBER(J38),ISNUMBER(K38)),IF(K38&gt;=J38-0.001,"CUMPLE","NO CUMPLE"),"—")</f>
        <v/>
      </c>
      <c r="M38" s="8" t="n">
        <v>15</v>
      </c>
      <c r="N38" s="8" t="n">
        <v>21</v>
      </c>
      <c r="O38" s="6">
        <f>IF(AND(ISNUMBER(M38),ISNUMBER(K38)),IF(K38&lt;M38,"MENOR",IF(AND(ISNUMBER(N38),K38&gt;N38),"SUPERA","EN RANGO")),"—")</f>
        <v/>
      </c>
      <c r="P38" s="8">
        <f>IF(AND(ISNUMBER(D38),ISNUMBER(K38)),D38*K38,"—")</f>
        <v/>
      </c>
      <c r="Q38" s="8" t="n">
        <v>50</v>
      </c>
      <c r="R38" s="8">
        <f>IF(AND(ISNUMBER(P38),ISNUMBER(Q38)),Q38-P38,"—")</f>
        <v/>
      </c>
      <c r="S38" s="6" t="inlineStr">
        <is>
          <t>CUMPLE</t>
        </is>
      </c>
      <c r="T38" s="7" t="inlineStr">
        <is>
          <t>Supera la superficie sugerida. El índice de oficinas (10.0 m²/persona) no es el de una sala grupal: con 50.00 m² y el de reunión (1.0 m²/persona, A.090 art. 11) la sala admite grupos de 10 o más; se sugiere declarar una capacidad de 10 participantes. Los lineamientos piden puertas corredizas hacia una sala multiuso.</t>
        </is>
      </c>
    </row>
    <row r="39" ht="36" customHeight="1">
      <c r="A39" s="6" t="n">
        <v>39</v>
      </c>
      <c r="B39" s="7" t="inlineStr">
        <is>
          <t>ZONA DE AMBIENTES ESPECIALIZADOS</t>
        </is>
      </c>
      <c r="C39" s="7" t="inlineStr">
        <is>
          <t>MÓDULO INFANTIL</t>
        </is>
      </c>
      <c r="D39" s="6" t="n">
        <v>1</v>
      </c>
      <c r="E39" s="6" t="n">
        <v>10</v>
      </c>
      <c r="F39" s="8" t="n">
        <v>2</v>
      </c>
      <c r="G39" s="7" t="inlineStr">
        <is>
          <t>R.V.M. 104-2019 cuadro 18</t>
        </is>
      </c>
      <c r="H39" s="7" t="inlineStr">
        <is>
          <t>R.V.M. Nº104 - 2019 -MINEDU</t>
        </is>
      </c>
      <c r="I39" s="8" t="n"/>
      <c r="J39" s="8">
        <f>IF(AND(ISNUMBER(E39),ISNUMBER(F39)),E39*F39,IF(ISNUMBER(I39),I39,"—"))</f>
        <v/>
      </c>
      <c r="K39" s="8" t="n">
        <v>25</v>
      </c>
      <c r="L39" s="6">
        <f>IF(AND(ISNUMBER(J39),ISNUMBER(K39)),IF(K39&gt;=J39-0.001,"CUMPLE","NO CUMPLE"),"—")</f>
        <v/>
      </c>
      <c r="M39" s="8" t="n">
        <v>25</v>
      </c>
      <c r="N39" s="8" t="n">
        <v>30</v>
      </c>
      <c r="O39" s="6">
        <f>IF(AND(ISNUMBER(M39),ISNUMBER(K39)),IF(K39&lt;M39,"MENOR",IF(AND(ISNUMBER(N39),K39&gt;N39),"SUPERA","EN RANGO")),"—")</f>
        <v/>
      </c>
      <c r="P39" s="8">
        <f>IF(AND(ISNUMBER(D39),ISNUMBER(K39)),D39*K39,"—")</f>
        <v/>
      </c>
      <c r="Q39" s="8" t="n">
        <v>25</v>
      </c>
      <c r="R39" s="8">
        <f>IF(AND(ISNUMBER(P39),ISNUMBER(Q39)),Q39-P39,"—")</f>
        <v/>
      </c>
      <c r="S39" s="6" t="inlineStr">
        <is>
          <t>CUMPLE</t>
        </is>
      </c>
      <c r="T39" s="7" t="inlineStr">
        <is>
          <t>El índice de 2.00 m²/niño(a) es el de la sala de psicomotricidad de la R.V.M. 104-2019 (cuadro 18). Los lineamientos piden piso de hule, vista y acceso directo a un jardín, y ubicación alejada de las salas de atención.</t>
        </is>
      </c>
    </row>
    <row r="40" ht="24" customHeight="1">
      <c r="A40" s="6" t="n">
        <v>40</v>
      </c>
      <c r="B40" s="7" t="inlineStr">
        <is>
          <t>ZONA DE AMBIENTES ESPECIALIZADOS</t>
        </is>
      </c>
      <c r="C40" s="7" t="inlineStr">
        <is>
          <t>MÓDULO DE ENSEÑANZA</t>
        </is>
      </c>
      <c r="D40" s="6" t="n">
        <v>1</v>
      </c>
      <c r="E40" s="6" t="n">
        <v>15</v>
      </c>
      <c r="F40" s="8" t="n">
        <v>2.4</v>
      </c>
      <c r="G40" s="7" t="inlineStr">
        <is>
          <t>R.V.M. 104-2019 cuadro 16</t>
        </is>
      </c>
      <c r="H40" s="7" t="inlineStr">
        <is>
          <t>R.V.M. Nº208 - 2019 -MINEDU</t>
        </is>
      </c>
      <c r="I40" s="8" t="n"/>
      <c r="J40" s="8">
        <f>IF(AND(ISNUMBER(E40),ISNUMBER(F40)),E40*F40,IF(ISNUMBER(I40),I40,"—"))</f>
        <v/>
      </c>
      <c r="K40" s="8" t="n">
        <v>39</v>
      </c>
      <c r="L40" s="6">
        <f>IF(AND(ISNUMBER(J40),ISNUMBER(K40)),IF(K40&gt;=J40-0.001,"CUMPLE","NO CUMPLE"),"—")</f>
        <v/>
      </c>
      <c r="M40" s="8" t="n">
        <v>16</v>
      </c>
      <c r="N40" s="8" t="n">
        <v>21</v>
      </c>
      <c r="O40" s="6">
        <f>IF(AND(ISNUMBER(M40),ISNUMBER(K40)),IF(K40&lt;M40,"MENOR",IF(AND(ISNUMBER(N40),K40&gt;N40),"SUPERA","EN RANGO")),"—")</f>
        <v/>
      </c>
      <c r="P40" s="8">
        <f>IF(AND(ISNUMBER(D40),ISNUMBER(K40)),D40*K40,"—")</f>
        <v/>
      </c>
      <c r="Q40" s="8" t="n">
        <v>39</v>
      </c>
      <c r="R40" s="8">
        <f>IF(AND(ISNUMBER(P40),ISNUMBER(Q40)),Q40-P40,"—")</f>
        <v/>
      </c>
      <c r="S40" s="6" t="inlineStr">
        <is>
          <t>CUMPLE</t>
        </is>
      </c>
      <c r="T40" s="7" t="inlineStr">
        <is>
          <t>La programación usa 2.00 m²/persona; el aula de la R.V.M. 104-2019 tiene I.O. de 2.40 m² (15 x 2.40 = 36.00 m²) y el área de 39.00 m² también la cumple.</t>
        </is>
      </c>
    </row>
    <row r="41" ht="24" customHeight="1">
      <c r="A41" s="6" t="n">
        <v>41</v>
      </c>
      <c r="B41" s="7" t="inlineStr">
        <is>
          <t>ZONA DE AMBIENTES ESPECIALIZADOS</t>
        </is>
      </c>
      <c r="C41" s="7" t="inlineStr">
        <is>
          <t>SS.HH MUJERES</t>
        </is>
      </c>
      <c r="D41" s="6" t="n">
        <v>1</v>
      </c>
      <c r="E41" s="6" t="n"/>
      <c r="F41" s="8" t="n"/>
      <c r="G41" s="7" t="inlineStr">
        <is>
          <t>A.040 art. 20 (cuadro 8)</t>
        </is>
      </c>
      <c r="H41" s="7" t="inlineStr">
        <is>
          <t>RNE-NORMA A.040-Educación art.20</t>
        </is>
      </c>
      <c r="I41" s="8" t="n"/>
      <c r="J41" s="8">
        <f>IF(AND(ISNUMBER(E41),ISNUMBER(F41)),E41*F41,IF(ISNUMBER(I41),I41,"—"))</f>
        <v/>
      </c>
      <c r="K41" s="8" t="n">
        <v>17</v>
      </c>
      <c r="L41" s="6">
        <f>IF(AND(ISNUMBER(J41),ISNUMBER(K41)),IF(K41&gt;=J41-0.001,"CUMPLE","NO CUMPLE"),"—")</f>
        <v/>
      </c>
      <c r="M41" s="8" t="n"/>
      <c r="N41" s="8" t="n"/>
      <c r="O41" s="6">
        <f>IF(AND(ISNUMBER(M41),ISNUMBER(K41)),IF(K41&lt;M41,"MENOR",IF(AND(ISNUMBER(N41),K41&gt;N41),"SUPERA","EN RANGO")),"—")</f>
        <v/>
      </c>
      <c r="P41" s="8">
        <f>IF(AND(ISNUMBER(D41),ISNUMBER(K41)),D41*K41,"—")</f>
        <v/>
      </c>
      <c r="Q41" s="8" t="n">
        <v>17</v>
      </c>
      <c r="R41" s="8">
        <f>IF(AND(ISNUMBER(P41),ISNUMBER(Q41)),Q41-P41,"—")</f>
        <v/>
      </c>
      <c r="S41" s="6" t="inlineStr">
        <is>
          <t>CUMPLE</t>
        </is>
      </c>
      <c r="T41" s="7" t="inlineStr">
        <is>
          <t>A.040 cuadro 8: mujeres 1 inodoro cada 30 y 1 lavatorio cada 30.</t>
        </is>
      </c>
    </row>
    <row r="42" ht="24" customHeight="1">
      <c r="A42" s="6" t="n">
        <v>42</v>
      </c>
      <c r="B42" s="7" t="inlineStr">
        <is>
          <t>ZONA DE AMBIENTES ESPECIALIZADOS</t>
        </is>
      </c>
      <c r="C42" s="7" t="inlineStr">
        <is>
          <t>SS.HH VARONES</t>
        </is>
      </c>
      <c r="D42" s="6" t="n">
        <v>1</v>
      </c>
      <c r="E42" s="6" t="n"/>
      <c r="F42" s="8" t="n"/>
      <c r="G42" s="7" t="inlineStr">
        <is>
          <t>A.040 art. 20 (cuadro 8)</t>
        </is>
      </c>
      <c r="H42" s="7" t="inlineStr">
        <is>
          <t>RNE-NORMA A.040-Educación art.20</t>
        </is>
      </c>
      <c r="I42" s="8" t="n"/>
      <c r="J42" s="8">
        <f>IF(AND(ISNUMBER(E42),ISNUMBER(F42)),E42*F42,IF(ISNUMBER(I42),I42,"—"))</f>
        <v/>
      </c>
      <c r="K42" s="8" t="n">
        <v>14.5</v>
      </c>
      <c r="L42" s="6">
        <f>IF(AND(ISNUMBER(J42),ISNUMBER(K42)),IF(K42&gt;=J42-0.001,"CUMPLE","NO CUMPLE"),"—")</f>
        <v/>
      </c>
      <c r="M42" s="8" t="n"/>
      <c r="N42" s="8" t="n"/>
      <c r="O42" s="6">
        <f>IF(AND(ISNUMBER(M42),ISNUMBER(K42)),IF(K42&lt;M42,"MENOR",IF(AND(ISNUMBER(N42),K42&gt;N42),"SUPERA","EN RANGO")),"—")</f>
        <v/>
      </c>
      <c r="P42" s="8">
        <f>IF(AND(ISNUMBER(D42),ISNUMBER(K42)),D42*K42,"—")</f>
        <v/>
      </c>
      <c r="Q42" s="8" t="n">
        <v>14.5</v>
      </c>
      <c r="R42" s="8">
        <f>IF(AND(ISNUMBER(P42),ISNUMBER(Q42)),Q42-P42,"—")</f>
        <v/>
      </c>
      <c r="S42" s="6" t="inlineStr">
        <is>
          <t>CUMPLE</t>
        </is>
      </c>
      <c r="T42" s="7" t="inlineStr">
        <is>
          <t>A.040 cuadro 8: hombres 1 inodoro cada 60, 1 lavatorio cada 30 y 1 urinario cada 60.</t>
        </is>
      </c>
    </row>
    <row r="43" ht="24" customHeight="1">
      <c r="A43" s="6" t="n">
        <v>43</v>
      </c>
      <c r="B43" s="7" t="inlineStr">
        <is>
          <t>ZONA DE AMBIENTES ESPECIALIZADOS</t>
        </is>
      </c>
      <c r="C43" s="7" t="inlineStr">
        <is>
          <t>SS.HH DISCAPACITADOS</t>
        </is>
      </c>
      <c r="D43" s="6" t="n">
        <v>1</v>
      </c>
      <c r="E43" s="6" t="n"/>
      <c r="F43" s="8" t="n"/>
      <c r="G43" s="7" t="inlineStr">
        <is>
          <t>A.040 art. 20.2; A.120</t>
        </is>
      </c>
      <c r="H43" s="7" t="inlineStr">
        <is>
          <t>RNE-NORMA A.040-Educación art.20</t>
        </is>
      </c>
      <c r="I43" s="8" t="n"/>
      <c r="J43" s="8">
        <f>IF(AND(ISNUMBER(E43),ISNUMBER(F43)),E43*F43,IF(ISNUMBER(I43),I43,"—"))</f>
        <v/>
      </c>
      <c r="K43" s="8" t="n">
        <v>5</v>
      </c>
      <c r="L43" s="6">
        <f>IF(AND(ISNUMBER(J43),ISNUMBER(K43)),IF(K43&gt;=J43-0.001,"CUMPLE","NO CUMPLE"),"—")</f>
        <v/>
      </c>
      <c r="M43" s="8" t="n"/>
      <c r="N43" s="8" t="n"/>
      <c r="O43" s="6">
        <f>IF(AND(ISNUMBER(M43),ISNUMBER(K43)),IF(K43&lt;M43,"MENOR",IF(AND(ISNUMBER(N43),K43&gt;N43),"SUPERA","EN RANGO")),"—")</f>
        <v/>
      </c>
      <c r="P43" s="8">
        <f>IF(AND(ISNUMBER(D43),ISNUMBER(K43)),D43*K43,"—")</f>
        <v/>
      </c>
      <c r="Q43" s="8" t="n">
        <v>5</v>
      </c>
      <c r="R43" s="8">
        <f>IF(AND(ISNUMBER(P43),ISNUMBER(Q43)),Q43-P43,"—")</f>
        <v/>
      </c>
      <c r="S43" s="6" t="inlineStr">
        <is>
          <t>CUMPLE</t>
        </is>
      </c>
      <c r="T43" s="7" t="inlineStr">
        <is>
          <t>A.040 art. 20.2: al menos un lavatorio, un inodoro y un urinario por piso para personas con discapacidad, pudiendo ser de uso mixto.</t>
        </is>
      </c>
    </row>
    <row r="44">
      <c r="A44" s="4" t="inlineStr">
        <is>
          <t>ZONA RESIDENCIAL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</row>
    <row r="45" ht="24" customHeight="1">
      <c r="A45" s="6" t="n">
        <v>45</v>
      </c>
      <c r="B45" s="7" t="inlineStr">
        <is>
          <t>ZONA RESIDENCIAL</t>
        </is>
      </c>
      <c r="C45" s="7" t="inlineStr">
        <is>
          <t>HABITACIONES SIMPLES- TIPO I</t>
        </is>
      </c>
      <c r="D45" s="6" t="n">
        <v>3</v>
      </c>
      <c r="E45" s="6" t="n">
        <v>3</v>
      </c>
      <c r="F45" s="8" t="n">
        <v>4</v>
      </c>
      <c r="G45" s="7" t="inlineStr">
        <is>
          <t>A.030 art. 5</t>
        </is>
      </c>
      <c r="H45" s="7" t="inlineStr">
        <is>
          <t>RNE-NORMA A.030-Hospedaje art.5</t>
        </is>
      </c>
      <c r="I45" s="8" t="n"/>
      <c r="J45" s="8">
        <f>IF(AND(ISNUMBER(E45),ISNUMBER(F45)),E45*F45,IF(ISNUMBER(I45),I45,"—"))</f>
        <v/>
      </c>
      <c r="K45" s="8" t="n">
        <v>12</v>
      </c>
      <c r="L45" s="6">
        <f>IF(AND(ISNUMBER(J45),ISNUMBER(K45)),IF(K45&gt;=J45-0.001,"CUMPLE","NO CUMPLE"),"—")</f>
        <v/>
      </c>
      <c r="M45" s="8" t="n">
        <v>11</v>
      </c>
      <c r="N45" s="8" t="n">
        <v>25</v>
      </c>
      <c r="O45" s="6">
        <f>IF(AND(ISNUMBER(M45),ISNUMBER(K45)),IF(K45&lt;M45,"MENOR",IF(AND(ISNUMBER(N45),K45&gt;N45),"SUPERA","EN RANGO")),"—")</f>
        <v/>
      </c>
      <c r="P45" s="8">
        <f>IF(AND(ISNUMBER(D45),ISNUMBER(K45)),D45*K45,"—")</f>
        <v/>
      </c>
      <c r="Q45" s="8" t="n">
        <v>36</v>
      </c>
      <c r="R45" s="8">
        <f>IF(AND(ISNUMBER(P45),ISNUMBER(Q45)),Q45-P45,"—")</f>
        <v/>
      </c>
      <c r="S45" s="6" t="inlineStr">
        <is>
          <t>CUMPLE</t>
        </is>
      </c>
      <c r="T45" s="7" t="inlineStr">
        <is>
          <t>Mayor que el área mínima de habitación de la A.030 art. 6 (6.00 m²) y dentro del rango sugerido (11/25 m²).</t>
        </is>
      </c>
    </row>
    <row r="46" ht="24" customHeight="1">
      <c r="A46" s="6" t="n">
        <v>46</v>
      </c>
      <c r="B46" s="7" t="inlineStr">
        <is>
          <t>ZONA RESIDENCIAL</t>
        </is>
      </c>
      <c r="C46" s="7" t="inlineStr">
        <is>
          <t>SS.HH HAB. SIMPLE</t>
        </is>
      </c>
      <c r="D46" s="6" t="n">
        <v>3</v>
      </c>
      <c r="E46" s="6" t="n">
        <v>3</v>
      </c>
      <c r="F46" s="8" t="n"/>
      <c r="G46" s="7" t="inlineStr">
        <is>
          <t>A.030 art. 6 y Anexo 3</t>
        </is>
      </c>
      <c r="H46" s="7" t="inlineStr">
        <is>
          <t>RNE-NORMA A.030-Hospedaje Anexo 3</t>
        </is>
      </c>
      <c r="I46" s="8" t="n">
        <v>2.5</v>
      </c>
      <c r="J46" s="8">
        <f>IF(AND(ISNUMBER(E46),ISNUMBER(F46)),E46*F46,IF(ISNUMBER(I46),I46,"—"))</f>
        <v/>
      </c>
      <c r="K46" s="8" t="n">
        <v>3</v>
      </c>
      <c r="L46" s="6">
        <f>IF(AND(ISNUMBER(J46),ISNUMBER(K46)),IF(K46&gt;=J46-0.001,"CUMPLE","NO CUMPLE"),"—")</f>
        <v/>
      </c>
      <c r="M46" s="8" t="n">
        <v>2.7</v>
      </c>
      <c r="N46" s="8" t="n"/>
      <c r="O46" s="6">
        <f>IF(AND(ISNUMBER(M46),ISNUMBER(K46)),IF(K46&lt;M46,"MENOR",IF(AND(ISNUMBER(N46),K46&gt;N46),"SUPERA","EN RANGO")),"—")</f>
        <v/>
      </c>
      <c r="P46" s="8">
        <f>IF(AND(ISNUMBER(D46),ISNUMBER(K46)),D46*K46,"—")</f>
        <v/>
      </c>
      <c r="Q46" s="8" t="n">
        <v>9</v>
      </c>
      <c r="R46" s="8">
        <f>IF(AND(ISNUMBER(P46),ISNUMBER(Q46)),Q46-P46,"—")</f>
        <v/>
      </c>
      <c r="S46" s="6" t="inlineStr">
        <is>
          <t>CUMPLE</t>
        </is>
      </c>
      <c r="T46" s="7" t="inlineStr">
        <is>
          <t>A.030: servicio higiénico de 2.50 m² mínimo (art. 6 y Anexo 3, hostal de 1 y 2 estrellas) con inodoro, lavatorio y ducha; su área no cuenta como parte de la habitación.</t>
        </is>
      </c>
    </row>
    <row r="47" ht="24" customHeight="1">
      <c r="A47" s="6" t="n">
        <v>47</v>
      </c>
      <c r="B47" s="7" t="inlineStr">
        <is>
          <t>ZONA RESIDENCIAL</t>
        </is>
      </c>
      <c r="C47" s="7" t="inlineStr">
        <is>
          <t>HABITACIONES SIMPLES- TIPO II</t>
        </is>
      </c>
      <c r="D47" s="6" t="n">
        <v>3</v>
      </c>
      <c r="E47" s="6" t="n">
        <v>3</v>
      </c>
      <c r="F47" s="8" t="n">
        <v>4</v>
      </c>
      <c r="G47" s="7" t="inlineStr">
        <is>
          <t>A.030 art. 5</t>
        </is>
      </c>
      <c r="H47" s="7" t="inlineStr">
        <is>
          <t>RNE-NORMA A.030-Hospedaje Art.5</t>
        </is>
      </c>
      <c r="I47" s="8" t="n"/>
      <c r="J47" s="8">
        <f>IF(AND(ISNUMBER(E47),ISNUMBER(F47)),E47*F47,IF(ISNUMBER(I47),I47,"—"))</f>
        <v/>
      </c>
      <c r="K47" s="8" t="n">
        <v>12</v>
      </c>
      <c r="L47" s="6">
        <f>IF(AND(ISNUMBER(J47),ISNUMBER(K47)),IF(K47&gt;=J47-0.001,"CUMPLE","NO CUMPLE"),"—")</f>
        <v/>
      </c>
      <c r="M47" s="8" t="n">
        <v>11</v>
      </c>
      <c r="N47" s="8" t="n">
        <v>25</v>
      </c>
      <c r="O47" s="6">
        <f>IF(AND(ISNUMBER(M47),ISNUMBER(K47)),IF(K47&lt;M47,"MENOR",IF(AND(ISNUMBER(N47),K47&gt;N47),"SUPERA","EN RANGO")),"—")</f>
        <v/>
      </c>
      <c r="P47" s="8">
        <f>IF(AND(ISNUMBER(D47),ISNUMBER(K47)),D47*K47,"—")</f>
        <v/>
      </c>
      <c r="Q47" s="8" t="n">
        <v>36</v>
      </c>
      <c r="R47" s="8">
        <f>IF(AND(ISNUMBER(P47),ISNUMBER(Q47)),Q47-P47,"—")</f>
        <v/>
      </c>
      <c r="S47" s="6" t="inlineStr">
        <is>
          <t>CUMPLE</t>
        </is>
      </c>
      <c r="T47" s="7" t="inlineStr"/>
    </row>
    <row r="48" ht="24" customHeight="1">
      <c r="A48" s="6" t="n">
        <v>48</v>
      </c>
      <c r="B48" s="7" t="inlineStr">
        <is>
          <t>ZONA RESIDENCIAL</t>
        </is>
      </c>
      <c r="C48" s="7" t="inlineStr">
        <is>
          <t>SS.HH HAB.SIMPLE-TIPO II</t>
        </is>
      </c>
      <c r="D48" s="6" t="n">
        <v>3</v>
      </c>
      <c r="E48" s="6" t="n">
        <v>3</v>
      </c>
      <c r="F48" s="8" t="n"/>
      <c r="G48" s="7" t="inlineStr">
        <is>
          <t>A.030 art. 6 y Anexo 3</t>
        </is>
      </c>
      <c r="H48" s="7" t="inlineStr">
        <is>
          <t>RNE-NORMA A.030-Hospedaje Anexo 3</t>
        </is>
      </c>
      <c r="I48" s="8" t="n">
        <v>2.5</v>
      </c>
      <c r="J48" s="8">
        <f>IF(AND(ISNUMBER(E48),ISNUMBER(F48)),E48*F48,IF(ISNUMBER(I48),I48,"—"))</f>
        <v/>
      </c>
      <c r="K48" s="8" t="n">
        <v>3</v>
      </c>
      <c r="L48" s="6">
        <f>IF(AND(ISNUMBER(J48),ISNUMBER(K48)),IF(K48&gt;=J48-0.001,"CUMPLE","NO CUMPLE"),"—")</f>
        <v/>
      </c>
      <c r="M48" s="8" t="n">
        <v>2.7</v>
      </c>
      <c r="N48" s="8" t="n"/>
      <c r="O48" s="6">
        <f>IF(AND(ISNUMBER(M48),ISNUMBER(K48)),IF(K48&lt;M48,"MENOR",IF(AND(ISNUMBER(N48),K48&gt;N48),"SUPERA","EN RANGO")),"—")</f>
        <v/>
      </c>
      <c r="P48" s="8">
        <f>IF(AND(ISNUMBER(D48),ISNUMBER(K48)),D48*K48,"—")</f>
        <v/>
      </c>
      <c r="Q48" s="8" t="n">
        <v>9</v>
      </c>
      <c r="R48" s="8">
        <f>IF(AND(ISNUMBER(P48),ISNUMBER(Q48)),Q48-P48,"—")</f>
        <v/>
      </c>
      <c r="S48" s="6" t="inlineStr">
        <is>
          <t>CUMPLE</t>
        </is>
      </c>
      <c r="T48" s="7" t="inlineStr"/>
    </row>
    <row r="49" ht="24" customHeight="1">
      <c r="A49" s="6" t="n">
        <v>49</v>
      </c>
      <c r="B49" s="7" t="inlineStr">
        <is>
          <t>ZONA RESIDENCIAL</t>
        </is>
      </c>
      <c r="C49" s="7" t="inlineStr">
        <is>
          <t>HABITACIONES DOBLE-TIPO I</t>
        </is>
      </c>
      <c r="D49" s="6" t="n">
        <v>3</v>
      </c>
      <c r="E49" s="6" t="n">
        <v>5</v>
      </c>
      <c r="F49" s="8" t="n">
        <v>4</v>
      </c>
      <c r="G49" s="7" t="inlineStr">
        <is>
          <t>A.030 art. 5</t>
        </is>
      </c>
      <c r="H49" s="7" t="inlineStr">
        <is>
          <t>RNE-NORMA A.030-Hospedaje art.5</t>
        </is>
      </c>
      <c r="I49" s="8" t="n"/>
      <c r="J49" s="8">
        <f>IF(AND(ISNUMBER(E49),ISNUMBER(F49)),E49*F49,IF(ISNUMBER(I49),I49,"—"))</f>
        <v/>
      </c>
      <c r="K49" s="8" t="n">
        <v>20</v>
      </c>
      <c r="L49" s="6">
        <f>IF(AND(ISNUMBER(J49),ISNUMBER(K49)),IF(K49&gt;=J49-0.001,"CUMPLE","NO CUMPLE"),"—")</f>
        <v/>
      </c>
      <c r="M49" s="8" t="n">
        <v>11</v>
      </c>
      <c r="N49" s="8" t="n">
        <v>25</v>
      </c>
      <c r="O49" s="6">
        <f>IF(AND(ISNUMBER(M49),ISNUMBER(K49)),IF(K49&lt;M49,"MENOR",IF(AND(ISNUMBER(N49),K49&gt;N49),"SUPERA","EN RANGO")),"—")</f>
        <v/>
      </c>
      <c r="P49" s="8">
        <f>IF(AND(ISNUMBER(D49),ISNUMBER(K49)),D49*K49,"—")</f>
        <v/>
      </c>
      <c r="Q49" s="8" t="n">
        <v>60</v>
      </c>
      <c r="R49" s="8">
        <f>IF(AND(ISNUMBER(P49),ISNUMBER(Q49)),Q49-P49,"—")</f>
        <v/>
      </c>
      <c r="S49" s="6" t="inlineStr">
        <is>
          <t>CUMPLE</t>
        </is>
      </c>
      <c r="T49" s="7" t="inlineStr">
        <is>
          <t>Dentro del rango sugerido. Esta habitación no tiene SS.HH. propio en la programación: indicar qué baño compartido la sirve.</t>
        </is>
      </c>
    </row>
    <row r="50" ht="24" customHeight="1">
      <c r="A50" s="6" t="n">
        <v>50</v>
      </c>
      <c r="B50" s="7" t="inlineStr">
        <is>
          <t>ZONA RESIDENCIAL</t>
        </is>
      </c>
      <c r="C50" s="7" t="inlineStr">
        <is>
          <t>HABITACIONES DOBLE-TIPO II</t>
        </is>
      </c>
      <c r="D50" s="6" t="n">
        <v>7</v>
      </c>
      <c r="E50" s="6" t="n">
        <v>5</v>
      </c>
      <c r="F50" s="8" t="n">
        <v>4</v>
      </c>
      <c r="G50" s="7" t="inlineStr">
        <is>
          <t>A.030 art. 5</t>
        </is>
      </c>
      <c r="H50" s="7" t="inlineStr">
        <is>
          <t>RNE-NORMA A.030-Hospedaje art.5</t>
        </is>
      </c>
      <c r="I50" s="8" t="n"/>
      <c r="J50" s="8">
        <f>IF(AND(ISNUMBER(E50),ISNUMBER(F50)),E50*F50,IF(ISNUMBER(I50),I50,"—"))</f>
        <v/>
      </c>
      <c r="K50" s="8" t="n">
        <v>20</v>
      </c>
      <c r="L50" s="6">
        <f>IF(AND(ISNUMBER(J50),ISNUMBER(K50)),IF(K50&gt;=J50-0.001,"CUMPLE","NO CUMPLE"),"—")</f>
        <v/>
      </c>
      <c r="M50" s="8" t="n">
        <v>11</v>
      </c>
      <c r="N50" s="8" t="n">
        <v>25</v>
      </c>
      <c r="O50" s="6">
        <f>IF(AND(ISNUMBER(M50),ISNUMBER(K50)),IF(K50&lt;M50,"MENOR",IF(AND(ISNUMBER(N50),K50&gt;N50),"SUPERA","EN RANGO")),"—")</f>
        <v/>
      </c>
      <c r="P50" s="8">
        <f>IF(AND(ISNUMBER(D50),ISNUMBER(K50)),D50*K50,"—")</f>
        <v/>
      </c>
      <c r="Q50" s="8" t="n">
        <v>140</v>
      </c>
      <c r="R50" s="8">
        <f>IF(AND(ISNUMBER(P50),ISNUMBER(Q50)),Q50-P50,"—")</f>
        <v/>
      </c>
      <c r="S50" s="6" t="inlineStr">
        <is>
          <t>CUMPLE</t>
        </is>
      </c>
      <c r="T50" s="7" t="inlineStr"/>
    </row>
    <row r="51" ht="24" customHeight="1">
      <c r="A51" s="6" t="n">
        <v>51</v>
      </c>
      <c r="B51" s="7" t="inlineStr">
        <is>
          <t>ZONA RESIDENCIAL</t>
        </is>
      </c>
      <c r="C51" s="7" t="inlineStr">
        <is>
          <t>SS.HH HAB.DOBLE-COMPARTIDO</t>
        </is>
      </c>
      <c r="D51" s="6" t="n">
        <v>7</v>
      </c>
      <c r="E51" s="6" t="n">
        <v>4</v>
      </c>
      <c r="F51" s="8" t="n"/>
      <c r="G51" s="7" t="inlineStr">
        <is>
          <t>A.030 art. 6 (num. 6 a 8); Anexo 3</t>
        </is>
      </c>
      <c r="H51" s="7" t="inlineStr">
        <is>
          <t>RNE-NORMA A.030-Hospedaje Anexo 3</t>
        </is>
      </c>
      <c r="I51" s="8" t="n">
        <v>2.5</v>
      </c>
      <c r="J51" s="8">
        <f>IF(AND(ISNUMBER(E51),ISNUMBER(F51)),E51*F51,IF(ISNUMBER(I51),I51,"—"))</f>
        <v/>
      </c>
      <c r="K51" s="8" t="n">
        <v>4</v>
      </c>
      <c r="L51" s="6">
        <f>IF(AND(ISNUMBER(J51),ISNUMBER(K51)),IF(K51&gt;=J51-0.001,"CUMPLE","NO CUMPLE"),"—")</f>
        <v/>
      </c>
      <c r="M51" s="8" t="n">
        <v>2.7</v>
      </c>
      <c r="N51" s="8" t="n"/>
      <c r="O51" s="6">
        <f>IF(AND(ISNUMBER(M51),ISNUMBER(K51)),IF(K51&lt;M51,"MENOR",IF(AND(ISNUMBER(N51),K51&gt;N51),"SUPERA","EN RANGO")),"—")</f>
        <v/>
      </c>
      <c r="P51" s="8">
        <f>IF(AND(ISNUMBER(D51),ISNUMBER(K51)),D51*K51,"—")</f>
        <v/>
      </c>
      <c r="Q51" s="8" t="n">
        <v>28</v>
      </c>
      <c r="R51" s="8">
        <f>IF(AND(ISNUMBER(P51),ISNUMBER(Q51)),Q51-P51,"—")</f>
        <v/>
      </c>
      <c r="S51" s="6" t="inlineStr">
        <is>
          <t>OBSERVAR</t>
        </is>
      </c>
      <c r="T51" s="7" t="inlineStr">
        <is>
          <t>Ver la verificación de servicios higiénicos de la zona residencial.</t>
        </is>
      </c>
    </row>
    <row r="52" ht="24" customHeight="1">
      <c r="A52" s="6" t="n">
        <v>52</v>
      </c>
      <c r="B52" s="7" t="inlineStr">
        <is>
          <t>ZONA RESIDENCIAL</t>
        </is>
      </c>
      <c r="C52" s="7" t="inlineStr">
        <is>
          <t>HABITACIONES TRIPLE-TIPO I</t>
        </is>
      </c>
      <c r="D52" s="6" t="n">
        <v>3</v>
      </c>
      <c r="E52" s="6" t="n">
        <v>7</v>
      </c>
      <c r="F52" s="8" t="n">
        <v>4</v>
      </c>
      <c r="G52" s="7" t="inlineStr">
        <is>
          <t>A.030 art. 5</t>
        </is>
      </c>
      <c r="H52" s="7" t="inlineStr">
        <is>
          <t>RNE-NORMA A.030-Hospedaje art.5</t>
        </is>
      </c>
      <c r="I52" s="8" t="n"/>
      <c r="J52" s="8">
        <f>IF(AND(ISNUMBER(E52),ISNUMBER(F52)),E52*F52,IF(ISNUMBER(I52),I52,"—"))</f>
        <v/>
      </c>
      <c r="K52" s="8" t="n">
        <v>28</v>
      </c>
      <c r="L52" s="6">
        <f>IF(AND(ISNUMBER(J52),ISNUMBER(K52)),IF(K52&gt;=J52-0.001,"CUMPLE","NO CUMPLE"),"—")</f>
        <v/>
      </c>
      <c r="M52" s="8" t="n">
        <v>11</v>
      </c>
      <c r="N52" s="8" t="n">
        <v>25</v>
      </c>
      <c r="O52" s="6">
        <f>IF(AND(ISNUMBER(M52),ISNUMBER(K52)),IF(K52&lt;M52,"MENOR",IF(AND(ISNUMBER(N52),K52&gt;N52),"SUPERA","EN RANGO")),"—")</f>
        <v/>
      </c>
      <c r="P52" s="8">
        <f>IF(AND(ISNUMBER(D52),ISNUMBER(K52)),D52*K52,"—")</f>
        <v/>
      </c>
      <c r="Q52" s="8" t="n">
        <v>84</v>
      </c>
      <c r="R52" s="8">
        <f>IF(AND(ISNUMBER(P52),ISNUMBER(Q52)),Q52-P52,"—")</f>
        <v/>
      </c>
      <c r="S52" s="6" t="inlineStr">
        <is>
          <t>CUMPLE</t>
        </is>
      </c>
      <c r="T52" s="7" t="inlineStr">
        <is>
          <t>Mayor que el máximo sugerido, coherente con familias de hasta 7 integrantes (lineamientos 1.6: 1 mujer + 5 o más hijas/os).</t>
        </is>
      </c>
    </row>
    <row r="53" ht="24" customHeight="1">
      <c r="A53" s="6" t="n">
        <v>53</v>
      </c>
      <c r="B53" s="7" t="inlineStr">
        <is>
          <t>ZONA RESIDENCIAL</t>
        </is>
      </c>
      <c r="C53" s="7" t="inlineStr">
        <is>
          <t>SS.HH HAB.TRIPLE-TIPO I</t>
        </is>
      </c>
      <c r="D53" s="6" t="n">
        <v>3</v>
      </c>
      <c r="E53" s="6" t="n">
        <v>6</v>
      </c>
      <c r="F53" s="8" t="n"/>
      <c r="G53" s="7" t="inlineStr">
        <is>
          <t>A.030 art. 6 y Anexo 3</t>
        </is>
      </c>
      <c r="H53" s="7" t="inlineStr">
        <is>
          <t>RNE-NORMA A.030-Hospedaje Anexo 3</t>
        </is>
      </c>
      <c r="I53" s="8" t="n">
        <v>2.5</v>
      </c>
      <c r="J53" s="8">
        <f>IF(AND(ISNUMBER(E53),ISNUMBER(F53)),E53*F53,IF(ISNUMBER(I53),I53,"—"))</f>
        <v/>
      </c>
      <c r="K53" s="8" t="n">
        <v>6</v>
      </c>
      <c r="L53" s="6">
        <f>IF(AND(ISNUMBER(J53),ISNUMBER(K53)),IF(K53&gt;=J53-0.001,"CUMPLE","NO CUMPLE"),"—")</f>
        <v/>
      </c>
      <c r="M53" s="8" t="n">
        <v>2.7</v>
      </c>
      <c r="N53" s="8" t="n"/>
      <c r="O53" s="6">
        <f>IF(AND(ISNUMBER(M53),ISNUMBER(K53)),IF(K53&lt;M53,"MENOR",IF(AND(ISNUMBER(N53),K53&gt;N53),"SUPERA","EN RANGO")),"—")</f>
        <v/>
      </c>
      <c r="P53" s="8">
        <f>IF(AND(ISNUMBER(D53),ISNUMBER(K53)),D53*K53,"—")</f>
        <v/>
      </c>
      <c r="Q53" s="8" t="n">
        <v>18</v>
      </c>
      <c r="R53" s="8">
        <f>IF(AND(ISNUMBER(P53),ISNUMBER(Q53)),Q53-P53,"—")</f>
        <v/>
      </c>
      <c r="S53" s="6" t="inlineStr">
        <is>
          <t>CUMPLE</t>
        </is>
      </c>
      <c r="T53" s="7" t="inlineStr"/>
    </row>
    <row r="54" ht="24" customHeight="1">
      <c r="A54" s="6" t="n">
        <v>54</v>
      </c>
      <c r="B54" s="7" t="inlineStr">
        <is>
          <t>ZONA RESIDENCIAL</t>
        </is>
      </c>
      <c r="C54" s="7" t="inlineStr">
        <is>
          <t>HABITACIONES TRIPLE-TIPO II</t>
        </is>
      </c>
      <c r="D54" s="6" t="n">
        <v>3</v>
      </c>
      <c r="E54" s="6" t="n">
        <v>7</v>
      </c>
      <c r="F54" s="8" t="n">
        <v>4</v>
      </c>
      <c r="G54" s="7" t="inlineStr">
        <is>
          <t>A.030 art. 5</t>
        </is>
      </c>
      <c r="H54" s="7" t="inlineStr">
        <is>
          <t>RNE-NORMA A.030-Hospedaje Anexo 1</t>
        </is>
      </c>
      <c r="I54" s="8" t="n"/>
      <c r="J54" s="8">
        <f>IF(AND(ISNUMBER(E54),ISNUMBER(F54)),E54*F54,IF(ISNUMBER(I54),I54,"—"))</f>
        <v/>
      </c>
      <c r="K54" s="8" t="n">
        <v>28</v>
      </c>
      <c r="L54" s="6">
        <f>IF(AND(ISNUMBER(J54),ISNUMBER(K54)),IF(K54&gt;=J54-0.001,"CUMPLE","NO CUMPLE"),"—")</f>
        <v/>
      </c>
      <c r="M54" s="8" t="n">
        <v>11</v>
      </c>
      <c r="N54" s="8" t="n">
        <v>25</v>
      </c>
      <c r="O54" s="6">
        <f>IF(AND(ISNUMBER(M54),ISNUMBER(K54)),IF(K54&lt;M54,"MENOR",IF(AND(ISNUMBER(N54),K54&gt;N54),"SUPERA","EN RANGO")),"—")</f>
        <v/>
      </c>
      <c r="P54" s="8">
        <f>IF(AND(ISNUMBER(D54),ISNUMBER(K54)),D54*K54,"—")</f>
        <v/>
      </c>
      <c r="Q54" s="8" t="n">
        <v>84</v>
      </c>
      <c r="R54" s="8">
        <f>IF(AND(ISNUMBER(P54),ISNUMBER(Q54)),Q54-P54,"—")</f>
        <v/>
      </c>
      <c r="S54" s="6" t="inlineStr">
        <is>
          <t>CUMPLE</t>
        </is>
      </c>
      <c r="T54" s="7" t="inlineStr">
        <is>
          <t>La programación cita el Anexo 1 (hotel) y el tipo I el art. 5: unificar la cita en el art. 5 (albergue).</t>
        </is>
      </c>
    </row>
    <row r="55" ht="24" customHeight="1">
      <c r="A55" s="6" t="n">
        <v>55</v>
      </c>
      <c r="B55" s="7" t="inlineStr">
        <is>
          <t>ZONA RESIDENCIAL</t>
        </is>
      </c>
      <c r="C55" s="7" t="inlineStr">
        <is>
          <t>SS.HH HAB.TRIPLE-TIPO III</t>
        </is>
      </c>
      <c r="D55" s="6" t="n">
        <v>3</v>
      </c>
      <c r="E55" s="6" t="n">
        <v>3</v>
      </c>
      <c r="F55" s="8" t="n"/>
      <c r="G55" s="7" t="inlineStr">
        <is>
          <t>A.030 art. 6 y Anexo 3</t>
        </is>
      </c>
      <c r="H55" s="7" t="inlineStr">
        <is>
          <t>RNE-NORMA A.030-Hospedaje Anexo 1</t>
        </is>
      </c>
      <c r="I55" s="8" t="n">
        <v>2.5</v>
      </c>
      <c r="J55" s="8">
        <f>IF(AND(ISNUMBER(E55),ISNUMBER(F55)),E55*F55,IF(ISNUMBER(I55),I55,"—"))</f>
        <v/>
      </c>
      <c r="K55" s="8" t="n">
        <v>6</v>
      </c>
      <c r="L55" s="6">
        <f>IF(AND(ISNUMBER(J55),ISNUMBER(K55)),IF(K55&gt;=J55-0.001,"CUMPLE","NO CUMPLE"),"—")</f>
        <v/>
      </c>
      <c r="M55" s="8" t="n">
        <v>2.7</v>
      </c>
      <c r="N55" s="8" t="n"/>
      <c r="O55" s="6">
        <f>IF(AND(ISNUMBER(M55),ISNUMBER(K55)),IF(K55&lt;M55,"MENOR",IF(AND(ISNUMBER(N55),K55&gt;N55),"SUPERA","EN RANGO")),"—")</f>
        <v/>
      </c>
      <c r="P55" s="8">
        <f>IF(AND(ISNUMBER(D55),ISNUMBER(K55)),D55*K55,"—")</f>
        <v/>
      </c>
      <c r="Q55" s="8" t="n">
        <v>18</v>
      </c>
      <c r="R55" s="8">
        <f>IF(AND(ISNUMBER(P55),ISNUMBER(Q55)),Q55-P55,"—")</f>
        <v/>
      </c>
      <c r="S55" s="6" t="inlineStr">
        <is>
          <t>CUMPLE</t>
        </is>
      </c>
      <c r="T55" s="7" t="inlineStr">
        <is>
          <t>El nombre "TIPO III" no corresponde a la habitación triple tipo II a la que sirve: corregir.</t>
        </is>
      </c>
    </row>
    <row r="56" ht="36" customHeight="1">
      <c r="A56" s="6" t="n">
        <v>56</v>
      </c>
      <c r="B56" s="7" t="inlineStr">
        <is>
          <t>ZONA RESIDENCIAL</t>
        </is>
      </c>
      <c r="C56" s="7" t="inlineStr">
        <is>
          <t>HABITACIÓN ESPECIAL</t>
        </is>
      </c>
      <c r="D56" s="6" t="n">
        <v>1</v>
      </c>
      <c r="E56" s="6" t="n">
        <v>3</v>
      </c>
      <c r="F56" s="8" t="n">
        <v>4</v>
      </c>
      <c r="G56" s="7" t="inlineStr">
        <is>
          <t>A.030 art. 5</t>
        </is>
      </c>
      <c r="H56" s="7" t="inlineStr">
        <is>
          <t>RNE-NORMA A.030-Hospedaje art.5</t>
        </is>
      </c>
      <c r="I56" s="8" t="n"/>
      <c r="J56" s="8">
        <f>IF(AND(ISNUMBER(E56),ISNUMBER(F56)),E56*F56,IF(ISNUMBER(I56),I56,"—"))</f>
        <v/>
      </c>
      <c r="K56" s="8" t="n">
        <v>12</v>
      </c>
      <c r="L56" s="6">
        <f>IF(AND(ISNUMBER(J56),ISNUMBER(K56)),IF(K56&gt;=J56-0.001,"CUMPLE","NO CUMPLE"),"—")</f>
        <v/>
      </c>
      <c r="M56" s="8" t="n">
        <v>28</v>
      </c>
      <c r="N56" s="8" t="n"/>
      <c r="O56" s="6">
        <f>IF(AND(ISNUMBER(M56),ISNUMBER(K56)),IF(K56&lt;M56,"MENOR",IF(AND(ISNUMBER(N56),K56&gt;N56),"SUPERA","EN RANGO")),"—")</f>
        <v/>
      </c>
      <c r="P56" s="8">
        <f>IF(AND(ISNUMBER(D56),ISNUMBER(K56)),D56*K56,"—")</f>
        <v/>
      </c>
      <c r="Q56" s="8" t="n">
        <v>12</v>
      </c>
      <c r="R56" s="8">
        <f>IF(AND(ISNUMBER(P56),ISNUMBER(Q56)),Q56-P56,"—")</f>
        <v/>
      </c>
      <c r="S56" s="6" t="inlineStr">
        <is>
          <t>OBSERVAR</t>
        </is>
      </c>
      <c r="T56" s="7" t="inlineStr">
        <is>
          <t>Cumple el índice de la A.030, pero los lineamientos sugieren 28 m² más baño de 6 m² (cama de hospital y dos camas para acompañantes, puertas de 1.00 m libres, 1.50 m entre muebles). La A.030 art. 4 pide ubicar las habitaciones accesibles en el piso de ingreso.</t>
        </is>
      </c>
    </row>
    <row r="57" ht="24" customHeight="1">
      <c r="A57" s="6" t="n">
        <v>57</v>
      </c>
      <c r="B57" s="7" t="inlineStr">
        <is>
          <t>ZONA RESIDENCIAL</t>
        </is>
      </c>
      <c r="C57" s="7" t="inlineStr">
        <is>
          <t>SS.HH HABITACIÓN ESPECIAL</t>
        </is>
      </c>
      <c r="D57" s="6" t="n">
        <v>1</v>
      </c>
      <c r="E57" s="6" t="n">
        <v>3</v>
      </c>
      <c r="F57" s="8" t="n"/>
      <c r="G57" s="7" t="inlineStr">
        <is>
          <t>A.120; lineamientos 3.3.3</t>
        </is>
      </c>
      <c r="H57" s="7" t="inlineStr">
        <is>
          <t>RNE-NORMA A.030-Hospedaje Anexo 3</t>
        </is>
      </c>
      <c r="I57" s="8" t="n">
        <v>2.5</v>
      </c>
      <c r="J57" s="8">
        <f>IF(AND(ISNUMBER(E57),ISNUMBER(F57)),E57*F57,IF(ISNUMBER(I57),I57,"—"))</f>
        <v/>
      </c>
      <c r="K57" s="8" t="n">
        <v>7</v>
      </c>
      <c r="L57" s="6">
        <f>IF(AND(ISNUMBER(J57),ISNUMBER(K57)),IF(K57&gt;=J57-0.001,"CUMPLE","NO CUMPLE"),"—")</f>
        <v/>
      </c>
      <c r="M57" s="8" t="n">
        <v>6</v>
      </c>
      <c r="N57" s="8" t="n"/>
      <c r="O57" s="6">
        <f>IF(AND(ISNUMBER(M57),ISNUMBER(K57)),IF(K57&lt;M57,"MENOR",IF(AND(ISNUMBER(N57),K57&gt;N57),"SUPERA","EN RANGO")),"—")</f>
        <v/>
      </c>
      <c r="P57" s="8">
        <f>IF(AND(ISNUMBER(D57),ISNUMBER(K57)),D57*K57,"—")</f>
        <v/>
      </c>
      <c r="Q57" s="8" t="n">
        <v>7</v>
      </c>
      <c r="R57" s="8">
        <f>IF(AND(ISNUMBER(P57),ISNUMBER(Q57)),Q57-P57,"—")</f>
        <v/>
      </c>
      <c r="S57" s="6" t="inlineStr">
        <is>
          <t>CUMPLE</t>
        </is>
      </c>
      <c r="T57" s="7" t="inlineStr"/>
    </row>
    <row r="58">
      <c r="A58" s="4" t="inlineStr">
        <is>
          <t>ZONA DE SERVICIOS COMPLEMENTARIOS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 ht="36" customHeight="1">
      <c r="A59" s="6" t="n">
        <v>59</v>
      </c>
      <c r="B59" s="7" t="inlineStr">
        <is>
          <t>ZONA DE SERVICIOS COMPLEMENTARIOS</t>
        </is>
      </c>
      <c r="C59" s="7" t="inlineStr">
        <is>
          <t>COCINA</t>
        </is>
      </c>
      <c r="D59" s="6" t="n">
        <v>1</v>
      </c>
      <c r="E59" s="6" t="n">
        <v>6</v>
      </c>
      <c r="F59" s="8" t="n"/>
      <c r="G59" s="7" t="inlineStr">
        <is>
          <t>R.V.M. 208-2019 (cotejar); lineamientos 3.2</t>
        </is>
      </c>
      <c r="H59" s="7" t="inlineStr">
        <is>
          <t>R.V.M. Nº208 - 2019 -MINEDU</t>
        </is>
      </c>
      <c r="I59" s="8" t="n"/>
      <c r="J59" s="8">
        <f>IF(AND(ISNUMBER(E59),ISNUMBER(F59)),E59*F59,IF(ISNUMBER(I59),I59,"—"))</f>
        <v/>
      </c>
      <c r="K59" s="8" t="n">
        <v>36</v>
      </c>
      <c r="L59" s="6">
        <f>IF(AND(ISNUMBER(J59),ISNUMBER(K59)),IF(K59&gt;=J59-0.001,"CUMPLE","NO CUMPLE"),"—")</f>
        <v/>
      </c>
      <c r="M59" s="8" t="n">
        <v>10</v>
      </c>
      <c r="N59" s="8" t="n">
        <v>16</v>
      </c>
      <c r="O59" s="6">
        <f>IF(AND(ISNUMBER(M59),ISNUMBER(K59)),IF(K59&lt;M59,"MENOR",IF(AND(ISNUMBER(N59),K59&gt;N59),"SUPERA","EN RANGO")),"—")</f>
        <v/>
      </c>
      <c r="P59" s="8">
        <f>IF(AND(ISNUMBER(D59),ISNUMBER(K59)),D59*K59,"—")</f>
        <v/>
      </c>
      <c r="Q59" s="8" t="n">
        <v>36</v>
      </c>
      <c r="R59" s="8">
        <f>IF(AND(ISNUMBER(P59),ISNUMBER(Q59)),Q59-P59,"—")</f>
        <v/>
      </c>
      <c r="S59" s="6" t="inlineStr">
        <is>
          <t>OBSERVAR</t>
        </is>
      </c>
      <c r="T59" s="7" t="inlineStr">
        <is>
          <t>Lineamientos: 0.40 m² por residente: 80 comensales x 0.40 = 32.00 m² (cumple); 113 residentes x 0.40 = 45.20 m² (no cumple si comen todas a la vez). Sin vidrio, punzocortantes bajo llave y reja para impedir el ingreso de niñas y niños.</t>
        </is>
      </c>
    </row>
    <row r="60" ht="24" customHeight="1">
      <c r="A60" s="6" t="n">
        <v>60</v>
      </c>
      <c r="B60" s="7" t="inlineStr">
        <is>
          <t>ZONA DE SERVICIOS COMPLEMENTARIOS</t>
        </is>
      </c>
      <c r="C60" s="7" t="inlineStr">
        <is>
          <t>DESPENSA</t>
        </is>
      </c>
      <c r="D60" s="6" t="n">
        <v>1</v>
      </c>
      <c r="E60" s="6" t="n">
        <v>1</v>
      </c>
      <c r="F60" s="8" t="n"/>
      <c r="G60" s="7" t="inlineStr">
        <is>
          <t>Lineamientos 3.2</t>
        </is>
      </c>
      <c r="H60" s="7" t="inlineStr">
        <is>
          <t>R.V.M. Nº208 - 2019 -MINEDU</t>
        </is>
      </c>
      <c r="I60" s="8" t="n"/>
      <c r="J60" s="8">
        <f>IF(AND(ISNUMBER(E60),ISNUMBER(F60)),E60*F60,IF(ISNUMBER(I60),I60,"—"))</f>
        <v/>
      </c>
      <c r="K60" s="8" t="n">
        <v>6</v>
      </c>
      <c r="L60" s="6">
        <f>IF(AND(ISNUMBER(J60),ISNUMBER(K60)),IF(K60&gt;=J60-0.001,"CUMPLE","NO CUMPLE"),"—")</f>
        <v/>
      </c>
      <c r="M60" s="8" t="n">
        <v>9</v>
      </c>
      <c r="N60" s="8" t="n">
        <v>12</v>
      </c>
      <c r="O60" s="6">
        <f>IF(AND(ISNUMBER(M60),ISNUMBER(K60)),IF(K60&lt;M60,"MENOR",IF(AND(ISNUMBER(N60),K60&gt;N60),"SUPERA","EN RANGO")),"—")</f>
        <v/>
      </c>
      <c r="P60" s="8">
        <f>IF(AND(ISNUMBER(D60),ISNUMBER(K60)),D60*K60,"—")</f>
        <v/>
      </c>
      <c r="Q60" s="8" t="n">
        <v>6</v>
      </c>
      <c r="R60" s="8">
        <f>IF(AND(ISNUMBER(P60),ISNUMBER(Q60)),Q60-P60,"—")</f>
        <v/>
      </c>
      <c r="S60" s="6" t="inlineStr">
        <is>
          <t>OBSERVAR</t>
        </is>
      </c>
      <c r="T60" s="7" t="inlineStr">
        <is>
          <t>Menor que la superficie sugerida (9/12 m²); junto con la alacena (9.00 m²) suma 15.00 m². Acceso directo desde el zaguán de servicio.</t>
        </is>
      </c>
    </row>
    <row r="61" ht="24" customHeight="1">
      <c r="A61" s="6" t="n">
        <v>61</v>
      </c>
      <c r="B61" s="7" t="inlineStr">
        <is>
          <t>ZONA DE SERVICIOS COMPLEMENTARIOS</t>
        </is>
      </c>
      <c r="C61" s="7" t="inlineStr">
        <is>
          <t>ALACENA</t>
        </is>
      </c>
      <c r="D61" s="6" t="n">
        <v>1</v>
      </c>
      <c r="E61" s="6" t="n">
        <v>1</v>
      </c>
      <c r="F61" s="8" t="n"/>
      <c r="G61" s="7" t="inlineStr">
        <is>
          <t>Lineamientos 3.2</t>
        </is>
      </c>
      <c r="H61" s="7" t="inlineStr">
        <is>
          <t>R.V.M. Nº208 - 2019 -MINEDU</t>
        </is>
      </c>
      <c r="I61" s="8" t="n"/>
      <c r="J61" s="8">
        <f>IF(AND(ISNUMBER(E61),ISNUMBER(F61)),E61*F61,IF(ISNUMBER(I61),I61,"—"))</f>
        <v/>
      </c>
      <c r="K61" s="8" t="n">
        <v>9</v>
      </c>
      <c r="L61" s="6">
        <f>IF(AND(ISNUMBER(J61),ISNUMBER(K61)),IF(K61&gt;=J61-0.001,"CUMPLE","NO CUMPLE"),"—")</f>
        <v/>
      </c>
      <c r="M61" s="8" t="n"/>
      <c r="N61" s="8" t="n"/>
      <c r="O61" s="6">
        <f>IF(AND(ISNUMBER(M61),ISNUMBER(K61)),IF(K61&lt;M61,"MENOR",IF(AND(ISNUMBER(N61),K61&gt;N61),"SUPERA","EN RANGO")),"—")</f>
        <v/>
      </c>
      <c r="P61" s="8">
        <f>IF(AND(ISNUMBER(D61),ISNUMBER(K61)),D61*K61,"—")</f>
        <v/>
      </c>
      <c r="Q61" s="8" t="n">
        <v>9</v>
      </c>
      <c r="R61" s="8">
        <f>IF(AND(ISNUMBER(P61),ISNUMBER(Q61)),Q61-P61,"—")</f>
        <v/>
      </c>
      <c r="S61" s="6" t="inlineStr">
        <is>
          <t>CUMPLE</t>
        </is>
      </c>
      <c r="T61" s="7" t="inlineStr">
        <is>
          <t>Ver despensa.</t>
        </is>
      </c>
    </row>
    <row r="62" ht="36" customHeight="1">
      <c r="A62" s="6" t="n">
        <v>62</v>
      </c>
      <c r="B62" s="7" t="inlineStr">
        <is>
          <t>ZONA DE SERVICIOS COMPLEMENTARIOS</t>
        </is>
      </c>
      <c r="C62" s="7" t="inlineStr">
        <is>
          <t>COMEDOR/SUM</t>
        </is>
      </c>
      <c r="D62" s="6" t="n">
        <v>1</v>
      </c>
      <c r="E62" s="6" t="n">
        <v>80</v>
      </c>
      <c r="F62" s="8" t="n">
        <v>1</v>
      </c>
      <c r="G62" s="7" t="inlineStr">
        <is>
          <t>A.040 art. 13</t>
        </is>
      </c>
      <c r="H62" s="7" t="inlineStr">
        <is>
          <t>R.V.M. Nº208 - 2019 -MINEDU</t>
        </is>
      </c>
      <c r="I62" s="8" t="n"/>
      <c r="J62" s="8">
        <f>IF(AND(ISNUMBER(E62),ISNUMBER(F62)),E62*F62,IF(ISNUMBER(I62),I62,"—"))</f>
        <v/>
      </c>
      <c r="K62" s="8" t="n">
        <v>240</v>
      </c>
      <c r="L62" s="6">
        <f>IF(AND(ISNUMBER(J62),ISNUMBER(K62)),IF(K62&gt;=J62-0.001,"CUMPLE","NO CUMPLE"),"—")</f>
        <v/>
      </c>
      <c r="M62" s="8" t="n">
        <v>113</v>
      </c>
      <c r="N62" s="8" t="n"/>
      <c r="O62" s="6">
        <f>IF(AND(ISNUMBER(M62),ISNUMBER(K62)),IF(K62&lt;M62,"MENOR",IF(AND(ISNUMBER(N62),K62&gt;N62),"SUPERA","EN RANGO")),"—")</f>
        <v/>
      </c>
      <c r="P62" s="8">
        <f>IF(AND(ISNUMBER(D62),ISNUMBER(K62)),D62*K62,"—")</f>
        <v/>
      </c>
      <c r="Q62" s="8" t="n">
        <v>240</v>
      </c>
      <c r="R62" s="8">
        <f>IF(AND(ISNUMBER(P62),ISNUMBER(Q62)),Q62-P62,"—")</f>
        <v/>
      </c>
      <c r="S62" s="6" t="inlineStr">
        <is>
          <t>CUMPLE</t>
        </is>
      </c>
      <c r="T62" s="7" t="inlineStr">
        <is>
          <t>El área (240.00 m²) cubre a las 113 plazas de la zona residencial (1.00 m² por residente), pero la capacidad declarada (80) es menor: declarar la capacidad del comedor igual al total de residentes.</t>
        </is>
      </c>
    </row>
    <row r="63" ht="24" customHeight="1">
      <c r="A63" s="6" t="n">
        <v>63</v>
      </c>
      <c r="B63" s="7" t="inlineStr">
        <is>
          <t>ZONA DE SERVICIOS COMPLEMENTARIOS</t>
        </is>
      </c>
      <c r="C63" s="7" t="inlineStr">
        <is>
          <t>LAVANDERÍA GENERAL</t>
        </is>
      </c>
      <c r="D63" s="6" t="n">
        <v>1</v>
      </c>
      <c r="E63" s="6" t="n">
        <v>12</v>
      </c>
      <c r="F63" s="8" t="n"/>
      <c r="G63" s="7" t="inlineStr">
        <is>
          <t>R.V.M. 208-2019 (cotejar); lineamientos 3.4</t>
        </is>
      </c>
      <c r="H63" s="7" t="inlineStr">
        <is>
          <t>R.V.M. Nº208 - 2019 -MINEDU-Programación arquitectonica</t>
        </is>
      </c>
      <c r="I63" s="8" t="n"/>
      <c r="J63" s="8">
        <f>IF(AND(ISNUMBER(E63),ISNUMBER(F63)),E63*F63,IF(ISNUMBER(I63),I63,"—"))</f>
        <v/>
      </c>
      <c r="K63" s="8" t="n">
        <v>36</v>
      </c>
      <c r="L63" s="6">
        <f>IF(AND(ISNUMBER(J63),ISNUMBER(K63)),IF(K63&gt;=J63-0.001,"CUMPLE","NO CUMPLE"),"—")</f>
        <v/>
      </c>
      <c r="M63" s="8" t="n"/>
      <c r="N63" s="8" t="n"/>
      <c r="O63" s="6">
        <f>IF(AND(ISNUMBER(M63),ISNUMBER(K63)),IF(K63&lt;M63,"MENOR",IF(AND(ISNUMBER(N63),K63&gt;N63),"SUPERA","EN RANGO")),"—")</f>
        <v/>
      </c>
      <c r="P63" s="8">
        <f>IF(AND(ISNUMBER(D63),ISNUMBER(K63)),D63*K63,"—")</f>
        <v/>
      </c>
      <c r="Q63" s="8" t="n">
        <v>36</v>
      </c>
      <c r="R63" s="8">
        <f>IF(AND(ISNUMBER(P63),ISNUMBER(Q63)),Q63-P63,"—")</f>
        <v/>
      </c>
      <c r="S63" s="6" t="inlineStr">
        <is>
          <t>CUMPLE</t>
        </is>
      </c>
      <c r="T63" s="7" t="inlineStr">
        <is>
          <t>Los lineamientos piden al menos 2 lavadoras, 2 secadoras, 4 fregaderos y 2 mesas de planchado, y tendido al aire libre y cubierto (temporada de lluvias).</t>
        </is>
      </c>
    </row>
    <row r="64" ht="24" customHeight="1">
      <c r="A64" s="6" t="n">
        <v>64</v>
      </c>
      <c r="B64" s="7" t="inlineStr">
        <is>
          <t>ZONA DE SERVICIOS COMPLEMENTARIOS</t>
        </is>
      </c>
      <c r="C64" s="7" t="inlineStr">
        <is>
          <t>BIOHUERTO</t>
        </is>
      </c>
      <c r="D64" s="6" t="n">
        <v>7</v>
      </c>
      <c r="E64" s="6" t="n"/>
      <c r="F64" s="8" t="n"/>
      <c r="G64" s="7" t="inlineStr">
        <is>
          <t>R.V.M. 104-2019 num. 12.4.1; lineamientos 3.9</t>
        </is>
      </c>
      <c r="H64" s="7" t="inlineStr">
        <is>
          <t>Según diseño Arquitectonico</t>
        </is>
      </c>
      <c r="I64" s="8" t="n"/>
      <c r="J64" s="8">
        <f>IF(AND(ISNUMBER(E64),ISNUMBER(F64)),E64*F64,IF(ISNUMBER(I64),I64,"—"))</f>
        <v/>
      </c>
      <c r="K64" s="8" t="n">
        <v>22</v>
      </c>
      <c r="L64" s="6">
        <f>IF(AND(ISNUMBER(J64),ISNUMBER(K64)),IF(K64&gt;=J64-0.001,"CUMPLE","NO CUMPLE"),"—")</f>
        <v/>
      </c>
      <c r="M64" s="8" t="n"/>
      <c r="N64" s="8" t="n"/>
      <c r="O64" s="6">
        <f>IF(AND(ISNUMBER(M64),ISNUMBER(K64)),IF(K64&lt;M64,"MENOR",IF(AND(ISNUMBER(N64),K64&gt;N64),"SUPERA","EN RANGO")),"—")</f>
        <v/>
      </c>
      <c r="P64" s="8">
        <f>IF(AND(ISNUMBER(D64),ISNUMBER(K64)),D64*K64,"—")</f>
        <v/>
      </c>
      <c r="Q64" s="8" t="n">
        <v>154</v>
      </c>
      <c r="R64" s="8">
        <f>IF(AND(ISNUMBER(P64),ISNUMBER(Q64)),Q64-P64,"—")</f>
        <v/>
      </c>
      <c r="S64" s="6" t="inlineStr">
        <is>
          <t>CUMPLE</t>
        </is>
      </c>
      <c r="T64" s="7" t="inlineStr">
        <is>
          <t>Huertos previstos en los lineamientos (3.9) y como ecotecnia (4.4).</t>
        </is>
      </c>
    </row>
    <row r="65" ht="24" customHeight="1">
      <c r="A65" s="6" t="n">
        <v>65</v>
      </c>
      <c r="B65" s="7" t="inlineStr">
        <is>
          <t>ZONA DE SERVICIOS COMPLEMENTARIOS</t>
        </is>
      </c>
      <c r="C65" s="7" t="inlineStr">
        <is>
          <t>PATIO CÍVICO</t>
        </is>
      </c>
      <c r="D65" s="6" t="n">
        <v>1</v>
      </c>
      <c r="E65" s="6" t="n"/>
      <c r="F65" s="8" t="n"/>
      <c r="G65" s="7" t="inlineStr">
        <is>
          <t>R.V.M. 208-2019 (cotejar)</t>
        </is>
      </c>
      <c r="H65" s="7" t="inlineStr">
        <is>
          <t>R.V.M. Nº208 - 2019 -MINEDU-Programación arquitectonica</t>
        </is>
      </c>
      <c r="I65" s="8" t="n"/>
      <c r="J65" s="8">
        <f>IF(AND(ISNUMBER(E65),ISNUMBER(F65)),E65*F65,IF(ISNUMBER(I65),I65,"—"))</f>
        <v/>
      </c>
      <c r="K65" s="8" t="n">
        <v>222.75</v>
      </c>
      <c r="L65" s="6">
        <f>IF(AND(ISNUMBER(J65),ISNUMBER(K65)),IF(K65&gt;=J65-0.001,"CUMPLE","NO CUMPLE"),"—")</f>
        <v/>
      </c>
      <c r="M65" s="8" t="n"/>
      <c r="N65" s="8" t="n"/>
      <c r="O65" s="6">
        <f>IF(AND(ISNUMBER(M65),ISNUMBER(K65)),IF(K65&lt;M65,"MENOR",IF(AND(ISNUMBER(N65),K65&gt;N65),"SUPERA","EN RANGO")),"—")</f>
        <v/>
      </c>
      <c r="P65" s="8">
        <f>IF(AND(ISNUMBER(D65),ISNUMBER(K65)),D65*K65,"—")</f>
        <v/>
      </c>
      <c r="Q65" s="8" t="n">
        <v>222.75</v>
      </c>
      <c r="R65" s="8">
        <f>IF(AND(ISNUMBER(P65),ISNUMBER(Q65)),Q65-P65,"—")</f>
        <v/>
      </c>
      <c r="S65" s="6" t="inlineStr">
        <is>
          <t>CUMPLE</t>
        </is>
      </c>
      <c r="T65" s="7" t="inlineStr">
        <is>
          <t>Área exterior de recreación; no debe ser visible desde el exterior (lineamientos 3.9).</t>
        </is>
      </c>
    </row>
    <row r="66" ht="36" customHeight="1">
      <c r="A66" s="6" t="n">
        <v>66</v>
      </c>
      <c r="B66" s="7" t="inlineStr">
        <is>
          <t>ZONA DE SERVICIOS COMPLEMENTARIOS</t>
        </is>
      </c>
      <c r="C66" s="7" t="inlineStr">
        <is>
          <t>PATIO DE JUEGOS</t>
        </is>
      </c>
      <c r="D66" s="6" t="n">
        <v>1</v>
      </c>
      <c r="E66" s="6" t="n"/>
      <c r="F66" s="8" t="n"/>
      <c r="G66" s="7" t="inlineStr">
        <is>
          <t>R.V.M. 104-2019 num. 11.3; lineamientos 3.9</t>
        </is>
      </c>
      <c r="H66" s="7" t="inlineStr">
        <is>
          <t>R.V.M. Nº208 - 2019 -MINEDU-Programación arquitectonica</t>
        </is>
      </c>
      <c r="I66" s="8" t="n"/>
      <c r="J66" s="8">
        <f>IF(AND(ISNUMBER(E66),ISNUMBER(F66)),E66*F66,IF(ISNUMBER(I66),I66,"—"))</f>
        <v/>
      </c>
      <c r="K66" s="8" t="n">
        <v>138.95</v>
      </c>
      <c r="L66" s="6">
        <f>IF(AND(ISNUMBER(J66),ISNUMBER(K66)),IF(K66&gt;=J66-0.001,"CUMPLE","NO CUMPLE"),"—")</f>
        <v/>
      </c>
      <c r="M66" s="8" t="n"/>
      <c r="N66" s="8" t="n"/>
      <c r="O66" s="6">
        <f>IF(AND(ISNUMBER(M66),ISNUMBER(K66)),IF(K66&lt;M66,"MENOR",IF(AND(ISNUMBER(N66),K66&gt;N66),"SUPERA","EN RANGO")),"—")</f>
        <v/>
      </c>
      <c r="P66" s="8">
        <f>IF(AND(ISNUMBER(D66),ISNUMBER(K66)),D66*K66,"—")</f>
        <v/>
      </c>
      <c r="Q66" s="8" t="n">
        <v>138.95</v>
      </c>
      <c r="R66" s="8">
        <f>IF(AND(ISNUMBER(P66),ISNUMBER(Q66)),Q66-P66,"—")</f>
        <v/>
      </c>
      <c r="S66" s="6" t="inlineStr">
        <is>
          <t>CUMPLE</t>
        </is>
      </c>
      <c r="T66" s="7" t="inlineStr">
        <is>
          <t>Con unas 75 niñas y niños (2/3 de 113 residentes, lineamientos 1.6) y 2.00 m² por niño(a) se requieren 150.00 m²; el patio de juegos (138.95 m²) con el patio cívico (222.75 m²) los cubre. Piso de hule en los juegos.</t>
        </is>
      </c>
    </row>
    <row r="67" ht="36" customHeight="1">
      <c r="A67" s="6" t="n">
        <v>67</v>
      </c>
      <c r="B67" s="7" t="inlineStr">
        <is>
          <t>ZONA DE SERVICIOS COMPLEMENTARIOS</t>
        </is>
      </c>
      <c r="C67" s="7" t="inlineStr">
        <is>
          <t>AREA DE DESCANSO (BANCA + PÉRGOLA)</t>
        </is>
      </c>
      <c r="D67" s="6" t="n">
        <v>3</v>
      </c>
      <c r="E67" s="6" t="n">
        <v>20</v>
      </c>
      <c r="F67" s="8" t="n"/>
      <c r="G67" s="7" t="inlineStr">
        <is>
          <t>Lineamientos 3.9 (área sombreada con pérgola y bancos)</t>
        </is>
      </c>
      <c r="H67" s="7" t="inlineStr">
        <is>
          <t>RNE-NORMA A.030-Hospedaje art.5</t>
        </is>
      </c>
      <c r="I67" s="8" t="n">
        <v>40</v>
      </c>
      <c r="J67" s="8">
        <f>IF(AND(ISNUMBER(E67),ISNUMBER(F67)),E67*F67,IF(ISNUMBER(I67),I67,"—"))</f>
        <v/>
      </c>
      <c r="K67" s="8" t="n">
        <v>44</v>
      </c>
      <c r="L67" s="6">
        <f>IF(AND(ISNUMBER(J67),ISNUMBER(K67)),IF(K67&gt;=J67-0.001,"CUMPLE","NO CUMPLE"),"—")</f>
        <v/>
      </c>
      <c r="M67" s="8" t="n"/>
      <c r="N67" s="8" t="n"/>
      <c r="O67" s="6">
        <f>IF(AND(ISNUMBER(M67),ISNUMBER(K67)),IF(K67&lt;M67,"MENOR",IF(AND(ISNUMBER(N67),K67&gt;N67),"SUPERA","EN RANGO")),"—")</f>
        <v/>
      </c>
      <c r="P67" s="8">
        <f>IF(AND(ISNUMBER(D67),ISNUMBER(K67)),D67*K67,"—")</f>
        <v/>
      </c>
      <c r="Q67" s="8" t="n">
        <v>132</v>
      </c>
      <c r="R67" s="8">
        <f>IF(AND(ISNUMBER(P67),ISNUMBER(Q67)),Q67-P67,"—")</f>
        <v/>
      </c>
      <c r="S67" s="6" t="inlineStr">
        <is>
          <t>CUMPLE</t>
        </is>
      </c>
      <c r="T67" s="7" t="inlineStr">
        <is>
          <t>La programación cita la A.030 art. 5, que no trata este ambiente (su índice es de 4.0 m²/persona en albergues): corregir la cita a los lineamientos 3.9. 20 personas x 2.00 m² = 40.00 m² &lt; 44.00 m².</t>
        </is>
      </c>
    </row>
    <row r="68" ht="24" customHeight="1">
      <c r="A68" s="6" t="n">
        <v>68</v>
      </c>
      <c r="B68" s="7" t="inlineStr">
        <is>
          <t>ZONA DE SERVICIOS COMPLEMENTARIOS</t>
        </is>
      </c>
      <c r="C68" s="7" t="inlineStr">
        <is>
          <t>LOSA MULTIUSO</t>
        </is>
      </c>
      <c r="D68" s="6" t="n">
        <v>1</v>
      </c>
      <c r="E68" s="6" t="n"/>
      <c r="F68" s="8" t="n"/>
      <c r="G68" s="7" t="inlineStr">
        <is>
          <t>Lineamientos 3.9</t>
        </is>
      </c>
      <c r="H68" s="7" t="inlineStr">
        <is>
          <t>R.V.M. Nº208 - 2019 -MINEDU-Programación arquitectonica</t>
        </is>
      </c>
      <c r="I68" s="8" t="n"/>
      <c r="J68" s="8">
        <f>IF(AND(ISNUMBER(E68),ISNUMBER(F68)),E68*F68,IF(ISNUMBER(I68),I68,"—"))</f>
        <v/>
      </c>
      <c r="K68" s="8" t="n">
        <v>809</v>
      </c>
      <c r="L68" s="6">
        <f>IF(AND(ISNUMBER(J68),ISNUMBER(K68)),IF(K68&gt;=J68-0.001,"CUMPLE","NO CUMPLE"),"—")</f>
        <v/>
      </c>
      <c r="M68" s="8" t="n">
        <v>420</v>
      </c>
      <c r="N68" s="8" t="n"/>
      <c r="O68" s="6">
        <f>IF(AND(ISNUMBER(M68),ISNUMBER(K68)),IF(K68&lt;M68,"MENOR",IF(AND(ISNUMBER(N68),K68&gt;N68),"SUPERA","EN RANGO")),"—")</f>
        <v/>
      </c>
      <c r="P68" s="8">
        <f>IF(AND(ISNUMBER(D68),ISNUMBER(K68)),D68*K68,"—")</f>
        <v/>
      </c>
      <c r="Q68" s="8" t="n">
        <v>809</v>
      </c>
      <c r="R68" s="8">
        <f>IF(AND(ISNUMBER(P68),ISNUMBER(Q68)),Q68-P68,"—")</f>
        <v/>
      </c>
      <c r="S68" s="6" t="inlineStr">
        <is>
          <t>CUMPLE</t>
        </is>
      </c>
      <c r="T68" s="7" t="inlineStr"/>
    </row>
    <row r="69" ht="24" customHeight="1">
      <c r="A69" s="6" t="n">
        <v>69</v>
      </c>
      <c r="B69" s="7" t="inlineStr">
        <is>
          <t>ZONA DE SERVICIOS COMPLEMENTARIOS</t>
        </is>
      </c>
      <c r="C69" s="7" t="inlineStr">
        <is>
          <t>VESTIDORES</t>
        </is>
      </c>
      <c r="D69" s="6" t="n">
        <v>1</v>
      </c>
      <c r="E69" s="6" t="n"/>
      <c r="F69" s="8" t="n"/>
      <c r="G69" s="7" t="inlineStr">
        <is>
          <t>A.040 art. 20</t>
        </is>
      </c>
      <c r="H69" s="7" t="inlineStr">
        <is>
          <t>RNE-NORMA A.040-EDUCACIÓN capitulo 4</t>
        </is>
      </c>
      <c r="I69" s="8" t="n"/>
      <c r="J69" s="8">
        <f>IF(AND(ISNUMBER(E69),ISNUMBER(F69)),E69*F69,IF(ISNUMBER(I69),I69,"—"))</f>
        <v/>
      </c>
      <c r="K69" s="8" t="n">
        <v>39.2</v>
      </c>
      <c r="L69" s="6">
        <f>IF(AND(ISNUMBER(J69),ISNUMBER(K69)),IF(K69&gt;=J69-0.001,"CUMPLE","NO CUMPLE"),"—")</f>
        <v/>
      </c>
      <c r="M69" s="8" t="n"/>
      <c r="N69" s="8" t="n"/>
      <c r="O69" s="6">
        <f>IF(AND(ISNUMBER(M69),ISNUMBER(K69)),IF(K69&lt;M69,"MENOR",IF(AND(ISNUMBER(N69),K69&gt;N69),"SUPERA","EN RANGO")),"—")</f>
        <v/>
      </c>
      <c r="P69" s="8">
        <f>IF(AND(ISNUMBER(D69),ISNUMBER(K69)),D69*K69,"—")</f>
        <v/>
      </c>
      <c r="Q69" s="8" t="n">
        <v>39.2</v>
      </c>
      <c r="R69" s="8">
        <f>IF(AND(ISNUMBER(P69),ISNUMBER(Q69)),Q69-P69,"—")</f>
        <v/>
      </c>
      <c r="S69" s="6" t="inlineStr">
        <is>
          <t>CUMPLE</t>
        </is>
      </c>
      <c r="T69" s="7" t="inlineStr">
        <is>
          <t>La programación cita "capítulo 4" de la A.040 (dotación de servicios, art. 20).</t>
        </is>
      </c>
    </row>
    <row r="70" ht="24" customHeight="1">
      <c r="A70" s="6" t="n">
        <v>70</v>
      </c>
      <c r="B70" s="7" t="inlineStr">
        <is>
          <t>ZONA DE SERVICIOS COMPLEMENTARIOS</t>
        </is>
      </c>
      <c r="C70" s="7" t="inlineStr">
        <is>
          <t>ALMACEN DE IMPLEMENTOS DEPORTIVOS</t>
        </is>
      </c>
      <c r="D70" s="6" t="n">
        <v>1</v>
      </c>
      <c r="E70" s="6" t="n"/>
      <c r="F70" s="8" t="n"/>
      <c r="G70" s="7" t="inlineStr">
        <is>
          <t>R.V.M. 208-2019 (cotejar)</t>
        </is>
      </c>
      <c r="H70" s="7" t="inlineStr">
        <is>
          <t>R.V.M. Nº208 - 2019 -MINEDU-Programación arquitectonica</t>
        </is>
      </c>
      <c r="I70" s="8" t="n"/>
      <c r="J70" s="8">
        <f>IF(AND(ISNUMBER(E70),ISNUMBER(F70)),E70*F70,IF(ISNUMBER(I70),I70,"—"))</f>
        <v/>
      </c>
      <c r="K70" s="8" t="n">
        <v>20.5</v>
      </c>
      <c r="L70" s="6">
        <f>IF(AND(ISNUMBER(J70),ISNUMBER(K70)),IF(K70&gt;=J70-0.001,"CUMPLE","NO CUMPLE"),"—")</f>
        <v/>
      </c>
      <c r="M70" s="8" t="n"/>
      <c r="N70" s="8" t="n"/>
      <c r="O70" s="6">
        <f>IF(AND(ISNUMBER(M70),ISNUMBER(K70)),IF(K70&lt;M70,"MENOR",IF(AND(ISNUMBER(N70),K70&gt;N70),"SUPERA","EN RANGO")),"—")</f>
        <v/>
      </c>
      <c r="P70" s="8">
        <f>IF(AND(ISNUMBER(D70),ISNUMBER(K70)),D70*K70,"—")</f>
        <v/>
      </c>
      <c r="Q70" s="8" t="n">
        <v>20.5</v>
      </c>
      <c r="R70" s="8">
        <f>IF(AND(ISNUMBER(P70),ISNUMBER(Q70)),Q70-P70,"—")</f>
        <v/>
      </c>
      <c r="S70" s="6" t="inlineStr">
        <is>
          <t>CUMPLE</t>
        </is>
      </c>
      <c r="T70" s="7" t="inlineStr"/>
    </row>
    <row r="71">
      <c r="A71" s="4" t="inlineStr">
        <is>
          <t>ZONA DE SERVICIOS GENERALES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 ht="24" customHeight="1">
      <c r="A72" s="6" t="n">
        <v>72</v>
      </c>
      <c r="B72" s="7" t="inlineStr">
        <is>
          <t>ZONA DE SERVICIOS GENERALES</t>
        </is>
      </c>
      <c r="C72" s="7" t="inlineStr">
        <is>
          <t>ALMACEN DE DONACIONES</t>
        </is>
      </c>
      <c r="D72" s="6" t="n">
        <v>1</v>
      </c>
      <c r="E72" s="6" t="n">
        <v>3</v>
      </c>
      <c r="F72" s="8" t="n"/>
      <c r="G72" s="7" t="inlineStr">
        <is>
          <t>Lineamientos 3.4</t>
        </is>
      </c>
      <c r="H72" s="7" t="inlineStr">
        <is>
          <t>R.V.M. Nº208 - 2019 -MINEDU-Programación arquitectonica</t>
        </is>
      </c>
      <c r="I72" s="8" t="n"/>
      <c r="J72" s="8">
        <f>IF(AND(ISNUMBER(E72),ISNUMBER(F72)),E72*F72,IF(ISNUMBER(I72),I72,"—"))</f>
        <v/>
      </c>
      <c r="K72" s="8" t="n">
        <v>25</v>
      </c>
      <c r="L72" s="6">
        <f>IF(AND(ISNUMBER(J72),ISNUMBER(K72)),IF(K72&gt;=J72-0.001,"CUMPLE","NO CUMPLE"),"—")</f>
        <v/>
      </c>
      <c r="M72" s="8" t="n"/>
      <c r="N72" s="8" t="n"/>
      <c r="O72" s="6">
        <f>IF(AND(ISNUMBER(M72),ISNUMBER(K72)),IF(K72&lt;M72,"MENOR",IF(AND(ISNUMBER(N72),K72&gt;N72),"SUPERA","EN RANGO")),"—")</f>
        <v/>
      </c>
      <c r="P72" s="8">
        <f>IF(AND(ISNUMBER(D72),ISNUMBER(K72)),D72*K72,"—")</f>
        <v/>
      </c>
      <c r="Q72" s="8" t="n">
        <v>25</v>
      </c>
      <c r="R72" s="8">
        <f>IF(AND(ISNUMBER(P72),ISNUMBER(Q72)),Q72-P72,"—")</f>
        <v/>
      </c>
      <c r="S72" s="6" t="inlineStr">
        <is>
          <t>CUMPLE</t>
        </is>
      </c>
      <c r="T72" s="7" t="inlineStr">
        <is>
          <t>Los lineamientos piden separar artículos nuevos y usados, anaqueles por tallas y acceso solo del personal.</t>
        </is>
      </c>
    </row>
    <row r="73" ht="48" customHeight="1">
      <c r="A73" s="6" t="n">
        <v>73</v>
      </c>
      <c r="B73" s="7" t="inlineStr">
        <is>
          <t>ZONA DE SERVICIOS GENERALES</t>
        </is>
      </c>
      <c r="C73" s="7" t="inlineStr">
        <is>
          <t>ALMACEN GENERAL Y DE LIMPIEZA</t>
        </is>
      </c>
      <c r="D73" s="6" t="n">
        <v>1</v>
      </c>
      <c r="E73" s="6" t="n">
        <v>2</v>
      </c>
      <c r="F73" s="8" t="n"/>
      <c r="G73" s="7" t="inlineStr">
        <is>
          <t>R.V.M. 104-2019 num. 13.3.1; lineamientos 3.4</t>
        </is>
      </c>
      <c r="H73" s="7" t="inlineStr">
        <is>
          <t>R.V.M. Nº208 - 2019 -MINEDU-Programación arquitectonica</t>
        </is>
      </c>
      <c r="I73" s="8" t="n">
        <v>10</v>
      </c>
      <c r="J73" s="8">
        <f>IF(AND(ISNUMBER(E73),ISNUMBER(F73)),E73*F73,IF(ISNUMBER(I73),I73,"—"))</f>
        <v/>
      </c>
      <c r="K73" s="8" t="n">
        <v>17.6</v>
      </c>
      <c r="L73" s="6">
        <f>IF(AND(ISNUMBER(J73),ISNUMBER(K73)),IF(K73&gt;=J73-0.001,"CUMPLE","NO CUMPLE"),"—")</f>
        <v/>
      </c>
      <c r="M73" s="8" t="n"/>
      <c r="N73" s="8" t="n"/>
      <c r="O73" s="6">
        <f>IF(AND(ISNUMBER(M73),ISNUMBER(K73)),IF(K73&lt;M73,"MENOR",IF(AND(ISNUMBER(N73),K73&gt;N73),"SUPERA","EN RANGO")),"—")</f>
        <v/>
      </c>
      <c r="P73" s="8">
        <f>IF(AND(ISNUMBER(D73),ISNUMBER(K73)),D73*K73,"—")</f>
        <v/>
      </c>
      <c r="Q73" s="8" t="n">
        <v>17.6</v>
      </c>
      <c r="R73" s="8">
        <f>IF(AND(ISNUMBER(P73),ISNUMBER(Q73)),Q73-P73,"—")</f>
        <v/>
      </c>
      <c r="S73" s="6" t="inlineStr">
        <is>
          <t>OBSERVAR</t>
        </is>
      </c>
      <c r="T73" s="7" t="inlineStr">
        <is>
          <t>El índice de 8.80 m²/persona de la R.V.M. 104-2019 es el del dormitorio del alojamiento temporal docente (num. 13.2.2), no de un almacén: corregir. El almacén general pide 1.50 m² por aula y no menos de 10.00 m² (cumple). Los lineamientos piden separar los productos de limpieza, bajo llave, de los artículos para las familias.</t>
        </is>
      </c>
    </row>
    <row r="74" ht="24" customHeight="1">
      <c r="A74" s="6" t="n">
        <v>74</v>
      </c>
      <c r="B74" s="7" t="inlineStr">
        <is>
          <t>ZONA DE SERVICIOS GENERALES</t>
        </is>
      </c>
      <c r="C74" s="7" t="inlineStr">
        <is>
          <t>MAESTRANZA</t>
        </is>
      </c>
      <c r="D74" s="6" t="n">
        <v>1</v>
      </c>
      <c r="E74" s="6" t="n">
        <v>4</v>
      </c>
      <c r="F74" s="8" t="n"/>
      <c r="G74" s="7" t="inlineStr">
        <is>
          <t>R.V.M. 208-2019 (cotejar)</t>
        </is>
      </c>
      <c r="H74" s="7" t="inlineStr">
        <is>
          <t>R.V.M. Nº208 - 2019 -MINEDU-Programación arquitectonica</t>
        </is>
      </c>
      <c r="I74" s="8" t="n">
        <v>12</v>
      </c>
      <c r="J74" s="8">
        <f>IF(AND(ISNUMBER(E74),ISNUMBER(F74)),E74*F74,IF(ISNUMBER(I74),I74,"—"))</f>
        <v/>
      </c>
      <c r="K74" s="8" t="n">
        <v>15</v>
      </c>
      <c r="L74" s="6">
        <f>IF(AND(ISNUMBER(J74),ISNUMBER(K74)),IF(K74&gt;=J74-0.001,"CUMPLE","NO CUMPLE"),"—")</f>
        <v/>
      </c>
      <c r="M74" s="8" t="n"/>
      <c r="N74" s="8" t="n"/>
      <c r="O74" s="6">
        <f>IF(AND(ISNUMBER(M74),ISNUMBER(K74)),IF(K74&lt;M74,"MENOR",IF(AND(ISNUMBER(N74),K74&gt;N74),"SUPERA","EN RANGO")),"—")</f>
        <v/>
      </c>
      <c r="P74" s="8">
        <f>IF(AND(ISNUMBER(D74),ISNUMBER(K74)),D74*K74,"—")</f>
        <v/>
      </c>
      <c r="Q74" s="8" t="n">
        <v>15</v>
      </c>
      <c r="R74" s="8">
        <f>IF(AND(ISNUMBER(P74),ISNUMBER(Q74)),Q74-P74,"—")</f>
        <v/>
      </c>
      <c r="S74" s="6" t="inlineStr">
        <is>
          <t>CUMPLE</t>
        </is>
      </c>
      <c r="T74" s="7" t="inlineStr">
        <is>
          <t>4 x 3.00 = 12.00 m² &lt; 15.00 m².</t>
        </is>
      </c>
    </row>
    <row r="75" ht="36" customHeight="1">
      <c r="A75" s="6" t="n">
        <v>75</v>
      </c>
      <c r="B75" s="7" t="inlineStr">
        <is>
          <t>ZONA DE SERVICIOS GENERALES</t>
        </is>
      </c>
      <c r="C75" s="7" t="inlineStr">
        <is>
          <t>ALMACEN DE RESIDUOS SÓLIDOS</t>
        </is>
      </c>
      <c r="D75" s="6" t="n">
        <v>1</v>
      </c>
      <c r="E75" s="6" t="n">
        <v>3</v>
      </c>
      <c r="F75" s="8" t="n"/>
      <c r="G75" s="7" t="inlineStr">
        <is>
          <t>A.080 art. 23; R.V.M. 104-2019 num. 13.3.4</t>
        </is>
      </c>
      <c r="H75" s="7" t="inlineStr">
        <is>
          <t>R.V.M. Nº208 - 2019 -MINEDU-Programación arquitectonica</t>
        </is>
      </c>
      <c r="I75" s="8" t="n">
        <v>6</v>
      </c>
      <c r="J75" s="8">
        <f>IF(AND(ISNUMBER(E75),ISNUMBER(F75)),E75*F75,IF(ISNUMBER(I75),I75,"—"))</f>
        <v/>
      </c>
      <c r="K75" s="8" t="n">
        <v>25</v>
      </c>
      <c r="L75" s="6">
        <f>IF(AND(ISNUMBER(J75),ISNUMBER(K75)),IF(K75&gt;=J75-0.001,"CUMPLE","NO CUMPLE"),"—")</f>
        <v/>
      </c>
      <c r="M75" s="8" t="n"/>
      <c r="N75" s="8" t="n"/>
      <c r="O75" s="6">
        <f>IF(AND(ISNUMBER(M75),ISNUMBER(K75)),IF(K75&lt;M75,"MENOR",IF(AND(ISNUMBER(N75),K75&gt;N75),"SUPERA","EN RANGO")),"—")</f>
        <v/>
      </c>
      <c r="P75" s="8">
        <f>IF(AND(ISNUMBER(D75),ISNUMBER(K75)),D75*K75,"—")</f>
        <v/>
      </c>
      <c r="Q75" s="8" t="n">
        <v>25</v>
      </c>
      <c r="R75" s="8">
        <f>IF(AND(ISNUMBER(P75),ISNUMBER(Q75)),Q75-P75,"—")</f>
        <v/>
      </c>
      <c r="S75" s="6" t="inlineStr">
        <is>
          <t>CUMPLE</t>
        </is>
      </c>
      <c r="T75" s="7" t="inlineStr">
        <is>
          <t>Ambiente con punto de agua y sumidero, sin contenedores en espacios exteriores (R.V.M. 104-2019); en el zaguán de servicio, con acceso desde el exterior y tres contenedores (lineamientos 3.4).</t>
        </is>
      </c>
    </row>
    <row r="76" ht="24" customHeight="1">
      <c r="A76" s="6" t="n">
        <v>76</v>
      </c>
      <c r="B76" s="7" t="inlineStr">
        <is>
          <t>ZONA DE SERVICIOS GENERALES</t>
        </is>
      </c>
      <c r="C76" s="7" t="inlineStr">
        <is>
          <t>TABLERO ELÉCTRICO</t>
        </is>
      </c>
      <c r="D76" s="6" t="n">
        <v>1</v>
      </c>
      <c r="E76" s="6" t="n">
        <v>2</v>
      </c>
      <c r="F76" s="8" t="n"/>
      <c r="G76" s="7" t="inlineStr">
        <is>
          <t>EM.010; R.V.M. 104-2019 num. 13.3.6</t>
        </is>
      </c>
      <c r="H76" s="7" t="inlineStr">
        <is>
          <t>R.V.M. Nº208 - 2019 -MINEDU-Programación arquitectonica</t>
        </is>
      </c>
      <c r="I76" s="8" t="n"/>
      <c r="J76" s="8">
        <f>IF(AND(ISNUMBER(E76),ISNUMBER(F76)),E76*F76,IF(ISNUMBER(I76),I76,"—"))</f>
        <v/>
      </c>
      <c r="K76" s="8" t="n">
        <v>6</v>
      </c>
      <c r="L76" s="6">
        <f>IF(AND(ISNUMBER(J76),ISNUMBER(K76)),IF(K76&gt;=J76-0.001,"CUMPLE","NO CUMPLE"),"—")</f>
        <v/>
      </c>
      <c r="M76" s="8" t="n"/>
      <c r="N76" s="8" t="n"/>
      <c r="O76" s="6">
        <f>IF(AND(ISNUMBER(M76),ISNUMBER(K76)),IF(K76&lt;M76,"MENOR",IF(AND(ISNUMBER(N76),K76&gt;N76),"SUPERA","EN RANGO")),"—")</f>
        <v/>
      </c>
      <c r="P76" s="8">
        <f>IF(AND(ISNUMBER(D76),ISNUMBER(K76)),D76*K76,"—")</f>
        <v/>
      </c>
      <c r="Q76" s="8" t="n">
        <v>6</v>
      </c>
      <c r="R76" s="8">
        <f>IF(AND(ISNUMBER(P76),ISNUMBER(Q76)),Q76-P76,"—")</f>
        <v/>
      </c>
      <c r="S76" s="6" t="inlineStr">
        <is>
          <t>NO APLICA</t>
        </is>
      </c>
      <c r="T76" s="7" t="inlineStr">
        <is>
          <t>Lejos del alcance de niñas y niños.</t>
        </is>
      </c>
    </row>
    <row r="77" ht="24" customHeight="1">
      <c r="A77" s="6" t="n">
        <v>77</v>
      </c>
      <c r="B77" s="7" t="inlineStr">
        <is>
          <t>ZONA DE SERVICIOS GENERALES</t>
        </is>
      </c>
      <c r="C77" s="7" t="inlineStr">
        <is>
          <t>CUARTO DE MAQUINAS</t>
        </is>
      </c>
      <c r="D77" s="6" t="n">
        <v>1</v>
      </c>
      <c r="E77" s="6" t="n">
        <v>2</v>
      </c>
      <c r="F77" s="8" t="n"/>
      <c r="G77" s="7" t="inlineStr">
        <is>
          <t>R.V.M. 104-2019 num. 13.3.3</t>
        </is>
      </c>
      <c r="H77" s="7" t="inlineStr">
        <is>
          <t>R.V.M. Nº208 - 2019 -MINEDU-Programación arquitectonica</t>
        </is>
      </c>
      <c r="I77" s="8" t="n"/>
      <c r="J77" s="8">
        <f>IF(AND(ISNUMBER(E77),ISNUMBER(F77)),E77*F77,IF(ISNUMBER(I77),I77,"—"))</f>
        <v/>
      </c>
      <c r="K77" s="8" t="n">
        <v>8</v>
      </c>
      <c r="L77" s="6">
        <f>IF(AND(ISNUMBER(J77),ISNUMBER(K77)),IF(K77&gt;=J77-0.001,"CUMPLE","NO CUMPLE"),"—")</f>
        <v/>
      </c>
      <c r="M77" s="8" t="n"/>
      <c r="N77" s="8" t="n"/>
      <c r="O77" s="6">
        <f>IF(AND(ISNUMBER(M77),ISNUMBER(K77)),IF(K77&lt;M77,"MENOR",IF(AND(ISNUMBER(N77),K77&gt;N77),"SUPERA","EN RANGO")),"—")</f>
        <v/>
      </c>
      <c r="P77" s="8">
        <f>IF(AND(ISNUMBER(D77),ISNUMBER(K77)),D77*K77,"—")</f>
        <v/>
      </c>
      <c r="Q77" s="8" t="n">
        <v>8</v>
      </c>
      <c r="R77" s="8">
        <f>IF(AND(ISNUMBER(P77),ISNUMBER(Q77)),Q77-P77,"—")</f>
        <v/>
      </c>
      <c r="S77" s="6" t="inlineStr">
        <is>
          <t>NO APLICA</t>
        </is>
      </c>
      <c r="T77" s="7" t="inlineStr">
        <is>
          <t>Acceso solo del personal autorizado.</t>
        </is>
      </c>
    </row>
    <row r="78" ht="24" customHeight="1">
      <c r="A78" s="6" t="n">
        <v>78</v>
      </c>
      <c r="B78" s="7" t="inlineStr">
        <is>
          <t>ZONA DE SERVICIOS GENERALES</t>
        </is>
      </c>
      <c r="C78" s="7" t="inlineStr">
        <is>
          <t>GARITA + SS.HH</t>
        </is>
      </c>
      <c r="D78" s="6" t="n">
        <v>1</v>
      </c>
      <c r="E78" s="6" t="n">
        <v>1</v>
      </c>
      <c r="F78" s="8" t="n"/>
      <c r="G78" s="7" t="inlineStr">
        <is>
          <t>Lineamientos 2.4</t>
        </is>
      </c>
      <c r="H78" s="7" t="inlineStr">
        <is>
          <t>R.V.M. Nº208 - 2019 -MINEDU-Programación arquitectonica</t>
        </is>
      </c>
      <c r="I78" s="8" t="n"/>
      <c r="J78" s="8">
        <f>IF(AND(ISNUMBER(E78),ISNUMBER(F78)),E78*F78,IF(ISNUMBER(I78),I78,"—"))</f>
        <v/>
      </c>
      <c r="K78" s="8" t="n">
        <v>10</v>
      </c>
      <c r="L78" s="6">
        <f>IF(AND(ISNUMBER(J78),ISNUMBER(K78)),IF(K78&gt;=J78-0.001,"CUMPLE","NO CUMPLE"),"—")</f>
        <v/>
      </c>
      <c r="M78" s="8" t="n"/>
      <c r="N78" s="8" t="n"/>
      <c r="O78" s="6">
        <f>IF(AND(ISNUMBER(M78),ISNUMBER(K78)),IF(K78&lt;M78,"MENOR",IF(AND(ISNUMBER(N78),K78&gt;N78),"SUPERA","EN RANGO")),"—")</f>
        <v/>
      </c>
      <c r="P78" s="8">
        <f>IF(AND(ISNUMBER(D78),ISNUMBER(K78)),D78*K78,"—")</f>
        <v/>
      </c>
      <c r="Q78" s="8" t="n">
        <v>10</v>
      </c>
      <c r="R78" s="8">
        <f>IF(AND(ISNUMBER(P78),ISNUMBER(Q78)),Q78-P78,"—")</f>
        <v/>
      </c>
      <c r="S78" s="6" t="inlineStr">
        <is>
          <t>OBSERVAR</t>
        </is>
      </c>
      <c r="T78" s="7" t="inlineStr">
        <is>
          <t>Repite la GARITA + SS.HH. de la zona de obras exteriores (fila 9): dejar una sola.</t>
        </is>
      </c>
    </row>
    <row r="79" ht="24" customHeight="1">
      <c r="A79" s="6" t="n">
        <v>79</v>
      </c>
      <c r="B79" s="7" t="inlineStr">
        <is>
          <t>ZONA DE SERVICIOS GENERALES</t>
        </is>
      </c>
      <c r="C79" s="7" t="inlineStr">
        <is>
          <t>SUB ESTACIÓN</t>
        </is>
      </c>
      <c r="D79" s="6" t="n">
        <v>1</v>
      </c>
      <c r="E79" s="6" t="n">
        <v>2</v>
      </c>
      <c r="F79" s="8" t="n"/>
      <c r="G79" s="7" t="inlineStr">
        <is>
          <t>EM.010; Código Nacional de Electricidad</t>
        </is>
      </c>
      <c r="H79" s="7" t="inlineStr">
        <is>
          <t>R.V.M. Nº208 - 2019 -MINEDU-Programación arquitectonica</t>
        </is>
      </c>
      <c r="I79" s="8" t="n"/>
      <c r="J79" s="8">
        <f>IF(AND(ISNUMBER(E79),ISNUMBER(F79)),E79*F79,IF(ISNUMBER(I79),I79,"—"))</f>
        <v/>
      </c>
      <c r="K79" s="8" t="n">
        <v>10</v>
      </c>
      <c r="L79" s="6">
        <f>IF(AND(ISNUMBER(J79),ISNUMBER(K79)),IF(K79&gt;=J79-0.001,"CUMPLE","NO CUMPLE"),"—")</f>
        <v/>
      </c>
      <c r="M79" s="8" t="n"/>
      <c r="N79" s="8" t="n"/>
      <c r="O79" s="6">
        <f>IF(AND(ISNUMBER(M79),ISNUMBER(K79)),IF(K79&lt;M79,"MENOR",IF(AND(ISNUMBER(N79),K79&gt;N79),"SUPERA","EN RANGO")),"—")</f>
        <v/>
      </c>
      <c r="P79" s="8">
        <f>IF(AND(ISNUMBER(D79),ISNUMBER(K79)),D79*K79,"—")</f>
        <v/>
      </c>
      <c r="Q79" s="8" t="n">
        <v>10</v>
      </c>
      <c r="R79" s="8">
        <f>IF(AND(ISNUMBER(P79),ISNUMBER(Q79)),Q79-P79,"—")</f>
        <v/>
      </c>
      <c r="S79" s="6" t="inlineStr">
        <is>
          <t>NO APLICA</t>
        </is>
      </c>
      <c r="T79" s="7" t="inlineStr">
        <is>
          <t>A.030 (anexos): ambiente separado para el equipo de generación de energía.</t>
        </is>
      </c>
    </row>
    <row r="80" ht="24" customHeight="1">
      <c r="A80" s="6" t="n">
        <v>80</v>
      </c>
      <c r="B80" s="7" t="inlineStr">
        <is>
          <t>ZONA DE SERVICIOS GENERALES</t>
        </is>
      </c>
      <c r="C80" s="7" t="inlineStr">
        <is>
          <t>GRUPO ELECTRÓGENO</t>
        </is>
      </c>
      <c r="D80" s="6" t="n">
        <v>1</v>
      </c>
      <c r="E80" s="6" t="n">
        <v>2</v>
      </c>
      <c r="F80" s="8" t="n"/>
      <c r="G80" s="7" t="inlineStr">
        <is>
          <t>EM.010; A.030 anexos</t>
        </is>
      </c>
      <c r="H80" s="7" t="inlineStr">
        <is>
          <t>R.V.M. Nº208 - 2019 -MINEDU-Programación arquitectonica</t>
        </is>
      </c>
      <c r="I80" s="8" t="n"/>
      <c r="J80" s="8">
        <f>IF(AND(ISNUMBER(E80),ISNUMBER(F80)),E80*F80,IF(ISNUMBER(I80),I80,"—"))</f>
        <v/>
      </c>
      <c r="K80" s="8" t="n">
        <v>9</v>
      </c>
      <c r="L80" s="6">
        <f>IF(AND(ISNUMBER(J80),ISNUMBER(K80)),IF(K80&gt;=J80-0.001,"CUMPLE","NO CUMPLE"),"—")</f>
        <v/>
      </c>
      <c r="M80" s="8" t="n"/>
      <c r="N80" s="8" t="n"/>
      <c r="O80" s="6">
        <f>IF(AND(ISNUMBER(M80),ISNUMBER(K80)),IF(K80&lt;M80,"MENOR",IF(AND(ISNUMBER(N80),K80&gt;N80),"SUPERA","EN RANGO")),"—")</f>
        <v/>
      </c>
      <c r="P80" s="8">
        <f>IF(AND(ISNUMBER(D80),ISNUMBER(K80)),D80*K80,"—")</f>
        <v/>
      </c>
      <c r="Q80" s="8" t="n">
        <v>9</v>
      </c>
      <c r="R80" s="8">
        <f>IF(AND(ISNUMBER(P80),ISNUMBER(Q80)),Q80-P80,"—")</f>
        <v/>
      </c>
      <c r="S80" s="6" t="inlineStr">
        <is>
          <t>NO APLICA</t>
        </is>
      </c>
      <c r="T80" s="7" t="inlineStr"/>
    </row>
    <row r="81">
      <c r="A81" s="4" t="inlineStr">
        <is>
          <t>CIRCULACION</t>
        </is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</row>
    <row r="82" ht="24" customHeight="1">
      <c r="A82" s="6" t="n">
        <v>82</v>
      </c>
      <c r="B82" s="7" t="inlineStr">
        <is>
          <t>CIRCULACION</t>
        </is>
      </c>
      <c r="C82" s="7" t="inlineStr">
        <is>
          <t>CIRCULACIONES</t>
        </is>
      </c>
      <c r="D82" s="6" t="n">
        <v>1</v>
      </c>
      <c r="E82" s="6" t="n"/>
      <c r="F82" s="8" t="n"/>
      <c r="G82" s="7" t="inlineStr">
        <is>
          <t>A.030 art. 4; A.130</t>
        </is>
      </c>
      <c r="H82" s="7" t="inlineStr"/>
      <c r="I82" s="8" t="n"/>
      <c r="J82" s="8">
        <f>IF(AND(ISNUMBER(E82),ISNUMBER(F82)),E82*F82,IF(ISNUMBER(I82),I82,"—"))</f>
        <v/>
      </c>
      <c r="K82" s="8" t="n">
        <v>2267.8</v>
      </c>
      <c r="L82" s="6">
        <f>IF(AND(ISNUMBER(J82),ISNUMBER(K82)),IF(K82&gt;=J82-0.001,"CUMPLE","NO CUMPLE"),"—")</f>
        <v/>
      </c>
      <c r="M82" s="8" t="n"/>
      <c r="N82" s="8" t="n"/>
      <c r="O82" s="6">
        <f>IF(AND(ISNUMBER(M82),ISNUMBER(K82)),IF(K82&lt;M82,"MENOR",IF(AND(ISNUMBER(N82),K82&gt;N82),"SUPERA","EN RANGO")),"—")</f>
        <v/>
      </c>
      <c r="P82" s="8">
        <f>IF(AND(ISNUMBER(D82),ISNUMBER(K82)),D82*K82,"—")</f>
        <v/>
      </c>
      <c r="Q82" s="8" t="n">
        <v>2267.8</v>
      </c>
      <c r="R82" s="8">
        <f>IF(AND(ISNUMBER(P82),ISNUMBER(Q82)),Q82-P82,"—")</f>
        <v/>
      </c>
      <c r="S82" s="6" t="inlineStr">
        <is>
          <t>CUMPLE</t>
        </is>
      </c>
      <c r="T82" s="7" t="inlineStr">
        <is>
          <t>Pasajes y escaleras de 1.20 m de ancho libre mínimo (A.030 art. 4) y anchos de evacuación según la A.130.</t>
        </is>
      </c>
    </row>
  </sheetData>
  <autoFilter ref="A4:T8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VERIFICACIÓN DE LA ZONA RESIDENCIAL (A.030 Y LINEAMIENTOS)</t>
        </is>
      </c>
    </row>
    <row r="3" ht="32" customHeight="1">
      <c r="A3" s="3" t="inlineStr">
        <is>
          <t>HABITACIÓN</t>
        </is>
      </c>
      <c r="B3" s="3" t="inlineStr">
        <is>
          <t>CANT.</t>
        </is>
      </c>
      <c r="C3" s="3" t="inlineStr">
        <is>
          <t>CAPACIDAD</t>
        </is>
      </c>
      <c r="D3" s="3" t="inlineStr">
        <is>
          <t>PLAZAS</t>
        </is>
      </c>
      <c r="E3" s="3" t="inlineStr">
        <is>
          <t>ÁREA UNIT. (m²)</t>
        </is>
      </c>
      <c r="F3" s="3" t="inlineStr">
        <is>
          <t>m² POR PERSONA</t>
        </is>
      </c>
      <c r="G3" s="3" t="inlineStr">
        <is>
          <t>BAÑO PRIVADO</t>
        </is>
      </c>
    </row>
    <row r="4">
      <c r="A4" s="7" t="inlineStr">
        <is>
          <t>HABITACIONES SIMPLES- TIPO I</t>
        </is>
      </c>
      <c r="B4" s="6" t="n">
        <v>3</v>
      </c>
      <c r="C4" s="6" t="n">
        <v>3</v>
      </c>
      <c r="D4" s="6">
        <f>B4*C4</f>
        <v/>
      </c>
      <c r="E4" s="8" t="n">
        <v>12</v>
      </c>
      <c r="F4" s="8">
        <f>E4/C4</f>
        <v/>
      </c>
      <c r="G4" s="6" t="inlineStr">
        <is>
          <t>SÍ</t>
        </is>
      </c>
    </row>
    <row r="5">
      <c r="A5" s="7" t="inlineStr">
        <is>
          <t>HABITACIONES SIMPLES- TIPO II</t>
        </is>
      </c>
      <c r="B5" s="6" t="n">
        <v>3</v>
      </c>
      <c r="C5" s="6" t="n">
        <v>3</v>
      </c>
      <c r="D5" s="6">
        <f>B5*C5</f>
        <v/>
      </c>
      <c r="E5" s="8" t="n">
        <v>12</v>
      </c>
      <c r="F5" s="8">
        <f>E5/C5</f>
        <v/>
      </c>
      <c r="G5" s="6" t="inlineStr">
        <is>
          <t>SÍ</t>
        </is>
      </c>
    </row>
    <row r="6">
      <c r="A6" s="7" t="inlineStr">
        <is>
          <t>HABITACIONES DOBLE-TIPO I</t>
        </is>
      </c>
      <c r="B6" s="6" t="n">
        <v>3</v>
      </c>
      <c r="C6" s="6" t="n">
        <v>5</v>
      </c>
      <c r="D6" s="6">
        <f>B6*C6</f>
        <v/>
      </c>
      <c r="E6" s="8" t="n">
        <v>20</v>
      </c>
      <c r="F6" s="8">
        <f>E6/C6</f>
        <v/>
      </c>
      <c r="G6" s="6" t="inlineStr">
        <is>
          <t>NO</t>
        </is>
      </c>
    </row>
    <row r="7">
      <c r="A7" s="7" t="inlineStr">
        <is>
          <t>HABITACIONES DOBLE-TIPO II</t>
        </is>
      </c>
      <c r="B7" s="6" t="n">
        <v>7</v>
      </c>
      <c r="C7" s="6" t="n">
        <v>5</v>
      </c>
      <c r="D7" s="6">
        <f>B7*C7</f>
        <v/>
      </c>
      <c r="E7" s="8" t="n">
        <v>20</v>
      </c>
      <c r="F7" s="8">
        <f>E7/C7</f>
        <v/>
      </c>
      <c r="G7" s="6" t="inlineStr">
        <is>
          <t>NO</t>
        </is>
      </c>
    </row>
    <row r="8">
      <c r="A8" s="7" t="inlineStr">
        <is>
          <t>HABITACIONES TRIPLE-TIPO I</t>
        </is>
      </c>
      <c r="B8" s="6" t="n">
        <v>3</v>
      </c>
      <c r="C8" s="6" t="n">
        <v>7</v>
      </c>
      <c r="D8" s="6">
        <f>B8*C8</f>
        <v/>
      </c>
      <c r="E8" s="8" t="n">
        <v>28</v>
      </c>
      <c r="F8" s="8">
        <f>E8/C8</f>
        <v/>
      </c>
      <c r="G8" s="6" t="inlineStr">
        <is>
          <t>SÍ</t>
        </is>
      </c>
    </row>
    <row r="9">
      <c r="A9" s="7" t="inlineStr">
        <is>
          <t>HABITACIONES TRIPLE-TIPO II</t>
        </is>
      </c>
      <c r="B9" s="6" t="n">
        <v>3</v>
      </c>
      <c r="C9" s="6" t="n">
        <v>7</v>
      </c>
      <c r="D9" s="6">
        <f>B9*C9</f>
        <v/>
      </c>
      <c r="E9" s="8" t="n">
        <v>28</v>
      </c>
      <c r="F9" s="8">
        <f>E9/C9</f>
        <v/>
      </c>
      <c r="G9" s="6" t="inlineStr">
        <is>
          <t>SÍ</t>
        </is>
      </c>
    </row>
    <row r="10">
      <c r="A10" s="7" t="inlineStr">
        <is>
          <t>HABITACIÓN ESPECIAL</t>
        </is>
      </c>
      <c r="B10" s="6" t="n">
        <v>1</v>
      </c>
      <c r="C10" s="6" t="n">
        <v>3</v>
      </c>
      <c r="D10" s="6">
        <f>B10*C10</f>
        <v/>
      </c>
      <c r="E10" s="8" t="n">
        <v>12</v>
      </c>
      <c r="F10" s="8">
        <f>E10/C10</f>
        <v/>
      </c>
      <c r="G10" s="6" t="inlineStr">
        <is>
          <t>SÍ</t>
        </is>
      </c>
    </row>
    <row r="11">
      <c r="A11" s="7" t="inlineStr">
        <is>
          <t>TOTAL</t>
        </is>
      </c>
      <c r="B11" s="8">
        <f>SUM(B4:B10)</f>
        <v/>
      </c>
      <c r="C11" s="8" t="n"/>
      <c r="D11" s="6">
        <f>SUM(D4:D10)</f>
        <v/>
      </c>
    </row>
    <row r="12">
      <c r="A12" s="7" t="n"/>
      <c r="B12" s="8" t="n"/>
      <c r="C12" s="8" t="n"/>
      <c r="D12" s="6" t="n"/>
    </row>
    <row r="13" ht="32" customHeight="1">
      <c r="A13" s="9" t="inlineStr">
        <is>
          <t>CRITERIO</t>
        </is>
      </c>
      <c r="B13" s="10" t="inlineStr">
        <is>
          <t>REQUERIDO</t>
        </is>
      </c>
      <c r="C13" s="10" t="inlineStr">
        <is>
          <t>PROGRAMA</t>
        </is>
      </c>
      <c r="D13" s="11" t="inlineStr">
        <is>
          <t>RESULTADO</t>
        </is>
      </c>
    </row>
    <row r="14">
      <c r="A14" s="7" t="inlineStr">
        <is>
          <t>Habitaciones con baño privado (%) - A.030 art. 6 num. 6</t>
        </is>
      </c>
      <c r="B14" s="8" t="n">
        <v>50</v>
      </c>
      <c r="C14" s="8">
        <f>SUMIF(G4:G10,"SÍ",B4:B10)/B11*100</f>
        <v/>
      </c>
      <c r="D14" s="6">
        <f>IF(C14&gt;=B14,"CUMPLE","NO CUMPLE")</f>
        <v/>
      </c>
    </row>
    <row r="15">
      <c r="A15" s="7" t="inlineStr">
        <is>
          <t>SS.HH. comunes: 2 por cada 4 habitaciones sin baño - A.030 art. 6 num. 7</t>
        </is>
      </c>
      <c r="B15" s="8">
        <f>2*ROUNDUP(SUMIF(G4:G10,"NO",B4:B10)/4,0)</f>
        <v/>
      </c>
      <c r="C15" s="8" t="n">
        <v>7</v>
      </c>
      <c r="D15" s="6">
        <f>IF(C15&gt;=B15,"CUMPLE","NO CUMPLE")</f>
        <v/>
      </c>
    </row>
    <row r="16">
      <c r="A16" s="7" t="inlineStr">
        <is>
          <t>Baño compartido por máximo 3 habitaciones - lineamientos 3.4</t>
        </is>
      </c>
      <c r="B16" s="8">
        <f>ROUNDUP(SUMIF(G4:G10,"NO",B4:B10)/3,0)</f>
        <v/>
      </c>
      <c r="C16" s="8" t="n">
        <v>7</v>
      </c>
      <c r="D16" s="6">
        <f>IF(C16&gt;=B16,"CUMPLE","NO CUMPLE")</f>
        <v/>
      </c>
    </row>
    <row r="17">
      <c r="A17" s="7" t="inlineStr">
        <is>
          <t>Albergue: 1 juego (lavatorio, inodoro, ducha) por cada 4 personas - A.030 Anexo 4</t>
        </is>
      </c>
      <c r="B17" s="8">
        <f>ROUNDUP(SUMIF(G4:G10,"NO",D4:D10)/4,0)</f>
        <v/>
      </c>
      <c r="C17" s="8" t="n">
        <v>7</v>
      </c>
      <c r="D17" s="6">
        <f>IF(C17&gt;=B17,"CUMPLE","OBSERVAR")</f>
        <v/>
      </c>
    </row>
    <row r="18">
      <c r="A18" s="7" t="inlineStr">
        <is>
          <t>Niñas y niños estimados (2/3 de las plazas) - lineamientos 1.6</t>
        </is>
      </c>
      <c r="B18" s="8" t="n"/>
      <c r="C18" s="8">
        <f>ROUND(D11*2/3,0)</f>
        <v/>
      </c>
      <c r="D18" s="6" t="n"/>
    </row>
    <row r="19">
      <c r="A19" s="7" t="inlineStr">
        <is>
          <t>Patio exterior para niñas y niños: 2.00 m² por niño(a) - R.V.M. 104-2019 num. 11.3</t>
        </is>
      </c>
      <c r="B19" s="8">
        <f>C18*2</f>
        <v/>
      </c>
      <c r="C19" s="8" t="n">
        <v>361.7</v>
      </c>
      <c r="D19" s="6">
        <f>IF(C19&gt;=B19,"CUMPLE","NO CUMPLE")</f>
        <v/>
      </c>
    </row>
    <row r="20">
      <c r="A20" s="7" t="inlineStr">
        <is>
          <t>Comedor: 1.00 m² por residente - lineamientos 3.2</t>
        </is>
      </c>
      <c r="B20" s="8">
        <f>D11*1</f>
        <v/>
      </c>
      <c r="C20" s="8" t="n">
        <v>240</v>
      </c>
      <c r="D20" s="6">
        <f>IF(C20&gt;=B20,"CUMPLE","NO CUMPLE")</f>
        <v/>
      </c>
    </row>
    <row r="21">
      <c r="A21" s="7" t="inlineStr">
        <is>
          <t>Cocina: 0.40 m² por residente - lineamientos 3.2</t>
        </is>
      </c>
      <c r="B21" s="8">
        <f>D11*0.4</f>
        <v/>
      </c>
      <c r="C21" s="8" t="n">
        <v>36</v>
      </c>
      <c r="D21" s="6">
        <f>IF(C21&gt;=B21,"CUMPLE","OBSERVAR")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90" customWidth="1" min="3" max="3"/>
    <col width="10" customWidth="1" min="4" max="4"/>
  </cols>
  <sheetData>
    <row r="1">
      <c r="A1" s="1" t="inlineStr">
        <is>
          <t>ÍNDICES VERIFICADOS EN EL TEXTO DE LAS NORMAS</t>
        </is>
      </c>
    </row>
    <row r="3" ht="32" customHeight="1">
      <c r="A3" s="3" t="inlineStr">
        <is>
          <t>CLAVE</t>
        </is>
      </c>
      <c r="B3" s="3" t="inlineStr">
        <is>
          <t>NORMA</t>
        </is>
      </c>
      <c r="C3" s="3" t="inlineStr">
        <is>
          <t>TEXTO DEL ARTÍCULO</t>
        </is>
      </c>
      <c r="D3" s="3" t="inlineStr">
        <is>
          <t>ÍNDICE</t>
        </is>
      </c>
    </row>
    <row r="4">
      <c r="A4" s="7" t="inlineStr">
        <is>
          <t>A080</t>
        </is>
      </c>
      <c r="B4" s="7" t="inlineStr">
        <is>
          <t>A.080 art. 6</t>
        </is>
      </c>
      <c r="C4" s="7" t="inlineStr">
        <is>
          <t>El número de ocupantes de una edificación de oficinas se calculará a razón de una persona cada 9.5 m2.</t>
        </is>
      </c>
      <c r="D4" s="12" t="n">
        <v>9.5</v>
      </c>
    </row>
    <row r="5">
      <c r="A5" s="7" t="inlineStr">
        <is>
          <t>A090of</t>
        </is>
      </c>
      <c r="B5" s="7" t="inlineStr">
        <is>
          <t>A.090 art. 11</t>
        </is>
      </c>
      <c r="C5" s="7" t="inlineStr">
        <is>
          <t>Ambientes para oficinas administrativas: 10.0 m2 por persona.</t>
        </is>
      </c>
      <c r="D5" s="12" t="n">
        <v>10</v>
      </c>
    </row>
    <row r="6">
      <c r="A6" s="7" t="inlineStr">
        <is>
          <t>A090reu</t>
        </is>
      </c>
      <c r="B6" s="7" t="inlineStr">
        <is>
          <t>A.090 art. 11</t>
        </is>
      </c>
      <c r="C6" s="7" t="inlineStr">
        <is>
          <t>Ambientes de reunión: 1.0 m2 por persona.</t>
        </is>
      </c>
      <c r="D6" s="12" t="n">
        <v>1</v>
      </c>
    </row>
    <row r="7">
      <c r="A7" s="7" t="inlineStr">
        <is>
          <t>A090asi</t>
        </is>
      </c>
      <c r="B7" s="7" t="inlineStr">
        <is>
          <t>A.090 art. 11</t>
        </is>
      </c>
      <c r="C7" s="7" t="inlineStr">
        <is>
          <t>Asilos y orfanatos: 6.0 m2 por persona.</t>
        </is>
      </c>
      <c r="D7" s="12" t="n">
        <v>6</v>
      </c>
    </row>
    <row r="8">
      <c r="A8" s="7" t="inlineStr">
        <is>
          <t>A090est</t>
        </is>
      </c>
      <c r="B8" s="7" t="inlineStr">
        <is>
          <t>A.090 art. 11</t>
        </is>
      </c>
      <c r="C8" s="7" t="inlineStr">
        <is>
          <t>Estacionamientos de uso general: 16.0 m2 por persona.</t>
        </is>
      </c>
      <c r="D8" s="12" t="n">
        <v>16</v>
      </c>
    </row>
    <row r="9">
      <c r="A9" s="7" t="inlineStr">
        <is>
          <t>A030alb</t>
        </is>
      </c>
      <c r="B9" s="7" t="inlineStr">
        <is>
          <t>A.030 art. 5</t>
        </is>
      </c>
      <c r="C9" s="7" t="inlineStr">
        <is>
          <t>Albergue: 04.0 m² por persona.</t>
        </is>
      </c>
      <c r="D9" s="12" t="n">
        <v>4</v>
      </c>
    </row>
    <row r="10">
      <c r="A10" s="7" t="inlineStr">
        <is>
          <t>A030eh</t>
        </is>
      </c>
      <c r="B10" s="7" t="inlineStr">
        <is>
          <t>A.030 art. 5</t>
        </is>
      </c>
      <c r="C10" s="7" t="inlineStr">
        <is>
          <t>Establecimientos de hospedaje: 12.0 m² por persona.</t>
        </is>
      </c>
      <c r="D10" s="12" t="n">
        <v>12</v>
      </c>
    </row>
    <row r="11">
      <c r="A11" s="7" t="inlineStr">
        <is>
          <t>A040tal</t>
        </is>
      </c>
      <c r="B11" s="7" t="inlineStr">
        <is>
          <t>A.040 art. 13</t>
        </is>
      </c>
      <c r="C11" s="7" t="inlineStr">
        <is>
          <t>Talleres y laboratorios: 3.0 m² por persona.</t>
        </is>
      </c>
      <c r="D11" s="12" t="n">
        <v>3</v>
      </c>
    </row>
    <row r="12">
      <c r="A12" s="7" t="inlineStr">
        <is>
          <t>A040sum</t>
        </is>
      </c>
      <c r="B12" s="7" t="inlineStr">
        <is>
          <t>A.040 art. 13</t>
        </is>
      </c>
      <c r="C12" s="7" t="inlineStr">
        <is>
          <t>Salas de usos múltiples: 1.0 m² por persona.</t>
        </is>
      </c>
      <c r="D12" s="12" t="n">
        <v>1</v>
      </c>
    </row>
    <row r="13">
      <c r="A13" s="7" t="inlineStr">
        <is>
          <t>A040aula</t>
        </is>
      </c>
      <c r="B13" s="7" t="inlineStr">
        <is>
          <t>A.040 art. 13</t>
        </is>
      </c>
      <c r="C13" s="7" t="inlineStr">
        <is>
          <t>Aulas: 1.5 m² por persona.</t>
        </is>
      </c>
      <c r="D13" s="12" t="n">
        <v>1.5</v>
      </c>
    </row>
    <row r="14">
      <c r="A14" s="7" t="inlineStr">
        <is>
          <t>R104aula</t>
        </is>
      </c>
      <c r="B14" s="7" t="inlineStr">
        <is>
          <t>R.V.M. 104-2019 cuadro 16</t>
        </is>
      </c>
      <c r="C14" s="7" t="inlineStr">
        <is>
          <t>Aula de Ciclo II: capacidad 25 niños(as), I.O. 2.40 m², área 60.00 m².</t>
        </is>
      </c>
      <c r="D14" s="12" t="n">
        <v>2.4</v>
      </c>
    </row>
    <row r="15">
      <c r="A15" s="7" t="inlineStr">
        <is>
          <t>R104psi</t>
        </is>
      </c>
      <c r="B15" s="7" t="inlineStr">
        <is>
          <t>R.V.M. 104-2019 cuadro 18</t>
        </is>
      </c>
      <c r="C15" s="7" t="inlineStr">
        <is>
          <t>Sala de psicomotricidad: capacidad 25 niños(as), I.O. 2.00 m², área 50.00 m².</t>
        </is>
      </c>
      <c r="D15" s="12" t="n">
        <v>2</v>
      </c>
    </row>
    <row r="16">
      <c r="A16" s="7" t="inlineStr">
        <is>
          <t>R104sum</t>
        </is>
      </c>
      <c r="B16" s="7" t="inlineStr">
        <is>
          <t>R.V.M. 104-2019 num. 12.2.1</t>
        </is>
      </c>
      <c r="C16" s="7" t="inlineStr">
        <is>
          <t>SUM: I.O. 1.00 m² por niño(a); área no menor de 60.00 m² ni mayor de 120.00 m².</t>
        </is>
      </c>
      <c r="D16" s="12" t="n">
        <v>1</v>
      </c>
    </row>
    <row r="17">
      <c r="A17" s="7" t="inlineStr">
        <is>
          <t>R104ext</t>
        </is>
      </c>
      <c r="B17" s="7" t="inlineStr">
        <is>
          <t>R.V.M. 104-2019 num. 11.3</t>
        </is>
      </c>
      <c r="C17" s="7" t="inlineStr">
        <is>
          <t>Espacio exterior: I.O. de 2.00 m² por niño(a) del aula o aulas a la que sirve.</t>
        </is>
      </c>
      <c r="D17" s="12" t="n">
        <v>2</v>
      </c>
    </row>
    <row r="18">
      <c r="A18" s="7" t="inlineStr">
        <is>
          <t>R104adm</t>
        </is>
      </c>
      <c r="B18" s="7" t="inlineStr">
        <is>
          <t>R.V.M. 104-2019 cuadro 21</t>
        </is>
      </c>
      <c r="C18" s="7" t="inlineStr">
        <is>
          <t>Espacios independientes para el personal: I.O. por usuario = 9.50 m² por persona.</t>
        </is>
      </c>
      <c r="D18" s="12" t="n">
        <v>9.5</v>
      </c>
    </row>
    <row r="19">
      <c r="A19" s="7" t="inlineStr">
        <is>
          <t>R104reu</t>
        </is>
      </c>
      <c r="B19" s="7" t="inlineStr">
        <is>
          <t>R.V.M. 104-2019 num. 13.1.4</t>
        </is>
      </c>
      <c r="C19" s="7" t="inlineStr">
        <is>
          <t>Sala de reuniones: I.O. de 1.50 m² por personal docente; no menor de 12.00 m².</t>
        </is>
      </c>
      <c r="D19" s="12" t="n">
        <v>1.5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28" customWidth="1" min="3" max="3"/>
    <col width="70" customWidth="1" min="4" max="4"/>
  </cols>
  <sheetData>
    <row r="1">
      <c r="A1" s="1" t="inlineStr">
        <is>
          <t>MARCO NORMATIVO</t>
        </is>
      </c>
    </row>
    <row r="3" ht="32" customHeight="1">
      <c r="A3" s="3" t="inlineStr">
        <is>
          <t>GRUPO</t>
        </is>
      </c>
      <c r="B3" s="3" t="inlineStr">
        <is>
          <t>NORMA</t>
        </is>
      </c>
      <c r="C3" s="3" t="inlineStr">
        <is>
          <t>DISPOSITIVOS</t>
        </is>
      </c>
      <c r="D3" s="3" t="inlineStr">
        <is>
          <t>APLICACIÓN</t>
        </is>
      </c>
    </row>
    <row r="4" ht="42" customHeight="1">
      <c r="A4" s="7" t="inlineStr">
        <is>
          <t>Marco legal del servicio</t>
        </is>
      </c>
      <c r="B4" s="7" t="inlineStr">
        <is>
          <t>Ley N.° 30364, Ley para prevenir, sancionar y erradicar la violencia contra las mujeres y los integrantes del grupo familiar, y su Reglamento (D.S. N.° 009-2016-MIMP y modificatorias)</t>
        </is>
      </c>
      <c r="C4" s="7" t="inlineStr">
        <is>
          <t>Ley y reglamento</t>
        </is>
      </c>
      <c r="D4" s="7" t="inlineStr">
        <is>
          <t>Marco del servicio de Hogares de Refugio Temporal: creación, implementación, registro y acreditación.</t>
        </is>
      </c>
    </row>
    <row r="5" ht="42" customHeight="1">
      <c r="A5" s="7" t="inlineStr">
        <is>
          <t>Marco legal del servicio</t>
        </is>
      </c>
      <c r="B5" s="7" t="inlineStr">
        <is>
          <t>Ley N.° 31621 y su Reglamento (D.S. N.° 005-2023-MIMP)</t>
        </is>
      </c>
      <c r="C5" s="7" t="inlineStr">
        <is>
          <t>Ley y reglamento</t>
        </is>
      </c>
      <c r="D5" s="7" t="inlineStr">
        <is>
          <t>Promueve la implementación y el funcionamiento de los Hogares de Refugio Temporal por los gobiernos regionales y locales.</t>
        </is>
      </c>
    </row>
    <row r="6" ht="42" customHeight="1">
      <c r="A6" s="7" t="inlineStr">
        <is>
          <t>Marco legal del servicio</t>
        </is>
      </c>
      <c r="B6" s="7" t="inlineStr">
        <is>
          <t>R.M. N.° 150-2016-MIMP: Lineamientos para la atención y funcionamiento de los Hogares de Refugio Temporal, criterios de derivación y modelo de reglamento interno</t>
        </is>
      </c>
      <c r="C6" s="7" t="inlineStr">
        <is>
          <t>Resolución ministerial</t>
        </is>
      </c>
      <c r="D6" s="7" t="inlineStr">
        <is>
          <t>Organización del servicio y de la atención; base de la programación funcional.</t>
        </is>
      </c>
    </row>
    <row r="7" ht="42" customHeight="1">
      <c r="A7" s="7" t="inlineStr">
        <is>
          <t>Reglamento Nacional de Edificaciones</t>
        </is>
      </c>
      <c r="B7" s="7" t="inlineStr">
        <is>
          <t>Norma Técnica A.030 Hospedaje (R.M. N.° 005-2019-VIVIENDA)</t>
        </is>
      </c>
      <c r="C7" s="7" t="inlineStr">
        <is>
          <t>Arts. 4, 5 y 6; Anexos 1, 3 y 4</t>
        </is>
      </c>
      <c r="D7" s="7" t="inlineStr">
        <is>
          <t>Zona residencial: cálculo de ocupantes (albergue 4.0 m²/persona), área mínima de habitación (6.00 m²), servicios higiénicos (2.50 m² mínimo, 50 % de habitaciones con baño privado), pasajes de 1.20 m.</t>
        </is>
      </c>
    </row>
    <row r="8" ht="42" customHeight="1">
      <c r="A8" s="7" t="inlineStr">
        <is>
          <t>Reglamento Nacional de Edificaciones</t>
        </is>
      </c>
      <c r="B8" s="7" t="inlineStr">
        <is>
          <t>Norma Técnica A.040 Educación (R.M. N.° 068-2020-VIVIENDA)</t>
        </is>
      </c>
      <c r="C8" s="7" t="inlineStr">
        <is>
          <t>Arts. 13 y 20</t>
        </is>
      </c>
      <c r="D8" s="7" t="inlineStr">
        <is>
          <t>Talleres, módulo de enseñanza, SUM y sus servicios higiénicos: índices de ocupación y dotación de aparatos sanitarios.</t>
        </is>
      </c>
    </row>
    <row r="9" ht="42" customHeight="1">
      <c r="A9" s="7" t="inlineStr">
        <is>
          <t>Reglamento Nacional de Edificaciones</t>
        </is>
      </c>
      <c r="B9" s="7" t="inlineStr">
        <is>
          <t>Norma A.080 Oficinas (D.S. N.° 011-2006-VIVIENDA)</t>
        </is>
      </c>
      <c r="C9" s="7" t="inlineStr">
        <is>
          <t>Arts. 3, 6, 7, 9, 15 y 23</t>
        </is>
      </c>
      <c r="D9" s="7" t="inlineStr">
        <is>
          <t>Zona administrativa: 9.5 m² por persona, altura libre 2.40 m, servicios para empleados, ambiente para basura.</t>
        </is>
      </c>
    </row>
    <row r="10" ht="42" customHeight="1">
      <c r="A10" s="7" t="inlineStr">
        <is>
          <t>Reglamento Nacional de Edificaciones</t>
        </is>
      </c>
      <c r="B10" s="7" t="inlineStr">
        <is>
          <t>Norma A.090 Servicios Comunales (D.S. N.° 011-2006-VIVIENDA)</t>
        </is>
      </c>
      <c r="C10" s="7" t="inlineStr">
        <is>
          <t>Arts. 2, 6, 10, 11, 15, 16 y 17</t>
        </is>
      </c>
      <c r="D10" s="7" t="inlineStr">
        <is>
          <t>Uso de protección social; tabla de ocupación (oficinas 10.0, asilos y orfanatos 6.0, reunión 1.0 m²/persona), servicios higiénicos para empleados y público, estacionamientos.</t>
        </is>
      </c>
    </row>
    <row r="11" ht="42" customHeight="1">
      <c r="A11" s="7" t="inlineStr">
        <is>
          <t>Reglamento Nacional de Edificaciones</t>
        </is>
      </c>
      <c r="B11" s="7" t="inlineStr">
        <is>
          <t>Normas A.010 Condiciones generales de diseño, A.120 Accesibilidad universal y A.130 Requisitos de seguridad</t>
        </is>
      </c>
      <c r="C11" s="7" t="inlineStr">
        <is>
          <t>Exigidas por A.080 (arts. 3 y 9), A.090 (arts. 6 y 10) y A.030 (art. 4)</t>
        </is>
      </c>
      <c r="D11" s="7" t="inlineStr">
        <is>
          <t>Ventilación, iluminación, accesibilidad para personas con discapacidad, evacuación y seguridad.</t>
        </is>
      </c>
    </row>
    <row r="12" ht="42" customHeight="1">
      <c r="A12" s="7" t="inlineStr">
        <is>
          <t>Normas del MINEDU</t>
        </is>
      </c>
      <c r="B12" s="7" t="inlineStr">
        <is>
          <t>R.V.M. N.° 104-2019-MINEDU, Norma Técnica "Criterios de diseño para locales educativos del nivel de Educación Inicial"</t>
        </is>
      </c>
      <c r="C12" s="7" t="inlineStr">
        <is>
          <t>Arts. 10, 12 y 13; cuadros 7, 16, 18, 19, 21 y 22</t>
        </is>
      </c>
      <c r="D12" s="7" t="inlineStr">
        <is>
          <t>Módulo infantil, módulo de enseñanza, ambientes administrativos, tópico, archivo, almacén y servicios generales.</t>
        </is>
      </c>
    </row>
    <row r="13" ht="42" customHeight="1">
      <c r="A13" s="7" t="inlineStr">
        <is>
          <t>Normas del MINEDU</t>
        </is>
      </c>
      <c r="B13" s="7" t="inlineStr">
        <is>
          <t>R.V.M. N.° 208-2019-MINEDU, Norma Técnica "Criterios de diseño para locales educativos de primaria y secundaria"</t>
        </is>
      </c>
      <c r="C13" s="7" t="inlineStr">
        <is>
          <t>Programación arquitectónica</t>
        </is>
      </c>
      <c r="D13" s="7" t="inlineStr">
        <is>
          <t>Índices citados en la programación para cocina, comedor/SUM, lavandería, patios, losa y servicios generales (texto no entregado: cotejar).</t>
        </is>
      </c>
    </row>
    <row r="14" ht="42" customHeight="1">
      <c r="A14" s="7" t="inlineStr">
        <is>
          <t>Referencia internacional</t>
        </is>
      </c>
      <c r="B14" s="7" t="inlineStr">
        <is>
          <t>Lineamientos arquitectónicos para el diseño y construcción de refugios especializados para mujeres, sus hijas e hijos, víctimas de violencia extrema, familiar y/o de género (ONU-Habitat / CONAVIM, México, 2016)</t>
        </is>
      </c>
      <c r="C14" s="7" t="inlineStr">
        <is>
          <t>Capítulos I a IV</t>
        </is>
      </c>
      <c r="D14" s="7" t="inlineStr">
        <is>
          <t>Buena práctica: programa funcional en ocho áreas, superficies sugeridas por ambiente, seguridad, accesos, accesibilidad, diseño bioclimático y ecotecnias.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2" customWidth="1" min="3" max="3"/>
    <col width="70" customWidth="1" min="4" max="4"/>
  </cols>
  <sheetData>
    <row r="1" ht="32" customHeight="1">
      <c r="A1" s="3" t="inlineStr">
        <is>
          <t>AMBIENTE</t>
        </is>
      </c>
      <c r="B1" s="3" t="inlineStr">
        <is>
          <t>SUPERFICIE SUGERIDA</t>
        </is>
      </c>
      <c r="C1" s="3" t="inlineStr">
        <is>
          <t>LINEAMIENTO</t>
        </is>
      </c>
      <c r="D1" s="3" t="inlineStr">
        <is>
          <t>NOTA</t>
        </is>
      </c>
    </row>
    <row r="2">
      <c r="A2" s="7" t="inlineStr">
        <is>
          <t>Cuarto de descanso para el personal en guardia nocturna</t>
        </is>
      </c>
      <c r="B2" s="7" t="inlineStr">
        <is>
          <t>4 m²</t>
        </is>
      </c>
      <c r="C2" s="7" t="inlineStr">
        <is>
          <t>3.3.4</t>
        </is>
      </c>
      <c r="D2" s="7" t="inlineStr">
        <is>
          <t>Junto a las habitaciones, con timbre de alarma desde la habitación especial si está alejada.</t>
        </is>
      </c>
    </row>
    <row r="3">
      <c r="A3" s="7" t="inlineStr">
        <is>
          <t>Sala de juntas / comedor del personal</t>
        </is>
      </c>
      <c r="B3" s="7" t="inlineStr">
        <is>
          <t>12 m² / 20 m²</t>
        </is>
      </c>
      <c r="C3" s="7" t="inlineStr">
        <is>
          <t>3.6.1</t>
        </is>
      </c>
      <c r="D3" s="7" t="inlineStr">
        <is>
          <t>Separada de las áreas de las usuarias, con cocineta.</t>
        </is>
      </c>
    </row>
    <row r="4">
      <c r="A4" s="7" t="inlineStr">
        <is>
          <t>Sala para adolescentes</t>
        </is>
      </c>
      <c r="B4" s="7" t="inlineStr">
        <is>
          <t>6 m² / 10 m²</t>
        </is>
      </c>
      <c r="C4" s="7" t="inlineStr">
        <is>
          <t>3.2.3</t>
        </is>
      </c>
      <c r="D4" s="7" t="inlineStr">
        <is>
          <t>Estudio y recreación de las hijas adolescentes, cerca del patio.</t>
        </is>
      </c>
    </row>
    <row r="5">
      <c r="A5" s="7" t="inlineStr">
        <is>
          <t>Taller de cómputo</t>
        </is>
      </c>
      <c r="B5" s="7" t="inlineStr">
        <is>
          <t>10.5 m² / 14 m²</t>
        </is>
      </c>
      <c r="C5" s="7" t="inlineStr">
        <is>
          <t>3.2.6</t>
        </is>
      </c>
      <c r="D5" s="7" t="inlineStr">
        <is>
          <t>Siempre supervisado (evita que se publique la ubicación del refugio).</t>
        </is>
      </c>
    </row>
    <row r="6">
      <c r="A6" s="7" t="inlineStr">
        <is>
          <t>Sala multiuso</t>
        </is>
      </c>
      <c r="B6" s="7" t="inlineStr">
        <is>
          <t>15 m² / 23 m²</t>
        </is>
      </c>
      <c r="C6" s="7" t="inlineStr">
        <is>
          <t>3.5.4</t>
        </is>
      </c>
      <c r="D6" s="7" t="inlineStr">
        <is>
          <t>Puede integrarse con la terapia grupal mediante puertas corredizas.</t>
        </is>
      </c>
    </row>
    <row r="7">
      <c r="A7" s="7" t="inlineStr">
        <is>
          <t>Bodega de artículos para las familias</t>
        </is>
      </c>
      <c r="B7" s="7" t="inlineStr">
        <is>
          <t>según demanda</t>
        </is>
      </c>
      <c r="C7" s="7" t="inlineStr">
        <is>
          <t>3.4</t>
        </is>
      </c>
      <c r="D7" s="7" t="inlineStr">
        <is>
          <t>Blancos, ropa interior, ropa y calzado, higiene personal; puede integrarse al almacén de donaciones.</t>
        </is>
      </c>
    </row>
    <row r="8">
      <c r="A8" s="7" t="inlineStr">
        <is>
          <t>Zaguanes de entrada y de servicio; salida de emergencia</t>
        </is>
      </c>
      <c r="B8" s="7" t="inlineStr">
        <is>
          <t>—</t>
        </is>
      </c>
      <c r="C8" s="7" t="inlineStr">
        <is>
          <t>2.6</t>
        </is>
      </c>
      <c r="D8" s="7" t="inlineStr">
        <is>
          <t>Cuatro accesos: peatonal, vehículos oficiales, proveedores y puerta trasera de emergencia.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0" customWidth="1" min="4" max="4"/>
    <col width="11" customWidth="1" min="5" max="5"/>
    <col width="11" customWidth="1" min="6" max="6"/>
    <col width="16" customWidth="1" min="7" max="7"/>
  </cols>
  <sheetData>
    <row r="1">
      <c r="A1" s="1" t="inlineStr">
        <is>
          <t>RESULTADO POR ZONA</t>
        </is>
      </c>
    </row>
    <row r="3" ht="32" customHeight="1">
      <c r="A3" s="3" t="inlineStr">
        <is>
          <t>ZONA</t>
        </is>
      </c>
      <c r="B3" s="3" t="inlineStr">
        <is>
          <t>AMBIENTES</t>
        </is>
      </c>
      <c r="C3" s="3" t="inlineStr">
        <is>
          <t>CUMPLE</t>
        </is>
      </c>
      <c r="D3" s="3" t="inlineStr">
        <is>
          <t>OBSERVAR</t>
        </is>
      </c>
      <c r="E3" s="3" t="inlineStr">
        <is>
          <t>NO APLICA</t>
        </is>
      </c>
      <c r="F3" s="3" t="inlineStr">
        <is>
          <t>NO CUMPLE</t>
        </is>
      </c>
      <c r="G3" s="3" t="inlineStr">
        <is>
          <t>ÁREA PROGRAMA (m²)</t>
        </is>
      </c>
    </row>
    <row r="4">
      <c r="A4" s="7" t="inlineStr">
        <is>
          <t>ZONA DE OBRAS EXTERIORES</t>
        </is>
      </c>
      <c r="B4" s="6">
        <f>COUNTIF(MATRIZ!$B$5:$B$82,A4)</f>
        <v/>
      </c>
      <c r="C4" s="6">
        <f>COUNTIFS(MATRIZ!$B$5:$B$82,A4,MATRIZ!$S$5:$S$82,"CUMPLE")</f>
        <v/>
      </c>
      <c r="D4" s="6">
        <f>COUNTIFS(MATRIZ!$B$5:$B$82,A4,MATRIZ!$S$5:$S$82,"OBSERVAR")</f>
        <v/>
      </c>
      <c r="E4" s="6">
        <f>COUNTIFS(MATRIZ!$B$5:$B$82,A4,MATRIZ!$S$5:$S$82,"NO APLICA")</f>
        <v/>
      </c>
      <c r="F4" s="6">
        <f>COUNTIFS(MATRIZ!$B$5:$B$82,A4,MATRIZ!$S$5:$S$82,"NO CUMPLE")</f>
        <v/>
      </c>
      <c r="G4" s="13">
        <f>SUMIF(MATRIZ!$B$5:$B$82,A4,MATRIZ!$Q$5:$Q$82)</f>
        <v/>
      </c>
    </row>
    <row r="5">
      <c r="A5" s="7" t="inlineStr">
        <is>
          <t>ZONA ADMINISTRATIVA</t>
        </is>
      </c>
      <c r="B5" s="6">
        <f>COUNTIF(MATRIZ!$B$5:$B$82,A5)</f>
        <v/>
      </c>
      <c r="C5" s="6">
        <f>COUNTIFS(MATRIZ!$B$5:$B$82,A5,MATRIZ!$S$5:$S$82,"CUMPLE")</f>
        <v/>
      </c>
      <c r="D5" s="6">
        <f>COUNTIFS(MATRIZ!$B$5:$B$82,A5,MATRIZ!$S$5:$S$82,"OBSERVAR")</f>
        <v/>
      </c>
      <c r="E5" s="6">
        <f>COUNTIFS(MATRIZ!$B$5:$B$82,A5,MATRIZ!$S$5:$S$82,"NO APLICA")</f>
        <v/>
      </c>
      <c r="F5" s="6">
        <f>COUNTIFS(MATRIZ!$B$5:$B$82,A5,MATRIZ!$S$5:$S$82,"NO CUMPLE")</f>
        <v/>
      </c>
      <c r="G5" s="13">
        <f>SUMIF(MATRIZ!$B$5:$B$82,A5,MATRIZ!$Q$5:$Q$82)</f>
        <v/>
      </c>
    </row>
    <row r="6">
      <c r="A6" s="7" t="inlineStr">
        <is>
          <t>ZONA DE AMBIENTES ESPECIALIZADOS</t>
        </is>
      </c>
      <c r="B6" s="6">
        <f>COUNTIF(MATRIZ!$B$5:$B$82,A6)</f>
        <v/>
      </c>
      <c r="C6" s="6">
        <f>COUNTIFS(MATRIZ!$B$5:$B$82,A6,MATRIZ!$S$5:$S$82,"CUMPLE")</f>
        <v/>
      </c>
      <c r="D6" s="6">
        <f>COUNTIFS(MATRIZ!$B$5:$B$82,A6,MATRIZ!$S$5:$S$82,"OBSERVAR")</f>
        <v/>
      </c>
      <c r="E6" s="6">
        <f>COUNTIFS(MATRIZ!$B$5:$B$82,A6,MATRIZ!$S$5:$S$82,"NO APLICA")</f>
        <v/>
      </c>
      <c r="F6" s="6">
        <f>COUNTIFS(MATRIZ!$B$5:$B$82,A6,MATRIZ!$S$5:$S$82,"NO CUMPLE")</f>
        <v/>
      </c>
      <c r="G6" s="13">
        <f>SUMIF(MATRIZ!$B$5:$B$82,A6,MATRIZ!$Q$5:$Q$82)</f>
        <v/>
      </c>
    </row>
    <row r="7">
      <c r="A7" s="7" t="inlineStr">
        <is>
          <t>ZONA RESIDENCIAL</t>
        </is>
      </c>
      <c r="B7" s="6">
        <f>COUNTIF(MATRIZ!$B$5:$B$82,A7)</f>
        <v/>
      </c>
      <c r="C7" s="6">
        <f>COUNTIFS(MATRIZ!$B$5:$B$82,A7,MATRIZ!$S$5:$S$82,"CUMPLE")</f>
        <v/>
      </c>
      <c r="D7" s="6">
        <f>COUNTIFS(MATRIZ!$B$5:$B$82,A7,MATRIZ!$S$5:$S$82,"OBSERVAR")</f>
        <v/>
      </c>
      <c r="E7" s="6">
        <f>COUNTIFS(MATRIZ!$B$5:$B$82,A7,MATRIZ!$S$5:$S$82,"NO APLICA")</f>
        <v/>
      </c>
      <c r="F7" s="6">
        <f>COUNTIFS(MATRIZ!$B$5:$B$82,A7,MATRIZ!$S$5:$S$82,"NO CUMPLE")</f>
        <v/>
      </c>
      <c r="G7" s="13">
        <f>SUMIF(MATRIZ!$B$5:$B$82,A7,MATRIZ!$Q$5:$Q$82)</f>
        <v/>
      </c>
    </row>
    <row r="8">
      <c r="A8" s="7" t="inlineStr">
        <is>
          <t>ZONA DE SERVICIOS COMPLEMENTARIOS</t>
        </is>
      </c>
      <c r="B8" s="6">
        <f>COUNTIF(MATRIZ!$B$5:$B$82,A8)</f>
        <v/>
      </c>
      <c r="C8" s="6">
        <f>COUNTIFS(MATRIZ!$B$5:$B$82,A8,MATRIZ!$S$5:$S$82,"CUMPLE")</f>
        <v/>
      </c>
      <c r="D8" s="6">
        <f>COUNTIFS(MATRIZ!$B$5:$B$82,A8,MATRIZ!$S$5:$S$82,"OBSERVAR")</f>
        <v/>
      </c>
      <c r="E8" s="6">
        <f>COUNTIFS(MATRIZ!$B$5:$B$82,A8,MATRIZ!$S$5:$S$82,"NO APLICA")</f>
        <v/>
      </c>
      <c r="F8" s="6">
        <f>COUNTIFS(MATRIZ!$B$5:$B$82,A8,MATRIZ!$S$5:$S$82,"NO CUMPLE")</f>
        <v/>
      </c>
      <c r="G8" s="13">
        <f>SUMIF(MATRIZ!$B$5:$B$82,A8,MATRIZ!$Q$5:$Q$82)</f>
        <v/>
      </c>
    </row>
    <row r="9">
      <c r="A9" s="7" t="inlineStr">
        <is>
          <t>ZONA DE SERVICIOS GENERALES</t>
        </is>
      </c>
      <c r="B9" s="6">
        <f>COUNTIF(MATRIZ!$B$5:$B$82,A9)</f>
        <v/>
      </c>
      <c r="C9" s="6">
        <f>COUNTIFS(MATRIZ!$B$5:$B$82,A9,MATRIZ!$S$5:$S$82,"CUMPLE")</f>
        <v/>
      </c>
      <c r="D9" s="6">
        <f>COUNTIFS(MATRIZ!$B$5:$B$82,A9,MATRIZ!$S$5:$S$82,"OBSERVAR")</f>
        <v/>
      </c>
      <c r="E9" s="6">
        <f>COUNTIFS(MATRIZ!$B$5:$B$82,A9,MATRIZ!$S$5:$S$82,"NO APLICA")</f>
        <v/>
      </c>
      <c r="F9" s="6">
        <f>COUNTIFS(MATRIZ!$B$5:$B$82,A9,MATRIZ!$S$5:$S$82,"NO CUMPLE")</f>
        <v/>
      </c>
      <c r="G9" s="13">
        <f>SUMIF(MATRIZ!$B$5:$B$82,A9,MATRIZ!$Q$5:$Q$82)</f>
        <v/>
      </c>
    </row>
    <row r="10">
      <c r="A10" s="7" t="inlineStr">
        <is>
          <t>CIRCULACION</t>
        </is>
      </c>
      <c r="B10" s="6">
        <f>COUNTIF(MATRIZ!$B$5:$B$82,A10)</f>
        <v/>
      </c>
      <c r="C10" s="6">
        <f>COUNTIFS(MATRIZ!$B$5:$B$82,A10,MATRIZ!$S$5:$S$82,"CUMPLE")</f>
        <v/>
      </c>
      <c r="D10" s="6">
        <f>COUNTIFS(MATRIZ!$B$5:$B$82,A10,MATRIZ!$S$5:$S$82,"OBSERVAR")</f>
        <v/>
      </c>
      <c r="E10" s="6">
        <f>COUNTIFS(MATRIZ!$B$5:$B$82,A10,MATRIZ!$S$5:$S$82,"NO APLICA")</f>
        <v/>
      </c>
      <c r="F10" s="6">
        <f>COUNTIFS(MATRIZ!$B$5:$B$82,A10,MATRIZ!$S$5:$S$82,"NO CUMPLE")</f>
        <v/>
      </c>
      <c r="G10" s="13">
        <f>SUMIF(MATRIZ!$B$5:$B$82,A10,MATRIZ!$Q$5:$Q$82)</f>
        <v/>
      </c>
    </row>
    <row r="11">
      <c r="A11" s="14" t="inlineStr">
        <is>
          <t>TOTAL</t>
        </is>
      </c>
      <c r="B11" s="15">
        <f>SUM(B4:B10)</f>
        <v/>
      </c>
      <c r="C11" s="15">
        <f>SUM(C4:C10)</f>
        <v/>
      </c>
      <c r="D11" s="15">
        <f>SUM(D4:D10)</f>
        <v/>
      </c>
      <c r="E11" s="15">
        <f>SUM(E4:E10)</f>
        <v/>
      </c>
      <c r="F11" s="15">
        <f>SUM(F4:F10)</f>
        <v/>
      </c>
      <c r="G11" s="16">
        <f>SUM(G4:G10)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Matriz de sustento normativo - Hogar de Refugio Temporal</dc:title>
  <dcterms:created xmlns:dcterms="http://purl.org/dc/terms/" xmlns:xsi="http://www.w3.org/2001/XMLSchema-instance" xsi:type="dcterms:W3CDTF">2026-10-28T17:13:35Z</dcterms:created>
  <dcterms:modified xmlns:dcterms="http://purl.org/dc/terms/" xmlns:xsi="http://www.w3.org/2001/XMLSchema-instance" xsi:type="dcterms:W3CDTF">2026-10-28T17:13:35Z</dcterms:modified>
</cp:coreProperties>
</file>