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TBM\ALDEA INFANTIL\KATIUSKA\CALCULOS\"/>
    </mc:Choice>
  </mc:AlternateContent>
  <xr:revisionPtr revIDLastSave="0" documentId="13_ncr:1_{A8D2B70F-3609-4676-BEE4-ED53576D7315}" xr6:coauthVersionLast="47" xr6:coauthVersionMax="47" xr10:uidLastSave="{00000000-0000-0000-0000-000000000000}"/>
  <bookViews>
    <workbookView xWindow="-110" yWindow="-110" windowWidth="25820" windowHeight="15500" tabRatio="839" firstSheet="9" activeTab="10" xr2:uid="{00000000-000D-0000-FFFF-FFFF00000000}"/>
  </bookViews>
  <sheets>
    <sheet name="RESUMEN" sheetId="1" r:id="rId1"/>
    <sheet name="PLANILLA GENERAL DE METRADOS" sheetId="2" r:id="rId2"/>
    <sheet name="CONCRETO EN CUNETAS" sheetId="3" r:id="rId3"/>
    <sheet name="ENCOFRADO Y DESENCOFRADO" sheetId="4" r:id="rId4"/>
    <sheet name="METRADO MONTANTES" sheetId="5" r:id="rId5"/>
    <sheet name="METRADO CANALETAS" sheetId="6" r:id="rId6"/>
    <sheet name="METRADO  EN PISO (SUMIDERO)" sheetId="7" r:id="rId7"/>
    <sheet name="METRADO ACERO" sheetId="8" r:id="rId8"/>
    <sheet name="METRADO DE CURADO" sheetId="9" r:id="rId9"/>
    <sheet name="METRADO DE REJILLAS" sheetId="10" r:id="rId10"/>
    <sheet name="METRADO JUNTA DE DILATACION" sheetId="11" r:id="rId11"/>
    <sheet name="METRADO LLORADEROS" sheetId="12" r:id="rId12"/>
    <sheet name="PLANILLA TAPAS REGISTRO INTERNO" sheetId="13" r:id="rId13"/>
    <sheet name="CUNETAS - LLEGADA AL COLECTOR" sheetId="14" r:id="rId14"/>
    <sheet name="PARAMETROS" sheetId="15" r:id="rId15"/>
    <sheet name="Listas" sheetId="16" state="hidden" r:id="rId16"/>
    <sheet name="COLECTOR PARAMETROS" sheetId="17" r:id="rId17"/>
    <sheet name="COLECTOR MOV. TIERRAS" sheetId="18" r:id="rId18"/>
    <sheet name="COLECTOR CONCRETO" sheetId="19" r:id="rId19"/>
    <sheet name="COLECTOR ENCOFRADO" sheetId="20" r:id="rId20"/>
    <sheet name="COLECTOR ACERO" sheetId="21" r:id="rId21"/>
    <sheet name="COLECTOR REGISTROS Y TAPAS" sheetId="22" r:id="rId22"/>
    <sheet name="COLECTOR JUNTAS Y EMPALMES" sheetId="23" r:id="rId23"/>
    <sheet name="COLECTOR INSUMOS" sheetId="24" r:id="rId24"/>
    <sheet name="COSTO HORA HOMBRE 2026" sheetId="25" r:id="rId25"/>
    <sheet name="ACU TAPA REGISTRO" sheetId="26" r:id="rId26"/>
    <sheet name="ACU CANALETAS" sheetId="27" r:id="rId27"/>
    <sheet name="DESAGREGADO TAPA REGISTRO" sheetId="28" r:id="rId28"/>
    <sheet name="ACU JUNTA DILATACION" sheetId="29" r:id="rId29"/>
    <sheet name="ACU JUNTA CAJA CL" sheetId="30" r:id="rId30"/>
    <sheet name="DESAGREGADO LLORADEROS" sheetId="31" r:id="rId31"/>
    <sheet name="ACU LLORADEROS" sheetId="32" r:id="rId32"/>
  </sheets>
  <definedNames>
    <definedName name="_xlnm.Print_Area" localSheetId="2">'CONCRETO EN CUNETAS'!$A$1:$O$79</definedName>
    <definedName name="_xlnm.Print_Area" localSheetId="3">'ENCOFRADO Y DESENCOFRADO'!$A$1:$P$79</definedName>
    <definedName name="_xlnm.Print_Area" localSheetId="5">'METRADO CANALETAS'!$A$1:$L$56</definedName>
    <definedName name="_xlnm.Print_Area" localSheetId="4">'METRADO MONTANTES'!$A$1:$O$51</definedName>
    <definedName name="_xlnm.Print_Area" localSheetId="1">'PLANILLA GENERAL DE METRADOS'!$A$1:$L$216</definedName>
    <definedName name="_xlnm.Print_Area" localSheetId="0">RESUMEN!$A$1:$D$82</definedName>
    <definedName name="_xlnm.Print_Titles" localSheetId="2">'CONCRETO EN CUNETAS'!$1:$8</definedName>
    <definedName name="_xlnm.Print_Titles" localSheetId="3">'ENCOFRADO Y DESENCOFRADO'!$2:$7</definedName>
    <definedName name="_xlnm.Print_Titles" localSheetId="5">'METRADO CANALETAS'!$1:$10</definedName>
    <definedName name="_xlnm.Print_Titles" localSheetId="4">'METRADO MONTANTES'!$1:$10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2" i="32" l="1"/>
  <c r="F41" i="32"/>
  <c r="F40" i="32"/>
  <c r="F39" i="32"/>
  <c r="F38" i="32"/>
  <c r="F37" i="32"/>
  <c r="E34" i="32"/>
  <c r="E33" i="32"/>
  <c r="C30" i="32"/>
  <c r="C5" i="32"/>
  <c r="C4" i="32"/>
  <c r="C3" i="32"/>
  <c r="C2" i="32"/>
  <c r="D64" i="31"/>
  <c r="D63" i="31"/>
  <c r="D62" i="31"/>
  <c r="D61" i="31"/>
  <c r="D60" i="31"/>
  <c r="D59" i="31"/>
  <c r="E44" i="31"/>
  <c r="D44" i="31"/>
  <c r="C44" i="31"/>
  <c r="B44" i="31"/>
  <c r="E43" i="31"/>
  <c r="D43" i="31"/>
  <c r="C43" i="31"/>
  <c r="B43" i="31"/>
  <c r="E42" i="31"/>
  <c r="D42" i="31"/>
  <c r="C42" i="31"/>
  <c r="B42" i="31"/>
  <c r="E41" i="31"/>
  <c r="D41" i="31"/>
  <c r="C41" i="31"/>
  <c r="B41" i="31"/>
  <c r="E40" i="31"/>
  <c r="D40" i="31"/>
  <c r="C40" i="31"/>
  <c r="B40" i="31"/>
  <c r="E39" i="31"/>
  <c r="D39" i="31"/>
  <c r="C39" i="31"/>
  <c r="B39" i="31"/>
  <c r="E38" i="31"/>
  <c r="D38" i="31"/>
  <c r="C38" i="31"/>
  <c r="B38" i="31"/>
  <c r="E37" i="31"/>
  <c r="D37" i="31"/>
  <c r="C37" i="31"/>
  <c r="B37" i="31"/>
  <c r="E36" i="31"/>
  <c r="D36" i="31"/>
  <c r="C36" i="31"/>
  <c r="B36" i="31"/>
  <c r="E35" i="31"/>
  <c r="D35" i="31"/>
  <c r="C35" i="31"/>
  <c r="B35" i="31"/>
  <c r="E34" i="31"/>
  <c r="D34" i="31"/>
  <c r="C34" i="31"/>
  <c r="B34" i="31"/>
  <c r="E33" i="31"/>
  <c r="D33" i="31"/>
  <c r="C33" i="31"/>
  <c r="B33" i="31"/>
  <c r="E32" i="31"/>
  <c r="D32" i="31"/>
  <c r="C32" i="31"/>
  <c r="B32" i="31"/>
  <c r="E31" i="31"/>
  <c r="D31" i="31"/>
  <c r="C31" i="31"/>
  <c r="B31" i="31"/>
  <c r="E30" i="31"/>
  <c r="D30" i="31"/>
  <c r="C30" i="31"/>
  <c r="B30" i="31"/>
  <c r="E29" i="31"/>
  <c r="D29" i="31"/>
  <c r="C29" i="31"/>
  <c r="B29" i="31"/>
  <c r="E28" i="31"/>
  <c r="D28" i="31"/>
  <c r="C28" i="31"/>
  <c r="B28" i="31"/>
  <c r="E27" i="31"/>
  <c r="D27" i="31"/>
  <c r="C27" i="31"/>
  <c r="B27" i="31"/>
  <c r="E26" i="31"/>
  <c r="D26" i="31"/>
  <c r="C26" i="31"/>
  <c r="B26" i="31"/>
  <c r="E25" i="31"/>
  <c r="D25" i="31"/>
  <c r="C25" i="31"/>
  <c r="B25" i="31"/>
  <c r="E24" i="31"/>
  <c r="D24" i="31"/>
  <c r="C24" i="31"/>
  <c r="B24" i="31"/>
  <c r="E23" i="31"/>
  <c r="D23" i="31"/>
  <c r="C23" i="31"/>
  <c r="B23" i="31"/>
  <c r="E22" i="31"/>
  <c r="D22" i="31"/>
  <c r="C22" i="31"/>
  <c r="B22" i="31"/>
  <c r="E21" i="31"/>
  <c r="D21" i="31"/>
  <c r="C21" i="31"/>
  <c r="B21" i="31"/>
  <c r="E20" i="31"/>
  <c r="D20" i="31"/>
  <c r="C20" i="31"/>
  <c r="B20" i="31"/>
  <c r="E19" i="31"/>
  <c r="D19" i="31"/>
  <c r="C19" i="31"/>
  <c r="B19" i="31"/>
  <c r="E18" i="31"/>
  <c r="D18" i="31"/>
  <c r="C18" i="31"/>
  <c r="B18" i="31"/>
  <c r="E17" i="31"/>
  <c r="D17" i="31"/>
  <c r="C17" i="31"/>
  <c r="B17" i="31"/>
  <c r="E16" i="31"/>
  <c r="D16" i="31"/>
  <c r="C16" i="31"/>
  <c r="B16" i="31"/>
  <c r="E15" i="31"/>
  <c r="D15" i="31"/>
  <c r="C15" i="31"/>
  <c r="B15" i="31"/>
  <c r="E14" i="31"/>
  <c r="D14" i="31"/>
  <c r="C14" i="31"/>
  <c r="B14" i="31"/>
  <c r="E13" i="31"/>
  <c r="D13" i="31"/>
  <c r="C13" i="31"/>
  <c r="B13" i="31"/>
  <c r="E12" i="31"/>
  <c r="D12" i="31"/>
  <c r="C12" i="31"/>
  <c r="B12" i="31"/>
  <c r="E11" i="31"/>
  <c r="D11" i="31"/>
  <c r="D45" i="31" s="1"/>
  <c r="C11" i="31"/>
  <c r="B11" i="31"/>
  <c r="C5" i="31"/>
  <c r="C4" i="31"/>
  <c r="C3" i="31"/>
  <c r="C2" i="31"/>
  <c r="F40" i="30"/>
  <c r="F39" i="30"/>
  <c r="F38" i="30"/>
  <c r="E35" i="30"/>
  <c r="E34" i="30"/>
  <c r="C31" i="30"/>
  <c r="D24" i="30"/>
  <c r="D23" i="30"/>
  <c r="D19" i="30"/>
  <c r="D18" i="30"/>
  <c r="D13" i="30"/>
  <c r="D12" i="30"/>
  <c r="C5" i="30"/>
  <c r="C4" i="30"/>
  <c r="C3" i="30"/>
  <c r="C2" i="30"/>
  <c r="F40" i="29"/>
  <c r="F39" i="29"/>
  <c r="F38" i="29"/>
  <c r="D24" i="29"/>
  <c r="E35" i="29" s="1"/>
  <c r="D23" i="29"/>
  <c r="E34" i="29" s="1"/>
  <c r="D19" i="29"/>
  <c r="D18" i="29"/>
  <c r="D13" i="29"/>
  <c r="C5" i="29"/>
  <c r="C4" i="29"/>
  <c r="C3" i="29"/>
  <c r="C2" i="29"/>
  <c r="D30" i="28"/>
  <c r="D27" i="28"/>
  <c r="G21" i="28"/>
  <c r="F21" i="28"/>
  <c r="D21" i="28"/>
  <c r="C21" i="28"/>
  <c r="B21" i="28"/>
  <c r="G20" i="28"/>
  <c r="F20" i="28"/>
  <c r="D20" i="28"/>
  <c r="C20" i="28"/>
  <c r="B20" i="28"/>
  <c r="G19" i="28"/>
  <c r="F19" i="28"/>
  <c r="D19" i="28"/>
  <c r="C19" i="28"/>
  <c r="B19" i="28"/>
  <c r="G18" i="28"/>
  <c r="F18" i="28"/>
  <c r="D18" i="28"/>
  <c r="C18" i="28"/>
  <c r="B18" i="28"/>
  <c r="G17" i="28"/>
  <c r="F17" i="28"/>
  <c r="D17" i="28"/>
  <c r="C17" i="28"/>
  <c r="B17" i="28"/>
  <c r="G16" i="28"/>
  <c r="F16" i="28"/>
  <c r="D16" i="28"/>
  <c r="C16" i="28"/>
  <c r="B16" i="28"/>
  <c r="G15" i="28"/>
  <c r="F15" i="28"/>
  <c r="D15" i="28"/>
  <c r="C15" i="28"/>
  <c r="B15" i="28"/>
  <c r="G14" i="28"/>
  <c r="F14" i="28"/>
  <c r="D14" i="28"/>
  <c r="C14" i="28"/>
  <c r="B14" i="28"/>
  <c r="G13" i="28"/>
  <c r="F13" i="28"/>
  <c r="D13" i="28"/>
  <c r="C13" i="28"/>
  <c r="B13" i="28"/>
  <c r="G12" i="28"/>
  <c r="F12" i="28"/>
  <c r="F22" i="28" s="1"/>
  <c r="D12" i="28"/>
  <c r="C12" i="28"/>
  <c r="B12" i="28"/>
  <c r="G11" i="28"/>
  <c r="F11" i="28"/>
  <c r="D11" i="28"/>
  <c r="C11" i="28"/>
  <c r="B11" i="28"/>
  <c r="C5" i="28"/>
  <c r="C4" i="28"/>
  <c r="C3" i="28"/>
  <c r="C2" i="28"/>
  <c r="E97" i="27"/>
  <c r="G97" i="27" s="1"/>
  <c r="G96" i="27"/>
  <c r="E95" i="27"/>
  <c r="G95" i="27" s="1"/>
  <c r="G98" i="27" s="1"/>
  <c r="E92" i="27"/>
  <c r="E91" i="27"/>
  <c r="G76" i="27"/>
  <c r="E72" i="27"/>
  <c r="E71" i="27"/>
  <c r="G57" i="27"/>
  <c r="G56" i="27"/>
  <c r="E52" i="27"/>
  <c r="E51" i="27"/>
  <c r="E32" i="27"/>
  <c r="E31" i="27"/>
  <c r="D16" i="27"/>
  <c r="D15" i="27"/>
  <c r="D17" i="27" s="1"/>
  <c r="D13" i="27"/>
  <c r="D12" i="27"/>
  <c r="D11" i="27"/>
  <c r="C5" i="27"/>
  <c r="C4" i="27"/>
  <c r="C3" i="27"/>
  <c r="C2" i="27"/>
  <c r="E46" i="26"/>
  <c r="G46" i="26" s="1"/>
  <c r="E45" i="26"/>
  <c r="G45" i="26" s="1"/>
  <c r="E44" i="26"/>
  <c r="G44" i="26" s="1"/>
  <c r="E43" i="26"/>
  <c r="G43" i="26" s="1"/>
  <c r="E42" i="26"/>
  <c r="G42" i="26" s="1"/>
  <c r="D25" i="26"/>
  <c r="D24" i="26"/>
  <c r="D23" i="26"/>
  <c r="D22" i="26"/>
  <c r="D21" i="26"/>
  <c r="D20" i="26"/>
  <c r="D19" i="26"/>
  <c r="D13" i="26"/>
  <c r="D12" i="26"/>
  <c r="C5" i="26"/>
  <c r="C4" i="26"/>
  <c r="C3" i="26"/>
  <c r="C2" i="26"/>
  <c r="E50" i="25"/>
  <c r="D50" i="25"/>
  <c r="F24" i="25"/>
  <c r="E24" i="25"/>
  <c r="D24" i="25"/>
  <c r="C20" i="25"/>
  <c r="F19" i="25"/>
  <c r="F20" i="25" s="1"/>
  <c r="E19" i="25"/>
  <c r="E20" i="25" s="1"/>
  <c r="D19" i="25"/>
  <c r="D20" i="25" s="1"/>
  <c r="C18" i="25"/>
  <c r="C13" i="25"/>
  <c r="C12" i="25"/>
  <c r="C11" i="25"/>
  <c r="C5" i="25"/>
  <c r="C4" i="25"/>
  <c r="C3" i="25"/>
  <c r="C2" i="25"/>
  <c r="F24" i="23"/>
  <c r="F23" i="23"/>
  <c r="F22" i="23"/>
  <c r="F21" i="23"/>
  <c r="F20" i="23"/>
  <c r="E16" i="23"/>
  <c r="E15" i="23"/>
  <c r="F15" i="23" s="1"/>
  <c r="E11" i="23"/>
  <c r="D11" i="29" s="1"/>
  <c r="D11" i="23"/>
  <c r="C11" i="23"/>
  <c r="C5" i="23"/>
  <c r="C4" i="23"/>
  <c r="C3" i="23"/>
  <c r="C2" i="23"/>
  <c r="E21" i="22"/>
  <c r="C5" i="22"/>
  <c r="C4" i="22"/>
  <c r="C3" i="22"/>
  <c r="C2" i="22"/>
  <c r="I19" i="21"/>
  <c r="G19" i="21"/>
  <c r="F19" i="21"/>
  <c r="E19" i="21"/>
  <c r="H19" i="21" s="1"/>
  <c r="U19" i="21" s="1"/>
  <c r="I18" i="21"/>
  <c r="F18" i="21"/>
  <c r="H18" i="21" s="1"/>
  <c r="U18" i="21" s="1"/>
  <c r="I17" i="21"/>
  <c r="F17" i="21"/>
  <c r="H17" i="21" s="1"/>
  <c r="U17" i="21" s="1"/>
  <c r="Q12" i="21"/>
  <c r="O12" i="21"/>
  <c r="M12" i="21"/>
  <c r="K12" i="21"/>
  <c r="H12" i="21"/>
  <c r="F12" i="21"/>
  <c r="E12" i="21"/>
  <c r="D12" i="21"/>
  <c r="Q11" i="21"/>
  <c r="O11" i="21"/>
  <c r="M11" i="21"/>
  <c r="H11" i="21"/>
  <c r="F11" i="21"/>
  <c r="E11" i="21"/>
  <c r="D11" i="21"/>
  <c r="K11" i="21" s="1"/>
  <c r="Q10" i="21"/>
  <c r="O10" i="21"/>
  <c r="H10" i="21"/>
  <c r="F10" i="21"/>
  <c r="E10" i="21"/>
  <c r="M10" i="21" s="1"/>
  <c r="D10" i="21"/>
  <c r="C5" i="21"/>
  <c r="C4" i="21"/>
  <c r="C3" i="21"/>
  <c r="C2" i="21"/>
  <c r="G12" i="20"/>
  <c r="J12" i="20" s="1"/>
  <c r="F12" i="20"/>
  <c r="E12" i="20"/>
  <c r="D12" i="20"/>
  <c r="G11" i="20"/>
  <c r="J11" i="20" s="1"/>
  <c r="F11" i="20"/>
  <c r="E11" i="20"/>
  <c r="D11" i="20"/>
  <c r="D13" i="20" s="1"/>
  <c r="J10" i="20"/>
  <c r="J13" i="20" s="1"/>
  <c r="I10" i="20"/>
  <c r="G10" i="20"/>
  <c r="F10" i="20"/>
  <c r="E10" i="20"/>
  <c r="H10" i="20" s="1"/>
  <c r="D10" i="20"/>
  <c r="C5" i="20"/>
  <c r="C4" i="20"/>
  <c r="C3" i="20"/>
  <c r="C2" i="20"/>
  <c r="M19" i="19"/>
  <c r="H27" i="19" s="1"/>
  <c r="L19" i="19"/>
  <c r="H26" i="19" s="1"/>
  <c r="J19" i="19"/>
  <c r="H24" i="19" s="1"/>
  <c r="I19" i="19"/>
  <c r="H23" i="19" s="1"/>
  <c r="H19" i="19"/>
  <c r="H22" i="19" s="1"/>
  <c r="G18" i="19"/>
  <c r="F18" i="19"/>
  <c r="E18" i="19"/>
  <c r="D18" i="19"/>
  <c r="K18" i="19" s="1"/>
  <c r="J189" i="2" s="1"/>
  <c r="G17" i="19"/>
  <c r="E17" i="19"/>
  <c r="F12" i="19"/>
  <c r="E12" i="19"/>
  <c r="D12" i="19"/>
  <c r="D13" i="19" s="1"/>
  <c r="J11" i="19"/>
  <c r="J182" i="2" s="1"/>
  <c r="F11" i="19"/>
  <c r="E11" i="19"/>
  <c r="D11" i="19"/>
  <c r="F10" i="19"/>
  <c r="E10" i="19"/>
  <c r="D10" i="19"/>
  <c r="C5" i="19"/>
  <c r="C4" i="19"/>
  <c r="C3" i="19"/>
  <c r="C2" i="19"/>
  <c r="F13" i="18"/>
  <c r="Q12" i="18"/>
  <c r="J166" i="2" s="1"/>
  <c r="P12" i="18"/>
  <c r="J163" i="2" s="1"/>
  <c r="I12" i="18"/>
  <c r="Q11" i="18"/>
  <c r="J165" i="2" s="1"/>
  <c r="P11" i="18"/>
  <c r="J162" i="2" s="1"/>
  <c r="I11" i="18"/>
  <c r="Q10" i="18"/>
  <c r="P10" i="18"/>
  <c r="I10" i="18"/>
  <c r="C5" i="18"/>
  <c r="C4" i="18"/>
  <c r="C3" i="18"/>
  <c r="C2" i="18"/>
  <c r="C40" i="17"/>
  <c r="D17" i="19" s="1"/>
  <c r="K17" i="19" s="1"/>
  <c r="C25" i="17"/>
  <c r="C5" i="17"/>
  <c r="C4" i="17"/>
  <c r="C3" i="17"/>
  <c r="C2" i="17"/>
  <c r="E14" i="14"/>
  <c r="E13" i="14"/>
  <c r="E12" i="14"/>
  <c r="E11" i="14"/>
  <c r="E10" i="14"/>
  <c r="C5" i="14"/>
  <c r="C4" i="14"/>
  <c r="C3" i="14"/>
  <c r="C2" i="14"/>
  <c r="G21" i="13"/>
  <c r="E21" i="13"/>
  <c r="D21" i="13"/>
  <c r="C21" i="13"/>
  <c r="I21" i="13" s="1"/>
  <c r="J21" i="13" s="1"/>
  <c r="G20" i="13"/>
  <c r="E20" i="13"/>
  <c r="D20" i="13"/>
  <c r="C20" i="13"/>
  <c r="I20" i="13" s="1"/>
  <c r="J20" i="13" s="1"/>
  <c r="J22" i="13" s="1"/>
  <c r="E16" i="13"/>
  <c r="D16" i="13"/>
  <c r="H16" i="13" s="1"/>
  <c r="C16" i="13"/>
  <c r="I16" i="13" s="1"/>
  <c r="J16" i="13" s="1"/>
  <c r="F15" i="13"/>
  <c r="D15" i="13"/>
  <c r="H15" i="13" s="1"/>
  <c r="C15" i="13"/>
  <c r="I15" i="13" s="1"/>
  <c r="J15" i="13" s="1"/>
  <c r="J17" i="13" s="1"/>
  <c r="F12" i="13"/>
  <c r="E12" i="13"/>
  <c r="D12" i="13"/>
  <c r="C12" i="13"/>
  <c r="I12" i="13" s="1"/>
  <c r="J12" i="13" s="1"/>
  <c r="J9" i="13"/>
  <c r="B5" i="13"/>
  <c r="B4" i="13"/>
  <c r="B3" i="13"/>
  <c r="E42" i="12"/>
  <c r="G40" i="12"/>
  <c r="F44" i="31" s="1"/>
  <c r="G39" i="12"/>
  <c r="F43" i="31" s="1"/>
  <c r="G38" i="12"/>
  <c r="F42" i="31" s="1"/>
  <c r="G37" i="12"/>
  <c r="F41" i="31" s="1"/>
  <c r="G36" i="12"/>
  <c r="F40" i="31" s="1"/>
  <c r="G35" i="12"/>
  <c r="F39" i="31" s="1"/>
  <c r="G34" i="12"/>
  <c r="F38" i="31" s="1"/>
  <c r="G33" i="12"/>
  <c r="F37" i="31" s="1"/>
  <c r="G32" i="12"/>
  <c r="F36" i="31" s="1"/>
  <c r="G31" i="12"/>
  <c r="F35" i="31" s="1"/>
  <c r="G30" i="12"/>
  <c r="F34" i="31" s="1"/>
  <c r="G29" i="12"/>
  <c r="F33" i="31" s="1"/>
  <c r="G28" i="12"/>
  <c r="F32" i="31" s="1"/>
  <c r="G27" i="12"/>
  <c r="F31" i="31" s="1"/>
  <c r="G26" i="12"/>
  <c r="F30" i="31" s="1"/>
  <c r="G25" i="12"/>
  <c r="F29" i="31" s="1"/>
  <c r="G24" i="12"/>
  <c r="F28" i="31" s="1"/>
  <c r="G23" i="12"/>
  <c r="F27" i="31" s="1"/>
  <c r="G22" i="12"/>
  <c r="F26" i="31" s="1"/>
  <c r="G21" i="12"/>
  <c r="F25" i="31" s="1"/>
  <c r="G20" i="12"/>
  <c r="F24" i="31" s="1"/>
  <c r="G19" i="12"/>
  <c r="F23" i="31" s="1"/>
  <c r="G18" i="12"/>
  <c r="F22" i="31" s="1"/>
  <c r="G17" i="12"/>
  <c r="F21" i="31" s="1"/>
  <c r="G16" i="12"/>
  <c r="F20" i="31" s="1"/>
  <c r="G15" i="12"/>
  <c r="F19" i="31" s="1"/>
  <c r="G14" i="12"/>
  <c r="F18" i="31" s="1"/>
  <c r="G13" i="12"/>
  <c r="F17" i="31" s="1"/>
  <c r="G12" i="12"/>
  <c r="F16" i="31" s="1"/>
  <c r="G11" i="12"/>
  <c r="F15" i="31" s="1"/>
  <c r="G10" i="12"/>
  <c r="F14" i="31" s="1"/>
  <c r="G9" i="12"/>
  <c r="F13" i="31" s="1"/>
  <c r="G8" i="12"/>
  <c r="F12" i="31" s="1"/>
  <c r="G7" i="12"/>
  <c r="H4" i="12"/>
  <c r="C4" i="12"/>
  <c r="C3" i="12"/>
  <c r="G21" i="11"/>
  <c r="H21" i="11" s="1"/>
  <c r="E21" i="11"/>
  <c r="F21" i="11" s="1"/>
  <c r="I21" i="11" s="1"/>
  <c r="G20" i="11"/>
  <c r="H20" i="11" s="1"/>
  <c r="E20" i="11"/>
  <c r="F20" i="11" s="1"/>
  <c r="I20" i="11" s="1"/>
  <c r="G19" i="11"/>
  <c r="H19" i="11" s="1"/>
  <c r="E19" i="11"/>
  <c r="F19" i="11" s="1"/>
  <c r="I19" i="11" s="1"/>
  <c r="G18" i="11"/>
  <c r="H18" i="11" s="1"/>
  <c r="E18" i="11"/>
  <c r="F18" i="11" s="1"/>
  <c r="I18" i="11" s="1"/>
  <c r="G17" i="11"/>
  <c r="H17" i="11" s="1"/>
  <c r="E17" i="11"/>
  <c r="F17" i="11" s="1"/>
  <c r="I17" i="11" s="1"/>
  <c r="G16" i="11"/>
  <c r="H16" i="11" s="1"/>
  <c r="E16" i="11"/>
  <c r="F16" i="11" s="1"/>
  <c r="I16" i="11" s="1"/>
  <c r="G15" i="11"/>
  <c r="H15" i="11" s="1"/>
  <c r="E15" i="11"/>
  <c r="F15" i="11" s="1"/>
  <c r="I15" i="11" s="1"/>
  <c r="G14" i="11"/>
  <c r="H14" i="11" s="1"/>
  <c r="E14" i="11"/>
  <c r="F14" i="11" s="1"/>
  <c r="I14" i="11" s="1"/>
  <c r="G13" i="11"/>
  <c r="H13" i="11" s="1"/>
  <c r="E13" i="11"/>
  <c r="F13" i="11" s="1"/>
  <c r="I13" i="11" s="1"/>
  <c r="B5" i="11"/>
  <c r="B4" i="11"/>
  <c r="B3" i="11"/>
  <c r="G27" i="10"/>
  <c r="K108" i="2" s="1"/>
  <c r="D29" i="1" s="1"/>
  <c r="G25" i="10"/>
  <c r="G24" i="10"/>
  <c r="G23" i="10"/>
  <c r="G22" i="10"/>
  <c r="G21" i="10"/>
  <c r="G20" i="10"/>
  <c r="G19" i="10"/>
  <c r="G18" i="10"/>
  <c r="G17" i="10"/>
  <c r="G16" i="10"/>
  <c r="G15" i="10"/>
  <c r="G14" i="10"/>
  <c r="G13" i="10"/>
  <c r="G12" i="10"/>
  <c r="G11" i="10"/>
  <c r="G10" i="10"/>
  <c r="G9" i="10"/>
  <c r="G8" i="10"/>
  <c r="G7" i="10"/>
  <c r="H4" i="10"/>
  <c r="C4" i="10"/>
  <c r="C3" i="10"/>
  <c r="N25" i="9"/>
  <c r="L25" i="9"/>
  <c r="K25" i="9"/>
  <c r="I25" i="9"/>
  <c r="J25" i="9" s="1"/>
  <c r="M25" i="9" s="1"/>
  <c r="N24" i="9"/>
  <c r="L24" i="9"/>
  <c r="K24" i="9"/>
  <c r="I24" i="9"/>
  <c r="J24" i="9" s="1"/>
  <c r="M24" i="9" s="1"/>
  <c r="N23" i="9"/>
  <c r="L23" i="9"/>
  <c r="K23" i="9"/>
  <c r="I23" i="9"/>
  <c r="J23" i="9" s="1"/>
  <c r="M23" i="9" s="1"/>
  <c r="N22" i="9"/>
  <c r="L22" i="9"/>
  <c r="K22" i="9"/>
  <c r="I22" i="9"/>
  <c r="J22" i="9" s="1"/>
  <c r="M22" i="9" s="1"/>
  <c r="N21" i="9"/>
  <c r="L21" i="9"/>
  <c r="K21" i="9"/>
  <c r="I21" i="9"/>
  <c r="J21" i="9" s="1"/>
  <c r="M21" i="9" s="1"/>
  <c r="N20" i="9"/>
  <c r="L20" i="9"/>
  <c r="K20" i="9"/>
  <c r="I20" i="9"/>
  <c r="J20" i="9" s="1"/>
  <c r="M20" i="9" s="1"/>
  <c r="N19" i="9"/>
  <c r="L19" i="9"/>
  <c r="K19" i="9"/>
  <c r="I19" i="9"/>
  <c r="J19" i="9" s="1"/>
  <c r="M19" i="9" s="1"/>
  <c r="N18" i="9"/>
  <c r="L18" i="9"/>
  <c r="K18" i="9"/>
  <c r="I18" i="9"/>
  <c r="J18" i="9" s="1"/>
  <c r="M18" i="9" s="1"/>
  <c r="N17" i="9"/>
  <c r="L17" i="9"/>
  <c r="K17" i="9"/>
  <c r="I17" i="9"/>
  <c r="J17" i="9" s="1"/>
  <c r="M17" i="9" s="1"/>
  <c r="N16" i="9"/>
  <c r="L16" i="9"/>
  <c r="K16" i="9"/>
  <c r="I16" i="9"/>
  <c r="J16" i="9" s="1"/>
  <c r="M16" i="9" s="1"/>
  <c r="N15" i="9"/>
  <c r="L15" i="9"/>
  <c r="K15" i="9"/>
  <c r="I15" i="9"/>
  <c r="J15" i="9" s="1"/>
  <c r="M15" i="9" s="1"/>
  <c r="N14" i="9"/>
  <c r="L14" i="9"/>
  <c r="K14" i="9"/>
  <c r="I14" i="9"/>
  <c r="J14" i="9" s="1"/>
  <c r="M14" i="9" s="1"/>
  <c r="N13" i="9"/>
  <c r="L13" i="9"/>
  <c r="K13" i="9"/>
  <c r="I13" i="9"/>
  <c r="J13" i="9" s="1"/>
  <c r="M13" i="9" s="1"/>
  <c r="N12" i="9"/>
  <c r="L12" i="9"/>
  <c r="K12" i="9"/>
  <c r="I12" i="9"/>
  <c r="J12" i="9" s="1"/>
  <c r="M12" i="9" s="1"/>
  <c r="N11" i="9"/>
  <c r="L11" i="9"/>
  <c r="K11" i="9"/>
  <c r="I11" i="9"/>
  <c r="J11" i="9" s="1"/>
  <c r="M11" i="9" s="1"/>
  <c r="N10" i="9"/>
  <c r="L10" i="9"/>
  <c r="K10" i="9"/>
  <c r="I10" i="9"/>
  <c r="J10" i="9" s="1"/>
  <c r="M10" i="9" s="1"/>
  <c r="N9" i="9"/>
  <c r="L9" i="9"/>
  <c r="K9" i="9"/>
  <c r="I9" i="9"/>
  <c r="J9" i="9" s="1"/>
  <c r="M9" i="9" s="1"/>
  <c r="N8" i="9"/>
  <c r="L8" i="9"/>
  <c r="K8" i="9"/>
  <c r="I8" i="9"/>
  <c r="J8" i="9" s="1"/>
  <c r="M8" i="9" s="1"/>
  <c r="N7" i="9"/>
  <c r="L7" i="9"/>
  <c r="K7" i="9"/>
  <c r="I7" i="9"/>
  <c r="J7" i="9" s="1"/>
  <c r="M7" i="9" s="1"/>
  <c r="M27" i="9" s="1"/>
  <c r="L4" i="9"/>
  <c r="C4" i="9"/>
  <c r="C3" i="9"/>
  <c r="G28" i="8"/>
  <c r="AD27" i="8"/>
  <c r="AC27" i="8"/>
  <c r="AE27" i="8" s="1"/>
  <c r="AF27" i="8" s="1"/>
  <c r="T27" i="8"/>
  <c r="S27" i="8"/>
  <c r="U27" i="8" s="1"/>
  <c r="V27" i="8" s="1"/>
  <c r="M27" i="8"/>
  <c r="N27" i="8" s="1"/>
  <c r="O27" i="8" s="1"/>
  <c r="W27" i="8" s="1"/>
  <c r="AG27" i="8" s="1"/>
  <c r="I27" i="8"/>
  <c r="AF26" i="8"/>
  <c r="AE26" i="8"/>
  <c r="AD26" i="8"/>
  <c r="AC26" i="8"/>
  <c r="T26" i="8"/>
  <c r="S26" i="8"/>
  <c r="U26" i="8" s="1"/>
  <c r="V26" i="8" s="1"/>
  <c r="M26" i="8"/>
  <c r="N26" i="8" s="1"/>
  <c r="O26" i="8" s="1"/>
  <c r="W26" i="8" s="1"/>
  <c r="AG26" i="8" s="1"/>
  <c r="I26" i="8"/>
  <c r="AD25" i="8"/>
  <c r="AC25" i="8"/>
  <c r="AE25" i="8" s="1"/>
  <c r="AF25" i="8" s="1"/>
  <c r="T25" i="8"/>
  <c r="S25" i="8"/>
  <c r="U25" i="8" s="1"/>
  <c r="V25" i="8" s="1"/>
  <c r="N25" i="8"/>
  <c r="O25" i="8" s="1"/>
  <c r="W25" i="8" s="1"/>
  <c r="AG25" i="8" s="1"/>
  <c r="M25" i="8"/>
  <c r="I25" i="8"/>
  <c r="AF24" i="8"/>
  <c r="AE24" i="8"/>
  <c r="AD24" i="8"/>
  <c r="AC24" i="8"/>
  <c r="T24" i="8"/>
  <c r="S24" i="8"/>
  <c r="U24" i="8" s="1"/>
  <c r="V24" i="8" s="1"/>
  <c r="M24" i="8"/>
  <c r="N24" i="8" s="1"/>
  <c r="O24" i="8" s="1"/>
  <c r="W24" i="8" s="1"/>
  <c r="AG24" i="8" s="1"/>
  <c r="I24" i="8"/>
  <c r="AF23" i="8"/>
  <c r="AE23" i="8"/>
  <c r="AD23" i="8"/>
  <c r="AC23" i="8"/>
  <c r="T23" i="8"/>
  <c r="S23" i="8"/>
  <c r="U23" i="8" s="1"/>
  <c r="V23" i="8" s="1"/>
  <c r="M23" i="8"/>
  <c r="N23" i="8" s="1"/>
  <c r="O23" i="8" s="1"/>
  <c r="W23" i="8" s="1"/>
  <c r="AG23" i="8" s="1"/>
  <c r="I23" i="8"/>
  <c r="AD22" i="8"/>
  <c r="AC22" i="8"/>
  <c r="AE22" i="8" s="1"/>
  <c r="AF22" i="8" s="1"/>
  <c r="T22" i="8"/>
  <c r="S22" i="8"/>
  <c r="U22" i="8" s="1"/>
  <c r="V22" i="8" s="1"/>
  <c r="M22" i="8"/>
  <c r="N22" i="8" s="1"/>
  <c r="O22" i="8" s="1"/>
  <c r="W22" i="8" s="1"/>
  <c r="AG22" i="8" s="1"/>
  <c r="I22" i="8"/>
  <c r="AF21" i="8"/>
  <c r="AE21" i="8"/>
  <c r="AD21" i="8"/>
  <c r="AC21" i="8"/>
  <c r="T21" i="8"/>
  <c r="S21" i="8"/>
  <c r="U21" i="8" s="1"/>
  <c r="V21" i="8" s="1"/>
  <c r="M21" i="8"/>
  <c r="N21" i="8" s="1"/>
  <c r="O21" i="8" s="1"/>
  <c r="W21" i="8" s="1"/>
  <c r="AG21" i="8" s="1"/>
  <c r="I21" i="8"/>
  <c r="AD20" i="8"/>
  <c r="AC20" i="8"/>
  <c r="AE20" i="8" s="1"/>
  <c r="AF20" i="8" s="1"/>
  <c r="T20" i="8"/>
  <c r="S20" i="8"/>
  <c r="U20" i="8" s="1"/>
  <c r="V20" i="8" s="1"/>
  <c r="M20" i="8"/>
  <c r="N20" i="8" s="1"/>
  <c r="O20" i="8" s="1"/>
  <c r="W20" i="8" s="1"/>
  <c r="AG20" i="8" s="1"/>
  <c r="I20" i="8"/>
  <c r="AF19" i="8"/>
  <c r="AE19" i="8"/>
  <c r="AD19" i="8"/>
  <c r="AC19" i="8"/>
  <c r="T19" i="8"/>
  <c r="S19" i="8"/>
  <c r="U19" i="8" s="1"/>
  <c r="V19" i="8" s="1"/>
  <c r="M19" i="8"/>
  <c r="N19" i="8" s="1"/>
  <c r="O19" i="8" s="1"/>
  <c r="W19" i="8" s="1"/>
  <c r="AG19" i="8" s="1"/>
  <c r="I19" i="8"/>
  <c r="AD18" i="8"/>
  <c r="AC18" i="8"/>
  <c r="AE18" i="8" s="1"/>
  <c r="AF18" i="8" s="1"/>
  <c r="T18" i="8"/>
  <c r="S18" i="8"/>
  <c r="U18" i="8" s="1"/>
  <c r="V18" i="8" s="1"/>
  <c r="M18" i="8"/>
  <c r="N18" i="8" s="1"/>
  <c r="O18" i="8" s="1"/>
  <c r="W18" i="8" s="1"/>
  <c r="I18" i="8"/>
  <c r="AF17" i="8"/>
  <c r="AE17" i="8"/>
  <c r="AD17" i="8"/>
  <c r="AC17" i="8"/>
  <c r="T17" i="8"/>
  <c r="S17" i="8"/>
  <c r="U17" i="8" s="1"/>
  <c r="V17" i="8" s="1"/>
  <c r="M17" i="8"/>
  <c r="N17" i="8" s="1"/>
  <c r="O17" i="8" s="1"/>
  <c r="W17" i="8" s="1"/>
  <c r="AG17" i="8" s="1"/>
  <c r="I17" i="8"/>
  <c r="AD16" i="8"/>
  <c r="AC16" i="8"/>
  <c r="AE16" i="8" s="1"/>
  <c r="AF16" i="8" s="1"/>
  <c r="T16" i="8"/>
  <c r="S16" i="8"/>
  <c r="U16" i="8" s="1"/>
  <c r="V16" i="8" s="1"/>
  <c r="M16" i="8"/>
  <c r="N16" i="8" s="1"/>
  <c r="O16" i="8" s="1"/>
  <c r="W16" i="8" s="1"/>
  <c r="AG16" i="8" s="1"/>
  <c r="I16" i="8"/>
  <c r="AF15" i="8"/>
  <c r="AE15" i="8"/>
  <c r="AD15" i="8"/>
  <c r="AC15" i="8"/>
  <c r="T15" i="8"/>
  <c r="S15" i="8"/>
  <c r="U15" i="8" s="1"/>
  <c r="V15" i="8" s="1"/>
  <c r="M15" i="8"/>
  <c r="N15" i="8" s="1"/>
  <c r="O15" i="8" s="1"/>
  <c r="W15" i="8" s="1"/>
  <c r="AG15" i="8" s="1"/>
  <c r="I15" i="8"/>
  <c r="AF14" i="8"/>
  <c r="AE14" i="8"/>
  <c r="AD14" i="8"/>
  <c r="AC14" i="8"/>
  <c r="T14" i="8"/>
  <c r="S14" i="8"/>
  <c r="U14" i="8" s="1"/>
  <c r="V14" i="8" s="1"/>
  <c r="M14" i="8"/>
  <c r="N14" i="8" s="1"/>
  <c r="O14" i="8" s="1"/>
  <c r="W14" i="8" s="1"/>
  <c r="AG14" i="8" s="1"/>
  <c r="I14" i="8"/>
  <c r="AD13" i="8"/>
  <c r="AC13" i="8"/>
  <c r="AE13" i="8" s="1"/>
  <c r="AF13" i="8" s="1"/>
  <c r="T13" i="8"/>
  <c r="S13" i="8"/>
  <c r="U13" i="8" s="1"/>
  <c r="V13" i="8" s="1"/>
  <c r="M13" i="8"/>
  <c r="N13" i="8" s="1"/>
  <c r="O13" i="8" s="1"/>
  <c r="W13" i="8" s="1"/>
  <c r="AG13" i="8" s="1"/>
  <c r="I13" i="8"/>
  <c r="AF12" i="8"/>
  <c r="AE12" i="8"/>
  <c r="AD12" i="8"/>
  <c r="AC12" i="8"/>
  <c r="T12" i="8"/>
  <c r="S12" i="8"/>
  <c r="U12" i="8" s="1"/>
  <c r="V12" i="8" s="1"/>
  <c r="M12" i="8"/>
  <c r="N12" i="8" s="1"/>
  <c r="O12" i="8" s="1"/>
  <c r="W12" i="8" s="1"/>
  <c r="AG12" i="8" s="1"/>
  <c r="I12" i="8"/>
  <c r="AE11" i="8"/>
  <c r="AD11" i="8"/>
  <c r="AC11" i="8"/>
  <c r="T11" i="8"/>
  <c r="S11" i="8"/>
  <c r="U11" i="8" s="1"/>
  <c r="M11" i="8"/>
  <c r="N11" i="8" s="1"/>
  <c r="I11" i="8"/>
  <c r="B6" i="8"/>
  <c r="B5" i="8"/>
  <c r="B4" i="8"/>
  <c r="B3" i="8"/>
  <c r="F11" i="7"/>
  <c r="K134" i="2" s="1"/>
  <c r="D48" i="1" s="1"/>
  <c r="E11" i="7"/>
  <c r="D11" i="7"/>
  <c r="K133" i="2" s="1"/>
  <c r="D47" i="1" s="1"/>
  <c r="C11" i="7"/>
  <c r="K132" i="2" s="1"/>
  <c r="D46" i="1" s="1"/>
  <c r="B11" i="7"/>
  <c r="K131" i="2" s="1"/>
  <c r="D45" i="1" s="1"/>
  <c r="B5" i="7"/>
  <c r="B4" i="7"/>
  <c r="B3" i="7"/>
  <c r="B2" i="7"/>
  <c r="F51" i="6"/>
  <c r="D14" i="27" s="1"/>
  <c r="E35" i="27" s="1"/>
  <c r="G35" i="27" s="1"/>
  <c r="C44" i="6"/>
  <c r="J43" i="6"/>
  <c r="K43" i="6" s="1"/>
  <c r="H43" i="6"/>
  <c r="I43" i="6" s="1"/>
  <c r="D43" i="6"/>
  <c r="J42" i="6"/>
  <c r="K42" i="6" s="1"/>
  <c r="H42" i="6"/>
  <c r="I42" i="6" s="1"/>
  <c r="F42" i="6"/>
  <c r="G42" i="6" s="1"/>
  <c r="E42" i="6"/>
  <c r="J40" i="6"/>
  <c r="K40" i="6" s="1"/>
  <c r="H40" i="6"/>
  <c r="I40" i="6" s="1"/>
  <c r="D40" i="6"/>
  <c r="J39" i="6"/>
  <c r="K39" i="6" s="1"/>
  <c r="H39" i="6"/>
  <c r="I39" i="6" s="1"/>
  <c r="F39" i="6"/>
  <c r="G39" i="6" s="1"/>
  <c r="E39" i="6"/>
  <c r="J37" i="6"/>
  <c r="K37" i="6" s="1"/>
  <c r="H37" i="6"/>
  <c r="I37" i="6" s="1"/>
  <c r="D37" i="6"/>
  <c r="J36" i="6"/>
  <c r="K36" i="6" s="1"/>
  <c r="H36" i="6"/>
  <c r="I36" i="6" s="1"/>
  <c r="F36" i="6"/>
  <c r="G36" i="6" s="1"/>
  <c r="E36" i="6"/>
  <c r="J34" i="6"/>
  <c r="K34" i="6" s="1"/>
  <c r="H34" i="6"/>
  <c r="I34" i="6" s="1"/>
  <c r="D34" i="6"/>
  <c r="J33" i="6"/>
  <c r="K33" i="6" s="1"/>
  <c r="H33" i="6"/>
  <c r="I33" i="6" s="1"/>
  <c r="F33" i="6"/>
  <c r="G33" i="6" s="1"/>
  <c r="E33" i="6"/>
  <c r="K31" i="6"/>
  <c r="J31" i="6"/>
  <c r="H31" i="6"/>
  <c r="I31" i="6" s="1"/>
  <c r="D31" i="6"/>
  <c r="J30" i="6"/>
  <c r="K30" i="6" s="1"/>
  <c r="H30" i="6"/>
  <c r="I30" i="6" s="1"/>
  <c r="F30" i="6"/>
  <c r="G30" i="6" s="1"/>
  <c r="E30" i="6"/>
  <c r="J28" i="6"/>
  <c r="K28" i="6" s="1"/>
  <c r="H28" i="6"/>
  <c r="I28" i="6" s="1"/>
  <c r="D28" i="6"/>
  <c r="J27" i="6"/>
  <c r="K27" i="6" s="1"/>
  <c r="H27" i="6"/>
  <c r="I27" i="6" s="1"/>
  <c r="F27" i="6"/>
  <c r="G27" i="6" s="1"/>
  <c r="E27" i="6"/>
  <c r="J25" i="6"/>
  <c r="K25" i="6" s="1"/>
  <c r="H25" i="6"/>
  <c r="I25" i="6" s="1"/>
  <c r="D25" i="6"/>
  <c r="J24" i="6"/>
  <c r="K24" i="6" s="1"/>
  <c r="H24" i="6"/>
  <c r="I24" i="6" s="1"/>
  <c r="F24" i="6"/>
  <c r="G24" i="6" s="1"/>
  <c r="E24" i="6"/>
  <c r="J22" i="6"/>
  <c r="K22" i="6" s="1"/>
  <c r="H22" i="6"/>
  <c r="I22" i="6" s="1"/>
  <c r="D22" i="6"/>
  <c r="J21" i="6"/>
  <c r="K21" i="6" s="1"/>
  <c r="H21" i="6"/>
  <c r="I21" i="6" s="1"/>
  <c r="F21" i="6"/>
  <c r="G21" i="6" s="1"/>
  <c r="E21" i="6"/>
  <c r="J19" i="6"/>
  <c r="K19" i="6" s="1"/>
  <c r="H19" i="6"/>
  <c r="I19" i="6" s="1"/>
  <c r="D19" i="6"/>
  <c r="J18" i="6"/>
  <c r="K18" i="6" s="1"/>
  <c r="H18" i="6"/>
  <c r="I18" i="6" s="1"/>
  <c r="F18" i="6"/>
  <c r="G18" i="6" s="1"/>
  <c r="E18" i="6"/>
  <c r="J16" i="6"/>
  <c r="K16" i="6" s="1"/>
  <c r="H16" i="6"/>
  <c r="I16" i="6" s="1"/>
  <c r="D16" i="6"/>
  <c r="J15" i="6"/>
  <c r="K15" i="6" s="1"/>
  <c r="H15" i="6"/>
  <c r="I15" i="6" s="1"/>
  <c r="F15" i="6"/>
  <c r="G15" i="6" s="1"/>
  <c r="E15" i="6"/>
  <c r="J13" i="6"/>
  <c r="K13" i="6" s="1"/>
  <c r="H13" i="6"/>
  <c r="I13" i="6" s="1"/>
  <c r="D13" i="6"/>
  <c r="J12" i="6"/>
  <c r="K12" i="6" s="1"/>
  <c r="H12" i="6"/>
  <c r="I12" i="6" s="1"/>
  <c r="F12" i="6"/>
  <c r="G12" i="6" s="1"/>
  <c r="E12" i="6"/>
  <c r="C6" i="6"/>
  <c r="C5" i="6"/>
  <c r="C4" i="6"/>
  <c r="C3" i="6"/>
  <c r="C49" i="5"/>
  <c r="O48" i="5"/>
  <c r="L48" i="5"/>
  <c r="I48" i="5"/>
  <c r="F48" i="5"/>
  <c r="O47" i="5"/>
  <c r="L47" i="5"/>
  <c r="I47" i="5"/>
  <c r="F47" i="5"/>
  <c r="O46" i="5"/>
  <c r="L46" i="5"/>
  <c r="I46" i="5"/>
  <c r="F46" i="5"/>
  <c r="O45" i="5"/>
  <c r="L45" i="5"/>
  <c r="I45" i="5"/>
  <c r="F45" i="5"/>
  <c r="O44" i="5"/>
  <c r="L44" i="5"/>
  <c r="L49" i="5" s="1"/>
  <c r="K139" i="2" s="1"/>
  <c r="D52" i="1" s="1"/>
  <c r="I44" i="5"/>
  <c r="I49" i="5" s="1"/>
  <c r="K137" i="2" s="1"/>
  <c r="D50" i="1" s="1"/>
  <c r="F44" i="5"/>
  <c r="F49" i="5" s="1"/>
  <c r="K115" i="2" s="1"/>
  <c r="D35" i="1" s="1"/>
  <c r="O43" i="5"/>
  <c r="O49" i="5" s="1"/>
  <c r="K138" i="2" s="1"/>
  <c r="D51" i="1" s="1"/>
  <c r="L43" i="5"/>
  <c r="I43" i="5"/>
  <c r="F43" i="5"/>
  <c r="O42" i="5"/>
  <c r="L42" i="5"/>
  <c r="I42" i="5"/>
  <c r="F42" i="5"/>
  <c r="O41" i="5"/>
  <c r="L41" i="5"/>
  <c r="I41" i="5"/>
  <c r="F41" i="5"/>
  <c r="O39" i="5"/>
  <c r="L39" i="5"/>
  <c r="I39" i="5"/>
  <c r="F39" i="5"/>
  <c r="O38" i="5"/>
  <c r="L38" i="5"/>
  <c r="I38" i="5"/>
  <c r="F38" i="5"/>
  <c r="O36" i="5"/>
  <c r="L36" i="5"/>
  <c r="I36" i="5"/>
  <c r="F36" i="5"/>
  <c r="O35" i="5"/>
  <c r="L35" i="5"/>
  <c r="I35" i="5"/>
  <c r="F35" i="5"/>
  <c r="O34" i="5"/>
  <c r="L34" i="5"/>
  <c r="I34" i="5"/>
  <c r="F34" i="5"/>
  <c r="O33" i="5"/>
  <c r="L33" i="5"/>
  <c r="I33" i="5"/>
  <c r="F33" i="5"/>
  <c r="O31" i="5"/>
  <c r="L31" i="5"/>
  <c r="I31" i="5"/>
  <c r="F31" i="5"/>
  <c r="O30" i="5"/>
  <c r="L30" i="5"/>
  <c r="I30" i="5"/>
  <c r="F30" i="5"/>
  <c r="O28" i="5"/>
  <c r="L28" i="5"/>
  <c r="I28" i="5"/>
  <c r="F28" i="5"/>
  <c r="O27" i="5"/>
  <c r="L27" i="5"/>
  <c r="I27" i="5"/>
  <c r="F27" i="5"/>
  <c r="O25" i="5"/>
  <c r="L25" i="5"/>
  <c r="I25" i="5"/>
  <c r="F25" i="5"/>
  <c r="O24" i="5"/>
  <c r="L24" i="5"/>
  <c r="I24" i="5"/>
  <c r="F24" i="5"/>
  <c r="O22" i="5"/>
  <c r="L22" i="5"/>
  <c r="I22" i="5"/>
  <c r="F22" i="5"/>
  <c r="O21" i="5"/>
  <c r="L21" i="5"/>
  <c r="I21" i="5"/>
  <c r="F21" i="5"/>
  <c r="O19" i="5"/>
  <c r="L19" i="5"/>
  <c r="I19" i="5"/>
  <c r="F19" i="5"/>
  <c r="O18" i="5"/>
  <c r="L18" i="5"/>
  <c r="I18" i="5"/>
  <c r="F18" i="5"/>
  <c r="O16" i="5"/>
  <c r="L16" i="5"/>
  <c r="I16" i="5"/>
  <c r="F16" i="5"/>
  <c r="O15" i="5"/>
  <c r="L15" i="5"/>
  <c r="I15" i="5"/>
  <c r="F15" i="5"/>
  <c r="O13" i="5"/>
  <c r="L13" i="5"/>
  <c r="I13" i="5"/>
  <c r="F13" i="5"/>
  <c r="O12" i="5"/>
  <c r="L12" i="5"/>
  <c r="I12" i="5"/>
  <c r="F12" i="5"/>
  <c r="C6" i="5"/>
  <c r="C5" i="5"/>
  <c r="C4" i="5"/>
  <c r="C3" i="5"/>
  <c r="O75" i="4"/>
  <c r="G75" i="4"/>
  <c r="O73" i="4"/>
  <c r="G73" i="4"/>
  <c r="O71" i="4"/>
  <c r="G71" i="4"/>
  <c r="O69" i="4"/>
  <c r="P69" i="4" s="1"/>
  <c r="G69" i="4"/>
  <c r="H69" i="4" s="1"/>
  <c r="F65" i="4"/>
  <c r="O63" i="4"/>
  <c r="G63" i="4"/>
  <c r="O61" i="4"/>
  <c r="G61" i="4"/>
  <c r="O59" i="4"/>
  <c r="G59" i="4"/>
  <c r="O57" i="4"/>
  <c r="P57" i="4" s="1"/>
  <c r="G57" i="4"/>
  <c r="H57" i="4" s="1"/>
  <c r="J102" i="2" s="1"/>
  <c r="N53" i="4"/>
  <c r="O51" i="4"/>
  <c r="G51" i="4"/>
  <c r="O49" i="4"/>
  <c r="G49" i="4"/>
  <c r="O47" i="4"/>
  <c r="G47" i="4"/>
  <c r="P45" i="4"/>
  <c r="O45" i="4"/>
  <c r="G45" i="4"/>
  <c r="H45" i="4" s="1"/>
  <c r="J100" i="2" s="1"/>
  <c r="N42" i="4"/>
  <c r="F42" i="4"/>
  <c r="O40" i="4"/>
  <c r="G40" i="4"/>
  <c r="O38" i="4"/>
  <c r="G38" i="4"/>
  <c r="O36" i="4"/>
  <c r="G36" i="4"/>
  <c r="O34" i="4"/>
  <c r="P34" i="4" s="1"/>
  <c r="J99" i="2" s="1"/>
  <c r="G34" i="4"/>
  <c r="H34" i="4" s="1"/>
  <c r="J98" i="2" s="1"/>
  <c r="N31" i="4"/>
  <c r="O29" i="4"/>
  <c r="G29" i="4"/>
  <c r="O27" i="4"/>
  <c r="G27" i="4"/>
  <c r="O25" i="4"/>
  <c r="G25" i="4"/>
  <c r="O23" i="4"/>
  <c r="P23" i="4" s="1"/>
  <c r="J97" i="2" s="1"/>
  <c r="H23" i="4"/>
  <c r="G23" i="4"/>
  <c r="F20" i="4"/>
  <c r="O18" i="4"/>
  <c r="G18" i="4"/>
  <c r="O16" i="4"/>
  <c r="G16" i="4"/>
  <c r="O14" i="4"/>
  <c r="G14" i="4"/>
  <c r="O12" i="4"/>
  <c r="P12" i="4" s="1"/>
  <c r="J95" i="2" s="1"/>
  <c r="K93" i="2" s="1"/>
  <c r="D25" i="1" s="1"/>
  <c r="H12" i="4"/>
  <c r="G12" i="4"/>
  <c r="C6" i="4"/>
  <c r="C5" i="4"/>
  <c r="C4" i="4"/>
  <c r="C3" i="4"/>
  <c r="N76" i="3"/>
  <c r="F76" i="3"/>
  <c r="N73" i="3"/>
  <c r="F73" i="3"/>
  <c r="N70" i="3"/>
  <c r="O70" i="3" s="1"/>
  <c r="G70" i="3"/>
  <c r="F70" i="3"/>
  <c r="N64" i="3"/>
  <c r="F64" i="3"/>
  <c r="N61" i="3"/>
  <c r="F61" i="3"/>
  <c r="O58" i="3"/>
  <c r="N58" i="3"/>
  <c r="F58" i="3"/>
  <c r="G58" i="3" s="1"/>
  <c r="J88" i="2" s="1"/>
  <c r="N52" i="3"/>
  <c r="F52" i="3"/>
  <c r="N49" i="3"/>
  <c r="F49" i="3"/>
  <c r="O46" i="3"/>
  <c r="N46" i="3"/>
  <c r="F46" i="3"/>
  <c r="G46" i="3" s="1"/>
  <c r="J87" i="2" s="1"/>
  <c r="N40" i="3"/>
  <c r="F40" i="3"/>
  <c r="N37" i="3"/>
  <c r="F37" i="3"/>
  <c r="O34" i="3"/>
  <c r="N34" i="3"/>
  <c r="F34" i="3"/>
  <c r="G34" i="3" s="1"/>
  <c r="J86" i="2" s="1"/>
  <c r="N28" i="3"/>
  <c r="F28" i="3"/>
  <c r="N25" i="3"/>
  <c r="F25" i="3"/>
  <c r="N22" i="3"/>
  <c r="O22" i="3" s="1"/>
  <c r="J91" i="2" s="1"/>
  <c r="F22" i="3"/>
  <c r="G22" i="3" s="1"/>
  <c r="J85" i="2" s="1"/>
  <c r="N16" i="3"/>
  <c r="F16" i="3"/>
  <c r="N13" i="3"/>
  <c r="F13" i="3"/>
  <c r="N10" i="3"/>
  <c r="O10" i="3" s="1"/>
  <c r="J90" i="2" s="1"/>
  <c r="F10" i="3"/>
  <c r="G10" i="3" s="1"/>
  <c r="J84" i="2" s="1"/>
  <c r="K83" i="2" s="1"/>
  <c r="D24" i="1" s="1"/>
  <c r="C6" i="3"/>
  <c r="C5" i="3"/>
  <c r="C4" i="3"/>
  <c r="C3" i="3"/>
  <c r="J208" i="2"/>
  <c r="K207" i="2"/>
  <c r="J124" i="2"/>
  <c r="J123" i="2"/>
  <c r="K123" i="2" s="1"/>
  <c r="K122" i="2" s="1"/>
  <c r="D39" i="1" s="1"/>
  <c r="J121" i="2"/>
  <c r="J120" i="2"/>
  <c r="K120" i="2" s="1"/>
  <c r="K119" i="2" s="1"/>
  <c r="D38" i="1" s="1"/>
  <c r="J118" i="2"/>
  <c r="K117" i="2"/>
  <c r="D37" i="1" s="1"/>
  <c r="K109" i="2"/>
  <c r="D30" i="1" s="1"/>
  <c r="J101" i="2"/>
  <c r="J96" i="2"/>
  <c r="J94" i="2"/>
  <c r="J92" i="2"/>
  <c r="J89" i="2"/>
  <c r="J80" i="2"/>
  <c r="K79" i="2"/>
  <c r="D21" i="1" s="1"/>
  <c r="J78" i="2"/>
  <c r="J77" i="2"/>
  <c r="J76" i="2"/>
  <c r="J75" i="2"/>
  <c r="J74" i="2"/>
  <c r="K69" i="2" s="1"/>
  <c r="D20" i="1" s="1"/>
  <c r="J73" i="2"/>
  <c r="J72" i="2"/>
  <c r="J71" i="2"/>
  <c r="J70" i="2"/>
  <c r="G65" i="2"/>
  <c r="J64" i="2"/>
  <c r="J63" i="2"/>
  <c r="J62" i="2"/>
  <c r="J61" i="2"/>
  <c r="J60" i="2"/>
  <c r="J59" i="2"/>
  <c r="J58" i="2"/>
  <c r="J57" i="2"/>
  <c r="J56" i="2"/>
  <c r="K55" i="2" s="1"/>
  <c r="J54" i="2"/>
  <c r="J53" i="2"/>
  <c r="J52" i="2"/>
  <c r="J51" i="2"/>
  <c r="J50" i="2"/>
  <c r="J49" i="2"/>
  <c r="J48" i="2"/>
  <c r="J47" i="2"/>
  <c r="J46" i="2"/>
  <c r="K45" i="2"/>
  <c r="D16" i="1" s="1"/>
  <c r="J43" i="2"/>
  <c r="K42" i="2"/>
  <c r="D15" i="1" s="1"/>
  <c r="J41" i="2"/>
  <c r="J40" i="2"/>
  <c r="J39" i="2"/>
  <c r="J38" i="2"/>
  <c r="K32" i="2" s="1"/>
  <c r="J37" i="2"/>
  <c r="J36" i="2"/>
  <c r="J35" i="2"/>
  <c r="J34" i="2"/>
  <c r="J33" i="2"/>
  <c r="J30" i="2"/>
  <c r="J29" i="2"/>
  <c r="J28" i="2"/>
  <c r="J27" i="2"/>
  <c r="J26" i="2"/>
  <c r="J25" i="2"/>
  <c r="J24" i="2"/>
  <c r="J23" i="2"/>
  <c r="J22" i="2"/>
  <c r="K21" i="2"/>
  <c r="D12" i="1" s="1"/>
  <c r="J20" i="2"/>
  <c r="J19" i="2"/>
  <c r="J18" i="2"/>
  <c r="J17" i="2"/>
  <c r="J16" i="2"/>
  <c r="J15" i="2"/>
  <c r="J14" i="2"/>
  <c r="J13" i="2"/>
  <c r="J12" i="2"/>
  <c r="K11" i="2" s="1"/>
  <c r="D11" i="1" s="1"/>
  <c r="B6" i="2"/>
  <c r="B5" i="2"/>
  <c r="B4" i="2"/>
  <c r="B3" i="2"/>
  <c r="D36" i="1"/>
  <c r="C5" i="24"/>
  <c r="C4" i="24"/>
  <c r="C3" i="24"/>
  <c r="C2" i="24"/>
  <c r="D34" i="32" l="1"/>
  <c r="D33" i="32"/>
  <c r="D17" i="32"/>
  <c r="D15" i="32"/>
  <c r="E39" i="32" s="1"/>
  <c r="G39" i="32" s="1"/>
  <c r="D14" i="32"/>
  <c r="E38" i="32" s="1"/>
  <c r="G38" i="32" s="1"/>
  <c r="D12" i="32"/>
  <c r="E37" i="32" s="1"/>
  <c r="G37" i="32" s="1"/>
  <c r="D34" i="30"/>
  <c r="D35" i="30"/>
  <c r="C31" i="29"/>
  <c r="D35" i="29" s="1"/>
  <c r="D34" i="29"/>
  <c r="D31" i="28"/>
  <c r="D28" i="28"/>
  <c r="E27" i="28"/>
  <c r="F27" i="28" s="1"/>
  <c r="F28" i="28" s="1"/>
  <c r="E40" i="28" s="1"/>
  <c r="G40" i="28" s="1"/>
  <c r="E30" i="28"/>
  <c r="F30" i="28" s="1"/>
  <c r="F31" i="28" s="1"/>
  <c r="E41" i="28" s="1"/>
  <c r="E35" i="28"/>
  <c r="E33" i="28"/>
  <c r="E34" i="28"/>
  <c r="E77" i="27"/>
  <c r="G77" i="27" s="1"/>
  <c r="E37" i="27"/>
  <c r="G37" i="27" s="1"/>
  <c r="E36" i="27"/>
  <c r="G36" i="27" s="1"/>
  <c r="G38" i="27" s="1"/>
  <c r="D20" i="27"/>
  <c r="E55" i="27" s="1"/>
  <c r="G55" i="27" s="1"/>
  <c r="G58" i="27" s="1"/>
  <c r="E75" i="27"/>
  <c r="G75" i="27" s="1"/>
  <c r="G78" i="27" s="1"/>
  <c r="E39" i="26"/>
  <c r="E38" i="26"/>
  <c r="E37" i="26"/>
  <c r="D18" i="25"/>
  <c r="D25" i="25" s="1"/>
  <c r="F18" i="25"/>
  <c r="F25" i="25" s="1"/>
  <c r="E18" i="25"/>
  <c r="E25" i="25" s="1"/>
  <c r="F16" i="23"/>
  <c r="F17" i="23" s="1"/>
  <c r="D11" i="30"/>
  <c r="C30" i="30"/>
  <c r="K216" i="2"/>
  <c r="F11" i="23"/>
  <c r="F12" i="23" s="1"/>
  <c r="D12" i="29"/>
  <c r="E30" i="22"/>
  <c r="D64" i="24" s="1"/>
  <c r="E29" i="22"/>
  <c r="E28" i="22"/>
  <c r="E26" i="22"/>
  <c r="E25" i="22"/>
  <c r="C33" i="26" s="1"/>
  <c r="D11" i="26"/>
  <c r="D17" i="26"/>
  <c r="E48" i="26" s="1"/>
  <c r="G48" i="26" s="1"/>
  <c r="D34" i="28"/>
  <c r="G25" i="21"/>
  <c r="D15" i="26"/>
  <c r="D33" i="28"/>
  <c r="E27" i="22"/>
  <c r="D16" i="26"/>
  <c r="D35" i="28"/>
  <c r="H25" i="21"/>
  <c r="F42" i="28"/>
  <c r="U21" i="21"/>
  <c r="I25" i="21" s="1"/>
  <c r="K10" i="21"/>
  <c r="D13" i="21"/>
  <c r="H12" i="20"/>
  <c r="I12" i="20"/>
  <c r="I11" i="20"/>
  <c r="I13" i="20" s="1"/>
  <c r="H11" i="20"/>
  <c r="K11" i="20" s="1"/>
  <c r="J192" i="2" s="1"/>
  <c r="K10" i="20"/>
  <c r="H13" i="20"/>
  <c r="J12" i="19"/>
  <c r="J183" i="2" s="1"/>
  <c r="J10" i="19"/>
  <c r="G12" i="21"/>
  <c r="L12" i="21" s="1"/>
  <c r="G12" i="19"/>
  <c r="M12" i="19" s="1"/>
  <c r="J205" i="2" s="1"/>
  <c r="J12" i="18"/>
  <c r="O12" i="18"/>
  <c r="J159" i="2" s="1"/>
  <c r="G11" i="21"/>
  <c r="L11" i="21" s="1"/>
  <c r="O11" i="18"/>
  <c r="J158" i="2" s="1"/>
  <c r="J11" i="18"/>
  <c r="G11" i="19"/>
  <c r="Q13" i="18"/>
  <c r="J164" i="2"/>
  <c r="P13" i="18"/>
  <c r="G19" i="18" s="1"/>
  <c r="J161" i="2"/>
  <c r="K160" i="2" s="1"/>
  <c r="G10" i="19"/>
  <c r="M10" i="19" s="1"/>
  <c r="G10" i="21"/>
  <c r="L10" i="21" s="1"/>
  <c r="R10" i="21" s="1"/>
  <c r="S10" i="21" s="1"/>
  <c r="O10" i="18"/>
  <c r="J10" i="18"/>
  <c r="J188" i="2"/>
  <c r="K19" i="19"/>
  <c r="H25" i="19" s="1"/>
  <c r="G42" i="12"/>
  <c r="K111" i="2" s="1"/>
  <c r="D32" i="1" s="1"/>
  <c r="F68" i="31" s="1"/>
  <c r="F11" i="31"/>
  <c r="F45" i="31" s="1"/>
  <c r="D27" i="1"/>
  <c r="K105" i="2"/>
  <c r="AF11" i="8"/>
  <c r="AF28" i="8" s="1"/>
  <c r="AE28" i="8"/>
  <c r="V11" i="8"/>
  <c r="V28" i="8" s="1"/>
  <c r="U28" i="8"/>
  <c r="O11" i="8"/>
  <c r="N28" i="8"/>
  <c r="F43" i="6"/>
  <c r="G43" i="6" s="1"/>
  <c r="E43" i="6"/>
  <c r="E40" i="6"/>
  <c r="F40" i="6"/>
  <c r="G40" i="6" s="1"/>
  <c r="F37" i="6"/>
  <c r="G37" i="6" s="1"/>
  <c r="E37" i="6"/>
  <c r="F34" i="6"/>
  <c r="G34" i="6" s="1"/>
  <c r="E34" i="6"/>
  <c r="E31" i="6"/>
  <c r="F31" i="6"/>
  <c r="G31" i="6" s="1"/>
  <c r="E28" i="6"/>
  <c r="F28" i="6"/>
  <c r="G28" i="6" s="1"/>
  <c r="F25" i="6"/>
  <c r="G25" i="6" s="1"/>
  <c r="E25" i="6"/>
  <c r="F22" i="6"/>
  <c r="G22" i="6" s="1"/>
  <c r="E22" i="6"/>
  <c r="F19" i="6"/>
  <c r="G19" i="6" s="1"/>
  <c r="E19" i="6"/>
  <c r="E16" i="6"/>
  <c r="F16" i="6"/>
  <c r="G16" i="6" s="1"/>
  <c r="F13" i="6"/>
  <c r="G13" i="6" s="1"/>
  <c r="G44" i="6" s="1"/>
  <c r="K126" i="2" s="1"/>
  <c r="E13" i="6"/>
  <c r="E44" i="6" s="1"/>
  <c r="C47" i="27"/>
  <c r="D108" i="27" s="1"/>
  <c r="D41" i="1"/>
  <c r="D71" i="1"/>
  <c r="I67" i="2"/>
  <c r="J67" i="2" s="1"/>
  <c r="D17" i="1"/>
  <c r="I66" i="2"/>
  <c r="J66" i="2" s="1"/>
  <c r="K65" i="2" s="1"/>
  <c r="D18" i="1" s="1"/>
  <c r="D14" i="1"/>
  <c r="J21" i="11"/>
  <c r="J20" i="11"/>
  <c r="J19" i="11"/>
  <c r="J18" i="11"/>
  <c r="J17" i="11"/>
  <c r="J16" i="11"/>
  <c r="J15" i="11"/>
  <c r="J14" i="11"/>
  <c r="J13" i="11"/>
  <c r="K44" i="6"/>
  <c r="K128" i="2" s="1"/>
  <c r="I44" i="6"/>
  <c r="K127" i="2" s="1"/>
  <c r="D20" i="29"/>
  <c r="AG18" i="8"/>
  <c r="D14" i="29"/>
  <c r="E40" i="32" l="1"/>
  <c r="G40" i="32" s="1"/>
  <c r="E41" i="32"/>
  <c r="G41" i="32" s="1"/>
  <c r="E42" i="32"/>
  <c r="G42" i="32" s="1"/>
  <c r="C34" i="26"/>
  <c r="D37" i="26"/>
  <c r="D26" i="25"/>
  <c r="G11" i="25" s="1"/>
  <c r="D11" i="25"/>
  <c r="F26" i="25"/>
  <c r="G13" i="25" s="1"/>
  <c r="D13" i="25"/>
  <c r="E26" i="25"/>
  <c r="G12" i="25" s="1"/>
  <c r="F38" i="26" s="1"/>
  <c r="G38" i="26" s="1"/>
  <c r="D12" i="25"/>
  <c r="D20" i="30"/>
  <c r="D14" i="30"/>
  <c r="D73" i="24"/>
  <c r="D74" i="1"/>
  <c r="K215" i="2"/>
  <c r="C30" i="29"/>
  <c r="H64" i="24"/>
  <c r="H65" i="24"/>
  <c r="H66" i="24"/>
  <c r="F41" i="28"/>
  <c r="G41" i="28" s="1"/>
  <c r="D60" i="24"/>
  <c r="E47" i="26"/>
  <c r="G47" i="26" s="1"/>
  <c r="G50" i="26" s="1"/>
  <c r="E49" i="26"/>
  <c r="G49" i="26" s="1"/>
  <c r="F33" i="28"/>
  <c r="F36" i="28" s="1"/>
  <c r="E42" i="28" s="1"/>
  <c r="G42" i="28" s="1"/>
  <c r="D36" i="28"/>
  <c r="K13" i="20"/>
  <c r="G16" i="20" s="1"/>
  <c r="J191" i="2"/>
  <c r="K190" i="2" s="1"/>
  <c r="M13" i="19"/>
  <c r="G27" i="19" s="1"/>
  <c r="I27" i="19" s="1"/>
  <c r="J203" i="2"/>
  <c r="K202" i="2" s="1"/>
  <c r="D69" i="1" s="1"/>
  <c r="J13" i="19"/>
  <c r="G24" i="19" s="1"/>
  <c r="I24" i="19" s="1"/>
  <c r="J181" i="2"/>
  <c r="D19" i="24" s="1"/>
  <c r="N12" i="21"/>
  <c r="P12" i="21" s="1"/>
  <c r="R12" i="21"/>
  <c r="S12" i="21" s="1"/>
  <c r="T12" i="21" s="1"/>
  <c r="I12" i="19"/>
  <c r="J179" i="2" s="1"/>
  <c r="L12" i="19"/>
  <c r="J201" i="2" s="1"/>
  <c r="H12" i="19"/>
  <c r="J174" i="2" s="1"/>
  <c r="K12" i="19"/>
  <c r="J187" i="2" s="1"/>
  <c r="N12" i="18"/>
  <c r="J155" i="2" s="1"/>
  <c r="M12" i="18"/>
  <c r="N11" i="21"/>
  <c r="P11" i="21" s="1"/>
  <c r="R11" i="21"/>
  <c r="S11" i="21" s="1"/>
  <c r="T11" i="21" s="1"/>
  <c r="M11" i="18"/>
  <c r="N11" i="18"/>
  <c r="J154" i="2" s="1"/>
  <c r="I11" i="19"/>
  <c r="J178" i="2" s="1"/>
  <c r="M11" i="19"/>
  <c r="J204" i="2" s="1"/>
  <c r="L11" i="19"/>
  <c r="J200" i="2" s="1"/>
  <c r="H11" i="19"/>
  <c r="J173" i="2" s="1"/>
  <c r="K11" i="19"/>
  <c r="J186" i="2" s="1"/>
  <c r="J169" i="2"/>
  <c r="D53" i="24"/>
  <c r="D60" i="1"/>
  <c r="H10" i="19"/>
  <c r="I10" i="19"/>
  <c r="K10" i="19"/>
  <c r="L10" i="19"/>
  <c r="T10" i="21"/>
  <c r="T13" i="21" s="1"/>
  <c r="G24" i="21" s="1"/>
  <c r="S13" i="21"/>
  <c r="O13" i="18"/>
  <c r="G18" i="18" s="1"/>
  <c r="J157" i="2"/>
  <c r="K156" i="2" s="1"/>
  <c r="D59" i="1" s="1"/>
  <c r="N10" i="18"/>
  <c r="M10" i="18"/>
  <c r="E59" i="31"/>
  <c r="F59" i="31" s="1"/>
  <c r="E60" i="31"/>
  <c r="F60" i="31" s="1"/>
  <c r="E61" i="31"/>
  <c r="F61" i="31" s="1"/>
  <c r="E62" i="31"/>
  <c r="F62" i="31" s="1"/>
  <c r="E63" i="31"/>
  <c r="F63" i="31" s="1"/>
  <c r="E64" i="31"/>
  <c r="F64" i="31" s="1"/>
  <c r="E68" i="31"/>
  <c r="G68" i="31" s="1"/>
  <c r="D11" i="32"/>
  <c r="C29" i="32"/>
  <c r="W11" i="8"/>
  <c r="O28" i="8"/>
  <c r="F55" i="6"/>
  <c r="K125" i="2"/>
  <c r="D43" i="1"/>
  <c r="C87" i="27"/>
  <c r="D110" i="27" s="1"/>
  <c r="D42" i="1"/>
  <c r="C67" i="27"/>
  <c r="D109" i="27" s="1"/>
  <c r="G70" i="24"/>
  <c r="E40" i="29"/>
  <c r="G40" i="29" s="1"/>
  <c r="E39" i="29"/>
  <c r="G39" i="29" s="1"/>
  <c r="G69" i="24"/>
  <c r="D17" i="29"/>
  <c r="E38" i="29" s="1"/>
  <c r="G38" i="29" s="1"/>
  <c r="G41" i="29" s="1"/>
  <c r="F34" i="28"/>
  <c r="F35" i="28"/>
  <c r="N10" i="21"/>
  <c r="K12" i="20"/>
  <c r="J193" i="2" s="1"/>
  <c r="J12" i="11"/>
  <c r="K110" i="2" s="1"/>
  <c r="D31" i="1" s="1"/>
  <c r="F40" i="28"/>
  <c r="B210" i="2"/>
  <c r="F31" i="27" l="1"/>
  <c r="G31" i="27" s="1"/>
  <c r="G33" i="27" s="1"/>
  <c r="F51" i="27"/>
  <c r="G51" i="27" s="1"/>
  <c r="G53" i="27" s="1"/>
  <c r="F71" i="27"/>
  <c r="G71" i="27" s="1"/>
  <c r="G73" i="27" s="1"/>
  <c r="F91" i="27"/>
  <c r="G91" i="27" s="1"/>
  <c r="G93" i="27" s="1"/>
  <c r="F34" i="29"/>
  <c r="G34" i="29" s="1"/>
  <c r="G36" i="29" s="1"/>
  <c r="F34" i="30"/>
  <c r="G34" i="30" s="1"/>
  <c r="G36" i="30" s="1"/>
  <c r="F33" i="32"/>
  <c r="G33" i="32" s="1"/>
  <c r="G35" i="32" s="1"/>
  <c r="F37" i="26"/>
  <c r="G37" i="26" s="1"/>
  <c r="G40" i="26" s="1"/>
  <c r="F32" i="27"/>
  <c r="G32" i="27" s="1"/>
  <c r="F52" i="27"/>
  <c r="G52" i="27" s="1"/>
  <c r="F72" i="27"/>
  <c r="G72" i="27" s="1"/>
  <c r="F92" i="27"/>
  <c r="G92" i="27" s="1"/>
  <c r="F35" i="29"/>
  <c r="G35" i="29" s="1"/>
  <c r="F35" i="30"/>
  <c r="G35" i="30" s="1"/>
  <c r="F34" i="32"/>
  <c r="G34" i="32" s="1"/>
  <c r="F39" i="26"/>
  <c r="G39" i="26" s="1"/>
  <c r="G74" i="24"/>
  <c r="H74" i="24" s="1"/>
  <c r="E40" i="30"/>
  <c r="G40" i="30" s="1"/>
  <c r="E39" i="30"/>
  <c r="G39" i="30" s="1"/>
  <c r="G73" i="24"/>
  <c r="H73" i="24" s="1"/>
  <c r="D17" i="30"/>
  <c r="E38" i="30" s="1"/>
  <c r="G38" i="30" s="1"/>
  <c r="G41" i="30" s="1"/>
  <c r="H75" i="24"/>
  <c r="H76" i="24"/>
  <c r="D69" i="24"/>
  <c r="D73" i="1"/>
  <c r="H60" i="24"/>
  <c r="H61" i="24"/>
  <c r="H63" i="24"/>
  <c r="H62" i="24"/>
  <c r="D37" i="24"/>
  <c r="D66" i="1"/>
  <c r="H19" i="24"/>
  <c r="H20" i="24"/>
  <c r="H21" i="24"/>
  <c r="H22" i="24"/>
  <c r="H23" i="24"/>
  <c r="H24" i="24"/>
  <c r="H25" i="24"/>
  <c r="H26" i="24"/>
  <c r="H27" i="24"/>
  <c r="J146" i="2"/>
  <c r="J150" i="2"/>
  <c r="J145" i="2"/>
  <c r="J149" i="2"/>
  <c r="H53" i="24"/>
  <c r="H54" i="24"/>
  <c r="H55" i="24"/>
  <c r="H56" i="24"/>
  <c r="H13" i="19"/>
  <c r="G22" i="19" s="1"/>
  <c r="I22" i="19" s="1"/>
  <c r="J172" i="2"/>
  <c r="K171" i="2" s="1"/>
  <c r="I13" i="19"/>
  <c r="G23" i="19" s="1"/>
  <c r="I23" i="19" s="1"/>
  <c r="J177" i="2"/>
  <c r="K13" i="19"/>
  <c r="G25" i="19" s="1"/>
  <c r="I25" i="19" s="1"/>
  <c r="J185" i="2"/>
  <c r="D28" i="24" s="1"/>
  <c r="L13" i="19"/>
  <c r="G26" i="19" s="1"/>
  <c r="I26" i="19" s="1"/>
  <c r="J199" i="2"/>
  <c r="K198" i="2" s="1"/>
  <c r="D68" i="1" s="1"/>
  <c r="N13" i="18"/>
  <c r="G17" i="18" s="1"/>
  <c r="G20" i="18" s="1"/>
  <c r="J153" i="2"/>
  <c r="K152" i="2" s="1"/>
  <c r="M13" i="18"/>
  <c r="G16" i="18" s="1"/>
  <c r="J144" i="2"/>
  <c r="J148" i="2"/>
  <c r="K147" i="2" s="1"/>
  <c r="D56" i="1" s="1"/>
  <c r="W28" i="8"/>
  <c r="AG11" i="8"/>
  <c r="AG28" i="8" s="1"/>
  <c r="K103" i="2" s="1"/>
  <c r="D26" i="1" s="1"/>
  <c r="C27" i="27"/>
  <c r="D107" i="27" s="1"/>
  <c r="D40" i="1"/>
  <c r="N13" i="21"/>
  <c r="P10" i="21"/>
  <c r="U12" i="21"/>
  <c r="J197" i="2" s="1"/>
  <c r="U11" i="21"/>
  <c r="J196" i="2" s="1"/>
  <c r="G43" i="32"/>
  <c r="D38" i="26"/>
  <c r="D39" i="26"/>
  <c r="F40" i="27" l="1"/>
  <c r="G40" i="27" s="1"/>
  <c r="G41" i="27" s="1"/>
  <c r="G42" i="27" s="1"/>
  <c r="F60" i="27"/>
  <c r="G60" i="27" s="1"/>
  <c r="G61" i="27" s="1"/>
  <c r="G62" i="27" s="1"/>
  <c r="F80" i="27"/>
  <c r="G80" i="27" s="1"/>
  <c r="G81" i="27" s="1"/>
  <c r="G82" i="27" s="1"/>
  <c r="F100" i="27"/>
  <c r="G100" i="27" s="1"/>
  <c r="G101" i="27" s="1"/>
  <c r="G102" i="27" s="1"/>
  <c r="G45" i="29"/>
  <c r="G46" i="29" s="1"/>
  <c r="F43" i="29"/>
  <c r="G43" i="29" s="1"/>
  <c r="G44" i="29" s="1"/>
  <c r="F43" i="30"/>
  <c r="G43" i="30" s="1"/>
  <c r="G44" i="30" s="1"/>
  <c r="G45" i="30" s="1"/>
  <c r="G46" i="30" s="1"/>
  <c r="F45" i="32"/>
  <c r="G45" i="32" s="1"/>
  <c r="G46" i="32" s="1"/>
  <c r="G47" i="32" s="1"/>
  <c r="G48" i="32" s="1"/>
  <c r="F52" i="26"/>
  <c r="G52" i="26" s="1"/>
  <c r="G53" i="26" s="1"/>
  <c r="G54" i="26" s="1"/>
  <c r="G55" i="26" s="1"/>
  <c r="H69" i="24"/>
  <c r="H70" i="24"/>
  <c r="H71" i="24"/>
  <c r="H72" i="24"/>
  <c r="H37" i="24"/>
  <c r="H38" i="24"/>
  <c r="H39" i="24"/>
  <c r="H40" i="24"/>
  <c r="H41" i="24"/>
  <c r="D46" i="24"/>
  <c r="D63" i="1"/>
  <c r="K176" i="2"/>
  <c r="D65" i="1" s="1"/>
  <c r="D10" i="24"/>
  <c r="H28" i="24"/>
  <c r="H29" i="24"/>
  <c r="H30" i="24"/>
  <c r="H31" i="24"/>
  <c r="H32" i="24"/>
  <c r="H33" i="24"/>
  <c r="H34" i="24"/>
  <c r="H35" i="24"/>
  <c r="H36" i="24"/>
  <c r="J168" i="2"/>
  <c r="K167" i="2" s="1"/>
  <c r="D51" i="24"/>
  <c r="D58" i="1"/>
  <c r="P13" i="21"/>
  <c r="H24" i="21"/>
  <c r="U10" i="21"/>
  <c r="K143" i="2"/>
  <c r="D55" i="1" s="1"/>
  <c r="G43" i="27" l="1"/>
  <c r="F107" i="27" s="1"/>
  <c r="E107" i="27"/>
  <c r="G63" i="27"/>
  <c r="F108" i="27" s="1"/>
  <c r="E108" i="27"/>
  <c r="G83" i="27"/>
  <c r="F109" i="27" s="1"/>
  <c r="E109" i="27"/>
  <c r="G103" i="27"/>
  <c r="F110" i="27" s="1"/>
  <c r="E110" i="27"/>
  <c r="H46" i="24"/>
  <c r="H47" i="24"/>
  <c r="H48" i="24"/>
  <c r="H49" i="24"/>
  <c r="H50" i="24"/>
  <c r="H10" i="24"/>
  <c r="H11" i="24"/>
  <c r="H12" i="24"/>
  <c r="H13" i="24"/>
  <c r="H14" i="24"/>
  <c r="H15" i="24"/>
  <c r="H16" i="24"/>
  <c r="H17" i="24"/>
  <c r="H18" i="24"/>
  <c r="D57" i="24"/>
  <c r="D61" i="1"/>
  <c r="H51" i="24"/>
  <c r="H52" i="24"/>
  <c r="U13" i="21"/>
  <c r="I24" i="21" s="1"/>
  <c r="J195" i="2"/>
  <c r="K194" i="2" s="1"/>
  <c r="H57" i="24" l="1"/>
  <c r="H58" i="24"/>
  <c r="H59" i="24"/>
  <c r="D42" i="24"/>
  <c r="D67" i="1"/>
  <c r="F111" i="27"/>
  <c r="H42" i="24" l="1"/>
  <c r="H43" i="24"/>
  <c r="H44" i="24"/>
  <c r="H4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2" authorId="0" shapeId="0" xr:uid="{00000000-0006-0000-0500-00000C000000}">
      <text>
        <r>
          <rPr>
            <sz val="10"/>
            <rFont val="Arial"/>
            <family val="2"/>
          </rPr>
          <t>Igual al N° de montantes de METRADO MONTANTES, EDIFICACION 01, Lado A.</t>
        </r>
      </text>
    </comment>
    <comment ref="D13" authorId="0" shapeId="0" xr:uid="{00000000-0006-0000-0500-000001000000}">
      <text>
        <r>
          <rPr>
            <sz val="10"/>
            <rFont val="Arial"/>
            <family val="2"/>
          </rPr>
          <t>Techo a dos aguas: se toma igual al Lado 01. Si el Lado 02 mide distinto, escribir aquí su longitud.</t>
        </r>
      </text>
    </comment>
    <comment ref="J13" authorId="0" shapeId="0" xr:uid="{00000000-0006-0000-0500-00000D000000}">
      <text>
        <r>
          <rPr>
            <sz val="10"/>
            <rFont val="Arial"/>
            <family val="2"/>
          </rPr>
          <t>Igual al N° de montantes de METRADO MONTANTES, EDIFICACION 01, Lado B.</t>
        </r>
      </text>
    </comment>
    <comment ref="J15" authorId="0" shapeId="0" xr:uid="{00000000-0006-0000-0500-00000E000000}">
      <text>
        <r>
          <rPr>
            <sz val="10"/>
            <rFont val="Arial"/>
            <family val="2"/>
          </rPr>
          <t>Igual al N° de montantes de METRADO MONTANTES, EDIFICACION 02, Lado A.</t>
        </r>
      </text>
    </comment>
    <comment ref="D16" authorId="0" shapeId="0" xr:uid="{00000000-0006-0000-0500-000002000000}">
      <text>
        <r>
          <rPr>
            <sz val="10"/>
            <rFont val="Arial"/>
            <family val="2"/>
          </rPr>
          <t>Techo a dos aguas: se toma igual al Lado 01. Si el Lado 02 mide distinto, escribir aquí su longitud.</t>
        </r>
      </text>
    </comment>
    <comment ref="J16" authorId="0" shapeId="0" xr:uid="{00000000-0006-0000-0500-00000F000000}">
      <text>
        <r>
          <rPr>
            <sz val="10"/>
            <rFont val="Arial"/>
            <family val="2"/>
          </rPr>
          <t>Igual al N° de montantes de METRADO MONTANTES, EDIFICACION 02, Lado B.</t>
        </r>
      </text>
    </comment>
    <comment ref="J18" authorId="0" shapeId="0" xr:uid="{00000000-0006-0000-0500-000010000000}">
      <text>
        <r>
          <rPr>
            <sz val="10"/>
            <rFont val="Arial"/>
            <family val="2"/>
          </rPr>
          <t>Igual al N° de montantes de METRADO MONTANTES, EDIFICACION 03, Lado A.</t>
        </r>
      </text>
    </comment>
    <comment ref="D19" authorId="0" shapeId="0" xr:uid="{00000000-0006-0000-0500-000003000000}">
      <text>
        <r>
          <rPr>
            <sz val="10"/>
            <rFont val="Arial"/>
            <family val="2"/>
          </rPr>
          <t>Techo a dos aguas: se toma igual al Lado 01. Si el Lado 02 mide distinto, escribir aquí su longitud.</t>
        </r>
      </text>
    </comment>
    <comment ref="J19" authorId="0" shapeId="0" xr:uid="{00000000-0006-0000-0500-000011000000}">
      <text>
        <r>
          <rPr>
            <sz val="10"/>
            <rFont val="Arial"/>
            <family val="2"/>
          </rPr>
          <t>Igual al N° de montantes de METRADO MONTANTES, EDIFICACION 03, Lado B.</t>
        </r>
      </text>
    </comment>
    <comment ref="J21" authorId="0" shapeId="0" xr:uid="{00000000-0006-0000-0500-000012000000}">
      <text>
        <r>
          <rPr>
            <sz val="10"/>
            <rFont val="Arial"/>
            <family val="2"/>
          </rPr>
          <t>Igual al N° de montantes de METRADO MONTANTES, EDIFICACION 04, Lado A.</t>
        </r>
      </text>
    </comment>
    <comment ref="D22" authorId="0" shapeId="0" xr:uid="{00000000-0006-0000-0500-000004000000}">
      <text>
        <r>
          <rPr>
            <sz val="10"/>
            <rFont val="Arial"/>
            <family val="2"/>
          </rPr>
          <t>Techo a dos aguas: se toma igual al Lado 01. Si el Lado 02 mide distinto, escribir aquí su longitud.</t>
        </r>
      </text>
    </comment>
    <comment ref="J22" authorId="0" shapeId="0" xr:uid="{00000000-0006-0000-0500-000013000000}">
      <text>
        <r>
          <rPr>
            <sz val="10"/>
            <rFont val="Arial"/>
            <family val="2"/>
          </rPr>
          <t>Igual al N° de montantes de METRADO MONTANTES, EDIFICACION 04, Lado B.</t>
        </r>
      </text>
    </comment>
    <comment ref="J24" authorId="0" shapeId="0" xr:uid="{00000000-0006-0000-0500-000014000000}">
      <text>
        <r>
          <rPr>
            <sz val="10"/>
            <rFont val="Arial"/>
            <family val="2"/>
          </rPr>
          <t>Igual al N° de montantes de METRADO MONTANTES, EDIFICACION 05, Lado A.</t>
        </r>
      </text>
    </comment>
    <comment ref="D25" authorId="0" shapeId="0" xr:uid="{00000000-0006-0000-0500-000005000000}">
      <text>
        <r>
          <rPr>
            <sz val="10"/>
            <rFont val="Arial"/>
            <family val="2"/>
          </rPr>
          <t>Techo a dos aguas: se toma igual al Lado 01. Si el Lado 02 mide distinto, escribir aquí su longitud.</t>
        </r>
      </text>
    </comment>
    <comment ref="J25" authorId="0" shapeId="0" xr:uid="{00000000-0006-0000-0500-000015000000}">
      <text>
        <r>
          <rPr>
            <sz val="10"/>
            <rFont val="Arial"/>
            <family val="2"/>
          </rPr>
          <t>Igual al N° de montantes de METRADO MONTANTES, EDIFICACION 05, Lado B.</t>
        </r>
      </text>
    </comment>
    <comment ref="J27" authorId="0" shapeId="0" xr:uid="{00000000-0006-0000-0500-000016000000}">
      <text>
        <r>
          <rPr>
            <sz val="10"/>
            <rFont val="Arial"/>
            <family val="2"/>
          </rPr>
          <t>Igual al N° de montantes de METRADO MONTANTES, EDIFICACION 06, Lado A.</t>
        </r>
      </text>
    </comment>
    <comment ref="D28" authorId="0" shapeId="0" xr:uid="{00000000-0006-0000-0500-000006000000}">
      <text>
        <r>
          <rPr>
            <sz val="10"/>
            <rFont val="Arial"/>
            <family val="2"/>
          </rPr>
          <t>Techo a dos aguas: se toma igual al Lado 01. Si el Lado 02 mide distinto, escribir aquí su longitud.</t>
        </r>
      </text>
    </comment>
    <comment ref="J28" authorId="0" shapeId="0" xr:uid="{00000000-0006-0000-0500-000017000000}">
      <text>
        <r>
          <rPr>
            <sz val="10"/>
            <rFont val="Arial"/>
            <family val="2"/>
          </rPr>
          <t>Igual al N° de montantes de METRADO MONTANTES, EDIFICACION 06, Lado B.</t>
        </r>
      </text>
    </comment>
    <comment ref="J30" authorId="0" shapeId="0" xr:uid="{00000000-0006-0000-0500-000018000000}">
      <text>
        <r>
          <rPr>
            <sz val="10"/>
            <rFont val="Arial"/>
            <family val="2"/>
          </rPr>
          <t>Igual al N° de montantes de METRADO MONTANTES, EDIFICACION 07, Lado A.</t>
        </r>
      </text>
    </comment>
    <comment ref="D31" authorId="0" shapeId="0" xr:uid="{00000000-0006-0000-0500-000007000000}">
      <text>
        <r>
          <rPr>
            <sz val="10"/>
            <rFont val="Arial"/>
            <family val="2"/>
          </rPr>
          <t>Techo a dos aguas: se toma igual al Lado 01. Si el Lado 02 mide distinto, escribir aquí su longitud.</t>
        </r>
      </text>
    </comment>
    <comment ref="J31" authorId="0" shapeId="0" xr:uid="{00000000-0006-0000-0500-000019000000}">
      <text>
        <r>
          <rPr>
            <sz val="10"/>
            <rFont val="Arial"/>
            <family val="2"/>
          </rPr>
          <t>Igual al N° de montantes de METRADO MONTANTES, EDIFICACION 07, Lado B.</t>
        </r>
      </text>
    </comment>
    <comment ref="J33" authorId="0" shapeId="0" xr:uid="{00000000-0006-0000-0500-00001A000000}">
      <text>
        <r>
          <rPr>
            <sz val="10"/>
            <rFont val="Arial"/>
            <family val="2"/>
          </rPr>
          <t>Igual al N° de montantes de METRADO MONTANTES, EDIFICACION 08, Lado A + Lado A".</t>
        </r>
      </text>
    </comment>
    <comment ref="D34" authorId="0" shapeId="0" xr:uid="{00000000-0006-0000-0500-000008000000}">
      <text>
        <r>
          <rPr>
            <sz val="10"/>
            <rFont val="Arial"/>
            <family val="2"/>
          </rPr>
          <t>Techo a dos aguas: se toma igual al Lado 01. Si el Lado 02 mide distinto, escribir aquí su longitud.</t>
        </r>
      </text>
    </comment>
    <comment ref="J34" authorId="0" shapeId="0" xr:uid="{00000000-0006-0000-0500-00001B000000}">
      <text>
        <r>
          <rPr>
            <sz val="10"/>
            <rFont val="Arial"/>
            <family val="2"/>
          </rPr>
          <t>Igual al N° de montantes de METRADO MONTANTES, EDIFICACION 08, Lado B + Lado B".</t>
        </r>
      </text>
    </comment>
    <comment ref="J36" authorId="0" shapeId="0" xr:uid="{00000000-0006-0000-0500-00001C000000}">
      <text>
        <r>
          <rPr>
            <sz val="10"/>
            <rFont val="Arial"/>
            <family val="2"/>
          </rPr>
          <t>Igual al N° de montantes de METRADO MONTANTES, EDIFICACION 09, Lado A.</t>
        </r>
      </text>
    </comment>
    <comment ref="D37" authorId="0" shapeId="0" xr:uid="{00000000-0006-0000-0500-000009000000}">
      <text>
        <r>
          <rPr>
            <sz val="10"/>
            <rFont val="Arial"/>
            <family val="2"/>
          </rPr>
          <t>Techo a dos aguas: se toma igual al Lado 01. Si el Lado 02 mide distinto, escribir aquí su longitud.</t>
        </r>
      </text>
    </comment>
    <comment ref="J37" authorId="0" shapeId="0" xr:uid="{00000000-0006-0000-0500-00001D000000}">
      <text>
        <r>
          <rPr>
            <sz val="10"/>
            <rFont val="Arial"/>
            <family val="2"/>
          </rPr>
          <t>Igual al N° de montantes de METRADO MONTANTES, EDIFICACION 09, Lado B.</t>
        </r>
      </text>
    </comment>
    <comment ref="J39" authorId="0" shapeId="0" xr:uid="{00000000-0006-0000-0500-00001E000000}">
      <text>
        <r>
          <rPr>
            <sz val="10"/>
            <rFont val="Arial"/>
            <family val="2"/>
          </rPr>
          <t>Igual al N° de montantes de METRADO MONTANTES, EDIFICACION 10, Lado A.</t>
        </r>
      </text>
    </comment>
    <comment ref="D40" authorId="0" shapeId="0" xr:uid="{00000000-0006-0000-0500-00000A000000}">
      <text>
        <r>
          <rPr>
            <sz val="10"/>
            <rFont val="Arial"/>
            <family val="2"/>
          </rPr>
          <t>Techo a dos aguas: se toma igual al Lado 01. Si el Lado 02 mide distinto, escribir aquí su longitud.</t>
        </r>
      </text>
    </comment>
    <comment ref="J40" authorId="0" shapeId="0" xr:uid="{00000000-0006-0000-0500-00001F000000}">
      <text>
        <r>
          <rPr>
            <sz val="10"/>
            <rFont val="Arial"/>
            <family val="2"/>
          </rPr>
          <t>Igual al N° de montantes de METRADO MONTANTES, EDIFICACION 10, Lado B.</t>
        </r>
      </text>
    </comment>
    <comment ref="J42" authorId="0" shapeId="0" xr:uid="{00000000-0006-0000-0500-000020000000}">
      <text>
        <r>
          <rPr>
            <sz val="10"/>
            <rFont val="Arial"/>
            <family val="2"/>
          </rPr>
          <t>Igual al N° de montantes de METRADO MONTANTES, LOSA DEPORTIVA, Lado A.</t>
        </r>
      </text>
    </comment>
    <comment ref="D43" authorId="0" shapeId="0" xr:uid="{00000000-0006-0000-0500-00000B000000}">
      <text>
        <r>
          <rPr>
            <sz val="10"/>
            <rFont val="Arial"/>
            <family val="2"/>
          </rPr>
          <t>Techo a dos aguas: se toma igual al Lado 01. Si el Lado 02 mide distinto, escribir aquí su longitud.</t>
        </r>
      </text>
    </comment>
    <comment ref="J43" authorId="0" shapeId="0" xr:uid="{00000000-0006-0000-0500-000021000000}">
      <text>
        <r>
          <rPr>
            <sz val="10"/>
            <rFont val="Arial"/>
            <family val="2"/>
          </rPr>
          <t>Igual al N° de montantes de METRADO MONTANTES, LOSA DEPORTIVA, Lado 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3" authorId="0" shapeId="0" xr:uid="{00000000-0006-0000-0A00-000001000000}">
      <text>
        <r>
          <rPr>
            <sz val="10"/>
            <rFont val="Arial"/>
            <family val="2"/>
          </rPr>
          <t>Área de muro (un solo muro) tomada de la hoja 'CONCRETO ARMADO EN CUNETAS' de tu Excel (fila AREA, bajo MUROS de cada eje).</t>
        </r>
      </text>
    </comment>
    <comment ref="F13" authorId="0" shapeId="0" xr:uid="{00000000-0006-0000-0A00-000002000000}">
      <text>
        <r>
          <rPr>
            <sz val="10"/>
            <rFont val="Arial"/>
            <family val="2"/>
          </rPr>
          <t>Altura de muro = Área de muro / Longitud del eje (misma altura usada para el volumen de concreto de muros en tu hoja original).</t>
        </r>
      </text>
    </comment>
    <comment ref="H13" authorId="0" shapeId="0" xr:uid="{00000000-0006-0000-0A00-000003000000}">
      <text>
        <r>
          <rPr>
            <sz val="10"/>
            <rFont val="Arial"/>
            <family val="2"/>
          </rPr>
          <t>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<sst xmlns="http://schemas.openxmlformats.org/spreadsheetml/2006/main" count="3352" uniqueCount="1195">
  <si>
    <t>RESUMEN METRADOS DE DRENAJE PLUVIAL</t>
  </si>
  <si>
    <t>ENTIDAD</t>
  </si>
  <si>
    <t>GERENCIA TERRITORIAL BAJO MAYO - TARAPOTO</t>
  </si>
  <si>
    <t>PROYECTO</t>
  </si>
  <si>
    <t>CREACIÓN DEL SERVICIO DE PROTECCIÓN INTEGRAL A NIÑAS, NIÑOS Y ADOLESCENTES SIN CUIDADOS PARENTALES O EN RIESGO DE PERDERLOS EN CENTRO DE ACOGIDA RESIDENCIAL - VARONES DISTRITO DE MORALES DE LA PROVINCIA DE SAN MARTÍN DEL DEPARTAMENTO DE SAN MARTÍN, con CUI N.° 2705619</t>
  </si>
  <si>
    <t>UBICACIÓN</t>
  </si>
  <si>
    <t>SAN MARTIN - SAN MARTIN - MORALES</t>
  </si>
  <si>
    <t>FECHA</t>
  </si>
  <si>
    <t>Item</t>
  </si>
  <si>
    <t>Descripción</t>
  </si>
  <si>
    <t>Unid.</t>
  </si>
  <si>
    <t>Total.</t>
  </si>
  <si>
    <t>01.04.03</t>
  </si>
  <si>
    <t>SISTEMA DE DRENAJE PLUVIAL</t>
  </si>
  <si>
    <t>01.04.03.01</t>
  </si>
  <si>
    <t>TRABAJOS PRELIMINARES</t>
  </si>
  <si>
    <t>01.04.03.01.01</t>
  </si>
  <si>
    <t>LIMPIEZA MANUAL DE TERRENO</t>
  </si>
  <si>
    <t>m²</t>
  </si>
  <si>
    <t>01.04.03.01.02</t>
  </si>
  <si>
    <t>TRAZO, NIVELES Y REPLANTEO PRELIMINAR</t>
  </si>
  <si>
    <t>01.04.03.02</t>
  </si>
  <si>
    <t>MOVIMIENTO DE TIERRAS</t>
  </si>
  <si>
    <t>01.04.03.02.01</t>
  </si>
  <si>
    <t>EXCAVACIÓN MANUAL DE ZANJAS P/CUNETAS</t>
  </si>
  <si>
    <t>m³</t>
  </si>
  <si>
    <t>01.04.03.02.02</t>
  </si>
  <si>
    <t>EXCAVACIÓN MANUAL DE ZANJAS P/DADOS DE CONCRETO</t>
  </si>
  <si>
    <t>01.04.03.02.03</t>
  </si>
  <si>
    <t>REFINE, NIVELACIÓN Y COMPACTACIÓN EN TERRENO NORMAL</t>
  </si>
  <si>
    <t>01.04.03.02.04</t>
  </si>
  <si>
    <t>01.04.03.02.05</t>
  </si>
  <si>
    <t>01.04.03.03</t>
  </si>
  <si>
    <t>OBRAS DE CONCRETO SIMPLE</t>
  </si>
  <si>
    <t>01.04.03.03.01</t>
  </si>
  <si>
    <t>CONCRETO f'c=100 kg/cm2 PARA SOLADO E=4''</t>
  </si>
  <si>
    <t>01.04.03.03.02</t>
  </si>
  <si>
    <t>CONCRETO f'c=140 Kg/cm2 PARA DADOS DE CONCRETO</t>
  </si>
  <si>
    <t>01.04.03.04</t>
  </si>
  <si>
    <t>OBRAS DE CONCRETO ARMADO</t>
  </si>
  <si>
    <t>01.04.03.04.02</t>
  </si>
  <si>
    <t>CUNETAS</t>
  </si>
  <si>
    <t>01.04.03.04.02.01</t>
  </si>
  <si>
    <t>01.04.03.04.02.02</t>
  </si>
  <si>
    <t>01.04.03.04.02.03</t>
  </si>
  <si>
    <t>ACERO f'y=4200 kg/cm2 PARA CUNETA</t>
  </si>
  <si>
    <t>kg</t>
  </si>
  <si>
    <t>01.04.03.04.02.04</t>
  </si>
  <si>
    <t>CURADO DE CONCRETO EN CUNETA</t>
  </si>
  <si>
    <t>01.04.03.04.03</t>
  </si>
  <si>
    <t>VARIOS</t>
  </si>
  <si>
    <t>01.04.03.04.03.01</t>
  </si>
  <si>
    <t>ml</t>
  </si>
  <si>
    <t>01.04.03.04.03.02</t>
  </si>
  <si>
    <t>TAPA DE INSPECCION 0.60m x 0.60m</t>
  </si>
  <si>
    <t>und</t>
  </si>
  <si>
    <t>01.04.03.04.03.03</t>
  </si>
  <si>
    <t>JUNTA DE DILATACION E=1" CON SELLADOR ASFALTO</t>
  </si>
  <si>
    <t>01.04.03.04.03.04</t>
  </si>
  <si>
    <t>LLORADERO DE TUBERIA PVC Ø3" C/FILTRO DE GRAVA Y GEOTEXTIL @1.50 m (CUNETA COLINDANTE CON AREA VERDE)</t>
  </si>
  <si>
    <t>01.04.03.05</t>
  </si>
  <si>
    <t>RED DE COLECCIÓN</t>
  </si>
  <si>
    <t>01.04.03.05.01</t>
  </si>
  <si>
    <t>RED DE RECOLECCION TECHO</t>
  </si>
  <si>
    <t>01.04.03.05.01.01</t>
  </si>
  <si>
    <t>m</t>
  </si>
  <si>
    <t>01.04.03.05.01.02</t>
  </si>
  <si>
    <t>FALSA COLUMNA P/MONTANTE DE 0.20m x 0.15m x 1.30m</t>
  </si>
  <si>
    <t>01.04.03.05.01.02.01</t>
  </si>
  <si>
    <t>CONCRETO F´C=175 KG/CM2 EN FALSA COLUMNA</t>
  </si>
  <si>
    <t>01.04.03.05.01.02.02</t>
  </si>
  <si>
    <t>ENCOFRADO Y DESENCOFRADO EN FALSA COLUMNA - MONTANTE PLUVIAL</t>
  </si>
  <si>
    <t>01.04.03.05.01.02.03</t>
  </si>
  <si>
    <t>ACERO FY=4200 KG/CM2 EN FALSA COLUMNA (MONTANTE PLUVIAL)</t>
  </si>
  <si>
    <t>01.04.03.05.01.03</t>
  </si>
  <si>
    <t>CANALETA DE PLANCHA DE ACERO GALVANIZADO e=0.9mm, SECCIÓN 0.25m x 0.20m</t>
  </si>
  <si>
    <t>01.04.03.05.01.04</t>
  </si>
  <si>
    <t>SOPORTE DE PLATINA F°G° 1" x 1/8" P/CANALETA</t>
  </si>
  <si>
    <t>01.04.03.05.01.05</t>
  </si>
  <si>
    <t>TAPA LATERAL DE PLANCHA GALVANIZADA P/CANALETA</t>
  </si>
  <si>
    <t>01.04.03.05.01.06</t>
  </si>
  <si>
    <t>BOQUILLA DE PLANCHA GALVANIZADA P/CONEXIÓN DE CANALETA A MONTANTE Ø4"</t>
  </si>
  <si>
    <t>01.04.03.05.02</t>
  </si>
  <si>
    <t>RED DE RECOLECCION PISO</t>
  </si>
  <si>
    <t>01.04.03.05.02.01</t>
  </si>
  <si>
    <t>01.04.03.05.02.02</t>
  </si>
  <si>
    <t>SUMIDERO METALICO C/PLATINA 1" X 3/16"</t>
  </si>
  <si>
    <t>01.04.03.05.02.03</t>
  </si>
  <si>
    <t>01.04.03.05.02.04</t>
  </si>
  <si>
    <t>01.04.03.05.03</t>
  </si>
  <si>
    <t>ACCESORIOS</t>
  </si>
  <si>
    <t>01.04.03.05.03.02</t>
  </si>
  <si>
    <t>CODO DESAGÜE PVC Ø4" x 90°</t>
  </si>
  <si>
    <t>01.04.03.05.03.04</t>
  </si>
  <si>
    <t>COLGADOR F°G° P/TUBERIA PVC Ø4"</t>
  </si>
  <si>
    <t>01.04.03.05.03.05</t>
  </si>
  <si>
    <t>ABRAZADERA DE F°G° P/TUBERIA PVC Ø4"</t>
  </si>
  <si>
    <t>01.04.04</t>
  </si>
  <si>
    <t>COLECTOR PLUVIAL FRONTAL (TRAMO CAR VARONES - EMPALME CON LA CAJA CL DEL HOGAR DE REFUGIO)</t>
  </si>
  <si>
    <t>01.04.04.01</t>
  </si>
  <si>
    <t>01.04.04.01.01</t>
  </si>
  <si>
    <t>01.04.04.01.02</t>
  </si>
  <si>
    <t>01.04.04.02</t>
  </si>
  <si>
    <t>01.04.04.02.01</t>
  </si>
  <si>
    <t>01.04.04.02.02</t>
  </si>
  <si>
    <t>01.04.04.02.03</t>
  </si>
  <si>
    <t>01.04.04.02.04</t>
  </si>
  <si>
    <t>01.04.04.03</t>
  </si>
  <si>
    <t>01.04.04.03.01</t>
  </si>
  <si>
    <t>01.04.04.04</t>
  </si>
  <si>
    <t>OBRAS DE CONCRETO ARMADO - COLECTOR</t>
  </si>
  <si>
    <t>01.04.04.04.01</t>
  </si>
  <si>
    <t>01.04.04.04.02</t>
  </si>
  <si>
    <t>01.04.04.04.03</t>
  </si>
  <si>
    <t>01.04.04.04.04</t>
  </si>
  <si>
    <t>ENCOFRADO Y DESENCOFRADO NORMAL EN COLECTOR</t>
  </si>
  <si>
    <t>01.04.04.04.05</t>
  </si>
  <si>
    <t>ACABADO FROTACHADO Y BRUÑADO DE LOSA SUPERIOR</t>
  </si>
  <si>
    <t>CURADO DE CONCRETO EN COLECTOR</t>
  </si>
  <si>
    <t>01.04.04.05</t>
  </si>
  <si>
    <t>REGISTROS DE LIMPIEZA Y TAPAS</t>
  </si>
  <si>
    <t>01.04.04.05.01</t>
  </si>
  <si>
    <t>PINTURA ANTICORROSIVA Y ESMALTE EN ANGULOS</t>
  </si>
  <si>
    <t>01.04.04.06</t>
  </si>
  <si>
    <t>01.04.04.06.01</t>
  </si>
  <si>
    <t>01.04.04.06.02</t>
  </si>
  <si>
    <t>ITEM</t>
  </si>
  <si>
    <t>DESCRIPCION</t>
  </si>
  <si>
    <t>Nº DE VECES</t>
  </si>
  <si>
    <t>LARGO</t>
  </si>
  <si>
    <t>ANCHO</t>
  </si>
  <si>
    <t>ALTURA</t>
  </si>
  <si>
    <t>FACT.</t>
  </si>
  <si>
    <t>AREA</t>
  </si>
  <si>
    <t>VOLUMEN</t>
  </si>
  <si>
    <t>PARCIAL</t>
  </si>
  <si>
    <t>TOTAL</t>
  </si>
  <si>
    <t>UND</t>
  </si>
  <si>
    <t>EJE 1</t>
  </si>
  <si>
    <t>EJE 2</t>
  </si>
  <si>
    <t>EJE 3</t>
  </si>
  <si>
    <t>EJE 4</t>
  </si>
  <si>
    <t>EJE 5</t>
  </si>
  <si>
    <t>EJE 6</t>
  </si>
  <si>
    <t>EJE 7</t>
  </si>
  <si>
    <t>EJE 8</t>
  </si>
  <si>
    <t>EJE 9</t>
  </si>
  <si>
    <t>DADO 0.40 X 0.40</t>
  </si>
  <si>
    <t>EXCAVACIÓN  MANUAL DE ZANJA PARA CUNETA</t>
  </si>
  <si>
    <t>RELLENO COMPACTADO CON MATERIAL PROPIO</t>
  </si>
  <si>
    <t>REJILLA METALICA P/CUNETA C/PL 1''x 3/16'' Y ANGULO 1'' x 1'' x 3/16'', S/DETALLE</t>
  </si>
  <si>
    <t>MONTANTE CON TUBERÍA PVC DE 4"</t>
  </si>
  <si>
    <t>m3</t>
  </si>
  <si>
    <t>m2</t>
  </si>
  <si>
    <t>Kgr</t>
  </si>
  <si>
    <t>Acero Longitudinal</t>
  </si>
  <si>
    <t>Acero Transversal</t>
  </si>
  <si>
    <t>Cruce de camiones (0+000.00 - 0+006.08)</t>
  </si>
  <si>
    <t>Tramo normal (0+006.08 - 0+100.90)</t>
  </si>
  <si>
    <t>Tramo de empalme con la cl (horizontal) (0+100.90 - 0+105.29)</t>
  </si>
  <si>
    <t>Cruce de camiones (0+000.00 - 0+006.08) - lateral de zanja</t>
  </si>
  <si>
    <t>Tramo normal (0+006.08 - 0+100.90) - lateral de zanja</t>
  </si>
  <si>
    <t>Tramo de empalme con la cl (horizontal) (0+100.90 - 0+105.29) - lateral de zanja</t>
  </si>
  <si>
    <t>Cruce de camiones (0+000.00 - 0+006.08) - franja de nivelacion</t>
  </si>
  <si>
    <t>Tramo normal (0+006.08 - 0+100.90) - franja de nivelacion</t>
  </si>
  <si>
    <t>Tramo de empalme con la cl (horizontal) (0+100.90 - 0+105.29) - franja de nivelacion</t>
  </si>
  <si>
    <t>Excavacion de zanjas</t>
  </si>
  <si>
    <t>Relleno compactado (se descuenta)</t>
  </si>
  <si>
    <t>Descuento de aberturas de registro 0.70 x 0.70 x 0.10</t>
  </si>
  <si>
    <t>CONCRETO F´C=175 KG/CM2 PARA CUNETAS  - DRENAJE PLUVIAL</t>
  </si>
  <si>
    <t>LONGITUDES Y AREAS</t>
  </si>
  <si>
    <t>Sub.TOTAL</t>
  </si>
  <si>
    <t>TOTAL (m3)</t>
  </si>
  <si>
    <t>CUNETA EJE 01</t>
  </si>
  <si>
    <t>MUROS</t>
  </si>
  <si>
    <t>CUNETA EJE 07</t>
  </si>
  <si>
    <t>ESPESOR</t>
  </si>
  <si>
    <t>CANT.</t>
  </si>
  <si>
    <t>LOSA</t>
  </si>
  <si>
    <t>LONGITUD</t>
  </si>
  <si>
    <t>TAPA</t>
  </si>
  <si>
    <t>CUNETA EJE 02</t>
  </si>
  <si>
    <t>CUNETA EJE 08</t>
  </si>
  <si>
    <t>CUNETA EJE 03</t>
  </si>
  <si>
    <t>CUNETA EJE 09</t>
  </si>
  <si>
    <t>CUNETA EJE 04</t>
  </si>
  <si>
    <t>CUNETA EJE 05</t>
  </si>
  <si>
    <t>CUNETA EJE 06</t>
  </si>
  <si>
    <t xml:space="preserve"> ENCOFRADO Y DESENCOFRADO CUNETAS - DRENAJE PLUVIAL</t>
  </si>
  <si>
    <t>OBRAS DE CONCRETO ARMADO - ENCOFRADO Y DESENCOFRADO CUNETAS</t>
  </si>
  <si>
    <t>TOTAL (m2)</t>
  </si>
  <si>
    <t>ABIERTA</t>
  </si>
  <si>
    <t>MUROS EXTERNO</t>
  </si>
  <si>
    <t>MURO INTERNO</t>
  </si>
  <si>
    <t>CANTIDAD</t>
  </si>
  <si>
    <t>TAPADO</t>
  </si>
  <si>
    <t>MURO EXTERNO</t>
  </si>
  <si>
    <t>CALCULO DE MONTANTES POR EDIFICACION  - DRENAJE PLUVIAL</t>
  </si>
  <si>
    <t>MONTANTES</t>
  </si>
  <si>
    <t>LONG. TUBERIA PVC 4"</t>
  </si>
  <si>
    <t>CODO PVC 90° 4"</t>
  </si>
  <si>
    <t>ABRAZADERA 4"</t>
  </si>
  <si>
    <t>COLGADOR 4"</t>
  </si>
  <si>
    <t>VECES</t>
  </si>
  <si>
    <t>TOTAL (m)</t>
  </si>
  <si>
    <t>TOTAL (und)</t>
  </si>
  <si>
    <t>EDIFICACION 01</t>
  </si>
  <si>
    <t>Lado A</t>
  </si>
  <si>
    <t>Lado B</t>
  </si>
  <si>
    <t>EDIFICACION 02</t>
  </si>
  <si>
    <t>EDIFICACION 03</t>
  </si>
  <si>
    <t>EDIFICACION 04</t>
  </si>
  <si>
    <t>EDIFICACION 05</t>
  </si>
  <si>
    <t>EDIFICACION 06</t>
  </si>
  <si>
    <t>EDIFICACION 07</t>
  </si>
  <si>
    <t>EDIFICACION 08</t>
  </si>
  <si>
    <t>Lado A"</t>
  </si>
  <si>
    <t>Lado B"</t>
  </si>
  <si>
    <t>EDIFICACION 09</t>
  </si>
  <si>
    <t>EDIFICACION 10</t>
  </si>
  <si>
    <t>LOSA DEPORTIVA</t>
  </si>
  <si>
    <t>OBRA EXTERIOR 01</t>
  </si>
  <si>
    <t>OBRA EXTERIOR03</t>
  </si>
  <si>
    <t>OBRA EXTERIOR 01.1</t>
  </si>
  <si>
    <t>METRADO DE CANALETAS DE TECHO - DRENAJE PLUVIAL</t>
  </si>
  <si>
    <t>CANALETA DE PLANCHA DE ACERO GALVANIZADO - SECCIÓN INTERIOR 0.25 m (FONDO) x 0.20 m (ALTO) - TECHOS A DOS AGUAS: UNA CANALETA POR CADA LADO</t>
  </si>
  <si>
    <t>EDIFICACIÓN</t>
  </si>
  <si>
    <t>N° DE CANALETAS</t>
  </si>
  <si>
    <t>CANALETA 0.25 x 0.20 m</t>
  </si>
  <si>
    <t>SOPORTE PLATINA F°G° 1" x 1/8"</t>
  </si>
  <si>
    <t>TAPA LATERAL</t>
  </si>
  <si>
    <t>BOQUILLA A MONTANTE Ø4"</t>
  </si>
  <si>
    <t>LONGITUD (m)</t>
  </si>
  <si>
    <t>Lado 01</t>
  </si>
  <si>
    <t>Lado 02</t>
  </si>
  <si>
    <t>PARÁMETROS DE CÁLCULO - CANALETA</t>
  </si>
  <si>
    <t>DESCRIPCIÓN</t>
  </si>
  <si>
    <t>VALOR</t>
  </si>
  <si>
    <t>UNIDAD</t>
  </si>
  <si>
    <t>CRITERIO</t>
  </si>
  <si>
    <t>Fondo interior de canaleta</t>
  </si>
  <si>
    <t>Dato del proyecto</t>
  </si>
  <si>
    <t>Altura interior de canaleta</t>
  </si>
  <si>
    <t>Doblez o pestaña superior (por cada lado)</t>
  </si>
  <si>
    <t>Editable según detalle</t>
  </si>
  <si>
    <t>Desarrollo de plancha (fondo + 2 alturas + 2 dobleces)</t>
  </si>
  <si>
    <t>Calculado</t>
  </si>
  <si>
    <t>Espesor de plancha galvanizada</t>
  </si>
  <si>
    <t>mm</t>
  </si>
  <si>
    <t>Editable según EE.TT. (cambiar también la descripción de la partida)</t>
  </si>
  <si>
    <t>Separación de soportes</t>
  </si>
  <si>
    <t>Editable. Soportes por canaleta = REDONDEAR.MAS(L / sep) + 1</t>
  </si>
  <si>
    <t>Tapas laterales por canaleta</t>
  </si>
  <si>
    <t>Una en cada extremo</t>
  </si>
  <si>
    <t>Área de plancha galvanizada (referencial)</t>
  </si>
  <si>
    <t>Total de canaleta x desarrollo. Solo referencia para el análisis de costos</t>
  </si>
  <si>
    <t>PLANILLA DE METRADOS - RED DE DRENAJE EN PISO Y SUMIDEROS</t>
  </si>
  <si>
    <t>SECTOR</t>
  </si>
  <si>
    <t>TUBERÍA 4" PVC-U
Desagüe Clase Pesada (m)</t>
  </si>
  <si>
    <t>SUMIDERO DE 4"
(und)</t>
  </si>
  <si>
    <t>CODO 90° x 4"
(und)</t>
  </si>
  <si>
    <t>CODO 45° x 4"
(und)</t>
  </si>
  <si>
    <t>TEE° x 4"
(und)</t>
  </si>
  <si>
    <t>OBSERVACIÓN</t>
  </si>
  <si>
    <t>SECTOR 01</t>
  </si>
  <si>
    <t>Sin datos de Varones</t>
  </si>
  <si>
    <t>SECTOR 02</t>
  </si>
  <si>
    <t>SECTOR 03</t>
  </si>
  <si>
    <t>METRADO DE ACERO EN CUNETAS  - DRENAJE PLUVIAL</t>
  </si>
  <si>
    <t>METRADO DETALLADO POR EJE Y POR TRAMO</t>
  </si>
  <si>
    <t>IDENTIFICACIÓN Y GEOMETRÍA</t>
  </si>
  <si>
    <t>ACERO LONGITUDINAL DEL CUERPO U</t>
  </si>
  <si>
    <t>ACERO TRANSVERSAL DEL CUERPO U</t>
  </si>
  <si>
    <t>ACERO TRANSVERSAL DE LA TAPA (SOLO CUNETA TAPADA)</t>
  </si>
  <si>
    <t>RESULTADO</t>
  </si>
  <si>
    <t>N°</t>
  </si>
  <si>
    <t>EJE</t>
  </si>
  <si>
    <t>TRAMO</t>
  </si>
  <si>
    <t>TIPO DE CUNETA</t>
  </si>
  <si>
    <t>SEC. INI</t>
  </si>
  <si>
    <t>SEC. FIN</t>
  </si>
  <si>
    <t>LONGITUD TRAMO (m)</t>
  </si>
  <si>
    <t>Ø CUERPO</t>
  </si>
  <si>
    <t>FACTOR CUERPO (kg/m)</t>
  </si>
  <si>
    <t>SEP. LONG. (m)</t>
  </si>
  <si>
    <t>BARRAS LONG. INI</t>
  </si>
  <si>
    <t>BARRAS LONG. FIN</t>
  </si>
  <si>
    <t>BARRAS PROM.</t>
  </si>
  <si>
    <t>LONG. ACERO LONG. (m)</t>
  </si>
  <si>
    <t>KG LONG.</t>
  </si>
  <si>
    <t>SEP. TRANSV. U (m)</t>
  </si>
  <si>
    <t>DES. TRANSV. U INI (m)</t>
  </si>
  <si>
    <t>DES. TRANSV. U FIN (m)</t>
  </si>
  <si>
    <t>DES. PROM. U (m)</t>
  </si>
  <si>
    <t>CANT. TRANSV. U</t>
  </si>
  <si>
    <t>LONG. ACERO TRANSV. U (m)</t>
  </si>
  <si>
    <t>KG TRANSV. U</t>
  </si>
  <si>
    <t>TOTAL KG CUERPO U</t>
  </si>
  <si>
    <t>Ø TAPA</t>
  </si>
  <si>
    <t>FACTOR TAPA (kg/m)</t>
  </si>
  <si>
    <t>SEP. TRANSV. TAPA (m)</t>
  </si>
  <si>
    <t>LONG. BARRA TAPA INI (m)</t>
  </si>
  <si>
    <t>LONG. BARRA TAPA FIN (m)</t>
  </si>
  <si>
    <t>LONG. PROM. TAPA (m)</t>
  </si>
  <si>
    <t>CANT. BARRAS TAPA</t>
  </si>
  <si>
    <t>LONG. ACERO TAPA (m)</t>
  </si>
  <si>
    <t>KG ACERO TAPA</t>
  </si>
  <si>
    <t>TOTAL KG TRAMO</t>
  </si>
  <si>
    <t>EJE 01</t>
  </si>
  <si>
    <t>TRAMO 01</t>
  </si>
  <si>
    <t>TAPADA</t>
  </si>
  <si>
    <t>SEC 02</t>
  </si>
  <si>
    <t>SEC 03</t>
  </si>
  <si>
    <t>3/8"</t>
  </si>
  <si>
    <t>TRAMO 02</t>
  </si>
  <si>
    <t>SEC 04</t>
  </si>
  <si>
    <t>TRAMO 03</t>
  </si>
  <si>
    <t>SEC 07</t>
  </si>
  <si>
    <t>EJE 02</t>
  </si>
  <si>
    <t>SEC 09</t>
  </si>
  <si>
    <t>SEC 10</t>
  </si>
  <si>
    <t>EJE 03</t>
  </si>
  <si>
    <t>SEC 12</t>
  </si>
  <si>
    <t>SEC 13</t>
  </si>
  <si>
    <t>EJE 04</t>
  </si>
  <si>
    <t>SEC 15</t>
  </si>
  <si>
    <t>SEC 16</t>
  </si>
  <si>
    <t>SEC 17</t>
  </si>
  <si>
    <t>SEC 20</t>
  </si>
  <si>
    <t>EJE 05</t>
  </si>
  <si>
    <t>SEC 22</t>
  </si>
  <si>
    <t>SEC 23</t>
  </si>
  <si>
    <t>SEC 24</t>
  </si>
  <si>
    <t>EJE 06</t>
  </si>
  <si>
    <t>SEC 26</t>
  </si>
  <si>
    <t>SEC 27</t>
  </si>
  <si>
    <t>SEC 30</t>
  </si>
  <si>
    <t>EJE 07</t>
  </si>
  <si>
    <t>SEC 32</t>
  </si>
  <si>
    <t>SEC 33</t>
  </si>
  <si>
    <t>EJE 08</t>
  </si>
  <si>
    <t>SEC 35</t>
  </si>
  <si>
    <t>SEC 36</t>
  </si>
  <si>
    <t>SEC 37</t>
  </si>
  <si>
    <t>EJE 09</t>
  </si>
  <si>
    <t>SEC 39</t>
  </si>
  <si>
    <t>SEC 40</t>
  </si>
  <si>
    <t>SEC 42</t>
  </si>
  <si>
    <t>TOTALES DE LA PLANILLA</t>
  </si>
  <si>
    <t>METRADO DE CURADO DE CONCRETO EN CUNETAS</t>
  </si>
  <si>
    <t>ANCHO INTERIOR (m)</t>
  </si>
  <si>
    <t>ALTURA INT. INI (m)</t>
  </si>
  <si>
    <t>ALTURA INT. FIN (m)</t>
  </si>
  <si>
    <t>ALTURA PROM. (m)</t>
  </si>
  <si>
    <t>ÁREA 2 MUROS (m²)</t>
  </si>
  <si>
    <t>ÁREA FONDO (m²)</t>
  </si>
  <si>
    <t>ÁREA TAPA / TECHO (m²)</t>
  </si>
  <si>
    <t>TOTAL CURADO (m²)</t>
  </si>
  <si>
    <t>N° CARAS</t>
  </si>
  <si>
    <t>UND.</t>
  </si>
  <si>
    <t>TRAMO 04</t>
  </si>
  <si>
    <t>TOTAL DE CURADO DE CONCRETO EN CUNETAS</t>
  </si>
  <si>
    <t>METRADO DE REJILLAS PARA CUNETAS</t>
  </si>
  <si>
    <t>LONGITUD DEL TRAMO (m)</t>
  </si>
  <si>
    <t>DESCUENTO SIN REJILLA (m)</t>
  </si>
  <si>
    <t>LONGITUD CON REJILLA (m)</t>
  </si>
  <si>
    <t>TOTAL CALCULADO DE REJILLA EN CUNETAS ABIERTAS</t>
  </si>
  <si>
    <t>PARÁMETROS</t>
  </si>
  <si>
    <t>Espaciamiento entre juntas (m)</t>
  </si>
  <si>
    <t>N° de muros con junta por cuneta</t>
  </si>
  <si>
    <t>EJE / DESCRIPCIÓN</t>
  </si>
  <si>
    <t>LONGITUD
EJE (m)</t>
  </si>
  <si>
    <t>ÁREA MURO
(m²)</t>
  </si>
  <si>
    <t>ALTURA
MURO (m)</t>
  </si>
  <si>
    <t>ESPACIAMIENTO
(m)</t>
  </si>
  <si>
    <t>N° DE
JUNTAS</t>
  </si>
  <si>
    <t>PARCIAL
(ml)</t>
  </si>
  <si>
    <t>Descripccion</t>
  </si>
  <si>
    <t>METRADO DE LLORADEROS DE PVC Ø3" EN MUROS DE CUNETA COLINDANTES CON ÁREA VERDE</t>
  </si>
  <si>
    <t>PROGRESIVA DEL TRAMO (desde - hasta)</t>
  </si>
  <si>
    <t>LADO DEL MURO</t>
  </si>
  <si>
    <t>LONGITUD JUNTO A ÁREA VERDE (m)</t>
  </si>
  <si>
    <t>ESPACIAMIENTO (m)</t>
  </si>
  <si>
    <t>N° DE LLORADEROS</t>
  </si>
  <si>
    <t>0+013.50 a 0+019.00</t>
  </si>
  <si>
    <t>LADO ESTE</t>
  </si>
  <si>
    <t>0+054.75 a 0+077.25</t>
  </si>
  <si>
    <t>0+080.75 a 0+111.53</t>
  </si>
  <si>
    <t>0+000.00 a 0+013.25</t>
  </si>
  <si>
    <t>0+021.00 a 0+023.03</t>
  </si>
  <si>
    <t>LADO OESTE</t>
  </si>
  <si>
    <t>0+023.03 a 0+033.78</t>
  </si>
  <si>
    <t>LADO SUR</t>
  </si>
  <si>
    <t>0+000.00 a 0+005.50</t>
  </si>
  <si>
    <t>0+007.00 a 0+015.48</t>
  </si>
  <si>
    <t>0+017.73 a 0+021.48</t>
  </si>
  <si>
    <t>0+020.50 a 0+024.25</t>
  </si>
  <si>
    <t>0+034.75 a 0+038.50</t>
  </si>
  <si>
    <t>0+045.00 a 0+048.75</t>
  </si>
  <si>
    <t>0+086.00 a 0+102.31</t>
  </si>
  <si>
    <t>0+013.50 a 0+019.25</t>
  </si>
  <si>
    <t>0+032.75 a 0+047.00</t>
  </si>
  <si>
    <t>0+057.50 a 0+061.00</t>
  </si>
  <si>
    <t>0+013.75 a 0+019.25</t>
  </si>
  <si>
    <t>0+032.54 a 0+035.04</t>
  </si>
  <si>
    <t>0+027.00 a 0+032.54</t>
  </si>
  <si>
    <t>LADO NORTE</t>
  </si>
  <si>
    <t>0+000.00 a 0+034.25</t>
  </si>
  <si>
    <t>0+083.48 a 0+086.23</t>
  </si>
  <si>
    <t>0+094.48 a 0+098.69</t>
  </si>
  <si>
    <t>0+034.25 a 0+042.73</t>
  </si>
  <si>
    <t>0+042.73 a 0+061.23</t>
  </si>
  <si>
    <t>0+072.98 a 0+080.73</t>
  </si>
  <si>
    <t>0+000.00 a 0+014.93</t>
  </si>
  <si>
    <t>0+029.50 a 0+035.50</t>
  </si>
  <si>
    <t>0+000.25 a 0+021.75</t>
  </si>
  <si>
    <t>TOTAL DE LLORADEROS EN CUNETAS COLINDANTES CON ÁREA VERDE</t>
  </si>
  <si>
    <t>CRITERIO DE METRADO</t>
  </si>
  <si>
    <t>1. Solo llevan lloraderos los muros de cuneta colindantes con área verde (detalle de instalación de lloraderos en cunetas de evacuación pluvial y especificación técnica del plano de drenaje: lloraderos de tubería PVC Ø3", espaciamiento típico L = 1.50 m, en muros de contención de la cuneta colindantes con áreas verdes).</t>
  </si>
  <si>
    <t>2. Tramos medidos en la planta general de drenaje: muro cuya franja exterior de 0.30 m queda dentro del achurado de área verde; no se cuentan tramos menores de 1.50 m. Progresivas desde el inicio de cada eje (igual que los perfiles), recortadas a la longitud del eje de este metrado.</t>
  </si>
  <si>
    <t>3. N° de lloraderos por tramo = REDONDEAR.MAS(longitud / 1.50). Cada unidad comprende: pase de tubería PVC-U Ø3" (L = 0.30 m) a media altura del muro con pendiente S = 0.5 % hacia la cuneta; filtro localizado de grava 20-40 mm de 0.30 x 0.30 x 0.30 m (0.027 m³) envuelto en geotextil no tejido (0.60 m² con traslapes); excavación local y relleno del filtro.</t>
  </si>
  <si>
    <t>4. Partida nueva: no modifica ninguna otra partida del metrado.</t>
  </si>
  <si>
    <t>METRADO DE TAPAS DE REGISTRO EN CUNETAS TAPADAS</t>
  </si>
  <si>
    <t>DIMENSIONES</t>
  </si>
  <si>
    <t>VOLUMEN / PARCIAL</t>
  </si>
  <si>
    <t>TAPA DE REGISTRO (DE CONCRETO)</t>
  </si>
  <si>
    <t>CONCRETO F´C=210 KG/CM2 EN TAPA DE REGISTRO</t>
  </si>
  <si>
    <t>TAPA 0.60 x 0.60 x 0.10 m</t>
  </si>
  <si>
    <t>ENCOFRADO Y DESENCOFRADO EN TAPA DE REGISTRO</t>
  </si>
  <si>
    <t>LATERALES DE TAPA</t>
  </si>
  <si>
    <t>FONDO DE MOLDE / BASE DE PREFABRICADO</t>
  </si>
  <si>
    <t>TOTAL ENCOFRADO FONDO + LATERALES</t>
  </si>
  <si>
    <t>ACERO FY=4200 KG/CM2 EN TAPA DE REGISTRO - VARILLA 3/8</t>
  </si>
  <si>
    <t>LONGITUD DE CADA BARRA</t>
  </si>
  <si>
    <t>CANTIDAD DE BARRAS POR TAPA</t>
  </si>
  <si>
    <t>Acero longitudinal 3/8 - parrilla simple</t>
  </si>
  <si>
    <t>Acero transversal 3/8 - parrilla simple</t>
  </si>
  <si>
    <t>TOTAL ACERO 3/8</t>
  </si>
  <si>
    <t>CUNETAS - ACORTAMIENTO EN LA LLEGADA AL COLECTOR PLUVIAL FRONTAL</t>
  </si>
  <si>
    <t>Las cunetas estan dibujadas hasta la franja exterior del frente. El colector pluvial frontal ocupa esa franja, por lo que cada cuneta termina en la cara del muro lado predio del colector (ventana de empalme, lamina DPLV-24) o en el muro norte de la caja de llegada CL del Hogar de Refugio (Eje 01, lamina DPLV-25). El tramo que caia dentro del colector se descuenta de la longitud de la cuneta en todas las hojas de este metrado (concreto, encofrado, acero, curado, rejillas, juntas, movimiento de tierras).</t>
  </si>
  <si>
    <t>CUNETA</t>
  </si>
  <si>
    <t>LONGITUD DIBUJADA (m)</t>
  </si>
  <si>
    <t>ACORTAMIENTO (m)</t>
  </si>
  <si>
    <t>LONGITUD METRADA (m)</t>
  </si>
  <si>
    <t>TERMINA EN</t>
  </si>
  <si>
    <t>SUSTENTO</t>
  </si>
  <si>
    <t>muro norte de la caja CL</t>
  </si>
  <si>
    <t>Lamina DPLV-17 del colector (planta: tramo de cuneta que se descuenta) y memoria de calculo del colector, hoja CUNETAS</t>
  </si>
  <si>
    <t>muro del colector (ventana)</t>
  </si>
  <si>
    <t>Nota: el acortamiento se aplica al ultimo tramo de cada eje (el que llega al frente); las alturas H se mantienen las del perfil. Las cunetas de los Ejes 02, 03, 05 y 07 no llegan al frente y no cambian.</t>
  </si>
  <si>
    <t>PARÁMETROS  - TAPA DE REGISTRO DE CONCRETO</t>
  </si>
  <si>
    <t>Valor</t>
  </si>
  <si>
    <t>Unidad</t>
  </si>
  <si>
    <t>Criterio</t>
  </si>
  <si>
    <t>Cantidad de tapas</t>
  </si>
  <si>
    <t>Provisional: 1 tapa por tramo tapado (8 tramos); confirmar con el plano</t>
  </si>
  <si>
    <t>Largo de tapa</t>
  </si>
  <si>
    <t>Según detalle</t>
  </si>
  <si>
    <t>Ancho de tapa</t>
  </si>
  <si>
    <t>Espesor de tapa</t>
  </si>
  <si>
    <t>Recubrimiento considerado</t>
  </si>
  <si>
    <t>Editable según plano estructural</t>
  </si>
  <si>
    <t>Separación de varillas 3/8</t>
  </si>
  <si>
    <t>Parrilla simple en ambos sentidos</t>
  </si>
  <si>
    <t>Peso varilla 3/8</t>
  </si>
  <si>
    <t>kg/m</t>
  </si>
  <si>
    <t>Peso unitario usado para metrado</t>
  </si>
  <si>
    <t>Longitud varilla comercial</t>
  </si>
  <si>
    <t>Solo equivalente de longitud, sin redondeo</t>
  </si>
  <si>
    <t>PARÁMETROS - MOVIMIENTO DE TIERRAS</t>
  </si>
  <si>
    <t>Espesor de solado sumado a excavación y relleno</t>
  </si>
  <si>
    <t>Solado e=4" bajo la losa. Poner 0 si la altura ya lo incluye</t>
  </si>
  <si>
    <t>Factor de esponjamiento</t>
  </si>
  <si>
    <t>-</t>
  </si>
  <si>
    <t>Eliminación = (excavación − relleno) × factor</t>
  </si>
  <si>
    <t>LISTAS, FACTORES Y PARÁMETROS EDITABLES</t>
  </si>
  <si>
    <t>DIÁMETRO</t>
  </si>
  <si>
    <t>FACTOR kg/m</t>
  </si>
  <si>
    <t>CRITERIO DE CONTEO</t>
  </si>
  <si>
    <t>6 mm</t>
  </si>
  <si>
    <t>TEÓRICO (L/s+1)</t>
  </si>
  <si>
    <t>8 mm</t>
  </si>
  <si>
    <t>ENTERO (redondeo arriba)</t>
  </si>
  <si>
    <t>12 mm</t>
  </si>
  <si>
    <t>1/2"</t>
  </si>
  <si>
    <t>5/8"</t>
  </si>
  <si>
    <t>3/4"</t>
  </si>
  <si>
    <t>1"</t>
  </si>
  <si>
    <t>NOTA</t>
  </si>
  <si>
    <t>Los factores kg/m son editables. Si el proyecto usa otro factor, cámbialo aquí.</t>
  </si>
  <si>
    <t>La opción TEÓRICO mantiene cantidades decimales: Longitud / separación + 1.</t>
  </si>
  <si>
    <t>La opción ENTERO redondea hacia arriba antes de sumar la barra final.</t>
  </si>
  <si>
    <t>COLECTOR PLUVIAL FRONTAL - PARAMETROS DE METRADO</t>
  </si>
  <si>
    <t>Tramo CAR Varones (CUI 2705619), empalme con la caja de llegada CL del colector del Hogar de Refugio Temporal (CUI 2675514). Valores tomados de las laminas DPLV-17 a DPLV-30 y de la memoria de calculo del colector. Celda amarilla = dato; verde = formula.</t>
  </si>
  <si>
    <t>PARAMETRO</t>
  </si>
  <si>
    <t>SUSTENTO (lamina / norma / criterio)</t>
  </si>
  <si>
    <t>Ancho interior del colector b</t>
  </si>
  <si>
    <t>Laminas DPLV-21 y DPLV-22 (secciones); memoria de calculo, hoja DATOS</t>
  </si>
  <si>
    <t>Espesor de muros</t>
  </si>
  <si>
    <t>Laminas DPLV-21 y DPLV-22; memoria, hoja ESTRUCTURAL</t>
  </si>
  <si>
    <t>Espesor de losa de fondo</t>
  </si>
  <si>
    <t>Laminas DPLV-21 y DPLV-22</t>
  </si>
  <si>
    <t>Espesor de losa superior (tramo normal)</t>
  </si>
  <si>
    <t>Laminas DPLV-21 y DPLV-22 (secciones S-02 a S-08)</t>
  </si>
  <si>
    <t>Espesor de losa superior (cruce de camiones cisterna)</t>
  </si>
  <si>
    <t>Lamina DPLV-21 (seccion S-01); memoria, hoja ESTRUCTURAL (carga HL-93)</t>
  </si>
  <si>
    <t>Espesor de solado</t>
  </si>
  <si>
    <t>Laminas DPLV-21 y DPLV-22</t>
  </si>
  <si>
    <t>Nivel de piso terminado del frente (cara superior de la losa)</t>
  </si>
  <si>
    <t>msnm</t>
  </si>
  <si>
    <t>Lamina DPLV-18 (perfil) y plano de arquitectura (+261.15)</t>
  </si>
  <si>
    <t>Sobreancho de excavacion a cada lado del colector</t>
  </si>
  <si>
    <t>Zanja de 1.40 m (0.90 + 2 x 0.25)</t>
  </si>
  <si>
    <t>Franja de relleno de nivelacion del retiro, lado via</t>
  </si>
  <si>
    <t/>
  </si>
  <si>
    <t>Recubrimiento del acero</t>
  </si>
  <si>
    <t>Norma E.060, tabla 7.7.1 (concreto en contacto con el suelo)</t>
  </si>
  <si>
    <t>Peso de la barra de 3/8"</t>
  </si>
  <si>
    <t>Igual a PARAMETROS!B10 de esta planilla</t>
  </si>
  <si>
    <t>Peso de la barra de 1/2"</t>
  </si>
  <si>
    <t>Catalogo del fabricante (0.994 kg/m)</t>
  </si>
  <si>
    <t>Traslape de barras longitudinales</t>
  </si>
  <si>
    <t>Norma E.060, 12.15 (clase B, 3/8"): 0.40 m</t>
  </si>
  <si>
    <t>Longitud comercial de barra</t>
  </si>
  <si>
    <t>Igual a PARAMETROS!B11 de esta planilla</t>
  </si>
  <si>
    <t>Ganchos de cierre del marco (2 x 0.15)</t>
  </si>
  <si>
    <t/>
  </si>
  <si>
    <t>Igual a PARAMETROS!B16 de esta planilla</t>
  </si>
  <si>
    <t>Espaciamiento de marcos en tramo normal</t>
  </si>
  <si>
    <t>Laminas DPLV-21 y DPLV-22</t>
  </si>
  <si>
    <t>Espaciamiento de marcos en el cruce de camiones</t>
  </si>
  <si>
    <t>Lamina DPLV-21 (seccion S-01)</t>
  </si>
  <si>
    <t>Espaciamiento de barras longitudinales (tramo normal)</t>
  </si>
  <si>
    <t>Espaciamiento de barras longitudinales (camiones)</t>
  </si>
  <si>
    <t>Numero de registros de limpieza con tapa</t>
  </si>
  <si>
    <t>Lamina DPLV-17 (RV-01 a RV-11), todos en la losa del colector; hoja COLECTOR REGISTROS Y TAPAS</t>
  </si>
  <si>
    <t>Lado de la tapa de concreto</t>
  </si>
  <si>
    <t>Lamina DPLV-23</t>
  </si>
  <si>
    <t>Espesor de la tapa</t>
  </si>
  <si>
    <t>m2/m</t>
  </si>
  <si>
    <t>Borde engrosado: seccion (0.15 x 0.10)</t>
  </si>
  <si>
    <t>Cota de fondo del colector en el arranque (0+000)</t>
  </si>
  <si>
    <t>Lamina DPLV-18; memoria, hoja PERFIL_FLUJO</t>
  </si>
  <si>
    <t>Cota de fondo del colector en la llegada a la CL (0+105.29)</t>
  </si>
  <si>
    <t>Laminas DPLV-18 y DPLV-25; memoria, hoja EMPALME_CL</t>
  </si>
  <si>
    <t>Espaciamiento de juntas de dilatacion</t>
  </si>
  <si>
    <t>Lamina DPLV-17, nota; DPLV-18</t>
  </si>
  <si>
    <t>Altura interior maxima del colector (para el perimetro de la junta)</t>
  </si>
  <si>
    <t>Lamina DPLV-18 (perfil): llegada a la CL</t>
  </si>
  <si>
    <t>Progresiva final (cara este de la caja CL)</t>
  </si>
  <si>
    <t>Lamina DPLV-17</t>
  </si>
  <si>
    <t>Progresiva del quiebre (inicio del tramo de empalme)</t>
  </si>
  <si>
    <t>Ancho exterior del muro este de la caja CL (contacto con el colector)</t>
  </si>
  <si>
    <t>Lamina DPLV-25</t>
  </si>
  <si>
    <t>COLECTOR PLUVIAL FRONTAL - METRADO DE MOVIMIENTO DE TIERRAS</t>
  </si>
  <si>
    <t>Criterio: LIMPIEZA Y TRAZO = ancho de zanja x L.  EXCAVACION = ancho de zanja x Hz x L, con Hz = terreno existente (topografia) - fondo del solado.  REFINE = (ancho exterior + 0.10) x L (fondo del solado).  RELLENO LATERAL = 2 x sobreancho x Hz x L.  RELLENO FRANJA = 1.00 x (NPT - terreno) x L (nivelacion del retiro lado via).  h y Hz son valores medios ponderados del tramo (perfil DPLV-18 y topografia); el detalle cada 2.00 m esta en la memoria de calculo.</t>
  </si>
  <si>
    <t>ZONA</t>
  </si>
  <si>
    <t>PROG. INICIO</t>
  </si>
  <si>
    <t>PROG. FIN</t>
  </si>
  <si>
    <t>ALTURA INTERIOR h (m)</t>
  </si>
  <si>
    <t>e LOSA SUP. (m)</t>
  </si>
  <si>
    <t>ANCHO EXT. b + 2e (m)</t>
  </si>
  <si>
    <t>ANCHO DE ZANJA (m)</t>
  </si>
  <si>
    <t>Hz: TERRENO - FONDO DE SOLADO (m)</t>
  </si>
  <si>
    <t>NPT - TERRENO (m)</t>
  </si>
  <si>
    <t>LIMPIEZA Y TRAZO (m2)</t>
  </si>
  <si>
    <t>EXCAVACION (m3)</t>
  </si>
  <si>
    <t>REFINE Y NIVELACION (m2)</t>
  </si>
  <si>
    <t>RELLENO LATERAL DE ZANJA (m3)</t>
  </si>
  <si>
    <t>RELLENO FRANJA DE NIVELACION (m3)</t>
  </si>
  <si>
    <t>cruce de camiones</t>
  </si>
  <si>
    <t>CAMION</t>
  </si>
  <si>
    <t>0+000.00</t>
  </si>
  <si>
    <t>0+006.08</t>
  </si>
  <si>
    <t>DPLV-17 (planta), DPLV-18 (perfil: fondo y terreno), DPLV-21 y DPLV-22 (seccion)</t>
  </si>
  <si>
    <t>tramo normal</t>
  </si>
  <si>
    <t>NORMAL</t>
  </si>
  <si>
    <t>0+100.90</t>
  </si>
  <si>
    <t>tramo de empalme con la CL (horizontal)</t>
  </si>
  <si>
    <t>0+105.29</t>
  </si>
  <si>
    <t>TOTAL COLECTOR</t>
  </si>
  <si>
    <t>RESUMEN PARA LA PLANILLA GENERAL (partidas 01.04.04.01 y 01.04.04.02)</t>
  </si>
  <si>
    <t>LIMPIEZA MANUAL DE TERRENO / TRAZO Y REPLANTEO</t>
  </si>
  <si>
    <t>EXCAVACION MANUAL DE ZANJAS</t>
  </si>
  <si>
    <t>REFINE, NIVELACION Y COMPACTACION</t>
  </si>
  <si>
    <t>RELLENO COMPACTADO (lateral + franja)</t>
  </si>
  <si>
    <t>ELIMINACION DE MATERIAL EXCEDENTE = (excavacion - relleno) x esponjamiento</t>
  </si>
  <si>
    <t>Nota: el acortamiento de las cunetas que llegan al colector (Ejes 09, 08, 06, 04 y 01) esta aplicado en las hojas de cunetas de esta planilla (hoja CUNETAS - LLEGADA AL COLECTOR); no forma parte de esta partida. La caja CL pertenece al expediente del Hogar de Refugio.</t>
  </si>
  <si>
    <t>COLECTOR PLUVIAL FRONTAL - METRADO DE CONCRETO SIMPLE Y ARMADO</t>
  </si>
  <si>
    <t>Criterio: SOLADO = (ancho exterior + 0.10) x L.  LOSA DE FONDO = ancho exterior x e fondo x L.  MUROS = 2 x e muro x h x L.  LOSA SUPERIOR = ancho exterior x e losa x L.  ACABADO = ancho exterior x L (losa superior frotachada y brunada).  CURADO = 2 caras interiores de muros (2 x h x L) + fondo interior (b x L) + losa superior (ancho exterior x L), igual al criterio de la hoja METRADO DE CURADO.</t>
  </si>
  <si>
    <t>ANCHO EXT. (m)</t>
  </si>
  <si>
    <t>SOLADO f'c=100 (m2)</t>
  </si>
  <si>
    <t>LOSA DE FONDO (m3)</t>
  </si>
  <si>
    <t>MUROS (m3)</t>
  </si>
  <si>
    <t>LOSA SUPERIOR (m3)</t>
  </si>
  <si>
    <t>ACABADO DE LOSA SUP. (m2)</t>
  </si>
  <si>
    <t>CURADO (m2)</t>
  </si>
  <si>
    <t>DPLV-21 y DPLV-22 (secciones), DPLV-18 (h por tramo)</t>
  </si>
  <si>
    <t>TOTAL COLECTOR (tramos)</t>
  </si>
  <si>
    <t>ELEMENTO</t>
  </si>
  <si>
    <t>DETALLE</t>
  </si>
  <si>
    <t>LARGO (m)</t>
  </si>
  <si>
    <t>ANCHO (m)</t>
  </si>
  <si>
    <t>ALTO / ESPESOR (m)</t>
  </si>
  <si>
    <t>SOLADO (m2)</t>
  </si>
  <si>
    <t>ACABADO (m2)</t>
  </si>
  <si>
    <t>perimetro x seccion</t>
  </si>
  <si>
    <t>DPLV-23</t>
  </si>
  <si>
    <t>TOTAL REGISTROS</t>
  </si>
  <si>
    <t>RESUMEN PARA LA PLANILLA GENERAL (partidas 01.04.04.03 y 01.04.04.04)</t>
  </si>
  <si>
    <t>CONCRETO f'c=100 PARA SOLADO e=0.05</t>
  </si>
  <si>
    <t>CONCRETO f'c=210 EN LOSA DE FONDO</t>
  </si>
  <si>
    <t>CONCRETO f'c=210 EN MUROS</t>
  </si>
  <si>
    <t>CONCRETO f'c=210 EN LOSA SUPERIOR</t>
  </si>
  <si>
    <t>CURADO DE CONCRETO</t>
  </si>
  <si>
    <t>COLECTOR PLUVIAL FRONTAL - METRADO DE ENCOFRADO Y DESENCOFRADO</t>
  </si>
  <si>
    <t>Criterio: se encofran las dos caras interiores de los muros, las dos caras exteriores en toda la altura del cajon (losa de fondo + muro + losa superior) y el fondo de la losa superior (ancho interior b). La losa de fondo se vacia sobre el solado y la cara superior de la losa queda libre (acabado).</t>
  </si>
  <si>
    <t>ANCHO INT. b (m)</t>
  </si>
  <si>
    <t>CARAS INTERIORES DE MUROS 2 x h x L (m2)</t>
  </si>
  <si>
    <t>CARAS EXTERIORES 2 x (e fondo + h + e losa) x L (m2)</t>
  </si>
  <si>
    <t>FONDO DE LOSA SUPERIOR b x L (m2)</t>
  </si>
  <si>
    <t>TOTAL ENCOFRADO (m2)</t>
  </si>
  <si>
    <t>DPLV-21 y DPLV-22 (secciones)</t>
  </si>
  <si>
    <t>RESUMEN PARA LA PLANILLA GENERAL (partida 01.04.04.04.04)</t>
  </si>
  <si>
    <t>COLECTOR PLUVIAL FRONTAL - METRADO DE ACERO DE REFUERZO fy=4200 kg/cm2</t>
  </si>
  <si>
    <t>Criterio (laminas DPLV-21 y DPLV-22, norma E.060 14.3.4): el tramo normal lleva un solo marco cerrado en el eje de muros y losas (perimetro = 2 x (ancho ext. - e) + 2 x (e fondo/2 + h + e losa/2) + ganchos); el cruce de camiones cisterna lleva marco exterior + marco interior de 1/2" (perimetros con recubrimiento 0.04). Barras longitudinales 3/8" en cada marco, con traslape de 0.40 cada 9.00 m. Peso: 3/8" = 0.56 kg/m, 1/2" = 0.994 kg/m.</t>
  </si>
  <si>
    <t>ESPAC. MARCOS s (m)</t>
  </si>
  <si>
    <t>CAPAS (1 = marco unico; 2 = ext. + int.)</t>
  </si>
  <si>
    <t>DIAM. MARCOS</t>
  </si>
  <si>
    <t>N° DE JUEGOS (L / s, redondeado arriba)</t>
  </si>
  <si>
    <t>PERIMETRO MARCO 1 (m)</t>
  </si>
  <si>
    <t>PERIMETRO MARCO 2 (m)</t>
  </si>
  <si>
    <t>LONGITUD DE MARCOS (m)</t>
  </si>
  <si>
    <t>PESO (kg/m)</t>
  </si>
  <si>
    <t>ACERO EN MARCOS (kg)</t>
  </si>
  <si>
    <t>ESPAC. LONGIT. (m)</t>
  </si>
  <si>
    <t>N° BARRAS LONGIT. (perimetro / espac.)</t>
  </si>
  <si>
    <t>LONGITUD LONGIT. CON TRASLAPE (m)</t>
  </si>
  <si>
    <t>ACERO LONGIT. 3/8" (kg)</t>
  </si>
  <si>
    <t>TOTAL (kg)</t>
  </si>
  <si>
    <t>DPLV-21 (seccion S-01)</t>
  </si>
  <si>
    <t>DPLV-21 y DPLV-22 (seccion S-02 a S-08)</t>
  </si>
  <si>
    <t>DIAM.</t>
  </si>
  <si>
    <t>FORMA</t>
  </si>
  <si>
    <t>PIEZAS POR REGISTRO</t>
  </si>
  <si>
    <t>REGISTROS</t>
  </si>
  <si>
    <t>LONG. POR PIEZA (m)</t>
  </si>
  <si>
    <t>LONG. TOTAL (m)</t>
  </si>
  <si>
    <t>ACERO (kg)</t>
  </si>
  <si>
    <t>Refuerzo de borde de la abertura</t>
  </si>
  <si>
    <t>recta</t>
  </si>
  <si>
    <t>DPLV-23, DPLV-27: 2 barras de 1/2" por lado, L = 1.40</t>
  </si>
  <si>
    <t>Parrilla de la tapa de concreto</t>
  </si>
  <si>
    <t>U</t>
  </si>
  <si>
    <t>TOTAL REGISTROS Y TAPAS</t>
  </si>
  <si>
    <t>RESUMEN PARA LA PLANILLA GENERAL (partidas 01.04.04.04.05 y 01.04.04.05.06)</t>
  </si>
  <si>
    <t>ACERO DE REFUERZO EN COLECTOR</t>
  </si>
  <si>
    <t>COLECTOR PLUVIAL FRONTAL - REGISTROS DE LIMPIEZA Y TAPAS</t>
  </si>
  <si>
    <t>REGISTRO</t>
  </si>
  <si>
    <t>PROGRESIVA</t>
  </si>
  <si>
    <t>UBICACION</t>
  </si>
  <si>
    <t>TAPA 0.68 x 0.68 (und)</t>
  </si>
  <si>
    <t>RV-01</t>
  </si>
  <si>
    <t>0+007.01</t>
  </si>
  <si>
    <t>Registro en la losa del colector; empalme cuneta Eje 09</t>
  </si>
  <si>
    <t>DPLV-17, DPLV-23</t>
  </si>
  <si>
    <t>RV-02</t>
  </si>
  <si>
    <t>0+013.52</t>
  </si>
  <si>
    <t>Registro en la losa del colector; limpieza</t>
  </si>
  <si>
    <t>RV-03</t>
  </si>
  <si>
    <t>0+020.02</t>
  </si>
  <si>
    <t>Registro en la losa del colector; empalme cuneta Eje 08</t>
  </si>
  <si>
    <t>RV-04</t>
  </si>
  <si>
    <t>0+028.72</t>
  </si>
  <si>
    <t>RV-05</t>
  </si>
  <si>
    <t>0+037.41</t>
  </si>
  <si>
    <t>RV-06</t>
  </si>
  <si>
    <t>0+046.11</t>
  </si>
  <si>
    <t>Registro en la losa del colector; empalme cuneta Eje 06</t>
  </si>
  <si>
    <t>RV-07</t>
  </si>
  <si>
    <t>0+056.47</t>
  </si>
  <si>
    <t>RV-08</t>
  </si>
  <si>
    <t>0+066.84</t>
  </si>
  <si>
    <t>RV-09</t>
  </si>
  <si>
    <t>0+077.20</t>
  </si>
  <si>
    <t>Registro en la losa del colector; empalme cuneta Eje 04</t>
  </si>
  <si>
    <t>RV-10</t>
  </si>
  <si>
    <t>0+089.05</t>
  </si>
  <si>
    <t>RV-11</t>
  </si>
  <si>
    <t>Registro en la losa del colector; quiebre; inicio del tramo de empalme con la CL</t>
  </si>
  <si>
    <t>TOTAL DE REGISTROS CON TAPA</t>
  </si>
  <si>
    <t>METRADO DE LAS PARTIDAS DE REGISTROS (cantidad = total de registros; dimensiones de la hoja COLECTOR PARAMETROS)</t>
  </si>
  <si>
    <t>PARTIDA</t>
  </si>
  <si>
    <t>CALCULO</t>
  </si>
  <si>
    <t>1 por registro</t>
  </si>
  <si>
    <t>CONCRETO f'c=210 EN TAPAS</t>
  </si>
  <si>
    <t>registros x 0.68 x 0.68 x 0.08</t>
  </si>
  <si>
    <t>COLECTOR PLUVIAL FRONTAL - JUNTAS Y EMPALMES DE CUNETAS</t>
  </si>
  <si>
    <t>PROGRESIVA / DETALLE</t>
  </si>
  <si>
    <t>PARCIAL (m)</t>
  </si>
  <si>
    <t>Juntas de dilatacion cada 4.00 m entre 0+004.00 y 0+104.00</t>
  </si>
  <si>
    <t>DPLV-17; DPLV-18 (juntas en el perfil); DPLV-29; perimetro de la seccion</t>
  </si>
  <si>
    <t>TOTAL JUNTA DE DILATACION (m)</t>
  </si>
  <si>
    <t>Contacto del colector con el muro este de la caja CL (perimetro de la seccion)</t>
  </si>
  <si>
    <t>EMPALME DE CUNETA AL COLECTOR (ventana 0.40 x H en el muro lado predio, caida libre y registro encima) - laminas DPLV-24 y DPLV-30</t>
  </si>
  <si>
    <t>Cuneta Eje 09 (registro RV-01)</t>
  </si>
  <si>
    <t>DPLV-24 (cuadro de empalmes); DPLV-17</t>
  </si>
  <si>
    <t>Cuneta Eje 08 (registro RV-03)</t>
  </si>
  <si>
    <t>Cuneta Eje 06 (registro RV-06)</t>
  </si>
  <si>
    <t>Cuneta Eje 04 (registro RV-09)</t>
  </si>
  <si>
    <t>TOTAL EMPALMES (und)</t>
  </si>
  <si>
    <t>Nota: la cuneta del Eje 01 no entra al colector: cae directamente a la caja CL por una ventana en su muro norte (DPLV-25); esa ventana y la del muro este (llegada del colector) se dejan en la caja CL del expediente del Hogar de Refugio. Las cunetas se acortan hasta el muro (hoja CUNETAS - LLEGADA AL COLECTOR).</t>
  </si>
  <si>
    <t>COLECTOR PLUVIAL FRONTAL - DESGLOSE DE INSUMOS POR PARTIDA</t>
  </si>
  <si>
    <t>Rendimientos unitarios referenciales (celdas amarillas, editar segun el analisis de costos unitarios adoptado). El metrado se toma de la PLANILLA GENERAL DE METRADOS.</t>
  </si>
  <si>
    <t>METRADO</t>
  </si>
  <si>
    <t>INSUMO</t>
  </si>
  <si>
    <t>UND INSUMO</t>
  </si>
  <si>
    <t>CANTIDAD POR UND DE PARTIDA</t>
  </si>
  <si>
    <t>CANTIDAD TOTAL</t>
  </si>
  <si>
    <t>Cemento Portland tipo I</t>
  </si>
  <si>
    <t>bol</t>
  </si>
  <si>
    <t>Arena gruesa</t>
  </si>
  <si>
    <t>Piedra chancada 1/2"</t>
  </si>
  <si>
    <t>Agua</t>
  </si>
  <si>
    <t>Mezcladora 9-11 p3</t>
  </si>
  <si>
    <t>hm</t>
  </si>
  <si>
    <t>Vibrador de concreto</t>
  </si>
  <si>
    <t>Operario</t>
  </si>
  <si>
    <t>hh</t>
  </si>
  <si>
    <t>Oficial</t>
  </si>
  <si>
    <t>Peon</t>
  </si>
  <si>
    <t>Madera tornillo</t>
  </si>
  <si>
    <t>p2</t>
  </si>
  <si>
    <t>Clavos 3"</t>
  </si>
  <si>
    <t>Alambre negro N 8</t>
  </si>
  <si>
    <t>Acero corrugado fy=4200 (incluye 5 % desperdicio)</t>
  </si>
  <si>
    <t>Alambre negro N 16</t>
  </si>
  <si>
    <t>01.04.04.03.01 SOLADO f'c=100 e=0.05</t>
  </si>
  <si>
    <t>Hormigon</t>
  </si>
  <si>
    <t>01.04.04.02.01 EXCAVACION MANUAL DE ZANJAS</t>
  </si>
  <si>
    <t>Herramientas manuales</t>
  </si>
  <si>
    <t>%mo</t>
  </si>
  <si>
    <t>01.04.04.02.03 RELLENO COMPACTADO CON MATERIAL PROPIO</t>
  </si>
  <si>
    <t>Compactador vibratorio tipo plancha</t>
  </si>
  <si>
    <t>01.04.04.02.04 ELIMINACION DE MATERIAL EXCEDENTE</t>
  </si>
  <si>
    <t>Volquete 6 m3</t>
  </si>
  <si>
    <t>Cargador frontal</t>
  </si>
  <si>
    <t>gal</t>
  </si>
  <si>
    <t>Tecnopor 1"</t>
  </si>
  <si>
    <t>RELLENO COMPACTADO C/MATERIAL PROPIO SELECCIONADO</t>
  </si>
  <si>
    <t>ELIMINACIÓN DE MATERIAL EXCEDENTE D&lt;1Km</t>
  </si>
  <si>
    <t>CONCRETO f'c=175 kg/cm2 PARA CUNETAS</t>
  </si>
  <si>
    <t>ENCOFRADO Y DESENCOFRADO DE CUNETAS</t>
  </si>
  <si>
    <t>TUBERIA DESAGÜE PVC-CP Ø4"</t>
  </si>
  <si>
    <t>TEE SANITARIA DESAGÜE PVC Ø4"</t>
  </si>
  <si>
    <t>EXCAVACIÓN MANUAL DE ZANJAS P/COLECTOR</t>
  </si>
  <si>
    <t>CONCRETO f'c=100 kg/cm2 PARA SOLADO E=2''</t>
  </si>
  <si>
    <t>CONCRETO f'c=210 kg/cm2 PARA COLECTOR</t>
  </si>
  <si>
    <t>Muros:</t>
  </si>
  <si>
    <t>Losa superior (incluye bordes de registro):</t>
  </si>
  <si>
    <t>Losa de fondo - Cruce de camiones (0+000.00 - 0+006.08)</t>
  </si>
  <si>
    <t>Losa de fondo - Tramo normal (0+006.08 - 0+100.90)</t>
  </si>
  <si>
    <t>Losa de fondo - Tramo de empalme con la cl (horizontal) (0+100.90 - 0+105.29)</t>
  </si>
  <si>
    <t>ENCOFRADO Y DESENCOFRADO DE COLECTOR</t>
  </si>
  <si>
    <t>ACERO f'y=4200 kg/cm2 PARA COLECTOR</t>
  </si>
  <si>
    <t>ACABADO FROTACHADO DE LOSA SUPERIOR (VEREDA)</t>
  </si>
  <si>
    <t>JUNTAS</t>
  </si>
  <si>
    <t>JUNTA DE DILATACION E=1" CON TECNOPOR Y SELLADOR ASFALTICO EN COLECTOR</t>
  </si>
  <si>
    <t>JUNTA E=1" CON TECNOPOR Y SELLADOR ASFALTICO ENTRE COLECTOR Y CAJA CL</t>
  </si>
  <si>
    <t>Registros en la losa del colector (RV-01 a RV-11)</t>
  </si>
  <si>
    <t>Desagregado por componente: ver hoja DESAGREGADO TAPA REGISTRO</t>
  </si>
  <si>
    <t>Laminas DPLV-17, DPLV-18, DPLV-24, DPLV-25 y DPLV-29. Junta de dilatacion de 1" cada 4.00 m en todo el perimetro de la seccion (tecnopor de 1" en todo el perimetro + sellador asfaltico RC-250 con arena de 1" x 2" en la cara expuesta, EG-2013 MTC). A ambos lados del colector hay terreno natural (sin piso): no lleva junta longitudinal; la losa superior sirve de vereda. Junta de tecnopor de 1" con sellador asfaltico en el contacto con la caja CL. Empalme de cada cuneta por ventana en el muro lado predio con caida libre al fondo (sin dintel adicional).</t>
  </si>
  <si>
    <t>JUNTA DE DILATACION e=1" CON TECNOPOR Y SELLADOR ASFALTICO EN COLECTOR (perimetro = 2 x ancho exterior + 2 x (e fondo + h max + e losa))</t>
  </si>
  <si>
    <t>JUNTA e=1" CON TECNOPOR Y SELLADOR ASFALTICO ENTRE COLECTOR Y CAJA CL (a ambos lados del colector hay terreno natural: no lleva junta longitudinal)</t>
  </si>
  <si>
    <t>Bordes de la losa: terreno natural a ambos lados (sin piso): no lleva junta</t>
  </si>
  <si>
    <t>DPLV-21, DPLV-22 y DPLV-29</t>
  </si>
  <si>
    <t>DPLV-25 y DPLV-29: tecnopor y sellador en todo el contacto colector - CL</t>
  </si>
  <si>
    <t>TOTAL JUNTA CON LA CAJA CL (m)</t>
  </si>
  <si>
    <t>PLANILLA DE METRADOS - JUNTA DE DILATACIÓN E=1" (0.0254 m) CON SELLADOR ASFÁLTICO EN CUNETAS: TODA LA SECCIÓN (2 MUROS + LOSA DE FONDO)</t>
  </si>
  <si>
    <t>Ancho interior del fondo (m)</t>
  </si>
  <si>
    <t>LONG. POR
JUNTA (m)
2 muros + fondo</t>
  </si>
  <si>
    <t>NOTAS:</t>
  </si>
  <si>
    <t>1. EG-2013 MTC, Seccion 510 (cunetas revestidas de concreto): la junta corta toda la seccion en U, es decir los dos muros y la losa de fondo, para que cada paño de 3.00 m trabaje independiente.</t>
  </si>
  <si>
    <t>2. Longitud por junta = 2 x altura del muro (area del muro / longitud del eje, hoja CONCRETO EN CUNETAS) + ancho interior del fondo 0.40 m.</t>
  </si>
  <si>
    <t>3. Junta e = 1" (0.0254 m): tecnopor de 1" en todo el espesor y sellador asfaltico (RC-250 + arena) en la cara interior; se mide en metros lineales de junta sellada. Detalle en la lamina DPLV-31.</t>
  </si>
  <si>
    <t>01.04.04.04.01 CONCRETO f'c=210 PARA COLECTOR - losa de fondo</t>
  </si>
  <si>
    <t>01.04.04.04.01 CONCRETO f'c=210 PARA COLECTOR - muros</t>
  </si>
  <si>
    <t>01.04.04.04.01 CONCRETO f'c=210 PARA COLECTOR - losa superior</t>
  </si>
  <si>
    <t>01.04.04.04.02 ENCOFRADO Y DESENCOFRADO DE COLECTOR</t>
  </si>
  <si>
    <t>01.04.04.04.03 ACERO f'y=4200 PARA COLECTOR</t>
  </si>
  <si>
    <t>01.04.04.06.01 JUNTA DE DILATACION e=1" CON TECNOPOR Y SELLADOR ASFALTICO</t>
  </si>
  <si>
    <t>Sellador asfaltico: asfalto liquido RC-250 + arena gruesa (sello de 1" x 2")</t>
  </si>
  <si>
    <t>01.04.04.06.02 JUNTA e=1" CON TECNOPOR Y SELLADOR ASFALTICO ENTRE COLECTOR Y CAJA CL</t>
  </si>
  <si>
    <t>COSTO DE LA HORA-HOMBRE 2026 - REGIMEN DE CONSTRUCCION CIVIL (TABLA OFICIAL CAPECO - FTCCP)</t>
  </si>
  <si>
    <t>Costo de la hora-hombre en edificacion del 01.01.2026 al 31.12.2026, segun la tabla oficial elaborada entre CAPECO y la FTCCP (Remuneracion y condiciones de trabajo en construccion civil 2026, Acta final de negociacion colectiva, Exp. N° 339-2025-MTPE/2.14-NC). El resumen de la parte 1 es el que usan todas las ACU de la planilla. Celda amarilla = dato de la tabla oficial; verde = formula.</t>
  </si>
  <si>
    <t>1. COSTO HORA-HOMBRE 2026 POR CATEGORIA (lo usan todas las ACU)</t>
  </si>
  <si>
    <t>CATEGORIA</t>
  </si>
  <si>
    <t>JORNAL BASICO (S/ dia)</t>
  </si>
  <si>
    <t>TOTAL POR DIA DE 8 h (S/)</t>
  </si>
  <si>
    <t>COSTO HH 2026 (S/ hh)</t>
  </si>
  <si>
    <t>FUENTE</t>
  </si>
  <si>
    <t>Tabla oficial CAPECO - FTCCP 2026 (Exp. N° 339-2025-MTPE/2.14-NC)</t>
  </si>
  <si>
    <t>2. COSTO HORA-HOMBRE EN EDIFICACION DEL 01.01.2026 AL 31.12.2026</t>
  </si>
  <si>
    <t>CONCEPTO</t>
  </si>
  <si>
    <t>BASE</t>
  </si>
  <si>
    <t>OPERARIO</t>
  </si>
  <si>
    <t>OFICIAL</t>
  </si>
  <si>
    <t>PEON</t>
  </si>
  <si>
    <t>Remuneracion basica del 01/01/2026 al 31/12/2026</t>
  </si>
  <si>
    <t>jornal</t>
  </si>
  <si>
    <t>R.M. 197-2025-TR; tabla oficial CAPECO - FTCCP 2026</t>
  </si>
  <si>
    <t>Beneficios y leyes sociales sobre el jornal basico (%)</t>
  </si>
  <si>
    <t>parte 3: 112.20 % sobre el jornal basico</t>
  </si>
  <si>
    <t>Bonificacion unificada de construccion (BUC)</t>
  </si>
  <si>
    <t>32/30/30 %</t>
  </si>
  <si>
    <t>32 % operario; 30 % oficial y peon</t>
  </si>
  <si>
    <t>Beneficios y leyes sociales sobre el BUC (%)</t>
  </si>
  <si>
    <t>parte 3: 12.25 % sobre el BUC</t>
  </si>
  <si>
    <t>Seguro de vida ESSALUD + Vida (S/ 5.00 por mes)</t>
  </si>
  <si>
    <t>dia</t>
  </si>
  <si>
    <t>tabla oficial</t>
  </si>
  <si>
    <t>Fondo de capacitacion (Exp. N° 339-2025-MTPE/2.14-NC)</t>
  </si>
  <si>
    <t>Bonificacion por movilidad (R.M. N° 139-2024-TR)</t>
  </si>
  <si>
    <t>S/ 8.60 por dia laborado en todo el pais</t>
  </si>
  <si>
    <t>Overol (R.D. N° 777-87-DR-LIM): (2 x S/ 132.80) / 300</t>
  </si>
  <si>
    <t>Total por dia de 8 horas (S/)</t>
  </si>
  <si>
    <t>Costo de la hora-hombre (S/ hh)</t>
  </si>
  <si>
    <t>total por dia / 8 horas</t>
  </si>
  <si>
    <t>3. PORCENTAJES DE BENEFICIOS Y LEYES SOCIALES EN EDIFICACION (tabla oficial CAPECO - FTCCP 2026)</t>
  </si>
  <si>
    <t>SOBRE JORNAL BASICO (%)</t>
  </si>
  <si>
    <t>SOBRE BUC (%)</t>
  </si>
  <si>
    <t>1.01 Indemnizacion por tiempo de servicios</t>
  </si>
  <si>
    <t>1.01 Indemnizacion por participacion de utilidades</t>
  </si>
  <si>
    <t>1.02 SCTR: prestaciones asistenciales (Ley 26790)</t>
  </si>
  <si>
    <t>1.02 SCTR: prestaciones economicas</t>
  </si>
  <si>
    <t>1.04 Regimen de prestaciones de salud (ESSALUD)</t>
  </si>
  <si>
    <t>1.05 Seguro de vida ley</t>
  </si>
  <si>
    <t>2.01 Salario dominical</t>
  </si>
  <si>
    <t>2.02 Vacaciones record (30 dias)</t>
  </si>
  <si>
    <t>2.03 Gratificacion por Fiestas Patrias y Navidad</t>
  </si>
  <si>
    <t>2.04 Jornales por dias feriados no laborables</t>
  </si>
  <si>
    <t>2.05 Asignacion escolar (promedio 3 hijos)</t>
  </si>
  <si>
    <t>3.01 ESSALUD sobre salario dominical (9 % de 17.58 %)</t>
  </si>
  <si>
    <t>3.02 ESSALUD sobre vacaciones (9 % de 10.00 %)</t>
  </si>
  <si>
    <t>3.03 ESSALUD sobre feriados (9 % de 4.33 %)</t>
  </si>
  <si>
    <t>4.01 SCTR sobre salario dominical (2.35 % de 17.58 %)</t>
  </si>
  <si>
    <t>4.02 SCTR sobre vacaciones (2.35 % de 10.00 %)</t>
  </si>
  <si>
    <t>4.03 SCTR sobre feriados (2.35 % de 4.33 %)</t>
  </si>
  <si>
    <t>5.01 Seguro de vida ley sobre salario dominical (0.90 % de 17.58 %)</t>
  </si>
  <si>
    <t>5.02 Seguro de vida ley sobre feriados (0.90 % de 4.33 %)</t>
  </si>
  <si>
    <t>6.01 Bonificacion extraordinaria Ley 30334 (9 % de 22.22 %)</t>
  </si>
  <si>
    <t>PORCENTAJE TOTAL DE LEYES Y BENEFICIOS SOCIALES</t>
  </si>
  <si>
    <t>112.20 % y 12.25 %</t>
  </si>
  <si>
    <t>COMPONENTE</t>
  </si>
  <si>
    <t>CANTIDAD POR TAPA</t>
  </si>
  <si>
    <t>PARCIAL S/</t>
  </si>
  <si>
    <t>COLECTOR INSUMOS</t>
  </si>
  <si>
    <t>Acero corrugado fy=4200</t>
  </si>
  <si>
    <t>Partida</t>
  </si>
  <si>
    <t>Partida del metrado</t>
  </si>
  <si>
    <t>Metrado</t>
  </si>
  <si>
    <t>Rendimiento (und/dia, cuadrilla de 1 operario)</t>
  </si>
  <si>
    <t>RECURSO</t>
  </si>
  <si>
    <t>CUADRILLA</t>
  </si>
  <si>
    <t>PRECIO S/</t>
  </si>
  <si>
    <t>FUENTE DEL PRECIO</t>
  </si>
  <si>
    <t>MANO DE OBRA</t>
  </si>
  <si>
    <t>hoja COSTO HORA HOMBRE 2026 (tabla oficial CAPECO - FTCCP 2026)</t>
  </si>
  <si>
    <t>Subtotal mano de obra</t>
  </si>
  <si>
    <t>MATERIALES</t>
  </si>
  <si>
    <t>Cemento Pacasmayo tipo I 42.5 kg: S/ 36.50 con IGV</t>
  </si>
  <si>
    <t>Agregados Tarapoto (Morales): S/ 48.00 el m3</t>
  </si>
  <si>
    <t>Por cotizar en Tarapoto: no hay precio publicado de la piedra de 1/2"</t>
  </si>
  <si>
    <t>EMAPA San Martin: tarifa comercial de 30 m3 a mas, agua 6.80 + alcantarillado 1.53</t>
  </si>
  <si>
    <t>Maderas del Norte: S/ 5.20 el p2 con IGV</t>
  </si>
  <si>
    <t>Sodimac Peru, Aceros Arequipa: 1/2" x 9 m S/ 36.50 y 3/8" x 9 m S/ 20.35 con IGV (ponderado)</t>
  </si>
  <si>
    <t>Sodimac Peru: rollo de 10 kg S/ 59.90 con IGV</t>
  </si>
  <si>
    <t>Subtotal materiales</t>
  </si>
  <si>
    <t>EQUIPOS</t>
  </si>
  <si>
    <t>Subtotal equipos</t>
  </si>
  <si>
    <t>COSTO DIRECTO DE LA PARTIDA (metrado x costo unitario)</t>
  </si>
  <si>
    <t>ANALISIS DE COSTOS UNITARIOS - CANALETAS DE TECHO DE PLANCHA GALVANIZADA</t>
  </si>
  <si>
    <t>Analisis de las partidas 01.04.03.05.01.03 a 01.04.03.05.01.06 (red de recoleccion de techo). Las cantidades de insumos salen de los parametros de la hoja METRADO CANALETAS (seccion 0.25 x 0.20, pestana 0.05, plancha e=0.9 mm, soportes @0.60). Celda amarilla = dato (cuadrilla, rendimiento, aporte o precio); verde = formula. Precios sin IGV, referenciales: al pasar a Delphin rigen los de la base de precios del presupuesto.</t>
  </si>
  <si>
    <t>DATOS DE CALCULO (de la hoja METRADO CANALETAS y de catalogo)</t>
  </si>
  <si>
    <t>DATO</t>
  </si>
  <si>
    <t>Fondo interior de la canaleta</t>
  </si>
  <si>
    <t>Altura interior de la canaleta</t>
  </si>
  <si>
    <t>Pestana superior (cada lado)</t>
  </si>
  <si>
    <t>Desarrollo de plancha por metro de canaleta</t>
  </si>
  <si>
    <t>fondo + 2 alturas + 2 pestanas</t>
  </si>
  <si>
    <t>METRADO CANALETAS F49</t>
  </si>
  <si>
    <t>Separacion de soportes</t>
  </si>
  <si>
    <t>METRADO CANALETAS F50</t>
  </si>
  <si>
    <t>Peso de la plancha galvanizada</t>
  </si>
  <si>
    <t>kg/m2</t>
  </si>
  <si>
    <t>espesor x 7.85 kg/m2 por mm + zinc (0.3 kg/m2)</t>
  </si>
  <si>
    <t>Largo de la plancha comercial (1.22 x 2.44)</t>
  </si>
  <si>
    <t>catalogo; la canaleta se fabrica en tramos de 2.44 m</t>
  </si>
  <si>
    <t>Traslape entre tramos</t>
  </si>
  <si>
    <t>criterio de obra (remachado y sellado)</t>
  </si>
  <si>
    <t>Desarrollo de la platina de un soporte</t>
  </si>
  <si>
    <t>abraza la canaleta (fondo + 2 lados) + 2 orejas de fijacion de 0.10</t>
  </si>
  <si>
    <t>Peso de la platina 1" x 1/8"</t>
  </si>
  <si>
    <t>25.4 x 3.18 mm x 7.85 = 0.633 kg/m</t>
  </si>
  <si>
    <t>Largo de la platina comercial</t>
  </si>
  <si>
    <t>catalogo</t>
  </si>
  <si>
    <t>ACU 1: 01.04.03.05.01.03 CANALETA DE PLANCHA DE ACERO GALVANIZADO e=0.9mm, SECCION 0.25m x 0.20m</t>
  </si>
  <si>
    <t>Rendimiento (m/dia)</t>
  </si>
  <si>
    <t>fabricacion (corte y doblado en obra), remachado, sellado y colocacion sobre los soportes; cuadrilla 1 op + 1 peon</t>
  </si>
  <si>
    <t>SUSTENTO / FUENTE</t>
  </si>
  <si>
    <t>Operario (hojalatero)</t>
  </si>
  <si>
    <t>Plancha de acero galvanizado e=0.9 mm</t>
  </si>
  <si>
    <t>desarrollo x (1 + traslape/2.44) x 1.05 desperdicio; Mercado Tarapoto 2026, sin IGV (referencial)</t>
  </si>
  <si>
    <t>Remache pop 1/8"</t>
  </si>
  <si>
    <t>2 filas a @0.05 en cada traslape (cada 2.44 m)</t>
  </si>
  <si>
    <t>Sellador de poliuretano (cartucho 300 ml)</t>
  </si>
  <si>
    <t>1 cartucho = 8 m de cordon de 6 mm; una junta (0.65 m) cada 2.44 m</t>
  </si>
  <si>
    <t>5 % del costo de mano de obra (hojalateria)</t>
  </si>
  <si>
    <t>COSTO UNITARIO DIRECTO (S/ por m)</t>
  </si>
  <si>
    <t>ACU 2: 01.04.03.05.01.04 SOPORTE DE PLATINA F°G° 1" x 1/8" P/CANALETA</t>
  </si>
  <si>
    <t>Rendimiento (und/dia)</t>
  </si>
  <si>
    <t>corte, doblado en U con orejas, perforado y fijacion al alero o viga; cuadrilla 1 op + 0.5 peon</t>
  </si>
  <si>
    <t>Platina de fierro galvanizado 1" x 1/8"</t>
  </si>
  <si>
    <t>desarrollo del soporte x 1.05 desperdicio; Mercado Tarapoto 2026, sin IGV (referencial)</t>
  </si>
  <si>
    <t>Perno de expansion 1/4" x 2 1/2" con tarugo</t>
  </si>
  <si>
    <t>2 por soporte (una oreja a cada lado)</t>
  </si>
  <si>
    <t>Tornillo autorroscante 1/4" x 3/4" (soporte a canaleta)</t>
  </si>
  <si>
    <t>2 por soporte</t>
  </si>
  <si>
    <t>COSTO UNITARIO DIRECTO (S/ por und)</t>
  </si>
  <si>
    <t>ACU 3: 01.04.03.05.01.05 TAPA LATERAL DE PLANCHA GALVANIZADA P/CANALETA</t>
  </si>
  <si>
    <t>trazo, corte, doblez de pestanas, remachado y sellado en el extremo de la canaleta; cuadrilla 1 op + 0.5 peon</t>
  </si>
  <si>
    <t>tapa 0.25 x 0.20 + pestana de 0.03 en el contorno, 10 % desperdicio</t>
  </si>
  <si>
    <t>6 por tapa</t>
  </si>
  <si>
    <t>contorno de la tapa (0.65 m) / 8 m por cartucho</t>
  </si>
  <si>
    <t>ACU 4: 01.04.03.05.01.06 BOQUILLA DE PLANCHA GALVANIZADA P/CONEXION DE CANALETA A MONTANTE Ø4"</t>
  </si>
  <si>
    <t>corte de la abertura en el fondo, fabricacion del tubo y la brida, remachado, sellado y embone al montante; cuadrilla 1 op + 0.5 peon</t>
  </si>
  <si>
    <t>tubo de 4" x 0.15 m (embone en el montante) + brida 0.20 x 0.20 en el fondo de la canaleta; 15 % desperdicio</t>
  </si>
  <si>
    <t>8 por boquilla (brida al fondo de la canaleta)</t>
  </si>
  <si>
    <t>contorno de la brida + embone (1.12 m) / 8 m por cartucho</t>
  </si>
  <si>
    <t>RESUMEN DE COSTOS DIRECTOS (referencial)</t>
  </si>
  <si>
    <t>C.U. S/</t>
  </si>
  <si>
    <t>CANALETA DE PLANCHA DE ACERO GALVANIZADO e=0.9mm, SECCION 0.25m x 0.20m</t>
  </si>
  <si>
    <t>BOQUILLA DE PLANCHA GALVANIZADA P/CONEXION DE CANALETA A MONTANTE Ø4"</t>
  </si>
  <si>
    <t>TOTAL CANALETAS (costo directo)</t>
  </si>
  <si>
    <t>METRADO CANALETAS F48</t>
  </si>
  <si>
    <t>METRADO CANALETAS F52</t>
  </si>
  <si>
    <t>METRADO CANALETAS F53</t>
  </si>
  <si>
    <t>A. UBICACION DE LOS REGISTROS</t>
  </si>
  <si>
    <t>CANT. (und)</t>
  </si>
  <si>
    <t>TOTAL DE REGISTROS (und de la partida)</t>
  </si>
  <si>
    <t>B. COMPONENTES DE UNA TAPA DE REGISTRO Y TOTAL DE LA PARTIDA</t>
  </si>
  <si>
    <t>POR REGISTRO</t>
  </si>
  <si>
    <t>N° REGISTROS</t>
  </si>
  <si>
    <t>CONCRETO</t>
  </si>
  <si>
    <t>Subtotal concreto</t>
  </si>
  <si>
    <t>Parrilla de la tapa: 7 + 7 barras 3/8" @0.10, L = 0.62</t>
  </si>
  <si>
    <t>Refuerzo de borde de la abertura: 8 barras 1/2", L = 1.40</t>
  </si>
  <si>
    <t>C. CONTROL CON EL METRADO DE LOS COMPONENTES (hojas del colector)</t>
  </si>
  <si>
    <t>ESTA HOJA</t>
  </si>
  <si>
    <t>HOJA DEL COLECTOR</t>
  </si>
  <si>
    <t>CONTROL</t>
  </si>
  <si>
    <t>Concreto en tapas</t>
  </si>
  <si>
    <t>COLECTOR ACERO fila 18</t>
  </si>
  <si>
    <t>COLECTOR ACERO fila 19</t>
  </si>
  <si>
    <t>COLECTOR ACERO fila 17</t>
  </si>
  <si>
    <t>ANALISIS DE COSTO UNITARIO - JUNTA DE DILATACION E=1" CON TECNOPOR Y SELLADOR ASFALTICO EN COLECTOR</t>
  </si>
  <si>
    <t>Partida de Delphin 01.04.04.06.01 JUNTA DE DILATACION E=1" CON TECNOPOR Y SELLADOR ASFALTICO EN COLECTOR (metrado 01.04.04.06.01, hoja COLECTOR JUNTAS Y EMPALMES). Se mide por metro de junta a lo largo del perimetro de la seccion. Cantidades de la lamina DPLV-29: plancha de tecnopor de 1" en toda la seccion y sellador asfaltico 1" x 2" (asfalto liquido RC-250 + arena gruesa) en las caras interiores y en la cara superior (EG-2013 MTC, 510). Celda amarilla = dato; verde = formula. Precios sin IGV.</t>
  </si>
  <si>
    <t>1. CANTIDADES POR METRO DE JUNTA (lamina DPLV-29 y hoja COLECTOR JUNTAS Y EMPALMES)</t>
  </si>
  <si>
    <t>COLECTOR JUNTAS Y EMPALMES fila 11; DPLV-29 A</t>
  </si>
  <si>
    <t>Numero de juntas de dilatacion (cada 4.00 m)</t>
  </si>
  <si>
    <t>COLECTOR JUNTAS Y EMPALMES fila 11; DPLV-29 E</t>
  </si>
  <si>
    <t>DPLV-29, cuadro de componentes</t>
  </si>
  <si>
    <t>Tecnopor por metro de junta (area neta)</t>
  </si>
  <si>
    <t>formula</t>
  </si>
  <si>
    <t>Desperdicio por el corte del anillo en planchas de 1.20 x 2.40</t>
  </si>
  <si>
    <t>criterio: recortes del hueco interior y de las esquinas</t>
  </si>
  <si>
    <t>Area de una plancha de tecnopor 1" (1.20 x 2.40 m)</t>
  </si>
  <si>
    <t>medida comercial</t>
  </si>
  <si>
    <t>Planchas de tecnopor por metro de junta</t>
  </si>
  <si>
    <t>pln/m</t>
  </si>
  <si>
    <t>Seccion del sellador 1" x 2" (0.0254 x 0.0508)</t>
  </si>
  <si>
    <t>DPLV-29 B; EG-2013 MTC, Seccion 510</t>
  </si>
  <si>
    <t>Mezcla de sellador por metro de junta</t>
  </si>
  <si>
    <t>m3/m</t>
  </si>
  <si>
    <t>Asfalto liquido RC-250 por m3 de mezcla</t>
  </si>
  <si>
    <t>gal/m3</t>
  </si>
  <si>
    <t>criterio: mezcla de ~2,000 kg/m3 con ~9 % de asfalto = 180 kg / 3.6 kg/gal</t>
  </si>
  <si>
    <t>Arena gruesa por m3 de mezcla</t>
  </si>
  <si>
    <t>m3/m3</t>
  </si>
  <si>
    <t>criterio: arena suelta con 5 % de desperdicio</t>
  </si>
  <si>
    <t>Operario por metro de junta (colocacion del tecnopor y sellado)</t>
  </si>
  <si>
    <t>hh/m</t>
  </si>
  <si>
    <t>COLECTOR INSUMOS fila 71</t>
  </si>
  <si>
    <t>Peon por metro de junta</t>
  </si>
  <si>
    <t>COLECTOR INSUMOS fila 72</t>
  </si>
  <si>
    <t>2. ANALISIS DE COSTO UNITARIO (formato Delphin)</t>
  </si>
  <si>
    <t>01.04.04.06.01 JUNTA DE DILATACION E=1" CON TECNOPOR Y SELLADOR ASFALTICO EN COLECTOR</t>
  </si>
  <si>
    <t>01.04.04.06.01 (hoja COLECTOR JUNTAS Y EMPALMES)</t>
  </si>
  <si>
    <t>Rendimiento (m/dia, cuadrilla de 1 operario)</t>
  </si>
  <si>
    <t>CANTIDAD POR M</t>
  </si>
  <si>
    <t>Plancha de tecnopor 1" x 1.20 x 2.40 m</t>
  </si>
  <si>
    <t>pln</t>
  </si>
  <si>
    <t>Sodimac Peru: plancha de poliestireno expandido 1" x 1.20 x 2.40 m (Dipropor) S/ 13.90 con IGV</t>
  </si>
  <si>
    <t>Asfalto liquido RC-250</t>
  </si>
  <si>
    <t>Conselva: asfalto liquido RC-250 por galon S/ 17.70 con IGV (Petroperu publica su lista ex planta; confirmar en Tarapoto)</t>
  </si>
  <si>
    <t>precio de la ACU TAPA REGISTRO (Agregados Tarapoto, Morales)</t>
  </si>
  <si>
    <t>3 % del costo de mano de obra (incluye recipiente para calentar el asfalto)</t>
  </si>
  <si>
    <t>COSTO DIRECTO DE LA PARTIDA (metrado x costo unitario, S/)</t>
  </si>
  <si>
    <t>Perimetro de la seccion en cada junta: 2 x 0.90 + 2 x (0.15 + 1.17 + 0.10)</t>
  </si>
  <si>
    <t>Area de tecnopor por junta: seccion 0.90 x 1.42 menos el hueco 0.60 x 1.17</t>
  </si>
  <si>
    <t>Longitud sellada por junta: caras interiores 2 x 1.17 + 0.60 y cara superior 0.90</t>
  </si>
  <si>
    <t>ANALISIS DE COSTO UNITARIO - JUNTA E=1" CON TECNOPOR Y SELLADOR ASFALTICO ENTRE COLECTOR Y CAJA CL</t>
  </si>
  <si>
    <t>Partida de Delphin 01.04.04.06.02 JUNTA E=1" CON TECNOPOR Y SELLADOR ASFALTICO ENTRE COLECTOR Y CAJA CL (metrado 01.04.04.06.02, hoja COLECTOR JUNTAS Y EMPALMES). Se mide por metro de junta a lo largo del perimetro de la seccion, en el contacto del colector con el muro este de la caja CL. Cantidades de la lamina DPLV-29: plancha de tecnopor de 1" en toda la seccion y sellador asfaltico 1" x 2" (RC-250 + arena) en las caras interiores y en la cara superior. A ambos lados del colector hay terreno natural: no lleva junta longitudinal. Celda amarilla = dato; verde = formula. Precios sin IGV.</t>
  </si>
  <si>
    <t>Perimetro de la seccion en el contacto con la caja CL: 2 x 0.90 + 2 x (0.15 + 1.17 + 0.10)</t>
  </si>
  <si>
    <t>COLECTOR JUNTAS Y EMPALMES fila 16; DPLV-29</t>
  </si>
  <si>
    <t>Numero de juntas en el contacto con la caja CL</t>
  </si>
  <si>
    <t>COLECTOR JUNTAS Y EMPALMES fila 16</t>
  </si>
  <si>
    <t>Area de tecnopor de la junta: seccion 0.90 x 1.42 menos el hueco 0.60 x 1.17</t>
  </si>
  <si>
    <t>Longitud sellada: caras interiores 2 x 1.17 + 0.60 y cara superior 0.90</t>
  </si>
  <si>
    <t>COLECTOR INSUMOS fila 75</t>
  </si>
  <si>
    <t>COLECTOR INSUMOS fila 76</t>
  </si>
  <si>
    <t>01.04.04.06.02 JUNTA E=1" CON TECNOPOR Y SELLADOR ASFALTICO ENTRE COLECTOR Y CAJA CL</t>
  </si>
  <si>
    <t>01.04.04.06.02 (hoja COLECTOR JUNTAS Y EMPALMES)</t>
  </si>
  <si>
    <t>DESAGREGADO DE LA PARTIDA 01.04.03.04.03.04 - LLORADERO DE TUBERIA PVC Ø3" C/FILTRO DE GRAVA Y GEOTEXTIL @1.50 m</t>
  </si>
  <si>
    <t>La partida se mide por unidad de lloradero. A: ubicacion y numero, de la hoja METRADO LLORADEROS (muros de cuneta colindantes con area verde, medidos en la planta general de drenaje; un lloradero cada 1.50 m). B: componentes de un lloradero segun las laminas DPLV-34 y DPLV-35 (tubo PVC-U Ø 3" de 0.30 m con 8 perforaciones Ø 3/8", filtro de grava de 0.30 x 0.30 x 0.30 m forrado con geotextil no tejido) por el numero de lloraderos. Celda amarilla = dato; verde = formula.</t>
  </si>
  <si>
    <t>A. UBICACION Y NUMERO DE LLORADEROS (hoja METRADO LLORADEROS)</t>
  </si>
  <si>
    <t>EJE Y TRAMO (progresivas de la cuneta)</t>
  </si>
  <si>
    <t>LONGITUD JUNTO A AREA VERDE (m)</t>
  </si>
  <si>
    <t>ESPACIAM. (m)</t>
  </si>
  <si>
    <t>planta general de drenaje; N° = REDONDEAR.MAS(L / 1.50)</t>
  </si>
  <si>
    <t>TOTAL (und de la partida)</t>
  </si>
  <si>
    <t>B. DATOS DEL DETALLE (laminas DPLV-34 y DPLV-35)</t>
  </si>
  <si>
    <t>Lado del filtro localizado (cubo de grava forrado con geotextil)</t>
  </si>
  <si>
    <t>DPLV-35 A: filtro 0.30 x 0.30 x 0.30 m</t>
  </si>
  <si>
    <t>Longitud del tubo PVC-U Ø 3" por lloradero</t>
  </si>
  <si>
    <t>DPLV-35 B: 0.10 en el muro + 0.20 perforado dentro del filtro</t>
  </si>
  <si>
    <t>Perforaciones Ø 3/8" por fila</t>
  </si>
  <si>
    <t>DPLV-35 B: 4 perforaciones @0.05 por fila</t>
  </si>
  <si>
    <t>Filas de perforaciones</t>
  </si>
  <si>
    <t>DPLV-35 B: 2 filas a 120 grados, simetricas respecto al fondo</t>
  </si>
  <si>
    <t>Desperdicio de grava (acomodo y perdidas)</t>
  </si>
  <si>
    <t>criterio de obra</t>
  </si>
  <si>
    <t>Traslapes del geotextil</t>
  </si>
  <si>
    <t>DPLV-34 etapa 3: traslape de 0.10 m al cerrar el filtro</t>
  </si>
  <si>
    <t>Mortero 1:3 de sellado alrededor del tubo</t>
  </si>
  <si>
    <t>anillo de 0.02 m en las dos caras del muro (DPLV-35)</t>
  </si>
  <si>
    <t>C. COMPONENTES DE UN LLORADERO Y TOTAL DE LA PARTIDA</t>
  </si>
  <si>
    <t>POR LLORADERO</t>
  </si>
  <si>
    <t>N° LLORADEROS</t>
  </si>
  <si>
    <t>Tubo PVC-U Ø 3" para desague (NTP 399.003)</t>
  </si>
  <si>
    <t>DPLV-35 B; sale de tubos de 3 m (10 lloraderos por tubo)</t>
  </si>
  <si>
    <t>Perforaciones Ø 3/8" en el tramo dentro del filtro</t>
  </si>
  <si>
    <t>DPLV-35 B</t>
  </si>
  <si>
    <t>Excavacion local del hueco del filtro (lado^3)</t>
  </si>
  <si>
    <t>DPLV-34 etapa 1; incluida en la mano de obra del ACU</t>
  </si>
  <si>
    <t>Grava filtrante (ripio) 20 a 40 mm: lado^3 + desperdicio</t>
  </si>
  <si>
    <t>DPLV-34 etapa 2; DPLV-35 A</t>
  </si>
  <si>
    <t>Geotextil no tejido clase 2: 6 caras del cubo + traslapes</t>
  </si>
  <si>
    <t>DPLV-34 etapa 3; DPLV-35 A</t>
  </si>
  <si>
    <t>DPLV-35</t>
  </si>
  <si>
    <t>D. CONTROL CON EL RESUMEN</t>
  </si>
  <si>
    <t>RESUMEN</t>
  </si>
  <si>
    <t>01.04.03.04.03.04 LLORADERO DE TUBERIA PVC Ø3" C/FILTRO DE GRAVA Y GEOTEXTIL @1.50 m</t>
  </si>
  <si>
    <t>ANALISIS DE COSTO UNITARIO - LLORADERO DE TUBERIA PVC Ø3" C/FILTRO DE GRAVA Y GEOTEXTIL @1.50 m</t>
  </si>
  <si>
    <t>Partida de Delphin 01.04.03.04.03.04 LLORADERO DE TUBERIA PVC Ø3" C/FILTRO DE GRAVA Y GEOTEXTIL @1.50 m (CUNETA COLINDANTE CON AREA VERDE) (metrado: hojas METRADO LLORADEROS y DESAGREGADO LLORADEROS). Cantidades por lloradero de las laminas DPLV-34 y DPLV-35: tubo PVC-U Ø 3" de 0.30 m con 8 perforaciones Ø 3/8", filtro de grava de 0.30 x 0.30 x 0.30 m forrado con geotextil no tejido y mortero 1:3 de sellado. Mano de obra de la hoja COSTO HORA HOMBRE 2026. Celda amarilla = dato; verde = formula. Precios sin IGV.</t>
  </si>
  <si>
    <t>1. CANTIDADES POR LLORADERO (hoja DESAGREGADO LLORADEROS)</t>
  </si>
  <si>
    <t>Numero de lloraderos de la partida</t>
  </si>
  <si>
    <t>Tubo PVC-U Ø 3" por lloradero</t>
  </si>
  <si>
    <t>Desperdicio del tubo (corte de 10 piezas por tubo de 3 m)</t>
  </si>
  <si>
    <t>Grava filtrante por lloradero (incluye 10 % de desperdicio)</t>
  </si>
  <si>
    <t>Geotextil por lloradero (6 caras + 10 % de traslapes)</t>
  </si>
  <si>
    <t>Desperdicio del geotextil (corte del rollo)</t>
  </si>
  <si>
    <t>Cemento por m3 de mortero 1:3</t>
  </si>
  <si>
    <t>bol/m3</t>
  </si>
  <si>
    <t>dosificacion usual del mortero 1:3</t>
  </si>
  <si>
    <t>Arena gruesa por m3 de mortero 1:3</t>
  </si>
  <si>
    <t>arena suelta con 5 % de desperdicio</t>
  </si>
  <si>
    <t>Agua por m3 de mortero 1:3</t>
  </si>
  <si>
    <t>Rendimiento de la cuadrilla</t>
  </si>
  <si>
    <t>und/dia</t>
  </si>
  <si>
    <t>excavacion local de 0.027 m3, forrado, grava y cierre; el tubo se deja al vaciar el muro</t>
  </si>
  <si>
    <t>Operarios en la cuadrilla</t>
  </si>
  <si>
    <t>colocacion del tubo, sellado y control</t>
  </si>
  <si>
    <t>Peones en la cuadrilla</t>
  </si>
  <si>
    <t>excavacion, grava y relleno</t>
  </si>
  <si>
    <t>01.04.03.04.03.04 LLORADERO DE TUBERIA PVC Ø3" C/FILTRO DE GRAVA Y GEOTEXTIL @1.50 m (CUNETA COLINDANTE CON AREA VERDE)</t>
  </si>
  <si>
    <t>01.04.03.04.03.04 (hojas METRADO LLORADEROS y DESAGREGADO LLORADEROS)</t>
  </si>
  <si>
    <t>Rendimiento (und/dia, cuadrilla 0.5 operario + 1 peon)</t>
  </si>
  <si>
    <t>CANTIDAD POR UND</t>
  </si>
  <si>
    <t>Tubo PVC-U Ø 3" desague (NTP 399.003)</t>
  </si>
  <si>
    <t>Sodimac Peru y Promart: tubo desague PVC 3" x 3 m liviano Pavco S/ 39.90 con IGV (S/ 11.27 el m sin IGV)</t>
  </si>
  <si>
    <t>Grava filtrante 20 a 40 mm</t>
  </si>
  <si>
    <t>Agregados Tarapoto (Morales): piedra chancada 3/4" S/ 70.00 el m3 puesto en obra (precio publicado mas cercano a la grava 20 a 40 mm)</t>
  </si>
  <si>
    <t>Geotextil no tejido 200 g/m2</t>
  </si>
  <si>
    <t>Ferropolis Peru: geotextil no tejido 200 g/m2, rollo de 4 x 100 m S/ 2,300.00 (S/ 5.75 el m2 con IGV)</t>
  </si>
  <si>
    <t>precio de la ACU TAPA REGISTRO (Cemento Pacasmayo tipo I S/ 36.50 con IGV)</t>
  </si>
  <si>
    <t>precio de la ACU TAPA REGISTRO (EMAPA San Martin)</t>
  </si>
  <si>
    <t>3 % del costo de mano de obra (pala, pico, barreta, sierra para PVC y taladro para las perforaciones)</t>
  </si>
  <si>
    <t>DESAGREGADO LLORADEROS fila 45</t>
  </si>
  <si>
    <t>DESAGREGADO LLORADEROS fila 59 (DPLV-35 B)</t>
  </si>
  <si>
    <t>DESAGREGADO LLORADEROS fila 62 (DPLV-35 A)</t>
  </si>
  <si>
    <t>DESAGREGADO LLORADEROS fila 63 (DPLV-34 etapa 3)</t>
  </si>
  <si>
    <t>DESAGREGADO LLORADEROS fila 64 (DPLV-35)</t>
  </si>
  <si>
    <t>Borde engrosado de la abertura: perimetro (solo los 2 lados transversales, entre muros)</t>
  </si>
  <si>
    <t>Lamina DPLV-23: 2 x b; b = 0.60 es menor que la abertura de 0.70, en los lados largos el asiento es la cabeza del muro</t>
  </si>
  <si>
    <t>REGISTROS DE LIMPIEZA EN LA LOSA DEL COLECTOR - lamina DPLV-23 (borde engrosado 0.15 x 0.10 solo en los 2 lados transversales, entre muros: en los lados largos la abertura apoya en la cabeza de los muros; descuento de la abertura 0.70 x 0.70 en la losa superior)</t>
  </si>
  <si>
    <t>Registros RV-01 a RV-11: borde engrosado de la abertura (2 lados, entre muros)</t>
  </si>
  <si>
    <t>DPLV-23, DPLV-27: 2 x 0.60 m por registro, en los 11 registros</t>
  </si>
  <si>
    <t>Bordes engrosados de abertura de registros RV-01 a RV-11 (2 lados, entre muros)</t>
  </si>
  <si>
    <t>Lado del rebaje de asiento de la tapa en la losa (0.70 x 0.70 x 0.08)</t>
  </si>
  <si>
    <t>Lamina DPLV-23 (tapa ciega)</t>
  </si>
  <si>
    <t>Luz libre del registro bajo el rebaje (0.60 x 0.60)</t>
  </si>
  <si>
    <t>Lamina DPLV-23</t>
  </si>
  <si>
    <t>Perimetro del encofrado lateral de la tapa (4 x 0.68)</t>
  </si>
  <si>
    <t>Asas de izaje por tapa (fierro liso 1/2" en cajuelas)</t>
  </si>
  <si>
    <t>Desarrollo de cada asa de fierro liso 1/2"</t>
  </si>
  <si>
    <t>Holgura entre la tapa y el rebaje (cada lado)</t>
  </si>
  <si>
    <t>Bisel de los cantos superiores de la tapa</t>
  </si>
  <si>
    <t>Lamina DPLV-23 (tapa ciega de concreto armado)</t>
  </si>
  <si>
    <t>Lamina DPLV-23 (= profundidad del rebaje)</t>
  </si>
  <si>
    <t>Asas de izaje de la tapa (en cajuelas)</t>
  </si>
  <si>
    <t>1/2" liso</t>
  </si>
  <si>
    <t>DPLV-23: 2 asas de fierro liso 1/2" por tapa, desarrollo 0.50</t>
  </si>
  <si>
    <t>DPLV-23: 7 + 7 barras de 3/8" @0.10, L = 0.62</t>
  </si>
  <si>
    <t>ACERO DE REFUERZO EN TAPAS, BORDES Y ASAS</t>
  </si>
  <si>
    <t>Registros RV-01 a RV-11: descuento del rebaje y de la abertura en la losa superior</t>
  </si>
  <si>
    <t>rebaje 0.70 x 0.70 x 0.08 + luz 0.60 x 0.60 en el resto (e equivalente)</t>
  </si>
  <si>
    <t>TAPA DE REGISTRO CIEGA DE CONCRETO ARMADO 0.68x0.68x0.08 (vaciada aparte en obra)</t>
  </si>
  <si>
    <t>DPLV-23</t>
  </si>
  <si>
    <t>ENCOFRADO LATERAL DE LA TAPA (molde de madera)</t>
  </si>
  <si>
    <t>registros x 4 x 0.68 x 0.08</t>
  </si>
  <si>
    <t>ACERO EN TAPAS: PARRILLA 3/8" Y ASAS 1/2" LISO</t>
  </si>
  <si>
    <t>hoja COLECTOR ACERO</t>
  </si>
  <si>
    <t>DPLV-23; COLECTOR ACERO</t>
  </si>
  <si>
    <t>ASIENTO DE LA TAPA: REBAJE DE CONCRETO 0.70 x 0.70 x 0.08 EN LA LOSA</t>
  </si>
  <si>
    <t>1 por registro (concreto incluido en la losa)</t>
  </si>
  <si>
    <t>DPLV-23; COLECTOR CONCRETO</t>
  </si>
  <si>
    <t>COLOCACION DE LA TAPA EN EL REBAJE (izaje con las asas)</t>
  </si>
  <si>
    <t>Lamina DPLV-17 (ubicacion) y DPLV-23 (detalle): tapa ciega de concreto armado 0.68 x 0.68 x 0.08, vaciada aparte en obra, con 2 asas de fierro liso 1/2", apoyada en un rebaje de concreto de 0.70 x 0.70 x 0.08 de la losa (luz libre 0.60 x 0.60). Sin marco ni contramarco metalico.</t>
  </si>
  <si>
    <t>01.04.04.05.01 TAPA DE REGISTRO: encofrado lateral de la tapa (molde de madera, 6 usos)</t>
  </si>
  <si>
    <t>01.04.04.05.01 TAPA DE REGISTRO: colocacion de la tapa en el rebaje y curado</t>
  </si>
  <si>
    <t>TAPA DE REGISTRO CIEGA DE CONCRETO ARMADO 0.68x0.68x0.08</t>
  </si>
  <si>
    <t>Cada tapa: concreto armado f'c=210 de 0.68 x 0.68 x 0.08 vaciado aparte en obra, parrilla 3/8" @0.10, 2 asas de fierro liso 1/2", asiento en rebaje de concreto 0.70 x 0.70 x 0.08 de la losa (luz libre 0.60 x 0.60) y refuerzo de borde 4 x 2 barras de 1/2". Sin marco ni contramarco metalico.</t>
  </si>
  <si>
    <t>ANALISIS DE COSTO UNITARIO - TAPA DE REGISTRO CIEGA DE CONCRETO ARMADO 0.68x0.68x0.08</t>
  </si>
  <si>
    <t>Partida de Delphin 01.04.04.06.05.01 TAPA DE REGISTRO CIEGA DE CONCRETO ARMADO 0.68x0.68x0.08 (metrado 01.04.04.05.01, hojas COLECTOR REGISTROS Y TAPAS y COLECTOR ACERO). Tapa ciega de concreto armado vaciada aparte en obra sobre tablero, con parrilla 3/8" @0.10, 2 asas de fierro liso 1/2" en cajuelas y cantos biselados; se coloca en el rebaje de concreto de 0.70 x 0.70 x 0.08 de la losa (el rebaje y el borde engrosado se metran con el concreto del colector). Incluye el refuerzo de borde de la abertura (2 barras de 1/2" por lado). Sin marco ni contramarco metalico. Celda amarilla = dato; verde = formula. Precios sin IGV.</t>
  </si>
  <si>
    <t>1. CANTIDADES POR TAPA (hojas COLECTOR PARAMETROS, COLECTOR REGISTROS Y TAPAS y COLECTOR ACERO)</t>
  </si>
  <si>
    <t>Numero de tapas (registros)</t>
  </si>
  <si>
    <t>COLECTOR REGISTROS Y TAPAS</t>
  </si>
  <si>
    <t>Concreto f'c=210 por tapa: 0.68 x 0.68 x 0.08</t>
  </si>
  <si>
    <t>Encofrado lateral por tapa: 4 x 0.68 x 0.08 (molde de madera)</t>
  </si>
  <si>
    <t>Tablero de vaciado: 0.80 x 0.80 x 1" = 6.89 p2 en 6 usos</t>
  </si>
  <si>
    <t>Acero 3/8" de la parrilla por tapa (7 + 7 barras, L = 0.62)</t>
  </si>
  <si>
    <t>COLECTOR ACERO</t>
  </si>
  <si>
    <t>Acero 1/2" de borde de la abertura por registro (8 barras, L = 1.40)</t>
  </si>
  <si>
    <t>Fierro liso 1/2" de las 2 asas por tapa (desarrollo 0.50 c/u)</t>
  </si>
  <si>
    <t>Desperdicio de acero</t>
  </si>
  <si>
    <t>criterio</t>
  </si>
  <si>
    <t>Cemento por m3 de concreto f'c=210</t>
  </si>
  <si>
    <t>COLECTOR INSUMOS (diseno de mezcla)</t>
  </si>
  <si>
    <t>Arena gruesa por m3</t>
  </si>
  <si>
    <t>Piedra chancada 1/2" por m3</t>
  </si>
  <si>
    <t>Agua por m3 (mezcla) + curado de la tapa (0.01 m3)</t>
  </si>
  <si>
    <t>Mano de obra del concreto: operario / oficial / peon por m3</t>
  </si>
  <si>
    <t>hh/m3</t>
  </si>
  <si>
    <t>COLECTOR INSUMOS (0.8 / 0.8 / 6.4)</t>
  </si>
  <si>
    <t>Peon por m3 de concreto</t>
  </si>
  <si>
    <t>Mano de obra del acero: operario / oficial por kg</t>
  </si>
  <si>
    <t>hh/kg</t>
  </si>
  <si>
    <t>Mano de obra del encofrado: operario / oficial por m2</t>
  </si>
  <si>
    <t>hh/m2</t>
  </si>
  <si>
    <t>COLECTOR INSUMOS (encofrado)</t>
  </si>
  <si>
    <t>Colocacion de la tapa en el rebaje: operario + peon</t>
  </si>
  <si>
    <t>hh/und</t>
  </si>
  <si>
    <t>criterio de obra: 1 hh por tapa</t>
  </si>
  <si>
    <t>01.04.04.06.05.01 TAPA DE REGISTRO CIEGA DE CONCRETO ARMADO 0.68x0.68x0.08</t>
  </si>
  <si>
    <t>01.04.04.05.01 (hoja COLECTOR REGISTROS Y TAPAS)</t>
  </si>
  <si>
    <t>Fierro liso 1/2" (asas)</t>
  </si>
  <si>
    <t>mismo precio por kg del acero corrugado (referencial): Sodimac Peru, Aceros Arequipa: 1/2" x 9 m S/ 36.50 y 3/8" x 9 m S/ 20.35 con IGV (ponderado)</t>
  </si>
  <si>
    <t>3 % del costo de mano de obra (incluye mezcla y vibrado manual del concreto de la tapa)</t>
  </si>
  <si>
    <t>DESAGREGADO DE LA PARTIDA 01.04.04.05.01 - TAPA DE REGISTRO CIEGA DE CONCRETO ARMADO 0.68x0.68x0.08</t>
  </si>
  <si>
    <t>La partida se mide por unidad de registro. Cada tapa ciega de concreto armado se vacia aparte en obra y se coloca en el rebaje de 0.70 x 0.70 x 0.08 de la losa (luz libre 0.60 x 0.60). Sin marco ni contramarco metalico. Componentes tomados de las hojas COLECTOR REGISTROS Y TAPAS y COLECTOR ACERO.</t>
  </si>
  <si>
    <t>Tapa ciega de concreto f'c=210: 0.68 x 0.68 x 0.08</t>
  </si>
  <si>
    <t>lamina DPLV-23</t>
  </si>
  <si>
    <t>ENCOFRADO</t>
  </si>
  <si>
    <t>Encofrado lateral de la tapa: 4 x 0.68 x 0.08 (molde de madera)</t>
  </si>
  <si>
    <t>Subtotal encofrado</t>
  </si>
  <si>
    <t>ACERO DE REFUERZO</t>
  </si>
  <si>
    <t>Asas de izaje: 2 barras de fierro liso 1/2", desarrollo 0.50</t>
  </si>
  <si>
    <t>Subtotal acero de refuerzo</t>
  </si>
  <si>
    <t>Encofrado lateral de tapas</t>
  </si>
  <si>
    <t>Acero en tapas, asas y bordes</t>
  </si>
  <si>
    <t>No hay angulos, soldadura ni pintura: la tapa es ciega de concreto armado (lamina DPLV-23). El rebaje de asiento y el borde engrosado de la abertura se metran con el concreto de la losa del colector (hoja COLECTOR CONCRETO).</t>
  </si>
  <si>
    <t>Lamina DPLV-23: agarre 0.15 + 2 patas de 0.02 + 2 ganchos de 0.15 (0.49, se toma 0.50)</t>
  </si>
  <si>
    <t>ACERO DE REFUERZO fy=4200 kg/cm2 EN TAPAS, BORDES Y ASAS</t>
  </si>
  <si>
    <t>REGISTROS DE LIMPIEZA Y TAPAS - laminas DPLV-23, DPLV-27 y DPLV-28: refuerzo de borde de la abertura, parrilla de la tapa, asas de la tapa ciega (cantidad de registros de la hoja COLECTOR REGISTROS Y TAPAS)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</si>
</sst>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48" x14ac:knownFonts="1">
    <font>
      <sz val="11"/>
      <color theme="1"/>
      <name val="Calibri"/>
      <family val="2"/>
      <charset val="1"/>
    </font>
    <font>
      <sz val="10"/>
      <name val="Arial"/>
      <family val="2"/>
      <charset val="1"/>
    </font>
    <font>
      <sz val="11"/>
      <name val="Calibri"/>
      <charset val="1"/>
    </font>
    <font>
      <sz val="12"/>
      <color theme="1"/>
      <name val="Arial Narrow"/>
      <family val="2"/>
      <charset val="1"/>
    </font>
    <font>
      <b/>
      <u/>
      <sz val="14"/>
      <color theme="0"/>
      <name val="Arial Narrow"/>
      <family val="2"/>
      <charset val="1"/>
    </font>
    <font>
      <b/>
      <sz val="14"/>
      <name val="Arial Narrow"/>
      <family val="2"/>
      <charset val="1"/>
    </font>
    <font>
      <sz val="14"/>
      <name val="Arial Narrow"/>
      <family val="2"/>
      <charset val="1"/>
    </font>
    <font>
      <b/>
      <sz val="12"/>
      <color rgb="FFFFFFFF"/>
      <name val="Arial Narrow"/>
      <family val="2"/>
      <charset val="1"/>
    </font>
    <font>
      <b/>
      <sz val="12"/>
      <name val="Arial Narrow"/>
      <family val="2"/>
      <charset val="1"/>
    </font>
    <font>
      <sz val="12"/>
      <name val="Arial Narrow"/>
      <family val="2"/>
      <charset val="1"/>
    </font>
    <font>
      <sz val="11"/>
      <color theme="1"/>
      <name val="Arial Narrow"/>
      <family val="2"/>
      <charset val="1"/>
    </font>
    <font>
      <b/>
      <u/>
      <sz val="16"/>
      <color theme="0"/>
      <name val="Arial Narrow"/>
      <family val="2"/>
      <charset val="1"/>
    </font>
    <font>
      <b/>
      <sz val="14"/>
      <color theme="0"/>
      <name val="Arial Narrow"/>
      <family val="2"/>
      <charset val="1"/>
    </font>
    <font>
      <b/>
      <sz val="12"/>
      <color theme="0"/>
      <name val="Arial Narrow"/>
      <family val="2"/>
      <charset val="1"/>
    </font>
    <font>
      <b/>
      <sz val="12"/>
      <color theme="1"/>
      <name val="Arial Narrow"/>
      <family val="2"/>
      <charset val="1"/>
    </font>
    <font>
      <b/>
      <u/>
      <sz val="12"/>
      <color theme="0"/>
      <name val="Arial Narrow"/>
      <family val="2"/>
      <charset val="1"/>
    </font>
    <font>
      <sz val="12"/>
      <color rgb="FF000000"/>
      <name val="Arial Narrow"/>
      <family val="2"/>
      <charset val="1"/>
    </font>
    <font>
      <sz val="12"/>
      <color theme="0"/>
      <name val="Arial Narrow"/>
      <family val="2"/>
      <charset val="1"/>
    </font>
    <font>
      <b/>
      <sz val="12"/>
      <name val="Arial Narrow"/>
      <charset val="1"/>
    </font>
    <font>
      <b/>
      <sz val="12"/>
      <color rgb="FFFFFFFF"/>
      <name val="Arial Narrow"/>
      <charset val="1"/>
    </font>
    <font>
      <sz val="12"/>
      <name val="Arial Narrow"/>
      <charset val="1"/>
    </font>
    <font>
      <sz val="10"/>
      <name val="Arial"/>
      <family val="2"/>
    </font>
    <font>
      <b/>
      <sz val="14"/>
      <color rgb="FFFFFFFF"/>
      <name val="Arial Narrow"/>
      <family val="2"/>
      <charset val="1"/>
    </font>
    <font>
      <sz val="10"/>
      <name val="Arial Narrow"/>
      <family val="2"/>
      <charset val="1"/>
    </font>
    <font>
      <sz val="11"/>
      <name val="Arial Narrow"/>
      <family val="2"/>
      <charset val="1"/>
    </font>
    <font>
      <b/>
      <sz val="11"/>
      <color rgb="FFFFFFFF"/>
      <name val="Arial Narrow"/>
      <family val="2"/>
      <charset val="1"/>
    </font>
    <font>
      <b/>
      <u/>
      <sz val="18"/>
      <color theme="0"/>
      <name val="Arial Narrow"/>
      <family val="2"/>
      <charset val="1"/>
    </font>
    <font>
      <b/>
      <sz val="16"/>
      <name val="Arial Narrow"/>
      <family val="2"/>
      <charset val="1"/>
    </font>
    <font>
      <sz val="16"/>
      <name val="Arial Narrow"/>
      <family val="2"/>
      <charset val="1"/>
    </font>
    <font>
      <b/>
      <sz val="16"/>
      <color rgb="FFFFFFFF"/>
      <name val="Arial Narrow"/>
      <family val="2"/>
      <charset val="1"/>
    </font>
    <font>
      <b/>
      <sz val="14"/>
      <color rgb="FF1F1F1F"/>
      <name val="Arial Narrow"/>
      <family val="2"/>
      <charset val="1"/>
    </font>
    <font>
      <sz val="11"/>
      <color rgb="FF1F1F1F"/>
      <name val="Arial Narrow"/>
      <family val="2"/>
      <charset val="1"/>
    </font>
    <font>
      <b/>
      <sz val="11"/>
      <color theme="0"/>
      <name val="Arial Narrow"/>
      <family val="2"/>
      <charset val="1"/>
    </font>
    <font>
      <b/>
      <sz val="10"/>
      <color rgb="FFFFFFFF"/>
      <name val="Arial Narrow"/>
      <family val="2"/>
      <charset val="1"/>
    </font>
    <font>
      <b/>
      <sz val="11"/>
      <color rgb="FFC00000"/>
      <name val="Arial Narrow"/>
      <family val="2"/>
      <charset val="1"/>
    </font>
    <font>
      <b/>
      <sz val="11"/>
      <name val="Arial Narrow"/>
      <family val="2"/>
      <charset val="1"/>
    </font>
    <font>
      <sz val="11"/>
      <color rgb="FF0000FF"/>
      <name val="Arial Narrow"/>
      <family val="2"/>
      <charset val="1"/>
    </font>
    <font>
      <b/>
      <sz val="11"/>
      <color rgb="FF1F4E78"/>
      <name val="Arial Narrow"/>
      <family val="2"/>
      <charset val="1"/>
    </font>
    <font>
      <b/>
      <sz val="11"/>
      <color theme="1"/>
      <name val="Arial Narrow"/>
      <family val="2"/>
      <charset val="1"/>
    </font>
    <font>
      <b/>
      <sz val="16"/>
      <color rgb="FFFFFFFF"/>
      <name val="Arial Narrow"/>
      <charset val="1"/>
    </font>
    <font>
      <b/>
      <sz val="14"/>
      <name val="Arial Narrow"/>
      <charset val="1"/>
    </font>
    <font>
      <sz val="14"/>
      <name val="Arial Narrow"/>
      <charset val="1"/>
    </font>
    <font>
      <sz val="11"/>
      <name val="Arial Narrow"/>
      <charset val="1"/>
    </font>
    <font>
      <i/>
      <sz val="11"/>
      <name val="Arial Narrow"/>
      <charset val="1"/>
    </font>
    <font>
      <b/>
      <sz val="11"/>
      <color rgb="FFFFFFFF"/>
      <name val="Calibri"/>
      <charset val="1"/>
    </font>
    <font>
      <b/>
      <sz val="11"/>
      <name val="Calibri"/>
      <charset val="1"/>
    </font>
    <font>
      <b/>
      <sz val="14"/>
      <color rgb="FFFFFFFF"/>
      <name val="Calibri"/>
      <charset val="1"/>
    </font>
    <font>
      <sz val="11"/>
      <color theme="1"/>
      <name val="Calibri"/>
      <family val="2"/>
      <charset val="1"/>
    </font>
  </fonts>
  <fills count="32">
    <fill>
      <patternFill patternType="none"/>
    </fill>
    <fill>
      <patternFill patternType="gray125"/>
    </fill>
    <fill>
      <patternFill patternType="solid">
        <fgColor theme="0"/>
        <bgColor rgb="FFFCF6E0"/>
      </patternFill>
    </fill>
    <fill>
      <patternFill patternType="solid">
        <fgColor theme="4" tint="-0.249977111117893"/>
        <bgColor rgb="FF305496"/>
      </patternFill>
    </fill>
    <fill>
      <patternFill patternType="solid">
        <fgColor theme="0" tint="-4.9989318521683403E-2"/>
        <bgColor rgb="FFEAF3F8"/>
      </patternFill>
    </fill>
    <fill>
      <patternFill patternType="solid">
        <fgColor rgb="FFEAF4FB"/>
        <bgColor rgb="FFEAF3F8"/>
      </patternFill>
    </fill>
    <fill>
      <patternFill patternType="solid">
        <fgColor theme="7" tint="0.79989013336588644"/>
        <bgColor rgb="FFFBECC9"/>
      </patternFill>
    </fill>
    <fill>
      <patternFill patternType="solid">
        <fgColor rgb="FF305496"/>
        <bgColor rgb="FF2F5597"/>
      </patternFill>
    </fill>
    <fill>
      <patternFill patternType="solid">
        <fgColor rgb="FFD9EAF7"/>
        <bgColor rgb="FFDDEBF7"/>
      </patternFill>
    </fill>
    <fill>
      <patternFill patternType="solid">
        <fgColor rgb="FFFBECC9"/>
        <bgColor rgb="FFFFF2CC"/>
      </patternFill>
    </fill>
    <fill>
      <patternFill patternType="solid">
        <fgColor rgb="FFFCF6E0"/>
        <bgColor rgb="FFF0F7E8"/>
      </patternFill>
    </fill>
    <fill>
      <patternFill patternType="solid">
        <fgColor theme="8" tint="0.79989013336588644"/>
        <bgColor rgb="FFDDEBF7"/>
      </patternFill>
    </fill>
    <fill>
      <patternFill patternType="solid">
        <fgColor rgb="FF0070C0"/>
        <bgColor rgb="FF008080"/>
      </patternFill>
    </fill>
    <fill>
      <patternFill patternType="solid">
        <fgColor theme="9" tint="0.59987182226020086"/>
        <bgColor rgb="FFD9D9D9"/>
      </patternFill>
    </fill>
    <fill>
      <patternFill patternType="solid">
        <fgColor theme="2" tint="-0.249977111117893"/>
        <bgColor rgb="FFBFBFBF"/>
      </patternFill>
    </fill>
    <fill>
      <patternFill patternType="solid">
        <fgColor theme="0" tint="-0.249977111117893"/>
        <bgColor rgb="FFAFABAB"/>
      </patternFill>
    </fill>
    <fill>
      <patternFill patternType="solid">
        <fgColor theme="7" tint="0.59987182226020086"/>
        <bgColor rgb="FFFBECC9"/>
      </patternFill>
    </fill>
    <fill>
      <patternFill patternType="solid">
        <fgColor rgb="FF92D050"/>
        <bgColor rgb="FFAFABAB"/>
      </patternFill>
    </fill>
    <fill>
      <patternFill patternType="solid">
        <fgColor theme="0" tint="-0.14999847407452621"/>
        <bgColor rgb="FFE4DFEC"/>
      </patternFill>
    </fill>
    <fill>
      <patternFill patternType="solid">
        <fgColor theme="5" tint="0.39988402966399123"/>
        <bgColor rgb="FFBFBFBF"/>
      </patternFill>
    </fill>
    <fill>
      <patternFill patternType="solid">
        <fgColor rgb="FFFFFF00"/>
        <bgColor rgb="FFFFE699"/>
      </patternFill>
    </fill>
    <fill>
      <patternFill patternType="solid">
        <fgColor rgb="FF1F4E78"/>
        <bgColor rgb="FF305496"/>
      </patternFill>
    </fill>
    <fill>
      <patternFill patternType="solid">
        <fgColor rgb="FFE2F0D9"/>
        <bgColor rgb="FFF0F7E8"/>
      </patternFill>
    </fill>
    <fill>
      <patternFill patternType="solid">
        <fgColor rgb="FFD9E1F2"/>
        <bgColor rgb="FFE4DFEC"/>
      </patternFill>
    </fill>
    <fill>
      <patternFill patternType="solid">
        <fgColor rgb="FFDDEBF7"/>
        <bgColor rgb="FFDEEBF7"/>
      </patternFill>
    </fill>
    <fill>
      <patternFill patternType="solid">
        <fgColor rgb="FFEAF3F8"/>
        <bgColor rgb="FFEAF4FB"/>
      </patternFill>
    </fill>
    <fill>
      <patternFill patternType="solid">
        <fgColor rgb="FF5B9BD5"/>
        <bgColor rgb="FF7F7F7F"/>
      </patternFill>
    </fill>
    <fill>
      <patternFill patternType="solid">
        <fgColor rgb="FFE4DFEC"/>
        <bgColor rgb="FFD9E1F2"/>
      </patternFill>
    </fill>
    <fill>
      <patternFill patternType="solid">
        <fgColor rgb="FFF0F7E8"/>
        <bgColor rgb="FFF2F2F2"/>
      </patternFill>
    </fill>
    <fill>
      <patternFill patternType="solid">
        <fgColor rgb="FF0B1F2A"/>
        <bgColor rgb="FF1F1F1F"/>
      </patternFill>
    </fill>
    <fill>
      <patternFill patternType="solid">
        <fgColor rgb="FF17365D"/>
        <bgColor rgb="FF1F4E78"/>
      </patternFill>
    </fill>
    <fill>
      <patternFill patternType="solid">
        <fgColor rgb="FFFFF2CC"/>
        <bgColor rgb="FFFBECC9"/>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style="medium">
        <color auto="1"/>
      </right>
      <top style="medium">
        <color auto="1"/>
      </top>
      <bottom style="medium">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
    <xf numFmtId="0" fontId="0" fillId="0" borderId="0"/>
    <xf numFmtId="0" fontId="1" fillId="0" borderId="0"/>
    <xf numFmtId="0" fontId="2" fillId="0" borderId="0"/>
    <xf numFmtId="0" fontId="47" fillId="0" borderId="0"/>
  </cellStyleXfs>
  <cellXfs count="332">
    <xf numFmtId="0" fontId="0" fillId="0" borderId="0" xfId="0"/>
    <xf numFmtId="49" fontId="8" fillId="5" borderId="1" xfId="0" applyNumberFormat="1" applyFont="1" applyFill="1" applyBorder="1" applyAlignment="1">
      <alignment vertical="center" wrapText="1"/>
    </xf>
    <xf numFmtId="49" fontId="8" fillId="8" borderId="1" xfId="0" applyNumberFormat="1" applyFont="1" applyFill="1" applyBorder="1" applyAlignment="1">
      <alignment vertical="center" wrapText="1"/>
    </xf>
    <xf numFmtId="0" fontId="39" fillId="3" borderId="1"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3" fillId="2" borderId="0" xfId="0" applyFont="1" applyFill="1" applyAlignment="1">
      <alignment vertical="center"/>
    </xf>
    <xf numFmtId="0" fontId="4" fillId="2" borderId="0" xfId="0" applyFont="1" applyFill="1" applyAlignment="1">
      <alignment vertical="center" wrapText="1"/>
    </xf>
    <xf numFmtId="0" fontId="4" fillId="3" borderId="1" xfId="0" applyFont="1" applyFill="1" applyBorder="1" applyAlignment="1">
      <alignment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49" fontId="7" fillId="3" borderId="1" xfId="0" applyNumberFormat="1" applyFont="1" applyFill="1" applyBorder="1" applyAlignment="1">
      <alignment horizontal="center" wrapText="1"/>
    </xf>
    <xf numFmtId="49" fontId="8" fillId="5" borderId="1" xfId="0" applyNumberFormat="1" applyFont="1" applyFill="1" applyBorder="1" applyAlignment="1">
      <alignment wrapText="1"/>
    </xf>
    <xf numFmtId="49" fontId="3" fillId="0" borderId="1" xfId="0" applyNumberFormat="1" applyFont="1" applyBorder="1" applyAlignment="1">
      <alignment wrapText="1"/>
    </xf>
    <xf numFmtId="15" fontId="3" fillId="0" borderId="1" xfId="0" applyNumberFormat="1" applyFont="1" applyBorder="1" applyAlignment="1">
      <alignment wrapText="1"/>
    </xf>
    <xf numFmtId="49" fontId="3" fillId="0" borderId="1" xfId="0" applyNumberFormat="1" applyFont="1" applyBorder="1" applyAlignment="1">
      <alignment horizontal="center" wrapText="1"/>
    </xf>
    <xf numFmtId="2" fontId="3" fillId="0" borderId="1" xfId="0" applyNumberFormat="1" applyFont="1" applyBorder="1" applyAlignment="1">
      <alignment horizontal="center" vertical="center"/>
    </xf>
    <xf numFmtId="49" fontId="8" fillId="5" borderId="1" xfId="0" applyNumberFormat="1" applyFont="1" applyFill="1" applyBorder="1" applyAlignment="1">
      <alignment horizontal="center" wrapText="1"/>
    </xf>
    <xf numFmtId="2" fontId="8" fillId="5" borderId="1" xfId="0" applyNumberFormat="1" applyFont="1" applyFill="1" applyBorder="1" applyAlignment="1">
      <alignment wrapText="1"/>
    </xf>
    <xf numFmtId="49" fontId="8" fillId="6" borderId="1" xfId="0" applyNumberFormat="1" applyFont="1" applyFill="1" applyBorder="1" applyAlignment="1">
      <alignment wrapText="1"/>
    </xf>
    <xf numFmtId="49" fontId="3" fillId="0" borderId="1" xfId="0" applyNumberFormat="1" applyFont="1" applyBorder="1" applyAlignment="1">
      <alignment horizontal="left" vertical="center" wrapText="1"/>
    </xf>
    <xf numFmtId="49" fontId="3" fillId="0" borderId="1" xfId="0" applyNumberFormat="1" applyFont="1" applyBorder="1" applyAlignment="1">
      <alignment horizontal="center" vertical="center" wrapText="1"/>
    </xf>
    <xf numFmtId="0" fontId="0" fillId="0" borderId="1" xfId="0" applyBorder="1"/>
    <xf numFmtId="49" fontId="7" fillId="7" borderId="1" xfId="0" applyNumberFormat="1" applyFont="1" applyFill="1" applyBorder="1" applyAlignment="1">
      <alignment horizontal="center" vertical="center" wrapText="1"/>
    </xf>
    <xf numFmtId="49" fontId="8" fillId="6" borderId="1" xfId="0" applyNumberFormat="1" applyFont="1" applyFill="1" applyBorder="1" applyAlignment="1">
      <alignment vertical="center" wrapText="1"/>
    </xf>
    <xf numFmtId="2" fontId="8" fillId="6" borderId="1" xfId="0" applyNumberFormat="1" applyFont="1" applyFill="1" applyBorder="1" applyAlignment="1">
      <alignment vertical="center" wrapText="1"/>
    </xf>
    <xf numFmtId="49" fontId="9" fillId="0" borderId="1" xfId="0" applyNumberFormat="1" applyFont="1" applyBorder="1" applyAlignment="1">
      <alignment wrapText="1"/>
    </xf>
    <xf numFmtId="2" fontId="9" fillId="0" borderId="1" xfId="0" applyNumberFormat="1" applyFont="1" applyBorder="1" applyAlignment="1">
      <alignment wrapText="1"/>
    </xf>
    <xf numFmtId="2" fontId="8" fillId="6" borderId="1" xfId="0" applyNumberFormat="1" applyFont="1" applyFill="1" applyBorder="1" applyAlignment="1">
      <alignment horizontal="right" vertical="center" wrapText="1"/>
    </xf>
    <xf numFmtId="2" fontId="8" fillId="8" borderId="1" xfId="0" applyNumberFormat="1" applyFont="1" applyFill="1" applyBorder="1" applyAlignment="1">
      <alignment vertical="center" wrapText="1"/>
    </xf>
    <xf numFmtId="0" fontId="9" fillId="0" borderId="1" xfId="0" applyFont="1" applyBorder="1" applyAlignment="1">
      <alignment wrapText="1"/>
    </xf>
    <xf numFmtId="0" fontId="0" fillId="0" borderId="0" xfId="0" applyAlignment="1">
      <alignment vertical="center"/>
    </xf>
    <xf numFmtId="49" fontId="9" fillId="0" borderId="1" xfId="0" applyNumberFormat="1" applyFont="1" applyBorder="1" applyAlignment="1">
      <alignment vertical="center" wrapText="1"/>
    </xf>
    <xf numFmtId="2" fontId="9" fillId="0" borderId="1" xfId="0" applyNumberFormat="1" applyFont="1" applyBorder="1" applyAlignment="1">
      <alignment vertical="center" wrapText="1"/>
    </xf>
    <xf numFmtId="2" fontId="8" fillId="5" borderId="1" xfId="0" applyNumberFormat="1" applyFont="1" applyFill="1" applyBorder="1" applyAlignment="1">
      <alignment vertical="center" wrapText="1"/>
    </xf>
    <xf numFmtId="49" fontId="8" fillId="9" borderId="1" xfId="0" applyNumberFormat="1" applyFont="1" applyFill="1" applyBorder="1" applyAlignment="1">
      <alignment vertical="center" wrapText="1"/>
    </xf>
    <xf numFmtId="2" fontId="8" fillId="9" borderId="1" xfId="0" applyNumberFormat="1" applyFont="1" applyFill="1" applyBorder="1" applyAlignment="1">
      <alignment vertical="center" wrapText="1"/>
    </xf>
    <xf numFmtId="49" fontId="8" fillId="0" borderId="1" xfId="0" applyNumberFormat="1" applyFont="1" applyBorder="1" applyAlignment="1">
      <alignment vertical="center" wrapText="1"/>
    </xf>
    <xf numFmtId="2" fontId="8" fillId="0" borderId="1" xfId="0" applyNumberFormat="1" applyFont="1" applyBorder="1" applyAlignment="1">
      <alignment vertical="center" wrapText="1"/>
    </xf>
    <xf numFmtId="49" fontId="8" fillId="6" borderId="1" xfId="0" applyNumberFormat="1" applyFont="1" applyFill="1" applyBorder="1" applyAlignment="1">
      <alignment horizontal="left" vertical="center" wrapText="1"/>
    </xf>
    <xf numFmtId="2" fontId="8" fillId="9" borderId="1" xfId="0" applyNumberFormat="1" applyFont="1" applyFill="1" applyBorder="1" applyAlignment="1">
      <alignment horizontal="right" vertical="center" wrapText="1"/>
    </xf>
    <xf numFmtId="49" fontId="8" fillId="9" borderId="1" xfId="0" applyNumberFormat="1" applyFont="1" applyFill="1" applyBorder="1" applyAlignment="1">
      <alignment horizontal="left" vertical="center" wrapText="1"/>
    </xf>
    <xf numFmtId="49" fontId="8" fillId="2" borderId="1" xfId="0" applyNumberFormat="1" applyFont="1" applyFill="1" applyBorder="1" applyAlignment="1">
      <alignment vertical="center" wrapText="1"/>
    </xf>
    <xf numFmtId="2" fontId="8" fillId="2" borderId="1" xfId="0" applyNumberFormat="1" applyFont="1" applyFill="1" applyBorder="1" applyAlignment="1">
      <alignment vertical="center" wrapText="1"/>
    </xf>
    <xf numFmtId="49" fontId="8" fillId="10" borderId="1" xfId="0" applyNumberFormat="1" applyFont="1" applyFill="1" applyBorder="1" applyAlignment="1">
      <alignment horizontal="left" vertical="center" wrapText="1" indent="1"/>
    </xf>
    <xf numFmtId="49" fontId="8" fillId="10" borderId="1" xfId="0" applyNumberFormat="1" applyFont="1" applyFill="1" applyBorder="1" applyAlignment="1">
      <alignment vertical="center" wrapText="1"/>
    </xf>
    <xf numFmtId="2" fontId="8" fillId="10" borderId="1" xfId="0" applyNumberFormat="1" applyFont="1" applyFill="1" applyBorder="1" applyAlignment="1">
      <alignment horizontal="left"/>
    </xf>
    <xf numFmtId="0" fontId="9" fillId="10" borderId="1" xfId="0" applyFont="1" applyFill="1" applyBorder="1"/>
    <xf numFmtId="2" fontId="8" fillId="10" borderId="1" xfId="0" applyNumberFormat="1" applyFont="1" applyFill="1" applyBorder="1" applyAlignment="1">
      <alignment vertical="center" wrapText="1"/>
    </xf>
    <xf numFmtId="2" fontId="8" fillId="10" borderId="1" xfId="0" applyNumberFormat="1" applyFont="1" applyFill="1" applyBorder="1" applyAlignment="1">
      <alignment horizontal="right" vertical="center"/>
    </xf>
    <xf numFmtId="49" fontId="8" fillId="2" borderId="1" xfId="0" applyNumberFormat="1" applyFont="1" applyFill="1" applyBorder="1" applyAlignment="1">
      <alignment horizontal="left" vertical="center" wrapText="1" indent="1"/>
    </xf>
    <xf numFmtId="2" fontId="8" fillId="2" borderId="1" xfId="0" applyNumberFormat="1" applyFont="1" applyFill="1" applyBorder="1" applyAlignment="1">
      <alignment horizontal="left"/>
    </xf>
    <xf numFmtId="2" fontId="9" fillId="2" borderId="1" xfId="0" applyNumberFormat="1" applyFont="1" applyFill="1" applyBorder="1" applyAlignment="1">
      <alignment horizontal="center" vertical="center" wrapText="1"/>
    </xf>
    <xf numFmtId="0" fontId="9" fillId="2" borderId="1" xfId="0" applyFont="1" applyFill="1" applyBorder="1"/>
    <xf numFmtId="2" fontId="8" fillId="2" borderId="1" xfId="0" applyNumberFormat="1" applyFont="1" applyFill="1" applyBorder="1" applyAlignment="1">
      <alignment horizontal="right" vertical="center"/>
    </xf>
    <xf numFmtId="49" fontId="8" fillId="10" borderId="1" xfId="0" applyNumberFormat="1" applyFont="1" applyFill="1" applyBorder="1" applyAlignment="1">
      <alignment horizontal="left" vertical="top" wrapText="1" indent="1"/>
    </xf>
    <xf numFmtId="2" fontId="8" fillId="10" borderId="1" xfId="0" applyNumberFormat="1" applyFont="1" applyFill="1" applyBorder="1" applyAlignment="1">
      <alignment horizontal="left" vertical="center" wrapText="1"/>
    </xf>
    <xf numFmtId="2" fontId="8" fillId="10" borderId="1" xfId="0" applyNumberFormat="1" applyFont="1" applyFill="1" applyBorder="1" applyAlignment="1">
      <alignment horizontal="right" vertical="center" wrapText="1"/>
    </xf>
    <xf numFmtId="49" fontId="8" fillId="2" borderId="1" xfId="0" applyNumberFormat="1" applyFont="1" applyFill="1" applyBorder="1" applyAlignment="1">
      <alignment horizontal="left" vertical="top" wrapText="1" indent="1"/>
    </xf>
    <xf numFmtId="2" fontId="8" fillId="2" borderId="1" xfId="0" applyNumberFormat="1" applyFont="1" applyFill="1" applyBorder="1" applyAlignment="1">
      <alignment horizontal="left" vertical="center" wrapText="1"/>
    </xf>
    <xf numFmtId="0" fontId="0" fillId="11" borderId="2" xfId="0" applyFill="1" applyBorder="1"/>
    <xf numFmtId="0" fontId="0" fillId="11" borderId="3" xfId="0" applyFill="1" applyBorder="1"/>
    <xf numFmtId="0" fontId="0" fillId="0" borderId="2" xfId="0" applyBorder="1"/>
    <xf numFmtId="0" fontId="0" fillId="0" borderId="3" xfId="0" applyBorder="1"/>
    <xf numFmtId="0" fontId="10" fillId="0" borderId="0" xfId="0" applyFont="1"/>
    <xf numFmtId="0" fontId="10" fillId="0" borderId="4" xfId="0" applyFont="1" applyBorder="1" applyAlignment="1">
      <alignment horizontal="center"/>
    </xf>
    <xf numFmtId="0" fontId="13" fillId="12" borderId="7" xfId="0" applyFont="1" applyFill="1" applyBorder="1" applyAlignment="1">
      <alignment horizontal="center" vertical="center" wrapText="1"/>
    </xf>
    <xf numFmtId="0" fontId="13" fillId="12" borderId="8" xfId="0" applyFont="1" applyFill="1" applyBorder="1" applyAlignment="1">
      <alignment horizontal="center" vertical="center" wrapText="1"/>
    </xf>
    <xf numFmtId="0" fontId="10" fillId="0" borderId="0" xfId="0" applyFont="1" applyAlignment="1">
      <alignment vertical="center" wrapText="1"/>
    </xf>
    <xf numFmtId="0" fontId="13" fillId="1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2" borderId="14" xfId="0" applyFont="1" applyFill="1" applyBorder="1" applyAlignment="1">
      <alignment horizontal="center" vertical="center" wrapText="1"/>
    </xf>
    <xf numFmtId="2" fontId="3" fillId="2" borderId="14"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0" fillId="0" borderId="0" xfId="0" applyNumberFormat="1" applyFont="1"/>
    <xf numFmtId="0" fontId="13" fillId="12" borderId="15" xfId="0" applyFont="1" applyFill="1" applyBorder="1" applyAlignment="1">
      <alignment horizontal="center" vertical="center" wrapText="1"/>
    </xf>
    <xf numFmtId="2" fontId="3" fillId="14" borderId="1" xfId="0" applyNumberFormat="1" applyFont="1" applyFill="1" applyBorder="1" applyAlignment="1">
      <alignment horizontal="center" vertical="center" wrapText="1"/>
    </xf>
    <xf numFmtId="0" fontId="3" fillId="2" borderId="18" xfId="0" applyFont="1" applyFill="1" applyBorder="1" applyAlignment="1">
      <alignment horizontal="center" vertical="center" wrapText="1"/>
    </xf>
    <xf numFmtId="2" fontId="3" fillId="14" borderId="18" xfId="0" applyNumberFormat="1" applyFont="1" applyFill="1" applyBorder="1" applyAlignment="1">
      <alignment horizontal="center" vertical="center" wrapText="1"/>
    </xf>
    <xf numFmtId="2" fontId="3" fillId="15" borderId="11" xfId="0" applyNumberFormat="1" applyFont="1" applyFill="1" applyBorder="1" applyAlignment="1">
      <alignment horizontal="center" vertical="center" wrapText="1"/>
    </xf>
    <xf numFmtId="2" fontId="3" fillId="2" borderId="18" xfId="0" applyNumberFormat="1" applyFont="1" applyFill="1" applyBorder="1" applyAlignment="1">
      <alignment horizontal="center" vertical="center" wrapText="1"/>
    </xf>
    <xf numFmtId="0" fontId="3" fillId="2" borderId="15" xfId="0" applyFont="1" applyFill="1" applyBorder="1" applyAlignment="1">
      <alignment horizontal="center" vertical="center" wrapText="1"/>
    </xf>
    <xf numFmtId="2" fontId="3" fillId="2" borderId="15" xfId="0" applyNumberFormat="1" applyFont="1" applyFill="1" applyBorder="1" applyAlignment="1">
      <alignment horizontal="center" vertical="center" wrapText="1"/>
    </xf>
    <xf numFmtId="2" fontId="3" fillId="0" borderId="11" xfId="0" applyNumberFormat="1" applyFont="1" applyBorder="1" applyAlignment="1">
      <alignment horizontal="center" vertical="center" wrapText="1"/>
    </xf>
    <xf numFmtId="0" fontId="3" fillId="0" borderId="0" xfId="0" applyFont="1"/>
    <xf numFmtId="0" fontId="8" fillId="4" borderId="1" xfId="0" applyFont="1" applyFill="1" applyBorder="1" applyAlignment="1">
      <alignment horizontal="center" vertical="center" wrapText="1"/>
    </xf>
    <xf numFmtId="0" fontId="15" fillId="0" borderId="0" xfId="0" applyFont="1" applyAlignment="1">
      <alignment vertical="center" wrapText="1"/>
    </xf>
    <xf numFmtId="0" fontId="13"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0" xfId="0" applyNumberFormat="1" applyFont="1"/>
    <xf numFmtId="2" fontId="3" fillId="15" borderId="1" xfId="0" applyNumberFormat="1" applyFont="1" applyFill="1" applyBorder="1" applyAlignment="1">
      <alignment horizontal="center" vertical="center" wrapText="1"/>
    </xf>
    <xf numFmtId="2" fontId="3" fillId="18" borderId="1" xfId="0" applyNumberFormat="1" applyFont="1" applyFill="1" applyBorder="1" applyAlignment="1">
      <alignment horizontal="center" vertical="center" wrapText="1"/>
    </xf>
    <xf numFmtId="2" fontId="3" fillId="18" borderId="1" xfId="0" applyNumberFormat="1" applyFont="1" applyFill="1" applyBorder="1" applyAlignment="1">
      <alignment horizontal="center" wrapText="1"/>
    </xf>
    <xf numFmtId="2" fontId="3" fillId="0" borderId="1" xfId="0" applyNumberFormat="1" applyFont="1" applyBorder="1" applyAlignment="1">
      <alignment horizontal="center" wrapText="1"/>
    </xf>
    <xf numFmtId="2" fontId="3" fillId="2" borderId="1" xfId="0" applyNumberFormat="1" applyFont="1" applyFill="1" applyBorder="1" applyAlignment="1">
      <alignment horizontal="center" wrapText="1"/>
    </xf>
    <xf numFmtId="0" fontId="8" fillId="0" borderId="0" xfId="0" applyFont="1" applyAlignment="1">
      <alignment horizontal="center" vertical="center"/>
    </xf>
    <xf numFmtId="0" fontId="17" fillId="12"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14" fillId="13" borderId="1" xfId="0" applyFont="1" applyFill="1" applyBorder="1" applyAlignment="1">
      <alignment horizontal="center"/>
    </xf>
    <xf numFmtId="0" fontId="14"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14" fillId="20" borderId="1" xfId="0" applyFont="1" applyFill="1" applyBorder="1" applyAlignment="1">
      <alignment horizontal="center" vertical="center" wrapText="1"/>
    </xf>
    <xf numFmtId="2" fontId="14" fillId="19" borderId="1" xfId="0" applyNumberFormat="1" applyFont="1" applyFill="1" applyBorder="1" applyAlignment="1">
      <alignment horizontal="center" vertical="center" wrapText="1"/>
    </xf>
    <xf numFmtId="1" fontId="3" fillId="0" borderId="1" xfId="0" applyNumberFormat="1" applyFont="1" applyBorder="1" applyAlignment="1">
      <alignment horizontal="center" vertical="center" wrapText="1"/>
    </xf>
    <xf numFmtId="2" fontId="14" fillId="20"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xf>
    <xf numFmtId="0" fontId="20" fillId="0" borderId="1" xfId="0" applyFont="1" applyBorder="1" applyAlignment="1">
      <alignment horizontal="left" vertical="center" wrapText="1"/>
    </xf>
    <xf numFmtId="2"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165" fontId="20" fillId="0" borderId="1" xfId="0" applyNumberFormat="1" applyFont="1" applyBorder="1" applyAlignment="1">
      <alignment horizontal="center" vertical="center" wrapText="1"/>
    </xf>
    <xf numFmtId="1" fontId="20" fillId="0" borderId="1" xfId="0" applyNumberFormat="1" applyFont="1" applyBorder="1" applyAlignment="1">
      <alignment horizontal="center" vertical="center" wrapText="1"/>
    </xf>
    <xf numFmtId="2" fontId="18"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0" fillId="0" borderId="0" xfId="0" applyFont="1" applyAlignment="1">
      <alignment wrapText="1"/>
    </xf>
    <xf numFmtId="0" fontId="23" fillId="0" borderId="0" xfId="0" applyFont="1" applyAlignment="1">
      <alignment vertical="center" wrapText="1"/>
    </xf>
    <xf numFmtId="0" fontId="7" fillId="3" borderId="23"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8" fillId="22" borderId="3" xfId="0" applyFont="1" applyFill="1" applyBorder="1" applyAlignment="1">
      <alignment horizontal="center" vertical="center" wrapText="1"/>
    </xf>
    <xf numFmtId="2" fontId="9"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0" fontId="9" fillId="0" borderId="16" xfId="0" applyFont="1" applyBorder="1" applyAlignment="1">
      <alignment horizontal="center" vertical="center" wrapText="1"/>
    </xf>
    <xf numFmtId="0" fontId="8" fillId="2" borderId="25" xfId="0" applyFont="1" applyFill="1" applyBorder="1" applyAlignment="1">
      <alignment horizontal="center" vertical="center" wrapText="1"/>
    </xf>
    <xf numFmtId="2" fontId="8" fillId="2" borderId="15" xfId="0" applyNumberFormat="1"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24" fillId="0" borderId="0" xfId="2" applyFont="1"/>
    <xf numFmtId="0" fontId="24" fillId="0" borderId="0" xfId="2" applyFont="1" applyAlignment="1">
      <alignment horizontal="center"/>
    </xf>
    <xf numFmtId="0" fontId="25" fillId="2" borderId="0" xfId="2" applyFont="1" applyFill="1" applyAlignment="1">
      <alignment horizontal="center" vertical="center"/>
    </xf>
    <xf numFmtId="0" fontId="24" fillId="2" borderId="0" xfId="2" applyFont="1" applyFill="1" applyAlignment="1">
      <alignment vertical="center" wrapText="1"/>
    </xf>
    <xf numFmtId="0" fontId="24" fillId="2" borderId="0" xfId="2" applyFont="1" applyFill="1" applyAlignment="1">
      <alignment horizontal="center" vertical="center" wrapText="1"/>
    </xf>
    <xf numFmtId="0" fontId="24" fillId="2" borderId="0" xfId="2" applyFont="1" applyFill="1"/>
    <xf numFmtId="0" fontId="27" fillId="4" borderId="1" xfId="0" applyFont="1" applyFill="1" applyBorder="1" applyAlignment="1">
      <alignment horizontal="center" vertical="center" wrapText="1"/>
    </xf>
    <xf numFmtId="0" fontId="30" fillId="19" borderId="1" xfId="2" applyFont="1" applyFill="1" applyBorder="1" applyAlignment="1">
      <alignment horizontal="center" vertical="center" wrapText="1"/>
    </xf>
    <xf numFmtId="0" fontId="22" fillId="26" borderId="1" xfId="2" applyFont="1" applyFill="1" applyBorder="1" applyAlignment="1">
      <alignment horizontal="center" vertical="center" wrapText="1"/>
    </xf>
    <xf numFmtId="0" fontId="6" fillId="0" borderId="1" xfId="2" applyFont="1" applyBorder="1" applyAlignment="1">
      <alignment horizontal="center" vertical="center" wrapText="1"/>
    </xf>
    <xf numFmtId="0" fontId="6" fillId="6" borderId="1" xfId="2" applyFont="1" applyFill="1" applyBorder="1" applyAlignment="1">
      <alignment horizontal="center" vertical="center" wrapText="1"/>
    </xf>
    <xf numFmtId="0" fontId="5" fillId="27" borderId="1" xfId="2" applyFont="1" applyFill="1" applyBorder="1" applyAlignment="1">
      <alignment horizontal="center" vertical="center" wrapText="1"/>
    </xf>
    <xf numFmtId="2" fontId="6" fillId="6" borderId="1" xfId="2" applyNumberFormat="1" applyFont="1" applyFill="1" applyBorder="1" applyAlignment="1">
      <alignment horizontal="center" vertical="center" wrapText="1"/>
    </xf>
    <xf numFmtId="166" fontId="6" fillId="24" borderId="1" xfId="2" applyNumberFormat="1" applyFont="1" applyFill="1" applyBorder="1" applyAlignment="1">
      <alignment horizontal="center" vertical="center" wrapText="1"/>
    </xf>
    <xf numFmtId="2" fontId="6" fillId="24" borderId="1" xfId="2" applyNumberFormat="1" applyFont="1" applyFill="1" applyBorder="1" applyAlignment="1">
      <alignment horizontal="center" vertical="center" wrapText="1"/>
    </xf>
    <xf numFmtId="0" fontId="6" fillId="22" borderId="1" xfId="2" applyFont="1" applyFill="1" applyBorder="1" applyAlignment="1">
      <alignment horizontal="center" vertical="center" wrapText="1"/>
    </xf>
    <xf numFmtId="166" fontId="6" fillId="28" borderId="1" xfId="2" applyNumberFormat="1" applyFont="1" applyFill="1" applyBorder="1" applyAlignment="1">
      <alignment horizontal="center" vertical="center" wrapText="1"/>
    </xf>
    <xf numFmtId="2" fontId="6" fillId="22" borderId="1" xfId="2" applyNumberFormat="1" applyFont="1" applyFill="1" applyBorder="1" applyAlignment="1">
      <alignment horizontal="center" vertical="center" wrapText="1"/>
    </xf>
    <xf numFmtId="2" fontId="6" fillId="28" borderId="1" xfId="2" applyNumberFormat="1" applyFont="1" applyFill="1" applyBorder="1" applyAlignment="1">
      <alignment horizontal="center" vertical="center" wrapText="1"/>
    </xf>
    <xf numFmtId="2" fontId="5" fillId="19" borderId="1" xfId="2" applyNumberFormat="1" applyFont="1" applyFill="1" applyBorder="1" applyAlignment="1">
      <alignment horizontal="center" vertical="center" wrapText="1"/>
    </xf>
    <xf numFmtId="2" fontId="22" fillId="29" borderId="1" xfId="2" applyNumberFormat="1" applyFont="1" applyFill="1" applyBorder="1" applyAlignment="1">
      <alignment horizontal="center" vertical="center"/>
    </xf>
    <xf numFmtId="0" fontId="9" fillId="0" borderId="0" xfId="2" applyFont="1"/>
    <xf numFmtId="0" fontId="5" fillId="4" borderId="1" xfId="2" applyFont="1" applyFill="1" applyBorder="1" applyAlignment="1">
      <alignment vertical="center"/>
    </xf>
    <xf numFmtId="0" fontId="22" fillId="3" borderId="0" xfId="2" applyFont="1" applyFill="1" applyAlignment="1">
      <alignment horizontal="center" vertical="center" wrapText="1"/>
    </xf>
    <xf numFmtId="0" fontId="9" fillId="0" borderId="1" xfId="2" applyFont="1" applyBorder="1" applyAlignment="1">
      <alignment horizontal="center" vertical="center" wrapText="1"/>
    </xf>
    <xf numFmtId="0" fontId="6" fillId="2" borderId="1" xfId="2" applyFont="1" applyFill="1" applyBorder="1" applyAlignment="1">
      <alignment horizontal="center" vertical="center" wrapText="1"/>
    </xf>
    <xf numFmtId="2" fontId="6" fillId="2" borderId="1" xfId="2" applyNumberFormat="1" applyFont="1" applyFill="1" applyBorder="1" applyAlignment="1">
      <alignment horizontal="center" vertical="center" wrapText="1"/>
    </xf>
    <xf numFmtId="2" fontId="5" fillId="28" borderId="1" xfId="2" applyNumberFormat="1" applyFont="1" applyFill="1" applyBorder="1" applyAlignment="1">
      <alignment horizontal="center" vertical="center" wrapText="1"/>
    </xf>
    <xf numFmtId="1" fontId="6" fillId="28" borderId="1" xfId="2" applyNumberFormat="1" applyFont="1" applyFill="1" applyBorder="1" applyAlignment="1">
      <alignment horizontal="center" vertical="center" wrapText="1"/>
    </xf>
    <xf numFmtId="0" fontId="6" fillId="4" borderId="1" xfId="2" applyFont="1" applyFill="1" applyBorder="1" applyAlignment="1">
      <alignment horizontal="center" vertical="center" wrapText="1"/>
    </xf>
    <xf numFmtId="2" fontId="22" fillId="30" borderId="0" xfId="2" applyNumberFormat="1" applyFont="1" applyFill="1" applyAlignment="1">
      <alignment horizontal="center" vertical="center"/>
    </xf>
    <xf numFmtId="0" fontId="32" fillId="3" borderId="1" xfId="2" applyFont="1" applyFill="1" applyBorder="1" applyAlignment="1">
      <alignment vertical="center"/>
    </xf>
    <xf numFmtId="17" fontId="24" fillId="0" borderId="1" xfId="2" applyNumberFormat="1" applyFont="1" applyBorder="1" applyAlignment="1">
      <alignment vertical="center" wrapText="1"/>
    </xf>
    <xf numFmtId="0" fontId="33" fillId="3" borderId="1" xfId="2" applyFont="1" applyFill="1" applyBorder="1" applyAlignment="1">
      <alignment horizontal="center" vertical="center" wrapText="1"/>
    </xf>
    <xf numFmtId="2" fontId="9" fillId="2" borderId="1" xfId="2" applyNumberFormat="1" applyFont="1" applyFill="1" applyBorder="1" applyAlignment="1">
      <alignment horizontal="center" vertical="center" wrapText="1"/>
    </xf>
    <xf numFmtId="2" fontId="8" fillId="28" borderId="1" xfId="2" applyNumberFormat="1" applyFont="1" applyFill="1" applyBorder="1" applyAlignment="1">
      <alignment horizontal="center" vertical="center" wrapText="1"/>
    </xf>
    <xf numFmtId="0" fontId="9" fillId="4" borderId="1" xfId="2" applyFont="1" applyFill="1" applyBorder="1" applyAlignment="1">
      <alignment horizontal="center" vertical="center" wrapText="1"/>
    </xf>
    <xf numFmtId="2" fontId="25" fillId="30" borderId="0" xfId="2" applyNumberFormat="1" applyFont="1" applyFill="1" applyAlignment="1">
      <alignment horizontal="center" vertical="center"/>
    </xf>
    <xf numFmtId="0" fontId="10" fillId="0" borderId="0" xfId="3" applyFont="1" applyAlignment="1">
      <alignment horizontal="center" vertical="center" wrapText="1"/>
    </xf>
    <xf numFmtId="0" fontId="8" fillId="0" borderId="1" xfId="3" applyFont="1" applyBorder="1" applyAlignment="1">
      <alignment horizontal="left" vertical="center" wrapText="1"/>
    </xf>
    <xf numFmtId="0" fontId="34" fillId="0" borderId="1" xfId="3" applyFont="1" applyBorder="1" applyAlignment="1">
      <alignment horizontal="center" vertical="center" wrapText="1"/>
    </xf>
    <xf numFmtId="0" fontId="10" fillId="0" borderId="1" xfId="3" applyFont="1" applyBorder="1" applyAlignment="1">
      <alignment horizontal="center" vertical="center" wrapText="1"/>
    </xf>
    <xf numFmtId="0" fontId="35" fillId="0" borderId="1" xfId="3" applyFont="1" applyBorder="1" applyAlignment="1">
      <alignment horizontal="center" vertical="center" wrapText="1"/>
    </xf>
    <xf numFmtId="0" fontId="36" fillId="6" borderId="1" xfId="3" applyFont="1" applyFill="1" applyBorder="1" applyAlignment="1">
      <alignment horizontal="center" vertical="center" wrapText="1"/>
    </xf>
    <xf numFmtId="0" fontId="24" fillId="0" borderId="1" xfId="3" applyFont="1" applyBorder="1" applyAlignment="1">
      <alignment horizontal="center" vertical="center" wrapText="1"/>
    </xf>
    <xf numFmtId="0" fontId="25" fillId="3" borderId="1" xfId="3" applyFont="1" applyFill="1" applyBorder="1" applyAlignment="1">
      <alignment horizontal="center" vertical="center" wrapText="1"/>
    </xf>
    <xf numFmtId="0" fontId="37" fillId="0" borderId="1" xfId="3" applyFont="1" applyBorder="1" applyAlignment="1">
      <alignment horizontal="center" vertical="center" wrapText="1"/>
    </xf>
    <xf numFmtId="2" fontId="37" fillId="0" borderId="1" xfId="3" applyNumberFormat="1" applyFont="1" applyBorder="1" applyAlignment="1">
      <alignment horizontal="center" vertical="center" wrapText="1"/>
    </xf>
    <xf numFmtId="2" fontId="9" fillId="0" borderId="1" xfId="0" applyNumberFormat="1" applyFont="1" applyBorder="1" applyAlignment="1">
      <alignment horizontal="center" wrapText="1"/>
    </xf>
    <xf numFmtId="2" fontId="24" fillId="0" borderId="1" xfId="3" applyNumberFormat="1" applyFont="1" applyBorder="1" applyAlignment="1">
      <alignment horizontal="center" vertical="center" wrapText="1"/>
    </xf>
    <xf numFmtId="0" fontId="9" fillId="0" borderId="0" xfId="2" applyFont="1" applyAlignment="1">
      <alignment vertical="center" wrapText="1"/>
    </xf>
    <xf numFmtId="0" fontId="7" fillId="21" borderId="1" xfId="2" applyFont="1" applyFill="1" applyBorder="1" applyAlignment="1">
      <alignment horizontal="center" vertical="center" wrapText="1"/>
    </xf>
    <xf numFmtId="0" fontId="9" fillId="0" borderId="1" xfId="2" applyFont="1" applyBorder="1" applyAlignment="1">
      <alignment horizontal="right" vertical="center" wrapText="1"/>
    </xf>
    <xf numFmtId="2" fontId="8" fillId="0" borderId="1" xfId="2" applyNumberFormat="1" applyFont="1" applyBorder="1" applyAlignment="1">
      <alignment horizontal="center" vertical="center" wrapText="1"/>
    </xf>
    <xf numFmtId="0" fontId="8" fillId="0" borderId="1" xfId="2" applyFont="1" applyBorder="1" applyAlignment="1">
      <alignment horizontal="center" vertical="center" wrapText="1"/>
    </xf>
    <xf numFmtId="0" fontId="8" fillId="8" borderId="1" xfId="2" applyFont="1" applyFill="1" applyBorder="1" applyAlignment="1">
      <alignment horizontal="center" vertical="center" wrapText="1"/>
    </xf>
    <xf numFmtId="0" fontId="8" fillId="8" borderId="1" xfId="2" applyFont="1" applyFill="1" applyBorder="1" applyAlignment="1">
      <alignment horizontal="right" vertical="center" wrapText="1"/>
    </xf>
    <xf numFmtId="2" fontId="9" fillId="0" borderId="1" xfId="2" applyNumberFormat="1" applyFont="1" applyBorder="1" applyAlignment="1">
      <alignment horizontal="center" vertical="center" wrapText="1"/>
    </xf>
    <xf numFmtId="166" fontId="9" fillId="0" borderId="1" xfId="2" applyNumberFormat="1" applyFont="1" applyBorder="1" applyAlignment="1">
      <alignment horizontal="center" vertical="center" wrapText="1"/>
    </xf>
    <xf numFmtId="166" fontId="8" fillId="8" borderId="1" xfId="2" applyNumberFormat="1" applyFont="1" applyFill="1" applyBorder="1" applyAlignment="1">
      <alignment horizontal="center" vertical="center" wrapText="1"/>
    </xf>
    <xf numFmtId="166" fontId="35" fillId="8" borderId="1" xfId="2" applyNumberFormat="1" applyFont="1" applyFill="1" applyBorder="1" applyAlignment="1">
      <alignment horizontal="center" vertical="center" wrapText="1"/>
    </xf>
    <xf numFmtId="0" fontId="38" fillId="11" borderId="0" xfId="0" applyFont="1" applyFill="1" applyAlignment="1">
      <alignment horizontal="center" vertical="center" wrapText="1"/>
    </xf>
    <xf numFmtId="0" fontId="9" fillId="0" borderId="0" xfId="2" applyFont="1" applyAlignment="1">
      <alignment horizontal="center" vertical="center" wrapText="1"/>
    </xf>
    <xf numFmtId="0" fontId="19" fillId="3" borderId="1" xfId="0" applyFont="1" applyFill="1" applyBorder="1" applyAlignment="1">
      <alignment horizontal="center" vertical="center" wrapText="1"/>
    </xf>
    <xf numFmtId="0" fontId="20" fillId="0" borderId="1" xfId="0" applyFont="1" applyBorder="1" applyAlignment="1">
      <alignment horizontal="center" vertical="center"/>
    </xf>
    <xf numFmtId="2" fontId="20" fillId="6" borderId="1" xfId="0" applyNumberFormat="1" applyFont="1" applyFill="1" applyBorder="1" applyAlignment="1">
      <alignment horizontal="center" vertical="center"/>
    </xf>
    <xf numFmtId="2" fontId="20" fillId="28" borderId="1" xfId="0" applyNumberFormat="1" applyFont="1" applyFill="1" applyBorder="1" applyAlignment="1">
      <alignment horizontal="center" vertical="center"/>
    </xf>
    <xf numFmtId="0" fontId="42" fillId="0" borderId="1" xfId="0" applyFont="1" applyBorder="1" applyAlignment="1">
      <alignment horizontal="left" vertical="center" wrapText="1"/>
    </xf>
    <xf numFmtId="0" fontId="2" fillId="0" borderId="0" xfId="2"/>
    <xf numFmtId="0" fontId="44" fillId="21" borderId="0" xfId="2" applyFont="1" applyFill="1" applyAlignment="1">
      <alignment horizontal="center" vertical="center" wrapText="1"/>
    </xf>
    <xf numFmtId="0" fontId="2" fillId="0" borderId="0" xfId="2" applyAlignment="1">
      <alignment vertical="center" wrapText="1"/>
    </xf>
    <xf numFmtId="0" fontId="45" fillId="8" borderId="0" xfId="2" applyFont="1" applyFill="1" applyAlignment="1">
      <alignment horizontal="center" vertical="center" wrapText="1"/>
    </xf>
    <xf numFmtId="166" fontId="2" fillId="0" borderId="0" xfId="2" applyNumberFormat="1" applyAlignment="1">
      <alignment horizontal="center" vertical="center" wrapText="1"/>
    </xf>
    <xf numFmtId="0" fontId="2" fillId="0" borderId="0" xfId="2" applyAlignment="1">
      <alignment horizontal="center" vertical="center" wrapText="1"/>
    </xf>
    <xf numFmtId="0" fontId="44" fillId="21" borderId="0" xfId="2" applyFont="1" applyFill="1" applyAlignment="1">
      <alignment horizontal="center" vertical="center"/>
    </xf>
    <xf numFmtId="0" fontId="2" fillId="6" borderId="0" xfId="2" applyFill="1" applyAlignment="1">
      <alignment horizontal="center"/>
    </xf>
    <xf numFmtId="166" fontId="2" fillId="6" borderId="0" xfId="2" applyNumberFormat="1" applyFill="1" applyAlignment="1">
      <alignment horizontal="center"/>
    </xf>
    <xf numFmtId="0" fontId="2" fillId="27" borderId="0" xfId="2" applyFill="1" applyAlignment="1">
      <alignment horizontal="center"/>
    </xf>
    <xf numFmtId="0" fontId="2" fillId="22" borderId="0" xfId="2" applyFill="1" applyAlignment="1">
      <alignment wrapText="1"/>
    </xf>
    <xf numFmtId="166" fontId="20" fillId="6" borderId="1" xfId="0" applyNumberFormat="1" applyFont="1" applyFill="1" applyBorder="1" applyAlignment="1">
      <alignment horizontal="center" vertical="center"/>
    </xf>
    <xf numFmtId="0" fontId="20" fillId="4" borderId="1" xfId="0" applyFont="1" applyFill="1" applyBorder="1" applyAlignment="1">
      <alignment horizontal="center" vertical="center"/>
    </xf>
    <xf numFmtId="166" fontId="20" fillId="28" borderId="1" xfId="0" applyNumberFormat="1" applyFont="1" applyFill="1" applyBorder="1" applyAlignment="1">
      <alignment horizontal="center" vertical="center"/>
    </xf>
    <xf numFmtId="0" fontId="18" fillId="27" borderId="1" xfId="0" applyFont="1" applyFill="1" applyBorder="1" applyAlignment="1">
      <alignment horizontal="center" vertical="center"/>
    </xf>
    <xf numFmtId="0" fontId="19" fillId="30" borderId="1" xfId="0" applyFont="1" applyFill="1" applyBorder="1" applyAlignment="1">
      <alignment horizontal="left" vertical="center"/>
    </xf>
    <xf numFmtId="0" fontId="19" fillId="30" borderId="1" xfId="0" applyFont="1" applyFill="1" applyBorder="1" applyAlignment="1">
      <alignment horizontal="center" vertical="center"/>
    </xf>
    <xf numFmtId="2" fontId="19" fillId="30" borderId="1" xfId="0" applyNumberFormat="1" applyFont="1" applyFill="1" applyBorder="1" applyAlignment="1">
      <alignment horizontal="center" vertical="center"/>
    </xf>
    <xf numFmtId="0" fontId="18" fillId="8" borderId="1" xfId="0" applyFont="1" applyFill="1" applyBorder="1" applyAlignment="1">
      <alignment horizontal="left" vertical="center"/>
    </xf>
    <xf numFmtId="0" fontId="20" fillId="0" borderId="1" xfId="0" applyFont="1" applyBorder="1" applyAlignment="1">
      <alignment horizontal="left" vertical="center"/>
    </xf>
    <xf numFmtId="2" fontId="18" fillId="19" borderId="1" xfId="0" applyNumberFormat="1" applyFont="1" applyFill="1" applyBorder="1" applyAlignment="1">
      <alignment horizontal="center" vertical="center"/>
    </xf>
    <xf numFmtId="1" fontId="20" fillId="28" borderId="1" xfId="0" applyNumberFormat="1" applyFont="1" applyFill="1" applyBorder="1" applyAlignment="1">
      <alignment horizontal="center" vertical="center"/>
    </xf>
    <xf numFmtId="1" fontId="20" fillId="6" borderId="1" xfId="0" applyNumberFormat="1" applyFont="1" applyFill="1" applyBorder="1" applyAlignment="1">
      <alignment horizontal="center" vertical="center"/>
    </xf>
    <xf numFmtId="1" fontId="19" fillId="30" borderId="1" xfId="0" applyNumberFormat="1" applyFont="1" applyFill="1" applyBorder="1" applyAlignment="1">
      <alignment horizontal="center" vertical="center"/>
    </xf>
    <xf numFmtId="2" fontId="20" fillId="0" borderId="1" xfId="0" applyNumberFormat="1" applyFont="1" applyBorder="1" applyAlignment="1">
      <alignment horizontal="center" vertical="center"/>
    </xf>
    <xf numFmtId="0" fontId="19" fillId="30" borderId="1" xfId="0" applyFont="1" applyFill="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2" fontId="20" fillId="31" borderId="1" xfId="0" applyNumberFormat="1" applyFont="1" applyFill="1" applyBorder="1" applyAlignment="1">
      <alignment horizontal="center" vertical="center"/>
    </xf>
    <xf numFmtId="164" fontId="20" fillId="28" borderId="1" xfId="0" applyNumberFormat="1" applyFont="1" applyFill="1" applyBorder="1" applyAlignment="1">
      <alignment horizontal="center" vertical="center"/>
    </xf>
    <xf numFmtId="164" fontId="20" fillId="31" borderId="1" xfId="0" applyNumberFormat="1" applyFont="1" applyFill="1" applyBorder="1" applyAlignment="1">
      <alignment horizontal="center" vertical="center"/>
    </xf>
    <xf numFmtId="166" fontId="20" fillId="31" borderId="1" xfId="0" applyNumberFormat="1" applyFont="1" applyFill="1" applyBorder="1" applyAlignment="1">
      <alignment horizontal="center" vertical="center"/>
    </xf>
    <xf numFmtId="164" fontId="2" fillId="6" borderId="0" xfId="2" applyNumberFormat="1" applyFill="1" applyAlignment="1">
      <alignment horizontal="center"/>
    </xf>
    <xf numFmtId="17" fontId="16" fillId="0" borderId="0" xfId="0" applyNumberFormat="1" applyFont="1" applyAlignment="1">
      <alignment horizontal="left" vertical="center" wrapText="1"/>
    </xf>
    <xf numFmtId="0" fontId="13" fillId="12" borderId="1"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6" fillId="2" borderId="1" xfId="0" applyFont="1" applyFill="1" applyBorder="1" applyAlignment="1">
      <alignment horizontal="left" vertical="center" wrapText="1"/>
    </xf>
    <xf numFmtId="17" fontId="6" fillId="2" borderId="1" xfId="0" applyNumberFormat="1" applyFont="1" applyFill="1" applyBorder="1" applyAlignment="1">
      <alignment horizontal="left" vertical="center" wrapText="1"/>
    </xf>
    <xf numFmtId="0" fontId="4" fillId="3" borderId="1" xfId="0" applyFont="1" applyFill="1" applyBorder="1" applyAlignment="1">
      <alignment horizontal="center" vertical="center" wrapText="1"/>
    </xf>
    <xf numFmtId="2" fontId="8" fillId="2" borderId="1" xfId="0" applyNumberFormat="1" applyFont="1" applyFill="1" applyBorder="1" applyAlignment="1">
      <alignment horizontal="right" vertical="center" wrapText="1"/>
    </xf>
    <xf numFmtId="2" fontId="9" fillId="0" borderId="1" xfId="0" applyNumberFormat="1" applyFont="1" applyBorder="1" applyAlignment="1">
      <alignment horizontal="right" vertical="center" wrapText="1"/>
    </xf>
    <xf numFmtId="49" fontId="8" fillId="8" borderId="1" xfId="0" applyNumberFormat="1" applyFont="1" applyFill="1" applyBorder="1" applyAlignment="1">
      <alignment vertical="center" wrapText="1"/>
    </xf>
    <xf numFmtId="49" fontId="8" fillId="5" borderId="1" xfId="0" applyNumberFormat="1" applyFont="1" applyFill="1" applyBorder="1" applyAlignment="1">
      <alignment horizontal="left" vertical="center" wrapText="1"/>
    </xf>
    <xf numFmtId="49" fontId="8" fillId="5" borderId="1" xfId="0" applyNumberFormat="1" applyFont="1" applyFill="1" applyBorder="1" applyAlignment="1">
      <alignment vertical="center" wrapText="1"/>
    </xf>
    <xf numFmtId="2" fontId="14" fillId="2" borderId="13"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2" fontId="14" fillId="2" borderId="20" xfId="0" applyNumberFormat="1" applyFont="1" applyFill="1" applyBorder="1" applyAlignment="1">
      <alignment horizontal="center" vertical="center" wrapText="1"/>
    </xf>
    <xf numFmtId="0" fontId="14" fillId="2" borderId="10" xfId="0" applyFont="1" applyFill="1" applyBorder="1" applyAlignment="1">
      <alignment horizontal="center" vertical="center" wrapText="1"/>
    </xf>
    <xf numFmtId="2" fontId="14" fillId="2" borderId="12" xfId="0" applyNumberFormat="1" applyFont="1" applyFill="1" applyBorder="1" applyAlignment="1">
      <alignment horizontal="center" vertical="center" wrapText="1"/>
    </xf>
    <xf numFmtId="0" fontId="13" fillId="12" borderId="6"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14" fillId="13" borderId="19"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2" fontId="14" fillId="2" borderId="1" xfId="0" applyNumberFormat="1"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14" fillId="13" borderId="6" xfId="0" applyFont="1" applyFill="1" applyBorder="1" applyAlignment="1">
      <alignment horizontal="center" vertical="center" wrapText="1"/>
    </xf>
    <xf numFmtId="0" fontId="14" fillId="2" borderId="17" xfId="0"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0" fontId="13" fillId="12" borderId="1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12" borderId="5" xfId="0" applyFont="1" applyFill="1" applyBorder="1" applyAlignment="1">
      <alignment horizontal="center" vertical="center"/>
    </xf>
    <xf numFmtId="2" fontId="3" fillId="0" borderId="1" xfId="0" applyNumberFormat="1" applyFont="1" applyBorder="1" applyAlignment="1">
      <alignment horizontal="center" vertical="center" wrapText="1"/>
    </xf>
    <xf numFmtId="2" fontId="14" fillId="0" borderId="1" xfId="0" applyNumberFormat="1" applyFont="1" applyBorder="1" applyAlignment="1">
      <alignment horizontal="center" vertical="center" wrapText="1"/>
    </xf>
    <xf numFmtId="164" fontId="14" fillId="0" borderId="1" xfId="0" applyNumberFormat="1" applyFont="1" applyBorder="1" applyAlignment="1">
      <alignment horizontal="center" vertical="center" wrapText="1"/>
    </xf>
    <xf numFmtId="164" fontId="14" fillId="16" borderId="1" xfId="0" applyNumberFormat="1" applyFont="1" applyFill="1" applyBorder="1" applyAlignment="1">
      <alignment horizontal="center" vertical="center" wrapText="1"/>
    </xf>
    <xf numFmtId="164" fontId="14" fillId="17" borderId="1" xfId="0" applyNumberFormat="1"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9" fillId="2" borderId="1" xfId="0" applyFont="1" applyFill="1" applyBorder="1" applyAlignment="1">
      <alignment horizontal="left" vertical="center" wrapText="1"/>
    </xf>
    <xf numFmtId="17" fontId="9" fillId="2" borderId="1" xfId="0" applyNumberFormat="1" applyFont="1" applyFill="1" applyBorder="1" applyAlignment="1">
      <alignment horizontal="left" vertical="center" wrapText="1"/>
    </xf>
    <xf numFmtId="0" fontId="13" fillId="3" borderId="22"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19" fillId="21" borderId="1" xfId="0" applyFont="1" applyFill="1" applyBorder="1" applyAlignment="1">
      <alignment horizontal="left" vertical="center"/>
    </xf>
    <xf numFmtId="0" fontId="18" fillId="8"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22" fillId="3" borderId="0" xfId="0" applyFont="1" applyFill="1" applyAlignment="1">
      <alignment horizontal="center" vertical="center" wrapText="1"/>
    </xf>
    <xf numFmtId="0" fontId="6" fillId="0" borderId="1" xfId="0" applyFont="1" applyBorder="1" applyAlignment="1">
      <alignment vertical="center" wrapText="1"/>
    </xf>
    <xf numFmtId="17" fontId="6" fillId="0" borderId="1" xfId="0" applyNumberFormat="1" applyFont="1" applyBorder="1" applyAlignment="1">
      <alignment horizontal="left" vertical="center" wrapText="1"/>
    </xf>
    <xf numFmtId="2" fontId="22" fillId="29" borderId="1" xfId="2" applyNumberFormat="1" applyFont="1" applyFill="1" applyBorder="1" applyAlignment="1">
      <alignment horizontal="center" vertical="center"/>
    </xf>
    <xf numFmtId="0" fontId="29" fillId="21" borderId="1" xfId="2" applyFont="1" applyFill="1" applyBorder="1" applyAlignment="1">
      <alignment horizontal="center" vertical="center"/>
    </xf>
    <xf numFmtId="0" fontId="30" fillId="23" borderId="1" xfId="2" applyFont="1" applyFill="1" applyBorder="1" applyAlignment="1">
      <alignment horizontal="center" vertical="center" wrapText="1"/>
    </xf>
    <xf numFmtId="0" fontId="30" fillId="24" borderId="1" xfId="2" applyFont="1" applyFill="1" applyBorder="1" applyAlignment="1">
      <alignment horizontal="center" vertical="center" wrapText="1"/>
    </xf>
    <xf numFmtId="0" fontId="30" fillId="25" borderId="1" xfId="2" applyFont="1" applyFill="1" applyBorder="1" applyAlignment="1">
      <alignment horizontal="center" vertical="center" wrapText="1"/>
    </xf>
    <xf numFmtId="0" fontId="30" fillId="22" borderId="1" xfId="2" applyFont="1" applyFill="1" applyBorder="1" applyAlignment="1">
      <alignment horizontal="center" vertical="center" wrapText="1"/>
    </xf>
    <xf numFmtId="0" fontId="26" fillId="3"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17" fontId="28" fillId="2" borderId="1" xfId="0" applyNumberFormat="1" applyFont="1" applyFill="1" applyBorder="1" applyAlignment="1">
      <alignment horizontal="left" vertical="center" wrapText="1"/>
    </xf>
    <xf numFmtId="0" fontId="5" fillId="4" borderId="1" xfId="2" applyFont="1" applyFill="1" applyBorder="1" applyAlignment="1">
      <alignment vertical="center"/>
    </xf>
    <xf numFmtId="0" fontId="6" fillId="2" borderId="1" xfId="2" applyFont="1" applyFill="1" applyBorder="1" applyAlignment="1">
      <alignment horizontal="left" vertical="center" wrapText="1"/>
    </xf>
    <xf numFmtId="17" fontId="6" fillId="2" borderId="1" xfId="2" applyNumberFormat="1" applyFont="1" applyFill="1" applyBorder="1" applyAlignment="1">
      <alignment horizontal="left" vertical="center" wrapText="1"/>
    </xf>
    <xf numFmtId="2" fontId="22" fillId="30" borderId="0" xfId="2" applyNumberFormat="1" applyFont="1" applyFill="1" applyAlignment="1">
      <alignment horizontal="center" vertical="center"/>
    </xf>
    <xf numFmtId="0" fontId="29" fillId="3" borderId="1" xfId="2" applyFont="1" applyFill="1" applyBorder="1" applyAlignment="1">
      <alignment horizontal="center" vertical="center"/>
    </xf>
    <xf numFmtId="0" fontId="25" fillId="3" borderId="1" xfId="2" applyFont="1" applyFill="1" applyBorder="1" applyAlignment="1">
      <alignment horizontal="center" vertical="center"/>
    </xf>
    <xf numFmtId="0" fontId="24" fillId="0" borderId="1" xfId="2" applyFont="1" applyBorder="1" applyAlignment="1">
      <alignment horizontal="left" vertical="center" wrapText="1"/>
    </xf>
    <xf numFmtId="2" fontId="25" fillId="30" borderId="0" xfId="2" applyNumberFormat="1" applyFont="1" applyFill="1" applyAlignment="1">
      <alignment horizontal="center" vertical="center"/>
    </xf>
    <xf numFmtId="0" fontId="29" fillId="3" borderId="0" xfId="2" applyFont="1" applyFill="1" applyAlignment="1">
      <alignment horizontal="center" vertical="center"/>
    </xf>
    <xf numFmtId="0" fontId="31" fillId="0" borderId="1" xfId="2" applyFont="1" applyBorder="1" applyAlignment="1">
      <alignment horizontal="left" vertical="center" wrapText="1"/>
    </xf>
    <xf numFmtId="0" fontId="24" fillId="0" borderId="1" xfId="3" applyFont="1" applyBorder="1" applyAlignment="1">
      <alignment horizontal="center" vertical="center" wrapText="1"/>
    </xf>
    <xf numFmtId="0" fontId="10" fillId="0" borderId="0" xfId="3" applyFont="1" applyAlignment="1">
      <alignment horizontal="center" vertical="center" wrapText="1"/>
    </xf>
    <xf numFmtId="0" fontId="7" fillId="3" borderId="0" xfId="3" applyFont="1" applyFill="1" applyAlignment="1">
      <alignment horizontal="center" vertical="center" wrapText="1"/>
    </xf>
    <xf numFmtId="0" fontId="9" fillId="0" borderId="1" xfId="3" applyFont="1" applyBorder="1" applyAlignment="1">
      <alignment horizontal="left" vertical="center" wrapText="1"/>
    </xf>
    <xf numFmtId="17" fontId="9" fillId="0" borderId="1" xfId="3" applyNumberFormat="1" applyFont="1" applyBorder="1" applyAlignment="1">
      <alignment horizontal="left" vertical="center" wrapText="1"/>
    </xf>
    <xf numFmtId="0" fontId="24" fillId="0" borderId="0" xfId="2" applyFont="1" applyAlignment="1">
      <alignment horizontal="left" wrapText="1"/>
    </xf>
    <xf numFmtId="2" fontId="25" fillId="30" borderId="0" xfId="2" applyNumberFormat="1" applyFont="1" applyFill="1" applyAlignment="1">
      <alignment horizontal="center" vertical="center" wrapText="1"/>
    </xf>
    <xf numFmtId="0" fontId="35" fillId="0" borderId="0" xfId="2" applyFont="1" applyAlignment="1">
      <alignment horizontal="left" wrapText="1"/>
    </xf>
    <xf numFmtId="0" fontId="7" fillId="21" borderId="1" xfId="2" applyFont="1" applyFill="1" applyBorder="1" applyAlignment="1">
      <alignment horizontal="center" vertical="center" wrapText="1"/>
    </xf>
    <xf numFmtId="0" fontId="29" fillId="3" borderId="21" xfId="2" applyFont="1" applyFill="1" applyBorder="1" applyAlignment="1">
      <alignment horizontal="center" vertical="center"/>
    </xf>
    <xf numFmtId="17" fontId="9" fillId="0" borderId="1" xfId="2" applyNumberFormat="1" applyFont="1" applyBorder="1" applyAlignment="1">
      <alignment horizontal="left"/>
    </xf>
    <xf numFmtId="0" fontId="43" fillId="0" borderId="0" xfId="0" applyFont="1" applyAlignment="1">
      <alignment horizontal="left" vertical="center" wrapText="1"/>
    </xf>
    <xf numFmtId="0" fontId="40" fillId="0" borderId="1" xfId="0" applyFont="1" applyBorder="1" applyAlignment="1">
      <alignment horizontal="center" vertical="center"/>
    </xf>
    <xf numFmtId="0" fontId="41" fillId="0" borderId="1" xfId="0" applyFont="1" applyBorder="1" applyAlignment="1">
      <alignment horizontal="left" vertical="center" wrapText="1"/>
    </xf>
    <xf numFmtId="17" fontId="41" fillId="0" borderId="1" xfId="0" applyNumberFormat="1" applyFont="1" applyBorder="1" applyAlignment="1">
      <alignment horizontal="left" vertical="center" wrapText="1"/>
    </xf>
    <xf numFmtId="0" fontId="18" fillId="8" borderId="1" xfId="0" applyFont="1" applyFill="1" applyBorder="1" applyAlignment="1">
      <alignment horizontal="left" vertical="center" wrapText="1"/>
    </xf>
    <xf numFmtId="0" fontId="39" fillId="3" borderId="1" xfId="0" applyFont="1" applyFill="1" applyBorder="1" applyAlignment="1">
      <alignment horizontal="center" vertical="center" wrapText="1"/>
    </xf>
    <xf numFmtId="0" fontId="44" fillId="21" borderId="0" xfId="2" applyFont="1" applyFill="1" applyAlignment="1">
      <alignment horizontal="center" vertical="center" wrapText="1"/>
    </xf>
    <xf numFmtId="0" fontId="46" fillId="29" borderId="0" xfId="2" applyFont="1" applyFill="1" applyAlignment="1">
      <alignment horizontal="center" vertical="center"/>
    </xf>
    <xf numFmtId="0" fontId="45" fillId="19" borderId="0" xfId="2" applyFont="1" applyFill="1" applyAlignment="1">
      <alignment horizontal="center"/>
    </xf>
    <xf numFmtId="0" fontId="2" fillId="4" borderId="0" xfId="2" applyFill="1" applyAlignment="1">
      <alignment wrapText="1"/>
    </xf>
    <xf numFmtId="0" fontId="20" fillId="0" borderId="1" xfId="0" applyFont="1" applyBorder="1" applyAlignment="1">
      <alignment horizontal="left" vertical="center"/>
    </xf>
    <xf numFmtId="0" fontId="18" fillId="8" borderId="1" xfId="0" applyFont="1" applyFill="1" applyBorder="1" applyAlignment="1">
      <alignment horizontal="left" vertical="center"/>
    </xf>
    <xf numFmtId="0" fontId="19" fillId="30" borderId="1" xfId="0" applyFont="1" applyFill="1" applyBorder="1" applyAlignment="1">
      <alignment horizontal="center" vertical="center"/>
    </xf>
    <xf numFmtId="2" fontId="19" fillId="30" borderId="1" xfId="0" applyNumberFormat="1" applyFont="1" applyFill="1" applyBorder="1" applyAlignment="1">
      <alignment horizontal="center" vertical="center"/>
    </xf>
    <xf numFmtId="0" fontId="20" fillId="4" borderId="1" xfId="0" applyFont="1" applyFill="1" applyBorder="1" applyAlignment="1">
      <alignment horizontal="center" vertical="center"/>
    </xf>
    <xf numFmtId="0" fontId="45" fillId="8" borderId="0" xfId="2" applyFont="1" applyFill="1" applyAlignment="1">
      <alignment horizontal="center" vertical="center" wrapText="1"/>
    </xf>
    <xf numFmtId="0" fontId="0" fillId="0" borderId="0" xfId="0"/>
    <xf numFmtId="2" fontId="20" fillId="28" borderId="1" xfId="0" applyNumberFormat="1" applyFont="1" applyFill="1" applyBorder="1" applyAlignment="1">
      <alignment horizontal="center" vertical="center"/>
    </xf>
  </cellXfs>
  <cellStyles count="4">
    <cellStyle name="Normal" xfId="0" builtinId="0"/>
    <cellStyle name="Normal 2" xfId="1" xr:uid="{00000000-0005-0000-0000-000006000000}"/>
    <cellStyle name="Normal 3" xfId="2" xr:uid="{00000000-0005-0000-0000-000007000000}"/>
    <cellStyle name="Normal 4" xfId="3" xr:uid="{00000000-0005-0000-0000-000008000000}"/>
  </cellStyles>
  <dxfs count="12">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
      <font>
        <color rgb="FF7F7F7F"/>
      </font>
      <fill>
        <patternFill>
          <bgColor rgb="FFF2F2F2"/>
        </patternFill>
      </fill>
    </dxf>
    <dxf>
      <font>
        <b/>
        <color rgb="FF7F6000"/>
      </font>
      <fill>
        <patternFill>
          <bgColor rgb="FFFFF2CC"/>
        </patternFill>
      </fill>
    </dxf>
    <dxf>
      <font>
        <b/>
        <color rgb="FF385723"/>
      </font>
      <fill>
        <patternFill>
          <bgColor rgb="FFE2F0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EAF4FB"/>
      <rgbColor rgb="FF800000"/>
      <rgbColor rgb="FF008000"/>
      <rgbColor rgb="FF000080"/>
      <rgbColor rgb="FF7F6000"/>
      <rgbColor rgb="FF800080"/>
      <rgbColor rgb="FF1F4E78"/>
      <rgbColor rgb="FFBFBFBF"/>
      <rgbColor rgb="FF7F7F7F"/>
      <rgbColor rgb="FF5B9BD5"/>
      <rgbColor rgb="FF993366"/>
      <rgbColor rgb="FFFCF6E0"/>
      <rgbColor rgb="FFD9EAF7"/>
      <rgbColor rgb="FF660066"/>
      <rgbColor rgb="FFDEEBF7"/>
      <rgbColor rgb="FF0070C0"/>
      <rgbColor rgb="FFD9D9D9"/>
      <rgbColor rgb="FF000080"/>
      <rgbColor rgb="FFFF00FF"/>
      <rgbColor rgb="FFFBECC9"/>
      <rgbColor rgb="FFF0F7E8"/>
      <rgbColor rgb="FF800080"/>
      <rgbColor rgb="FF800000"/>
      <rgbColor rgb="FF008080"/>
      <rgbColor rgb="FF0000FF"/>
      <rgbColor rgb="FF00CCFF"/>
      <rgbColor rgb="FFDDEBF7"/>
      <rgbColor rgb="FFE2F0D9"/>
      <rgbColor rgb="FFFFE699"/>
      <rgbColor rgb="FFC5E0B4"/>
      <rgbColor rgb="FFD9E1F2"/>
      <rgbColor rgb="FFE4DFEC"/>
      <rgbColor rgb="FFF4B183"/>
      <rgbColor rgb="FF3366FF"/>
      <rgbColor rgb="FFEAF3F8"/>
      <rgbColor rgb="FF92D050"/>
      <rgbColor rgb="FFFFF2CC"/>
      <rgbColor rgb="FFF2F2F2"/>
      <rgbColor rgb="FFFF6600"/>
      <rgbColor rgb="FF2F5597"/>
      <rgbColor rgb="FFAFABAB"/>
      <rgbColor rgb="FF17365D"/>
      <rgbColor rgb="FF339966"/>
      <rgbColor rgb="FF0B1F2A"/>
      <rgbColor rgb="FF385723"/>
      <rgbColor rgb="FF993300"/>
      <rgbColor rgb="FF993366"/>
      <rgbColor rgb="FF305496"/>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DrenajePisoSumideros" displayName="TablaDrenajePisoSumideros" ref="A7:G11" totalsRowShown="0">
  <tableColumns count="7">
    <tableColumn id="1" xr3:uid="{00000000-0010-0000-0000-000001000000}" name="SECTOR"/>
    <tableColumn id="2" xr3:uid="{00000000-0010-0000-0000-000002000000}" name="TUBERÍA 4&quot; PVC-U_x000a_Desagüe Clase Pesada (m)"/>
    <tableColumn id="3" xr3:uid="{00000000-0010-0000-0000-000003000000}" name="SUMIDERO DE 4&quot;_x000a_(und)"/>
    <tableColumn id="4" xr3:uid="{00000000-0010-0000-0000-000004000000}" name="CODO 90° x 4&quot;_x000a_(und)"/>
    <tableColumn id="5" xr3:uid="{00000000-0010-0000-0000-000005000000}" name="CODO 45° x 4&quot;_x000a_(und)"/>
    <tableColumn id="6" xr3:uid="{00000000-0010-0000-0000-000006000000}" name="TEE° x 4&quot;_x000a_(und)"/>
    <tableColumn id="7" xr3:uid="{00000000-0010-0000-0000-000007000000}" name="OBSERVACIÓN"/>
  </tableColumns>
  <tableStyleInfo showFirstColumn="0" showLastColumn="0" showRowStripes="1" showColumnStripes="0"/>
</table>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opLeftCell="A13" zoomScale="130" zoomScaleNormal="130" zoomScalePageLayoutView="130" workbookViewId="0">
      <selection activeCell="B41" sqref="B41"/>
    </sheetView>
  </sheetViews>
  <sheetFormatPr baseColWidth="10" defaultColWidth="11.54296875" defaultRowHeight="15.5" x14ac:dyDescent="0.35"/>
  <cols>
    <col min="1" max="1" width="18.08984375" style="4" customWidth="1"/>
    <col min="2" max="2" width="74.08984375" style="4" customWidth="1"/>
    <col min="3" max="3" width="19.36328125" style="5" customWidth="1"/>
    <col min="4" max="4" width="21.54296875" style="5" customWidth="1"/>
    <col min="5" max="16384" width="11.54296875" style="4"/>
  </cols>
  <sheetData>
    <row r="1" spans="1:5" ht="15" customHeight="1" x14ac:dyDescent="0.35">
      <c r="A1" s="6"/>
      <c r="B1" s="7"/>
      <c r="C1" s="7"/>
      <c r="D1" s="7"/>
      <c r="E1" s="6"/>
    </row>
    <row r="2" spans="1:5" ht="22.5" customHeight="1" x14ac:dyDescent="0.35">
      <c r="A2" s="238" t="s">
        <v>0</v>
      </c>
      <c r="B2" s="238"/>
      <c r="C2" s="238"/>
      <c r="D2" s="238"/>
    </row>
    <row r="3" spans="1:5" ht="4.5" hidden="1" customHeight="1" x14ac:dyDescent="0.35">
      <c r="A3" s="8"/>
      <c r="B3" s="8"/>
      <c r="C3" s="8"/>
      <c r="D3" s="8"/>
    </row>
    <row r="4" spans="1:5" ht="21" customHeight="1" x14ac:dyDescent="0.35">
      <c r="A4" s="9" t="s">
        <v>1</v>
      </c>
      <c r="B4" s="236" t="s">
        <v>2</v>
      </c>
      <c r="C4" s="236"/>
      <c r="D4" s="236"/>
    </row>
    <row r="5" spans="1:5" ht="79.5" customHeight="1" x14ac:dyDescent="0.35">
      <c r="A5" s="10" t="s">
        <v>3</v>
      </c>
      <c r="B5" s="236" t="s">
        <v>4</v>
      </c>
      <c r="C5" s="236"/>
      <c r="D5" s="236"/>
    </row>
    <row r="6" spans="1:5" ht="18" customHeight="1" x14ac:dyDescent="0.35">
      <c r="A6" s="9" t="s">
        <v>5</v>
      </c>
      <c r="B6" s="236" t="s">
        <v>6</v>
      </c>
      <c r="C6" s="236"/>
      <c r="D6" s="236"/>
    </row>
    <row r="7" spans="1:5" ht="24.75" customHeight="1" x14ac:dyDescent="0.35">
      <c r="A7" s="9" t="s">
        <v>7</v>
      </c>
      <c r="B7" s="237">
        <v>46266</v>
      </c>
      <c r="C7" s="237"/>
      <c r="D7" s="237"/>
    </row>
    <row r="8" spans="1:5" x14ac:dyDescent="0.35">
      <c r="A8" s="11" t="s">
        <v>8</v>
      </c>
      <c r="B8" s="11" t="s">
        <v>9</v>
      </c>
      <c r="C8" s="11" t="s">
        <v>10</v>
      </c>
      <c r="D8" s="11" t="s">
        <v>11</v>
      </c>
    </row>
    <row r="9" spans="1:5" x14ac:dyDescent="0.35">
      <c r="A9" s="12" t="s">
        <v>12</v>
      </c>
      <c r="B9" s="12" t="s">
        <v>13</v>
      </c>
      <c r="C9" s="12"/>
      <c r="D9" s="12"/>
    </row>
    <row r="10" spans="1:5" x14ac:dyDescent="0.35">
      <c r="A10" s="12" t="s">
        <v>14</v>
      </c>
      <c r="B10" s="12" t="s">
        <v>15</v>
      </c>
      <c r="C10" s="12"/>
      <c r="D10" s="12"/>
    </row>
    <row r="11" spans="1:5" x14ac:dyDescent="0.35">
      <c r="A11" s="13" t="s">
        <v>16</v>
      </c>
      <c r="B11" s="14" t="s">
        <v>17</v>
      </c>
      <c r="C11" s="15" t="s">
        <v>18</v>
      </c>
      <c r="D11" s="16">
        <f>+'PLANILLA GENERAL DE METRADOS'!K11</f>
        <v>753.53599999999983</v>
      </c>
    </row>
    <row r="12" spans="1:5" x14ac:dyDescent="0.35">
      <c r="A12" s="13" t="s">
        <v>19</v>
      </c>
      <c r="B12" s="13" t="s">
        <v>20</v>
      </c>
      <c r="C12" s="15" t="s">
        <v>18</v>
      </c>
      <c r="D12" s="16">
        <f>+'PLANILLA GENERAL DE METRADOS'!K21</f>
        <v>753.53599999999983</v>
      </c>
    </row>
    <row r="13" spans="1:5" x14ac:dyDescent="0.35">
      <c r="A13" s="12" t="s">
        <v>21</v>
      </c>
      <c r="B13" s="12" t="s">
        <v>22</v>
      </c>
      <c r="C13" s="17"/>
      <c r="D13" s="18"/>
    </row>
    <row r="14" spans="1:5" x14ac:dyDescent="0.35">
      <c r="A14" s="13" t="s">
        <v>23</v>
      </c>
      <c r="B14" s="13" t="s">
        <v>24</v>
      </c>
      <c r="C14" s="15" t="s">
        <v>25</v>
      </c>
      <c r="D14" s="16">
        <f>+'PLANILLA GENERAL DE METRADOS'!K32</f>
        <v>513.90863999999999</v>
      </c>
    </row>
    <row r="15" spans="1:5" x14ac:dyDescent="0.35">
      <c r="A15" s="13" t="s">
        <v>26</v>
      </c>
      <c r="B15" s="13" t="s">
        <v>27</v>
      </c>
      <c r="C15" s="15" t="s">
        <v>25</v>
      </c>
      <c r="D15" s="16">
        <f>+'PLANILLA GENERAL DE METRADOS'!K42</f>
        <v>3.1359999999999997</v>
      </c>
    </row>
    <row r="16" spans="1:5" x14ac:dyDescent="0.35">
      <c r="A16" s="13" t="s">
        <v>28</v>
      </c>
      <c r="B16" s="13" t="s">
        <v>29</v>
      </c>
      <c r="C16" s="15" t="s">
        <v>18</v>
      </c>
      <c r="D16" s="16">
        <f>+'PLANILLA GENERAL DE METRADOS'!K45</f>
        <v>322.94400000000002</v>
      </c>
    </row>
    <row r="17" spans="1:7" x14ac:dyDescent="0.35">
      <c r="A17" s="13" t="s">
        <v>30</v>
      </c>
      <c r="B17" s="13" t="s">
        <v>749</v>
      </c>
      <c r="C17" s="15" t="s">
        <v>25</v>
      </c>
      <c r="D17" s="16">
        <f>+'PLANILLA GENERAL DE METRADOS'!K55</f>
        <v>293.66208000000006</v>
      </c>
    </row>
    <row r="18" spans="1:7" x14ac:dyDescent="0.35">
      <c r="A18" s="13" t="s">
        <v>31</v>
      </c>
      <c r="B18" s="13" t="s">
        <v>750</v>
      </c>
      <c r="C18" s="15" t="s">
        <v>25</v>
      </c>
      <c r="D18" s="16">
        <f>+'PLANILLA GENERAL DE METRADOS'!K65</f>
        <v>264.29587199999992</v>
      </c>
    </row>
    <row r="19" spans="1:7" x14ac:dyDescent="0.35">
      <c r="A19" s="12" t="s">
        <v>32</v>
      </c>
      <c r="B19" s="12" t="s">
        <v>33</v>
      </c>
      <c r="C19" s="17"/>
      <c r="D19" s="18"/>
    </row>
    <row r="20" spans="1:7" x14ac:dyDescent="0.35">
      <c r="A20" s="13" t="s">
        <v>34</v>
      </c>
      <c r="B20" s="13" t="s">
        <v>35</v>
      </c>
      <c r="C20" s="15" t="s">
        <v>18</v>
      </c>
      <c r="D20" s="16">
        <f>+'PLANILLA GENERAL DE METRADOS'!K69</f>
        <v>322.94400000000002</v>
      </c>
    </row>
    <row r="21" spans="1:7" x14ac:dyDescent="0.35">
      <c r="A21" s="13" t="s">
        <v>36</v>
      </c>
      <c r="B21" s="13" t="s">
        <v>37</v>
      </c>
      <c r="C21" s="15" t="s">
        <v>25</v>
      </c>
      <c r="D21" s="16">
        <f>+'PLANILLA GENERAL DE METRADOS'!K79</f>
        <v>3.1359999999999997</v>
      </c>
    </row>
    <row r="22" spans="1:7" x14ac:dyDescent="0.35">
      <c r="A22" s="12" t="s">
        <v>38</v>
      </c>
      <c r="B22" s="12" t="s">
        <v>39</v>
      </c>
      <c r="C22" s="17"/>
      <c r="D22" s="18"/>
    </row>
    <row r="23" spans="1:7" x14ac:dyDescent="0.35">
      <c r="A23" s="13" t="s">
        <v>40</v>
      </c>
      <c r="B23" s="19" t="s">
        <v>41</v>
      </c>
      <c r="C23" s="15"/>
      <c r="D23" s="16"/>
    </row>
    <row r="24" spans="1:7" x14ac:dyDescent="0.35">
      <c r="A24" s="13" t="s">
        <v>42</v>
      </c>
      <c r="B24" s="13" t="s">
        <v>751</v>
      </c>
      <c r="C24" s="15" t="s">
        <v>25</v>
      </c>
      <c r="D24" s="16">
        <f>+'PLANILLA GENERAL DE METRADOS'!K83</f>
        <v>94.139800000000008</v>
      </c>
    </row>
    <row r="25" spans="1:7" x14ac:dyDescent="0.35">
      <c r="A25" s="13" t="s">
        <v>43</v>
      </c>
      <c r="B25" s="13" t="s">
        <v>752</v>
      </c>
      <c r="C25" s="15" t="s">
        <v>18</v>
      </c>
      <c r="D25" s="16">
        <f>+'PLANILLA GENERAL DE METRADOS'!K93</f>
        <v>1245.9159999999999</v>
      </c>
    </row>
    <row r="26" spans="1:7" x14ac:dyDescent="0.35">
      <c r="A26" s="13" t="s">
        <v>44</v>
      </c>
      <c r="B26" s="13" t="s">
        <v>45</v>
      </c>
      <c r="C26" s="15" t="s">
        <v>46</v>
      </c>
      <c r="D26" s="16">
        <f>+'PLANILLA GENERAL DE METRADOS'!K103</f>
        <v>3354.7297280000007</v>
      </c>
    </row>
    <row r="27" spans="1:7" x14ac:dyDescent="0.35">
      <c r="A27" s="13" t="s">
        <v>47</v>
      </c>
      <c r="B27" s="13" t="s">
        <v>48</v>
      </c>
      <c r="C27" s="15" t="s">
        <v>18</v>
      </c>
      <c r="D27" s="16">
        <f>+'METRADO DE CURADO'!M27</f>
        <v>801.58330000000001</v>
      </c>
    </row>
    <row r="28" spans="1:7" x14ac:dyDescent="0.35">
      <c r="A28" s="13" t="s">
        <v>49</v>
      </c>
      <c r="B28" s="19" t="s">
        <v>50</v>
      </c>
      <c r="C28" s="15"/>
      <c r="D28" s="16"/>
    </row>
    <row r="29" spans="1:7" x14ac:dyDescent="0.35">
      <c r="A29" s="13" t="s">
        <v>51</v>
      </c>
      <c r="B29" s="13" t="s">
        <v>150</v>
      </c>
      <c r="C29" s="15" t="s">
        <v>65</v>
      </c>
      <c r="D29" s="16">
        <f>+'PLANILLA GENERAL DE METRADOS'!K108</f>
        <v>373.85</v>
      </c>
    </row>
    <row r="30" spans="1:7" x14ac:dyDescent="0.35">
      <c r="A30" s="13" t="s">
        <v>53</v>
      </c>
      <c r="B30" s="13" t="s">
        <v>54</v>
      </c>
      <c r="C30" s="15" t="s">
        <v>55</v>
      </c>
      <c r="D30" s="16">
        <f>+'PLANILLA GENERAL DE METRADOS'!K109</f>
        <v>18</v>
      </c>
    </row>
    <row r="31" spans="1:7" x14ac:dyDescent="0.35">
      <c r="A31" s="13" t="s">
        <v>56</v>
      </c>
      <c r="B31" s="13" t="s">
        <v>57</v>
      </c>
      <c r="C31" s="15" t="s">
        <v>65</v>
      </c>
      <c r="D31" s="16">
        <f>+'PLANILLA GENERAL DE METRADOS'!K110</f>
        <v>252.28687634476802</v>
      </c>
    </row>
    <row r="32" spans="1:7" ht="31" x14ac:dyDescent="0.35">
      <c r="A32" s="13" t="s">
        <v>58</v>
      </c>
      <c r="B32" s="13" t="s">
        <v>59</v>
      </c>
      <c r="C32" s="15" t="s">
        <v>55</v>
      </c>
      <c r="D32" s="16">
        <f>+'PLANILLA GENERAL DE METRADOS'!K111</f>
        <v>226</v>
      </c>
      <c r="G32"/>
    </row>
    <row r="33" spans="1:4" x14ac:dyDescent="0.35">
      <c r="A33" s="12" t="s">
        <v>60</v>
      </c>
      <c r="B33" s="12" t="s">
        <v>61</v>
      </c>
      <c r="C33" s="17"/>
      <c r="D33" s="18"/>
    </row>
    <row r="34" spans="1:4" ht="18" customHeight="1" x14ac:dyDescent="0.35">
      <c r="A34" s="13" t="s">
        <v>62</v>
      </c>
      <c r="B34" s="19" t="s">
        <v>63</v>
      </c>
      <c r="C34" s="15"/>
      <c r="D34" s="16"/>
    </row>
    <row r="35" spans="1:4" ht="18" customHeight="1" x14ac:dyDescent="0.35">
      <c r="A35" s="13" t="s">
        <v>64</v>
      </c>
      <c r="B35" s="13" t="s">
        <v>151</v>
      </c>
      <c r="C35" s="15" t="s">
        <v>65</v>
      </c>
      <c r="D35" s="16">
        <f>+'PLANILLA GENERAL DE METRADOS'!K115</f>
        <v>408.01999999999987</v>
      </c>
    </row>
    <row r="36" spans="1:4" ht="18" customHeight="1" x14ac:dyDescent="0.35">
      <c r="A36" s="13" t="s">
        <v>66</v>
      </c>
      <c r="B36" s="13" t="s">
        <v>67</v>
      </c>
      <c r="C36" s="15" t="s">
        <v>55</v>
      </c>
      <c r="D36" s="16">
        <f>+'PLANILLA GENERAL DE METRADOS'!K116</f>
        <v>56</v>
      </c>
    </row>
    <row r="37" spans="1:4" ht="18" customHeight="1" x14ac:dyDescent="0.35">
      <c r="A37" s="20" t="s">
        <v>68</v>
      </c>
      <c r="B37" s="13" t="s">
        <v>69</v>
      </c>
      <c r="C37" s="15" t="s">
        <v>25</v>
      </c>
      <c r="D37" s="16">
        <f>+'PLANILLA GENERAL DE METRADOS'!K117</f>
        <v>2.1840000000000002</v>
      </c>
    </row>
    <row r="38" spans="1:4" x14ac:dyDescent="0.35">
      <c r="A38" s="20" t="s">
        <v>70</v>
      </c>
      <c r="B38" s="13" t="s">
        <v>71</v>
      </c>
      <c r="C38" s="15" t="s">
        <v>18</v>
      </c>
      <c r="D38" s="16">
        <f>+'PLANILLA GENERAL DE METRADOS'!K119</f>
        <v>36.4</v>
      </c>
    </row>
    <row r="39" spans="1:4" x14ac:dyDescent="0.35">
      <c r="A39" s="20" t="s">
        <v>72</v>
      </c>
      <c r="B39" s="13" t="s">
        <v>73</v>
      </c>
      <c r="C39" s="15" t="s">
        <v>46</v>
      </c>
      <c r="D39" s="16">
        <f>+'PLANILLA GENERAL DE METRADOS'!K122</f>
        <v>314.22720000000004</v>
      </c>
    </row>
    <row r="40" spans="1:4" ht="18" customHeight="1" x14ac:dyDescent="0.35">
      <c r="A40" s="13" t="s">
        <v>74</v>
      </c>
      <c r="B40" s="13" t="s">
        <v>75</v>
      </c>
      <c r="C40" s="15" t="s">
        <v>65</v>
      </c>
      <c r="D40" s="16">
        <f>+'PLANILLA GENERAL DE METRADOS'!K125</f>
        <v>523.15999999999985</v>
      </c>
    </row>
    <row r="41" spans="1:4" ht="18" customHeight="1" x14ac:dyDescent="0.35">
      <c r="A41" s="13" t="s">
        <v>76</v>
      </c>
      <c r="B41" s="13" t="s">
        <v>77</v>
      </c>
      <c r="C41" s="15" t="s">
        <v>55</v>
      </c>
      <c r="D41" s="16">
        <f>+'PLANILLA GENERAL DE METRADOS'!K126</f>
        <v>906</v>
      </c>
    </row>
    <row r="42" spans="1:4" ht="18" customHeight="1" x14ac:dyDescent="0.35">
      <c r="A42" s="13" t="s">
        <v>78</v>
      </c>
      <c r="B42" s="13" t="s">
        <v>79</v>
      </c>
      <c r="C42" s="15" t="s">
        <v>55</v>
      </c>
      <c r="D42" s="16">
        <f>+'PLANILLA GENERAL DE METRADOS'!K127</f>
        <v>44</v>
      </c>
    </row>
    <row r="43" spans="1:4" ht="31.5" customHeight="1" x14ac:dyDescent="0.35">
      <c r="A43" s="20" t="s">
        <v>80</v>
      </c>
      <c r="B43" s="13" t="s">
        <v>81</v>
      </c>
      <c r="C43" s="21" t="s">
        <v>55</v>
      </c>
      <c r="D43" s="16">
        <f>+'PLANILLA GENERAL DE METRADOS'!K128</f>
        <v>52</v>
      </c>
    </row>
    <row r="44" spans="1:4" x14ac:dyDescent="0.35">
      <c r="A44" s="13" t="s">
        <v>82</v>
      </c>
      <c r="B44" s="19" t="s">
        <v>83</v>
      </c>
      <c r="C44" s="15"/>
      <c r="D44" s="16"/>
    </row>
    <row r="45" spans="1:4" x14ac:dyDescent="0.35">
      <c r="A45" s="13" t="s">
        <v>84</v>
      </c>
      <c r="B45" s="13" t="s">
        <v>753</v>
      </c>
      <c r="C45" s="15" t="s">
        <v>65</v>
      </c>
      <c r="D45" s="16">
        <f>+'PLANILLA GENERAL DE METRADOS'!K131</f>
        <v>92.08</v>
      </c>
    </row>
    <row r="46" spans="1:4" x14ac:dyDescent="0.35">
      <c r="A46" s="13" t="s">
        <v>85</v>
      </c>
      <c r="B46" s="13" t="s">
        <v>86</v>
      </c>
      <c r="C46" s="15" t="s">
        <v>55</v>
      </c>
      <c r="D46" s="16">
        <f>+'PLANILLA GENERAL DE METRADOS'!K132</f>
        <v>16</v>
      </c>
    </row>
    <row r="47" spans="1:4" x14ac:dyDescent="0.35">
      <c r="A47" s="13" t="s">
        <v>87</v>
      </c>
      <c r="B47" s="13" t="s">
        <v>92</v>
      </c>
      <c r="C47" s="15" t="s">
        <v>55</v>
      </c>
      <c r="D47" s="16">
        <f>+'PLANILLA GENERAL DE METRADOS'!K133</f>
        <v>13</v>
      </c>
    </row>
    <row r="48" spans="1:4" x14ac:dyDescent="0.35">
      <c r="A48" s="13" t="s">
        <v>88</v>
      </c>
      <c r="B48" s="13" t="s">
        <v>754</v>
      </c>
      <c r="C48" s="15" t="s">
        <v>55</v>
      </c>
      <c r="D48" s="16">
        <f>+'PLANILLA GENERAL DE METRADOS'!K134</f>
        <v>3</v>
      </c>
    </row>
    <row r="49" spans="1:4" x14ac:dyDescent="0.35">
      <c r="A49" s="13" t="s">
        <v>89</v>
      </c>
      <c r="B49" s="19" t="s">
        <v>90</v>
      </c>
      <c r="C49" s="15"/>
      <c r="D49" s="16"/>
    </row>
    <row r="50" spans="1:4" x14ac:dyDescent="0.35">
      <c r="A50" s="13" t="s">
        <v>91</v>
      </c>
      <c r="B50" s="13" t="s">
        <v>92</v>
      </c>
      <c r="C50" s="15" t="s">
        <v>55</v>
      </c>
      <c r="D50" s="16">
        <f>+'PLANILLA GENERAL DE METRADOS'!K137</f>
        <v>168</v>
      </c>
    </row>
    <row r="51" spans="1:4" x14ac:dyDescent="0.35">
      <c r="A51" s="13" t="s">
        <v>93</v>
      </c>
      <c r="B51" s="13" t="s">
        <v>94</v>
      </c>
      <c r="C51" s="15" t="s">
        <v>55</v>
      </c>
      <c r="D51" s="16">
        <f>+'PLANILLA GENERAL DE METRADOS'!K138</f>
        <v>100</v>
      </c>
    </row>
    <row r="52" spans="1:4" x14ac:dyDescent="0.35">
      <c r="A52" s="13" t="s">
        <v>95</v>
      </c>
      <c r="B52" s="13" t="s">
        <v>96</v>
      </c>
      <c r="C52" s="15" t="s">
        <v>55</v>
      </c>
      <c r="D52" s="16">
        <f>+'PLANILLA GENERAL DE METRADOS'!K139</f>
        <v>80</v>
      </c>
    </row>
    <row r="53" spans="1:4" ht="30.75" customHeight="1" x14ac:dyDescent="0.35">
      <c r="A53" s="12" t="s">
        <v>97</v>
      </c>
      <c r="B53" s="12" t="s">
        <v>98</v>
      </c>
      <c r="C53" s="12"/>
      <c r="D53" s="12"/>
    </row>
    <row r="54" spans="1:4" x14ac:dyDescent="0.35">
      <c r="A54" s="12" t="s">
        <v>99</v>
      </c>
      <c r="B54" s="12" t="s">
        <v>15</v>
      </c>
      <c r="C54" s="12"/>
      <c r="D54" s="12"/>
    </row>
    <row r="55" spans="1:4" x14ac:dyDescent="0.35">
      <c r="A55" s="13" t="s">
        <v>100</v>
      </c>
      <c r="B55" s="14" t="s">
        <v>17</v>
      </c>
      <c r="C55" s="15" t="s">
        <v>18</v>
      </c>
      <c r="D55" s="16">
        <f>+'PLANILLA GENERAL DE METRADOS'!K143</f>
        <v>147.40599999999998</v>
      </c>
    </row>
    <row r="56" spans="1:4" x14ac:dyDescent="0.35">
      <c r="A56" s="13" t="s">
        <v>101</v>
      </c>
      <c r="B56" s="14" t="s">
        <v>20</v>
      </c>
      <c r="C56" s="15" t="s">
        <v>18</v>
      </c>
      <c r="D56" s="16">
        <f>+'PLANILLA GENERAL DE METRADOS'!K147</f>
        <v>147.40599999999998</v>
      </c>
    </row>
    <row r="57" spans="1:4" x14ac:dyDescent="0.35">
      <c r="A57" s="12" t="s">
        <v>102</v>
      </c>
      <c r="B57" s="12" t="s">
        <v>22</v>
      </c>
      <c r="C57" s="12"/>
      <c r="D57" s="12"/>
    </row>
    <row r="58" spans="1:4" x14ac:dyDescent="0.35">
      <c r="A58" s="13" t="s">
        <v>103</v>
      </c>
      <c r="B58" s="14" t="s">
        <v>755</v>
      </c>
      <c r="C58" s="15" t="s">
        <v>25</v>
      </c>
      <c r="D58" s="16">
        <f>+'PLANILLA GENERAL DE METRADOS'!K152</f>
        <v>130.62232399999999</v>
      </c>
    </row>
    <row r="59" spans="1:4" x14ac:dyDescent="0.35">
      <c r="A59" s="13" t="s">
        <v>104</v>
      </c>
      <c r="B59" s="14" t="s">
        <v>29</v>
      </c>
      <c r="C59" s="15" t="s">
        <v>18</v>
      </c>
      <c r="D59" s="16">
        <f>+'PLANILLA GENERAL DE METRADOS'!K156</f>
        <v>105.28999999999998</v>
      </c>
    </row>
    <row r="60" spans="1:4" ht="30.75" customHeight="1" x14ac:dyDescent="0.35">
      <c r="A60" s="20" t="s">
        <v>105</v>
      </c>
      <c r="B60" s="14" t="s">
        <v>749</v>
      </c>
      <c r="C60" s="15" t="s">
        <v>25</v>
      </c>
      <c r="D60" s="16">
        <f>+'PLANILLA GENERAL DE METRADOS'!K160</f>
        <v>91.51312999999999</v>
      </c>
    </row>
    <row r="61" spans="1:4" x14ac:dyDescent="0.35">
      <c r="A61" s="13" t="s">
        <v>106</v>
      </c>
      <c r="B61" s="14" t="s">
        <v>750</v>
      </c>
      <c r="C61" s="15" t="s">
        <v>25</v>
      </c>
      <c r="D61" s="16">
        <f>+'PLANILLA GENERAL DE METRADOS'!K167</f>
        <v>46.931032800000004</v>
      </c>
    </row>
    <row r="62" spans="1:4" x14ac:dyDescent="0.35">
      <c r="A62" s="12" t="s">
        <v>107</v>
      </c>
      <c r="B62" s="12" t="s">
        <v>33</v>
      </c>
      <c r="C62" s="12"/>
      <c r="D62" s="12"/>
    </row>
    <row r="63" spans="1:4" x14ac:dyDescent="0.35">
      <c r="A63" s="13" t="s">
        <v>108</v>
      </c>
      <c r="B63" s="14" t="s">
        <v>756</v>
      </c>
      <c r="C63" s="15" t="s">
        <v>18</v>
      </c>
      <c r="D63" s="16">
        <f>+'PLANILLA GENERAL DE METRADOS'!K171</f>
        <v>105.28999999999998</v>
      </c>
    </row>
    <row r="64" spans="1:4" x14ac:dyDescent="0.35">
      <c r="A64" s="12" t="s">
        <v>109</v>
      </c>
      <c r="B64" s="12" t="s">
        <v>110</v>
      </c>
      <c r="C64" s="12"/>
      <c r="D64" s="12"/>
    </row>
    <row r="65" spans="1:4" x14ac:dyDescent="0.35">
      <c r="A65" s="13" t="s">
        <v>111</v>
      </c>
      <c r="B65" s="14" t="s">
        <v>757</v>
      </c>
      <c r="C65" s="15" t="s">
        <v>25</v>
      </c>
      <c r="D65" s="16">
        <f>+'PLANILLA GENERAL DE METRADOS'!K176</f>
        <v>55.748728999999997</v>
      </c>
    </row>
    <row r="66" spans="1:4" x14ac:dyDescent="0.35">
      <c r="A66" s="13" t="s">
        <v>112</v>
      </c>
      <c r="B66" s="14" t="s">
        <v>763</v>
      </c>
      <c r="C66" s="15" t="s">
        <v>18</v>
      </c>
      <c r="D66" s="16">
        <f>+'PLANILLA GENERAL DE METRADOS'!K190</f>
        <v>538.31072000000006</v>
      </c>
    </row>
    <row r="67" spans="1:4" x14ac:dyDescent="0.35">
      <c r="A67" s="13" t="s">
        <v>113</v>
      </c>
      <c r="B67" s="14" t="s">
        <v>764</v>
      </c>
      <c r="C67" s="15" t="s">
        <v>46</v>
      </c>
      <c r="D67" s="16">
        <f>+'PLANILLA GENERAL DE METRADOS'!K194</f>
        <v>2523.8376862222221</v>
      </c>
    </row>
    <row r="68" spans="1:4" x14ac:dyDescent="0.35">
      <c r="A68" s="13" t="s">
        <v>114</v>
      </c>
      <c r="B68" s="14" t="s">
        <v>765</v>
      </c>
      <c r="C68" s="15" t="s">
        <v>18</v>
      </c>
      <c r="D68" s="16">
        <f>+'PLANILLA GENERAL DE METRADOS'!K198</f>
        <v>94.760999999999967</v>
      </c>
    </row>
    <row r="69" spans="1:4" x14ac:dyDescent="0.35">
      <c r="A69" s="13" t="s">
        <v>116</v>
      </c>
      <c r="B69" s="14" t="s">
        <v>118</v>
      </c>
      <c r="C69" s="15" t="s">
        <v>18</v>
      </c>
      <c r="D69" s="16">
        <f>+'PLANILLA GENERAL DE METRADOS'!K202</f>
        <v>368.26885999999996</v>
      </c>
    </row>
    <row r="70" spans="1:4" x14ac:dyDescent="0.35">
      <c r="A70" s="12" t="s">
        <v>119</v>
      </c>
      <c r="B70" s="12" t="s">
        <v>120</v>
      </c>
      <c r="C70" s="12"/>
      <c r="D70" s="12"/>
    </row>
    <row r="71" spans="1:4" x14ac:dyDescent="0.35">
      <c r="A71" s="13" t="s">
        <v>121</v>
      </c>
      <c r="B71" s="14" t="s">
        <v>1141</v>
      </c>
      <c r="C71" s="15" t="s">
        <v>55</v>
      </c>
      <c r="D71" s="16">
        <f>+'PLANILLA GENERAL DE METRADOS'!K207</f>
        <v>11</v>
      </c>
    </row>
    <row r="72" spans="1:4" x14ac:dyDescent="0.35">
      <c r="A72" s="12" t="s">
        <v>123</v>
      </c>
      <c r="B72" s="12" t="s">
        <v>766</v>
      </c>
      <c r="C72" s="12"/>
      <c r="D72" s="12"/>
    </row>
    <row r="73" spans="1:4" ht="31" x14ac:dyDescent="0.35">
      <c r="A73" s="13" t="s">
        <v>124</v>
      </c>
      <c r="B73" s="14" t="s">
        <v>767</v>
      </c>
      <c r="C73" s="15" t="s">
        <v>65</v>
      </c>
      <c r="D73" s="16">
        <f>+'PLANILLA GENERAL DE METRADOS'!K215</f>
        <v>120.63999999999999</v>
      </c>
    </row>
    <row r="74" spans="1:4" ht="31" x14ac:dyDescent="0.35">
      <c r="A74" s="13" t="s">
        <v>125</v>
      </c>
      <c r="B74" s="14" t="s">
        <v>768</v>
      </c>
      <c r="C74" s="15" t="s">
        <v>65</v>
      </c>
      <c r="D74" s="16">
        <f>+'PLANILLA GENERAL DE METRADOS'!K216</f>
        <v>4.6399999999999997</v>
      </c>
    </row>
  </sheetData>
  <mergeCells count="5">
    <mergeCell ref="A2:D2"/>
    <mergeCell ref="B4:D4"/>
    <mergeCell ref="B5:D5"/>
    <mergeCell ref="B6:D6"/>
    <mergeCell ref="B7:D7"/>
  </mergeCells>
  <pageMargins left="0.67013888888888895" right="0" top="1.2645833333333301" bottom="0.35416666666666702" header="0.31527777777777799" footer="0.511811023622047"/>
  <pageSetup paperSize="9" scale="6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216"/>
  <sheetViews>
    <sheetView topLeftCell="A108" zoomScaleNormal="100" zoomScalePageLayoutView="130" workbookViewId="0">
      <selection activeCell="F144" sqref="F144"/>
    </sheetView>
  </sheetViews>
  <sheetFormatPr baseColWidth="10" defaultColWidth="10.54296875" defaultRowHeight="14.5" x14ac:dyDescent="0.35"/>
  <cols>
    <col min="1" max="1" width="18.81640625" customWidth="1"/>
    <col min="2" max="2" width="37" customWidth="1"/>
    <col min="10" max="10" width="20" customWidth="1"/>
  </cols>
  <sheetData>
    <row r="2" spans="1:12" ht="24.75" customHeight="1" x14ac:dyDescent="0.35">
      <c r="A2" s="238" t="s">
        <v>0</v>
      </c>
      <c r="B2" s="238"/>
      <c r="C2" s="238"/>
      <c r="D2" s="238"/>
      <c r="E2" s="238"/>
      <c r="F2" s="238"/>
      <c r="G2" s="238"/>
      <c r="H2" s="238"/>
      <c r="I2" s="238"/>
      <c r="J2" s="238"/>
      <c r="K2" s="238"/>
      <c r="L2" s="238"/>
    </row>
    <row r="3" spans="1:12" ht="25.5" customHeight="1" x14ac:dyDescent="0.35">
      <c r="A3" s="10" t="s">
        <v>1</v>
      </c>
      <c r="B3" s="236" t="str">
        <f>+RESUMEN!B4</f>
        <v>GERENCIA TERRITORIAL BAJO MAYO - TARAPOTO</v>
      </c>
      <c r="C3" s="236"/>
      <c r="D3" s="236"/>
      <c r="E3" s="236"/>
      <c r="F3" s="236"/>
      <c r="G3" s="236"/>
      <c r="H3" s="236"/>
      <c r="I3" s="236"/>
      <c r="J3" s="236"/>
      <c r="K3" s="236"/>
      <c r="L3" s="236"/>
    </row>
    <row r="4" spans="1:12" ht="58.5" customHeight="1" x14ac:dyDescent="0.35">
      <c r="A4" s="10" t="s">
        <v>3</v>
      </c>
      <c r="B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236"/>
      <c r="D4" s="236"/>
      <c r="E4" s="236"/>
      <c r="F4" s="236"/>
      <c r="G4" s="236"/>
      <c r="H4" s="236"/>
      <c r="I4" s="236"/>
      <c r="J4" s="236"/>
      <c r="K4" s="236"/>
      <c r="L4" s="236"/>
    </row>
    <row r="5" spans="1:12" ht="25.5" customHeight="1" x14ac:dyDescent="0.35">
      <c r="A5" s="10" t="s">
        <v>5</v>
      </c>
      <c r="B5" s="236" t="str">
        <f>+RESUMEN!B6</f>
        <v>SAN MARTIN - SAN MARTIN - MORALES</v>
      </c>
      <c r="C5" s="236"/>
      <c r="D5" s="236"/>
      <c r="E5" s="236"/>
      <c r="F5" s="236"/>
      <c r="G5" s="236"/>
      <c r="H5" s="236"/>
      <c r="I5" s="236"/>
      <c r="J5" s="236"/>
      <c r="K5" s="236"/>
      <c r="L5" s="236"/>
    </row>
    <row r="6" spans="1:12" ht="25.5" customHeight="1" x14ac:dyDescent="0.35">
      <c r="A6" s="10" t="s">
        <v>7</v>
      </c>
      <c r="B6" s="237">
        <f>+RESUMEN!B7</f>
        <v>46266</v>
      </c>
      <c r="C6" s="237"/>
      <c r="D6" s="237"/>
      <c r="E6" s="237"/>
      <c r="F6" s="237"/>
      <c r="G6" s="237"/>
      <c r="H6" s="237"/>
      <c r="I6" s="237"/>
      <c r="J6" s="237"/>
      <c r="K6" s="237"/>
      <c r="L6" s="237"/>
    </row>
    <row r="7" spans="1:12" x14ac:dyDescent="0.35">
      <c r="A7" s="22"/>
      <c r="B7" s="22"/>
      <c r="C7" s="22"/>
      <c r="D7" s="22"/>
      <c r="E7" s="22"/>
      <c r="F7" s="22"/>
      <c r="G7" s="22"/>
      <c r="H7" s="22"/>
      <c r="I7" s="22"/>
      <c r="J7" s="22"/>
      <c r="K7" s="22"/>
      <c r="L7" s="22"/>
    </row>
    <row r="8" spans="1:12" ht="30.75" customHeight="1" x14ac:dyDescent="0.35">
      <c r="A8" s="23" t="s">
        <v>126</v>
      </c>
      <c r="B8" s="23" t="s">
        <v>127</v>
      </c>
      <c r="C8" s="23" t="s">
        <v>128</v>
      </c>
      <c r="D8" s="23" t="s">
        <v>129</v>
      </c>
      <c r="E8" s="23" t="s">
        <v>130</v>
      </c>
      <c r="F8" s="23" t="s">
        <v>131</v>
      </c>
      <c r="G8" s="23" t="s">
        <v>132</v>
      </c>
      <c r="H8" s="23" t="s">
        <v>133</v>
      </c>
      <c r="I8" s="23" t="s">
        <v>134</v>
      </c>
      <c r="J8" s="23" t="s">
        <v>135</v>
      </c>
      <c r="K8" s="23" t="s">
        <v>136</v>
      </c>
      <c r="L8" s="23" t="s">
        <v>137</v>
      </c>
    </row>
    <row r="9" spans="1:12" ht="15" customHeight="1" x14ac:dyDescent="0.35">
      <c r="A9" s="2" t="s">
        <v>12</v>
      </c>
      <c r="B9" s="241" t="s">
        <v>13</v>
      </c>
      <c r="C9" s="241"/>
      <c r="D9" s="241"/>
      <c r="E9" s="241"/>
      <c r="F9" s="241"/>
      <c r="G9" s="241"/>
      <c r="H9" s="241"/>
      <c r="I9" s="241"/>
      <c r="J9" s="241"/>
      <c r="K9" s="241"/>
      <c r="L9" s="241"/>
    </row>
    <row r="10" spans="1:12" ht="15" customHeight="1" x14ac:dyDescent="0.35">
      <c r="A10" s="2" t="s">
        <v>14</v>
      </c>
      <c r="B10" s="241" t="s">
        <v>15</v>
      </c>
      <c r="C10" s="241"/>
      <c r="D10" s="241"/>
      <c r="E10" s="241"/>
      <c r="F10" s="241"/>
      <c r="G10" s="241"/>
      <c r="H10" s="241"/>
      <c r="I10" s="241"/>
      <c r="J10" s="241"/>
      <c r="K10" s="241"/>
      <c r="L10" s="241"/>
    </row>
    <row r="11" spans="1:12" ht="21.75" customHeight="1" x14ac:dyDescent="0.35">
      <c r="A11" s="24" t="s">
        <v>16</v>
      </c>
      <c r="B11" s="24" t="s">
        <v>17</v>
      </c>
      <c r="C11" s="25"/>
      <c r="D11" s="25"/>
      <c r="E11" s="25"/>
      <c r="F11" s="25"/>
      <c r="G11" s="25"/>
      <c r="H11" s="25"/>
      <c r="I11" s="25"/>
      <c r="J11" s="25"/>
      <c r="K11" s="25">
        <f>SUM(J12:J20)</f>
        <v>753.53599999999983</v>
      </c>
      <c r="L11" s="24" t="s">
        <v>18</v>
      </c>
    </row>
    <row r="12" spans="1:12" ht="15" customHeight="1" x14ac:dyDescent="0.35">
      <c r="A12" s="26"/>
      <c r="B12" s="26" t="s">
        <v>138</v>
      </c>
      <c r="C12" s="27">
        <v>1</v>
      </c>
      <c r="D12" s="27">
        <v>111.53</v>
      </c>
      <c r="E12" s="27">
        <v>1.4</v>
      </c>
      <c r="F12" s="27"/>
      <c r="G12" s="27"/>
      <c r="H12" s="27"/>
      <c r="I12" s="27"/>
      <c r="J12" s="27">
        <f t="shared" ref="J12:J20" si="0">C12*D12*E12</f>
        <v>156.142</v>
      </c>
      <c r="K12" s="27"/>
      <c r="L12" s="26"/>
    </row>
    <row r="13" spans="1:12" ht="15" customHeight="1" x14ac:dyDescent="0.35">
      <c r="A13" s="26"/>
      <c r="B13" s="26" t="s">
        <v>139</v>
      </c>
      <c r="C13" s="27">
        <v>1</v>
      </c>
      <c r="D13" s="27">
        <v>34.25</v>
      </c>
      <c r="E13" s="27">
        <v>1.4</v>
      </c>
      <c r="F13" s="27"/>
      <c r="G13" s="27"/>
      <c r="H13" s="27"/>
      <c r="I13" s="27"/>
      <c r="J13" s="27">
        <f t="shared" si="0"/>
        <v>47.949999999999996</v>
      </c>
      <c r="K13" s="27"/>
      <c r="L13" s="26"/>
    </row>
    <row r="14" spans="1:12" ht="15" customHeight="1" x14ac:dyDescent="0.35">
      <c r="A14" s="26"/>
      <c r="B14" s="26" t="s">
        <v>140</v>
      </c>
      <c r="C14" s="27">
        <v>1</v>
      </c>
      <c r="D14" s="27">
        <v>22.4</v>
      </c>
      <c r="E14" s="27">
        <v>1.4</v>
      </c>
      <c r="F14" s="27"/>
      <c r="G14" s="27"/>
      <c r="H14" s="27"/>
      <c r="I14" s="27"/>
      <c r="J14" s="27">
        <f t="shared" si="0"/>
        <v>31.359999999999996</v>
      </c>
      <c r="K14" s="27"/>
      <c r="L14" s="26"/>
    </row>
    <row r="15" spans="1:12" ht="15" customHeight="1" x14ac:dyDescent="0.35">
      <c r="A15" s="26"/>
      <c r="B15" s="26" t="s">
        <v>141</v>
      </c>
      <c r="C15" s="27">
        <v>1</v>
      </c>
      <c r="D15" s="27">
        <v>102.31</v>
      </c>
      <c r="E15" s="27">
        <v>1.4</v>
      </c>
      <c r="F15" s="27"/>
      <c r="G15" s="27"/>
      <c r="H15" s="27"/>
      <c r="I15" s="27"/>
      <c r="J15" s="27">
        <f t="shared" si="0"/>
        <v>143.23399999999998</v>
      </c>
      <c r="K15" s="27"/>
      <c r="L15" s="26"/>
    </row>
    <row r="16" spans="1:12" ht="15" customHeight="1" x14ac:dyDescent="0.35">
      <c r="A16" s="26"/>
      <c r="B16" s="26" t="s">
        <v>142</v>
      </c>
      <c r="C16" s="27">
        <v>1</v>
      </c>
      <c r="D16" s="27">
        <v>42.2</v>
      </c>
      <c r="E16" s="27">
        <v>1.4</v>
      </c>
      <c r="F16" s="27"/>
      <c r="G16" s="27"/>
      <c r="H16" s="27"/>
      <c r="I16" s="27"/>
      <c r="J16" s="27">
        <f t="shared" si="0"/>
        <v>59.08</v>
      </c>
      <c r="K16" s="27"/>
      <c r="L16" s="26"/>
    </row>
    <row r="17" spans="1:12" ht="15" customHeight="1" x14ac:dyDescent="0.35">
      <c r="A17" s="26"/>
      <c r="B17" s="26" t="s">
        <v>143</v>
      </c>
      <c r="C17" s="27">
        <v>1</v>
      </c>
      <c r="D17" s="27">
        <v>98.69</v>
      </c>
      <c r="E17" s="27">
        <v>1.4</v>
      </c>
      <c r="F17" s="27"/>
      <c r="G17" s="27"/>
      <c r="H17" s="27"/>
      <c r="I17" s="27"/>
      <c r="J17" s="27">
        <f t="shared" si="0"/>
        <v>138.166</v>
      </c>
      <c r="K17" s="27"/>
      <c r="L17" s="26"/>
    </row>
    <row r="18" spans="1:12" ht="15" customHeight="1" x14ac:dyDescent="0.35">
      <c r="A18" s="26"/>
      <c r="B18" s="26" t="s">
        <v>144</v>
      </c>
      <c r="C18" s="27">
        <v>1</v>
      </c>
      <c r="D18" s="27">
        <v>23.6</v>
      </c>
      <c r="E18" s="27">
        <v>1.4</v>
      </c>
      <c r="F18" s="27"/>
      <c r="G18" s="27"/>
      <c r="H18" s="27"/>
      <c r="I18" s="27"/>
      <c r="J18" s="27">
        <f t="shared" si="0"/>
        <v>33.04</v>
      </c>
      <c r="K18" s="27"/>
      <c r="L18" s="26"/>
    </row>
    <row r="19" spans="1:12" ht="15" customHeight="1" x14ac:dyDescent="0.35">
      <c r="A19" s="26"/>
      <c r="B19" s="26" t="s">
        <v>145</v>
      </c>
      <c r="C19" s="27">
        <v>1</v>
      </c>
      <c r="D19" s="27">
        <v>60.6</v>
      </c>
      <c r="E19" s="27">
        <v>1.4</v>
      </c>
      <c r="F19" s="27"/>
      <c r="G19" s="27"/>
      <c r="H19" s="27"/>
      <c r="I19" s="27"/>
      <c r="J19" s="27">
        <f t="shared" si="0"/>
        <v>84.84</v>
      </c>
      <c r="K19" s="27"/>
      <c r="L19" s="26"/>
    </row>
    <row r="20" spans="1:12" ht="15" customHeight="1" x14ac:dyDescent="0.35">
      <c r="A20" s="26"/>
      <c r="B20" s="26" t="s">
        <v>146</v>
      </c>
      <c r="C20" s="27">
        <v>1</v>
      </c>
      <c r="D20" s="27">
        <v>42.66</v>
      </c>
      <c r="E20" s="27">
        <v>1.4</v>
      </c>
      <c r="F20" s="27"/>
      <c r="G20" s="27"/>
      <c r="H20" s="27"/>
      <c r="I20" s="27"/>
      <c r="J20" s="27">
        <f t="shared" si="0"/>
        <v>59.72399999999999</v>
      </c>
      <c r="K20" s="27"/>
      <c r="L20" s="26"/>
    </row>
    <row r="21" spans="1:12" ht="30.75" customHeight="1" x14ac:dyDescent="0.35">
      <c r="A21" s="24" t="s">
        <v>19</v>
      </c>
      <c r="B21" s="24" t="s">
        <v>20</v>
      </c>
      <c r="C21" s="25"/>
      <c r="D21" s="25"/>
      <c r="E21" s="25"/>
      <c r="F21" s="25"/>
      <c r="G21" s="25"/>
      <c r="H21" s="25"/>
      <c r="I21" s="25"/>
      <c r="J21" s="25"/>
      <c r="K21" s="28">
        <f>SUM(J22:J30)</f>
        <v>753.53599999999983</v>
      </c>
      <c r="L21" s="24" t="s">
        <v>18</v>
      </c>
    </row>
    <row r="22" spans="1:12" ht="15" customHeight="1" x14ac:dyDescent="0.35">
      <c r="A22" s="26"/>
      <c r="B22" s="26" t="s">
        <v>138</v>
      </c>
      <c r="C22" s="27">
        <v>1</v>
      </c>
      <c r="D22" s="27">
        <v>111.53</v>
      </c>
      <c r="E22" s="27">
        <v>1.4</v>
      </c>
      <c r="F22" s="27"/>
      <c r="G22" s="27"/>
      <c r="H22" s="27"/>
      <c r="I22" s="27"/>
      <c r="J22" s="27">
        <f t="shared" ref="J22:J30" si="1">C22*D22*E22</f>
        <v>156.142</v>
      </c>
      <c r="K22" s="27"/>
      <c r="L22" s="26"/>
    </row>
    <row r="23" spans="1:12" ht="15" customHeight="1" x14ac:dyDescent="0.35">
      <c r="A23" s="26"/>
      <c r="B23" s="26" t="s">
        <v>139</v>
      </c>
      <c r="C23" s="27">
        <v>1</v>
      </c>
      <c r="D23" s="27">
        <v>34.25</v>
      </c>
      <c r="E23" s="27">
        <v>1.4</v>
      </c>
      <c r="F23" s="27"/>
      <c r="G23" s="27"/>
      <c r="H23" s="27"/>
      <c r="I23" s="27"/>
      <c r="J23" s="27">
        <f t="shared" si="1"/>
        <v>47.949999999999996</v>
      </c>
      <c r="K23" s="27"/>
      <c r="L23" s="26"/>
    </row>
    <row r="24" spans="1:12" ht="15" customHeight="1" x14ac:dyDescent="0.35">
      <c r="A24" s="26"/>
      <c r="B24" s="26" t="s">
        <v>140</v>
      </c>
      <c r="C24" s="27">
        <v>1</v>
      </c>
      <c r="D24" s="27">
        <v>22.4</v>
      </c>
      <c r="E24" s="27">
        <v>1.4</v>
      </c>
      <c r="F24" s="27"/>
      <c r="G24" s="27"/>
      <c r="H24" s="27"/>
      <c r="I24" s="27"/>
      <c r="J24" s="27">
        <f t="shared" si="1"/>
        <v>31.359999999999996</v>
      </c>
      <c r="K24" s="26"/>
      <c r="L24" s="26"/>
    </row>
    <row r="25" spans="1:12" ht="15" customHeight="1" x14ac:dyDescent="0.35">
      <c r="A25" s="26"/>
      <c r="B25" s="26" t="s">
        <v>141</v>
      </c>
      <c r="C25" s="27">
        <v>1</v>
      </c>
      <c r="D25" s="27">
        <v>102.31</v>
      </c>
      <c r="E25" s="27">
        <v>1.4</v>
      </c>
      <c r="F25" s="27"/>
      <c r="G25" s="27"/>
      <c r="H25" s="27"/>
      <c r="I25" s="27"/>
      <c r="J25" s="27">
        <f t="shared" si="1"/>
        <v>143.23399999999998</v>
      </c>
      <c r="K25" s="26"/>
      <c r="L25" s="26"/>
    </row>
    <row r="26" spans="1:12" ht="15" customHeight="1" x14ac:dyDescent="0.35">
      <c r="A26" s="26"/>
      <c r="B26" s="26" t="s">
        <v>142</v>
      </c>
      <c r="C26" s="27">
        <v>1</v>
      </c>
      <c r="D26" s="27">
        <v>42.2</v>
      </c>
      <c r="E26" s="27">
        <v>1.4</v>
      </c>
      <c r="F26" s="27"/>
      <c r="G26" s="27"/>
      <c r="H26" s="27"/>
      <c r="I26" s="27"/>
      <c r="J26" s="27">
        <f t="shared" si="1"/>
        <v>59.08</v>
      </c>
      <c r="K26" s="26"/>
      <c r="L26" s="26"/>
    </row>
    <row r="27" spans="1:12" ht="15" customHeight="1" x14ac:dyDescent="0.35">
      <c r="A27" s="26"/>
      <c r="B27" s="26" t="s">
        <v>143</v>
      </c>
      <c r="C27" s="27">
        <v>1</v>
      </c>
      <c r="D27" s="27">
        <v>98.69</v>
      </c>
      <c r="E27" s="27">
        <v>1.4</v>
      </c>
      <c r="F27" s="27"/>
      <c r="G27" s="27"/>
      <c r="H27" s="27"/>
      <c r="I27" s="27"/>
      <c r="J27" s="27">
        <f t="shared" si="1"/>
        <v>138.166</v>
      </c>
      <c r="K27" s="26"/>
      <c r="L27" s="26"/>
    </row>
    <row r="28" spans="1:12" ht="15" customHeight="1" x14ac:dyDescent="0.35">
      <c r="A28" s="26"/>
      <c r="B28" s="26" t="s">
        <v>144</v>
      </c>
      <c r="C28" s="27">
        <v>1</v>
      </c>
      <c r="D28" s="27">
        <v>23.6</v>
      </c>
      <c r="E28" s="27">
        <v>1.4</v>
      </c>
      <c r="F28" s="27"/>
      <c r="G28" s="27"/>
      <c r="H28" s="27"/>
      <c r="I28" s="27"/>
      <c r="J28" s="27">
        <f t="shared" si="1"/>
        <v>33.04</v>
      </c>
      <c r="K28" s="26"/>
      <c r="L28" s="26"/>
    </row>
    <row r="29" spans="1:12" ht="15" customHeight="1" x14ac:dyDescent="0.35">
      <c r="A29" s="26"/>
      <c r="B29" s="26" t="s">
        <v>145</v>
      </c>
      <c r="C29" s="27">
        <v>1</v>
      </c>
      <c r="D29" s="27">
        <v>60.6</v>
      </c>
      <c r="E29" s="27">
        <v>1.4</v>
      </c>
      <c r="F29" s="27"/>
      <c r="G29" s="27"/>
      <c r="H29" s="27"/>
      <c r="I29" s="27"/>
      <c r="J29" s="27">
        <f t="shared" si="1"/>
        <v>84.84</v>
      </c>
      <c r="K29" s="26"/>
      <c r="L29" s="26"/>
    </row>
    <row r="30" spans="1:12" ht="15" customHeight="1" x14ac:dyDescent="0.35">
      <c r="A30" s="26"/>
      <c r="B30" s="26" t="s">
        <v>146</v>
      </c>
      <c r="C30" s="27">
        <v>1</v>
      </c>
      <c r="D30" s="27">
        <v>42.66</v>
      </c>
      <c r="E30" s="27">
        <v>1.4</v>
      </c>
      <c r="F30" s="27"/>
      <c r="G30" s="27"/>
      <c r="H30" s="27"/>
      <c r="I30" s="27"/>
      <c r="J30" s="27">
        <f t="shared" si="1"/>
        <v>59.72399999999999</v>
      </c>
      <c r="K30" s="26"/>
      <c r="L30" s="26"/>
    </row>
    <row r="31" spans="1:12" ht="15" customHeight="1" x14ac:dyDescent="0.35">
      <c r="A31" s="2" t="s">
        <v>21</v>
      </c>
      <c r="B31" s="2" t="s">
        <v>22</v>
      </c>
      <c r="C31" s="29"/>
      <c r="D31" s="29"/>
      <c r="E31" s="29"/>
      <c r="F31" s="29"/>
      <c r="G31" s="29"/>
      <c r="H31" s="29"/>
      <c r="I31" s="29"/>
      <c r="J31" s="29"/>
      <c r="K31" s="2"/>
      <c r="L31" s="2"/>
    </row>
    <row r="32" spans="1:12" ht="30.75" customHeight="1" x14ac:dyDescent="0.35">
      <c r="A32" s="24" t="s">
        <v>23</v>
      </c>
      <c r="B32" s="24" t="s">
        <v>24</v>
      </c>
      <c r="C32" s="25"/>
      <c r="D32" s="25"/>
      <c r="E32" s="25"/>
      <c r="F32" s="25"/>
      <c r="G32" s="25"/>
      <c r="H32" s="25"/>
      <c r="I32" s="25"/>
      <c r="J32" s="25"/>
      <c r="K32" s="25">
        <f>SUM(J33:J41)</f>
        <v>513.90863999999999</v>
      </c>
      <c r="L32" s="24" t="s">
        <v>25</v>
      </c>
    </row>
    <row r="33" spans="1:12" ht="15" customHeight="1" x14ac:dyDescent="0.35">
      <c r="A33" s="26"/>
      <c r="B33" s="26" t="s">
        <v>138</v>
      </c>
      <c r="C33" s="27">
        <v>1</v>
      </c>
      <c r="D33" s="27">
        <v>111.53</v>
      </c>
      <c r="E33" s="27">
        <v>1.4</v>
      </c>
      <c r="F33" s="27">
        <v>0.65</v>
      </c>
      <c r="G33" s="27"/>
      <c r="H33" s="27"/>
      <c r="I33" s="27"/>
      <c r="J33" s="27">
        <f>C33*D33*E33*(F33+PARAMETROS!$B$15)</f>
        <v>117.1065</v>
      </c>
      <c r="K33" s="26"/>
      <c r="L33" s="26"/>
    </row>
    <row r="34" spans="1:12" ht="15" customHeight="1" x14ac:dyDescent="0.35">
      <c r="A34" s="26"/>
      <c r="B34" s="26" t="s">
        <v>139</v>
      </c>
      <c r="C34" s="27">
        <v>1</v>
      </c>
      <c r="D34" s="27">
        <v>34.25</v>
      </c>
      <c r="E34" s="27">
        <v>1.4</v>
      </c>
      <c r="F34" s="27">
        <v>0.49</v>
      </c>
      <c r="G34" s="27"/>
      <c r="H34" s="27"/>
      <c r="I34" s="27"/>
      <c r="J34" s="27">
        <f>C34*D34*E34*(F34+PARAMETROS!$B$15)</f>
        <v>28.290499999999994</v>
      </c>
      <c r="K34" s="26"/>
      <c r="L34" s="26"/>
    </row>
    <row r="35" spans="1:12" ht="15" customHeight="1" x14ac:dyDescent="0.35">
      <c r="A35" s="26"/>
      <c r="B35" s="26" t="s">
        <v>140</v>
      </c>
      <c r="C35" s="27">
        <v>1</v>
      </c>
      <c r="D35" s="27">
        <v>22.4</v>
      </c>
      <c r="E35" s="27">
        <v>1.4</v>
      </c>
      <c r="F35" s="27">
        <v>0.46</v>
      </c>
      <c r="G35" s="27"/>
      <c r="H35" s="27"/>
      <c r="I35" s="27"/>
      <c r="J35" s="27">
        <f>C35*D35*E35*(F35+PARAMETROS!$B$15)</f>
        <v>17.561599999999999</v>
      </c>
      <c r="K35" s="26"/>
      <c r="L35" s="26"/>
    </row>
    <row r="36" spans="1:12" ht="15" customHeight="1" x14ac:dyDescent="0.35">
      <c r="A36" s="26"/>
      <c r="B36" s="26" t="s">
        <v>141</v>
      </c>
      <c r="C36" s="27">
        <v>1</v>
      </c>
      <c r="D36" s="27">
        <v>102.31</v>
      </c>
      <c r="E36" s="27">
        <v>1.4</v>
      </c>
      <c r="F36" s="27">
        <v>0.63</v>
      </c>
      <c r="G36" s="27"/>
      <c r="H36" s="27"/>
      <c r="I36" s="27"/>
      <c r="J36" s="27">
        <f>C36*D36*E36*(F36+PARAMETROS!$B$15)</f>
        <v>104.56081999999998</v>
      </c>
      <c r="K36" s="26"/>
      <c r="L36" s="26"/>
    </row>
    <row r="37" spans="1:12" ht="15" customHeight="1" x14ac:dyDescent="0.35">
      <c r="A37" s="26"/>
      <c r="B37" s="26" t="s">
        <v>142</v>
      </c>
      <c r="C37" s="27">
        <v>1</v>
      </c>
      <c r="D37" s="27">
        <v>42.2</v>
      </c>
      <c r="E37" s="27">
        <v>1.4</v>
      </c>
      <c r="F37" s="27">
        <v>0.5</v>
      </c>
      <c r="G37" s="27"/>
      <c r="H37" s="27"/>
      <c r="I37" s="27"/>
      <c r="J37" s="27">
        <f>C37*D37*E37*(F37+PARAMETROS!$B$15)</f>
        <v>35.448</v>
      </c>
      <c r="K37" s="26"/>
      <c r="L37" s="26"/>
    </row>
    <row r="38" spans="1:12" ht="15" customHeight="1" x14ac:dyDescent="0.35">
      <c r="A38" s="26"/>
      <c r="B38" s="26" t="s">
        <v>143</v>
      </c>
      <c r="C38" s="27">
        <v>1</v>
      </c>
      <c r="D38" s="27">
        <v>98.69</v>
      </c>
      <c r="E38" s="27">
        <v>1.4</v>
      </c>
      <c r="F38" s="27">
        <v>0.63</v>
      </c>
      <c r="G38" s="27"/>
      <c r="H38" s="27"/>
      <c r="I38" s="27"/>
      <c r="J38" s="27">
        <f>C38*D38*E38*(F38+PARAMETROS!$B$15)</f>
        <v>100.86117999999999</v>
      </c>
      <c r="K38" s="26"/>
      <c r="L38" s="26"/>
    </row>
    <row r="39" spans="1:12" ht="15" customHeight="1" x14ac:dyDescent="0.35">
      <c r="A39" s="26"/>
      <c r="B39" s="26" t="s">
        <v>144</v>
      </c>
      <c r="C39" s="27">
        <v>1</v>
      </c>
      <c r="D39" s="27">
        <v>23.6</v>
      </c>
      <c r="E39" s="27">
        <v>1.4</v>
      </c>
      <c r="F39" s="27">
        <v>0.46</v>
      </c>
      <c r="G39" s="27"/>
      <c r="H39" s="27"/>
      <c r="I39" s="27"/>
      <c r="J39" s="27">
        <f>C39*D39*E39*(F39+PARAMETROS!$B$15)</f>
        <v>18.502400000000002</v>
      </c>
      <c r="K39" s="26"/>
      <c r="L39" s="26"/>
    </row>
    <row r="40" spans="1:12" ht="15" customHeight="1" x14ac:dyDescent="0.35">
      <c r="A40" s="26"/>
      <c r="B40" s="26" t="s">
        <v>145</v>
      </c>
      <c r="C40" s="27">
        <v>1</v>
      </c>
      <c r="D40" s="27">
        <v>60.6</v>
      </c>
      <c r="E40" s="27">
        <v>1.4</v>
      </c>
      <c r="F40" s="27">
        <v>0.55000000000000004</v>
      </c>
      <c r="G40" s="27"/>
      <c r="H40" s="27"/>
      <c r="I40" s="27"/>
      <c r="J40" s="27">
        <f>C40*D40*E40*(F40+PARAMETROS!$B$15)</f>
        <v>55.146000000000001</v>
      </c>
      <c r="K40" s="26"/>
      <c r="L40" s="26"/>
    </row>
    <row r="41" spans="1:12" ht="15" customHeight="1" x14ac:dyDescent="0.35">
      <c r="A41" s="26"/>
      <c r="B41" s="26" t="s">
        <v>146</v>
      </c>
      <c r="C41" s="27">
        <v>1</v>
      </c>
      <c r="D41" s="27">
        <v>42.66</v>
      </c>
      <c r="E41" s="27">
        <v>1.4</v>
      </c>
      <c r="F41" s="27">
        <v>0.51</v>
      </c>
      <c r="G41" s="27"/>
      <c r="H41" s="27"/>
      <c r="I41" s="27"/>
      <c r="J41" s="27">
        <f>C41*D41*E41*(F41+PARAMETROS!$B$15)</f>
        <v>36.431639999999994</v>
      </c>
      <c r="K41" s="26"/>
      <c r="L41" s="26"/>
    </row>
    <row r="42" spans="1:12" ht="30.75" customHeight="1" x14ac:dyDescent="0.35">
      <c r="A42" s="24" t="s">
        <v>26</v>
      </c>
      <c r="B42" s="24" t="s">
        <v>27</v>
      </c>
      <c r="C42" s="25">
        <v>56</v>
      </c>
      <c r="D42" s="25"/>
      <c r="E42" s="25"/>
      <c r="F42" s="25"/>
      <c r="G42" s="25"/>
      <c r="H42" s="25"/>
      <c r="I42" s="25"/>
      <c r="J42" s="25"/>
      <c r="K42" s="25">
        <f>J43*C42</f>
        <v>3.1359999999999997</v>
      </c>
      <c r="L42" s="24" t="s">
        <v>25</v>
      </c>
    </row>
    <row r="43" spans="1:12" ht="15" customHeight="1" x14ac:dyDescent="0.35">
      <c r="A43" s="26"/>
      <c r="B43" s="26" t="s">
        <v>147</v>
      </c>
      <c r="C43" s="27"/>
      <c r="D43" s="27">
        <v>0.4</v>
      </c>
      <c r="E43" s="27">
        <v>0.35</v>
      </c>
      <c r="F43" s="27">
        <v>0.4</v>
      </c>
      <c r="G43" s="27"/>
      <c r="H43" s="27"/>
      <c r="I43" s="27"/>
      <c r="J43" s="30">
        <f>D43*E43*F43</f>
        <v>5.5999999999999994E-2</v>
      </c>
      <c r="K43" s="26"/>
      <c r="L43" s="26"/>
    </row>
    <row r="44" spans="1:12" ht="15" customHeight="1" x14ac:dyDescent="0.35">
      <c r="A44" s="26"/>
      <c r="B44" s="26"/>
      <c r="C44" s="27"/>
      <c r="D44" s="27"/>
      <c r="E44" s="27"/>
      <c r="F44" s="27"/>
      <c r="G44" s="27"/>
      <c r="H44" s="27"/>
      <c r="I44" s="27"/>
      <c r="J44" s="27"/>
      <c r="K44" s="26"/>
      <c r="L44" s="26"/>
    </row>
    <row r="45" spans="1:12" ht="46.5" customHeight="1" x14ac:dyDescent="0.35">
      <c r="A45" s="24" t="s">
        <v>28</v>
      </c>
      <c r="B45" s="24" t="s">
        <v>29</v>
      </c>
      <c r="C45" s="25"/>
      <c r="D45" s="25"/>
      <c r="E45" s="25"/>
      <c r="F45" s="25"/>
      <c r="G45" s="25"/>
      <c r="H45" s="25"/>
      <c r="I45" s="25"/>
      <c r="J45" s="25"/>
      <c r="K45" s="25">
        <f>SUM(J46:J54)</f>
        <v>322.94400000000002</v>
      </c>
      <c r="L45" s="24" t="s">
        <v>18</v>
      </c>
    </row>
    <row r="46" spans="1:12" ht="15" customHeight="1" x14ac:dyDescent="0.35">
      <c r="A46" s="26"/>
      <c r="B46" s="26" t="s">
        <v>138</v>
      </c>
      <c r="C46" s="27">
        <v>1</v>
      </c>
      <c r="D46" s="27">
        <v>111.53</v>
      </c>
      <c r="E46" s="27">
        <v>0.6</v>
      </c>
      <c r="F46" s="27"/>
      <c r="G46" s="27"/>
      <c r="H46" s="27"/>
      <c r="I46" s="27"/>
      <c r="J46" s="27">
        <f t="shared" ref="J46:J54" si="2">C46*D46*E46</f>
        <v>66.917999999999992</v>
      </c>
      <c r="K46" s="26"/>
      <c r="L46" s="26"/>
    </row>
    <row r="47" spans="1:12" ht="15" customHeight="1" x14ac:dyDescent="0.35">
      <c r="A47" s="26"/>
      <c r="B47" s="26" t="s">
        <v>139</v>
      </c>
      <c r="C47" s="27">
        <v>1</v>
      </c>
      <c r="D47" s="27">
        <v>34.25</v>
      </c>
      <c r="E47" s="27">
        <v>0.6</v>
      </c>
      <c r="F47" s="27"/>
      <c r="G47" s="27"/>
      <c r="H47" s="27"/>
      <c r="I47" s="27"/>
      <c r="J47" s="27">
        <f t="shared" si="2"/>
        <v>20.55</v>
      </c>
      <c r="K47" s="26"/>
      <c r="L47" s="26"/>
    </row>
    <row r="48" spans="1:12" ht="15" customHeight="1" x14ac:dyDescent="0.35">
      <c r="A48" s="26"/>
      <c r="B48" s="26" t="s">
        <v>140</v>
      </c>
      <c r="C48" s="27">
        <v>1</v>
      </c>
      <c r="D48" s="27">
        <v>22.4</v>
      </c>
      <c r="E48" s="27">
        <v>0.6</v>
      </c>
      <c r="F48" s="27"/>
      <c r="G48" s="27"/>
      <c r="H48" s="27"/>
      <c r="I48" s="27"/>
      <c r="J48" s="27">
        <f t="shared" si="2"/>
        <v>13.44</v>
      </c>
      <c r="K48" s="26"/>
      <c r="L48" s="26"/>
    </row>
    <row r="49" spans="1:12" ht="15" customHeight="1" x14ac:dyDescent="0.35">
      <c r="A49" s="26"/>
      <c r="B49" s="26" t="s">
        <v>141</v>
      </c>
      <c r="C49" s="27">
        <v>1</v>
      </c>
      <c r="D49" s="27">
        <v>102.31</v>
      </c>
      <c r="E49" s="27">
        <v>0.6</v>
      </c>
      <c r="F49" s="27"/>
      <c r="G49" s="27"/>
      <c r="H49" s="27"/>
      <c r="I49" s="27"/>
      <c r="J49" s="27">
        <f t="shared" si="2"/>
        <v>61.385999999999996</v>
      </c>
      <c r="K49" s="26"/>
      <c r="L49" s="26"/>
    </row>
    <row r="50" spans="1:12" ht="15" customHeight="1" x14ac:dyDescent="0.35">
      <c r="A50" s="26"/>
      <c r="B50" s="26" t="s">
        <v>142</v>
      </c>
      <c r="C50" s="27">
        <v>1</v>
      </c>
      <c r="D50" s="27">
        <v>42.2</v>
      </c>
      <c r="E50" s="27">
        <v>0.6</v>
      </c>
      <c r="F50" s="27"/>
      <c r="G50" s="27"/>
      <c r="H50" s="27"/>
      <c r="I50" s="27"/>
      <c r="J50" s="27">
        <f t="shared" si="2"/>
        <v>25.32</v>
      </c>
      <c r="K50" s="26"/>
      <c r="L50" s="26"/>
    </row>
    <row r="51" spans="1:12" ht="15" customHeight="1" x14ac:dyDescent="0.35">
      <c r="A51" s="26"/>
      <c r="B51" s="26" t="s">
        <v>143</v>
      </c>
      <c r="C51" s="27">
        <v>1</v>
      </c>
      <c r="D51" s="27">
        <v>98.69</v>
      </c>
      <c r="E51" s="27">
        <v>0.6</v>
      </c>
      <c r="F51" s="27"/>
      <c r="G51" s="27"/>
      <c r="H51" s="27"/>
      <c r="I51" s="27"/>
      <c r="J51" s="27">
        <f t="shared" si="2"/>
        <v>59.213999999999999</v>
      </c>
      <c r="K51" s="26"/>
      <c r="L51" s="26"/>
    </row>
    <row r="52" spans="1:12" ht="15" customHeight="1" x14ac:dyDescent="0.35">
      <c r="A52" s="26"/>
      <c r="B52" s="26" t="s">
        <v>144</v>
      </c>
      <c r="C52" s="27">
        <v>1</v>
      </c>
      <c r="D52" s="27">
        <v>23.6</v>
      </c>
      <c r="E52" s="27">
        <v>0.6</v>
      </c>
      <c r="F52" s="27"/>
      <c r="G52" s="27"/>
      <c r="H52" s="27"/>
      <c r="I52" s="27"/>
      <c r="J52" s="27">
        <f t="shared" si="2"/>
        <v>14.16</v>
      </c>
      <c r="K52" s="26"/>
      <c r="L52" s="26"/>
    </row>
    <row r="53" spans="1:12" ht="15" customHeight="1" x14ac:dyDescent="0.35">
      <c r="A53" s="26"/>
      <c r="B53" s="26" t="s">
        <v>145</v>
      </c>
      <c r="C53" s="27">
        <v>1</v>
      </c>
      <c r="D53" s="27">
        <v>60.6</v>
      </c>
      <c r="E53" s="27">
        <v>0.6</v>
      </c>
      <c r="F53" s="27"/>
      <c r="G53" s="27"/>
      <c r="H53" s="27"/>
      <c r="I53" s="27"/>
      <c r="J53" s="27">
        <f t="shared" si="2"/>
        <v>36.36</v>
      </c>
      <c r="K53" s="26"/>
      <c r="L53" s="26"/>
    </row>
    <row r="54" spans="1:12" ht="15" customHeight="1" x14ac:dyDescent="0.35">
      <c r="A54" s="26"/>
      <c r="B54" s="26" t="s">
        <v>146</v>
      </c>
      <c r="C54" s="27">
        <v>1</v>
      </c>
      <c r="D54" s="27">
        <v>42.66</v>
      </c>
      <c r="E54" s="27">
        <v>0.6</v>
      </c>
      <c r="F54" s="27"/>
      <c r="G54" s="27"/>
      <c r="H54" s="27"/>
      <c r="I54" s="27"/>
      <c r="J54" s="27">
        <f t="shared" si="2"/>
        <v>25.595999999999997</v>
      </c>
      <c r="K54" s="26"/>
      <c r="L54" s="26"/>
    </row>
    <row r="55" spans="1:12" s="31" customFormat="1" ht="30.75" customHeight="1" x14ac:dyDescent="0.35">
      <c r="A55" s="24" t="s">
        <v>30</v>
      </c>
      <c r="B55" s="24" t="s">
        <v>749</v>
      </c>
      <c r="C55" s="25"/>
      <c r="D55" s="25"/>
      <c r="E55" s="25"/>
      <c r="F55" s="25"/>
      <c r="G55" s="25"/>
      <c r="H55" s="25"/>
      <c r="I55" s="25"/>
      <c r="J55" s="25"/>
      <c r="K55" s="25">
        <f>SUM(J56:J64)</f>
        <v>293.66208000000006</v>
      </c>
      <c r="L55" s="24" t="s">
        <v>25</v>
      </c>
    </row>
    <row r="56" spans="1:12" ht="15" customHeight="1" x14ac:dyDescent="0.35">
      <c r="A56" s="26"/>
      <c r="B56" s="26" t="s">
        <v>138</v>
      </c>
      <c r="C56" s="27">
        <v>1</v>
      </c>
      <c r="D56" s="27">
        <v>111.53</v>
      </c>
      <c r="E56" s="27">
        <v>0.8</v>
      </c>
      <c r="F56" s="27">
        <v>0.65</v>
      </c>
      <c r="G56" s="27"/>
      <c r="H56" s="27"/>
      <c r="I56" s="27"/>
      <c r="J56" s="27">
        <f>C56*D56*E56*(F56+PARAMETROS!$B$15)</f>
        <v>66.918000000000006</v>
      </c>
      <c r="K56" s="26"/>
      <c r="L56" s="26"/>
    </row>
    <row r="57" spans="1:12" ht="15" customHeight="1" x14ac:dyDescent="0.35">
      <c r="A57" s="26"/>
      <c r="B57" s="26" t="s">
        <v>139</v>
      </c>
      <c r="C57" s="27">
        <v>1</v>
      </c>
      <c r="D57" s="27">
        <v>34.25</v>
      </c>
      <c r="E57" s="27">
        <v>0.8</v>
      </c>
      <c r="F57" s="27">
        <v>0.49</v>
      </c>
      <c r="G57" s="27"/>
      <c r="H57" s="27"/>
      <c r="I57" s="27"/>
      <c r="J57" s="27">
        <f>C57*D57*E57*(F57+PARAMETROS!$B$15)</f>
        <v>16.166</v>
      </c>
      <c r="K57" s="26"/>
      <c r="L57" s="26"/>
    </row>
    <row r="58" spans="1:12" ht="15" customHeight="1" x14ac:dyDescent="0.35">
      <c r="A58" s="26"/>
      <c r="B58" s="26" t="s">
        <v>140</v>
      </c>
      <c r="C58" s="27">
        <v>1</v>
      </c>
      <c r="D58" s="27">
        <v>22.4</v>
      </c>
      <c r="E58" s="27">
        <v>0.8</v>
      </c>
      <c r="F58" s="27">
        <v>0.46</v>
      </c>
      <c r="G58" s="27"/>
      <c r="H58" s="27"/>
      <c r="I58" s="27"/>
      <c r="J58" s="27">
        <f>C58*D58*E58*(F58+PARAMETROS!$B$15)</f>
        <v>10.0352</v>
      </c>
      <c r="K58" s="26"/>
      <c r="L58" s="26"/>
    </row>
    <row r="59" spans="1:12" ht="15" customHeight="1" x14ac:dyDescent="0.35">
      <c r="A59" s="26"/>
      <c r="B59" s="26" t="s">
        <v>141</v>
      </c>
      <c r="C59" s="27">
        <v>1</v>
      </c>
      <c r="D59" s="27">
        <v>102.31</v>
      </c>
      <c r="E59" s="27">
        <v>0.8</v>
      </c>
      <c r="F59" s="27">
        <v>0.63</v>
      </c>
      <c r="G59" s="27"/>
      <c r="H59" s="27"/>
      <c r="I59" s="27"/>
      <c r="J59" s="27">
        <f>C59*D59*E59*(F59+PARAMETROS!$B$15)</f>
        <v>59.749040000000008</v>
      </c>
      <c r="K59" s="26"/>
      <c r="L59" s="26"/>
    </row>
    <row r="60" spans="1:12" ht="15" customHeight="1" x14ac:dyDescent="0.35">
      <c r="A60" s="26"/>
      <c r="B60" s="26" t="s">
        <v>142</v>
      </c>
      <c r="C60" s="27">
        <v>1</v>
      </c>
      <c r="D60" s="27">
        <v>42.2</v>
      </c>
      <c r="E60" s="27">
        <v>0.8</v>
      </c>
      <c r="F60" s="27">
        <v>0.5</v>
      </c>
      <c r="G60" s="27"/>
      <c r="H60" s="27"/>
      <c r="I60" s="27"/>
      <c r="J60" s="27">
        <f>C60*D60*E60*(F60+PARAMETROS!$B$15)</f>
        <v>20.256000000000004</v>
      </c>
      <c r="K60" s="26"/>
      <c r="L60" s="26"/>
    </row>
    <row r="61" spans="1:12" ht="15" customHeight="1" x14ac:dyDescent="0.35">
      <c r="A61" s="26"/>
      <c r="B61" s="26" t="s">
        <v>143</v>
      </c>
      <c r="C61" s="27">
        <v>1</v>
      </c>
      <c r="D61" s="27">
        <v>98.69</v>
      </c>
      <c r="E61" s="27">
        <v>0.8</v>
      </c>
      <c r="F61" s="27">
        <v>0.63</v>
      </c>
      <c r="G61" s="27"/>
      <c r="H61" s="27"/>
      <c r="I61" s="27"/>
      <c r="J61" s="27">
        <f>C61*D61*E61*(F61+PARAMETROS!$B$15)</f>
        <v>57.63496</v>
      </c>
      <c r="K61" s="26"/>
      <c r="L61" s="26"/>
    </row>
    <row r="62" spans="1:12" ht="15" customHeight="1" x14ac:dyDescent="0.35">
      <c r="A62" s="26"/>
      <c r="B62" s="26" t="s">
        <v>144</v>
      </c>
      <c r="C62" s="27">
        <v>1</v>
      </c>
      <c r="D62" s="27">
        <v>23.6</v>
      </c>
      <c r="E62" s="27">
        <v>0.8</v>
      </c>
      <c r="F62" s="27">
        <v>0.46</v>
      </c>
      <c r="G62" s="27"/>
      <c r="H62" s="27"/>
      <c r="I62" s="27"/>
      <c r="J62" s="27">
        <f>C62*D62*E62*(F62+PARAMETROS!$B$15)</f>
        <v>10.572800000000003</v>
      </c>
      <c r="K62" s="26"/>
      <c r="L62" s="26"/>
    </row>
    <row r="63" spans="1:12" ht="15" customHeight="1" x14ac:dyDescent="0.35">
      <c r="A63" s="26"/>
      <c r="B63" s="26" t="s">
        <v>145</v>
      </c>
      <c r="C63" s="27">
        <v>1</v>
      </c>
      <c r="D63" s="27">
        <v>60.6</v>
      </c>
      <c r="E63" s="27">
        <v>0.8</v>
      </c>
      <c r="F63" s="27">
        <v>0.55000000000000004</v>
      </c>
      <c r="G63" s="27"/>
      <c r="H63" s="27"/>
      <c r="I63" s="27"/>
      <c r="J63" s="27">
        <f>C63*D63*E63*(F63+PARAMETROS!$B$15)</f>
        <v>31.512000000000004</v>
      </c>
      <c r="K63" s="26"/>
      <c r="L63" s="26"/>
    </row>
    <row r="64" spans="1:12" ht="15" customHeight="1" x14ac:dyDescent="0.35">
      <c r="A64" s="26"/>
      <c r="B64" s="26" t="s">
        <v>146</v>
      </c>
      <c r="C64" s="27">
        <v>1</v>
      </c>
      <c r="D64" s="27">
        <v>42.66</v>
      </c>
      <c r="E64" s="27">
        <v>0.8</v>
      </c>
      <c r="F64" s="27">
        <v>0.51</v>
      </c>
      <c r="G64" s="27"/>
      <c r="H64" s="27"/>
      <c r="I64" s="27"/>
      <c r="J64" s="27">
        <f>C64*D64*E64*(F64+PARAMETROS!$B$15)</f>
        <v>20.818079999999998</v>
      </c>
      <c r="K64" s="26"/>
      <c r="L64" s="26"/>
    </row>
    <row r="65" spans="1:12" ht="30.75" customHeight="1" x14ac:dyDescent="0.35">
      <c r="A65" s="24" t="s">
        <v>31</v>
      </c>
      <c r="B65" s="24" t="s">
        <v>750</v>
      </c>
      <c r="C65" s="25"/>
      <c r="D65" s="25"/>
      <c r="E65" s="25"/>
      <c r="F65" s="25"/>
      <c r="G65" s="27">
        <f>PARAMETROS!$B$16</f>
        <v>1.2</v>
      </c>
      <c r="H65" s="25"/>
      <c r="I65" s="25"/>
      <c r="J65" s="25"/>
      <c r="K65" s="25">
        <f>(J66+J67)*G65</f>
        <v>264.29587199999992</v>
      </c>
      <c r="L65" s="24" t="s">
        <v>25</v>
      </c>
    </row>
    <row r="66" spans="1:12" ht="30.75" customHeight="1" x14ac:dyDescent="0.35">
      <c r="A66" s="26"/>
      <c r="B66" s="26" t="s">
        <v>148</v>
      </c>
      <c r="C66" s="27"/>
      <c r="D66" s="27"/>
      <c r="E66" s="27"/>
      <c r="F66" s="27"/>
      <c r="G66" s="27">
        <v>1</v>
      </c>
      <c r="H66" s="27"/>
      <c r="I66" s="27">
        <f>+K32</f>
        <v>513.90863999999999</v>
      </c>
      <c r="J66" s="27">
        <f>G66*I66</f>
        <v>513.90863999999999</v>
      </c>
      <c r="K66" s="26"/>
      <c r="L66" s="26"/>
    </row>
    <row r="67" spans="1:12" ht="30.75" customHeight="1" x14ac:dyDescent="0.35">
      <c r="A67" s="26"/>
      <c r="B67" s="26" t="s">
        <v>149</v>
      </c>
      <c r="C67" s="27"/>
      <c r="D67" s="27"/>
      <c r="E67" s="27"/>
      <c r="F67" s="27"/>
      <c r="G67" s="27">
        <v>-1</v>
      </c>
      <c r="H67" s="27"/>
      <c r="I67" s="27">
        <f>+K55</f>
        <v>293.66208000000006</v>
      </c>
      <c r="J67" s="27">
        <f>G67*I67</f>
        <v>-293.66208000000006</v>
      </c>
      <c r="K67" s="26"/>
      <c r="L67" s="26"/>
    </row>
    <row r="68" spans="1:12" ht="15" customHeight="1" x14ac:dyDescent="0.35">
      <c r="A68" s="2" t="s">
        <v>32</v>
      </c>
      <c r="B68" s="2" t="s">
        <v>33</v>
      </c>
      <c r="C68" s="29"/>
      <c r="D68" s="29"/>
      <c r="E68" s="29"/>
      <c r="F68" s="29"/>
      <c r="G68" s="29"/>
      <c r="H68" s="29"/>
      <c r="I68" s="29"/>
      <c r="J68" s="29"/>
      <c r="K68" s="2"/>
      <c r="L68" s="2"/>
    </row>
    <row r="69" spans="1:12" ht="30.75" customHeight="1" x14ac:dyDescent="0.35">
      <c r="A69" s="24" t="s">
        <v>34</v>
      </c>
      <c r="B69" s="24" t="s">
        <v>35</v>
      </c>
      <c r="C69" s="25"/>
      <c r="D69" s="25"/>
      <c r="E69" s="25"/>
      <c r="F69" s="25"/>
      <c r="G69" s="25"/>
      <c r="H69" s="25"/>
      <c r="I69" s="25"/>
      <c r="J69" s="25"/>
      <c r="K69" s="25">
        <f>SUM(J70:J78)</f>
        <v>322.94400000000002</v>
      </c>
      <c r="L69" s="24" t="s">
        <v>18</v>
      </c>
    </row>
    <row r="70" spans="1:12" ht="15" customHeight="1" x14ac:dyDescent="0.35">
      <c r="A70" s="26"/>
      <c r="B70" s="26" t="s">
        <v>138</v>
      </c>
      <c r="C70" s="27">
        <v>1</v>
      </c>
      <c r="D70" s="27">
        <v>111.53</v>
      </c>
      <c r="E70" s="27">
        <v>0.6</v>
      </c>
      <c r="F70" s="27"/>
      <c r="G70" s="27"/>
      <c r="H70" s="27"/>
      <c r="I70" s="27"/>
      <c r="J70" s="27">
        <f t="shared" ref="J70:J78" si="3">C70*D70*E70</f>
        <v>66.917999999999992</v>
      </c>
      <c r="K70" s="26"/>
      <c r="L70" s="26"/>
    </row>
    <row r="71" spans="1:12" ht="15" customHeight="1" x14ac:dyDescent="0.35">
      <c r="A71" s="26"/>
      <c r="B71" s="26" t="s">
        <v>139</v>
      </c>
      <c r="C71" s="27">
        <v>1</v>
      </c>
      <c r="D71" s="27">
        <v>34.25</v>
      </c>
      <c r="E71" s="27">
        <v>0.6</v>
      </c>
      <c r="F71" s="27"/>
      <c r="G71" s="27"/>
      <c r="H71" s="27"/>
      <c r="I71" s="27"/>
      <c r="J71" s="27">
        <f t="shared" si="3"/>
        <v>20.55</v>
      </c>
      <c r="K71" s="26"/>
      <c r="L71" s="26"/>
    </row>
    <row r="72" spans="1:12" ht="15" customHeight="1" x14ac:dyDescent="0.35">
      <c r="A72" s="26"/>
      <c r="B72" s="26" t="s">
        <v>140</v>
      </c>
      <c r="C72" s="27">
        <v>1</v>
      </c>
      <c r="D72" s="27">
        <v>22.4</v>
      </c>
      <c r="E72" s="27">
        <v>0.6</v>
      </c>
      <c r="F72" s="27"/>
      <c r="G72" s="27"/>
      <c r="H72" s="27"/>
      <c r="I72" s="27"/>
      <c r="J72" s="27">
        <f t="shared" si="3"/>
        <v>13.44</v>
      </c>
      <c r="K72" s="26"/>
      <c r="L72" s="26"/>
    </row>
    <row r="73" spans="1:12" ht="15" customHeight="1" x14ac:dyDescent="0.35">
      <c r="A73" s="26"/>
      <c r="B73" s="26" t="s">
        <v>141</v>
      </c>
      <c r="C73" s="27">
        <v>1</v>
      </c>
      <c r="D73" s="27">
        <v>102.31</v>
      </c>
      <c r="E73" s="27">
        <v>0.6</v>
      </c>
      <c r="F73" s="27"/>
      <c r="G73" s="27"/>
      <c r="H73" s="27"/>
      <c r="I73" s="27"/>
      <c r="J73" s="27">
        <f t="shared" si="3"/>
        <v>61.385999999999996</v>
      </c>
      <c r="K73" s="26"/>
      <c r="L73" s="26"/>
    </row>
    <row r="74" spans="1:12" ht="15" customHeight="1" x14ac:dyDescent="0.35">
      <c r="A74" s="26"/>
      <c r="B74" s="26" t="s">
        <v>142</v>
      </c>
      <c r="C74" s="27">
        <v>1</v>
      </c>
      <c r="D74" s="27">
        <v>42.2</v>
      </c>
      <c r="E74" s="27">
        <v>0.6</v>
      </c>
      <c r="F74" s="27"/>
      <c r="G74" s="27"/>
      <c r="H74" s="27"/>
      <c r="I74" s="27"/>
      <c r="J74" s="27">
        <f t="shared" si="3"/>
        <v>25.32</v>
      </c>
      <c r="K74" s="26"/>
      <c r="L74" s="26"/>
    </row>
    <row r="75" spans="1:12" ht="15" customHeight="1" x14ac:dyDescent="0.35">
      <c r="A75" s="26"/>
      <c r="B75" s="26" t="s">
        <v>143</v>
      </c>
      <c r="C75" s="27">
        <v>1</v>
      </c>
      <c r="D75" s="27">
        <v>98.69</v>
      </c>
      <c r="E75" s="27">
        <v>0.6</v>
      </c>
      <c r="F75" s="27"/>
      <c r="G75" s="27"/>
      <c r="H75" s="27"/>
      <c r="I75" s="27"/>
      <c r="J75" s="27">
        <f t="shared" si="3"/>
        <v>59.213999999999999</v>
      </c>
      <c r="K75" s="26"/>
      <c r="L75" s="26"/>
    </row>
    <row r="76" spans="1:12" ht="15" customHeight="1" x14ac:dyDescent="0.35">
      <c r="A76" s="26"/>
      <c r="B76" s="26" t="s">
        <v>144</v>
      </c>
      <c r="C76" s="27">
        <v>1</v>
      </c>
      <c r="D76" s="27">
        <v>23.6</v>
      </c>
      <c r="E76" s="27">
        <v>0.6</v>
      </c>
      <c r="F76" s="27"/>
      <c r="G76" s="27"/>
      <c r="H76" s="27"/>
      <c r="I76" s="27"/>
      <c r="J76" s="27">
        <f t="shared" si="3"/>
        <v>14.16</v>
      </c>
      <c r="K76" s="26"/>
      <c r="L76" s="26"/>
    </row>
    <row r="77" spans="1:12" ht="15" customHeight="1" x14ac:dyDescent="0.35">
      <c r="A77" s="26"/>
      <c r="B77" s="26" t="s">
        <v>145</v>
      </c>
      <c r="C77" s="27">
        <v>1</v>
      </c>
      <c r="D77" s="27">
        <v>60.6</v>
      </c>
      <c r="E77" s="27">
        <v>0.6</v>
      </c>
      <c r="F77" s="27"/>
      <c r="G77" s="27"/>
      <c r="H77" s="27"/>
      <c r="I77" s="27"/>
      <c r="J77" s="27">
        <f t="shared" si="3"/>
        <v>36.36</v>
      </c>
      <c r="K77" s="26"/>
      <c r="L77" s="26"/>
    </row>
    <row r="78" spans="1:12" ht="15" customHeight="1" x14ac:dyDescent="0.35">
      <c r="A78" s="26"/>
      <c r="B78" s="26" t="s">
        <v>146</v>
      </c>
      <c r="C78" s="27">
        <v>1</v>
      </c>
      <c r="D78" s="27">
        <v>42.66</v>
      </c>
      <c r="E78" s="27">
        <v>0.6</v>
      </c>
      <c r="F78" s="27"/>
      <c r="G78" s="27"/>
      <c r="H78" s="27"/>
      <c r="I78" s="27"/>
      <c r="J78" s="27">
        <f t="shared" si="3"/>
        <v>25.595999999999997</v>
      </c>
      <c r="K78" s="26"/>
      <c r="L78" s="26"/>
    </row>
    <row r="79" spans="1:12" ht="30.75" customHeight="1" x14ac:dyDescent="0.35">
      <c r="A79" s="24" t="s">
        <v>36</v>
      </c>
      <c r="B79" s="24" t="s">
        <v>37</v>
      </c>
      <c r="C79" s="25">
        <v>56</v>
      </c>
      <c r="D79" s="25"/>
      <c r="E79" s="25"/>
      <c r="F79" s="25"/>
      <c r="G79" s="25"/>
      <c r="H79" s="25"/>
      <c r="I79" s="25"/>
      <c r="J79" s="25"/>
      <c r="K79" s="25">
        <f>J80*C79</f>
        <v>3.1359999999999997</v>
      </c>
      <c r="L79" s="24" t="s">
        <v>25</v>
      </c>
    </row>
    <row r="80" spans="1:12" ht="20.25" customHeight="1" x14ac:dyDescent="0.35">
      <c r="A80" s="32"/>
      <c r="B80" s="32" t="s">
        <v>147</v>
      </c>
      <c r="C80" s="33"/>
      <c r="D80" s="33">
        <v>0.4</v>
      </c>
      <c r="E80" s="33">
        <v>0.35</v>
      </c>
      <c r="F80" s="33">
        <v>0.4</v>
      </c>
      <c r="G80" s="33"/>
      <c r="H80" s="33"/>
      <c r="I80" s="33"/>
      <c r="J80" s="33">
        <f>D80*E80*F80</f>
        <v>5.5999999999999994E-2</v>
      </c>
      <c r="K80" s="33"/>
      <c r="L80" s="32"/>
    </row>
    <row r="81" spans="1:12" ht="20.25" customHeight="1" x14ac:dyDescent="0.35">
      <c r="A81" s="2" t="s">
        <v>38</v>
      </c>
      <c r="B81" s="2" t="s">
        <v>39</v>
      </c>
      <c r="C81" s="29"/>
      <c r="D81" s="29"/>
      <c r="E81" s="29"/>
      <c r="F81" s="29"/>
      <c r="G81" s="29"/>
      <c r="H81" s="29"/>
      <c r="I81" s="29"/>
      <c r="J81" s="29"/>
      <c r="K81" s="29"/>
      <c r="L81" s="2"/>
    </row>
    <row r="82" spans="1:12" ht="15" customHeight="1" x14ac:dyDescent="0.35">
      <c r="A82" s="1" t="s">
        <v>40</v>
      </c>
      <c r="B82" s="1" t="s">
        <v>41</v>
      </c>
      <c r="C82" s="34"/>
      <c r="D82" s="34"/>
      <c r="E82" s="34"/>
      <c r="F82" s="34"/>
      <c r="G82" s="34"/>
      <c r="H82" s="34"/>
      <c r="I82" s="34"/>
      <c r="J82" s="34"/>
      <c r="K82" s="34"/>
      <c r="L82" s="1"/>
    </row>
    <row r="83" spans="1:12" ht="30.75" customHeight="1" x14ac:dyDescent="0.35">
      <c r="A83" s="24" t="s">
        <v>42</v>
      </c>
      <c r="B83" s="24" t="s">
        <v>751</v>
      </c>
      <c r="C83" s="25"/>
      <c r="D83" s="25"/>
      <c r="E83" s="25"/>
      <c r="F83" s="25"/>
      <c r="G83" s="25"/>
      <c r="H83" s="25"/>
      <c r="I83" s="25"/>
      <c r="J83" s="25"/>
      <c r="K83" s="25">
        <f>SUM(J84:J92)</f>
        <v>94.139800000000008</v>
      </c>
      <c r="L83" s="24" t="s">
        <v>25</v>
      </c>
    </row>
    <row r="84" spans="1:12" ht="15" customHeight="1" x14ac:dyDescent="0.35">
      <c r="A84" s="26"/>
      <c r="B84" s="26" t="s">
        <v>138</v>
      </c>
      <c r="C84" s="27">
        <v>1</v>
      </c>
      <c r="D84" s="27"/>
      <c r="E84" s="27"/>
      <c r="F84" s="27"/>
      <c r="G84" s="27"/>
      <c r="H84" s="27"/>
      <c r="I84" s="27"/>
      <c r="J84" s="27">
        <f>+'CONCRETO EN CUNETAS'!G10</f>
        <v>21.345600000000001</v>
      </c>
      <c r="K84" s="27"/>
      <c r="L84" s="26"/>
    </row>
    <row r="85" spans="1:12" ht="15" customHeight="1" x14ac:dyDescent="0.35">
      <c r="A85" s="26"/>
      <c r="B85" s="26" t="s">
        <v>139</v>
      </c>
      <c r="C85" s="27">
        <v>1</v>
      </c>
      <c r="D85" s="27"/>
      <c r="E85" s="27"/>
      <c r="F85" s="27"/>
      <c r="G85" s="27"/>
      <c r="H85" s="27"/>
      <c r="I85" s="27"/>
      <c r="J85" s="27">
        <f>+'CONCRETO EN CUNETAS'!G22</f>
        <v>4.6929999999999996</v>
      </c>
      <c r="K85" s="27"/>
      <c r="L85" s="26"/>
    </row>
    <row r="86" spans="1:12" ht="15" customHeight="1" x14ac:dyDescent="0.35">
      <c r="A86" s="26"/>
      <c r="B86" s="26" t="s">
        <v>140</v>
      </c>
      <c r="C86" s="27">
        <v>1</v>
      </c>
      <c r="D86" s="27"/>
      <c r="E86" s="27"/>
      <c r="F86" s="27"/>
      <c r="G86" s="27"/>
      <c r="H86" s="27"/>
      <c r="I86" s="27"/>
      <c r="J86" s="27">
        <f>+'CONCRETO EN CUNETAS'!G34</f>
        <v>2.94</v>
      </c>
      <c r="K86" s="27"/>
      <c r="L86" s="26"/>
    </row>
    <row r="87" spans="1:12" ht="15" customHeight="1" x14ac:dyDescent="0.35">
      <c r="A87" s="26"/>
      <c r="B87" s="26" t="s">
        <v>141</v>
      </c>
      <c r="C87" s="27">
        <v>1</v>
      </c>
      <c r="D87" s="27"/>
      <c r="E87" s="27"/>
      <c r="F87" s="27"/>
      <c r="G87" s="27"/>
      <c r="H87" s="27"/>
      <c r="I87" s="27"/>
      <c r="J87" s="27">
        <f>+'CONCRETO EN CUNETAS'!G46</f>
        <v>18.836200000000002</v>
      </c>
      <c r="K87" s="27"/>
      <c r="L87" s="26"/>
    </row>
    <row r="88" spans="1:12" ht="15" customHeight="1" x14ac:dyDescent="0.35">
      <c r="A88" s="26"/>
      <c r="B88" s="26" t="s">
        <v>142</v>
      </c>
      <c r="C88" s="27">
        <v>1</v>
      </c>
      <c r="D88" s="27"/>
      <c r="E88" s="27"/>
      <c r="F88" s="27"/>
      <c r="G88" s="27"/>
      <c r="H88" s="27"/>
      <c r="I88" s="27"/>
      <c r="J88" s="27">
        <f>+'CONCRETO EN CUNETAS'!G58</f>
        <v>6.5400000000000009</v>
      </c>
      <c r="K88" s="27"/>
      <c r="L88" s="26"/>
    </row>
    <row r="89" spans="1:12" ht="15" customHeight="1" x14ac:dyDescent="0.35">
      <c r="A89" s="26"/>
      <c r="B89" s="26" t="s">
        <v>143</v>
      </c>
      <c r="C89" s="27">
        <v>1</v>
      </c>
      <c r="D89" s="27"/>
      <c r="E89" s="27"/>
      <c r="F89" s="27"/>
      <c r="G89" s="27"/>
      <c r="H89" s="27"/>
      <c r="I89" s="27"/>
      <c r="J89" s="27">
        <f>+'CONCRETO EN CUNETAS'!G70</f>
        <v>20.434799999999999</v>
      </c>
      <c r="K89" s="27"/>
      <c r="L89" s="26"/>
    </row>
    <row r="90" spans="1:12" ht="15" customHeight="1" x14ac:dyDescent="0.35">
      <c r="A90" s="26"/>
      <c r="B90" s="26" t="s">
        <v>144</v>
      </c>
      <c r="C90" s="27">
        <v>1</v>
      </c>
      <c r="D90" s="27"/>
      <c r="E90" s="27"/>
      <c r="F90" s="27"/>
      <c r="G90" s="27"/>
      <c r="H90" s="27"/>
      <c r="I90" s="27"/>
      <c r="J90" s="27">
        <f>+'CONCRETO EN CUNETAS'!O10</f>
        <v>3.1080000000000005</v>
      </c>
      <c r="K90" s="27"/>
      <c r="L90" s="26"/>
    </row>
    <row r="91" spans="1:12" ht="15" customHeight="1" x14ac:dyDescent="0.35">
      <c r="A91" s="26"/>
      <c r="B91" s="26" t="s">
        <v>145</v>
      </c>
      <c r="C91" s="27">
        <v>1</v>
      </c>
      <c r="D91" s="27"/>
      <c r="E91" s="27"/>
      <c r="F91" s="27"/>
      <c r="G91" s="27"/>
      <c r="H91" s="27"/>
      <c r="I91" s="27"/>
      <c r="J91" s="27">
        <f>+'CONCRETO EN CUNETAS'!O22</f>
        <v>9.7489999999999988</v>
      </c>
      <c r="K91" s="27"/>
      <c r="L91" s="26"/>
    </row>
    <row r="92" spans="1:12" ht="15" customHeight="1" x14ac:dyDescent="0.35">
      <c r="A92" s="26"/>
      <c r="B92" s="26" t="s">
        <v>146</v>
      </c>
      <c r="C92" s="27">
        <v>1</v>
      </c>
      <c r="D92" s="27"/>
      <c r="E92" s="27"/>
      <c r="F92" s="27"/>
      <c r="G92" s="27"/>
      <c r="H92" s="27"/>
      <c r="I92" s="27"/>
      <c r="J92" s="27">
        <f>+'CONCRETO EN CUNETAS'!O34</f>
        <v>6.4932000000000007</v>
      </c>
      <c r="K92" s="27"/>
      <c r="L92" s="26"/>
    </row>
    <row r="93" spans="1:12" ht="30.75" customHeight="1" x14ac:dyDescent="0.35">
      <c r="A93" s="24" t="s">
        <v>43</v>
      </c>
      <c r="B93" s="24" t="s">
        <v>752</v>
      </c>
      <c r="C93" s="25"/>
      <c r="D93" s="25"/>
      <c r="E93" s="25"/>
      <c r="F93" s="25"/>
      <c r="G93" s="25"/>
      <c r="H93" s="25"/>
      <c r="I93" s="25"/>
      <c r="J93" s="25"/>
      <c r="K93" s="25">
        <f>SUM(J94:J102)</f>
        <v>1245.9159999999999</v>
      </c>
      <c r="L93" s="24" t="s">
        <v>18</v>
      </c>
    </row>
    <row r="94" spans="1:12" ht="15" customHeight="1" x14ac:dyDescent="0.35">
      <c r="A94" s="26"/>
      <c r="B94" s="26" t="s">
        <v>138</v>
      </c>
      <c r="C94" s="27">
        <v>1</v>
      </c>
      <c r="D94" s="27"/>
      <c r="E94" s="27"/>
      <c r="F94" s="27"/>
      <c r="G94" s="27"/>
      <c r="H94" s="27"/>
      <c r="I94" s="27"/>
      <c r="J94" s="27">
        <f>+'ENCOFRADO Y DESENCOFRADO'!H12</f>
        <v>291.25199999999995</v>
      </c>
      <c r="K94" s="27"/>
      <c r="L94" s="26"/>
    </row>
    <row r="95" spans="1:12" ht="15" customHeight="1" x14ac:dyDescent="0.35">
      <c r="A95" s="26"/>
      <c r="B95" s="26" t="s">
        <v>139</v>
      </c>
      <c r="C95" s="27">
        <v>1</v>
      </c>
      <c r="D95" s="27"/>
      <c r="E95" s="27"/>
      <c r="F95" s="27"/>
      <c r="G95" s="27"/>
      <c r="H95" s="27"/>
      <c r="I95" s="27"/>
      <c r="J95" s="27">
        <f>+'ENCOFRADO Y DESENCOFRADO'!P12</f>
        <v>59.620000000000005</v>
      </c>
      <c r="K95" s="27"/>
      <c r="L95" s="26"/>
    </row>
    <row r="96" spans="1:12" ht="15" customHeight="1" x14ac:dyDescent="0.35">
      <c r="A96" s="26"/>
      <c r="B96" s="26" t="s">
        <v>140</v>
      </c>
      <c r="C96" s="27">
        <v>1</v>
      </c>
      <c r="D96" s="27"/>
      <c r="E96" s="27"/>
      <c r="F96" s="27"/>
      <c r="G96" s="27"/>
      <c r="H96" s="27"/>
      <c r="I96" s="27"/>
      <c r="J96" s="27">
        <f>+'ENCOFRADO Y DESENCOFRADO'!H23</f>
        <v>36.400000000000006</v>
      </c>
      <c r="K96" s="27"/>
      <c r="L96" s="26"/>
    </row>
    <row r="97" spans="1:12" ht="15" customHeight="1" x14ac:dyDescent="0.35">
      <c r="A97" s="26"/>
      <c r="B97" s="26" t="s">
        <v>141</v>
      </c>
      <c r="C97" s="27">
        <v>1</v>
      </c>
      <c r="D97" s="27"/>
      <c r="E97" s="27"/>
      <c r="F97" s="27"/>
      <c r="G97" s="27"/>
      <c r="H97" s="27"/>
      <c r="I97" s="27"/>
      <c r="J97" s="27">
        <f>+'ENCOFRADO Y DESENCOFRADO'!P23</f>
        <v>256.00400000000002</v>
      </c>
      <c r="K97" s="27"/>
      <c r="L97" s="26"/>
    </row>
    <row r="98" spans="1:12" ht="15" customHeight="1" x14ac:dyDescent="0.35">
      <c r="A98" s="26"/>
      <c r="B98" s="26" t="s">
        <v>142</v>
      </c>
      <c r="C98" s="27">
        <v>1</v>
      </c>
      <c r="D98" s="27"/>
      <c r="E98" s="27"/>
      <c r="F98" s="27"/>
      <c r="G98" s="27"/>
      <c r="H98" s="27"/>
      <c r="I98" s="27"/>
      <c r="J98" s="27">
        <f>+'ENCOFRADO Y DESENCOFRADO'!H34</f>
        <v>82.660000000000011</v>
      </c>
      <c r="K98" s="27"/>
      <c r="L98" s="26"/>
    </row>
    <row r="99" spans="1:12" ht="15" customHeight="1" x14ac:dyDescent="0.35">
      <c r="A99" s="26"/>
      <c r="B99" s="26" t="s">
        <v>143</v>
      </c>
      <c r="C99" s="27">
        <v>1</v>
      </c>
      <c r="D99" s="27"/>
      <c r="E99" s="27"/>
      <c r="F99" s="27"/>
      <c r="G99" s="27"/>
      <c r="H99" s="27"/>
      <c r="I99" s="27"/>
      <c r="J99" s="27">
        <f>+'ENCOFRADO Y DESENCOFRADO'!P34</f>
        <v>270.29599999999999</v>
      </c>
      <c r="K99" s="27"/>
      <c r="L99" s="26"/>
    </row>
    <row r="100" spans="1:12" ht="15" customHeight="1" x14ac:dyDescent="0.35">
      <c r="A100" s="26"/>
      <c r="B100" s="26" t="s">
        <v>144</v>
      </c>
      <c r="C100" s="27">
        <v>1</v>
      </c>
      <c r="D100" s="27"/>
      <c r="E100" s="27"/>
      <c r="F100" s="27"/>
      <c r="G100" s="27"/>
      <c r="H100" s="27"/>
      <c r="I100" s="27"/>
      <c r="J100" s="27">
        <f>+'ENCOFRADO Y DESENCOFRADO'!H45</f>
        <v>38.56</v>
      </c>
      <c r="K100" s="27"/>
      <c r="L100" s="26"/>
    </row>
    <row r="101" spans="1:12" ht="15" customHeight="1" x14ac:dyDescent="0.35">
      <c r="A101" s="26"/>
      <c r="B101" s="26" t="s">
        <v>145</v>
      </c>
      <c r="C101" s="27">
        <v>1</v>
      </c>
      <c r="D101" s="27"/>
      <c r="E101" s="27"/>
      <c r="F101" s="27"/>
      <c r="G101" s="27"/>
      <c r="H101" s="27"/>
      <c r="I101" s="27"/>
      <c r="J101" s="27">
        <f>+'ENCOFRADO Y DESENCOFRADO'!P45</f>
        <v>127.92</v>
      </c>
      <c r="K101" s="27"/>
      <c r="L101" s="26"/>
    </row>
    <row r="102" spans="1:12" ht="15" customHeight="1" x14ac:dyDescent="0.35">
      <c r="A102" s="26"/>
      <c r="B102" s="26" t="s">
        <v>146</v>
      </c>
      <c r="C102" s="27">
        <v>1</v>
      </c>
      <c r="D102" s="27"/>
      <c r="E102" s="27"/>
      <c r="F102" s="27"/>
      <c r="G102" s="27"/>
      <c r="H102" s="27"/>
      <c r="I102" s="27"/>
      <c r="J102" s="27">
        <f>+'ENCOFRADO Y DESENCOFRADO'!H57</f>
        <v>83.203999999999994</v>
      </c>
      <c r="K102" s="27"/>
      <c r="L102" s="26"/>
    </row>
    <row r="103" spans="1:12" ht="30.75" customHeight="1" x14ac:dyDescent="0.35">
      <c r="A103" s="24" t="s">
        <v>44</v>
      </c>
      <c r="B103" s="24" t="s">
        <v>45</v>
      </c>
      <c r="C103" s="25"/>
      <c r="D103" s="25"/>
      <c r="E103" s="25"/>
      <c r="F103" s="25"/>
      <c r="G103" s="25"/>
      <c r="H103" s="25"/>
      <c r="I103" s="25"/>
      <c r="J103" s="25"/>
      <c r="K103" s="25">
        <f>+'METRADO ACERO'!AG28</f>
        <v>3354.7297280000007</v>
      </c>
      <c r="L103" s="24" t="s">
        <v>46</v>
      </c>
    </row>
    <row r="104" spans="1:12" ht="15" customHeight="1" x14ac:dyDescent="0.35">
      <c r="A104" s="26"/>
      <c r="B104" s="26"/>
      <c r="C104" s="26"/>
      <c r="D104" s="26"/>
      <c r="E104" s="26"/>
      <c r="F104" s="26"/>
      <c r="G104" s="26"/>
      <c r="H104" s="26"/>
      <c r="I104" s="26"/>
      <c r="J104" s="26"/>
      <c r="K104" s="27"/>
      <c r="L104" s="26"/>
    </row>
    <row r="105" spans="1:12" ht="15" customHeight="1" x14ac:dyDescent="0.35">
      <c r="A105" s="35" t="s">
        <v>47</v>
      </c>
      <c r="B105" s="35" t="s">
        <v>48</v>
      </c>
      <c r="C105" s="35"/>
      <c r="D105" s="35"/>
      <c r="E105" s="35"/>
      <c r="F105" s="35"/>
      <c r="G105" s="35"/>
      <c r="H105" s="35"/>
      <c r="I105" s="35"/>
      <c r="J105" s="35"/>
      <c r="K105" s="36">
        <f>+'METRADO DE CURADO'!M27</f>
        <v>801.58330000000001</v>
      </c>
      <c r="L105" s="35" t="s">
        <v>18</v>
      </c>
    </row>
    <row r="106" spans="1:12" ht="15" customHeight="1" x14ac:dyDescent="0.35">
      <c r="A106" s="37"/>
      <c r="B106" s="37"/>
      <c r="C106" s="37"/>
      <c r="D106" s="37"/>
      <c r="E106" s="37"/>
      <c r="F106" s="37"/>
      <c r="G106" s="37"/>
      <c r="H106" s="37"/>
      <c r="I106" s="37"/>
      <c r="J106" s="37"/>
      <c r="K106" s="38"/>
      <c r="L106" s="37"/>
    </row>
    <row r="107" spans="1:12" ht="15" customHeight="1" x14ac:dyDescent="0.35">
      <c r="A107" s="1" t="s">
        <v>49</v>
      </c>
      <c r="B107" s="242" t="s">
        <v>50</v>
      </c>
      <c r="C107" s="242"/>
      <c r="D107" s="242"/>
      <c r="E107" s="242"/>
      <c r="F107" s="242"/>
      <c r="G107" s="242"/>
      <c r="H107" s="242"/>
      <c r="I107" s="242"/>
      <c r="J107" s="242"/>
      <c r="K107" s="242"/>
      <c r="L107" s="242"/>
    </row>
    <row r="108" spans="1:12" ht="46.5" customHeight="1" x14ac:dyDescent="0.35">
      <c r="A108" s="24" t="s">
        <v>51</v>
      </c>
      <c r="B108" s="24" t="s">
        <v>150</v>
      </c>
      <c r="C108" s="24"/>
      <c r="D108" s="24"/>
      <c r="E108" s="24"/>
      <c r="F108" s="24"/>
      <c r="G108" s="24"/>
      <c r="H108" s="24"/>
      <c r="I108" s="24"/>
      <c r="J108" s="24"/>
      <c r="K108" s="28">
        <f>+'METRADO DE REJILLAS'!G27</f>
        <v>373.85</v>
      </c>
      <c r="L108" s="39" t="s">
        <v>65</v>
      </c>
    </row>
    <row r="109" spans="1:12" ht="15" customHeight="1" x14ac:dyDescent="0.35">
      <c r="A109" s="35" t="s">
        <v>53</v>
      </c>
      <c r="B109" s="35" t="s">
        <v>54</v>
      </c>
      <c r="C109" s="35"/>
      <c r="D109" s="35"/>
      <c r="E109" s="35"/>
      <c r="F109" s="35"/>
      <c r="G109" s="35"/>
      <c r="H109" s="35"/>
      <c r="I109" s="35"/>
      <c r="J109" s="35"/>
      <c r="K109" s="40">
        <f>+'PLANILLA TAPAS REGISTRO INTERNO'!J9</f>
        <v>18</v>
      </c>
      <c r="L109" s="41" t="s">
        <v>55</v>
      </c>
    </row>
    <row r="110" spans="1:12" ht="30.75" customHeight="1" x14ac:dyDescent="0.35">
      <c r="A110" s="35" t="s">
        <v>56</v>
      </c>
      <c r="B110" s="35" t="s">
        <v>57</v>
      </c>
      <c r="C110" s="35"/>
      <c r="D110" s="35"/>
      <c r="E110" s="35"/>
      <c r="F110" s="35"/>
      <c r="G110" s="35"/>
      <c r="H110" s="35"/>
      <c r="I110" s="35"/>
      <c r="J110" s="35"/>
      <c r="K110" s="28">
        <f>+'METRADO JUNTA DE DILATACION'!J12</f>
        <v>252.28687634476802</v>
      </c>
      <c r="L110" s="41" t="s">
        <v>65</v>
      </c>
    </row>
    <row r="111" spans="1:12" ht="30.75" customHeight="1" x14ac:dyDescent="0.35">
      <c r="A111" s="35" t="s">
        <v>58</v>
      </c>
      <c r="B111" s="35" t="s">
        <v>59</v>
      </c>
      <c r="C111" s="35"/>
      <c r="D111" s="35"/>
      <c r="E111" s="35"/>
      <c r="F111" s="35"/>
      <c r="G111" s="35"/>
      <c r="H111" s="35"/>
      <c r="I111" s="35"/>
      <c r="J111" s="35"/>
      <c r="K111" s="28">
        <f>+'METRADO LLORADEROS'!G42</f>
        <v>226</v>
      </c>
      <c r="L111" s="41" t="s">
        <v>55</v>
      </c>
    </row>
    <row r="112" spans="1:12" ht="15" customHeight="1" x14ac:dyDescent="0.35">
      <c r="A112" s="42"/>
      <c r="B112" s="42"/>
      <c r="C112" s="42"/>
      <c r="D112" s="42"/>
      <c r="E112" s="42"/>
      <c r="F112" s="42"/>
      <c r="G112" s="42"/>
      <c r="H112" s="42"/>
      <c r="I112" s="42"/>
      <c r="J112" s="42"/>
      <c r="K112" s="43"/>
      <c r="L112" s="42"/>
    </row>
    <row r="113" spans="1:12" ht="15" customHeight="1" x14ac:dyDescent="0.35">
      <c r="A113" s="2" t="s">
        <v>60</v>
      </c>
      <c r="B113" s="241" t="s">
        <v>61</v>
      </c>
      <c r="C113" s="241"/>
      <c r="D113" s="241"/>
      <c r="E113" s="241"/>
      <c r="F113" s="241"/>
      <c r="G113" s="241"/>
      <c r="H113" s="241"/>
      <c r="I113" s="241"/>
      <c r="J113" s="241"/>
      <c r="K113" s="241"/>
      <c r="L113" s="241"/>
    </row>
    <row r="114" spans="1:12" ht="15" customHeight="1" x14ac:dyDescent="0.35">
      <c r="A114" s="1" t="s">
        <v>62</v>
      </c>
      <c r="B114" s="243" t="s">
        <v>63</v>
      </c>
      <c r="C114" s="243"/>
      <c r="D114" s="243"/>
      <c r="E114" s="243"/>
      <c r="F114" s="243"/>
      <c r="G114" s="243"/>
      <c r="H114" s="243"/>
      <c r="I114" s="243"/>
      <c r="J114" s="243"/>
      <c r="K114" s="243"/>
      <c r="L114" s="243"/>
    </row>
    <row r="115" spans="1:12" ht="15" customHeight="1" x14ac:dyDescent="0.35">
      <c r="A115" s="24" t="s">
        <v>64</v>
      </c>
      <c r="B115" s="24" t="s">
        <v>151</v>
      </c>
      <c r="C115" s="24"/>
      <c r="D115" s="24"/>
      <c r="E115" s="24"/>
      <c r="F115" s="24"/>
      <c r="G115" s="24"/>
      <c r="H115" s="24"/>
      <c r="I115" s="24"/>
      <c r="J115" s="24"/>
      <c r="K115" s="28">
        <f>+'METRADO MONTANTES'!F49</f>
        <v>408.01999999999987</v>
      </c>
      <c r="L115" s="24" t="s">
        <v>65</v>
      </c>
    </row>
    <row r="116" spans="1:12" ht="30.75" customHeight="1" x14ac:dyDescent="0.35">
      <c r="A116" s="35" t="s">
        <v>66</v>
      </c>
      <c r="B116" s="35" t="s">
        <v>67</v>
      </c>
      <c r="C116" s="35"/>
      <c r="D116" s="35"/>
      <c r="E116" s="35"/>
      <c r="F116" s="35"/>
      <c r="G116" s="35"/>
      <c r="H116" s="35"/>
      <c r="I116" s="35"/>
      <c r="J116" s="36"/>
      <c r="K116" s="40">
        <v>56</v>
      </c>
      <c r="L116" s="35" t="s">
        <v>55</v>
      </c>
    </row>
    <row r="117" spans="1:12" ht="30.75" customHeight="1" x14ac:dyDescent="0.35">
      <c r="A117" s="44" t="s">
        <v>68</v>
      </c>
      <c r="B117" s="45" t="s">
        <v>69</v>
      </c>
      <c r="C117" s="46">
        <v>56</v>
      </c>
      <c r="D117" s="47"/>
      <c r="E117" s="47"/>
      <c r="F117" s="47"/>
      <c r="G117" s="47"/>
      <c r="H117" s="48"/>
      <c r="I117" s="48"/>
      <c r="J117" s="48"/>
      <c r="K117" s="49">
        <f>J118*C117</f>
        <v>2.1840000000000002</v>
      </c>
      <c r="L117" s="45" t="s">
        <v>152</v>
      </c>
    </row>
    <row r="118" spans="1:12" ht="15" customHeight="1" x14ac:dyDescent="0.35">
      <c r="A118" s="50"/>
      <c r="B118" s="42"/>
      <c r="C118" s="51"/>
      <c r="D118" s="52">
        <v>1.3</v>
      </c>
      <c r="E118" s="52">
        <v>0.15</v>
      </c>
      <c r="F118" s="52">
        <v>0.2</v>
      </c>
      <c r="G118" s="53"/>
      <c r="H118" s="43"/>
      <c r="I118" s="43"/>
      <c r="J118" s="43">
        <f>D118*E118*F118</f>
        <v>3.9000000000000007E-2</v>
      </c>
      <c r="K118" s="54"/>
      <c r="L118" s="42"/>
    </row>
    <row r="119" spans="1:12" ht="46.5" customHeight="1" x14ac:dyDescent="0.35">
      <c r="A119" s="55" t="s">
        <v>70</v>
      </c>
      <c r="B119" s="45" t="s">
        <v>71</v>
      </c>
      <c r="C119" s="56">
        <v>56</v>
      </c>
      <c r="D119" s="45"/>
      <c r="E119" s="45"/>
      <c r="F119" s="45"/>
      <c r="G119" s="45"/>
      <c r="H119" s="48"/>
      <c r="I119" s="48"/>
      <c r="J119" s="48"/>
      <c r="K119" s="57">
        <f>K120*C119</f>
        <v>36.4</v>
      </c>
      <c r="L119" s="45" t="s">
        <v>153</v>
      </c>
    </row>
    <row r="120" spans="1:12" ht="15" customHeight="1" x14ac:dyDescent="0.35">
      <c r="A120" s="58"/>
      <c r="B120" s="42"/>
      <c r="C120" s="59">
        <v>2</v>
      </c>
      <c r="D120" s="52">
        <v>1.3</v>
      </c>
      <c r="E120" s="52">
        <v>0.15</v>
      </c>
      <c r="F120" s="42"/>
      <c r="G120" s="42"/>
      <c r="H120" s="43"/>
      <c r="I120" s="43"/>
      <c r="J120" s="43">
        <f>C120*D120*E120</f>
        <v>0.39</v>
      </c>
      <c r="K120" s="239">
        <f>J120+J121</f>
        <v>0.65</v>
      </c>
      <c r="L120" s="42"/>
    </row>
    <row r="121" spans="1:12" ht="15" customHeight="1" x14ac:dyDescent="0.35">
      <c r="A121" s="58"/>
      <c r="B121" s="42"/>
      <c r="C121" s="59">
        <v>1</v>
      </c>
      <c r="D121" s="52">
        <v>1.3</v>
      </c>
      <c r="E121" s="52">
        <v>0.2</v>
      </c>
      <c r="F121" s="42"/>
      <c r="G121" s="42"/>
      <c r="H121" s="43"/>
      <c r="I121" s="43"/>
      <c r="J121" s="43">
        <f>C121*D121*E121</f>
        <v>0.26</v>
      </c>
      <c r="K121" s="239"/>
      <c r="L121" s="42"/>
    </row>
    <row r="122" spans="1:12" ht="30.75" customHeight="1" x14ac:dyDescent="0.35">
      <c r="A122" s="55" t="s">
        <v>72</v>
      </c>
      <c r="B122" s="45" t="s">
        <v>73</v>
      </c>
      <c r="C122" s="56">
        <v>56</v>
      </c>
      <c r="D122" s="45"/>
      <c r="E122" s="45"/>
      <c r="F122" s="45"/>
      <c r="G122" s="45"/>
      <c r="H122" s="48"/>
      <c r="I122" s="48"/>
      <c r="J122" s="48"/>
      <c r="K122" s="57">
        <f>K123*C122</f>
        <v>314.22720000000004</v>
      </c>
      <c r="L122" s="45" t="s">
        <v>154</v>
      </c>
    </row>
    <row r="123" spans="1:12" ht="15" customHeight="1" x14ac:dyDescent="0.35">
      <c r="A123" s="58"/>
      <c r="B123" s="26" t="s">
        <v>155</v>
      </c>
      <c r="C123" s="26"/>
      <c r="D123" s="27">
        <v>1.2</v>
      </c>
      <c r="E123" s="27">
        <v>4</v>
      </c>
      <c r="F123" s="27">
        <v>0.56000000000000005</v>
      </c>
      <c r="G123" s="27"/>
      <c r="H123" s="27"/>
      <c r="I123" s="27"/>
      <c r="J123" s="27">
        <f>D123*E123*F123</f>
        <v>2.6880000000000002</v>
      </c>
      <c r="K123" s="240">
        <f>+J123+J124</f>
        <v>5.6112000000000002</v>
      </c>
      <c r="L123" s="26"/>
    </row>
    <row r="124" spans="1:12" ht="15" customHeight="1" x14ac:dyDescent="0.35">
      <c r="A124" s="58"/>
      <c r="B124" s="26" t="s">
        <v>156</v>
      </c>
      <c r="C124" s="26"/>
      <c r="D124" s="27">
        <v>0.57999999999999996</v>
      </c>
      <c r="E124" s="27">
        <v>9</v>
      </c>
      <c r="F124" s="27">
        <v>0.56000000000000005</v>
      </c>
      <c r="G124" s="27"/>
      <c r="H124" s="27"/>
      <c r="I124" s="27"/>
      <c r="J124" s="27">
        <f>D124*E124*F124</f>
        <v>2.9232</v>
      </c>
      <c r="K124" s="240"/>
      <c r="L124" s="26"/>
    </row>
    <row r="125" spans="1:12" ht="46.5" customHeight="1" x14ac:dyDescent="0.35">
      <c r="A125" s="24" t="s">
        <v>74</v>
      </c>
      <c r="B125" s="24" t="s">
        <v>75</v>
      </c>
      <c r="C125" s="24"/>
      <c r="D125" s="24"/>
      <c r="E125" s="24"/>
      <c r="F125" s="24"/>
      <c r="G125" s="24"/>
      <c r="H125" s="24"/>
      <c r="I125" s="24"/>
      <c r="J125" s="24"/>
      <c r="K125" s="28">
        <f>+'METRADO CANALETAS'!E44</f>
        <v>523.15999999999985</v>
      </c>
      <c r="L125" s="24" t="s">
        <v>65</v>
      </c>
    </row>
    <row r="126" spans="1:12" ht="30.75" customHeight="1" x14ac:dyDescent="0.35">
      <c r="A126" s="24" t="s">
        <v>76</v>
      </c>
      <c r="B126" s="24" t="s">
        <v>77</v>
      </c>
      <c r="C126" s="24"/>
      <c r="D126" s="24"/>
      <c r="E126" s="24"/>
      <c r="F126" s="24"/>
      <c r="G126" s="24"/>
      <c r="H126" s="24"/>
      <c r="I126" s="24"/>
      <c r="J126" s="24"/>
      <c r="K126" s="28">
        <f>+'METRADO CANALETAS'!G44</f>
        <v>906</v>
      </c>
      <c r="L126" s="24" t="s">
        <v>55</v>
      </c>
    </row>
    <row r="127" spans="1:12" ht="30.75" customHeight="1" x14ac:dyDescent="0.35">
      <c r="A127" s="24" t="s">
        <v>78</v>
      </c>
      <c r="B127" s="24" t="s">
        <v>79</v>
      </c>
      <c r="C127" s="24"/>
      <c r="D127" s="24"/>
      <c r="E127" s="24"/>
      <c r="F127" s="24"/>
      <c r="G127" s="24"/>
      <c r="H127" s="24"/>
      <c r="I127" s="24"/>
      <c r="J127" s="24"/>
      <c r="K127" s="28">
        <f>+'METRADO CANALETAS'!I44</f>
        <v>44</v>
      </c>
      <c r="L127" s="24" t="s">
        <v>55</v>
      </c>
    </row>
    <row r="128" spans="1:12" ht="46.5" customHeight="1" x14ac:dyDescent="0.35">
      <c r="A128" s="24" t="s">
        <v>80</v>
      </c>
      <c r="B128" s="24" t="s">
        <v>81</v>
      </c>
      <c r="C128" s="24"/>
      <c r="D128" s="24"/>
      <c r="E128" s="24"/>
      <c r="F128" s="24"/>
      <c r="G128" s="24"/>
      <c r="H128" s="24"/>
      <c r="I128" s="24"/>
      <c r="J128" s="24"/>
      <c r="K128" s="28">
        <f>+'METRADO CANALETAS'!K44</f>
        <v>52</v>
      </c>
      <c r="L128" s="24" t="s">
        <v>55</v>
      </c>
    </row>
    <row r="129" spans="1:12" ht="15" customHeight="1" x14ac:dyDescent="0.35">
      <c r="A129" s="58"/>
      <c r="B129" s="42"/>
      <c r="C129" s="42"/>
      <c r="D129" s="42"/>
      <c r="E129" s="42"/>
      <c r="F129" s="42"/>
      <c r="G129" s="42"/>
      <c r="H129" s="43"/>
      <c r="I129" s="43"/>
      <c r="J129" s="43"/>
      <c r="K129" s="43"/>
      <c r="L129" s="42"/>
    </row>
    <row r="130" spans="1:12" ht="15" customHeight="1" x14ac:dyDescent="0.35">
      <c r="A130" s="1" t="s">
        <v>82</v>
      </c>
      <c r="B130" s="1" t="s">
        <v>83</v>
      </c>
      <c r="C130" s="1"/>
      <c r="D130" s="1"/>
      <c r="E130" s="1"/>
      <c r="F130" s="1"/>
      <c r="G130" s="1"/>
      <c r="H130" s="1"/>
      <c r="I130" s="1"/>
      <c r="J130" s="34"/>
      <c r="K130" s="34"/>
      <c r="L130" s="1"/>
    </row>
    <row r="131" spans="1:12" ht="15" customHeight="1" x14ac:dyDescent="0.35">
      <c r="A131" s="24" t="s">
        <v>84</v>
      </c>
      <c r="B131" s="24" t="s">
        <v>753</v>
      </c>
      <c r="C131" s="24"/>
      <c r="D131" s="24"/>
      <c r="E131" s="24"/>
      <c r="F131" s="24"/>
      <c r="G131" s="24"/>
      <c r="H131" s="24"/>
      <c r="I131" s="24"/>
      <c r="J131" s="25"/>
      <c r="K131" s="25">
        <f>+'METRADO  EN PISO (SUMIDERO)'!B11</f>
        <v>92.08</v>
      </c>
      <c r="L131" s="24" t="s">
        <v>65</v>
      </c>
    </row>
    <row r="132" spans="1:12" ht="30.75" customHeight="1" x14ac:dyDescent="0.35">
      <c r="A132" s="35" t="s">
        <v>85</v>
      </c>
      <c r="B132" s="35" t="s">
        <v>86</v>
      </c>
      <c r="C132" s="35"/>
      <c r="D132" s="35"/>
      <c r="E132" s="35"/>
      <c r="F132" s="35"/>
      <c r="G132" s="35"/>
      <c r="H132" s="35"/>
      <c r="I132" s="35"/>
      <c r="J132" s="36"/>
      <c r="K132" s="25">
        <f>+'METRADO  EN PISO (SUMIDERO)'!C11</f>
        <v>16</v>
      </c>
      <c r="L132" s="35" t="s">
        <v>55</v>
      </c>
    </row>
    <row r="133" spans="1:12" ht="15" customHeight="1" x14ac:dyDescent="0.35">
      <c r="A133" s="35" t="s">
        <v>87</v>
      </c>
      <c r="B133" s="35" t="s">
        <v>92</v>
      </c>
      <c r="C133" s="35"/>
      <c r="D133" s="35"/>
      <c r="E133" s="35"/>
      <c r="F133" s="35"/>
      <c r="G133" s="35"/>
      <c r="H133" s="35"/>
      <c r="I133" s="35"/>
      <c r="J133" s="36"/>
      <c r="K133" s="25">
        <f>+'METRADO  EN PISO (SUMIDERO)'!D11</f>
        <v>13</v>
      </c>
      <c r="L133" s="35" t="s">
        <v>55</v>
      </c>
    </row>
    <row r="134" spans="1:12" ht="15" customHeight="1" x14ac:dyDescent="0.35">
      <c r="A134" s="35" t="s">
        <v>88</v>
      </c>
      <c r="B134" s="35" t="s">
        <v>754</v>
      </c>
      <c r="C134" s="35"/>
      <c r="D134" s="35"/>
      <c r="E134" s="35"/>
      <c r="F134" s="35"/>
      <c r="G134" s="35"/>
      <c r="H134" s="35"/>
      <c r="I134" s="35"/>
      <c r="J134" s="36"/>
      <c r="K134" s="25">
        <f>+'METRADO  EN PISO (SUMIDERO)'!F11</f>
        <v>3</v>
      </c>
      <c r="L134" s="35" t="s">
        <v>55</v>
      </c>
    </row>
    <row r="135" spans="1:12" ht="15" customHeight="1" x14ac:dyDescent="0.35">
      <c r="A135" s="42"/>
      <c r="B135" s="42"/>
      <c r="C135" s="42"/>
      <c r="D135" s="42"/>
      <c r="E135" s="42"/>
      <c r="F135" s="42"/>
      <c r="G135" s="42"/>
      <c r="H135" s="42"/>
      <c r="I135" s="42"/>
      <c r="J135" s="43"/>
      <c r="K135" s="43"/>
      <c r="L135" s="42"/>
    </row>
    <row r="136" spans="1:12" ht="15" customHeight="1" x14ac:dyDescent="0.35">
      <c r="A136" s="1" t="s">
        <v>89</v>
      </c>
      <c r="B136" s="1" t="s">
        <v>90</v>
      </c>
      <c r="C136" s="1"/>
      <c r="D136" s="1"/>
      <c r="E136" s="1"/>
      <c r="F136" s="1"/>
      <c r="G136" s="1"/>
      <c r="H136" s="1"/>
      <c r="I136" s="1"/>
      <c r="J136" s="34"/>
      <c r="K136" s="34"/>
      <c r="L136" s="1"/>
    </row>
    <row r="137" spans="1:12" ht="15" customHeight="1" x14ac:dyDescent="0.35">
      <c r="A137" s="35" t="s">
        <v>91</v>
      </c>
      <c r="B137" s="24" t="s">
        <v>92</v>
      </c>
      <c r="C137" s="24"/>
      <c r="D137" s="24"/>
      <c r="E137" s="24"/>
      <c r="F137" s="24"/>
      <c r="G137" s="24"/>
      <c r="H137" s="24"/>
      <c r="I137" s="24"/>
      <c r="J137" s="25"/>
      <c r="K137" s="25">
        <f>+'METRADO MONTANTES'!I49</f>
        <v>168</v>
      </c>
      <c r="L137" s="24" t="s">
        <v>55</v>
      </c>
    </row>
    <row r="138" spans="1:12" ht="22.5" customHeight="1" x14ac:dyDescent="0.35">
      <c r="A138" s="35" t="s">
        <v>93</v>
      </c>
      <c r="B138" s="24" t="s">
        <v>94</v>
      </c>
      <c r="C138" s="24"/>
      <c r="D138" s="24"/>
      <c r="E138" s="24"/>
      <c r="F138" s="24"/>
      <c r="G138" s="24"/>
      <c r="H138" s="24"/>
      <c r="I138" s="24"/>
      <c r="J138" s="25"/>
      <c r="K138" s="25">
        <f>+'METRADO MONTANTES'!O49</f>
        <v>100</v>
      </c>
      <c r="L138" s="24" t="s">
        <v>55</v>
      </c>
    </row>
    <row r="139" spans="1:12" ht="30.75" customHeight="1" x14ac:dyDescent="0.35">
      <c r="A139" s="35" t="s">
        <v>95</v>
      </c>
      <c r="B139" s="24" t="s">
        <v>96</v>
      </c>
      <c r="C139" s="24"/>
      <c r="D139" s="24"/>
      <c r="E139" s="24"/>
      <c r="F139" s="24"/>
      <c r="G139" s="24"/>
      <c r="H139" s="24"/>
      <c r="I139" s="24"/>
      <c r="J139" s="24"/>
      <c r="K139" s="25">
        <f>+'METRADO MONTANTES'!L49</f>
        <v>80</v>
      </c>
      <c r="L139" s="24" t="s">
        <v>55</v>
      </c>
    </row>
    <row r="141" spans="1:12" ht="48" customHeight="1" x14ac:dyDescent="0.35">
      <c r="A141" s="2" t="s">
        <v>97</v>
      </c>
      <c r="B141" s="2" t="s">
        <v>98</v>
      </c>
      <c r="C141" s="60"/>
      <c r="D141" s="60"/>
      <c r="E141" s="60"/>
      <c r="F141" s="60"/>
      <c r="G141" s="60"/>
      <c r="H141" s="60"/>
      <c r="I141" s="60"/>
      <c r="J141" s="60"/>
      <c r="K141" s="60"/>
      <c r="L141" s="61"/>
    </row>
    <row r="142" spans="1:12" ht="15" customHeight="1" x14ac:dyDescent="0.35">
      <c r="A142" s="2" t="s">
        <v>99</v>
      </c>
      <c r="B142" s="2" t="s">
        <v>15</v>
      </c>
      <c r="C142" s="62"/>
      <c r="D142" s="62"/>
      <c r="E142" s="62"/>
      <c r="F142" s="62"/>
      <c r="G142" s="62"/>
      <c r="H142" s="62"/>
      <c r="I142" s="62"/>
      <c r="J142" s="62"/>
      <c r="K142" s="62"/>
      <c r="L142" s="63"/>
    </row>
    <row r="143" spans="1:12" ht="15" customHeight="1" x14ac:dyDescent="0.35">
      <c r="A143" s="24" t="s">
        <v>100</v>
      </c>
      <c r="B143" s="24" t="s">
        <v>17</v>
      </c>
      <c r="C143" s="25"/>
      <c r="D143" s="25"/>
      <c r="E143" s="25"/>
      <c r="F143" s="25"/>
      <c r="G143" s="25"/>
      <c r="H143" s="25"/>
      <c r="I143" s="25"/>
      <c r="J143" s="25"/>
      <c r="K143" s="25">
        <f>SUM(J144:J146)</f>
        <v>147.40599999999998</v>
      </c>
      <c r="L143" s="24" t="s">
        <v>18</v>
      </c>
    </row>
    <row r="144" spans="1:12" ht="30.75" customHeight="1" x14ac:dyDescent="0.35">
      <c r="A144" s="26"/>
      <c r="B144" s="26" t="s">
        <v>157</v>
      </c>
      <c r="C144" s="27">
        <v>1</v>
      </c>
      <c r="D144" s="27"/>
      <c r="E144" s="27"/>
      <c r="F144" s="27"/>
      <c r="G144" s="27"/>
      <c r="H144" s="27"/>
      <c r="I144" s="27"/>
      <c r="J144" s="27">
        <f>'COLECTOR MOV. TIERRAS'!M10</f>
        <v>8.5119999999999987</v>
      </c>
      <c r="K144" s="27"/>
      <c r="L144" s="26"/>
    </row>
    <row r="145" spans="1:12" ht="15" customHeight="1" x14ac:dyDescent="0.35">
      <c r="A145" s="26"/>
      <c r="B145" s="26" t="s">
        <v>158</v>
      </c>
      <c r="C145" s="27">
        <v>1</v>
      </c>
      <c r="D145" s="27"/>
      <c r="E145" s="27"/>
      <c r="F145" s="27"/>
      <c r="G145" s="27"/>
      <c r="H145" s="27"/>
      <c r="I145" s="27"/>
      <c r="J145" s="27">
        <f>'COLECTOR MOV. TIERRAS'!M11</f>
        <v>132.74799999999999</v>
      </c>
      <c r="K145" s="27"/>
      <c r="L145" s="26"/>
    </row>
    <row r="146" spans="1:12" ht="30.75" customHeight="1" x14ac:dyDescent="0.35">
      <c r="A146" s="26"/>
      <c r="B146" s="26" t="s">
        <v>159</v>
      </c>
      <c r="C146" s="27">
        <v>1</v>
      </c>
      <c r="D146" s="27"/>
      <c r="E146" s="27"/>
      <c r="F146" s="27"/>
      <c r="G146" s="27"/>
      <c r="H146" s="27"/>
      <c r="I146" s="27"/>
      <c r="J146" s="27">
        <f>'COLECTOR MOV. TIERRAS'!M12</f>
        <v>6.145999999999999</v>
      </c>
      <c r="K146" s="27"/>
      <c r="L146" s="26"/>
    </row>
    <row r="147" spans="1:12" ht="30.75" customHeight="1" x14ac:dyDescent="0.35">
      <c r="A147" s="24" t="s">
        <v>101</v>
      </c>
      <c r="B147" s="24" t="s">
        <v>20</v>
      </c>
      <c r="C147" s="25"/>
      <c r="D147" s="25"/>
      <c r="E147" s="25"/>
      <c r="F147" s="25"/>
      <c r="G147" s="25"/>
      <c r="H147" s="25"/>
      <c r="I147" s="25"/>
      <c r="J147" s="25"/>
      <c r="K147" s="25">
        <f>SUM(J148:J150)</f>
        <v>147.40599999999998</v>
      </c>
      <c r="L147" s="24" t="s">
        <v>18</v>
      </c>
    </row>
    <row r="148" spans="1:12" ht="30.75" customHeight="1" x14ac:dyDescent="0.35">
      <c r="A148" s="26"/>
      <c r="B148" s="26" t="s">
        <v>157</v>
      </c>
      <c r="C148" s="27">
        <v>1</v>
      </c>
      <c r="D148" s="27"/>
      <c r="E148" s="27"/>
      <c r="F148" s="27"/>
      <c r="G148" s="27"/>
      <c r="H148" s="27"/>
      <c r="I148" s="27"/>
      <c r="J148" s="27">
        <f>'COLECTOR MOV. TIERRAS'!M10</f>
        <v>8.5119999999999987</v>
      </c>
      <c r="K148" s="27"/>
      <c r="L148" s="26"/>
    </row>
    <row r="149" spans="1:12" ht="15" customHeight="1" x14ac:dyDescent="0.35">
      <c r="A149" s="26"/>
      <c r="B149" s="26" t="s">
        <v>158</v>
      </c>
      <c r="C149" s="27">
        <v>1</v>
      </c>
      <c r="D149" s="27"/>
      <c r="E149" s="27"/>
      <c r="F149" s="27"/>
      <c r="G149" s="27"/>
      <c r="H149" s="27"/>
      <c r="I149" s="27"/>
      <c r="J149" s="27">
        <f>'COLECTOR MOV. TIERRAS'!M11</f>
        <v>132.74799999999999</v>
      </c>
      <c r="K149" s="27"/>
      <c r="L149" s="26"/>
    </row>
    <row r="150" spans="1:12" ht="30.75" customHeight="1" x14ac:dyDescent="0.35">
      <c r="A150" s="26"/>
      <c r="B150" s="26" t="s">
        <v>159</v>
      </c>
      <c r="C150" s="27">
        <v>1</v>
      </c>
      <c r="D150" s="27"/>
      <c r="E150" s="27"/>
      <c r="F150" s="27"/>
      <c r="G150" s="27"/>
      <c r="H150" s="27"/>
      <c r="I150" s="27"/>
      <c r="J150" s="27">
        <f>'COLECTOR MOV. TIERRAS'!M12</f>
        <v>6.145999999999999</v>
      </c>
      <c r="K150" s="27"/>
      <c r="L150" s="26"/>
    </row>
    <row r="151" spans="1:12" ht="15" customHeight="1" x14ac:dyDescent="0.35">
      <c r="A151" s="2" t="s">
        <v>102</v>
      </c>
      <c r="B151" s="2" t="s">
        <v>22</v>
      </c>
      <c r="C151" s="62"/>
      <c r="D151" s="62"/>
      <c r="E151" s="62"/>
      <c r="F151" s="62"/>
      <c r="G151" s="62"/>
      <c r="H151" s="62"/>
      <c r="I151" s="62"/>
      <c r="J151" s="62"/>
      <c r="K151" s="62"/>
      <c r="L151" s="63"/>
    </row>
    <row r="152" spans="1:12" ht="30.75" customHeight="1" x14ac:dyDescent="0.35">
      <c r="A152" s="24" t="s">
        <v>103</v>
      </c>
      <c r="B152" s="24" t="s">
        <v>755</v>
      </c>
      <c r="C152" s="25"/>
      <c r="D152" s="25"/>
      <c r="E152" s="25"/>
      <c r="F152" s="25"/>
      <c r="G152" s="25"/>
      <c r="H152" s="25"/>
      <c r="I152" s="25"/>
      <c r="J152" s="25"/>
      <c r="K152" s="25">
        <f>SUM(J153:J155)</f>
        <v>130.62232399999999</v>
      </c>
      <c r="L152" s="24" t="s">
        <v>25</v>
      </c>
    </row>
    <row r="153" spans="1:12" ht="30.75" customHeight="1" x14ac:dyDescent="0.35">
      <c r="A153" s="26"/>
      <c r="B153" s="26" t="s">
        <v>157</v>
      </c>
      <c r="C153" s="27">
        <v>1</v>
      </c>
      <c r="D153" s="27"/>
      <c r="E153" s="27"/>
      <c r="F153" s="27"/>
      <c r="G153" s="27"/>
      <c r="H153" s="27"/>
      <c r="I153" s="27"/>
      <c r="J153" s="27">
        <f>'COLECTOR MOV. TIERRAS'!N10</f>
        <v>10.291008000000001</v>
      </c>
      <c r="K153" s="27"/>
      <c r="L153" s="26"/>
    </row>
    <row r="154" spans="1:12" ht="15" customHeight="1" x14ac:dyDescent="0.35">
      <c r="A154" s="26"/>
      <c r="B154" s="26" t="s">
        <v>158</v>
      </c>
      <c r="C154" s="27">
        <v>1</v>
      </c>
      <c r="D154" s="27"/>
      <c r="E154" s="27"/>
      <c r="F154" s="27"/>
      <c r="G154" s="27"/>
      <c r="H154" s="27"/>
      <c r="I154" s="27"/>
      <c r="J154" s="27">
        <f>'COLECTOR MOV. TIERRAS'!N11</f>
        <v>116.28724799999999</v>
      </c>
      <c r="K154" s="27"/>
      <c r="L154" s="26"/>
    </row>
    <row r="155" spans="1:12" ht="30.75" customHeight="1" x14ac:dyDescent="0.35">
      <c r="A155" s="26"/>
      <c r="B155" s="26" t="s">
        <v>159</v>
      </c>
      <c r="C155" s="27">
        <v>1</v>
      </c>
      <c r="D155" s="27"/>
      <c r="E155" s="27"/>
      <c r="F155" s="27"/>
      <c r="G155" s="27"/>
      <c r="H155" s="27"/>
      <c r="I155" s="27"/>
      <c r="J155" s="27">
        <f>'COLECTOR MOV. TIERRAS'!N12</f>
        <v>4.0440680000000002</v>
      </c>
      <c r="K155" s="27"/>
      <c r="L155" s="26"/>
    </row>
    <row r="156" spans="1:12" ht="46.5" customHeight="1" x14ac:dyDescent="0.35">
      <c r="A156" s="24" t="s">
        <v>104</v>
      </c>
      <c r="B156" s="24" t="s">
        <v>29</v>
      </c>
      <c r="C156" s="25"/>
      <c r="D156" s="25"/>
      <c r="E156" s="25"/>
      <c r="F156" s="25"/>
      <c r="G156" s="25"/>
      <c r="H156" s="25"/>
      <c r="I156" s="25"/>
      <c r="J156" s="25"/>
      <c r="K156" s="25">
        <f>SUM(J157:J159)</f>
        <v>105.28999999999998</v>
      </c>
      <c r="L156" s="24" t="s">
        <v>18</v>
      </c>
    </row>
    <row r="157" spans="1:12" ht="30.75" customHeight="1" x14ac:dyDescent="0.35">
      <c r="A157" s="26"/>
      <c r="B157" s="26" t="s">
        <v>157</v>
      </c>
      <c r="C157" s="27">
        <v>1</v>
      </c>
      <c r="D157" s="27"/>
      <c r="E157" s="27"/>
      <c r="F157" s="27"/>
      <c r="G157" s="27"/>
      <c r="H157" s="27"/>
      <c r="I157" s="27"/>
      <c r="J157" s="27">
        <f>'COLECTOR MOV. TIERRAS'!O10</f>
        <v>6.0799999999999992</v>
      </c>
      <c r="K157" s="27"/>
      <c r="L157" s="26"/>
    </row>
    <row r="158" spans="1:12" ht="15" customHeight="1" x14ac:dyDescent="0.35">
      <c r="A158" s="26"/>
      <c r="B158" s="26" t="s">
        <v>158</v>
      </c>
      <c r="C158" s="27">
        <v>1</v>
      </c>
      <c r="D158" s="27"/>
      <c r="E158" s="27"/>
      <c r="F158" s="27"/>
      <c r="G158" s="27"/>
      <c r="H158" s="27"/>
      <c r="I158" s="27"/>
      <c r="J158" s="27">
        <f>'COLECTOR MOV. TIERRAS'!O11</f>
        <v>94.819999999999979</v>
      </c>
      <c r="K158" s="27"/>
      <c r="L158" s="26"/>
    </row>
    <row r="159" spans="1:12" ht="30.75" customHeight="1" x14ac:dyDescent="0.35">
      <c r="A159" s="26"/>
      <c r="B159" s="26" t="s">
        <v>159</v>
      </c>
      <c r="C159" s="27">
        <v>1</v>
      </c>
      <c r="D159" s="27"/>
      <c r="E159" s="27"/>
      <c r="F159" s="27"/>
      <c r="G159" s="27"/>
      <c r="H159" s="27"/>
      <c r="I159" s="27"/>
      <c r="J159" s="27">
        <f>'COLECTOR MOV. TIERRAS'!O12</f>
        <v>4.3899999999999988</v>
      </c>
      <c r="K159" s="27"/>
      <c r="L159" s="26"/>
    </row>
    <row r="160" spans="1:12" ht="46.5" customHeight="1" x14ac:dyDescent="0.35">
      <c r="A160" s="24" t="s">
        <v>105</v>
      </c>
      <c r="B160" s="24" t="s">
        <v>749</v>
      </c>
      <c r="C160" s="25"/>
      <c r="D160" s="25"/>
      <c r="E160" s="25"/>
      <c r="F160" s="25"/>
      <c r="G160" s="25"/>
      <c r="H160" s="25"/>
      <c r="I160" s="25"/>
      <c r="J160" s="25"/>
      <c r="K160" s="25">
        <f>SUM(J161:J166)</f>
        <v>91.51312999999999</v>
      </c>
      <c r="L160" s="24" t="s">
        <v>25</v>
      </c>
    </row>
    <row r="161" spans="1:12" ht="30.75" customHeight="1" x14ac:dyDescent="0.35">
      <c r="A161" s="26"/>
      <c r="B161" s="26" t="s">
        <v>160</v>
      </c>
      <c r="C161" s="27">
        <v>1</v>
      </c>
      <c r="D161" s="27"/>
      <c r="E161" s="27"/>
      <c r="F161" s="27"/>
      <c r="G161" s="27"/>
      <c r="H161" s="27"/>
      <c r="I161" s="27"/>
      <c r="J161" s="27">
        <f>'COLECTOR MOV. TIERRAS'!P10</f>
        <v>3.6753600000000004</v>
      </c>
      <c r="K161" s="27"/>
      <c r="L161" s="26"/>
    </row>
    <row r="162" spans="1:12" ht="30.75" customHeight="1" x14ac:dyDescent="0.35">
      <c r="A162" s="26"/>
      <c r="B162" s="26" t="s">
        <v>161</v>
      </c>
      <c r="C162" s="27">
        <v>1</v>
      </c>
      <c r="D162" s="27"/>
      <c r="E162" s="27"/>
      <c r="F162" s="27"/>
      <c r="G162" s="27"/>
      <c r="H162" s="27"/>
      <c r="I162" s="27"/>
      <c r="J162" s="27">
        <f>'COLECTOR MOV. TIERRAS'!P11</f>
        <v>41.53116</v>
      </c>
      <c r="K162" s="27"/>
      <c r="L162" s="26"/>
    </row>
    <row r="163" spans="1:12" ht="30.75" customHeight="1" x14ac:dyDescent="0.35">
      <c r="A163" s="26"/>
      <c r="B163" s="26" t="s">
        <v>162</v>
      </c>
      <c r="C163" s="27">
        <v>1</v>
      </c>
      <c r="D163" s="27"/>
      <c r="E163" s="27"/>
      <c r="F163" s="27"/>
      <c r="G163" s="27"/>
      <c r="H163" s="27"/>
      <c r="I163" s="27"/>
      <c r="J163" s="27">
        <f>'COLECTOR MOV. TIERRAS'!P12</f>
        <v>1.44431</v>
      </c>
      <c r="K163" s="27"/>
      <c r="L163" s="26"/>
    </row>
    <row r="164" spans="1:12" ht="30.75" customHeight="1" x14ac:dyDescent="0.35">
      <c r="A164" s="26"/>
      <c r="B164" s="26" t="s">
        <v>163</v>
      </c>
      <c r="C164" s="27">
        <v>1</v>
      </c>
      <c r="D164" s="27"/>
      <c r="E164" s="27"/>
      <c r="F164" s="27"/>
      <c r="G164" s="27"/>
      <c r="H164" s="27"/>
      <c r="I164" s="27"/>
      <c r="J164" s="27">
        <f>'COLECTOR MOV. TIERRAS'!Q10</f>
        <v>0</v>
      </c>
      <c r="K164" s="27"/>
      <c r="L164" s="26"/>
    </row>
    <row r="165" spans="1:12" ht="30.75" customHeight="1" x14ac:dyDescent="0.35">
      <c r="A165" s="26"/>
      <c r="B165" s="26" t="s">
        <v>164</v>
      </c>
      <c r="C165" s="27">
        <v>1</v>
      </c>
      <c r="D165" s="27"/>
      <c r="E165" s="27"/>
      <c r="F165" s="27"/>
      <c r="G165" s="27"/>
      <c r="H165" s="27"/>
      <c r="I165" s="27"/>
      <c r="J165" s="27">
        <f>'COLECTOR MOV. TIERRAS'!Q11</f>
        <v>41.341519999999996</v>
      </c>
      <c r="K165" s="27"/>
      <c r="L165" s="26"/>
    </row>
    <row r="166" spans="1:12" ht="46.5" customHeight="1" x14ac:dyDescent="0.35">
      <c r="A166" s="26"/>
      <c r="B166" s="26" t="s">
        <v>165</v>
      </c>
      <c r="C166" s="27">
        <v>1</v>
      </c>
      <c r="D166" s="27"/>
      <c r="E166" s="27"/>
      <c r="F166" s="27"/>
      <c r="G166" s="27"/>
      <c r="H166" s="27"/>
      <c r="I166" s="27"/>
      <c r="J166" s="27">
        <f>'COLECTOR MOV. TIERRAS'!Q12</f>
        <v>3.5207799999999998</v>
      </c>
      <c r="K166" s="27"/>
      <c r="L166" s="26"/>
    </row>
    <row r="167" spans="1:12" ht="30.75" customHeight="1" x14ac:dyDescent="0.35">
      <c r="A167" s="24" t="s">
        <v>106</v>
      </c>
      <c r="B167" s="24" t="s">
        <v>750</v>
      </c>
      <c r="C167" s="25"/>
      <c r="D167" s="25"/>
      <c r="E167" s="25"/>
      <c r="F167" s="25"/>
      <c r="G167" s="25"/>
      <c r="H167" s="25"/>
      <c r="I167" s="25"/>
      <c r="J167" s="25"/>
      <c r="K167" s="25">
        <f>SUM(J168:J169)*PARAMETROS!$B$16</f>
        <v>46.931032800000004</v>
      </c>
      <c r="L167" s="24" t="s">
        <v>25</v>
      </c>
    </row>
    <row r="168" spans="1:12" ht="15" customHeight="1" x14ac:dyDescent="0.35">
      <c r="A168" s="26"/>
      <c r="B168" s="26" t="s">
        <v>166</v>
      </c>
      <c r="C168" s="27">
        <v>1</v>
      </c>
      <c r="D168" s="27"/>
      <c r="E168" s="27"/>
      <c r="F168" s="27"/>
      <c r="G168" s="27"/>
      <c r="H168" s="27"/>
      <c r="I168" s="27"/>
      <c r="J168" s="27">
        <f>K152</f>
        <v>130.62232399999999</v>
      </c>
      <c r="K168" s="27"/>
      <c r="L168" s="26"/>
    </row>
    <row r="169" spans="1:12" ht="15" customHeight="1" x14ac:dyDescent="0.35">
      <c r="A169" s="26"/>
      <c r="B169" s="26" t="s">
        <v>167</v>
      </c>
      <c r="C169" s="27">
        <v>-1</v>
      </c>
      <c r="D169" s="27"/>
      <c r="E169" s="27"/>
      <c r="F169" s="27"/>
      <c r="G169" s="27"/>
      <c r="H169" s="27"/>
      <c r="I169" s="27"/>
      <c r="J169" s="27">
        <f>-K160</f>
        <v>-91.51312999999999</v>
      </c>
      <c r="K169" s="27"/>
      <c r="L169" s="26"/>
    </row>
    <row r="170" spans="1:12" ht="15" customHeight="1" x14ac:dyDescent="0.35">
      <c r="A170" s="2" t="s">
        <v>107</v>
      </c>
      <c r="B170" s="2" t="s">
        <v>33</v>
      </c>
      <c r="C170" s="62"/>
      <c r="D170" s="62"/>
      <c r="E170" s="62"/>
      <c r="F170" s="62"/>
      <c r="G170" s="62"/>
      <c r="H170" s="62"/>
      <c r="I170" s="62"/>
      <c r="J170" s="62"/>
      <c r="K170" s="62"/>
      <c r="L170" s="63"/>
    </row>
    <row r="171" spans="1:12" ht="30.75" customHeight="1" x14ac:dyDescent="0.35">
      <c r="A171" s="24" t="s">
        <v>108</v>
      </c>
      <c r="B171" s="24" t="s">
        <v>756</v>
      </c>
      <c r="C171" s="25"/>
      <c r="D171" s="25"/>
      <c r="E171" s="25"/>
      <c r="F171" s="25"/>
      <c r="G171" s="25"/>
      <c r="H171" s="25"/>
      <c r="I171" s="25"/>
      <c r="J171" s="25"/>
      <c r="K171" s="25">
        <f>SUM(J172:J174)</f>
        <v>105.28999999999998</v>
      </c>
      <c r="L171" s="24" t="s">
        <v>18</v>
      </c>
    </row>
    <row r="172" spans="1:12" ht="30.75" customHeight="1" x14ac:dyDescent="0.35">
      <c r="A172" s="26"/>
      <c r="B172" s="26" t="s">
        <v>157</v>
      </c>
      <c r="C172" s="27">
        <v>1</v>
      </c>
      <c r="D172" s="27"/>
      <c r="E172" s="27"/>
      <c r="F172" s="27"/>
      <c r="G172" s="27"/>
      <c r="H172" s="27"/>
      <c r="I172" s="27"/>
      <c r="J172" s="27">
        <f>'COLECTOR CONCRETO'!H10</f>
        <v>6.0799999999999992</v>
      </c>
      <c r="K172" s="27"/>
      <c r="L172" s="26"/>
    </row>
    <row r="173" spans="1:12" ht="15" customHeight="1" x14ac:dyDescent="0.35">
      <c r="A173" s="26"/>
      <c r="B173" s="26" t="s">
        <v>158</v>
      </c>
      <c r="C173" s="27">
        <v>1</v>
      </c>
      <c r="D173" s="27"/>
      <c r="E173" s="27"/>
      <c r="F173" s="27"/>
      <c r="G173" s="27"/>
      <c r="H173" s="27"/>
      <c r="I173" s="27"/>
      <c r="J173" s="27">
        <f>'COLECTOR CONCRETO'!H11</f>
        <v>94.819999999999979</v>
      </c>
      <c r="K173" s="27"/>
      <c r="L173" s="26"/>
    </row>
    <row r="174" spans="1:12" ht="30.75" customHeight="1" x14ac:dyDescent="0.35">
      <c r="A174" s="26"/>
      <c r="B174" s="26" t="s">
        <v>159</v>
      </c>
      <c r="C174" s="27">
        <v>1</v>
      </c>
      <c r="D174" s="27"/>
      <c r="E174" s="27"/>
      <c r="F174" s="27"/>
      <c r="G174" s="27"/>
      <c r="H174" s="27"/>
      <c r="I174" s="27"/>
      <c r="J174" s="27">
        <f>'COLECTOR CONCRETO'!H12</f>
        <v>4.3899999999999988</v>
      </c>
      <c r="K174" s="27"/>
      <c r="L174" s="26"/>
    </row>
    <row r="175" spans="1:12" ht="30.75" customHeight="1" x14ac:dyDescent="0.35">
      <c r="A175" s="2" t="s">
        <v>109</v>
      </c>
      <c r="B175" s="2" t="s">
        <v>110</v>
      </c>
      <c r="C175" s="62"/>
      <c r="D175" s="62"/>
      <c r="E175" s="62"/>
      <c r="F175" s="62"/>
      <c r="G175" s="62"/>
      <c r="H175" s="62"/>
      <c r="I175" s="62"/>
      <c r="J175" s="62"/>
      <c r="K175" s="62"/>
      <c r="L175" s="63"/>
    </row>
    <row r="176" spans="1:12" ht="30.75" customHeight="1" x14ac:dyDescent="0.35">
      <c r="A176" s="24" t="s">
        <v>111</v>
      </c>
      <c r="B176" s="24" t="s">
        <v>757</v>
      </c>
      <c r="C176" s="25"/>
      <c r="D176" s="25"/>
      <c r="E176" s="25"/>
      <c r="F176" s="25"/>
      <c r="G176" s="25"/>
      <c r="H176" s="25"/>
      <c r="I176" s="25"/>
      <c r="J176" s="25"/>
      <c r="K176" s="25">
        <f>SUM(J177:J189)</f>
        <v>55.748728999999997</v>
      </c>
      <c r="L176" s="24" t="s">
        <v>25</v>
      </c>
    </row>
    <row r="177" spans="1:12" ht="30.75" customHeight="1" x14ac:dyDescent="0.35">
      <c r="A177" s="26"/>
      <c r="B177" s="26" t="s">
        <v>760</v>
      </c>
      <c r="C177" s="27">
        <v>1</v>
      </c>
      <c r="D177" s="27"/>
      <c r="E177" s="27"/>
      <c r="F177" s="27"/>
      <c r="G177" s="27"/>
      <c r="H177" s="27"/>
      <c r="I177" s="27"/>
      <c r="J177" s="27">
        <f>'COLECTOR CONCRETO'!I10</f>
        <v>0.82079999999999986</v>
      </c>
      <c r="K177" s="27"/>
      <c r="L177" s="26"/>
    </row>
    <row r="178" spans="1:12" ht="15" customHeight="1" x14ac:dyDescent="0.35">
      <c r="A178" s="26"/>
      <c r="B178" s="26" t="s">
        <v>761</v>
      </c>
      <c r="C178" s="27">
        <v>1</v>
      </c>
      <c r="D178" s="27"/>
      <c r="E178" s="27"/>
      <c r="F178" s="27"/>
      <c r="G178" s="27"/>
      <c r="H178" s="27"/>
      <c r="I178" s="27"/>
      <c r="J178" s="27">
        <f>'COLECTOR CONCRETO'!I11</f>
        <v>12.800699999999997</v>
      </c>
      <c r="K178" s="27"/>
      <c r="L178" s="26"/>
    </row>
    <row r="179" spans="1:12" ht="30.75" customHeight="1" x14ac:dyDescent="0.35">
      <c r="A179" s="26"/>
      <c r="B179" s="26" t="s">
        <v>762</v>
      </c>
      <c r="C179" s="27">
        <v>1</v>
      </c>
      <c r="D179" s="27"/>
      <c r="E179" s="27"/>
      <c r="F179" s="27"/>
      <c r="G179" s="27"/>
      <c r="H179" s="27"/>
      <c r="I179" s="27"/>
      <c r="J179" s="27">
        <f>'COLECTOR CONCRETO'!I12</f>
        <v>0.5926499999999999</v>
      </c>
      <c r="K179" s="27"/>
      <c r="L179" s="26"/>
    </row>
    <row r="180" spans="1:12" ht="30.75" customHeight="1" x14ac:dyDescent="0.35">
      <c r="A180" s="26"/>
      <c r="B180" s="24" t="s">
        <v>758</v>
      </c>
      <c r="C180" s="25"/>
      <c r="D180" s="25"/>
      <c r="E180" s="25"/>
      <c r="F180" s="25"/>
      <c r="G180" s="25"/>
      <c r="H180" s="25"/>
      <c r="I180" s="25"/>
      <c r="J180" s="25"/>
      <c r="K180" s="27"/>
      <c r="L180" s="26"/>
    </row>
    <row r="181" spans="1:12" ht="30.75" customHeight="1" x14ac:dyDescent="0.35">
      <c r="A181" s="26"/>
      <c r="B181" s="26" t="s">
        <v>157</v>
      </c>
      <c r="C181" s="27">
        <v>1</v>
      </c>
      <c r="D181" s="27"/>
      <c r="E181" s="27"/>
      <c r="F181" s="27"/>
      <c r="G181" s="27"/>
      <c r="H181" s="27"/>
      <c r="I181" s="27"/>
      <c r="J181" s="27">
        <f>'COLECTOR CONCRETO'!J10</f>
        <v>1.2932159999999999</v>
      </c>
      <c r="K181" s="27"/>
      <c r="L181" s="26"/>
    </row>
    <row r="182" spans="1:12" ht="15" customHeight="1" x14ac:dyDescent="0.35">
      <c r="A182" s="26"/>
      <c r="B182" s="26" t="s">
        <v>158</v>
      </c>
      <c r="C182" s="27">
        <v>1</v>
      </c>
      <c r="D182" s="27"/>
      <c r="E182" s="27"/>
      <c r="F182" s="27"/>
      <c r="G182" s="27"/>
      <c r="H182" s="27"/>
      <c r="I182" s="27"/>
      <c r="J182" s="27">
        <f>'COLECTOR CONCRETO'!J11</f>
        <v>28.730459999999997</v>
      </c>
      <c r="K182" s="27"/>
      <c r="L182" s="26"/>
    </row>
    <row r="183" spans="1:12" ht="30.75" customHeight="1" x14ac:dyDescent="0.35">
      <c r="A183" s="26"/>
      <c r="B183" s="26" t="s">
        <v>159</v>
      </c>
      <c r="C183" s="27">
        <v>1</v>
      </c>
      <c r="D183" s="27"/>
      <c r="E183" s="27"/>
      <c r="F183" s="27"/>
      <c r="G183" s="27"/>
      <c r="H183" s="27"/>
      <c r="I183" s="27"/>
      <c r="J183" s="27">
        <f>'COLECTOR CONCRETO'!J12</f>
        <v>1.526403</v>
      </c>
      <c r="K183" s="27"/>
      <c r="L183" s="26"/>
    </row>
    <row r="184" spans="1:12" ht="46.5" customHeight="1" x14ac:dyDescent="0.35">
      <c r="A184" s="26"/>
      <c r="B184" s="24" t="s">
        <v>759</v>
      </c>
      <c r="C184" s="25"/>
      <c r="D184" s="25"/>
      <c r="E184" s="25"/>
      <c r="F184" s="25"/>
      <c r="G184" s="25"/>
      <c r="H184" s="25"/>
      <c r="I184" s="25"/>
      <c r="J184" s="25"/>
      <c r="K184" s="27"/>
      <c r="L184" s="26"/>
    </row>
    <row r="185" spans="1:12" ht="30.75" customHeight="1" x14ac:dyDescent="0.35">
      <c r="A185" s="26"/>
      <c r="B185" s="26" t="s">
        <v>157</v>
      </c>
      <c r="C185" s="27">
        <v>1</v>
      </c>
      <c r="D185" s="27"/>
      <c r="E185" s="27"/>
      <c r="F185" s="27"/>
      <c r="G185" s="27"/>
      <c r="H185" s="27"/>
      <c r="I185" s="27"/>
      <c r="J185" s="27">
        <f>'COLECTOR CONCRETO'!K10</f>
        <v>1.3679999999999999</v>
      </c>
      <c r="K185" s="27"/>
      <c r="L185" s="26"/>
    </row>
    <row r="186" spans="1:12" ht="15" customHeight="1" x14ac:dyDescent="0.35">
      <c r="A186" s="26"/>
      <c r="B186" s="26" t="s">
        <v>158</v>
      </c>
      <c r="C186" s="27">
        <v>1</v>
      </c>
      <c r="D186" s="27"/>
      <c r="E186" s="27"/>
      <c r="F186" s="27"/>
      <c r="G186" s="27"/>
      <c r="H186" s="27"/>
      <c r="I186" s="27"/>
      <c r="J186" s="27">
        <f>'COLECTOR CONCRETO'!K11</f>
        <v>8.5337999999999994</v>
      </c>
      <c r="K186" s="27"/>
      <c r="L186" s="26"/>
    </row>
    <row r="187" spans="1:12" ht="30.75" customHeight="1" x14ac:dyDescent="0.35">
      <c r="A187" s="26"/>
      <c r="B187" s="26" t="s">
        <v>159</v>
      </c>
      <c r="C187" s="27">
        <v>1</v>
      </c>
      <c r="D187" s="27"/>
      <c r="E187" s="27"/>
      <c r="F187" s="27"/>
      <c r="G187" s="27"/>
      <c r="H187" s="27"/>
      <c r="I187" s="27"/>
      <c r="J187" s="27">
        <f>'COLECTOR CONCRETO'!K12</f>
        <v>0.39509999999999995</v>
      </c>
      <c r="K187" s="27"/>
      <c r="L187" s="26"/>
    </row>
    <row r="188" spans="1:12" ht="30.75" customHeight="1" x14ac:dyDescent="0.35">
      <c r="A188" s="26"/>
      <c r="B188" s="26" t="s">
        <v>1108</v>
      </c>
      <c r="C188" s="27">
        <v>1</v>
      </c>
      <c r="D188" s="27"/>
      <c r="E188" s="27"/>
      <c r="F188" s="27"/>
      <c r="G188" s="27"/>
      <c r="H188" s="27"/>
      <c r="I188" s="27"/>
      <c r="J188" s="27">
        <f>'COLECTOR CONCRETO'!K17</f>
        <v>0.19799999999999998</v>
      </c>
      <c r="K188" s="27"/>
      <c r="L188" s="26"/>
    </row>
    <row r="189" spans="1:12" ht="30.75" customHeight="1" x14ac:dyDescent="0.35">
      <c r="A189" s="26"/>
      <c r="B189" s="26" t="s">
        <v>168</v>
      </c>
      <c r="C189" s="27">
        <v>1</v>
      </c>
      <c r="D189" s="27"/>
      <c r="E189" s="27"/>
      <c r="F189" s="27"/>
      <c r="G189" s="27"/>
      <c r="H189" s="27"/>
      <c r="I189" s="27"/>
      <c r="J189" s="27">
        <f>'COLECTOR CONCRETO'!K18</f>
        <v>-0.51039999999999996</v>
      </c>
      <c r="K189" s="27"/>
      <c r="L189" s="26"/>
    </row>
    <row r="190" spans="1:12" ht="30.75" customHeight="1" x14ac:dyDescent="0.35">
      <c r="A190" s="24" t="s">
        <v>112</v>
      </c>
      <c r="B190" s="24" t="s">
        <v>763</v>
      </c>
      <c r="C190" s="25"/>
      <c r="D190" s="25"/>
      <c r="E190" s="25"/>
      <c r="F190" s="25"/>
      <c r="G190" s="25"/>
      <c r="H190" s="25"/>
      <c r="I190" s="25"/>
      <c r="J190" s="25"/>
      <c r="K190" s="25">
        <f>SUM(J191:J193)</f>
        <v>538.31072000000006</v>
      </c>
      <c r="L190" s="24" t="s">
        <v>18</v>
      </c>
    </row>
    <row r="191" spans="1:12" ht="30.75" customHeight="1" x14ac:dyDescent="0.35">
      <c r="A191" s="26"/>
      <c r="B191" s="26" t="s">
        <v>157</v>
      </c>
      <c r="C191" s="27">
        <v>1</v>
      </c>
      <c r="D191" s="27"/>
      <c r="E191" s="27"/>
      <c r="F191" s="27"/>
      <c r="G191" s="27"/>
      <c r="H191" s="27"/>
      <c r="I191" s="27"/>
      <c r="J191" s="27">
        <f>'COLECTOR ENCOFRADO'!K10</f>
        <v>25.75488</v>
      </c>
      <c r="K191" s="27"/>
      <c r="L191" s="26"/>
    </row>
    <row r="192" spans="1:12" ht="15" customHeight="1" x14ac:dyDescent="0.35">
      <c r="A192" s="26"/>
      <c r="B192" s="26" t="s">
        <v>158</v>
      </c>
      <c r="C192" s="27">
        <v>1</v>
      </c>
      <c r="D192" s="27"/>
      <c r="E192" s="27"/>
      <c r="F192" s="27"/>
      <c r="G192" s="27"/>
      <c r="H192" s="27"/>
      <c r="I192" s="27"/>
      <c r="J192" s="27">
        <f>'COLECTOR ENCOFRADO'!K11</f>
        <v>487.37479999999999</v>
      </c>
      <c r="K192" s="27"/>
      <c r="L192" s="26"/>
    </row>
    <row r="193" spans="1:12" ht="30.75" customHeight="1" x14ac:dyDescent="0.35">
      <c r="A193" s="26"/>
      <c r="B193" s="26" t="s">
        <v>159</v>
      </c>
      <c r="C193" s="27">
        <v>1</v>
      </c>
      <c r="D193" s="27"/>
      <c r="E193" s="27"/>
      <c r="F193" s="27"/>
      <c r="G193" s="27"/>
      <c r="H193" s="27"/>
      <c r="I193" s="27"/>
      <c r="J193" s="27">
        <f>'COLECTOR ENCOFRADO'!K12</f>
        <v>25.181039999999999</v>
      </c>
      <c r="K193" s="27"/>
      <c r="L193" s="26"/>
    </row>
    <row r="194" spans="1:12" ht="30.75" customHeight="1" x14ac:dyDescent="0.35">
      <c r="A194" s="24" t="s">
        <v>113</v>
      </c>
      <c r="B194" s="24" t="s">
        <v>764</v>
      </c>
      <c r="C194" s="25"/>
      <c r="D194" s="25"/>
      <c r="E194" s="25"/>
      <c r="F194" s="25"/>
      <c r="G194" s="25"/>
      <c r="H194" s="25"/>
      <c r="I194" s="25"/>
      <c r="J194" s="25"/>
      <c r="K194" s="25">
        <f>SUM(J195:J197)</f>
        <v>2523.8376862222221</v>
      </c>
      <c r="L194" s="24" t="s">
        <v>46</v>
      </c>
    </row>
    <row r="195" spans="1:12" ht="30.75" customHeight="1" x14ac:dyDescent="0.35">
      <c r="A195" s="26"/>
      <c r="B195" s="26" t="s">
        <v>157</v>
      </c>
      <c r="C195" s="27">
        <v>1</v>
      </c>
      <c r="D195" s="27"/>
      <c r="E195" s="27"/>
      <c r="F195" s="27"/>
      <c r="G195" s="27"/>
      <c r="H195" s="27"/>
      <c r="I195" s="27"/>
      <c r="J195" s="27">
        <f>'COLECTOR ACERO'!U10</f>
        <v>456.40703733333328</v>
      </c>
      <c r="K195" s="27"/>
      <c r="L195" s="26"/>
    </row>
    <row r="196" spans="1:12" ht="15" customHeight="1" x14ac:dyDescent="0.35">
      <c r="A196" s="26"/>
      <c r="B196" s="26" t="s">
        <v>158</v>
      </c>
      <c r="C196" s="27">
        <v>1</v>
      </c>
      <c r="D196" s="27"/>
      <c r="E196" s="27"/>
      <c r="F196" s="27"/>
      <c r="G196" s="27"/>
      <c r="H196" s="27"/>
      <c r="I196" s="27"/>
      <c r="J196" s="27">
        <f>'COLECTOR ACERO'!U11</f>
        <v>1969.9666311111112</v>
      </c>
      <c r="K196" s="27"/>
      <c r="L196" s="26"/>
    </row>
    <row r="197" spans="1:12" ht="30.75" customHeight="1" x14ac:dyDescent="0.35">
      <c r="A197" s="26"/>
      <c r="B197" s="26" t="s">
        <v>159</v>
      </c>
      <c r="C197" s="27">
        <v>1</v>
      </c>
      <c r="D197" s="27"/>
      <c r="E197" s="27"/>
      <c r="F197" s="27"/>
      <c r="G197" s="27"/>
      <c r="H197" s="27"/>
      <c r="I197" s="27"/>
      <c r="J197" s="27">
        <f>'COLECTOR ACERO'!U12</f>
        <v>97.464017777777784</v>
      </c>
      <c r="K197" s="27"/>
      <c r="L197" s="26"/>
    </row>
    <row r="198" spans="1:12" ht="30.75" customHeight="1" x14ac:dyDescent="0.35">
      <c r="A198" s="24" t="s">
        <v>114</v>
      </c>
      <c r="B198" s="24" t="s">
        <v>765</v>
      </c>
      <c r="C198" s="25"/>
      <c r="D198" s="25"/>
      <c r="E198" s="25"/>
      <c r="F198" s="25"/>
      <c r="G198" s="25"/>
      <c r="H198" s="25"/>
      <c r="I198" s="25"/>
      <c r="J198" s="25"/>
      <c r="K198" s="25">
        <f>SUM(J199:J201)</f>
        <v>94.760999999999967</v>
      </c>
      <c r="L198" s="24" t="s">
        <v>18</v>
      </c>
    </row>
    <row r="199" spans="1:12" ht="30.75" customHeight="1" x14ac:dyDescent="0.35">
      <c r="A199" s="26"/>
      <c r="B199" s="26" t="s">
        <v>157</v>
      </c>
      <c r="C199" s="27">
        <v>1</v>
      </c>
      <c r="D199" s="27"/>
      <c r="E199" s="27"/>
      <c r="F199" s="27"/>
      <c r="G199" s="27"/>
      <c r="H199" s="27"/>
      <c r="I199" s="27"/>
      <c r="J199" s="27">
        <f>'COLECTOR CONCRETO'!L10</f>
        <v>5.4719999999999995</v>
      </c>
      <c r="K199" s="27"/>
      <c r="L199" s="26"/>
    </row>
    <row r="200" spans="1:12" ht="15" customHeight="1" x14ac:dyDescent="0.35">
      <c r="A200" s="26"/>
      <c r="B200" s="26" t="s">
        <v>158</v>
      </c>
      <c r="C200" s="27">
        <v>1</v>
      </c>
      <c r="D200" s="27"/>
      <c r="E200" s="27"/>
      <c r="F200" s="27"/>
      <c r="G200" s="27"/>
      <c r="H200" s="27"/>
      <c r="I200" s="27"/>
      <c r="J200" s="27">
        <f>'COLECTOR CONCRETO'!L11</f>
        <v>85.33799999999998</v>
      </c>
      <c r="K200" s="27"/>
      <c r="L200" s="26"/>
    </row>
    <row r="201" spans="1:12" ht="30.75" customHeight="1" x14ac:dyDescent="0.35">
      <c r="A201" s="26"/>
      <c r="B201" s="26" t="s">
        <v>159</v>
      </c>
      <c r="C201" s="27">
        <v>1</v>
      </c>
      <c r="D201" s="27"/>
      <c r="E201" s="27"/>
      <c r="F201" s="27"/>
      <c r="G201" s="27"/>
      <c r="H201" s="27"/>
      <c r="I201" s="27"/>
      <c r="J201" s="27">
        <f>'COLECTOR CONCRETO'!L12</f>
        <v>3.9509999999999992</v>
      </c>
      <c r="K201" s="27"/>
      <c r="L201" s="26"/>
    </row>
    <row r="202" spans="1:12" ht="30.75" customHeight="1" x14ac:dyDescent="0.35">
      <c r="A202" s="24" t="s">
        <v>116</v>
      </c>
      <c r="B202" s="24" t="s">
        <v>118</v>
      </c>
      <c r="C202" s="25"/>
      <c r="D202" s="25"/>
      <c r="E202" s="25"/>
      <c r="F202" s="25"/>
      <c r="G202" s="25"/>
      <c r="H202" s="25"/>
      <c r="I202" s="25"/>
      <c r="J202" s="25"/>
      <c r="K202" s="25">
        <f>SUM(J203:J205)</f>
        <v>368.26885999999996</v>
      </c>
      <c r="L202" s="24" t="s">
        <v>18</v>
      </c>
    </row>
    <row r="203" spans="1:12" ht="30.75" customHeight="1" x14ac:dyDescent="0.35">
      <c r="A203" s="26"/>
      <c r="B203" s="26" t="s">
        <v>157</v>
      </c>
      <c r="C203" s="27">
        <v>1</v>
      </c>
      <c r="D203" s="27"/>
      <c r="E203" s="27"/>
      <c r="F203" s="27"/>
      <c r="G203" s="27"/>
      <c r="H203" s="27"/>
      <c r="I203" s="27"/>
      <c r="J203" s="27">
        <f>'COLECTOR CONCRETO'!M10</f>
        <v>17.741439999999997</v>
      </c>
      <c r="K203" s="27"/>
      <c r="L203" s="26"/>
    </row>
    <row r="204" spans="1:12" ht="15" customHeight="1" x14ac:dyDescent="0.35">
      <c r="A204" s="26"/>
      <c r="B204" s="26" t="s">
        <v>158</v>
      </c>
      <c r="C204" s="27">
        <v>1</v>
      </c>
      <c r="D204" s="27"/>
      <c r="E204" s="27"/>
      <c r="F204" s="27"/>
      <c r="G204" s="27"/>
      <c r="H204" s="27"/>
      <c r="I204" s="27"/>
      <c r="J204" s="27">
        <f>'COLECTOR CONCRETO'!M11</f>
        <v>333.76639999999998</v>
      </c>
      <c r="K204" s="27"/>
      <c r="L204" s="26"/>
    </row>
    <row r="205" spans="1:12" ht="30.75" customHeight="1" x14ac:dyDescent="0.35">
      <c r="A205" s="26"/>
      <c r="B205" s="26" t="s">
        <v>159</v>
      </c>
      <c r="C205" s="27">
        <v>1</v>
      </c>
      <c r="D205" s="27"/>
      <c r="E205" s="27"/>
      <c r="F205" s="27"/>
      <c r="G205" s="27"/>
      <c r="H205" s="27"/>
      <c r="I205" s="27"/>
      <c r="J205" s="27">
        <f>'COLECTOR CONCRETO'!M12</f>
        <v>16.761019999999998</v>
      </c>
      <c r="K205" s="27"/>
      <c r="L205" s="26"/>
    </row>
    <row r="206" spans="1:12" ht="15" customHeight="1" x14ac:dyDescent="0.35">
      <c r="A206" s="2" t="s">
        <v>119</v>
      </c>
      <c r="B206" s="2" t="s">
        <v>120</v>
      </c>
      <c r="C206" s="62"/>
      <c r="D206" s="62"/>
      <c r="E206" s="62"/>
      <c r="F206" s="62"/>
      <c r="G206" s="62"/>
      <c r="H206" s="62"/>
      <c r="I206" s="62"/>
      <c r="J206" s="62"/>
      <c r="K206" s="62"/>
      <c r="L206" s="63"/>
    </row>
    <row r="207" spans="1:12" ht="31" customHeight="1" x14ac:dyDescent="0.35">
      <c r="A207" s="24" t="s">
        <v>121</v>
      </c>
      <c r="B207" s="24" t="s">
        <v>1141</v>
      </c>
      <c r="C207" s="25"/>
      <c r="D207" s="25"/>
      <c r="E207" s="25"/>
      <c r="F207" s="25"/>
      <c r="G207" s="25"/>
      <c r="H207" s="25"/>
      <c r="I207" s="25"/>
      <c r="J207" s="25"/>
      <c r="K207" s="25">
        <f>SUM(J208:J208)</f>
        <v>11</v>
      </c>
      <c r="L207" s="24" t="s">
        <v>55</v>
      </c>
    </row>
    <row r="208" spans="1:12" ht="31" customHeight="1" x14ac:dyDescent="0.35">
      <c r="A208" s="26"/>
      <c r="B208" s="26" t="s">
        <v>769</v>
      </c>
      <c r="C208" s="27">
        <v>1</v>
      </c>
      <c r="D208" s="27"/>
      <c r="E208" s="27"/>
      <c r="F208" s="27"/>
      <c r="G208" s="27"/>
      <c r="H208" s="27"/>
      <c r="I208" s="27"/>
      <c r="J208" s="27">
        <f>SUM('COLECTOR REGISTROS Y TAPAS'!E10:E20)</f>
        <v>11</v>
      </c>
      <c r="K208" s="27"/>
      <c r="L208" s="26"/>
    </row>
    <row r="209" spans="1:12" ht="46.5" customHeight="1" x14ac:dyDescent="0.35">
      <c r="A209" s="26"/>
      <c r="B209" s="26" t="s">
        <v>1142</v>
      </c>
      <c r="C209" s="27"/>
      <c r="D209" s="27"/>
      <c r="E209" s="27"/>
      <c r="F209" s="27"/>
      <c r="G209" s="27"/>
      <c r="H209" s="27"/>
      <c r="I209" s="27"/>
      <c r="J209" s="27"/>
      <c r="K209" s="27"/>
      <c r="L209" s="26"/>
    </row>
    <row r="210" spans="1:12" ht="46.5" customHeight="1" x14ac:dyDescent="0.35">
      <c r="A210" s="26"/>
      <c r="B210" s="26" t="str">
        <f>"Totales para "&amp;K207&amp;" tapas: concreto "&amp;TEXT('COLECTOR REGISTROS Y TAPAS'!E28,"0.000")&amp;" m3; acero de tapas y asas "&amp;TEXT('COLECTOR REGISTROS Y TAPAS'!E27,"0.00")&amp;" kg; encofrado "&amp;TEXT('COLECTOR REGISTROS Y TAPAS'!E26,"0.00")&amp;" m2"</f>
        <v>Totales para 11 tapas: concreto 0.407 m3; acero de tapas y asas 64.40 kg; encofrado 2.39 m2</v>
      </c>
      <c r="C210" s="27"/>
      <c r="D210" s="27"/>
      <c r="E210" s="27"/>
      <c r="F210" s="27"/>
      <c r="G210" s="27"/>
      <c r="H210" s="27"/>
      <c r="I210" s="27"/>
      <c r="J210" s="27"/>
      <c r="K210" s="27"/>
      <c r="L210" s="26"/>
    </row>
    <row r="211" spans="1:12" ht="15.5" customHeight="1" x14ac:dyDescent="0.35">
      <c r="A211" s="26"/>
      <c r="B211" s="26" t="s">
        <v>770</v>
      </c>
      <c r="C211" s="27"/>
      <c r="D211" s="27"/>
      <c r="E211" s="27"/>
      <c r="F211" s="27"/>
      <c r="G211" s="27"/>
      <c r="H211" s="27"/>
      <c r="I211" s="27"/>
      <c r="J211" s="27"/>
      <c r="K211" s="27"/>
      <c r="L211" s="26"/>
    </row>
    <row r="212" spans="1:12" ht="46.5" customHeight="1" x14ac:dyDescent="0.35">
      <c r="A212" s="26"/>
      <c r="B212" s="26" t="s">
        <v>1193</v>
      </c>
      <c r="C212" s="27"/>
      <c r="D212" s="27"/>
      <c r="E212" s="27"/>
      <c r="F212" s="27"/>
      <c r="G212" s="27"/>
      <c r="H212" s="27"/>
      <c r="I212" s="27"/>
      <c r="J212" s="27"/>
      <c r="K212" s="27"/>
      <c r="L212" s="26"/>
    </row>
    <row r="213" spans="1:12" ht="30.75" customHeight="1" x14ac:dyDescent="0.35">
      <c r="A213" s="26"/>
      <c r="B213" s="26" t="s">
        <v>122</v>
      </c>
      <c r="C213" s="27"/>
      <c r="D213" s="27"/>
      <c r="E213" s="27"/>
      <c r="F213" s="27"/>
      <c r="G213" s="27"/>
      <c r="H213" s="27"/>
      <c r="I213" s="27"/>
      <c r="J213" s="27"/>
      <c r="K213" s="27"/>
      <c r="L213" s="26"/>
    </row>
    <row r="214" spans="1:12" ht="15" customHeight="1" x14ac:dyDescent="0.35">
      <c r="A214" s="2" t="s">
        <v>123</v>
      </c>
      <c r="B214" s="2" t="s">
        <v>766</v>
      </c>
      <c r="C214" s="62"/>
      <c r="D214" s="62"/>
      <c r="E214" s="62"/>
      <c r="F214" s="62"/>
      <c r="G214" s="62"/>
      <c r="H214" s="62"/>
      <c r="I214" s="62"/>
      <c r="J214" s="62"/>
      <c r="K214" s="62"/>
      <c r="L214" s="63"/>
    </row>
    <row r="215" spans="1:12" ht="46.5" customHeight="1" x14ac:dyDescent="0.35">
      <c r="A215" s="24" t="s">
        <v>124</v>
      </c>
      <c r="B215" s="24" t="s">
        <v>767</v>
      </c>
      <c r="C215" s="25"/>
      <c r="D215" s="25"/>
      <c r="E215" s="25"/>
      <c r="F215" s="25"/>
      <c r="G215" s="25"/>
      <c r="H215" s="25"/>
      <c r="I215" s="25"/>
      <c r="J215" s="25"/>
      <c r="K215" s="25">
        <f>+'COLECTOR JUNTAS Y EMPALMES'!F12</f>
        <v>120.63999999999999</v>
      </c>
      <c r="L215" s="24" t="s">
        <v>65</v>
      </c>
    </row>
    <row r="216" spans="1:12" ht="46.5" customHeight="1" x14ac:dyDescent="0.35">
      <c r="A216" s="24" t="s">
        <v>125</v>
      </c>
      <c r="B216" s="24" t="s">
        <v>768</v>
      </c>
      <c r="C216" s="25"/>
      <c r="D216" s="25"/>
      <c r="E216" s="25"/>
      <c r="F216" s="25"/>
      <c r="G216" s="25"/>
      <c r="H216" s="25"/>
      <c r="I216" s="25"/>
      <c r="J216" s="25"/>
      <c r="K216" s="25">
        <f>+'COLECTOR JUNTAS Y EMPALMES'!F17</f>
        <v>4.6399999999999997</v>
      </c>
      <c r="L216" s="24" t="s">
        <v>65</v>
      </c>
    </row>
  </sheetData>
  <mergeCells count="12">
    <mergeCell ref="A2:L2"/>
    <mergeCell ref="B3:L3"/>
    <mergeCell ref="B4:L4"/>
    <mergeCell ref="B5:L5"/>
    <mergeCell ref="B6:L6"/>
    <mergeCell ref="K120:K121"/>
    <mergeCell ref="K123:K124"/>
    <mergeCell ref="B9:L9"/>
    <mergeCell ref="B10:L10"/>
    <mergeCell ref="B107:L107"/>
    <mergeCell ref="B113:L113"/>
    <mergeCell ref="B114:L114"/>
  </mergeCells>
  <pageMargins left="0.7" right="0.7" top="0.75" bottom="0.75" header="0.511811023622047" footer="0.511811023622047"/>
  <pageSetup paperSize="9" scale="5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157"/>
  <sheetViews>
    <sheetView topLeftCell="A61" zoomScale="115" zoomScaleNormal="115" zoomScalePageLayoutView="130" workbookViewId="0">
      <selection activeCell="H64" sqref="H64"/>
    </sheetView>
  </sheetViews>
  <sheetFormatPr baseColWidth="10" defaultColWidth="12.36328125" defaultRowHeight="14" x14ac:dyDescent="0.3"/>
  <cols>
    <col min="1" max="1" width="3.90625" style="64" customWidth="1"/>
    <col min="2" max="2" width="12.90625" style="64" customWidth="1"/>
    <col min="3" max="3" width="15.6328125" style="64" customWidth="1"/>
    <col min="4" max="6" width="12.36328125" style="64"/>
    <col min="7" max="7" width="13.90625" style="64" customWidth="1"/>
    <col min="8" max="8" width="7.90625" style="64" customWidth="1"/>
    <col min="9" max="9" width="7.08984375" style="64" customWidth="1"/>
    <col min="10" max="14" width="12.36328125" style="64"/>
    <col min="15" max="15" width="14.1796875" style="64" customWidth="1"/>
    <col min="16" max="16384" width="12.36328125" style="64"/>
  </cols>
  <sheetData>
    <row r="1" spans="1:15" ht="27" customHeight="1" x14ac:dyDescent="0.3"/>
    <row r="2" spans="1:15" ht="24.75" customHeight="1" x14ac:dyDescent="0.3">
      <c r="B2" s="260" t="s">
        <v>169</v>
      </c>
      <c r="C2" s="260"/>
      <c r="D2" s="260"/>
      <c r="E2" s="260"/>
      <c r="F2" s="260"/>
      <c r="G2" s="260"/>
      <c r="H2" s="260"/>
      <c r="I2" s="260"/>
      <c r="J2" s="260"/>
      <c r="K2" s="260"/>
      <c r="L2" s="260"/>
      <c r="M2" s="260"/>
      <c r="N2" s="260"/>
      <c r="O2" s="260"/>
    </row>
    <row r="3" spans="1:15" ht="24.75" customHeight="1" x14ac:dyDescent="0.3">
      <c r="B3" s="10" t="s">
        <v>1</v>
      </c>
      <c r="C3" s="236" t="str">
        <f>+RESUMEN!B4</f>
        <v>GERENCIA TERRITORIAL BAJO MAYO - TARAPOTO</v>
      </c>
      <c r="D3" s="236"/>
      <c r="E3" s="236"/>
      <c r="F3" s="236"/>
      <c r="G3" s="236"/>
      <c r="H3" s="236"/>
      <c r="I3" s="236"/>
      <c r="J3" s="236"/>
      <c r="K3" s="236"/>
      <c r="L3" s="236"/>
      <c r="M3" s="236"/>
      <c r="N3" s="236"/>
      <c r="O3" s="236"/>
    </row>
    <row r="4" spans="1:15" ht="59.25" customHeight="1" x14ac:dyDescent="0.3">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c r="L4" s="236"/>
      <c r="M4" s="236"/>
      <c r="N4" s="236"/>
      <c r="O4" s="236"/>
    </row>
    <row r="5" spans="1:15" ht="24.75" customHeight="1" x14ac:dyDescent="0.3">
      <c r="B5" s="10" t="s">
        <v>5</v>
      </c>
      <c r="C5" s="236" t="str">
        <f>+RESUMEN!B6</f>
        <v>SAN MARTIN - SAN MARTIN - MORALES</v>
      </c>
      <c r="D5" s="236"/>
      <c r="E5" s="236"/>
      <c r="F5" s="236"/>
      <c r="G5" s="236"/>
      <c r="H5" s="236"/>
      <c r="I5" s="236"/>
      <c r="J5" s="236"/>
      <c r="K5" s="236"/>
      <c r="L5" s="236"/>
      <c r="M5" s="236"/>
      <c r="N5" s="236"/>
      <c r="O5" s="236"/>
    </row>
    <row r="6" spans="1:15" ht="24.75" customHeight="1" x14ac:dyDescent="0.3">
      <c r="B6" s="10" t="s">
        <v>7</v>
      </c>
      <c r="C6" s="237">
        <f>+RESUMEN!B7</f>
        <v>46266</v>
      </c>
      <c r="D6" s="237"/>
      <c r="E6" s="237"/>
      <c r="F6" s="237"/>
      <c r="G6" s="237"/>
      <c r="H6" s="237"/>
      <c r="I6" s="237"/>
      <c r="J6" s="237"/>
      <c r="K6" s="237"/>
      <c r="L6" s="237"/>
      <c r="M6" s="237"/>
      <c r="N6" s="237"/>
      <c r="O6" s="237"/>
    </row>
    <row r="7" spans="1:15" ht="24" customHeight="1" x14ac:dyDescent="0.3">
      <c r="A7" s="65"/>
      <c r="B7" s="261" t="s">
        <v>39</v>
      </c>
      <c r="C7" s="261"/>
      <c r="D7" s="261"/>
      <c r="E7" s="261"/>
      <c r="F7" s="261"/>
      <c r="G7" s="261"/>
      <c r="H7" s="261"/>
      <c r="I7" s="261"/>
      <c r="J7" s="261"/>
      <c r="K7" s="261"/>
      <c r="L7" s="261"/>
      <c r="M7" s="261"/>
      <c r="N7" s="261"/>
      <c r="O7" s="261"/>
    </row>
    <row r="8" spans="1:15" ht="15.75" customHeight="1" x14ac:dyDescent="0.3"/>
    <row r="9" spans="1:15" ht="24" customHeight="1" x14ac:dyDescent="0.3">
      <c r="B9" s="249" t="s">
        <v>170</v>
      </c>
      <c r="C9" s="249"/>
      <c r="D9" s="249"/>
      <c r="E9" s="66" t="s">
        <v>152</v>
      </c>
      <c r="F9" s="66" t="s">
        <v>171</v>
      </c>
      <c r="G9" s="67" t="s">
        <v>172</v>
      </c>
      <c r="I9" s="68"/>
      <c r="J9" s="234" t="s">
        <v>170</v>
      </c>
      <c r="K9" s="234"/>
      <c r="L9" s="234"/>
      <c r="M9" s="69" t="s">
        <v>152</v>
      </c>
      <c r="N9" s="69" t="s">
        <v>171</v>
      </c>
      <c r="O9" s="69" t="s">
        <v>172</v>
      </c>
    </row>
    <row r="10" spans="1:15" ht="15" customHeight="1" x14ac:dyDescent="0.3">
      <c r="B10" s="250" t="s">
        <v>173</v>
      </c>
      <c r="C10" s="247" t="s">
        <v>174</v>
      </c>
      <c r="D10" s="70" t="s">
        <v>133</v>
      </c>
      <c r="E10" s="71">
        <v>61.2</v>
      </c>
      <c r="F10" s="248">
        <f>E10*E11*E12</f>
        <v>12.240000000000002</v>
      </c>
      <c r="G10" s="244">
        <f>SUM(F10:F18)</f>
        <v>21.345600000000001</v>
      </c>
      <c r="I10" s="68"/>
      <c r="J10" s="253" t="s">
        <v>175</v>
      </c>
      <c r="K10" s="252" t="s">
        <v>174</v>
      </c>
      <c r="L10" s="72" t="s">
        <v>133</v>
      </c>
      <c r="M10" s="73">
        <v>8.4600000000000009</v>
      </c>
      <c r="N10" s="254">
        <f>M10*M11*M12</f>
        <v>1.6920000000000002</v>
      </c>
      <c r="O10" s="254">
        <f>SUM(N10:N18)</f>
        <v>3.1080000000000005</v>
      </c>
    </row>
    <row r="11" spans="1:15" ht="15" customHeight="1" x14ac:dyDescent="0.3">
      <c r="B11" s="250"/>
      <c r="C11" s="247"/>
      <c r="D11" s="72" t="s">
        <v>176</v>
      </c>
      <c r="E11" s="73">
        <v>0.1</v>
      </c>
      <c r="F11" s="248"/>
      <c r="G11" s="244"/>
      <c r="I11" s="68"/>
      <c r="J11" s="253"/>
      <c r="K11" s="253"/>
      <c r="L11" s="72" t="s">
        <v>176</v>
      </c>
      <c r="M11" s="73">
        <v>0.1</v>
      </c>
      <c r="N11" s="254"/>
      <c r="O11" s="254"/>
    </row>
    <row r="12" spans="1:15" ht="15" customHeight="1" x14ac:dyDescent="0.3">
      <c r="B12" s="250"/>
      <c r="C12" s="247"/>
      <c r="D12" s="74" t="s">
        <v>177</v>
      </c>
      <c r="E12" s="75">
        <v>2</v>
      </c>
      <c r="F12" s="248"/>
      <c r="G12" s="244"/>
      <c r="I12" s="68"/>
      <c r="J12" s="253"/>
      <c r="K12" s="252"/>
      <c r="L12" s="72" t="s">
        <v>177</v>
      </c>
      <c r="M12" s="73">
        <v>2</v>
      </c>
      <c r="N12" s="254"/>
      <c r="O12" s="254"/>
    </row>
    <row r="13" spans="1:15" ht="15" customHeight="1" x14ac:dyDescent="0.3">
      <c r="B13" s="250"/>
      <c r="C13" s="247" t="s">
        <v>178</v>
      </c>
      <c r="D13" s="70" t="s">
        <v>176</v>
      </c>
      <c r="E13" s="71">
        <v>0.1</v>
      </c>
      <c r="F13" s="248">
        <f>E13*E14*E15</f>
        <v>6.6917999999999997</v>
      </c>
      <c r="G13" s="244"/>
      <c r="I13" s="68"/>
      <c r="J13" s="253"/>
      <c r="K13" s="252" t="s">
        <v>178</v>
      </c>
      <c r="L13" s="72" t="s">
        <v>176</v>
      </c>
      <c r="M13" s="73">
        <v>0.1</v>
      </c>
      <c r="N13" s="254">
        <f>M13*M14*M15</f>
        <v>1.4160000000000001</v>
      </c>
      <c r="O13" s="254"/>
    </row>
    <row r="14" spans="1:15" ht="15" customHeight="1" x14ac:dyDescent="0.3">
      <c r="B14" s="250"/>
      <c r="C14" s="247"/>
      <c r="D14" s="72" t="s">
        <v>179</v>
      </c>
      <c r="E14" s="73">
        <v>111.53</v>
      </c>
      <c r="F14" s="248"/>
      <c r="G14" s="244"/>
      <c r="I14" s="68"/>
      <c r="J14" s="253"/>
      <c r="K14" s="253"/>
      <c r="L14" s="72" t="s">
        <v>179</v>
      </c>
      <c r="M14" s="73">
        <v>23.6</v>
      </c>
      <c r="N14" s="254"/>
      <c r="O14" s="254"/>
    </row>
    <row r="15" spans="1:15" ht="15.75" customHeight="1" x14ac:dyDescent="0.3">
      <c r="B15" s="250"/>
      <c r="C15" s="247"/>
      <c r="D15" s="74" t="s">
        <v>130</v>
      </c>
      <c r="E15" s="75">
        <v>0.6</v>
      </c>
      <c r="F15" s="248"/>
      <c r="G15" s="244"/>
      <c r="I15" s="68"/>
      <c r="J15" s="253"/>
      <c r="K15" s="252"/>
      <c r="L15" s="72" t="s">
        <v>130</v>
      </c>
      <c r="M15" s="73">
        <v>0.6</v>
      </c>
      <c r="N15" s="254"/>
      <c r="O15" s="254"/>
    </row>
    <row r="16" spans="1:15" ht="15" customHeight="1" x14ac:dyDescent="0.3">
      <c r="B16" s="250"/>
      <c r="C16" s="247" t="s">
        <v>180</v>
      </c>
      <c r="D16" s="70" t="s">
        <v>179</v>
      </c>
      <c r="E16" s="71">
        <v>40.229999999999997</v>
      </c>
      <c r="F16" s="248">
        <f>E16*E17*E18</f>
        <v>2.4137999999999997</v>
      </c>
      <c r="G16" s="244"/>
      <c r="I16" s="68"/>
      <c r="J16" s="253"/>
      <c r="K16" s="252" t="s">
        <v>180</v>
      </c>
      <c r="L16" s="72" t="s">
        <v>179</v>
      </c>
      <c r="M16" s="76">
        <v>0</v>
      </c>
      <c r="N16" s="254">
        <f>M16*M17*M18</f>
        <v>0</v>
      </c>
      <c r="O16" s="254"/>
    </row>
    <row r="17" spans="2:15" ht="15" customHeight="1" x14ac:dyDescent="0.3">
      <c r="B17" s="250"/>
      <c r="C17" s="247"/>
      <c r="D17" s="72" t="s">
        <v>176</v>
      </c>
      <c r="E17" s="73">
        <v>0.1</v>
      </c>
      <c r="F17" s="248"/>
      <c r="G17" s="244"/>
      <c r="I17" s="68"/>
      <c r="J17" s="253"/>
      <c r="K17" s="253"/>
      <c r="L17" s="72" t="s">
        <v>176</v>
      </c>
      <c r="M17" s="73">
        <v>0.1</v>
      </c>
      <c r="N17" s="254"/>
      <c r="O17" s="254"/>
    </row>
    <row r="18" spans="2:15" ht="15.75" customHeight="1" x14ac:dyDescent="0.3">
      <c r="B18" s="250"/>
      <c r="C18" s="247"/>
      <c r="D18" s="74" t="s">
        <v>130</v>
      </c>
      <c r="E18" s="75">
        <v>0.6</v>
      </c>
      <c r="F18" s="248"/>
      <c r="G18" s="244"/>
      <c r="I18" s="68"/>
      <c r="J18" s="253"/>
      <c r="K18" s="253"/>
      <c r="L18" s="72" t="s">
        <v>130</v>
      </c>
      <c r="M18" s="73">
        <v>0.6</v>
      </c>
      <c r="N18" s="254"/>
      <c r="O18" s="254"/>
    </row>
    <row r="19" spans="2:15" ht="15" customHeight="1" x14ac:dyDescent="0.3">
      <c r="F19" s="77"/>
      <c r="I19" s="68"/>
    </row>
    <row r="20" spans="2:15" ht="14.25" customHeight="1" x14ac:dyDescent="0.3">
      <c r="I20" s="68"/>
    </row>
    <row r="21" spans="2:15" ht="21" customHeight="1" x14ac:dyDescent="0.3">
      <c r="B21" s="249" t="s">
        <v>170</v>
      </c>
      <c r="C21" s="249"/>
      <c r="D21" s="249"/>
      <c r="E21" s="66" t="s">
        <v>152</v>
      </c>
      <c r="F21" s="66" t="s">
        <v>171</v>
      </c>
      <c r="G21" s="67" t="s">
        <v>172</v>
      </c>
      <c r="I21" s="68"/>
      <c r="J21" s="234" t="s">
        <v>170</v>
      </c>
      <c r="K21" s="234"/>
      <c r="L21" s="234"/>
      <c r="M21" s="69" t="s">
        <v>152</v>
      </c>
      <c r="N21" s="69" t="s">
        <v>171</v>
      </c>
      <c r="O21" s="69" t="s">
        <v>172</v>
      </c>
    </row>
    <row r="22" spans="2:15" ht="15.75" customHeight="1" x14ac:dyDescent="0.3">
      <c r="B22" s="250" t="s">
        <v>181</v>
      </c>
      <c r="C22" s="247" t="s">
        <v>174</v>
      </c>
      <c r="D22" s="70" t="s">
        <v>133</v>
      </c>
      <c r="E22" s="71">
        <v>13.19</v>
      </c>
      <c r="F22" s="248">
        <f>E22*E23*E24</f>
        <v>2.6379999999999999</v>
      </c>
      <c r="G22" s="244">
        <f>SUM(F22:F30)</f>
        <v>4.6929999999999996</v>
      </c>
      <c r="J22" s="253" t="s">
        <v>182</v>
      </c>
      <c r="K22" s="252" t="s">
        <v>174</v>
      </c>
      <c r="L22" s="72" t="s">
        <v>133</v>
      </c>
      <c r="M22" s="73">
        <v>27.34</v>
      </c>
      <c r="N22" s="254">
        <f>M22*M23*M24</f>
        <v>5.468</v>
      </c>
      <c r="O22" s="254">
        <f>SUM(N22:N30)</f>
        <v>9.7489999999999988</v>
      </c>
    </row>
    <row r="23" spans="2:15" ht="15" customHeight="1" x14ac:dyDescent="0.3">
      <c r="B23" s="250"/>
      <c r="C23" s="247"/>
      <c r="D23" s="72" t="s">
        <v>176</v>
      </c>
      <c r="E23" s="73">
        <v>0.1</v>
      </c>
      <c r="F23" s="248"/>
      <c r="G23" s="244"/>
      <c r="J23" s="253"/>
      <c r="K23" s="253"/>
      <c r="L23" s="72" t="s">
        <v>176</v>
      </c>
      <c r="M23" s="73">
        <v>0.1</v>
      </c>
      <c r="N23" s="254"/>
      <c r="O23" s="254"/>
    </row>
    <row r="24" spans="2:15" ht="15.75" customHeight="1" x14ac:dyDescent="0.3">
      <c r="B24" s="250"/>
      <c r="C24" s="247"/>
      <c r="D24" s="74" t="s">
        <v>177</v>
      </c>
      <c r="E24" s="75">
        <v>2</v>
      </c>
      <c r="F24" s="248"/>
      <c r="G24" s="244"/>
      <c r="J24" s="253"/>
      <c r="K24" s="252"/>
      <c r="L24" s="72" t="s">
        <v>177</v>
      </c>
      <c r="M24" s="73">
        <v>2</v>
      </c>
      <c r="N24" s="254"/>
      <c r="O24" s="254"/>
    </row>
    <row r="25" spans="2:15" ht="15" customHeight="1" x14ac:dyDescent="0.3">
      <c r="B25" s="250"/>
      <c r="C25" s="247" t="s">
        <v>178</v>
      </c>
      <c r="D25" s="70" t="s">
        <v>176</v>
      </c>
      <c r="E25" s="71">
        <v>0.1</v>
      </c>
      <c r="F25" s="248">
        <f>E25*E26*E27</f>
        <v>2.0550000000000002</v>
      </c>
      <c r="G25" s="244"/>
      <c r="J25" s="253"/>
      <c r="K25" s="252" t="s">
        <v>178</v>
      </c>
      <c r="L25" s="72" t="s">
        <v>176</v>
      </c>
      <c r="M25" s="73">
        <v>0.1</v>
      </c>
      <c r="N25" s="254">
        <f>M25*M26*M27</f>
        <v>3.6360000000000001</v>
      </c>
      <c r="O25" s="254"/>
    </row>
    <row r="26" spans="2:15" ht="15" customHeight="1" x14ac:dyDescent="0.3">
      <c r="B26" s="250"/>
      <c r="C26" s="247"/>
      <c r="D26" s="72" t="s">
        <v>179</v>
      </c>
      <c r="E26" s="73">
        <v>34.25</v>
      </c>
      <c r="F26" s="248"/>
      <c r="G26" s="244"/>
      <c r="J26" s="253"/>
      <c r="K26" s="253"/>
      <c r="L26" s="72" t="s">
        <v>179</v>
      </c>
      <c r="M26" s="73">
        <v>60.6</v>
      </c>
      <c r="N26" s="254"/>
      <c r="O26" s="254"/>
    </row>
    <row r="27" spans="2:15" ht="15.75" customHeight="1" x14ac:dyDescent="0.3">
      <c r="B27" s="250"/>
      <c r="C27" s="247"/>
      <c r="D27" s="74" t="s">
        <v>130</v>
      </c>
      <c r="E27" s="75">
        <v>0.6</v>
      </c>
      <c r="F27" s="248"/>
      <c r="G27" s="244"/>
      <c r="J27" s="253"/>
      <c r="K27" s="252"/>
      <c r="L27" s="72" t="s">
        <v>130</v>
      </c>
      <c r="M27" s="73">
        <v>0.6</v>
      </c>
      <c r="N27" s="254"/>
      <c r="O27" s="254"/>
    </row>
    <row r="28" spans="2:15" ht="15" customHeight="1" x14ac:dyDescent="0.3">
      <c r="B28" s="250"/>
      <c r="C28" s="247" t="s">
        <v>180</v>
      </c>
      <c r="D28" s="70" t="s">
        <v>179</v>
      </c>
      <c r="E28" s="71">
        <v>0</v>
      </c>
      <c r="F28" s="248">
        <f>E28*E29*E30</f>
        <v>0</v>
      </c>
      <c r="G28" s="244"/>
      <c r="J28" s="253"/>
      <c r="K28" s="252" t="s">
        <v>180</v>
      </c>
      <c r="L28" s="72" t="s">
        <v>179</v>
      </c>
      <c r="M28" s="73">
        <v>10.75</v>
      </c>
      <c r="N28" s="254">
        <f>M28*M29*M30</f>
        <v>0.64499999999999991</v>
      </c>
      <c r="O28" s="254"/>
    </row>
    <row r="29" spans="2:15" ht="15" customHeight="1" x14ac:dyDescent="0.3">
      <c r="B29" s="250"/>
      <c r="C29" s="247"/>
      <c r="D29" s="72" t="s">
        <v>176</v>
      </c>
      <c r="E29" s="73">
        <v>0.1</v>
      </c>
      <c r="F29" s="248"/>
      <c r="G29" s="244"/>
      <c r="J29" s="253"/>
      <c r="K29" s="253"/>
      <c r="L29" s="72" t="s">
        <v>176</v>
      </c>
      <c r="M29" s="73">
        <v>0.1</v>
      </c>
      <c r="N29" s="254"/>
      <c r="O29" s="254"/>
    </row>
    <row r="30" spans="2:15" ht="15.75" customHeight="1" x14ac:dyDescent="0.3">
      <c r="B30" s="250"/>
      <c r="C30" s="247"/>
      <c r="D30" s="74" t="s">
        <v>130</v>
      </c>
      <c r="E30" s="75">
        <v>0.6</v>
      </c>
      <c r="F30" s="248"/>
      <c r="G30" s="244"/>
      <c r="J30" s="253"/>
      <c r="K30" s="253"/>
      <c r="L30" s="72" t="s">
        <v>130</v>
      </c>
      <c r="M30" s="73">
        <v>0.6</v>
      </c>
      <c r="N30" s="254"/>
      <c r="O30" s="254"/>
    </row>
    <row r="31" spans="2:15" ht="19.5" customHeight="1" x14ac:dyDescent="0.3"/>
    <row r="33" spans="2:15" ht="18.75" customHeight="1" x14ac:dyDescent="0.3">
      <c r="B33" s="234" t="s">
        <v>170</v>
      </c>
      <c r="C33" s="234"/>
      <c r="D33" s="234"/>
      <c r="E33" s="69" t="s">
        <v>152</v>
      </c>
      <c r="F33" s="69" t="s">
        <v>171</v>
      </c>
      <c r="G33" s="69" t="s">
        <v>172</v>
      </c>
      <c r="J33" s="234" t="s">
        <v>170</v>
      </c>
      <c r="K33" s="234"/>
      <c r="L33" s="234"/>
      <c r="M33" s="78" t="s">
        <v>152</v>
      </c>
      <c r="N33" s="78" t="s">
        <v>171</v>
      </c>
      <c r="O33" s="78" t="s">
        <v>172</v>
      </c>
    </row>
    <row r="34" spans="2:15" ht="15" customHeight="1" x14ac:dyDescent="0.3">
      <c r="B34" s="253" t="s">
        <v>183</v>
      </c>
      <c r="C34" s="252" t="s">
        <v>174</v>
      </c>
      <c r="D34" s="72" t="s">
        <v>133</v>
      </c>
      <c r="E34" s="73">
        <v>7.98</v>
      </c>
      <c r="F34" s="254">
        <f>E34*E35*E36</f>
        <v>1.5960000000000001</v>
      </c>
      <c r="G34" s="254">
        <f>SUM(F34:F42)</f>
        <v>2.94</v>
      </c>
      <c r="J34" s="255" t="s">
        <v>184</v>
      </c>
      <c r="K34" s="247" t="s">
        <v>174</v>
      </c>
      <c r="L34" s="70" t="s">
        <v>133</v>
      </c>
      <c r="M34" s="71">
        <v>17.670000000000002</v>
      </c>
      <c r="N34" s="248">
        <f>M34*M35*M36</f>
        <v>3.5340000000000007</v>
      </c>
      <c r="O34" s="244">
        <f>SUM(N34:N42)</f>
        <v>6.4932000000000007</v>
      </c>
    </row>
    <row r="35" spans="2:15" ht="15.75" customHeight="1" x14ac:dyDescent="0.3">
      <c r="B35" s="253"/>
      <c r="C35" s="253"/>
      <c r="D35" s="72" t="s">
        <v>176</v>
      </c>
      <c r="E35" s="73">
        <v>0.1</v>
      </c>
      <c r="F35" s="254"/>
      <c r="G35" s="254"/>
      <c r="J35" s="255"/>
      <c r="K35" s="247"/>
      <c r="L35" s="72" t="s">
        <v>176</v>
      </c>
      <c r="M35" s="73">
        <v>0.1</v>
      </c>
      <c r="N35" s="248"/>
      <c r="O35" s="244"/>
    </row>
    <row r="36" spans="2:15" ht="15.75" customHeight="1" x14ac:dyDescent="0.3">
      <c r="B36" s="253"/>
      <c r="C36" s="252"/>
      <c r="D36" s="72" t="s">
        <v>177</v>
      </c>
      <c r="E36" s="73">
        <v>2</v>
      </c>
      <c r="F36" s="254"/>
      <c r="G36" s="254"/>
      <c r="J36" s="255"/>
      <c r="K36" s="247"/>
      <c r="L36" s="74" t="s">
        <v>177</v>
      </c>
      <c r="M36" s="75">
        <v>2</v>
      </c>
      <c r="N36" s="248"/>
      <c r="O36" s="244"/>
    </row>
    <row r="37" spans="2:15" ht="19.5" customHeight="1" x14ac:dyDescent="0.3">
      <c r="B37" s="253"/>
      <c r="C37" s="252" t="s">
        <v>178</v>
      </c>
      <c r="D37" s="72" t="s">
        <v>176</v>
      </c>
      <c r="E37" s="73">
        <v>0.1</v>
      </c>
      <c r="F37" s="254">
        <f>E37*E38*E39</f>
        <v>1.3439999999999999</v>
      </c>
      <c r="G37" s="254"/>
      <c r="J37" s="255"/>
      <c r="K37" s="247" t="s">
        <v>178</v>
      </c>
      <c r="L37" s="70" t="s">
        <v>176</v>
      </c>
      <c r="M37" s="71">
        <v>0.1</v>
      </c>
      <c r="N37" s="248">
        <f>M37*M38*M39</f>
        <v>2.5596000000000001</v>
      </c>
      <c r="O37" s="244"/>
    </row>
    <row r="38" spans="2:15" ht="15" customHeight="1" x14ac:dyDescent="0.3">
      <c r="B38" s="253"/>
      <c r="C38" s="253"/>
      <c r="D38" s="72" t="s">
        <v>179</v>
      </c>
      <c r="E38" s="73">
        <v>22.4</v>
      </c>
      <c r="F38" s="254"/>
      <c r="G38" s="254"/>
      <c r="J38" s="255"/>
      <c r="K38" s="247"/>
      <c r="L38" s="72" t="s">
        <v>179</v>
      </c>
      <c r="M38" s="73">
        <v>42.66</v>
      </c>
      <c r="N38" s="248"/>
      <c r="O38" s="244"/>
    </row>
    <row r="39" spans="2:15" ht="15.75" customHeight="1" x14ac:dyDescent="0.3">
      <c r="B39" s="253"/>
      <c r="C39" s="252"/>
      <c r="D39" s="72" t="s">
        <v>130</v>
      </c>
      <c r="E39" s="73">
        <v>0.6</v>
      </c>
      <c r="F39" s="254"/>
      <c r="G39" s="254"/>
      <c r="J39" s="255"/>
      <c r="K39" s="247"/>
      <c r="L39" s="74" t="s">
        <v>130</v>
      </c>
      <c r="M39" s="75">
        <v>0.6</v>
      </c>
      <c r="N39" s="248"/>
      <c r="O39" s="244"/>
    </row>
    <row r="40" spans="2:15" ht="15" customHeight="1" x14ac:dyDescent="0.3">
      <c r="B40" s="253"/>
      <c r="C40" s="252" t="s">
        <v>180</v>
      </c>
      <c r="D40" s="72" t="s">
        <v>179</v>
      </c>
      <c r="E40" s="79">
        <v>0</v>
      </c>
      <c r="F40" s="254">
        <f>E40*E41*E42</f>
        <v>0</v>
      </c>
      <c r="G40" s="254"/>
      <c r="J40" s="255"/>
      <c r="K40" s="247" t="s">
        <v>180</v>
      </c>
      <c r="L40" s="70" t="s">
        <v>179</v>
      </c>
      <c r="M40" s="71">
        <v>6.66</v>
      </c>
      <c r="N40" s="248">
        <f>M40*M41*M42</f>
        <v>0.39960000000000001</v>
      </c>
      <c r="O40" s="244"/>
    </row>
    <row r="41" spans="2:15" ht="15" customHeight="1" x14ac:dyDescent="0.3">
      <c r="B41" s="253"/>
      <c r="C41" s="253"/>
      <c r="D41" s="72" t="s">
        <v>176</v>
      </c>
      <c r="E41" s="73">
        <v>0.1</v>
      </c>
      <c r="F41" s="254"/>
      <c r="G41" s="254"/>
      <c r="J41" s="255"/>
      <c r="K41" s="247"/>
      <c r="L41" s="72" t="s">
        <v>176</v>
      </c>
      <c r="M41" s="73">
        <v>0.1</v>
      </c>
      <c r="N41" s="248"/>
      <c r="O41" s="244"/>
    </row>
    <row r="42" spans="2:15" ht="15" customHeight="1" x14ac:dyDescent="0.3">
      <c r="B42" s="253"/>
      <c r="C42" s="253"/>
      <c r="D42" s="72" t="s">
        <v>130</v>
      </c>
      <c r="E42" s="73">
        <v>0.6</v>
      </c>
      <c r="F42" s="254"/>
      <c r="G42" s="254"/>
      <c r="J42" s="255"/>
      <c r="K42" s="247"/>
      <c r="L42" s="74" t="s">
        <v>130</v>
      </c>
      <c r="M42" s="75">
        <v>0.6</v>
      </c>
      <c r="N42" s="248"/>
      <c r="O42" s="244"/>
    </row>
    <row r="45" spans="2:15" ht="19.5" customHeight="1" x14ac:dyDescent="0.3">
      <c r="B45" s="259" t="s">
        <v>170</v>
      </c>
      <c r="C45" s="259"/>
      <c r="D45" s="259"/>
      <c r="E45" s="78" t="s">
        <v>152</v>
      </c>
      <c r="F45" s="78" t="s">
        <v>171</v>
      </c>
      <c r="G45" s="78" t="s">
        <v>172</v>
      </c>
      <c r="J45" s="234" t="s">
        <v>170</v>
      </c>
      <c r="K45" s="234"/>
      <c r="L45" s="234"/>
      <c r="M45" s="78" t="s">
        <v>152</v>
      </c>
      <c r="N45" s="78" t="s">
        <v>171</v>
      </c>
      <c r="O45" s="78" t="s">
        <v>172</v>
      </c>
    </row>
    <row r="46" spans="2:15" ht="15" customHeight="1" x14ac:dyDescent="0.3">
      <c r="B46" s="256" t="s">
        <v>185</v>
      </c>
      <c r="C46" s="247" t="s">
        <v>174</v>
      </c>
      <c r="D46" s="70" t="s">
        <v>133</v>
      </c>
      <c r="E46" s="71">
        <v>54.29</v>
      </c>
      <c r="F46" s="248">
        <f>E46*E47*E48</f>
        <v>10.858000000000001</v>
      </c>
      <c r="G46" s="244">
        <f>SUM(F46:F54)</f>
        <v>18.836200000000002</v>
      </c>
      <c r="J46" s="255"/>
      <c r="K46" s="247" t="s">
        <v>174</v>
      </c>
      <c r="L46" s="70" t="s">
        <v>133</v>
      </c>
      <c r="M46" s="71">
        <v>0</v>
      </c>
      <c r="N46" s="248">
        <f>M46*M47*M48</f>
        <v>0</v>
      </c>
      <c r="O46" s="244">
        <f>SUM(N46:N54)</f>
        <v>0</v>
      </c>
    </row>
    <row r="47" spans="2:15" ht="15" customHeight="1" x14ac:dyDescent="0.3">
      <c r="B47" s="256"/>
      <c r="C47" s="256"/>
      <c r="D47" s="72" t="s">
        <v>176</v>
      </c>
      <c r="E47" s="73">
        <v>0.1</v>
      </c>
      <c r="F47" s="248"/>
      <c r="G47" s="244"/>
      <c r="J47" s="255"/>
      <c r="K47" s="247"/>
      <c r="L47" s="72" t="s">
        <v>176</v>
      </c>
      <c r="M47" s="73">
        <v>0.1</v>
      </c>
      <c r="N47" s="248"/>
      <c r="O47" s="244"/>
    </row>
    <row r="48" spans="2:15" ht="15.75" customHeight="1" x14ac:dyDescent="0.3">
      <c r="B48" s="256"/>
      <c r="C48" s="247"/>
      <c r="D48" s="74" t="s">
        <v>177</v>
      </c>
      <c r="E48" s="75">
        <v>2</v>
      </c>
      <c r="F48" s="248"/>
      <c r="G48" s="244"/>
      <c r="J48" s="255"/>
      <c r="K48" s="247"/>
      <c r="L48" s="74" t="s">
        <v>177</v>
      </c>
      <c r="M48" s="75">
        <v>2</v>
      </c>
      <c r="N48" s="248"/>
      <c r="O48" s="244"/>
    </row>
    <row r="49" spans="2:15" ht="15" customHeight="1" x14ac:dyDescent="0.3">
      <c r="B49" s="256"/>
      <c r="C49" s="247" t="s">
        <v>178</v>
      </c>
      <c r="D49" s="70" t="s">
        <v>176</v>
      </c>
      <c r="E49" s="71">
        <v>0.1</v>
      </c>
      <c r="F49" s="248">
        <f>E49*E50*E51</f>
        <v>6.1386000000000012</v>
      </c>
      <c r="G49" s="244"/>
      <c r="J49" s="255"/>
      <c r="K49" s="247" t="s">
        <v>178</v>
      </c>
      <c r="L49" s="70" t="s">
        <v>176</v>
      </c>
      <c r="M49" s="71">
        <v>0.1</v>
      </c>
      <c r="N49" s="248">
        <f>M49*M50*M51</f>
        <v>0</v>
      </c>
      <c r="O49" s="244"/>
    </row>
    <row r="50" spans="2:15" ht="15" customHeight="1" x14ac:dyDescent="0.3">
      <c r="B50" s="256"/>
      <c r="C50" s="256"/>
      <c r="D50" s="72" t="s">
        <v>179</v>
      </c>
      <c r="E50" s="73">
        <v>102.31</v>
      </c>
      <c r="F50" s="248"/>
      <c r="G50" s="244"/>
      <c r="J50" s="255"/>
      <c r="K50" s="247"/>
      <c r="L50" s="72" t="s">
        <v>179</v>
      </c>
      <c r="M50" s="73">
        <v>0</v>
      </c>
      <c r="N50" s="248"/>
      <c r="O50" s="244"/>
    </row>
    <row r="51" spans="2:15" ht="21" customHeight="1" x14ac:dyDescent="0.3">
      <c r="B51" s="256"/>
      <c r="C51" s="247"/>
      <c r="D51" s="74" t="s">
        <v>130</v>
      </c>
      <c r="E51" s="75">
        <v>0.6</v>
      </c>
      <c r="F51" s="248"/>
      <c r="G51" s="244"/>
      <c r="J51" s="255"/>
      <c r="K51" s="247"/>
      <c r="L51" s="74" t="s">
        <v>130</v>
      </c>
      <c r="M51" s="75">
        <v>0.6</v>
      </c>
      <c r="N51" s="248"/>
      <c r="O51" s="244"/>
    </row>
    <row r="52" spans="2:15" ht="15" customHeight="1" x14ac:dyDescent="0.3">
      <c r="B52" s="256"/>
      <c r="C52" s="257" t="s">
        <v>180</v>
      </c>
      <c r="D52" s="80" t="s">
        <v>179</v>
      </c>
      <c r="E52" s="81">
        <v>30.66</v>
      </c>
      <c r="F52" s="258">
        <f>E52*E53*E54</f>
        <v>1.8396000000000001</v>
      </c>
      <c r="G52" s="244"/>
      <c r="J52" s="255"/>
      <c r="K52" s="247" t="s">
        <v>180</v>
      </c>
      <c r="L52" s="70" t="s">
        <v>179</v>
      </c>
      <c r="M52" s="82">
        <v>0</v>
      </c>
      <c r="N52" s="248">
        <f>M52*M53*M54</f>
        <v>0</v>
      </c>
      <c r="O52" s="244"/>
    </row>
    <row r="53" spans="2:15" ht="15" customHeight="1" x14ac:dyDescent="0.3">
      <c r="B53" s="256"/>
      <c r="C53" s="257"/>
      <c r="D53" s="72" t="s">
        <v>176</v>
      </c>
      <c r="E53" s="73">
        <v>0.1</v>
      </c>
      <c r="F53" s="258"/>
      <c r="G53" s="244"/>
      <c r="J53" s="255"/>
      <c r="K53" s="247"/>
      <c r="L53" s="72" t="s">
        <v>176</v>
      </c>
      <c r="M53" s="73">
        <v>0.1</v>
      </c>
      <c r="N53" s="248"/>
      <c r="O53" s="244"/>
    </row>
    <row r="54" spans="2:15" ht="15.75" customHeight="1" x14ac:dyDescent="0.3">
      <c r="B54" s="256"/>
      <c r="C54" s="257"/>
      <c r="D54" s="74" t="s">
        <v>130</v>
      </c>
      <c r="E54" s="75">
        <v>0.6</v>
      </c>
      <c r="F54" s="258"/>
      <c r="G54" s="244"/>
      <c r="J54" s="255"/>
      <c r="K54" s="247"/>
      <c r="L54" s="74" t="s">
        <v>130</v>
      </c>
      <c r="M54" s="75">
        <v>0.6</v>
      </c>
      <c r="N54" s="248"/>
      <c r="O54" s="244"/>
    </row>
    <row r="57" spans="2:15" ht="21" customHeight="1" x14ac:dyDescent="0.3">
      <c r="B57" s="234" t="s">
        <v>170</v>
      </c>
      <c r="C57" s="234"/>
      <c r="D57" s="234"/>
      <c r="E57" s="69" t="s">
        <v>152</v>
      </c>
      <c r="F57" s="69" t="s">
        <v>171</v>
      </c>
      <c r="G57" s="69" t="s">
        <v>172</v>
      </c>
      <c r="J57" s="234" t="s">
        <v>170</v>
      </c>
      <c r="K57" s="234"/>
      <c r="L57" s="234"/>
      <c r="M57" s="78" t="s">
        <v>152</v>
      </c>
      <c r="N57" s="78" t="s">
        <v>171</v>
      </c>
      <c r="O57" s="78" t="s">
        <v>172</v>
      </c>
    </row>
    <row r="58" spans="2:15" ht="15" customHeight="1" x14ac:dyDescent="0.3">
      <c r="B58" s="253" t="s">
        <v>186</v>
      </c>
      <c r="C58" s="252" t="s">
        <v>174</v>
      </c>
      <c r="D58" s="72" t="s">
        <v>133</v>
      </c>
      <c r="E58" s="73">
        <v>17.07</v>
      </c>
      <c r="F58" s="254">
        <f>E58*E59*E60</f>
        <v>3.4140000000000001</v>
      </c>
      <c r="G58" s="254">
        <f>SUM(F58:F66)</f>
        <v>6.5400000000000009</v>
      </c>
      <c r="J58" s="255"/>
      <c r="K58" s="247" t="s">
        <v>174</v>
      </c>
      <c r="L58" s="70" t="s">
        <v>133</v>
      </c>
      <c r="M58" s="71">
        <v>0</v>
      </c>
      <c r="N58" s="248">
        <f>M58*M59*M60</f>
        <v>0</v>
      </c>
      <c r="O58" s="244">
        <f>SUM(N58:N66)</f>
        <v>0</v>
      </c>
    </row>
    <row r="59" spans="2:15" ht="15" customHeight="1" x14ac:dyDescent="0.3">
      <c r="B59" s="253"/>
      <c r="C59" s="253"/>
      <c r="D59" s="72" t="s">
        <v>176</v>
      </c>
      <c r="E59" s="73">
        <v>0.1</v>
      </c>
      <c r="F59" s="254"/>
      <c r="G59" s="254"/>
      <c r="J59" s="255"/>
      <c r="K59" s="247"/>
      <c r="L59" s="72" t="s">
        <v>176</v>
      </c>
      <c r="M59" s="73">
        <v>0.1</v>
      </c>
      <c r="N59" s="248"/>
      <c r="O59" s="244"/>
    </row>
    <row r="60" spans="2:15" ht="15.75" customHeight="1" x14ac:dyDescent="0.3">
      <c r="B60" s="253"/>
      <c r="C60" s="252"/>
      <c r="D60" s="72" t="s">
        <v>177</v>
      </c>
      <c r="E60" s="73">
        <v>2</v>
      </c>
      <c r="F60" s="254"/>
      <c r="G60" s="254"/>
      <c r="J60" s="255"/>
      <c r="K60" s="247"/>
      <c r="L60" s="74" t="s">
        <v>177</v>
      </c>
      <c r="M60" s="75">
        <v>2</v>
      </c>
      <c r="N60" s="248"/>
      <c r="O60" s="244"/>
    </row>
    <row r="61" spans="2:15" ht="15" customHeight="1" x14ac:dyDescent="0.3">
      <c r="B61" s="253"/>
      <c r="C61" s="252" t="s">
        <v>178</v>
      </c>
      <c r="D61" s="72" t="s">
        <v>176</v>
      </c>
      <c r="E61" s="73">
        <v>0.1</v>
      </c>
      <c r="F61" s="254">
        <f>E61*E62*E63</f>
        <v>2.5320000000000005</v>
      </c>
      <c r="G61" s="254"/>
      <c r="J61" s="255"/>
      <c r="K61" s="247" t="s">
        <v>178</v>
      </c>
      <c r="L61" s="70" t="s">
        <v>176</v>
      </c>
      <c r="M61" s="71">
        <v>0.1</v>
      </c>
      <c r="N61" s="248">
        <f>M61*M62*M63</f>
        <v>0</v>
      </c>
      <c r="O61" s="244"/>
    </row>
    <row r="62" spans="2:15" ht="15" customHeight="1" x14ac:dyDescent="0.3">
      <c r="B62" s="253"/>
      <c r="C62" s="253"/>
      <c r="D62" s="72" t="s">
        <v>179</v>
      </c>
      <c r="E62" s="73">
        <v>42.2</v>
      </c>
      <c r="F62" s="254"/>
      <c r="G62" s="254"/>
      <c r="I62" s="68"/>
      <c r="J62" s="255"/>
      <c r="K62" s="247"/>
      <c r="L62" s="72" t="s">
        <v>179</v>
      </c>
      <c r="M62" s="73">
        <v>0</v>
      </c>
      <c r="N62" s="248"/>
      <c r="O62" s="244"/>
    </row>
    <row r="63" spans="2:15" ht="15.75" customHeight="1" x14ac:dyDescent="0.3">
      <c r="B63" s="253"/>
      <c r="C63" s="252"/>
      <c r="D63" s="72" t="s">
        <v>130</v>
      </c>
      <c r="E63" s="73">
        <v>0.6</v>
      </c>
      <c r="F63" s="254"/>
      <c r="G63" s="254"/>
      <c r="I63" s="68"/>
      <c r="J63" s="255"/>
      <c r="K63" s="247"/>
      <c r="L63" s="74" t="s">
        <v>130</v>
      </c>
      <c r="M63" s="75">
        <v>0.6</v>
      </c>
      <c r="N63" s="248"/>
      <c r="O63" s="244"/>
    </row>
    <row r="64" spans="2:15" ht="15" customHeight="1" x14ac:dyDescent="0.3">
      <c r="B64" s="253"/>
      <c r="C64" s="252" t="s">
        <v>180</v>
      </c>
      <c r="D64" s="72" t="s">
        <v>179</v>
      </c>
      <c r="E64" s="73">
        <v>9.9</v>
      </c>
      <c r="F64" s="254">
        <f>E64*E65*E66</f>
        <v>0.59400000000000008</v>
      </c>
      <c r="G64" s="254"/>
      <c r="J64" s="255"/>
      <c r="K64" s="247" t="s">
        <v>180</v>
      </c>
      <c r="L64" s="70" t="s">
        <v>179</v>
      </c>
      <c r="M64" s="71">
        <v>0</v>
      </c>
      <c r="N64" s="248">
        <f>M64*M65*M66</f>
        <v>0</v>
      </c>
      <c r="O64" s="244"/>
    </row>
    <row r="65" spans="2:15" ht="15" customHeight="1" x14ac:dyDescent="0.3">
      <c r="B65" s="253"/>
      <c r="C65" s="253"/>
      <c r="D65" s="72" t="s">
        <v>176</v>
      </c>
      <c r="E65" s="73">
        <v>0.1</v>
      </c>
      <c r="F65" s="254"/>
      <c r="G65" s="254"/>
      <c r="J65" s="255"/>
      <c r="K65" s="247"/>
      <c r="L65" s="72" t="s">
        <v>176</v>
      </c>
      <c r="M65" s="73">
        <v>0.1</v>
      </c>
      <c r="N65" s="248"/>
      <c r="O65" s="244"/>
    </row>
    <row r="66" spans="2:15" ht="18" customHeight="1" x14ac:dyDescent="0.3">
      <c r="B66" s="253"/>
      <c r="C66" s="253"/>
      <c r="D66" s="72" t="s">
        <v>130</v>
      </c>
      <c r="E66" s="73">
        <v>0.6</v>
      </c>
      <c r="F66" s="254"/>
      <c r="G66" s="254"/>
      <c r="J66" s="255"/>
      <c r="K66" s="247"/>
      <c r="L66" s="74" t="s">
        <v>130</v>
      </c>
      <c r="M66" s="75">
        <v>0.6</v>
      </c>
      <c r="N66" s="248"/>
      <c r="O66" s="244"/>
    </row>
    <row r="68" spans="2:15" ht="14.25" customHeight="1" x14ac:dyDescent="0.3"/>
    <row r="69" spans="2:15" ht="24" customHeight="1" x14ac:dyDescent="0.3">
      <c r="B69" s="249" t="s">
        <v>170</v>
      </c>
      <c r="C69" s="249"/>
      <c r="D69" s="249"/>
      <c r="E69" s="66" t="s">
        <v>152</v>
      </c>
      <c r="F69" s="66" t="s">
        <v>171</v>
      </c>
      <c r="G69" s="67" t="s">
        <v>172</v>
      </c>
      <c r="J69" s="234" t="s">
        <v>170</v>
      </c>
      <c r="K69" s="234"/>
      <c r="L69" s="234"/>
      <c r="M69" s="78" t="s">
        <v>152</v>
      </c>
      <c r="N69" s="78" t="s">
        <v>171</v>
      </c>
      <c r="O69" s="78" t="s">
        <v>172</v>
      </c>
    </row>
    <row r="70" spans="2:15" ht="19.5" customHeight="1" x14ac:dyDescent="0.3">
      <c r="B70" s="250" t="s">
        <v>187</v>
      </c>
      <c r="C70" s="247" t="s">
        <v>174</v>
      </c>
      <c r="D70" s="70" t="s">
        <v>133</v>
      </c>
      <c r="E70" s="71">
        <v>52.71</v>
      </c>
      <c r="F70" s="248">
        <f>E70*E71*E72</f>
        <v>10.542000000000002</v>
      </c>
      <c r="G70" s="244">
        <f>SUM(F70:F78)</f>
        <v>20.434799999999999</v>
      </c>
      <c r="J70" s="251"/>
      <c r="K70" s="247" t="s">
        <v>174</v>
      </c>
      <c r="L70" s="70" t="s">
        <v>133</v>
      </c>
      <c r="M70" s="71">
        <v>0</v>
      </c>
      <c r="N70" s="248">
        <f>M70*M71*M72</f>
        <v>0</v>
      </c>
      <c r="O70" s="244">
        <f>SUM(N70:N78)</f>
        <v>0</v>
      </c>
    </row>
    <row r="71" spans="2:15" ht="14.25" customHeight="1" x14ac:dyDescent="0.3">
      <c r="B71" s="250"/>
      <c r="C71" s="247"/>
      <c r="D71" s="72" t="s">
        <v>176</v>
      </c>
      <c r="E71" s="73">
        <v>0.1</v>
      </c>
      <c r="F71" s="248"/>
      <c r="G71" s="244"/>
      <c r="J71" s="251"/>
      <c r="K71" s="247"/>
      <c r="L71" s="72" t="s">
        <v>176</v>
      </c>
      <c r="M71" s="73">
        <v>0.1</v>
      </c>
      <c r="N71" s="248"/>
      <c r="O71" s="244"/>
    </row>
    <row r="72" spans="2:15" ht="22.5" customHeight="1" x14ac:dyDescent="0.3">
      <c r="B72" s="250"/>
      <c r="C72" s="247"/>
      <c r="D72" s="74" t="s">
        <v>177</v>
      </c>
      <c r="E72" s="75">
        <v>2</v>
      </c>
      <c r="F72" s="248"/>
      <c r="G72" s="244"/>
      <c r="J72" s="251"/>
      <c r="K72" s="247"/>
      <c r="L72" s="74" t="s">
        <v>177</v>
      </c>
      <c r="M72" s="75">
        <v>2</v>
      </c>
      <c r="N72" s="248"/>
      <c r="O72" s="244"/>
    </row>
    <row r="73" spans="2:15" ht="15" customHeight="1" x14ac:dyDescent="0.3">
      <c r="B73" s="250"/>
      <c r="C73" s="245" t="s">
        <v>178</v>
      </c>
      <c r="D73" s="80" t="s">
        <v>176</v>
      </c>
      <c r="E73" s="83">
        <v>0.1</v>
      </c>
      <c r="F73" s="246">
        <f>E73*E74*E75</f>
        <v>5.9213999999999993</v>
      </c>
      <c r="G73" s="244"/>
      <c r="J73" s="251"/>
      <c r="K73" s="247" t="s">
        <v>178</v>
      </c>
      <c r="L73" s="70" t="s">
        <v>176</v>
      </c>
      <c r="M73" s="71">
        <v>0.1</v>
      </c>
      <c r="N73" s="248">
        <f>M73*M74*M75</f>
        <v>0</v>
      </c>
      <c r="O73" s="244"/>
    </row>
    <row r="74" spans="2:15" ht="14.25" customHeight="1" x14ac:dyDescent="0.3">
      <c r="B74" s="250"/>
      <c r="C74" s="245"/>
      <c r="D74" s="72" t="s">
        <v>179</v>
      </c>
      <c r="E74" s="73">
        <v>98.69</v>
      </c>
      <c r="F74" s="246"/>
      <c r="G74" s="244"/>
      <c r="J74" s="251"/>
      <c r="K74" s="247"/>
      <c r="L74" s="72" t="s">
        <v>179</v>
      </c>
      <c r="M74" s="73">
        <v>0</v>
      </c>
      <c r="N74" s="248"/>
      <c r="O74" s="244"/>
    </row>
    <row r="75" spans="2:15" ht="15.75" customHeight="1" x14ac:dyDescent="0.3">
      <c r="B75" s="250"/>
      <c r="C75" s="245"/>
      <c r="D75" s="84" t="s">
        <v>130</v>
      </c>
      <c r="E75" s="85">
        <v>0.6</v>
      </c>
      <c r="F75" s="246"/>
      <c r="G75" s="244"/>
      <c r="J75" s="251"/>
      <c r="K75" s="247"/>
      <c r="L75" s="74" t="s">
        <v>130</v>
      </c>
      <c r="M75" s="75">
        <v>0.6</v>
      </c>
      <c r="N75" s="248"/>
      <c r="O75" s="244"/>
    </row>
    <row r="76" spans="2:15" ht="15" customHeight="1" x14ac:dyDescent="0.3">
      <c r="B76" s="250"/>
      <c r="C76" s="247" t="s">
        <v>180</v>
      </c>
      <c r="D76" s="70" t="s">
        <v>179</v>
      </c>
      <c r="E76" s="71">
        <v>66.19</v>
      </c>
      <c r="F76" s="248">
        <f>E76*E77*E78</f>
        <v>3.9713999999999996</v>
      </c>
      <c r="G76" s="244"/>
      <c r="J76" s="251"/>
      <c r="K76" s="247" t="s">
        <v>180</v>
      </c>
      <c r="L76" s="70" t="s">
        <v>179</v>
      </c>
      <c r="M76" s="86">
        <v>0</v>
      </c>
      <c r="N76" s="248">
        <f>M76*M77*M78</f>
        <v>0</v>
      </c>
      <c r="O76" s="244"/>
    </row>
    <row r="77" spans="2:15" ht="14.25" customHeight="1" x14ac:dyDescent="0.3">
      <c r="B77" s="250"/>
      <c r="C77" s="247"/>
      <c r="D77" s="72" t="s">
        <v>176</v>
      </c>
      <c r="E77" s="73">
        <v>0.1</v>
      </c>
      <c r="F77" s="248"/>
      <c r="G77" s="244"/>
      <c r="I77" s="68"/>
      <c r="J77" s="251"/>
      <c r="K77" s="247"/>
      <c r="L77" s="72" t="s">
        <v>176</v>
      </c>
      <c r="M77" s="73">
        <v>0.1</v>
      </c>
      <c r="N77" s="248"/>
      <c r="O77" s="244"/>
    </row>
    <row r="78" spans="2:15" ht="15.75" customHeight="1" x14ac:dyDescent="0.3">
      <c r="B78" s="250"/>
      <c r="C78" s="247"/>
      <c r="D78" s="74" t="s">
        <v>130</v>
      </c>
      <c r="E78" s="75">
        <v>0.6</v>
      </c>
      <c r="F78" s="248"/>
      <c r="G78" s="244"/>
      <c r="I78" s="68"/>
      <c r="J78" s="251"/>
      <c r="K78" s="247"/>
      <c r="L78" s="74" t="s">
        <v>130</v>
      </c>
      <c r="M78" s="75">
        <v>0.6</v>
      </c>
      <c r="N78" s="248"/>
      <c r="O78" s="244"/>
    </row>
    <row r="80" spans="2:15" x14ac:dyDescent="0.3">
      <c r="I80" s="68"/>
    </row>
    <row r="81" spans="9:9" x14ac:dyDescent="0.3">
      <c r="I81" s="68"/>
    </row>
    <row r="85" spans="9:9" ht="27.75" customHeight="1" x14ac:dyDescent="0.3"/>
    <row r="96" spans="9:9" x14ac:dyDescent="0.3">
      <c r="I96" s="68"/>
    </row>
    <row r="97" spans="9:9" x14ac:dyDescent="0.3">
      <c r="I97" s="68"/>
    </row>
    <row r="100" spans="9:9" ht="24" customHeight="1" x14ac:dyDescent="0.3"/>
    <row r="111" spans="9:9" x14ac:dyDescent="0.3">
      <c r="I111" s="68"/>
    </row>
    <row r="112" spans="9:9" x14ac:dyDescent="0.3">
      <c r="I112" s="68"/>
    </row>
    <row r="115" spans="9:9" ht="23.25" customHeight="1" x14ac:dyDescent="0.3"/>
    <row r="126" spans="9:9" x14ac:dyDescent="0.3">
      <c r="I126" s="68"/>
    </row>
    <row r="127" spans="9:9" x14ac:dyDescent="0.3">
      <c r="I127" s="68"/>
    </row>
    <row r="130" spans="9:9" ht="25.5" customHeight="1" x14ac:dyDescent="0.3"/>
    <row r="141" spans="9:9" x14ac:dyDescent="0.3">
      <c r="I141" s="68"/>
    </row>
    <row r="142" spans="9:9" x14ac:dyDescent="0.3">
      <c r="I142" s="68"/>
    </row>
    <row r="145" spans="9:9" ht="25.5" customHeight="1" x14ac:dyDescent="0.3"/>
    <row r="146" spans="9:9" ht="15" customHeight="1" x14ac:dyDescent="0.3"/>
    <row r="156" spans="9:9" x14ac:dyDescent="0.3">
      <c r="I156" s="68"/>
    </row>
    <row r="157" spans="9:9" x14ac:dyDescent="0.3">
      <c r="I157" s="68"/>
    </row>
  </sheetData>
  <mergeCells count="114">
    <mergeCell ref="B2:O2"/>
    <mergeCell ref="C3:O3"/>
    <mergeCell ref="C4:O4"/>
    <mergeCell ref="C5:O5"/>
    <mergeCell ref="C6:O6"/>
    <mergeCell ref="B7:O7"/>
    <mergeCell ref="B9:D9"/>
    <mergeCell ref="J9:L9"/>
    <mergeCell ref="B10:B18"/>
    <mergeCell ref="C10:C12"/>
    <mergeCell ref="F10:F12"/>
    <mergeCell ref="G10:G18"/>
    <mergeCell ref="J10:J18"/>
    <mergeCell ref="K10:K12"/>
    <mergeCell ref="N10:N12"/>
    <mergeCell ref="O10:O18"/>
    <mergeCell ref="C13:C15"/>
    <mergeCell ref="F13:F15"/>
    <mergeCell ref="K13:K15"/>
    <mergeCell ref="N13:N15"/>
    <mergeCell ref="C16:C18"/>
    <mergeCell ref="F16:F18"/>
    <mergeCell ref="K16:K18"/>
    <mergeCell ref="N16:N18"/>
    <mergeCell ref="B21:D21"/>
    <mergeCell ref="J21:L21"/>
    <mergeCell ref="B22:B30"/>
    <mergeCell ref="C22:C24"/>
    <mergeCell ref="F22:F24"/>
    <mergeCell ref="G22:G30"/>
    <mergeCell ref="J22:J30"/>
    <mergeCell ref="K22:K24"/>
    <mergeCell ref="N22:N24"/>
    <mergeCell ref="O22:O30"/>
    <mergeCell ref="C25:C27"/>
    <mergeCell ref="F25:F27"/>
    <mergeCell ref="K25:K27"/>
    <mergeCell ref="N25:N27"/>
    <mergeCell ref="C28:C30"/>
    <mergeCell ref="F28:F30"/>
    <mergeCell ref="K28:K30"/>
    <mergeCell ref="N28:N30"/>
    <mergeCell ref="B33:D33"/>
    <mergeCell ref="J33:L33"/>
    <mergeCell ref="B34:B42"/>
    <mergeCell ref="C34:C36"/>
    <mergeCell ref="F34:F36"/>
    <mergeCell ref="G34:G42"/>
    <mergeCell ref="J34:J42"/>
    <mergeCell ref="K34:K36"/>
    <mergeCell ref="N34:N36"/>
    <mergeCell ref="O34:O42"/>
    <mergeCell ref="C37:C39"/>
    <mergeCell ref="F37:F39"/>
    <mergeCell ref="K37:K39"/>
    <mergeCell ref="N37:N39"/>
    <mergeCell ref="C40:C42"/>
    <mergeCell ref="F40:F42"/>
    <mergeCell ref="K40:K42"/>
    <mergeCell ref="N40:N42"/>
    <mergeCell ref="B45:D45"/>
    <mergeCell ref="J45:L45"/>
    <mergeCell ref="B46:B54"/>
    <mergeCell ref="C46:C48"/>
    <mergeCell ref="F46:F48"/>
    <mergeCell ref="G46:G54"/>
    <mergeCell ref="J46:J54"/>
    <mergeCell ref="K46:K48"/>
    <mergeCell ref="N46:N48"/>
    <mergeCell ref="O46:O54"/>
    <mergeCell ref="C49:C51"/>
    <mergeCell ref="F49:F51"/>
    <mergeCell ref="K49:K51"/>
    <mergeCell ref="N49:N51"/>
    <mergeCell ref="C52:C54"/>
    <mergeCell ref="F52:F54"/>
    <mergeCell ref="K52:K54"/>
    <mergeCell ref="N52:N54"/>
    <mergeCell ref="B57:D57"/>
    <mergeCell ref="J57:L57"/>
    <mergeCell ref="B58:B66"/>
    <mergeCell ref="C58:C60"/>
    <mergeCell ref="F58:F60"/>
    <mergeCell ref="G58:G66"/>
    <mergeCell ref="J58:J66"/>
    <mergeCell ref="K58:K60"/>
    <mergeCell ref="N58:N60"/>
    <mergeCell ref="O58:O66"/>
    <mergeCell ref="C61:C63"/>
    <mergeCell ref="F61:F63"/>
    <mergeCell ref="K61:K63"/>
    <mergeCell ref="N61:N63"/>
    <mergeCell ref="C64:C66"/>
    <mergeCell ref="F64:F66"/>
    <mergeCell ref="K64:K66"/>
    <mergeCell ref="N64:N66"/>
    <mergeCell ref="B69:D69"/>
    <mergeCell ref="J69:L69"/>
    <mergeCell ref="B70:B78"/>
    <mergeCell ref="C70:C72"/>
    <mergeCell ref="F70:F72"/>
    <mergeCell ref="G70:G78"/>
    <mergeCell ref="J70:J78"/>
    <mergeCell ref="K70:K72"/>
    <mergeCell ref="N70:N72"/>
    <mergeCell ref="O70:O78"/>
    <mergeCell ref="C73:C75"/>
    <mergeCell ref="F73:F75"/>
    <mergeCell ref="K73:K75"/>
    <mergeCell ref="N73:N75"/>
    <mergeCell ref="C76:C78"/>
    <mergeCell ref="F76:F78"/>
    <mergeCell ref="K76:K78"/>
    <mergeCell ref="N76:N78"/>
  </mergeCells>
  <pageMargins left="0.5" right="0.118055555555556" top="1.1069444444444401" bottom="0.92986111111111103" header="0.3" footer="0.511811023622047"/>
  <pageSetup paperSize="9" scale="38" orientation="portrait" horizontalDpi="300" verticalDpi="300"/>
  <rowBreaks count="1" manualBreakCount="1">
    <brk id="1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2:P79"/>
  <sheetViews>
    <sheetView topLeftCell="C1" zoomScale="130" zoomScaleNormal="130" zoomScalePageLayoutView="130" workbookViewId="0">
      <selection activeCell="H81" sqref="H81"/>
    </sheetView>
  </sheetViews>
  <sheetFormatPr baseColWidth="10" defaultColWidth="10.90625" defaultRowHeight="15.5" x14ac:dyDescent="0.35"/>
  <cols>
    <col min="1" max="1" width="4.453125" style="87" customWidth="1"/>
    <col min="2" max="2" width="13.453125" style="87" customWidth="1"/>
    <col min="3" max="3" width="15" style="87" customWidth="1"/>
    <col min="4" max="7" width="10.90625" style="87"/>
    <col min="8" max="8" width="12.26953125" style="87" customWidth="1"/>
    <col min="9" max="14" width="10.90625" style="87"/>
    <col min="15" max="15" width="16.54296875" style="87" customWidth="1"/>
    <col min="16" max="16" width="12.36328125" style="87" customWidth="1"/>
    <col min="17" max="16384" width="10.90625" style="87"/>
  </cols>
  <sheetData>
    <row r="2" spans="2:16" ht="21" customHeight="1" x14ac:dyDescent="0.35">
      <c r="B2" s="270" t="s">
        <v>188</v>
      </c>
      <c r="C2" s="270"/>
      <c r="D2" s="270"/>
      <c r="E2" s="270"/>
      <c r="F2" s="270"/>
      <c r="G2" s="270"/>
      <c r="H2" s="270"/>
      <c r="I2" s="270"/>
      <c r="J2" s="270"/>
      <c r="K2" s="270"/>
      <c r="L2" s="270"/>
      <c r="M2" s="270"/>
      <c r="N2" s="270"/>
      <c r="O2" s="270"/>
      <c r="P2" s="270"/>
    </row>
    <row r="3" spans="2:16" ht="20.25" customHeight="1" x14ac:dyDescent="0.35">
      <c r="B3" s="88" t="s">
        <v>1</v>
      </c>
      <c r="C3" s="271" t="str">
        <f>+RESUMEN!B4</f>
        <v>GERENCIA TERRITORIAL BAJO MAYO - TARAPOTO</v>
      </c>
      <c r="D3" s="271"/>
      <c r="E3" s="271"/>
      <c r="F3" s="271"/>
      <c r="G3" s="271"/>
      <c r="H3" s="271"/>
      <c r="I3" s="271"/>
      <c r="J3" s="271"/>
      <c r="K3" s="271"/>
      <c r="L3" s="271"/>
      <c r="M3" s="271"/>
      <c r="N3" s="271"/>
      <c r="O3" s="271"/>
      <c r="P3" s="271"/>
    </row>
    <row r="4" spans="2:16" ht="60" customHeight="1" x14ac:dyDescent="0.35">
      <c r="B4" s="88" t="s">
        <v>3</v>
      </c>
      <c r="C4" s="271"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71"/>
      <c r="E4" s="271"/>
      <c r="F4" s="271"/>
      <c r="G4" s="271"/>
      <c r="H4" s="271"/>
      <c r="I4" s="271"/>
      <c r="J4" s="271"/>
      <c r="K4" s="271"/>
      <c r="L4" s="271"/>
      <c r="M4" s="271"/>
      <c r="N4" s="271"/>
      <c r="O4" s="271"/>
      <c r="P4" s="271"/>
    </row>
    <row r="5" spans="2:16" ht="36" customHeight="1" x14ac:dyDescent="0.35">
      <c r="B5" s="88" t="s">
        <v>5</v>
      </c>
      <c r="C5" s="271" t="str">
        <f>+RESUMEN!B6</f>
        <v>SAN MARTIN - SAN MARTIN - MORALES</v>
      </c>
      <c r="D5" s="271"/>
      <c r="E5" s="271"/>
      <c r="F5" s="271"/>
      <c r="G5" s="271"/>
      <c r="H5" s="271"/>
      <c r="I5" s="271"/>
      <c r="J5" s="271"/>
      <c r="K5" s="271"/>
      <c r="L5" s="271"/>
      <c r="M5" s="271"/>
      <c r="N5" s="271"/>
      <c r="O5" s="271"/>
      <c r="P5" s="271"/>
    </row>
    <row r="6" spans="2:16" ht="19.5" customHeight="1" x14ac:dyDescent="0.35">
      <c r="B6" s="88" t="s">
        <v>7</v>
      </c>
      <c r="C6" s="272">
        <f>+RESUMEN!B7</f>
        <v>46266</v>
      </c>
      <c r="D6" s="272"/>
      <c r="E6" s="272"/>
      <c r="F6" s="272"/>
      <c r="G6" s="272"/>
      <c r="H6" s="272"/>
      <c r="I6" s="272"/>
      <c r="J6" s="272"/>
      <c r="K6" s="272"/>
      <c r="L6" s="272"/>
      <c r="M6" s="272"/>
      <c r="N6" s="272"/>
      <c r="O6" s="272"/>
      <c r="P6" s="272"/>
    </row>
    <row r="7" spans="2:16" ht="19.5" customHeight="1" x14ac:dyDescent="0.35">
      <c r="B7" s="89"/>
      <c r="C7" s="89"/>
      <c r="D7" s="89"/>
      <c r="E7" s="89"/>
      <c r="F7" s="89"/>
      <c r="G7" s="89"/>
      <c r="H7" s="89"/>
      <c r="I7" s="89"/>
      <c r="J7" s="89"/>
      <c r="K7" s="89"/>
      <c r="L7" s="89"/>
      <c r="M7" s="89"/>
      <c r="N7" s="89"/>
      <c r="O7" s="89"/>
      <c r="P7" s="89"/>
    </row>
    <row r="8" spans="2:16" ht="15" customHeight="1" x14ac:dyDescent="0.35">
      <c r="B8" s="273" t="s">
        <v>189</v>
      </c>
      <c r="C8" s="273"/>
      <c r="D8" s="273"/>
      <c r="E8" s="273"/>
      <c r="F8" s="273"/>
      <c r="G8" s="273"/>
      <c r="H8" s="273"/>
      <c r="I8" s="273"/>
      <c r="J8" s="273"/>
      <c r="K8" s="273"/>
      <c r="L8" s="273"/>
      <c r="M8" s="273"/>
      <c r="N8" s="273"/>
      <c r="O8" s="273"/>
      <c r="P8" s="273"/>
    </row>
    <row r="9" spans="2:16" ht="15.75" customHeight="1" x14ac:dyDescent="0.35">
      <c r="B9" s="273"/>
      <c r="C9" s="273"/>
      <c r="D9" s="273"/>
      <c r="E9" s="273"/>
      <c r="F9" s="273"/>
      <c r="G9" s="273"/>
      <c r="H9" s="273"/>
      <c r="I9" s="273"/>
      <c r="J9" s="273"/>
      <c r="K9" s="273"/>
      <c r="L9" s="273"/>
      <c r="M9" s="273"/>
      <c r="N9" s="273"/>
      <c r="O9" s="273"/>
      <c r="P9" s="273"/>
    </row>
    <row r="11" spans="2:16" ht="19.5" customHeight="1" x14ac:dyDescent="0.35">
      <c r="B11" s="269" t="s">
        <v>170</v>
      </c>
      <c r="C11" s="269"/>
      <c r="D11" s="269"/>
      <c r="E11" s="269"/>
      <c r="F11" s="269"/>
      <c r="G11" s="90" t="s">
        <v>171</v>
      </c>
      <c r="H11" s="90" t="s">
        <v>190</v>
      </c>
      <c r="I11" s="4"/>
      <c r="J11" s="269" t="s">
        <v>170</v>
      </c>
      <c r="K11" s="269"/>
      <c r="L11" s="269"/>
      <c r="M11" s="269"/>
      <c r="N11" s="269"/>
      <c r="O11" s="90" t="s">
        <v>171</v>
      </c>
      <c r="P11" s="90" t="s">
        <v>190</v>
      </c>
    </row>
    <row r="12" spans="2:16" ht="15" customHeight="1" x14ac:dyDescent="0.35">
      <c r="B12" s="268" t="s">
        <v>138</v>
      </c>
      <c r="C12" s="274" t="s">
        <v>191</v>
      </c>
      <c r="D12" s="268" t="s">
        <v>192</v>
      </c>
      <c r="E12" s="92" t="s">
        <v>133</v>
      </c>
      <c r="F12" s="76">
        <v>42.85</v>
      </c>
      <c r="G12" s="262">
        <f>F12*F13</f>
        <v>85.7</v>
      </c>
      <c r="H12" s="263">
        <f>SUM(G12:G20)</f>
        <v>291.25199999999995</v>
      </c>
      <c r="I12" s="4"/>
      <c r="J12" s="264" t="s">
        <v>139</v>
      </c>
      <c r="K12" s="265" t="s">
        <v>191</v>
      </c>
      <c r="L12" s="264" t="s">
        <v>192</v>
      </c>
      <c r="M12" s="93" t="s">
        <v>133</v>
      </c>
      <c r="N12" s="76">
        <v>16.62</v>
      </c>
      <c r="O12" s="262">
        <f>N12*N13</f>
        <v>33.24</v>
      </c>
      <c r="P12" s="263">
        <f>SUM(O12:O20)</f>
        <v>59.620000000000005</v>
      </c>
    </row>
    <row r="13" spans="2:16" x14ac:dyDescent="0.35">
      <c r="B13" s="268"/>
      <c r="C13" s="268"/>
      <c r="D13" s="268"/>
      <c r="E13" s="92" t="s">
        <v>177</v>
      </c>
      <c r="F13" s="76">
        <v>2</v>
      </c>
      <c r="G13" s="262"/>
      <c r="H13" s="263"/>
      <c r="I13" s="4"/>
      <c r="J13" s="264"/>
      <c r="K13" s="264"/>
      <c r="L13" s="264"/>
      <c r="M13" s="93" t="s">
        <v>177</v>
      </c>
      <c r="N13" s="76">
        <v>2</v>
      </c>
      <c r="O13" s="262"/>
      <c r="P13" s="263"/>
    </row>
    <row r="14" spans="2:16" ht="15" customHeight="1" x14ac:dyDescent="0.35">
      <c r="B14" s="268"/>
      <c r="C14" s="268"/>
      <c r="D14" s="268" t="s">
        <v>193</v>
      </c>
      <c r="E14" s="92" t="s">
        <v>133</v>
      </c>
      <c r="F14" s="76">
        <v>35.72</v>
      </c>
      <c r="G14" s="262">
        <f>F14*F15</f>
        <v>71.44</v>
      </c>
      <c r="H14" s="263"/>
      <c r="I14" s="4"/>
      <c r="J14" s="264"/>
      <c r="K14" s="264"/>
      <c r="L14" s="264" t="s">
        <v>193</v>
      </c>
      <c r="M14" s="93" t="s">
        <v>133</v>
      </c>
      <c r="N14" s="76">
        <v>13.19</v>
      </c>
      <c r="O14" s="262">
        <f>N14*N15</f>
        <v>26.38</v>
      </c>
      <c r="P14" s="263"/>
    </row>
    <row r="15" spans="2:16" x14ac:dyDescent="0.35">
      <c r="B15" s="268"/>
      <c r="C15" s="274"/>
      <c r="D15" s="274"/>
      <c r="E15" s="92" t="s">
        <v>194</v>
      </c>
      <c r="F15" s="76">
        <v>2</v>
      </c>
      <c r="G15" s="262"/>
      <c r="H15" s="263"/>
      <c r="I15" s="4"/>
      <c r="J15" s="264"/>
      <c r="K15" s="265"/>
      <c r="L15" s="265"/>
      <c r="M15" s="93" t="s">
        <v>194</v>
      </c>
      <c r="N15" s="76">
        <v>2</v>
      </c>
      <c r="O15" s="262"/>
      <c r="P15" s="263"/>
    </row>
    <row r="16" spans="2:16" ht="15" customHeight="1" x14ac:dyDescent="0.35">
      <c r="B16" s="268"/>
      <c r="C16" s="275" t="s">
        <v>195</v>
      </c>
      <c r="D16" s="268" t="s">
        <v>196</v>
      </c>
      <c r="E16" s="92" t="s">
        <v>133</v>
      </c>
      <c r="F16" s="73">
        <v>33.53</v>
      </c>
      <c r="G16" s="262">
        <f>F16*F17</f>
        <v>67.06</v>
      </c>
      <c r="H16" s="263"/>
      <c r="I16" s="4"/>
      <c r="J16" s="264"/>
      <c r="K16" s="266" t="s">
        <v>195</v>
      </c>
      <c r="L16" s="264" t="s">
        <v>196</v>
      </c>
      <c r="M16" s="93" t="s">
        <v>133</v>
      </c>
      <c r="N16" s="76">
        <v>0</v>
      </c>
      <c r="O16" s="262">
        <f>N16*N17</f>
        <v>0</v>
      </c>
      <c r="P16" s="263"/>
    </row>
    <row r="17" spans="2:16" x14ac:dyDescent="0.35">
      <c r="B17" s="268"/>
      <c r="C17" s="268"/>
      <c r="D17" s="268"/>
      <c r="E17" s="92" t="s">
        <v>177</v>
      </c>
      <c r="F17" s="73">
        <v>2</v>
      </c>
      <c r="G17" s="262"/>
      <c r="H17" s="263"/>
      <c r="I17" s="4"/>
      <c r="J17" s="264"/>
      <c r="K17" s="264"/>
      <c r="L17" s="264"/>
      <c r="M17" s="93" t="s">
        <v>177</v>
      </c>
      <c r="N17" s="76">
        <v>2</v>
      </c>
      <c r="O17" s="262"/>
      <c r="P17" s="263"/>
    </row>
    <row r="18" spans="2:16" ht="15" customHeight="1" x14ac:dyDescent="0.35">
      <c r="B18" s="268"/>
      <c r="C18" s="268"/>
      <c r="D18" s="268" t="s">
        <v>193</v>
      </c>
      <c r="E18" s="92" t="s">
        <v>133</v>
      </c>
      <c r="F18" s="73">
        <v>25.48</v>
      </c>
      <c r="G18" s="262">
        <f>(F18*F19)+F20</f>
        <v>67.051999999999992</v>
      </c>
      <c r="H18" s="263"/>
      <c r="I18" s="4"/>
      <c r="J18" s="264"/>
      <c r="K18" s="264"/>
      <c r="L18" s="264" t="s">
        <v>193</v>
      </c>
      <c r="M18" s="93" t="s">
        <v>133</v>
      </c>
      <c r="N18" s="76">
        <v>0</v>
      </c>
      <c r="O18" s="262">
        <f>N18*N19+N20</f>
        <v>0</v>
      </c>
      <c r="P18" s="263"/>
    </row>
    <row r="19" spans="2:16" x14ac:dyDescent="0.35">
      <c r="B19" s="268"/>
      <c r="C19" s="268"/>
      <c r="D19" s="268"/>
      <c r="E19" s="92" t="s">
        <v>194</v>
      </c>
      <c r="F19" s="73">
        <v>2</v>
      </c>
      <c r="G19" s="262"/>
      <c r="H19" s="262"/>
      <c r="I19" s="4"/>
      <c r="J19" s="264"/>
      <c r="K19" s="264"/>
      <c r="L19" s="264"/>
      <c r="M19" s="93" t="s">
        <v>194</v>
      </c>
      <c r="N19" s="76">
        <v>2</v>
      </c>
      <c r="O19" s="262"/>
      <c r="P19" s="262"/>
    </row>
    <row r="20" spans="2:16" ht="14.25" customHeight="1" x14ac:dyDescent="0.35">
      <c r="B20" s="268"/>
      <c r="C20" s="268"/>
      <c r="D20" s="268"/>
      <c r="E20" s="92" t="s">
        <v>180</v>
      </c>
      <c r="F20" s="73">
        <f>40.23*0.4</f>
        <v>16.091999999999999</v>
      </c>
      <c r="G20" s="262"/>
      <c r="H20" s="262"/>
      <c r="I20" s="4"/>
      <c r="J20" s="264"/>
      <c r="K20" s="264"/>
      <c r="L20" s="264"/>
      <c r="M20" s="93" t="s">
        <v>180</v>
      </c>
      <c r="N20" s="76">
        <v>0</v>
      </c>
      <c r="O20" s="262"/>
      <c r="P20" s="262"/>
    </row>
    <row r="21" spans="2:16" x14ac:dyDescent="0.35">
      <c r="J21" s="94"/>
      <c r="K21" s="94"/>
      <c r="L21" s="94"/>
      <c r="M21" s="94"/>
      <c r="N21" s="94"/>
    </row>
    <row r="22" spans="2:16" ht="29.9" customHeight="1" x14ac:dyDescent="0.35">
      <c r="B22" s="269" t="s">
        <v>170</v>
      </c>
      <c r="C22" s="269"/>
      <c r="D22" s="269"/>
      <c r="E22" s="269"/>
      <c r="F22" s="269"/>
      <c r="G22" s="90" t="s">
        <v>171</v>
      </c>
      <c r="H22" s="90" t="s">
        <v>190</v>
      </c>
      <c r="I22" s="4"/>
      <c r="J22" s="267" t="s">
        <v>170</v>
      </c>
      <c r="K22" s="267"/>
      <c r="L22" s="267"/>
      <c r="M22" s="267"/>
      <c r="N22" s="267"/>
      <c r="O22" s="90" t="s">
        <v>171</v>
      </c>
      <c r="P22" s="90" t="s">
        <v>190</v>
      </c>
    </row>
    <row r="23" spans="2:16" ht="15" customHeight="1" x14ac:dyDescent="0.35">
      <c r="B23" s="264" t="s">
        <v>140</v>
      </c>
      <c r="C23" s="265" t="s">
        <v>191</v>
      </c>
      <c r="D23" s="264" t="s">
        <v>192</v>
      </c>
      <c r="E23" s="93" t="s">
        <v>133</v>
      </c>
      <c r="F23" s="76">
        <v>10.220000000000001</v>
      </c>
      <c r="G23" s="262">
        <f>F23*F24</f>
        <v>20.440000000000001</v>
      </c>
      <c r="H23" s="263">
        <f>SUM(G23:G31)</f>
        <v>36.400000000000006</v>
      </c>
      <c r="I23" s="4"/>
      <c r="J23" s="264" t="s">
        <v>141</v>
      </c>
      <c r="K23" s="265" t="s">
        <v>191</v>
      </c>
      <c r="L23" s="264" t="s">
        <v>192</v>
      </c>
      <c r="M23" s="93" t="s">
        <v>133</v>
      </c>
      <c r="N23" s="76">
        <v>42.88</v>
      </c>
      <c r="O23" s="262">
        <f>N23*N24</f>
        <v>85.76</v>
      </c>
      <c r="P23" s="263">
        <f>SUM(O23:O31)</f>
        <v>256.00400000000002</v>
      </c>
    </row>
    <row r="24" spans="2:16" x14ac:dyDescent="0.35">
      <c r="B24" s="264"/>
      <c r="C24" s="264"/>
      <c r="D24" s="264"/>
      <c r="E24" s="93" t="s">
        <v>177</v>
      </c>
      <c r="F24" s="76">
        <v>2</v>
      </c>
      <c r="G24" s="262"/>
      <c r="H24" s="263"/>
      <c r="I24" s="4"/>
      <c r="J24" s="264"/>
      <c r="K24" s="264"/>
      <c r="L24" s="264"/>
      <c r="M24" s="93" t="s">
        <v>177</v>
      </c>
      <c r="N24" s="76">
        <v>2</v>
      </c>
      <c r="O24" s="262"/>
      <c r="P24" s="263"/>
    </row>
    <row r="25" spans="2:16" ht="15" customHeight="1" x14ac:dyDescent="0.35">
      <c r="B25" s="264"/>
      <c r="C25" s="264"/>
      <c r="D25" s="264" t="s">
        <v>193</v>
      </c>
      <c r="E25" s="93" t="s">
        <v>133</v>
      </c>
      <c r="F25" s="76">
        <v>7.98</v>
      </c>
      <c r="G25" s="262">
        <f>F25*F26</f>
        <v>15.96</v>
      </c>
      <c r="H25" s="263"/>
      <c r="I25" s="4"/>
      <c r="J25" s="264"/>
      <c r="K25" s="264"/>
      <c r="L25" s="264" t="s">
        <v>193</v>
      </c>
      <c r="M25" s="93" t="s">
        <v>133</v>
      </c>
      <c r="N25" s="76">
        <v>35.72</v>
      </c>
      <c r="O25" s="262">
        <f>N25*N26</f>
        <v>71.44</v>
      </c>
      <c r="P25" s="263"/>
    </row>
    <row r="26" spans="2:16" x14ac:dyDescent="0.35">
      <c r="B26" s="264"/>
      <c r="C26" s="265"/>
      <c r="D26" s="265"/>
      <c r="E26" s="93" t="s">
        <v>194</v>
      </c>
      <c r="F26" s="76">
        <v>2</v>
      </c>
      <c r="G26" s="262"/>
      <c r="H26" s="263"/>
      <c r="I26" s="4"/>
      <c r="J26" s="264"/>
      <c r="K26" s="265"/>
      <c r="L26" s="265"/>
      <c r="M26" s="93" t="s">
        <v>194</v>
      </c>
      <c r="N26" s="76">
        <v>2</v>
      </c>
      <c r="O26" s="262"/>
      <c r="P26" s="263"/>
    </row>
    <row r="27" spans="2:16" ht="15" customHeight="1" x14ac:dyDescent="0.35">
      <c r="B27" s="264"/>
      <c r="C27" s="266" t="s">
        <v>195</v>
      </c>
      <c r="D27" s="264" t="s">
        <v>196</v>
      </c>
      <c r="E27" s="93" t="s">
        <v>133</v>
      </c>
      <c r="F27" s="95">
        <v>0</v>
      </c>
      <c r="G27" s="262">
        <f>F27*F28</f>
        <v>0</v>
      </c>
      <c r="H27" s="263"/>
      <c r="I27" s="4"/>
      <c r="J27" s="264"/>
      <c r="K27" s="266" t="s">
        <v>195</v>
      </c>
      <c r="L27" s="264" t="s">
        <v>196</v>
      </c>
      <c r="M27" s="93" t="s">
        <v>133</v>
      </c>
      <c r="N27" s="95">
        <v>24.7</v>
      </c>
      <c r="O27" s="262">
        <f>N27*N28</f>
        <v>49.4</v>
      </c>
      <c r="P27" s="263"/>
    </row>
    <row r="28" spans="2:16" x14ac:dyDescent="0.35">
      <c r="B28" s="264"/>
      <c r="C28" s="264"/>
      <c r="D28" s="264"/>
      <c r="E28" s="93" t="s">
        <v>177</v>
      </c>
      <c r="F28" s="95">
        <v>2</v>
      </c>
      <c r="G28" s="262"/>
      <c r="H28" s="263"/>
      <c r="I28" s="4"/>
      <c r="J28" s="264"/>
      <c r="K28" s="264"/>
      <c r="L28" s="264"/>
      <c r="M28" s="93" t="s">
        <v>177</v>
      </c>
      <c r="N28" s="95">
        <v>2</v>
      </c>
      <c r="O28" s="262"/>
      <c r="P28" s="263"/>
    </row>
    <row r="29" spans="2:16" ht="15" customHeight="1" x14ac:dyDescent="0.35">
      <c r="B29" s="264"/>
      <c r="C29" s="264"/>
      <c r="D29" s="264" t="s">
        <v>193</v>
      </c>
      <c r="E29" s="93" t="s">
        <v>133</v>
      </c>
      <c r="F29" s="95">
        <v>0</v>
      </c>
      <c r="G29" s="262">
        <f>F29*F30+F31</f>
        <v>0</v>
      </c>
      <c r="H29" s="263"/>
      <c r="I29" s="4"/>
      <c r="J29" s="264"/>
      <c r="K29" s="264"/>
      <c r="L29" s="264" t="s">
        <v>193</v>
      </c>
      <c r="M29" s="93" t="s">
        <v>133</v>
      </c>
      <c r="N29" s="95">
        <v>18.57</v>
      </c>
      <c r="O29" s="262">
        <f>N29*N30+N31</f>
        <v>49.404000000000003</v>
      </c>
      <c r="P29" s="263"/>
    </row>
    <row r="30" spans="2:16" x14ac:dyDescent="0.35">
      <c r="B30" s="264"/>
      <c r="C30" s="264"/>
      <c r="D30" s="264"/>
      <c r="E30" s="93" t="s">
        <v>194</v>
      </c>
      <c r="F30" s="95">
        <v>2</v>
      </c>
      <c r="G30" s="262"/>
      <c r="H30" s="262"/>
      <c r="I30" s="4"/>
      <c r="J30" s="264"/>
      <c r="K30" s="264"/>
      <c r="L30" s="264"/>
      <c r="M30" s="93" t="s">
        <v>194</v>
      </c>
      <c r="N30" s="95">
        <v>2</v>
      </c>
      <c r="O30" s="262"/>
      <c r="P30" s="262"/>
    </row>
    <row r="31" spans="2:16" ht="13.5" customHeight="1" x14ac:dyDescent="0.35">
      <c r="B31" s="264"/>
      <c r="C31" s="264"/>
      <c r="D31" s="264"/>
      <c r="E31" s="93" t="s">
        <v>180</v>
      </c>
      <c r="F31" s="95">
        <v>0</v>
      </c>
      <c r="G31" s="262"/>
      <c r="H31" s="262"/>
      <c r="I31" s="4"/>
      <c r="J31" s="264"/>
      <c r="K31" s="264"/>
      <c r="L31" s="264"/>
      <c r="M31" s="93" t="s">
        <v>180</v>
      </c>
      <c r="N31" s="95">
        <f>30.66*0.4</f>
        <v>12.264000000000001</v>
      </c>
      <c r="O31" s="262"/>
      <c r="P31" s="262"/>
    </row>
    <row r="32" spans="2:16" x14ac:dyDescent="0.35">
      <c r="B32" s="94"/>
      <c r="C32" s="94"/>
      <c r="D32" s="94"/>
      <c r="E32" s="94"/>
      <c r="F32" s="94"/>
      <c r="J32" s="94"/>
      <c r="K32" s="94"/>
      <c r="L32" s="94"/>
      <c r="M32" s="94"/>
      <c r="N32" s="94"/>
    </row>
    <row r="33" spans="2:16" ht="29.9" customHeight="1" x14ac:dyDescent="0.35">
      <c r="B33" s="267" t="s">
        <v>170</v>
      </c>
      <c r="C33" s="267"/>
      <c r="D33" s="267"/>
      <c r="E33" s="267"/>
      <c r="F33" s="267"/>
      <c r="G33" s="90" t="s">
        <v>171</v>
      </c>
      <c r="H33" s="90" t="s">
        <v>190</v>
      </c>
      <c r="I33" s="4"/>
      <c r="J33" s="267" t="s">
        <v>170</v>
      </c>
      <c r="K33" s="267"/>
      <c r="L33" s="267"/>
      <c r="M33" s="267"/>
      <c r="N33" s="267"/>
      <c r="O33" s="90" t="s">
        <v>171</v>
      </c>
      <c r="P33" s="90" t="s">
        <v>190</v>
      </c>
    </row>
    <row r="34" spans="2:16" ht="15" customHeight="1" x14ac:dyDescent="0.35">
      <c r="B34" s="264" t="s">
        <v>142</v>
      </c>
      <c r="C34" s="265" t="s">
        <v>191</v>
      </c>
      <c r="D34" s="264" t="s">
        <v>192</v>
      </c>
      <c r="E34" s="93" t="s">
        <v>133</v>
      </c>
      <c r="F34" s="76">
        <v>15.51</v>
      </c>
      <c r="G34" s="262">
        <f>F34*F35</f>
        <v>31.02</v>
      </c>
      <c r="H34" s="263">
        <f>SUM(G34:G42)</f>
        <v>82.660000000000011</v>
      </c>
      <c r="I34" s="4"/>
      <c r="J34" s="264" t="s">
        <v>143</v>
      </c>
      <c r="K34" s="265" t="s">
        <v>191</v>
      </c>
      <c r="L34" s="264" t="s">
        <v>192</v>
      </c>
      <c r="M34" s="93" t="s">
        <v>133</v>
      </c>
      <c r="N34" s="76">
        <v>15.61</v>
      </c>
      <c r="O34" s="262">
        <f>N34*N35</f>
        <v>31.22</v>
      </c>
      <c r="P34" s="263">
        <f>SUM(O34:O42)</f>
        <v>270.29599999999999</v>
      </c>
    </row>
    <row r="35" spans="2:16" x14ac:dyDescent="0.35">
      <c r="B35" s="264"/>
      <c r="C35" s="264"/>
      <c r="D35" s="264"/>
      <c r="E35" s="93" t="s">
        <v>177</v>
      </c>
      <c r="F35" s="76">
        <v>2</v>
      </c>
      <c r="G35" s="262"/>
      <c r="H35" s="263"/>
      <c r="I35" s="4"/>
      <c r="J35" s="264"/>
      <c r="K35" s="264"/>
      <c r="L35" s="264"/>
      <c r="M35" s="93" t="s">
        <v>177</v>
      </c>
      <c r="N35" s="76">
        <v>2</v>
      </c>
      <c r="O35" s="262"/>
      <c r="P35" s="263"/>
    </row>
    <row r="36" spans="2:16" ht="15" customHeight="1" x14ac:dyDescent="0.35">
      <c r="B36" s="264"/>
      <c r="C36" s="264"/>
      <c r="D36" s="264" t="s">
        <v>193</v>
      </c>
      <c r="E36" s="93" t="s">
        <v>133</v>
      </c>
      <c r="F36" s="76">
        <v>12.28</v>
      </c>
      <c r="G36" s="262">
        <f>F36*F37</f>
        <v>24.56</v>
      </c>
      <c r="H36" s="263"/>
      <c r="I36" s="4"/>
      <c r="J36" s="264"/>
      <c r="K36" s="264"/>
      <c r="L36" s="264" t="s">
        <v>193</v>
      </c>
      <c r="M36" s="93" t="s">
        <v>133</v>
      </c>
      <c r="N36" s="76">
        <v>12.36</v>
      </c>
      <c r="O36" s="262">
        <f>N36*N37</f>
        <v>24.72</v>
      </c>
      <c r="P36" s="263"/>
    </row>
    <row r="37" spans="2:16" x14ac:dyDescent="0.35">
      <c r="B37" s="264"/>
      <c r="C37" s="265"/>
      <c r="D37" s="265"/>
      <c r="E37" s="93" t="s">
        <v>194</v>
      </c>
      <c r="F37" s="76">
        <v>2</v>
      </c>
      <c r="G37" s="262"/>
      <c r="H37" s="263"/>
      <c r="I37" s="4"/>
      <c r="J37" s="264"/>
      <c r="K37" s="265"/>
      <c r="L37" s="265"/>
      <c r="M37" s="93" t="s">
        <v>194</v>
      </c>
      <c r="N37" s="76">
        <v>2</v>
      </c>
      <c r="O37" s="262"/>
      <c r="P37" s="263"/>
    </row>
    <row r="38" spans="2:16" ht="15" customHeight="1" x14ac:dyDescent="0.35">
      <c r="B38" s="264"/>
      <c r="C38" s="266" t="s">
        <v>195</v>
      </c>
      <c r="D38" s="264" t="s">
        <v>196</v>
      </c>
      <c r="E38" s="93" t="s">
        <v>133</v>
      </c>
      <c r="F38" s="73">
        <v>6.77</v>
      </c>
      <c r="G38" s="262">
        <f>F38*F39</f>
        <v>13.54</v>
      </c>
      <c r="H38" s="263"/>
      <c r="I38" s="4"/>
      <c r="J38" s="264"/>
      <c r="K38" s="266" t="s">
        <v>195</v>
      </c>
      <c r="L38" s="264" t="s">
        <v>196</v>
      </c>
      <c r="M38" s="93" t="s">
        <v>133</v>
      </c>
      <c r="N38" s="73">
        <v>53.59</v>
      </c>
      <c r="O38" s="262">
        <f>N38*N39</f>
        <v>107.18</v>
      </c>
      <c r="P38" s="263"/>
    </row>
    <row r="39" spans="2:16" x14ac:dyDescent="0.35">
      <c r="B39" s="264"/>
      <c r="C39" s="264"/>
      <c r="D39" s="264"/>
      <c r="E39" s="93" t="s">
        <v>177</v>
      </c>
      <c r="F39" s="73">
        <v>2</v>
      </c>
      <c r="G39" s="262"/>
      <c r="H39" s="263"/>
      <c r="I39" s="4"/>
      <c r="J39" s="264"/>
      <c r="K39" s="264"/>
      <c r="L39" s="264"/>
      <c r="M39" s="93" t="s">
        <v>177</v>
      </c>
      <c r="N39" s="73">
        <v>2</v>
      </c>
      <c r="O39" s="262"/>
      <c r="P39" s="263"/>
    </row>
    <row r="40" spans="2:16" ht="15" customHeight="1" x14ac:dyDescent="0.35">
      <c r="B40" s="264"/>
      <c r="C40" s="264"/>
      <c r="D40" s="264" t="s">
        <v>193</v>
      </c>
      <c r="E40" s="93" t="s">
        <v>133</v>
      </c>
      <c r="F40" s="73">
        <v>4.79</v>
      </c>
      <c r="G40" s="262">
        <f>F40*F41+F42</f>
        <v>13.540000000000001</v>
      </c>
      <c r="H40" s="263"/>
      <c r="I40" s="4"/>
      <c r="J40" s="264"/>
      <c r="K40" s="264"/>
      <c r="L40" s="264" t="s">
        <v>193</v>
      </c>
      <c r="M40" s="93" t="s">
        <v>133</v>
      </c>
      <c r="N40" s="73">
        <v>40.35</v>
      </c>
      <c r="O40" s="262">
        <f>N40*N41+N42</f>
        <v>107.176</v>
      </c>
      <c r="P40" s="263"/>
    </row>
    <row r="41" spans="2:16" x14ac:dyDescent="0.35">
      <c r="B41" s="264"/>
      <c r="C41" s="264"/>
      <c r="D41" s="264"/>
      <c r="E41" s="93" t="s">
        <v>194</v>
      </c>
      <c r="F41" s="73">
        <v>2</v>
      </c>
      <c r="G41" s="262"/>
      <c r="H41" s="262"/>
      <c r="I41" s="4"/>
      <c r="J41" s="264"/>
      <c r="K41" s="264"/>
      <c r="L41" s="264"/>
      <c r="M41" s="93" t="s">
        <v>194</v>
      </c>
      <c r="N41" s="73">
        <v>2</v>
      </c>
      <c r="O41" s="262"/>
      <c r="P41" s="262"/>
    </row>
    <row r="42" spans="2:16" ht="13.5" customHeight="1" x14ac:dyDescent="0.35">
      <c r="B42" s="264"/>
      <c r="C42" s="264"/>
      <c r="D42" s="264"/>
      <c r="E42" s="93" t="s">
        <v>180</v>
      </c>
      <c r="F42" s="73">
        <f>9.9*0.4</f>
        <v>3.9600000000000004</v>
      </c>
      <c r="G42" s="262"/>
      <c r="H42" s="262"/>
      <c r="I42" s="4"/>
      <c r="J42" s="264"/>
      <c r="K42" s="264"/>
      <c r="L42" s="264"/>
      <c r="M42" s="93" t="s">
        <v>180</v>
      </c>
      <c r="N42" s="73">
        <f>66.19*0.4</f>
        <v>26.475999999999999</v>
      </c>
      <c r="O42" s="262"/>
      <c r="P42" s="262"/>
    </row>
    <row r="43" spans="2:16" x14ac:dyDescent="0.35">
      <c r="B43" s="94"/>
      <c r="C43" s="94"/>
      <c r="D43" s="94"/>
      <c r="E43" s="94"/>
      <c r="F43" s="94"/>
      <c r="J43" s="94"/>
      <c r="K43" s="94"/>
      <c r="L43" s="94"/>
      <c r="M43" s="94"/>
      <c r="N43" s="94"/>
    </row>
    <row r="44" spans="2:16" ht="29.9" customHeight="1" x14ac:dyDescent="0.35">
      <c r="B44" s="267" t="s">
        <v>170</v>
      </c>
      <c r="C44" s="267"/>
      <c r="D44" s="267"/>
      <c r="E44" s="267"/>
      <c r="F44" s="267"/>
      <c r="G44" s="90" t="s">
        <v>171</v>
      </c>
      <c r="H44" s="90" t="s">
        <v>190</v>
      </c>
      <c r="I44" s="4"/>
      <c r="J44" s="267" t="s">
        <v>170</v>
      </c>
      <c r="K44" s="267"/>
      <c r="L44" s="267"/>
      <c r="M44" s="267"/>
      <c r="N44" s="267"/>
      <c r="O44" s="90" t="s">
        <v>171</v>
      </c>
      <c r="P44" s="90" t="s">
        <v>190</v>
      </c>
    </row>
    <row r="45" spans="2:16" ht="15" customHeight="1" x14ac:dyDescent="0.35">
      <c r="B45" s="264" t="s">
        <v>144</v>
      </c>
      <c r="C45" s="265" t="s">
        <v>191</v>
      </c>
      <c r="D45" s="264" t="s">
        <v>192</v>
      </c>
      <c r="E45" s="93" t="s">
        <v>133</v>
      </c>
      <c r="F45" s="76">
        <v>10.82</v>
      </c>
      <c r="G45" s="262">
        <f>F45*F46</f>
        <v>21.64</v>
      </c>
      <c r="H45" s="263">
        <f>SUM(G45:G53)</f>
        <v>38.56</v>
      </c>
      <c r="I45" s="4"/>
      <c r="J45" s="264" t="s">
        <v>145</v>
      </c>
      <c r="K45" s="265" t="s">
        <v>191</v>
      </c>
      <c r="L45" s="264" t="s">
        <v>192</v>
      </c>
      <c r="M45" s="93" t="s">
        <v>133</v>
      </c>
      <c r="N45" s="96">
        <v>26.15</v>
      </c>
      <c r="O45" s="262">
        <f>N45*N46</f>
        <v>52.3</v>
      </c>
      <c r="P45" s="263">
        <f>SUM(O45:O53)</f>
        <v>127.92</v>
      </c>
    </row>
    <row r="46" spans="2:16" x14ac:dyDescent="0.35">
      <c r="B46" s="264"/>
      <c r="C46" s="264"/>
      <c r="D46" s="264"/>
      <c r="E46" s="93" t="s">
        <v>177</v>
      </c>
      <c r="F46" s="76">
        <v>2</v>
      </c>
      <c r="G46" s="262"/>
      <c r="H46" s="263"/>
      <c r="I46" s="4"/>
      <c r="J46" s="264"/>
      <c r="K46" s="264"/>
      <c r="L46" s="264"/>
      <c r="M46" s="93" t="s">
        <v>177</v>
      </c>
      <c r="N46" s="96">
        <v>2</v>
      </c>
      <c r="O46" s="262"/>
      <c r="P46" s="263"/>
    </row>
    <row r="47" spans="2:16" ht="15" customHeight="1" x14ac:dyDescent="0.35">
      <c r="B47" s="264"/>
      <c r="C47" s="264"/>
      <c r="D47" s="264" t="s">
        <v>193</v>
      </c>
      <c r="E47" s="93" t="s">
        <v>133</v>
      </c>
      <c r="F47" s="76">
        <v>8.4600000000000009</v>
      </c>
      <c r="G47" s="262">
        <f>F47*F48</f>
        <v>16.920000000000002</v>
      </c>
      <c r="H47" s="263"/>
      <c r="I47" s="4"/>
      <c r="J47" s="264"/>
      <c r="K47" s="264"/>
      <c r="L47" s="264" t="s">
        <v>193</v>
      </c>
      <c r="M47" s="93" t="s">
        <v>133</v>
      </c>
      <c r="N47" s="96">
        <v>21.17</v>
      </c>
      <c r="O47" s="262">
        <f>N47*N48</f>
        <v>42.34</v>
      </c>
      <c r="P47" s="263"/>
    </row>
    <row r="48" spans="2:16" x14ac:dyDescent="0.35">
      <c r="B48" s="264"/>
      <c r="C48" s="265"/>
      <c r="D48" s="265"/>
      <c r="E48" s="93" t="s">
        <v>194</v>
      </c>
      <c r="F48" s="76">
        <v>2</v>
      </c>
      <c r="G48" s="262"/>
      <c r="H48" s="263"/>
      <c r="I48" s="4"/>
      <c r="J48" s="264"/>
      <c r="K48" s="265"/>
      <c r="L48" s="265"/>
      <c r="M48" s="93" t="s">
        <v>194</v>
      </c>
      <c r="N48" s="96">
        <v>2</v>
      </c>
      <c r="O48" s="262"/>
      <c r="P48" s="263"/>
    </row>
    <row r="49" spans="2:16" ht="15" customHeight="1" x14ac:dyDescent="0.35">
      <c r="B49" s="264"/>
      <c r="C49" s="266" t="s">
        <v>195</v>
      </c>
      <c r="D49" s="264" t="s">
        <v>196</v>
      </c>
      <c r="E49" s="93" t="s">
        <v>133</v>
      </c>
      <c r="F49" s="73">
        <v>0</v>
      </c>
      <c r="G49" s="262">
        <f>F49*F50</f>
        <v>0</v>
      </c>
      <c r="H49" s="263"/>
      <c r="I49" s="4"/>
      <c r="J49" s="264"/>
      <c r="K49" s="266" t="s">
        <v>195</v>
      </c>
      <c r="L49" s="264" t="s">
        <v>196</v>
      </c>
      <c r="M49" s="93" t="s">
        <v>133</v>
      </c>
      <c r="N49" s="73">
        <v>8.32</v>
      </c>
      <c r="O49" s="262">
        <f>N49*N50</f>
        <v>16.64</v>
      </c>
      <c r="P49" s="263"/>
    </row>
    <row r="50" spans="2:16" x14ac:dyDescent="0.35">
      <c r="B50" s="264"/>
      <c r="C50" s="264"/>
      <c r="D50" s="264"/>
      <c r="E50" s="93" t="s">
        <v>177</v>
      </c>
      <c r="F50" s="76">
        <v>2</v>
      </c>
      <c r="G50" s="262"/>
      <c r="H50" s="263"/>
      <c r="I50" s="4"/>
      <c r="J50" s="264"/>
      <c r="K50" s="264"/>
      <c r="L50" s="264"/>
      <c r="M50" s="93" t="s">
        <v>177</v>
      </c>
      <c r="N50" s="73">
        <v>2</v>
      </c>
      <c r="O50" s="262"/>
      <c r="P50" s="263"/>
    </row>
    <row r="51" spans="2:16" ht="15" customHeight="1" x14ac:dyDescent="0.35">
      <c r="B51" s="264"/>
      <c r="C51" s="264"/>
      <c r="D51" s="264" t="s">
        <v>193</v>
      </c>
      <c r="E51" s="93" t="s">
        <v>133</v>
      </c>
      <c r="F51" s="73">
        <v>0</v>
      </c>
      <c r="G51" s="262">
        <f>F51*F52+F53</f>
        <v>0</v>
      </c>
      <c r="H51" s="263"/>
      <c r="I51" s="4"/>
      <c r="J51" s="264"/>
      <c r="K51" s="264"/>
      <c r="L51" s="264" t="s">
        <v>193</v>
      </c>
      <c r="M51" s="93" t="s">
        <v>133</v>
      </c>
      <c r="N51" s="73">
        <v>6.17</v>
      </c>
      <c r="O51" s="262">
        <f>N51*N52+N53</f>
        <v>16.64</v>
      </c>
      <c r="P51" s="263"/>
    </row>
    <row r="52" spans="2:16" x14ac:dyDescent="0.35">
      <c r="B52" s="264"/>
      <c r="C52" s="264"/>
      <c r="D52" s="264"/>
      <c r="E52" s="93" t="s">
        <v>194</v>
      </c>
      <c r="F52" s="76">
        <v>2</v>
      </c>
      <c r="G52" s="262"/>
      <c r="H52" s="262"/>
      <c r="I52" s="4"/>
      <c r="J52" s="264"/>
      <c r="K52" s="264"/>
      <c r="L52" s="264"/>
      <c r="M52" s="93" t="s">
        <v>194</v>
      </c>
      <c r="N52" s="73">
        <v>2</v>
      </c>
      <c r="O52" s="262"/>
      <c r="P52" s="262"/>
    </row>
    <row r="53" spans="2:16" ht="13.5" customHeight="1" x14ac:dyDescent="0.35">
      <c r="B53" s="264"/>
      <c r="C53" s="264"/>
      <c r="D53" s="264"/>
      <c r="E53" s="93" t="s">
        <v>180</v>
      </c>
      <c r="F53" s="76">
        <v>0</v>
      </c>
      <c r="G53" s="262"/>
      <c r="H53" s="262"/>
      <c r="I53" s="4"/>
      <c r="J53" s="264"/>
      <c r="K53" s="264"/>
      <c r="L53" s="264"/>
      <c r="M53" s="93" t="s">
        <v>180</v>
      </c>
      <c r="N53" s="73">
        <f>10.75*0.4</f>
        <v>4.3</v>
      </c>
      <c r="O53" s="262"/>
      <c r="P53" s="262"/>
    </row>
    <row r="54" spans="2:16" x14ac:dyDescent="0.35">
      <c r="B54" s="94"/>
      <c r="C54" s="94"/>
      <c r="D54" s="94"/>
      <c r="E54" s="94"/>
      <c r="F54" s="94"/>
      <c r="J54" s="94"/>
      <c r="K54" s="94"/>
      <c r="L54" s="94"/>
      <c r="M54" s="94"/>
      <c r="N54" s="94"/>
    </row>
    <row r="55" spans="2:16" x14ac:dyDescent="0.35">
      <c r="B55" s="94"/>
      <c r="C55" s="94"/>
      <c r="D55" s="94"/>
      <c r="E55" s="94"/>
      <c r="F55" s="94"/>
      <c r="J55" s="94"/>
      <c r="K55" s="94"/>
      <c r="L55" s="94"/>
      <c r="M55" s="94"/>
      <c r="N55" s="94"/>
    </row>
    <row r="56" spans="2:16" ht="29.9" customHeight="1" x14ac:dyDescent="0.35">
      <c r="B56" s="267" t="s">
        <v>170</v>
      </c>
      <c r="C56" s="267"/>
      <c r="D56" s="267"/>
      <c r="E56" s="267"/>
      <c r="F56" s="267"/>
      <c r="G56" s="90" t="s">
        <v>171</v>
      </c>
      <c r="H56" s="90" t="s">
        <v>190</v>
      </c>
      <c r="J56" s="267" t="s">
        <v>170</v>
      </c>
      <c r="K56" s="267"/>
      <c r="L56" s="267"/>
      <c r="M56" s="267"/>
      <c r="N56" s="267"/>
      <c r="O56" s="90" t="s">
        <v>171</v>
      </c>
      <c r="P56" s="90" t="s">
        <v>190</v>
      </c>
    </row>
    <row r="57" spans="2:16" ht="15" customHeight="1" x14ac:dyDescent="0.35">
      <c r="B57" s="264" t="s">
        <v>146</v>
      </c>
      <c r="C57" s="265" t="s">
        <v>191</v>
      </c>
      <c r="D57" s="264" t="s">
        <v>192</v>
      </c>
      <c r="E57" s="93" t="s">
        <v>133</v>
      </c>
      <c r="F57" s="96">
        <v>17.690000000000001</v>
      </c>
      <c r="G57" s="262">
        <f>F57*F58</f>
        <v>35.380000000000003</v>
      </c>
      <c r="H57" s="263">
        <f>SUM(G57:G65)</f>
        <v>83.203999999999994</v>
      </c>
      <c r="J57" s="264"/>
      <c r="K57" s="265"/>
      <c r="L57" s="264" t="s">
        <v>192</v>
      </c>
      <c r="M57" s="93" t="s">
        <v>133</v>
      </c>
      <c r="N57" s="73">
        <v>0</v>
      </c>
      <c r="O57" s="262">
        <f>N57*N58</f>
        <v>0</v>
      </c>
      <c r="P57" s="263">
        <f>SUM(O57:O65)</f>
        <v>0</v>
      </c>
    </row>
    <row r="58" spans="2:16" x14ac:dyDescent="0.35">
      <c r="B58" s="264"/>
      <c r="C58" s="264"/>
      <c r="D58" s="264"/>
      <c r="E58" s="93" t="s">
        <v>177</v>
      </c>
      <c r="F58" s="97">
        <v>2</v>
      </c>
      <c r="G58" s="262"/>
      <c r="H58" s="263"/>
      <c r="J58" s="264"/>
      <c r="K58" s="264"/>
      <c r="L58" s="264"/>
      <c r="M58" s="93" t="s">
        <v>177</v>
      </c>
      <c r="N58" s="76">
        <v>2</v>
      </c>
      <c r="O58" s="262"/>
      <c r="P58" s="263"/>
    </row>
    <row r="59" spans="2:16" ht="15" customHeight="1" x14ac:dyDescent="0.35">
      <c r="B59" s="264"/>
      <c r="C59" s="264"/>
      <c r="D59" s="264" t="s">
        <v>193</v>
      </c>
      <c r="E59" s="93" t="s">
        <v>133</v>
      </c>
      <c r="F59" s="97">
        <v>14.09</v>
      </c>
      <c r="G59" s="262">
        <f>F59*F60</f>
        <v>28.18</v>
      </c>
      <c r="H59" s="263"/>
      <c r="J59" s="264"/>
      <c r="K59" s="264"/>
      <c r="L59" s="264" t="s">
        <v>193</v>
      </c>
      <c r="M59" s="93" t="s">
        <v>133</v>
      </c>
      <c r="N59" s="76">
        <v>0</v>
      </c>
      <c r="O59" s="262">
        <f>N59*N60</f>
        <v>0</v>
      </c>
      <c r="P59" s="263"/>
    </row>
    <row r="60" spans="2:16" x14ac:dyDescent="0.35">
      <c r="B60" s="264"/>
      <c r="C60" s="265"/>
      <c r="D60" s="265"/>
      <c r="E60" s="93" t="s">
        <v>194</v>
      </c>
      <c r="F60" s="97">
        <v>2</v>
      </c>
      <c r="G60" s="262"/>
      <c r="H60" s="263"/>
      <c r="J60" s="264"/>
      <c r="K60" s="265"/>
      <c r="L60" s="265"/>
      <c r="M60" s="93" t="s">
        <v>194</v>
      </c>
      <c r="N60" s="76">
        <v>2</v>
      </c>
      <c r="O60" s="262"/>
      <c r="P60" s="263"/>
    </row>
    <row r="61" spans="2:16" ht="15" customHeight="1" x14ac:dyDescent="0.35">
      <c r="B61" s="264"/>
      <c r="C61" s="266" t="s">
        <v>195</v>
      </c>
      <c r="D61" s="264" t="s">
        <v>196</v>
      </c>
      <c r="E61" s="93" t="s">
        <v>133</v>
      </c>
      <c r="F61" s="73">
        <v>4.91</v>
      </c>
      <c r="G61" s="262">
        <f>F61*F62</f>
        <v>9.82</v>
      </c>
      <c r="H61" s="263"/>
      <c r="J61" s="264"/>
      <c r="K61" s="266" t="s">
        <v>195</v>
      </c>
      <c r="L61" s="264" t="s">
        <v>196</v>
      </c>
      <c r="M61" s="93" t="s">
        <v>133</v>
      </c>
      <c r="N61" s="96">
        <v>0</v>
      </c>
      <c r="O61" s="262">
        <f>N61*N62</f>
        <v>0</v>
      </c>
      <c r="P61" s="263"/>
    </row>
    <row r="62" spans="2:16" x14ac:dyDescent="0.35">
      <c r="B62" s="264"/>
      <c r="C62" s="264"/>
      <c r="D62" s="264"/>
      <c r="E62" s="93" t="s">
        <v>177</v>
      </c>
      <c r="F62" s="73">
        <v>2</v>
      </c>
      <c r="G62" s="262"/>
      <c r="H62" s="263"/>
      <c r="J62" s="264"/>
      <c r="K62" s="264"/>
      <c r="L62" s="264"/>
      <c r="M62" s="93" t="s">
        <v>177</v>
      </c>
      <c r="N62" s="96">
        <v>2</v>
      </c>
      <c r="O62" s="262"/>
      <c r="P62" s="263"/>
    </row>
    <row r="63" spans="2:16" ht="15" customHeight="1" x14ac:dyDescent="0.35">
      <c r="B63" s="264"/>
      <c r="C63" s="264"/>
      <c r="D63" s="264" t="s">
        <v>193</v>
      </c>
      <c r="E63" s="93" t="s">
        <v>133</v>
      </c>
      <c r="F63" s="73">
        <v>3.58</v>
      </c>
      <c r="G63" s="262">
        <f>F63*F64+F65</f>
        <v>9.8239999999999998</v>
      </c>
      <c r="H63" s="263"/>
      <c r="J63" s="264"/>
      <c r="K63" s="264"/>
      <c r="L63" s="264" t="s">
        <v>193</v>
      </c>
      <c r="M63" s="93" t="s">
        <v>133</v>
      </c>
      <c r="N63" s="96">
        <v>0</v>
      </c>
      <c r="O63" s="262">
        <f>N63*N64+N65</f>
        <v>0</v>
      </c>
      <c r="P63" s="263"/>
    </row>
    <row r="64" spans="2:16" x14ac:dyDescent="0.35">
      <c r="B64" s="264"/>
      <c r="C64" s="264"/>
      <c r="D64" s="264"/>
      <c r="E64" s="93" t="s">
        <v>194</v>
      </c>
      <c r="F64" s="73">
        <v>2</v>
      </c>
      <c r="G64" s="262"/>
      <c r="H64" s="262"/>
      <c r="J64" s="264"/>
      <c r="K64" s="264"/>
      <c r="L64" s="264"/>
      <c r="M64" s="93" t="s">
        <v>194</v>
      </c>
      <c r="N64" s="96">
        <v>2</v>
      </c>
      <c r="O64" s="262"/>
      <c r="P64" s="262"/>
    </row>
    <row r="65" spans="2:16" ht="13.5" customHeight="1" x14ac:dyDescent="0.35">
      <c r="B65" s="264"/>
      <c r="C65" s="264"/>
      <c r="D65" s="264"/>
      <c r="E65" s="93" t="s">
        <v>180</v>
      </c>
      <c r="F65" s="73">
        <f>6.66*0.4</f>
        <v>2.6640000000000001</v>
      </c>
      <c r="G65" s="262"/>
      <c r="H65" s="262"/>
      <c r="J65" s="264"/>
      <c r="K65" s="264"/>
      <c r="L65" s="264"/>
      <c r="M65" s="93" t="s">
        <v>180</v>
      </c>
      <c r="N65" s="96">
        <v>0</v>
      </c>
      <c r="O65" s="262"/>
      <c r="P65" s="262"/>
    </row>
    <row r="66" spans="2:16" x14ac:dyDescent="0.35">
      <c r="B66" s="94"/>
      <c r="C66" s="94"/>
      <c r="D66" s="94"/>
      <c r="E66" s="94"/>
      <c r="F66" s="94"/>
      <c r="J66" s="94"/>
      <c r="K66" s="94"/>
      <c r="L66" s="94"/>
      <c r="M66" s="94"/>
      <c r="N66" s="94"/>
    </row>
    <row r="67" spans="2:16" x14ac:dyDescent="0.35">
      <c r="B67" s="94"/>
      <c r="C67" s="94"/>
      <c r="D67" s="94"/>
      <c r="E67" s="94"/>
      <c r="F67" s="94"/>
      <c r="J67" s="94"/>
      <c r="K67" s="94"/>
      <c r="L67" s="94"/>
      <c r="M67" s="94"/>
      <c r="N67" s="94"/>
    </row>
    <row r="68" spans="2:16" ht="29.9" customHeight="1" x14ac:dyDescent="0.35">
      <c r="B68" s="267" t="s">
        <v>170</v>
      </c>
      <c r="C68" s="267"/>
      <c r="D68" s="267"/>
      <c r="E68" s="267"/>
      <c r="F68" s="267"/>
      <c r="G68" s="90" t="s">
        <v>171</v>
      </c>
      <c r="H68" s="90" t="s">
        <v>190</v>
      </c>
      <c r="J68" s="267" t="s">
        <v>170</v>
      </c>
      <c r="K68" s="267"/>
      <c r="L68" s="267"/>
      <c r="M68" s="267"/>
      <c r="N68" s="267"/>
      <c r="O68" s="90" t="s">
        <v>171</v>
      </c>
      <c r="P68" s="90" t="s">
        <v>190</v>
      </c>
    </row>
    <row r="69" spans="2:16" ht="15" customHeight="1" x14ac:dyDescent="0.35">
      <c r="B69" s="264"/>
      <c r="C69" s="265"/>
      <c r="D69" s="264" t="s">
        <v>192</v>
      </c>
      <c r="E69" s="93" t="s">
        <v>133</v>
      </c>
      <c r="F69" s="76">
        <v>0</v>
      </c>
      <c r="G69" s="262">
        <f>F69*F70</f>
        <v>0</v>
      </c>
      <c r="H69" s="263">
        <f>SUM(G69:G77)</f>
        <v>0</v>
      </c>
      <c r="J69" s="264"/>
      <c r="K69" s="265"/>
      <c r="L69" s="264" t="s">
        <v>192</v>
      </c>
      <c r="M69" s="93" t="s">
        <v>133</v>
      </c>
      <c r="N69" s="73">
        <v>0</v>
      </c>
      <c r="O69" s="262">
        <f>N69*N70</f>
        <v>0</v>
      </c>
      <c r="P69" s="263">
        <f>SUM(O69:O77)</f>
        <v>0</v>
      </c>
    </row>
    <row r="70" spans="2:16" x14ac:dyDescent="0.35">
      <c r="B70" s="264"/>
      <c r="C70" s="264"/>
      <c r="D70" s="264"/>
      <c r="E70" s="93" t="s">
        <v>177</v>
      </c>
      <c r="F70" s="98">
        <v>2</v>
      </c>
      <c r="G70" s="262"/>
      <c r="H70" s="263"/>
      <c r="J70" s="264"/>
      <c r="K70" s="264"/>
      <c r="L70" s="264"/>
      <c r="M70" s="93" t="s">
        <v>177</v>
      </c>
      <c r="N70" s="98">
        <v>2</v>
      </c>
      <c r="O70" s="262"/>
      <c r="P70" s="263"/>
    </row>
    <row r="71" spans="2:16" ht="15" customHeight="1" x14ac:dyDescent="0.35">
      <c r="B71" s="264"/>
      <c r="C71" s="264"/>
      <c r="D71" s="264" t="s">
        <v>193</v>
      </c>
      <c r="E71" s="93" t="s">
        <v>133</v>
      </c>
      <c r="F71" s="98">
        <v>0</v>
      </c>
      <c r="G71" s="262">
        <f>F71*F72</f>
        <v>0</v>
      </c>
      <c r="H71" s="263"/>
      <c r="J71" s="264"/>
      <c r="K71" s="264"/>
      <c r="L71" s="264" t="s">
        <v>193</v>
      </c>
      <c r="M71" s="93" t="s">
        <v>133</v>
      </c>
      <c r="N71" s="99">
        <v>0</v>
      </c>
      <c r="O71" s="262">
        <f>N71*N72</f>
        <v>0</v>
      </c>
      <c r="P71" s="263"/>
    </row>
    <row r="72" spans="2:16" x14ac:dyDescent="0.35">
      <c r="B72" s="264"/>
      <c r="C72" s="265"/>
      <c r="D72" s="265"/>
      <c r="E72" s="93" t="s">
        <v>194</v>
      </c>
      <c r="F72" s="98">
        <v>2</v>
      </c>
      <c r="G72" s="262"/>
      <c r="H72" s="263"/>
      <c r="J72" s="264"/>
      <c r="K72" s="265"/>
      <c r="L72" s="265"/>
      <c r="M72" s="93" t="s">
        <v>194</v>
      </c>
      <c r="N72" s="98">
        <v>2</v>
      </c>
      <c r="O72" s="262"/>
      <c r="P72" s="263"/>
    </row>
    <row r="73" spans="2:16" ht="15" customHeight="1" x14ac:dyDescent="0.35">
      <c r="B73" s="264"/>
      <c r="C73" s="266" t="s">
        <v>195</v>
      </c>
      <c r="D73" s="264" t="s">
        <v>196</v>
      </c>
      <c r="E73" s="93" t="s">
        <v>133</v>
      </c>
      <c r="F73" s="73">
        <v>0</v>
      </c>
      <c r="G73" s="262">
        <f>F73*F74</f>
        <v>0</v>
      </c>
      <c r="H73" s="263"/>
      <c r="J73" s="264"/>
      <c r="K73" s="266" t="s">
        <v>195</v>
      </c>
      <c r="L73" s="264" t="s">
        <v>196</v>
      </c>
      <c r="M73" s="93" t="s">
        <v>133</v>
      </c>
      <c r="N73" s="76">
        <v>0</v>
      </c>
      <c r="O73" s="262">
        <f>N73*N74</f>
        <v>0</v>
      </c>
      <c r="P73" s="263"/>
    </row>
    <row r="74" spans="2:16" x14ac:dyDescent="0.35">
      <c r="B74" s="264"/>
      <c r="C74" s="264"/>
      <c r="D74" s="264"/>
      <c r="E74" s="93" t="s">
        <v>177</v>
      </c>
      <c r="F74" s="73">
        <v>2</v>
      </c>
      <c r="G74" s="262"/>
      <c r="H74" s="263"/>
      <c r="J74" s="264"/>
      <c r="K74" s="264"/>
      <c r="L74" s="264"/>
      <c r="M74" s="93" t="s">
        <v>177</v>
      </c>
      <c r="N74" s="76">
        <v>2</v>
      </c>
      <c r="O74" s="262"/>
      <c r="P74" s="263"/>
    </row>
    <row r="75" spans="2:16" ht="15" customHeight="1" x14ac:dyDescent="0.35">
      <c r="B75" s="264"/>
      <c r="C75" s="264"/>
      <c r="D75" s="264" t="s">
        <v>193</v>
      </c>
      <c r="E75" s="93" t="s">
        <v>133</v>
      </c>
      <c r="F75" s="73">
        <v>0</v>
      </c>
      <c r="G75" s="262">
        <f>F75*F76+F77</f>
        <v>0</v>
      </c>
      <c r="H75" s="263"/>
      <c r="J75" s="264"/>
      <c r="K75" s="264"/>
      <c r="L75" s="264" t="s">
        <v>193</v>
      </c>
      <c r="M75" s="93" t="s">
        <v>133</v>
      </c>
      <c r="N75" s="76">
        <v>0</v>
      </c>
      <c r="O75" s="262">
        <f>N75*N76+N77</f>
        <v>0</v>
      </c>
      <c r="P75" s="263"/>
    </row>
    <row r="76" spans="2:16" x14ac:dyDescent="0.35">
      <c r="B76" s="264"/>
      <c r="C76" s="264"/>
      <c r="D76" s="264"/>
      <c r="E76" s="93" t="s">
        <v>194</v>
      </c>
      <c r="F76" s="73">
        <v>2</v>
      </c>
      <c r="G76" s="262"/>
      <c r="H76" s="262"/>
      <c r="J76" s="264"/>
      <c r="K76" s="264"/>
      <c r="L76" s="264"/>
      <c r="M76" s="93" t="s">
        <v>194</v>
      </c>
      <c r="N76" s="76">
        <v>2</v>
      </c>
      <c r="O76" s="262"/>
      <c r="P76" s="262"/>
    </row>
    <row r="77" spans="2:16" ht="13.5" customHeight="1" x14ac:dyDescent="0.35">
      <c r="B77" s="264"/>
      <c r="C77" s="264"/>
      <c r="D77" s="264"/>
      <c r="E77" s="93" t="s">
        <v>180</v>
      </c>
      <c r="F77" s="73">
        <v>0</v>
      </c>
      <c r="G77" s="262"/>
      <c r="H77" s="262"/>
      <c r="J77" s="264"/>
      <c r="K77" s="264"/>
      <c r="L77" s="264"/>
      <c r="M77" s="93" t="s">
        <v>180</v>
      </c>
      <c r="N77" s="76">
        <v>0</v>
      </c>
      <c r="O77" s="262"/>
      <c r="P77" s="262"/>
    </row>
    <row r="78" spans="2:16" x14ac:dyDescent="0.35">
      <c r="B78" s="94"/>
      <c r="C78" s="94"/>
      <c r="D78" s="94"/>
      <c r="E78" s="94"/>
      <c r="F78" s="94"/>
    </row>
    <row r="79" spans="2:16" x14ac:dyDescent="0.35">
      <c r="B79" s="94"/>
      <c r="C79" s="94"/>
      <c r="D79" s="94"/>
      <c r="E79" s="94"/>
      <c r="F79" s="94"/>
    </row>
  </sheetData>
  <mergeCells count="162">
    <mergeCell ref="B2:P2"/>
    <mergeCell ref="C3:P3"/>
    <mergeCell ref="C4:P4"/>
    <mergeCell ref="C5:P5"/>
    <mergeCell ref="C6:P6"/>
    <mergeCell ref="B8:P9"/>
    <mergeCell ref="B11:F11"/>
    <mergeCell ref="J11:N11"/>
    <mergeCell ref="B12:B20"/>
    <mergeCell ref="C12:C15"/>
    <mergeCell ref="D12:D13"/>
    <mergeCell ref="G12:G13"/>
    <mergeCell ref="H12:H20"/>
    <mergeCell ref="J12:J20"/>
    <mergeCell ref="K12:K15"/>
    <mergeCell ref="L12:L13"/>
    <mergeCell ref="O12:O13"/>
    <mergeCell ref="P12:P20"/>
    <mergeCell ref="D14:D15"/>
    <mergeCell ref="G14:G15"/>
    <mergeCell ref="L14:L15"/>
    <mergeCell ref="O14:O15"/>
    <mergeCell ref="C16:C20"/>
    <mergeCell ref="D16:D17"/>
    <mergeCell ref="G16:G17"/>
    <mergeCell ref="K16:K20"/>
    <mergeCell ref="L16:L17"/>
    <mergeCell ref="O16:O17"/>
    <mergeCell ref="D18:D20"/>
    <mergeCell ref="G18:G20"/>
    <mergeCell ref="L18:L20"/>
    <mergeCell ref="O18:O20"/>
    <mergeCell ref="B22:F22"/>
    <mergeCell ref="J22:N22"/>
    <mergeCell ref="B23:B31"/>
    <mergeCell ref="C23:C26"/>
    <mergeCell ref="D23:D24"/>
    <mergeCell ref="G23:G24"/>
    <mergeCell ref="H23:H31"/>
    <mergeCell ref="J23:J31"/>
    <mergeCell ref="K23:K26"/>
    <mergeCell ref="L23:L24"/>
    <mergeCell ref="O23:O24"/>
    <mergeCell ref="P23:P31"/>
    <mergeCell ref="D25:D26"/>
    <mergeCell ref="G25:G26"/>
    <mergeCell ref="L25:L26"/>
    <mergeCell ref="O25:O26"/>
    <mergeCell ref="C27:C31"/>
    <mergeCell ref="D27:D28"/>
    <mergeCell ref="G27:G28"/>
    <mergeCell ref="K27:K31"/>
    <mergeCell ref="L27:L28"/>
    <mergeCell ref="O27:O28"/>
    <mergeCell ref="D29:D31"/>
    <mergeCell ref="G29:G31"/>
    <mergeCell ref="L29:L31"/>
    <mergeCell ref="O29:O31"/>
    <mergeCell ref="B33:F33"/>
    <mergeCell ref="J33:N33"/>
    <mergeCell ref="B34:B42"/>
    <mergeCell ref="C34:C37"/>
    <mergeCell ref="D34:D35"/>
    <mergeCell ref="G34:G35"/>
    <mergeCell ref="H34:H42"/>
    <mergeCell ref="J34:J42"/>
    <mergeCell ref="K34:K37"/>
    <mergeCell ref="L34:L35"/>
    <mergeCell ref="O34:O35"/>
    <mergeCell ref="P34:P42"/>
    <mergeCell ref="D36:D37"/>
    <mergeCell ref="G36:G37"/>
    <mergeCell ref="L36:L37"/>
    <mergeCell ref="O36:O37"/>
    <mergeCell ref="C38:C42"/>
    <mergeCell ref="D38:D39"/>
    <mergeCell ref="G38:G39"/>
    <mergeCell ref="K38:K42"/>
    <mergeCell ref="L38:L39"/>
    <mergeCell ref="O38:O39"/>
    <mergeCell ref="D40:D42"/>
    <mergeCell ref="G40:G42"/>
    <mergeCell ref="L40:L42"/>
    <mergeCell ref="O40:O42"/>
    <mergeCell ref="B44:F44"/>
    <mergeCell ref="J44:N44"/>
    <mergeCell ref="B45:B53"/>
    <mergeCell ref="C45:C48"/>
    <mergeCell ref="D45:D46"/>
    <mergeCell ref="G45:G46"/>
    <mergeCell ref="H45:H53"/>
    <mergeCell ref="J45:J53"/>
    <mergeCell ref="K45:K48"/>
    <mergeCell ref="L45:L46"/>
    <mergeCell ref="O45:O46"/>
    <mergeCell ref="P45:P53"/>
    <mergeCell ref="D47:D48"/>
    <mergeCell ref="G47:G48"/>
    <mergeCell ref="L47:L48"/>
    <mergeCell ref="O47:O48"/>
    <mergeCell ref="C49:C53"/>
    <mergeCell ref="D49:D50"/>
    <mergeCell ref="G49:G50"/>
    <mergeCell ref="K49:K53"/>
    <mergeCell ref="L49:L50"/>
    <mergeCell ref="O49:O50"/>
    <mergeCell ref="D51:D53"/>
    <mergeCell ref="G51:G53"/>
    <mergeCell ref="L51:L53"/>
    <mergeCell ref="O51:O53"/>
    <mergeCell ref="B56:F56"/>
    <mergeCell ref="J56:N56"/>
    <mergeCell ref="B57:B65"/>
    <mergeCell ref="C57:C60"/>
    <mergeCell ref="D57:D58"/>
    <mergeCell ref="G57:G58"/>
    <mergeCell ref="H57:H65"/>
    <mergeCell ref="J57:J65"/>
    <mergeCell ref="K57:K60"/>
    <mergeCell ref="L57:L58"/>
    <mergeCell ref="O57:O58"/>
    <mergeCell ref="P57:P65"/>
    <mergeCell ref="D59:D60"/>
    <mergeCell ref="G59:G60"/>
    <mergeCell ref="L59:L60"/>
    <mergeCell ref="O59:O60"/>
    <mergeCell ref="C61:C65"/>
    <mergeCell ref="D61:D62"/>
    <mergeCell ref="G61:G62"/>
    <mergeCell ref="K61:K65"/>
    <mergeCell ref="L61:L62"/>
    <mergeCell ref="O61:O62"/>
    <mergeCell ref="D63:D65"/>
    <mergeCell ref="G63:G65"/>
    <mergeCell ref="L63:L65"/>
    <mergeCell ref="O63:O65"/>
    <mergeCell ref="B68:F68"/>
    <mergeCell ref="J68:N68"/>
    <mergeCell ref="B69:B77"/>
    <mergeCell ref="C69:C72"/>
    <mergeCell ref="D69:D70"/>
    <mergeCell ref="G69:G70"/>
    <mergeCell ref="H69:H77"/>
    <mergeCell ref="J69:J77"/>
    <mergeCell ref="K69:K72"/>
    <mergeCell ref="L69:L70"/>
    <mergeCell ref="O69:O70"/>
    <mergeCell ref="P69:P77"/>
    <mergeCell ref="D71:D72"/>
    <mergeCell ref="G71:G72"/>
    <mergeCell ref="L71:L72"/>
    <mergeCell ref="O71:O72"/>
    <mergeCell ref="C73:C77"/>
    <mergeCell ref="D73:D74"/>
    <mergeCell ref="G73:G74"/>
    <mergeCell ref="K73:K77"/>
    <mergeCell ref="L73:L74"/>
    <mergeCell ref="O73:O74"/>
    <mergeCell ref="D75:D77"/>
    <mergeCell ref="G75:G77"/>
    <mergeCell ref="L75:L77"/>
    <mergeCell ref="O75:O77"/>
  </mergeCells>
  <pageMargins left="0.35416666666666702" right="0.118055555555556" top="0.98888888888888904" bottom="0.35416666666666702" header="0.196527777777778" footer="0.511811023622047"/>
  <pageSetup paperSize="9" scale="46" orientation="portrait" horizontalDpi="300" verticalDpi="300"/>
  <rowBreaks count="1" manualBreakCount="1">
    <brk id="8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1:O50"/>
  <sheetViews>
    <sheetView topLeftCell="A33" zoomScale="115" zoomScaleNormal="115" workbookViewId="0">
      <selection activeCell="D44" sqref="D44"/>
    </sheetView>
  </sheetViews>
  <sheetFormatPr baseColWidth="10" defaultColWidth="10.90625" defaultRowHeight="15.5" x14ac:dyDescent="0.35"/>
  <cols>
    <col min="1" max="1" width="3.453125" style="87" customWidth="1"/>
    <col min="2" max="2" width="19.1796875" style="87" customWidth="1"/>
    <col min="3" max="3" width="16.26953125" style="87" customWidth="1"/>
    <col min="4" max="4" width="13.08984375" style="87" customWidth="1"/>
    <col min="5" max="5" width="12.90625" style="87" customWidth="1"/>
    <col min="6" max="6" width="8.7265625" style="87" customWidth="1"/>
    <col min="7" max="7" width="12.08984375" style="87" customWidth="1"/>
    <col min="8" max="8" width="8.54296875" style="87" customWidth="1"/>
    <col min="9" max="9" width="7.81640625" style="87" customWidth="1"/>
    <col min="10" max="10" width="12.08984375" style="87" customWidth="1"/>
    <col min="11" max="11" width="9.6328125" style="87" customWidth="1"/>
    <col min="12" max="12" width="8.453125" style="87" customWidth="1"/>
    <col min="13" max="13" width="12.26953125" style="87" customWidth="1"/>
    <col min="14" max="14" width="10.1796875" style="87" customWidth="1"/>
    <col min="15" max="15" width="8.36328125" style="87" customWidth="1"/>
    <col min="16" max="16384" width="10.90625" style="87"/>
  </cols>
  <sheetData>
    <row r="1" spans="2:15" ht="14.25" customHeight="1" x14ac:dyDescent="0.35">
      <c r="B1" s="89"/>
      <c r="C1" s="89"/>
      <c r="D1" s="89"/>
      <c r="E1" s="89"/>
      <c r="F1" s="89"/>
      <c r="G1" s="89"/>
      <c r="H1" s="89"/>
      <c r="I1" s="89"/>
      <c r="J1" s="89"/>
      <c r="K1" s="89"/>
      <c r="L1" s="89"/>
      <c r="M1" s="89"/>
      <c r="N1" s="89"/>
      <c r="O1" s="89"/>
    </row>
    <row r="2" spans="2:15" ht="24" customHeight="1" x14ac:dyDescent="0.35">
      <c r="B2" s="235" t="s">
        <v>197</v>
      </c>
      <c r="C2" s="235"/>
      <c r="D2" s="235"/>
      <c r="E2" s="235"/>
      <c r="F2" s="235"/>
      <c r="G2" s="235"/>
      <c r="H2" s="235"/>
      <c r="I2" s="235"/>
      <c r="J2" s="235"/>
      <c r="K2" s="235"/>
      <c r="L2" s="235"/>
      <c r="M2" s="235"/>
      <c r="N2" s="235"/>
      <c r="O2" s="235"/>
    </row>
    <row r="3" spans="2:15" ht="21" customHeight="1" x14ac:dyDescent="0.35">
      <c r="B3" s="10" t="s">
        <v>1</v>
      </c>
      <c r="C3" s="236" t="str">
        <f>+RESUMEN!B4</f>
        <v>GERENCIA TERRITORIAL BAJO MAYO - TARAPOTO</v>
      </c>
      <c r="D3" s="236"/>
      <c r="E3" s="236"/>
      <c r="F3" s="236"/>
      <c r="G3" s="236"/>
      <c r="H3" s="236"/>
      <c r="I3" s="236"/>
      <c r="J3" s="236"/>
      <c r="K3" s="236"/>
      <c r="L3" s="236"/>
      <c r="M3" s="236"/>
      <c r="N3" s="236"/>
      <c r="O3" s="236"/>
    </row>
    <row r="4" spans="2:15" ht="66" customHeight="1" x14ac:dyDescent="0.35">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c r="L4" s="236"/>
      <c r="M4" s="236"/>
      <c r="N4" s="236"/>
      <c r="O4" s="236"/>
    </row>
    <row r="5" spans="2:15" ht="30.75" customHeight="1" x14ac:dyDescent="0.35">
      <c r="B5" s="10" t="s">
        <v>5</v>
      </c>
      <c r="C5" s="236" t="str">
        <f>+RESUMEN!B6</f>
        <v>SAN MARTIN - SAN MARTIN - MORALES</v>
      </c>
      <c r="D5" s="236"/>
      <c r="E5" s="236"/>
      <c r="F5" s="236"/>
      <c r="G5" s="236"/>
      <c r="H5" s="236"/>
      <c r="I5" s="236"/>
      <c r="J5" s="236"/>
      <c r="K5" s="236"/>
      <c r="L5" s="236"/>
      <c r="M5" s="236"/>
      <c r="N5" s="236"/>
      <c r="O5" s="236"/>
    </row>
    <row r="6" spans="2:15" ht="18.75" customHeight="1" x14ac:dyDescent="0.35">
      <c r="B6" s="10" t="s">
        <v>7</v>
      </c>
      <c r="C6" s="237">
        <f>+RESUMEN!B7</f>
        <v>46266</v>
      </c>
      <c r="D6" s="237"/>
      <c r="E6" s="237"/>
      <c r="F6" s="237"/>
      <c r="G6" s="237"/>
      <c r="H6" s="237"/>
      <c r="I6" s="237"/>
      <c r="J6" s="237"/>
      <c r="K6" s="237"/>
      <c r="L6" s="237"/>
      <c r="M6" s="237"/>
      <c r="N6" s="237"/>
      <c r="O6" s="237"/>
    </row>
    <row r="7" spans="2:15" x14ac:dyDescent="0.35">
      <c r="B7" s="100"/>
      <c r="C7" s="233"/>
      <c r="D7" s="233"/>
      <c r="E7" s="233"/>
      <c r="F7" s="233"/>
      <c r="G7" s="233"/>
      <c r="H7" s="233"/>
      <c r="I7" s="233"/>
      <c r="J7" s="233"/>
      <c r="K7" s="233"/>
      <c r="L7" s="233"/>
      <c r="M7" s="233"/>
      <c r="N7" s="233"/>
      <c r="O7" s="233"/>
    </row>
    <row r="9" spans="2:15" ht="16.5" customHeight="1" x14ac:dyDescent="0.35">
      <c r="C9" s="234" t="s">
        <v>198</v>
      </c>
      <c r="D9" s="234" t="s">
        <v>199</v>
      </c>
      <c r="E9" s="234"/>
      <c r="F9" s="234"/>
      <c r="G9" s="234" t="s">
        <v>200</v>
      </c>
      <c r="H9" s="234"/>
      <c r="I9" s="234"/>
      <c r="J9" s="234" t="s">
        <v>201</v>
      </c>
      <c r="K9" s="234"/>
      <c r="L9" s="234"/>
      <c r="M9" s="234" t="s">
        <v>202</v>
      </c>
      <c r="N9" s="234"/>
      <c r="O9" s="234"/>
    </row>
    <row r="10" spans="2:15" ht="30.75" customHeight="1" x14ac:dyDescent="0.35">
      <c r="C10" s="234"/>
      <c r="D10" s="101" t="s">
        <v>203</v>
      </c>
      <c r="E10" s="101" t="s">
        <v>179</v>
      </c>
      <c r="F10" s="102" t="s">
        <v>204</v>
      </c>
      <c r="G10" s="101" t="s">
        <v>194</v>
      </c>
      <c r="H10" s="101" t="s">
        <v>203</v>
      </c>
      <c r="I10" s="102" t="s">
        <v>205</v>
      </c>
      <c r="J10" s="101" t="s">
        <v>194</v>
      </c>
      <c r="K10" s="101" t="s">
        <v>203</v>
      </c>
      <c r="L10" s="102" t="s">
        <v>205</v>
      </c>
      <c r="M10" s="101" t="s">
        <v>194</v>
      </c>
      <c r="N10" s="101" t="s">
        <v>203</v>
      </c>
      <c r="O10" s="102" t="s">
        <v>205</v>
      </c>
    </row>
    <row r="11" spans="2:15" ht="23.25" customHeight="1" x14ac:dyDescent="0.35">
      <c r="B11" s="103" t="s">
        <v>206</v>
      </c>
      <c r="C11" s="92"/>
      <c r="D11" s="92"/>
      <c r="E11" s="92"/>
      <c r="F11" s="91"/>
      <c r="G11" s="92"/>
      <c r="H11" s="92"/>
      <c r="I11" s="91"/>
      <c r="J11" s="92"/>
      <c r="K11" s="92"/>
      <c r="L11" s="91"/>
      <c r="M11" s="92"/>
      <c r="N11" s="92"/>
      <c r="O11" s="91"/>
    </row>
    <row r="12" spans="2:15" ht="23.25" customHeight="1" x14ac:dyDescent="0.35">
      <c r="B12" s="104" t="s">
        <v>207</v>
      </c>
      <c r="C12" s="92">
        <v>2</v>
      </c>
      <c r="D12" s="92">
        <v>2</v>
      </c>
      <c r="E12" s="92">
        <v>6.22</v>
      </c>
      <c r="F12" s="102">
        <f>E12*D12</f>
        <v>12.44</v>
      </c>
      <c r="G12" s="92">
        <v>3</v>
      </c>
      <c r="H12" s="92">
        <v>2</v>
      </c>
      <c r="I12" s="102">
        <f>H12*G12</f>
        <v>6</v>
      </c>
      <c r="J12" s="92">
        <v>1</v>
      </c>
      <c r="K12" s="92">
        <v>2</v>
      </c>
      <c r="L12" s="102">
        <f>K12*J12</f>
        <v>2</v>
      </c>
      <c r="M12" s="92">
        <v>2</v>
      </c>
      <c r="N12" s="92">
        <v>2</v>
      </c>
      <c r="O12" s="102">
        <f>N12*M12</f>
        <v>4</v>
      </c>
    </row>
    <row r="13" spans="2:15" ht="23.25" customHeight="1" x14ac:dyDescent="0.35">
      <c r="B13" s="104" t="s">
        <v>208</v>
      </c>
      <c r="C13" s="92">
        <v>2</v>
      </c>
      <c r="D13" s="92">
        <v>2</v>
      </c>
      <c r="E13" s="92">
        <v>6.22</v>
      </c>
      <c r="F13" s="102">
        <f>E13*D13</f>
        <v>12.44</v>
      </c>
      <c r="G13" s="92">
        <v>3</v>
      </c>
      <c r="H13" s="92">
        <v>2</v>
      </c>
      <c r="I13" s="102">
        <f>H13*G13</f>
        <v>6</v>
      </c>
      <c r="J13" s="92">
        <v>1</v>
      </c>
      <c r="K13" s="92">
        <v>2</v>
      </c>
      <c r="L13" s="102">
        <f>K13*J13</f>
        <v>2</v>
      </c>
      <c r="M13" s="92">
        <v>2</v>
      </c>
      <c r="N13" s="92">
        <v>2</v>
      </c>
      <c r="O13" s="102">
        <f>N13*M13</f>
        <v>4</v>
      </c>
    </row>
    <row r="14" spans="2:15" ht="23.25" customHeight="1" x14ac:dyDescent="0.35">
      <c r="B14" s="103" t="s">
        <v>209</v>
      </c>
      <c r="C14" s="92"/>
      <c r="D14" s="92"/>
      <c r="E14" s="92"/>
      <c r="F14" s="91"/>
      <c r="G14" s="92"/>
      <c r="H14" s="92"/>
      <c r="I14" s="91"/>
      <c r="J14" s="92"/>
      <c r="K14" s="92"/>
      <c r="L14" s="91"/>
      <c r="M14" s="92"/>
      <c r="N14" s="92"/>
      <c r="O14" s="91"/>
    </row>
    <row r="15" spans="2:15" ht="23.25" customHeight="1" x14ac:dyDescent="0.35">
      <c r="B15" s="104" t="s">
        <v>207</v>
      </c>
      <c r="C15" s="92">
        <v>2</v>
      </c>
      <c r="D15" s="92">
        <v>2</v>
      </c>
      <c r="E15" s="92">
        <v>6.2</v>
      </c>
      <c r="F15" s="102">
        <f>E15*D15</f>
        <v>12.4</v>
      </c>
      <c r="G15" s="92">
        <v>3</v>
      </c>
      <c r="H15" s="92">
        <v>2</v>
      </c>
      <c r="I15" s="102">
        <f>H15*G15</f>
        <v>6</v>
      </c>
      <c r="J15" s="92">
        <v>1</v>
      </c>
      <c r="K15" s="92">
        <v>2</v>
      </c>
      <c r="L15" s="102">
        <f>K15*J15</f>
        <v>2</v>
      </c>
      <c r="M15" s="92">
        <v>2</v>
      </c>
      <c r="N15" s="92">
        <v>2</v>
      </c>
      <c r="O15" s="102">
        <f>N15*M15</f>
        <v>4</v>
      </c>
    </row>
    <row r="16" spans="2:15" ht="23.25" customHeight="1" x14ac:dyDescent="0.35">
      <c r="B16" s="104" t="s">
        <v>208</v>
      </c>
      <c r="C16" s="92">
        <v>2</v>
      </c>
      <c r="D16" s="92">
        <v>2</v>
      </c>
      <c r="E16" s="92">
        <v>6.2</v>
      </c>
      <c r="F16" s="102">
        <f>E16*D16</f>
        <v>12.4</v>
      </c>
      <c r="G16" s="92">
        <v>3</v>
      </c>
      <c r="H16" s="92">
        <v>2</v>
      </c>
      <c r="I16" s="102">
        <f>H16*G16</f>
        <v>6</v>
      </c>
      <c r="J16" s="92">
        <v>1</v>
      </c>
      <c r="K16" s="92">
        <v>2</v>
      </c>
      <c r="L16" s="102">
        <f>K16*J16</f>
        <v>2</v>
      </c>
      <c r="M16" s="92">
        <v>2</v>
      </c>
      <c r="N16" s="92">
        <v>2</v>
      </c>
      <c r="O16" s="102">
        <f>N16*M16</f>
        <v>4</v>
      </c>
    </row>
    <row r="17" spans="2:15" ht="23.25" customHeight="1" x14ac:dyDescent="0.35">
      <c r="B17" s="103" t="s">
        <v>210</v>
      </c>
      <c r="C17" s="92"/>
      <c r="D17" s="92"/>
      <c r="E17" s="92"/>
      <c r="F17" s="91"/>
      <c r="G17" s="92"/>
      <c r="H17" s="92"/>
      <c r="I17" s="91"/>
      <c r="J17" s="92"/>
      <c r="K17" s="92"/>
      <c r="L17" s="91"/>
      <c r="M17" s="92"/>
      <c r="N17" s="92"/>
      <c r="O17" s="91"/>
    </row>
    <row r="18" spans="2:15" ht="23.25" customHeight="1" x14ac:dyDescent="0.35">
      <c r="B18" s="104" t="s">
        <v>207</v>
      </c>
      <c r="C18" s="92">
        <v>2</v>
      </c>
      <c r="D18" s="92">
        <v>2</v>
      </c>
      <c r="E18" s="92">
        <v>6.26</v>
      </c>
      <c r="F18" s="102">
        <f>E18*D18</f>
        <v>12.52</v>
      </c>
      <c r="G18" s="92">
        <v>3</v>
      </c>
      <c r="H18" s="92">
        <v>2</v>
      </c>
      <c r="I18" s="102">
        <f>H18*G18</f>
        <v>6</v>
      </c>
      <c r="J18" s="92">
        <v>1</v>
      </c>
      <c r="K18" s="92">
        <v>2</v>
      </c>
      <c r="L18" s="102">
        <f>K18*J18</f>
        <v>2</v>
      </c>
      <c r="M18" s="92">
        <v>2</v>
      </c>
      <c r="N18" s="92">
        <v>2</v>
      </c>
      <c r="O18" s="102">
        <f>N18*M18</f>
        <v>4</v>
      </c>
    </row>
    <row r="19" spans="2:15" ht="23.25" customHeight="1" x14ac:dyDescent="0.35">
      <c r="B19" s="104" t="s">
        <v>208</v>
      </c>
      <c r="C19" s="92">
        <v>2</v>
      </c>
      <c r="D19" s="92">
        <v>2</v>
      </c>
      <c r="E19" s="92">
        <v>6.26</v>
      </c>
      <c r="F19" s="102">
        <f>E19*D19</f>
        <v>12.52</v>
      </c>
      <c r="G19" s="92">
        <v>3</v>
      </c>
      <c r="H19" s="92">
        <v>2</v>
      </c>
      <c r="I19" s="102">
        <f>H19*G19</f>
        <v>6</v>
      </c>
      <c r="J19" s="92">
        <v>1</v>
      </c>
      <c r="K19" s="92">
        <v>2</v>
      </c>
      <c r="L19" s="102">
        <f>K19*J19</f>
        <v>2</v>
      </c>
      <c r="M19" s="92">
        <v>2</v>
      </c>
      <c r="N19" s="92">
        <v>2</v>
      </c>
      <c r="O19" s="102">
        <f>N19*M19</f>
        <v>4</v>
      </c>
    </row>
    <row r="20" spans="2:15" ht="23.25" customHeight="1" x14ac:dyDescent="0.35">
      <c r="B20" s="103" t="s">
        <v>211</v>
      </c>
      <c r="C20" s="92"/>
      <c r="D20" s="92"/>
      <c r="E20" s="92"/>
      <c r="F20" s="91"/>
      <c r="G20" s="92"/>
      <c r="H20" s="92"/>
      <c r="I20" s="91"/>
      <c r="J20" s="92"/>
      <c r="K20" s="92"/>
      <c r="L20" s="91"/>
      <c r="M20" s="92"/>
      <c r="N20" s="92"/>
      <c r="O20" s="91"/>
    </row>
    <row r="21" spans="2:15" ht="23.25" customHeight="1" x14ac:dyDescent="0.35">
      <c r="B21" s="104" t="s">
        <v>207</v>
      </c>
      <c r="C21" s="92">
        <v>2</v>
      </c>
      <c r="D21" s="92">
        <v>2</v>
      </c>
      <c r="E21" s="92">
        <v>6.16</v>
      </c>
      <c r="F21" s="102">
        <f>E21*D21</f>
        <v>12.32</v>
      </c>
      <c r="G21" s="92">
        <v>3</v>
      </c>
      <c r="H21" s="92">
        <v>2</v>
      </c>
      <c r="I21" s="102">
        <f>H21*G21</f>
        <v>6</v>
      </c>
      <c r="J21" s="92">
        <v>1</v>
      </c>
      <c r="K21" s="92">
        <v>2</v>
      </c>
      <c r="L21" s="102">
        <f>K21*J21</f>
        <v>2</v>
      </c>
      <c r="M21" s="92">
        <v>2</v>
      </c>
      <c r="N21" s="92">
        <v>2</v>
      </c>
      <c r="O21" s="102">
        <f>N21*M21</f>
        <v>4</v>
      </c>
    </row>
    <row r="22" spans="2:15" ht="23.25" customHeight="1" x14ac:dyDescent="0.35">
      <c r="B22" s="104" t="s">
        <v>208</v>
      </c>
      <c r="C22" s="92">
        <v>2</v>
      </c>
      <c r="D22" s="92">
        <v>2</v>
      </c>
      <c r="E22" s="92">
        <v>6.16</v>
      </c>
      <c r="F22" s="102">
        <f>E22*D22</f>
        <v>12.32</v>
      </c>
      <c r="G22" s="92">
        <v>3</v>
      </c>
      <c r="H22" s="92">
        <v>2</v>
      </c>
      <c r="I22" s="102">
        <f>H22*G22</f>
        <v>6</v>
      </c>
      <c r="J22" s="92">
        <v>1</v>
      </c>
      <c r="K22" s="92">
        <v>2</v>
      </c>
      <c r="L22" s="102">
        <f>K22*J22</f>
        <v>2</v>
      </c>
      <c r="M22" s="92">
        <v>2</v>
      </c>
      <c r="N22" s="92">
        <v>2</v>
      </c>
      <c r="O22" s="102">
        <f>N22*M22</f>
        <v>4</v>
      </c>
    </row>
    <row r="23" spans="2:15" ht="23.25" customHeight="1" x14ac:dyDescent="0.35">
      <c r="B23" s="103" t="s">
        <v>212</v>
      </c>
      <c r="C23" s="92"/>
      <c r="D23" s="92"/>
      <c r="E23" s="92"/>
      <c r="F23" s="91"/>
      <c r="G23" s="92"/>
      <c r="H23" s="92"/>
      <c r="I23" s="91"/>
      <c r="J23" s="92"/>
      <c r="K23" s="92"/>
      <c r="L23" s="91"/>
      <c r="M23" s="92"/>
      <c r="N23" s="92"/>
      <c r="O23" s="91"/>
    </row>
    <row r="24" spans="2:15" ht="23.25" customHeight="1" x14ac:dyDescent="0.35">
      <c r="B24" s="104" t="s">
        <v>207</v>
      </c>
      <c r="C24" s="92">
        <v>2</v>
      </c>
      <c r="D24" s="92">
        <v>2</v>
      </c>
      <c r="E24" s="92">
        <v>6.24</v>
      </c>
      <c r="F24" s="102">
        <f>E24*D24</f>
        <v>12.48</v>
      </c>
      <c r="G24" s="92">
        <v>3</v>
      </c>
      <c r="H24" s="92">
        <v>2</v>
      </c>
      <c r="I24" s="102">
        <f>H24*G24</f>
        <v>6</v>
      </c>
      <c r="J24" s="92">
        <v>1</v>
      </c>
      <c r="K24" s="92">
        <v>2</v>
      </c>
      <c r="L24" s="102">
        <f>K24*J24</f>
        <v>2</v>
      </c>
      <c r="M24" s="92">
        <v>2</v>
      </c>
      <c r="N24" s="92">
        <v>2</v>
      </c>
      <c r="O24" s="102">
        <f>N24*M24</f>
        <v>4</v>
      </c>
    </row>
    <row r="25" spans="2:15" ht="23.25" customHeight="1" x14ac:dyDescent="0.35">
      <c r="B25" s="104" t="s">
        <v>208</v>
      </c>
      <c r="C25" s="92">
        <v>2</v>
      </c>
      <c r="D25" s="92">
        <v>2</v>
      </c>
      <c r="E25" s="92">
        <v>6.24</v>
      </c>
      <c r="F25" s="102">
        <f>E25*D25</f>
        <v>12.48</v>
      </c>
      <c r="G25" s="92">
        <v>3</v>
      </c>
      <c r="H25" s="92">
        <v>2</v>
      </c>
      <c r="I25" s="102">
        <f>H25*G25</f>
        <v>6</v>
      </c>
      <c r="J25" s="92">
        <v>1</v>
      </c>
      <c r="K25" s="92">
        <v>2</v>
      </c>
      <c r="L25" s="102">
        <f>K25*J25</f>
        <v>2</v>
      </c>
      <c r="M25" s="92">
        <v>2</v>
      </c>
      <c r="N25" s="92">
        <v>2</v>
      </c>
      <c r="O25" s="102">
        <f>N25*M25</f>
        <v>4</v>
      </c>
    </row>
    <row r="26" spans="2:15" ht="23.25" customHeight="1" x14ac:dyDescent="0.35">
      <c r="B26" s="103" t="s">
        <v>213</v>
      </c>
      <c r="C26" s="92"/>
      <c r="D26" s="92"/>
      <c r="E26" s="92"/>
      <c r="F26" s="91"/>
      <c r="G26" s="92"/>
      <c r="H26" s="92"/>
      <c r="I26" s="91"/>
      <c r="J26" s="92"/>
      <c r="K26" s="92"/>
      <c r="L26" s="91"/>
      <c r="M26" s="92"/>
      <c r="N26" s="92"/>
      <c r="O26" s="91"/>
    </row>
    <row r="27" spans="2:15" ht="23.25" customHeight="1" x14ac:dyDescent="0.35">
      <c r="B27" s="104" t="s">
        <v>207</v>
      </c>
      <c r="C27" s="92">
        <v>2</v>
      </c>
      <c r="D27" s="92">
        <v>2</v>
      </c>
      <c r="E27" s="92">
        <v>6.21</v>
      </c>
      <c r="F27" s="102">
        <f>E27*D27</f>
        <v>12.42</v>
      </c>
      <c r="G27" s="92">
        <v>3</v>
      </c>
      <c r="H27" s="92">
        <v>2</v>
      </c>
      <c r="I27" s="102">
        <f>H27*G27</f>
        <v>6</v>
      </c>
      <c r="J27" s="92">
        <v>1</v>
      </c>
      <c r="K27" s="92">
        <v>2</v>
      </c>
      <c r="L27" s="102">
        <f>K27*J27</f>
        <v>2</v>
      </c>
      <c r="M27" s="92">
        <v>2</v>
      </c>
      <c r="N27" s="92">
        <v>2</v>
      </c>
      <c r="O27" s="102">
        <f>N27*M27</f>
        <v>4</v>
      </c>
    </row>
    <row r="28" spans="2:15" ht="23.25" customHeight="1" x14ac:dyDescent="0.35">
      <c r="B28" s="104" t="s">
        <v>208</v>
      </c>
      <c r="C28" s="92">
        <v>2</v>
      </c>
      <c r="D28" s="92">
        <v>2</v>
      </c>
      <c r="E28" s="92">
        <v>6.21</v>
      </c>
      <c r="F28" s="102">
        <f>E28*D28</f>
        <v>12.42</v>
      </c>
      <c r="G28" s="92">
        <v>3</v>
      </c>
      <c r="H28" s="92">
        <v>2</v>
      </c>
      <c r="I28" s="102">
        <f>H28*G28</f>
        <v>6</v>
      </c>
      <c r="J28" s="92">
        <v>1</v>
      </c>
      <c r="K28" s="92">
        <v>2</v>
      </c>
      <c r="L28" s="102">
        <f>K28*J28</f>
        <v>2</v>
      </c>
      <c r="M28" s="92">
        <v>2</v>
      </c>
      <c r="N28" s="92">
        <v>2</v>
      </c>
      <c r="O28" s="102">
        <f>N28*M28</f>
        <v>4</v>
      </c>
    </row>
    <row r="29" spans="2:15" ht="23.25" customHeight="1" x14ac:dyDescent="0.35">
      <c r="B29" s="103" t="s">
        <v>214</v>
      </c>
      <c r="C29" s="92"/>
      <c r="D29" s="92"/>
      <c r="E29" s="92"/>
      <c r="F29" s="91"/>
      <c r="G29" s="92"/>
      <c r="H29" s="92"/>
      <c r="I29" s="91"/>
      <c r="J29" s="92"/>
      <c r="K29" s="92"/>
      <c r="L29" s="91"/>
      <c r="M29" s="92"/>
      <c r="N29" s="92"/>
      <c r="O29" s="91"/>
    </row>
    <row r="30" spans="2:15" ht="23.25" customHeight="1" x14ac:dyDescent="0.35">
      <c r="B30" s="104" t="s">
        <v>207</v>
      </c>
      <c r="C30" s="92">
        <v>2</v>
      </c>
      <c r="D30" s="92">
        <v>2</v>
      </c>
      <c r="E30" s="92">
        <v>6.17</v>
      </c>
      <c r="F30" s="102">
        <f>E30*D30</f>
        <v>12.34</v>
      </c>
      <c r="G30" s="92">
        <v>3</v>
      </c>
      <c r="H30" s="92">
        <v>2</v>
      </c>
      <c r="I30" s="102">
        <f>H30*G30</f>
        <v>6</v>
      </c>
      <c r="J30" s="92">
        <v>1</v>
      </c>
      <c r="K30" s="92">
        <v>2</v>
      </c>
      <c r="L30" s="102">
        <f>K30*J30</f>
        <v>2</v>
      </c>
      <c r="M30" s="92">
        <v>2</v>
      </c>
      <c r="N30" s="92">
        <v>2</v>
      </c>
      <c r="O30" s="102">
        <f>N30*M30</f>
        <v>4</v>
      </c>
    </row>
    <row r="31" spans="2:15" ht="23.25" customHeight="1" x14ac:dyDescent="0.35">
      <c r="B31" s="104" t="s">
        <v>208</v>
      </c>
      <c r="C31" s="92">
        <v>2</v>
      </c>
      <c r="D31" s="92">
        <v>2</v>
      </c>
      <c r="E31" s="92">
        <v>6.17</v>
      </c>
      <c r="F31" s="102">
        <f>E31*D31</f>
        <v>12.34</v>
      </c>
      <c r="G31" s="92">
        <v>3</v>
      </c>
      <c r="H31" s="92">
        <v>2</v>
      </c>
      <c r="I31" s="102">
        <f>H31*G31</f>
        <v>6</v>
      </c>
      <c r="J31" s="92">
        <v>1</v>
      </c>
      <c r="K31" s="92">
        <v>2</v>
      </c>
      <c r="L31" s="102">
        <f>K31*J31</f>
        <v>2</v>
      </c>
      <c r="M31" s="92">
        <v>2</v>
      </c>
      <c r="N31" s="92">
        <v>2</v>
      </c>
      <c r="O31" s="102">
        <f>N31*M31</f>
        <v>4</v>
      </c>
    </row>
    <row r="32" spans="2:15" ht="23.25" customHeight="1" x14ac:dyDescent="0.35">
      <c r="B32" s="103" t="s">
        <v>215</v>
      </c>
      <c r="C32" s="92"/>
      <c r="D32" s="92"/>
      <c r="E32" s="92"/>
      <c r="F32" s="91"/>
      <c r="G32" s="92"/>
      <c r="H32" s="92"/>
      <c r="I32" s="91"/>
      <c r="J32" s="92"/>
      <c r="K32" s="92"/>
      <c r="L32" s="91"/>
      <c r="M32" s="92"/>
      <c r="N32" s="92"/>
      <c r="O32" s="91"/>
    </row>
    <row r="33" spans="2:15" ht="23.25" customHeight="1" x14ac:dyDescent="0.35">
      <c r="B33" s="104" t="s">
        <v>207</v>
      </c>
      <c r="C33" s="92">
        <v>2</v>
      </c>
      <c r="D33" s="92">
        <v>2</v>
      </c>
      <c r="E33" s="92">
        <v>7.33</v>
      </c>
      <c r="F33" s="102">
        <f>E33*D33</f>
        <v>14.66</v>
      </c>
      <c r="G33" s="92">
        <v>3</v>
      </c>
      <c r="H33" s="5">
        <v>2</v>
      </c>
      <c r="I33" s="102">
        <f>H33*G33</f>
        <v>6</v>
      </c>
      <c r="J33" s="92">
        <v>2</v>
      </c>
      <c r="K33" s="92">
        <v>2</v>
      </c>
      <c r="L33" s="102">
        <f>K33*J33</f>
        <v>4</v>
      </c>
      <c r="M33" s="92">
        <v>2</v>
      </c>
      <c r="N33" s="92">
        <v>2</v>
      </c>
      <c r="O33" s="102">
        <f>N33*M33</f>
        <v>4</v>
      </c>
    </row>
    <row r="34" spans="2:15" ht="23.25" customHeight="1" x14ac:dyDescent="0.35">
      <c r="B34" s="104" t="s">
        <v>208</v>
      </c>
      <c r="C34" s="92">
        <v>2</v>
      </c>
      <c r="D34" s="92">
        <v>2</v>
      </c>
      <c r="E34" s="92">
        <v>7.33</v>
      </c>
      <c r="F34" s="102">
        <f>E34*D34</f>
        <v>14.66</v>
      </c>
      <c r="G34" s="92">
        <v>3</v>
      </c>
      <c r="H34" s="92">
        <v>2</v>
      </c>
      <c r="I34" s="102">
        <f>H34*G34</f>
        <v>6</v>
      </c>
      <c r="J34" s="92">
        <v>2</v>
      </c>
      <c r="K34" s="92">
        <v>2</v>
      </c>
      <c r="L34" s="102">
        <f>K34*J34</f>
        <v>4</v>
      </c>
      <c r="M34" s="92">
        <v>2</v>
      </c>
      <c r="N34" s="92">
        <v>2</v>
      </c>
      <c r="O34" s="102">
        <f>N34*M34</f>
        <v>4</v>
      </c>
    </row>
    <row r="35" spans="2:15" ht="23.25" customHeight="1" x14ac:dyDescent="0.35">
      <c r="B35" s="104" t="s">
        <v>216</v>
      </c>
      <c r="C35" s="92">
        <v>2</v>
      </c>
      <c r="D35" s="92">
        <v>2</v>
      </c>
      <c r="E35" s="92">
        <v>9.9600000000000009</v>
      </c>
      <c r="F35" s="102">
        <f>E35*D35</f>
        <v>19.920000000000002</v>
      </c>
      <c r="G35" s="92">
        <v>3</v>
      </c>
      <c r="H35" s="92">
        <v>2</v>
      </c>
      <c r="I35" s="102">
        <f>H35*G35</f>
        <v>6</v>
      </c>
      <c r="J35" s="92">
        <v>2</v>
      </c>
      <c r="K35" s="92">
        <v>2</v>
      </c>
      <c r="L35" s="102">
        <f>K35*J35</f>
        <v>4</v>
      </c>
      <c r="M35" s="92">
        <v>2</v>
      </c>
      <c r="N35" s="92">
        <v>2</v>
      </c>
      <c r="O35" s="102">
        <f>N35*M35</f>
        <v>4</v>
      </c>
    </row>
    <row r="36" spans="2:15" ht="23.25" customHeight="1" x14ac:dyDescent="0.35">
      <c r="B36" s="104" t="s">
        <v>217</v>
      </c>
      <c r="C36" s="92">
        <v>2</v>
      </c>
      <c r="D36" s="92">
        <v>2</v>
      </c>
      <c r="E36" s="92">
        <v>9.9600000000000009</v>
      </c>
      <c r="F36" s="102">
        <f>E36*D36</f>
        <v>19.920000000000002</v>
      </c>
      <c r="G36" s="92">
        <v>3</v>
      </c>
      <c r="H36" s="92">
        <v>2</v>
      </c>
      <c r="I36" s="102">
        <f>H36*G36</f>
        <v>6</v>
      </c>
      <c r="J36" s="92">
        <v>2</v>
      </c>
      <c r="K36" s="92">
        <v>2</v>
      </c>
      <c r="L36" s="102">
        <f>K36*J36</f>
        <v>4</v>
      </c>
      <c r="M36" s="92">
        <v>2</v>
      </c>
      <c r="N36" s="92">
        <v>2</v>
      </c>
      <c r="O36" s="102">
        <f>N36*M36</f>
        <v>4</v>
      </c>
    </row>
    <row r="37" spans="2:15" ht="23.25" customHeight="1" x14ac:dyDescent="0.35">
      <c r="B37" s="103" t="s">
        <v>218</v>
      </c>
      <c r="C37" s="92"/>
      <c r="D37" s="92"/>
      <c r="E37" s="92"/>
      <c r="F37" s="91"/>
      <c r="G37" s="92"/>
      <c r="H37" s="92"/>
      <c r="I37" s="91"/>
      <c r="J37" s="92"/>
      <c r="K37" s="92"/>
      <c r="L37" s="91"/>
      <c r="M37" s="92"/>
      <c r="N37" s="92"/>
      <c r="O37" s="91"/>
    </row>
    <row r="38" spans="2:15" ht="23.25" customHeight="1" x14ac:dyDescent="0.35">
      <c r="B38" s="104" t="s">
        <v>207</v>
      </c>
      <c r="C38" s="92">
        <v>2</v>
      </c>
      <c r="D38" s="92">
        <v>2</v>
      </c>
      <c r="E38" s="92">
        <v>6.25</v>
      </c>
      <c r="F38" s="102">
        <f>E38*D38</f>
        <v>12.5</v>
      </c>
      <c r="G38" s="92">
        <v>3</v>
      </c>
      <c r="H38" s="92">
        <v>2</v>
      </c>
      <c r="I38" s="102">
        <f>H38*G38</f>
        <v>6</v>
      </c>
      <c r="J38" s="92">
        <v>1</v>
      </c>
      <c r="K38" s="92">
        <v>2</v>
      </c>
      <c r="L38" s="102">
        <f>K38*J38</f>
        <v>2</v>
      </c>
      <c r="M38" s="92">
        <v>2</v>
      </c>
      <c r="N38" s="92">
        <v>2</v>
      </c>
      <c r="O38" s="102">
        <f>N38*M38</f>
        <v>4</v>
      </c>
    </row>
    <row r="39" spans="2:15" ht="23.25" customHeight="1" x14ac:dyDescent="0.35">
      <c r="B39" s="104" t="s">
        <v>208</v>
      </c>
      <c r="C39" s="92">
        <v>2</v>
      </c>
      <c r="D39" s="92">
        <v>2</v>
      </c>
      <c r="E39" s="92">
        <v>6.26</v>
      </c>
      <c r="F39" s="102">
        <f>E39*D39</f>
        <v>12.52</v>
      </c>
      <c r="G39" s="92">
        <v>3</v>
      </c>
      <c r="H39" s="92">
        <v>2</v>
      </c>
      <c r="I39" s="102">
        <f>H39*G39</f>
        <v>6</v>
      </c>
      <c r="J39" s="92">
        <v>1</v>
      </c>
      <c r="K39" s="92">
        <v>2</v>
      </c>
      <c r="L39" s="102">
        <f>K39*J39</f>
        <v>2</v>
      </c>
      <c r="M39" s="92">
        <v>2</v>
      </c>
      <c r="N39" s="92">
        <v>2</v>
      </c>
      <c r="O39" s="102">
        <f>N39*M39</f>
        <v>4</v>
      </c>
    </row>
    <row r="40" spans="2:15" ht="23.25" customHeight="1" x14ac:dyDescent="0.35">
      <c r="B40" s="103" t="s">
        <v>219</v>
      </c>
      <c r="C40" s="105"/>
      <c r="D40" s="92"/>
      <c r="E40" s="92"/>
      <c r="F40" s="91"/>
      <c r="G40" s="92"/>
      <c r="H40" s="92"/>
      <c r="I40" s="91"/>
      <c r="J40" s="92"/>
      <c r="K40" s="92"/>
      <c r="L40" s="91"/>
      <c r="M40" s="92"/>
      <c r="N40" s="92"/>
      <c r="O40" s="91"/>
    </row>
    <row r="41" spans="2:15" ht="23.25" customHeight="1" x14ac:dyDescent="0.35">
      <c r="B41" s="104" t="s">
        <v>207</v>
      </c>
      <c r="C41" s="106">
        <v>2</v>
      </c>
      <c r="D41" s="92">
        <v>2</v>
      </c>
      <c r="E41" s="92">
        <v>6.2</v>
      </c>
      <c r="F41" s="102">
        <f t="shared" ref="F41:F48" si="0">E41*D41</f>
        <v>12.4</v>
      </c>
      <c r="G41" s="92">
        <v>3</v>
      </c>
      <c r="H41" s="92">
        <v>2</v>
      </c>
      <c r="I41" s="102">
        <f t="shared" ref="I41:I48" si="1">H41*G41</f>
        <v>6</v>
      </c>
      <c r="J41" s="92">
        <v>1</v>
      </c>
      <c r="K41" s="92">
        <v>2</v>
      </c>
      <c r="L41" s="102">
        <f t="shared" ref="L41:L48" si="2">K41*J41</f>
        <v>2</v>
      </c>
      <c r="M41" s="92">
        <v>2</v>
      </c>
      <c r="N41" s="92">
        <v>2</v>
      </c>
      <c r="O41" s="102">
        <f t="shared" ref="O41:O48" si="3">N41*M41</f>
        <v>4</v>
      </c>
    </row>
    <row r="42" spans="2:15" ht="23.25" customHeight="1" x14ac:dyDescent="0.35">
      <c r="B42" s="104" t="s">
        <v>208</v>
      </c>
      <c r="C42" s="92">
        <v>2</v>
      </c>
      <c r="D42" s="92">
        <v>2</v>
      </c>
      <c r="E42" s="92">
        <v>6.2</v>
      </c>
      <c r="F42" s="102">
        <f t="shared" si="0"/>
        <v>12.4</v>
      </c>
      <c r="G42" s="92">
        <v>3</v>
      </c>
      <c r="H42" s="92">
        <v>2</v>
      </c>
      <c r="I42" s="102">
        <f t="shared" si="1"/>
        <v>6</v>
      </c>
      <c r="J42" s="92">
        <v>1</v>
      </c>
      <c r="K42" s="92">
        <v>2</v>
      </c>
      <c r="L42" s="102">
        <f t="shared" si="2"/>
        <v>2</v>
      </c>
      <c r="M42" s="92">
        <v>2</v>
      </c>
      <c r="N42" s="92">
        <v>2</v>
      </c>
      <c r="O42" s="102">
        <f t="shared" si="3"/>
        <v>4</v>
      </c>
    </row>
    <row r="43" spans="2:15" ht="23.25" customHeight="1" x14ac:dyDescent="0.35">
      <c r="B43" s="103" t="s">
        <v>220</v>
      </c>
      <c r="C43" s="92"/>
      <c r="D43" s="92"/>
      <c r="E43" s="92"/>
      <c r="F43" s="102">
        <f t="shared" si="0"/>
        <v>0</v>
      </c>
      <c r="G43" s="92"/>
      <c r="H43" s="92"/>
      <c r="I43" s="102">
        <f t="shared" si="1"/>
        <v>0</v>
      </c>
      <c r="J43" s="92"/>
      <c r="K43" s="92"/>
      <c r="L43" s="102">
        <f t="shared" si="2"/>
        <v>0</v>
      </c>
      <c r="M43" s="92"/>
      <c r="N43" s="92"/>
      <c r="O43" s="102">
        <f t="shared" si="3"/>
        <v>0</v>
      </c>
    </row>
    <row r="44" spans="2:15" ht="23.25" customHeight="1" x14ac:dyDescent="0.35">
      <c r="B44" s="104" t="s">
        <v>207</v>
      </c>
      <c r="C44" s="92">
        <v>4</v>
      </c>
      <c r="D44" s="92">
        <v>4</v>
      </c>
      <c r="E44" s="92">
        <v>11</v>
      </c>
      <c r="F44" s="102">
        <f t="shared" si="0"/>
        <v>44</v>
      </c>
      <c r="G44" s="92">
        <v>3</v>
      </c>
      <c r="H44" s="92">
        <v>4</v>
      </c>
      <c r="I44" s="102">
        <f t="shared" si="1"/>
        <v>12</v>
      </c>
      <c r="J44" s="92">
        <v>3</v>
      </c>
      <c r="K44" s="92">
        <v>4</v>
      </c>
      <c r="L44" s="102">
        <f t="shared" si="2"/>
        <v>12</v>
      </c>
      <c r="M44" s="92">
        <v>1</v>
      </c>
      <c r="N44" s="92">
        <v>4</v>
      </c>
      <c r="O44" s="102">
        <f t="shared" si="3"/>
        <v>4</v>
      </c>
    </row>
    <row r="45" spans="2:15" ht="23.25" customHeight="1" x14ac:dyDescent="0.35">
      <c r="B45" s="104" t="s">
        <v>208</v>
      </c>
      <c r="C45" s="92">
        <v>4</v>
      </c>
      <c r="D45" s="92">
        <v>4</v>
      </c>
      <c r="E45" s="92">
        <v>11</v>
      </c>
      <c r="F45" s="102">
        <f t="shared" si="0"/>
        <v>44</v>
      </c>
      <c r="G45" s="92">
        <v>3</v>
      </c>
      <c r="H45" s="92">
        <v>4</v>
      </c>
      <c r="I45" s="102">
        <f t="shared" si="1"/>
        <v>12</v>
      </c>
      <c r="J45" s="92">
        <v>3</v>
      </c>
      <c r="K45" s="92">
        <v>4</v>
      </c>
      <c r="L45" s="102">
        <f t="shared" si="2"/>
        <v>12</v>
      </c>
      <c r="M45" s="92">
        <v>1</v>
      </c>
      <c r="N45" s="92">
        <v>4</v>
      </c>
      <c r="O45" s="102">
        <f t="shared" si="3"/>
        <v>4</v>
      </c>
    </row>
    <row r="46" spans="2:15" ht="23.25" customHeight="1" x14ac:dyDescent="0.35">
      <c r="B46" s="103" t="s">
        <v>221</v>
      </c>
      <c r="C46" s="92">
        <v>1</v>
      </c>
      <c r="D46" s="92">
        <v>1</v>
      </c>
      <c r="E46" s="92">
        <v>6.9</v>
      </c>
      <c r="F46" s="102">
        <f t="shared" si="0"/>
        <v>6.9</v>
      </c>
      <c r="G46" s="92">
        <v>3</v>
      </c>
      <c r="H46" s="92">
        <v>1</v>
      </c>
      <c r="I46" s="102">
        <f t="shared" si="1"/>
        <v>3</v>
      </c>
      <c r="J46" s="92">
        <v>1</v>
      </c>
      <c r="K46" s="92">
        <v>1</v>
      </c>
      <c r="L46" s="102">
        <f t="shared" si="2"/>
        <v>1</v>
      </c>
      <c r="M46" s="92">
        <v>1</v>
      </c>
      <c r="N46" s="92">
        <v>1</v>
      </c>
      <c r="O46" s="102">
        <f t="shared" si="3"/>
        <v>1</v>
      </c>
    </row>
    <row r="47" spans="2:15" ht="23.25" customHeight="1" x14ac:dyDescent="0.35">
      <c r="B47" s="103" t="s">
        <v>222</v>
      </c>
      <c r="C47" s="92">
        <v>2</v>
      </c>
      <c r="D47" s="92">
        <v>2</v>
      </c>
      <c r="E47" s="92">
        <v>6.7</v>
      </c>
      <c r="F47" s="102">
        <f t="shared" si="0"/>
        <v>13.4</v>
      </c>
      <c r="G47" s="92">
        <v>3</v>
      </c>
      <c r="H47" s="92">
        <v>2</v>
      </c>
      <c r="I47" s="102">
        <f t="shared" si="1"/>
        <v>6</v>
      </c>
      <c r="J47" s="92">
        <v>1</v>
      </c>
      <c r="K47" s="92">
        <v>2</v>
      </c>
      <c r="L47" s="102">
        <f t="shared" si="2"/>
        <v>2</v>
      </c>
      <c r="M47" s="92">
        <v>1</v>
      </c>
      <c r="N47" s="92">
        <v>2</v>
      </c>
      <c r="O47" s="102">
        <f t="shared" si="3"/>
        <v>2</v>
      </c>
    </row>
    <row r="48" spans="2:15" ht="23.25" customHeight="1" x14ac:dyDescent="0.35">
      <c r="B48" s="103" t="s">
        <v>223</v>
      </c>
      <c r="C48" s="92">
        <v>1</v>
      </c>
      <c r="D48" s="92">
        <v>1</v>
      </c>
      <c r="E48" s="92">
        <v>6.9</v>
      </c>
      <c r="F48" s="102">
        <f t="shared" si="0"/>
        <v>6.9</v>
      </c>
      <c r="G48" s="92">
        <v>3</v>
      </c>
      <c r="H48" s="92">
        <v>1</v>
      </c>
      <c r="I48" s="102">
        <f t="shared" si="1"/>
        <v>3</v>
      </c>
      <c r="J48" s="92">
        <v>1</v>
      </c>
      <c r="K48" s="92">
        <v>1</v>
      </c>
      <c r="L48" s="102">
        <f t="shared" si="2"/>
        <v>1</v>
      </c>
      <c r="M48" s="92">
        <v>1</v>
      </c>
      <c r="N48" s="92">
        <v>1</v>
      </c>
      <c r="O48" s="102">
        <f t="shared" si="3"/>
        <v>1</v>
      </c>
    </row>
    <row r="49" spans="3:15" ht="23.25" customHeight="1" x14ac:dyDescent="0.35">
      <c r="C49" s="107">
        <f>SUM(C11:C48)</f>
        <v>56</v>
      </c>
      <c r="D49" s="92"/>
      <c r="E49" s="92"/>
      <c r="F49" s="107">
        <f>SUM(F11:F48)</f>
        <v>408.01999999999987</v>
      </c>
      <c r="G49" s="92"/>
      <c r="H49" s="92"/>
      <c r="I49" s="107">
        <f>SUM(I11:I48)</f>
        <v>168</v>
      </c>
      <c r="J49" s="92"/>
      <c r="K49" s="92"/>
      <c r="L49" s="107">
        <f>SUM(L11:L48)</f>
        <v>80</v>
      </c>
      <c r="M49" s="92"/>
      <c r="N49" s="92"/>
      <c r="O49" s="107">
        <f>SUM(O11:O48)</f>
        <v>100</v>
      </c>
    </row>
    <row r="50" spans="3:15" x14ac:dyDescent="0.35">
      <c r="M50" s="5"/>
      <c r="N50" s="5"/>
      <c r="O50" s="5"/>
    </row>
  </sheetData>
  <mergeCells count="11">
    <mergeCell ref="B2:O2"/>
    <mergeCell ref="C3:O3"/>
    <mergeCell ref="C4:O4"/>
    <mergeCell ref="C5:O5"/>
    <mergeCell ref="C6:O6"/>
    <mergeCell ref="C7:O7"/>
    <mergeCell ref="C9:C10"/>
    <mergeCell ref="D9:F9"/>
    <mergeCell ref="G9:I9"/>
    <mergeCell ref="J9:L9"/>
    <mergeCell ref="M9:O9"/>
  </mergeCells>
  <pageMargins left="1.41736111111111" right="0.39374999999999999" top="1.14652777777778" bottom="0.39374999999999999" header="0.31527777777777799" footer="0.511811023622047"/>
  <pageSetup paperSize="9" scale="55"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K55"/>
  <sheetViews>
    <sheetView showGridLines="0" zoomScaleNormal="100" zoomScalePageLayoutView="104" workbookViewId="0">
      <pane xSplit="2" ySplit="10" topLeftCell="C33" activePane="bottomRight" state="frozen"/>
      <selection pane="topRight" activeCell="C1" sqref="C1"/>
      <selection pane="bottomLeft" activeCell="A33" sqref="A33"/>
      <selection pane="bottomRight"/>
    </sheetView>
  </sheetViews>
  <sheetFormatPr baseColWidth="10" defaultColWidth="8.7265625" defaultRowHeight="14.5" x14ac:dyDescent="0.35"/>
  <cols>
    <col min="1" max="1" width="3.453125" customWidth="1"/>
    <col min="2" max="2" width="22" customWidth="1"/>
    <col min="3" max="4" width="13" customWidth="1"/>
    <col min="5" max="9" width="12" customWidth="1"/>
    <col min="10" max="10" width="13" customWidth="1"/>
    <col min="11" max="11" width="12" customWidth="1"/>
  </cols>
  <sheetData>
    <row r="2" spans="2:11" ht="24" customHeight="1" x14ac:dyDescent="0.35">
      <c r="B2" s="235" t="s">
        <v>224</v>
      </c>
      <c r="C2" s="235"/>
      <c r="D2" s="235"/>
      <c r="E2" s="235"/>
      <c r="F2" s="235"/>
      <c r="G2" s="235"/>
      <c r="H2" s="235"/>
      <c r="I2" s="235"/>
      <c r="J2" s="235"/>
      <c r="K2" s="235"/>
    </row>
    <row r="3" spans="2:11" ht="21" customHeight="1" x14ac:dyDescent="0.35">
      <c r="B3" s="10" t="s">
        <v>1</v>
      </c>
      <c r="C3" s="236" t="str">
        <f>+RESUMEN!B4</f>
        <v>GERENCIA TERRITORIAL BAJO MAYO - TARAPOTO</v>
      </c>
      <c r="D3" s="236"/>
      <c r="E3" s="236"/>
      <c r="F3" s="236"/>
      <c r="G3" s="236"/>
      <c r="H3" s="236"/>
      <c r="I3" s="236"/>
      <c r="J3" s="236"/>
      <c r="K3" s="236"/>
    </row>
    <row r="4" spans="2:11" ht="75" customHeight="1" x14ac:dyDescent="0.35">
      <c r="B4" s="10" t="s">
        <v>3</v>
      </c>
      <c r="C4" s="23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236"/>
      <c r="E4" s="236"/>
      <c r="F4" s="236"/>
      <c r="G4" s="236"/>
      <c r="H4" s="236"/>
      <c r="I4" s="236"/>
      <c r="J4" s="236"/>
      <c r="K4" s="236"/>
    </row>
    <row r="5" spans="2:11" ht="21" customHeight="1" x14ac:dyDescent="0.35">
      <c r="B5" s="10" t="s">
        <v>5</v>
      </c>
      <c r="C5" s="236" t="str">
        <f>+RESUMEN!B6</f>
        <v>SAN MARTIN - SAN MARTIN - MORALES</v>
      </c>
      <c r="D5" s="236"/>
      <c r="E5" s="236"/>
      <c r="F5" s="236"/>
      <c r="G5" s="236"/>
      <c r="H5" s="236"/>
      <c r="I5" s="236"/>
      <c r="J5" s="236"/>
      <c r="K5" s="236"/>
    </row>
    <row r="6" spans="2:11" ht="21" customHeight="1" x14ac:dyDescent="0.35">
      <c r="B6" s="10" t="s">
        <v>7</v>
      </c>
      <c r="C6" s="237">
        <f>+RESUMEN!B7</f>
        <v>46266</v>
      </c>
      <c r="D6" s="237"/>
      <c r="E6" s="237"/>
      <c r="F6" s="237"/>
      <c r="G6" s="237"/>
      <c r="H6" s="237"/>
      <c r="I6" s="237"/>
      <c r="J6" s="237"/>
      <c r="K6" s="237"/>
    </row>
    <row r="8" spans="2:11" ht="33" customHeight="1" x14ac:dyDescent="0.35">
      <c r="B8" s="280" t="s">
        <v>225</v>
      </c>
      <c r="C8" s="280"/>
      <c r="D8" s="280"/>
      <c r="E8" s="280"/>
      <c r="F8" s="280"/>
      <c r="G8" s="280"/>
      <c r="H8" s="280"/>
      <c r="I8" s="280"/>
      <c r="J8" s="280"/>
      <c r="K8" s="280"/>
    </row>
    <row r="9" spans="2:11" ht="42" customHeight="1" x14ac:dyDescent="0.35">
      <c r="B9" s="234" t="s">
        <v>226</v>
      </c>
      <c r="C9" s="234" t="s">
        <v>227</v>
      </c>
      <c r="D9" s="234" t="s">
        <v>228</v>
      </c>
      <c r="E9" s="234"/>
      <c r="F9" s="234" t="s">
        <v>229</v>
      </c>
      <c r="G9" s="234"/>
      <c r="H9" s="234" t="s">
        <v>230</v>
      </c>
      <c r="I9" s="234"/>
      <c r="J9" s="234" t="s">
        <v>231</v>
      </c>
      <c r="K9" s="234"/>
    </row>
    <row r="10" spans="2:11" ht="30.75" customHeight="1" x14ac:dyDescent="0.35">
      <c r="B10" s="234"/>
      <c r="C10" s="234"/>
      <c r="D10" s="101" t="s">
        <v>232</v>
      </c>
      <c r="E10" s="101" t="s">
        <v>204</v>
      </c>
      <c r="F10" s="101" t="s">
        <v>194</v>
      </c>
      <c r="G10" s="101" t="s">
        <v>205</v>
      </c>
      <c r="H10" s="101" t="s">
        <v>194</v>
      </c>
      <c r="I10" s="101" t="s">
        <v>205</v>
      </c>
      <c r="J10" s="101" t="s">
        <v>194</v>
      </c>
      <c r="K10" s="101" t="s">
        <v>205</v>
      </c>
    </row>
    <row r="11" spans="2:11" ht="23.25" customHeight="1" x14ac:dyDescent="0.35">
      <c r="B11" s="103" t="s">
        <v>206</v>
      </c>
      <c r="C11" s="92"/>
      <c r="D11" s="92"/>
      <c r="E11" s="92"/>
      <c r="F11" s="92"/>
      <c r="G11" s="92"/>
      <c r="H11" s="92"/>
      <c r="I11" s="92"/>
      <c r="J11" s="92"/>
      <c r="K11" s="92"/>
    </row>
    <row r="12" spans="2:11" ht="23.25" customHeight="1" x14ac:dyDescent="0.35">
      <c r="B12" s="104" t="s">
        <v>233</v>
      </c>
      <c r="C12" s="92">
        <v>1</v>
      </c>
      <c r="D12" s="76">
        <v>25.78</v>
      </c>
      <c r="E12" s="108">
        <f>C12*D12</f>
        <v>25.78</v>
      </c>
      <c r="F12" s="92">
        <f>IF(D12&gt;0,ROUNDUP(D12/$F$53,0)+1,0)</f>
        <v>44</v>
      </c>
      <c r="G12" s="102">
        <f>C12*F12</f>
        <v>44</v>
      </c>
      <c r="H12" s="109">
        <f>$F$54</f>
        <v>2</v>
      </c>
      <c r="I12" s="102">
        <f>C12*H12</f>
        <v>2</v>
      </c>
      <c r="J12" s="92">
        <f>'METRADO MONTANTES'!C12</f>
        <v>2</v>
      </c>
      <c r="K12" s="102">
        <f>C12*J12</f>
        <v>2</v>
      </c>
    </row>
    <row r="13" spans="2:11" ht="23.25" customHeight="1" x14ac:dyDescent="0.35">
      <c r="B13" s="104" t="s">
        <v>234</v>
      </c>
      <c r="C13" s="92">
        <v>1</v>
      </c>
      <c r="D13" s="76">
        <f>D12</f>
        <v>25.78</v>
      </c>
      <c r="E13" s="108">
        <f>C13*D13</f>
        <v>25.78</v>
      </c>
      <c r="F13" s="92">
        <f>IF(D13&gt;0,ROUNDUP(D13/$F$53,0)+1,0)</f>
        <v>44</v>
      </c>
      <c r="G13" s="102">
        <f>C13*F13</f>
        <v>44</v>
      </c>
      <c r="H13" s="109">
        <f>$F$54</f>
        <v>2</v>
      </c>
      <c r="I13" s="102">
        <f>C13*H13</f>
        <v>2</v>
      </c>
      <c r="J13" s="92">
        <f>'METRADO MONTANTES'!C13</f>
        <v>2</v>
      </c>
      <c r="K13" s="102">
        <f>C13*J13</f>
        <v>2</v>
      </c>
    </row>
    <row r="14" spans="2:11" ht="23.25" customHeight="1" x14ac:dyDescent="0.35">
      <c r="B14" s="103" t="s">
        <v>209</v>
      </c>
      <c r="C14" s="92"/>
      <c r="D14" s="92"/>
      <c r="E14" s="92"/>
      <c r="F14" s="92"/>
      <c r="G14" s="92"/>
      <c r="H14" s="92"/>
      <c r="I14" s="92"/>
      <c r="J14" s="92"/>
      <c r="K14" s="92"/>
    </row>
    <row r="15" spans="2:11" ht="23.25" customHeight="1" x14ac:dyDescent="0.35">
      <c r="B15" s="104" t="s">
        <v>233</v>
      </c>
      <c r="C15" s="92">
        <v>1</v>
      </c>
      <c r="D15" s="76">
        <v>14.77</v>
      </c>
      <c r="E15" s="108">
        <f>C15*D15</f>
        <v>14.77</v>
      </c>
      <c r="F15" s="92">
        <f>IF(D15&gt;0,ROUNDUP(D15/$F$53,0)+1,0)</f>
        <v>26</v>
      </c>
      <c r="G15" s="102">
        <f>C15*F15</f>
        <v>26</v>
      </c>
      <c r="H15" s="109">
        <f>$F$54</f>
        <v>2</v>
      </c>
      <c r="I15" s="102">
        <f>C15*H15</f>
        <v>2</v>
      </c>
      <c r="J15" s="92">
        <f>'METRADO MONTANTES'!C15</f>
        <v>2</v>
      </c>
      <c r="K15" s="102">
        <f>C15*J15</f>
        <v>2</v>
      </c>
    </row>
    <row r="16" spans="2:11" ht="23.25" customHeight="1" x14ac:dyDescent="0.35">
      <c r="B16" s="104" t="s">
        <v>234</v>
      </c>
      <c r="C16" s="92">
        <v>1</v>
      </c>
      <c r="D16" s="76">
        <f>D15</f>
        <v>14.77</v>
      </c>
      <c r="E16" s="108">
        <f>C16*D16</f>
        <v>14.77</v>
      </c>
      <c r="F16" s="92">
        <f>IF(D16&gt;0,ROUNDUP(D16/$F$53,0)+1,0)</f>
        <v>26</v>
      </c>
      <c r="G16" s="102">
        <f>C16*F16</f>
        <v>26</v>
      </c>
      <c r="H16" s="109">
        <f>$F$54</f>
        <v>2</v>
      </c>
      <c r="I16" s="102">
        <f>C16*H16</f>
        <v>2</v>
      </c>
      <c r="J16" s="92">
        <f>'METRADO MONTANTES'!C16</f>
        <v>2</v>
      </c>
      <c r="K16" s="102">
        <f>C16*J16</f>
        <v>2</v>
      </c>
    </row>
    <row r="17" spans="2:11" ht="23.25" customHeight="1" x14ac:dyDescent="0.35">
      <c r="B17" s="103" t="s">
        <v>210</v>
      </c>
      <c r="C17" s="92"/>
      <c r="D17" s="92"/>
      <c r="E17" s="92"/>
      <c r="F17" s="92"/>
      <c r="G17" s="92"/>
      <c r="H17" s="92"/>
      <c r="I17" s="92"/>
      <c r="J17" s="92"/>
      <c r="K17" s="92"/>
    </row>
    <row r="18" spans="2:11" ht="23.25" customHeight="1" x14ac:dyDescent="0.35">
      <c r="B18" s="104" t="s">
        <v>233</v>
      </c>
      <c r="C18" s="92">
        <v>1</v>
      </c>
      <c r="D18" s="76">
        <v>16.05</v>
      </c>
      <c r="E18" s="108">
        <f>C18*D18</f>
        <v>16.05</v>
      </c>
      <c r="F18" s="92">
        <f>IF(D18&gt;0,ROUNDUP(D18/$F$53,0)+1,0)</f>
        <v>28</v>
      </c>
      <c r="G18" s="102">
        <f>C18*F18</f>
        <v>28</v>
      </c>
      <c r="H18" s="109">
        <f>$F$54</f>
        <v>2</v>
      </c>
      <c r="I18" s="102">
        <f>C18*H18</f>
        <v>2</v>
      </c>
      <c r="J18" s="92">
        <f>'METRADO MONTANTES'!C18</f>
        <v>2</v>
      </c>
      <c r="K18" s="102">
        <f>C18*J18</f>
        <v>2</v>
      </c>
    </row>
    <row r="19" spans="2:11" ht="23.25" customHeight="1" x14ac:dyDescent="0.35">
      <c r="B19" s="104" t="s">
        <v>234</v>
      </c>
      <c r="C19" s="92">
        <v>1</v>
      </c>
      <c r="D19" s="76">
        <f>D18</f>
        <v>16.05</v>
      </c>
      <c r="E19" s="108">
        <f>C19*D19</f>
        <v>16.05</v>
      </c>
      <c r="F19" s="92">
        <f>IF(D19&gt;0,ROUNDUP(D19/$F$53,0)+1,0)</f>
        <v>28</v>
      </c>
      <c r="G19" s="102">
        <f>C19*F19</f>
        <v>28</v>
      </c>
      <c r="H19" s="109">
        <f>$F$54</f>
        <v>2</v>
      </c>
      <c r="I19" s="102">
        <f>C19*H19</f>
        <v>2</v>
      </c>
      <c r="J19" s="92">
        <f>'METRADO MONTANTES'!C19</f>
        <v>2</v>
      </c>
      <c r="K19" s="102">
        <f>C19*J19</f>
        <v>2</v>
      </c>
    </row>
    <row r="20" spans="2:11" ht="23.25" customHeight="1" x14ac:dyDescent="0.35">
      <c r="B20" s="103" t="s">
        <v>211</v>
      </c>
      <c r="C20" s="92"/>
      <c r="D20" s="92"/>
      <c r="E20" s="92"/>
      <c r="F20" s="92"/>
      <c r="G20" s="92"/>
      <c r="H20" s="92"/>
      <c r="I20" s="92"/>
      <c r="J20" s="92"/>
      <c r="K20" s="92"/>
    </row>
    <row r="21" spans="2:11" ht="23.25" customHeight="1" x14ac:dyDescent="0.35">
      <c r="B21" s="104" t="s">
        <v>233</v>
      </c>
      <c r="C21" s="92">
        <v>1</v>
      </c>
      <c r="D21" s="76">
        <v>27.15</v>
      </c>
      <c r="E21" s="108">
        <f>C21*D21</f>
        <v>27.15</v>
      </c>
      <c r="F21" s="92">
        <f>IF(D21&gt;0,ROUNDUP(D21/$F$53,0)+1,0)</f>
        <v>47</v>
      </c>
      <c r="G21" s="102">
        <f>C21*F21</f>
        <v>47</v>
      </c>
      <c r="H21" s="109">
        <f>$F$54</f>
        <v>2</v>
      </c>
      <c r="I21" s="102">
        <f>C21*H21</f>
        <v>2</v>
      </c>
      <c r="J21" s="92">
        <f>'METRADO MONTANTES'!C21</f>
        <v>2</v>
      </c>
      <c r="K21" s="102">
        <f>C21*J21</f>
        <v>2</v>
      </c>
    </row>
    <row r="22" spans="2:11" ht="23.25" customHeight="1" x14ac:dyDescent="0.35">
      <c r="B22" s="104" t="s">
        <v>234</v>
      </c>
      <c r="C22" s="92">
        <v>1</v>
      </c>
      <c r="D22" s="76">
        <f>D21</f>
        <v>27.15</v>
      </c>
      <c r="E22" s="108">
        <f>C22*D22</f>
        <v>27.15</v>
      </c>
      <c r="F22" s="92">
        <f>IF(D22&gt;0,ROUNDUP(D22/$F$53,0)+1,0)</f>
        <v>47</v>
      </c>
      <c r="G22" s="102">
        <f>C22*F22</f>
        <v>47</v>
      </c>
      <c r="H22" s="109">
        <f>$F$54</f>
        <v>2</v>
      </c>
      <c r="I22" s="102">
        <f>C22*H22</f>
        <v>2</v>
      </c>
      <c r="J22" s="92">
        <f>'METRADO MONTANTES'!C22</f>
        <v>2</v>
      </c>
      <c r="K22" s="102">
        <f>C22*J22</f>
        <v>2</v>
      </c>
    </row>
    <row r="23" spans="2:11" ht="23.25" customHeight="1" x14ac:dyDescent="0.35">
      <c r="B23" s="103" t="s">
        <v>212</v>
      </c>
      <c r="C23" s="92"/>
      <c r="D23" s="92"/>
      <c r="E23" s="92"/>
      <c r="F23" s="92"/>
      <c r="G23" s="92"/>
      <c r="H23" s="92"/>
      <c r="I23" s="92"/>
      <c r="J23" s="92"/>
      <c r="K23" s="92"/>
    </row>
    <row r="24" spans="2:11" ht="23.25" customHeight="1" x14ac:dyDescent="0.35">
      <c r="B24" s="104" t="s">
        <v>233</v>
      </c>
      <c r="C24" s="92">
        <v>1</v>
      </c>
      <c r="D24" s="76">
        <v>27.15</v>
      </c>
      <c r="E24" s="108">
        <f>C24*D24</f>
        <v>27.15</v>
      </c>
      <c r="F24" s="92">
        <f>IF(D24&gt;0,ROUNDUP(D24/$F$53,0)+1,0)</f>
        <v>47</v>
      </c>
      <c r="G24" s="102">
        <f>C24*F24</f>
        <v>47</v>
      </c>
      <c r="H24" s="109">
        <f>$F$54</f>
        <v>2</v>
      </c>
      <c r="I24" s="102">
        <f>C24*H24</f>
        <v>2</v>
      </c>
      <c r="J24" s="92">
        <f>'METRADO MONTANTES'!C24</f>
        <v>2</v>
      </c>
      <c r="K24" s="102">
        <f>C24*J24</f>
        <v>2</v>
      </c>
    </row>
    <row r="25" spans="2:11" ht="23.25" customHeight="1" x14ac:dyDescent="0.35">
      <c r="B25" s="104" t="s">
        <v>234</v>
      </c>
      <c r="C25" s="92">
        <v>1</v>
      </c>
      <c r="D25" s="76">
        <f>D24</f>
        <v>27.15</v>
      </c>
      <c r="E25" s="108">
        <f>C25*D25</f>
        <v>27.15</v>
      </c>
      <c r="F25" s="92">
        <f>IF(D25&gt;0,ROUNDUP(D25/$F$53,0)+1,0)</f>
        <v>47</v>
      </c>
      <c r="G25" s="102">
        <f>C25*F25</f>
        <v>47</v>
      </c>
      <c r="H25" s="109">
        <f>$F$54</f>
        <v>2</v>
      </c>
      <c r="I25" s="102">
        <f>C25*H25</f>
        <v>2</v>
      </c>
      <c r="J25" s="92">
        <f>'METRADO MONTANTES'!C25</f>
        <v>2</v>
      </c>
      <c r="K25" s="102">
        <f>C25*J25</f>
        <v>2</v>
      </c>
    </row>
    <row r="26" spans="2:11" ht="23.25" customHeight="1" x14ac:dyDescent="0.35">
      <c r="B26" s="103" t="s">
        <v>213</v>
      </c>
      <c r="C26" s="92"/>
      <c r="D26" s="92"/>
      <c r="E26" s="92"/>
      <c r="F26" s="92"/>
      <c r="G26" s="92"/>
      <c r="H26" s="92"/>
      <c r="I26" s="92"/>
      <c r="J26" s="92"/>
      <c r="K26" s="92"/>
    </row>
    <row r="27" spans="2:11" ht="23.25" customHeight="1" x14ac:dyDescent="0.35">
      <c r="B27" s="104" t="s">
        <v>233</v>
      </c>
      <c r="C27" s="92">
        <v>1</v>
      </c>
      <c r="D27" s="76">
        <v>27.2</v>
      </c>
      <c r="E27" s="108">
        <f>C27*D27</f>
        <v>27.2</v>
      </c>
      <c r="F27" s="92">
        <f>IF(D27&gt;0,ROUNDUP(D27/$F$53,0)+1,0)</f>
        <v>47</v>
      </c>
      <c r="G27" s="102">
        <f>C27*F27</f>
        <v>47</v>
      </c>
      <c r="H27" s="109">
        <f>$F$54</f>
        <v>2</v>
      </c>
      <c r="I27" s="102">
        <f>C27*H27</f>
        <v>2</v>
      </c>
      <c r="J27" s="92">
        <f>'METRADO MONTANTES'!C27</f>
        <v>2</v>
      </c>
      <c r="K27" s="102">
        <f>C27*J27</f>
        <v>2</v>
      </c>
    </row>
    <row r="28" spans="2:11" ht="23.25" customHeight="1" x14ac:dyDescent="0.35">
      <c r="B28" s="104" t="s">
        <v>234</v>
      </c>
      <c r="C28" s="92">
        <v>1</v>
      </c>
      <c r="D28" s="76">
        <f>D27</f>
        <v>27.2</v>
      </c>
      <c r="E28" s="108">
        <f>C28*D28</f>
        <v>27.2</v>
      </c>
      <c r="F28" s="92">
        <f>IF(D28&gt;0,ROUNDUP(D28/$F$53,0)+1,0)</f>
        <v>47</v>
      </c>
      <c r="G28" s="102">
        <f>C28*F28</f>
        <v>47</v>
      </c>
      <c r="H28" s="109">
        <f>$F$54</f>
        <v>2</v>
      </c>
      <c r="I28" s="102">
        <f>C28*H28</f>
        <v>2</v>
      </c>
      <c r="J28" s="92">
        <f>'METRADO MONTANTES'!C28</f>
        <v>2</v>
      </c>
      <c r="K28" s="102">
        <f>C28*J28</f>
        <v>2</v>
      </c>
    </row>
    <row r="29" spans="2:11" ht="23.25" customHeight="1" x14ac:dyDescent="0.35">
      <c r="B29" s="103" t="s">
        <v>214</v>
      </c>
      <c r="C29" s="92"/>
      <c r="D29" s="92"/>
      <c r="E29" s="92"/>
      <c r="F29" s="92"/>
      <c r="G29" s="92"/>
      <c r="H29" s="92"/>
      <c r="I29" s="92"/>
      <c r="J29" s="92"/>
      <c r="K29" s="92"/>
    </row>
    <row r="30" spans="2:11" ht="23.25" customHeight="1" x14ac:dyDescent="0.35">
      <c r="B30" s="104" t="s">
        <v>233</v>
      </c>
      <c r="C30" s="92">
        <v>1</v>
      </c>
      <c r="D30" s="76">
        <v>27.15</v>
      </c>
      <c r="E30" s="108">
        <f>C30*D30</f>
        <v>27.15</v>
      </c>
      <c r="F30" s="92">
        <f>IF(D30&gt;0,ROUNDUP(D30/$F$53,0)+1,0)</f>
        <v>47</v>
      </c>
      <c r="G30" s="102">
        <f>C30*F30</f>
        <v>47</v>
      </c>
      <c r="H30" s="109">
        <f>$F$54</f>
        <v>2</v>
      </c>
      <c r="I30" s="102">
        <f>C30*H30</f>
        <v>2</v>
      </c>
      <c r="J30" s="92">
        <f>'METRADO MONTANTES'!C30</f>
        <v>2</v>
      </c>
      <c r="K30" s="102">
        <f>C30*J30</f>
        <v>2</v>
      </c>
    </row>
    <row r="31" spans="2:11" ht="23.25" customHeight="1" x14ac:dyDescent="0.35">
      <c r="B31" s="104" t="s">
        <v>234</v>
      </c>
      <c r="C31" s="92">
        <v>1</v>
      </c>
      <c r="D31" s="76">
        <f>D30</f>
        <v>27.15</v>
      </c>
      <c r="E31" s="108">
        <f>C31*D31</f>
        <v>27.15</v>
      </c>
      <c r="F31" s="92">
        <f>IF(D31&gt;0,ROUNDUP(D31/$F$53,0)+1,0)</f>
        <v>47</v>
      </c>
      <c r="G31" s="102">
        <f>C31*F31</f>
        <v>47</v>
      </c>
      <c r="H31" s="109">
        <f>$F$54</f>
        <v>2</v>
      </c>
      <c r="I31" s="102">
        <f>C31*H31</f>
        <v>2</v>
      </c>
      <c r="J31" s="92">
        <f>'METRADO MONTANTES'!C31</f>
        <v>2</v>
      </c>
      <c r="K31" s="102">
        <f>C31*J31</f>
        <v>2</v>
      </c>
    </row>
    <row r="32" spans="2:11" ht="23.25" customHeight="1" x14ac:dyDescent="0.35">
      <c r="B32" s="103" t="s">
        <v>215</v>
      </c>
      <c r="C32" s="92"/>
      <c r="D32" s="92"/>
      <c r="E32" s="92"/>
      <c r="F32" s="92"/>
      <c r="G32" s="92"/>
      <c r="H32" s="92"/>
      <c r="I32" s="92"/>
      <c r="J32" s="92"/>
      <c r="K32" s="92"/>
    </row>
    <row r="33" spans="2:11" ht="23.25" customHeight="1" x14ac:dyDescent="0.35">
      <c r="B33" s="104" t="s">
        <v>233</v>
      </c>
      <c r="C33" s="92">
        <v>1</v>
      </c>
      <c r="D33" s="76">
        <v>34.58</v>
      </c>
      <c r="E33" s="108">
        <f>C33*D33</f>
        <v>34.58</v>
      </c>
      <c r="F33" s="92">
        <f>IF(D33&gt;0,ROUNDUP(D33/$F$53,0)+1,0)</f>
        <v>59</v>
      </c>
      <c r="G33" s="102">
        <f>C33*F33</f>
        <v>59</v>
      </c>
      <c r="H33" s="109">
        <f>$F$54</f>
        <v>2</v>
      </c>
      <c r="I33" s="102">
        <f>C33*H33</f>
        <v>2</v>
      </c>
      <c r="J33" s="92">
        <f>'METRADO MONTANTES'!C33+'METRADO MONTANTES'!C35</f>
        <v>4</v>
      </c>
      <c r="K33" s="102">
        <f>C33*J33</f>
        <v>4</v>
      </c>
    </row>
    <row r="34" spans="2:11" ht="23.25" customHeight="1" x14ac:dyDescent="0.35">
      <c r="B34" s="104" t="s">
        <v>234</v>
      </c>
      <c r="C34" s="92">
        <v>1</v>
      </c>
      <c r="D34" s="76">
        <f>D33</f>
        <v>34.58</v>
      </c>
      <c r="E34" s="108">
        <f>C34*D34</f>
        <v>34.58</v>
      </c>
      <c r="F34" s="92">
        <f>IF(D34&gt;0,ROUNDUP(D34/$F$53,0)+1,0)</f>
        <v>59</v>
      </c>
      <c r="G34" s="102">
        <f>C34*F34</f>
        <v>59</v>
      </c>
      <c r="H34" s="109">
        <f>$F$54</f>
        <v>2</v>
      </c>
      <c r="I34" s="102">
        <f>C34*H34</f>
        <v>2</v>
      </c>
      <c r="J34" s="92">
        <f>'METRADO MONTANTES'!C34+'METRADO MONTANTES'!C36</f>
        <v>4</v>
      </c>
      <c r="K34" s="102">
        <f>C34*J34</f>
        <v>4</v>
      </c>
    </row>
    <row r="35" spans="2:11" ht="23.25" customHeight="1" x14ac:dyDescent="0.35">
      <c r="B35" s="103" t="s">
        <v>218</v>
      </c>
      <c r="C35" s="92"/>
      <c r="D35" s="92"/>
      <c r="E35" s="92"/>
      <c r="F35" s="92"/>
      <c r="G35" s="92"/>
      <c r="H35" s="92"/>
      <c r="I35" s="92"/>
      <c r="J35" s="92"/>
      <c r="K35" s="92"/>
    </row>
    <row r="36" spans="2:11" ht="23.25" customHeight="1" x14ac:dyDescent="0.35">
      <c r="B36" s="104" t="s">
        <v>233</v>
      </c>
      <c r="C36" s="92">
        <v>1</v>
      </c>
      <c r="D36" s="76">
        <v>9.6999999999999993</v>
      </c>
      <c r="E36" s="108">
        <f>C36*D36</f>
        <v>9.6999999999999993</v>
      </c>
      <c r="F36" s="92">
        <f>IF(D36&gt;0,ROUNDUP(D36/$F$53,0)+1,0)</f>
        <v>18</v>
      </c>
      <c r="G36" s="102">
        <f>C36*F36</f>
        <v>18</v>
      </c>
      <c r="H36" s="109">
        <f>$F$54</f>
        <v>2</v>
      </c>
      <c r="I36" s="102">
        <f>C36*H36</f>
        <v>2</v>
      </c>
      <c r="J36" s="92">
        <f>'METRADO MONTANTES'!C38</f>
        <v>2</v>
      </c>
      <c r="K36" s="102">
        <f>C36*J36</f>
        <v>2</v>
      </c>
    </row>
    <row r="37" spans="2:11" ht="23.25" customHeight="1" x14ac:dyDescent="0.35">
      <c r="B37" s="104" t="s">
        <v>234</v>
      </c>
      <c r="C37" s="92">
        <v>1</v>
      </c>
      <c r="D37" s="76">
        <f>D36</f>
        <v>9.6999999999999993</v>
      </c>
      <c r="E37" s="108">
        <f>C37*D37</f>
        <v>9.6999999999999993</v>
      </c>
      <c r="F37" s="92">
        <f>IF(D37&gt;0,ROUNDUP(D37/$F$53,0)+1,0)</f>
        <v>18</v>
      </c>
      <c r="G37" s="102">
        <f>C37*F37</f>
        <v>18</v>
      </c>
      <c r="H37" s="109">
        <f>$F$54</f>
        <v>2</v>
      </c>
      <c r="I37" s="102">
        <f>C37*H37</f>
        <v>2</v>
      </c>
      <c r="J37" s="92">
        <f>'METRADO MONTANTES'!C39</f>
        <v>2</v>
      </c>
      <c r="K37" s="102">
        <f>C37*J37</f>
        <v>2</v>
      </c>
    </row>
    <row r="38" spans="2:11" ht="23.25" customHeight="1" x14ac:dyDescent="0.35">
      <c r="B38" s="103" t="s">
        <v>219</v>
      </c>
      <c r="C38" s="92"/>
      <c r="D38" s="92"/>
      <c r="E38" s="92"/>
      <c r="F38" s="92"/>
      <c r="G38" s="92"/>
      <c r="H38" s="92"/>
      <c r="I38" s="92"/>
      <c r="J38" s="92"/>
      <c r="K38" s="92"/>
    </row>
    <row r="39" spans="2:11" ht="23.25" customHeight="1" x14ac:dyDescent="0.35">
      <c r="B39" s="104" t="s">
        <v>233</v>
      </c>
      <c r="C39" s="92">
        <v>1</v>
      </c>
      <c r="D39" s="76">
        <v>15.4</v>
      </c>
      <c r="E39" s="108">
        <f>C39*D39</f>
        <v>15.4</v>
      </c>
      <c r="F39" s="92">
        <f>IF(D39&gt;0,ROUNDUP(D39/$F$53,0)+1,0)</f>
        <v>27</v>
      </c>
      <c r="G39" s="102">
        <f>C39*F39</f>
        <v>27</v>
      </c>
      <c r="H39" s="109">
        <f>$F$54</f>
        <v>2</v>
      </c>
      <c r="I39" s="102">
        <f>C39*H39</f>
        <v>2</v>
      </c>
      <c r="J39" s="92">
        <f>'METRADO MONTANTES'!C41</f>
        <v>2</v>
      </c>
      <c r="K39" s="102">
        <f>C39*J39</f>
        <v>2</v>
      </c>
    </row>
    <row r="40" spans="2:11" ht="23.25" customHeight="1" x14ac:dyDescent="0.35">
      <c r="B40" s="104" t="s">
        <v>234</v>
      </c>
      <c r="C40" s="92">
        <v>1</v>
      </c>
      <c r="D40" s="76">
        <f>D39</f>
        <v>15.4</v>
      </c>
      <c r="E40" s="108">
        <f>C40*D40</f>
        <v>15.4</v>
      </c>
      <c r="F40" s="92">
        <f>IF(D40&gt;0,ROUNDUP(D40/$F$53,0)+1,0)</f>
        <v>27</v>
      </c>
      <c r="G40" s="102">
        <f>C40*F40</f>
        <v>27</v>
      </c>
      <c r="H40" s="109">
        <f>$F$54</f>
        <v>2</v>
      </c>
      <c r="I40" s="102">
        <f>C40*H40</f>
        <v>2</v>
      </c>
      <c r="J40" s="92">
        <f>'METRADO MONTANTES'!C42</f>
        <v>2</v>
      </c>
      <c r="K40" s="102">
        <f>C40*J40</f>
        <v>2</v>
      </c>
    </row>
    <row r="41" spans="2:11" ht="23.25" customHeight="1" x14ac:dyDescent="0.35">
      <c r="B41" s="103" t="s">
        <v>220</v>
      </c>
      <c r="C41" s="92"/>
      <c r="D41" s="92"/>
      <c r="E41" s="92"/>
      <c r="F41" s="92"/>
      <c r="G41" s="92"/>
      <c r="H41" s="92"/>
      <c r="I41" s="92"/>
      <c r="J41" s="92"/>
      <c r="K41" s="92"/>
    </row>
    <row r="42" spans="2:11" ht="23.25" customHeight="1" x14ac:dyDescent="0.35">
      <c r="B42" s="104" t="s">
        <v>233</v>
      </c>
      <c r="C42" s="92">
        <v>1</v>
      </c>
      <c r="D42" s="76">
        <v>36.65</v>
      </c>
      <c r="E42" s="108">
        <f>C42*D42</f>
        <v>36.65</v>
      </c>
      <c r="F42" s="92">
        <f>IF(D42&gt;0,ROUNDUP(D42/$F$53,0)+1,0)</f>
        <v>63</v>
      </c>
      <c r="G42" s="102">
        <f>C42*F42</f>
        <v>63</v>
      </c>
      <c r="H42" s="109">
        <f>$F$54</f>
        <v>2</v>
      </c>
      <c r="I42" s="102">
        <f>C42*H42</f>
        <v>2</v>
      </c>
      <c r="J42" s="92">
        <f>'METRADO MONTANTES'!C44</f>
        <v>4</v>
      </c>
      <c r="K42" s="102">
        <f>C42*J42</f>
        <v>4</v>
      </c>
    </row>
    <row r="43" spans="2:11" ht="23.25" customHeight="1" x14ac:dyDescent="0.35">
      <c r="B43" s="104" t="s">
        <v>234</v>
      </c>
      <c r="C43" s="92">
        <v>1</v>
      </c>
      <c r="D43" s="76">
        <f>D42</f>
        <v>36.65</v>
      </c>
      <c r="E43" s="108">
        <f>C43*D43</f>
        <v>36.65</v>
      </c>
      <c r="F43" s="92">
        <f>IF(D43&gt;0,ROUNDUP(D43/$F$53,0)+1,0)</f>
        <v>63</v>
      </c>
      <c r="G43" s="102">
        <f>C43*F43</f>
        <v>63</v>
      </c>
      <c r="H43" s="109">
        <f>$F$54</f>
        <v>2</v>
      </c>
      <c r="I43" s="102">
        <f>C43*H43</f>
        <v>2</v>
      </c>
      <c r="J43" s="92">
        <f>'METRADO MONTANTES'!C45</f>
        <v>4</v>
      </c>
      <c r="K43" s="102">
        <f>C43*J43</f>
        <v>4</v>
      </c>
    </row>
    <row r="44" spans="2:11" ht="23.25" customHeight="1" x14ac:dyDescent="0.35">
      <c r="B44" s="107" t="s">
        <v>136</v>
      </c>
      <c r="C44" s="107">
        <f>SUM(C11:C43)</f>
        <v>22</v>
      </c>
      <c r="D44" s="107"/>
      <c r="E44" s="110">
        <f>SUM(E11:E43)</f>
        <v>523.15999999999985</v>
      </c>
      <c r="F44" s="107"/>
      <c r="G44" s="107">
        <f>SUM(G11:G43)</f>
        <v>906</v>
      </c>
      <c r="H44" s="107"/>
      <c r="I44" s="107">
        <f>SUM(I11:I43)</f>
        <v>44</v>
      </c>
      <c r="J44" s="107"/>
      <c r="K44" s="107">
        <f>SUM(K11:K43)</f>
        <v>52</v>
      </c>
    </row>
    <row r="46" spans="2:11" ht="15.5" x14ac:dyDescent="0.35">
      <c r="B46" s="278" t="s">
        <v>235</v>
      </c>
      <c r="C46" s="278"/>
      <c r="D46" s="278"/>
      <c r="E46" s="278"/>
      <c r="F46" s="278"/>
      <c r="G46" s="278"/>
      <c r="H46" s="278"/>
      <c r="I46" s="278"/>
      <c r="J46" s="278"/>
      <c r="K46" s="278"/>
    </row>
    <row r="47" spans="2:11" ht="15.5" x14ac:dyDescent="0.35">
      <c r="B47" s="279" t="s">
        <v>236</v>
      </c>
      <c r="C47" s="279"/>
      <c r="D47" s="279"/>
      <c r="E47" s="279"/>
      <c r="F47" s="111" t="s">
        <v>237</v>
      </c>
      <c r="G47" s="111" t="s">
        <v>238</v>
      </c>
      <c r="H47" s="279" t="s">
        <v>239</v>
      </c>
      <c r="I47" s="279"/>
      <c r="J47" s="279"/>
      <c r="K47" s="279"/>
    </row>
    <row r="48" spans="2:11" ht="18" customHeight="1" x14ac:dyDescent="0.35">
      <c r="B48" s="277" t="s">
        <v>240</v>
      </c>
      <c r="C48" s="277"/>
      <c r="D48" s="277"/>
      <c r="E48" s="277"/>
      <c r="F48" s="113">
        <v>0.25</v>
      </c>
      <c r="G48" s="114" t="s">
        <v>65</v>
      </c>
      <c r="H48" s="277" t="s">
        <v>241</v>
      </c>
      <c r="I48" s="277"/>
      <c r="J48" s="277"/>
      <c r="K48" s="277"/>
    </row>
    <row r="49" spans="2:11" ht="18" customHeight="1" x14ac:dyDescent="0.35">
      <c r="B49" s="277" t="s">
        <v>242</v>
      </c>
      <c r="C49" s="277"/>
      <c r="D49" s="277"/>
      <c r="E49" s="277"/>
      <c r="F49" s="113">
        <v>0.2</v>
      </c>
      <c r="G49" s="114" t="s">
        <v>65</v>
      </c>
      <c r="H49" s="277" t="s">
        <v>241</v>
      </c>
      <c r="I49" s="277"/>
      <c r="J49" s="277"/>
      <c r="K49" s="277"/>
    </row>
    <row r="50" spans="2:11" ht="18" customHeight="1" x14ac:dyDescent="0.35">
      <c r="B50" s="277" t="s">
        <v>243</v>
      </c>
      <c r="C50" s="277"/>
      <c r="D50" s="277"/>
      <c r="E50" s="277"/>
      <c r="F50" s="113">
        <v>0.05</v>
      </c>
      <c r="G50" s="114" t="s">
        <v>65</v>
      </c>
      <c r="H50" s="277" t="s">
        <v>244</v>
      </c>
      <c r="I50" s="277"/>
      <c r="J50" s="277"/>
      <c r="K50" s="277"/>
    </row>
    <row r="51" spans="2:11" ht="18" customHeight="1" x14ac:dyDescent="0.35">
      <c r="B51" s="277" t="s">
        <v>245</v>
      </c>
      <c r="C51" s="277"/>
      <c r="D51" s="277"/>
      <c r="E51" s="277"/>
      <c r="F51" s="113">
        <f>F48+2*F49+2*F50</f>
        <v>0.75</v>
      </c>
      <c r="G51" s="114" t="s">
        <v>65</v>
      </c>
      <c r="H51" s="277" t="s">
        <v>246</v>
      </c>
      <c r="I51" s="277"/>
      <c r="J51" s="277"/>
      <c r="K51" s="277"/>
    </row>
    <row r="52" spans="2:11" ht="30.75" customHeight="1" x14ac:dyDescent="0.35">
      <c r="B52" s="277" t="s">
        <v>247</v>
      </c>
      <c r="C52" s="277"/>
      <c r="D52" s="277"/>
      <c r="E52" s="277"/>
      <c r="F52" s="115">
        <v>0.9</v>
      </c>
      <c r="G52" s="114" t="s">
        <v>248</v>
      </c>
      <c r="H52" s="277" t="s">
        <v>249</v>
      </c>
      <c r="I52" s="277"/>
      <c r="J52" s="277"/>
      <c r="K52" s="277"/>
    </row>
    <row r="53" spans="2:11" ht="30.75" customHeight="1" x14ac:dyDescent="0.35">
      <c r="B53" s="277" t="s">
        <v>250</v>
      </c>
      <c r="C53" s="277"/>
      <c r="D53" s="277"/>
      <c r="E53" s="277"/>
      <c r="F53" s="113">
        <v>0.6</v>
      </c>
      <c r="G53" s="114" t="s">
        <v>65</v>
      </c>
      <c r="H53" s="277" t="s">
        <v>251</v>
      </c>
      <c r="I53" s="277"/>
      <c r="J53" s="277"/>
      <c r="K53" s="277"/>
    </row>
    <row r="54" spans="2:11" ht="18" customHeight="1" x14ac:dyDescent="0.35">
      <c r="B54" s="277" t="s">
        <v>252</v>
      </c>
      <c r="C54" s="277"/>
      <c r="D54" s="277"/>
      <c r="E54" s="277"/>
      <c r="F54" s="116">
        <v>2</v>
      </c>
      <c r="G54" s="114" t="s">
        <v>55</v>
      </c>
      <c r="H54" s="277" t="s">
        <v>253</v>
      </c>
      <c r="I54" s="277"/>
      <c r="J54" s="277"/>
      <c r="K54" s="277"/>
    </row>
    <row r="55" spans="2:11" ht="30.75" customHeight="1" x14ac:dyDescent="0.35">
      <c r="B55" s="276" t="s">
        <v>254</v>
      </c>
      <c r="C55" s="276"/>
      <c r="D55" s="276"/>
      <c r="E55" s="276"/>
      <c r="F55" s="117">
        <f>E44*F51</f>
        <v>392.36999999999989</v>
      </c>
      <c r="G55" s="118" t="s">
        <v>18</v>
      </c>
      <c r="H55" s="276" t="s">
        <v>255</v>
      </c>
      <c r="I55" s="276"/>
      <c r="J55" s="276"/>
      <c r="K55" s="276"/>
    </row>
  </sheetData>
  <mergeCells count="31">
    <mergeCell ref="B2:K2"/>
    <mergeCell ref="C3:K3"/>
    <mergeCell ref="C4:K4"/>
    <mergeCell ref="C5:K5"/>
    <mergeCell ref="C6:K6"/>
    <mergeCell ref="B8:K8"/>
    <mergeCell ref="B9:B10"/>
    <mergeCell ref="C9:C10"/>
    <mergeCell ref="D9:E9"/>
    <mergeCell ref="F9:G9"/>
    <mergeCell ref="H9:I9"/>
    <mergeCell ref="J9:K9"/>
    <mergeCell ref="B46:K46"/>
    <mergeCell ref="B47:E47"/>
    <mergeCell ref="H47:K47"/>
    <mergeCell ref="B48:E48"/>
    <mergeCell ref="H48:K48"/>
    <mergeCell ref="B49:E49"/>
    <mergeCell ref="H49:K49"/>
    <mergeCell ref="B50:E50"/>
    <mergeCell ref="H50:K50"/>
    <mergeCell ref="B51:E51"/>
    <mergeCell ref="H51:K51"/>
    <mergeCell ref="B55:E55"/>
    <mergeCell ref="H55:K55"/>
    <mergeCell ref="B52:E52"/>
    <mergeCell ref="H52:K52"/>
    <mergeCell ref="B53:E53"/>
    <mergeCell ref="H53:K53"/>
    <mergeCell ref="B54:E54"/>
    <mergeCell ref="H54:K54"/>
  </mergeCells>
  <printOptions horizontalCentered="1"/>
  <pageMargins left="1.41736111111111" right="0.39374999999999999" top="1.2993055555555599" bottom="0.39374999999999999" header="0.511811023622047" footer="0.511811023622047"/>
  <pageSetup paperSize="9" fitToHeight="0"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G34"/>
  <sheetViews>
    <sheetView zoomScale="115" zoomScaleNormal="115" zoomScalePageLayoutView="115" workbookViewId="0">
      <selection activeCell="F11" sqref="F11"/>
    </sheetView>
  </sheetViews>
  <sheetFormatPr baseColWidth="10" defaultColWidth="10.90625" defaultRowHeight="14" x14ac:dyDescent="0.3"/>
  <cols>
    <col min="1" max="1" width="17.453125" style="119" customWidth="1"/>
    <col min="2" max="2" width="26.1796875" style="119" customWidth="1"/>
    <col min="3" max="6" width="19.6328125" style="119" customWidth="1"/>
    <col min="7" max="7" width="24" style="119" customWidth="1"/>
    <col min="8" max="16384" width="10.90625" style="119"/>
  </cols>
  <sheetData>
    <row r="1" spans="1:7" ht="18" customHeight="1" x14ac:dyDescent="0.3">
      <c r="A1" s="281" t="s">
        <v>256</v>
      </c>
      <c r="B1" s="281"/>
      <c r="C1" s="281"/>
      <c r="D1" s="281"/>
      <c r="E1" s="281"/>
      <c r="F1" s="281"/>
      <c r="G1" s="281"/>
    </row>
    <row r="2" spans="1:7" ht="24.75" customHeight="1" x14ac:dyDescent="0.3">
      <c r="A2" s="10" t="s">
        <v>1</v>
      </c>
      <c r="B2" s="282" t="str">
        <f>+RESUMEN!B4</f>
        <v>GERENCIA TERRITORIAL BAJO MAYO - TARAPOTO</v>
      </c>
      <c r="C2" s="282"/>
      <c r="D2" s="282"/>
      <c r="E2" s="282"/>
      <c r="F2" s="282"/>
      <c r="G2" s="282"/>
    </row>
    <row r="3" spans="1:7" ht="53.25" customHeight="1" x14ac:dyDescent="0.3">
      <c r="A3" s="10" t="s">
        <v>3</v>
      </c>
      <c r="B3" s="28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82"/>
      <c r="D3" s="282"/>
      <c r="E3" s="282"/>
      <c r="F3" s="282"/>
      <c r="G3" s="282"/>
    </row>
    <row r="4" spans="1:7" ht="24.75" customHeight="1" x14ac:dyDescent="0.3">
      <c r="A4" s="10" t="s">
        <v>5</v>
      </c>
      <c r="B4" s="282" t="str">
        <f>+RESUMEN!B6</f>
        <v>SAN MARTIN - SAN MARTIN - MORALES</v>
      </c>
      <c r="C4" s="282"/>
      <c r="D4" s="282"/>
      <c r="E4" s="282"/>
      <c r="F4" s="282"/>
      <c r="G4" s="282"/>
    </row>
    <row r="5" spans="1:7" ht="24.75" customHeight="1" x14ac:dyDescent="0.3">
      <c r="A5" s="10" t="s">
        <v>7</v>
      </c>
      <c r="B5" s="283">
        <f>+RESUMEN!B7</f>
        <v>46266</v>
      </c>
      <c r="C5" s="283"/>
      <c r="D5" s="283"/>
      <c r="E5" s="283"/>
      <c r="F5" s="283"/>
      <c r="G5" s="283"/>
    </row>
    <row r="6" spans="1:7" x14ac:dyDescent="0.3">
      <c r="A6" s="120"/>
      <c r="B6" s="120"/>
      <c r="C6" s="120"/>
      <c r="D6" s="120"/>
      <c r="E6" s="120"/>
      <c r="F6" s="120"/>
      <c r="G6" s="120"/>
    </row>
    <row r="7" spans="1:7" ht="39" customHeight="1" x14ac:dyDescent="0.3">
      <c r="A7" s="121" t="s">
        <v>257</v>
      </c>
      <c r="B7" s="122" t="s">
        <v>258</v>
      </c>
      <c r="C7" s="122" t="s">
        <v>259</v>
      </c>
      <c r="D7" s="122" t="s">
        <v>260</v>
      </c>
      <c r="E7" s="122" t="s">
        <v>261</v>
      </c>
      <c r="F7" s="122" t="s">
        <v>262</v>
      </c>
      <c r="G7" s="123" t="s">
        <v>263</v>
      </c>
    </row>
    <row r="8" spans="1:7" ht="21" customHeight="1" x14ac:dyDescent="0.3">
      <c r="A8" s="124" t="s">
        <v>264</v>
      </c>
      <c r="B8" s="125">
        <v>19.100000000000001</v>
      </c>
      <c r="C8" s="126">
        <v>5</v>
      </c>
      <c r="D8" s="126">
        <v>5</v>
      </c>
      <c r="E8" s="126">
        <v>0</v>
      </c>
      <c r="F8" s="126">
        <v>0</v>
      </c>
      <c r="G8" s="127" t="s">
        <v>265</v>
      </c>
    </row>
    <row r="9" spans="1:7" ht="21" customHeight="1" x14ac:dyDescent="0.3">
      <c r="A9" s="124" t="s">
        <v>266</v>
      </c>
      <c r="B9" s="125">
        <v>57.98</v>
      </c>
      <c r="C9" s="126">
        <v>9</v>
      </c>
      <c r="D9" s="126">
        <v>6</v>
      </c>
      <c r="E9" s="126">
        <v>0</v>
      </c>
      <c r="F9" s="126">
        <v>3</v>
      </c>
      <c r="G9" s="127" t="s">
        <v>265</v>
      </c>
    </row>
    <row r="10" spans="1:7" ht="21" customHeight="1" x14ac:dyDescent="0.3">
      <c r="A10" s="124" t="s">
        <v>267</v>
      </c>
      <c r="B10" s="125">
        <v>15</v>
      </c>
      <c r="C10" s="126">
        <v>2</v>
      </c>
      <c r="D10" s="126">
        <v>2</v>
      </c>
      <c r="E10" s="126">
        <v>0</v>
      </c>
      <c r="F10" s="126">
        <v>0</v>
      </c>
      <c r="G10" s="127" t="s">
        <v>265</v>
      </c>
    </row>
    <row r="11" spans="1:7" ht="21" customHeight="1" x14ac:dyDescent="0.3">
      <c r="A11" s="128" t="s">
        <v>136</v>
      </c>
      <c r="B11" s="129">
        <f>SUM(B8:B10)</f>
        <v>92.08</v>
      </c>
      <c r="C11" s="130">
        <f>SUM(C8:C10)</f>
        <v>16</v>
      </c>
      <c r="D11" s="130">
        <f>SUM(D8:D10)</f>
        <v>13</v>
      </c>
      <c r="E11" s="130">
        <f>SUM(E8:E10)</f>
        <v>0</v>
      </c>
      <c r="F11" s="130">
        <f>SUM(F8:F10)</f>
        <v>3</v>
      </c>
      <c r="G11" s="131"/>
    </row>
    <row r="12" spans="1:7" x14ac:dyDescent="0.3">
      <c r="A12" s="120"/>
      <c r="B12" s="120"/>
      <c r="C12" s="120"/>
      <c r="D12" s="120"/>
      <c r="E12" s="120"/>
      <c r="F12" s="120"/>
      <c r="G12" s="120"/>
    </row>
    <row r="13" spans="1:7" x14ac:dyDescent="0.3">
      <c r="A13" s="120"/>
      <c r="B13" s="120"/>
      <c r="C13" s="120"/>
      <c r="D13" s="120"/>
      <c r="E13" s="120"/>
      <c r="F13" s="120"/>
      <c r="G13" s="120"/>
    </row>
    <row r="14" spans="1:7" x14ac:dyDescent="0.3">
      <c r="A14" s="120"/>
      <c r="B14" s="120"/>
      <c r="C14" s="120"/>
      <c r="D14" s="120"/>
      <c r="E14" s="120"/>
      <c r="F14" s="120"/>
      <c r="G14" s="120"/>
    </row>
    <row r="15" spans="1:7" x14ac:dyDescent="0.3">
      <c r="A15" s="120"/>
      <c r="B15" s="120"/>
      <c r="C15" s="120"/>
      <c r="D15" s="120"/>
      <c r="E15" s="120"/>
      <c r="F15" s="120"/>
      <c r="G15" s="120"/>
    </row>
    <row r="16" spans="1:7" x14ac:dyDescent="0.3">
      <c r="A16" s="120"/>
      <c r="B16" s="120"/>
      <c r="C16" s="120"/>
      <c r="D16" s="120"/>
      <c r="E16" s="120"/>
      <c r="F16" s="120"/>
      <c r="G16" s="120"/>
    </row>
    <row r="17" spans="1:7" x14ac:dyDescent="0.3">
      <c r="A17" s="120"/>
      <c r="B17" s="120"/>
      <c r="C17" s="120"/>
      <c r="D17" s="120"/>
      <c r="E17" s="120"/>
      <c r="F17" s="120"/>
      <c r="G17" s="120"/>
    </row>
    <row r="18" spans="1:7" x14ac:dyDescent="0.3">
      <c r="A18" s="120"/>
      <c r="B18" s="120"/>
      <c r="C18" s="120"/>
      <c r="D18" s="120"/>
      <c r="E18" s="120"/>
      <c r="F18" s="120"/>
      <c r="G18" s="120"/>
    </row>
    <row r="19" spans="1:7" x14ac:dyDescent="0.3">
      <c r="A19" s="120"/>
      <c r="B19" s="120"/>
      <c r="C19" s="120"/>
      <c r="D19" s="120"/>
      <c r="E19" s="120"/>
      <c r="F19" s="120"/>
      <c r="G19" s="120"/>
    </row>
    <row r="20" spans="1:7" x14ac:dyDescent="0.3">
      <c r="A20" s="120"/>
      <c r="B20" s="120"/>
      <c r="C20" s="120"/>
      <c r="D20" s="120"/>
      <c r="E20" s="120"/>
      <c r="F20" s="120"/>
      <c r="G20" s="120"/>
    </row>
    <row r="21" spans="1:7" x14ac:dyDescent="0.3">
      <c r="A21" s="120"/>
      <c r="B21" s="120"/>
      <c r="C21" s="120"/>
      <c r="D21" s="120"/>
      <c r="E21" s="120"/>
      <c r="F21" s="120"/>
      <c r="G21" s="120"/>
    </row>
    <row r="22" spans="1:7" x14ac:dyDescent="0.3">
      <c r="A22" s="120"/>
      <c r="B22" s="120"/>
      <c r="C22" s="120"/>
      <c r="D22" s="120"/>
      <c r="E22" s="120"/>
      <c r="F22" s="120"/>
      <c r="G22" s="120"/>
    </row>
    <row r="23" spans="1:7" x14ac:dyDescent="0.3">
      <c r="A23" s="120"/>
      <c r="B23" s="120"/>
      <c r="C23" s="120"/>
      <c r="D23" s="120"/>
      <c r="E23" s="120"/>
      <c r="F23" s="120"/>
      <c r="G23" s="120"/>
    </row>
    <row r="24" spans="1:7" x14ac:dyDescent="0.3">
      <c r="A24" s="120"/>
      <c r="B24" s="120"/>
      <c r="C24" s="120"/>
      <c r="D24" s="120"/>
      <c r="E24" s="120"/>
      <c r="F24" s="120"/>
      <c r="G24" s="120"/>
    </row>
    <row r="25" spans="1:7" x14ac:dyDescent="0.3">
      <c r="A25" s="120"/>
      <c r="B25" s="120"/>
      <c r="C25" s="120"/>
      <c r="D25" s="120"/>
      <c r="E25" s="120"/>
      <c r="F25" s="120"/>
      <c r="G25" s="120"/>
    </row>
    <row r="26" spans="1:7" x14ac:dyDescent="0.3">
      <c r="A26" s="120"/>
      <c r="B26" s="120"/>
      <c r="C26" s="120"/>
      <c r="D26" s="120"/>
      <c r="E26" s="120"/>
      <c r="F26" s="120"/>
      <c r="G26" s="120"/>
    </row>
    <row r="27" spans="1:7" x14ac:dyDescent="0.3">
      <c r="A27" s="120"/>
      <c r="B27" s="120"/>
      <c r="C27" s="120"/>
      <c r="D27" s="120"/>
      <c r="E27" s="120"/>
      <c r="F27" s="120"/>
      <c r="G27" s="120"/>
    </row>
    <row r="28" spans="1:7" x14ac:dyDescent="0.3">
      <c r="A28" s="120"/>
      <c r="B28" s="120"/>
      <c r="C28" s="120"/>
      <c r="D28" s="120"/>
      <c r="E28" s="120"/>
      <c r="F28" s="120"/>
      <c r="G28" s="120"/>
    </row>
    <row r="29" spans="1:7" x14ac:dyDescent="0.3">
      <c r="A29" s="120"/>
      <c r="B29" s="120"/>
      <c r="C29" s="120"/>
      <c r="D29" s="120"/>
      <c r="E29" s="120"/>
      <c r="F29" s="120"/>
      <c r="G29" s="120"/>
    </row>
    <row r="30" spans="1:7" x14ac:dyDescent="0.3">
      <c r="A30" s="120"/>
      <c r="B30" s="120"/>
      <c r="C30" s="120"/>
      <c r="D30" s="120"/>
      <c r="E30" s="120"/>
      <c r="F30" s="120"/>
      <c r="G30" s="120"/>
    </row>
    <row r="31" spans="1:7" x14ac:dyDescent="0.3">
      <c r="A31" s="120"/>
      <c r="B31" s="120"/>
      <c r="C31" s="120"/>
      <c r="D31" s="120"/>
      <c r="E31" s="120"/>
      <c r="F31" s="120"/>
      <c r="G31" s="120"/>
    </row>
    <row r="32" spans="1:7" x14ac:dyDescent="0.3">
      <c r="A32" s="120"/>
      <c r="B32" s="120"/>
      <c r="C32" s="120"/>
      <c r="D32" s="120"/>
      <c r="E32" s="120"/>
      <c r="F32" s="120"/>
      <c r="G32" s="120"/>
    </row>
    <row r="33" spans="1:7" x14ac:dyDescent="0.3">
      <c r="A33" s="120"/>
      <c r="B33" s="120"/>
      <c r="C33" s="120"/>
      <c r="D33" s="120"/>
      <c r="E33" s="120"/>
      <c r="F33" s="120"/>
      <c r="G33" s="120"/>
    </row>
    <row r="34" spans="1:7" x14ac:dyDescent="0.3">
      <c r="A34" s="120"/>
      <c r="B34" s="120"/>
      <c r="C34" s="120"/>
      <c r="D34" s="120"/>
      <c r="E34" s="120"/>
      <c r="F34" s="120"/>
      <c r="G34" s="120"/>
    </row>
  </sheetData>
  <mergeCells count="5">
    <mergeCell ref="A1:G1"/>
    <mergeCell ref="B2:G2"/>
    <mergeCell ref="B3:G3"/>
    <mergeCell ref="B4:G4"/>
    <mergeCell ref="B5:G5"/>
  </mergeCells>
  <pageMargins left="0.7" right="0.7" top="0.75" bottom="0.75" header="0.511811023622047" footer="0.511811023622047"/>
  <pageSetup paperSize="9" fitToHeight="0"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AG28"/>
  <sheetViews>
    <sheetView topLeftCell="A7" zoomScale="85" zoomScaleNormal="85" workbookViewId="0">
      <selection activeCell="L44" sqref="L44"/>
    </sheetView>
  </sheetViews>
  <sheetFormatPr baseColWidth="10" defaultColWidth="9.453125" defaultRowHeight="14" x14ac:dyDescent="0.3"/>
  <cols>
    <col min="1" max="1" width="18" style="132" customWidth="1"/>
    <col min="2" max="2" width="10.81640625" style="132" customWidth="1"/>
    <col min="3" max="3" width="14.1796875" style="132" customWidth="1"/>
    <col min="4" max="4" width="16.36328125" style="132" customWidth="1"/>
    <col min="5" max="6" width="12" style="132" customWidth="1"/>
    <col min="7" max="7" width="13.08984375" style="133" customWidth="1"/>
    <col min="8" max="8" width="12" style="132" customWidth="1"/>
    <col min="9" max="9" width="14.1796875" style="132" customWidth="1"/>
    <col min="10" max="10" width="13.08984375" style="132" customWidth="1"/>
    <col min="11" max="12" width="14.1796875" style="132" customWidth="1"/>
    <col min="13" max="13" width="13.08984375" style="132" customWidth="1"/>
    <col min="14" max="14" width="15.26953125" style="132" customWidth="1"/>
    <col min="15" max="15" width="12" style="132" customWidth="1"/>
    <col min="16" max="16" width="14.1796875" style="132" customWidth="1"/>
    <col min="17" max="18" width="16.36328125" style="132" customWidth="1"/>
    <col min="19" max="20" width="14.1796875" style="132" customWidth="1"/>
    <col min="21" max="21" width="16.36328125" style="132" customWidth="1"/>
    <col min="22" max="22" width="13.08984375" style="132" customWidth="1"/>
    <col min="23" max="23" width="15.26953125" style="132" customWidth="1"/>
    <col min="24" max="24" width="10.90625" style="132" customWidth="1"/>
    <col min="25" max="25" width="13.08984375" style="132" customWidth="1"/>
    <col min="26" max="26" width="15.26953125" style="132" customWidth="1"/>
    <col min="27" max="28" width="16.36328125" style="132" customWidth="1"/>
    <col min="29" max="29" width="15.26953125" style="132" customWidth="1"/>
    <col min="30" max="30" width="14.1796875" style="132" customWidth="1"/>
    <col min="31" max="31" width="16.36328125" style="132" customWidth="1"/>
    <col min="32" max="32" width="14.1796875" style="132" customWidth="1"/>
    <col min="33" max="33" width="15.26953125" style="132" customWidth="1"/>
    <col min="34" max="16384" width="9.453125" style="132"/>
  </cols>
  <sheetData>
    <row r="1" spans="1:33" s="137" customFormat="1" x14ac:dyDescent="0.3">
      <c r="A1" s="134"/>
      <c r="B1" s="135"/>
      <c r="C1" s="135"/>
      <c r="D1" s="135"/>
      <c r="E1" s="135"/>
      <c r="F1" s="135"/>
      <c r="G1" s="136"/>
      <c r="H1" s="135"/>
      <c r="I1" s="134"/>
      <c r="J1" s="135"/>
      <c r="K1" s="135"/>
      <c r="L1" s="135"/>
      <c r="M1" s="135"/>
      <c r="N1" s="134"/>
      <c r="O1" s="135"/>
      <c r="P1" s="135"/>
      <c r="Q1" s="135"/>
      <c r="R1" s="135"/>
      <c r="S1" s="135"/>
      <c r="T1" s="135"/>
      <c r="U1" s="135"/>
      <c r="V1" s="135"/>
      <c r="W1" s="134"/>
      <c r="X1" s="135"/>
      <c r="Y1" s="135"/>
      <c r="Z1" s="135"/>
      <c r="AA1" s="135"/>
      <c r="AB1" s="135"/>
      <c r="AC1" s="135"/>
      <c r="AD1" s="135"/>
      <c r="AE1" s="135"/>
      <c r="AF1" s="135"/>
      <c r="AG1" s="135"/>
    </row>
    <row r="2" spans="1:33" s="137" customFormat="1" ht="33" customHeight="1" x14ac:dyDescent="0.3">
      <c r="A2" s="290" t="s">
        <v>268</v>
      </c>
      <c r="B2" s="290"/>
      <c r="C2" s="290"/>
      <c r="D2" s="290"/>
      <c r="E2" s="290"/>
      <c r="F2" s="290"/>
      <c r="G2" s="290"/>
      <c r="H2" s="290"/>
      <c r="I2" s="290"/>
      <c r="J2" s="290"/>
      <c r="K2" s="290"/>
      <c r="L2" s="290"/>
      <c r="M2" s="290"/>
      <c r="N2" s="290"/>
      <c r="O2" s="290"/>
      <c r="P2" s="290"/>
      <c r="Q2" s="290"/>
      <c r="R2" s="290"/>
      <c r="S2" s="290"/>
      <c r="T2" s="290"/>
      <c r="U2" s="290"/>
      <c r="V2" s="290"/>
      <c r="W2" s="290"/>
      <c r="X2" s="290"/>
      <c r="Y2" s="290"/>
      <c r="Z2" s="290"/>
      <c r="AA2" s="290"/>
      <c r="AB2" s="290"/>
      <c r="AC2" s="290"/>
      <c r="AD2" s="290"/>
      <c r="AE2" s="290"/>
      <c r="AF2" s="290"/>
      <c r="AG2" s="290"/>
    </row>
    <row r="3" spans="1:33" s="137" customFormat="1" ht="30" customHeight="1" x14ac:dyDescent="0.3">
      <c r="A3" s="138" t="s">
        <v>1</v>
      </c>
      <c r="B3" s="291" t="str">
        <f>+RESUMEN!B4</f>
        <v>GERENCIA TERRITORIAL BAJO MAYO - TARAPOTO</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row>
    <row r="4" spans="1:33" s="137" customFormat="1" ht="39.75" customHeight="1" x14ac:dyDescent="0.3">
      <c r="A4" s="138" t="s">
        <v>3</v>
      </c>
      <c r="B4" s="291"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row>
    <row r="5" spans="1:33" s="137" customFormat="1" ht="34.5" customHeight="1" x14ac:dyDescent="0.3">
      <c r="A5" s="138" t="s">
        <v>5</v>
      </c>
      <c r="B5" s="291" t="str">
        <f>+RESUMEN!B6</f>
        <v>SAN MARTIN - SAN MARTIN - MORALES</v>
      </c>
      <c r="C5" s="291"/>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row>
    <row r="6" spans="1:33" s="137" customFormat="1" ht="30" customHeight="1" x14ac:dyDescent="0.3">
      <c r="A6" s="138" t="s">
        <v>7</v>
      </c>
      <c r="B6" s="292">
        <f>+RESUMEN!B7</f>
        <v>46266</v>
      </c>
      <c r="C6" s="292"/>
      <c r="D6" s="292"/>
      <c r="E6" s="292"/>
      <c r="F6" s="292"/>
      <c r="G6" s="292"/>
      <c r="H6" s="292"/>
      <c r="I6" s="292"/>
      <c r="J6" s="292"/>
      <c r="K6" s="292"/>
      <c r="L6" s="292"/>
      <c r="M6" s="292"/>
      <c r="N6" s="292"/>
      <c r="O6" s="292"/>
      <c r="P6" s="292"/>
      <c r="Q6" s="292"/>
      <c r="R6" s="292"/>
      <c r="S6" s="292"/>
      <c r="T6" s="292"/>
      <c r="U6" s="292"/>
      <c r="V6" s="292"/>
      <c r="W6" s="292"/>
      <c r="X6" s="292"/>
      <c r="Y6" s="292"/>
      <c r="Z6" s="292"/>
      <c r="AA6" s="292"/>
      <c r="AB6" s="292"/>
      <c r="AC6" s="292"/>
      <c r="AD6" s="292"/>
      <c r="AE6" s="292"/>
      <c r="AF6" s="292"/>
      <c r="AG6" s="292"/>
    </row>
    <row r="7" spans="1:33" s="137" customFormat="1" ht="15" customHeight="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row>
    <row r="8" spans="1:33" ht="21.75" customHeight="1" x14ac:dyDescent="0.3">
      <c r="A8" s="285" t="s">
        <v>269</v>
      </c>
      <c r="B8" s="285"/>
      <c r="C8" s="285"/>
      <c r="D8" s="285"/>
      <c r="E8" s="285"/>
      <c r="F8" s="285"/>
      <c r="G8" s="285"/>
      <c r="H8" s="285"/>
      <c r="I8" s="285"/>
      <c r="J8" s="285"/>
      <c r="K8" s="285"/>
      <c r="L8" s="285"/>
      <c r="M8" s="285"/>
      <c r="N8" s="285"/>
      <c r="O8" s="285"/>
      <c r="P8" s="285"/>
      <c r="Q8" s="285"/>
      <c r="R8" s="285"/>
      <c r="S8" s="285"/>
      <c r="T8" s="285"/>
      <c r="U8" s="285"/>
      <c r="V8" s="285"/>
      <c r="W8" s="285"/>
      <c r="X8" s="285"/>
      <c r="Y8" s="285"/>
      <c r="Z8" s="285"/>
      <c r="AA8" s="285"/>
      <c r="AB8" s="285"/>
      <c r="AC8" s="285"/>
      <c r="AD8" s="285"/>
      <c r="AE8" s="285"/>
      <c r="AF8" s="285"/>
      <c r="AG8" s="285"/>
    </row>
    <row r="9" spans="1:33" ht="23.25" customHeight="1" x14ac:dyDescent="0.3">
      <c r="A9" s="286" t="s">
        <v>270</v>
      </c>
      <c r="B9" s="286"/>
      <c r="C9" s="286"/>
      <c r="D9" s="286"/>
      <c r="E9" s="286"/>
      <c r="F9" s="286"/>
      <c r="G9" s="286"/>
      <c r="H9" s="287" t="s">
        <v>271</v>
      </c>
      <c r="I9" s="287"/>
      <c r="J9" s="287"/>
      <c r="K9" s="287"/>
      <c r="L9" s="287"/>
      <c r="M9" s="287"/>
      <c r="N9" s="287"/>
      <c r="O9" s="287"/>
      <c r="P9" s="288" t="s">
        <v>272</v>
      </c>
      <c r="Q9" s="288"/>
      <c r="R9" s="288"/>
      <c r="S9" s="288"/>
      <c r="T9" s="288"/>
      <c r="U9" s="288"/>
      <c r="V9" s="288"/>
      <c r="W9" s="288"/>
      <c r="X9" s="289" t="s">
        <v>273</v>
      </c>
      <c r="Y9" s="289"/>
      <c r="Z9" s="289"/>
      <c r="AA9" s="289"/>
      <c r="AB9" s="289"/>
      <c r="AC9" s="289"/>
      <c r="AD9" s="289"/>
      <c r="AE9" s="289"/>
      <c r="AF9" s="289"/>
      <c r="AG9" s="139" t="s">
        <v>274</v>
      </c>
    </row>
    <row r="10" spans="1:33" ht="60" customHeight="1" x14ac:dyDescent="0.3">
      <c r="A10" s="140" t="s">
        <v>275</v>
      </c>
      <c r="B10" s="140" t="s">
        <v>276</v>
      </c>
      <c r="C10" s="140" t="s">
        <v>277</v>
      </c>
      <c r="D10" s="140" t="s">
        <v>278</v>
      </c>
      <c r="E10" s="140" t="s">
        <v>279</v>
      </c>
      <c r="F10" s="140" t="s">
        <v>280</v>
      </c>
      <c r="G10" s="140" t="s">
        <v>281</v>
      </c>
      <c r="H10" s="140" t="s">
        <v>282</v>
      </c>
      <c r="I10" s="140" t="s">
        <v>283</v>
      </c>
      <c r="J10" s="140" t="s">
        <v>284</v>
      </c>
      <c r="K10" s="140" t="s">
        <v>285</v>
      </c>
      <c r="L10" s="140" t="s">
        <v>286</v>
      </c>
      <c r="M10" s="140" t="s">
        <v>287</v>
      </c>
      <c r="N10" s="140" t="s">
        <v>288</v>
      </c>
      <c r="O10" s="140" t="s">
        <v>289</v>
      </c>
      <c r="P10" s="140" t="s">
        <v>290</v>
      </c>
      <c r="Q10" s="140" t="s">
        <v>291</v>
      </c>
      <c r="R10" s="140" t="s">
        <v>292</v>
      </c>
      <c r="S10" s="140" t="s">
        <v>293</v>
      </c>
      <c r="T10" s="140" t="s">
        <v>294</v>
      </c>
      <c r="U10" s="140" t="s">
        <v>295</v>
      </c>
      <c r="V10" s="140" t="s">
        <v>296</v>
      </c>
      <c r="W10" s="140" t="s">
        <v>297</v>
      </c>
      <c r="X10" s="140" t="s">
        <v>298</v>
      </c>
      <c r="Y10" s="140" t="s">
        <v>299</v>
      </c>
      <c r="Z10" s="140" t="s">
        <v>300</v>
      </c>
      <c r="AA10" s="140" t="s">
        <v>301</v>
      </c>
      <c r="AB10" s="140" t="s">
        <v>302</v>
      </c>
      <c r="AC10" s="140" t="s">
        <v>303</v>
      </c>
      <c r="AD10" s="140" t="s">
        <v>304</v>
      </c>
      <c r="AE10" s="140" t="s">
        <v>305</v>
      </c>
      <c r="AF10" s="140" t="s">
        <v>306</v>
      </c>
      <c r="AG10" s="140" t="s">
        <v>307</v>
      </c>
    </row>
    <row r="11" spans="1:33" ht="36" customHeight="1" x14ac:dyDescent="0.3">
      <c r="A11" s="141">
        <v>1</v>
      </c>
      <c r="B11" s="142" t="s">
        <v>308</v>
      </c>
      <c r="C11" s="142" t="s">
        <v>309</v>
      </c>
      <c r="D11" s="143" t="s">
        <v>310</v>
      </c>
      <c r="E11" s="142" t="s">
        <v>311</v>
      </c>
      <c r="F11" s="142" t="s">
        <v>312</v>
      </c>
      <c r="G11" s="144">
        <v>6</v>
      </c>
      <c r="H11" s="142" t="s">
        <v>313</v>
      </c>
      <c r="I11" s="145">
        <f>IF(H11="","",IFERROR(VLOOKUP(H11,Listas!$A$4:$B$11,2,FALSE()),""))</f>
        <v>0.56000000000000005</v>
      </c>
      <c r="J11" s="144">
        <v>0.2</v>
      </c>
      <c r="K11" s="144">
        <v>7</v>
      </c>
      <c r="L11" s="144">
        <v>7</v>
      </c>
      <c r="M11" s="146">
        <f t="shared" ref="M11:M27" si="0">IF(B11="","",(K11+L11)/2)</f>
        <v>7</v>
      </c>
      <c r="N11" s="146">
        <f t="shared" ref="N11:N27" si="1">IF(B11="","",G11*M11)</f>
        <v>42</v>
      </c>
      <c r="O11" s="146">
        <f t="shared" ref="O11:O27" si="2">IF(B11="","",N11*I11)</f>
        <v>23.520000000000003</v>
      </c>
      <c r="P11" s="144">
        <v>0.25</v>
      </c>
      <c r="Q11" s="144">
        <v>1.44</v>
      </c>
      <c r="R11" s="144">
        <v>1.5</v>
      </c>
      <c r="S11" s="146">
        <f t="shared" ref="S11:S27" si="3">IF(B11="","",(Q11+R11)/2)</f>
        <v>1.47</v>
      </c>
      <c r="T11" s="146">
        <f t="shared" ref="T11:T27" si="4">IF(B11="","",IFERROR(IF($X$1="ENTERO (redondeo arriba)",ROUNDUP(G11/P11,0)+1,G11/P11+1),0))</f>
        <v>25</v>
      </c>
      <c r="U11" s="146">
        <f t="shared" ref="U11:U27" si="5">IF(B11="","",S11*T11)</f>
        <v>36.75</v>
      </c>
      <c r="V11" s="146">
        <f t="shared" ref="V11:V27" si="6">IF(B11="","",U11*I11)</f>
        <v>20.580000000000002</v>
      </c>
      <c r="W11" s="146">
        <f t="shared" ref="W11:W27" si="7">IF(B11="","",O11+V11)</f>
        <v>44.100000000000009</v>
      </c>
      <c r="X11" s="147" t="s">
        <v>313</v>
      </c>
      <c r="Y11" s="148">
        <v>0.56000000000000005</v>
      </c>
      <c r="Z11" s="149">
        <v>0.25</v>
      </c>
      <c r="AA11" s="149">
        <v>0.56000000000000005</v>
      </c>
      <c r="AB11" s="149">
        <v>0.56000000000000005</v>
      </c>
      <c r="AC11" s="150">
        <f t="shared" ref="AC11:AC27" si="8">IF(B11="","",IF(D11="TAPADA",(AA11+AB11)/2,0))</f>
        <v>0.56000000000000005</v>
      </c>
      <c r="AD11" s="150">
        <f t="shared" ref="AD11:AD27" si="9">IF(B11="","",IF(D11="TAPADA",IFERROR(IF($X$1="ENTERO (redondeo arriba)",ROUNDUP(G11/Z11,0)+1,G11/Z11+1),0),0))</f>
        <v>25</v>
      </c>
      <c r="AE11" s="150">
        <f t="shared" ref="AE11:AE27" si="10">IF(B11="","",IF(D11="TAPADA",AC11*AD11,0))</f>
        <v>14.000000000000002</v>
      </c>
      <c r="AF11" s="150">
        <f t="shared" ref="AF11:AF27" si="11">IF(B11="","",IF(D11="TAPADA",AE11*Y11,0))</f>
        <v>7.8400000000000016</v>
      </c>
      <c r="AG11" s="151">
        <f t="shared" ref="AG11:AG27" si="12">IF(B11="","",W11+AF11)</f>
        <v>51.940000000000012</v>
      </c>
    </row>
    <row r="12" spans="1:33" ht="36" customHeight="1" x14ac:dyDescent="0.3">
      <c r="A12" s="141">
        <v>2</v>
      </c>
      <c r="B12" s="142" t="s">
        <v>308</v>
      </c>
      <c r="C12" s="142" t="s">
        <v>314</v>
      </c>
      <c r="D12" s="143" t="s">
        <v>191</v>
      </c>
      <c r="E12" s="142" t="s">
        <v>312</v>
      </c>
      <c r="F12" s="142" t="s">
        <v>315</v>
      </c>
      <c r="G12" s="144">
        <v>58.1</v>
      </c>
      <c r="H12" s="142" t="s">
        <v>313</v>
      </c>
      <c r="I12" s="145">
        <f>IF(H12="","",IFERROR(VLOOKUP(H12,Listas!$A$4:$B$11,2,FALSE()),""))</f>
        <v>0.56000000000000005</v>
      </c>
      <c r="J12" s="144">
        <v>0.22</v>
      </c>
      <c r="K12" s="144">
        <v>7</v>
      </c>
      <c r="L12" s="144">
        <v>9</v>
      </c>
      <c r="M12" s="146">
        <f t="shared" si="0"/>
        <v>8</v>
      </c>
      <c r="N12" s="146">
        <f t="shared" si="1"/>
        <v>464.8</v>
      </c>
      <c r="O12" s="146">
        <f t="shared" si="2"/>
        <v>260.28800000000001</v>
      </c>
      <c r="P12" s="144">
        <v>0.25</v>
      </c>
      <c r="Q12" s="144">
        <v>1.5</v>
      </c>
      <c r="R12" s="144">
        <v>2.06</v>
      </c>
      <c r="S12" s="146">
        <f t="shared" si="3"/>
        <v>1.78</v>
      </c>
      <c r="T12" s="146">
        <f t="shared" si="4"/>
        <v>233.4</v>
      </c>
      <c r="U12" s="146">
        <f t="shared" si="5"/>
        <v>415.452</v>
      </c>
      <c r="V12" s="146">
        <f t="shared" si="6"/>
        <v>232.65312000000003</v>
      </c>
      <c r="W12" s="146">
        <f t="shared" si="7"/>
        <v>492.94112000000007</v>
      </c>
      <c r="X12" s="147"/>
      <c r="Y12" s="148"/>
      <c r="Z12" s="149"/>
      <c r="AA12" s="149"/>
      <c r="AB12" s="149"/>
      <c r="AC12" s="150">
        <f t="shared" si="8"/>
        <v>0</v>
      </c>
      <c r="AD12" s="150">
        <f t="shared" si="9"/>
        <v>0</v>
      </c>
      <c r="AE12" s="150">
        <f t="shared" si="10"/>
        <v>0</v>
      </c>
      <c r="AF12" s="150">
        <f t="shared" si="11"/>
        <v>0</v>
      </c>
      <c r="AG12" s="151">
        <f t="shared" si="12"/>
        <v>492.94112000000007</v>
      </c>
    </row>
    <row r="13" spans="1:33" ht="36" customHeight="1" x14ac:dyDescent="0.3">
      <c r="A13" s="141">
        <v>3</v>
      </c>
      <c r="B13" s="142" t="s">
        <v>308</v>
      </c>
      <c r="C13" s="142" t="s">
        <v>316</v>
      </c>
      <c r="D13" s="143" t="s">
        <v>310</v>
      </c>
      <c r="E13" s="142" t="s">
        <v>315</v>
      </c>
      <c r="F13" s="142" t="s">
        <v>317</v>
      </c>
      <c r="G13" s="144">
        <v>34.229999999999997</v>
      </c>
      <c r="H13" s="142" t="s">
        <v>313</v>
      </c>
      <c r="I13" s="145">
        <f>IF(H13="","",IFERROR(VLOOKUP(H13,Listas!$A$4:$B$11,2,FALSE()),""))</f>
        <v>0.56000000000000005</v>
      </c>
      <c r="J13" s="144">
        <v>0.25</v>
      </c>
      <c r="K13" s="144">
        <v>8</v>
      </c>
      <c r="L13" s="144">
        <v>9</v>
      </c>
      <c r="M13" s="146">
        <f t="shared" si="0"/>
        <v>8.5</v>
      </c>
      <c r="N13" s="146">
        <f t="shared" si="1"/>
        <v>290.95499999999998</v>
      </c>
      <c r="O13" s="146">
        <f t="shared" si="2"/>
        <v>162.9348</v>
      </c>
      <c r="P13" s="144">
        <v>0.25</v>
      </c>
      <c r="Q13" s="144">
        <v>2.06</v>
      </c>
      <c r="R13" s="144">
        <v>2.2000000000000002</v>
      </c>
      <c r="S13" s="146">
        <f t="shared" si="3"/>
        <v>2.13</v>
      </c>
      <c r="T13" s="146">
        <f t="shared" si="4"/>
        <v>137.91999999999999</v>
      </c>
      <c r="U13" s="146">
        <f t="shared" si="5"/>
        <v>293.76959999999997</v>
      </c>
      <c r="V13" s="146">
        <f t="shared" si="6"/>
        <v>164.510976</v>
      </c>
      <c r="W13" s="146">
        <f t="shared" si="7"/>
        <v>327.44577600000002</v>
      </c>
      <c r="X13" s="147" t="s">
        <v>313</v>
      </c>
      <c r="Y13" s="148">
        <v>0.56000000000000005</v>
      </c>
      <c r="Z13" s="149">
        <v>0.25</v>
      </c>
      <c r="AA13" s="149">
        <v>0.56000000000000005</v>
      </c>
      <c r="AB13" s="149">
        <v>0.56000000000000005</v>
      </c>
      <c r="AC13" s="150">
        <f t="shared" si="8"/>
        <v>0.56000000000000005</v>
      </c>
      <c r="AD13" s="150">
        <f t="shared" si="9"/>
        <v>137.91999999999999</v>
      </c>
      <c r="AE13" s="150">
        <f t="shared" si="10"/>
        <v>77.235200000000006</v>
      </c>
      <c r="AF13" s="150">
        <f t="shared" si="11"/>
        <v>43.251712000000005</v>
      </c>
      <c r="AG13" s="151">
        <f t="shared" si="12"/>
        <v>370.69748800000002</v>
      </c>
    </row>
    <row r="14" spans="1:33" ht="36" customHeight="1" x14ac:dyDescent="0.3">
      <c r="A14" s="141">
        <v>4</v>
      </c>
      <c r="B14" s="142" t="s">
        <v>318</v>
      </c>
      <c r="C14" s="142" t="s">
        <v>309</v>
      </c>
      <c r="D14" s="143" t="s">
        <v>191</v>
      </c>
      <c r="E14" s="142" t="s">
        <v>319</v>
      </c>
      <c r="F14" s="142" t="s">
        <v>320</v>
      </c>
      <c r="G14" s="144">
        <v>14.25</v>
      </c>
      <c r="H14" s="142" t="s">
        <v>313</v>
      </c>
      <c r="I14" s="145">
        <f>IF(H14="","",IFERROR(VLOOKUP(H14,Listas!$A$4:$B$11,2,FALSE()),""))</f>
        <v>0.56000000000000005</v>
      </c>
      <c r="J14" s="144">
        <v>0.2</v>
      </c>
      <c r="K14" s="144">
        <v>7</v>
      </c>
      <c r="L14" s="144">
        <v>8</v>
      </c>
      <c r="M14" s="146">
        <f t="shared" si="0"/>
        <v>7.5</v>
      </c>
      <c r="N14" s="146">
        <f t="shared" si="1"/>
        <v>106.875</v>
      </c>
      <c r="O14" s="146">
        <f t="shared" si="2"/>
        <v>59.850000000000009</v>
      </c>
      <c r="P14" s="144">
        <v>0.25</v>
      </c>
      <c r="Q14" s="144">
        <v>1.5</v>
      </c>
      <c r="R14" s="144">
        <v>1.64</v>
      </c>
      <c r="S14" s="146">
        <f t="shared" si="3"/>
        <v>1.5699999999999998</v>
      </c>
      <c r="T14" s="146">
        <f t="shared" si="4"/>
        <v>58</v>
      </c>
      <c r="U14" s="146">
        <f t="shared" si="5"/>
        <v>91.059999999999988</v>
      </c>
      <c r="V14" s="146">
        <f t="shared" si="6"/>
        <v>50.993600000000001</v>
      </c>
      <c r="W14" s="146">
        <f t="shared" si="7"/>
        <v>110.84360000000001</v>
      </c>
      <c r="X14" s="147"/>
      <c r="Y14" s="148"/>
      <c r="Z14" s="149"/>
      <c r="AA14" s="149"/>
      <c r="AB14" s="149"/>
      <c r="AC14" s="150">
        <f t="shared" si="8"/>
        <v>0</v>
      </c>
      <c r="AD14" s="150">
        <f t="shared" si="9"/>
        <v>0</v>
      </c>
      <c r="AE14" s="150">
        <f t="shared" si="10"/>
        <v>0</v>
      </c>
      <c r="AF14" s="150">
        <f t="shared" si="11"/>
        <v>0</v>
      </c>
      <c r="AG14" s="151">
        <f t="shared" si="12"/>
        <v>110.84360000000001</v>
      </c>
    </row>
    <row r="15" spans="1:33" ht="36" customHeight="1" x14ac:dyDescent="0.3">
      <c r="A15" s="141">
        <v>5</v>
      </c>
      <c r="B15" s="142" t="s">
        <v>321</v>
      </c>
      <c r="C15" s="142" t="s">
        <v>309</v>
      </c>
      <c r="D15" s="143" t="s">
        <v>191</v>
      </c>
      <c r="E15" s="142" t="s">
        <v>322</v>
      </c>
      <c r="F15" s="142" t="s">
        <v>323</v>
      </c>
      <c r="G15" s="144">
        <v>2.4</v>
      </c>
      <c r="H15" s="142" t="s">
        <v>313</v>
      </c>
      <c r="I15" s="145">
        <f>IF(H15="","",IFERROR(VLOOKUP(H15,Listas!$A$4:$B$11,2,FALSE()),""))</f>
        <v>0.56000000000000005</v>
      </c>
      <c r="J15" s="144">
        <v>0.2</v>
      </c>
      <c r="K15" s="144">
        <v>7</v>
      </c>
      <c r="L15" s="144">
        <v>8</v>
      </c>
      <c r="M15" s="146">
        <f t="shared" si="0"/>
        <v>7.5</v>
      </c>
      <c r="N15" s="146">
        <f t="shared" si="1"/>
        <v>18</v>
      </c>
      <c r="O15" s="146">
        <f t="shared" si="2"/>
        <v>10.080000000000002</v>
      </c>
      <c r="P15" s="144">
        <v>0.25</v>
      </c>
      <c r="Q15" s="144">
        <v>1.5</v>
      </c>
      <c r="R15" s="144">
        <v>1.54</v>
      </c>
      <c r="S15" s="146">
        <f t="shared" si="3"/>
        <v>1.52</v>
      </c>
      <c r="T15" s="146">
        <f t="shared" si="4"/>
        <v>10.6</v>
      </c>
      <c r="U15" s="146">
        <f t="shared" si="5"/>
        <v>16.111999999999998</v>
      </c>
      <c r="V15" s="146">
        <f t="shared" si="6"/>
        <v>9.0227199999999996</v>
      </c>
      <c r="W15" s="146">
        <f t="shared" si="7"/>
        <v>19.102720000000001</v>
      </c>
      <c r="X15" s="147"/>
      <c r="Y15" s="148"/>
      <c r="Z15" s="149"/>
      <c r="AA15" s="149"/>
      <c r="AB15" s="149"/>
      <c r="AC15" s="150">
        <f t="shared" si="8"/>
        <v>0</v>
      </c>
      <c r="AD15" s="150">
        <f t="shared" si="9"/>
        <v>0</v>
      </c>
      <c r="AE15" s="150">
        <f t="shared" si="10"/>
        <v>0</v>
      </c>
      <c r="AF15" s="150">
        <f t="shared" si="11"/>
        <v>0</v>
      </c>
      <c r="AG15" s="151">
        <f t="shared" si="12"/>
        <v>19.102720000000001</v>
      </c>
    </row>
    <row r="16" spans="1:33" ht="36" customHeight="1" x14ac:dyDescent="0.3">
      <c r="A16" s="141">
        <v>6</v>
      </c>
      <c r="B16" s="142" t="s">
        <v>324</v>
      </c>
      <c r="C16" s="142" t="s">
        <v>309</v>
      </c>
      <c r="D16" s="143" t="s">
        <v>310</v>
      </c>
      <c r="E16" s="142" t="s">
        <v>325</v>
      </c>
      <c r="F16" s="142" t="s">
        <v>326</v>
      </c>
      <c r="G16" s="144">
        <v>5.5</v>
      </c>
      <c r="H16" s="142" t="s">
        <v>313</v>
      </c>
      <c r="I16" s="145">
        <f>IF(H16="","",IFERROR(VLOOKUP(H16,Listas!$A$4:$B$11,2,FALSE()),""))</f>
        <v>0.56000000000000005</v>
      </c>
      <c r="J16" s="144">
        <v>0.2</v>
      </c>
      <c r="K16" s="144">
        <v>7</v>
      </c>
      <c r="L16" s="144">
        <v>7</v>
      </c>
      <c r="M16" s="146">
        <f t="shared" si="0"/>
        <v>7</v>
      </c>
      <c r="N16" s="146">
        <f t="shared" si="1"/>
        <v>38.5</v>
      </c>
      <c r="O16" s="146">
        <f t="shared" si="2"/>
        <v>21.560000000000002</v>
      </c>
      <c r="P16" s="144">
        <v>0.25</v>
      </c>
      <c r="Q16" s="144">
        <v>1.42</v>
      </c>
      <c r="R16" s="144">
        <v>1.5</v>
      </c>
      <c r="S16" s="146">
        <f t="shared" si="3"/>
        <v>1.46</v>
      </c>
      <c r="T16" s="146">
        <f t="shared" si="4"/>
        <v>23</v>
      </c>
      <c r="U16" s="146">
        <f t="shared" si="5"/>
        <v>33.58</v>
      </c>
      <c r="V16" s="146">
        <f t="shared" si="6"/>
        <v>18.8048</v>
      </c>
      <c r="W16" s="146">
        <f t="shared" si="7"/>
        <v>40.364800000000002</v>
      </c>
      <c r="X16" s="147" t="s">
        <v>313</v>
      </c>
      <c r="Y16" s="148">
        <v>0.56000000000000005</v>
      </c>
      <c r="Z16" s="149">
        <v>0.25</v>
      </c>
      <c r="AA16" s="149">
        <v>0.56000000000000005</v>
      </c>
      <c r="AB16" s="149">
        <v>0.56000000000000005</v>
      </c>
      <c r="AC16" s="150">
        <f t="shared" si="8"/>
        <v>0.56000000000000005</v>
      </c>
      <c r="AD16" s="150">
        <f t="shared" si="9"/>
        <v>23</v>
      </c>
      <c r="AE16" s="150">
        <f t="shared" si="10"/>
        <v>12.88</v>
      </c>
      <c r="AF16" s="150">
        <f t="shared" si="11"/>
        <v>7.2128000000000014</v>
      </c>
      <c r="AG16" s="151">
        <f t="shared" si="12"/>
        <v>47.577600000000004</v>
      </c>
    </row>
    <row r="17" spans="1:33" ht="36" customHeight="1" x14ac:dyDescent="0.3">
      <c r="A17" s="141">
        <v>7</v>
      </c>
      <c r="B17" s="142" t="s">
        <v>324</v>
      </c>
      <c r="C17" s="142" t="s">
        <v>314</v>
      </c>
      <c r="D17" s="143" t="s">
        <v>191</v>
      </c>
      <c r="E17" s="142" t="s">
        <v>326</v>
      </c>
      <c r="F17" s="142" t="s">
        <v>327</v>
      </c>
      <c r="G17" s="144">
        <v>58</v>
      </c>
      <c r="H17" s="142" t="s">
        <v>313</v>
      </c>
      <c r="I17" s="145">
        <f>IF(H17="","",IFERROR(VLOOKUP(H17,Listas!$A$4:$B$11,2,FALSE()),""))</f>
        <v>0.56000000000000005</v>
      </c>
      <c r="J17" s="144">
        <v>0.22</v>
      </c>
      <c r="K17" s="144">
        <v>7</v>
      </c>
      <c r="L17" s="144">
        <v>9</v>
      </c>
      <c r="M17" s="146">
        <f t="shared" si="0"/>
        <v>8</v>
      </c>
      <c r="N17" s="146">
        <f t="shared" si="1"/>
        <v>464</v>
      </c>
      <c r="O17" s="146">
        <f t="shared" si="2"/>
        <v>259.84000000000003</v>
      </c>
      <c r="P17" s="144">
        <v>0.25</v>
      </c>
      <c r="Q17" s="144">
        <v>1.5</v>
      </c>
      <c r="R17" s="144">
        <v>2.06</v>
      </c>
      <c r="S17" s="146">
        <f t="shared" si="3"/>
        <v>1.78</v>
      </c>
      <c r="T17" s="146">
        <f t="shared" si="4"/>
        <v>233</v>
      </c>
      <c r="U17" s="146">
        <f t="shared" si="5"/>
        <v>414.74</v>
      </c>
      <c r="V17" s="146">
        <f t="shared" si="6"/>
        <v>232.25440000000003</v>
      </c>
      <c r="W17" s="146">
        <f t="shared" si="7"/>
        <v>492.09440000000006</v>
      </c>
      <c r="X17" s="147"/>
      <c r="Y17" s="148"/>
      <c r="Z17" s="149"/>
      <c r="AA17" s="149"/>
      <c r="AB17" s="149"/>
      <c r="AC17" s="150">
        <f t="shared" si="8"/>
        <v>0</v>
      </c>
      <c r="AD17" s="150">
        <f t="shared" si="9"/>
        <v>0</v>
      </c>
      <c r="AE17" s="150">
        <f t="shared" si="10"/>
        <v>0</v>
      </c>
      <c r="AF17" s="150">
        <f t="shared" si="11"/>
        <v>0</v>
      </c>
      <c r="AG17" s="151">
        <f t="shared" si="12"/>
        <v>492.09440000000006</v>
      </c>
    </row>
    <row r="18" spans="1:33" ht="36" customHeight="1" x14ac:dyDescent="0.3">
      <c r="A18" s="141">
        <v>8</v>
      </c>
      <c r="B18" s="142" t="s">
        <v>324</v>
      </c>
      <c r="C18" s="142" t="s">
        <v>316</v>
      </c>
      <c r="D18" s="143" t="s">
        <v>310</v>
      </c>
      <c r="E18" s="142" t="s">
        <v>327</v>
      </c>
      <c r="F18" s="142" t="s">
        <v>328</v>
      </c>
      <c r="G18" s="144">
        <v>25.16</v>
      </c>
      <c r="H18" s="142" t="s">
        <v>313</v>
      </c>
      <c r="I18" s="145">
        <f>IF(H18="","",IFERROR(VLOOKUP(H18,Listas!$A$4:$B$11,2,FALSE()),""))</f>
        <v>0.56000000000000005</v>
      </c>
      <c r="J18" s="144">
        <v>0.25</v>
      </c>
      <c r="K18" s="144">
        <v>8</v>
      </c>
      <c r="L18" s="144">
        <v>8</v>
      </c>
      <c r="M18" s="146">
        <f t="shared" si="0"/>
        <v>8</v>
      </c>
      <c r="N18" s="146">
        <f t="shared" si="1"/>
        <v>201.28</v>
      </c>
      <c r="O18" s="146">
        <f t="shared" si="2"/>
        <v>112.71680000000001</v>
      </c>
      <c r="P18" s="144">
        <v>0.25</v>
      </c>
      <c r="Q18" s="144">
        <v>2.06</v>
      </c>
      <c r="R18" s="144">
        <v>2.1</v>
      </c>
      <c r="S18" s="146">
        <f t="shared" si="3"/>
        <v>2.08</v>
      </c>
      <c r="T18" s="146">
        <f t="shared" si="4"/>
        <v>101.64</v>
      </c>
      <c r="U18" s="146">
        <f t="shared" si="5"/>
        <v>211.41120000000001</v>
      </c>
      <c r="V18" s="146">
        <f t="shared" si="6"/>
        <v>118.39027200000001</v>
      </c>
      <c r="W18" s="146">
        <f t="shared" si="7"/>
        <v>231.10707200000002</v>
      </c>
      <c r="X18" s="147" t="s">
        <v>313</v>
      </c>
      <c r="Y18" s="148">
        <v>0.56000000000000005</v>
      </c>
      <c r="Z18" s="149">
        <v>0.25</v>
      </c>
      <c r="AA18" s="149">
        <v>0.56000000000000005</v>
      </c>
      <c r="AB18" s="149">
        <v>0.56000000000000005</v>
      </c>
      <c r="AC18" s="150">
        <f t="shared" si="8"/>
        <v>0.56000000000000005</v>
      </c>
      <c r="AD18" s="150">
        <f t="shared" si="9"/>
        <v>101.64</v>
      </c>
      <c r="AE18" s="150">
        <f t="shared" si="10"/>
        <v>56.918400000000005</v>
      </c>
      <c r="AF18" s="150">
        <f t="shared" si="11"/>
        <v>31.874304000000006</v>
      </c>
      <c r="AG18" s="151">
        <f t="shared" si="12"/>
        <v>262.98137600000001</v>
      </c>
    </row>
    <row r="19" spans="1:33" ht="36" customHeight="1" x14ac:dyDescent="0.3">
      <c r="A19" s="141">
        <v>9</v>
      </c>
      <c r="B19" s="142" t="s">
        <v>329</v>
      </c>
      <c r="C19" s="142" t="s">
        <v>309</v>
      </c>
      <c r="D19" s="143" t="s">
        <v>191</v>
      </c>
      <c r="E19" s="142" t="s">
        <v>330</v>
      </c>
      <c r="F19" s="142" t="s">
        <v>331</v>
      </c>
      <c r="G19" s="144">
        <v>12.3</v>
      </c>
      <c r="H19" s="142" t="s">
        <v>313</v>
      </c>
      <c r="I19" s="145">
        <f>IF(H19="","",IFERROR(VLOOKUP(H19,Listas!$A$4:$B$11,2,FALSE()),""))</f>
        <v>0.56000000000000005</v>
      </c>
      <c r="J19" s="144">
        <v>0.2</v>
      </c>
      <c r="K19" s="144">
        <v>7</v>
      </c>
      <c r="L19" s="144">
        <v>8</v>
      </c>
      <c r="M19" s="146">
        <f t="shared" si="0"/>
        <v>7.5</v>
      </c>
      <c r="N19" s="146">
        <f t="shared" si="1"/>
        <v>92.25</v>
      </c>
      <c r="O19" s="146">
        <f t="shared" si="2"/>
        <v>51.660000000000004</v>
      </c>
      <c r="P19" s="144">
        <v>0.25</v>
      </c>
      <c r="Q19" s="144">
        <v>1.5</v>
      </c>
      <c r="R19" s="144">
        <v>1.62</v>
      </c>
      <c r="S19" s="146">
        <f t="shared" si="3"/>
        <v>1.56</v>
      </c>
      <c r="T19" s="146">
        <f t="shared" si="4"/>
        <v>50.2</v>
      </c>
      <c r="U19" s="146">
        <f t="shared" si="5"/>
        <v>78.312000000000012</v>
      </c>
      <c r="V19" s="146">
        <f t="shared" si="6"/>
        <v>43.854720000000007</v>
      </c>
      <c r="W19" s="146">
        <f t="shared" si="7"/>
        <v>95.514720000000011</v>
      </c>
      <c r="X19" s="147"/>
      <c r="Y19" s="148"/>
      <c r="Z19" s="149"/>
      <c r="AA19" s="149"/>
      <c r="AB19" s="149"/>
      <c r="AC19" s="150">
        <f t="shared" si="8"/>
        <v>0</v>
      </c>
      <c r="AD19" s="150">
        <f t="shared" si="9"/>
        <v>0</v>
      </c>
      <c r="AE19" s="150">
        <f t="shared" si="10"/>
        <v>0</v>
      </c>
      <c r="AF19" s="150">
        <f t="shared" si="11"/>
        <v>0</v>
      </c>
      <c r="AG19" s="151">
        <f t="shared" si="12"/>
        <v>95.514720000000011</v>
      </c>
    </row>
    <row r="20" spans="1:33" ht="36" customHeight="1" x14ac:dyDescent="0.3">
      <c r="A20" s="141">
        <v>10</v>
      </c>
      <c r="B20" s="142" t="s">
        <v>329</v>
      </c>
      <c r="C20" s="142" t="s">
        <v>314</v>
      </c>
      <c r="D20" s="143" t="s">
        <v>310</v>
      </c>
      <c r="E20" s="142" t="s">
        <v>331</v>
      </c>
      <c r="F20" s="142" t="s">
        <v>332</v>
      </c>
      <c r="G20" s="144">
        <v>9.9</v>
      </c>
      <c r="H20" s="142" t="s">
        <v>313</v>
      </c>
      <c r="I20" s="145">
        <f>IF(H20="","",IFERROR(VLOOKUP(H20,Listas!$A$4:$B$11,2,FALSE()),""))</f>
        <v>0.56000000000000005</v>
      </c>
      <c r="J20" s="144">
        <v>0.22</v>
      </c>
      <c r="K20" s="144">
        <v>7</v>
      </c>
      <c r="L20" s="144">
        <v>8</v>
      </c>
      <c r="M20" s="146">
        <f t="shared" si="0"/>
        <v>7.5</v>
      </c>
      <c r="N20" s="146">
        <f t="shared" si="1"/>
        <v>74.25</v>
      </c>
      <c r="O20" s="146">
        <f t="shared" si="2"/>
        <v>41.580000000000005</v>
      </c>
      <c r="P20" s="144">
        <v>0.25</v>
      </c>
      <c r="Q20" s="144">
        <v>1.62</v>
      </c>
      <c r="R20" s="144">
        <v>1.72</v>
      </c>
      <c r="S20" s="146">
        <f t="shared" si="3"/>
        <v>1.67</v>
      </c>
      <c r="T20" s="146">
        <f t="shared" si="4"/>
        <v>40.6</v>
      </c>
      <c r="U20" s="146">
        <f t="shared" si="5"/>
        <v>67.801999999999992</v>
      </c>
      <c r="V20" s="146">
        <f t="shared" si="6"/>
        <v>37.969119999999997</v>
      </c>
      <c r="W20" s="146">
        <f t="shared" si="7"/>
        <v>79.549120000000002</v>
      </c>
      <c r="X20" s="147" t="s">
        <v>313</v>
      </c>
      <c r="Y20" s="148">
        <v>0.56000000000000005</v>
      </c>
      <c r="Z20" s="149">
        <v>0.25</v>
      </c>
      <c r="AA20" s="149">
        <v>0.56000000000000005</v>
      </c>
      <c r="AB20" s="149">
        <v>0.56000000000000005</v>
      </c>
      <c r="AC20" s="150">
        <f t="shared" si="8"/>
        <v>0.56000000000000005</v>
      </c>
      <c r="AD20" s="150">
        <f t="shared" si="9"/>
        <v>40.6</v>
      </c>
      <c r="AE20" s="150">
        <f t="shared" si="10"/>
        <v>22.736000000000004</v>
      </c>
      <c r="AF20" s="150">
        <f t="shared" si="11"/>
        <v>12.732160000000004</v>
      </c>
      <c r="AG20" s="151">
        <f t="shared" si="12"/>
        <v>92.28128000000001</v>
      </c>
    </row>
    <row r="21" spans="1:33" ht="36" customHeight="1" x14ac:dyDescent="0.3">
      <c r="A21" s="141">
        <v>11</v>
      </c>
      <c r="B21" s="142" t="s">
        <v>333</v>
      </c>
      <c r="C21" s="142" t="s">
        <v>309</v>
      </c>
      <c r="D21" s="143" t="s">
        <v>191</v>
      </c>
      <c r="E21" s="142" t="s">
        <v>334</v>
      </c>
      <c r="F21" s="142" t="s">
        <v>335</v>
      </c>
      <c r="G21" s="144">
        <v>12.5</v>
      </c>
      <c r="H21" s="142" t="s">
        <v>313</v>
      </c>
      <c r="I21" s="145">
        <f>IF(H21="","",IFERROR(VLOOKUP(H21,Listas!$A$4:$B$11,2,FALSE()),""))</f>
        <v>0.56000000000000005</v>
      </c>
      <c r="J21" s="144">
        <v>0.2</v>
      </c>
      <c r="K21" s="144">
        <v>7</v>
      </c>
      <c r="L21" s="144">
        <v>8</v>
      </c>
      <c r="M21" s="146">
        <f t="shared" si="0"/>
        <v>7.5</v>
      </c>
      <c r="N21" s="146">
        <f t="shared" si="1"/>
        <v>93.75</v>
      </c>
      <c r="O21" s="146">
        <f t="shared" si="2"/>
        <v>52.500000000000007</v>
      </c>
      <c r="P21" s="144">
        <v>0.25</v>
      </c>
      <c r="Q21" s="144">
        <v>1.5</v>
      </c>
      <c r="R21" s="144">
        <v>1.62</v>
      </c>
      <c r="S21" s="146">
        <f t="shared" si="3"/>
        <v>1.56</v>
      </c>
      <c r="T21" s="146">
        <f t="shared" si="4"/>
        <v>51</v>
      </c>
      <c r="U21" s="146">
        <f t="shared" si="5"/>
        <v>79.56</v>
      </c>
      <c r="V21" s="146">
        <f t="shared" si="6"/>
        <v>44.553600000000003</v>
      </c>
      <c r="W21" s="146">
        <f t="shared" si="7"/>
        <v>97.053600000000017</v>
      </c>
      <c r="X21" s="147"/>
      <c r="Y21" s="148"/>
      <c r="Z21" s="149"/>
      <c r="AA21" s="149"/>
      <c r="AB21" s="149"/>
      <c r="AC21" s="150">
        <f t="shared" si="8"/>
        <v>0</v>
      </c>
      <c r="AD21" s="150">
        <f t="shared" si="9"/>
        <v>0</v>
      </c>
      <c r="AE21" s="150">
        <f t="shared" si="10"/>
        <v>0</v>
      </c>
      <c r="AF21" s="150">
        <f t="shared" si="11"/>
        <v>0</v>
      </c>
      <c r="AG21" s="151">
        <f t="shared" si="12"/>
        <v>97.053600000000017</v>
      </c>
    </row>
    <row r="22" spans="1:33" ht="36" customHeight="1" x14ac:dyDescent="0.3">
      <c r="A22" s="141">
        <v>12</v>
      </c>
      <c r="B22" s="142" t="s">
        <v>333</v>
      </c>
      <c r="C22" s="142" t="s">
        <v>314</v>
      </c>
      <c r="D22" s="143" t="s">
        <v>310</v>
      </c>
      <c r="E22" s="142" t="s">
        <v>335</v>
      </c>
      <c r="F22" s="142" t="s">
        <v>336</v>
      </c>
      <c r="G22" s="144">
        <v>66.19</v>
      </c>
      <c r="H22" s="142" t="s">
        <v>313</v>
      </c>
      <c r="I22" s="145">
        <f>IF(H22="","",IFERROR(VLOOKUP(H22,Listas!$A$4:$B$11,2,FALSE()),""))</f>
        <v>0.56000000000000005</v>
      </c>
      <c r="J22" s="144">
        <v>0.22</v>
      </c>
      <c r="K22" s="144">
        <v>7</v>
      </c>
      <c r="L22" s="144">
        <v>9</v>
      </c>
      <c r="M22" s="146">
        <f t="shared" si="0"/>
        <v>8</v>
      </c>
      <c r="N22" s="146">
        <f t="shared" si="1"/>
        <v>529.52</v>
      </c>
      <c r="O22" s="146">
        <f t="shared" si="2"/>
        <v>296.53120000000001</v>
      </c>
      <c r="P22" s="144">
        <v>0.25</v>
      </c>
      <c r="Q22" s="144">
        <v>1.62</v>
      </c>
      <c r="R22" s="144">
        <v>2.08</v>
      </c>
      <c r="S22" s="146">
        <f t="shared" si="3"/>
        <v>1.85</v>
      </c>
      <c r="T22" s="146">
        <f t="shared" si="4"/>
        <v>265.76</v>
      </c>
      <c r="U22" s="146">
        <f t="shared" si="5"/>
        <v>491.65600000000001</v>
      </c>
      <c r="V22" s="146">
        <f t="shared" si="6"/>
        <v>275.32736000000006</v>
      </c>
      <c r="W22" s="146">
        <f t="shared" si="7"/>
        <v>571.85856000000013</v>
      </c>
      <c r="X22" s="147" t="s">
        <v>313</v>
      </c>
      <c r="Y22" s="148">
        <v>0.56000000000000005</v>
      </c>
      <c r="Z22" s="149">
        <v>0.25</v>
      </c>
      <c r="AA22" s="149">
        <v>0.56000000000000005</v>
      </c>
      <c r="AB22" s="149">
        <v>0.56000000000000005</v>
      </c>
      <c r="AC22" s="150">
        <f t="shared" si="8"/>
        <v>0.56000000000000005</v>
      </c>
      <c r="AD22" s="150">
        <f t="shared" si="9"/>
        <v>265.76</v>
      </c>
      <c r="AE22" s="150">
        <f t="shared" si="10"/>
        <v>148.82560000000001</v>
      </c>
      <c r="AF22" s="150">
        <f t="shared" si="11"/>
        <v>83.342336000000017</v>
      </c>
      <c r="AG22" s="151">
        <f t="shared" si="12"/>
        <v>655.20089600000017</v>
      </c>
    </row>
    <row r="23" spans="1:33" ht="36" customHeight="1" x14ac:dyDescent="0.3">
      <c r="A23" s="141">
        <v>13</v>
      </c>
      <c r="B23" s="142" t="s">
        <v>337</v>
      </c>
      <c r="C23" s="142" t="s">
        <v>309</v>
      </c>
      <c r="D23" s="143" t="s">
        <v>191</v>
      </c>
      <c r="E23" s="142" t="s">
        <v>338</v>
      </c>
      <c r="F23" s="142" t="s">
        <v>339</v>
      </c>
      <c r="G23" s="144">
        <v>3.6</v>
      </c>
      <c r="H23" s="142" t="s">
        <v>313</v>
      </c>
      <c r="I23" s="145">
        <f>IF(H23="","",IFERROR(VLOOKUP(H23,Listas!$A$4:$B$11,2,FALSE()),""))</f>
        <v>0.56000000000000005</v>
      </c>
      <c r="J23" s="144">
        <v>0.2</v>
      </c>
      <c r="K23" s="144">
        <v>7</v>
      </c>
      <c r="L23" s="144">
        <v>8</v>
      </c>
      <c r="M23" s="146">
        <f t="shared" si="0"/>
        <v>7.5</v>
      </c>
      <c r="N23" s="146">
        <f t="shared" si="1"/>
        <v>27</v>
      </c>
      <c r="O23" s="146">
        <f t="shared" si="2"/>
        <v>15.120000000000001</v>
      </c>
      <c r="P23" s="144">
        <v>0.25</v>
      </c>
      <c r="Q23" s="144">
        <v>1.5</v>
      </c>
      <c r="R23" s="144">
        <v>1.52</v>
      </c>
      <c r="S23" s="146">
        <f t="shared" si="3"/>
        <v>1.51</v>
      </c>
      <c r="T23" s="146">
        <f t="shared" si="4"/>
        <v>15.4</v>
      </c>
      <c r="U23" s="146">
        <f t="shared" si="5"/>
        <v>23.254000000000001</v>
      </c>
      <c r="V23" s="146">
        <f t="shared" si="6"/>
        <v>13.022240000000002</v>
      </c>
      <c r="W23" s="146">
        <f t="shared" si="7"/>
        <v>28.142240000000001</v>
      </c>
      <c r="X23" s="147"/>
      <c r="Y23" s="148"/>
      <c r="Z23" s="149"/>
      <c r="AA23" s="149"/>
      <c r="AB23" s="149"/>
      <c r="AC23" s="150">
        <f t="shared" si="8"/>
        <v>0</v>
      </c>
      <c r="AD23" s="150">
        <f t="shared" si="9"/>
        <v>0</v>
      </c>
      <c r="AE23" s="150">
        <f t="shared" si="10"/>
        <v>0</v>
      </c>
      <c r="AF23" s="150">
        <f t="shared" si="11"/>
        <v>0</v>
      </c>
      <c r="AG23" s="151">
        <f t="shared" si="12"/>
        <v>28.142240000000001</v>
      </c>
    </row>
    <row r="24" spans="1:33" ht="36" customHeight="1" x14ac:dyDescent="0.3">
      <c r="A24" s="141">
        <v>14</v>
      </c>
      <c r="B24" s="142" t="s">
        <v>340</v>
      </c>
      <c r="C24" s="142" t="s">
        <v>309</v>
      </c>
      <c r="D24" s="143" t="s">
        <v>191</v>
      </c>
      <c r="E24" s="142" t="s">
        <v>341</v>
      </c>
      <c r="F24" s="142" t="s">
        <v>342</v>
      </c>
      <c r="G24" s="144">
        <v>29.85</v>
      </c>
      <c r="H24" s="142" t="s">
        <v>313</v>
      </c>
      <c r="I24" s="145">
        <f>IF(H24="","",IFERROR(VLOOKUP(H24,Listas!$A$4:$B$11,2,FALSE()),""))</f>
        <v>0.56000000000000005</v>
      </c>
      <c r="J24" s="144">
        <v>0.22</v>
      </c>
      <c r="K24" s="144">
        <v>7</v>
      </c>
      <c r="L24" s="144">
        <v>8</v>
      </c>
      <c r="M24" s="146">
        <f t="shared" si="0"/>
        <v>7.5</v>
      </c>
      <c r="N24" s="146">
        <f t="shared" si="1"/>
        <v>223.875</v>
      </c>
      <c r="O24" s="146">
        <f t="shared" si="2"/>
        <v>125.37000000000002</v>
      </c>
      <c r="P24" s="144">
        <v>0.25</v>
      </c>
      <c r="Q24" s="144">
        <v>1.5</v>
      </c>
      <c r="R24" s="144">
        <v>1.8</v>
      </c>
      <c r="S24" s="146">
        <f t="shared" si="3"/>
        <v>1.65</v>
      </c>
      <c r="T24" s="146">
        <f t="shared" si="4"/>
        <v>120.4</v>
      </c>
      <c r="U24" s="146">
        <f t="shared" si="5"/>
        <v>198.66</v>
      </c>
      <c r="V24" s="146">
        <f t="shared" si="6"/>
        <v>111.24960000000002</v>
      </c>
      <c r="W24" s="146">
        <f t="shared" si="7"/>
        <v>236.61960000000005</v>
      </c>
      <c r="X24" s="147"/>
      <c r="Y24" s="148"/>
      <c r="Z24" s="149"/>
      <c r="AA24" s="149"/>
      <c r="AB24" s="149"/>
      <c r="AC24" s="150">
        <f t="shared" si="8"/>
        <v>0</v>
      </c>
      <c r="AD24" s="150">
        <f t="shared" si="9"/>
        <v>0</v>
      </c>
      <c r="AE24" s="150">
        <f t="shared" si="10"/>
        <v>0</v>
      </c>
      <c r="AF24" s="150">
        <f t="shared" si="11"/>
        <v>0</v>
      </c>
      <c r="AG24" s="151">
        <f t="shared" si="12"/>
        <v>236.61960000000005</v>
      </c>
    </row>
    <row r="25" spans="1:33" ht="36" customHeight="1" x14ac:dyDescent="0.3">
      <c r="A25" s="141">
        <v>15</v>
      </c>
      <c r="B25" s="142" t="s">
        <v>340</v>
      </c>
      <c r="C25" s="142" t="s">
        <v>314</v>
      </c>
      <c r="D25" s="143" t="s">
        <v>310</v>
      </c>
      <c r="E25" s="142" t="s">
        <v>342</v>
      </c>
      <c r="F25" s="142" t="s">
        <v>343</v>
      </c>
      <c r="G25" s="144">
        <v>10.75</v>
      </c>
      <c r="H25" s="142" t="s">
        <v>313</v>
      </c>
      <c r="I25" s="145">
        <f>IF(H25="","",IFERROR(VLOOKUP(H25,Listas!$A$4:$B$11,2,FALSE()),""))</f>
        <v>0.56000000000000005</v>
      </c>
      <c r="J25" s="144">
        <v>0.22</v>
      </c>
      <c r="K25" s="144">
        <v>8</v>
      </c>
      <c r="L25" s="144">
        <v>9</v>
      </c>
      <c r="M25" s="146">
        <f t="shared" si="0"/>
        <v>8.5</v>
      </c>
      <c r="N25" s="146">
        <f t="shared" si="1"/>
        <v>91.375</v>
      </c>
      <c r="O25" s="146">
        <f t="shared" si="2"/>
        <v>51.17</v>
      </c>
      <c r="P25" s="144">
        <v>0.25</v>
      </c>
      <c r="Q25" s="144">
        <v>1.8</v>
      </c>
      <c r="R25" s="144">
        <v>1.9</v>
      </c>
      <c r="S25" s="146">
        <f t="shared" si="3"/>
        <v>1.85</v>
      </c>
      <c r="T25" s="146">
        <f t="shared" si="4"/>
        <v>44</v>
      </c>
      <c r="U25" s="146">
        <f t="shared" si="5"/>
        <v>81.400000000000006</v>
      </c>
      <c r="V25" s="146">
        <f t="shared" si="6"/>
        <v>45.58400000000001</v>
      </c>
      <c r="W25" s="146">
        <f t="shared" si="7"/>
        <v>96.754000000000019</v>
      </c>
      <c r="X25" s="147" t="s">
        <v>313</v>
      </c>
      <c r="Y25" s="148">
        <v>0.56000000000000005</v>
      </c>
      <c r="Z25" s="149">
        <v>0.25</v>
      </c>
      <c r="AA25" s="149">
        <v>0.56000000000000005</v>
      </c>
      <c r="AB25" s="149">
        <v>0.56000000000000005</v>
      </c>
      <c r="AC25" s="150">
        <f t="shared" si="8"/>
        <v>0.56000000000000005</v>
      </c>
      <c r="AD25" s="150">
        <f t="shared" si="9"/>
        <v>44</v>
      </c>
      <c r="AE25" s="150">
        <f t="shared" si="10"/>
        <v>24.64</v>
      </c>
      <c r="AF25" s="150">
        <f t="shared" si="11"/>
        <v>13.798400000000001</v>
      </c>
      <c r="AG25" s="151">
        <f t="shared" si="12"/>
        <v>110.55240000000002</v>
      </c>
    </row>
    <row r="26" spans="1:33" ht="36" customHeight="1" x14ac:dyDescent="0.3">
      <c r="A26" s="141">
        <v>16</v>
      </c>
      <c r="B26" s="142" t="s">
        <v>344</v>
      </c>
      <c r="C26" s="142" t="s">
        <v>309</v>
      </c>
      <c r="D26" s="143" t="s">
        <v>191</v>
      </c>
      <c r="E26" s="142" t="s">
        <v>345</v>
      </c>
      <c r="F26" s="142" t="s">
        <v>346</v>
      </c>
      <c r="G26" s="144">
        <v>16</v>
      </c>
      <c r="H26" s="142" t="s">
        <v>313</v>
      </c>
      <c r="I26" s="145">
        <f>IF(H26="","",IFERROR(VLOOKUP(H26,Listas!$A$4:$B$11,2,FALSE()),""))</f>
        <v>0.56000000000000005</v>
      </c>
      <c r="J26" s="144">
        <v>0.22</v>
      </c>
      <c r="K26" s="144">
        <v>7</v>
      </c>
      <c r="L26" s="144">
        <v>8</v>
      </c>
      <c r="M26" s="146">
        <f t="shared" si="0"/>
        <v>7.5</v>
      </c>
      <c r="N26" s="146">
        <f t="shared" si="1"/>
        <v>120</v>
      </c>
      <c r="O26" s="146">
        <f t="shared" si="2"/>
        <v>67.2</v>
      </c>
      <c r="P26" s="144">
        <v>0.25</v>
      </c>
      <c r="Q26" s="144">
        <v>1.5</v>
      </c>
      <c r="R26" s="144">
        <v>1.7</v>
      </c>
      <c r="S26" s="146">
        <f t="shared" si="3"/>
        <v>1.6</v>
      </c>
      <c r="T26" s="146">
        <f t="shared" si="4"/>
        <v>65</v>
      </c>
      <c r="U26" s="146">
        <f t="shared" si="5"/>
        <v>104</v>
      </c>
      <c r="V26" s="146">
        <f t="shared" si="6"/>
        <v>58.240000000000009</v>
      </c>
      <c r="W26" s="146">
        <f t="shared" si="7"/>
        <v>125.44000000000001</v>
      </c>
      <c r="X26" s="147"/>
      <c r="Y26" s="148"/>
      <c r="Z26" s="149"/>
      <c r="AA26" s="149"/>
      <c r="AB26" s="149"/>
      <c r="AC26" s="150">
        <f t="shared" si="8"/>
        <v>0</v>
      </c>
      <c r="AD26" s="150">
        <f t="shared" si="9"/>
        <v>0</v>
      </c>
      <c r="AE26" s="150">
        <f t="shared" si="10"/>
        <v>0</v>
      </c>
      <c r="AF26" s="150">
        <f t="shared" si="11"/>
        <v>0</v>
      </c>
      <c r="AG26" s="151">
        <f t="shared" si="12"/>
        <v>125.44000000000001</v>
      </c>
    </row>
    <row r="27" spans="1:33" ht="36" customHeight="1" x14ac:dyDescent="0.3">
      <c r="A27" s="141">
        <v>17</v>
      </c>
      <c r="B27" s="142" t="s">
        <v>344</v>
      </c>
      <c r="C27" s="142" t="s">
        <v>314</v>
      </c>
      <c r="D27" s="143" t="s">
        <v>310</v>
      </c>
      <c r="E27" s="142" t="s">
        <v>346</v>
      </c>
      <c r="F27" s="142" t="s">
        <v>347</v>
      </c>
      <c r="G27" s="144">
        <v>6.66</v>
      </c>
      <c r="H27" s="142" t="s">
        <v>313</v>
      </c>
      <c r="I27" s="145">
        <f>IF(H27="","",IFERROR(VLOOKUP(H27,Listas!$A$4:$B$11,2,FALSE()),""))</f>
        <v>0.56000000000000005</v>
      </c>
      <c r="J27" s="144">
        <v>0.22</v>
      </c>
      <c r="K27" s="144">
        <v>8</v>
      </c>
      <c r="L27" s="144">
        <v>8</v>
      </c>
      <c r="M27" s="146">
        <f t="shared" si="0"/>
        <v>8</v>
      </c>
      <c r="N27" s="146">
        <f t="shared" si="1"/>
        <v>53.28</v>
      </c>
      <c r="O27" s="146">
        <f t="shared" si="2"/>
        <v>29.836800000000004</v>
      </c>
      <c r="P27" s="144">
        <v>0.25</v>
      </c>
      <c r="Q27" s="144">
        <v>1.7</v>
      </c>
      <c r="R27" s="144">
        <v>1.82</v>
      </c>
      <c r="S27" s="146">
        <f t="shared" si="3"/>
        <v>1.76</v>
      </c>
      <c r="T27" s="146">
        <f t="shared" si="4"/>
        <v>27.64</v>
      </c>
      <c r="U27" s="146">
        <f t="shared" si="5"/>
        <v>48.6464</v>
      </c>
      <c r="V27" s="146">
        <f t="shared" si="6"/>
        <v>27.241984000000002</v>
      </c>
      <c r="W27" s="146">
        <f t="shared" si="7"/>
        <v>57.078784000000006</v>
      </c>
      <c r="X27" s="147" t="s">
        <v>313</v>
      </c>
      <c r="Y27" s="148">
        <v>0.56000000000000005</v>
      </c>
      <c r="Z27" s="149">
        <v>0.25</v>
      </c>
      <c r="AA27" s="149">
        <v>0.56000000000000005</v>
      </c>
      <c r="AB27" s="149">
        <v>0.56000000000000005</v>
      </c>
      <c r="AC27" s="150">
        <f t="shared" si="8"/>
        <v>0.56000000000000005</v>
      </c>
      <c r="AD27" s="150">
        <f t="shared" si="9"/>
        <v>27.64</v>
      </c>
      <c r="AE27" s="150">
        <f t="shared" si="10"/>
        <v>15.478400000000002</v>
      </c>
      <c r="AF27" s="150">
        <f t="shared" si="11"/>
        <v>8.6679040000000018</v>
      </c>
      <c r="AG27" s="151">
        <f t="shared" si="12"/>
        <v>65.746688000000006</v>
      </c>
    </row>
    <row r="28" spans="1:33" ht="36" customHeight="1" x14ac:dyDescent="0.3">
      <c r="A28" s="284" t="s">
        <v>348</v>
      </c>
      <c r="B28" s="284"/>
      <c r="C28" s="284"/>
      <c r="D28" s="284"/>
      <c r="E28" s="284"/>
      <c r="F28" s="284"/>
      <c r="G28" s="152">
        <f>SUM(G11:G27)</f>
        <v>371.39000000000004</v>
      </c>
      <c r="H28" s="152"/>
      <c r="I28" s="152"/>
      <c r="J28" s="152"/>
      <c r="K28" s="152"/>
      <c r="L28" s="152"/>
      <c r="M28" s="152"/>
      <c r="N28" s="152">
        <f>SUM(N11:N27)</f>
        <v>2931.7100000000005</v>
      </c>
      <c r="O28" s="152">
        <f>SUM(O11:O27)</f>
        <v>1641.7576000000004</v>
      </c>
      <c r="P28" s="152"/>
      <c r="Q28" s="152"/>
      <c r="R28" s="152"/>
      <c r="S28" s="152"/>
      <c r="T28" s="152"/>
      <c r="U28" s="152">
        <f>SUM(U11:U27)</f>
        <v>2686.1651999999999</v>
      </c>
      <c r="V28" s="152">
        <f>SUM(V11:V27)</f>
        <v>1504.2525120000003</v>
      </c>
      <c r="W28" s="152">
        <f>SUM(W11:W27)</f>
        <v>3146.0101119999999</v>
      </c>
      <c r="X28" s="152"/>
      <c r="Y28" s="152"/>
      <c r="Z28" s="152"/>
      <c r="AA28" s="152"/>
      <c r="AB28" s="152"/>
      <c r="AC28" s="152"/>
      <c r="AD28" s="152"/>
      <c r="AE28" s="152">
        <f>SUM(AE11:AE27)</f>
        <v>372.71360000000004</v>
      </c>
      <c r="AF28" s="152">
        <f>SUM(AF11:AF27)</f>
        <v>208.71961600000006</v>
      </c>
      <c r="AG28" s="152">
        <f>SUM(AG11:AG27)</f>
        <v>3354.7297280000007</v>
      </c>
    </row>
  </sheetData>
  <mergeCells count="11">
    <mergeCell ref="A2:AG2"/>
    <mergeCell ref="B3:AG3"/>
    <mergeCell ref="B4:AG4"/>
    <mergeCell ref="B5:AG5"/>
    <mergeCell ref="B6:AG6"/>
    <mergeCell ref="A28:F28"/>
    <mergeCell ref="A8:AG8"/>
    <mergeCell ref="A9:G9"/>
    <mergeCell ref="H9:O9"/>
    <mergeCell ref="P9:W9"/>
    <mergeCell ref="X9:AF9"/>
  </mergeCells>
  <conditionalFormatting sqref="D11:D27">
    <cfRule type="expression" dxfId="11" priority="3">
      <formula>D11="TAPADA"</formula>
    </cfRule>
    <cfRule type="expression" dxfId="10" priority="4">
      <formula>D11="ABIERTA"</formula>
    </cfRule>
  </conditionalFormatting>
  <conditionalFormatting sqref="X11:AF27">
    <cfRule type="expression" dxfId="9" priority="2">
      <formula>$D11="ABIERTA"</formula>
    </cfRule>
  </conditionalFormatting>
  <pageMargins left="0.7" right="0.7" top="0.75" bottom="0.75"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O27"/>
  <sheetViews>
    <sheetView topLeftCell="A3" zoomScaleNormal="100" workbookViewId="0">
      <selection activeCell="A27" sqref="A27:L27"/>
    </sheetView>
  </sheetViews>
  <sheetFormatPr baseColWidth="10" defaultColWidth="9.453125" defaultRowHeight="15.5" x14ac:dyDescent="0.35"/>
  <cols>
    <col min="1" max="1" width="6.54296875" style="153" customWidth="1"/>
    <col min="2" max="2" width="13.08984375" style="153" customWidth="1"/>
    <col min="3" max="3" width="18.81640625" style="153" customWidth="1"/>
    <col min="4" max="4" width="17.453125" style="153" customWidth="1"/>
    <col min="5" max="5" width="16" style="153" customWidth="1"/>
    <col min="6" max="8" width="15.26953125" style="153" customWidth="1"/>
    <col min="9" max="9" width="14.1796875" style="153" customWidth="1"/>
    <col min="10" max="10" width="16.36328125" style="153" customWidth="1"/>
    <col min="11" max="11" width="15.26953125" style="153" customWidth="1"/>
    <col min="12" max="12" width="17.453125" style="153" customWidth="1"/>
    <col min="13" max="13" width="16.36328125" style="153" customWidth="1"/>
    <col min="14" max="14" width="10.90625" style="153" customWidth="1"/>
    <col min="15" max="15" width="8.7265625" style="153" customWidth="1"/>
    <col min="16" max="16384" width="9.453125" style="153"/>
  </cols>
  <sheetData>
    <row r="1" spans="1:15" ht="24.75" customHeight="1" x14ac:dyDescent="0.35">
      <c r="A1" s="297" t="s">
        <v>349</v>
      </c>
      <c r="B1" s="297"/>
      <c r="C1" s="297"/>
      <c r="D1" s="297"/>
      <c r="E1" s="297"/>
      <c r="F1" s="297"/>
      <c r="G1" s="297"/>
      <c r="H1" s="297"/>
      <c r="I1" s="297"/>
      <c r="J1" s="297"/>
      <c r="K1" s="297"/>
      <c r="L1" s="297"/>
      <c r="M1" s="297"/>
      <c r="N1" s="297"/>
      <c r="O1" s="297"/>
    </row>
    <row r="2" spans="1:15" ht="27" customHeight="1" x14ac:dyDescent="0.35">
      <c r="A2" s="293" t="s">
        <v>1</v>
      </c>
      <c r="B2" s="293"/>
      <c r="C2" s="294" t="s">
        <v>2</v>
      </c>
      <c r="D2" s="294"/>
      <c r="E2" s="294"/>
      <c r="F2" s="294"/>
      <c r="G2" s="294"/>
      <c r="H2" s="294"/>
      <c r="I2" s="294"/>
      <c r="J2" s="294"/>
      <c r="K2" s="294"/>
      <c r="L2" s="294"/>
      <c r="M2" s="294"/>
      <c r="N2" s="294"/>
      <c r="O2" s="294"/>
    </row>
    <row r="3" spans="1:15" ht="46.5" customHeight="1" x14ac:dyDescent="0.35">
      <c r="A3" s="293" t="s">
        <v>3</v>
      </c>
      <c r="B3" s="293"/>
      <c r="C3" s="294"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94"/>
      <c r="E3" s="294"/>
      <c r="F3" s="294"/>
      <c r="G3" s="294"/>
      <c r="H3" s="294"/>
      <c r="I3" s="294"/>
      <c r="J3" s="294"/>
      <c r="K3" s="294"/>
      <c r="L3" s="294"/>
      <c r="M3" s="294"/>
      <c r="N3" s="294"/>
      <c r="O3" s="294"/>
    </row>
    <row r="4" spans="1:15" ht="27" customHeight="1" x14ac:dyDescent="0.35">
      <c r="A4" s="293" t="s">
        <v>5</v>
      </c>
      <c r="B4" s="293"/>
      <c r="C4" s="294" t="str">
        <f>+RESUMEN!B6</f>
        <v>SAN MARTIN - SAN MARTIN - MORALES</v>
      </c>
      <c r="D4" s="294"/>
      <c r="E4" s="294"/>
      <c r="F4" s="294"/>
      <c r="G4" s="294"/>
      <c r="H4" s="294"/>
      <c r="I4" s="294"/>
      <c r="J4" s="294"/>
      <c r="K4" s="154" t="s">
        <v>7</v>
      </c>
      <c r="L4" s="295">
        <f>+RESUMEN!B7</f>
        <v>46266</v>
      </c>
      <c r="M4" s="295"/>
      <c r="N4" s="295"/>
      <c r="O4" s="295"/>
    </row>
    <row r="6" spans="1:15" ht="36.75" customHeight="1" x14ac:dyDescent="0.35">
      <c r="A6" s="155" t="s">
        <v>275</v>
      </c>
      <c r="B6" s="155" t="s">
        <v>276</v>
      </c>
      <c r="C6" s="155" t="s">
        <v>277</v>
      </c>
      <c r="D6" s="155" t="s">
        <v>278</v>
      </c>
      <c r="E6" s="155" t="s">
        <v>232</v>
      </c>
      <c r="F6" s="155" t="s">
        <v>350</v>
      </c>
      <c r="G6" s="155" t="s">
        <v>351</v>
      </c>
      <c r="H6" s="155" t="s">
        <v>352</v>
      </c>
      <c r="I6" s="155" t="s">
        <v>353</v>
      </c>
      <c r="J6" s="155" t="s">
        <v>354</v>
      </c>
      <c r="K6" s="155" t="s">
        <v>355</v>
      </c>
      <c r="L6" s="155" t="s">
        <v>356</v>
      </c>
      <c r="M6" s="155" t="s">
        <v>357</v>
      </c>
      <c r="N6" s="155" t="s">
        <v>358</v>
      </c>
      <c r="O6" s="155" t="s">
        <v>359</v>
      </c>
    </row>
    <row r="7" spans="1:15" ht="33" customHeight="1" x14ac:dyDescent="0.35">
      <c r="A7" s="156">
        <v>1</v>
      </c>
      <c r="B7" s="157" t="s">
        <v>308</v>
      </c>
      <c r="C7" s="157" t="s">
        <v>309</v>
      </c>
      <c r="D7" s="143" t="s">
        <v>191</v>
      </c>
      <c r="E7" s="158">
        <v>13.2</v>
      </c>
      <c r="F7" s="144">
        <v>0.4</v>
      </c>
      <c r="G7" s="158">
        <v>0.3</v>
      </c>
      <c r="H7" s="158">
        <v>0.37</v>
      </c>
      <c r="I7" s="150">
        <f t="shared" ref="I7:I25" si="0">IF(B7="","",(G7+H7)/2)</f>
        <v>0.33499999999999996</v>
      </c>
      <c r="J7" s="150">
        <f t="shared" ref="J7:J25" si="1">IF(B7="","",2*E7*I7)</f>
        <v>8.8439999999999994</v>
      </c>
      <c r="K7" s="150">
        <f t="shared" ref="K7:K25" si="2">IF(B7="","",E7*F7)</f>
        <v>5.28</v>
      </c>
      <c r="L7" s="150">
        <f t="shared" ref="L7:L25" si="3">IF(B7="","",IF(D7="TAPADA",E7*F7,0))</f>
        <v>0</v>
      </c>
      <c r="M7" s="159">
        <f t="shared" ref="M7:M25" si="4">SUM(J7:L7)</f>
        <v>14.123999999999999</v>
      </c>
      <c r="N7" s="160">
        <f t="shared" ref="N7:N25" si="5">IF(B7="","",IF(D7="TAPADA",4,3))</f>
        <v>3</v>
      </c>
      <c r="O7" s="161" t="s">
        <v>18</v>
      </c>
    </row>
    <row r="8" spans="1:15" ht="33" customHeight="1" x14ac:dyDescent="0.35">
      <c r="A8" s="156">
        <v>2</v>
      </c>
      <c r="B8" s="157" t="s">
        <v>308</v>
      </c>
      <c r="C8" s="157" t="s">
        <v>314</v>
      </c>
      <c r="D8" s="143" t="s">
        <v>310</v>
      </c>
      <c r="E8" s="158">
        <v>6</v>
      </c>
      <c r="F8" s="144">
        <v>0.4</v>
      </c>
      <c r="G8" s="158">
        <v>0.37</v>
      </c>
      <c r="H8" s="158">
        <v>0.4</v>
      </c>
      <c r="I8" s="150">
        <f t="shared" si="0"/>
        <v>0.38500000000000001</v>
      </c>
      <c r="J8" s="150">
        <f t="shared" si="1"/>
        <v>4.62</v>
      </c>
      <c r="K8" s="150">
        <f t="shared" si="2"/>
        <v>2.4000000000000004</v>
      </c>
      <c r="L8" s="150">
        <f t="shared" si="3"/>
        <v>2.4000000000000004</v>
      </c>
      <c r="M8" s="159">
        <f t="shared" si="4"/>
        <v>9.4200000000000017</v>
      </c>
      <c r="N8" s="160">
        <f t="shared" si="5"/>
        <v>4</v>
      </c>
      <c r="O8" s="161" t="s">
        <v>18</v>
      </c>
    </row>
    <row r="9" spans="1:15" ht="33" customHeight="1" x14ac:dyDescent="0.35">
      <c r="A9" s="156">
        <v>3</v>
      </c>
      <c r="B9" s="157" t="s">
        <v>308</v>
      </c>
      <c r="C9" s="157" t="s">
        <v>316</v>
      </c>
      <c r="D9" s="143" t="s">
        <v>191</v>
      </c>
      <c r="E9" s="158">
        <v>58.1</v>
      </c>
      <c r="F9" s="144">
        <v>0.4</v>
      </c>
      <c r="G9" s="158">
        <v>0.4</v>
      </c>
      <c r="H9" s="158">
        <v>0.68</v>
      </c>
      <c r="I9" s="150">
        <f t="shared" si="0"/>
        <v>0.54</v>
      </c>
      <c r="J9" s="150">
        <f t="shared" si="1"/>
        <v>62.748000000000005</v>
      </c>
      <c r="K9" s="150">
        <f t="shared" si="2"/>
        <v>23.240000000000002</v>
      </c>
      <c r="L9" s="150">
        <f t="shared" si="3"/>
        <v>0</v>
      </c>
      <c r="M9" s="159">
        <f t="shared" si="4"/>
        <v>85.988</v>
      </c>
      <c r="N9" s="160">
        <f t="shared" si="5"/>
        <v>3</v>
      </c>
      <c r="O9" s="161" t="s">
        <v>18</v>
      </c>
    </row>
    <row r="10" spans="1:15" ht="33" customHeight="1" x14ac:dyDescent="0.35">
      <c r="A10" s="156">
        <v>4</v>
      </c>
      <c r="B10" s="157" t="s">
        <v>308</v>
      </c>
      <c r="C10" s="157" t="s">
        <v>360</v>
      </c>
      <c r="D10" s="143" t="s">
        <v>310</v>
      </c>
      <c r="E10" s="158">
        <v>34.229999999999997</v>
      </c>
      <c r="F10" s="144">
        <v>0.4</v>
      </c>
      <c r="G10" s="158">
        <v>0.68</v>
      </c>
      <c r="H10" s="158">
        <v>0.75</v>
      </c>
      <c r="I10" s="150">
        <f t="shared" si="0"/>
        <v>0.71500000000000008</v>
      </c>
      <c r="J10" s="150">
        <f t="shared" si="1"/>
        <v>48.948900000000002</v>
      </c>
      <c r="K10" s="150">
        <f t="shared" si="2"/>
        <v>13.692</v>
      </c>
      <c r="L10" s="150">
        <f t="shared" si="3"/>
        <v>13.692</v>
      </c>
      <c r="M10" s="159">
        <f t="shared" si="4"/>
        <v>76.332899999999995</v>
      </c>
      <c r="N10" s="160">
        <f t="shared" si="5"/>
        <v>4</v>
      </c>
      <c r="O10" s="161" t="s">
        <v>18</v>
      </c>
    </row>
    <row r="11" spans="1:15" ht="33" customHeight="1" x14ac:dyDescent="0.35">
      <c r="A11" s="156">
        <v>5</v>
      </c>
      <c r="B11" s="157" t="s">
        <v>318</v>
      </c>
      <c r="C11" s="157" t="s">
        <v>309</v>
      </c>
      <c r="D11" s="143" t="s">
        <v>191</v>
      </c>
      <c r="E11" s="158">
        <v>34.25</v>
      </c>
      <c r="F11" s="144">
        <v>0.4</v>
      </c>
      <c r="G11" s="158">
        <v>0.3</v>
      </c>
      <c r="H11" s="158">
        <v>0.47</v>
      </c>
      <c r="I11" s="150">
        <f t="shared" si="0"/>
        <v>0.38500000000000001</v>
      </c>
      <c r="J11" s="150">
        <f t="shared" si="1"/>
        <v>26.372500000000002</v>
      </c>
      <c r="K11" s="150">
        <f t="shared" si="2"/>
        <v>13.700000000000001</v>
      </c>
      <c r="L11" s="150">
        <f t="shared" si="3"/>
        <v>0</v>
      </c>
      <c r="M11" s="159">
        <f t="shared" si="4"/>
        <v>40.072500000000005</v>
      </c>
      <c r="N11" s="160">
        <f t="shared" si="5"/>
        <v>3</v>
      </c>
      <c r="O11" s="161" t="s">
        <v>18</v>
      </c>
    </row>
    <row r="12" spans="1:15" ht="39.75" customHeight="1" x14ac:dyDescent="0.35">
      <c r="A12" s="156">
        <v>6</v>
      </c>
      <c r="B12" s="157" t="s">
        <v>321</v>
      </c>
      <c r="C12" s="157" t="s">
        <v>309</v>
      </c>
      <c r="D12" s="143" t="s">
        <v>191</v>
      </c>
      <c r="E12" s="158">
        <v>22.4</v>
      </c>
      <c r="F12" s="144">
        <v>0.4</v>
      </c>
      <c r="G12" s="158">
        <v>0.3</v>
      </c>
      <c r="H12" s="158">
        <v>0.42</v>
      </c>
      <c r="I12" s="150">
        <f t="shared" si="0"/>
        <v>0.36</v>
      </c>
      <c r="J12" s="150">
        <f t="shared" si="1"/>
        <v>16.128</v>
      </c>
      <c r="K12" s="150">
        <f t="shared" si="2"/>
        <v>8.9599999999999991</v>
      </c>
      <c r="L12" s="150">
        <f t="shared" si="3"/>
        <v>0</v>
      </c>
      <c r="M12" s="159">
        <f t="shared" si="4"/>
        <v>25.088000000000001</v>
      </c>
      <c r="N12" s="160">
        <f t="shared" si="5"/>
        <v>3</v>
      </c>
      <c r="O12" s="161" t="s">
        <v>18</v>
      </c>
    </row>
    <row r="13" spans="1:15" ht="33" customHeight="1" x14ac:dyDescent="0.35">
      <c r="A13" s="156">
        <v>7</v>
      </c>
      <c r="B13" s="157" t="s">
        <v>324</v>
      </c>
      <c r="C13" s="157" t="s">
        <v>309</v>
      </c>
      <c r="D13" s="143" t="s">
        <v>191</v>
      </c>
      <c r="E13" s="158">
        <v>13.65</v>
      </c>
      <c r="F13" s="144">
        <v>0.4</v>
      </c>
      <c r="G13" s="158">
        <v>0.3</v>
      </c>
      <c r="H13" s="158">
        <v>0.36</v>
      </c>
      <c r="I13" s="150">
        <f t="shared" si="0"/>
        <v>0.32999999999999996</v>
      </c>
      <c r="J13" s="150">
        <f t="shared" si="1"/>
        <v>9.0089999999999986</v>
      </c>
      <c r="K13" s="150">
        <f t="shared" si="2"/>
        <v>5.4600000000000009</v>
      </c>
      <c r="L13" s="150">
        <f t="shared" si="3"/>
        <v>0</v>
      </c>
      <c r="M13" s="159">
        <f t="shared" si="4"/>
        <v>14.468999999999999</v>
      </c>
      <c r="N13" s="160">
        <f t="shared" si="5"/>
        <v>3</v>
      </c>
      <c r="O13" s="161" t="s">
        <v>18</v>
      </c>
    </row>
    <row r="14" spans="1:15" ht="33" customHeight="1" x14ac:dyDescent="0.35">
      <c r="A14" s="156">
        <v>8</v>
      </c>
      <c r="B14" s="157" t="s">
        <v>324</v>
      </c>
      <c r="C14" s="157" t="s">
        <v>314</v>
      </c>
      <c r="D14" s="143" t="s">
        <v>310</v>
      </c>
      <c r="E14" s="158">
        <v>5.5</v>
      </c>
      <c r="F14" s="144">
        <v>0.4</v>
      </c>
      <c r="G14" s="158">
        <v>0.36</v>
      </c>
      <c r="H14" s="158">
        <v>0.4</v>
      </c>
      <c r="I14" s="150">
        <f t="shared" si="0"/>
        <v>0.38</v>
      </c>
      <c r="J14" s="150">
        <f t="shared" si="1"/>
        <v>4.18</v>
      </c>
      <c r="K14" s="150">
        <f t="shared" si="2"/>
        <v>2.2000000000000002</v>
      </c>
      <c r="L14" s="150">
        <f t="shared" si="3"/>
        <v>2.2000000000000002</v>
      </c>
      <c r="M14" s="159">
        <f t="shared" si="4"/>
        <v>8.58</v>
      </c>
      <c r="N14" s="160">
        <f t="shared" si="5"/>
        <v>4</v>
      </c>
      <c r="O14" s="161" t="s">
        <v>18</v>
      </c>
    </row>
    <row r="15" spans="1:15" ht="33" customHeight="1" x14ac:dyDescent="0.35">
      <c r="A15" s="156">
        <v>9</v>
      </c>
      <c r="B15" s="157" t="s">
        <v>324</v>
      </c>
      <c r="C15" s="157" t="s">
        <v>316</v>
      </c>
      <c r="D15" s="143" t="s">
        <v>191</v>
      </c>
      <c r="E15" s="158">
        <v>58</v>
      </c>
      <c r="F15" s="144">
        <v>0.4</v>
      </c>
      <c r="G15" s="158">
        <v>0.4</v>
      </c>
      <c r="H15" s="158">
        <v>0.68</v>
      </c>
      <c r="I15" s="150">
        <f t="shared" si="0"/>
        <v>0.54</v>
      </c>
      <c r="J15" s="150">
        <f t="shared" si="1"/>
        <v>62.64</v>
      </c>
      <c r="K15" s="150">
        <f t="shared" si="2"/>
        <v>23.200000000000003</v>
      </c>
      <c r="L15" s="150">
        <f t="shared" si="3"/>
        <v>0</v>
      </c>
      <c r="M15" s="159">
        <f t="shared" si="4"/>
        <v>85.84</v>
      </c>
      <c r="N15" s="160">
        <f t="shared" si="5"/>
        <v>3</v>
      </c>
      <c r="O15" s="161" t="s">
        <v>18</v>
      </c>
    </row>
    <row r="16" spans="1:15" ht="33" customHeight="1" x14ac:dyDescent="0.35">
      <c r="A16" s="156">
        <v>10</v>
      </c>
      <c r="B16" s="157" t="s">
        <v>324</v>
      </c>
      <c r="C16" s="157" t="s">
        <v>360</v>
      </c>
      <c r="D16" s="143" t="s">
        <v>310</v>
      </c>
      <c r="E16" s="158">
        <v>25.16</v>
      </c>
      <c r="F16" s="144">
        <v>0.4</v>
      </c>
      <c r="G16" s="158">
        <v>0.68</v>
      </c>
      <c r="H16" s="158">
        <v>0.7</v>
      </c>
      <c r="I16" s="150">
        <f t="shared" si="0"/>
        <v>0.69</v>
      </c>
      <c r="J16" s="150">
        <f t="shared" si="1"/>
        <v>34.720799999999997</v>
      </c>
      <c r="K16" s="150">
        <f t="shared" si="2"/>
        <v>10.064</v>
      </c>
      <c r="L16" s="150">
        <f t="shared" si="3"/>
        <v>10.064</v>
      </c>
      <c r="M16" s="159">
        <f t="shared" si="4"/>
        <v>54.848799999999997</v>
      </c>
      <c r="N16" s="160">
        <f t="shared" si="5"/>
        <v>4</v>
      </c>
      <c r="O16" s="161" t="s">
        <v>18</v>
      </c>
    </row>
    <row r="17" spans="1:15" ht="33" customHeight="1" x14ac:dyDescent="0.35">
      <c r="A17" s="156">
        <v>11</v>
      </c>
      <c r="B17" s="157" t="s">
        <v>329</v>
      </c>
      <c r="C17" s="157" t="s">
        <v>309</v>
      </c>
      <c r="D17" s="143" t="s">
        <v>191</v>
      </c>
      <c r="E17" s="158">
        <v>32.299999999999997</v>
      </c>
      <c r="F17" s="144">
        <v>0.4</v>
      </c>
      <c r="G17" s="158">
        <v>0.3</v>
      </c>
      <c r="H17" s="158">
        <v>0.46</v>
      </c>
      <c r="I17" s="150">
        <f t="shared" si="0"/>
        <v>0.38</v>
      </c>
      <c r="J17" s="150">
        <f t="shared" si="1"/>
        <v>24.547999999999998</v>
      </c>
      <c r="K17" s="150">
        <f t="shared" si="2"/>
        <v>12.92</v>
      </c>
      <c r="L17" s="150">
        <f t="shared" si="3"/>
        <v>0</v>
      </c>
      <c r="M17" s="159">
        <f t="shared" si="4"/>
        <v>37.467999999999996</v>
      </c>
      <c r="N17" s="160">
        <f t="shared" si="5"/>
        <v>3</v>
      </c>
      <c r="O17" s="161" t="s">
        <v>18</v>
      </c>
    </row>
    <row r="18" spans="1:15" ht="33" customHeight="1" x14ac:dyDescent="0.35">
      <c r="A18" s="156">
        <v>12</v>
      </c>
      <c r="B18" s="157" t="s">
        <v>329</v>
      </c>
      <c r="C18" s="157" t="s">
        <v>314</v>
      </c>
      <c r="D18" s="143" t="s">
        <v>310</v>
      </c>
      <c r="E18" s="158">
        <v>9.9</v>
      </c>
      <c r="F18" s="144">
        <v>0.4</v>
      </c>
      <c r="G18" s="158">
        <v>0.46</v>
      </c>
      <c r="H18" s="158">
        <v>0.51</v>
      </c>
      <c r="I18" s="150">
        <f t="shared" si="0"/>
        <v>0.48499999999999999</v>
      </c>
      <c r="J18" s="150">
        <f t="shared" si="1"/>
        <v>9.6029999999999998</v>
      </c>
      <c r="K18" s="150">
        <f t="shared" si="2"/>
        <v>3.9600000000000004</v>
      </c>
      <c r="L18" s="150">
        <f t="shared" si="3"/>
        <v>3.9600000000000004</v>
      </c>
      <c r="M18" s="159">
        <f t="shared" si="4"/>
        <v>17.523</v>
      </c>
      <c r="N18" s="160">
        <f t="shared" si="5"/>
        <v>4</v>
      </c>
      <c r="O18" s="161" t="s">
        <v>18</v>
      </c>
    </row>
    <row r="19" spans="1:15" ht="33" customHeight="1" x14ac:dyDescent="0.35">
      <c r="A19" s="156">
        <v>13</v>
      </c>
      <c r="B19" s="157" t="s">
        <v>333</v>
      </c>
      <c r="C19" s="157" t="s">
        <v>309</v>
      </c>
      <c r="D19" s="143" t="s">
        <v>191</v>
      </c>
      <c r="E19" s="158">
        <v>32.5</v>
      </c>
      <c r="F19" s="144">
        <v>0.4</v>
      </c>
      <c r="G19" s="158">
        <v>0.3</v>
      </c>
      <c r="H19" s="158">
        <v>0.46</v>
      </c>
      <c r="I19" s="150">
        <f t="shared" si="0"/>
        <v>0.38</v>
      </c>
      <c r="J19" s="150">
        <f t="shared" si="1"/>
        <v>24.7</v>
      </c>
      <c r="K19" s="150">
        <f t="shared" si="2"/>
        <v>13</v>
      </c>
      <c r="L19" s="150">
        <f t="shared" si="3"/>
        <v>0</v>
      </c>
      <c r="M19" s="159">
        <f t="shared" si="4"/>
        <v>37.700000000000003</v>
      </c>
      <c r="N19" s="160">
        <f t="shared" si="5"/>
        <v>3</v>
      </c>
      <c r="O19" s="161" t="s">
        <v>18</v>
      </c>
    </row>
    <row r="20" spans="1:15" ht="33" customHeight="1" x14ac:dyDescent="0.35">
      <c r="A20" s="156">
        <v>14</v>
      </c>
      <c r="B20" s="157" t="s">
        <v>333</v>
      </c>
      <c r="C20" s="157" t="s">
        <v>314</v>
      </c>
      <c r="D20" s="143" t="s">
        <v>310</v>
      </c>
      <c r="E20" s="158">
        <v>66.19</v>
      </c>
      <c r="F20" s="144">
        <v>0.4</v>
      </c>
      <c r="G20" s="158">
        <v>0.46</v>
      </c>
      <c r="H20" s="158">
        <v>0.69</v>
      </c>
      <c r="I20" s="150">
        <f t="shared" si="0"/>
        <v>0.57499999999999996</v>
      </c>
      <c r="J20" s="150">
        <f t="shared" si="1"/>
        <v>76.118499999999997</v>
      </c>
      <c r="K20" s="150">
        <f t="shared" si="2"/>
        <v>26.475999999999999</v>
      </c>
      <c r="L20" s="150">
        <f t="shared" si="3"/>
        <v>26.475999999999999</v>
      </c>
      <c r="M20" s="159">
        <f t="shared" si="4"/>
        <v>129.07049999999998</v>
      </c>
      <c r="N20" s="160">
        <f t="shared" si="5"/>
        <v>4</v>
      </c>
      <c r="O20" s="161" t="s">
        <v>18</v>
      </c>
    </row>
    <row r="21" spans="1:15" ht="33" customHeight="1" x14ac:dyDescent="0.35">
      <c r="A21" s="156">
        <v>15</v>
      </c>
      <c r="B21" s="157" t="s">
        <v>337</v>
      </c>
      <c r="C21" s="157" t="s">
        <v>309</v>
      </c>
      <c r="D21" s="143" t="s">
        <v>191</v>
      </c>
      <c r="E21" s="158">
        <v>23.6</v>
      </c>
      <c r="F21" s="144">
        <v>0.4</v>
      </c>
      <c r="G21" s="158">
        <v>0.3</v>
      </c>
      <c r="H21" s="158">
        <v>0.41</v>
      </c>
      <c r="I21" s="150">
        <f t="shared" si="0"/>
        <v>0.35499999999999998</v>
      </c>
      <c r="J21" s="150">
        <f t="shared" si="1"/>
        <v>16.756</v>
      </c>
      <c r="K21" s="150">
        <f t="shared" si="2"/>
        <v>9.4400000000000013</v>
      </c>
      <c r="L21" s="150">
        <f t="shared" si="3"/>
        <v>0</v>
      </c>
      <c r="M21" s="159">
        <f t="shared" si="4"/>
        <v>26.196000000000002</v>
      </c>
      <c r="N21" s="160">
        <f t="shared" si="5"/>
        <v>3</v>
      </c>
      <c r="O21" s="161" t="s">
        <v>18</v>
      </c>
    </row>
    <row r="22" spans="1:15" ht="33" customHeight="1" x14ac:dyDescent="0.35">
      <c r="A22" s="156">
        <v>16</v>
      </c>
      <c r="B22" s="157" t="s">
        <v>340</v>
      </c>
      <c r="C22" s="157" t="s">
        <v>309</v>
      </c>
      <c r="D22" s="143" t="s">
        <v>191</v>
      </c>
      <c r="E22" s="158">
        <v>49.85</v>
      </c>
      <c r="F22" s="144">
        <v>0.4</v>
      </c>
      <c r="G22" s="158">
        <v>0.3</v>
      </c>
      <c r="H22" s="158">
        <v>0.55000000000000004</v>
      </c>
      <c r="I22" s="150">
        <f t="shared" si="0"/>
        <v>0.42500000000000004</v>
      </c>
      <c r="J22" s="150">
        <f t="shared" si="1"/>
        <v>42.372500000000002</v>
      </c>
      <c r="K22" s="150">
        <f t="shared" si="2"/>
        <v>19.940000000000001</v>
      </c>
      <c r="L22" s="150">
        <f t="shared" si="3"/>
        <v>0</v>
      </c>
      <c r="M22" s="159">
        <f t="shared" si="4"/>
        <v>62.3125</v>
      </c>
      <c r="N22" s="160">
        <f t="shared" si="5"/>
        <v>3</v>
      </c>
      <c r="O22" s="161" t="s">
        <v>18</v>
      </c>
    </row>
    <row r="23" spans="1:15" ht="33" customHeight="1" x14ac:dyDescent="0.35">
      <c r="A23" s="156">
        <v>17</v>
      </c>
      <c r="B23" s="157" t="s">
        <v>340</v>
      </c>
      <c r="C23" s="157" t="s">
        <v>314</v>
      </c>
      <c r="D23" s="143" t="s">
        <v>310</v>
      </c>
      <c r="E23" s="158">
        <v>10.75</v>
      </c>
      <c r="F23" s="144">
        <v>0.4</v>
      </c>
      <c r="G23" s="158">
        <v>0.55000000000000004</v>
      </c>
      <c r="H23" s="158">
        <v>0.6</v>
      </c>
      <c r="I23" s="150">
        <f t="shared" si="0"/>
        <v>0.57499999999999996</v>
      </c>
      <c r="J23" s="150">
        <f t="shared" si="1"/>
        <v>12.362499999999999</v>
      </c>
      <c r="K23" s="150">
        <f t="shared" si="2"/>
        <v>4.3</v>
      </c>
      <c r="L23" s="150">
        <f t="shared" si="3"/>
        <v>4.3</v>
      </c>
      <c r="M23" s="159">
        <f t="shared" si="4"/>
        <v>20.962499999999999</v>
      </c>
      <c r="N23" s="160">
        <f t="shared" si="5"/>
        <v>4</v>
      </c>
      <c r="O23" s="161" t="s">
        <v>18</v>
      </c>
    </row>
    <row r="24" spans="1:15" ht="33" customHeight="1" x14ac:dyDescent="0.35">
      <c r="A24" s="156">
        <v>18</v>
      </c>
      <c r="B24" s="157" t="s">
        <v>344</v>
      </c>
      <c r="C24" s="157" t="s">
        <v>309</v>
      </c>
      <c r="D24" s="143" t="s">
        <v>191</v>
      </c>
      <c r="E24" s="158">
        <v>36</v>
      </c>
      <c r="F24" s="144">
        <v>0.4</v>
      </c>
      <c r="G24" s="158">
        <v>0.3</v>
      </c>
      <c r="H24" s="158">
        <v>0.5</v>
      </c>
      <c r="I24" s="150">
        <f t="shared" si="0"/>
        <v>0.4</v>
      </c>
      <c r="J24" s="150">
        <f t="shared" si="1"/>
        <v>28.8</v>
      </c>
      <c r="K24" s="150">
        <f t="shared" si="2"/>
        <v>14.4</v>
      </c>
      <c r="L24" s="150">
        <f t="shared" si="3"/>
        <v>0</v>
      </c>
      <c r="M24" s="159">
        <f t="shared" si="4"/>
        <v>43.2</v>
      </c>
      <c r="N24" s="160">
        <f t="shared" si="5"/>
        <v>3</v>
      </c>
      <c r="O24" s="161" t="s">
        <v>18</v>
      </c>
    </row>
    <row r="25" spans="1:15" ht="33" customHeight="1" x14ac:dyDescent="0.35">
      <c r="A25" s="156">
        <v>19</v>
      </c>
      <c r="B25" s="157" t="s">
        <v>344</v>
      </c>
      <c r="C25" s="157" t="s">
        <v>314</v>
      </c>
      <c r="D25" s="143" t="s">
        <v>310</v>
      </c>
      <c r="E25" s="158">
        <v>6.66</v>
      </c>
      <c r="F25" s="144">
        <v>0.4</v>
      </c>
      <c r="G25" s="158">
        <v>0.5</v>
      </c>
      <c r="H25" s="158">
        <v>0.56000000000000005</v>
      </c>
      <c r="I25" s="150">
        <f t="shared" si="0"/>
        <v>0.53</v>
      </c>
      <c r="J25" s="150">
        <f t="shared" si="1"/>
        <v>7.0596000000000005</v>
      </c>
      <c r="K25" s="150">
        <f t="shared" si="2"/>
        <v>2.6640000000000001</v>
      </c>
      <c r="L25" s="150">
        <f t="shared" si="3"/>
        <v>2.6640000000000001</v>
      </c>
      <c r="M25" s="159">
        <f t="shared" si="4"/>
        <v>12.387600000000001</v>
      </c>
      <c r="N25" s="160">
        <f t="shared" si="5"/>
        <v>4</v>
      </c>
      <c r="O25" s="161" t="s">
        <v>18</v>
      </c>
    </row>
    <row r="27" spans="1:15" ht="22.5" customHeight="1" x14ac:dyDescent="0.35">
      <c r="A27" s="296" t="s">
        <v>361</v>
      </c>
      <c r="B27" s="296"/>
      <c r="C27" s="296"/>
      <c r="D27" s="296"/>
      <c r="E27" s="296"/>
      <c r="F27" s="296"/>
      <c r="G27" s="296"/>
      <c r="H27" s="296"/>
      <c r="I27" s="296"/>
      <c r="J27" s="296"/>
      <c r="K27" s="296"/>
      <c r="L27" s="296"/>
      <c r="M27" s="162">
        <f>SUM(M7:M25)</f>
        <v>801.58330000000001</v>
      </c>
      <c r="N27" s="162"/>
      <c r="O27" s="162" t="s">
        <v>18</v>
      </c>
    </row>
  </sheetData>
  <mergeCells count="9">
    <mergeCell ref="A4:B4"/>
    <mergeCell ref="C4:J4"/>
    <mergeCell ref="L4:O4"/>
    <mergeCell ref="A27:L27"/>
    <mergeCell ref="A1:O1"/>
    <mergeCell ref="A2:B2"/>
    <mergeCell ref="C2:O2"/>
    <mergeCell ref="A3:B3"/>
    <mergeCell ref="C3:O3"/>
  </mergeCells>
  <conditionalFormatting sqref="D7:D25">
    <cfRule type="expression" dxfId="8" priority="2">
      <formula>D7="TAPADA"</formula>
    </cfRule>
    <cfRule type="expression" dxfId="7" priority="3">
      <formula>D7="ABIERTA"</formula>
    </cfRule>
  </conditionalFormatting>
  <conditionalFormatting sqref="L7:L25">
    <cfRule type="expression" dxfId="6" priority="4">
      <formula>$D7="ABIERTA"</formula>
    </cfRule>
  </conditionalFormatting>
  <pageMargins left="0.7" right="0.7" top="0.75" bottom="0.75"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27"/>
  <sheetViews>
    <sheetView topLeftCell="A4" zoomScale="115" zoomScaleNormal="115" zoomScalePageLayoutView="115" workbookViewId="0">
      <selection activeCell="I18" sqref="I18"/>
    </sheetView>
  </sheetViews>
  <sheetFormatPr baseColWidth="10" defaultColWidth="9.453125" defaultRowHeight="14" x14ac:dyDescent="0.3"/>
  <cols>
    <col min="1" max="1" width="6.54296875" style="132" customWidth="1"/>
    <col min="2" max="2" width="15.90625" style="132" customWidth="1"/>
    <col min="3" max="3" width="18.81640625" style="132" customWidth="1"/>
    <col min="4" max="4" width="17.453125" style="132" customWidth="1"/>
    <col min="5" max="5" width="14.7265625" style="132" customWidth="1"/>
    <col min="6" max="6" width="19.6328125" style="132" customWidth="1"/>
    <col min="7" max="7" width="27" style="132" customWidth="1"/>
    <col min="8" max="8" width="8.7265625" style="132" customWidth="1"/>
    <col min="9" max="16384" width="9.453125" style="132"/>
  </cols>
  <sheetData>
    <row r="1" spans="1:8" ht="21" customHeight="1" x14ac:dyDescent="0.3">
      <c r="A1" s="301" t="s">
        <v>362</v>
      </c>
      <c r="B1" s="301"/>
      <c r="C1" s="301"/>
      <c r="D1" s="301"/>
      <c r="E1" s="301"/>
      <c r="F1" s="301"/>
      <c r="G1" s="301"/>
      <c r="H1" s="301"/>
    </row>
    <row r="2" spans="1:8" ht="22.5" customHeight="1" x14ac:dyDescent="0.3">
      <c r="A2" s="298" t="s">
        <v>1</v>
      </c>
      <c r="B2" s="298"/>
      <c r="C2" s="302" t="s">
        <v>2</v>
      </c>
      <c r="D2" s="302"/>
      <c r="E2" s="302"/>
      <c r="F2" s="302"/>
      <c r="G2" s="302"/>
      <c r="H2" s="302"/>
    </row>
    <row r="3" spans="1:8" ht="54" customHeight="1" x14ac:dyDescent="0.3">
      <c r="A3" s="298" t="s">
        <v>3</v>
      </c>
      <c r="B3" s="298"/>
      <c r="C3" s="30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2"/>
      <c r="E3" s="302"/>
      <c r="F3" s="302"/>
      <c r="G3" s="302"/>
      <c r="H3" s="302"/>
    </row>
    <row r="4" spans="1:8" ht="24" customHeight="1" x14ac:dyDescent="0.3">
      <c r="A4" s="298" t="s">
        <v>5</v>
      </c>
      <c r="B4" s="298"/>
      <c r="C4" s="299" t="str">
        <f>+RESUMEN!B6</f>
        <v>SAN MARTIN - SAN MARTIN - MORALES</v>
      </c>
      <c r="D4" s="299"/>
      <c r="E4" s="299"/>
      <c r="F4" s="299"/>
      <c r="G4" s="163" t="s">
        <v>7</v>
      </c>
      <c r="H4" s="164">
        <f>+RESUMEN!B7</f>
        <v>46266</v>
      </c>
    </row>
    <row r="6" spans="1:8" ht="31.5" customHeight="1" x14ac:dyDescent="0.3">
      <c r="A6" s="165" t="s">
        <v>275</v>
      </c>
      <c r="B6" s="165" t="s">
        <v>276</v>
      </c>
      <c r="C6" s="165" t="s">
        <v>277</v>
      </c>
      <c r="D6" s="165" t="s">
        <v>278</v>
      </c>
      <c r="E6" s="165" t="s">
        <v>363</v>
      </c>
      <c r="F6" s="165" t="s">
        <v>364</v>
      </c>
      <c r="G6" s="165" t="s">
        <v>365</v>
      </c>
      <c r="H6" s="165" t="s">
        <v>359</v>
      </c>
    </row>
    <row r="7" spans="1:8" ht="30" customHeight="1" x14ac:dyDescent="0.3">
      <c r="A7" s="156">
        <v>1</v>
      </c>
      <c r="B7" s="157" t="s">
        <v>308</v>
      </c>
      <c r="C7" s="157" t="s">
        <v>309</v>
      </c>
      <c r="D7" s="143" t="s">
        <v>191</v>
      </c>
      <c r="E7" s="158">
        <v>13.2</v>
      </c>
      <c r="F7" s="166">
        <v>0</v>
      </c>
      <c r="G7" s="167">
        <f t="shared" ref="G7:G25" si="0">IF(B7="","",IF(D7="ABIERTA",IF(E7-F7&lt;0,0,E7-F7),0))</f>
        <v>13.2</v>
      </c>
      <c r="H7" s="168" t="s">
        <v>65</v>
      </c>
    </row>
    <row r="8" spans="1:8" ht="33" customHeight="1" x14ac:dyDescent="0.3">
      <c r="A8" s="156">
        <v>2</v>
      </c>
      <c r="B8" s="157" t="s">
        <v>308</v>
      </c>
      <c r="C8" s="157" t="s">
        <v>314</v>
      </c>
      <c r="D8" s="143" t="s">
        <v>310</v>
      </c>
      <c r="E8" s="158">
        <v>6</v>
      </c>
      <c r="F8" s="166">
        <v>0</v>
      </c>
      <c r="G8" s="167">
        <f t="shared" si="0"/>
        <v>0</v>
      </c>
      <c r="H8" s="168" t="s">
        <v>65</v>
      </c>
    </row>
    <row r="9" spans="1:8" ht="28.5" customHeight="1" x14ac:dyDescent="0.3">
      <c r="A9" s="156">
        <v>3</v>
      </c>
      <c r="B9" s="157" t="s">
        <v>308</v>
      </c>
      <c r="C9" s="157" t="s">
        <v>316</v>
      </c>
      <c r="D9" s="143" t="s">
        <v>191</v>
      </c>
      <c r="E9" s="158">
        <v>58.1</v>
      </c>
      <c r="F9" s="166">
        <v>0</v>
      </c>
      <c r="G9" s="167">
        <f t="shared" si="0"/>
        <v>58.1</v>
      </c>
      <c r="H9" s="168" t="s">
        <v>65</v>
      </c>
    </row>
    <row r="10" spans="1:8" ht="27" customHeight="1" x14ac:dyDescent="0.3">
      <c r="A10" s="156">
        <v>4</v>
      </c>
      <c r="B10" s="157" t="s">
        <v>308</v>
      </c>
      <c r="C10" s="157" t="s">
        <v>360</v>
      </c>
      <c r="D10" s="143" t="s">
        <v>310</v>
      </c>
      <c r="E10" s="158">
        <v>34.229999999999997</v>
      </c>
      <c r="F10" s="166">
        <v>0</v>
      </c>
      <c r="G10" s="167">
        <f t="shared" si="0"/>
        <v>0</v>
      </c>
      <c r="H10" s="168" t="s">
        <v>65</v>
      </c>
    </row>
    <row r="11" spans="1:8" ht="27" customHeight="1" x14ac:dyDescent="0.3">
      <c r="A11" s="156">
        <v>5</v>
      </c>
      <c r="B11" s="157" t="s">
        <v>318</v>
      </c>
      <c r="C11" s="157" t="s">
        <v>309</v>
      </c>
      <c r="D11" s="143" t="s">
        <v>191</v>
      </c>
      <c r="E11" s="158">
        <v>34.25</v>
      </c>
      <c r="F11" s="166">
        <v>0</v>
      </c>
      <c r="G11" s="167">
        <f t="shared" si="0"/>
        <v>34.25</v>
      </c>
      <c r="H11" s="168" t="s">
        <v>65</v>
      </c>
    </row>
    <row r="12" spans="1:8" ht="27" customHeight="1" x14ac:dyDescent="0.3">
      <c r="A12" s="156">
        <v>6</v>
      </c>
      <c r="B12" s="157" t="s">
        <v>321</v>
      </c>
      <c r="C12" s="157" t="s">
        <v>309</v>
      </c>
      <c r="D12" s="143" t="s">
        <v>191</v>
      </c>
      <c r="E12" s="158">
        <v>22.4</v>
      </c>
      <c r="F12" s="166">
        <v>0</v>
      </c>
      <c r="G12" s="167">
        <f t="shared" si="0"/>
        <v>22.4</v>
      </c>
      <c r="H12" s="168" t="s">
        <v>65</v>
      </c>
    </row>
    <row r="13" spans="1:8" ht="27" customHeight="1" x14ac:dyDescent="0.3">
      <c r="A13" s="156">
        <v>7</v>
      </c>
      <c r="B13" s="157" t="s">
        <v>324</v>
      </c>
      <c r="C13" s="157" t="s">
        <v>309</v>
      </c>
      <c r="D13" s="143" t="s">
        <v>191</v>
      </c>
      <c r="E13" s="158">
        <v>13.65</v>
      </c>
      <c r="F13" s="166">
        <v>0</v>
      </c>
      <c r="G13" s="167">
        <f t="shared" si="0"/>
        <v>13.65</v>
      </c>
      <c r="H13" s="168" t="s">
        <v>65</v>
      </c>
    </row>
    <row r="14" spans="1:8" ht="27" customHeight="1" x14ac:dyDescent="0.3">
      <c r="A14" s="156">
        <v>8</v>
      </c>
      <c r="B14" s="157" t="s">
        <v>324</v>
      </c>
      <c r="C14" s="157" t="s">
        <v>314</v>
      </c>
      <c r="D14" s="143" t="s">
        <v>310</v>
      </c>
      <c r="E14" s="158">
        <v>5.5</v>
      </c>
      <c r="F14" s="166">
        <v>0</v>
      </c>
      <c r="G14" s="167">
        <f t="shared" si="0"/>
        <v>0</v>
      </c>
      <c r="H14" s="168" t="s">
        <v>65</v>
      </c>
    </row>
    <row r="15" spans="1:8" ht="27" customHeight="1" x14ac:dyDescent="0.3">
      <c r="A15" s="156">
        <v>9</v>
      </c>
      <c r="B15" s="157" t="s">
        <v>324</v>
      </c>
      <c r="C15" s="157" t="s">
        <v>316</v>
      </c>
      <c r="D15" s="143" t="s">
        <v>191</v>
      </c>
      <c r="E15" s="158">
        <v>58</v>
      </c>
      <c r="F15" s="166">
        <v>0</v>
      </c>
      <c r="G15" s="167">
        <f t="shared" si="0"/>
        <v>58</v>
      </c>
      <c r="H15" s="168" t="s">
        <v>65</v>
      </c>
    </row>
    <row r="16" spans="1:8" ht="27" customHeight="1" x14ac:dyDescent="0.3">
      <c r="A16" s="156">
        <v>10</v>
      </c>
      <c r="B16" s="157" t="s">
        <v>324</v>
      </c>
      <c r="C16" s="157" t="s">
        <v>360</v>
      </c>
      <c r="D16" s="143" t="s">
        <v>310</v>
      </c>
      <c r="E16" s="158">
        <v>25.16</v>
      </c>
      <c r="F16" s="166">
        <v>0</v>
      </c>
      <c r="G16" s="167">
        <f t="shared" si="0"/>
        <v>0</v>
      </c>
      <c r="H16" s="168" t="s">
        <v>65</v>
      </c>
    </row>
    <row r="17" spans="1:8" ht="27" customHeight="1" x14ac:dyDescent="0.3">
      <c r="A17" s="156">
        <v>11</v>
      </c>
      <c r="B17" s="157" t="s">
        <v>329</v>
      </c>
      <c r="C17" s="157" t="s">
        <v>309</v>
      </c>
      <c r="D17" s="143" t="s">
        <v>191</v>
      </c>
      <c r="E17" s="158">
        <v>32.299999999999997</v>
      </c>
      <c r="F17" s="166">
        <v>0</v>
      </c>
      <c r="G17" s="167">
        <f t="shared" si="0"/>
        <v>32.299999999999997</v>
      </c>
      <c r="H17" s="168" t="s">
        <v>65</v>
      </c>
    </row>
    <row r="18" spans="1:8" ht="27" customHeight="1" x14ac:dyDescent="0.3">
      <c r="A18" s="156">
        <v>12</v>
      </c>
      <c r="B18" s="157" t="s">
        <v>329</v>
      </c>
      <c r="C18" s="157" t="s">
        <v>314</v>
      </c>
      <c r="D18" s="143" t="s">
        <v>310</v>
      </c>
      <c r="E18" s="158">
        <v>9.9</v>
      </c>
      <c r="F18" s="166">
        <v>0</v>
      </c>
      <c r="G18" s="167">
        <f t="shared" si="0"/>
        <v>0</v>
      </c>
      <c r="H18" s="168" t="s">
        <v>65</v>
      </c>
    </row>
    <row r="19" spans="1:8" ht="27" customHeight="1" x14ac:dyDescent="0.3">
      <c r="A19" s="156">
        <v>13</v>
      </c>
      <c r="B19" s="157" t="s">
        <v>333</v>
      </c>
      <c r="C19" s="157" t="s">
        <v>309</v>
      </c>
      <c r="D19" s="143" t="s">
        <v>191</v>
      </c>
      <c r="E19" s="158">
        <v>32.5</v>
      </c>
      <c r="F19" s="166">
        <v>0</v>
      </c>
      <c r="G19" s="167">
        <f t="shared" si="0"/>
        <v>32.5</v>
      </c>
      <c r="H19" s="168" t="s">
        <v>65</v>
      </c>
    </row>
    <row r="20" spans="1:8" ht="27" customHeight="1" x14ac:dyDescent="0.3">
      <c r="A20" s="156">
        <v>14</v>
      </c>
      <c r="B20" s="157" t="s">
        <v>333</v>
      </c>
      <c r="C20" s="157" t="s">
        <v>314</v>
      </c>
      <c r="D20" s="143" t="s">
        <v>310</v>
      </c>
      <c r="E20" s="158">
        <v>66.19</v>
      </c>
      <c r="F20" s="166">
        <v>0</v>
      </c>
      <c r="G20" s="167">
        <f t="shared" si="0"/>
        <v>0</v>
      </c>
      <c r="H20" s="168" t="s">
        <v>65</v>
      </c>
    </row>
    <row r="21" spans="1:8" ht="27" customHeight="1" x14ac:dyDescent="0.3">
      <c r="A21" s="156">
        <v>15</v>
      </c>
      <c r="B21" s="157" t="s">
        <v>337</v>
      </c>
      <c r="C21" s="157" t="s">
        <v>309</v>
      </c>
      <c r="D21" s="143" t="s">
        <v>191</v>
      </c>
      <c r="E21" s="158">
        <v>23.6</v>
      </c>
      <c r="F21" s="166">
        <v>0</v>
      </c>
      <c r="G21" s="167">
        <f t="shared" si="0"/>
        <v>23.6</v>
      </c>
      <c r="H21" s="168" t="s">
        <v>65</v>
      </c>
    </row>
    <row r="22" spans="1:8" ht="27" customHeight="1" x14ac:dyDescent="0.3">
      <c r="A22" s="156">
        <v>16</v>
      </c>
      <c r="B22" s="157" t="s">
        <v>340</v>
      </c>
      <c r="C22" s="157" t="s">
        <v>309</v>
      </c>
      <c r="D22" s="143" t="s">
        <v>191</v>
      </c>
      <c r="E22" s="158">
        <v>49.85</v>
      </c>
      <c r="F22" s="166">
        <v>0</v>
      </c>
      <c r="G22" s="167">
        <f t="shared" si="0"/>
        <v>49.85</v>
      </c>
      <c r="H22" s="168" t="s">
        <v>65</v>
      </c>
    </row>
    <row r="23" spans="1:8" ht="27" customHeight="1" x14ac:dyDescent="0.3">
      <c r="A23" s="156">
        <v>17</v>
      </c>
      <c r="B23" s="157" t="s">
        <v>340</v>
      </c>
      <c r="C23" s="157" t="s">
        <v>314</v>
      </c>
      <c r="D23" s="143" t="s">
        <v>310</v>
      </c>
      <c r="E23" s="158">
        <v>10.75</v>
      </c>
      <c r="F23" s="166">
        <v>0</v>
      </c>
      <c r="G23" s="167">
        <f t="shared" si="0"/>
        <v>0</v>
      </c>
      <c r="H23" s="168" t="s">
        <v>65</v>
      </c>
    </row>
    <row r="24" spans="1:8" ht="27" customHeight="1" x14ac:dyDescent="0.3">
      <c r="A24" s="156">
        <v>18</v>
      </c>
      <c r="B24" s="157" t="s">
        <v>344</v>
      </c>
      <c r="C24" s="157" t="s">
        <v>309</v>
      </c>
      <c r="D24" s="143" t="s">
        <v>191</v>
      </c>
      <c r="E24" s="158">
        <v>36</v>
      </c>
      <c r="F24" s="166">
        <v>0</v>
      </c>
      <c r="G24" s="167">
        <f t="shared" si="0"/>
        <v>36</v>
      </c>
      <c r="H24" s="168" t="s">
        <v>65</v>
      </c>
    </row>
    <row r="25" spans="1:8" ht="27" customHeight="1" x14ac:dyDescent="0.3">
      <c r="A25" s="156">
        <v>19</v>
      </c>
      <c r="B25" s="157" t="s">
        <v>344</v>
      </c>
      <c r="C25" s="157" t="s">
        <v>314</v>
      </c>
      <c r="D25" s="143" t="s">
        <v>310</v>
      </c>
      <c r="E25" s="158">
        <v>6.66</v>
      </c>
      <c r="F25" s="166">
        <v>0</v>
      </c>
      <c r="G25" s="167">
        <f t="shared" si="0"/>
        <v>0</v>
      </c>
      <c r="H25" s="168" t="s">
        <v>65</v>
      </c>
    </row>
    <row r="27" spans="1:8" ht="18" customHeight="1" x14ac:dyDescent="0.3">
      <c r="A27" s="300" t="s">
        <v>366</v>
      </c>
      <c r="B27" s="300"/>
      <c r="C27" s="300"/>
      <c r="D27" s="300"/>
      <c r="E27" s="300"/>
      <c r="F27" s="300"/>
      <c r="G27" s="169">
        <f>SUM(G7:G25)</f>
        <v>373.85</v>
      </c>
      <c r="H27" s="169" t="s">
        <v>65</v>
      </c>
    </row>
  </sheetData>
  <mergeCells count="8">
    <mergeCell ref="A4:B4"/>
    <mergeCell ref="C4:F4"/>
    <mergeCell ref="A27:F27"/>
    <mergeCell ref="A1:H1"/>
    <mergeCell ref="A2:B2"/>
    <mergeCell ref="C2:H2"/>
    <mergeCell ref="A3:B3"/>
    <mergeCell ref="C3:H3"/>
  </mergeCells>
  <conditionalFormatting sqref="D7:D25">
    <cfRule type="expression" dxfId="5" priority="2">
      <formula>D7="TAPADA"</formula>
    </cfRule>
    <cfRule type="expression" dxfId="4" priority="3">
      <formula>D7="ABIERTA"</formula>
    </cfRule>
  </conditionalFormatting>
  <conditionalFormatting sqref="G7:G25">
    <cfRule type="expression" dxfId="3" priority="4">
      <formula>$D7="TAPADA"</formula>
    </cfRule>
  </conditionalFormatting>
  <pageMargins left="0.7" right="0.7" top="0.75" bottom="0.75" header="0.511811023622047" footer="0.511811023622047"/>
  <pageSetup paperSize="9" scale="60"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J26"/>
  <sheetViews>
    <sheetView tabSelected="1" zoomScale="130" zoomScaleNormal="130" workbookViewId="0">
      <pane ySplit="11" topLeftCell="A12" activePane="bottomLeft" state="frozen"/>
      <selection pane="bottomLeft" activeCell="A22" sqref="A22"/>
    </sheetView>
  </sheetViews>
  <sheetFormatPr baseColWidth="10" defaultColWidth="8.6328125" defaultRowHeight="14" x14ac:dyDescent="0.35"/>
  <cols>
    <col min="1" max="1" width="24.90625" style="170" customWidth="1"/>
    <col min="2" max="2" width="16" style="170" customWidth="1"/>
    <col min="3" max="3" width="7" style="170" customWidth="1"/>
    <col min="4" max="10" width="15.26953125" style="170" customWidth="1"/>
    <col min="11" max="16384" width="8.6328125" style="170"/>
  </cols>
  <sheetData>
    <row r="1" spans="1:10" ht="31.5" customHeight="1" x14ac:dyDescent="0.35">
      <c r="A1" s="305" t="s">
        <v>778</v>
      </c>
      <c r="B1" s="305"/>
      <c r="C1" s="305"/>
      <c r="D1" s="305"/>
      <c r="E1" s="305"/>
      <c r="F1" s="305"/>
      <c r="G1" s="305"/>
      <c r="H1" s="305"/>
      <c r="I1" s="305"/>
      <c r="J1" s="305"/>
    </row>
    <row r="2" spans="1:10" ht="15" customHeight="1" x14ac:dyDescent="0.35">
      <c r="A2" s="171" t="s">
        <v>1</v>
      </c>
      <c r="B2" s="306" t="s">
        <v>2</v>
      </c>
      <c r="C2" s="306"/>
      <c r="D2" s="306"/>
      <c r="E2" s="306"/>
      <c r="F2" s="306"/>
      <c r="G2" s="306"/>
      <c r="H2" s="306"/>
      <c r="I2" s="306"/>
      <c r="J2" s="306"/>
    </row>
    <row r="3" spans="1:10" ht="59.25" customHeight="1" x14ac:dyDescent="0.35">
      <c r="A3" s="171" t="s">
        <v>3</v>
      </c>
      <c r="B3" s="30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306"/>
      <c r="D3" s="306"/>
      <c r="E3" s="306"/>
      <c r="F3" s="306"/>
      <c r="G3" s="306"/>
      <c r="H3" s="306"/>
      <c r="I3" s="306"/>
      <c r="J3" s="306"/>
    </row>
    <row r="4" spans="1:10" ht="15" customHeight="1" x14ac:dyDescent="0.35">
      <c r="A4" s="171" t="s">
        <v>5</v>
      </c>
      <c r="B4" s="306" t="str">
        <f>+RESUMEN!B6</f>
        <v>SAN MARTIN - SAN MARTIN - MORALES</v>
      </c>
      <c r="C4" s="306"/>
      <c r="D4" s="306"/>
      <c r="E4" s="306"/>
      <c r="F4" s="306"/>
      <c r="G4" s="306"/>
      <c r="H4" s="306"/>
      <c r="I4" s="306"/>
      <c r="J4" s="306"/>
    </row>
    <row r="5" spans="1:10" ht="15" customHeight="1" x14ac:dyDescent="0.35">
      <c r="A5" s="171" t="s">
        <v>7</v>
      </c>
      <c r="B5" s="307">
        <f>+RESUMEN!B7</f>
        <v>46266</v>
      </c>
      <c r="C5" s="307"/>
      <c r="D5" s="307"/>
      <c r="E5" s="307"/>
      <c r="F5" s="307"/>
      <c r="G5" s="307"/>
      <c r="H5" s="307"/>
      <c r="I5" s="307"/>
      <c r="J5" s="307"/>
    </row>
    <row r="7" spans="1:10" x14ac:dyDescent="0.35">
      <c r="A7" s="172" t="s">
        <v>367</v>
      </c>
      <c r="B7" s="173"/>
    </row>
    <row r="8" spans="1:10" ht="36" customHeight="1" x14ac:dyDescent="0.35">
      <c r="A8" s="174" t="s">
        <v>368</v>
      </c>
      <c r="B8" s="175">
        <v>3</v>
      </c>
    </row>
    <row r="9" spans="1:10" ht="26.25" customHeight="1" x14ac:dyDescent="0.35">
      <c r="A9" s="174" t="s">
        <v>369</v>
      </c>
      <c r="B9" s="175">
        <v>2</v>
      </c>
    </row>
    <row r="10" spans="1:10" ht="27.75" customHeight="1" x14ac:dyDescent="0.35">
      <c r="A10" s="176" t="s">
        <v>779</v>
      </c>
      <c r="B10" s="175">
        <v>0.4</v>
      </c>
    </row>
    <row r="11" spans="1:10" ht="39.75" customHeight="1" x14ac:dyDescent="0.35">
      <c r="A11" s="177" t="s">
        <v>126</v>
      </c>
      <c r="B11" s="177" t="s">
        <v>370</v>
      </c>
      <c r="C11" s="177" t="s">
        <v>359</v>
      </c>
      <c r="D11" s="177" t="s">
        <v>371</v>
      </c>
      <c r="E11" s="177" t="s">
        <v>372</v>
      </c>
      <c r="F11" s="177" t="s">
        <v>373</v>
      </c>
      <c r="G11" s="177" t="s">
        <v>374</v>
      </c>
      <c r="H11" s="177" t="s">
        <v>375</v>
      </c>
      <c r="I11" s="177" t="s">
        <v>780</v>
      </c>
      <c r="J11" s="177" t="s">
        <v>376</v>
      </c>
    </row>
    <row r="12" spans="1:10" ht="25.5" customHeight="1" x14ac:dyDescent="0.35">
      <c r="A12" s="178" t="s">
        <v>377</v>
      </c>
      <c r="B12" s="178" t="s">
        <v>57</v>
      </c>
      <c r="C12" s="178" t="s">
        <v>52</v>
      </c>
      <c r="D12" s="179"/>
      <c r="E12" s="179"/>
      <c r="F12" s="179"/>
      <c r="G12" s="179"/>
      <c r="H12" s="179"/>
      <c r="I12" s="179"/>
      <c r="J12" s="179">
        <f>SUM(J13:J21)</f>
        <v>252.28687634476802</v>
      </c>
    </row>
    <row r="13" spans="1:10" ht="15" customHeight="1" x14ac:dyDescent="0.35">
      <c r="A13" s="176">
        <v>1</v>
      </c>
      <c r="B13" s="176" t="s">
        <v>308</v>
      </c>
      <c r="C13" s="176"/>
      <c r="D13" s="180">
        <v>111.53</v>
      </c>
      <c r="E13" s="181">
        <f>+'CONCRETO EN CUNETAS'!E10</f>
        <v>61.2</v>
      </c>
      <c r="F13" s="181">
        <f t="shared" ref="F13:F21" si="0">E13/D13</f>
        <v>0.54873128306285301</v>
      </c>
      <c r="G13" s="181">
        <f>B8</f>
        <v>3</v>
      </c>
      <c r="H13" s="181">
        <f t="shared" ref="H13:H21" si="1">ROUNDUP(D13/G13,0)</f>
        <v>38</v>
      </c>
      <c r="I13" s="181">
        <f t="shared" ref="I13:I21" si="2">$B$9*F13+$B$10</f>
        <v>1.4974625661257059</v>
      </c>
      <c r="J13" s="181">
        <f t="shared" ref="J13:J21" si="3">H13*I13</f>
        <v>56.903577512776828</v>
      </c>
    </row>
    <row r="14" spans="1:10" ht="15" customHeight="1" x14ac:dyDescent="0.35">
      <c r="A14" s="176">
        <v>2</v>
      </c>
      <c r="B14" s="176" t="s">
        <v>318</v>
      </c>
      <c r="C14" s="176"/>
      <c r="D14" s="180">
        <v>34.25</v>
      </c>
      <c r="E14" s="181">
        <f>+'CONCRETO EN CUNETAS'!E22</f>
        <v>13.19</v>
      </c>
      <c r="F14" s="181">
        <f t="shared" si="0"/>
        <v>0.38510948905109488</v>
      </c>
      <c r="G14" s="181">
        <f>B8</f>
        <v>3</v>
      </c>
      <c r="H14" s="181">
        <f t="shared" si="1"/>
        <v>12</v>
      </c>
      <c r="I14" s="181">
        <f t="shared" si="2"/>
        <v>1.1702189781021897</v>
      </c>
      <c r="J14" s="181">
        <f t="shared" si="3"/>
        <v>14.042627737226276</v>
      </c>
    </row>
    <row r="15" spans="1:10" ht="15" customHeight="1" x14ac:dyDescent="0.35">
      <c r="A15" s="176">
        <v>3</v>
      </c>
      <c r="B15" s="176" t="s">
        <v>321</v>
      </c>
      <c r="C15" s="176"/>
      <c r="D15" s="180">
        <v>22.4</v>
      </c>
      <c r="E15" s="181">
        <f>+'CONCRETO EN CUNETAS'!E34</f>
        <v>7.98</v>
      </c>
      <c r="F15" s="181">
        <f t="shared" si="0"/>
        <v>0.35625000000000007</v>
      </c>
      <c r="G15" s="181">
        <f>B8</f>
        <v>3</v>
      </c>
      <c r="H15" s="181">
        <f t="shared" si="1"/>
        <v>8</v>
      </c>
      <c r="I15" s="181">
        <f t="shared" si="2"/>
        <v>1.1125000000000003</v>
      </c>
      <c r="J15" s="181">
        <f t="shared" si="3"/>
        <v>8.9000000000000021</v>
      </c>
    </row>
    <row r="16" spans="1:10" ht="15" customHeight="1" x14ac:dyDescent="0.35">
      <c r="A16" s="176">
        <v>4</v>
      </c>
      <c r="B16" s="176" t="s">
        <v>324</v>
      </c>
      <c r="C16" s="176"/>
      <c r="D16" s="180">
        <v>102.31</v>
      </c>
      <c r="E16" s="181">
        <f>+'CONCRETO EN CUNETAS'!E46</f>
        <v>54.29</v>
      </c>
      <c r="F16" s="181">
        <f t="shared" si="0"/>
        <v>0.53064216596618119</v>
      </c>
      <c r="G16" s="181">
        <f>B8</f>
        <v>3</v>
      </c>
      <c r="H16" s="181">
        <f t="shared" si="1"/>
        <v>35</v>
      </c>
      <c r="I16" s="181">
        <f t="shared" si="2"/>
        <v>1.4612843319323625</v>
      </c>
      <c r="J16" s="181">
        <f t="shared" si="3"/>
        <v>51.144951617632685</v>
      </c>
    </row>
    <row r="17" spans="1:10" ht="15" customHeight="1" x14ac:dyDescent="0.35">
      <c r="A17" s="176">
        <v>5</v>
      </c>
      <c r="B17" s="176" t="s">
        <v>329</v>
      </c>
      <c r="C17" s="176"/>
      <c r="D17" s="180">
        <v>42.2</v>
      </c>
      <c r="E17" s="181">
        <f>+'CONCRETO EN CUNETAS'!E58</f>
        <v>17.07</v>
      </c>
      <c r="F17" s="181">
        <f t="shared" si="0"/>
        <v>0.40450236966824643</v>
      </c>
      <c r="G17" s="181">
        <f>B8</f>
        <v>3</v>
      </c>
      <c r="H17" s="181">
        <f t="shared" si="1"/>
        <v>15</v>
      </c>
      <c r="I17" s="181">
        <f t="shared" si="2"/>
        <v>1.2090047393364929</v>
      </c>
      <c r="J17" s="181">
        <f t="shared" si="3"/>
        <v>18.135071090047393</v>
      </c>
    </row>
    <row r="18" spans="1:10" ht="15" customHeight="1" x14ac:dyDescent="0.35">
      <c r="A18" s="176">
        <v>6</v>
      </c>
      <c r="B18" s="176" t="s">
        <v>333</v>
      </c>
      <c r="C18" s="176"/>
      <c r="D18" s="180">
        <v>98.69</v>
      </c>
      <c r="E18" s="181">
        <f>+'CONCRETO EN CUNETAS'!E70</f>
        <v>52.71</v>
      </c>
      <c r="F18" s="181">
        <f t="shared" si="0"/>
        <v>0.53409666632890873</v>
      </c>
      <c r="G18" s="181">
        <f>B8</f>
        <v>3</v>
      </c>
      <c r="H18" s="181">
        <f t="shared" si="1"/>
        <v>33</v>
      </c>
      <c r="I18" s="181">
        <f t="shared" si="2"/>
        <v>1.4681933326578176</v>
      </c>
      <c r="J18" s="181">
        <f t="shared" si="3"/>
        <v>48.450379977707982</v>
      </c>
    </row>
    <row r="19" spans="1:10" ht="15" customHeight="1" x14ac:dyDescent="0.35">
      <c r="A19" s="176">
        <v>7</v>
      </c>
      <c r="B19" s="176" t="s">
        <v>337</v>
      </c>
      <c r="C19" s="176"/>
      <c r="D19" s="180">
        <v>23.6</v>
      </c>
      <c r="E19" s="181">
        <f>+'CONCRETO EN CUNETAS'!M10</f>
        <v>8.4600000000000009</v>
      </c>
      <c r="F19" s="181">
        <f t="shared" si="0"/>
        <v>0.35847457627118645</v>
      </c>
      <c r="G19" s="181">
        <f>B8</f>
        <v>3</v>
      </c>
      <c r="H19" s="181">
        <f t="shared" si="1"/>
        <v>8</v>
      </c>
      <c r="I19" s="181">
        <f t="shared" si="2"/>
        <v>1.1169491525423729</v>
      </c>
      <c r="J19" s="181">
        <f t="shared" si="3"/>
        <v>8.9355932203389834</v>
      </c>
    </row>
    <row r="20" spans="1:10" ht="15" customHeight="1" x14ac:dyDescent="0.35">
      <c r="A20" s="176">
        <v>8</v>
      </c>
      <c r="B20" s="176" t="s">
        <v>340</v>
      </c>
      <c r="C20" s="176"/>
      <c r="D20" s="180">
        <v>60.6</v>
      </c>
      <c r="E20" s="181">
        <f>+'CONCRETO EN CUNETAS'!M22</f>
        <v>27.34</v>
      </c>
      <c r="F20" s="181">
        <f t="shared" si="0"/>
        <v>0.45115511551155113</v>
      </c>
      <c r="G20" s="181">
        <f>B8</f>
        <v>3</v>
      </c>
      <c r="H20" s="181">
        <f t="shared" si="1"/>
        <v>21</v>
      </c>
      <c r="I20" s="181">
        <f t="shared" si="2"/>
        <v>1.3023102310231023</v>
      </c>
      <c r="J20" s="181">
        <f t="shared" si="3"/>
        <v>27.348514851485149</v>
      </c>
    </row>
    <row r="21" spans="1:10" ht="15" customHeight="1" x14ac:dyDescent="0.35">
      <c r="A21" s="176">
        <v>9</v>
      </c>
      <c r="B21" s="176" t="s">
        <v>344</v>
      </c>
      <c r="C21" s="176"/>
      <c r="D21" s="180">
        <v>42.66</v>
      </c>
      <c r="E21" s="181">
        <f>+'CONCRETO EN CUNETAS'!M34</f>
        <v>17.670000000000002</v>
      </c>
      <c r="F21" s="181">
        <f t="shared" si="0"/>
        <v>0.41420534458509151</v>
      </c>
      <c r="G21" s="181">
        <f>B8</f>
        <v>3</v>
      </c>
      <c r="H21" s="181">
        <f t="shared" si="1"/>
        <v>15</v>
      </c>
      <c r="I21" s="181">
        <f t="shared" si="2"/>
        <v>1.2284106891701829</v>
      </c>
      <c r="J21" s="181">
        <f t="shared" si="3"/>
        <v>18.426160337552744</v>
      </c>
    </row>
    <row r="23" spans="1:10" ht="15" customHeight="1" x14ac:dyDescent="0.35">
      <c r="A23" s="303" t="s">
        <v>781</v>
      </c>
      <c r="B23" s="304"/>
      <c r="C23" s="304"/>
      <c r="D23" s="304"/>
      <c r="E23" s="304"/>
      <c r="F23" s="304"/>
      <c r="G23" s="304"/>
      <c r="H23" s="304"/>
      <c r="I23" s="304"/>
      <c r="J23" s="304"/>
    </row>
    <row r="24" spans="1:10" ht="27" customHeight="1" x14ac:dyDescent="0.35">
      <c r="A24" s="303" t="s">
        <v>782</v>
      </c>
      <c r="B24" s="304"/>
      <c r="C24" s="304"/>
      <c r="D24" s="304"/>
      <c r="E24" s="304"/>
      <c r="F24" s="304"/>
      <c r="G24" s="304"/>
      <c r="H24" s="304"/>
      <c r="I24" s="304"/>
      <c r="J24" s="304"/>
    </row>
    <row r="25" spans="1:10" ht="27" customHeight="1" x14ac:dyDescent="0.35">
      <c r="A25" s="303" t="s">
        <v>783</v>
      </c>
      <c r="B25" s="304"/>
      <c r="C25" s="304"/>
      <c r="D25" s="304"/>
      <c r="E25" s="304"/>
      <c r="F25" s="304"/>
      <c r="G25" s="304"/>
      <c r="H25" s="304"/>
      <c r="I25" s="304"/>
      <c r="J25" s="304"/>
    </row>
    <row r="26" spans="1:10" ht="27" customHeight="1" x14ac:dyDescent="0.35">
      <c r="A26" s="303" t="s">
        <v>784</v>
      </c>
      <c r="B26" s="304"/>
      <c r="C26" s="304"/>
      <c r="D26" s="304"/>
      <c r="E26" s="304"/>
      <c r="F26" s="304"/>
      <c r="G26" s="304"/>
      <c r="H26" s="304"/>
      <c r="I26" s="304"/>
      <c r="J26" s="304"/>
    </row>
  </sheetData>
  <mergeCells count="9">
    <mergeCell ref="A23:J23"/>
    <mergeCell ref="A24:J24"/>
    <mergeCell ref="A25:J25"/>
    <mergeCell ref="A26:J26"/>
    <mergeCell ref="A1:J1"/>
    <mergeCell ref="B2:J2"/>
    <mergeCell ref="B3:J3"/>
    <mergeCell ref="B4:J4"/>
    <mergeCell ref="B5:J5"/>
  </mergeCells>
  <pageMargins left="0.75" right="0.75" top="1" bottom="1" header="0.511811023622047" footer="0.511811023622047"/>
  <pageSetup paperSize="9" scale="55"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J48"/>
  <sheetViews>
    <sheetView topLeftCell="A2" zoomScale="115" zoomScaleNormal="115" zoomScalePageLayoutView="115" workbookViewId="0">
      <selection activeCell="I18" sqref="I18"/>
    </sheetView>
  </sheetViews>
  <sheetFormatPr baseColWidth="10" defaultColWidth="9.453125" defaultRowHeight="14.5" x14ac:dyDescent="0.35"/>
  <cols>
    <col min="1" max="1" width="6.54296875" style="132" customWidth="1"/>
    <col min="2" max="2" width="15.90625" style="132" customWidth="1"/>
    <col min="3" max="3" width="18.81640625" style="132" customWidth="1"/>
    <col min="4" max="4" width="17.453125" style="132" customWidth="1"/>
    <col min="5" max="5" width="16.90625" style="132" customWidth="1"/>
    <col min="6" max="6" width="19.6328125" style="132" customWidth="1"/>
    <col min="7" max="7" width="27" style="132" customWidth="1"/>
    <col min="8" max="8" width="8.7265625" style="132" customWidth="1"/>
    <col min="9" max="10" width="9.453125" style="132"/>
  </cols>
  <sheetData>
    <row r="1" spans="1:8" ht="21" customHeight="1" x14ac:dyDescent="0.35">
      <c r="A1" s="301" t="s">
        <v>378</v>
      </c>
      <c r="B1" s="301"/>
      <c r="C1" s="301"/>
      <c r="D1" s="301"/>
      <c r="E1" s="301"/>
      <c r="F1" s="301"/>
      <c r="G1" s="301"/>
      <c r="H1" s="301"/>
    </row>
    <row r="2" spans="1:8" ht="22.5" customHeight="1" x14ac:dyDescent="0.35">
      <c r="A2" s="298" t="s">
        <v>1</v>
      </c>
      <c r="B2" s="298"/>
      <c r="C2" s="302" t="s">
        <v>2</v>
      </c>
      <c r="D2" s="302"/>
      <c r="E2" s="302"/>
      <c r="F2" s="302"/>
      <c r="G2" s="302"/>
      <c r="H2" s="302"/>
    </row>
    <row r="3" spans="1:8" ht="54" customHeight="1" x14ac:dyDescent="0.35">
      <c r="A3" s="298" t="s">
        <v>3</v>
      </c>
      <c r="B3" s="298"/>
      <c r="C3" s="302"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2"/>
      <c r="E3" s="302"/>
      <c r="F3" s="302"/>
      <c r="G3" s="302"/>
      <c r="H3" s="302"/>
    </row>
    <row r="4" spans="1:8" ht="24" customHeight="1" x14ac:dyDescent="0.35">
      <c r="A4" s="298" t="s">
        <v>5</v>
      </c>
      <c r="B4" s="298"/>
      <c r="C4" s="299" t="str">
        <f>+RESUMEN!B6</f>
        <v>SAN MARTIN - SAN MARTIN - MORALES</v>
      </c>
      <c r="D4" s="299"/>
      <c r="E4" s="299"/>
      <c r="F4" s="299"/>
      <c r="G4" s="163" t="s">
        <v>7</v>
      </c>
      <c r="H4" s="164">
        <f>+RESUMEN!B7</f>
        <v>46266</v>
      </c>
    </row>
    <row r="6" spans="1:8" ht="31.5" customHeight="1" x14ac:dyDescent="0.35">
      <c r="A6" s="165" t="s">
        <v>275</v>
      </c>
      <c r="B6" s="165" t="s">
        <v>276</v>
      </c>
      <c r="C6" s="165" t="s">
        <v>379</v>
      </c>
      <c r="D6" s="165" t="s">
        <v>380</v>
      </c>
      <c r="E6" s="165" t="s">
        <v>381</v>
      </c>
      <c r="F6" s="165" t="s">
        <v>382</v>
      </c>
      <c r="G6" s="165" t="s">
        <v>383</v>
      </c>
      <c r="H6" s="165" t="s">
        <v>359</v>
      </c>
    </row>
    <row r="7" spans="1:8" ht="30" customHeight="1" x14ac:dyDescent="0.35">
      <c r="A7" s="156">
        <v>1</v>
      </c>
      <c r="B7" s="157" t="s">
        <v>308</v>
      </c>
      <c r="C7" s="157" t="s">
        <v>384</v>
      </c>
      <c r="D7" s="143" t="s">
        <v>385</v>
      </c>
      <c r="E7" s="158">
        <v>5.5</v>
      </c>
      <c r="F7" s="166">
        <v>1.5</v>
      </c>
      <c r="G7" s="167">
        <f t="shared" ref="G7:G40" si="0">IF(B7="","",ROUNDUP(E7/F7,0))</f>
        <v>4</v>
      </c>
      <c r="H7" s="168" t="s">
        <v>55</v>
      </c>
    </row>
    <row r="8" spans="1:8" ht="36" x14ac:dyDescent="0.35">
      <c r="A8" s="156">
        <v>2</v>
      </c>
      <c r="B8" s="157" t="s">
        <v>308</v>
      </c>
      <c r="C8" s="157" t="s">
        <v>386</v>
      </c>
      <c r="D8" s="143" t="s">
        <v>385</v>
      </c>
      <c r="E8" s="158">
        <v>22.5</v>
      </c>
      <c r="F8" s="166">
        <v>1.5</v>
      </c>
      <c r="G8" s="167">
        <f t="shared" si="0"/>
        <v>15</v>
      </c>
      <c r="H8" s="168" t="s">
        <v>55</v>
      </c>
    </row>
    <row r="9" spans="1:8" ht="36" x14ac:dyDescent="0.35">
      <c r="A9" s="156">
        <v>3</v>
      </c>
      <c r="B9" s="157" t="s">
        <v>308</v>
      </c>
      <c r="C9" s="157" t="s">
        <v>387</v>
      </c>
      <c r="D9" s="143" t="s">
        <v>385</v>
      </c>
      <c r="E9" s="158">
        <v>30.78</v>
      </c>
      <c r="F9" s="166">
        <v>1.5</v>
      </c>
      <c r="G9" s="167">
        <f t="shared" si="0"/>
        <v>21</v>
      </c>
      <c r="H9" s="168" t="s">
        <v>55</v>
      </c>
    </row>
    <row r="10" spans="1:8" ht="36" x14ac:dyDescent="0.35">
      <c r="A10" s="156">
        <v>4</v>
      </c>
      <c r="B10" s="157" t="s">
        <v>318</v>
      </c>
      <c r="C10" s="157" t="s">
        <v>388</v>
      </c>
      <c r="D10" s="143" t="s">
        <v>385</v>
      </c>
      <c r="E10" s="158">
        <v>13.25</v>
      </c>
      <c r="F10" s="166">
        <v>1.5</v>
      </c>
      <c r="G10" s="167">
        <f t="shared" si="0"/>
        <v>9</v>
      </c>
      <c r="H10" s="168" t="s">
        <v>55</v>
      </c>
    </row>
    <row r="11" spans="1:8" ht="36" x14ac:dyDescent="0.35">
      <c r="A11" s="156">
        <v>5</v>
      </c>
      <c r="B11" s="157" t="s">
        <v>318</v>
      </c>
      <c r="C11" s="157" t="s">
        <v>389</v>
      </c>
      <c r="D11" s="143" t="s">
        <v>390</v>
      </c>
      <c r="E11" s="158">
        <v>2.0299999999999998</v>
      </c>
      <c r="F11" s="166">
        <v>1.5</v>
      </c>
      <c r="G11" s="167">
        <f t="shared" si="0"/>
        <v>2</v>
      </c>
      <c r="H11" s="168" t="s">
        <v>55</v>
      </c>
    </row>
    <row r="12" spans="1:8" ht="36" x14ac:dyDescent="0.35">
      <c r="A12" s="156">
        <v>6</v>
      </c>
      <c r="B12" s="157" t="s">
        <v>318</v>
      </c>
      <c r="C12" s="157" t="s">
        <v>391</v>
      </c>
      <c r="D12" s="143" t="s">
        <v>392</v>
      </c>
      <c r="E12" s="158">
        <v>10.75</v>
      </c>
      <c r="F12" s="166">
        <v>1.5</v>
      </c>
      <c r="G12" s="167">
        <f t="shared" si="0"/>
        <v>8</v>
      </c>
      <c r="H12" s="168" t="s">
        <v>55</v>
      </c>
    </row>
    <row r="13" spans="1:8" ht="36" x14ac:dyDescent="0.35">
      <c r="A13" s="156">
        <v>7</v>
      </c>
      <c r="B13" s="157" t="s">
        <v>321</v>
      </c>
      <c r="C13" s="157" t="s">
        <v>393</v>
      </c>
      <c r="D13" s="143" t="s">
        <v>390</v>
      </c>
      <c r="E13" s="158">
        <v>5.5</v>
      </c>
      <c r="F13" s="166">
        <v>1.5</v>
      </c>
      <c r="G13" s="167">
        <f t="shared" si="0"/>
        <v>4</v>
      </c>
      <c r="H13" s="168" t="s">
        <v>55</v>
      </c>
    </row>
    <row r="14" spans="1:8" ht="36" x14ac:dyDescent="0.35">
      <c r="A14" s="156">
        <v>8</v>
      </c>
      <c r="B14" s="157" t="s">
        <v>321</v>
      </c>
      <c r="C14" s="157" t="s">
        <v>394</v>
      </c>
      <c r="D14" s="143" t="s">
        <v>390</v>
      </c>
      <c r="E14" s="158">
        <v>8.48</v>
      </c>
      <c r="F14" s="166">
        <v>1.5</v>
      </c>
      <c r="G14" s="167">
        <f t="shared" si="0"/>
        <v>6</v>
      </c>
      <c r="H14" s="168" t="s">
        <v>55</v>
      </c>
    </row>
    <row r="15" spans="1:8" ht="36" x14ac:dyDescent="0.35">
      <c r="A15" s="156">
        <v>9</v>
      </c>
      <c r="B15" s="157" t="s">
        <v>321</v>
      </c>
      <c r="C15" s="157" t="s">
        <v>395</v>
      </c>
      <c r="D15" s="143" t="s">
        <v>392</v>
      </c>
      <c r="E15" s="158">
        <v>3.75</v>
      </c>
      <c r="F15" s="166">
        <v>1.5</v>
      </c>
      <c r="G15" s="167">
        <f t="shared" si="0"/>
        <v>3</v>
      </c>
      <c r="H15" s="168" t="s">
        <v>55</v>
      </c>
    </row>
    <row r="16" spans="1:8" ht="36" x14ac:dyDescent="0.35">
      <c r="A16" s="156">
        <v>10</v>
      </c>
      <c r="B16" s="157" t="s">
        <v>324</v>
      </c>
      <c r="C16" s="157" t="s">
        <v>396</v>
      </c>
      <c r="D16" s="143" t="s">
        <v>385</v>
      </c>
      <c r="E16" s="158">
        <v>3.75</v>
      </c>
      <c r="F16" s="166">
        <v>1.5</v>
      </c>
      <c r="G16" s="167">
        <f t="shared" si="0"/>
        <v>3</v>
      </c>
      <c r="H16" s="168" t="s">
        <v>55</v>
      </c>
    </row>
    <row r="17" spans="1:8" ht="36" x14ac:dyDescent="0.35">
      <c r="A17" s="156">
        <v>11</v>
      </c>
      <c r="B17" s="157" t="s">
        <v>324</v>
      </c>
      <c r="C17" s="157" t="s">
        <v>397</v>
      </c>
      <c r="D17" s="143" t="s">
        <v>385</v>
      </c>
      <c r="E17" s="158">
        <v>3.75</v>
      </c>
      <c r="F17" s="166">
        <v>1.5</v>
      </c>
      <c r="G17" s="167">
        <f t="shared" si="0"/>
        <v>3</v>
      </c>
      <c r="H17" s="168" t="s">
        <v>55</v>
      </c>
    </row>
    <row r="18" spans="1:8" ht="36" x14ac:dyDescent="0.35">
      <c r="A18" s="156">
        <v>12</v>
      </c>
      <c r="B18" s="157" t="s">
        <v>324</v>
      </c>
      <c r="C18" s="157" t="s">
        <v>398</v>
      </c>
      <c r="D18" s="143" t="s">
        <v>385</v>
      </c>
      <c r="E18" s="158">
        <v>3.75</v>
      </c>
      <c r="F18" s="166">
        <v>1.5</v>
      </c>
      <c r="G18" s="167">
        <f t="shared" si="0"/>
        <v>3</v>
      </c>
      <c r="H18" s="168" t="s">
        <v>55</v>
      </c>
    </row>
    <row r="19" spans="1:8" ht="36" x14ac:dyDescent="0.35">
      <c r="A19" s="156">
        <v>13</v>
      </c>
      <c r="B19" s="157" t="s">
        <v>324</v>
      </c>
      <c r="C19" s="157" t="s">
        <v>399</v>
      </c>
      <c r="D19" s="143" t="s">
        <v>385</v>
      </c>
      <c r="E19" s="158">
        <v>16.309999999999999</v>
      </c>
      <c r="F19" s="166">
        <v>1.5</v>
      </c>
      <c r="G19" s="167">
        <f t="shared" si="0"/>
        <v>11</v>
      </c>
      <c r="H19" s="168" t="s">
        <v>55</v>
      </c>
    </row>
    <row r="20" spans="1:8" ht="36" x14ac:dyDescent="0.35">
      <c r="A20" s="156">
        <v>14</v>
      </c>
      <c r="B20" s="157" t="s">
        <v>324</v>
      </c>
      <c r="C20" s="157" t="s">
        <v>400</v>
      </c>
      <c r="D20" s="143" t="s">
        <v>390</v>
      </c>
      <c r="E20" s="158">
        <v>5.75</v>
      </c>
      <c r="F20" s="166">
        <v>1.5</v>
      </c>
      <c r="G20" s="167">
        <f t="shared" si="0"/>
        <v>4</v>
      </c>
      <c r="H20" s="168" t="s">
        <v>55</v>
      </c>
    </row>
    <row r="21" spans="1:8" ht="36" x14ac:dyDescent="0.35">
      <c r="A21" s="156">
        <v>15</v>
      </c>
      <c r="B21" s="157" t="s">
        <v>324</v>
      </c>
      <c r="C21" s="157" t="s">
        <v>401</v>
      </c>
      <c r="D21" s="143" t="s">
        <v>390</v>
      </c>
      <c r="E21" s="158">
        <v>14.25</v>
      </c>
      <c r="F21" s="166">
        <v>1.5</v>
      </c>
      <c r="G21" s="167">
        <f t="shared" si="0"/>
        <v>10</v>
      </c>
      <c r="H21" s="168" t="s">
        <v>55</v>
      </c>
    </row>
    <row r="22" spans="1:8" ht="36" x14ac:dyDescent="0.35">
      <c r="A22" s="156">
        <v>16</v>
      </c>
      <c r="B22" s="157" t="s">
        <v>324</v>
      </c>
      <c r="C22" s="157" t="s">
        <v>402</v>
      </c>
      <c r="D22" s="143" t="s">
        <v>390</v>
      </c>
      <c r="E22" s="158">
        <v>3.5</v>
      </c>
      <c r="F22" s="166">
        <v>1.5</v>
      </c>
      <c r="G22" s="167">
        <f t="shared" si="0"/>
        <v>3</v>
      </c>
      <c r="H22" s="168" t="s">
        <v>55</v>
      </c>
    </row>
    <row r="23" spans="1:8" ht="36" x14ac:dyDescent="0.35">
      <c r="A23" s="156">
        <v>17</v>
      </c>
      <c r="B23" s="157" t="s">
        <v>324</v>
      </c>
      <c r="C23" s="157" t="s">
        <v>399</v>
      </c>
      <c r="D23" s="143" t="s">
        <v>390</v>
      </c>
      <c r="E23" s="158">
        <v>16.309999999999999</v>
      </c>
      <c r="F23" s="166">
        <v>1.5</v>
      </c>
      <c r="G23" s="167">
        <f t="shared" si="0"/>
        <v>11</v>
      </c>
      <c r="H23" s="168" t="s">
        <v>55</v>
      </c>
    </row>
    <row r="24" spans="1:8" ht="36" x14ac:dyDescent="0.35">
      <c r="A24" s="156">
        <v>18</v>
      </c>
      <c r="B24" s="157" t="s">
        <v>329</v>
      </c>
      <c r="C24" s="157" t="s">
        <v>403</v>
      </c>
      <c r="D24" s="143" t="s">
        <v>385</v>
      </c>
      <c r="E24" s="158">
        <v>5.5</v>
      </c>
      <c r="F24" s="166">
        <v>1.5</v>
      </c>
      <c r="G24" s="167">
        <f t="shared" si="0"/>
        <v>4</v>
      </c>
      <c r="H24" s="168" t="s">
        <v>55</v>
      </c>
    </row>
    <row r="25" spans="1:8" ht="36" x14ac:dyDescent="0.35">
      <c r="A25" s="156">
        <v>19</v>
      </c>
      <c r="B25" s="157" t="s">
        <v>329</v>
      </c>
      <c r="C25" s="157" t="s">
        <v>404</v>
      </c>
      <c r="D25" s="143" t="s">
        <v>392</v>
      </c>
      <c r="E25" s="158">
        <v>2.5</v>
      </c>
      <c r="F25" s="166">
        <v>1.5</v>
      </c>
      <c r="G25" s="167">
        <f t="shared" si="0"/>
        <v>2</v>
      </c>
      <c r="H25" s="168" t="s">
        <v>55</v>
      </c>
    </row>
    <row r="26" spans="1:8" ht="36" x14ac:dyDescent="0.35">
      <c r="A26" s="156">
        <v>20</v>
      </c>
      <c r="B26" s="157" t="s">
        <v>329</v>
      </c>
      <c r="C26" s="157" t="s">
        <v>396</v>
      </c>
      <c r="D26" s="143" t="s">
        <v>390</v>
      </c>
      <c r="E26" s="158">
        <v>3.75</v>
      </c>
      <c r="F26" s="166">
        <v>1.5</v>
      </c>
      <c r="G26" s="167">
        <f t="shared" si="0"/>
        <v>3</v>
      </c>
      <c r="H26" s="168" t="s">
        <v>55</v>
      </c>
    </row>
    <row r="27" spans="1:8" ht="36" x14ac:dyDescent="0.35">
      <c r="A27" s="156">
        <v>21</v>
      </c>
      <c r="B27" s="157" t="s">
        <v>329</v>
      </c>
      <c r="C27" s="157" t="s">
        <v>405</v>
      </c>
      <c r="D27" s="143" t="s">
        <v>390</v>
      </c>
      <c r="E27" s="158">
        <v>5.54</v>
      </c>
      <c r="F27" s="166">
        <v>1.5</v>
      </c>
      <c r="G27" s="167">
        <f t="shared" si="0"/>
        <v>4</v>
      </c>
      <c r="H27" s="168" t="s">
        <v>55</v>
      </c>
    </row>
    <row r="28" spans="1:8" ht="36" x14ac:dyDescent="0.35">
      <c r="A28" s="156">
        <v>22</v>
      </c>
      <c r="B28" s="157" t="s">
        <v>329</v>
      </c>
      <c r="C28" s="157" t="s">
        <v>404</v>
      </c>
      <c r="D28" s="143" t="s">
        <v>406</v>
      </c>
      <c r="E28" s="158">
        <v>2.5</v>
      </c>
      <c r="F28" s="166">
        <v>1.5</v>
      </c>
      <c r="G28" s="167">
        <f t="shared" si="0"/>
        <v>2</v>
      </c>
      <c r="H28" s="168" t="s">
        <v>55</v>
      </c>
    </row>
    <row r="29" spans="1:8" ht="36" x14ac:dyDescent="0.35">
      <c r="A29" s="156">
        <v>23</v>
      </c>
      <c r="B29" s="157" t="s">
        <v>333</v>
      </c>
      <c r="C29" s="157" t="s">
        <v>407</v>
      </c>
      <c r="D29" s="143" t="s">
        <v>385</v>
      </c>
      <c r="E29" s="158">
        <v>34.25</v>
      </c>
      <c r="F29" s="166">
        <v>1.5</v>
      </c>
      <c r="G29" s="167">
        <f t="shared" si="0"/>
        <v>23</v>
      </c>
      <c r="H29" s="168" t="s">
        <v>55</v>
      </c>
    </row>
    <row r="30" spans="1:8" ht="36" x14ac:dyDescent="0.35">
      <c r="A30" s="156">
        <v>24</v>
      </c>
      <c r="B30" s="157" t="s">
        <v>333</v>
      </c>
      <c r="C30" s="157" t="s">
        <v>408</v>
      </c>
      <c r="D30" s="143" t="s">
        <v>385</v>
      </c>
      <c r="E30" s="158">
        <v>2.75</v>
      </c>
      <c r="F30" s="166">
        <v>1.5</v>
      </c>
      <c r="G30" s="167">
        <f t="shared" si="0"/>
        <v>2</v>
      </c>
      <c r="H30" s="168" t="s">
        <v>55</v>
      </c>
    </row>
    <row r="31" spans="1:8" ht="36" x14ac:dyDescent="0.35">
      <c r="A31" s="156">
        <v>25</v>
      </c>
      <c r="B31" s="157" t="s">
        <v>333</v>
      </c>
      <c r="C31" s="157" t="s">
        <v>409</v>
      </c>
      <c r="D31" s="143" t="s">
        <v>385</v>
      </c>
      <c r="E31" s="158">
        <v>4.21</v>
      </c>
      <c r="F31" s="166">
        <v>1.5</v>
      </c>
      <c r="G31" s="167">
        <f t="shared" si="0"/>
        <v>3</v>
      </c>
      <c r="H31" s="168" t="s">
        <v>55</v>
      </c>
    </row>
    <row r="32" spans="1:8" ht="36" x14ac:dyDescent="0.35">
      <c r="A32" s="156">
        <v>26</v>
      </c>
      <c r="B32" s="157" t="s">
        <v>333</v>
      </c>
      <c r="C32" s="157" t="s">
        <v>403</v>
      </c>
      <c r="D32" s="143" t="s">
        <v>390</v>
      </c>
      <c r="E32" s="158">
        <v>5.5</v>
      </c>
      <c r="F32" s="166">
        <v>1.5</v>
      </c>
      <c r="G32" s="167">
        <f t="shared" si="0"/>
        <v>4</v>
      </c>
      <c r="H32" s="168" t="s">
        <v>55</v>
      </c>
    </row>
    <row r="33" spans="1:8" ht="36" x14ac:dyDescent="0.35">
      <c r="A33" s="156">
        <v>27</v>
      </c>
      <c r="B33" s="157" t="s">
        <v>333</v>
      </c>
      <c r="C33" s="157" t="s">
        <v>410</v>
      </c>
      <c r="D33" s="143" t="s">
        <v>406</v>
      </c>
      <c r="E33" s="158">
        <v>8.48</v>
      </c>
      <c r="F33" s="166">
        <v>1.5</v>
      </c>
      <c r="G33" s="167">
        <f t="shared" si="0"/>
        <v>6</v>
      </c>
      <c r="H33" s="168" t="s">
        <v>55</v>
      </c>
    </row>
    <row r="34" spans="1:8" ht="36" x14ac:dyDescent="0.35">
      <c r="A34" s="156">
        <v>28</v>
      </c>
      <c r="B34" s="157" t="s">
        <v>333</v>
      </c>
      <c r="C34" s="157" t="s">
        <v>411</v>
      </c>
      <c r="D34" s="143" t="s">
        <v>390</v>
      </c>
      <c r="E34" s="158">
        <v>18.5</v>
      </c>
      <c r="F34" s="166">
        <v>1.5</v>
      </c>
      <c r="G34" s="167">
        <f t="shared" si="0"/>
        <v>13</v>
      </c>
      <c r="H34" s="168" t="s">
        <v>55</v>
      </c>
    </row>
    <row r="35" spans="1:8" ht="36" x14ac:dyDescent="0.35">
      <c r="A35" s="156">
        <v>29</v>
      </c>
      <c r="B35" s="157" t="s">
        <v>333</v>
      </c>
      <c r="C35" s="157" t="s">
        <v>412</v>
      </c>
      <c r="D35" s="143" t="s">
        <v>390</v>
      </c>
      <c r="E35" s="158">
        <v>7.75</v>
      </c>
      <c r="F35" s="166">
        <v>1.5</v>
      </c>
      <c r="G35" s="167">
        <f t="shared" si="0"/>
        <v>6</v>
      </c>
      <c r="H35" s="168" t="s">
        <v>55</v>
      </c>
    </row>
    <row r="36" spans="1:8" ht="36" x14ac:dyDescent="0.35">
      <c r="A36" s="156">
        <v>30</v>
      </c>
      <c r="B36" s="157" t="s">
        <v>333</v>
      </c>
      <c r="C36" s="157" t="s">
        <v>408</v>
      </c>
      <c r="D36" s="143" t="s">
        <v>390</v>
      </c>
      <c r="E36" s="158">
        <v>2.75</v>
      </c>
      <c r="F36" s="166">
        <v>1.5</v>
      </c>
      <c r="G36" s="167">
        <f t="shared" si="0"/>
        <v>2</v>
      </c>
      <c r="H36" s="168" t="s">
        <v>55</v>
      </c>
    </row>
    <row r="37" spans="1:8" ht="36" x14ac:dyDescent="0.35">
      <c r="A37" s="156">
        <v>31</v>
      </c>
      <c r="B37" s="157" t="s">
        <v>333</v>
      </c>
      <c r="C37" s="157" t="s">
        <v>409</v>
      </c>
      <c r="D37" s="143" t="s">
        <v>390</v>
      </c>
      <c r="E37" s="158">
        <v>4.21</v>
      </c>
      <c r="F37" s="166">
        <v>1.5</v>
      </c>
      <c r="G37" s="167">
        <f t="shared" si="0"/>
        <v>3</v>
      </c>
      <c r="H37" s="168" t="s">
        <v>55</v>
      </c>
    </row>
    <row r="38" spans="1:8" ht="36" x14ac:dyDescent="0.35">
      <c r="A38" s="156">
        <v>32</v>
      </c>
      <c r="B38" s="157" t="s">
        <v>337</v>
      </c>
      <c r="C38" s="157" t="s">
        <v>413</v>
      </c>
      <c r="D38" s="143" t="s">
        <v>390</v>
      </c>
      <c r="E38" s="158">
        <v>14.93</v>
      </c>
      <c r="F38" s="166">
        <v>1.5</v>
      </c>
      <c r="G38" s="167">
        <f t="shared" si="0"/>
        <v>10</v>
      </c>
      <c r="H38" s="168" t="s">
        <v>55</v>
      </c>
    </row>
    <row r="39" spans="1:8" ht="36" x14ac:dyDescent="0.35">
      <c r="A39" s="156">
        <v>33</v>
      </c>
      <c r="B39" s="157" t="s">
        <v>340</v>
      </c>
      <c r="C39" s="157" t="s">
        <v>414</v>
      </c>
      <c r="D39" s="143" t="s">
        <v>385</v>
      </c>
      <c r="E39" s="158">
        <v>6</v>
      </c>
      <c r="F39" s="166">
        <v>1.5</v>
      </c>
      <c r="G39" s="167">
        <f t="shared" si="0"/>
        <v>4</v>
      </c>
      <c r="H39" s="168" t="s">
        <v>55</v>
      </c>
    </row>
    <row r="40" spans="1:8" ht="36" x14ac:dyDescent="0.35">
      <c r="A40" s="156">
        <v>34</v>
      </c>
      <c r="B40" s="157" t="s">
        <v>344</v>
      </c>
      <c r="C40" s="157" t="s">
        <v>415</v>
      </c>
      <c r="D40" s="143" t="s">
        <v>390</v>
      </c>
      <c r="E40" s="158">
        <v>21.5</v>
      </c>
      <c r="F40" s="166">
        <v>1.5</v>
      </c>
      <c r="G40" s="167">
        <f t="shared" si="0"/>
        <v>15</v>
      </c>
      <c r="H40" s="168" t="s">
        <v>55</v>
      </c>
    </row>
    <row r="42" spans="1:8" ht="25.5" customHeight="1" x14ac:dyDescent="0.35">
      <c r="A42" s="309" t="s">
        <v>416</v>
      </c>
      <c r="B42" s="309"/>
      <c r="C42" s="309"/>
      <c r="D42" s="309"/>
      <c r="E42" s="132">
        <f>SUM(E7:E40)</f>
        <v>320.52999999999997</v>
      </c>
      <c r="G42" s="169">
        <f>SUM(G7:G40)</f>
        <v>226</v>
      </c>
      <c r="H42" s="169" t="s">
        <v>55</v>
      </c>
    </row>
    <row r="44" spans="1:8" ht="15.65" customHeight="1" x14ac:dyDescent="0.35">
      <c r="A44" s="310" t="s">
        <v>417</v>
      </c>
      <c r="B44" s="310"/>
      <c r="C44" s="310"/>
      <c r="D44" s="310"/>
      <c r="E44" s="310"/>
      <c r="F44" s="310"/>
      <c r="G44" s="310"/>
      <c r="H44" s="310"/>
    </row>
    <row r="45" spans="1:8" ht="35.5" customHeight="1" x14ac:dyDescent="0.35">
      <c r="A45" s="308" t="s">
        <v>418</v>
      </c>
      <c r="B45" s="308"/>
      <c r="C45" s="308"/>
      <c r="D45" s="308"/>
      <c r="E45" s="308"/>
      <c r="F45" s="308"/>
      <c r="G45" s="308"/>
      <c r="H45" s="308"/>
    </row>
    <row r="46" spans="1:8" ht="48.25" customHeight="1" x14ac:dyDescent="0.35">
      <c r="A46" s="308" t="s">
        <v>419</v>
      </c>
      <c r="B46" s="308"/>
      <c r="C46" s="308"/>
      <c r="D46" s="308"/>
      <c r="E46" s="308"/>
      <c r="F46" s="308"/>
      <c r="G46" s="308"/>
      <c r="H46" s="308"/>
    </row>
    <row r="47" spans="1:8" ht="59.5" customHeight="1" x14ac:dyDescent="0.35">
      <c r="A47" s="308" t="s">
        <v>420</v>
      </c>
      <c r="B47" s="308"/>
      <c r="C47" s="308"/>
      <c r="D47" s="308"/>
      <c r="E47" s="308"/>
      <c r="F47" s="308"/>
      <c r="G47" s="308"/>
      <c r="H47" s="308"/>
    </row>
    <row r="48" spans="1:8" ht="18.5" customHeight="1" x14ac:dyDescent="0.35">
      <c r="A48" s="308" t="s">
        <v>421</v>
      </c>
      <c r="B48" s="308"/>
      <c r="C48" s="308"/>
      <c r="D48" s="308"/>
      <c r="E48" s="308"/>
      <c r="F48" s="308"/>
      <c r="G48" s="308"/>
      <c r="H48" s="308"/>
    </row>
  </sheetData>
  <mergeCells count="13">
    <mergeCell ref="A1:H1"/>
    <mergeCell ref="A2:B2"/>
    <mergeCell ref="C2:H2"/>
    <mergeCell ref="A3:B3"/>
    <mergeCell ref="C3:H3"/>
    <mergeCell ref="A46:H46"/>
    <mergeCell ref="A47:H47"/>
    <mergeCell ref="A48:H48"/>
    <mergeCell ref="A4:B4"/>
    <mergeCell ref="C4:F4"/>
    <mergeCell ref="A42:D42"/>
    <mergeCell ref="A44:H44"/>
    <mergeCell ref="A45:H45"/>
  </mergeCells>
  <conditionalFormatting sqref="D7:D40">
    <cfRule type="expression" dxfId="2" priority="2">
      <formula>D7="TAPADA"</formula>
    </cfRule>
    <cfRule type="expression" dxfId="1" priority="3">
      <formula>D7="ABIERTA"</formula>
    </cfRule>
  </conditionalFormatting>
  <conditionalFormatting sqref="G7:G40">
    <cfRule type="expression" dxfId="0" priority="4">
      <formula>$D7="TAPADA"</formula>
    </cfRule>
  </conditionalFormatting>
  <pageMargins left="0.7" right="0.7" top="0.84861111111111098" bottom="0.84861111111111098" header="0.75" footer="0.75"/>
  <pageSetup paperSize="9" fitToHeight="0"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K23"/>
  <sheetViews>
    <sheetView topLeftCell="B7" zoomScale="115" zoomScaleNormal="115" zoomScalePageLayoutView="115" workbookViewId="0">
      <selection activeCell="F17" sqref="F17"/>
    </sheetView>
  </sheetViews>
  <sheetFormatPr baseColWidth="10" defaultColWidth="9.453125" defaultRowHeight="15.5" x14ac:dyDescent="0.35"/>
  <cols>
    <col min="1" max="1" width="22.453125" style="153" customWidth="1"/>
    <col min="2" max="2" width="50.7265625" style="153" customWidth="1"/>
    <col min="3" max="3" width="14.1796875" style="153" customWidth="1"/>
    <col min="4" max="4" width="18.1796875" style="153" customWidth="1"/>
    <col min="5" max="5" width="12.54296875" style="153" customWidth="1"/>
    <col min="6" max="8" width="12" style="153" customWidth="1"/>
    <col min="9" max="10" width="16.36328125" style="153" customWidth="1"/>
    <col min="11" max="11" width="9.81640625" style="153" customWidth="1"/>
    <col min="12" max="16384" width="9.453125" style="153"/>
  </cols>
  <sheetData>
    <row r="1" spans="1:11" ht="19.5" customHeight="1" x14ac:dyDescent="0.35">
      <c r="A1" s="312" t="s">
        <v>422</v>
      </c>
      <c r="B1" s="312"/>
      <c r="C1" s="312"/>
      <c r="D1" s="312"/>
      <c r="E1" s="312"/>
      <c r="F1" s="312"/>
      <c r="G1" s="312"/>
      <c r="H1" s="312"/>
      <c r="I1" s="312"/>
      <c r="J1" s="312"/>
      <c r="K1" s="312"/>
    </row>
    <row r="2" spans="1:11" ht="24.75" customHeight="1" x14ac:dyDescent="0.35">
      <c r="A2" s="154" t="s">
        <v>1</v>
      </c>
      <c r="B2" s="294" t="s">
        <v>2</v>
      </c>
      <c r="C2" s="294"/>
      <c r="D2" s="294"/>
      <c r="E2" s="294"/>
      <c r="F2" s="294"/>
      <c r="G2" s="294"/>
      <c r="H2" s="294"/>
      <c r="I2" s="294"/>
      <c r="J2" s="294"/>
      <c r="K2" s="294"/>
    </row>
    <row r="3" spans="1:11" ht="39.75" customHeight="1" x14ac:dyDescent="0.35">
      <c r="A3" s="154" t="s">
        <v>3</v>
      </c>
      <c r="B3" s="294"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94"/>
      <c r="D3" s="294"/>
      <c r="E3" s="294"/>
      <c r="F3" s="294"/>
      <c r="G3" s="294"/>
      <c r="H3" s="294"/>
      <c r="I3" s="294"/>
      <c r="J3" s="294"/>
      <c r="K3" s="294"/>
    </row>
    <row r="4" spans="1:11" ht="24" customHeight="1" x14ac:dyDescent="0.35">
      <c r="A4" s="154" t="s">
        <v>5</v>
      </c>
      <c r="B4" s="294" t="str">
        <f>+RESUMEN!B6</f>
        <v>SAN MARTIN - SAN MARTIN - MORALES</v>
      </c>
      <c r="C4" s="294"/>
      <c r="D4" s="294"/>
      <c r="E4" s="294"/>
      <c r="F4" s="294"/>
      <c r="G4" s="294"/>
      <c r="H4" s="294"/>
      <c r="I4" s="294"/>
      <c r="J4" s="294"/>
      <c r="K4" s="294"/>
    </row>
    <row r="5" spans="1:11" ht="18" customHeight="1" x14ac:dyDescent="0.35">
      <c r="A5" s="154" t="s">
        <v>7</v>
      </c>
      <c r="B5" s="313">
        <f>+RESUMEN!B7</f>
        <v>46266</v>
      </c>
      <c r="C5" s="313"/>
      <c r="D5" s="313"/>
      <c r="E5" s="313"/>
      <c r="F5" s="313"/>
      <c r="G5" s="313"/>
      <c r="H5" s="313"/>
      <c r="I5" s="313"/>
      <c r="J5" s="313"/>
      <c r="K5" s="313"/>
    </row>
    <row r="6" spans="1:11" ht="9.75" customHeight="1" x14ac:dyDescent="0.35">
      <c r="A6" s="182"/>
      <c r="B6" s="182"/>
      <c r="C6" s="182"/>
      <c r="D6" s="182"/>
      <c r="E6" s="182"/>
      <c r="F6" s="182"/>
      <c r="G6" s="182"/>
      <c r="H6" s="182"/>
      <c r="I6" s="182"/>
      <c r="J6" s="182"/>
      <c r="K6" s="182"/>
    </row>
    <row r="7" spans="1:11" ht="19.5" customHeight="1" x14ac:dyDescent="0.35">
      <c r="A7" s="311" t="s">
        <v>126</v>
      </c>
      <c r="B7" s="311" t="s">
        <v>236</v>
      </c>
      <c r="C7" s="183" t="s">
        <v>128</v>
      </c>
      <c r="D7" s="311" t="s">
        <v>423</v>
      </c>
      <c r="E7" s="311"/>
      <c r="F7" s="311"/>
      <c r="G7" s="311"/>
      <c r="H7" s="311"/>
      <c r="I7" s="183" t="s">
        <v>135</v>
      </c>
      <c r="J7" s="311" t="s">
        <v>136</v>
      </c>
      <c r="K7" s="311" t="s">
        <v>137</v>
      </c>
    </row>
    <row r="8" spans="1:11" ht="36" customHeight="1" x14ac:dyDescent="0.35">
      <c r="A8" s="311"/>
      <c r="B8" s="311"/>
      <c r="C8" s="183"/>
      <c r="D8" s="183" t="s">
        <v>129</v>
      </c>
      <c r="E8" s="183" t="s">
        <v>130</v>
      </c>
      <c r="F8" s="183" t="s">
        <v>131</v>
      </c>
      <c r="G8" s="183" t="s">
        <v>132</v>
      </c>
      <c r="H8" s="183" t="s">
        <v>133</v>
      </c>
      <c r="I8" s="183" t="s">
        <v>424</v>
      </c>
      <c r="J8" s="311"/>
      <c r="K8" s="311"/>
    </row>
    <row r="9" spans="1:11" ht="19.5" customHeight="1" x14ac:dyDescent="0.35">
      <c r="A9" s="156" t="s">
        <v>53</v>
      </c>
      <c r="B9" s="184" t="s">
        <v>425</v>
      </c>
      <c r="C9" s="156"/>
      <c r="D9" s="156"/>
      <c r="E9" s="156"/>
      <c r="F9" s="156"/>
      <c r="G9" s="156"/>
      <c r="H9" s="156"/>
      <c r="I9" s="156"/>
      <c r="J9" s="185">
        <f>+PARAMETROS!B4</f>
        <v>18</v>
      </c>
      <c r="K9" s="186" t="s">
        <v>55</v>
      </c>
    </row>
    <row r="10" spans="1:11" ht="19.5" customHeight="1" x14ac:dyDescent="0.35">
      <c r="A10" s="156"/>
      <c r="B10" s="184"/>
      <c r="C10" s="156"/>
      <c r="D10" s="156"/>
      <c r="E10" s="156"/>
      <c r="F10" s="156"/>
      <c r="G10" s="156"/>
      <c r="H10" s="156"/>
      <c r="I10" s="156"/>
      <c r="J10" s="156"/>
      <c r="K10" s="156"/>
    </row>
    <row r="11" spans="1:11" ht="19.5" customHeight="1" x14ac:dyDescent="0.35">
      <c r="A11" s="187"/>
      <c r="B11" s="188" t="s">
        <v>426</v>
      </c>
      <c r="C11" s="187"/>
      <c r="D11" s="187"/>
      <c r="E11" s="187"/>
      <c r="F11" s="187"/>
      <c r="G11" s="187"/>
      <c r="H11" s="187"/>
      <c r="I11" s="187" t="s">
        <v>136</v>
      </c>
      <c r="J11" s="187"/>
      <c r="K11" s="187"/>
    </row>
    <row r="12" spans="1:11" ht="19.5" customHeight="1" x14ac:dyDescent="0.35">
      <c r="A12" s="156"/>
      <c r="B12" s="184" t="s">
        <v>427</v>
      </c>
      <c r="C12" s="189">
        <f>PARAMETROS!B4</f>
        <v>18</v>
      </c>
      <c r="D12" s="189">
        <f>PARAMETROS!B5</f>
        <v>0.6</v>
      </c>
      <c r="E12" s="189">
        <f>PARAMETROS!B6</f>
        <v>0.6</v>
      </c>
      <c r="F12" s="189">
        <f>PARAMETROS!B7</f>
        <v>0.1</v>
      </c>
      <c r="G12" s="190"/>
      <c r="H12" s="190"/>
      <c r="I12" s="189">
        <f>C12*D12*E12*F12</f>
        <v>0.64800000000000002</v>
      </c>
      <c r="J12" s="185">
        <f>I12</f>
        <v>0.64800000000000002</v>
      </c>
      <c r="K12" s="186" t="s">
        <v>152</v>
      </c>
    </row>
    <row r="13" spans="1:11" ht="19.5" customHeight="1" x14ac:dyDescent="0.35">
      <c r="A13" s="156"/>
      <c r="B13" s="184"/>
      <c r="C13" s="190"/>
      <c r="D13" s="190"/>
      <c r="E13" s="190"/>
      <c r="F13" s="190"/>
      <c r="G13" s="190"/>
      <c r="H13" s="190"/>
      <c r="I13" s="190"/>
      <c r="J13" s="190"/>
      <c r="K13" s="156"/>
    </row>
    <row r="14" spans="1:11" ht="29.25" customHeight="1" x14ac:dyDescent="0.35">
      <c r="A14" s="187"/>
      <c r="B14" s="188" t="s">
        <v>428</v>
      </c>
      <c r="C14" s="191"/>
      <c r="D14" s="191"/>
      <c r="E14" s="191"/>
      <c r="F14" s="191"/>
      <c r="G14" s="191"/>
      <c r="H14" s="191"/>
      <c r="I14" s="191" t="s">
        <v>136</v>
      </c>
      <c r="J14" s="191"/>
      <c r="K14" s="187"/>
    </row>
    <row r="15" spans="1:11" ht="19.5" customHeight="1" x14ac:dyDescent="0.35">
      <c r="A15" s="156"/>
      <c r="B15" s="184" t="s">
        <v>429</v>
      </c>
      <c r="C15" s="189">
        <f>PARAMETROS!B4</f>
        <v>18</v>
      </c>
      <c r="D15" s="189">
        <f>2*(PARAMETROS!B5+PARAMETROS!B6)</f>
        <v>2.4</v>
      </c>
      <c r="E15" s="189"/>
      <c r="F15" s="189">
        <f>PARAMETROS!B7</f>
        <v>0.1</v>
      </c>
      <c r="G15" s="190"/>
      <c r="H15" s="189">
        <f>D15*F15</f>
        <v>0.24</v>
      </c>
      <c r="I15" s="189">
        <f>C15*H15</f>
        <v>4.32</v>
      </c>
      <c r="J15" s="189">
        <f>I15</f>
        <v>4.32</v>
      </c>
      <c r="K15" s="156" t="s">
        <v>153</v>
      </c>
    </row>
    <row r="16" spans="1:11" ht="19.5" customHeight="1" x14ac:dyDescent="0.35">
      <c r="A16" s="156"/>
      <c r="B16" s="184" t="s">
        <v>430</v>
      </c>
      <c r="C16" s="189">
        <f>PARAMETROS!B4</f>
        <v>18</v>
      </c>
      <c r="D16" s="189">
        <f>PARAMETROS!B5</f>
        <v>0.6</v>
      </c>
      <c r="E16" s="189">
        <f>PARAMETROS!B6</f>
        <v>0.6</v>
      </c>
      <c r="F16" s="189"/>
      <c r="G16" s="190"/>
      <c r="H16" s="189">
        <f>D16*E16</f>
        <v>0.36</v>
      </c>
      <c r="I16" s="189">
        <f>C16*H16</f>
        <v>6.4799999999999995</v>
      </c>
      <c r="J16" s="189">
        <f>I16</f>
        <v>6.4799999999999995</v>
      </c>
      <c r="K16" s="156" t="s">
        <v>153</v>
      </c>
    </row>
    <row r="17" spans="1:11" ht="19.5" customHeight="1" x14ac:dyDescent="0.35">
      <c r="A17" s="156"/>
      <c r="B17" s="184" t="s">
        <v>431</v>
      </c>
      <c r="C17" s="190"/>
      <c r="D17" s="190"/>
      <c r="E17" s="190"/>
      <c r="F17" s="190"/>
      <c r="G17" s="190"/>
      <c r="H17" s="189"/>
      <c r="I17" s="189"/>
      <c r="J17" s="185">
        <f>J15+J16</f>
        <v>10.8</v>
      </c>
      <c r="K17" s="186" t="s">
        <v>153</v>
      </c>
    </row>
    <row r="18" spans="1:11" ht="19.5" customHeight="1" x14ac:dyDescent="0.35">
      <c r="A18" s="156"/>
      <c r="B18" s="184"/>
      <c r="C18" s="190"/>
      <c r="D18" s="190"/>
      <c r="E18" s="190"/>
      <c r="F18" s="190"/>
      <c r="G18" s="190"/>
      <c r="H18" s="190"/>
      <c r="I18" s="190"/>
      <c r="J18" s="190"/>
      <c r="K18" s="156"/>
    </row>
    <row r="19" spans="1:11" ht="42.75" customHeight="1" x14ac:dyDescent="0.35">
      <c r="A19" s="187"/>
      <c r="B19" s="188" t="s">
        <v>432</v>
      </c>
      <c r="C19" s="191"/>
      <c r="D19" s="192" t="s">
        <v>433</v>
      </c>
      <c r="E19" s="193" t="s">
        <v>434</v>
      </c>
      <c r="F19" s="191"/>
      <c r="G19" s="191"/>
      <c r="H19" s="191"/>
      <c r="I19" s="191" t="s">
        <v>136</v>
      </c>
      <c r="J19" s="191"/>
      <c r="K19" s="187"/>
    </row>
    <row r="20" spans="1:11" ht="19.5" customHeight="1" x14ac:dyDescent="0.35">
      <c r="A20" s="156"/>
      <c r="B20" s="184" t="s">
        <v>435</v>
      </c>
      <c r="C20" s="189">
        <f>PARAMETROS!B4</f>
        <v>18</v>
      </c>
      <c r="D20" s="189">
        <f>PARAMETROS!B5-2*PARAMETROS!B8</f>
        <v>0.54999999999999993</v>
      </c>
      <c r="E20" s="189">
        <f>ROUND((PARAMETROS!B6-2*PARAMETROS!B8)/PARAMETROS!B9,0)+1</f>
        <v>5</v>
      </c>
      <c r="F20" s="189"/>
      <c r="G20" s="189">
        <f>PARAMETROS!B10</f>
        <v>0.56000000000000005</v>
      </c>
      <c r="H20" s="190"/>
      <c r="I20" s="189">
        <f>C20*D20*E20*G20</f>
        <v>27.72</v>
      </c>
      <c r="J20" s="189">
        <f>I20</f>
        <v>27.72</v>
      </c>
      <c r="K20" s="156" t="s">
        <v>46</v>
      </c>
    </row>
    <row r="21" spans="1:11" ht="19.5" customHeight="1" x14ac:dyDescent="0.35">
      <c r="A21" s="156"/>
      <c r="B21" s="184" t="s">
        <v>436</v>
      </c>
      <c r="C21" s="189">
        <f>PARAMETROS!B4</f>
        <v>18</v>
      </c>
      <c r="D21" s="189">
        <f>PARAMETROS!B6-2*PARAMETROS!B8</f>
        <v>0.54999999999999993</v>
      </c>
      <c r="E21" s="189">
        <f>ROUND((PARAMETROS!B5-2*PARAMETROS!B8)/PARAMETROS!B9,0)+1</f>
        <v>5</v>
      </c>
      <c r="F21" s="189"/>
      <c r="G21" s="189">
        <f>PARAMETROS!B10</f>
        <v>0.56000000000000005</v>
      </c>
      <c r="H21" s="190"/>
      <c r="I21" s="189">
        <f>C21*D21*E21*G21</f>
        <v>27.72</v>
      </c>
      <c r="J21" s="189">
        <f>I21</f>
        <v>27.72</v>
      </c>
      <c r="K21" s="156" t="s">
        <v>46</v>
      </c>
    </row>
    <row r="22" spans="1:11" ht="19.5" customHeight="1" x14ac:dyDescent="0.35">
      <c r="A22" s="156"/>
      <c r="B22" s="184" t="s">
        <v>437</v>
      </c>
      <c r="C22" s="190"/>
      <c r="D22" s="190"/>
      <c r="E22" s="190"/>
      <c r="F22" s="190"/>
      <c r="G22" s="190"/>
      <c r="H22" s="190"/>
      <c r="I22" s="189"/>
      <c r="J22" s="185">
        <f>J20+J21</f>
        <v>55.44</v>
      </c>
      <c r="K22" s="186" t="s">
        <v>46</v>
      </c>
    </row>
    <row r="23" spans="1:11" ht="19.5" customHeight="1" x14ac:dyDescent="0.35">
      <c r="A23" s="194"/>
      <c r="B23" s="182"/>
      <c r="C23" s="194"/>
      <c r="D23" s="194"/>
      <c r="E23" s="194"/>
      <c r="F23" s="194"/>
      <c r="G23" s="194"/>
      <c r="H23" s="194"/>
      <c r="I23" s="194"/>
      <c r="J23" s="194"/>
      <c r="K23" s="194"/>
    </row>
  </sheetData>
  <mergeCells count="10">
    <mergeCell ref="A1:K1"/>
    <mergeCell ref="B2:K2"/>
    <mergeCell ref="B3:K3"/>
    <mergeCell ref="B4:K4"/>
    <mergeCell ref="B5:K5"/>
    <mergeCell ref="A7:A8"/>
    <mergeCell ref="B7:B8"/>
    <mergeCell ref="D7:H7"/>
    <mergeCell ref="J7:J8"/>
    <mergeCell ref="K7:K8"/>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6"/>
  <sheetViews>
    <sheetView zoomScaleNormal="100" zoomScalePageLayoutView="116" workbookViewId="0">
      <selection sqref="A1:G1"/>
    </sheetView>
  </sheetViews>
  <sheetFormatPr baseColWidth="10" defaultColWidth="8.7265625" defaultRowHeight="14.5" x14ac:dyDescent="0.35"/>
  <cols>
    <col min="1" max="1" width="5" customWidth="1"/>
    <col min="2" max="5" width="14" customWidth="1"/>
    <col min="6" max="6" width="30" customWidth="1"/>
    <col min="7" max="7" width="70" customWidth="1"/>
  </cols>
  <sheetData>
    <row r="1" spans="1:7" ht="27" customHeight="1" x14ac:dyDescent="0.35">
      <c r="A1" s="319" t="s">
        <v>438</v>
      </c>
      <c r="B1" s="319"/>
      <c r="C1" s="319"/>
      <c r="D1" s="319"/>
      <c r="E1" s="319"/>
      <c r="F1" s="319"/>
      <c r="G1" s="319"/>
    </row>
    <row r="2" spans="1:7" ht="24.75" customHeight="1" x14ac:dyDescent="0.35">
      <c r="A2" s="315" t="s">
        <v>1</v>
      </c>
      <c r="B2" s="315"/>
      <c r="C2" s="316" t="str">
        <f>+RESUMEN!B4</f>
        <v>GERENCIA TERRITORIAL BAJO MAYO - TARAPOTO</v>
      </c>
      <c r="D2" s="316"/>
      <c r="E2" s="316"/>
      <c r="F2" s="316"/>
      <c r="G2" s="316"/>
    </row>
    <row r="3" spans="1:7"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row>
    <row r="4" spans="1:7" ht="24.75" customHeight="1" x14ac:dyDescent="0.35">
      <c r="A4" s="315" t="s">
        <v>5</v>
      </c>
      <c r="B4" s="315"/>
      <c r="C4" s="316" t="str">
        <f>+RESUMEN!B6</f>
        <v>SAN MARTIN - SAN MARTIN - MORALES</v>
      </c>
      <c r="D4" s="316"/>
      <c r="E4" s="316"/>
      <c r="F4" s="316"/>
      <c r="G4" s="316"/>
    </row>
    <row r="5" spans="1:7" ht="24.75" customHeight="1" x14ac:dyDescent="0.35">
      <c r="A5" s="315" t="s">
        <v>7</v>
      </c>
      <c r="B5" s="315"/>
      <c r="C5" s="317">
        <f>+RESUMEN!B7</f>
        <v>46266</v>
      </c>
      <c r="D5" s="317"/>
      <c r="E5" s="317"/>
      <c r="F5" s="317"/>
      <c r="G5" s="317"/>
    </row>
    <row r="7" spans="1:7" ht="48" customHeight="1" x14ac:dyDescent="0.35">
      <c r="A7" s="318" t="s">
        <v>439</v>
      </c>
      <c r="B7" s="318"/>
      <c r="C7" s="318"/>
      <c r="D7" s="318"/>
      <c r="E7" s="318"/>
      <c r="F7" s="318"/>
      <c r="G7" s="318"/>
    </row>
    <row r="9" spans="1:7" ht="39.75" customHeight="1" x14ac:dyDescent="0.35">
      <c r="A9" s="195" t="s">
        <v>275</v>
      </c>
      <c r="B9" s="195" t="s">
        <v>440</v>
      </c>
      <c r="C9" s="195" t="s">
        <v>441</v>
      </c>
      <c r="D9" s="195" t="s">
        <v>442</v>
      </c>
      <c r="E9" s="195" t="s">
        <v>443</v>
      </c>
      <c r="F9" s="195" t="s">
        <v>444</v>
      </c>
      <c r="G9" s="195" t="s">
        <v>445</v>
      </c>
    </row>
    <row r="10" spans="1:7" ht="25.5" customHeight="1" x14ac:dyDescent="0.35">
      <c r="A10" s="196">
        <v>1</v>
      </c>
      <c r="B10" s="196" t="s">
        <v>308</v>
      </c>
      <c r="C10" s="197">
        <v>114.3</v>
      </c>
      <c r="D10" s="197">
        <v>2.77</v>
      </c>
      <c r="E10" s="198">
        <f>C10-D10</f>
        <v>111.53</v>
      </c>
      <c r="F10" s="196" t="s">
        <v>446</v>
      </c>
      <c r="G10" s="199" t="s">
        <v>447</v>
      </c>
    </row>
    <row r="11" spans="1:7" ht="25.5" customHeight="1" x14ac:dyDescent="0.35">
      <c r="A11" s="196">
        <v>2</v>
      </c>
      <c r="B11" s="196" t="s">
        <v>324</v>
      </c>
      <c r="C11" s="197">
        <v>105.7</v>
      </c>
      <c r="D11" s="197">
        <v>3.39</v>
      </c>
      <c r="E11" s="198">
        <f>C11-D11</f>
        <v>102.31</v>
      </c>
      <c r="F11" s="196" t="s">
        <v>448</v>
      </c>
      <c r="G11" s="199" t="s">
        <v>447</v>
      </c>
    </row>
    <row r="12" spans="1:7" ht="25.5" customHeight="1" x14ac:dyDescent="0.35">
      <c r="A12" s="196">
        <v>3</v>
      </c>
      <c r="B12" s="196" t="s">
        <v>333</v>
      </c>
      <c r="C12" s="197">
        <v>98.95</v>
      </c>
      <c r="D12" s="197">
        <v>0.26</v>
      </c>
      <c r="E12" s="198">
        <f>C12-D12</f>
        <v>98.69</v>
      </c>
      <c r="F12" s="196" t="s">
        <v>448</v>
      </c>
      <c r="G12" s="199" t="s">
        <v>447</v>
      </c>
    </row>
    <row r="13" spans="1:7" ht="25.5" customHeight="1" x14ac:dyDescent="0.35">
      <c r="A13" s="196">
        <v>4</v>
      </c>
      <c r="B13" s="196" t="s">
        <v>340</v>
      </c>
      <c r="C13" s="197">
        <v>60.7</v>
      </c>
      <c r="D13" s="197">
        <v>0.1</v>
      </c>
      <c r="E13" s="198">
        <f>C13-D13</f>
        <v>60.6</v>
      </c>
      <c r="F13" s="196" t="s">
        <v>448</v>
      </c>
      <c r="G13" s="199" t="s">
        <v>447</v>
      </c>
    </row>
    <row r="14" spans="1:7" ht="25.5" customHeight="1" x14ac:dyDescent="0.35">
      <c r="A14" s="196">
        <v>5</v>
      </c>
      <c r="B14" s="196" t="s">
        <v>344</v>
      </c>
      <c r="C14" s="197">
        <v>42.7</v>
      </c>
      <c r="D14" s="197">
        <v>0.04</v>
      </c>
      <c r="E14" s="198">
        <f>C14-D14</f>
        <v>42.660000000000004</v>
      </c>
      <c r="F14" s="196" t="s">
        <v>448</v>
      </c>
      <c r="G14" s="199" t="s">
        <v>447</v>
      </c>
    </row>
    <row r="16" spans="1:7" ht="33.75" customHeight="1" x14ac:dyDescent="0.35">
      <c r="A16" s="314" t="s">
        <v>449</v>
      </c>
      <c r="B16" s="314"/>
      <c r="C16" s="314"/>
      <c r="D16" s="314"/>
      <c r="E16" s="314"/>
      <c r="F16" s="314"/>
      <c r="G16" s="314"/>
    </row>
  </sheetData>
  <mergeCells count="11">
    <mergeCell ref="A1:G1"/>
    <mergeCell ref="A2:B2"/>
    <mergeCell ref="C2:G2"/>
    <mergeCell ref="A3:B3"/>
    <mergeCell ref="C3:G3"/>
    <mergeCell ref="A16:G16"/>
    <mergeCell ref="A4:B4"/>
    <mergeCell ref="C4:G4"/>
    <mergeCell ref="A5:B5"/>
    <mergeCell ref="C5:G5"/>
    <mergeCell ref="A7:G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zoomScaleNormal="100" zoomScalePageLayoutView="160" workbookViewId="0">
      <selection activeCell="B5" sqref="B5"/>
    </sheetView>
  </sheetViews>
  <sheetFormatPr baseColWidth="10" defaultColWidth="9.453125" defaultRowHeight="14.5" x14ac:dyDescent="0.35"/>
  <cols>
    <col min="1" max="1" width="34.90625" style="200" customWidth="1"/>
    <col min="2" max="2" width="14.1796875" style="200" customWidth="1"/>
    <col min="3" max="3" width="13.08984375" style="200" customWidth="1"/>
    <col min="4" max="4" width="52.36328125" style="200" customWidth="1"/>
    <col min="5" max="16384" width="9.453125" style="200"/>
  </cols>
  <sheetData>
    <row r="1" spans="1:4" ht="9.75" customHeight="1" x14ac:dyDescent="0.35">
      <c r="A1" s="320" t="s">
        <v>450</v>
      </c>
      <c r="B1" s="320"/>
      <c r="C1" s="320"/>
      <c r="D1" s="320"/>
    </row>
    <row r="2" spans="1:4" ht="9.75" customHeight="1" x14ac:dyDescent="0.35">
      <c r="A2" s="202"/>
      <c r="B2" s="202"/>
      <c r="C2" s="202"/>
      <c r="D2" s="202"/>
    </row>
    <row r="3" spans="1:4" ht="9.75" customHeight="1" x14ac:dyDescent="0.35">
      <c r="A3" s="203" t="s">
        <v>9</v>
      </c>
      <c r="B3" s="203" t="s">
        <v>451</v>
      </c>
      <c r="C3" s="203" t="s">
        <v>452</v>
      </c>
      <c r="D3" s="203" t="s">
        <v>453</v>
      </c>
    </row>
    <row r="4" spans="1:4" ht="15" customHeight="1" x14ac:dyDescent="0.35">
      <c r="A4" s="202" t="s">
        <v>454</v>
      </c>
      <c r="B4" s="204">
        <v>18</v>
      </c>
      <c r="C4" s="205" t="s">
        <v>55</v>
      </c>
      <c r="D4" s="202" t="s">
        <v>455</v>
      </c>
    </row>
    <row r="5" spans="1:4" ht="15" customHeight="1" x14ac:dyDescent="0.35">
      <c r="A5" s="202" t="s">
        <v>456</v>
      </c>
      <c r="B5" s="204">
        <v>0.6</v>
      </c>
      <c r="C5" s="205" t="s">
        <v>65</v>
      </c>
      <c r="D5" s="202" t="s">
        <v>457</v>
      </c>
    </row>
    <row r="6" spans="1:4" ht="15" customHeight="1" x14ac:dyDescent="0.35">
      <c r="A6" s="202" t="s">
        <v>458</v>
      </c>
      <c r="B6" s="204">
        <v>0.6</v>
      </c>
      <c r="C6" s="205" t="s">
        <v>65</v>
      </c>
      <c r="D6" s="202" t="s">
        <v>457</v>
      </c>
    </row>
    <row r="7" spans="1:4" ht="15" customHeight="1" x14ac:dyDescent="0.35">
      <c r="A7" s="202" t="s">
        <v>459</v>
      </c>
      <c r="B7" s="204">
        <v>0.1</v>
      </c>
      <c r="C7" s="205" t="s">
        <v>65</v>
      </c>
      <c r="D7" s="202" t="s">
        <v>457</v>
      </c>
    </row>
    <row r="8" spans="1:4" ht="15" customHeight="1" x14ac:dyDescent="0.35">
      <c r="A8" s="202" t="s">
        <v>460</v>
      </c>
      <c r="B8" s="204">
        <v>2.5000000000000001E-2</v>
      </c>
      <c r="C8" s="205" t="s">
        <v>65</v>
      </c>
      <c r="D8" s="202" t="s">
        <v>461</v>
      </c>
    </row>
    <row r="9" spans="1:4" ht="15" customHeight="1" x14ac:dyDescent="0.35">
      <c r="A9" s="202" t="s">
        <v>462</v>
      </c>
      <c r="B9" s="204">
        <v>0.15</v>
      </c>
      <c r="C9" s="205" t="s">
        <v>65</v>
      </c>
      <c r="D9" s="202" t="s">
        <v>463</v>
      </c>
    </row>
    <row r="10" spans="1:4" ht="15" customHeight="1" x14ac:dyDescent="0.35">
      <c r="A10" s="202" t="s">
        <v>464</v>
      </c>
      <c r="B10" s="204">
        <v>0.56000000000000005</v>
      </c>
      <c r="C10" s="205" t="s">
        <v>465</v>
      </c>
      <c r="D10" s="202" t="s">
        <v>466</v>
      </c>
    </row>
    <row r="11" spans="1:4" ht="15" customHeight="1" x14ac:dyDescent="0.35">
      <c r="A11" s="202" t="s">
        <v>467</v>
      </c>
      <c r="B11" s="204">
        <v>9</v>
      </c>
      <c r="C11" s="205" t="s">
        <v>65</v>
      </c>
      <c r="D11" s="202" t="s">
        <v>468</v>
      </c>
    </row>
    <row r="13" spans="1:4" ht="27.75" customHeight="1" x14ac:dyDescent="0.35">
      <c r="A13" s="201" t="s">
        <v>469</v>
      </c>
    </row>
    <row r="14" spans="1:4" x14ac:dyDescent="0.35">
      <c r="A14" s="203" t="s">
        <v>9</v>
      </c>
      <c r="B14" s="203" t="s">
        <v>451</v>
      </c>
      <c r="C14" s="203" t="s">
        <v>452</v>
      </c>
      <c r="D14" s="203" t="s">
        <v>453</v>
      </c>
    </row>
    <row r="15" spans="1:4" ht="27.75" customHeight="1" x14ac:dyDescent="0.35">
      <c r="A15" s="202" t="s">
        <v>470</v>
      </c>
      <c r="B15" s="204">
        <v>0.1</v>
      </c>
      <c r="C15" s="205" t="s">
        <v>65</v>
      </c>
      <c r="D15" s="202" t="s">
        <v>471</v>
      </c>
    </row>
    <row r="16" spans="1:4" x14ac:dyDescent="0.35">
      <c r="A16" s="202" t="s">
        <v>472</v>
      </c>
      <c r="B16" s="204">
        <v>1.2</v>
      </c>
      <c r="C16" s="205" t="s">
        <v>473</v>
      </c>
      <c r="D16" s="202" t="s">
        <v>474</v>
      </c>
    </row>
  </sheetData>
  <mergeCells count="1">
    <mergeCell ref="A1:D1"/>
  </mergeCells>
  <pageMargins left="0.7" right="0.7" top="0.75" bottom="0.75" header="0.511811023622047" footer="0.511811023622047"/>
  <pageSetup paperSize="9" scale="77"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zoomScaleNormal="100" workbookViewId="0">
      <selection activeCell="E20" sqref="E20"/>
    </sheetView>
  </sheetViews>
  <sheetFormatPr baseColWidth="10" defaultColWidth="9.453125" defaultRowHeight="14.5" x14ac:dyDescent="0.35"/>
  <cols>
    <col min="1" max="2" width="16.36328125" style="200" customWidth="1"/>
    <col min="3" max="3" width="9.453125" style="200"/>
    <col min="4" max="4" width="19.6328125" style="200" customWidth="1"/>
    <col min="5" max="5" width="9.453125" style="200"/>
    <col min="6" max="6" width="30.54296875" style="200" customWidth="1"/>
    <col min="7" max="16384" width="9.453125" style="200"/>
  </cols>
  <sheetData>
    <row r="1" spans="1:6" ht="18" customHeight="1" x14ac:dyDescent="0.35">
      <c r="A1" s="321" t="s">
        <v>475</v>
      </c>
      <c r="B1" s="321"/>
      <c r="C1" s="321"/>
      <c r="D1" s="321"/>
      <c r="E1" s="321"/>
      <c r="F1" s="321"/>
    </row>
    <row r="3" spans="1:6" x14ac:dyDescent="0.35">
      <c r="A3" s="206" t="s">
        <v>476</v>
      </c>
      <c r="B3" s="206" t="s">
        <v>477</v>
      </c>
      <c r="D3" s="206" t="s">
        <v>278</v>
      </c>
      <c r="F3" s="206" t="s">
        <v>478</v>
      </c>
    </row>
    <row r="4" spans="1:6" x14ac:dyDescent="0.35">
      <c r="A4" s="207" t="s">
        <v>479</v>
      </c>
      <c r="B4" s="208">
        <v>0.222</v>
      </c>
      <c r="D4" s="209" t="s">
        <v>191</v>
      </c>
      <c r="F4" s="210" t="s">
        <v>480</v>
      </c>
    </row>
    <row r="5" spans="1:6" x14ac:dyDescent="0.35">
      <c r="A5" s="207" t="s">
        <v>481</v>
      </c>
      <c r="B5" s="208">
        <v>0.39500000000000002</v>
      </c>
      <c r="D5" s="209" t="s">
        <v>310</v>
      </c>
      <c r="F5" s="210" t="s">
        <v>482</v>
      </c>
    </row>
    <row r="6" spans="1:6" x14ac:dyDescent="0.35">
      <c r="A6" s="207" t="s">
        <v>313</v>
      </c>
      <c r="B6" s="208">
        <v>0.56000000000000005</v>
      </c>
    </row>
    <row r="7" spans="1:6" x14ac:dyDescent="0.35">
      <c r="A7" s="207" t="s">
        <v>483</v>
      </c>
      <c r="B7" s="208">
        <v>0.88800000000000001</v>
      </c>
    </row>
    <row r="8" spans="1:6" x14ac:dyDescent="0.35">
      <c r="A8" s="207" t="s">
        <v>484</v>
      </c>
      <c r="B8" s="208">
        <v>0.99399999999999999</v>
      </c>
    </row>
    <row r="9" spans="1:6" x14ac:dyDescent="0.35">
      <c r="A9" s="207" t="s">
        <v>485</v>
      </c>
      <c r="B9" s="208">
        <v>1.552</v>
      </c>
    </row>
    <row r="10" spans="1:6" x14ac:dyDescent="0.35">
      <c r="A10" s="207" t="s">
        <v>486</v>
      </c>
      <c r="B10" s="208">
        <v>2.2349999999999999</v>
      </c>
    </row>
    <row r="11" spans="1:6" x14ac:dyDescent="0.35">
      <c r="A11" s="207" t="s">
        <v>487</v>
      </c>
      <c r="B11" s="208">
        <v>3.9729999999999999</v>
      </c>
    </row>
    <row r="13" spans="1:6" x14ac:dyDescent="0.35">
      <c r="A13" s="322" t="s">
        <v>488</v>
      </c>
      <c r="B13" s="322"/>
      <c r="C13" s="322"/>
      <c r="D13" s="322"/>
      <c r="E13" s="322"/>
      <c r="F13" s="322"/>
    </row>
    <row r="14" spans="1:6" ht="14.9" customHeight="1" x14ac:dyDescent="0.35">
      <c r="A14" s="323" t="s">
        <v>489</v>
      </c>
      <c r="B14" s="323"/>
      <c r="C14" s="323"/>
      <c r="D14" s="323"/>
      <c r="E14" s="323"/>
      <c r="F14" s="323"/>
    </row>
    <row r="15" spans="1:6" ht="14.9" customHeight="1" x14ac:dyDescent="0.35">
      <c r="A15" s="323" t="s">
        <v>490</v>
      </c>
      <c r="B15" s="323"/>
      <c r="C15" s="323"/>
      <c r="D15" s="323"/>
      <c r="E15" s="323"/>
      <c r="F15" s="323"/>
    </row>
    <row r="16" spans="1:6" ht="14.9" customHeight="1" x14ac:dyDescent="0.35">
      <c r="A16" s="323" t="s">
        <v>491</v>
      </c>
      <c r="B16" s="323"/>
      <c r="C16" s="323"/>
      <c r="D16" s="323"/>
      <c r="E16" s="323"/>
      <c r="F16" s="323"/>
    </row>
  </sheetData>
  <mergeCells count="5">
    <mergeCell ref="A1:F1"/>
    <mergeCell ref="A13:F13"/>
    <mergeCell ref="A14:F14"/>
    <mergeCell ref="A15:F15"/>
    <mergeCell ref="A16:F16"/>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8"/>
  <sheetViews>
    <sheetView topLeftCell="A23" zoomScaleNormal="100" zoomScalePageLayoutView="93" workbookViewId="0"/>
  </sheetViews>
  <sheetFormatPr baseColWidth="10" defaultColWidth="8.7265625" defaultRowHeight="14.5" x14ac:dyDescent="0.35"/>
  <cols>
    <col min="1" max="1" width="5" customWidth="1"/>
    <col min="2" max="2" width="62" customWidth="1"/>
    <col min="3" max="3" width="12" customWidth="1"/>
    <col min="4" max="4" width="8" customWidth="1"/>
    <col min="5" max="5" width="70" customWidth="1"/>
  </cols>
  <sheetData>
    <row r="1" spans="1:6" ht="27" customHeight="1" x14ac:dyDescent="0.35">
      <c r="A1" s="319" t="s">
        <v>492</v>
      </c>
      <c r="B1" s="319"/>
      <c r="C1" s="319"/>
      <c r="D1" s="319"/>
      <c r="E1" s="319"/>
      <c r="F1" s="319"/>
    </row>
    <row r="2" spans="1:6" ht="24.75" customHeight="1" x14ac:dyDescent="0.35">
      <c r="A2" s="315" t="s">
        <v>1</v>
      </c>
      <c r="B2" s="315"/>
      <c r="C2" s="316" t="str">
        <f>+RESUMEN!B4</f>
        <v>GERENCIA TERRITORIAL BAJO MAYO - TARAPOTO</v>
      </c>
      <c r="D2" s="316"/>
      <c r="E2" s="316"/>
      <c r="F2" s="316"/>
    </row>
    <row r="3" spans="1:6"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row>
    <row r="4" spans="1:6" ht="24.75" customHeight="1" x14ac:dyDescent="0.35">
      <c r="A4" s="315" t="s">
        <v>5</v>
      </c>
      <c r="B4" s="315"/>
      <c r="C4" s="316" t="str">
        <f>+RESUMEN!B6</f>
        <v>SAN MARTIN - SAN MARTIN - MORALES</v>
      </c>
      <c r="D4" s="316"/>
      <c r="E4" s="316"/>
      <c r="F4" s="316"/>
    </row>
    <row r="5" spans="1:6" ht="24.75" customHeight="1" x14ac:dyDescent="0.35">
      <c r="A5" s="315" t="s">
        <v>7</v>
      </c>
      <c r="B5" s="315"/>
      <c r="C5" s="317">
        <f>+RESUMEN!B7</f>
        <v>46266</v>
      </c>
      <c r="D5" s="317"/>
      <c r="E5" s="317"/>
      <c r="F5" s="317"/>
    </row>
    <row r="7" spans="1:6" ht="48" customHeight="1" x14ac:dyDescent="0.35">
      <c r="A7" s="318" t="s">
        <v>493</v>
      </c>
      <c r="B7" s="318"/>
      <c r="C7" s="318"/>
      <c r="D7" s="318"/>
      <c r="E7" s="318"/>
      <c r="F7" s="318"/>
    </row>
    <row r="9" spans="1:6" ht="30" customHeight="1" x14ac:dyDescent="0.35">
      <c r="A9" s="195" t="s">
        <v>275</v>
      </c>
      <c r="B9" s="195" t="s">
        <v>494</v>
      </c>
      <c r="C9" s="195" t="s">
        <v>237</v>
      </c>
      <c r="D9" s="195" t="s">
        <v>137</v>
      </c>
      <c r="E9" s="195" t="s">
        <v>495</v>
      </c>
    </row>
    <row r="10" spans="1:6" ht="15" customHeight="1" x14ac:dyDescent="0.35">
      <c r="A10" s="196">
        <v>1</v>
      </c>
      <c r="B10" s="112" t="s">
        <v>496</v>
      </c>
      <c r="C10" s="211">
        <v>0.6</v>
      </c>
      <c r="D10" s="212" t="s">
        <v>65</v>
      </c>
      <c r="E10" s="199" t="s">
        <v>497</v>
      </c>
    </row>
    <row r="11" spans="1:6" ht="15" customHeight="1" x14ac:dyDescent="0.35">
      <c r="A11" s="196">
        <v>2</v>
      </c>
      <c r="B11" s="112" t="s">
        <v>498</v>
      </c>
      <c r="C11" s="211">
        <v>0.15</v>
      </c>
      <c r="D11" s="212" t="s">
        <v>65</v>
      </c>
      <c r="E11" s="199" t="s">
        <v>499</v>
      </c>
    </row>
    <row r="12" spans="1:6" ht="15" customHeight="1" x14ac:dyDescent="0.35">
      <c r="A12" s="196">
        <v>3</v>
      </c>
      <c r="B12" s="112" t="s">
        <v>500</v>
      </c>
      <c r="C12" s="211">
        <v>0.15</v>
      </c>
      <c r="D12" s="212" t="s">
        <v>65</v>
      </c>
      <c r="E12" s="199" t="s">
        <v>501</v>
      </c>
    </row>
    <row r="13" spans="1:6" ht="15" customHeight="1" x14ac:dyDescent="0.35">
      <c r="A13" s="196">
        <v>4</v>
      </c>
      <c r="B13" s="112" t="s">
        <v>502</v>
      </c>
      <c r="C13" s="211">
        <v>0.1</v>
      </c>
      <c r="D13" s="212" t="s">
        <v>65</v>
      </c>
      <c r="E13" s="199" t="s">
        <v>503</v>
      </c>
    </row>
    <row r="14" spans="1:6" ht="15" customHeight="1" x14ac:dyDescent="0.35">
      <c r="A14" s="196">
        <v>5</v>
      </c>
      <c r="B14" s="112" t="s">
        <v>504</v>
      </c>
      <c r="C14" s="211">
        <v>0.25</v>
      </c>
      <c r="D14" s="212" t="s">
        <v>65</v>
      </c>
      <c r="E14" s="199" t="s">
        <v>505</v>
      </c>
    </row>
    <row r="15" spans="1:6" ht="15" customHeight="1" x14ac:dyDescent="0.35">
      <c r="A15" s="196">
        <v>6</v>
      </c>
      <c r="B15" s="112" t="s">
        <v>506</v>
      </c>
      <c r="C15" s="211">
        <v>0.05</v>
      </c>
      <c r="D15" s="212" t="s">
        <v>65</v>
      </c>
      <c r="E15" s="199" t="s">
        <v>507</v>
      </c>
    </row>
    <row r="16" spans="1:6" ht="15" customHeight="1" x14ac:dyDescent="0.35">
      <c r="A16" s="196">
        <v>7</v>
      </c>
      <c r="B16" s="112" t="s">
        <v>508</v>
      </c>
      <c r="C16" s="211">
        <v>261.14999999999998</v>
      </c>
      <c r="D16" s="212" t="s">
        <v>509</v>
      </c>
      <c r="E16" s="199" t="s">
        <v>510</v>
      </c>
    </row>
    <row r="17" spans="1:5" ht="15" customHeight="1" x14ac:dyDescent="0.35">
      <c r="A17" s="196">
        <v>8</v>
      </c>
      <c r="B17" s="112" t="s">
        <v>511</v>
      </c>
      <c r="C17" s="211">
        <v>0.25</v>
      </c>
      <c r="D17" s="212" t="s">
        <v>65</v>
      </c>
      <c r="E17" s="199" t="s">
        <v>512</v>
      </c>
    </row>
    <row r="18" spans="1:5" ht="15" customHeight="1" x14ac:dyDescent="0.35">
      <c r="A18" s="196">
        <v>9</v>
      </c>
      <c r="B18" s="112" t="s">
        <v>513</v>
      </c>
      <c r="C18" s="211">
        <v>1</v>
      </c>
      <c r="D18" s="212" t="s">
        <v>65</v>
      </c>
      <c r="E18" s="199" t="s">
        <v>514</v>
      </c>
    </row>
    <row r="19" spans="1:5" ht="15" customHeight="1" x14ac:dyDescent="0.35">
      <c r="A19" s="196">
        <v>10</v>
      </c>
      <c r="B19" s="112" t="s">
        <v>515</v>
      </c>
      <c r="C19" s="211">
        <v>0.04</v>
      </c>
      <c r="D19" s="212" t="s">
        <v>65</v>
      </c>
      <c r="E19" s="199" t="s">
        <v>516</v>
      </c>
    </row>
    <row r="20" spans="1:5" ht="15" customHeight="1" x14ac:dyDescent="0.35">
      <c r="A20" s="196">
        <v>11</v>
      </c>
      <c r="B20" s="112" t="s">
        <v>517</v>
      </c>
      <c r="C20" s="211">
        <v>0.56000000000000005</v>
      </c>
      <c r="D20" s="212" t="s">
        <v>465</v>
      </c>
      <c r="E20" s="199" t="s">
        <v>518</v>
      </c>
    </row>
    <row r="21" spans="1:5" ht="15" customHeight="1" x14ac:dyDescent="0.35">
      <c r="A21" s="196">
        <v>12</v>
      </c>
      <c r="B21" s="112" t="s">
        <v>519</v>
      </c>
      <c r="C21" s="211">
        <v>0.99399999999999999</v>
      </c>
      <c r="D21" s="212" t="s">
        <v>465</v>
      </c>
      <c r="E21" s="199" t="s">
        <v>520</v>
      </c>
    </row>
    <row r="22" spans="1:5" ht="15" customHeight="1" x14ac:dyDescent="0.35">
      <c r="A22" s="196">
        <v>13</v>
      </c>
      <c r="B22" s="112" t="s">
        <v>521</v>
      </c>
      <c r="C22" s="211">
        <v>0.4</v>
      </c>
      <c r="D22" s="212" t="s">
        <v>65</v>
      </c>
      <c r="E22" s="199" t="s">
        <v>522</v>
      </c>
    </row>
    <row r="23" spans="1:5" ht="15" customHeight="1" x14ac:dyDescent="0.35">
      <c r="A23" s="196">
        <v>14</v>
      </c>
      <c r="B23" s="112" t="s">
        <v>523</v>
      </c>
      <c r="C23" s="211">
        <v>9</v>
      </c>
      <c r="D23" s="212" t="s">
        <v>65</v>
      </c>
      <c r="E23" s="199" t="s">
        <v>524</v>
      </c>
    </row>
    <row r="24" spans="1:5" ht="15" customHeight="1" x14ac:dyDescent="0.35">
      <c r="A24" s="196">
        <v>15</v>
      </c>
      <c r="B24" s="112" t="s">
        <v>525</v>
      </c>
      <c r="C24" s="211">
        <v>0.3</v>
      </c>
      <c r="D24" s="212" t="s">
        <v>65</v>
      </c>
      <c r="E24" s="199" t="s">
        <v>526</v>
      </c>
    </row>
    <row r="25" spans="1:5" ht="15" customHeight="1" x14ac:dyDescent="0.35">
      <c r="A25" s="196">
        <v>16</v>
      </c>
      <c r="B25" s="112" t="s">
        <v>472</v>
      </c>
      <c r="C25" s="213">
        <f>PARAMETROS!$B$16</f>
        <v>1.2</v>
      </c>
      <c r="D25" s="212" t="s">
        <v>473</v>
      </c>
      <c r="E25" s="199" t="s">
        <v>527</v>
      </c>
    </row>
    <row r="26" spans="1:5" ht="15" customHeight="1" x14ac:dyDescent="0.35">
      <c r="A26" s="196">
        <v>17</v>
      </c>
      <c r="B26" s="112" t="s">
        <v>528</v>
      </c>
      <c r="C26" s="211">
        <v>0.2</v>
      </c>
      <c r="D26" s="212" t="s">
        <v>65</v>
      </c>
      <c r="E26" s="199" t="s">
        <v>529</v>
      </c>
    </row>
    <row r="27" spans="1:5" ht="15" customHeight="1" x14ac:dyDescent="0.35">
      <c r="A27" s="196">
        <v>18</v>
      </c>
      <c r="B27" s="112" t="s">
        <v>530</v>
      </c>
      <c r="C27" s="211">
        <v>0.15</v>
      </c>
      <c r="D27" s="212" t="s">
        <v>65</v>
      </c>
      <c r="E27" s="199" t="s">
        <v>531</v>
      </c>
    </row>
    <row r="28" spans="1:5" ht="15" customHeight="1" x14ac:dyDescent="0.35">
      <c r="A28" s="196">
        <v>19</v>
      </c>
      <c r="B28" s="112" t="s">
        <v>532</v>
      </c>
      <c r="C28" s="211">
        <v>0.25</v>
      </c>
      <c r="D28" s="212" t="s">
        <v>65</v>
      </c>
      <c r="E28" s="199" t="s">
        <v>529</v>
      </c>
    </row>
    <row r="29" spans="1:5" ht="15" customHeight="1" x14ac:dyDescent="0.35">
      <c r="A29" s="196">
        <v>20</v>
      </c>
      <c r="B29" s="112" t="s">
        <v>533</v>
      </c>
      <c r="C29" s="211">
        <v>0.2</v>
      </c>
      <c r="D29" s="212" t="s">
        <v>65</v>
      </c>
      <c r="E29" s="199" t="s">
        <v>531</v>
      </c>
    </row>
    <row r="30" spans="1:5" ht="27.75" customHeight="1" x14ac:dyDescent="0.35">
      <c r="A30" s="196">
        <v>21</v>
      </c>
      <c r="B30" s="112" t="s">
        <v>534</v>
      </c>
      <c r="C30" s="211">
        <v>11</v>
      </c>
      <c r="D30" s="212" t="s">
        <v>55</v>
      </c>
      <c r="E30" s="199" t="s">
        <v>535</v>
      </c>
    </row>
    <row r="31" spans="1:5" ht="15" customHeight="1" x14ac:dyDescent="0.35">
      <c r="A31" s="196">
        <v>22</v>
      </c>
      <c r="B31" s="112" t="s">
        <v>536</v>
      </c>
      <c r="C31" s="211">
        <v>0.68</v>
      </c>
      <c r="D31" s="212" t="s">
        <v>65</v>
      </c>
      <c r="E31" s="199" t="s">
        <v>1118</v>
      </c>
    </row>
    <row r="32" spans="1:5" ht="15" customHeight="1" x14ac:dyDescent="0.35">
      <c r="A32" s="196">
        <v>23</v>
      </c>
      <c r="B32" s="112" t="s">
        <v>538</v>
      </c>
      <c r="C32" s="211">
        <v>0.08</v>
      </c>
      <c r="D32" s="212" t="s">
        <v>65</v>
      </c>
      <c r="E32" s="199" t="s">
        <v>1119</v>
      </c>
    </row>
    <row r="33" spans="1:5" ht="15" customHeight="1" x14ac:dyDescent="0.35">
      <c r="A33" s="196">
        <v>24</v>
      </c>
      <c r="B33" s="112" t="s">
        <v>1109</v>
      </c>
      <c r="C33" s="211">
        <v>0.7</v>
      </c>
      <c r="D33" s="212" t="s">
        <v>65</v>
      </c>
      <c r="E33" s="199" t="s">
        <v>1110</v>
      </c>
    </row>
    <row r="34" spans="1:5" ht="15" customHeight="1" x14ac:dyDescent="0.35">
      <c r="A34" s="196">
        <v>25</v>
      </c>
      <c r="B34" s="112" t="s">
        <v>1111</v>
      </c>
      <c r="C34" s="211">
        <v>0.6</v>
      </c>
      <c r="D34" s="212" t="s">
        <v>65</v>
      </c>
      <c r="E34" s="199" t="s">
        <v>1112</v>
      </c>
    </row>
    <row r="35" spans="1:5" ht="15" customHeight="1" x14ac:dyDescent="0.35">
      <c r="A35" s="196">
        <v>26</v>
      </c>
      <c r="B35" s="112" t="s">
        <v>1113</v>
      </c>
      <c r="C35" s="211">
        <v>2.72</v>
      </c>
      <c r="D35" s="212" t="s">
        <v>65</v>
      </c>
      <c r="E35" s="199" t="s">
        <v>1112</v>
      </c>
    </row>
    <row r="36" spans="1:5" ht="15" customHeight="1" x14ac:dyDescent="0.35">
      <c r="A36" s="196">
        <v>27</v>
      </c>
      <c r="B36" s="112" t="s">
        <v>1114</v>
      </c>
      <c r="C36" s="211">
        <v>2</v>
      </c>
      <c r="D36" s="212" t="s">
        <v>55</v>
      </c>
      <c r="E36" s="199" t="s">
        <v>1112</v>
      </c>
    </row>
    <row r="37" spans="1:5" ht="15" customHeight="1" x14ac:dyDescent="0.35">
      <c r="A37" s="196">
        <v>28</v>
      </c>
      <c r="B37" s="112" t="s">
        <v>1115</v>
      </c>
      <c r="C37" s="211">
        <v>0.5</v>
      </c>
      <c r="D37" s="212" t="s">
        <v>65</v>
      </c>
      <c r="E37" s="199" t="s">
        <v>1192</v>
      </c>
    </row>
    <row r="38" spans="1:5" ht="15" customHeight="1" x14ac:dyDescent="0.35">
      <c r="A38" s="196">
        <v>29</v>
      </c>
      <c r="B38" s="112" t="s">
        <v>1116</v>
      </c>
      <c r="C38" s="211">
        <v>0.01</v>
      </c>
      <c r="D38" s="212" t="s">
        <v>65</v>
      </c>
      <c r="E38" s="199" t="s">
        <v>1112</v>
      </c>
    </row>
    <row r="39" spans="1:5" ht="15" customHeight="1" x14ac:dyDescent="0.35">
      <c r="A39" s="196">
        <v>30</v>
      </c>
      <c r="B39" s="112" t="s">
        <v>1117</v>
      </c>
      <c r="C39" s="211">
        <v>0.01</v>
      </c>
      <c r="D39" s="212" t="s">
        <v>65</v>
      </c>
      <c r="E39" s="199" t="s">
        <v>1112</v>
      </c>
    </row>
    <row r="40" spans="1:5" ht="15" customHeight="1" x14ac:dyDescent="0.35">
      <c r="A40" s="196">
        <v>31</v>
      </c>
      <c r="B40" s="112" t="s">
        <v>1103</v>
      </c>
      <c r="C40" s="211">
        <f>2*C10</f>
        <v>1.2</v>
      </c>
      <c r="D40" s="212" t="s">
        <v>65</v>
      </c>
      <c r="E40" s="199" t="s">
        <v>1104</v>
      </c>
    </row>
    <row r="41" spans="1:5" ht="15" customHeight="1" x14ac:dyDescent="0.35">
      <c r="A41" s="196">
        <v>32</v>
      </c>
      <c r="B41" s="112" t="s">
        <v>540</v>
      </c>
      <c r="C41" s="211">
        <v>1.4999999999999999E-2</v>
      </c>
      <c r="D41" s="212" t="s">
        <v>153</v>
      </c>
      <c r="E41" s="199" t="s">
        <v>537</v>
      </c>
    </row>
    <row r="42" spans="1:5" ht="15" customHeight="1" x14ac:dyDescent="0.35">
      <c r="A42" s="196">
        <v>33</v>
      </c>
      <c r="B42" s="112" t="s">
        <v>541</v>
      </c>
      <c r="C42" s="211">
        <v>260.2</v>
      </c>
      <c r="D42" s="212" t="s">
        <v>509</v>
      </c>
      <c r="E42" s="199" t="s">
        <v>542</v>
      </c>
    </row>
    <row r="43" spans="1:5" ht="15" customHeight="1" x14ac:dyDescent="0.35">
      <c r="A43" s="196">
        <v>34</v>
      </c>
      <c r="B43" s="112" t="s">
        <v>543</v>
      </c>
      <c r="C43" s="211">
        <v>259.88400000000001</v>
      </c>
      <c r="D43" s="212" t="s">
        <v>509</v>
      </c>
      <c r="E43" s="199" t="s">
        <v>544</v>
      </c>
    </row>
    <row r="44" spans="1:5" ht="15" customHeight="1" x14ac:dyDescent="0.35">
      <c r="A44" s="196">
        <v>35</v>
      </c>
      <c r="B44" s="112" t="s">
        <v>545</v>
      </c>
      <c r="C44" s="211">
        <v>4</v>
      </c>
      <c r="D44" s="212" t="s">
        <v>65</v>
      </c>
      <c r="E44" s="199" t="s">
        <v>546</v>
      </c>
    </row>
    <row r="45" spans="1:5" ht="15" customHeight="1" x14ac:dyDescent="0.35">
      <c r="A45" s="196">
        <v>36</v>
      </c>
      <c r="B45" s="112" t="s">
        <v>547</v>
      </c>
      <c r="C45" s="211">
        <v>1.17</v>
      </c>
      <c r="D45" s="212" t="s">
        <v>65</v>
      </c>
      <c r="E45" s="199" t="s">
        <v>548</v>
      </c>
    </row>
    <row r="46" spans="1:5" ht="15" customHeight="1" x14ac:dyDescent="0.35">
      <c r="A46" s="196">
        <v>37</v>
      </c>
      <c r="B46" s="112" t="s">
        <v>549</v>
      </c>
      <c r="C46" s="211">
        <v>105.29</v>
      </c>
      <c r="D46" s="212" t="s">
        <v>65</v>
      </c>
      <c r="E46" s="199" t="s">
        <v>550</v>
      </c>
    </row>
    <row r="47" spans="1:5" ht="15" customHeight="1" x14ac:dyDescent="0.35">
      <c r="A47" s="196">
        <v>38</v>
      </c>
      <c r="B47" s="112" t="s">
        <v>551</v>
      </c>
      <c r="C47" s="211">
        <v>100.9</v>
      </c>
      <c r="D47" s="212" t="s">
        <v>65</v>
      </c>
      <c r="E47" s="199" t="s">
        <v>550</v>
      </c>
    </row>
    <row r="48" spans="1:5" ht="15" customHeight="1" x14ac:dyDescent="0.35">
      <c r="A48" s="196">
        <v>39</v>
      </c>
      <c r="B48" s="112" t="s">
        <v>552</v>
      </c>
      <c r="C48" s="211">
        <v>1.3</v>
      </c>
      <c r="D48" s="212" t="s">
        <v>65</v>
      </c>
      <c r="E48" s="199" t="s">
        <v>553</v>
      </c>
    </row>
  </sheetData>
  <mergeCells count="10">
    <mergeCell ref="A1:F1"/>
    <mergeCell ref="A2:B2"/>
    <mergeCell ref="C2:F2"/>
    <mergeCell ref="A3:B3"/>
    <mergeCell ref="C3:F3"/>
    <mergeCell ref="A4:B4"/>
    <mergeCell ref="C4:F4"/>
    <mergeCell ref="A5:B5"/>
    <mergeCell ref="C5:F5"/>
    <mergeCell ref="A7:F7"/>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2"/>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7" width="11" customWidth="1"/>
    <col min="8" max="8" width="10" customWidth="1"/>
    <col min="9" max="10" width="11" customWidth="1"/>
    <col min="11" max="11" width="13" customWidth="1"/>
    <col min="12" max="12" width="11" customWidth="1"/>
    <col min="13" max="17" width="12" customWidth="1"/>
    <col min="18" max="18" width="46" customWidth="1"/>
  </cols>
  <sheetData>
    <row r="1" spans="1:18" ht="27" customHeight="1" x14ac:dyDescent="0.35">
      <c r="A1" s="319" t="s">
        <v>554</v>
      </c>
      <c r="B1" s="319"/>
      <c r="C1" s="319"/>
      <c r="D1" s="319"/>
      <c r="E1" s="319"/>
      <c r="F1" s="319"/>
      <c r="G1" s="319"/>
      <c r="H1" s="319"/>
      <c r="I1" s="319"/>
      <c r="J1" s="319"/>
      <c r="K1" s="319"/>
      <c r="L1" s="319"/>
      <c r="M1" s="319"/>
      <c r="N1" s="319"/>
      <c r="O1" s="319"/>
      <c r="P1" s="319"/>
      <c r="Q1" s="319"/>
      <c r="R1" s="319"/>
    </row>
    <row r="2" spans="1:18" ht="24.75" customHeight="1" x14ac:dyDescent="0.35">
      <c r="A2" s="315" t="s">
        <v>1</v>
      </c>
      <c r="B2" s="315"/>
      <c r="C2" s="316" t="str">
        <f>+RESUMEN!B4</f>
        <v>GERENCIA TERRITORIAL BAJO MAYO - TARAPOTO</v>
      </c>
      <c r="D2" s="316"/>
      <c r="E2" s="316"/>
      <c r="F2" s="316"/>
      <c r="G2" s="316"/>
      <c r="H2" s="316"/>
      <c r="I2" s="316"/>
      <c r="J2" s="316"/>
      <c r="K2" s="316"/>
      <c r="L2" s="316"/>
      <c r="M2" s="316"/>
      <c r="N2" s="316"/>
      <c r="O2" s="316"/>
      <c r="P2" s="316"/>
      <c r="Q2" s="316"/>
      <c r="R2" s="316"/>
    </row>
    <row r="3" spans="1: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c r="O3" s="316"/>
      <c r="P3" s="316"/>
      <c r="Q3" s="316"/>
      <c r="R3" s="316"/>
    </row>
    <row r="4" spans="1:18" ht="24.75" customHeight="1" x14ac:dyDescent="0.35">
      <c r="A4" s="315" t="s">
        <v>5</v>
      </c>
      <c r="B4" s="315"/>
      <c r="C4" s="316" t="str">
        <f>+RESUMEN!B6</f>
        <v>SAN MARTIN - SAN MARTIN - MORALES</v>
      </c>
      <c r="D4" s="316"/>
      <c r="E4" s="316"/>
      <c r="F4" s="316"/>
      <c r="G4" s="316"/>
      <c r="H4" s="316"/>
      <c r="I4" s="316"/>
      <c r="J4" s="316"/>
      <c r="K4" s="316"/>
      <c r="L4" s="316"/>
      <c r="M4" s="316"/>
      <c r="N4" s="316"/>
      <c r="O4" s="316"/>
      <c r="P4" s="316"/>
      <c r="Q4" s="316"/>
      <c r="R4" s="316"/>
    </row>
    <row r="5" spans="1:18" ht="24.75" customHeight="1" x14ac:dyDescent="0.35">
      <c r="A5" s="315" t="s">
        <v>7</v>
      </c>
      <c r="B5" s="315"/>
      <c r="C5" s="317">
        <f>+RESUMEN!B7</f>
        <v>46266</v>
      </c>
      <c r="D5" s="317"/>
      <c r="E5" s="317"/>
      <c r="F5" s="317"/>
      <c r="G5" s="317"/>
      <c r="H5" s="317"/>
      <c r="I5" s="317"/>
      <c r="J5" s="317"/>
      <c r="K5" s="317"/>
      <c r="L5" s="317"/>
      <c r="M5" s="317"/>
      <c r="N5" s="317"/>
      <c r="O5" s="317"/>
      <c r="P5" s="317"/>
      <c r="Q5" s="317"/>
      <c r="R5" s="317"/>
    </row>
    <row r="7" spans="1:18" ht="48" customHeight="1" x14ac:dyDescent="0.35">
      <c r="A7" s="318" t="s">
        <v>555</v>
      </c>
      <c r="B7" s="318"/>
      <c r="C7" s="318"/>
      <c r="D7" s="318"/>
      <c r="E7" s="318"/>
      <c r="F7" s="318"/>
      <c r="G7" s="318"/>
      <c r="H7" s="318"/>
      <c r="I7" s="318"/>
      <c r="J7" s="318"/>
      <c r="K7" s="318"/>
      <c r="L7" s="318"/>
      <c r="M7" s="318"/>
      <c r="N7" s="318"/>
      <c r="O7" s="318"/>
      <c r="P7" s="318"/>
      <c r="Q7" s="318"/>
      <c r="R7" s="318"/>
    </row>
    <row r="9" spans="1:18" ht="48" customHeight="1" x14ac:dyDescent="0.35">
      <c r="A9" s="195" t="s">
        <v>275</v>
      </c>
      <c r="B9" s="195" t="s">
        <v>277</v>
      </c>
      <c r="C9" s="195" t="s">
        <v>556</v>
      </c>
      <c r="D9" s="195" t="s">
        <v>557</v>
      </c>
      <c r="E9" s="195" t="s">
        <v>558</v>
      </c>
      <c r="F9" s="195" t="s">
        <v>232</v>
      </c>
      <c r="G9" s="195" t="s">
        <v>559</v>
      </c>
      <c r="H9" s="195" t="s">
        <v>560</v>
      </c>
      <c r="I9" s="195" t="s">
        <v>561</v>
      </c>
      <c r="J9" s="195" t="s">
        <v>562</v>
      </c>
      <c r="K9" s="195" t="s">
        <v>563</v>
      </c>
      <c r="L9" s="195" t="s">
        <v>564</v>
      </c>
      <c r="M9" s="195" t="s">
        <v>565</v>
      </c>
      <c r="N9" s="195" t="s">
        <v>566</v>
      </c>
      <c r="O9" s="195" t="s">
        <v>567</v>
      </c>
      <c r="P9" s="195" t="s">
        <v>568</v>
      </c>
      <c r="Q9" s="195" t="s">
        <v>569</v>
      </c>
      <c r="R9" s="195" t="s">
        <v>445</v>
      </c>
    </row>
    <row r="10" spans="1:18" ht="30" customHeight="1" x14ac:dyDescent="0.35">
      <c r="A10" s="196">
        <v>1</v>
      </c>
      <c r="B10" s="196" t="s">
        <v>570</v>
      </c>
      <c r="C10" s="214" t="s">
        <v>571</v>
      </c>
      <c r="D10" s="196" t="s">
        <v>572</v>
      </c>
      <c r="E10" s="196" t="s">
        <v>573</v>
      </c>
      <c r="F10" s="197">
        <v>6.08</v>
      </c>
      <c r="G10" s="211">
        <v>0.70899999999999996</v>
      </c>
      <c r="H10" s="197">
        <v>0.25</v>
      </c>
      <c r="I10" s="198">
        <f>'COLECTOR PARAMETROS'!$C$10+2*'COLECTOR PARAMETROS'!$C$11</f>
        <v>0.89999999999999991</v>
      </c>
      <c r="J10" s="198">
        <f>I10+2*'COLECTOR PARAMETROS'!$C$17</f>
        <v>1.4</v>
      </c>
      <c r="K10" s="211">
        <v>1.2090000000000001</v>
      </c>
      <c r="L10" s="211">
        <v>0</v>
      </c>
      <c r="M10" s="198">
        <f>J10*F10</f>
        <v>8.5119999999999987</v>
      </c>
      <c r="N10" s="198">
        <f>J10*K10*F10</f>
        <v>10.291008000000001</v>
      </c>
      <c r="O10" s="198">
        <f>(I10+0.1)*F10</f>
        <v>6.0799999999999992</v>
      </c>
      <c r="P10" s="198">
        <f>2*'COLECTOR PARAMETROS'!$C$17*K10*F10</f>
        <v>3.6753600000000004</v>
      </c>
      <c r="Q10" s="198">
        <f>'COLECTOR PARAMETROS'!$C$18*L10*F10</f>
        <v>0</v>
      </c>
      <c r="R10" s="199" t="s">
        <v>574</v>
      </c>
    </row>
    <row r="11" spans="1:18" ht="30" customHeight="1" x14ac:dyDescent="0.35">
      <c r="A11" s="196">
        <v>2</v>
      </c>
      <c r="B11" s="196" t="s">
        <v>575</v>
      </c>
      <c r="C11" s="214" t="s">
        <v>576</v>
      </c>
      <c r="D11" s="196" t="s">
        <v>573</v>
      </c>
      <c r="E11" s="196" t="s">
        <v>577</v>
      </c>
      <c r="F11" s="197">
        <v>94.82</v>
      </c>
      <c r="G11" s="211">
        <v>1.01</v>
      </c>
      <c r="H11" s="197">
        <v>0.1</v>
      </c>
      <c r="I11" s="198">
        <f>'COLECTOR PARAMETROS'!$C$10+2*'COLECTOR PARAMETROS'!$C$11</f>
        <v>0.89999999999999991</v>
      </c>
      <c r="J11" s="198">
        <f>I11+2*'COLECTOR PARAMETROS'!$C$17</f>
        <v>1.4</v>
      </c>
      <c r="K11" s="211">
        <v>0.876</v>
      </c>
      <c r="L11" s="211">
        <v>0.436</v>
      </c>
      <c r="M11" s="198">
        <f>J11*F11</f>
        <v>132.74799999999999</v>
      </c>
      <c r="N11" s="198">
        <f>J11*K11*F11</f>
        <v>116.28724799999999</v>
      </c>
      <c r="O11" s="198">
        <f>(I11+0.1)*F11</f>
        <v>94.819999999999979</v>
      </c>
      <c r="P11" s="198">
        <f>2*'COLECTOR PARAMETROS'!$C$17*K11*F11</f>
        <v>41.53116</v>
      </c>
      <c r="Q11" s="198">
        <f>'COLECTOR PARAMETROS'!$C$18*L11*F11</f>
        <v>41.341519999999996</v>
      </c>
      <c r="R11" s="199" t="s">
        <v>574</v>
      </c>
    </row>
    <row r="12" spans="1:18" ht="30" customHeight="1" x14ac:dyDescent="0.35">
      <c r="A12" s="196">
        <v>3</v>
      </c>
      <c r="B12" s="196" t="s">
        <v>578</v>
      </c>
      <c r="C12" s="214" t="s">
        <v>576</v>
      </c>
      <c r="D12" s="196" t="s">
        <v>577</v>
      </c>
      <c r="E12" s="196" t="s">
        <v>579</v>
      </c>
      <c r="F12" s="197">
        <v>4.3899999999999997</v>
      </c>
      <c r="G12" s="211">
        <v>1.159</v>
      </c>
      <c r="H12" s="197">
        <v>0.1</v>
      </c>
      <c r="I12" s="198">
        <f>'COLECTOR PARAMETROS'!$C$10+2*'COLECTOR PARAMETROS'!$C$11</f>
        <v>0.89999999999999991</v>
      </c>
      <c r="J12" s="198">
        <f>I12+2*'COLECTOR PARAMETROS'!$C$17</f>
        <v>1.4</v>
      </c>
      <c r="K12" s="211">
        <v>0.65800000000000003</v>
      </c>
      <c r="L12" s="211">
        <v>0.80200000000000005</v>
      </c>
      <c r="M12" s="198">
        <f>J12*F12</f>
        <v>6.145999999999999</v>
      </c>
      <c r="N12" s="198">
        <f>J12*K12*F12</f>
        <v>4.0440680000000002</v>
      </c>
      <c r="O12" s="198">
        <f>(I12+0.1)*F12</f>
        <v>4.3899999999999988</v>
      </c>
      <c r="P12" s="198">
        <f>2*'COLECTOR PARAMETROS'!$C$17*K12*F12</f>
        <v>1.44431</v>
      </c>
      <c r="Q12" s="198">
        <f>'COLECTOR PARAMETROS'!$C$18*L12*F12</f>
        <v>3.5207799999999998</v>
      </c>
      <c r="R12" s="199" t="s">
        <v>574</v>
      </c>
    </row>
    <row r="13" spans="1:18" ht="21.75" customHeight="1" x14ac:dyDescent="0.35">
      <c r="A13" s="215" t="s">
        <v>580</v>
      </c>
      <c r="B13" s="216"/>
      <c r="C13" s="216"/>
      <c r="D13" s="216"/>
      <c r="E13" s="216"/>
      <c r="F13" s="217">
        <f>SUM(F10:F12)</f>
        <v>105.28999999999999</v>
      </c>
      <c r="G13" s="216"/>
      <c r="H13" s="216"/>
      <c r="I13" s="216"/>
      <c r="J13" s="216"/>
      <c r="K13" s="216"/>
      <c r="L13" s="216"/>
      <c r="M13" s="217">
        <f>SUM(M10:M12)</f>
        <v>147.40599999999998</v>
      </c>
      <c r="N13" s="217">
        <f>SUM(N10:N12)</f>
        <v>130.62232399999999</v>
      </c>
      <c r="O13" s="217">
        <f>SUM(O10:O12)</f>
        <v>105.28999999999998</v>
      </c>
      <c r="P13" s="217">
        <f>SUM(P10:P12)</f>
        <v>46.650829999999999</v>
      </c>
      <c r="Q13" s="217">
        <f>SUM(Q10:Q12)</f>
        <v>44.862299999999998</v>
      </c>
      <c r="R13" s="216"/>
    </row>
    <row r="15" spans="1:18" ht="19.5" customHeight="1" x14ac:dyDescent="0.35">
      <c r="A15" s="325" t="s">
        <v>581</v>
      </c>
      <c r="B15" s="325"/>
      <c r="C15" s="325"/>
      <c r="D15" s="325"/>
      <c r="E15" s="325"/>
      <c r="F15" s="325"/>
      <c r="G15" s="325"/>
      <c r="H15" s="325"/>
      <c r="I15" s="325"/>
      <c r="J15" s="325"/>
      <c r="K15" s="325"/>
      <c r="L15" s="325"/>
      <c r="M15" s="325"/>
      <c r="N15" s="325"/>
      <c r="O15" s="325"/>
      <c r="P15" s="325"/>
      <c r="Q15" s="325"/>
      <c r="R15" s="325"/>
    </row>
    <row r="16" spans="1:18" ht="21.75" customHeight="1" x14ac:dyDescent="0.35">
      <c r="A16" s="196">
        <v>1</v>
      </c>
      <c r="B16" s="324" t="s">
        <v>582</v>
      </c>
      <c r="C16" s="324"/>
      <c r="D16" s="324"/>
      <c r="E16" s="324"/>
      <c r="F16" s="212" t="s">
        <v>153</v>
      </c>
      <c r="G16" s="220">
        <f>M13</f>
        <v>147.40599999999998</v>
      </c>
    </row>
    <row r="17" spans="1:18" ht="21.75" customHeight="1" x14ac:dyDescent="0.35">
      <c r="A17" s="196">
        <v>2</v>
      </c>
      <c r="B17" s="324" t="s">
        <v>583</v>
      </c>
      <c r="C17" s="324"/>
      <c r="D17" s="324"/>
      <c r="E17" s="324"/>
      <c r="F17" s="212" t="s">
        <v>152</v>
      </c>
      <c r="G17" s="220">
        <f>N13</f>
        <v>130.62232399999999</v>
      </c>
    </row>
    <row r="18" spans="1:18" ht="21.75" customHeight="1" x14ac:dyDescent="0.35">
      <c r="A18" s="196">
        <v>3</v>
      </c>
      <c r="B18" s="324" t="s">
        <v>584</v>
      </c>
      <c r="C18" s="324"/>
      <c r="D18" s="324"/>
      <c r="E18" s="324"/>
      <c r="F18" s="212" t="s">
        <v>153</v>
      </c>
      <c r="G18" s="220">
        <f>O13</f>
        <v>105.28999999999998</v>
      </c>
    </row>
    <row r="19" spans="1:18" ht="21.75" customHeight="1" x14ac:dyDescent="0.35">
      <c r="A19" s="196">
        <v>4</v>
      </c>
      <c r="B19" s="324" t="s">
        <v>585</v>
      </c>
      <c r="C19" s="324"/>
      <c r="D19" s="324"/>
      <c r="E19" s="324"/>
      <c r="F19" s="212" t="s">
        <v>152</v>
      </c>
      <c r="G19" s="220">
        <f>P13+Q13</f>
        <v>91.51312999999999</v>
      </c>
    </row>
    <row r="20" spans="1:18" ht="21.75" customHeight="1" x14ac:dyDescent="0.35">
      <c r="A20" s="196">
        <v>5</v>
      </c>
      <c r="B20" s="324" t="s">
        <v>586</v>
      </c>
      <c r="C20" s="324"/>
      <c r="D20" s="324"/>
      <c r="E20" s="324"/>
      <c r="F20" s="212" t="s">
        <v>152</v>
      </c>
      <c r="G20" s="220">
        <f>(G17-G19)*'COLECTOR PARAMETROS'!$C$25</f>
        <v>46.931032800000004</v>
      </c>
    </row>
    <row r="22" spans="1:18" ht="33.75" customHeight="1" x14ac:dyDescent="0.35">
      <c r="A22" s="314" t="s">
        <v>587</v>
      </c>
      <c r="B22" s="314"/>
      <c r="C22" s="314"/>
      <c r="D22" s="314"/>
      <c r="E22" s="314"/>
      <c r="F22" s="314"/>
      <c r="G22" s="314"/>
      <c r="H22" s="314"/>
      <c r="I22" s="314"/>
      <c r="J22" s="314"/>
      <c r="K22" s="314"/>
      <c r="L22" s="314"/>
      <c r="M22" s="314"/>
      <c r="N22" s="314"/>
      <c r="O22" s="314"/>
      <c r="P22" s="314"/>
      <c r="Q22" s="314"/>
      <c r="R22" s="314"/>
    </row>
  </sheetData>
  <mergeCells count="17">
    <mergeCell ref="A1:R1"/>
    <mergeCell ref="A2:B2"/>
    <mergeCell ref="C2:R2"/>
    <mergeCell ref="A3:B3"/>
    <mergeCell ref="C3:R3"/>
    <mergeCell ref="A4:B4"/>
    <mergeCell ref="C4:R4"/>
    <mergeCell ref="A5:B5"/>
    <mergeCell ref="C5:R5"/>
    <mergeCell ref="A7:R7"/>
    <mergeCell ref="B20:E20"/>
    <mergeCell ref="A22:R22"/>
    <mergeCell ref="A15:R15"/>
    <mergeCell ref="B16:E16"/>
    <mergeCell ref="B17:E17"/>
    <mergeCell ref="B18:E18"/>
    <mergeCell ref="B19:E19"/>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7"/>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5" width="11" customWidth="1"/>
    <col min="6" max="7" width="10" customWidth="1"/>
    <col min="8" max="13" width="12" customWidth="1"/>
    <col min="14" max="14" width="46" customWidth="1"/>
  </cols>
  <sheetData>
    <row r="1" spans="1:14" ht="27" customHeight="1" x14ac:dyDescent="0.35">
      <c r="A1" s="319" t="s">
        <v>588</v>
      </c>
      <c r="B1" s="319"/>
      <c r="C1" s="319"/>
      <c r="D1" s="319"/>
      <c r="E1" s="319"/>
      <c r="F1" s="319"/>
      <c r="G1" s="319"/>
      <c r="H1" s="319"/>
      <c r="I1" s="319"/>
      <c r="J1" s="319"/>
      <c r="K1" s="319"/>
      <c r="L1" s="319"/>
      <c r="M1" s="319"/>
      <c r="N1" s="319"/>
    </row>
    <row r="2" spans="1:14" ht="24.75" customHeight="1" x14ac:dyDescent="0.35">
      <c r="A2" s="315" t="s">
        <v>1</v>
      </c>
      <c r="B2" s="315"/>
      <c r="C2" s="316" t="str">
        <f>+RESUMEN!B4</f>
        <v>GERENCIA TERRITORIAL BAJO MAYO - TARAPOTO</v>
      </c>
      <c r="D2" s="316"/>
      <c r="E2" s="316"/>
      <c r="F2" s="316"/>
      <c r="G2" s="316"/>
      <c r="H2" s="316"/>
      <c r="I2" s="316"/>
      <c r="J2" s="316"/>
      <c r="K2" s="316"/>
      <c r="L2" s="316"/>
      <c r="M2" s="316"/>
      <c r="N2" s="316"/>
    </row>
    <row r="3" spans="1:14"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row>
    <row r="4" spans="1:14" ht="24.75" customHeight="1" x14ac:dyDescent="0.35">
      <c r="A4" s="315" t="s">
        <v>5</v>
      </c>
      <c r="B4" s="315"/>
      <c r="C4" s="316" t="str">
        <f>+RESUMEN!B6</f>
        <v>SAN MARTIN - SAN MARTIN - MORALES</v>
      </c>
      <c r="D4" s="316"/>
      <c r="E4" s="316"/>
      <c r="F4" s="316"/>
      <c r="G4" s="316"/>
      <c r="H4" s="316"/>
      <c r="I4" s="316"/>
      <c r="J4" s="316"/>
      <c r="K4" s="316"/>
      <c r="L4" s="316"/>
      <c r="M4" s="316"/>
      <c r="N4" s="316"/>
    </row>
    <row r="5" spans="1:14" ht="24.75" customHeight="1" x14ac:dyDescent="0.35">
      <c r="A5" s="315" t="s">
        <v>7</v>
      </c>
      <c r="B5" s="315"/>
      <c r="C5" s="317">
        <f>+RESUMEN!B7</f>
        <v>46266</v>
      </c>
      <c r="D5" s="317"/>
      <c r="E5" s="317"/>
      <c r="F5" s="317"/>
      <c r="G5" s="317"/>
      <c r="H5" s="317"/>
      <c r="I5" s="317"/>
      <c r="J5" s="317"/>
      <c r="K5" s="317"/>
      <c r="L5" s="317"/>
      <c r="M5" s="317"/>
      <c r="N5" s="317"/>
    </row>
    <row r="7" spans="1:14" ht="48" customHeight="1" x14ac:dyDescent="0.35">
      <c r="A7" s="318" t="s">
        <v>589</v>
      </c>
      <c r="B7" s="318"/>
      <c r="C7" s="318"/>
      <c r="D7" s="318"/>
      <c r="E7" s="318"/>
      <c r="F7" s="318"/>
      <c r="G7" s="318"/>
      <c r="H7" s="318"/>
      <c r="I7" s="318"/>
      <c r="J7" s="318"/>
      <c r="K7" s="318"/>
      <c r="L7" s="318"/>
      <c r="M7" s="318"/>
      <c r="N7" s="318"/>
    </row>
    <row r="9" spans="1:14" ht="48" customHeight="1" x14ac:dyDescent="0.35">
      <c r="A9" s="195" t="s">
        <v>275</v>
      </c>
      <c r="B9" s="195" t="s">
        <v>277</v>
      </c>
      <c r="C9" s="195" t="s">
        <v>556</v>
      </c>
      <c r="D9" s="195" t="s">
        <v>232</v>
      </c>
      <c r="E9" s="195" t="s">
        <v>559</v>
      </c>
      <c r="F9" s="195" t="s">
        <v>560</v>
      </c>
      <c r="G9" s="195" t="s">
        <v>590</v>
      </c>
      <c r="H9" s="195" t="s">
        <v>591</v>
      </c>
      <c r="I9" s="195" t="s">
        <v>592</v>
      </c>
      <c r="J9" s="195" t="s">
        <v>593</v>
      </c>
      <c r="K9" s="195" t="s">
        <v>594</v>
      </c>
      <c r="L9" s="195" t="s">
        <v>595</v>
      </c>
      <c r="M9" s="195" t="s">
        <v>596</v>
      </c>
      <c r="N9" s="195" t="s">
        <v>445</v>
      </c>
    </row>
    <row r="10" spans="1:14" ht="30" customHeight="1" x14ac:dyDescent="0.35">
      <c r="A10" s="196">
        <v>1</v>
      </c>
      <c r="B10" s="196" t="s">
        <v>570</v>
      </c>
      <c r="C10" s="214" t="s">
        <v>571</v>
      </c>
      <c r="D10" s="198">
        <f>'COLECTOR MOV. TIERRAS'!F10</f>
        <v>6.08</v>
      </c>
      <c r="E10" s="213">
        <f>'COLECTOR MOV. TIERRAS'!G10</f>
        <v>0.70899999999999996</v>
      </c>
      <c r="F10" s="198">
        <f>'COLECTOR MOV. TIERRAS'!H10</f>
        <v>0.25</v>
      </c>
      <c r="G10" s="198">
        <f>'COLECTOR MOV. TIERRAS'!I10</f>
        <v>0.89999999999999991</v>
      </c>
      <c r="H10" s="198">
        <f>(G10+0.1)*D10</f>
        <v>6.0799999999999992</v>
      </c>
      <c r="I10" s="198">
        <f>G10*'COLECTOR PARAMETROS'!$C$12*D10</f>
        <v>0.82079999999999986</v>
      </c>
      <c r="J10" s="198">
        <f>2*'COLECTOR PARAMETROS'!$C$11*E10*D10</f>
        <v>1.2932159999999999</v>
      </c>
      <c r="K10" s="198">
        <f>G10*F10*D10</f>
        <v>1.3679999999999999</v>
      </c>
      <c r="L10" s="198">
        <f>G10*D10</f>
        <v>5.4719999999999995</v>
      </c>
      <c r="M10" s="198">
        <f>(2*E10+'COLECTOR PARAMETROS'!$C$10+G10)*D10</f>
        <v>17.741439999999997</v>
      </c>
      <c r="N10" s="199" t="s">
        <v>597</v>
      </c>
    </row>
    <row r="11" spans="1:14" ht="30" customHeight="1" x14ac:dyDescent="0.35">
      <c r="A11" s="196">
        <v>2</v>
      </c>
      <c r="B11" s="196" t="s">
        <v>575</v>
      </c>
      <c r="C11" s="214" t="s">
        <v>576</v>
      </c>
      <c r="D11" s="198">
        <f>'COLECTOR MOV. TIERRAS'!F11</f>
        <v>94.82</v>
      </c>
      <c r="E11" s="213">
        <f>'COLECTOR MOV. TIERRAS'!G11</f>
        <v>1.01</v>
      </c>
      <c r="F11" s="198">
        <f>'COLECTOR MOV. TIERRAS'!H11</f>
        <v>0.1</v>
      </c>
      <c r="G11" s="198">
        <f>'COLECTOR MOV. TIERRAS'!I11</f>
        <v>0.89999999999999991</v>
      </c>
      <c r="H11" s="198">
        <f>(G11+0.1)*D11</f>
        <v>94.819999999999979</v>
      </c>
      <c r="I11" s="198">
        <f>G11*'COLECTOR PARAMETROS'!$C$12*D11</f>
        <v>12.800699999999997</v>
      </c>
      <c r="J11" s="198">
        <f>2*'COLECTOR PARAMETROS'!$C$11*E11*D11</f>
        <v>28.730459999999997</v>
      </c>
      <c r="K11" s="198">
        <f>G11*F11*D11</f>
        <v>8.5337999999999994</v>
      </c>
      <c r="L11" s="198">
        <f>G11*D11</f>
        <v>85.33799999999998</v>
      </c>
      <c r="M11" s="198">
        <f>(2*E11+'COLECTOR PARAMETROS'!$C$10+G11)*D11</f>
        <v>333.76639999999998</v>
      </c>
      <c r="N11" s="199" t="s">
        <v>597</v>
      </c>
    </row>
    <row r="12" spans="1:14" ht="30" customHeight="1" x14ac:dyDescent="0.35">
      <c r="A12" s="196">
        <v>3</v>
      </c>
      <c r="B12" s="196" t="s">
        <v>578</v>
      </c>
      <c r="C12" s="214" t="s">
        <v>576</v>
      </c>
      <c r="D12" s="198">
        <f>'COLECTOR MOV. TIERRAS'!F12</f>
        <v>4.3899999999999997</v>
      </c>
      <c r="E12" s="213">
        <f>'COLECTOR MOV. TIERRAS'!G12</f>
        <v>1.159</v>
      </c>
      <c r="F12" s="198">
        <f>'COLECTOR MOV. TIERRAS'!H12</f>
        <v>0.1</v>
      </c>
      <c r="G12" s="198">
        <f>'COLECTOR MOV. TIERRAS'!I12</f>
        <v>0.89999999999999991</v>
      </c>
      <c r="H12" s="198">
        <f>(G12+0.1)*D12</f>
        <v>4.3899999999999988</v>
      </c>
      <c r="I12" s="198">
        <f>G12*'COLECTOR PARAMETROS'!$C$12*D12</f>
        <v>0.5926499999999999</v>
      </c>
      <c r="J12" s="198">
        <f>2*'COLECTOR PARAMETROS'!$C$11*E12*D12</f>
        <v>1.526403</v>
      </c>
      <c r="K12" s="198">
        <f>G12*F12*D12</f>
        <v>0.39509999999999995</v>
      </c>
      <c r="L12" s="198">
        <f>G12*D12</f>
        <v>3.9509999999999992</v>
      </c>
      <c r="M12" s="198">
        <f>(2*E12+'COLECTOR PARAMETROS'!$C$10+G12)*D12</f>
        <v>16.761019999999998</v>
      </c>
      <c r="N12" s="199" t="s">
        <v>597</v>
      </c>
    </row>
    <row r="13" spans="1:14" ht="21.75" customHeight="1" x14ac:dyDescent="0.35">
      <c r="A13" s="215" t="s">
        <v>598</v>
      </c>
      <c r="B13" s="216"/>
      <c r="C13" s="216"/>
      <c r="D13" s="217">
        <f>SUM(D10:D12)</f>
        <v>105.28999999999999</v>
      </c>
      <c r="E13" s="216"/>
      <c r="F13" s="216"/>
      <c r="G13" s="216"/>
      <c r="H13" s="217">
        <f t="shared" ref="H13:M13" si="0">SUM(H10:H12)</f>
        <v>105.28999999999998</v>
      </c>
      <c r="I13" s="217">
        <f t="shared" si="0"/>
        <v>14.214149999999997</v>
      </c>
      <c r="J13" s="217">
        <f t="shared" si="0"/>
        <v>31.550078999999997</v>
      </c>
      <c r="K13" s="217">
        <f t="shared" si="0"/>
        <v>10.296899999999999</v>
      </c>
      <c r="L13" s="217">
        <f t="shared" si="0"/>
        <v>94.760999999999967</v>
      </c>
      <c r="M13" s="217">
        <f t="shared" si="0"/>
        <v>368.26885999999996</v>
      </c>
      <c r="N13" s="216"/>
    </row>
    <row r="15" spans="1:14" ht="19.5" customHeight="1" x14ac:dyDescent="0.35">
      <c r="A15" s="325" t="s">
        <v>1105</v>
      </c>
      <c r="B15" s="325"/>
      <c r="C15" s="325"/>
      <c r="D15" s="325"/>
      <c r="E15" s="325"/>
      <c r="F15" s="325"/>
      <c r="G15" s="325"/>
      <c r="H15" s="325"/>
      <c r="I15" s="325"/>
      <c r="J15" s="325"/>
      <c r="K15" s="325"/>
      <c r="L15" s="325"/>
      <c r="M15" s="325"/>
      <c r="N15" s="325"/>
    </row>
    <row r="16" spans="1:14" ht="48" customHeight="1" x14ac:dyDescent="0.35">
      <c r="A16" s="195" t="s">
        <v>275</v>
      </c>
      <c r="B16" s="195" t="s">
        <v>599</v>
      </c>
      <c r="C16" s="195" t="s">
        <v>600</v>
      </c>
      <c r="D16" s="195" t="s">
        <v>601</v>
      </c>
      <c r="E16" s="195" t="s">
        <v>602</v>
      </c>
      <c r="F16" s="195" t="s">
        <v>603</v>
      </c>
      <c r="G16" s="195" t="s">
        <v>203</v>
      </c>
      <c r="H16" s="195" t="s">
        <v>604</v>
      </c>
      <c r="I16" s="195" t="s">
        <v>592</v>
      </c>
      <c r="J16" s="195" t="s">
        <v>593</v>
      </c>
      <c r="K16" s="195" t="s">
        <v>594</v>
      </c>
      <c r="L16" s="195" t="s">
        <v>605</v>
      </c>
      <c r="M16" s="195" t="s">
        <v>596</v>
      </c>
      <c r="N16" s="195" t="s">
        <v>445</v>
      </c>
    </row>
    <row r="17" spans="1:14" ht="30" customHeight="1" x14ac:dyDescent="0.35">
      <c r="A17" s="196">
        <v>1</v>
      </c>
      <c r="B17" s="112" t="s">
        <v>1106</v>
      </c>
      <c r="C17" s="196" t="s">
        <v>606</v>
      </c>
      <c r="D17" s="198">
        <f>'COLECTOR PARAMETROS'!$C$40</f>
        <v>1.2</v>
      </c>
      <c r="E17" s="198">
        <f>'COLECTOR PARAMETROS'!$C$41</f>
        <v>1.4999999999999999E-2</v>
      </c>
      <c r="F17" s="211">
        <v>1</v>
      </c>
      <c r="G17" s="221">
        <f>'COLECTOR PARAMETROS'!$C$30</f>
        <v>11</v>
      </c>
      <c r="H17" s="22"/>
      <c r="I17" s="22"/>
      <c r="J17" s="22"/>
      <c r="K17" s="198">
        <f>D17*E17*F17*G17</f>
        <v>0.19799999999999998</v>
      </c>
      <c r="L17" s="22"/>
      <c r="M17" s="22"/>
      <c r="N17" s="199" t="s">
        <v>1107</v>
      </c>
    </row>
    <row r="18" spans="1:14" ht="30" customHeight="1" x14ac:dyDescent="0.35">
      <c r="A18" s="196">
        <v>2</v>
      </c>
      <c r="B18" s="112" t="s">
        <v>1125</v>
      </c>
      <c r="C18" s="196" t="s">
        <v>1126</v>
      </c>
      <c r="D18" s="198">
        <f>'COLECTOR PARAMETROS'!$C$33</f>
        <v>0.7</v>
      </c>
      <c r="E18" s="198">
        <f>'COLECTOR PARAMETROS'!$C$33</f>
        <v>0.7</v>
      </c>
      <c r="F18" s="213">
        <f>'COLECTOR PARAMETROS'!$C$32+('COLECTOR PARAMETROS'!$C$13-'COLECTOR PARAMETROS'!$C$32)*('COLECTOR PARAMETROS'!$C$34/'COLECTOR PARAMETROS'!$C$33)^2</f>
        <v>9.4693877551020419E-2</v>
      </c>
      <c r="G18" s="221">
        <f>-'COLECTOR PARAMETROS'!$C$30</f>
        <v>-11</v>
      </c>
      <c r="H18" s="22"/>
      <c r="I18" s="22"/>
      <c r="J18" s="22"/>
      <c r="K18" s="198">
        <f>D18*E18*F18*G18</f>
        <v>-0.51039999999999996</v>
      </c>
      <c r="L18" s="22"/>
      <c r="M18" s="22"/>
      <c r="N18" s="199" t="s">
        <v>607</v>
      </c>
    </row>
    <row r="19" spans="1:14" ht="21.75" customHeight="1" x14ac:dyDescent="0.35">
      <c r="A19" s="215" t="s">
        <v>608</v>
      </c>
      <c r="B19" s="216"/>
      <c r="C19" s="216"/>
      <c r="D19" s="216"/>
      <c r="E19" s="216"/>
      <c r="F19" s="216"/>
      <c r="G19" s="216"/>
      <c r="H19" s="217">
        <f t="shared" ref="H19:M19" si="1">SUM(H17:H18)</f>
        <v>0</v>
      </c>
      <c r="I19" s="217">
        <f t="shared" si="1"/>
        <v>0</v>
      </c>
      <c r="J19" s="217">
        <f t="shared" si="1"/>
        <v>0</v>
      </c>
      <c r="K19" s="217">
        <f t="shared" si="1"/>
        <v>-0.31240000000000001</v>
      </c>
      <c r="L19" s="217">
        <f t="shared" si="1"/>
        <v>0</v>
      </c>
      <c r="M19" s="217">
        <f t="shared" si="1"/>
        <v>0</v>
      </c>
      <c r="N19" s="216"/>
    </row>
    <row r="21" spans="1:14" ht="19.5" customHeight="1" x14ac:dyDescent="0.35">
      <c r="A21" s="325" t="s">
        <v>609</v>
      </c>
      <c r="B21" s="325"/>
      <c r="C21" s="325"/>
      <c r="D21" s="325"/>
      <c r="E21" s="325"/>
      <c r="F21" s="325"/>
      <c r="G21" s="325"/>
      <c r="H21" s="325"/>
      <c r="I21" s="325"/>
      <c r="J21" s="325"/>
      <c r="K21" s="325"/>
      <c r="L21" s="325"/>
      <c r="M21" s="325"/>
      <c r="N21" s="325"/>
    </row>
    <row r="22" spans="1:14" ht="21.75" customHeight="1" x14ac:dyDescent="0.35">
      <c r="A22" s="196">
        <v>1</v>
      </c>
      <c r="B22" s="324" t="s">
        <v>610</v>
      </c>
      <c r="C22" s="324"/>
      <c r="D22" s="324"/>
      <c r="E22" s="324"/>
      <c r="F22" s="212" t="s">
        <v>153</v>
      </c>
      <c r="G22" s="198">
        <f>H13</f>
        <v>105.28999999999998</v>
      </c>
      <c r="H22" s="198">
        <f>H19</f>
        <v>0</v>
      </c>
      <c r="I22" s="220">
        <f t="shared" ref="I22:I27" si="2">G22+H22</f>
        <v>105.28999999999998</v>
      </c>
    </row>
    <row r="23" spans="1:14" ht="21.75" customHeight="1" x14ac:dyDescent="0.35">
      <c r="A23" s="196">
        <v>2</v>
      </c>
      <c r="B23" s="324" t="s">
        <v>611</v>
      </c>
      <c r="C23" s="324"/>
      <c r="D23" s="324"/>
      <c r="E23" s="324"/>
      <c r="F23" s="212" t="s">
        <v>152</v>
      </c>
      <c r="G23" s="198">
        <f>I13</f>
        <v>14.214149999999997</v>
      </c>
      <c r="H23" s="198">
        <f>I19</f>
        <v>0</v>
      </c>
      <c r="I23" s="220">
        <f t="shared" si="2"/>
        <v>14.214149999999997</v>
      </c>
    </row>
    <row r="24" spans="1:14" ht="21.75" customHeight="1" x14ac:dyDescent="0.35">
      <c r="A24" s="196">
        <v>3</v>
      </c>
      <c r="B24" s="324" t="s">
        <v>612</v>
      </c>
      <c r="C24" s="324"/>
      <c r="D24" s="324"/>
      <c r="E24" s="324"/>
      <c r="F24" s="212" t="s">
        <v>152</v>
      </c>
      <c r="G24" s="198">
        <f>J13</f>
        <v>31.550078999999997</v>
      </c>
      <c r="H24" s="198">
        <f>J19</f>
        <v>0</v>
      </c>
      <c r="I24" s="220">
        <f t="shared" si="2"/>
        <v>31.550078999999997</v>
      </c>
    </row>
    <row r="25" spans="1:14" ht="21.75" customHeight="1" x14ac:dyDescent="0.35">
      <c r="A25" s="196">
        <v>4</v>
      </c>
      <c r="B25" s="324" t="s">
        <v>613</v>
      </c>
      <c r="C25" s="324"/>
      <c r="D25" s="324"/>
      <c r="E25" s="324"/>
      <c r="F25" s="212" t="s">
        <v>152</v>
      </c>
      <c r="G25" s="198">
        <f>K13</f>
        <v>10.296899999999999</v>
      </c>
      <c r="H25" s="198">
        <f>K19</f>
        <v>-0.31240000000000001</v>
      </c>
      <c r="I25" s="220">
        <f t="shared" si="2"/>
        <v>9.9844999999999988</v>
      </c>
    </row>
    <row r="26" spans="1:14" ht="21.75" customHeight="1" x14ac:dyDescent="0.35">
      <c r="A26" s="196">
        <v>5</v>
      </c>
      <c r="B26" s="324" t="s">
        <v>117</v>
      </c>
      <c r="C26" s="324"/>
      <c r="D26" s="324"/>
      <c r="E26" s="324"/>
      <c r="F26" s="212" t="s">
        <v>153</v>
      </c>
      <c r="G26" s="198">
        <f>L13</f>
        <v>94.760999999999967</v>
      </c>
      <c r="H26" s="198">
        <f>L19</f>
        <v>0</v>
      </c>
      <c r="I26" s="220">
        <f t="shared" si="2"/>
        <v>94.760999999999967</v>
      </c>
    </row>
    <row r="27" spans="1:14" ht="21.75" customHeight="1" x14ac:dyDescent="0.35">
      <c r="A27" s="196">
        <v>6</v>
      </c>
      <c r="B27" s="324" t="s">
        <v>614</v>
      </c>
      <c r="C27" s="324"/>
      <c r="D27" s="324"/>
      <c r="E27" s="324"/>
      <c r="F27" s="212" t="s">
        <v>153</v>
      </c>
      <c r="G27" s="198">
        <f>M13</f>
        <v>368.26885999999996</v>
      </c>
      <c r="H27" s="198">
        <f>M19</f>
        <v>0</v>
      </c>
      <c r="I27" s="220">
        <f t="shared" si="2"/>
        <v>368.26885999999996</v>
      </c>
    </row>
  </sheetData>
  <mergeCells count="18">
    <mergeCell ref="A1:N1"/>
    <mergeCell ref="A2:B2"/>
    <mergeCell ref="C2:N2"/>
    <mergeCell ref="A3:B3"/>
    <mergeCell ref="C3:N3"/>
    <mergeCell ref="A4:B4"/>
    <mergeCell ref="C4:N4"/>
    <mergeCell ref="A5:B5"/>
    <mergeCell ref="C5:N5"/>
    <mergeCell ref="A7:N7"/>
    <mergeCell ref="B25:E25"/>
    <mergeCell ref="B26:E26"/>
    <mergeCell ref="B27:E27"/>
    <mergeCell ref="A15:N15"/>
    <mergeCell ref="A21:N21"/>
    <mergeCell ref="B22:E22"/>
    <mergeCell ref="B23:E23"/>
    <mergeCell ref="B24:E2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6"/>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5" width="11" customWidth="1"/>
    <col min="6" max="7" width="10" customWidth="1"/>
    <col min="8" max="8" width="13" customWidth="1"/>
    <col min="9" max="9" width="14" customWidth="1"/>
    <col min="10" max="10" width="13" customWidth="1"/>
    <col min="11" max="11" width="12" customWidth="1"/>
    <col min="12" max="12" width="46" customWidth="1"/>
  </cols>
  <sheetData>
    <row r="1" spans="1:12" ht="27" customHeight="1" x14ac:dyDescent="0.35">
      <c r="A1" s="319" t="s">
        <v>615</v>
      </c>
      <c r="B1" s="319"/>
      <c r="C1" s="319"/>
      <c r="D1" s="319"/>
      <c r="E1" s="319"/>
      <c r="F1" s="319"/>
      <c r="G1" s="319"/>
      <c r="H1" s="319"/>
      <c r="I1" s="319"/>
      <c r="J1" s="319"/>
      <c r="K1" s="319"/>
      <c r="L1" s="319"/>
    </row>
    <row r="2" spans="1:12" ht="24.75" customHeight="1" x14ac:dyDescent="0.35">
      <c r="A2" s="315" t="s">
        <v>1</v>
      </c>
      <c r="B2" s="315"/>
      <c r="C2" s="316" t="str">
        <f>+RESUMEN!B4</f>
        <v>GERENCIA TERRITORIAL BAJO MAYO - TARAPOTO</v>
      </c>
      <c r="D2" s="316"/>
      <c r="E2" s="316"/>
      <c r="F2" s="316"/>
      <c r="G2" s="316"/>
      <c r="H2" s="316"/>
      <c r="I2" s="316"/>
      <c r="J2" s="316"/>
      <c r="K2" s="316"/>
      <c r="L2" s="316"/>
    </row>
    <row r="3" spans="1:12"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row>
    <row r="4" spans="1:12" ht="24.75" customHeight="1" x14ac:dyDescent="0.35">
      <c r="A4" s="315" t="s">
        <v>5</v>
      </c>
      <c r="B4" s="315"/>
      <c r="C4" s="316" t="str">
        <f>+RESUMEN!B6</f>
        <v>SAN MARTIN - SAN MARTIN - MORALES</v>
      </c>
      <c r="D4" s="316"/>
      <c r="E4" s="316"/>
      <c r="F4" s="316"/>
      <c r="G4" s="316"/>
      <c r="H4" s="316"/>
      <c r="I4" s="316"/>
      <c r="J4" s="316"/>
      <c r="K4" s="316"/>
      <c r="L4" s="316"/>
    </row>
    <row r="5" spans="1:12" ht="24.75" customHeight="1" x14ac:dyDescent="0.35">
      <c r="A5" s="315" t="s">
        <v>7</v>
      </c>
      <c r="B5" s="315"/>
      <c r="C5" s="317">
        <f>+RESUMEN!B7</f>
        <v>46266</v>
      </c>
      <c r="D5" s="317"/>
      <c r="E5" s="317"/>
      <c r="F5" s="317"/>
      <c r="G5" s="317"/>
      <c r="H5" s="317"/>
      <c r="I5" s="317"/>
      <c r="J5" s="317"/>
      <c r="K5" s="317"/>
      <c r="L5" s="317"/>
    </row>
    <row r="7" spans="1:12" ht="48" customHeight="1" x14ac:dyDescent="0.35">
      <c r="A7" s="318" t="s">
        <v>616</v>
      </c>
      <c r="B7" s="318"/>
      <c r="C7" s="318"/>
      <c r="D7" s="318"/>
      <c r="E7" s="318"/>
      <c r="F7" s="318"/>
      <c r="G7" s="318"/>
      <c r="H7" s="318"/>
      <c r="I7" s="318"/>
      <c r="J7" s="318"/>
      <c r="K7" s="318"/>
      <c r="L7" s="318"/>
    </row>
    <row r="9" spans="1:12" ht="48" customHeight="1" x14ac:dyDescent="0.35">
      <c r="A9" s="195" t="s">
        <v>275</v>
      </c>
      <c r="B9" s="195" t="s">
        <v>277</v>
      </c>
      <c r="C9" s="195" t="s">
        <v>556</v>
      </c>
      <c r="D9" s="195" t="s">
        <v>232</v>
      </c>
      <c r="E9" s="195" t="s">
        <v>559</v>
      </c>
      <c r="F9" s="195" t="s">
        <v>560</v>
      </c>
      <c r="G9" s="195" t="s">
        <v>617</v>
      </c>
      <c r="H9" s="195" t="s">
        <v>618</v>
      </c>
      <c r="I9" s="195" t="s">
        <v>619</v>
      </c>
      <c r="J9" s="195" t="s">
        <v>620</v>
      </c>
      <c r="K9" s="195" t="s">
        <v>621</v>
      </c>
      <c r="L9" s="195" t="s">
        <v>445</v>
      </c>
    </row>
    <row r="10" spans="1:12" ht="30" customHeight="1" x14ac:dyDescent="0.35">
      <c r="A10" s="196">
        <v>1</v>
      </c>
      <c r="B10" s="196" t="s">
        <v>570</v>
      </c>
      <c r="C10" s="214" t="s">
        <v>571</v>
      </c>
      <c r="D10" s="198">
        <f>'COLECTOR MOV. TIERRAS'!F10</f>
        <v>6.08</v>
      </c>
      <c r="E10" s="213">
        <f>'COLECTOR MOV. TIERRAS'!G10</f>
        <v>0.70899999999999996</v>
      </c>
      <c r="F10" s="198">
        <f>'COLECTOR MOV. TIERRAS'!H10</f>
        <v>0.25</v>
      </c>
      <c r="G10" s="198">
        <f>'COLECTOR PARAMETROS'!$C$10</f>
        <v>0.6</v>
      </c>
      <c r="H10" s="198">
        <f>2*E10*D10</f>
        <v>8.6214399999999998</v>
      </c>
      <c r="I10" s="198">
        <f>2*('COLECTOR PARAMETROS'!$C$12+E10+F10)*D10</f>
        <v>13.485440000000001</v>
      </c>
      <c r="J10" s="198">
        <f>G10*D10</f>
        <v>3.6479999999999997</v>
      </c>
      <c r="K10" s="220">
        <f>SUM(H10:J10)</f>
        <v>25.75488</v>
      </c>
      <c r="L10" s="199" t="s">
        <v>622</v>
      </c>
    </row>
    <row r="11" spans="1:12" ht="30" customHeight="1" x14ac:dyDescent="0.35">
      <c r="A11" s="196">
        <v>2</v>
      </c>
      <c r="B11" s="196" t="s">
        <v>575</v>
      </c>
      <c r="C11" s="214" t="s">
        <v>576</v>
      </c>
      <c r="D11" s="198">
        <f>'COLECTOR MOV. TIERRAS'!F11</f>
        <v>94.82</v>
      </c>
      <c r="E11" s="213">
        <f>'COLECTOR MOV. TIERRAS'!G11</f>
        <v>1.01</v>
      </c>
      <c r="F11" s="198">
        <f>'COLECTOR MOV. TIERRAS'!H11</f>
        <v>0.1</v>
      </c>
      <c r="G11" s="198">
        <f>'COLECTOR PARAMETROS'!$C$10</f>
        <v>0.6</v>
      </c>
      <c r="H11" s="198">
        <f>2*E11*D11</f>
        <v>191.53639999999999</v>
      </c>
      <c r="I11" s="198">
        <f>2*('COLECTOR PARAMETROS'!$C$12+E11+F11)*D11</f>
        <v>238.94639999999998</v>
      </c>
      <c r="J11" s="198">
        <f>G11*D11</f>
        <v>56.891999999999996</v>
      </c>
      <c r="K11" s="220">
        <f>SUM(H11:J11)</f>
        <v>487.37479999999999</v>
      </c>
      <c r="L11" s="199" t="s">
        <v>622</v>
      </c>
    </row>
    <row r="12" spans="1:12" ht="30" customHeight="1" x14ac:dyDescent="0.35">
      <c r="A12" s="196">
        <v>3</v>
      </c>
      <c r="B12" s="196" t="s">
        <v>578</v>
      </c>
      <c r="C12" s="214" t="s">
        <v>576</v>
      </c>
      <c r="D12" s="198">
        <f>'COLECTOR MOV. TIERRAS'!F12</f>
        <v>4.3899999999999997</v>
      </c>
      <c r="E12" s="213">
        <f>'COLECTOR MOV. TIERRAS'!G12</f>
        <v>1.159</v>
      </c>
      <c r="F12" s="198">
        <f>'COLECTOR MOV. TIERRAS'!H12</f>
        <v>0.1</v>
      </c>
      <c r="G12" s="198">
        <f>'COLECTOR PARAMETROS'!$C$10</f>
        <v>0.6</v>
      </c>
      <c r="H12" s="198">
        <f>2*E12*D12</f>
        <v>10.176019999999999</v>
      </c>
      <c r="I12" s="198">
        <f>2*('COLECTOR PARAMETROS'!$C$12+E12+F12)*D12</f>
        <v>12.37102</v>
      </c>
      <c r="J12" s="198">
        <f>G12*D12</f>
        <v>2.6339999999999999</v>
      </c>
      <c r="K12" s="220">
        <f>SUM(H12:J12)</f>
        <v>25.181039999999999</v>
      </c>
      <c r="L12" s="199" t="s">
        <v>622</v>
      </c>
    </row>
    <row r="13" spans="1:12" ht="21.75" customHeight="1" x14ac:dyDescent="0.35">
      <c r="A13" s="215" t="s">
        <v>580</v>
      </c>
      <c r="B13" s="216"/>
      <c r="C13" s="216"/>
      <c r="D13" s="217">
        <f>SUM(D10:D12)</f>
        <v>105.28999999999999</v>
      </c>
      <c r="E13" s="216"/>
      <c r="F13" s="216"/>
      <c r="G13" s="216"/>
      <c r="H13" s="217">
        <f>SUM(H10:H12)</f>
        <v>210.33385999999999</v>
      </c>
      <c r="I13" s="217">
        <f>SUM(I10:I12)</f>
        <v>264.80286000000001</v>
      </c>
      <c r="J13" s="217">
        <f>SUM(J10:J12)</f>
        <v>63.173999999999992</v>
      </c>
      <c r="K13" s="217">
        <f>SUM(K10:K12)</f>
        <v>538.31072000000006</v>
      </c>
      <c r="L13" s="216"/>
    </row>
    <row r="15" spans="1:12" ht="19.5" customHeight="1" x14ac:dyDescent="0.35">
      <c r="A15" s="325" t="s">
        <v>623</v>
      </c>
      <c r="B15" s="325"/>
      <c r="C15" s="325"/>
      <c r="D15" s="325"/>
      <c r="E15" s="325"/>
      <c r="F15" s="325"/>
      <c r="G15" s="325"/>
      <c r="H15" s="325"/>
      <c r="I15" s="325"/>
      <c r="J15" s="325"/>
      <c r="K15" s="325"/>
      <c r="L15" s="325"/>
    </row>
    <row r="16" spans="1:12" ht="21.75" customHeight="1" x14ac:dyDescent="0.35">
      <c r="A16" s="196">
        <v>1</v>
      </c>
      <c r="B16" s="324" t="s">
        <v>115</v>
      </c>
      <c r="C16" s="324"/>
      <c r="D16" s="324"/>
      <c r="E16" s="324"/>
      <c r="F16" s="212" t="s">
        <v>153</v>
      </c>
      <c r="G16" s="220">
        <f>K13</f>
        <v>538.31072000000006</v>
      </c>
    </row>
  </sheetData>
  <mergeCells count="12">
    <mergeCell ref="A1:L1"/>
    <mergeCell ref="A2:B2"/>
    <mergeCell ref="C2:L2"/>
    <mergeCell ref="A3:B3"/>
    <mergeCell ref="C3:L3"/>
    <mergeCell ref="A15:L15"/>
    <mergeCell ref="B16:E16"/>
    <mergeCell ref="A4:B4"/>
    <mergeCell ref="C4:L4"/>
    <mergeCell ref="A5:B5"/>
    <mergeCell ref="C5:L5"/>
    <mergeCell ref="A7:L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25"/>
  <sheetViews>
    <sheetView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5" customWidth="1"/>
    <col min="2" max="2" width="28" customWidth="1"/>
    <col min="3" max="3" width="11" customWidth="1"/>
    <col min="4" max="5" width="10" customWidth="1"/>
    <col min="6" max="8" width="9" customWidth="1"/>
    <col min="9" max="9" width="11" customWidth="1"/>
    <col min="10" max="20" width="9" customWidth="1"/>
    <col min="21" max="21" width="11" customWidth="1"/>
    <col min="22" max="22" width="44" customWidth="1"/>
  </cols>
  <sheetData>
    <row r="1" spans="1:22" ht="27" customHeight="1" x14ac:dyDescent="0.35">
      <c r="A1" s="319" t="s">
        <v>624</v>
      </c>
      <c r="B1" s="319"/>
      <c r="C1" s="319"/>
      <c r="D1" s="319"/>
      <c r="E1" s="319"/>
      <c r="F1" s="319"/>
      <c r="G1" s="319"/>
      <c r="H1" s="319"/>
      <c r="I1" s="319"/>
      <c r="J1" s="319"/>
      <c r="K1" s="319"/>
      <c r="L1" s="319"/>
      <c r="M1" s="319"/>
      <c r="N1" s="319"/>
      <c r="O1" s="319"/>
      <c r="P1" s="319"/>
      <c r="Q1" s="319"/>
      <c r="R1" s="319"/>
      <c r="S1" s="319"/>
      <c r="T1" s="319"/>
      <c r="U1" s="319"/>
      <c r="V1" s="319"/>
    </row>
    <row r="2" spans="1:22" ht="24.75" customHeight="1" x14ac:dyDescent="0.35">
      <c r="A2" s="315" t="s">
        <v>1</v>
      </c>
      <c r="B2" s="315"/>
      <c r="C2" s="316" t="str">
        <f>+RESUMEN!B4</f>
        <v>GERENCIA TERRITORIAL BAJO MAYO - TARAPOTO</v>
      </c>
      <c r="D2" s="316"/>
      <c r="E2" s="316"/>
      <c r="F2" s="316"/>
      <c r="G2" s="316"/>
      <c r="H2" s="316"/>
      <c r="I2" s="316"/>
      <c r="J2" s="316"/>
      <c r="K2" s="316"/>
      <c r="L2" s="316"/>
      <c r="M2" s="316"/>
      <c r="N2" s="316"/>
      <c r="O2" s="316"/>
      <c r="P2" s="316"/>
      <c r="Q2" s="316"/>
      <c r="R2" s="316"/>
      <c r="S2" s="316"/>
      <c r="T2" s="316"/>
      <c r="U2" s="316"/>
      <c r="V2" s="316"/>
    </row>
    <row r="3" spans="1:22"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c r="I3" s="316"/>
      <c r="J3" s="316"/>
      <c r="K3" s="316"/>
      <c r="L3" s="316"/>
      <c r="M3" s="316"/>
      <c r="N3" s="316"/>
      <c r="O3" s="316"/>
      <c r="P3" s="316"/>
      <c r="Q3" s="316"/>
      <c r="R3" s="316"/>
      <c r="S3" s="316"/>
      <c r="T3" s="316"/>
      <c r="U3" s="316"/>
      <c r="V3" s="316"/>
    </row>
    <row r="4" spans="1:22" ht="24.75" customHeight="1" x14ac:dyDescent="0.35">
      <c r="A4" s="315" t="s">
        <v>5</v>
      </c>
      <c r="B4" s="315"/>
      <c r="C4" s="316" t="str">
        <f>+RESUMEN!B6</f>
        <v>SAN MARTIN - SAN MARTIN - MORALES</v>
      </c>
      <c r="D4" s="316"/>
      <c r="E4" s="316"/>
      <c r="F4" s="316"/>
      <c r="G4" s="316"/>
      <c r="H4" s="316"/>
      <c r="I4" s="316"/>
      <c r="J4" s="316"/>
      <c r="K4" s="316"/>
      <c r="L4" s="316"/>
      <c r="M4" s="316"/>
      <c r="N4" s="316"/>
      <c r="O4" s="316"/>
      <c r="P4" s="316"/>
      <c r="Q4" s="316"/>
      <c r="R4" s="316"/>
      <c r="S4" s="316"/>
      <c r="T4" s="316"/>
      <c r="U4" s="316"/>
      <c r="V4" s="316"/>
    </row>
    <row r="5" spans="1:22" ht="24.75" customHeight="1" x14ac:dyDescent="0.35">
      <c r="A5" s="315" t="s">
        <v>7</v>
      </c>
      <c r="B5" s="315"/>
      <c r="C5" s="317">
        <f>+RESUMEN!B7</f>
        <v>46266</v>
      </c>
      <c r="D5" s="317"/>
      <c r="E5" s="317"/>
      <c r="F5" s="317"/>
      <c r="G5" s="317"/>
      <c r="H5" s="317"/>
      <c r="I5" s="317"/>
      <c r="J5" s="317"/>
      <c r="K5" s="317"/>
      <c r="L5" s="317"/>
      <c r="M5" s="317"/>
      <c r="N5" s="317"/>
      <c r="O5" s="317"/>
      <c r="P5" s="317"/>
      <c r="Q5" s="317"/>
      <c r="R5" s="317"/>
      <c r="S5" s="317"/>
      <c r="T5" s="317"/>
      <c r="U5" s="317"/>
      <c r="V5" s="317"/>
    </row>
    <row r="7" spans="1:22" ht="48" customHeight="1" x14ac:dyDescent="0.35">
      <c r="A7" s="318" t="s">
        <v>625</v>
      </c>
      <c r="B7" s="318"/>
      <c r="C7" s="318"/>
      <c r="D7" s="318"/>
      <c r="E7" s="318"/>
      <c r="F7" s="318"/>
      <c r="G7" s="318"/>
      <c r="H7" s="318"/>
      <c r="I7" s="318"/>
      <c r="J7" s="318"/>
      <c r="K7" s="318"/>
      <c r="L7" s="318"/>
      <c r="M7" s="318"/>
      <c r="N7" s="318"/>
      <c r="O7" s="318"/>
      <c r="P7" s="318"/>
      <c r="Q7" s="318"/>
      <c r="R7" s="318"/>
      <c r="S7" s="318"/>
      <c r="T7" s="318"/>
      <c r="U7" s="318"/>
      <c r="V7" s="318"/>
    </row>
    <row r="9" spans="1:22" ht="60" customHeight="1" x14ac:dyDescent="0.35">
      <c r="A9" s="195" t="s">
        <v>275</v>
      </c>
      <c r="B9" s="195" t="s">
        <v>277</v>
      </c>
      <c r="C9" s="195" t="s">
        <v>556</v>
      </c>
      <c r="D9" s="195" t="s">
        <v>232</v>
      </c>
      <c r="E9" s="195" t="s">
        <v>559</v>
      </c>
      <c r="F9" s="195" t="s">
        <v>560</v>
      </c>
      <c r="G9" s="195" t="s">
        <v>590</v>
      </c>
      <c r="H9" s="195" t="s">
        <v>626</v>
      </c>
      <c r="I9" s="195" t="s">
        <v>627</v>
      </c>
      <c r="J9" s="195" t="s">
        <v>628</v>
      </c>
      <c r="K9" s="195" t="s">
        <v>629</v>
      </c>
      <c r="L9" s="195" t="s">
        <v>630</v>
      </c>
      <c r="M9" s="195" t="s">
        <v>631</v>
      </c>
      <c r="N9" s="195" t="s">
        <v>632</v>
      </c>
      <c r="O9" s="195" t="s">
        <v>633</v>
      </c>
      <c r="P9" s="195" t="s">
        <v>634</v>
      </c>
      <c r="Q9" s="195" t="s">
        <v>635</v>
      </c>
      <c r="R9" s="195" t="s">
        <v>636</v>
      </c>
      <c r="S9" s="195" t="s">
        <v>637</v>
      </c>
      <c r="T9" s="195" t="s">
        <v>638</v>
      </c>
      <c r="U9" s="195" t="s">
        <v>639</v>
      </c>
      <c r="V9" s="195" t="s">
        <v>445</v>
      </c>
    </row>
    <row r="10" spans="1:22" ht="30" customHeight="1" x14ac:dyDescent="0.35">
      <c r="A10" s="196">
        <v>1</v>
      </c>
      <c r="B10" s="196" t="s">
        <v>570</v>
      </c>
      <c r="C10" s="214" t="s">
        <v>571</v>
      </c>
      <c r="D10" s="198">
        <f>'COLECTOR MOV. TIERRAS'!F10</f>
        <v>6.08</v>
      </c>
      <c r="E10" s="213">
        <f>'COLECTOR MOV. TIERRAS'!G10</f>
        <v>0.70899999999999996</v>
      </c>
      <c r="F10" s="198">
        <f>'COLECTOR MOV. TIERRAS'!H10</f>
        <v>0.25</v>
      </c>
      <c r="G10" s="198">
        <f>'COLECTOR MOV. TIERRAS'!I10</f>
        <v>0.89999999999999991</v>
      </c>
      <c r="H10" s="198">
        <f>'COLECTOR PARAMETROS'!$C$27</f>
        <v>0.15</v>
      </c>
      <c r="I10" s="222">
        <v>2</v>
      </c>
      <c r="J10" s="214" t="s">
        <v>484</v>
      </c>
      <c r="K10" s="221">
        <f>ROUNDUP(D10/H10,0)</f>
        <v>41</v>
      </c>
      <c r="L10" s="213">
        <f>IF(I10=2,2*(G10-2*'COLECTOR PARAMETROS'!$C$19)+2*('COLECTOR PARAMETROS'!$C$12+E10+F10-2*'COLECTOR PARAMETROS'!$C$19)+'COLECTOR PARAMETROS'!$C$24,2*(G10-'COLECTOR PARAMETROS'!$C$11)+2*('COLECTOR PARAMETROS'!$C$12/2+E10+F10/2)+'COLECTOR PARAMETROS'!$C$24)</f>
        <v>3.9979999999999993</v>
      </c>
      <c r="M10" s="213">
        <f>IF(I10=2,2*('COLECTOR PARAMETROS'!$C$10+2*('COLECTOR PARAMETROS'!$C$11-'COLECTOR PARAMETROS'!$C$19))+2*(E10+2*('COLECTOR PARAMETROS'!$C$11-'COLECTOR PARAMETROS'!$C$19))+'COLECTOR PARAMETROS'!$C$24,0)</f>
        <v>3.7979999999999996</v>
      </c>
      <c r="N10" s="198">
        <f>K10*(L10+M10)</f>
        <v>319.63599999999997</v>
      </c>
      <c r="O10" s="213">
        <f>IF(J10="1/2""",'COLECTOR PARAMETROS'!$C$21,'COLECTOR PARAMETROS'!$C$20)</f>
        <v>0.99399999999999999</v>
      </c>
      <c r="P10" s="198">
        <f>N10*O10</f>
        <v>317.71818399999995</v>
      </c>
      <c r="Q10" s="198">
        <f>'COLECTOR PARAMETROS'!$C$29</f>
        <v>0.2</v>
      </c>
      <c r="R10" s="221">
        <f>ROUND(L10/Q10,0)+IF(M10&gt;0,ROUND(M10/Q10,0),0)</f>
        <v>39</v>
      </c>
      <c r="S10" s="198">
        <f>R10*D10*(1+'COLECTOR PARAMETROS'!$C$22/'COLECTOR PARAMETROS'!$C$23)</f>
        <v>247.65866666666668</v>
      </c>
      <c r="T10" s="198">
        <f>S10*'COLECTOR PARAMETROS'!$C$20</f>
        <v>138.68885333333336</v>
      </c>
      <c r="U10" s="220">
        <f>P10+T10</f>
        <v>456.40703733333328</v>
      </c>
      <c r="V10" s="199" t="s">
        <v>640</v>
      </c>
    </row>
    <row r="11" spans="1:22" ht="30" customHeight="1" x14ac:dyDescent="0.35">
      <c r="A11" s="196">
        <v>2</v>
      </c>
      <c r="B11" s="196" t="s">
        <v>575</v>
      </c>
      <c r="C11" s="214" t="s">
        <v>576</v>
      </c>
      <c r="D11" s="198">
        <f>'COLECTOR MOV. TIERRAS'!F11</f>
        <v>94.82</v>
      </c>
      <c r="E11" s="213">
        <f>'COLECTOR MOV. TIERRAS'!G11</f>
        <v>1.01</v>
      </c>
      <c r="F11" s="198">
        <f>'COLECTOR MOV. TIERRAS'!H11</f>
        <v>0.1</v>
      </c>
      <c r="G11" s="198">
        <f>'COLECTOR MOV. TIERRAS'!I11</f>
        <v>0.89999999999999991</v>
      </c>
      <c r="H11" s="198">
        <f>'COLECTOR PARAMETROS'!$C$26</f>
        <v>0.2</v>
      </c>
      <c r="I11" s="222">
        <v>1</v>
      </c>
      <c r="J11" s="214" t="s">
        <v>313</v>
      </c>
      <c r="K11" s="221">
        <f>ROUNDUP(D11/H11,0)</f>
        <v>475</v>
      </c>
      <c r="L11" s="213">
        <f>IF(I11=2,2*(G11-2*'COLECTOR PARAMETROS'!$C$19)+2*('COLECTOR PARAMETROS'!$C$12+E11+F11-2*'COLECTOR PARAMETROS'!$C$19)+'COLECTOR PARAMETROS'!$C$24,2*(G11-'COLECTOR PARAMETROS'!$C$11)+2*('COLECTOR PARAMETROS'!$C$12/2+E11+F11/2)+'COLECTOR PARAMETROS'!$C$24)</f>
        <v>4.0699999999999994</v>
      </c>
      <c r="M11" s="213">
        <f>IF(I11=2,2*('COLECTOR PARAMETROS'!$C$10+2*('COLECTOR PARAMETROS'!$C$11-'COLECTOR PARAMETROS'!$C$19))+2*(E11+2*('COLECTOR PARAMETROS'!$C$11-'COLECTOR PARAMETROS'!$C$19))+'COLECTOR PARAMETROS'!$C$24,0)</f>
        <v>0</v>
      </c>
      <c r="N11" s="198">
        <f>K11*(L11+M11)</f>
        <v>1933.2499999999998</v>
      </c>
      <c r="O11" s="213">
        <f>IF(J11="1/2""",'COLECTOR PARAMETROS'!$C$21,'COLECTOR PARAMETROS'!$C$20)</f>
        <v>0.56000000000000005</v>
      </c>
      <c r="P11" s="198">
        <f>N11*O11</f>
        <v>1082.6199999999999</v>
      </c>
      <c r="Q11" s="198">
        <f>'COLECTOR PARAMETROS'!$C$28</f>
        <v>0.25</v>
      </c>
      <c r="R11" s="221">
        <f>ROUND(L11/Q11,0)+IF(M11&gt;0,ROUND(M11/Q11,0),0)</f>
        <v>16</v>
      </c>
      <c r="S11" s="198">
        <f>R11*D11*(1+'COLECTOR PARAMETROS'!$C$22/'COLECTOR PARAMETROS'!$C$23)</f>
        <v>1584.5475555555556</v>
      </c>
      <c r="T11" s="198">
        <f>S11*'COLECTOR PARAMETROS'!$C$20</f>
        <v>887.34663111111126</v>
      </c>
      <c r="U11" s="220">
        <f>P11+T11</f>
        <v>1969.9666311111112</v>
      </c>
      <c r="V11" s="199" t="s">
        <v>641</v>
      </c>
    </row>
    <row r="12" spans="1:22" ht="30" customHeight="1" x14ac:dyDescent="0.35">
      <c r="A12" s="196">
        <v>3</v>
      </c>
      <c r="B12" s="196" t="s">
        <v>578</v>
      </c>
      <c r="C12" s="214" t="s">
        <v>576</v>
      </c>
      <c r="D12" s="198">
        <f>'COLECTOR MOV. TIERRAS'!F12</f>
        <v>4.3899999999999997</v>
      </c>
      <c r="E12" s="213">
        <f>'COLECTOR MOV. TIERRAS'!G12</f>
        <v>1.159</v>
      </c>
      <c r="F12" s="198">
        <f>'COLECTOR MOV. TIERRAS'!H12</f>
        <v>0.1</v>
      </c>
      <c r="G12" s="198">
        <f>'COLECTOR MOV. TIERRAS'!I12</f>
        <v>0.89999999999999991</v>
      </c>
      <c r="H12" s="198">
        <f>'COLECTOR PARAMETROS'!$C$26</f>
        <v>0.2</v>
      </c>
      <c r="I12" s="222">
        <v>1</v>
      </c>
      <c r="J12" s="214" t="s">
        <v>313</v>
      </c>
      <c r="K12" s="221">
        <f>ROUNDUP(D12/H12,0)</f>
        <v>22</v>
      </c>
      <c r="L12" s="213">
        <f>IF(I12=2,2*(G12-2*'COLECTOR PARAMETROS'!$C$19)+2*('COLECTOR PARAMETROS'!$C$12+E12+F12-2*'COLECTOR PARAMETROS'!$C$19)+'COLECTOR PARAMETROS'!$C$24,2*(G12-'COLECTOR PARAMETROS'!$C$11)+2*('COLECTOR PARAMETROS'!$C$12/2+E12+F12/2)+'COLECTOR PARAMETROS'!$C$24)</f>
        <v>4.3679999999999994</v>
      </c>
      <c r="M12" s="213">
        <f>IF(I12=2,2*('COLECTOR PARAMETROS'!$C$10+2*('COLECTOR PARAMETROS'!$C$11-'COLECTOR PARAMETROS'!$C$19))+2*(E12+2*('COLECTOR PARAMETROS'!$C$11-'COLECTOR PARAMETROS'!$C$19))+'COLECTOR PARAMETROS'!$C$24,0)</f>
        <v>0</v>
      </c>
      <c r="N12" s="198">
        <f>K12*(L12+M12)</f>
        <v>96.095999999999989</v>
      </c>
      <c r="O12" s="213">
        <f>IF(J12="1/2""",'COLECTOR PARAMETROS'!$C$21,'COLECTOR PARAMETROS'!$C$20)</f>
        <v>0.56000000000000005</v>
      </c>
      <c r="P12" s="198">
        <f>N12*O12</f>
        <v>53.813760000000002</v>
      </c>
      <c r="Q12" s="198">
        <f>'COLECTOR PARAMETROS'!$C$28</f>
        <v>0.25</v>
      </c>
      <c r="R12" s="221">
        <f>ROUND(L12/Q12,0)+IF(M12&gt;0,ROUND(M12/Q12,0),0)</f>
        <v>17</v>
      </c>
      <c r="S12" s="198">
        <f>R12*D12*(1+'COLECTOR PARAMETROS'!$C$22/'COLECTOR PARAMETROS'!$C$23)</f>
        <v>77.946888888888893</v>
      </c>
      <c r="T12" s="198">
        <f>S12*'COLECTOR PARAMETROS'!$C$20</f>
        <v>43.650257777777782</v>
      </c>
      <c r="U12" s="220">
        <f>P12+T12</f>
        <v>97.464017777777784</v>
      </c>
      <c r="V12" s="199" t="s">
        <v>641</v>
      </c>
    </row>
    <row r="13" spans="1:22" ht="21.75" customHeight="1" x14ac:dyDescent="0.35">
      <c r="A13" s="215" t="s">
        <v>580</v>
      </c>
      <c r="B13" s="216"/>
      <c r="C13" s="216"/>
      <c r="D13" s="217">
        <f>SUM(D10:D12)</f>
        <v>105.28999999999999</v>
      </c>
      <c r="E13" s="216"/>
      <c r="F13" s="216"/>
      <c r="G13" s="216"/>
      <c r="H13" s="216"/>
      <c r="I13" s="216"/>
      <c r="J13" s="216"/>
      <c r="K13" s="216"/>
      <c r="L13" s="216"/>
      <c r="M13" s="216"/>
      <c r="N13" s="217">
        <f>SUM(N10:N12)</f>
        <v>2348.9819999999995</v>
      </c>
      <c r="O13" s="216"/>
      <c r="P13" s="217">
        <f>SUM(P10:P12)</f>
        <v>1454.1519439999997</v>
      </c>
      <c r="Q13" s="216"/>
      <c r="R13" s="216"/>
      <c r="S13" s="217">
        <f>SUM(S10:S12)</f>
        <v>1910.1531111111112</v>
      </c>
      <c r="T13" s="217">
        <f>SUM(T10:T12)</f>
        <v>1069.6857422222224</v>
      </c>
      <c r="U13" s="217">
        <f>SUM(U10:U12)</f>
        <v>2523.8376862222221</v>
      </c>
      <c r="V13" s="216"/>
    </row>
    <row r="15" spans="1:22" ht="19.5" customHeight="1" x14ac:dyDescent="0.35">
      <c r="A15" s="325" t="s">
        <v>1194</v>
      </c>
      <c r="B15" s="325"/>
      <c r="C15" s="325"/>
      <c r="D15" s="325"/>
      <c r="E15" s="325"/>
      <c r="F15" s="325"/>
      <c r="G15" s="325"/>
      <c r="H15" s="325"/>
      <c r="I15" s="325"/>
      <c r="J15" s="325"/>
      <c r="K15" s="325"/>
      <c r="L15" s="325"/>
      <c r="M15" s="325"/>
      <c r="N15" s="325"/>
      <c r="O15" s="325"/>
      <c r="P15" s="325"/>
      <c r="Q15" s="325"/>
      <c r="R15" s="325"/>
      <c r="S15" s="325"/>
      <c r="T15" s="325"/>
      <c r="U15" s="325"/>
      <c r="V15" s="325"/>
    </row>
    <row r="16" spans="1:22" ht="39.75" customHeight="1" x14ac:dyDescent="0.35">
      <c r="A16" s="195" t="s">
        <v>275</v>
      </c>
      <c r="B16" s="195" t="s">
        <v>599</v>
      </c>
      <c r="C16" s="195" t="s">
        <v>642</v>
      </c>
      <c r="D16" s="195" t="s">
        <v>643</v>
      </c>
      <c r="E16" s="195" t="s">
        <v>644</v>
      </c>
      <c r="F16" s="195" t="s">
        <v>645</v>
      </c>
      <c r="G16" s="195" t="s">
        <v>646</v>
      </c>
      <c r="H16" s="195" t="s">
        <v>647</v>
      </c>
      <c r="I16" s="195" t="s">
        <v>633</v>
      </c>
      <c r="J16" s="195"/>
      <c r="K16" s="195"/>
      <c r="L16" s="195"/>
      <c r="M16" s="195"/>
      <c r="N16" s="195"/>
      <c r="O16" s="195"/>
      <c r="P16" s="195"/>
      <c r="Q16" s="195"/>
      <c r="R16" s="195"/>
      <c r="S16" s="195"/>
      <c r="T16" s="195"/>
      <c r="U16" s="195" t="s">
        <v>648</v>
      </c>
      <c r="V16" s="195" t="s">
        <v>445</v>
      </c>
    </row>
    <row r="17" spans="1:22" ht="30" customHeight="1" x14ac:dyDescent="0.35">
      <c r="A17" s="196">
        <v>1</v>
      </c>
      <c r="B17" s="112" t="s">
        <v>649</v>
      </c>
      <c r="C17" s="214" t="s">
        <v>484</v>
      </c>
      <c r="D17" s="196" t="s">
        <v>650</v>
      </c>
      <c r="E17" s="222">
        <v>8</v>
      </c>
      <c r="F17" s="221">
        <f>'COLECTOR PARAMETROS'!$C$30</f>
        <v>11</v>
      </c>
      <c r="G17" s="197">
        <v>1.4</v>
      </c>
      <c r="H17" s="198">
        <f>E17*F17*G17</f>
        <v>123.19999999999999</v>
      </c>
      <c r="I17" s="213">
        <f>'COLECTOR PARAMETROS'!$C$21</f>
        <v>0.99399999999999999</v>
      </c>
      <c r="J17" s="22"/>
      <c r="K17" s="22"/>
      <c r="L17" s="22"/>
      <c r="M17" s="22"/>
      <c r="N17" s="22"/>
      <c r="O17" s="22"/>
      <c r="P17" s="22"/>
      <c r="Q17" s="22"/>
      <c r="R17" s="22"/>
      <c r="S17" s="22"/>
      <c r="T17" s="22"/>
      <c r="U17" s="220">
        <f>H17*I17</f>
        <v>122.46079999999999</v>
      </c>
      <c r="V17" s="199" t="s">
        <v>651</v>
      </c>
    </row>
    <row r="18" spans="1:22" ht="30" customHeight="1" x14ac:dyDescent="0.35">
      <c r="A18" s="196">
        <v>2</v>
      </c>
      <c r="B18" s="112" t="s">
        <v>652</v>
      </c>
      <c r="C18" s="214" t="s">
        <v>313</v>
      </c>
      <c r="D18" s="196" t="s">
        <v>650</v>
      </c>
      <c r="E18" s="222">
        <v>14</v>
      </c>
      <c r="F18" s="221">
        <f>'COLECTOR PARAMETROS'!$C$30</f>
        <v>11</v>
      </c>
      <c r="G18" s="197">
        <v>0.62</v>
      </c>
      <c r="H18" s="198">
        <f>E18*F18*G18</f>
        <v>95.48</v>
      </c>
      <c r="I18" s="213">
        <f>'COLECTOR PARAMETROS'!$C$20</f>
        <v>0.56000000000000005</v>
      </c>
      <c r="J18" s="22"/>
      <c r="K18" s="22"/>
      <c r="L18" s="22"/>
      <c r="M18" s="22"/>
      <c r="N18" s="22"/>
      <c r="O18" s="22"/>
      <c r="P18" s="22"/>
      <c r="Q18" s="22"/>
      <c r="R18" s="22"/>
      <c r="S18" s="22"/>
      <c r="T18" s="22"/>
      <c r="U18" s="220">
        <f>H18*I18</f>
        <v>53.468800000000009</v>
      </c>
      <c r="V18" s="199" t="s">
        <v>1123</v>
      </c>
    </row>
    <row r="19" spans="1:22" ht="30" customHeight="1" x14ac:dyDescent="0.35">
      <c r="A19" s="196">
        <v>3</v>
      </c>
      <c r="B19" s="112" t="s">
        <v>1120</v>
      </c>
      <c r="C19" s="214" t="s">
        <v>1121</v>
      </c>
      <c r="D19" s="196" t="s">
        <v>653</v>
      </c>
      <c r="E19" s="222">
        <f>'COLECTOR PARAMETROS'!$C$36</f>
        <v>2</v>
      </c>
      <c r="F19" s="221">
        <f>'COLECTOR PARAMETROS'!$C$30</f>
        <v>11</v>
      </c>
      <c r="G19" s="197">
        <f>'COLECTOR PARAMETROS'!$C$37</f>
        <v>0.5</v>
      </c>
      <c r="H19" s="198">
        <f>E19*F19*G19</f>
        <v>11</v>
      </c>
      <c r="I19" s="213">
        <f>'COLECTOR PARAMETROS'!$C$21</f>
        <v>0.99399999999999999</v>
      </c>
      <c r="J19" s="22"/>
      <c r="K19" s="22"/>
      <c r="L19" s="22"/>
      <c r="M19" s="22"/>
      <c r="N19" s="22"/>
      <c r="O19" s="22"/>
      <c r="P19" s="22"/>
      <c r="Q19" s="22"/>
      <c r="R19" s="22"/>
      <c r="S19" s="22"/>
      <c r="T19" s="22"/>
      <c r="U19" s="220">
        <f>H19*I19</f>
        <v>10.933999999999999</v>
      </c>
      <c r="V19" s="199" t="s">
        <v>1122</v>
      </c>
    </row>
    <row r="20" spans="1:22" ht="30" customHeight="1" x14ac:dyDescent="0.35">
      <c r="A20" s="196"/>
      <c r="B20" s="112"/>
      <c r="C20" s="214"/>
      <c r="D20" s="196"/>
      <c r="E20" s="222"/>
      <c r="F20" s="221"/>
      <c r="G20" s="197"/>
      <c r="H20" s="198"/>
      <c r="I20" s="213"/>
      <c r="J20" s="22"/>
      <c r="K20" s="22"/>
      <c r="L20" s="22"/>
      <c r="M20" s="22"/>
      <c r="N20" s="22"/>
      <c r="O20" s="22"/>
      <c r="P20" s="22"/>
      <c r="Q20" s="22"/>
      <c r="R20" s="22"/>
      <c r="S20" s="22"/>
      <c r="T20" s="22"/>
      <c r="U20" s="220"/>
      <c r="V20" s="199"/>
    </row>
    <row r="21" spans="1:22" ht="21.75" customHeight="1" x14ac:dyDescent="0.35">
      <c r="A21" s="215" t="s">
        <v>654</v>
      </c>
      <c r="B21" s="216"/>
      <c r="C21" s="216"/>
      <c r="D21" s="216"/>
      <c r="E21" s="216"/>
      <c r="F21" s="216"/>
      <c r="G21" s="216"/>
      <c r="H21" s="216"/>
      <c r="I21" s="216"/>
      <c r="J21" s="216"/>
      <c r="K21" s="216"/>
      <c r="L21" s="216"/>
      <c r="M21" s="216"/>
      <c r="N21" s="216"/>
      <c r="O21" s="216"/>
      <c r="P21" s="216"/>
      <c r="Q21" s="216"/>
      <c r="R21" s="216"/>
      <c r="S21" s="216"/>
      <c r="T21" s="216"/>
      <c r="U21" s="217">
        <f>SUM(U17:U20)</f>
        <v>186.86359999999999</v>
      </c>
      <c r="V21" s="216"/>
    </row>
    <row r="23" spans="1:22" ht="19.5" customHeight="1" x14ac:dyDescent="0.35">
      <c r="A23" s="325" t="s">
        <v>655</v>
      </c>
      <c r="B23" s="325"/>
      <c r="C23" s="325"/>
      <c r="D23" s="325"/>
      <c r="E23" s="325"/>
      <c r="F23" s="325"/>
      <c r="G23" s="325"/>
      <c r="H23" s="325"/>
      <c r="I23" s="325"/>
      <c r="J23" s="325"/>
      <c r="K23" s="325"/>
      <c r="L23" s="325"/>
      <c r="M23" s="325"/>
      <c r="N23" s="325"/>
      <c r="O23" s="325"/>
      <c r="P23" s="325"/>
      <c r="Q23" s="325"/>
      <c r="R23" s="325"/>
      <c r="S23" s="325"/>
      <c r="T23" s="325"/>
      <c r="U23" s="325"/>
      <c r="V23" s="325"/>
    </row>
    <row r="24" spans="1:22" ht="21.75" customHeight="1" x14ac:dyDescent="0.35">
      <c r="A24" s="196">
        <v>1</v>
      </c>
      <c r="B24" s="324" t="s">
        <v>656</v>
      </c>
      <c r="C24" s="324"/>
      <c r="D24" s="324"/>
      <c r="E24" s="324"/>
      <c r="F24" s="212" t="s">
        <v>46</v>
      </c>
      <c r="G24" s="198">
        <f>SUMIF(J10:J12,"3/8""",P10:P12)+T13</f>
        <v>2206.1195022222223</v>
      </c>
      <c r="H24" s="198">
        <f>SUMIF(J10:J12,"1/2""",P10:P12)</f>
        <v>317.71818399999995</v>
      </c>
      <c r="I24" s="220">
        <f>U13</f>
        <v>2523.8376862222221</v>
      </c>
    </row>
    <row r="25" spans="1:22" ht="21.75" customHeight="1" x14ac:dyDescent="0.35">
      <c r="A25" s="196">
        <v>2</v>
      </c>
      <c r="B25" s="324" t="s">
        <v>1124</v>
      </c>
      <c r="C25" s="324"/>
      <c r="D25" s="324"/>
      <c r="E25" s="324"/>
      <c r="F25" s="212" t="s">
        <v>46</v>
      </c>
      <c r="G25" s="198">
        <f>SUMIF(C17:C20,"3/8*",U17:U20)</f>
        <v>53.468800000000009</v>
      </c>
      <c r="H25" s="198">
        <f>SUMIF(C17:C20,"1/2*",U17:U20)</f>
        <v>133.3948</v>
      </c>
      <c r="I25" s="220">
        <f>U21</f>
        <v>186.86359999999999</v>
      </c>
    </row>
  </sheetData>
  <mergeCells count="14">
    <mergeCell ref="A1:V1"/>
    <mergeCell ref="A2:B2"/>
    <mergeCell ref="C2:V2"/>
    <mergeCell ref="A3:B3"/>
    <mergeCell ref="C3:V3"/>
    <mergeCell ref="A15:V15"/>
    <mergeCell ref="A23:V23"/>
    <mergeCell ref="B24:E24"/>
    <mergeCell ref="B25:E25"/>
    <mergeCell ref="A4:B4"/>
    <mergeCell ref="C4:V4"/>
    <mergeCell ref="A5:B5"/>
    <mergeCell ref="C5:V5"/>
    <mergeCell ref="A7:V7"/>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0"/>
  <sheetViews>
    <sheetView zoomScaleNormal="100" workbookViewId="0"/>
  </sheetViews>
  <sheetFormatPr baseColWidth="10" defaultColWidth="8.7265625" defaultRowHeight="14.5" x14ac:dyDescent="0.35"/>
  <cols>
    <col min="1" max="1" width="5" customWidth="1"/>
    <col min="2" max="2" width="40" customWidth="1"/>
    <col min="3" max="3" width="12" customWidth="1"/>
    <col min="4" max="4" width="46" customWidth="1"/>
    <col min="5" max="5" width="12" customWidth="1"/>
    <col min="6" max="6" width="50" customWidth="1"/>
  </cols>
  <sheetData>
    <row r="1" spans="1:6" ht="27" customHeight="1" x14ac:dyDescent="0.35">
      <c r="A1" s="319" t="s">
        <v>657</v>
      </c>
      <c r="B1" s="319"/>
      <c r="C1" s="319"/>
      <c r="D1" s="319"/>
      <c r="E1" s="319"/>
      <c r="F1" s="319"/>
    </row>
    <row r="2" spans="1:6" ht="24.75" customHeight="1" x14ac:dyDescent="0.35">
      <c r="A2" s="315" t="s">
        <v>1</v>
      </c>
      <c r="B2" s="315"/>
      <c r="C2" s="316" t="str">
        <f>+RESUMEN!B4</f>
        <v>GERENCIA TERRITORIAL BAJO MAYO - TARAPOTO</v>
      </c>
      <c r="D2" s="316"/>
      <c r="E2" s="316"/>
      <c r="F2" s="316"/>
    </row>
    <row r="3" spans="1:6"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row>
    <row r="4" spans="1:6" ht="24.75" customHeight="1" x14ac:dyDescent="0.35">
      <c r="A4" s="315" t="s">
        <v>5</v>
      </c>
      <c r="B4" s="315"/>
      <c r="C4" s="316" t="str">
        <f>+RESUMEN!B6</f>
        <v>SAN MARTIN - SAN MARTIN - MORALES</v>
      </c>
      <c r="D4" s="316"/>
      <c r="E4" s="316"/>
      <c r="F4" s="316"/>
    </row>
    <row r="5" spans="1:6" ht="24.75" customHeight="1" x14ac:dyDescent="0.35">
      <c r="A5" s="315" t="s">
        <v>7</v>
      </c>
      <c r="B5" s="315"/>
      <c r="C5" s="317">
        <f>+RESUMEN!B7</f>
        <v>46266</v>
      </c>
      <c r="D5" s="317"/>
      <c r="E5" s="317"/>
      <c r="F5" s="317"/>
    </row>
    <row r="7" spans="1:6" ht="48" customHeight="1" x14ac:dyDescent="0.35">
      <c r="A7" s="318" t="s">
        <v>1138</v>
      </c>
      <c r="B7" s="318"/>
      <c r="C7" s="318"/>
      <c r="D7" s="318"/>
      <c r="E7" s="318"/>
      <c r="F7" s="318"/>
    </row>
    <row r="9" spans="1:6" ht="30" customHeight="1" x14ac:dyDescent="0.35">
      <c r="A9" s="195" t="s">
        <v>275</v>
      </c>
      <c r="B9" s="195" t="s">
        <v>658</v>
      </c>
      <c r="C9" s="195" t="s">
        <v>659</v>
      </c>
      <c r="D9" s="195" t="s">
        <v>660</v>
      </c>
      <c r="E9" s="195" t="s">
        <v>661</v>
      </c>
      <c r="F9" s="195" t="s">
        <v>445</v>
      </c>
    </row>
    <row r="10" spans="1:6" ht="24" customHeight="1" x14ac:dyDescent="0.35">
      <c r="A10" s="196">
        <v>1</v>
      </c>
      <c r="B10" s="196" t="s">
        <v>662</v>
      </c>
      <c r="C10" s="196" t="s">
        <v>663</v>
      </c>
      <c r="D10" s="112" t="s">
        <v>664</v>
      </c>
      <c r="E10" s="222">
        <v>1</v>
      </c>
      <c r="F10" s="199" t="s">
        <v>665</v>
      </c>
    </row>
    <row r="11" spans="1:6" ht="24" customHeight="1" x14ac:dyDescent="0.35">
      <c r="A11" s="196">
        <v>2</v>
      </c>
      <c r="B11" s="196" t="s">
        <v>666</v>
      </c>
      <c r="C11" s="196" t="s">
        <v>667</v>
      </c>
      <c r="D11" s="112" t="s">
        <v>668</v>
      </c>
      <c r="E11" s="222">
        <v>1</v>
      </c>
      <c r="F11" s="199" t="s">
        <v>665</v>
      </c>
    </row>
    <row r="12" spans="1:6" ht="24" customHeight="1" x14ac:dyDescent="0.35">
      <c r="A12" s="196">
        <v>3</v>
      </c>
      <c r="B12" s="196" t="s">
        <v>669</v>
      </c>
      <c r="C12" s="196" t="s">
        <v>670</v>
      </c>
      <c r="D12" s="112" t="s">
        <v>671</v>
      </c>
      <c r="E12" s="222">
        <v>1</v>
      </c>
      <c r="F12" s="199" t="s">
        <v>665</v>
      </c>
    </row>
    <row r="13" spans="1:6" ht="24" customHeight="1" x14ac:dyDescent="0.35">
      <c r="A13" s="196">
        <v>4</v>
      </c>
      <c r="B13" s="196" t="s">
        <v>672</v>
      </c>
      <c r="C13" s="196" t="s">
        <v>673</v>
      </c>
      <c r="D13" s="112" t="s">
        <v>668</v>
      </c>
      <c r="E13" s="222">
        <v>1</v>
      </c>
      <c r="F13" s="199" t="s">
        <v>665</v>
      </c>
    </row>
    <row r="14" spans="1:6" ht="24" customHeight="1" x14ac:dyDescent="0.35">
      <c r="A14" s="196">
        <v>5</v>
      </c>
      <c r="B14" s="196" t="s">
        <v>674</v>
      </c>
      <c r="C14" s="196" t="s">
        <v>675</v>
      </c>
      <c r="D14" s="112" t="s">
        <v>668</v>
      </c>
      <c r="E14" s="222">
        <v>1</v>
      </c>
      <c r="F14" s="199" t="s">
        <v>665</v>
      </c>
    </row>
    <row r="15" spans="1:6" ht="24" customHeight="1" x14ac:dyDescent="0.35">
      <c r="A15" s="196">
        <v>6</v>
      </c>
      <c r="B15" s="196" t="s">
        <v>676</v>
      </c>
      <c r="C15" s="196" t="s">
        <v>677</v>
      </c>
      <c r="D15" s="112" t="s">
        <v>678</v>
      </c>
      <c r="E15" s="222">
        <v>1</v>
      </c>
      <c r="F15" s="199" t="s">
        <v>665</v>
      </c>
    </row>
    <row r="16" spans="1:6" ht="24" customHeight="1" x14ac:dyDescent="0.35">
      <c r="A16" s="196">
        <v>7</v>
      </c>
      <c r="B16" s="196" t="s">
        <v>679</v>
      </c>
      <c r="C16" s="196" t="s">
        <v>680</v>
      </c>
      <c r="D16" s="112" t="s">
        <v>668</v>
      </c>
      <c r="E16" s="222">
        <v>1</v>
      </c>
      <c r="F16" s="199" t="s">
        <v>665</v>
      </c>
    </row>
    <row r="17" spans="1:6" ht="24" customHeight="1" x14ac:dyDescent="0.35">
      <c r="A17" s="196">
        <v>8</v>
      </c>
      <c r="B17" s="196" t="s">
        <v>681</v>
      </c>
      <c r="C17" s="196" t="s">
        <v>682</v>
      </c>
      <c r="D17" s="112" t="s">
        <v>668</v>
      </c>
      <c r="E17" s="222">
        <v>1</v>
      </c>
      <c r="F17" s="199" t="s">
        <v>665</v>
      </c>
    </row>
    <row r="18" spans="1:6" ht="24" customHeight="1" x14ac:dyDescent="0.35">
      <c r="A18" s="196">
        <v>9</v>
      </c>
      <c r="B18" s="196" t="s">
        <v>683</v>
      </c>
      <c r="C18" s="196" t="s">
        <v>684</v>
      </c>
      <c r="D18" s="112" t="s">
        <v>685</v>
      </c>
      <c r="E18" s="222">
        <v>1</v>
      </c>
      <c r="F18" s="199" t="s">
        <v>665</v>
      </c>
    </row>
    <row r="19" spans="1:6" ht="24" customHeight="1" x14ac:dyDescent="0.35">
      <c r="A19" s="196">
        <v>10</v>
      </c>
      <c r="B19" s="196" t="s">
        <v>686</v>
      </c>
      <c r="C19" s="196" t="s">
        <v>687</v>
      </c>
      <c r="D19" s="112" t="s">
        <v>668</v>
      </c>
      <c r="E19" s="222">
        <v>1</v>
      </c>
      <c r="F19" s="199" t="s">
        <v>665</v>
      </c>
    </row>
    <row r="20" spans="1:6" ht="24" customHeight="1" x14ac:dyDescent="0.35">
      <c r="A20" s="196">
        <v>11</v>
      </c>
      <c r="B20" s="196" t="s">
        <v>688</v>
      </c>
      <c r="C20" s="196" t="s">
        <v>577</v>
      </c>
      <c r="D20" s="112" t="s">
        <v>689</v>
      </c>
      <c r="E20" s="222">
        <v>1</v>
      </c>
      <c r="F20" s="199" t="s">
        <v>665</v>
      </c>
    </row>
    <row r="21" spans="1:6" ht="21.75" customHeight="1" x14ac:dyDescent="0.35">
      <c r="A21" s="215" t="s">
        <v>690</v>
      </c>
      <c r="B21" s="216"/>
      <c r="C21" s="216"/>
      <c r="D21" s="216"/>
      <c r="E21" s="223">
        <f>SUM(E10:E20)</f>
        <v>11</v>
      </c>
      <c r="F21" s="216"/>
    </row>
    <row r="23" spans="1:6" ht="19.5" customHeight="1" x14ac:dyDescent="0.35">
      <c r="A23" s="325" t="s">
        <v>691</v>
      </c>
      <c r="B23" s="325"/>
      <c r="C23" s="325"/>
      <c r="D23" s="325"/>
      <c r="E23" s="325"/>
      <c r="F23" s="325"/>
    </row>
    <row r="24" spans="1:6" ht="30" customHeight="1" x14ac:dyDescent="0.35">
      <c r="A24" s="195" t="s">
        <v>275</v>
      </c>
      <c r="B24" s="195" t="s">
        <v>692</v>
      </c>
      <c r="C24" s="195" t="s">
        <v>137</v>
      </c>
      <c r="D24" s="195" t="s">
        <v>693</v>
      </c>
      <c r="E24" s="195" t="s">
        <v>136</v>
      </c>
      <c r="F24" s="195" t="s">
        <v>445</v>
      </c>
    </row>
    <row r="25" spans="1:6" ht="30" customHeight="1" x14ac:dyDescent="0.35">
      <c r="A25" s="196">
        <v>1</v>
      </c>
      <c r="B25" s="112" t="s">
        <v>1127</v>
      </c>
      <c r="C25" s="212" t="s">
        <v>55</v>
      </c>
      <c r="D25" s="196" t="s">
        <v>694</v>
      </c>
      <c r="E25" s="220">
        <f>E21</f>
        <v>11</v>
      </c>
      <c r="F25" s="199" t="s">
        <v>1128</v>
      </c>
    </row>
    <row r="26" spans="1:6" ht="30" customHeight="1" x14ac:dyDescent="0.35">
      <c r="A26" s="196">
        <v>2</v>
      </c>
      <c r="B26" s="112" t="s">
        <v>1129</v>
      </c>
      <c r="C26" s="212" t="s">
        <v>153</v>
      </c>
      <c r="D26" s="196" t="s">
        <v>1130</v>
      </c>
      <c r="E26" s="220">
        <f>E21*'COLECTOR PARAMETROS'!$C$35*'COLECTOR PARAMETROS'!$C$32</f>
        <v>2.3936000000000002</v>
      </c>
      <c r="F26" s="199" t="s">
        <v>1128</v>
      </c>
    </row>
    <row r="27" spans="1:6" ht="30" customHeight="1" x14ac:dyDescent="0.35">
      <c r="A27" s="196">
        <v>3</v>
      </c>
      <c r="B27" s="112" t="s">
        <v>1131</v>
      </c>
      <c r="C27" s="212" t="s">
        <v>46</v>
      </c>
      <c r="D27" s="196" t="s">
        <v>1132</v>
      </c>
      <c r="E27" s="220">
        <f>'COLECTOR ACERO'!U18+'COLECTOR ACERO'!U19</f>
        <v>64.402800000000013</v>
      </c>
      <c r="F27" s="199" t="s">
        <v>1133</v>
      </c>
    </row>
    <row r="28" spans="1:6" ht="30" customHeight="1" x14ac:dyDescent="0.35">
      <c r="A28" s="196">
        <v>4</v>
      </c>
      <c r="B28" s="112" t="s">
        <v>695</v>
      </c>
      <c r="C28" s="212" t="s">
        <v>152</v>
      </c>
      <c r="D28" s="196" t="s">
        <v>696</v>
      </c>
      <c r="E28" s="220">
        <f>E21*'COLECTOR PARAMETROS'!$C$31*'COLECTOR PARAMETROS'!$C$31*'COLECTOR PARAMETROS'!$C$32</f>
        <v>0.40691200000000005</v>
      </c>
      <c r="F28" s="199" t="s">
        <v>1128</v>
      </c>
    </row>
    <row r="29" spans="1:6" ht="30" customHeight="1" x14ac:dyDescent="0.35">
      <c r="A29" s="196">
        <v>5</v>
      </c>
      <c r="B29" s="112" t="s">
        <v>1134</v>
      </c>
      <c r="C29" s="212" t="s">
        <v>55</v>
      </c>
      <c r="D29" s="196" t="s">
        <v>1135</v>
      </c>
      <c r="E29" s="220">
        <f>E21</f>
        <v>11</v>
      </c>
      <c r="F29" s="199" t="s">
        <v>1136</v>
      </c>
    </row>
    <row r="30" spans="1:6" ht="30" customHeight="1" x14ac:dyDescent="0.35">
      <c r="A30" s="196">
        <v>6</v>
      </c>
      <c r="B30" s="112" t="s">
        <v>1137</v>
      </c>
      <c r="C30" s="212" t="s">
        <v>55</v>
      </c>
      <c r="D30" s="196" t="s">
        <v>694</v>
      </c>
      <c r="E30" s="220">
        <f>E21</f>
        <v>11</v>
      </c>
      <c r="F30" s="199" t="s">
        <v>1128</v>
      </c>
    </row>
  </sheetData>
  <mergeCells count="11">
    <mergeCell ref="A1:F1"/>
    <mergeCell ref="A2:B2"/>
    <mergeCell ref="C2:F2"/>
    <mergeCell ref="A3:B3"/>
    <mergeCell ref="C3:F3"/>
    <mergeCell ref="A23:F23"/>
    <mergeCell ref="A4:B4"/>
    <mergeCell ref="C4:F4"/>
    <mergeCell ref="A5:B5"/>
    <mergeCell ref="C5:F5"/>
    <mergeCell ref="A7:F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6"/>
  <sheetViews>
    <sheetView zoomScaleNormal="100" workbookViewId="0"/>
  </sheetViews>
  <sheetFormatPr baseColWidth="10" defaultColWidth="8.7265625" defaultRowHeight="14.5" x14ac:dyDescent="0.35"/>
  <cols>
    <col min="1" max="1" width="5" customWidth="1"/>
    <col min="2" max="2" width="48" customWidth="1"/>
    <col min="3" max="3" width="22" customWidth="1"/>
    <col min="4" max="4" width="9" customWidth="1"/>
    <col min="5" max="6" width="12" customWidth="1"/>
    <col min="7" max="7" width="52" customWidth="1"/>
  </cols>
  <sheetData>
    <row r="1" spans="1:7" ht="27" customHeight="1" x14ac:dyDescent="0.35">
      <c r="A1" s="319" t="s">
        <v>697</v>
      </c>
      <c r="B1" s="319"/>
      <c r="C1" s="319"/>
      <c r="D1" s="319"/>
      <c r="E1" s="319"/>
      <c r="F1" s="319"/>
      <c r="G1" s="319"/>
    </row>
    <row r="2" spans="1:7" ht="24.75" customHeight="1" x14ac:dyDescent="0.35">
      <c r="A2" s="315" t="s">
        <v>1</v>
      </c>
      <c r="B2" s="315"/>
      <c r="C2" s="316" t="str">
        <f>+RESUMEN!B4</f>
        <v>GERENCIA TERRITORIAL BAJO MAYO - TARAPOTO</v>
      </c>
      <c r="D2" s="316"/>
      <c r="E2" s="316"/>
      <c r="F2" s="316"/>
      <c r="G2" s="316"/>
    </row>
    <row r="3" spans="1:7"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row>
    <row r="4" spans="1:7" ht="24.75" customHeight="1" x14ac:dyDescent="0.35">
      <c r="A4" s="315" t="s">
        <v>5</v>
      </c>
      <c r="B4" s="315"/>
      <c r="C4" s="316" t="str">
        <f>+RESUMEN!B6</f>
        <v>SAN MARTIN - SAN MARTIN - MORALES</v>
      </c>
      <c r="D4" s="316"/>
      <c r="E4" s="316"/>
      <c r="F4" s="316"/>
      <c r="G4" s="316"/>
    </row>
    <row r="5" spans="1:7" ht="24.75" customHeight="1" x14ac:dyDescent="0.35">
      <c r="A5" s="315" t="s">
        <v>7</v>
      </c>
      <c r="B5" s="315"/>
      <c r="C5" s="317">
        <f>+RESUMEN!B7</f>
        <v>46266</v>
      </c>
      <c r="D5" s="317"/>
      <c r="E5" s="317"/>
      <c r="F5" s="317"/>
      <c r="G5" s="317"/>
    </row>
    <row r="7" spans="1:7" ht="48" customHeight="1" x14ac:dyDescent="0.35">
      <c r="A7" s="318" t="s">
        <v>771</v>
      </c>
      <c r="B7" s="318"/>
      <c r="C7" s="318"/>
      <c r="D7" s="318"/>
      <c r="E7" s="318"/>
      <c r="F7" s="318"/>
      <c r="G7" s="318"/>
    </row>
    <row r="9" spans="1:7" ht="30" customHeight="1" x14ac:dyDescent="0.35">
      <c r="A9" s="195" t="s">
        <v>275</v>
      </c>
      <c r="B9" s="195" t="s">
        <v>599</v>
      </c>
      <c r="C9" s="195" t="s">
        <v>698</v>
      </c>
      <c r="D9" s="195" t="s">
        <v>203</v>
      </c>
      <c r="E9" s="195" t="s">
        <v>232</v>
      </c>
      <c r="F9" s="195" t="s">
        <v>699</v>
      </c>
      <c r="G9" s="195" t="s">
        <v>445</v>
      </c>
    </row>
    <row r="10" spans="1:7" ht="19.5" customHeight="1" x14ac:dyDescent="0.35">
      <c r="A10" s="325" t="s">
        <v>772</v>
      </c>
      <c r="B10" s="325"/>
      <c r="C10" s="325"/>
      <c r="D10" s="325"/>
      <c r="E10" s="325"/>
      <c r="F10" s="325"/>
      <c r="G10" s="325"/>
    </row>
    <row r="11" spans="1:7" ht="30" customHeight="1" x14ac:dyDescent="0.35">
      <c r="A11" s="196">
        <v>1</v>
      </c>
      <c r="B11" s="112" t="s">
        <v>700</v>
      </c>
      <c r="C11" s="224" t="str">
        <f>"n = ENTERO("&amp;TEXT('COLECTOR PARAMETROS'!$C$46,"0.00")&amp;" / 4.00)"</f>
        <v>n = ENTERO(105.29 / 4.00)</v>
      </c>
      <c r="D11" s="221">
        <f>INT('COLECTOR PARAMETROS'!$C$46/'COLECTOR PARAMETROS'!$C$44)</f>
        <v>26</v>
      </c>
      <c r="E11" s="198">
        <f>2*('COLECTOR PARAMETROS'!$C$10+2*'COLECTOR PARAMETROS'!$C$11)+2*('COLECTOR PARAMETROS'!$C$12+'COLECTOR PARAMETROS'!$C$45+'COLECTOR PARAMETROS'!$C$13)</f>
        <v>4.6399999999999997</v>
      </c>
      <c r="F11" s="198">
        <f>D11*E11</f>
        <v>120.63999999999999</v>
      </c>
      <c r="G11" s="199" t="s">
        <v>701</v>
      </c>
    </row>
    <row r="12" spans="1:7" ht="21.75" customHeight="1" x14ac:dyDescent="0.35">
      <c r="A12" s="215" t="s">
        <v>702</v>
      </c>
      <c r="B12" s="225"/>
      <c r="C12" s="216"/>
      <c r="D12" s="216"/>
      <c r="E12" s="216"/>
      <c r="F12" s="217">
        <f>SUM(F11:F11)</f>
        <v>120.63999999999999</v>
      </c>
      <c r="G12" s="216"/>
    </row>
    <row r="13" spans="1:7" x14ac:dyDescent="0.35">
      <c r="B13" s="226"/>
    </row>
    <row r="14" spans="1:7" ht="19.5" customHeight="1" x14ac:dyDescent="0.35">
      <c r="A14" s="325" t="s">
        <v>773</v>
      </c>
      <c r="B14" s="325"/>
      <c r="C14" s="325"/>
      <c r="D14" s="325"/>
      <c r="E14" s="325"/>
      <c r="F14" s="325"/>
      <c r="G14" s="325"/>
    </row>
    <row r="15" spans="1:7" ht="30" customHeight="1" x14ac:dyDescent="0.35">
      <c r="A15" s="196">
        <v>1</v>
      </c>
      <c r="B15" s="112" t="s">
        <v>774</v>
      </c>
      <c r="C15" s="224" t="s">
        <v>473</v>
      </c>
      <c r="D15" s="222">
        <v>0</v>
      </c>
      <c r="E15" s="198">
        <f>'COLECTOR PARAMETROS'!$C$46</f>
        <v>105.29</v>
      </c>
      <c r="F15" s="198">
        <f>D15*E15</f>
        <v>0</v>
      </c>
      <c r="G15" s="199" t="s">
        <v>775</v>
      </c>
    </row>
    <row r="16" spans="1:7" ht="30" customHeight="1" x14ac:dyDescent="0.35">
      <c r="A16" s="196">
        <v>2</v>
      </c>
      <c r="B16" s="112" t="s">
        <v>703</v>
      </c>
      <c r="C16" s="196" t="s">
        <v>579</v>
      </c>
      <c r="D16" s="222">
        <v>1</v>
      </c>
      <c r="E16" s="198">
        <f>2*('COLECTOR PARAMETROS'!$C$10+2*'COLECTOR PARAMETROS'!$C$11)+2*('COLECTOR PARAMETROS'!$C$12+'COLECTOR PARAMETROS'!$C$45+'COLECTOR PARAMETROS'!$C$13)</f>
        <v>4.6399999999999997</v>
      </c>
      <c r="F16" s="198">
        <f>D16*E16</f>
        <v>4.6399999999999997</v>
      </c>
      <c r="G16" s="199" t="s">
        <v>776</v>
      </c>
    </row>
    <row r="17" spans="1:7" ht="21.75" customHeight="1" x14ac:dyDescent="0.35">
      <c r="A17" s="215" t="s">
        <v>777</v>
      </c>
      <c r="B17" s="225"/>
      <c r="C17" s="216"/>
      <c r="D17" s="216"/>
      <c r="E17" s="216"/>
      <c r="F17" s="217">
        <f>SUM(F15:F16)</f>
        <v>4.6399999999999997</v>
      </c>
      <c r="G17" s="216"/>
    </row>
    <row r="18" spans="1:7" x14ac:dyDescent="0.35">
      <c r="B18" s="226"/>
    </row>
    <row r="19" spans="1:7" ht="19.5" customHeight="1" x14ac:dyDescent="0.35">
      <c r="A19" s="325" t="s">
        <v>704</v>
      </c>
      <c r="B19" s="325"/>
      <c r="C19" s="325"/>
      <c r="D19" s="325"/>
      <c r="E19" s="325"/>
      <c r="F19" s="325"/>
      <c r="G19" s="325"/>
    </row>
    <row r="20" spans="1:7" ht="24" customHeight="1" x14ac:dyDescent="0.35">
      <c r="A20" s="196">
        <v>1</v>
      </c>
      <c r="B20" s="112" t="s">
        <v>705</v>
      </c>
      <c r="C20" s="196" t="s">
        <v>663</v>
      </c>
      <c r="D20" s="222">
        <v>1</v>
      </c>
      <c r="E20" s="22"/>
      <c r="F20" s="221">
        <f>D20</f>
        <v>1</v>
      </c>
      <c r="G20" s="199" t="s">
        <v>706</v>
      </c>
    </row>
    <row r="21" spans="1:7" ht="24" customHeight="1" x14ac:dyDescent="0.35">
      <c r="A21" s="196">
        <v>2</v>
      </c>
      <c r="B21" s="112" t="s">
        <v>707</v>
      </c>
      <c r="C21" s="196" t="s">
        <v>670</v>
      </c>
      <c r="D21" s="222">
        <v>1</v>
      </c>
      <c r="E21" s="22"/>
      <c r="F21" s="221">
        <f>D21</f>
        <v>1</v>
      </c>
      <c r="G21" s="199" t="s">
        <v>706</v>
      </c>
    </row>
    <row r="22" spans="1:7" ht="24" customHeight="1" x14ac:dyDescent="0.35">
      <c r="A22" s="196">
        <v>3</v>
      </c>
      <c r="B22" s="112" t="s">
        <v>708</v>
      </c>
      <c r="C22" s="196" t="s">
        <v>677</v>
      </c>
      <c r="D22" s="222">
        <v>1</v>
      </c>
      <c r="E22" s="22"/>
      <c r="F22" s="221">
        <f>D22</f>
        <v>1</v>
      </c>
      <c r="G22" s="199" t="s">
        <v>706</v>
      </c>
    </row>
    <row r="23" spans="1:7" ht="24" customHeight="1" x14ac:dyDescent="0.35">
      <c r="A23" s="196">
        <v>4</v>
      </c>
      <c r="B23" s="112" t="s">
        <v>709</v>
      </c>
      <c r="C23" s="196" t="s">
        <v>684</v>
      </c>
      <c r="D23" s="222">
        <v>1</v>
      </c>
      <c r="E23" s="22"/>
      <c r="F23" s="221">
        <f>D23</f>
        <v>1</v>
      </c>
      <c r="G23" s="199" t="s">
        <v>706</v>
      </c>
    </row>
    <row r="24" spans="1:7" ht="21.75" customHeight="1" x14ac:dyDescent="0.35">
      <c r="A24" s="215" t="s">
        <v>710</v>
      </c>
      <c r="B24" s="225"/>
      <c r="C24" s="216"/>
      <c r="D24" s="216"/>
      <c r="E24" s="216"/>
      <c r="F24" s="223">
        <f>SUM(F20:F23)</f>
        <v>4</v>
      </c>
      <c r="G24" s="216"/>
    </row>
    <row r="26" spans="1:7" ht="33.75" customHeight="1" x14ac:dyDescent="0.35">
      <c r="A26" s="314" t="s">
        <v>711</v>
      </c>
      <c r="B26" s="314"/>
      <c r="C26" s="314"/>
      <c r="D26" s="314"/>
      <c r="E26" s="314"/>
      <c r="F26" s="314"/>
      <c r="G26" s="314"/>
    </row>
  </sheetData>
  <mergeCells count="14">
    <mergeCell ref="A1:G1"/>
    <mergeCell ref="A2:B2"/>
    <mergeCell ref="C2:G2"/>
    <mergeCell ref="A3:B3"/>
    <mergeCell ref="C3:G3"/>
    <mergeCell ref="A10:G10"/>
    <mergeCell ref="A14:G14"/>
    <mergeCell ref="A19:G19"/>
    <mergeCell ref="A26:G26"/>
    <mergeCell ref="A4:B4"/>
    <mergeCell ref="C4:G4"/>
    <mergeCell ref="A5:B5"/>
    <mergeCell ref="C5:G5"/>
    <mergeCell ref="A7:G7"/>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76"/>
  <sheetViews>
    <sheetView topLeftCell="A6" zoomScaleNormal="100" workbookViewId="0">
      <selection activeCell="H9" sqref="H9"/>
    </sheetView>
  </sheetViews>
  <sheetFormatPr baseColWidth="10" defaultColWidth="8.7265625" defaultRowHeight="14.5" x14ac:dyDescent="0.35"/>
  <cols>
    <col min="1" max="1" width="5" customWidth="1"/>
    <col min="2" max="2" width="44" customWidth="1"/>
    <col min="3" max="3" width="8" customWidth="1"/>
    <col min="4" max="4" width="12" customWidth="1"/>
    <col min="5" max="5" width="44" customWidth="1"/>
    <col min="6" max="6" width="10" customWidth="1"/>
    <col min="7" max="7" width="17" customWidth="1"/>
    <col min="8" max="8" width="14" customWidth="1"/>
  </cols>
  <sheetData>
    <row r="1" spans="1:8" ht="27" customHeight="1" x14ac:dyDescent="0.35">
      <c r="A1" s="319" t="s">
        <v>712</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48" customHeight="1" x14ac:dyDescent="0.35">
      <c r="A7" s="318" t="s">
        <v>713</v>
      </c>
      <c r="B7" s="318"/>
      <c r="C7" s="318"/>
      <c r="D7" s="318"/>
      <c r="E7" s="318"/>
      <c r="F7" s="318"/>
      <c r="G7" s="318"/>
      <c r="H7" s="318"/>
    </row>
    <row r="9" spans="1:8" ht="39.75" customHeight="1" x14ac:dyDescent="0.35">
      <c r="A9" s="195" t="s">
        <v>275</v>
      </c>
      <c r="B9" s="195" t="s">
        <v>692</v>
      </c>
      <c r="C9" s="195" t="s">
        <v>137</v>
      </c>
      <c r="D9" s="195" t="s">
        <v>714</v>
      </c>
      <c r="E9" s="195" t="s">
        <v>715</v>
      </c>
      <c r="F9" s="195" t="s">
        <v>716</v>
      </c>
      <c r="G9" s="195" t="s">
        <v>717</v>
      </c>
      <c r="H9" s="195" t="s">
        <v>718</v>
      </c>
    </row>
    <row r="10" spans="1:8" ht="19.5" customHeight="1" x14ac:dyDescent="0.35">
      <c r="A10" s="196">
        <v>1</v>
      </c>
      <c r="B10" s="219" t="s">
        <v>785</v>
      </c>
      <c r="C10" s="212" t="s">
        <v>152</v>
      </c>
      <c r="D10" s="198">
        <f>SUM('PLANILLA GENERAL DE METRADOS'!J177:J179)</f>
        <v>14.214149999999997</v>
      </c>
      <c r="E10" s="219" t="s">
        <v>719</v>
      </c>
      <c r="F10" s="212" t="s">
        <v>720</v>
      </c>
      <c r="G10" s="211">
        <v>9.73</v>
      </c>
      <c r="H10" s="220">
        <f t="shared" ref="H10:H18" si="0">G10*$D$10</f>
        <v>138.30367949999996</v>
      </c>
    </row>
    <row r="11" spans="1:8" ht="19.5" customHeight="1" x14ac:dyDescent="0.35">
      <c r="A11" s="22"/>
      <c r="B11" s="227"/>
      <c r="C11" s="22"/>
      <c r="D11" s="22"/>
      <c r="E11" s="219" t="s">
        <v>721</v>
      </c>
      <c r="F11" s="212" t="s">
        <v>152</v>
      </c>
      <c r="G11" s="211">
        <v>0.52</v>
      </c>
      <c r="H11" s="220">
        <f t="shared" si="0"/>
        <v>7.3913579999999985</v>
      </c>
    </row>
    <row r="12" spans="1:8" ht="19.5" customHeight="1" x14ac:dyDescent="0.35">
      <c r="A12" s="22"/>
      <c r="B12" s="227"/>
      <c r="C12" s="22"/>
      <c r="D12" s="22"/>
      <c r="E12" s="219" t="s">
        <v>722</v>
      </c>
      <c r="F12" s="212" t="s">
        <v>152</v>
      </c>
      <c r="G12" s="211">
        <v>0.53</v>
      </c>
      <c r="H12" s="220">
        <f t="shared" si="0"/>
        <v>7.5334994999999987</v>
      </c>
    </row>
    <row r="13" spans="1:8" ht="19.5" customHeight="1" x14ac:dyDescent="0.35">
      <c r="A13" s="22"/>
      <c r="B13" s="227"/>
      <c r="C13" s="22"/>
      <c r="D13" s="22"/>
      <c r="E13" s="219" t="s">
        <v>723</v>
      </c>
      <c r="F13" s="212" t="s">
        <v>152</v>
      </c>
      <c r="G13" s="211">
        <v>0.186</v>
      </c>
      <c r="H13" s="220">
        <f t="shared" si="0"/>
        <v>2.6438318999999995</v>
      </c>
    </row>
    <row r="14" spans="1:8" ht="19.5" customHeight="1" x14ac:dyDescent="0.35">
      <c r="A14" s="22"/>
      <c r="B14" s="227"/>
      <c r="C14" s="22"/>
      <c r="D14" s="22"/>
      <c r="E14" s="219" t="s">
        <v>724</v>
      </c>
      <c r="F14" s="212" t="s">
        <v>725</v>
      </c>
      <c r="G14" s="211">
        <v>0.8</v>
      </c>
      <c r="H14" s="220">
        <f t="shared" si="0"/>
        <v>11.371319999999997</v>
      </c>
    </row>
    <row r="15" spans="1:8" ht="19.5" customHeight="1" x14ac:dyDescent="0.35">
      <c r="A15" s="22"/>
      <c r="B15" s="227"/>
      <c r="C15" s="22"/>
      <c r="D15" s="22"/>
      <c r="E15" s="219" t="s">
        <v>726</v>
      </c>
      <c r="F15" s="212" t="s">
        <v>725</v>
      </c>
      <c r="G15" s="211">
        <v>0.8</v>
      </c>
      <c r="H15" s="220">
        <f t="shared" si="0"/>
        <v>11.371319999999997</v>
      </c>
    </row>
    <row r="16" spans="1:8" ht="19.5" customHeight="1" x14ac:dyDescent="0.35">
      <c r="A16" s="22"/>
      <c r="B16" s="227"/>
      <c r="C16" s="22"/>
      <c r="D16" s="22"/>
      <c r="E16" s="219" t="s">
        <v>727</v>
      </c>
      <c r="F16" s="212" t="s">
        <v>728</v>
      </c>
      <c r="G16" s="211">
        <v>0.8</v>
      </c>
      <c r="H16" s="220">
        <f t="shared" si="0"/>
        <v>11.371319999999997</v>
      </c>
    </row>
    <row r="17" spans="1:8" ht="19.5" customHeight="1" x14ac:dyDescent="0.35">
      <c r="A17" s="22"/>
      <c r="B17" s="227"/>
      <c r="C17" s="22"/>
      <c r="D17" s="22"/>
      <c r="E17" s="219" t="s">
        <v>729</v>
      </c>
      <c r="F17" s="212" t="s">
        <v>728</v>
      </c>
      <c r="G17" s="211">
        <v>0.8</v>
      </c>
      <c r="H17" s="220">
        <f t="shared" si="0"/>
        <v>11.371319999999997</v>
      </c>
    </row>
    <row r="18" spans="1:8" ht="19.5" customHeight="1" x14ac:dyDescent="0.35">
      <c r="A18" s="22"/>
      <c r="B18" s="227"/>
      <c r="C18" s="22"/>
      <c r="D18" s="22"/>
      <c r="E18" s="219" t="s">
        <v>730</v>
      </c>
      <c r="F18" s="212" t="s">
        <v>728</v>
      </c>
      <c r="G18" s="211">
        <v>6.4</v>
      </c>
      <c r="H18" s="220">
        <f t="shared" si="0"/>
        <v>90.970559999999978</v>
      </c>
    </row>
    <row r="19" spans="1:8" ht="19.5" customHeight="1" x14ac:dyDescent="0.35">
      <c r="A19" s="196">
        <v>2</v>
      </c>
      <c r="B19" s="219" t="s">
        <v>786</v>
      </c>
      <c r="C19" s="212" t="s">
        <v>152</v>
      </c>
      <c r="D19" s="198">
        <f>SUM('PLANILLA GENERAL DE METRADOS'!J181:J183)</f>
        <v>31.550078999999997</v>
      </c>
      <c r="E19" s="219" t="s">
        <v>719</v>
      </c>
      <c r="F19" s="212" t="s">
        <v>720</v>
      </c>
      <c r="G19" s="211">
        <v>9.73</v>
      </c>
      <c r="H19" s="220">
        <f t="shared" ref="H19:H27" si="1">G19*$D$19</f>
        <v>306.98226867</v>
      </c>
    </row>
    <row r="20" spans="1:8" ht="19.5" customHeight="1" x14ac:dyDescent="0.35">
      <c r="A20" s="22"/>
      <c r="B20" s="227"/>
      <c r="C20" s="22"/>
      <c r="D20" s="22"/>
      <c r="E20" s="219" t="s">
        <v>721</v>
      </c>
      <c r="F20" s="212" t="s">
        <v>152</v>
      </c>
      <c r="G20" s="211">
        <v>0.52</v>
      </c>
      <c r="H20" s="220">
        <f t="shared" si="1"/>
        <v>16.406041079999998</v>
      </c>
    </row>
    <row r="21" spans="1:8" ht="19.5" customHeight="1" x14ac:dyDescent="0.35">
      <c r="A21" s="22"/>
      <c r="B21" s="227"/>
      <c r="C21" s="22"/>
      <c r="D21" s="22"/>
      <c r="E21" s="219" t="s">
        <v>722</v>
      </c>
      <c r="F21" s="212" t="s">
        <v>152</v>
      </c>
      <c r="G21" s="211">
        <v>0.53</v>
      </c>
      <c r="H21" s="220">
        <f t="shared" si="1"/>
        <v>16.721541869999999</v>
      </c>
    </row>
    <row r="22" spans="1:8" ht="19.5" customHeight="1" x14ac:dyDescent="0.35">
      <c r="A22" s="22"/>
      <c r="B22" s="227"/>
      <c r="C22" s="22"/>
      <c r="D22" s="22"/>
      <c r="E22" s="219" t="s">
        <v>723</v>
      </c>
      <c r="F22" s="212" t="s">
        <v>152</v>
      </c>
      <c r="G22" s="211">
        <v>0.186</v>
      </c>
      <c r="H22" s="220">
        <f t="shared" si="1"/>
        <v>5.8683146939999995</v>
      </c>
    </row>
    <row r="23" spans="1:8" ht="19.5" customHeight="1" x14ac:dyDescent="0.35">
      <c r="A23" s="22"/>
      <c r="B23" s="227"/>
      <c r="C23" s="22"/>
      <c r="D23" s="22"/>
      <c r="E23" s="219" t="s">
        <v>724</v>
      </c>
      <c r="F23" s="212" t="s">
        <v>725</v>
      </c>
      <c r="G23" s="211">
        <v>1</v>
      </c>
      <c r="H23" s="220">
        <f t="shared" si="1"/>
        <v>31.550078999999997</v>
      </c>
    </row>
    <row r="24" spans="1:8" ht="19.5" customHeight="1" x14ac:dyDescent="0.35">
      <c r="A24" s="22"/>
      <c r="B24" s="227"/>
      <c r="C24" s="22"/>
      <c r="D24" s="22"/>
      <c r="E24" s="219" t="s">
        <v>726</v>
      </c>
      <c r="F24" s="212" t="s">
        <v>725</v>
      </c>
      <c r="G24" s="211">
        <v>1</v>
      </c>
      <c r="H24" s="220">
        <f t="shared" si="1"/>
        <v>31.550078999999997</v>
      </c>
    </row>
    <row r="25" spans="1:8" ht="19.5" customHeight="1" x14ac:dyDescent="0.35">
      <c r="A25" s="22"/>
      <c r="B25" s="227"/>
      <c r="C25" s="22"/>
      <c r="D25" s="22"/>
      <c r="E25" s="219" t="s">
        <v>727</v>
      </c>
      <c r="F25" s="212" t="s">
        <v>728</v>
      </c>
      <c r="G25" s="211">
        <v>1</v>
      </c>
      <c r="H25" s="220">
        <f t="shared" si="1"/>
        <v>31.550078999999997</v>
      </c>
    </row>
    <row r="26" spans="1:8" ht="19.5" customHeight="1" x14ac:dyDescent="0.35">
      <c r="A26" s="22"/>
      <c r="B26" s="227"/>
      <c r="C26" s="22"/>
      <c r="D26" s="22"/>
      <c r="E26" s="219" t="s">
        <v>729</v>
      </c>
      <c r="F26" s="212" t="s">
        <v>728</v>
      </c>
      <c r="G26" s="211">
        <v>1</v>
      </c>
      <c r="H26" s="220">
        <f t="shared" si="1"/>
        <v>31.550078999999997</v>
      </c>
    </row>
    <row r="27" spans="1:8" ht="19.5" customHeight="1" x14ac:dyDescent="0.35">
      <c r="A27" s="22"/>
      <c r="B27" s="227"/>
      <c r="C27" s="22"/>
      <c r="D27" s="22"/>
      <c r="E27" s="219" t="s">
        <v>730</v>
      </c>
      <c r="F27" s="212" t="s">
        <v>728</v>
      </c>
      <c r="G27" s="211">
        <v>8</v>
      </c>
      <c r="H27" s="220">
        <f t="shared" si="1"/>
        <v>252.40063199999997</v>
      </c>
    </row>
    <row r="28" spans="1:8" ht="19.5" customHeight="1" x14ac:dyDescent="0.35">
      <c r="A28" s="196">
        <v>3</v>
      </c>
      <c r="B28" s="219" t="s">
        <v>787</v>
      </c>
      <c r="C28" s="212" t="s">
        <v>152</v>
      </c>
      <c r="D28" s="198">
        <f>SUM('PLANILLA GENERAL DE METRADOS'!J185:J189)</f>
        <v>9.9844999999999988</v>
      </c>
      <c r="E28" s="219" t="s">
        <v>719</v>
      </c>
      <c r="F28" s="212" t="s">
        <v>720</v>
      </c>
      <c r="G28" s="211">
        <v>9.73</v>
      </c>
      <c r="H28" s="220">
        <f t="shared" ref="H28:H36" si="2">G28*$D$28</f>
        <v>97.149184999999989</v>
      </c>
    </row>
    <row r="29" spans="1:8" ht="19.5" customHeight="1" x14ac:dyDescent="0.35">
      <c r="A29" s="22"/>
      <c r="B29" s="227"/>
      <c r="C29" s="22"/>
      <c r="D29" s="22"/>
      <c r="E29" s="219" t="s">
        <v>721</v>
      </c>
      <c r="F29" s="212" t="s">
        <v>152</v>
      </c>
      <c r="G29" s="211">
        <v>0.52</v>
      </c>
      <c r="H29" s="220">
        <f t="shared" si="2"/>
        <v>5.1919399999999998</v>
      </c>
    </row>
    <row r="30" spans="1:8" ht="19.5" customHeight="1" x14ac:dyDescent="0.35">
      <c r="A30" s="22"/>
      <c r="B30" s="227"/>
      <c r="C30" s="22"/>
      <c r="D30" s="22"/>
      <c r="E30" s="219" t="s">
        <v>722</v>
      </c>
      <c r="F30" s="212" t="s">
        <v>152</v>
      </c>
      <c r="G30" s="211">
        <v>0.53</v>
      </c>
      <c r="H30" s="220">
        <f t="shared" si="2"/>
        <v>5.291785</v>
      </c>
    </row>
    <row r="31" spans="1:8" ht="19.5" customHeight="1" x14ac:dyDescent="0.35">
      <c r="A31" s="22"/>
      <c r="B31" s="227"/>
      <c r="C31" s="22"/>
      <c r="D31" s="22"/>
      <c r="E31" s="219" t="s">
        <v>723</v>
      </c>
      <c r="F31" s="212" t="s">
        <v>152</v>
      </c>
      <c r="G31" s="211">
        <v>0.186</v>
      </c>
      <c r="H31" s="220">
        <f t="shared" si="2"/>
        <v>1.8571169999999997</v>
      </c>
    </row>
    <row r="32" spans="1:8" ht="19.5" customHeight="1" x14ac:dyDescent="0.35">
      <c r="A32" s="22"/>
      <c r="B32" s="227"/>
      <c r="C32" s="22"/>
      <c r="D32" s="22"/>
      <c r="E32" s="219" t="s">
        <v>724</v>
      </c>
      <c r="F32" s="212" t="s">
        <v>725</v>
      </c>
      <c r="G32" s="211">
        <v>0.8</v>
      </c>
      <c r="H32" s="220">
        <f t="shared" si="2"/>
        <v>7.9875999999999996</v>
      </c>
    </row>
    <row r="33" spans="1:8" ht="19.5" customHeight="1" x14ac:dyDescent="0.35">
      <c r="A33" s="22"/>
      <c r="B33" s="227"/>
      <c r="C33" s="22"/>
      <c r="D33" s="22"/>
      <c r="E33" s="219" t="s">
        <v>726</v>
      </c>
      <c r="F33" s="212" t="s">
        <v>725</v>
      </c>
      <c r="G33" s="211">
        <v>0.8</v>
      </c>
      <c r="H33" s="220">
        <f t="shared" si="2"/>
        <v>7.9875999999999996</v>
      </c>
    </row>
    <row r="34" spans="1:8" ht="19.5" customHeight="1" x14ac:dyDescent="0.35">
      <c r="A34" s="22"/>
      <c r="B34" s="227"/>
      <c r="C34" s="22"/>
      <c r="D34" s="22"/>
      <c r="E34" s="219" t="s">
        <v>727</v>
      </c>
      <c r="F34" s="212" t="s">
        <v>728</v>
      </c>
      <c r="G34" s="211">
        <v>0.8</v>
      </c>
      <c r="H34" s="220">
        <f t="shared" si="2"/>
        <v>7.9875999999999996</v>
      </c>
    </row>
    <row r="35" spans="1:8" ht="19.5" customHeight="1" x14ac:dyDescent="0.35">
      <c r="A35" s="22"/>
      <c r="B35" s="227"/>
      <c r="C35" s="22"/>
      <c r="D35" s="22"/>
      <c r="E35" s="219" t="s">
        <v>729</v>
      </c>
      <c r="F35" s="212" t="s">
        <v>728</v>
      </c>
      <c r="G35" s="211">
        <v>0.8</v>
      </c>
      <c r="H35" s="220">
        <f t="shared" si="2"/>
        <v>7.9875999999999996</v>
      </c>
    </row>
    <row r="36" spans="1:8" ht="19.5" customHeight="1" x14ac:dyDescent="0.35">
      <c r="A36" s="22"/>
      <c r="B36" s="227"/>
      <c r="C36" s="22"/>
      <c r="D36" s="22"/>
      <c r="E36" s="219" t="s">
        <v>730</v>
      </c>
      <c r="F36" s="212" t="s">
        <v>728</v>
      </c>
      <c r="G36" s="211">
        <v>6.4</v>
      </c>
      <c r="H36" s="220">
        <f t="shared" si="2"/>
        <v>63.900799999999997</v>
      </c>
    </row>
    <row r="37" spans="1:8" ht="19.5" customHeight="1" x14ac:dyDescent="0.35">
      <c r="A37" s="196">
        <v>4</v>
      </c>
      <c r="B37" s="219" t="s">
        <v>788</v>
      </c>
      <c r="C37" s="212" t="s">
        <v>153</v>
      </c>
      <c r="D37" s="198">
        <f>'PLANILLA GENERAL DE METRADOS'!K190</f>
        <v>538.31072000000006</v>
      </c>
      <c r="E37" s="219" t="s">
        <v>731</v>
      </c>
      <c r="F37" s="212" t="s">
        <v>732</v>
      </c>
      <c r="G37" s="211">
        <v>4.24</v>
      </c>
      <c r="H37" s="220">
        <f>G37*$D$37</f>
        <v>2282.4374528000003</v>
      </c>
    </row>
    <row r="38" spans="1:8" ht="19.5" customHeight="1" x14ac:dyDescent="0.35">
      <c r="A38" s="22"/>
      <c r="B38" s="227"/>
      <c r="C38" s="22"/>
      <c r="D38" s="22"/>
      <c r="E38" s="219" t="s">
        <v>733</v>
      </c>
      <c r="F38" s="212" t="s">
        <v>46</v>
      </c>
      <c r="G38" s="211">
        <v>0.2</v>
      </c>
      <c r="H38" s="220">
        <f>G38*$D$37</f>
        <v>107.66214400000001</v>
      </c>
    </row>
    <row r="39" spans="1:8" ht="19.5" customHeight="1" x14ac:dyDescent="0.35">
      <c r="A39" s="22"/>
      <c r="B39" s="227"/>
      <c r="C39" s="22"/>
      <c r="D39" s="22"/>
      <c r="E39" s="219" t="s">
        <v>734</v>
      </c>
      <c r="F39" s="212" t="s">
        <v>46</v>
      </c>
      <c r="G39" s="211">
        <v>0.2</v>
      </c>
      <c r="H39" s="220">
        <f>G39*$D$37</f>
        <v>107.66214400000001</v>
      </c>
    </row>
    <row r="40" spans="1:8" ht="19.5" customHeight="1" x14ac:dyDescent="0.35">
      <c r="A40" s="22"/>
      <c r="B40" s="227"/>
      <c r="C40" s="22"/>
      <c r="D40" s="22"/>
      <c r="E40" s="219" t="s">
        <v>727</v>
      </c>
      <c r="F40" s="212" t="s">
        <v>728</v>
      </c>
      <c r="G40" s="211">
        <v>0.8</v>
      </c>
      <c r="H40" s="220">
        <f>G40*$D$37</f>
        <v>430.64857600000005</v>
      </c>
    </row>
    <row r="41" spans="1:8" ht="19.5" customHeight="1" x14ac:dyDescent="0.35">
      <c r="A41" s="22"/>
      <c r="B41" s="227"/>
      <c r="C41" s="22"/>
      <c r="D41" s="22"/>
      <c r="E41" s="219" t="s">
        <v>729</v>
      </c>
      <c r="F41" s="212" t="s">
        <v>728</v>
      </c>
      <c r="G41" s="211">
        <v>0.8</v>
      </c>
      <c r="H41" s="220">
        <f>G41*$D$37</f>
        <v>430.64857600000005</v>
      </c>
    </row>
    <row r="42" spans="1:8" ht="19.5" customHeight="1" x14ac:dyDescent="0.35">
      <c r="A42" s="196">
        <v>5</v>
      </c>
      <c r="B42" s="219" t="s">
        <v>789</v>
      </c>
      <c r="C42" s="212" t="s">
        <v>46</v>
      </c>
      <c r="D42" s="198">
        <f>'PLANILLA GENERAL DE METRADOS'!K194</f>
        <v>2523.8376862222221</v>
      </c>
      <c r="E42" s="219" t="s">
        <v>735</v>
      </c>
      <c r="F42" s="212" t="s">
        <v>46</v>
      </c>
      <c r="G42" s="211">
        <v>1.05</v>
      </c>
      <c r="H42" s="220">
        <f>G42*$D$42</f>
        <v>2650.0295705333333</v>
      </c>
    </row>
    <row r="43" spans="1:8" ht="19.5" customHeight="1" x14ac:dyDescent="0.35">
      <c r="A43" s="22"/>
      <c r="B43" s="227"/>
      <c r="C43" s="22"/>
      <c r="D43" s="22"/>
      <c r="E43" s="219" t="s">
        <v>736</v>
      </c>
      <c r="F43" s="212" t="s">
        <v>46</v>
      </c>
      <c r="G43" s="211">
        <v>0.06</v>
      </c>
      <c r="H43" s="220">
        <f>G43*$D$42</f>
        <v>151.43026117333332</v>
      </c>
    </row>
    <row r="44" spans="1:8" ht="19.5" customHeight="1" x14ac:dyDescent="0.35">
      <c r="A44" s="22"/>
      <c r="B44" s="227"/>
      <c r="C44" s="22"/>
      <c r="D44" s="22"/>
      <c r="E44" s="219" t="s">
        <v>727</v>
      </c>
      <c r="F44" s="212" t="s">
        <v>728</v>
      </c>
      <c r="G44" s="211">
        <v>3.2000000000000001E-2</v>
      </c>
      <c r="H44" s="220">
        <f>G44*$D$42</f>
        <v>80.762805959111105</v>
      </c>
    </row>
    <row r="45" spans="1:8" ht="19.5" customHeight="1" x14ac:dyDescent="0.35">
      <c r="A45" s="22"/>
      <c r="B45" s="227"/>
      <c r="C45" s="22"/>
      <c r="D45" s="22"/>
      <c r="E45" s="219" t="s">
        <v>729</v>
      </c>
      <c r="F45" s="212" t="s">
        <v>728</v>
      </c>
      <c r="G45" s="211">
        <v>3.2000000000000001E-2</v>
      </c>
      <c r="H45" s="220">
        <f>G45*$D$42</f>
        <v>80.762805959111105</v>
      </c>
    </row>
    <row r="46" spans="1:8" ht="19.5" customHeight="1" x14ac:dyDescent="0.35">
      <c r="A46" s="196">
        <v>6</v>
      </c>
      <c r="B46" s="219" t="s">
        <v>737</v>
      </c>
      <c r="C46" s="212" t="s">
        <v>153</v>
      </c>
      <c r="D46" s="198">
        <f>'PLANILLA GENERAL DE METRADOS'!K171</f>
        <v>105.28999999999998</v>
      </c>
      <c r="E46" s="219" t="s">
        <v>719</v>
      </c>
      <c r="F46" s="212" t="s">
        <v>720</v>
      </c>
      <c r="G46" s="211">
        <v>0.3</v>
      </c>
      <c r="H46" s="220">
        <f>G46*$D$46</f>
        <v>31.586999999999993</v>
      </c>
    </row>
    <row r="47" spans="1:8" ht="19.5" customHeight="1" x14ac:dyDescent="0.35">
      <c r="A47" s="22"/>
      <c r="B47" s="227"/>
      <c r="C47" s="22"/>
      <c r="D47" s="22"/>
      <c r="E47" s="219" t="s">
        <v>738</v>
      </c>
      <c r="F47" s="212" t="s">
        <v>152</v>
      </c>
      <c r="G47" s="211">
        <v>6.4000000000000001E-2</v>
      </c>
      <c r="H47" s="220">
        <f>G47*$D$46</f>
        <v>6.7385599999999988</v>
      </c>
    </row>
    <row r="48" spans="1:8" ht="19.5" customHeight="1" x14ac:dyDescent="0.35">
      <c r="A48" s="22"/>
      <c r="B48" s="227"/>
      <c r="C48" s="22"/>
      <c r="D48" s="22"/>
      <c r="E48" s="219" t="s">
        <v>723</v>
      </c>
      <c r="F48" s="212" t="s">
        <v>152</v>
      </c>
      <c r="G48" s="211">
        <v>0.01</v>
      </c>
      <c r="H48" s="220">
        <f>G48*$D$46</f>
        <v>1.0528999999999997</v>
      </c>
    </row>
    <row r="49" spans="1:8" ht="19.5" customHeight="1" x14ac:dyDescent="0.35">
      <c r="A49" s="22"/>
      <c r="B49" s="227"/>
      <c r="C49" s="22"/>
      <c r="D49" s="22"/>
      <c r="E49" s="219" t="s">
        <v>727</v>
      </c>
      <c r="F49" s="212" t="s">
        <v>728</v>
      </c>
      <c r="G49" s="211">
        <v>0.1</v>
      </c>
      <c r="H49" s="220">
        <f>G49*$D$46</f>
        <v>10.528999999999998</v>
      </c>
    </row>
    <row r="50" spans="1:8" ht="19.5" customHeight="1" x14ac:dyDescent="0.35">
      <c r="A50" s="22"/>
      <c r="B50" s="227"/>
      <c r="C50" s="22"/>
      <c r="D50" s="22"/>
      <c r="E50" s="219" t="s">
        <v>730</v>
      </c>
      <c r="F50" s="212" t="s">
        <v>728</v>
      </c>
      <c r="G50" s="211">
        <v>0.4</v>
      </c>
      <c r="H50" s="220">
        <f>G50*$D$46</f>
        <v>42.115999999999993</v>
      </c>
    </row>
    <row r="51" spans="1:8" ht="19.5" customHeight="1" x14ac:dyDescent="0.35">
      <c r="A51" s="196">
        <v>7</v>
      </c>
      <c r="B51" s="219" t="s">
        <v>739</v>
      </c>
      <c r="C51" s="212" t="s">
        <v>152</v>
      </c>
      <c r="D51" s="198">
        <f>'PLANILLA GENERAL DE METRADOS'!K152</f>
        <v>130.62232399999999</v>
      </c>
      <c r="E51" s="219" t="s">
        <v>730</v>
      </c>
      <c r="F51" s="212" t="s">
        <v>728</v>
      </c>
      <c r="G51" s="211">
        <v>2.67</v>
      </c>
      <c r="H51" s="220">
        <f>G51*$D$51</f>
        <v>348.76160507999998</v>
      </c>
    </row>
    <row r="52" spans="1:8" ht="19.5" customHeight="1" x14ac:dyDescent="0.35">
      <c r="A52" s="22"/>
      <c r="B52" s="227"/>
      <c r="C52" s="22"/>
      <c r="D52" s="22"/>
      <c r="E52" s="219" t="s">
        <v>740</v>
      </c>
      <c r="F52" s="212" t="s">
        <v>741</v>
      </c>
      <c r="G52" s="211">
        <v>0.03</v>
      </c>
      <c r="H52" s="220">
        <f>G52*$D$51</f>
        <v>3.9186697199999996</v>
      </c>
    </row>
    <row r="53" spans="1:8" ht="19.5" customHeight="1" x14ac:dyDescent="0.35">
      <c r="A53" s="196">
        <v>8</v>
      </c>
      <c r="B53" s="219" t="s">
        <v>742</v>
      </c>
      <c r="C53" s="212" t="s">
        <v>152</v>
      </c>
      <c r="D53" s="198">
        <f>'PLANILLA GENERAL DE METRADOS'!K160</f>
        <v>91.51312999999999</v>
      </c>
      <c r="E53" s="219" t="s">
        <v>723</v>
      </c>
      <c r="F53" s="212" t="s">
        <v>152</v>
      </c>
      <c r="G53" s="211">
        <v>0.05</v>
      </c>
      <c r="H53" s="220">
        <f>G53*$D$53</f>
        <v>4.5756565</v>
      </c>
    </row>
    <row r="54" spans="1:8" ht="19.5" customHeight="1" x14ac:dyDescent="0.35">
      <c r="A54" s="22"/>
      <c r="B54" s="227"/>
      <c r="C54" s="22"/>
      <c r="D54" s="22"/>
      <c r="E54" s="219" t="s">
        <v>743</v>
      </c>
      <c r="F54" s="212" t="s">
        <v>725</v>
      </c>
      <c r="G54" s="211">
        <v>0.4</v>
      </c>
      <c r="H54" s="220">
        <f>G54*$D$53</f>
        <v>36.605252</v>
      </c>
    </row>
    <row r="55" spans="1:8" ht="19.5" customHeight="1" x14ac:dyDescent="0.35">
      <c r="A55" s="22"/>
      <c r="B55" s="227"/>
      <c r="C55" s="22"/>
      <c r="D55" s="22"/>
      <c r="E55" s="219" t="s">
        <v>727</v>
      </c>
      <c r="F55" s="212" t="s">
        <v>728</v>
      </c>
      <c r="G55" s="211">
        <v>0.4</v>
      </c>
      <c r="H55" s="220">
        <f>G55*$D$53</f>
        <v>36.605252</v>
      </c>
    </row>
    <row r="56" spans="1:8" ht="19.5" customHeight="1" x14ac:dyDescent="0.35">
      <c r="A56" s="22"/>
      <c r="B56" s="227"/>
      <c r="C56" s="22"/>
      <c r="D56" s="22"/>
      <c r="E56" s="219" t="s">
        <v>730</v>
      </c>
      <c r="F56" s="212" t="s">
        <v>728</v>
      </c>
      <c r="G56" s="211">
        <v>1.6</v>
      </c>
      <c r="H56" s="220">
        <f>G56*$D$53</f>
        <v>146.421008</v>
      </c>
    </row>
    <row r="57" spans="1:8" ht="19.5" customHeight="1" x14ac:dyDescent="0.35">
      <c r="A57" s="196">
        <v>9</v>
      </c>
      <c r="B57" s="219" t="s">
        <v>744</v>
      </c>
      <c r="C57" s="212" t="s">
        <v>152</v>
      </c>
      <c r="D57" s="198">
        <f>'PLANILLA GENERAL DE METRADOS'!K167</f>
        <v>46.931032800000004</v>
      </c>
      <c r="E57" s="219" t="s">
        <v>745</v>
      </c>
      <c r="F57" s="212" t="s">
        <v>725</v>
      </c>
      <c r="G57" s="211">
        <v>0.13300000000000001</v>
      </c>
      <c r="H57" s="220">
        <f>G57*$D$57</f>
        <v>6.2418273624000005</v>
      </c>
    </row>
    <row r="58" spans="1:8" ht="19.5" customHeight="1" x14ac:dyDescent="0.35">
      <c r="A58" s="22"/>
      <c r="B58" s="227"/>
      <c r="C58" s="22"/>
      <c r="D58" s="22"/>
      <c r="E58" s="219" t="s">
        <v>746</v>
      </c>
      <c r="F58" s="212" t="s">
        <v>725</v>
      </c>
      <c r="G58" s="211">
        <v>3.3000000000000002E-2</v>
      </c>
      <c r="H58" s="220">
        <f>G58*$D$57</f>
        <v>1.5487240824000001</v>
      </c>
    </row>
    <row r="59" spans="1:8" ht="19.5" customHeight="1" x14ac:dyDescent="0.35">
      <c r="A59" s="22"/>
      <c r="B59" s="227"/>
      <c r="C59" s="22"/>
      <c r="D59" s="22"/>
      <c r="E59" s="219" t="s">
        <v>730</v>
      </c>
      <c r="F59" s="212" t="s">
        <v>728</v>
      </c>
      <c r="G59" s="211">
        <v>0.13300000000000001</v>
      </c>
      <c r="H59" s="220">
        <f>G59*$D$57</f>
        <v>6.2418273624000005</v>
      </c>
    </row>
    <row r="60" spans="1:8" ht="19.5" customHeight="1" x14ac:dyDescent="0.35">
      <c r="A60" s="196">
        <v>10</v>
      </c>
      <c r="B60" s="219" t="s">
        <v>1139</v>
      </c>
      <c r="C60" s="212" t="s">
        <v>153</v>
      </c>
      <c r="D60" s="198">
        <f>'COLECTOR REGISTROS Y TAPAS'!E26</f>
        <v>2.3936000000000002</v>
      </c>
      <c r="E60" s="219" t="s">
        <v>731</v>
      </c>
      <c r="F60" s="212" t="s">
        <v>732</v>
      </c>
      <c r="G60" s="211">
        <v>0.70669999999999999</v>
      </c>
      <c r="H60" s="220">
        <f>G60*$D$60</f>
        <v>1.6915571200000001</v>
      </c>
    </row>
    <row r="61" spans="1:8" ht="19.5" customHeight="1" x14ac:dyDescent="0.35">
      <c r="A61" s="22"/>
      <c r="B61" s="227"/>
      <c r="C61" s="22"/>
      <c r="D61" s="22"/>
      <c r="E61" s="219" t="s">
        <v>733</v>
      </c>
      <c r="F61" s="212" t="s">
        <v>46</v>
      </c>
      <c r="G61" s="211">
        <v>3.3300000000000003E-2</v>
      </c>
      <c r="H61" s="220">
        <f>G61*$D$60</f>
        <v>7.9706880000000008E-2</v>
      </c>
    </row>
    <row r="62" spans="1:8" ht="19.5" customHeight="1" x14ac:dyDescent="0.35">
      <c r="A62" s="22"/>
      <c r="B62" s="227"/>
      <c r="C62" s="22"/>
      <c r="D62" s="22"/>
      <c r="E62" s="219" t="s">
        <v>727</v>
      </c>
      <c r="F62" s="212" t="s">
        <v>728</v>
      </c>
      <c r="G62" s="211">
        <v>0.8</v>
      </c>
      <c r="H62" s="220">
        <f>G62*$D$60</f>
        <v>1.9148800000000001</v>
      </c>
    </row>
    <row r="63" spans="1:8" ht="19.5" customHeight="1" x14ac:dyDescent="0.35">
      <c r="A63" s="22"/>
      <c r="B63" s="227"/>
      <c r="C63" s="22"/>
      <c r="D63" s="22"/>
      <c r="E63" s="219" t="s">
        <v>729</v>
      </c>
      <c r="F63" s="212" t="s">
        <v>728</v>
      </c>
      <c r="G63" s="211">
        <v>0.8</v>
      </c>
      <c r="H63" s="220">
        <f>G63*$D$60</f>
        <v>1.9148800000000001</v>
      </c>
    </row>
    <row r="64" spans="1:8" ht="19.5" customHeight="1" x14ac:dyDescent="0.35">
      <c r="A64" s="196">
        <v>11</v>
      </c>
      <c r="B64" s="219" t="s">
        <v>1140</v>
      </c>
      <c r="C64" s="212" t="s">
        <v>55</v>
      </c>
      <c r="D64" s="198">
        <f>'COLECTOR REGISTROS Y TAPAS'!E30</f>
        <v>11</v>
      </c>
      <c r="E64" s="219" t="s">
        <v>727</v>
      </c>
      <c r="F64" s="212" t="s">
        <v>728</v>
      </c>
      <c r="G64" s="211">
        <v>1</v>
      </c>
      <c r="H64" s="220">
        <f>G64*$D$64</f>
        <v>11</v>
      </c>
    </row>
    <row r="65" spans="1:8" ht="19.5" customHeight="1" x14ac:dyDescent="0.35">
      <c r="A65" s="22"/>
      <c r="B65" s="227"/>
      <c r="C65" s="22"/>
      <c r="D65" s="22"/>
      <c r="E65" s="219" t="s">
        <v>730</v>
      </c>
      <c r="F65" s="212" t="s">
        <v>728</v>
      </c>
      <c r="G65" s="211">
        <v>1</v>
      </c>
      <c r="H65" s="220">
        <f>G65*$D$64</f>
        <v>11</v>
      </c>
    </row>
    <row r="66" spans="1:8" ht="19.5" customHeight="1" x14ac:dyDescent="0.35">
      <c r="A66" s="22"/>
      <c r="B66" s="227"/>
      <c r="C66" s="22"/>
      <c r="D66" s="22"/>
      <c r="E66" s="219" t="s">
        <v>723</v>
      </c>
      <c r="F66" s="212" t="s">
        <v>152</v>
      </c>
      <c r="G66" s="211">
        <v>0.01</v>
      </c>
      <c r="H66" s="220">
        <f>G66*$D$64</f>
        <v>0.11</v>
      </c>
    </row>
    <row r="67" spans="1:8" ht="19.5" customHeight="1" x14ac:dyDescent="0.35">
      <c r="A67" s="22"/>
      <c r="B67" s="227"/>
      <c r="C67" s="22"/>
      <c r="D67" s="22"/>
      <c r="E67" s="219"/>
      <c r="F67" s="212"/>
      <c r="G67" s="211"/>
      <c r="H67" s="220"/>
    </row>
    <row r="68" spans="1:8" ht="19.5" customHeight="1" x14ac:dyDescent="0.35">
      <c r="A68" s="22"/>
      <c r="B68" s="227"/>
      <c r="C68" s="22"/>
      <c r="D68" s="22"/>
      <c r="E68" s="219"/>
      <c r="F68" s="212"/>
      <c r="G68" s="211"/>
      <c r="H68" s="220"/>
    </row>
    <row r="69" spans="1:8" ht="19.5" customHeight="1" x14ac:dyDescent="0.35">
      <c r="A69" s="196">
        <v>12</v>
      </c>
      <c r="B69" s="219" t="s">
        <v>790</v>
      </c>
      <c r="C69" s="212" t="s">
        <v>65</v>
      </c>
      <c r="D69" s="198">
        <f>'PLANILLA GENERAL DE METRADOS'!K215</f>
        <v>120.63999999999999</v>
      </c>
      <c r="E69" s="219" t="s">
        <v>748</v>
      </c>
      <c r="F69" s="212" t="s">
        <v>153</v>
      </c>
      <c r="G69" s="211">
        <f>'ACU JUNTA DILATACION'!$D$14*(1+'ACU JUNTA DILATACION'!$D$15)</f>
        <v>0.13655172413793107</v>
      </c>
      <c r="H69" s="220">
        <f>G69*$D$69</f>
        <v>16.473600000000001</v>
      </c>
    </row>
    <row r="70" spans="1:8" ht="19.5" customHeight="1" x14ac:dyDescent="0.35">
      <c r="A70" s="22"/>
      <c r="B70" s="227"/>
      <c r="C70" s="22"/>
      <c r="D70" s="22"/>
      <c r="E70" s="219" t="s">
        <v>791</v>
      </c>
      <c r="F70" s="212" t="s">
        <v>152</v>
      </c>
      <c r="G70" s="211">
        <f>'ACU JUNTA DILATACION'!$D$20</f>
        <v>1.0678510344827587E-3</v>
      </c>
      <c r="H70" s="220">
        <f>G70*$D$69</f>
        <v>0.12882554879999999</v>
      </c>
    </row>
    <row r="71" spans="1:8" ht="19.5" customHeight="1" x14ac:dyDescent="0.35">
      <c r="A71" s="22"/>
      <c r="B71" s="227"/>
      <c r="C71" s="22"/>
      <c r="D71" s="22"/>
      <c r="E71" s="219" t="s">
        <v>727</v>
      </c>
      <c r="F71" s="212" t="s">
        <v>728</v>
      </c>
      <c r="G71" s="211">
        <v>0.2</v>
      </c>
      <c r="H71" s="220">
        <f>G71*$D$69</f>
        <v>24.128</v>
      </c>
    </row>
    <row r="72" spans="1:8" ht="19.5" customHeight="1" x14ac:dyDescent="0.35">
      <c r="A72" s="22"/>
      <c r="B72" s="227"/>
      <c r="C72" s="22"/>
      <c r="D72" s="22"/>
      <c r="E72" s="219" t="s">
        <v>730</v>
      </c>
      <c r="F72" s="212" t="s">
        <v>728</v>
      </c>
      <c r="G72" s="211">
        <v>0.2</v>
      </c>
      <c r="H72" s="220">
        <f>G72*$D$69</f>
        <v>24.128</v>
      </c>
    </row>
    <row r="73" spans="1:8" ht="19.5" customHeight="1" x14ac:dyDescent="0.35">
      <c r="A73" s="196">
        <v>13</v>
      </c>
      <c r="B73" s="219" t="s">
        <v>792</v>
      </c>
      <c r="C73" s="212" t="s">
        <v>65</v>
      </c>
      <c r="D73" s="198">
        <f>'PLANILLA GENERAL DE METRADOS'!K216</f>
        <v>4.6399999999999997</v>
      </c>
      <c r="E73" s="219" t="s">
        <v>748</v>
      </c>
      <c r="F73" s="212" t="s">
        <v>153</v>
      </c>
      <c r="G73" s="211">
        <f>'ACU JUNTA CAJA CL'!$D$14*(1+'ACU JUNTA CAJA CL'!$D$15)</f>
        <v>0.13655172413793107</v>
      </c>
      <c r="H73" s="220">
        <f>G73*$D$73</f>
        <v>0.63360000000000016</v>
      </c>
    </row>
    <row r="74" spans="1:8" ht="19.5" customHeight="1" x14ac:dyDescent="0.35">
      <c r="A74" s="22"/>
      <c r="B74" s="227"/>
      <c r="C74" s="22"/>
      <c r="D74" s="22"/>
      <c r="E74" s="219" t="s">
        <v>791</v>
      </c>
      <c r="F74" s="212" t="s">
        <v>152</v>
      </c>
      <c r="G74" s="211">
        <f>'ACU JUNTA CAJA CL'!$D$20</f>
        <v>1.0678510344827587E-3</v>
      </c>
      <c r="H74" s="220">
        <f>G74*$D$73</f>
        <v>4.9548287999999999E-3</v>
      </c>
    </row>
    <row r="75" spans="1:8" ht="19.5" customHeight="1" x14ac:dyDescent="0.35">
      <c r="A75" s="22"/>
      <c r="B75" s="227"/>
      <c r="C75" s="22"/>
      <c r="D75" s="22"/>
      <c r="E75" s="219" t="s">
        <v>727</v>
      </c>
      <c r="F75" s="212" t="s">
        <v>728</v>
      </c>
      <c r="G75" s="211">
        <v>0.2</v>
      </c>
      <c r="H75" s="220">
        <f>G75*$D$73</f>
        <v>0.92799999999999994</v>
      </c>
    </row>
    <row r="76" spans="1:8" ht="19.5" customHeight="1" x14ac:dyDescent="0.35">
      <c r="A76" s="22"/>
      <c r="B76" s="227"/>
      <c r="C76" s="22"/>
      <c r="D76" s="22"/>
      <c r="E76" s="219" t="s">
        <v>730</v>
      </c>
      <c r="F76" s="212" t="s">
        <v>728</v>
      </c>
      <c r="G76" s="211">
        <v>0.2</v>
      </c>
      <c r="H76" s="220">
        <f>G76*$D$73</f>
        <v>0.92799999999999994</v>
      </c>
    </row>
  </sheetData>
  <mergeCells count="10">
    <mergeCell ref="A1:H1"/>
    <mergeCell ref="A2:B2"/>
    <mergeCell ref="C2:H2"/>
    <mergeCell ref="A3:B3"/>
    <mergeCell ref="C3:H3"/>
    <mergeCell ref="A4:B4"/>
    <mergeCell ref="C4:H4"/>
    <mergeCell ref="A5:B5"/>
    <mergeCell ref="C5:H5"/>
    <mergeCell ref="A7:H7"/>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50"/>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793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794</v>
      </c>
      <c r="B7" s="318"/>
      <c r="C7" s="318"/>
      <c r="D7" s="318"/>
      <c r="E7" s="318"/>
      <c r="F7" s="318"/>
      <c r="G7" s="318"/>
      <c r="H7" s="318"/>
    </row>
    <row r="9" spans="1:8" ht="19.5" customHeight="1" x14ac:dyDescent="0.35">
      <c r="A9" s="325" t="s">
        <v>795</v>
      </c>
      <c r="B9" s="325"/>
      <c r="C9" s="325"/>
      <c r="D9" s="325"/>
      <c r="E9" s="325"/>
      <c r="F9" s="325"/>
      <c r="G9" s="325"/>
      <c r="H9" s="325"/>
    </row>
    <row r="10" spans="1:8" ht="33" customHeight="1" x14ac:dyDescent="0.35">
      <c r="A10" s="195" t="s">
        <v>275</v>
      </c>
      <c r="B10" s="195" t="s">
        <v>796</v>
      </c>
      <c r="C10" s="195" t="s">
        <v>797</v>
      </c>
      <c r="D10" s="195" t="s">
        <v>798</v>
      </c>
      <c r="E10" s="195"/>
      <c r="F10" s="195"/>
      <c r="G10" s="195" t="s">
        <v>799</v>
      </c>
      <c r="H10" s="195" t="s">
        <v>800</v>
      </c>
    </row>
    <row r="11" spans="1:8" ht="21" customHeight="1" x14ac:dyDescent="0.35">
      <c r="A11" s="196">
        <v>1</v>
      </c>
      <c r="B11" s="112" t="s">
        <v>727</v>
      </c>
      <c r="C11" s="198">
        <f>D17</f>
        <v>89.3</v>
      </c>
      <c r="D11" s="198">
        <f>D25</f>
        <v>231.61999999999998</v>
      </c>
      <c r="E11" s="219"/>
      <c r="F11" s="219"/>
      <c r="G11" s="220">
        <f>D26</f>
        <v>28.95</v>
      </c>
      <c r="H11" s="112" t="s">
        <v>801</v>
      </c>
    </row>
    <row r="12" spans="1:8" ht="21" customHeight="1" x14ac:dyDescent="0.35">
      <c r="A12" s="196">
        <v>2</v>
      </c>
      <c r="B12" s="112" t="s">
        <v>729</v>
      </c>
      <c r="C12" s="198">
        <f>E17</f>
        <v>69.75</v>
      </c>
      <c r="D12" s="198">
        <f>E25</f>
        <v>181.45999999999998</v>
      </c>
      <c r="E12" s="219"/>
      <c r="F12" s="219"/>
      <c r="G12" s="220">
        <f>E26</f>
        <v>22.68</v>
      </c>
      <c r="H12" s="112" t="s">
        <v>801</v>
      </c>
    </row>
    <row r="13" spans="1:8" ht="21" customHeight="1" x14ac:dyDescent="0.35">
      <c r="A13" s="196">
        <v>3</v>
      </c>
      <c r="B13" s="112" t="s">
        <v>730</v>
      </c>
      <c r="C13" s="198">
        <f>F17</f>
        <v>62.8</v>
      </c>
      <c r="D13" s="198">
        <f>F25</f>
        <v>164.33999999999997</v>
      </c>
      <c r="E13" s="219"/>
      <c r="F13" s="219"/>
      <c r="G13" s="220">
        <f>F26</f>
        <v>20.54</v>
      </c>
      <c r="H13" s="112" t="s">
        <v>801</v>
      </c>
    </row>
    <row r="15" spans="1:8" ht="19.5" customHeight="1" x14ac:dyDescent="0.35">
      <c r="A15" s="325" t="s">
        <v>802</v>
      </c>
      <c r="B15" s="325"/>
      <c r="C15" s="325"/>
      <c r="D15" s="325"/>
      <c r="E15" s="325"/>
      <c r="F15" s="325"/>
      <c r="G15" s="325"/>
      <c r="H15" s="325"/>
    </row>
    <row r="16" spans="1:8" ht="21" customHeight="1" x14ac:dyDescent="0.35">
      <c r="A16" s="195" t="s">
        <v>275</v>
      </c>
      <c r="B16" s="195" t="s">
        <v>803</v>
      </c>
      <c r="C16" s="195" t="s">
        <v>804</v>
      </c>
      <c r="D16" s="195" t="s">
        <v>805</v>
      </c>
      <c r="E16" s="195" t="s">
        <v>806</v>
      </c>
      <c r="F16" s="195" t="s">
        <v>807</v>
      </c>
      <c r="G16" s="195"/>
      <c r="H16" s="195" t="s">
        <v>445</v>
      </c>
    </row>
    <row r="17" spans="1:8" ht="21" customHeight="1" x14ac:dyDescent="0.35">
      <c r="A17" s="196">
        <v>1</v>
      </c>
      <c r="B17" s="112" t="s">
        <v>808</v>
      </c>
      <c r="C17" s="212" t="s">
        <v>809</v>
      </c>
      <c r="D17" s="228">
        <v>89.3</v>
      </c>
      <c r="E17" s="228">
        <v>69.75</v>
      </c>
      <c r="F17" s="228">
        <v>62.8</v>
      </c>
      <c r="G17" s="219"/>
      <c r="H17" s="112" t="s">
        <v>810</v>
      </c>
    </row>
    <row r="18" spans="1:8" ht="21" customHeight="1" x14ac:dyDescent="0.35">
      <c r="A18" s="196">
        <v>2</v>
      </c>
      <c r="B18" s="112" t="s">
        <v>811</v>
      </c>
      <c r="C18" s="198">
        <f>$D$50</f>
        <v>112.19999999999999</v>
      </c>
      <c r="D18" s="198">
        <f>ROUND(D17*$C$18/100,2)</f>
        <v>100.19</v>
      </c>
      <c r="E18" s="198">
        <f>ROUND(E17*$C$18/100,2)</f>
        <v>78.260000000000005</v>
      </c>
      <c r="F18" s="198">
        <f>ROUND(F17*$C$18/100,2)</f>
        <v>70.459999999999994</v>
      </c>
      <c r="G18" s="219"/>
      <c r="H18" s="112" t="s">
        <v>812</v>
      </c>
    </row>
    <row r="19" spans="1:8" ht="21" customHeight="1" x14ac:dyDescent="0.35">
      <c r="A19" s="196">
        <v>3</v>
      </c>
      <c r="B19" s="112" t="s">
        <v>813</v>
      </c>
      <c r="C19" s="212" t="s">
        <v>814</v>
      </c>
      <c r="D19" s="198">
        <f>ROUND(D17*0.32,2)</f>
        <v>28.58</v>
      </c>
      <c r="E19" s="198">
        <f>ROUND(E17*0.3,2)</f>
        <v>20.93</v>
      </c>
      <c r="F19" s="198">
        <f>ROUND(F17*0.3,2)</f>
        <v>18.84</v>
      </c>
      <c r="G19" s="219"/>
      <c r="H19" s="112" t="s">
        <v>815</v>
      </c>
    </row>
    <row r="20" spans="1:8" ht="21" customHeight="1" x14ac:dyDescent="0.35">
      <c r="A20" s="196">
        <v>4</v>
      </c>
      <c r="B20" s="112" t="s">
        <v>816</v>
      </c>
      <c r="C20" s="198">
        <f>$E$50</f>
        <v>12.25</v>
      </c>
      <c r="D20" s="198">
        <f>ROUND(D19*$C$20/100,2)</f>
        <v>3.5</v>
      </c>
      <c r="E20" s="198">
        <f>ROUND(E19*$C$20/100,2)</f>
        <v>2.56</v>
      </c>
      <c r="F20" s="198">
        <f>ROUND(F19*$C$20/100,2)</f>
        <v>2.31</v>
      </c>
      <c r="G20" s="219"/>
      <c r="H20" s="112" t="s">
        <v>817</v>
      </c>
    </row>
    <row r="21" spans="1:8" ht="21" customHeight="1" x14ac:dyDescent="0.35">
      <c r="A21" s="196">
        <v>5</v>
      </c>
      <c r="B21" s="112" t="s">
        <v>818</v>
      </c>
      <c r="C21" s="212" t="s">
        <v>819</v>
      </c>
      <c r="D21" s="228">
        <v>0.16</v>
      </c>
      <c r="E21" s="228">
        <v>0.16</v>
      </c>
      <c r="F21" s="228">
        <v>0.16</v>
      </c>
      <c r="G21" s="219"/>
      <c r="H21" s="112" t="s">
        <v>820</v>
      </c>
    </row>
    <row r="22" spans="1:8" ht="21" customHeight="1" x14ac:dyDescent="0.35">
      <c r="A22" s="196">
        <v>6</v>
      </c>
      <c r="B22" s="112" t="s">
        <v>821</v>
      </c>
      <c r="C22" s="212" t="s">
        <v>819</v>
      </c>
      <c r="D22" s="228">
        <v>0.4</v>
      </c>
      <c r="E22" s="228">
        <v>0.31</v>
      </c>
      <c r="F22" s="228">
        <v>0.28000000000000003</v>
      </c>
      <c r="G22" s="219"/>
      <c r="H22" s="112" t="s">
        <v>820</v>
      </c>
    </row>
    <row r="23" spans="1:8" ht="21" customHeight="1" x14ac:dyDescent="0.35">
      <c r="A23" s="196">
        <v>7</v>
      </c>
      <c r="B23" s="112" t="s">
        <v>822</v>
      </c>
      <c r="C23" s="212" t="s">
        <v>819</v>
      </c>
      <c r="D23" s="228">
        <v>8.6</v>
      </c>
      <c r="E23" s="228">
        <v>8.6</v>
      </c>
      <c r="F23" s="228">
        <v>8.6</v>
      </c>
      <c r="G23" s="219"/>
      <c r="H23" s="112" t="s">
        <v>823</v>
      </c>
    </row>
    <row r="24" spans="1:8" ht="21" customHeight="1" x14ac:dyDescent="0.35">
      <c r="A24" s="196">
        <v>8</v>
      </c>
      <c r="B24" s="112" t="s">
        <v>824</v>
      </c>
      <c r="C24" s="212" t="s">
        <v>819</v>
      </c>
      <c r="D24" s="198">
        <f>ROUND(2*132.8/300,2)</f>
        <v>0.89</v>
      </c>
      <c r="E24" s="198">
        <f>ROUND(2*132.8/300,2)</f>
        <v>0.89</v>
      </c>
      <c r="F24" s="198">
        <f>ROUND(2*132.8/300,2)</f>
        <v>0.89</v>
      </c>
      <c r="G24" s="219"/>
      <c r="H24" s="112" t="s">
        <v>820</v>
      </c>
    </row>
    <row r="25" spans="1:8" ht="21" customHeight="1" x14ac:dyDescent="0.35">
      <c r="A25" s="22"/>
      <c r="B25" s="218" t="s">
        <v>825</v>
      </c>
      <c r="C25" s="219"/>
      <c r="D25" s="220">
        <f>SUM(D17:D24)</f>
        <v>231.61999999999998</v>
      </c>
      <c r="E25" s="220">
        <f>SUM(E17:E24)</f>
        <v>181.45999999999998</v>
      </c>
      <c r="F25" s="220">
        <f>SUM(F17:F24)</f>
        <v>164.33999999999997</v>
      </c>
      <c r="G25" s="219"/>
      <c r="H25" s="219"/>
    </row>
    <row r="26" spans="1:8" ht="21" customHeight="1" x14ac:dyDescent="0.35">
      <c r="A26" s="22"/>
      <c r="B26" s="218" t="s">
        <v>826</v>
      </c>
      <c r="C26" s="219"/>
      <c r="D26" s="220">
        <f>ROUND(D25/8,2)</f>
        <v>28.95</v>
      </c>
      <c r="E26" s="220">
        <f>ROUND(E25/8,2)</f>
        <v>22.68</v>
      </c>
      <c r="F26" s="220">
        <f>ROUND(F25/8,2)</f>
        <v>20.54</v>
      </c>
      <c r="G26" s="219"/>
      <c r="H26" s="112" t="s">
        <v>827</v>
      </c>
    </row>
    <row r="28" spans="1:8" ht="19.5" customHeight="1" x14ac:dyDescent="0.35">
      <c r="A28" s="325" t="s">
        <v>828</v>
      </c>
      <c r="B28" s="325"/>
      <c r="C28" s="325"/>
      <c r="D28" s="325"/>
      <c r="E28" s="325"/>
      <c r="F28" s="325"/>
      <c r="G28" s="325"/>
      <c r="H28" s="325"/>
    </row>
    <row r="29" spans="1:8" ht="33" customHeight="1" x14ac:dyDescent="0.35">
      <c r="A29" s="195" t="s">
        <v>275</v>
      </c>
      <c r="B29" s="195" t="s">
        <v>803</v>
      </c>
      <c r="C29" s="195"/>
      <c r="D29" s="195" t="s">
        <v>829</v>
      </c>
      <c r="E29" s="195" t="s">
        <v>830</v>
      </c>
      <c r="F29" s="195"/>
      <c r="G29" s="195"/>
      <c r="H29" s="195" t="s">
        <v>445</v>
      </c>
    </row>
    <row r="30" spans="1:8" ht="19.5" customHeight="1" x14ac:dyDescent="0.35">
      <c r="A30" s="196">
        <v>1</v>
      </c>
      <c r="B30" s="112" t="s">
        <v>831</v>
      </c>
      <c r="C30" s="219"/>
      <c r="D30" s="228">
        <v>12</v>
      </c>
      <c r="E30" s="219"/>
      <c r="F30" s="219"/>
      <c r="G30" s="219"/>
      <c r="H30" s="112" t="s">
        <v>820</v>
      </c>
    </row>
    <row r="31" spans="1:8" ht="19.5" customHeight="1" x14ac:dyDescent="0.35">
      <c r="A31" s="196">
        <v>2</v>
      </c>
      <c r="B31" s="112" t="s">
        <v>832</v>
      </c>
      <c r="C31" s="219"/>
      <c r="D31" s="228">
        <v>3</v>
      </c>
      <c r="E31" s="219"/>
      <c r="F31" s="219"/>
      <c r="G31" s="219"/>
      <c r="H31" s="112" t="s">
        <v>820</v>
      </c>
    </row>
    <row r="32" spans="1:8" ht="19.5" customHeight="1" x14ac:dyDescent="0.35">
      <c r="A32" s="196">
        <v>3</v>
      </c>
      <c r="B32" s="112" t="s">
        <v>833</v>
      </c>
      <c r="C32" s="219"/>
      <c r="D32" s="228">
        <v>1.3</v>
      </c>
      <c r="E32" s="228">
        <v>1.3</v>
      </c>
      <c r="F32" s="219"/>
      <c r="G32" s="219"/>
      <c r="H32" s="112" t="s">
        <v>820</v>
      </c>
    </row>
    <row r="33" spans="1:8" ht="19.5" customHeight="1" x14ac:dyDescent="0.35">
      <c r="A33" s="196">
        <v>4</v>
      </c>
      <c r="B33" s="112" t="s">
        <v>834</v>
      </c>
      <c r="C33" s="219"/>
      <c r="D33" s="228">
        <v>1.05</v>
      </c>
      <c r="E33" s="228">
        <v>1.05</v>
      </c>
      <c r="F33" s="219"/>
      <c r="G33" s="219"/>
      <c r="H33" s="112" t="s">
        <v>820</v>
      </c>
    </row>
    <row r="34" spans="1:8" ht="19.5" customHeight="1" x14ac:dyDescent="0.35">
      <c r="A34" s="196">
        <v>5</v>
      </c>
      <c r="B34" s="112" t="s">
        <v>835</v>
      </c>
      <c r="C34" s="219"/>
      <c r="D34" s="228">
        <v>9</v>
      </c>
      <c r="E34" s="228">
        <v>9</v>
      </c>
      <c r="F34" s="219"/>
      <c r="G34" s="219"/>
      <c r="H34" s="112" t="s">
        <v>820</v>
      </c>
    </row>
    <row r="35" spans="1:8" ht="19.5" customHeight="1" x14ac:dyDescent="0.35">
      <c r="A35" s="196">
        <v>6</v>
      </c>
      <c r="B35" s="112" t="s">
        <v>836</v>
      </c>
      <c r="C35" s="219"/>
      <c r="D35" s="228">
        <v>0.9</v>
      </c>
      <c r="E35" s="228">
        <v>0.9</v>
      </c>
      <c r="F35" s="219"/>
      <c r="G35" s="219"/>
      <c r="H35" s="112" t="s">
        <v>820</v>
      </c>
    </row>
    <row r="36" spans="1:8" ht="19.5" customHeight="1" x14ac:dyDescent="0.35">
      <c r="A36" s="196">
        <v>7</v>
      </c>
      <c r="B36" s="112" t="s">
        <v>837</v>
      </c>
      <c r="C36" s="219"/>
      <c r="D36" s="228">
        <v>17.579999999999998</v>
      </c>
      <c r="E36" s="219"/>
      <c r="F36" s="219"/>
      <c r="G36" s="219"/>
      <c r="H36" s="112" t="s">
        <v>820</v>
      </c>
    </row>
    <row r="37" spans="1:8" ht="19.5" customHeight="1" x14ac:dyDescent="0.35">
      <c r="A37" s="196">
        <v>8</v>
      </c>
      <c r="B37" s="112" t="s">
        <v>838</v>
      </c>
      <c r="C37" s="219"/>
      <c r="D37" s="228">
        <v>10</v>
      </c>
      <c r="E37" s="219"/>
      <c r="F37" s="219"/>
      <c r="G37" s="219"/>
      <c r="H37" s="112" t="s">
        <v>820</v>
      </c>
    </row>
    <row r="38" spans="1:8" ht="19.5" customHeight="1" x14ac:dyDescent="0.35">
      <c r="A38" s="196">
        <v>9</v>
      </c>
      <c r="B38" s="112" t="s">
        <v>839</v>
      </c>
      <c r="C38" s="219"/>
      <c r="D38" s="228">
        <v>22.22</v>
      </c>
      <c r="E38" s="219"/>
      <c r="F38" s="219"/>
      <c r="G38" s="219"/>
      <c r="H38" s="112" t="s">
        <v>820</v>
      </c>
    </row>
    <row r="39" spans="1:8" ht="19.5" customHeight="1" x14ac:dyDescent="0.35">
      <c r="A39" s="196">
        <v>10</v>
      </c>
      <c r="B39" s="112" t="s">
        <v>840</v>
      </c>
      <c r="C39" s="219"/>
      <c r="D39" s="228">
        <v>4.33</v>
      </c>
      <c r="E39" s="219"/>
      <c r="F39" s="219"/>
      <c r="G39" s="219"/>
      <c r="H39" s="112" t="s">
        <v>820</v>
      </c>
    </row>
    <row r="40" spans="1:8" ht="19.5" customHeight="1" x14ac:dyDescent="0.35">
      <c r="A40" s="196">
        <v>11</v>
      </c>
      <c r="B40" s="112" t="s">
        <v>841</v>
      </c>
      <c r="C40" s="219"/>
      <c r="D40" s="228">
        <v>25</v>
      </c>
      <c r="E40" s="219"/>
      <c r="F40" s="219"/>
      <c r="G40" s="219"/>
      <c r="H40" s="112" t="s">
        <v>820</v>
      </c>
    </row>
    <row r="41" spans="1:8" ht="19.5" customHeight="1" x14ac:dyDescent="0.35">
      <c r="A41" s="196">
        <v>12</v>
      </c>
      <c r="B41" s="112" t="s">
        <v>842</v>
      </c>
      <c r="C41" s="219"/>
      <c r="D41" s="228">
        <v>1.58</v>
      </c>
      <c r="E41" s="219"/>
      <c r="F41" s="219"/>
      <c r="G41" s="219"/>
      <c r="H41" s="112" t="s">
        <v>820</v>
      </c>
    </row>
    <row r="42" spans="1:8" ht="19.5" customHeight="1" x14ac:dyDescent="0.35">
      <c r="A42" s="196">
        <v>13</v>
      </c>
      <c r="B42" s="112" t="s">
        <v>843</v>
      </c>
      <c r="C42" s="219"/>
      <c r="D42" s="228">
        <v>0.9</v>
      </c>
      <c r="E42" s="219"/>
      <c r="F42" s="219"/>
      <c r="G42" s="219"/>
      <c r="H42" s="112" t="s">
        <v>820</v>
      </c>
    </row>
    <row r="43" spans="1:8" ht="19.5" customHeight="1" x14ac:dyDescent="0.35">
      <c r="A43" s="196">
        <v>14</v>
      </c>
      <c r="B43" s="112" t="s">
        <v>844</v>
      </c>
      <c r="C43" s="219"/>
      <c r="D43" s="228">
        <v>0.39</v>
      </c>
      <c r="E43" s="219"/>
      <c r="F43" s="219"/>
      <c r="G43" s="219"/>
      <c r="H43" s="112" t="s">
        <v>820</v>
      </c>
    </row>
    <row r="44" spans="1:8" ht="19.5" customHeight="1" x14ac:dyDescent="0.35">
      <c r="A44" s="196">
        <v>15</v>
      </c>
      <c r="B44" s="112" t="s">
        <v>845</v>
      </c>
      <c r="C44" s="219"/>
      <c r="D44" s="228">
        <v>0.41</v>
      </c>
      <c r="E44" s="219"/>
      <c r="F44" s="219"/>
      <c r="G44" s="219"/>
      <c r="H44" s="112" t="s">
        <v>820</v>
      </c>
    </row>
    <row r="45" spans="1:8" ht="19.5" customHeight="1" x14ac:dyDescent="0.35">
      <c r="A45" s="196">
        <v>16</v>
      </c>
      <c r="B45" s="112" t="s">
        <v>846</v>
      </c>
      <c r="C45" s="219"/>
      <c r="D45" s="228">
        <v>0.24</v>
      </c>
      <c r="E45" s="219"/>
      <c r="F45" s="219"/>
      <c r="G45" s="219"/>
      <c r="H45" s="112" t="s">
        <v>820</v>
      </c>
    </row>
    <row r="46" spans="1:8" ht="19.5" customHeight="1" x14ac:dyDescent="0.35">
      <c r="A46" s="196">
        <v>17</v>
      </c>
      <c r="B46" s="112" t="s">
        <v>847</v>
      </c>
      <c r="C46" s="219"/>
      <c r="D46" s="228">
        <v>0.1</v>
      </c>
      <c r="E46" s="219"/>
      <c r="F46" s="219"/>
      <c r="G46" s="219"/>
      <c r="H46" s="112" t="s">
        <v>820</v>
      </c>
    </row>
    <row r="47" spans="1:8" ht="19.5" customHeight="1" x14ac:dyDescent="0.35">
      <c r="A47" s="196">
        <v>18</v>
      </c>
      <c r="B47" s="112" t="s">
        <v>848</v>
      </c>
      <c r="C47" s="219"/>
      <c r="D47" s="228">
        <v>0.16</v>
      </c>
      <c r="E47" s="219"/>
      <c r="F47" s="219"/>
      <c r="G47" s="219"/>
      <c r="H47" s="112" t="s">
        <v>820</v>
      </c>
    </row>
    <row r="48" spans="1:8" ht="19.5" customHeight="1" x14ac:dyDescent="0.35">
      <c r="A48" s="196">
        <v>19</v>
      </c>
      <c r="B48" s="112" t="s">
        <v>849</v>
      </c>
      <c r="C48" s="219"/>
      <c r="D48" s="228">
        <v>0.04</v>
      </c>
      <c r="E48" s="219"/>
      <c r="F48" s="219"/>
      <c r="G48" s="219"/>
      <c r="H48" s="112" t="s">
        <v>820</v>
      </c>
    </row>
    <row r="49" spans="1:8" ht="19.5" customHeight="1" x14ac:dyDescent="0.35">
      <c r="A49" s="196">
        <v>20</v>
      </c>
      <c r="B49" s="112" t="s">
        <v>850</v>
      </c>
      <c r="C49" s="219"/>
      <c r="D49" s="228">
        <v>2</v>
      </c>
      <c r="E49" s="219"/>
      <c r="F49" s="219"/>
      <c r="G49" s="219"/>
      <c r="H49" s="112" t="s">
        <v>820</v>
      </c>
    </row>
    <row r="50" spans="1:8" ht="21" customHeight="1" x14ac:dyDescent="0.35">
      <c r="A50" s="22"/>
      <c r="B50" s="218" t="s">
        <v>851</v>
      </c>
      <c r="C50" s="219"/>
      <c r="D50" s="220">
        <f>SUM(D30:D49)</f>
        <v>112.19999999999999</v>
      </c>
      <c r="E50" s="220">
        <f>SUM(E30:E49)</f>
        <v>12.25</v>
      </c>
      <c r="F50" s="219"/>
      <c r="G50" s="219"/>
      <c r="H50" s="112" t="s">
        <v>852</v>
      </c>
    </row>
  </sheetData>
  <mergeCells count="13">
    <mergeCell ref="A1:H1"/>
    <mergeCell ref="A2:B2"/>
    <mergeCell ref="C2:H2"/>
    <mergeCell ref="A3:B3"/>
    <mergeCell ref="C3:H3"/>
    <mergeCell ref="A9:H9"/>
    <mergeCell ref="A15:H15"/>
    <mergeCell ref="A28:H28"/>
    <mergeCell ref="A4:B4"/>
    <mergeCell ref="C4:H4"/>
    <mergeCell ref="A5:B5"/>
    <mergeCell ref="C5:H5"/>
    <mergeCell ref="A7:H7"/>
  </mergeCells>
  <pageMargins left="0.5" right="0.5" top="0.75" bottom="0.75" header="0.511811023622047" footer="0.511811023622047"/>
  <pageSetup paperSize="9" fitToHeight="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55"/>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29" t="s">
        <v>1143</v>
      </c>
      <c r="B1" s="329"/>
      <c r="C1" s="329"/>
      <c r="D1" s="329"/>
      <c r="E1" s="329"/>
      <c r="F1" s="329"/>
      <c r="G1" s="329"/>
      <c r="H1" s="32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21" t="s">
        <v>1144</v>
      </c>
      <c r="B7" s="321"/>
      <c r="C7" s="321"/>
      <c r="D7" s="321"/>
      <c r="E7" s="321"/>
      <c r="F7" s="321"/>
      <c r="G7" s="321"/>
      <c r="H7" s="321"/>
    </row>
    <row r="9" spans="1:8" ht="19.5" customHeight="1" x14ac:dyDescent="0.35">
      <c r="A9" s="326" t="s">
        <v>1145</v>
      </c>
      <c r="B9" s="326"/>
      <c r="C9" s="326"/>
      <c r="D9" s="326"/>
      <c r="E9" s="326"/>
      <c r="F9" s="326"/>
      <c r="G9" s="326"/>
      <c r="H9" s="326"/>
    </row>
    <row r="10" spans="1:8" ht="31.5" customHeight="1" x14ac:dyDescent="0.35">
      <c r="A10" s="206" t="s">
        <v>275</v>
      </c>
      <c r="B10" s="206" t="s">
        <v>803</v>
      </c>
      <c r="C10" s="206" t="s">
        <v>137</v>
      </c>
      <c r="D10" s="206" t="s">
        <v>237</v>
      </c>
      <c r="E10" s="206"/>
      <c r="F10" s="206"/>
      <c r="G10" s="206"/>
      <c r="H10" s="206" t="s">
        <v>445</v>
      </c>
    </row>
    <row r="11" spans="1:8" ht="31.5" customHeight="1" x14ac:dyDescent="0.35">
      <c r="A11" s="207">
        <v>1</v>
      </c>
      <c r="B11" s="111" t="s">
        <v>1146</v>
      </c>
      <c r="C11" s="209" t="s">
        <v>55</v>
      </c>
      <c r="D11" s="3">
        <f>'COLECTOR REGISTROS Y TAPAS'!E21</f>
        <v>11</v>
      </c>
      <c r="E11" s="217"/>
      <c r="F11" s="217"/>
      <c r="G11" s="217"/>
      <c r="H11" s="111" t="s">
        <v>1147</v>
      </c>
    </row>
    <row r="12" spans="1:8" ht="31.5" customHeight="1" x14ac:dyDescent="0.35">
      <c r="A12" s="207">
        <v>2</v>
      </c>
      <c r="B12" s="111" t="s">
        <v>1148</v>
      </c>
      <c r="C12" s="209" t="s">
        <v>152</v>
      </c>
      <c r="D12" s="3">
        <f>'COLECTOR PARAMETROS'!$C$31^2*'COLECTOR PARAMETROS'!$C$32</f>
        <v>3.6992000000000011E-2</v>
      </c>
      <c r="E12" s="217"/>
      <c r="F12" s="217"/>
      <c r="G12" s="217"/>
      <c r="H12" s="111" t="s">
        <v>1128</v>
      </c>
    </row>
    <row r="13" spans="1:8" ht="31.5" customHeight="1" x14ac:dyDescent="0.35">
      <c r="A13" s="207">
        <v>3</v>
      </c>
      <c r="B13" s="111" t="s">
        <v>1149</v>
      </c>
      <c r="C13" s="209" t="s">
        <v>153</v>
      </c>
      <c r="D13" s="3">
        <f>'COLECTOR PARAMETROS'!$C$35*'COLECTOR PARAMETROS'!$C$32</f>
        <v>0.21760000000000002</v>
      </c>
      <c r="E13" s="217"/>
      <c r="F13" s="217"/>
      <c r="G13" s="217"/>
      <c r="H13" s="111" t="s">
        <v>1128</v>
      </c>
    </row>
    <row r="14" spans="1:8" ht="31.5" customHeight="1" x14ac:dyDescent="0.35">
      <c r="A14" s="207">
        <v>4</v>
      </c>
      <c r="B14" s="111" t="s">
        <v>1150</v>
      </c>
      <c r="C14" s="209" t="s">
        <v>732</v>
      </c>
      <c r="D14" s="232">
        <v>1.1499999999999999</v>
      </c>
      <c r="E14" s="217"/>
      <c r="F14" s="217"/>
      <c r="G14" s="217"/>
      <c r="H14" s="111" t="s">
        <v>1041</v>
      </c>
    </row>
    <row r="15" spans="1:8" ht="31.5" customHeight="1" x14ac:dyDescent="0.35">
      <c r="A15" s="207">
        <v>5</v>
      </c>
      <c r="B15" s="111" t="s">
        <v>1151</v>
      </c>
      <c r="C15" s="209" t="s">
        <v>46</v>
      </c>
      <c r="D15" s="3">
        <f>'COLECTOR ACERO'!U18/'COLECTOR ACERO'!F18</f>
        <v>4.8608000000000011</v>
      </c>
      <c r="E15" s="217"/>
      <c r="F15" s="217"/>
      <c r="G15" s="217"/>
      <c r="H15" s="111" t="s">
        <v>1152</v>
      </c>
    </row>
    <row r="16" spans="1:8" ht="31.5" customHeight="1" x14ac:dyDescent="0.35">
      <c r="A16" s="207">
        <v>6</v>
      </c>
      <c r="B16" s="111" t="s">
        <v>1153</v>
      </c>
      <c r="C16" s="209" t="s">
        <v>46</v>
      </c>
      <c r="D16" s="3">
        <f>'COLECTOR ACERO'!U17/'COLECTOR ACERO'!F17</f>
        <v>11.1328</v>
      </c>
      <c r="E16" s="217"/>
      <c r="F16" s="217"/>
      <c r="G16" s="217"/>
      <c r="H16" s="111" t="s">
        <v>1152</v>
      </c>
    </row>
    <row r="17" spans="1:8" ht="31.5" customHeight="1" x14ac:dyDescent="0.35">
      <c r="A17" s="207">
        <v>7</v>
      </c>
      <c r="B17" s="111" t="s">
        <v>1154</v>
      </c>
      <c r="C17" s="209" t="s">
        <v>46</v>
      </c>
      <c r="D17" s="3">
        <f>'COLECTOR ACERO'!U19/'COLECTOR ACERO'!F19</f>
        <v>0.99399999999999988</v>
      </c>
      <c r="E17" s="217"/>
      <c r="F17" s="217"/>
      <c r="G17" s="217"/>
      <c r="H17" s="111" t="s">
        <v>1152</v>
      </c>
    </row>
    <row r="18" spans="1:8" ht="31.5" customHeight="1" x14ac:dyDescent="0.35">
      <c r="A18" s="207">
        <v>8</v>
      </c>
      <c r="B18" s="111" t="s">
        <v>1155</v>
      </c>
      <c r="C18" s="209" t="s">
        <v>473</v>
      </c>
      <c r="D18" s="232">
        <v>0.05</v>
      </c>
      <c r="E18" s="217"/>
      <c r="F18" s="217"/>
      <c r="G18" s="217"/>
      <c r="H18" s="111" t="s">
        <v>1156</v>
      </c>
    </row>
    <row r="19" spans="1:8" ht="31.5" customHeight="1" x14ac:dyDescent="0.35">
      <c r="A19" s="207">
        <v>9</v>
      </c>
      <c r="B19" s="111" t="s">
        <v>1157</v>
      </c>
      <c r="C19" s="209" t="s">
        <v>1073</v>
      </c>
      <c r="D19" s="3">
        <f>'COLECTOR INSUMOS'!G10</f>
        <v>9.73</v>
      </c>
      <c r="E19" s="217"/>
      <c r="F19" s="217"/>
      <c r="G19" s="217"/>
      <c r="H19" s="111" t="s">
        <v>1158</v>
      </c>
    </row>
    <row r="20" spans="1:8" ht="31.5" customHeight="1" x14ac:dyDescent="0.35">
      <c r="A20" s="207">
        <v>10</v>
      </c>
      <c r="B20" s="111" t="s">
        <v>1159</v>
      </c>
      <c r="C20" s="209" t="s">
        <v>988</v>
      </c>
      <c r="D20" s="3">
        <f>'COLECTOR INSUMOS'!G11</f>
        <v>0.52</v>
      </c>
      <c r="E20" s="217"/>
      <c r="F20" s="217"/>
      <c r="G20" s="217"/>
      <c r="H20" s="111" t="s">
        <v>856</v>
      </c>
    </row>
    <row r="21" spans="1:8" ht="31.5" customHeight="1" x14ac:dyDescent="0.35">
      <c r="A21" s="207">
        <v>11</v>
      </c>
      <c r="B21" s="111" t="s">
        <v>1160</v>
      </c>
      <c r="C21" s="209" t="s">
        <v>988</v>
      </c>
      <c r="D21" s="3">
        <f>'COLECTOR INSUMOS'!G12</f>
        <v>0.53</v>
      </c>
      <c r="E21" s="217"/>
      <c r="F21" s="217"/>
      <c r="G21" s="217"/>
      <c r="H21" s="111" t="s">
        <v>856</v>
      </c>
    </row>
    <row r="22" spans="1:8" ht="31.5" customHeight="1" x14ac:dyDescent="0.35">
      <c r="A22" s="207">
        <v>12</v>
      </c>
      <c r="B22" s="111" t="s">
        <v>1161</v>
      </c>
      <c r="C22" s="209" t="s">
        <v>988</v>
      </c>
      <c r="D22" s="3">
        <f>'COLECTOR INSUMOS'!G13</f>
        <v>0.186</v>
      </c>
      <c r="E22" s="217"/>
      <c r="F22" s="217"/>
      <c r="G22" s="217"/>
      <c r="H22" s="111" t="s">
        <v>856</v>
      </c>
    </row>
    <row r="23" spans="1:8" ht="31.5" customHeight="1" x14ac:dyDescent="0.35">
      <c r="A23" s="207">
        <v>13</v>
      </c>
      <c r="B23" s="111" t="s">
        <v>1162</v>
      </c>
      <c r="C23" s="209" t="s">
        <v>1163</v>
      </c>
      <c r="D23" s="3">
        <f>'COLECTOR INSUMOS'!G16</f>
        <v>0.8</v>
      </c>
      <c r="E23" s="217"/>
      <c r="F23" s="217"/>
      <c r="G23" s="217"/>
      <c r="H23" s="111" t="s">
        <v>1164</v>
      </c>
    </row>
    <row r="24" spans="1:8" ht="31.5" customHeight="1" x14ac:dyDescent="0.35">
      <c r="A24" s="207">
        <v>14</v>
      </c>
      <c r="B24" s="111" t="s">
        <v>1165</v>
      </c>
      <c r="C24" s="209" t="s">
        <v>1163</v>
      </c>
      <c r="D24" s="3">
        <f>'COLECTOR INSUMOS'!G18</f>
        <v>6.4</v>
      </c>
      <c r="E24" s="217"/>
      <c r="F24" s="217"/>
      <c r="G24" s="217"/>
      <c r="H24" s="111" t="s">
        <v>856</v>
      </c>
    </row>
    <row r="25" spans="1:8" ht="31.5" customHeight="1" x14ac:dyDescent="0.35">
      <c r="A25" s="207">
        <v>15</v>
      </c>
      <c r="B25" s="111" t="s">
        <v>1166</v>
      </c>
      <c r="C25" s="209" t="s">
        <v>1167</v>
      </c>
      <c r="D25" s="3">
        <f>'COLECTOR INSUMOS'!G44</f>
        <v>3.2000000000000001E-2</v>
      </c>
      <c r="E25" s="217"/>
      <c r="F25" s="217"/>
      <c r="G25" s="217"/>
      <c r="H25" s="111" t="s">
        <v>856</v>
      </c>
    </row>
    <row r="26" spans="1:8" ht="31.5" customHeight="1" x14ac:dyDescent="0.35">
      <c r="A26" s="207">
        <v>16</v>
      </c>
      <c r="B26" s="111" t="s">
        <v>1168</v>
      </c>
      <c r="C26" s="209" t="s">
        <v>1169</v>
      </c>
      <c r="D26" s="232">
        <v>0.8</v>
      </c>
      <c r="E26" s="217"/>
      <c r="F26" s="217"/>
      <c r="G26" s="217"/>
      <c r="H26" s="111" t="s">
        <v>1170</v>
      </c>
    </row>
    <row r="27" spans="1:8" ht="31.5" customHeight="1" x14ac:dyDescent="0.35">
      <c r="A27" s="207">
        <v>17</v>
      </c>
      <c r="B27" s="111" t="s">
        <v>1171</v>
      </c>
      <c r="C27" s="209" t="s">
        <v>1172</v>
      </c>
      <c r="D27" s="232">
        <v>1</v>
      </c>
      <c r="E27" s="217"/>
      <c r="F27" s="217"/>
      <c r="G27" s="217"/>
      <c r="H27" s="111" t="s">
        <v>1173</v>
      </c>
    </row>
    <row r="29" spans="1:8" ht="19.5" customHeight="1" x14ac:dyDescent="0.35">
      <c r="A29" s="326" t="s">
        <v>995</v>
      </c>
      <c r="B29" s="326"/>
      <c r="C29" s="326"/>
      <c r="D29" s="326"/>
      <c r="E29" s="326"/>
      <c r="F29" s="326"/>
      <c r="G29" s="326"/>
      <c r="H29" s="326"/>
    </row>
    <row r="30" spans="1:8" ht="19.5" customHeight="1" x14ac:dyDescent="0.35">
      <c r="A30" s="326" t="s">
        <v>858</v>
      </c>
      <c r="B30" s="326"/>
      <c r="C30" s="327" t="s">
        <v>1174</v>
      </c>
      <c r="D30" s="327"/>
      <c r="E30" s="327"/>
      <c r="F30" s="327"/>
      <c r="G30" s="327"/>
      <c r="H30" s="327"/>
    </row>
    <row r="31" spans="1:8" ht="19.5" customHeight="1" x14ac:dyDescent="0.35">
      <c r="A31" s="326" t="s">
        <v>859</v>
      </c>
      <c r="B31" s="326"/>
      <c r="C31" s="327" t="s">
        <v>1175</v>
      </c>
      <c r="D31" s="327"/>
      <c r="E31" s="327"/>
      <c r="F31" s="327"/>
      <c r="G31" s="327"/>
      <c r="H31" s="327"/>
    </row>
    <row r="32" spans="1:8" ht="19.5" customHeight="1" x14ac:dyDescent="0.35">
      <c r="A32" s="326" t="s">
        <v>452</v>
      </c>
      <c r="B32" s="326"/>
      <c r="C32" s="327" t="s">
        <v>55</v>
      </c>
      <c r="D32" s="327"/>
      <c r="E32" s="327"/>
      <c r="F32" s="327"/>
      <c r="G32" s="327"/>
      <c r="H32" s="327"/>
    </row>
    <row r="33" spans="1:8" ht="19.5" customHeight="1" x14ac:dyDescent="0.35">
      <c r="A33" s="326" t="s">
        <v>860</v>
      </c>
      <c r="B33" s="326"/>
      <c r="C33" s="328">
        <f>'COLECTOR REGISTROS Y TAPAS'!E25</f>
        <v>11</v>
      </c>
      <c r="D33" s="328"/>
      <c r="E33" s="328"/>
      <c r="F33" s="328"/>
      <c r="G33" s="328"/>
      <c r="H33" s="328"/>
    </row>
    <row r="34" spans="1:8" ht="19.5" customHeight="1" x14ac:dyDescent="0.35">
      <c r="A34" s="326" t="s">
        <v>861</v>
      </c>
      <c r="B34" s="326"/>
      <c r="C34" s="328">
        <f>8/E37</f>
        <v>4.5785533236634288</v>
      </c>
      <c r="D34" s="328"/>
      <c r="E34" s="328"/>
      <c r="F34" s="328"/>
      <c r="G34" s="328"/>
      <c r="H34" s="328"/>
    </row>
    <row r="35" spans="1:8" ht="31.5" customHeight="1" x14ac:dyDescent="0.35">
      <c r="A35" s="206" t="s">
        <v>275</v>
      </c>
      <c r="B35" s="206" t="s">
        <v>862</v>
      </c>
      <c r="C35" s="206" t="s">
        <v>137</v>
      </c>
      <c r="D35" s="206" t="s">
        <v>863</v>
      </c>
      <c r="E35" s="206" t="s">
        <v>854</v>
      </c>
      <c r="F35" s="206" t="s">
        <v>864</v>
      </c>
      <c r="G35" s="206" t="s">
        <v>855</v>
      </c>
      <c r="H35" s="206" t="s">
        <v>865</v>
      </c>
    </row>
    <row r="36" spans="1:8" ht="19.5" customHeight="1" x14ac:dyDescent="0.35">
      <c r="A36" s="21"/>
      <c r="B36" s="326" t="s">
        <v>866</v>
      </c>
      <c r="C36" s="326"/>
      <c r="D36" s="326"/>
      <c r="E36" s="326"/>
      <c r="F36" s="326"/>
      <c r="G36" s="326"/>
      <c r="H36" s="326"/>
    </row>
    <row r="37" spans="1:8" ht="31.5" customHeight="1" x14ac:dyDescent="0.35">
      <c r="A37" s="207">
        <v>1</v>
      </c>
      <c r="B37" s="217" t="s">
        <v>727</v>
      </c>
      <c r="C37" s="209" t="s">
        <v>728</v>
      </c>
      <c r="D37" s="3">
        <f>E37*$C$34/8</f>
        <v>1</v>
      </c>
      <c r="E37" s="3">
        <f>$D$12*$D$23+($D$15+$D$16+$D$17)*$D$25+$D$13*$D$26+$D$27</f>
        <v>1.7472768000000001</v>
      </c>
      <c r="F37" s="212">
        <f>'COSTO HORA HOMBRE 2026'!$G$11</f>
        <v>28.95</v>
      </c>
      <c r="G37" s="212">
        <f>E37*F37</f>
        <v>50.583663360000003</v>
      </c>
      <c r="H37" s="111" t="s">
        <v>867</v>
      </c>
    </row>
    <row r="38" spans="1:8" ht="31.5" customHeight="1" x14ac:dyDescent="0.35">
      <c r="A38" s="207">
        <v>2</v>
      </c>
      <c r="B38" s="217" t="s">
        <v>729</v>
      </c>
      <c r="C38" s="209" t="s">
        <v>728</v>
      </c>
      <c r="D38" s="3">
        <f>E38*$C$34/8</f>
        <v>0.42768083454207145</v>
      </c>
      <c r="E38" s="3">
        <f>$D$12*$D$23+($D$15+$D$16+$D$17)*$D$25+$D$13*$D$26</f>
        <v>0.74727680000000007</v>
      </c>
      <c r="F38" s="212">
        <f>'COSTO HORA HOMBRE 2026'!$G$12</f>
        <v>22.68</v>
      </c>
      <c r="G38" s="212">
        <f>E38*F38</f>
        <v>16.948237824000003</v>
      </c>
      <c r="H38" s="111" t="s">
        <v>867</v>
      </c>
    </row>
    <row r="39" spans="1:8" ht="31.5" customHeight="1" x14ac:dyDescent="0.35">
      <c r="A39" s="207">
        <v>3</v>
      </c>
      <c r="B39" s="217" t="s">
        <v>730</v>
      </c>
      <c r="C39" s="209" t="s">
        <v>728</v>
      </c>
      <c r="D39" s="3">
        <f>E39*$C$34/8</f>
        <v>0.70781504109709459</v>
      </c>
      <c r="E39" s="3">
        <f>$D$12*$D$24+$D$27</f>
        <v>1.2367488</v>
      </c>
      <c r="F39" s="212">
        <f>'COSTO HORA HOMBRE 2026'!$G$13</f>
        <v>20.54</v>
      </c>
      <c r="G39" s="212">
        <f>E39*F39</f>
        <v>25.402820351999999</v>
      </c>
      <c r="H39" s="111" t="s">
        <v>867</v>
      </c>
    </row>
    <row r="40" spans="1:8" ht="19.5" customHeight="1" x14ac:dyDescent="0.35">
      <c r="A40" s="21"/>
      <c r="B40" s="216" t="s">
        <v>868</v>
      </c>
      <c r="C40" s="217"/>
      <c r="D40" s="217"/>
      <c r="E40" s="217"/>
      <c r="F40" s="217"/>
      <c r="G40" s="218">
        <f>SUM(G37:G39)</f>
        <v>92.934721536000012</v>
      </c>
      <c r="H40" s="217"/>
    </row>
    <row r="41" spans="1:8" ht="19.5" customHeight="1" x14ac:dyDescent="0.35">
      <c r="A41" s="21"/>
      <c r="B41" s="326" t="s">
        <v>869</v>
      </c>
      <c r="C41" s="326"/>
      <c r="D41" s="326"/>
      <c r="E41" s="326"/>
      <c r="F41" s="326"/>
      <c r="G41" s="326"/>
      <c r="H41" s="326"/>
    </row>
    <row r="42" spans="1:8" ht="19.5" customHeight="1" x14ac:dyDescent="0.35">
      <c r="A42" s="207">
        <v>4</v>
      </c>
      <c r="B42" s="217" t="s">
        <v>719</v>
      </c>
      <c r="C42" s="209" t="s">
        <v>720</v>
      </c>
      <c r="D42" s="217"/>
      <c r="E42" s="3">
        <f>$D$12*$D$19</f>
        <v>0.35993216000000011</v>
      </c>
      <c r="F42" s="211">
        <v>30.93</v>
      </c>
      <c r="G42" s="212">
        <f t="shared" ref="G42:G49" si="0">E42*F42</f>
        <v>11.132701708800003</v>
      </c>
      <c r="H42" s="111" t="s">
        <v>870</v>
      </c>
    </row>
    <row r="43" spans="1:8" ht="19.5" customHeight="1" x14ac:dyDescent="0.35">
      <c r="A43" s="207">
        <v>5</v>
      </c>
      <c r="B43" s="217" t="s">
        <v>721</v>
      </c>
      <c r="C43" s="209" t="s">
        <v>152</v>
      </c>
      <c r="D43" s="217"/>
      <c r="E43" s="3">
        <f>$D$12*$D$20</f>
        <v>1.9235840000000008E-2</v>
      </c>
      <c r="F43" s="211">
        <v>40.68</v>
      </c>
      <c r="G43" s="212">
        <f t="shared" si="0"/>
        <v>0.78251397120000032</v>
      </c>
      <c r="H43" s="111" t="s">
        <v>871</v>
      </c>
    </row>
    <row r="44" spans="1:8" ht="31.5" customHeight="1" x14ac:dyDescent="0.35">
      <c r="A44" s="207">
        <v>6</v>
      </c>
      <c r="B44" s="217" t="s">
        <v>722</v>
      </c>
      <c r="C44" s="209" t="s">
        <v>152</v>
      </c>
      <c r="D44" s="217"/>
      <c r="E44" s="3">
        <f>$D$12*$D$21</f>
        <v>1.9605760000000007E-2</v>
      </c>
      <c r="F44" s="211">
        <v>101.69</v>
      </c>
      <c r="G44" s="212">
        <f t="shared" si="0"/>
        <v>1.9937097344000005</v>
      </c>
      <c r="H44" s="111" t="s">
        <v>872</v>
      </c>
    </row>
    <row r="45" spans="1:8" ht="31.5" customHeight="1" x14ac:dyDescent="0.35">
      <c r="A45" s="207">
        <v>7</v>
      </c>
      <c r="B45" s="217" t="s">
        <v>723</v>
      </c>
      <c r="C45" s="209" t="s">
        <v>152</v>
      </c>
      <c r="D45" s="217"/>
      <c r="E45" s="3">
        <f>$D$12*$D$22+0.01</f>
        <v>1.6880512E-2</v>
      </c>
      <c r="F45" s="211">
        <v>8.33</v>
      </c>
      <c r="G45" s="212">
        <f t="shared" si="0"/>
        <v>0.14061466496</v>
      </c>
      <c r="H45" s="111" t="s">
        <v>873</v>
      </c>
    </row>
    <row r="46" spans="1:8" ht="19.5" customHeight="1" x14ac:dyDescent="0.35">
      <c r="A46" s="207">
        <v>8</v>
      </c>
      <c r="B46" s="217" t="s">
        <v>731</v>
      </c>
      <c r="C46" s="209" t="s">
        <v>732</v>
      </c>
      <c r="D46" s="217"/>
      <c r="E46" s="3">
        <f>$D$13*4.24/6+$D$14</f>
        <v>1.3037706666666666</v>
      </c>
      <c r="F46" s="211">
        <v>4.41</v>
      </c>
      <c r="G46" s="212">
        <f t="shared" si="0"/>
        <v>5.7496286400000001</v>
      </c>
      <c r="H46" s="111" t="s">
        <v>874</v>
      </c>
    </row>
    <row r="47" spans="1:8" ht="31.5" customHeight="1" x14ac:dyDescent="0.35">
      <c r="A47" s="207">
        <v>9</v>
      </c>
      <c r="B47" s="217" t="s">
        <v>857</v>
      </c>
      <c r="C47" s="209" t="s">
        <v>46</v>
      </c>
      <c r="D47" s="217"/>
      <c r="E47" s="3">
        <f>($D$15+$D$16)*(1+$D$18)</f>
        <v>16.793280000000003</v>
      </c>
      <c r="F47" s="211">
        <v>3.44</v>
      </c>
      <c r="G47" s="212">
        <f t="shared" si="0"/>
        <v>57.768883200000012</v>
      </c>
      <c r="H47" s="111" t="s">
        <v>875</v>
      </c>
    </row>
    <row r="48" spans="1:8" ht="31.5" customHeight="1" x14ac:dyDescent="0.35">
      <c r="A48" s="207">
        <v>10</v>
      </c>
      <c r="B48" s="217" t="s">
        <v>1176</v>
      </c>
      <c r="C48" s="209" t="s">
        <v>46</v>
      </c>
      <c r="D48" s="217"/>
      <c r="E48" s="3">
        <f>$D$17*(1+$D$18)</f>
        <v>1.0436999999999999</v>
      </c>
      <c r="F48" s="211">
        <v>3.44</v>
      </c>
      <c r="G48" s="212">
        <f t="shared" si="0"/>
        <v>3.5903279999999995</v>
      </c>
      <c r="H48" s="111" t="s">
        <v>1177</v>
      </c>
    </row>
    <row r="49" spans="1:8" ht="19.5" customHeight="1" x14ac:dyDescent="0.35">
      <c r="A49" s="207">
        <v>11</v>
      </c>
      <c r="B49" s="217" t="s">
        <v>736</v>
      </c>
      <c r="C49" s="209" t="s">
        <v>46</v>
      </c>
      <c r="D49" s="217"/>
      <c r="E49" s="3">
        <f>($D$15+$D$16+$D$17)*0.06</f>
        <v>1.0192559999999999</v>
      </c>
      <c r="F49" s="211">
        <v>5.08</v>
      </c>
      <c r="G49" s="212">
        <f t="shared" si="0"/>
        <v>5.1778204799999994</v>
      </c>
      <c r="H49" s="111" t="s">
        <v>876</v>
      </c>
    </row>
    <row r="50" spans="1:8" ht="19.5" customHeight="1" x14ac:dyDescent="0.35">
      <c r="A50" s="21"/>
      <c r="B50" s="216" t="s">
        <v>877</v>
      </c>
      <c r="C50" s="217"/>
      <c r="D50" s="217"/>
      <c r="E50" s="217"/>
      <c r="F50" s="217"/>
      <c r="G50" s="218">
        <f>SUM(G42:G49)</f>
        <v>86.33620039936001</v>
      </c>
      <c r="H50" s="217"/>
    </row>
    <row r="51" spans="1:8" ht="19.5" customHeight="1" x14ac:dyDescent="0.35">
      <c r="A51" s="21"/>
      <c r="B51" s="326" t="s">
        <v>878</v>
      </c>
      <c r="C51" s="326"/>
      <c r="D51" s="326"/>
      <c r="E51" s="326"/>
      <c r="F51" s="326"/>
      <c r="G51" s="326"/>
      <c r="H51" s="326"/>
    </row>
    <row r="52" spans="1:8" ht="19.5" customHeight="1" x14ac:dyDescent="0.35">
      <c r="A52" s="207">
        <v>12</v>
      </c>
      <c r="B52" s="217" t="s">
        <v>740</v>
      </c>
      <c r="C52" s="209" t="s">
        <v>741</v>
      </c>
      <c r="D52" s="217"/>
      <c r="E52" s="208">
        <v>0.03</v>
      </c>
      <c r="F52" s="212">
        <f>+G40</f>
        <v>92.934721536000012</v>
      </c>
      <c r="G52" s="212">
        <f>E52*F52</f>
        <v>2.7880416460800004</v>
      </c>
      <c r="H52" s="111" t="s">
        <v>1178</v>
      </c>
    </row>
    <row r="53" spans="1:8" ht="19.5" customHeight="1" x14ac:dyDescent="0.35">
      <c r="A53" s="21"/>
      <c r="B53" s="216" t="s">
        <v>879</v>
      </c>
      <c r="C53" s="217"/>
      <c r="D53" s="217"/>
      <c r="E53" s="217"/>
      <c r="F53" s="217"/>
      <c r="G53" s="218">
        <f>SUM(G52:G52)</f>
        <v>2.7880416460800004</v>
      </c>
      <c r="H53" s="217"/>
    </row>
    <row r="54" spans="1:8" ht="21.75" customHeight="1" x14ac:dyDescent="0.35">
      <c r="A54" s="326" t="s">
        <v>928</v>
      </c>
      <c r="B54" s="326"/>
      <c r="C54" s="326"/>
      <c r="D54" s="326"/>
      <c r="E54" s="326"/>
      <c r="F54" s="326"/>
      <c r="G54" s="218">
        <f>+G40+G50+G53</f>
        <v>182.05896358144003</v>
      </c>
      <c r="H54" s="217"/>
    </row>
    <row r="55" spans="1:8" ht="21.75" customHeight="1" x14ac:dyDescent="0.35">
      <c r="A55" s="326" t="s">
        <v>1007</v>
      </c>
      <c r="B55" s="326"/>
      <c r="C55" s="326"/>
      <c r="D55" s="326"/>
      <c r="E55" s="326"/>
      <c r="F55" s="326"/>
      <c r="G55" s="218">
        <f>G54*C33</f>
        <v>2002.6485993958404</v>
      </c>
      <c r="H55" s="217"/>
    </row>
  </sheetData>
  <mergeCells count="27">
    <mergeCell ref="A1:H1"/>
    <mergeCell ref="A2:B2"/>
    <mergeCell ref="C2:H2"/>
    <mergeCell ref="A3:B3"/>
    <mergeCell ref="C3:H3"/>
    <mergeCell ref="A4:B4"/>
    <mergeCell ref="C4:H4"/>
    <mergeCell ref="A5:B5"/>
    <mergeCell ref="C5:H5"/>
    <mergeCell ref="A7:H7"/>
    <mergeCell ref="A9:H9"/>
    <mergeCell ref="A29:H29"/>
    <mergeCell ref="A30:B30"/>
    <mergeCell ref="C30:H30"/>
    <mergeCell ref="A31:B31"/>
    <mergeCell ref="C31:H31"/>
    <mergeCell ref="A32:B32"/>
    <mergeCell ref="C32:H32"/>
    <mergeCell ref="A33:B33"/>
    <mergeCell ref="C33:H33"/>
    <mergeCell ref="A34:B34"/>
    <mergeCell ref="C34:H34"/>
    <mergeCell ref="B36:H36"/>
    <mergeCell ref="B41:H41"/>
    <mergeCell ref="B51:H51"/>
    <mergeCell ref="A54:F54"/>
    <mergeCell ref="A55:F55"/>
  </mergeCells>
  <pageMargins left="0.5" right="0.5" top="0.75" bottom="0.75" header="0.511811023622047" footer="0.511811023622047"/>
  <pageSetup paperSize="9" fitToHeight="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111"/>
  <sheetViews>
    <sheetView showGridLines="0" topLeftCell="A100" zoomScaleNormal="100" workbookViewId="0"/>
  </sheetViews>
  <sheetFormatPr baseColWidth="10" defaultColWidth="8.7265625" defaultRowHeight="14.5" x14ac:dyDescent="0.35"/>
  <cols>
    <col min="1" max="1" width="16" customWidth="1"/>
    <col min="2" max="2" width="48" customWidth="1"/>
    <col min="3" max="3" width="8" customWidth="1"/>
    <col min="4" max="7" width="13" customWidth="1"/>
    <col min="8" max="8" width="46" customWidth="1"/>
  </cols>
  <sheetData>
    <row r="1" spans="1:8" ht="27" customHeight="1" x14ac:dyDescent="0.35">
      <c r="A1" s="319" t="s">
        <v>881</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882</v>
      </c>
      <c r="B7" s="318"/>
      <c r="C7" s="318"/>
      <c r="D7" s="318"/>
      <c r="E7" s="318"/>
      <c r="F7" s="318"/>
      <c r="G7" s="318"/>
      <c r="H7" s="318"/>
    </row>
    <row r="9" spans="1:8" ht="19.5" customHeight="1" x14ac:dyDescent="0.35">
      <c r="A9" s="325" t="s">
        <v>883</v>
      </c>
      <c r="B9" s="325"/>
      <c r="C9" s="325"/>
      <c r="D9" s="325"/>
      <c r="E9" s="325"/>
      <c r="F9" s="325"/>
      <c r="G9" s="325"/>
      <c r="H9" s="325"/>
    </row>
    <row r="10" spans="1:8" ht="21.75" customHeight="1" x14ac:dyDescent="0.35">
      <c r="A10" s="195" t="s">
        <v>275</v>
      </c>
      <c r="B10" s="195" t="s">
        <v>884</v>
      </c>
      <c r="C10" s="195" t="s">
        <v>137</v>
      </c>
      <c r="D10" s="195" t="s">
        <v>237</v>
      </c>
      <c r="E10" s="195"/>
      <c r="F10" s="195"/>
      <c r="G10" s="195"/>
      <c r="H10" s="195" t="s">
        <v>445</v>
      </c>
    </row>
    <row r="11" spans="1:8" ht="19.5" customHeight="1" x14ac:dyDescent="0.35">
      <c r="A11" s="196">
        <v>1</v>
      </c>
      <c r="B11" s="219" t="s">
        <v>885</v>
      </c>
      <c r="C11" s="212" t="s">
        <v>65</v>
      </c>
      <c r="D11" s="229">
        <f>+'METRADO CANALETAS'!F48</f>
        <v>0.25</v>
      </c>
      <c r="E11" s="219"/>
      <c r="F11" s="219"/>
      <c r="G11" s="219"/>
      <c r="H11" s="112" t="s">
        <v>944</v>
      </c>
    </row>
    <row r="12" spans="1:8" ht="19.5" customHeight="1" x14ac:dyDescent="0.35">
      <c r="A12" s="196">
        <v>2</v>
      </c>
      <c r="B12" s="219" t="s">
        <v>886</v>
      </c>
      <c r="C12" s="212" t="s">
        <v>65</v>
      </c>
      <c r="D12" s="229">
        <f>+'METRADO CANALETAS'!F49</f>
        <v>0.2</v>
      </c>
      <c r="E12" s="219"/>
      <c r="F12" s="219"/>
      <c r="G12" s="219"/>
      <c r="H12" s="112" t="s">
        <v>890</v>
      </c>
    </row>
    <row r="13" spans="1:8" ht="19.5" customHeight="1" x14ac:dyDescent="0.35">
      <c r="A13" s="196">
        <v>3</v>
      </c>
      <c r="B13" s="219" t="s">
        <v>887</v>
      </c>
      <c r="C13" s="212" t="s">
        <v>65</v>
      </c>
      <c r="D13" s="229">
        <f>+'METRADO CANALETAS'!F50</f>
        <v>0.05</v>
      </c>
      <c r="E13" s="219"/>
      <c r="F13" s="219"/>
      <c r="G13" s="219"/>
      <c r="H13" s="112" t="s">
        <v>892</v>
      </c>
    </row>
    <row r="14" spans="1:8" ht="19.5" customHeight="1" x14ac:dyDescent="0.35">
      <c r="A14" s="196">
        <v>4</v>
      </c>
      <c r="B14" s="219" t="s">
        <v>888</v>
      </c>
      <c r="C14" s="212" t="s">
        <v>539</v>
      </c>
      <c r="D14" s="229">
        <f>+'METRADO CANALETAS'!F51</f>
        <v>0.75</v>
      </c>
      <c r="E14" s="219"/>
      <c r="F14" s="219"/>
      <c r="G14" s="219"/>
      <c r="H14" s="112" t="s">
        <v>889</v>
      </c>
    </row>
    <row r="15" spans="1:8" ht="19.5" customHeight="1" x14ac:dyDescent="0.35">
      <c r="A15" s="196">
        <v>5</v>
      </c>
      <c r="B15" s="219" t="s">
        <v>247</v>
      </c>
      <c r="C15" s="212" t="s">
        <v>248</v>
      </c>
      <c r="D15" s="229">
        <f>+'METRADO CANALETAS'!F52</f>
        <v>0.9</v>
      </c>
      <c r="E15" s="219"/>
      <c r="F15" s="219"/>
      <c r="G15" s="219"/>
      <c r="H15" s="112" t="s">
        <v>945</v>
      </c>
    </row>
    <row r="16" spans="1:8" ht="19.5" customHeight="1" x14ac:dyDescent="0.35">
      <c r="A16" s="196">
        <v>6</v>
      </c>
      <c r="B16" s="219" t="s">
        <v>891</v>
      </c>
      <c r="C16" s="212" t="s">
        <v>65</v>
      </c>
      <c r="D16" s="229">
        <f>+'METRADO CANALETAS'!F53</f>
        <v>0.6</v>
      </c>
      <c r="E16" s="219"/>
      <c r="F16" s="219"/>
      <c r="G16" s="219"/>
      <c r="H16" s="112" t="s">
        <v>946</v>
      </c>
    </row>
    <row r="17" spans="1:8" ht="19.5" customHeight="1" x14ac:dyDescent="0.35">
      <c r="A17" s="196">
        <v>7</v>
      </c>
      <c r="B17" s="219" t="s">
        <v>893</v>
      </c>
      <c r="C17" s="212" t="s">
        <v>894</v>
      </c>
      <c r="D17" s="229">
        <f>D15*7.85+0.3</f>
        <v>7.3649999999999993</v>
      </c>
      <c r="E17" s="219"/>
      <c r="F17" s="219"/>
      <c r="G17" s="219"/>
      <c r="H17" s="112" t="s">
        <v>895</v>
      </c>
    </row>
    <row r="18" spans="1:8" ht="19.5" customHeight="1" x14ac:dyDescent="0.35">
      <c r="A18" s="196">
        <v>8</v>
      </c>
      <c r="B18" s="219" t="s">
        <v>896</v>
      </c>
      <c r="C18" s="212" t="s">
        <v>65</v>
      </c>
      <c r="D18" s="230">
        <v>2.44</v>
      </c>
      <c r="E18" s="219"/>
      <c r="F18" s="219"/>
      <c r="G18" s="219"/>
      <c r="H18" s="112" t="s">
        <v>897</v>
      </c>
    </row>
    <row r="19" spans="1:8" ht="19.5" customHeight="1" x14ac:dyDescent="0.35">
      <c r="A19" s="196">
        <v>9</v>
      </c>
      <c r="B19" s="219" t="s">
        <v>898</v>
      </c>
      <c r="C19" s="212" t="s">
        <v>65</v>
      </c>
      <c r="D19" s="230">
        <v>0.05</v>
      </c>
      <c r="E19" s="219"/>
      <c r="F19" s="219"/>
      <c r="G19" s="219"/>
      <c r="H19" s="112" t="s">
        <v>899</v>
      </c>
    </row>
    <row r="20" spans="1:8" ht="19.5" customHeight="1" x14ac:dyDescent="0.35">
      <c r="A20" s="196">
        <v>10</v>
      </c>
      <c r="B20" s="219" t="s">
        <v>900</v>
      </c>
      <c r="C20" s="212" t="s">
        <v>65</v>
      </c>
      <c r="D20" s="229">
        <f>D11+2*D12+2*0.1</f>
        <v>0.85000000000000009</v>
      </c>
      <c r="E20" s="219"/>
      <c r="F20" s="219"/>
      <c r="G20" s="219"/>
      <c r="H20" s="112" t="s">
        <v>901</v>
      </c>
    </row>
    <row r="21" spans="1:8" ht="19.5" customHeight="1" x14ac:dyDescent="0.35">
      <c r="A21" s="196">
        <v>11</v>
      </c>
      <c r="B21" s="219" t="s">
        <v>902</v>
      </c>
      <c r="C21" s="212" t="s">
        <v>465</v>
      </c>
      <c r="D21" s="230">
        <v>0.63300000000000001</v>
      </c>
      <c r="E21" s="219"/>
      <c r="F21" s="219"/>
      <c r="G21" s="219"/>
      <c r="H21" s="112" t="s">
        <v>903</v>
      </c>
    </row>
    <row r="22" spans="1:8" ht="19.5" customHeight="1" x14ac:dyDescent="0.35">
      <c r="A22" s="196">
        <v>12</v>
      </c>
      <c r="B22" s="219" t="s">
        <v>904</v>
      </c>
      <c r="C22" s="212" t="s">
        <v>65</v>
      </c>
      <c r="D22" s="230">
        <v>6</v>
      </c>
      <c r="E22" s="219"/>
      <c r="F22" s="219"/>
      <c r="G22" s="219"/>
      <c r="H22" s="112" t="s">
        <v>905</v>
      </c>
    </row>
    <row r="25" spans="1:8" ht="21.75" customHeight="1" x14ac:dyDescent="0.35">
      <c r="A25" s="325" t="s">
        <v>906</v>
      </c>
      <c r="B25" s="325"/>
      <c r="C25" s="325"/>
      <c r="D25" s="325"/>
      <c r="E25" s="325"/>
      <c r="F25" s="325"/>
      <c r="G25" s="325"/>
      <c r="H25" s="325"/>
    </row>
    <row r="26" spans="1:8" ht="19.5" customHeight="1" x14ac:dyDescent="0.35">
      <c r="A26" s="325" t="s">
        <v>452</v>
      </c>
      <c r="B26" s="325"/>
      <c r="C26" s="219" t="s">
        <v>65</v>
      </c>
      <c r="D26" s="219"/>
      <c r="E26" s="219"/>
      <c r="F26" s="219"/>
      <c r="G26" s="219"/>
      <c r="H26" s="219"/>
    </row>
    <row r="27" spans="1:8" ht="19.5" customHeight="1" x14ac:dyDescent="0.35">
      <c r="A27" s="325" t="s">
        <v>860</v>
      </c>
      <c r="B27" s="325"/>
      <c r="C27" s="198">
        <f>+'PLANILLA GENERAL DE METRADOS'!K125</f>
        <v>523.15999999999985</v>
      </c>
      <c r="D27" s="219"/>
      <c r="E27" s="219"/>
      <c r="F27" s="219"/>
      <c r="G27" s="219"/>
      <c r="H27" s="219"/>
    </row>
    <row r="28" spans="1:8" ht="19.5" customHeight="1" x14ac:dyDescent="0.35">
      <c r="A28" s="325" t="s">
        <v>907</v>
      </c>
      <c r="B28" s="325"/>
      <c r="C28" s="228">
        <v>25</v>
      </c>
      <c r="D28" s="219"/>
      <c r="E28" s="324" t="s">
        <v>908</v>
      </c>
      <c r="F28" s="324"/>
      <c r="G28" s="324"/>
      <c r="H28" s="324"/>
    </row>
    <row r="29" spans="1:8" ht="31.5" customHeight="1" x14ac:dyDescent="0.35">
      <c r="A29" s="195" t="s">
        <v>275</v>
      </c>
      <c r="B29" s="195" t="s">
        <v>862</v>
      </c>
      <c r="C29" s="195" t="s">
        <v>137</v>
      </c>
      <c r="D29" s="195" t="s">
        <v>863</v>
      </c>
      <c r="E29" s="195" t="s">
        <v>194</v>
      </c>
      <c r="F29" s="195" t="s">
        <v>864</v>
      </c>
      <c r="G29" s="195" t="s">
        <v>855</v>
      </c>
      <c r="H29" s="195" t="s">
        <v>909</v>
      </c>
    </row>
    <row r="30" spans="1:8" ht="19.5" customHeight="1" x14ac:dyDescent="0.35">
      <c r="A30" s="22"/>
      <c r="B30" s="325" t="s">
        <v>866</v>
      </c>
      <c r="C30" s="325"/>
      <c r="D30" s="325"/>
      <c r="E30" s="325"/>
      <c r="F30" s="325"/>
      <c r="G30" s="325"/>
      <c r="H30" s="325"/>
    </row>
    <row r="31" spans="1:8" ht="31.5" customHeight="1" x14ac:dyDescent="0.35">
      <c r="A31" s="196">
        <v>1</v>
      </c>
      <c r="B31" s="219" t="s">
        <v>910</v>
      </c>
      <c r="C31" s="212" t="s">
        <v>728</v>
      </c>
      <c r="D31" s="231">
        <v>1</v>
      </c>
      <c r="E31" s="229">
        <f>D31*8/$C$28</f>
        <v>0.32</v>
      </c>
      <c r="F31" s="228">
        <f>'COSTO HORA HOMBRE 2026'!$G$11</f>
        <v>28.95</v>
      </c>
      <c r="G31" s="198">
        <f>E31*F31</f>
        <v>9.2639999999999993</v>
      </c>
      <c r="H31" s="112" t="s">
        <v>867</v>
      </c>
    </row>
    <row r="32" spans="1:8" ht="31.5" customHeight="1" x14ac:dyDescent="0.35">
      <c r="A32" s="196">
        <v>2</v>
      </c>
      <c r="B32" s="219" t="s">
        <v>730</v>
      </c>
      <c r="C32" s="212" t="s">
        <v>728</v>
      </c>
      <c r="D32" s="231">
        <v>1</v>
      </c>
      <c r="E32" s="229">
        <f>D32*8/$C$28</f>
        <v>0.32</v>
      </c>
      <c r="F32" s="228">
        <f>'COSTO HORA HOMBRE 2026'!$G$13</f>
        <v>20.54</v>
      </c>
      <c r="G32" s="198">
        <f>E32*F32</f>
        <v>6.5728</v>
      </c>
      <c r="H32" s="112" t="s">
        <v>867</v>
      </c>
    </row>
    <row r="33" spans="1:8" ht="19.5" customHeight="1" x14ac:dyDescent="0.35">
      <c r="A33" s="22"/>
      <c r="B33" s="218" t="s">
        <v>868</v>
      </c>
      <c r="C33" s="219"/>
      <c r="D33" s="219"/>
      <c r="E33" s="219"/>
      <c r="F33" s="219"/>
      <c r="G33" s="220">
        <f>SUM(G31:G32)</f>
        <v>15.8368</v>
      </c>
      <c r="H33" s="219"/>
    </row>
    <row r="34" spans="1:8" ht="19.5" customHeight="1" x14ac:dyDescent="0.35">
      <c r="A34" s="22"/>
      <c r="B34" s="325" t="s">
        <v>869</v>
      </c>
      <c r="C34" s="325"/>
      <c r="D34" s="325"/>
      <c r="E34" s="325"/>
      <c r="F34" s="325"/>
      <c r="G34" s="325"/>
      <c r="H34" s="325"/>
    </row>
    <row r="35" spans="1:8" ht="31.5" customHeight="1" x14ac:dyDescent="0.35">
      <c r="A35" s="196">
        <v>3</v>
      </c>
      <c r="B35" s="219" t="s">
        <v>911</v>
      </c>
      <c r="C35" s="212" t="s">
        <v>153</v>
      </c>
      <c r="D35" s="219"/>
      <c r="E35" s="229">
        <f>$D$14*(1+$D$19/$D$18)*1.05</f>
        <v>0.80363729508196713</v>
      </c>
      <c r="F35" s="228">
        <v>26.95</v>
      </c>
      <c r="G35" s="198">
        <f>E35*F35</f>
        <v>21.658025102459014</v>
      </c>
      <c r="H35" s="112" t="s">
        <v>912</v>
      </c>
    </row>
    <row r="36" spans="1:8" ht="19.5" customHeight="1" x14ac:dyDescent="0.35">
      <c r="A36" s="196">
        <v>4</v>
      </c>
      <c r="B36" s="219" t="s">
        <v>913</v>
      </c>
      <c r="C36" s="212" t="s">
        <v>55</v>
      </c>
      <c r="D36" s="219"/>
      <c r="E36" s="229">
        <f>2*($D$11+2*$D$12)/0.05/$D$18</f>
        <v>10.655737704918034</v>
      </c>
      <c r="F36" s="228">
        <v>0.1</v>
      </c>
      <c r="G36" s="198">
        <f>E36*F36</f>
        <v>1.0655737704918034</v>
      </c>
      <c r="H36" s="112" t="s">
        <v>914</v>
      </c>
    </row>
    <row r="37" spans="1:8" ht="31.5" customHeight="1" x14ac:dyDescent="0.35">
      <c r="A37" s="196">
        <v>5</v>
      </c>
      <c r="B37" s="219" t="s">
        <v>915</v>
      </c>
      <c r="C37" s="212" t="s">
        <v>55</v>
      </c>
      <c r="D37" s="219"/>
      <c r="E37" s="229">
        <f>($D$11+2*$D$12)/$D$18/8</f>
        <v>3.3299180327868855E-2</v>
      </c>
      <c r="F37" s="228">
        <v>21.19</v>
      </c>
      <c r="G37" s="198">
        <f>E37*F37</f>
        <v>0.70560963114754105</v>
      </c>
      <c r="H37" s="112" t="s">
        <v>916</v>
      </c>
    </row>
    <row r="38" spans="1:8" ht="19.5" customHeight="1" x14ac:dyDescent="0.35">
      <c r="A38" s="22"/>
      <c r="B38" s="218" t="s">
        <v>877</v>
      </c>
      <c r="C38" s="219"/>
      <c r="D38" s="219"/>
      <c r="E38" s="219"/>
      <c r="F38" s="219"/>
      <c r="G38" s="220">
        <f>SUM(G35:G37)</f>
        <v>23.429208504098359</v>
      </c>
      <c r="H38" s="219"/>
    </row>
    <row r="39" spans="1:8" ht="19.5" customHeight="1" x14ac:dyDescent="0.35">
      <c r="A39" s="22"/>
      <c r="B39" s="325" t="s">
        <v>878</v>
      </c>
      <c r="C39" s="325"/>
      <c r="D39" s="325"/>
      <c r="E39" s="325"/>
      <c r="F39" s="325"/>
      <c r="G39" s="325"/>
      <c r="H39" s="325"/>
    </row>
    <row r="40" spans="1:8" ht="19.5" customHeight="1" x14ac:dyDescent="0.35">
      <c r="A40" s="196">
        <v>6</v>
      </c>
      <c r="B40" s="219" t="s">
        <v>740</v>
      </c>
      <c r="C40" s="212" t="s">
        <v>741</v>
      </c>
      <c r="D40" s="219"/>
      <c r="E40" s="231">
        <v>0.05</v>
      </c>
      <c r="F40" s="198">
        <f>+G33</f>
        <v>15.8368</v>
      </c>
      <c r="G40" s="198">
        <f>E40*F40</f>
        <v>0.7918400000000001</v>
      </c>
      <c r="H40" s="112" t="s">
        <v>917</v>
      </c>
    </row>
    <row r="41" spans="1:8" ht="19.5" customHeight="1" x14ac:dyDescent="0.35">
      <c r="A41" s="22"/>
      <c r="B41" s="218" t="s">
        <v>879</v>
      </c>
      <c r="C41" s="219"/>
      <c r="D41" s="219"/>
      <c r="E41" s="219"/>
      <c r="F41" s="219"/>
      <c r="G41" s="220">
        <f>SUM(G40:G40)</f>
        <v>0.7918400000000001</v>
      </c>
      <c r="H41" s="219"/>
    </row>
    <row r="42" spans="1:8" ht="21.75" customHeight="1" x14ac:dyDescent="0.35">
      <c r="A42" s="325" t="s">
        <v>918</v>
      </c>
      <c r="B42" s="325"/>
      <c r="C42" s="325"/>
      <c r="D42" s="325"/>
      <c r="E42" s="325"/>
      <c r="F42" s="325"/>
      <c r="G42" s="220">
        <f>+G33+G38+G41</f>
        <v>40.057848504098359</v>
      </c>
      <c r="H42" s="219"/>
    </row>
    <row r="43" spans="1:8" ht="21.75" customHeight="1" x14ac:dyDescent="0.35">
      <c r="A43" s="325" t="s">
        <v>880</v>
      </c>
      <c r="B43" s="325"/>
      <c r="C43" s="325"/>
      <c r="D43" s="325"/>
      <c r="E43" s="325"/>
      <c r="F43" s="325"/>
      <c r="G43" s="220">
        <f>G42*C27</f>
        <v>20956.664023404093</v>
      </c>
      <c r="H43" s="219"/>
    </row>
    <row r="45" spans="1:8" ht="21.75" customHeight="1" x14ac:dyDescent="0.35">
      <c r="A45" s="325" t="s">
        <v>919</v>
      </c>
      <c r="B45" s="325"/>
      <c r="C45" s="325"/>
      <c r="D45" s="325"/>
      <c r="E45" s="325"/>
      <c r="F45" s="325"/>
      <c r="G45" s="325"/>
      <c r="H45" s="325"/>
    </row>
    <row r="46" spans="1:8" ht="19.5" customHeight="1" x14ac:dyDescent="0.35">
      <c r="A46" s="325" t="s">
        <v>452</v>
      </c>
      <c r="B46" s="325"/>
      <c r="C46" s="219" t="s">
        <v>55</v>
      </c>
      <c r="D46" s="219"/>
      <c r="E46" s="219"/>
      <c r="F46" s="219"/>
      <c r="G46" s="219"/>
      <c r="H46" s="219"/>
    </row>
    <row r="47" spans="1:8" ht="19.5" customHeight="1" x14ac:dyDescent="0.35">
      <c r="A47" s="325" t="s">
        <v>860</v>
      </c>
      <c r="B47" s="325"/>
      <c r="C47" s="198">
        <f>+'PLANILLA GENERAL DE METRADOS'!K126</f>
        <v>906</v>
      </c>
      <c r="D47" s="219"/>
      <c r="E47" s="219"/>
      <c r="F47" s="219"/>
      <c r="G47" s="219"/>
      <c r="H47" s="219"/>
    </row>
    <row r="48" spans="1:8" ht="19.5" customHeight="1" x14ac:dyDescent="0.35">
      <c r="A48" s="325" t="s">
        <v>920</v>
      </c>
      <c r="B48" s="325"/>
      <c r="C48" s="228">
        <v>40</v>
      </c>
      <c r="D48" s="219"/>
      <c r="E48" s="324" t="s">
        <v>921</v>
      </c>
      <c r="F48" s="324"/>
      <c r="G48" s="324"/>
      <c r="H48" s="324"/>
    </row>
    <row r="49" spans="1:8" ht="31.5" customHeight="1" x14ac:dyDescent="0.35">
      <c r="A49" s="195" t="s">
        <v>275</v>
      </c>
      <c r="B49" s="195" t="s">
        <v>862</v>
      </c>
      <c r="C49" s="195" t="s">
        <v>137</v>
      </c>
      <c r="D49" s="195" t="s">
        <v>863</v>
      </c>
      <c r="E49" s="195" t="s">
        <v>194</v>
      </c>
      <c r="F49" s="195" t="s">
        <v>864</v>
      </c>
      <c r="G49" s="195" t="s">
        <v>855</v>
      </c>
      <c r="H49" s="195" t="s">
        <v>909</v>
      </c>
    </row>
    <row r="50" spans="1:8" ht="19.5" customHeight="1" x14ac:dyDescent="0.35">
      <c r="A50" s="22"/>
      <c r="B50" s="325" t="s">
        <v>866</v>
      </c>
      <c r="C50" s="325"/>
      <c r="D50" s="325"/>
      <c r="E50" s="325"/>
      <c r="F50" s="325"/>
      <c r="G50" s="325"/>
      <c r="H50" s="325"/>
    </row>
    <row r="51" spans="1:8" ht="31.5" customHeight="1" x14ac:dyDescent="0.35">
      <c r="A51" s="196">
        <v>1</v>
      </c>
      <c r="B51" s="219" t="s">
        <v>727</v>
      </c>
      <c r="C51" s="212" t="s">
        <v>728</v>
      </c>
      <c r="D51" s="231">
        <v>1</v>
      </c>
      <c r="E51" s="229">
        <f>D51*8/$C$48</f>
        <v>0.2</v>
      </c>
      <c r="F51" s="228">
        <f>'COSTO HORA HOMBRE 2026'!$G$11</f>
        <v>28.95</v>
      </c>
      <c r="G51" s="198">
        <f>E51*F51</f>
        <v>5.79</v>
      </c>
      <c r="H51" s="112" t="s">
        <v>867</v>
      </c>
    </row>
    <row r="52" spans="1:8" ht="31.5" customHeight="1" x14ac:dyDescent="0.35">
      <c r="A52" s="196">
        <v>2</v>
      </c>
      <c r="B52" s="219" t="s">
        <v>730</v>
      </c>
      <c r="C52" s="212" t="s">
        <v>728</v>
      </c>
      <c r="D52" s="231">
        <v>0.5</v>
      </c>
      <c r="E52" s="229">
        <f>D52*8/$C$48</f>
        <v>0.1</v>
      </c>
      <c r="F52" s="228">
        <f>'COSTO HORA HOMBRE 2026'!$G$13</f>
        <v>20.54</v>
      </c>
      <c r="G52" s="198">
        <f>E52*F52</f>
        <v>2.0539999999999998</v>
      </c>
      <c r="H52" s="112" t="s">
        <v>867</v>
      </c>
    </row>
    <row r="53" spans="1:8" ht="19.5" customHeight="1" x14ac:dyDescent="0.35">
      <c r="A53" s="22"/>
      <c r="B53" s="218" t="s">
        <v>868</v>
      </c>
      <c r="C53" s="219"/>
      <c r="D53" s="219"/>
      <c r="E53" s="219"/>
      <c r="F53" s="219"/>
      <c r="G53" s="220">
        <f>SUM(G51:G52)</f>
        <v>7.8439999999999994</v>
      </c>
      <c r="H53" s="219"/>
    </row>
    <row r="54" spans="1:8" ht="19.5" customHeight="1" x14ac:dyDescent="0.35">
      <c r="A54" s="22"/>
      <c r="B54" s="325" t="s">
        <v>869</v>
      </c>
      <c r="C54" s="325"/>
      <c r="D54" s="325"/>
      <c r="E54" s="325"/>
      <c r="F54" s="325"/>
      <c r="G54" s="325"/>
      <c r="H54" s="325"/>
    </row>
    <row r="55" spans="1:8" ht="31.5" customHeight="1" x14ac:dyDescent="0.35">
      <c r="A55" s="196">
        <v>3</v>
      </c>
      <c r="B55" s="219" t="s">
        <v>922</v>
      </c>
      <c r="C55" s="212" t="s">
        <v>65</v>
      </c>
      <c r="D55" s="219"/>
      <c r="E55" s="229">
        <f>$D$20*1.05</f>
        <v>0.89250000000000018</v>
      </c>
      <c r="F55" s="228">
        <v>6.36</v>
      </c>
      <c r="G55" s="198">
        <f>E55*F55</f>
        <v>5.6763000000000012</v>
      </c>
      <c r="H55" s="112" t="s">
        <v>923</v>
      </c>
    </row>
    <row r="56" spans="1:8" ht="19.5" customHeight="1" x14ac:dyDescent="0.35">
      <c r="A56" s="196">
        <v>4</v>
      </c>
      <c r="B56" s="219" t="s">
        <v>924</v>
      </c>
      <c r="C56" s="212" t="s">
        <v>55</v>
      </c>
      <c r="D56" s="219"/>
      <c r="E56" s="230">
        <v>2</v>
      </c>
      <c r="F56" s="228">
        <v>1.02</v>
      </c>
      <c r="G56" s="198">
        <f>E56*F56</f>
        <v>2.04</v>
      </c>
      <c r="H56" s="112" t="s">
        <v>925</v>
      </c>
    </row>
    <row r="57" spans="1:8" ht="19.5" customHeight="1" x14ac:dyDescent="0.35">
      <c r="A57" s="196">
        <v>5</v>
      </c>
      <c r="B57" s="219" t="s">
        <v>926</v>
      </c>
      <c r="C57" s="212" t="s">
        <v>55</v>
      </c>
      <c r="D57" s="219"/>
      <c r="E57" s="230">
        <v>2</v>
      </c>
      <c r="F57" s="228">
        <v>0.25</v>
      </c>
      <c r="G57" s="198">
        <f>E57*F57</f>
        <v>0.5</v>
      </c>
      <c r="H57" s="112" t="s">
        <v>927</v>
      </c>
    </row>
    <row r="58" spans="1:8" ht="19.5" customHeight="1" x14ac:dyDescent="0.35">
      <c r="A58" s="22"/>
      <c r="B58" s="218" t="s">
        <v>877</v>
      </c>
      <c r="C58" s="219"/>
      <c r="D58" s="219"/>
      <c r="E58" s="219"/>
      <c r="F58" s="219"/>
      <c r="G58" s="220">
        <f>SUM(G55:G57)</f>
        <v>8.2163000000000004</v>
      </c>
      <c r="H58" s="219"/>
    </row>
    <row r="59" spans="1:8" ht="19.5" customHeight="1" x14ac:dyDescent="0.35">
      <c r="A59" s="22"/>
      <c r="B59" s="325" t="s">
        <v>878</v>
      </c>
      <c r="C59" s="325"/>
      <c r="D59" s="325"/>
      <c r="E59" s="325"/>
      <c r="F59" s="325"/>
      <c r="G59" s="325"/>
      <c r="H59" s="325"/>
    </row>
    <row r="60" spans="1:8" ht="19.5" customHeight="1" x14ac:dyDescent="0.35">
      <c r="A60" s="196">
        <v>6</v>
      </c>
      <c r="B60" s="219" t="s">
        <v>740</v>
      </c>
      <c r="C60" s="212" t="s">
        <v>741</v>
      </c>
      <c r="D60" s="219"/>
      <c r="E60" s="231">
        <v>0.05</v>
      </c>
      <c r="F60" s="198">
        <f>+G53</f>
        <v>7.8439999999999994</v>
      </c>
      <c r="G60" s="198">
        <f>E60*F60</f>
        <v>0.39219999999999999</v>
      </c>
      <c r="H60" s="112" t="s">
        <v>917</v>
      </c>
    </row>
    <row r="61" spans="1:8" ht="19.5" customHeight="1" x14ac:dyDescent="0.35">
      <c r="A61" s="22"/>
      <c r="B61" s="218" t="s">
        <v>879</v>
      </c>
      <c r="C61" s="219"/>
      <c r="D61" s="219"/>
      <c r="E61" s="219"/>
      <c r="F61" s="219"/>
      <c r="G61" s="220">
        <f>SUM(G60:G60)</f>
        <v>0.39219999999999999</v>
      </c>
      <c r="H61" s="219"/>
    </row>
    <row r="62" spans="1:8" ht="21.75" customHeight="1" x14ac:dyDescent="0.35">
      <c r="A62" s="325" t="s">
        <v>928</v>
      </c>
      <c r="B62" s="325"/>
      <c r="C62" s="325"/>
      <c r="D62" s="325"/>
      <c r="E62" s="325"/>
      <c r="F62" s="325"/>
      <c r="G62" s="220">
        <f>+G53+G58+G61</f>
        <v>16.452499999999997</v>
      </c>
      <c r="H62" s="219"/>
    </row>
    <row r="63" spans="1:8" ht="21.75" customHeight="1" x14ac:dyDescent="0.35">
      <c r="A63" s="325" t="s">
        <v>880</v>
      </c>
      <c r="B63" s="325"/>
      <c r="C63" s="325"/>
      <c r="D63" s="325"/>
      <c r="E63" s="325"/>
      <c r="F63" s="325"/>
      <c r="G63" s="220">
        <f>G62*C47</f>
        <v>14905.964999999997</v>
      </c>
      <c r="H63" s="219"/>
    </row>
    <row r="65" spans="1:8" ht="21.75" customHeight="1" x14ac:dyDescent="0.35">
      <c r="A65" s="325" t="s">
        <v>929</v>
      </c>
      <c r="B65" s="325"/>
      <c r="C65" s="325"/>
      <c r="D65" s="325"/>
      <c r="E65" s="325"/>
      <c r="F65" s="325"/>
      <c r="G65" s="325"/>
      <c r="H65" s="325"/>
    </row>
    <row r="66" spans="1:8" ht="19.5" customHeight="1" x14ac:dyDescent="0.35">
      <c r="A66" s="325" t="s">
        <v>452</v>
      </c>
      <c r="B66" s="325"/>
      <c r="C66" s="219" t="s">
        <v>55</v>
      </c>
      <c r="D66" s="219"/>
      <c r="E66" s="219"/>
      <c r="F66" s="219"/>
      <c r="G66" s="219"/>
      <c r="H66" s="219"/>
    </row>
    <row r="67" spans="1:8" ht="19.5" customHeight="1" x14ac:dyDescent="0.35">
      <c r="A67" s="325" t="s">
        <v>860</v>
      </c>
      <c r="B67" s="325"/>
      <c r="C67" s="198">
        <f>+'PLANILLA GENERAL DE METRADOS'!K127</f>
        <v>44</v>
      </c>
      <c r="D67" s="219"/>
      <c r="E67" s="219"/>
      <c r="F67" s="219"/>
      <c r="G67" s="219"/>
      <c r="H67" s="219"/>
    </row>
    <row r="68" spans="1:8" ht="19.5" customHeight="1" x14ac:dyDescent="0.35">
      <c r="A68" s="325" t="s">
        <v>920</v>
      </c>
      <c r="B68" s="325"/>
      <c r="C68" s="228">
        <v>30</v>
      </c>
      <c r="D68" s="219"/>
      <c r="E68" s="324" t="s">
        <v>930</v>
      </c>
      <c r="F68" s="324"/>
      <c r="G68" s="324"/>
      <c r="H68" s="324"/>
    </row>
    <row r="69" spans="1:8" ht="31.5" customHeight="1" x14ac:dyDescent="0.35">
      <c r="A69" s="195" t="s">
        <v>275</v>
      </c>
      <c r="B69" s="195" t="s">
        <v>862</v>
      </c>
      <c r="C69" s="195" t="s">
        <v>137</v>
      </c>
      <c r="D69" s="195" t="s">
        <v>863</v>
      </c>
      <c r="E69" s="195" t="s">
        <v>194</v>
      </c>
      <c r="F69" s="195" t="s">
        <v>864</v>
      </c>
      <c r="G69" s="195" t="s">
        <v>855</v>
      </c>
      <c r="H69" s="195" t="s">
        <v>909</v>
      </c>
    </row>
    <row r="70" spans="1:8" ht="19.5" customHeight="1" x14ac:dyDescent="0.35">
      <c r="A70" s="22"/>
      <c r="B70" s="325" t="s">
        <v>866</v>
      </c>
      <c r="C70" s="325"/>
      <c r="D70" s="325"/>
      <c r="E70" s="325"/>
      <c r="F70" s="325"/>
      <c r="G70" s="325"/>
      <c r="H70" s="325"/>
    </row>
    <row r="71" spans="1:8" ht="31.5" customHeight="1" x14ac:dyDescent="0.35">
      <c r="A71" s="196">
        <v>1</v>
      </c>
      <c r="B71" s="219" t="s">
        <v>910</v>
      </c>
      <c r="C71" s="212" t="s">
        <v>728</v>
      </c>
      <c r="D71" s="231">
        <v>1</v>
      </c>
      <c r="E71" s="229">
        <f>D71*8/$C$68</f>
        <v>0.26666666666666666</v>
      </c>
      <c r="F71" s="228">
        <f>'COSTO HORA HOMBRE 2026'!$G$11</f>
        <v>28.95</v>
      </c>
      <c r="G71" s="198">
        <f>E71*F71</f>
        <v>7.72</v>
      </c>
      <c r="H71" s="112" t="s">
        <v>867</v>
      </c>
    </row>
    <row r="72" spans="1:8" ht="31.5" customHeight="1" x14ac:dyDescent="0.35">
      <c r="A72" s="196">
        <v>2</v>
      </c>
      <c r="B72" s="219" t="s">
        <v>730</v>
      </c>
      <c r="C72" s="212" t="s">
        <v>728</v>
      </c>
      <c r="D72" s="231">
        <v>0.5</v>
      </c>
      <c r="E72" s="229">
        <f>D72*8/$C$68</f>
        <v>0.13333333333333333</v>
      </c>
      <c r="F72" s="228">
        <f>'COSTO HORA HOMBRE 2026'!$G$13</f>
        <v>20.54</v>
      </c>
      <c r="G72" s="198">
        <f>E72*F72</f>
        <v>2.7386666666666666</v>
      </c>
      <c r="H72" s="112" t="s">
        <v>867</v>
      </c>
    </row>
    <row r="73" spans="1:8" ht="19.5" customHeight="1" x14ac:dyDescent="0.35">
      <c r="A73" s="22"/>
      <c r="B73" s="218" t="s">
        <v>868</v>
      </c>
      <c r="C73" s="219"/>
      <c r="D73" s="219"/>
      <c r="E73" s="219"/>
      <c r="F73" s="219"/>
      <c r="G73" s="220">
        <f>SUM(G71:G72)</f>
        <v>10.458666666666666</v>
      </c>
      <c r="H73" s="219"/>
    </row>
    <row r="74" spans="1:8" ht="19.5" customHeight="1" x14ac:dyDescent="0.35">
      <c r="A74" s="22"/>
      <c r="B74" s="325" t="s">
        <v>869</v>
      </c>
      <c r="C74" s="325"/>
      <c r="D74" s="325"/>
      <c r="E74" s="325"/>
      <c r="F74" s="325"/>
      <c r="G74" s="325"/>
      <c r="H74" s="325"/>
    </row>
    <row r="75" spans="1:8" ht="31.5" customHeight="1" x14ac:dyDescent="0.35">
      <c r="A75" s="196">
        <v>3</v>
      </c>
      <c r="B75" s="219" t="s">
        <v>911</v>
      </c>
      <c r="C75" s="212" t="s">
        <v>153</v>
      </c>
      <c r="D75" s="219"/>
      <c r="E75" s="229">
        <f>($D$11*$D$12+2*($D$11+$D$12)*0.03)*1.1</f>
        <v>8.4700000000000011E-2</v>
      </c>
      <c r="F75" s="228">
        <v>26.95</v>
      </c>
      <c r="G75" s="198">
        <f>E75*F75</f>
        <v>2.2826650000000002</v>
      </c>
      <c r="H75" s="112" t="s">
        <v>931</v>
      </c>
    </row>
    <row r="76" spans="1:8" ht="19.5" customHeight="1" x14ac:dyDescent="0.35">
      <c r="A76" s="196">
        <v>4</v>
      </c>
      <c r="B76" s="219" t="s">
        <v>913</v>
      </c>
      <c r="C76" s="212" t="s">
        <v>55</v>
      </c>
      <c r="D76" s="219"/>
      <c r="E76" s="230">
        <v>6</v>
      </c>
      <c r="F76" s="228">
        <v>0.1</v>
      </c>
      <c r="G76" s="198">
        <f>E76*F76</f>
        <v>0.60000000000000009</v>
      </c>
      <c r="H76" s="112" t="s">
        <v>932</v>
      </c>
    </row>
    <row r="77" spans="1:8" ht="19.5" customHeight="1" x14ac:dyDescent="0.35">
      <c r="A77" s="196">
        <v>5</v>
      </c>
      <c r="B77" s="219" t="s">
        <v>915</v>
      </c>
      <c r="C77" s="212" t="s">
        <v>55</v>
      </c>
      <c r="D77" s="219"/>
      <c r="E77" s="229">
        <f>($D$11+2*$D$12)/8</f>
        <v>8.1250000000000003E-2</v>
      </c>
      <c r="F77" s="228">
        <v>21.19</v>
      </c>
      <c r="G77" s="198">
        <f>E77*F77</f>
        <v>1.7216875000000003</v>
      </c>
      <c r="H77" s="112" t="s">
        <v>933</v>
      </c>
    </row>
    <row r="78" spans="1:8" ht="19.5" customHeight="1" x14ac:dyDescent="0.35">
      <c r="A78" s="22"/>
      <c r="B78" s="218" t="s">
        <v>877</v>
      </c>
      <c r="C78" s="219"/>
      <c r="D78" s="219"/>
      <c r="E78" s="219"/>
      <c r="F78" s="219"/>
      <c r="G78" s="220">
        <f>SUM(G75:G77)</f>
        <v>4.604352500000001</v>
      </c>
      <c r="H78" s="219"/>
    </row>
    <row r="79" spans="1:8" ht="19.5" customHeight="1" x14ac:dyDescent="0.35">
      <c r="A79" s="22"/>
      <c r="B79" s="325" t="s">
        <v>878</v>
      </c>
      <c r="C79" s="325"/>
      <c r="D79" s="325"/>
      <c r="E79" s="325"/>
      <c r="F79" s="325"/>
      <c r="G79" s="325"/>
      <c r="H79" s="325"/>
    </row>
    <row r="80" spans="1:8" ht="19.5" customHeight="1" x14ac:dyDescent="0.35">
      <c r="A80" s="196">
        <v>6</v>
      </c>
      <c r="B80" s="219" t="s">
        <v>740</v>
      </c>
      <c r="C80" s="212" t="s">
        <v>741</v>
      </c>
      <c r="D80" s="219"/>
      <c r="E80" s="231">
        <v>0.05</v>
      </c>
      <c r="F80" s="198">
        <f>+G73</f>
        <v>10.458666666666666</v>
      </c>
      <c r="G80" s="198">
        <f>E80*F80</f>
        <v>0.52293333333333336</v>
      </c>
      <c r="H80" s="112" t="s">
        <v>917</v>
      </c>
    </row>
    <row r="81" spans="1:8" ht="19.5" customHeight="1" x14ac:dyDescent="0.35">
      <c r="A81" s="22"/>
      <c r="B81" s="218" t="s">
        <v>879</v>
      </c>
      <c r="C81" s="219"/>
      <c r="D81" s="219"/>
      <c r="E81" s="219"/>
      <c r="F81" s="219"/>
      <c r="G81" s="220">
        <f>SUM(G80:G80)</f>
        <v>0.52293333333333336</v>
      </c>
      <c r="H81" s="219"/>
    </row>
    <row r="82" spans="1:8" ht="21.75" customHeight="1" x14ac:dyDescent="0.35">
      <c r="A82" s="325" t="s">
        <v>928</v>
      </c>
      <c r="B82" s="325"/>
      <c r="C82" s="325"/>
      <c r="D82" s="325"/>
      <c r="E82" s="325"/>
      <c r="F82" s="325"/>
      <c r="G82" s="220">
        <f>+G73+G78+G81</f>
        <v>15.585952499999999</v>
      </c>
      <c r="H82" s="219"/>
    </row>
    <row r="83" spans="1:8" ht="21.75" customHeight="1" x14ac:dyDescent="0.35">
      <c r="A83" s="325" t="s">
        <v>880</v>
      </c>
      <c r="B83" s="325"/>
      <c r="C83" s="325"/>
      <c r="D83" s="325"/>
      <c r="E83" s="325"/>
      <c r="F83" s="325"/>
      <c r="G83" s="220">
        <f>G82*C67</f>
        <v>685.78190999999993</v>
      </c>
      <c r="H83" s="219"/>
    </row>
    <row r="85" spans="1:8" ht="21.75" customHeight="1" x14ac:dyDescent="0.35">
      <c r="A85" s="325" t="s">
        <v>934</v>
      </c>
      <c r="B85" s="325"/>
      <c r="C85" s="325"/>
      <c r="D85" s="325"/>
      <c r="E85" s="325"/>
      <c r="F85" s="325"/>
      <c r="G85" s="325"/>
      <c r="H85" s="325"/>
    </row>
    <row r="86" spans="1:8" ht="19.5" customHeight="1" x14ac:dyDescent="0.35">
      <c r="A86" s="325" t="s">
        <v>452</v>
      </c>
      <c r="B86" s="325"/>
      <c r="C86" s="219" t="s">
        <v>55</v>
      </c>
      <c r="D86" s="219"/>
      <c r="E86" s="219"/>
      <c r="F86" s="219"/>
      <c r="G86" s="219"/>
      <c r="H86" s="219"/>
    </row>
    <row r="87" spans="1:8" ht="19.5" customHeight="1" x14ac:dyDescent="0.35">
      <c r="A87" s="325" t="s">
        <v>860</v>
      </c>
      <c r="B87" s="325"/>
      <c r="C87" s="198">
        <f>+'PLANILLA GENERAL DE METRADOS'!K128</f>
        <v>52</v>
      </c>
      <c r="D87" s="219"/>
      <c r="E87" s="219"/>
      <c r="F87" s="219"/>
      <c r="G87" s="219"/>
      <c r="H87" s="219"/>
    </row>
    <row r="88" spans="1:8" ht="19.5" customHeight="1" x14ac:dyDescent="0.35">
      <c r="A88" s="325" t="s">
        <v>920</v>
      </c>
      <c r="B88" s="325"/>
      <c r="C88" s="228">
        <v>16</v>
      </c>
      <c r="D88" s="219"/>
      <c r="E88" s="324" t="s">
        <v>935</v>
      </c>
      <c r="F88" s="324"/>
      <c r="G88" s="324"/>
      <c r="H88" s="324"/>
    </row>
    <row r="89" spans="1:8" ht="31.5" customHeight="1" x14ac:dyDescent="0.35">
      <c r="A89" s="195" t="s">
        <v>275</v>
      </c>
      <c r="B89" s="195" t="s">
        <v>862</v>
      </c>
      <c r="C89" s="195" t="s">
        <v>137</v>
      </c>
      <c r="D89" s="195" t="s">
        <v>863</v>
      </c>
      <c r="E89" s="195" t="s">
        <v>194</v>
      </c>
      <c r="F89" s="195" t="s">
        <v>864</v>
      </c>
      <c r="G89" s="195" t="s">
        <v>855</v>
      </c>
      <c r="H89" s="195" t="s">
        <v>909</v>
      </c>
    </row>
    <row r="90" spans="1:8" ht="19.5" customHeight="1" x14ac:dyDescent="0.35">
      <c r="A90" s="22"/>
      <c r="B90" s="325" t="s">
        <v>866</v>
      </c>
      <c r="C90" s="325"/>
      <c r="D90" s="325"/>
      <c r="E90" s="325"/>
      <c r="F90" s="325"/>
      <c r="G90" s="325"/>
      <c r="H90" s="325"/>
    </row>
    <row r="91" spans="1:8" ht="31.5" customHeight="1" x14ac:dyDescent="0.35">
      <c r="A91" s="196">
        <v>1</v>
      </c>
      <c r="B91" s="219" t="s">
        <v>910</v>
      </c>
      <c r="C91" s="212" t="s">
        <v>728</v>
      </c>
      <c r="D91" s="231">
        <v>1</v>
      </c>
      <c r="E91" s="229">
        <f>D91*8/$C$88</f>
        <v>0.5</v>
      </c>
      <c r="F91" s="228">
        <f>'COSTO HORA HOMBRE 2026'!$G$11</f>
        <v>28.95</v>
      </c>
      <c r="G91" s="198">
        <f>E91*F91</f>
        <v>14.475</v>
      </c>
      <c r="H91" s="112" t="s">
        <v>867</v>
      </c>
    </row>
    <row r="92" spans="1:8" ht="31.5" customHeight="1" x14ac:dyDescent="0.35">
      <c r="A92" s="196">
        <v>2</v>
      </c>
      <c r="B92" s="219" t="s">
        <v>730</v>
      </c>
      <c r="C92" s="212" t="s">
        <v>728</v>
      </c>
      <c r="D92" s="231">
        <v>0.5</v>
      </c>
      <c r="E92" s="229">
        <f>D92*8/$C$88</f>
        <v>0.25</v>
      </c>
      <c r="F92" s="228">
        <f>'COSTO HORA HOMBRE 2026'!$G$13</f>
        <v>20.54</v>
      </c>
      <c r="G92" s="198">
        <f>E92*F92</f>
        <v>5.1349999999999998</v>
      </c>
      <c r="H92" s="112" t="s">
        <v>867</v>
      </c>
    </row>
    <row r="93" spans="1:8" ht="19.5" customHeight="1" x14ac:dyDescent="0.35">
      <c r="A93" s="22"/>
      <c r="B93" s="218" t="s">
        <v>868</v>
      </c>
      <c r="C93" s="219"/>
      <c r="D93" s="219"/>
      <c r="E93" s="219"/>
      <c r="F93" s="219"/>
      <c r="G93" s="220">
        <f>SUM(G91:G92)</f>
        <v>19.61</v>
      </c>
      <c r="H93" s="219"/>
    </row>
    <row r="94" spans="1:8" ht="19.5" customHeight="1" x14ac:dyDescent="0.35">
      <c r="A94" s="22"/>
      <c r="B94" s="325" t="s">
        <v>869</v>
      </c>
      <c r="C94" s="325"/>
      <c r="D94" s="325"/>
      <c r="E94" s="325"/>
      <c r="F94" s="325"/>
      <c r="G94" s="325"/>
      <c r="H94" s="325"/>
    </row>
    <row r="95" spans="1:8" ht="31.5" customHeight="1" x14ac:dyDescent="0.35">
      <c r="A95" s="196">
        <v>3</v>
      </c>
      <c r="B95" s="219" t="s">
        <v>911</v>
      </c>
      <c r="C95" s="212" t="s">
        <v>153</v>
      </c>
      <c r="D95" s="219"/>
      <c r="E95" s="229">
        <f>(PI()*0.1016*0.15+0.2*0.2)*1.15</f>
        <v>0.10105955284681473</v>
      </c>
      <c r="F95" s="228">
        <v>26.95</v>
      </c>
      <c r="G95" s="198">
        <f>E95*F95</f>
        <v>2.7235549492216569</v>
      </c>
      <c r="H95" s="112" t="s">
        <v>936</v>
      </c>
    </row>
    <row r="96" spans="1:8" ht="19.5" customHeight="1" x14ac:dyDescent="0.35">
      <c r="A96" s="196">
        <v>4</v>
      </c>
      <c r="B96" s="219" t="s">
        <v>913</v>
      </c>
      <c r="C96" s="212" t="s">
        <v>55</v>
      </c>
      <c r="D96" s="219"/>
      <c r="E96" s="230">
        <v>8</v>
      </c>
      <c r="F96" s="228">
        <v>0.1</v>
      </c>
      <c r="G96" s="198">
        <f>E96*F96</f>
        <v>0.8</v>
      </c>
      <c r="H96" s="112" t="s">
        <v>937</v>
      </c>
    </row>
    <row r="97" spans="1:8" ht="31.5" customHeight="1" x14ac:dyDescent="0.35">
      <c r="A97" s="196">
        <v>5</v>
      </c>
      <c r="B97" s="219" t="s">
        <v>915</v>
      </c>
      <c r="C97" s="212" t="s">
        <v>55</v>
      </c>
      <c r="D97" s="219"/>
      <c r="E97" s="229">
        <f>(4*0.2+PI()*0.1016)/8</f>
        <v>0.13989822670059038</v>
      </c>
      <c r="F97" s="228">
        <v>21.19</v>
      </c>
      <c r="G97" s="198">
        <f>E97*F97</f>
        <v>2.9644434237855104</v>
      </c>
      <c r="H97" s="112" t="s">
        <v>938</v>
      </c>
    </row>
    <row r="98" spans="1:8" ht="19.5" customHeight="1" x14ac:dyDescent="0.35">
      <c r="A98" s="22"/>
      <c r="B98" s="218" t="s">
        <v>877</v>
      </c>
      <c r="C98" s="219"/>
      <c r="D98" s="219"/>
      <c r="E98" s="219"/>
      <c r="F98" s="219"/>
      <c r="G98" s="220">
        <f>SUM(G95:G97)</f>
        <v>6.4879983730071675</v>
      </c>
      <c r="H98" s="219"/>
    </row>
    <row r="99" spans="1:8" ht="19.5" customHeight="1" x14ac:dyDescent="0.35">
      <c r="A99" s="22"/>
      <c r="B99" s="325" t="s">
        <v>878</v>
      </c>
      <c r="C99" s="325"/>
      <c r="D99" s="325"/>
      <c r="E99" s="325"/>
      <c r="F99" s="325"/>
      <c r="G99" s="325"/>
      <c r="H99" s="325"/>
    </row>
    <row r="100" spans="1:8" ht="19.5" customHeight="1" x14ac:dyDescent="0.35">
      <c r="A100" s="196">
        <v>6</v>
      </c>
      <c r="B100" s="219" t="s">
        <v>740</v>
      </c>
      <c r="C100" s="212" t="s">
        <v>741</v>
      </c>
      <c r="D100" s="219"/>
      <c r="E100" s="231">
        <v>0.05</v>
      </c>
      <c r="F100" s="198">
        <f>+G93</f>
        <v>19.61</v>
      </c>
      <c r="G100" s="198">
        <f>E100*F100</f>
        <v>0.98050000000000004</v>
      </c>
      <c r="H100" s="112" t="s">
        <v>917</v>
      </c>
    </row>
    <row r="101" spans="1:8" ht="19.5" customHeight="1" x14ac:dyDescent="0.35">
      <c r="A101" s="22"/>
      <c r="B101" s="218" t="s">
        <v>879</v>
      </c>
      <c r="C101" s="219"/>
      <c r="D101" s="219"/>
      <c r="E101" s="219"/>
      <c r="F101" s="219"/>
      <c r="G101" s="220">
        <f>SUM(G100:G100)</f>
        <v>0.98050000000000004</v>
      </c>
      <c r="H101" s="219"/>
    </row>
    <row r="102" spans="1:8" ht="21.75" customHeight="1" x14ac:dyDescent="0.35">
      <c r="A102" s="325" t="s">
        <v>928</v>
      </c>
      <c r="B102" s="325"/>
      <c r="C102" s="325"/>
      <c r="D102" s="325"/>
      <c r="E102" s="325"/>
      <c r="F102" s="325"/>
      <c r="G102" s="220">
        <f>+G93+G98+G101</f>
        <v>27.078498373007164</v>
      </c>
      <c r="H102" s="219"/>
    </row>
    <row r="103" spans="1:8" ht="21.75" customHeight="1" x14ac:dyDescent="0.35">
      <c r="A103" s="325" t="s">
        <v>880</v>
      </c>
      <c r="B103" s="325"/>
      <c r="C103" s="325"/>
      <c r="D103" s="325"/>
      <c r="E103" s="325"/>
      <c r="F103" s="325"/>
      <c r="G103" s="220">
        <f>G102*C87</f>
        <v>1408.0819153963726</v>
      </c>
      <c r="H103" s="219"/>
    </row>
    <row r="105" spans="1:8" ht="19.5" customHeight="1" x14ac:dyDescent="0.35">
      <c r="A105" s="325" t="s">
        <v>939</v>
      </c>
      <c r="B105" s="325"/>
      <c r="C105" s="325"/>
      <c r="D105" s="325"/>
      <c r="E105" s="325"/>
      <c r="F105" s="325"/>
      <c r="G105" s="325"/>
      <c r="H105" s="325"/>
    </row>
    <row r="106" spans="1:8" ht="19.5" customHeight="1" x14ac:dyDescent="0.35">
      <c r="A106" s="195"/>
      <c r="B106" s="195" t="s">
        <v>692</v>
      </c>
      <c r="C106" s="195" t="s">
        <v>137</v>
      </c>
      <c r="D106" s="195" t="s">
        <v>714</v>
      </c>
      <c r="E106" s="195" t="s">
        <v>940</v>
      </c>
      <c r="F106" s="195" t="s">
        <v>855</v>
      </c>
      <c r="G106" s="195"/>
      <c r="H106" s="195"/>
    </row>
    <row r="107" spans="1:8" ht="31.5" customHeight="1" x14ac:dyDescent="0.35">
      <c r="A107" s="112" t="s">
        <v>74</v>
      </c>
      <c r="B107" s="112" t="s">
        <v>941</v>
      </c>
      <c r="C107" s="212" t="s">
        <v>65</v>
      </c>
      <c r="D107" s="198">
        <f>+C27</f>
        <v>523.15999999999985</v>
      </c>
      <c r="E107" s="198">
        <f>+G42</f>
        <v>40.057848504098359</v>
      </c>
      <c r="F107" s="198">
        <f>+G43</f>
        <v>20956.664023404093</v>
      </c>
      <c r="G107" s="219"/>
      <c r="H107" s="219"/>
    </row>
    <row r="108" spans="1:8" ht="31.5" customHeight="1" x14ac:dyDescent="0.35">
      <c r="A108" s="112" t="s">
        <v>76</v>
      </c>
      <c r="B108" s="112" t="s">
        <v>77</v>
      </c>
      <c r="C108" s="212" t="s">
        <v>55</v>
      </c>
      <c r="D108" s="198">
        <f>+C47</f>
        <v>906</v>
      </c>
      <c r="E108" s="198">
        <f>+G62</f>
        <v>16.452499999999997</v>
      </c>
      <c r="F108" s="198">
        <f>+G63</f>
        <v>14905.964999999997</v>
      </c>
      <c r="G108" s="219"/>
      <c r="H108" s="219"/>
    </row>
    <row r="109" spans="1:8" ht="31.5" customHeight="1" x14ac:dyDescent="0.35">
      <c r="A109" s="112" t="s">
        <v>78</v>
      </c>
      <c r="B109" s="112" t="s">
        <v>79</v>
      </c>
      <c r="C109" s="212" t="s">
        <v>55</v>
      </c>
      <c r="D109" s="198">
        <f>+C67</f>
        <v>44</v>
      </c>
      <c r="E109" s="198">
        <f>+G82</f>
        <v>15.585952499999999</v>
      </c>
      <c r="F109" s="198">
        <f>+G83</f>
        <v>685.78190999999993</v>
      </c>
      <c r="G109" s="219"/>
      <c r="H109" s="219"/>
    </row>
    <row r="110" spans="1:8" ht="31.5" customHeight="1" x14ac:dyDescent="0.35">
      <c r="A110" s="112" t="s">
        <v>80</v>
      </c>
      <c r="B110" s="112" t="s">
        <v>942</v>
      </c>
      <c r="C110" s="212" t="s">
        <v>55</v>
      </c>
      <c r="D110" s="198">
        <f>+C87</f>
        <v>52</v>
      </c>
      <c r="E110" s="198">
        <f>+G102</f>
        <v>27.078498373007164</v>
      </c>
      <c r="F110" s="198">
        <f>+G103</f>
        <v>1408.0819153963726</v>
      </c>
      <c r="G110" s="219"/>
      <c r="H110" s="219"/>
    </row>
    <row r="111" spans="1:8" ht="19.5" customHeight="1" x14ac:dyDescent="0.35">
      <c r="A111" s="219"/>
      <c r="B111" s="218" t="s">
        <v>943</v>
      </c>
      <c r="C111" s="219"/>
      <c r="D111" s="219"/>
      <c r="E111" s="219"/>
      <c r="F111" s="220">
        <f>SUM(F107:F110)</f>
        <v>37956.492848800466</v>
      </c>
      <c r="G111" s="219"/>
      <c r="H111" s="219"/>
    </row>
  </sheetData>
  <mergeCells count="52">
    <mergeCell ref="A1:H1"/>
    <mergeCell ref="A2:B2"/>
    <mergeCell ref="C2:H2"/>
    <mergeCell ref="A3:B3"/>
    <mergeCell ref="C3:H3"/>
    <mergeCell ref="A4:B4"/>
    <mergeCell ref="C4:H4"/>
    <mergeCell ref="A5:B5"/>
    <mergeCell ref="C5:H5"/>
    <mergeCell ref="A7:H7"/>
    <mergeCell ref="A9:H9"/>
    <mergeCell ref="A25:H25"/>
    <mergeCell ref="A26:B26"/>
    <mergeCell ref="A27:B27"/>
    <mergeCell ref="A28:B28"/>
    <mergeCell ref="E28:H28"/>
    <mergeCell ref="B30:H30"/>
    <mergeCell ref="B34:H34"/>
    <mergeCell ref="B39:H39"/>
    <mergeCell ref="A42:F42"/>
    <mergeCell ref="A43:F43"/>
    <mergeCell ref="A45:H45"/>
    <mergeCell ref="A46:B46"/>
    <mergeCell ref="A47:B47"/>
    <mergeCell ref="A48:B48"/>
    <mergeCell ref="E48:H48"/>
    <mergeCell ref="B50:H50"/>
    <mergeCell ref="B54:H54"/>
    <mergeCell ref="B59:H59"/>
    <mergeCell ref="A62:F62"/>
    <mergeCell ref="A63:F63"/>
    <mergeCell ref="A65:H65"/>
    <mergeCell ref="A66:B66"/>
    <mergeCell ref="A67:B67"/>
    <mergeCell ref="A68:B68"/>
    <mergeCell ref="E68:H68"/>
    <mergeCell ref="B70:H70"/>
    <mergeCell ref="B74:H74"/>
    <mergeCell ref="B79:H79"/>
    <mergeCell ref="A82:F82"/>
    <mergeCell ref="A83:F83"/>
    <mergeCell ref="A85:H85"/>
    <mergeCell ref="A86:B86"/>
    <mergeCell ref="A87:B87"/>
    <mergeCell ref="A88:B88"/>
    <mergeCell ref="E88:H88"/>
    <mergeCell ref="A105:H105"/>
    <mergeCell ref="B90:H90"/>
    <mergeCell ref="B94:H94"/>
    <mergeCell ref="B99:H99"/>
    <mergeCell ref="A102:F102"/>
    <mergeCell ref="A103:F103"/>
  </mergeCells>
  <pageMargins left="0.5" right="0.5" top="0.75" bottom="0.75" header="0.511811023622047" footer="0.511811023622047"/>
  <pageSetup paperSize="9" fitToHeight="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44"/>
  <sheetViews>
    <sheetView showGridLines="0" topLeftCell="A34" zoomScaleNormal="100" workbookViewId="0"/>
  </sheetViews>
  <sheetFormatPr baseColWidth="10" defaultColWidth="8.7265625" defaultRowHeight="14.5" x14ac:dyDescent="0.35"/>
  <cols>
    <col min="1" max="1" width="6" customWidth="1"/>
    <col min="2" max="2" width="58" customWidth="1"/>
    <col min="3" max="3" width="12" customWidth="1"/>
    <col min="4" max="6" width="14" customWidth="1"/>
    <col min="7" max="7" width="40" customWidth="1"/>
  </cols>
  <sheetData>
    <row r="1" spans="1:8" ht="27" customHeight="1" x14ac:dyDescent="0.35">
      <c r="A1" s="329" t="s">
        <v>1179</v>
      </c>
      <c r="B1" s="329"/>
      <c r="C1" s="329"/>
      <c r="D1" s="329"/>
      <c r="E1" s="329"/>
      <c r="F1" s="329"/>
      <c r="G1" s="329"/>
      <c r="H1" s="329"/>
    </row>
    <row r="2" spans="1:8" ht="24.75" customHeight="1" x14ac:dyDescent="0.35">
      <c r="A2" s="315" t="s">
        <v>1</v>
      </c>
      <c r="B2" s="315"/>
      <c r="C2" s="316" t="str">
        <f>+RESUMEN!B4</f>
        <v>GERENCIA TERRITORIAL BAJO MAYO - TARAPOTO</v>
      </c>
      <c r="D2" s="316"/>
      <c r="E2" s="316"/>
      <c r="F2" s="316"/>
      <c r="G2" s="316"/>
      <c r="H2" s="330"/>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30"/>
    </row>
    <row r="4" spans="1:8" ht="24.75" customHeight="1" x14ac:dyDescent="0.35">
      <c r="A4" s="315" t="s">
        <v>5</v>
      </c>
      <c r="B4" s="315"/>
      <c r="C4" s="316" t="str">
        <f>+RESUMEN!B6</f>
        <v>SAN MARTIN - SAN MARTIN - MORALES</v>
      </c>
      <c r="D4" s="316"/>
      <c r="E4" s="316"/>
      <c r="F4" s="316"/>
      <c r="G4" s="316"/>
      <c r="H4" s="330"/>
    </row>
    <row r="5" spans="1:8" ht="24.75" customHeight="1" x14ac:dyDescent="0.35">
      <c r="A5" s="315" t="s">
        <v>7</v>
      </c>
      <c r="B5" s="315"/>
      <c r="C5" s="317">
        <f>+RESUMEN!B7</f>
        <v>46266</v>
      </c>
      <c r="D5" s="317"/>
      <c r="E5" s="317"/>
      <c r="F5" s="317"/>
      <c r="G5" s="317"/>
      <c r="H5" s="330"/>
    </row>
    <row r="7" spans="1:8" ht="66" customHeight="1" x14ac:dyDescent="0.35">
      <c r="A7" s="321" t="s">
        <v>1180</v>
      </c>
      <c r="B7" s="321"/>
      <c r="C7" s="321"/>
      <c r="D7" s="321"/>
      <c r="E7" s="321"/>
      <c r="F7" s="321"/>
      <c r="G7" s="321"/>
      <c r="H7" s="321"/>
    </row>
    <row r="9" spans="1:8" ht="19.5" customHeight="1" x14ac:dyDescent="0.35">
      <c r="A9" s="326" t="s">
        <v>947</v>
      </c>
      <c r="B9" s="326"/>
      <c r="C9" s="326"/>
      <c r="D9" s="326"/>
      <c r="E9" s="326"/>
      <c r="F9" s="326"/>
      <c r="G9" s="326"/>
      <c r="H9" s="326"/>
    </row>
    <row r="10" spans="1:8" ht="31.5" customHeight="1" x14ac:dyDescent="0.35">
      <c r="A10" s="206" t="s">
        <v>275</v>
      </c>
      <c r="B10" s="206" t="s">
        <v>658</v>
      </c>
      <c r="C10" s="206" t="s">
        <v>659</v>
      </c>
      <c r="D10" s="206" t="s">
        <v>660</v>
      </c>
      <c r="E10" s="206"/>
      <c r="F10" s="206" t="s">
        <v>948</v>
      </c>
      <c r="G10" s="206" t="s">
        <v>445</v>
      </c>
      <c r="H10" s="206"/>
    </row>
    <row r="11" spans="1:8" ht="19.5" customHeight="1" x14ac:dyDescent="0.35">
      <c r="A11" s="207">
        <v>1</v>
      </c>
      <c r="B11" s="217" t="str">
        <f>+'COLECTOR REGISTROS Y TAPAS'!B10</f>
        <v>RV-01</v>
      </c>
      <c r="C11" s="217" t="str">
        <f>+'COLECTOR REGISTROS Y TAPAS'!C10</f>
        <v>0+007.01</v>
      </c>
      <c r="D11" s="111" t="str">
        <f>+'COLECTOR REGISTROS Y TAPAS'!D10</f>
        <v>Registro en la losa del colector; empalme cuneta Eje 09</v>
      </c>
      <c r="E11" s="217"/>
      <c r="F11" s="212">
        <f>+'COLECTOR REGISTROS Y TAPAS'!E10</f>
        <v>1</v>
      </c>
      <c r="G11" s="111" t="str">
        <f>+'COLECTOR REGISTROS Y TAPAS'!F10</f>
        <v>DPLV-17, DPLV-23</v>
      </c>
      <c r="H11" s="217"/>
    </row>
    <row r="12" spans="1:8" ht="19.5" customHeight="1" x14ac:dyDescent="0.35">
      <c r="A12" s="207">
        <v>2</v>
      </c>
      <c r="B12" s="217" t="str">
        <f>+'COLECTOR REGISTROS Y TAPAS'!B11</f>
        <v>RV-02</v>
      </c>
      <c r="C12" s="217" t="str">
        <f>+'COLECTOR REGISTROS Y TAPAS'!C11</f>
        <v>0+013.52</v>
      </c>
      <c r="D12" s="111" t="str">
        <f>+'COLECTOR REGISTROS Y TAPAS'!D11</f>
        <v>Registro en la losa del colector; limpieza</v>
      </c>
      <c r="E12" s="217"/>
      <c r="F12" s="212">
        <f>+'COLECTOR REGISTROS Y TAPAS'!E11</f>
        <v>1</v>
      </c>
      <c r="G12" s="111" t="str">
        <f>+'COLECTOR REGISTROS Y TAPAS'!F11</f>
        <v>DPLV-17, DPLV-23</v>
      </c>
      <c r="H12" s="217"/>
    </row>
    <row r="13" spans="1:8" ht="19.5" customHeight="1" x14ac:dyDescent="0.35">
      <c r="A13" s="207">
        <v>3</v>
      </c>
      <c r="B13" s="217" t="str">
        <f>+'COLECTOR REGISTROS Y TAPAS'!B12</f>
        <v>RV-03</v>
      </c>
      <c r="C13" s="217" t="str">
        <f>+'COLECTOR REGISTROS Y TAPAS'!C12</f>
        <v>0+020.02</v>
      </c>
      <c r="D13" s="111" t="str">
        <f>+'COLECTOR REGISTROS Y TAPAS'!D12</f>
        <v>Registro en la losa del colector; empalme cuneta Eje 08</v>
      </c>
      <c r="E13" s="217"/>
      <c r="F13" s="212">
        <f>+'COLECTOR REGISTROS Y TAPAS'!E12</f>
        <v>1</v>
      </c>
      <c r="G13" s="111" t="str">
        <f>+'COLECTOR REGISTROS Y TAPAS'!F12</f>
        <v>DPLV-17, DPLV-23</v>
      </c>
      <c r="H13" s="217"/>
    </row>
    <row r="14" spans="1:8" ht="19.5" customHeight="1" x14ac:dyDescent="0.35">
      <c r="A14" s="207">
        <v>4</v>
      </c>
      <c r="B14" s="217" t="str">
        <f>+'COLECTOR REGISTROS Y TAPAS'!B13</f>
        <v>RV-04</v>
      </c>
      <c r="C14" s="217" t="str">
        <f>+'COLECTOR REGISTROS Y TAPAS'!C13</f>
        <v>0+028.72</v>
      </c>
      <c r="D14" s="111" t="str">
        <f>+'COLECTOR REGISTROS Y TAPAS'!D13</f>
        <v>Registro en la losa del colector; limpieza</v>
      </c>
      <c r="E14" s="217"/>
      <c r="F14" s="212">
        <f>+'COLECTOR REGISTROS Y TAPAS'!E13</f>
        <v>1</v>
      </c>
      <c r="G14" s="111" t="str">
        <f>+'COLECTOR REGISTROS Y TAPAS'!F13</f>
        <v>DPLV-17, DPLV-23</v>
      </c>
      <c r="H14" s="217"/>
    </row>
    <row r="15" spans="1:8" ht="19.5" customHeight="1" x14ac:dyDescent="0.35">
      <c r="A15" s="207">
        <v>5</v>
      </c>
      <c r="B15" s="217" t="str">
        <f>+'COLECTOR REGISTROS Y TAPAS'!B14</f>
        <v>RV-05</v>
      </c>
      <c r="C15" s="217" t="str">
        <f>+'COLECTOR REGISTROS Y TAPAS'!C14</f>
        <v>0+037.41</v>
      </c>
      <c r="D15" s="111" t="str">
        <f>+'COLECTOR REGISTROS Y TAPAS'!D14</f>
        <v>Registro en la losa del colector; limpieza</v>
      </c>
      <c r="E15" s="217"/>
      <c r="F15" s="212">
        <f>+'COLECTOR REGISTROS Y TAPAS'!E14</f>
        <v>1</v>
      </c>
      <c r="G15" s="111" t="str">
        <f>+'COLECTOR REGISTROS Y TAPAS'!F14</f>
        <v>DPLV-17, DPLV-23</v>
      </c>
      <c r="H15" s="217"/>
    </row>
    <row r="16" spans="1:8" ht="19.5" customHeight="1" x14ac:dyDescent="0.35">
      <c r="A16" s="207">
        <v>6</v>
      </c>
      <c r="B16" s="217" t="str">
        <f>+'COLECTOR REGISTROS Y TAPAS'!B15</f>
        <v>RV-06</v>
      </c>
      <c r="C16" s="217" t="str">
        <f>+'COLECTOR REGISTROS Y TAPAS'!C15</f>
        <v>0+046.11</v>
      </c>
      <c r="D16" s="111" t="str">
        <f>+'COLECTOR REGISTROS Y TAPAS'!D15</f>
        <v>Registro en la losa del colector; empalme cuneta Eje 06</v>
      </c>
      <c r="E16" s="217"/>
      <c r="F16" s="212">
        <f>+'COLECTOR REGISTROS Y TAPAS'!E15</f>
        <v>1</v>
      </c>
      <c r="G16" s="111" t="str">
        <f>+'COLECTOR REGISTROS Y TAPAS'!F15</f>
        <v>DPLV-17, DPLV-23</v>
      </c>
      <c r="H16" s="217"/>
    </row>
    <row r="17" spans="1:8" ht="19.5" customHeight="1" x14ac:dyDescent="0.35">
      <c r="A17" s="207">
        <v>7</v>
      </c>
      <c r="B17" s="217" t="str">
        <f>+'COLECTOR REGISTROS Y TAPAS'!B16</f>
        <v>RV-07</v>
      </c>
      <c r="C17" s="217" t="str">
        <f>+'COLECTOR REGISTROS Y TAPAS'!C16</f>
        <v>0+056.47</v>
      </c>
      <c r="D17" s="111" t="str">
        <f>+'COLECTOR REGISTROS Y TAPAS'!D16</f>
        <v>Registro en la losa del colector; limpieza</v>
      </c>
      <c r="E17" s="217"/>
      <c r="F17" s="212">
        <f>+'COLECTOR REGISTROS Y TAPAS'!E16</f>
        <v>1</v>
      </c>
      <c r="G17" s="111" t="str">
        <f>+'COLECTOR REGISTROS Y TAPAS'!F16</f>
        <v>DPLV-17, DPLV-23</v>
      </c>
      <c r="H17" s="217"/>
    </row>
    <row r="18" spans="1:8" ht="19.5" customHeight="1" x14ac:dyDescent="0.35">
      <c r="A18" s="207">
        <v>8</v>
      </c>
      <c r="B18" s="217" t="str">
        <f>+'COLECTOR REGISTROS Y TAPAS'!B17</f>
        <v>RV-08</v>
      </c>
      <c r="C18" s="217" t="str">
        <f>+'COLECTOR REGISTROS Y TAPAS'!C17</f>
        <v>0+066.84</v>
      </c>
      <c r="D18" s="111" t="str">
        <f>+'COLECTOR REGISTROS Y TAPAS'!D17</f>
        <v>Registro en la losa del colector; limpieza</v>
      </c>
      <c r="E18" s="217"/>
      <c r="F18" s="212">
        <f>+'COLECTOR REGISTROS Y TAPAS'!E17</f>
        <v>1</v>
      </c>
      <c r="G18" s="111" t="str">
        <f>+'COLECTOR REGISTROS Y TAPAS'!F17</f>
        <v>DPLV-17, DPLV-23</v>
      </c>
      <c r="H18" s="217"/>
    </row>
    <row r="19" spans="1:8" ht="19.5" customHeight="1" x14ac:dyDescent="0.35">
      <c r="A19" s="207">
        <v>9</v>
      </c>
      <c r="B19" s="217" t="str">
        <f>+'COLECTOR REGISTROS Y TAPAS'!B18</f>
        <v>RV-09</v>
      </c>
      <c r="C19" s="217" t="str">
        <f>+'COLECTOR REGISTROS Y TAPAS'!C18</f>
        <v>0+077.20</v>
      </c>
      <c r="D19" s="111" t="str">
        <f>+'COLECTOR REGISTROS Y TAPAS'!D18</f>
        <v>Registro en la losa del colector; empalme cuneta Eje 04</v>
      </c>
      <c r="E19" s="217"/>
      <c r="F19" s="212">
        <f>+'COLECTOR REGISTROS Y TAPAS'!E18</f>
        <v>1</v>
      </c>
      <c r="G19" s="111" t="str">
        <f>+'COLECTOR REGISTROS Y TAPAS'!F18</f>
        <v>DPLV-17, DPLV-23</v>
      </c>
      <c r="H19" s="217"/>
    </row>
    <row r="20" spans="1:8" ht="19.5" customHeight="1" x14ac:dyDescent="0.35">
      <c r="A20" s="207">
        <v>10</v>
      </c>
      <c r="B20" s="217" t="str">
        <f>+'COLECTOR REGISTROS Y TAPAS'!B19</f>
        <v>RV-10</v>
      </c>
      <c r="C20" s="217" t="str">
        <f>+'COLECTOR REGISTROS Y TAPAS'!C19</f>
        <v>0+089.05</v>
      </c>
      <c r="D20" s="111" t="str">
        <f>+'COLECTOR REGISTROS Y TAPAS'!D19</f>
        <v>Registro en la losa del colector; limpieza</v>
      </c>
      <c r="E20" s="217"/>
      <c r="F20" s="212">
        <f>+'COLECTOR REGISTROS Y TAPAS'!E19</f>
        <v>1</v>
      </c>
      <c r="G20" s="111" t="str">
        <f>+'COLECTOR REGISTROS Y TAPAS'!F19</f>
        <v>DPLV-17, DPLV-23</v>
      </c>
      <c r="H20" s="217"/>
    </row>
    <row r="21" spans="1:8" ht="19.5" customHeight="1" x14ac:dyDescent="0.35">
      <c r="A21" s="207">
        <v>11</v>
      </c>
      <c r="B21" s="217" t="str">
        <f>+'COLECTOR REGISTROS Y TAPAS'!B20</f>
        <v>RV-11</v>
      </c>
      <c r="C21" s="217" t="str">
        <f>+'COLECTOR REGISTROS Y TAPAS'!C20</f>
        <v>0+100.90</v>
      </c>
      <c r="D21" s="111" t="str">
        <f>+'COLECTOR REGISTROS Y TAPAS'!D20</f>
        <v>Registro en la losa del colector; quiebre; inicio del tramo de empalme con la CL</v>
      </c>
      <c r="E21" s="217"/>
      <c r="F21" s="212">
        <f>+'COLECTOR REGISTROS Y TAPAS'!E20</f>
        <v>1</v>
      </c>
      <c r="G21" s="111" t="str">
        <f>+'COLECTOR REGISTROS Y TAPAS'!F20</f>
        <v>DPLV-17, DPLV-23</v>
      </c>
      <c r="H21" s="217"/>
    </row>
    <row r="22" spans="1:8" ht="19.5" customHeight="1" x14ac:dyDescent="0.35">
      <c r="A22" s="21"/>
      <c r="B22" s="216" t="s">
        <v>949</v>
      </c>
      <c r="C22" s="217"/>
      <c r="D22" s="217"/>
      <c r="E22" s="217"/>
      <c r="F22" s="218">
        <f>SUM(F11:F21)</f>
        <v>11</v>
      </c>
      <c r="G22" s="217"/>
      <c r="H22" s="217"/>
    </row>
    <row r="24" spans="1:8" ht="19.5" customHeight="1" x14ac:dyDescent="0.35">
      <c r="A24" s="326" t="s">
        <v>950</v>
      </c>
      <c r="B24" s="326"/>
      <c r="C24" s="326"/>
      <c r="D24" s="326"/>
      <c r="E24" s="326"/>
      <c r="F24" s="326"/>
      <c r="G24" s="326"/>
      <c r="H24" s="326"/>
    </row>
    <row r="25" spans="1:8" ht="31.5" customHeight="1" x14ac:dyDescent="0.35">
      <c r="A25" s="206" t="s">
        <v>275</v>
      </c>
      <c r="B25" s="206" t="s">
        <v>853</v>
      </c>
      <c r="C25" s="206" t="s">
        <v>137</v>
      </c>
      <c r="D25" s="206" t="s">
        <v>951</v>
      </c>
      <c r="E25" s="206" t="s">
        <v>952</v>
      </c>
      <c r="F25" s="206" t="s">
        <v>136</v>
      </c>
      <c r="G25" s="206" t="s">
        <v>445</v>
      </c>
      <c r="H25" s="206"/>
    </row>
    <row r="26" spans="1:8" ht="19.5" customHeight="1" x14ac:dyDescent="0.35">
      <c r="A26" s="21"/>
      <c r="B26" s="326" t="s">
        <v>953</v>
      </c>
      <c r="C26" s="326"/>
      <c r="D26" s="326"/>
      <c r="E26" s="326"/>
      <c r="F26" s="326"/>
      <c r="G26" s="326"/>
      <c r="H26" s="326"/>
    </row>
    <row r="27" spans="1:8" ht="31.5" customHeight="1" x14ac:dyDescent="0.35">
      <c r="A27" s="207">
        <v>1</v>
      </c>
      <c r="B27" s="111" t="s">
        <v>1181</v>
      </c>
      <c r="C27" s="209" t="s">
        <v>152</v>
      </c>
      <c r="D27" s="3">
        <f>'COLECTOR PARAMETROS'!$C$31^2*'COLECTOR PARAMETROS'!$C$32</f>
        <v>3.6992000000000011E-2</v>
      </c>
      <c r="E27" s="212">
        <f>+$F$22</f>
        <v>11</v>
      </c>
      <c r="F27" s="212">
        <f>D27*E27</f>
        <v>0.40691200000000011</v>
      </c>
      <c r="G27" s="111" t="s">
        <v>1182</v>
      </c>
      <c r="H27" s="217"/>
    </row>
    <row r="28" spans="1:8" ht="19.5" customHeight="1" x14ac:dyDescent="0.35">
      <c r="A28" s="21"/>
      <c r="B28" s="216" t="s">
        <v>954</v>
      </c>
      <c r="C28" s="209" t="s">
        <v>152</v>
      </c>
      <c r="D28" s="212">
        <f>SUM(D27:D27)</f>
        <v>3.6992000000000011E-2</v>
      </c>
      <c r="E28" s="217"/>
      <c r="F28" s="218">
        <f>SUM(F27:F27)</f>
        <v>0.40691200000000011</v>
      </c>
      <c r="G28" s="217"/>
      <c r="H28" s="217"/>
    </row>
    <row r="29" spans="1:8" ht="19.5" customHeight="1" x14ac:dyDescent="0.35">
      <c r="A29" s="21"/>
      <c r="B29" s="326" t="s">
        <v>1183</v>
      </c>
      <c r="C29" s="326"/>
      <c r="D29" s="326"/>
      <c r="E29" s="326"/>
      <c r="F29" s="326"/>
      <c r="G29" s="326"/>
      <c r="H29" s="326"/>
    </row>
    <row r="30" spans="1:8" ht="31.5" customHeight="1" x14ac:dyDescent="0.35">
      <c r="A30" s="207">
        <v>2</v>
      </c>
      <c r="B30" s="111" t="s">
        <v>1184</v>
      </c>
      <c r="C30" s="209" t="s">
        <v>153</v>
      </c>
      <c r="D30" s="3">
        <f>'COLECTOR PARAMETROS'!$C$35*'COLECTOR PARAMETROS'!$C$32</f>
        <v>0.21760000000000002</v>
      </c>
      <c r="E30" s="212">
        <f>+$F$22</f>
        <v>11</v>
      </c>
      <c r="F30" s="212">
        <f>D30*E30</f>
        <v>2.3936000000000002</v>
      </c>
      <c r="G30" s="111" t="s">
        <v>1182</v>
      </c>
      <c r="H30" s="217"/>
    </row>
    <row r="31" spans="1:8" ht="19.5" customHeight="1" x14ac:dyDescent="0.35">
      <c r="A31" s="21"/>
      <c r="B31" s="216" t="s">
        <v>1185</v>
      </c>
      <c r="C31" s="209" t="s">
        <v>153</v>
      </c>
      <c r="D31" s="212">
        <f>SUM(D30:D30)</f>
        <v>0.21760000000000002</v>
      </c>
      <c r="E31" s="217"/>
      <c r="F31" s="218">
        <f>SUM(F30:F30)</f>
        <v>2.3936000000000002</v>
      </c>
      <c r="G31" s="217"/>
      <c r="H31" s="217"/>
    </row>
    <row r="32" spans="1:8" ht="19.5" customHeight="1" x14ac:dyDescent="0.35">
      <c r="A32" s="21"/>
      <c r="B32" s="326" t="s">
        <v>1186</v>
      </c>
      <c r="C32" s="326"/>
      <c r="D32" s="326"/>
      <c r="E32" s="326"/>
      <c r="F32" s="326"/>
      <c r="G32" s="326"/>
      <c r="H32" s="326"/>
    </row>
    <row r="33" spans="1:8" ht="31.5" customHeight="1" x14ac:dyDescent="0.35">
      <c r="A33" s="207">
        <v>3</v>
      </c>
      <c r="B33" s="111" t="s">
        <v>955</v>
      </c>
      <c r="C33" s="209" t="s">
        <v>46</v>
      </c>
      <c r="D33" s="3">
        <f>'COLECTOR ACERO'!U18/'COLECTOR ACERO'!F18</f>
        <v>4.8608000000000011</v>
      </c>
      <c r="E33" s="212">
        <f>+$F$22</f>
        <v>11</v>
      </c>
      <c r="F33" s="212">
        <f>D33*E33</f>
        <v>53.468800000000016</v>
      </c>
      <c r="G33" s="111" t="s">
        <v>962</v>
      </c>
      <c r="H33" s="217"/>
    </row>
    <row r="34" spans="1:8" ht="31.5" customHeight="1" x14ac:dyDescent="0.35">
      <c r="A34" s="207">
        <v>4</v>
      </c>
      <c r="B34" s="111" t="s">
        <v>1187</v>
      </c>
      <c r="C34" s="209" t="s">
        <v>46</v>
      </c>
      <c r="D34" s="3">
        <f>'COLECTOR ACERO'!U19/'COLECTOR ACERO'!F19</f>
        <v>0.99399999999999988</v>
      </c>
      <c r="E34" s="212">
        <f>+$F$22</f>
        <v>11</v>
      </c>
      <c r="F34" s="212">
        <f>D34*E34</f>
        <v>10.933999999999999</v>
      </c>
      <c r="G34" s="111" t="s">
        <v>963</v>
      </c>
      <c r="H34" s="217"/>
    </row>
    <row r="35" spans="1:8" ht="31.5" customHeight="1" x14ac:dyDescent="0.35">
      <c r="A35" s="207">
        <v>5</v>
      </c>
      <c r="B35" s="111" t="s">
        <v>956</v>
      </c>
      <c r="C35" s="209" t="s">
        <v>46</v>
      </c>
      <c r="D35" s="3">
        <f>'COLECTOR ACERO'!U17/'COLECTOR ACERO'!F17</f>
        <v>11.1328</v>
      </c>
      <c r="E35" s="212">
        <f>+$F$22</f>
        <v>11</v>
      </c>
      <c r="F35" s="212">
        <f>D35*E35</f>
        <v>122.46079999999999</v>
      </c>
      <c r="G35" s="111" t="s">
        <v>964</v>
      </c>
      <c r="H35" s="217"/>
    </row>
    <row r="36" spans="1:8" ht="19.5" customHeight="1" x14ac:dyDescent="0.35">
      <c r="A36" s="21"/>
      <c r="B36" s="216" t="s">
        <v>1188</v>
      </c>
      <c r="C36" s="209" t="s">
        <v>46</v>
      </c>
      <c r="D36" s="212">
        <f>SUM(D33:D35)</f>
        <v>16.9876</v>
      </c>
      <c r="E36" s="217"/>
      <c r="F36" s="218">
        <f>SUM(F33:F35)</f>
        <v>186.86360000000002</v>
      </c>
      <c r="G36" s="217"/>
      <c r="H36" s="217"/>
    </row>
    <row r="38" spans="1:8" ht="19.5" customHeight="1" x14ac:dyDescent="0.35">
      <c r="A38" s="326" t="s">
        <v>957</v>
      </c>
      <c r="B38" s="326"/>
      <c r="C38" s="326"/>
      <c r="D38" s="326"/>
      <c r="E38" s="326"/>
      <c r="F38" s="326"/>
      <c r="G38" s="326"/>
      <c r="H38" s="326"/>
    </row>
    <row r="39" spans="1:8" ht="31.5" customHeight="1" x14ac:dyDescent="0.35">
      <c r="A39" s="206"/>
      <c r="B39" s="206" t="s">
        <v>853</v>
      </c>
      <c r="C39" s="206" t="s">
        <v>137</v>
      </c>
      <c r="D39" s="206"/>
      <c r="E39" s="206" t="s">
        <v>958</v>
      </c>
      <c r="F39" s="206" t="s">
        <v>959</v>
      </c>
      <c r="G39" s="206" t="s">
        <v>960</v>
      </c>
      <c r="H39" s="206"/>
    </row>
    <row r="40" spans="1:8" ht="19.5" customHeight="1" x14ac:dyDescent="0.35">
      <c r="A40" s="21"/>
      <c r="B40" s="111" t="s">
        <v>961</v>
      </c>
      <c r="C40" s="209" t="s">
        <v>152</v>
      </c>
      <c r="D40" s="217"/>
      <c r="E40" s="212">
        <f>+F28</f>
        <v>0.40691200000000011</v>
      </c>
      <c r="F40" s="212">
        <f>'COLECTOR REGISTROS Y TAPAS'!E28</f>
        <v>0.40691200000000005</v>
      </c>
      <c r="G40" s="217" t="str">
        <f>IF(ABS(E40-F40)&lt;0.0005,"CONFORME","REVISAR")</f>
        <v>CONFORME</v>
      </c>
      <c r="H40" s="217"/>
    </row>
    <row r="41" spans="1:8" ht="19.5" customHeight="1" x14ac:dyDescent="0.35">
      <c r="A41" s="21"/>
      <c r="B41" s="111" t="s">
        <v>1189</v>
      </c>
      <c r="C41" s="209" t="s">
        <v>153</v>
      </c>
      <c r="D41" s="217"/>
      <c r="E41" s="212">
        <f>+F31</f>
        <v>2.3936000000000002</v>
      </c>
      <c r="F41" s="212">
        <f>'COLECTOR REGISTROS Y TAPAS'!E26</f>
        <v>2.3936000000000002</v>
      </c>
      <c r="G41" s="217" t="str">
        <f>IF(ABS(E41-F41)&lt;0.0005,"CONFORME","REVISAR")</f>
        <v>CONFORME</v>
      </c>
      <c r="H41" s="217"/>
    </row>
    <row r="42" spans="1:8" ht="19.5" customHeight="1" x14ac:dyDescent="0.35">
      <c r="A42" s="21"/>
      <c r="B42" s="111" t="s">
        <v>1190</v>
      </c>
      <c r="C42" s="209" t="s">
        <v>46</v>
      </c>
      <c r="D42" s="217"/>
      <c r="E42" s="212">
        <f>+F36</f>
        <v>186.86360000000002</v>
      </c>
      <c r="F42" s="212">
        <f>'COLECTOR ACERO'!U17+'COLECTOR REGISTROS Y TAPAS'!E27</f>
        <v>186.86360000000002</v>
      </c>
      <c r="G42" s="217" t="str">
        <f>IF(ABS(E42-F42)&lt;0.0005,"CONFORME","REVISAR")</f>
        <v>CONFORME</v>
      </c>
      <c r="H42" s="217"/>
    </row>
    <row r="44" spans="1:8" ht="33" customHeight="1" x14ac:dyDescent="0.35">
      <c r="A44" s="321" t="s">
        <v>1191</v>
      </c>
      <c r="B44" s="321"/>
      <c r="C44" s="321"/>
      <c r="D44" s="321"/>
      <c r="E44" s="321"/>
      <c r="F44" s="321"/>
      <c r="G44" s="321"/>
      <c r="H44" s="321"/>
    </row>
  </sheetData>
  <mergeCells count="17">
    <mergeCell ref="A1:H1"/>
    <mergeCell ref="A2:B2"/>
    <mergeCell ref="C2:H2"/>
    <mergeCell ref="A3:B3"/>
    <mergeCell ref="C3:H3"/>
    <mergeCell ref="A4:B4"/>
    <mergeCell ref="C4:H4"/>
    <mergeCell ref="A5:B5"/>
    <mergeCell ref="C5:H5"/>
    <mergeCell ref="A7:H7"/>
    <mergeCell ref="A38:H38"/>
    <mergeCell ref="A44:H44"/>
    <mergeCell ref="A9:H9"/>
    <mergeCell ref="A24:H24"/>
    <mergeCell ref="B26:H26"/>
    <mergeCell ref="B29:H29"/>
    <mergeCell ref="B32:H32"/>
  </mergeCells>
  <pageMargins left="0.5" right="0.5" top="0.75" bottom="0.75" header="0.511811023622047" footer="0.511811023622047"/>
  <pageSetup paperSize="9" fitToHeight="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46"/>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965</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966</v>
      </c>
      <c r="B7" s="318"/>
      <c r="C7" s="318"/>
      <c r="D7" s="318"/>
      <c r="E7" s="318"/>
      <c r="F7" s="318"/>
      <c r="G7" s="318"/>
      <c r="H7" s="318"/>
    </row>
    <row r="9" spans="1:8" ht="19.5" customHeight="1" x14ac:dyDescent="0.35">
      <c r="A9" s="325" t="s">
        <v>967</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1008</v>
      </c>
      <c r="C11" s="212" t="s">
        <v>65</v>
      </c>
      <c r="D11" s="229">
        <f>'COLECTOR JUNTAS Y EMPALMES'!E11</f>
        <v>4.6399999999999997</v>
      </c>
      <c r="E11" s="219"/>
      <c r="F11" s="219"/>
      <c r="G11" s="219"/>
      <c r="H11" s="112" t="s">
        <v>968</v>
      </c>
    </row>
    <row r="12" spans="1:8" ht="31.5" customHeight="1" x14ac:dyDescent="0.35">
      <c r="A12" s="196">
        <v>2</v>
      </c>
      <c r="B12" s="112" t="s">
        <v>969</v>
      </c>
      <c r="C12" s="212" t="s">
        <v>55</v>
      </c>
      <c r="D12" s="229">
        <f>'COLECTOR JUNTAS Y EMPALMES'!D11</f>
        <v>26</v>
      </c>
      <c r="E12" s="219"/>
      <c r="F12" s="219"/>
      <c r="G12" s="219"/>
      <c r="H12" s="112" t="s">
        <v>970</v>
      </c>
    </row>
    <row r="13" spans="1:8" ht="31.5" customHeight="1" x14ac:dyDescent="0.35">
      <c r="A13" s="196">
        <v>3</v>
      </c>
      <c r="B13" s="112" t="s">
        <v>1009</v>
      </c>
      <c r="C13" s="212" t="s">
        <v>153</v>
      </c>
      <c r="D13" s="229">
        <f>0.9*(0.15+1.17+0.1)-0.6*1.17</f>
        <v>0.57600000000000007</v>
      </c>
      <c r="E13" s="219"/>
      <c r="F13" s="219"/>
      <c r="G13" s="219"/>
      <c r="H13" s="112" t="s">
        <v>971</v>
      </c>
    </row>
    <row r="14" spans="1:8" ht="31.5" customHeight="1" x14ac:dyDescent="0.35">
      <c r="A14" s="196">
        <v>4</v>
      </c>
      <c r="B14" s="112" t="s">
        <v>972</v>
      </c>
      <c r="C14" s="212" t="s">
        <v>539</v>
      </c>
      <c r="D14" s="229">
        <f>D13/D11</f>
        <v>0.12413793103448278</v>
      </c>
      <c r="E14" s="219"/>
      <c r="F14" s="219"/>
      <c r="G14" s="219"/>
      <c r="H14" s="112" t="s">
        <v>973</v>
      </c>
    </row>
    <row r="15" spans="1:8" ht="31.5" customHeight="1" x14ac:dyDescent="0.35">
      <c r="A15" s="196">
        <v>5</v>
      </c>
      <c r="B15" s="112" t="s">
        <v>974</v>
      </c>
      <c r="C15" s="212" t="s">
        <v>473</v>
      </c>
      <c r="D15" s="230">
        <v>0.1</v>
      </c>
      <c r="E15" s="219"/>
      <c r="F15" s="219"/>
      <c r="G15" s="219"/>
      <c r="H15" s="112" t="s">
        <v>975</v>
      </c>
    </row>
    <row r="16" spans="1:8" ht="31.5" customHeight="1" x14ac:dyDescent="0.35">
      <c r="A16" s="196">
        <v>6</v>
      </c>
      <c r="B16" s="112" t="s">
        <v>976</v>
      </c>
      <c r="C16" s="212" t="s">
        <v>153</v>
      </c>
      <c r="D16" s="230">
        <v>2.88</v>
      </c>
      <c r="E16" s="219"/>
      <c r="F16" s="219"/>
      <c r="G16" s="219"/>
      <c r="H16" s="112" t="s">
        <v>977</v>
      </c>
    </row>
    <row r="17" spans="1:8" ht="31.5" customHeight="1" x14ac:dyDescent="0.35">
      <c r="A17" s="196">
        <v>7</v>
      </c>
      <c r="B17" s="112" t="s">
        <v>978</v>
      </c>
      <c r="C17" s="212" t="s">
        <v>979</v>
      </c>
      <c r="D17" s="229">
        <f>D14*(1+D15)/D16</f>
        <v>4.7413793103448287E-2</v>
      </c>
      <c r="E17" s="219"/>
      <c r="F17" s="219"/>
      <c r="G17" s="219"/>
      <c r="H17" s="112" t="s">
        <v>973</v>
      </c>
    </row>
    <row r="18" spans="1:8" ht="31.5" customHeight="1" x14ac:dyDescent="0.35">
      <c r="A18" s="196">
        <v>8</v>
      </c>
      <c r="B18" s="112" t="s">
        <v>1010</v>
      </c>
      <c r="C18" s="212" t="s">
        <v>65</v>
      </c>
      <c r="D18" s="229">
        <f>2*1.17+0.6+0.9</f>
        <v>3.84</v>
      </c>
      <c r="E18" s="219"/>
      <c r="F18" s="219"/>
      <c r="G18" s="219"/>
      <c r="H18" s="112" t="s">
        <v>971</v>
      </c>
    </row>
    <row r="19" spans="1:8" ht="31.5" customHeight="1" x14ac:dyDescent="0.35">
      <c r="A19" s="196">
        <v>9</v>
      </c>
      <c r="B19" s="112" t="s">
        <v>980</v>
      </c>
      <c r="C19" s="212" t="s">
        <v>153</v>
      </c>
      <c r="D19" s="229">
        <f>0.0254*0.0508</f>
        <v>1.29032E-3</v>
      </c>
      <c r="E19" s="219"/>
      <c r="F19" s="219"/>
      <c r="G19" s="219"/>
      <c r="H19" s="112" t="s">
        <v>981</v>
      </c>
    </row>
    <row r="20" spans="1:8" ht="31.5" customHeight="1" x14ac:dyDescent="0.35">
      <c r="A20" s="196">
        <v>10</v>
      </c>
      <c r="B20" s="112" t="s">
        <v>982</v>
      </c>
      <c r="C20" s="212" t="s">
        <v>983</v>
      </c>
      <c r="D20" s="229">
        <f>D19*D18/D11</f>
        <v>1.0678510344827587E-3</v>
      </c>
      <c r="E20" s="219"/>
      <c r="F20" s="219"/>
      <c r="G20" s="219"/>
      <c r="H20" s="112" t="s">
        <v>973</v>
      </c>
    </row>
    <row r="21" spans="1:8" ht="31.5" customHeight="1" x14ac:dyDescent="0.35">
      <c r="A21" s="196">
        <v>11</v>
      </c>
      <c r="B21" s="112" t="s">
        <v>984</v>
      </c>
      <c r="C21" s="212" t="s">
        <v>985</v>
      </c>
      <c r="D21" s="230">
        <v>50</v>
      </c>
      <c r="E21" s="219"/>
      <c r="F21" s="219"/>
      <c r="G21" s="219"/>
      <c r="H21" s="112" t="s">
        <v>986</v>
      </c>
    </row>
    <row r="22" spans="1:8" ht="31.5" customHeight="1" x14ac:dyDescent="0.35">
      <c r="A22" s="196">
        <v>12</v>
      </c>
      <c r="B22" s="112" t="s">
        <v>987</v>
      </c>
      <c r="C22" s="212" t="s">
        <v>988</v>
      </c>
      <c r="D22" s="230">
        <v>1.05</v>
      </c>
      <c r="E22" s="219"/>
      <c r="F22" s="219"/>
      <c r="G22" s="219"/>
      <c r="H22" s="112" t="s">
        <v>989</v>
      </c>
    </row>
    <row r="23" spans="1:8" ht="31.5" customHeight="1" x14ac:dyDescent="0.35">
      <c r="A23" s="196">
        <v>13</v>
      </c>
      <c r="B23" s="112" t="s">
        <v>990</v>
      </c>
      <c r="C23" s="212" t="s">
        <v>991</v>
      </c>
      <c r="D23" s="229">
        <f>'COLECTOR INSUMOS'!G71</f>
        <v>0.2</v>
      </c>
      <c r="E23" s="219"/>
      <c r="F23" s="219"/>
      <c r="G23" s="219"/>
      <c r="H23" s="112" t="s">
        <v>992</v>
      </c>
    </row>
    <row r="24" spans="1:8" ht="31.5" customHeight="1" x14ac:dyDescent="0.35">
      <c r="A24" s="196">
        <v>14</v>
      </c>
      <c r="B24" s="112" t="s">
        <v>993</v>
      </c>
      <c r="C24" s="212" t="s">
        <v>991</v>
      </c>
      <c r="D24" s="229">
        <f>'COLECTOR INSUMOS'!G72</f>
        <v>0.2</v>
      </c>
      <c r="E24" s="219"/>
      <c r="F24" s="219"/>
      <c r="G24" s="219"/>
      <c r="H24" s="112" t="s">
        <v>994</v>
      </c>
    </row>
    <row r="26" spans="1:8" ht="19.5" customHeight="1" x14ac:dyDescent="0.35">
      <c r="A26" s="325" t="s">
        <v>995</v>
      </c>
      <c r="B26" s="325"/>
      <c r="C26" s="325"/>
      <c r="D26" s="325"/>
      <c r="E26" s="325"/>
      <c r="F26" s="325"/>
      <c r="G26" s="325"/>
      <c r="H26" s="325"/>
    </row>
    <row r="27" spans="1:8" ht="19.5" customHeight="1" x14ac:dyDescent="0.35">
      <c r="A27" s="325" t="s">
        <v>858</v>
      </c>
      <c r="B27" s="325"/>
      <c r="C27" s="324" t="s">
        <v>996</v>
      </c>
      <c r="D27" s="324"/>
      <c r="E27" s="324"/>
      <c r="F27" s="324"/>
      <c r="G27" s="324"/>
      <c r="H27" s="324"/>
    </row>
    <row r="28" spans="1:8" ht="19.5" customHeight="1" x14ac:dyDescent="0.35">
      <c r="A28" s="325" t="s">
        <v>859</v>
      </c>
      <c r="B28" s="325"/>
      <c r="C28" s="324" t="s">
        <v>997</v>
      </c>
      <c r="D28" s="324"/>
      <c r="E28" s="324"/>
      <c r="F28" s="324"/>
      <c r="G28" s="324"/>
      <c r="H28" s="324"/>
    </row>
    <row r="29" spans="1:8" ht="19.5" customHeight="1" x14ac:dyDescent="0.35">
      <c r="A29" s="325" t="s">
        <v>452</v>
      </c>
      <c r="B29" s="325"/>
      <c r="C29" s="324" t="s">
        <v>65</v>
      </c>
      <c r="D29" s="324"/>
      <c r="E29" s="324"/>
      <c r="F29" s="324"/>
      <c r="G29" s="324"/>
      <c r="H29" s="324"/>
    </row>
    <row r="30" spans="1:8" ht="19.5" customHeight="1" x14ac:dyDescent="0.35">
      <c r="A30" s="325" t="s">
        <v>860</v>
      </c>
      <c r="B30" s="325"/>
      <c r="C30" s="331">
        <f>'COLECTOR JUNTAS Y EMPALMES'!F12</f>
        <v>120.63999999999999</v>
      </c>
      <c r="D30" s="331"/>
      <c r="E30" s="331"/>
      <c r="F30" s="331"/>
      <c r="G30" s="331"/>
      <c r="H30" s="331"/>
    </row>
    <row r="31" spans="1:8" ht="19.5" customHeight="1" x14ac:dyDescent="0.35">
      <c r="A31" s="325" t="s">
        <v>998</v>
      </c>
      <c r="B31" s="325"/>
      <c r="C31" s="331">
        <f>8/E34</f>
        <v>40</v>
      </c>
      <c r="D31" s="331"/>
      <c r="E31" s="331"/>
      <c r="F31" s="331"/>
      <c r="G31" s="331"/>
      <c r="H31" s="331"/>
    </row>
    <row r="32" spans="1:8" ht="31.5" customHeight="1" x14ac:dyDescent="0.35">
      <c r="A32" s="195" t="s">
        <v>275</v>
      </c>
      <c r="B32" s="195" t="s">
        <v>862</v>
      </c>
      <c r="C32" s="195" t="s">
        <v>137</v>
      </c>
      <c r="D32" s="195" t="s">
        <v>863</v>
      </c>
      <c r="E32" s="195" t="s">
        <v>999</v>
      </c>
      <c r="F32" s="195" t="s">
        <v>864</v>
      </c>
      <c r="G32" s="195" t="s">
        <v>855</v>
      </c>
      <c r="H32" s="195" t="s">
        <v>865</v>
      </c>
    </row>
    <row r="33" spans="1:8" ht="19.5" customHeight="1" x14ac:dyDescent="0.35">
      <c r="A33" s="22"/>
      <c r="B33" s="325" t="s">
        <v>866</v>
      </c>
      <c r="C33" s="325"/>
      <c r="D33" s="325"/>
      <c r="E33" s="325"/>
      <c r="F33" s="325"/>
      <c r="G33" s="325"/>
      <c r="H33" s="325"/>
    </row>
    <row r="34" spans="1:8" ht="19.5" customHeight="1" x14ac:dyDescent="0.35">
      <c r="A34" s="196">
        <v>1</v>
      </c>
      <c r="B34" s="219" t="s">
        <v>727</v>
      </c>
      <c r="C34" s="212" t="s">
        <v>728</v>
      </c>
      <c r="D34" s="229">
        <f>E34*$C$31/8</f>
        <v>1</v>
      </c>
      <c r="E34" s="229">
        <f>$D$23</f>
        <v>0.2</v>
      </c>
      <c r="F34" s="198">
        <f>'COSTO HORA HOMBRE 2026'!$G$11</f>
        <v>28.95</v>
      </c>
      <c r="G34" s="198">
        <f>E34*F34</f>
        <v>5.79</v>
      </c>
      <c r="H34" s="112" t="s">
        <v>867</v>
      </c>
    </row>
    <row r="35" spans="1:8" ht="19.5" customHeight="1" x14ac:dyDescent="0.35">
      <c r="A35" s="196">
        <v>2</v>
      </c>
      <c r="B35" s="219" t="s">
        <v>730</v>
      </c>
      <c r="C35" s="212" t="s">
        <v>728</v>
      </c>
      <c r="D35" s="229">
        <f>E35*$C$31/8</f>
        <v>1</v>
      </c>
      <c r="E35" s="229">
        <f>$D$24</f>
        <v>0.2</v>
      </c>
      <c r="F35" s="198">
        <f>'COSTO HORA HOMBRE 2026'!$G$13</f>
        <v>20.54</v>
      </c>
      <c r="G35" s="198">
        <f>E35*F35</f>
        <v>4.1079999999999997</v>
      </c>
      <c r="H35" s="112" t="s">
        <v>867</v>
      </c>
    </row>
    <row r="36" spans="1:8" ht="19.5" customHeight="1" x14ac:dyDescent="0.35">
      <c r="A36" s="22"/>
      <c r="B36" s="218" t="s">
        <v>868</v>
      </c>
      <c r="C36" s="219"/>
      <c r="D36" s="219"/>
      <c r="E36" s="219"/>
      <c r="F36" s="219"/>
      <c r="G36" s="220">
        <f>SUM(G34:G35)</f>
        <v>9.8979999999999997</v>
      </c>
      <c r="H36" s="219"/>
    </row>
    <row r="37" spans="1:8" ht="19.5" customHeight="1" x14ac:dyDescent="0.35">
      <c r="A37" s="22"/>
      <c r="B37" s="325" t="s">
        <v>869</v>
      </c>
      <c r="C37" s="325"/>
      <c r="D37" s="325"/>
      <c r="E37" s="325"/>
      <c r="F37" s="325"/>
      <c r="G37" s="325"/>
      <c r="H37" s="325"/>
    </row>
    <row r="38" spans="1:8" ht="31.5" customHeight="1" x14ac:dyDescent="0.35">
      <c r="A38" s="196">
        <v>3</v>
      </c>
      <c r="B38" s="219" t="s">
        <v>1000</v>
      </c>
      <c r="C38" s="212" t="s">
        <v>1001</v>
      </c>
      <c r="D38" s="219"/>
      <c r="E38" s="229">
        <f>$D$17</f>
        <v>4.7413793103448287E-2</v>
      </c>
      <c r="F38" s="198">
        <f>13.9/1.18</f>
        <v>11.779661016949154</v>
      </c>
      <c r="G38" s="198">
        <f>E38*F38</f>
        <v>0.55851841028638238</v>
      </c>
      <c r="H38" s="112" t="s">
        <v>1002</v>
      </c>
    </row>
    <row r="39" spans="1:8" ht="31.5" customHeight="1" x14ac:dyDescent="0.35">
      <c r="A39" s="196">
        <v>4</v>
      </c>
      <c r="B39" s="219" t="s">
        <v>1003</v>
      </c>
      <c r="C39" s="212" t="s">
        <v>747</v>
      </c>
      <c r="D39" s="219"/>
      <c r="E39" s="229">
        <f>$D$20*$D$21</f>
        <v>5.339255172413794E-2</v>
      </c>
      <c r="F39" s="198">
        <f>17.7/1.18</f>
        <v>15</v>
      </c>
      <c r="G39" s="198">
        <f>E39*F39</f>
        <v>0.80088827586206912</v>
      </c>
      <c r="H39" s="112" t="s">
        <v>1004</v>
      </c>
    </row>
    <row r="40" spans="1:8" ht="19.5" customHeight="1" x14ac:dyDescent="0.35">
      <c r="A40" s="196">
        <v>5</v>
      </c>
      <c r="B40" s="219" t="s">
        <v>721</v>
      </c>
      <c r="C40" s="212" t="s">
        <v>152</v>
      </c>
      <c r="D40" s="219"/>
      <c r="E40" s="229">
        <f>$D$20*$D$22</f>
        <v>1.1212435862068967E-3</v>
      </c>
      <c r="F40" s="198">
        <f>'ACU TAPA REGISTRO'!F43</f>
        <v>40.68</v>
      </c>
      <c r="G40" s="198">
        <f>E40*F40</f>
        <v>4.5612189086896557E-2</v>
      </c>
      <c r="H40" s="112" t="s">
        <v>1005</v>
      </c>
    </row>
    <row r="41" spans="1:8" ht="19.5" customHeight="1" x14ac:dyDescent="0.35">
      <c r="A41" s="22"/>
      <c r="B41" s="218" t="s">
        <v>877</v>
      </c>
      <c r="C41" s="219"/>
      <c r="D41" s="219"/>
      <c r="E41" s="219"/>
      <c r="F41" s="219"/>
      <c r="G41" s="220">
        <f>SUM(G38:G40)</f>
        <v>1.4050188752353481</v>
      </c>
      <c r="H41" s="219"/>
    </row>
    <row r="42" spans="1:8" ht="19.5" customHeight="1" x14ac:dyDescent="0.35">
      <c r="A42" s="22"/>
      <c r="B42" s="325" t="s">
        <v>878</v>
      </c>
      <c r="C42" s="325"/>
      <c r="D42" s="325"/>
      <c r="E42" s="325"/>
      <c r="F42" s="325"/>
      <c r="G42" s="325"/>
      <c r="H42" s="325"/>
    </row>
    <row r="43" spans="1:8" ht="19.5" customHeight="1" x14ac:dyDescent="0.35">
      <c r="A43" s="196">
        <v>6</v>
      </c>
      <c r="B43" s="219" t="s">
        <v>740</v>
      </c>
      <c r="C43" s="212" t="s">
        <v>741</v>
      </c>
      <c r="D43" s="219"/>
      <c r="E43" s="231">
        <v>0.03</v>
      </c>
      <c r="F43" s="198">
        <f>+G36</f>
        <v>9.8979999999999997</v>
      </c>
      <c r="G43" s="198">
        <f>E43*F43</f>
        <v>0.29693999999999998</v>
      </c>
      <c r="H43" s="112" t="s">
        <v>1006</v>
      </c>
    </row>
    <row r="44" spans="1:8" ht="19.5" customHeight="1" x14ac:dyDescent="0.35">
      <c r="A44" s="22"/>
      <c r="B44" s="218" t="s">
        <v>879</v>
      </c>
      <c r="C44" s="219"/>
      <c r="D44" s="219"/>
      <c r="E44" s="219"/>
      <c r="F44" s="219"/>
      <c r="G44" s="220">
        <f>SUM(G43:G43)</f>
        <v>0.29693999999999998</v>
      </c>
      <c r="H44" s="219"/>
    </row>
    <row r="45" spans="1:8" ht="21.75" customHeight="1" x14ac:dyDescent="0.35">
      <c r="A45" s="325" t="s">
        <v>918</v>
      </c>
      <c r="B45" s="325"/>
      <c r="C45" s="325"/>
      <c r="D45" s="325"/>
      <c r="E45" s="325"/>
      <c r="F45" s="325"/>
      <c r="G45" s="220">
        <f>+G36+G41+G44</f>
        <v>11.599958875235346</v>
      </c>
      <c r="H45" s="219"/>
    </row>
    <row r="46" spans="1:8" ht="21.75" customHeight="1" x14ac:dyDescent="0.35">
      <c r="A46" s="325" t="s">
        <v>1007</v>
      </c>
      <c r="B46" s="325"/>
      <c r="C46" s="325"/>
      <c r="D46" s="325"/>
      <c r="E46" s="325"/>
      <c r="F46" s="325"/>
      <c r="G46" s="220">
        <f>G45*C30</f>
        <v>1399.419038708392</v>
      </c>
      <c r="H46" s="219"/>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ageMargins left="0.5" right="0.5" top="0.75" bottom="0.75" header="0.511811023622047" footer="0.511811023622047"/>
  <pageSetup paperSize="9" fitToHeight="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46"/>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1011</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1012</v>
      </c>
      <c r="B7" s="318"/>
      <c r="C7" s="318"/>
      <c r="D7" s="318"/>
      <c r="E7" s="318"/>
      <c r="F7" s="318"/>
      <c r="G7" s="318"/>
      <c r="H7" s="318"/>
    </row>
    <row r="9" spans="1:8" ht="19.5" customHeight="1" x14ac:dyDescent="0.35">
      <c r="A9" s="325" t="s">
        <v>967</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1013</v>
      </c>
      <c r="C11" s="212" t="s">
        <v>65</v>
      </c>
      <c r="D11" s="229">
        <f>+'COLECTOR JUNTAS Y EMPALMES'!E16</f>
        <v>4.6399999999999997</v>
      </c>
      <c r="E11" s="219"/>
      <c r="F11" s="219"/>
      <c r="G11" s="219"/>
      <c r="H11" s="112" t="s">
        <v>1014</v>
      </c>
    </row>
    <row r="12" spans="1:8" ht="31.5" customHeight="1" x14ac:dyDescent="0.35">
      <c r="A12" s="196">
        <v>2</v>
      </c>
      <c r="B12" s="112" t="s">
        <v>1015</v>
      </c>
      <c r="C12" s="212" t="s">
        <v>55</v>
      </c>
      <c r="D12" s="229">
        <f>+'COLECTOR JUNTAS Y EMPALMES'!D16</f>
        <v>1</v>
      </c>
      <c r="E12" s="219"/>
      <c r="F12" s="219"/>
      <c r="G12" s="219"/>
      <c r="H12" s="112" t="s">
        <v>1016</v>
      </c>
    </row>
    <row r="13" spans="1:8" ht="31.5" customHeight="1" x14ac:dyDescent="0.35">
      <c r="A13" s="196">
        <v>3</v>
      </c>
      <c r="B13" s="112" t="s">
        <v>1017</v>
      </c>
      <c r="C13" s="212" t="s">
        <v>153</v>
      </c>
      <c r="D13" s="229">
        <f>0.9*(0.15+1.17+0.1)-0.6*1.17</f>
        <v>0.57600000000000007</v>
      </c>
      <c r="E13" s="219"/>
      <c r="F13" s="219"/>
      <c r="G13" s="219"/>
      <c r="H13" s="112" t="s">
        <v>971</v>
      </c>
    </row>
    <row r="14" spans="1:8" ht="31.5" customHeight="1" x14ac:dyDescent="0.35">
      <c r="A14" s="196">
        <v>4</v>
      </c>
      <c r="B14" s="112" t="s">
        <v>972</v>
      </c>
      <c r="C14" s="212" t="s">
        <v>539</v>
      </c>
      <c r="D14" s="229">
        <f>D13/D11</f>
        <v>0.12413793103448278</v>
      </c>
      <c r="E14" s="219"/>
      <c r="F14" s="219"/>
      <c r="G14" s="219"/>
      <c r="H14" s="112" t="s">
        <v>973</v>
      </c>
    </row>
    <row r="15" spans="1:8" ht="31.5" customHeight="1" x14ac:dyDescent="0.35">
      <c r="A15" s="196">
        <v>5</v>
      </c>
      <c r="B15" s="112" t="s">
        <v>974</v>
      </c>
      <c r="C15" s="212" t="s">
        <v>473</v>
      </c>
      <c r="D15" s="230">
        <v>0.1</v>
      </c>
      <c r="E15" s="219"/>
      <c r="F15" s="219"/>
      <c r="G15" s="219"/>
      <c r="H15" s="112" t="s">
        <v>975</v>
      </c>
    </row>
    <row r="16" spans="1:8" ht="31.5" customHeight="1" x14ac:dyDescent="0.35">
      <c r="A16" s="196">
        <v>6</v>
      </c>
      <c r="B16" s="112" t="s">
        <v>976</v>
      </c>
      <c r="C16" s="212" t="s">
        <v>153</v>
      </c>
      <c r="D16" s="230">
        <v>2.88</v>
      </c>
      <c r="E16" s="219"/>
      <c r="F16" s="219"/>
      <c r="G16" s="219"/>
      <c r="H16" s="112" t="s">
        <v>977</v>
      </c>
    </row>
    <row r="17" spans="1:8" ht="31.5" customHeight="1" x14ac:dyDescent="0.35">
      <c r="A17" s="196">
        <v>7</v>
      </c>
      <c r="B17" s="112" t="s">
        <v>978</v>
      </c>
      <c r="C17" s="212" t="s">
        <v>979</v>
      </c>
      <c r="D17" s="229">
        <f>D14*(1+D15)/D16</f>
        <v>4.7413793103448287E-2</v>
      </c>
      <c r="E17" s="219"/>
      <c r="F17" s="219"/>
      <c r="G17" s="219"/>
      <c r="H17" s="112" t="s">
        <v>973</v>
      </c>
    </row>
    <row r="18" spans="1:8" ht="31.5" customHeight="1" x14ac:dyDescent="0.35">
      <c r="A18" s="196">
        <v>8</v>
      </c>
      <c r="B18" s="112" t="s">
        <v>1018</v>
      </c>
      <c r="C18" s="212" t="s">
        <v>65</v>
      </c>
      <c r="D18" s="229">
        <f>2*1.17+0.6+0.9</f>
        <v>3.84</v>
      </c>
      <c r="E18" s="219"/>
      <c r="F18" s="219"/>
      <c r="G18" s="219"/>
      <c r="H18" s="112" t="s">
        <v>971</v>
      </c>
    </row>
    <row r="19" spans="1:8" ht="31.5" customHeight="1" x14ac:dyDescent="0.35">
      <c r="A19" s="196">
        <v>9</v>
      </c>
      <c r="B19" s="112" t="s">
        <v>980</v>
      </c>
      <c r="C19" s="212" t="s">
        <v>153</v>
      </c>
      <c r="D19" s="229">
        <f>0.0254*0.0508</f>
        <v>1.29032E-3</v>
      </c>
      <c r="E19" s="219"/>
      <c r="F19" s="219"/>
      <c r="G19" s="219"/>
      <c r="H19" s="112" t="s">
        <v>981</v>
      </c>
    </row>
    <row r="20" spans="1:8" ht="31.5" customHeight="1" x14ac:dyDescent="0.35">
      <c r="A20" s="196">
        <v>10</v>
      </c>
      <c r="B20" s="112" t="s">
        <v>982</v>
      </c>
      <c r="C20" s="212" t="s">
        <v>983</v>
      </c>
      <c r="D20" s="229">
        <f>D19*D18/D11</f>
        <v>1.0678510344827587E-3</v>
      </c>
      <c r="E20" s="219"/>
      <c r="F20" s="219"/>
      <c r="G20" s="219"/>
      <c r="H20" s="112" t="s">
        <v>973</v>
      </c>
    </row>
    <row r="21" spans="1:8" ht="31.5" customHeight="1" x14ac:dyDescent="0.35">
      <c r="A21" s="196">
        <v>11</v>
      </c>
      <c r="B21" s="112" t="s">
        <v>984</v>
      </c>
      <c r="C21" s="212" t="s">
        <v>985</v>
      </c>
      <c r="D21" s="230">
        <v>50</v>
      </c>
      <c r="E21" s="219"/>
      <c r="F21" s="219"/>
      <c r="G21" s="219"/>
      <c r="H21" s="112" t="s">
        <v>986</v>
      </c>
    </row>
    <row r="22" spans="1:8" ht="31.5" customHeight="1" x14ac:dyDescent="0.35">
      <c r="A22" s="196">
        <v>12</v>
      </c>
      <c r="B22" s="112" t="s">
        <v>987</v>
      </c>
      <c r="C22" s="212" t="s">
        <v>988</v>
      </c>
      <c r="D22" s="230">
        <v>1.05</v>
      </c>
      <c r="E22" s="219"/>
      <c r="F22" s="219"/>
      <c r="G22" s="219"/>
      <c r="H22" s="112" t="s">
        <v>989</v>
      </c>
    </row>
    <row r="23" spans="1:8" ht="31.5" customHeight="1" x14ac:dyDescent="0.35">
      <c r="A23" s="196">
        <v>13</v>
      </c>
      <c r="B23" s="112" t="s">
        <v>990</v>
      </c>
      <c r="C23" s="212" t="s">
        <v>991</v>
      </c>
      <c r="D23" s="229">
        <f>'COLECTOR INSUMOS'!G75</f>
        <v>0.2</v>
      </c>
      <c r="E23" s="219"/>
      <c r="F23" s="219"/>
      <c r="G23" s="219"/>
      <c r="H23" s="112" t="s">
        <v>1019</v>
      </c>
    </row>
    <row r="24" spans="1:8" ht="31.5" customHeight="1" x14ac:dyDescent="0.35">
      <c r="A24" s="196">
        <v>14</v>
      </c>
      <c r="B24" s="112" t="s">
        <v>993</v>
      </c>
      <c r="C24" s="212" t="s">
        <v>991</v>
      </c>
      <c r="D24" s="229">
        <f>'COLECTOR INSUMOS'!G76</f>
        <v>0.2</v>
      </c>
      <c r="E24" s="219"/>
      <c r="F24" s="219"/>
      <c r="G24" s="219"/>
      <c r="H24" s="112" t="s">
        <v>1020</v>
      </c>
    </row>
    <row r="26" spans="1:8" ht="19.5" customHeight="1" x14ac:dyDescent="0.35">
      <c r="A26" s="325" t="s">
        <v>995</v>
      </c>
      <c r="B26" s="325"/>
      <c r="C26" s="325"/>
      <c r="D26" s="325"/>
      <c r="E26" s="325"/>
      <c r="F26" s="325"/>
      <c r="G26" s="325"/>
      <c r="H26" s="325"/>
    </row>
    <row r="27" spans="1:8" ht="19.5" customHeight="1" x14ac:dyDescent="0.35">
      <c r="A27" s="325" t="s">
        <v>858</v>
      </c>
      <c r="B27" s="325"/>
      <c r="C27" s="324" t="s">
        <v>1021</v>
      </c>
      <c r="D27" s="324"/>
      <c r="E27" s="324"/>
      <c r="F27" s="324"/>
      <c r="G27" s="324"/>
      <c r="H27" s="324"/>
    </row>
    <row r="28" spans="1:8" ht="19.5" customHeight="1" x14ac:dyDescent="0.35">
      <c r="A28" s="325" t="s">
        <v>859</v>
      </c>
      <c r="B28" s="325"/>
      <c r="C28" s="324" t="s">
        <v>1022</v>
      </c>
      <c r="D28" s="324"/>
      <c r="E28" s="324"/>
      <c r="F28" s="324"/>
      <c r="G28" s="324"/>
      <c r="H28" s="324"/>
    </row>
    <row r="29" spans="1:8" ht="19.5" customHeight="1" x14ac:dyDescent="0.35">
      <c r="A29" s="325" t="s">
        <v>452</v>
      </c>
      <c r="B29" s="325"/>
      <c r="C29" s="324" t="s">
        <v>65</v>
      </c>
      <c r="D29" s="324"/>
      <c r="E29" s="324"/>
      <c r="F29" s="324"/>
      <c r="G29" s="324"/>
      <c r="H29" s="324"/>
    </row>
    <row r="30" spans="1:8" ht="19.5" customHeight="1" x14ac:dyDescent="0.35">
      <c r="A30" s="325" t="s">
        <v>860</v>
      </c>
      <c r="B30" s="325"/>
      <c r="C30" s="331">
        <f>+'COLECTOR JUNTAS Y EMPALMES'!F17</f>
        <v>4.6399999999999997</v>
      </c>
      <c r="D30" s="331"/>
      <c r="E30" s="331"/>
      <c r="F30" s="331"/>
      <c r="G30" s="331"/>
      <c r="H30" s="331"/>
    </row>
    <row r="31" spans="1:8" ht="19.5" customHeight="1" x14ac:dyDescent="0.35">
      <c r="A31" s="325" t="s">
        <v>998</v>
      </c>
      <c r="B31" s="325"/>
      <c r="C31" s="331">
        <f>8/E34</f>
        <v>40</v>
      </c>
      <c r="D31" s="331"/>
      <c r="E31" s="331"/>
      <c r="F31" s="331"/>
      <c r="G31" s="331"/>
      <c r="H31" s="331"/>
    </row>
    <row r="32" spans="1:8" ht="31.5" customHeight="1" x14ac:dyDescent="0.35">
      <c r="A32" s="195" t="s">
        <v>275</v>
      </c>
      <c r="B32" s="195" t="s">
        <v>862</v>
      </c>
      <c r="C32" s="195" t="s">
        <v>137</v>
      </c>
      <c r="D32" s="195" t="s">
        <v>863</v>
      </c>
      <c r="E32" s="195" t="s">
        <v>999</v>
      </c>
      <c r="F32" s="195" t="s">
        <v>864</v>
      </c>
      <c r="G32" s="195" t="s">
        <v>855</v>
      </c>
      <c r="H32" s="195" t="s">
        <v>865</v>
      </c>
    </row>
    <row r="33" spans="1:8" ht="19.5" customHeight="1" x14ac:dyDescent="0.35">
      <c r="A33" s="22"/>
      <c r="B33" s="325" t="s">
        <v>866</v>
      </c>
      <c r="C33" s="325"/>
      <c r="D33" s="325"/>
      <c r="E33" s="325"/>
      <c r="F33" s="325"/>
      <c r="G33" s="325"/>
      <c r="H33" s="325"/>
    </row>
    <row r="34" spans="1:8" ht="19.5" customHeight="1" x14ac:dyDescent="0.35">
      <c r="A34" s="196">
        <v>1</v>
      </c>
      <c r="B34" s="219" t="s">
        <v>727</v>
      </c>
      <c r="C34" s="212" t="s">
        <v>728</v>
      </c>
      <c r="D34" s="229">
        <f>E34*$C$31/8</f>
        <v>1</v>
      </c>
      <c r="E34" s="229">
        <f>$D$23</f>
        <v>0.2</v>
      </c>
      <c r="F34" s="198">
        <f>'COSTO HORA HOMBRE 2026'!$G$11</f>
        <v>28.95</v>
      </c>
      <c r="G34" s="198">
        <f>E34*F34</f>
        <v>5.79</v>
      </c>
      <c r="H34" s="112" t="s">
        <v>867</v>
      </c>
    </row>
    <row r="35" spans="1:8" ht="19.5" customHeight="1" x14ac:dyDescent="0.35">
      <c r="A35" s="196">
        <v>2</v>
      </c>
      <c r="B35" s="219" t="s">
        <v>730</v>
      </c>
      <c r="C35" s="212" t="s">
        <v>728</v>
      </c>
      <c r="D35" s="229">
        <f>E35*$C$31/8</f>
        <v>1</v>
      </c>
      <c r="E35" s="229">
        <f>$D$24</f>
        <v>0.2</v>
      </c>
      <c r="F35" s="198">
        <f>'COSTO HORA HOMBRE 2026'!$G$13</f>
        <v>20.54</v>
      </c>
      <c r="G35" s="198">
        <f>E35*F35</f>
        <v>4.1079999999999997</v>
      </c>
      <c r="H35" s="112" t="s">
        <v>867</v>
      </c>
    </row>
    <row r="36" spans="1:8" ht="19.5" customHeight="1" x14ac:dyDescent="0.35">
      <c r="A36" s="22"/>
      <c r="B36" s="218" t="s">
        <v>868</v>
      </c>
      <c r="C36" s="219"/>
      <c r="D36" s="219"/>
      <c r="E36" s="219"/>
      <c r="F36" s="219"/>
      <c r="G36" s="220">
        <f>SUM(G34:G35)</f>
        <v>9.8979999999999997</v>
      </c>
      <c r="H36" s="219"/>
    </row>
    <row r="37" spans="1:8" ht="19.5" customHeight="1" x14ac:dyDescent="0.35">
      <c r="A37" s="22"/>
      <c r="B37" s="325" t="s">
        <v>869</v>
      </c>
      <c r="C37" s="325"/>
      <c r="D37" s="325"/>
      <c r="E37" s="325"/>
      <c r="F37" s="325"/>
      <c r="G37" s="325"/>
      <c r="H37" s="325"/>
    </row>
    <row r="38" spans="1:8" ht="31.5" customHeight="1" x14ac:dyDescent="0.35">
      <c r="A38" s="196">
        <v>3</v>
      </c>
      <c r="B38" s="219" t="s">
        <v>1000</v>
      </c>
      <c r="C38" s="212" t="s">
        <v>1001</v>
      </c>
      <c r="D38" s="219"/>
      <c r="E38" s="229">
        <f>$D$17</f>
        <v>4.7413793103448287E-2</v>
      </c>
      <c r="F38" s="198">
        <f>13.9/1.18</f>
        <v>11.779661016949154</v>
      </c>
      <c r="G38" s="198">
        <f>E38*F38</f>
        <v>0.55851841028638238</v>
      </c>
      <c r="H38" s="112" t="s">
        <v>1002</v>
      </c>
    </row>
    <row r="39" spans="1:8" ht="31.5" customHeight="1" x14ac:dyDescent="0.35">
      <c r="A39" s="196">
        <v>4</v>
      </c>
      <c r="B39" s="219" t="s">
        <v>1003</v>
      </c>
      <c r="C39" s="212" t="s">
        <v>747</v>
      </c>
      <c r="D39" s="219"/>
      <c r="E39" s="229">
        <f>$D$20*$D$21</f>
        <v>5.339255172413794E-2</v>
      </c>
      <c r="F39" s="198">
        <f>17.7/1.18</f>
        <v>15</v>
      </c>
      <c r="G39" s="198">
        <f>E39*F39</f>
        <v>0.80088827586206912</v>
      </c>
      <c r="H39" s="112" t="s">
        <v>1004</v>
      </c>
    </row>
    <row r="40" spans="1:8" ht="19.5" customHeight="1" x14ac:dyDescent="0.35">
      <c r="A40" s="196">
        <v>5</v>
      </c>
      <c r="B40" s="219" t="s">
        <v>721</v>
      </c>
      <c r="C40" s="212" t="s">
        <v>152</v>
      </c>
      <c r="D40" s="219"/>
      <c r="E40" s="229">
        <f>$D$20*$D$22</f>
        <v>1.1212435862068967E-3</v>
      </c>
      <c r="F40" s="198">
        <f>'ACU TAPA REGISTRO'!F43</f>
        <v>40.68</v>
      </c>
      <c r="G40" s="198">
        <f>E40*F40</f>
        <v>4.5612189086896557E-2</v>
      </c>
      <c r="H40" s="112" t="s">
        <v>1005</v>
      </c>
    </row>
    <row r="41" spans="1:8" ht="19.5" customHeight="1" x14ac:dyDescent="0.35">
      <c r="A41" s="22"/>
      <c r="B41" s="218" t="s">
        <v>877</v>
      </c>
      <c r="C41" s="219"/>
      <c r="D41" s="219"/>
      <c r="E41" s="219"/>
      <c r="F41" s="219"/>
      <c r="G41" s="220">
        <f>SUM(G38:G40)</f>
        <v>1.4050188752353481</v>
      </c>
      <c r="H41" s="219"/>
    </row>
    <row r="42" spans="1:8" ht="19.5" customHeight="1" x14ac:dyDescent="0.35">
      <c r="A42" s="22"/>
      <c r="B42" s="325" t="s">
        <v>878</v>
      </c>
      <c r="C42" s="325"/>
      <c r="D42" s="325"/>
      <c r="E42" s="325"/>
      <c r="F42" s="325"/>
      <c r="G42" s="325"/>
      <c r="H42" s="325"/>
    </row>
    <row r="43" spans="1:8" ht="19.5" customHeight="1" x14ac:dyDescent="0.35">
      <c r="A43" s="196">
        <v>6</v>
      </c>
      <c r="B43" s="219" t="s">
        <v>740</v>
      </c>
      <c r="C43" s="212" t="s">
        <v>741</v>
      </c>
      <c r="D43" s="219"/>
      <c r="E43" s="231">
        <v>0.03</v>
      </c>
      <c r="F43" s="198">
        <f>+G36</f>
        <v>9.8979999999999997</v>
      </c>
      <c r="G43" s="198">
        <f>E43*F43</f>
        <v>0.29693999999999998</v>
      </c>
      <c r="H43" s="112" t="s">
        <v>1006</v>
      </c>
    </row>
    <row r="44" spans="1:8" ht="19.5" customHeight="1" x14ac:dyDescent="0.35">
      <c r="A44" s="22"/>
      <c r="B44" s="218" t="s">
        <v>879</v>
      </c>
      <c r="C44" s="219"/>
      <c r="D44" s="219"/>
      <c r="E44" s="219"/>
      <c r="F44" s="219"/>
      <c r="G44" s="220">
        <f>SUM(G43:G43)</f>
        <v>0.29693999999999998</v>
      </c>
      <c r="H44" s="219"/>
    </row>
    <row r="45" spans="1:8" ht="21.75" customHeight="1" x14ac:dyDescent="0.35">
      <c r="A45" s="325" t="s">
        <v>918</v>
      </c>
      <c r="B45" s="325"/>
      <c r="C45" s="325"/>
      <c r="D45" s="325"/>
      <c r="E45" s="325"/>
      <c r="F45" s="325"/>
      <c r="G45" s="220">
        <f>+G36+G41+G44</f>
        <v>11.599958875235346</v>
      </c>
      <c r="H45" s="219"/>
    </row>
    <row r="46" spans="1:8" ht="21.75" customHeight="1" x14ac:dyDescent="0.35">
      <c r="A46" s="325" t="s">
        <v>1007</v>
      </c>
      <c r="B46" s="325"/>
      <c r="C46" s="325"/>
      <c r="D46" s="325"/>
      <c r="E46" s="325"/>
      <c r="F46" s="325"/>
      <c r="G46" s="220">
        <f>G45*C30</f>
        <v>53.823809181092003</v>
      </c>
      <c r="H46" s="219"/>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ageMargins left="0.5" right="0.5" top="0.75" bottom="0.75" header="0.511811023622047" footer="0.511811023622047"/>
  <pageSetup paperSize="9" fitToHeight="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68"/>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1023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1024</v>
      </c>
      <c r="B7" s="318"/>
      <c r="C7" s="318"/>
      <c r="D7" s="318"/>
      <c r="E7" s="318"/>
      <c r="F7" s="318"/>
      <c r="G7" s="318"/>
      <c r="H7" s="318"/>
    </row>
    <row r="9" spans="1:8" ht="19.5" customHeight="1" x14ac:dyDescent="0.35">
      <c r="A9" s="325" t="s">
        <v>1025</v>
      </c>
      <c r="B9" s="325"/>
      <c r="C9" s="325"/>
      <c r="D9" s="325"/>
      <c r="E9" s="325"/>
      <c r="F9" s="325"/>
      <c r="G9" s="325"/>
      <c r="H9" s="325"/>
    </row>
    <row r="10" spans="1:8" ht="31.5" customHeight="1" x14ac:dyDescent="0.35">
      <c r="A10" s="195" t="s">
        <v>275</v>
      </c>
      <c r="B10" s="195" t="s">
        <v>1026</v>
      </c>
      <c r="C10" s="195" t="s">
        <v>380</v>
      </c>
      <c r="D10" s="195" t="s">
        <v>1027</v>
      </c>
      <c r="E10" s="195" t="s">
        <v>1028</v>
      </c>
      <c r="F10" s="195" t="s">
        <v>383</v>
      </c>
      <c r="G10" s="195"/>
      <c r="H10" s="195" t="s">
        <v>445</v>
      </c>
    </row>
    <row r="11" spans="1:8" ht="19.5" customHeight="1" x14ac:dyDescent="0.35">
      <c r="A11" s="196">
        <v>1</v>
      </c>
      <c r="B11" s="112" t="str">
        <f>'METRADO LLORADEROS'!B7&amp;": "&amp;'METRADO LLORADEROS'!C7</f>
        <v>EJE 01: 0+013.50 a 0+019.00</v>
      </c>
      <c r="C11" s="212" t="str">
        <f>'METRADO LLORADEROS'!D7</f>
        <v>LADO ESTE</v>
      </c>
      <c r="D11" s="198">
        <f>'METRADO LLORADEROS'!E7</f>
        <v>5.5</v>
      </c>
      <c r="E11" s="198">
        <f>'METRADO LLORADEROS'!F7</f>
        <v>1.5</v>
      </c>
      <c r="F11" s="198">
        <f>'METRADO LLORADEROS'!G7</f>
        <v>4</v>
      </c>
      <c r="G11" s="219"/>
      <c r="H11" s="112" t="s">
        <v>1029</v>
      </c>
    </row>
    <row r="12" spans="1:8" ht="19.5" customHeight="1" x14ac:dyDescent="0.35">
      <c r="A12" s="196">
        <v>2</v>
      </c>
      <c r="B12" s="112" t="str">
        <f>'METRADO LLORADEROS'!B8&amp;": "&amp;'METRADO LLORADEROS'!C8</f>
        <v>EJE 01: 0+054.75 a 0+077.25</v>
      </c>
      <c r="C12" s="212" t="str">
        <f>'METRADO LLORADEROS'!D8</f>
        <v>LADO ESTE</v>
      </c>
      <c r="D12" s="198">
        <f>'METRADO LLORADEROS'!E8</f>
        <v>22.5</v>
      </c>
      <c r="E12" s="198">
        <f>'METRADO LLORADEROS'!F8</f>
        <v>1.5</v>
      </c>
      <c r="F12" s="198">
        <f>'METRADO LLORADEROS'!G8</f>
        <v>15</v>
      </c>
      <c r="G12" s="219"/>
      <c r="H12" s="112" t="s">
        <v>1029</v>
      </c>
    </row>
    <row r="13" spans="1:8" ht="19.5" customHeight="1" x14ac:dyDescent="0.35">
      <c r="A13" s="196">
        <v>3</v>
      </c>
      <c r="B13" s="112" t="str">
        <f>'METRADO LLORADEROS'!B9&amp;": "&amp;'METRADO LLORADEROS'!C9</f>
        <v>EJE 01: 0+080.75 a 0+111.53</v>
      </c>
      <c r="C13" s="212" t="str">
        <f>'METRADO LLORADEROS'!D9</f>
        <v>LADO ESTE</v>
      </c>
      <c r="D13" s="198">
        <f>'METRADO LLORADEROS'!E9</f>
        <v>30.78</v>
      </c>
      <c r="E13" s="198">
        <f>'METRADO LLORADEROS'!F9</f>
        <v>1.5</v>
      </c>
      <c r="F13" s="198">
        <f>'METRADO LLORADEROS'!G9</f>
        <v>21</v>
      </c>
      <c r="G13" s="219"/>
      <c r="H13" s="112" t="s">
        <v>1029</v>
      </c>
    </row>
    <row r="14" spans="1:8" ht="19.5" customHeight="1" x14ac:dyDescent="0.35">
      <c r="A14" s="196">
        <v>4</v>
      </c>
      <c r="B14" s="112" t="str">
        <f>'METRADO LLORADEROS'!B10&amp;": "&amp;'METRADO LLORADEROS'!C10</f>
        <v>EJE 02: 0+000.00 a 0+013.25</v>
      </c>
      <c r="C14" s="212" t="str">
        <f>'METRADO LLORADEROS'!D10</f>
        <v>LADO ESTE</v>
      </c>
      <c r="D14" s="198">
        <f>'METRADO LLORADEROS'!E10</f>
        <v>13.25</v>
      </c>
      <c r="E14" s="198">
        <f>'METRADO LLORADEROS'!F10</f>
        <v>1.5</v>
      </c>
      <c r="F14" s="198">
        <f>'METRADO LLORADEROS'!G10</f>
        <v>9</v>
      </c>
      <c r="G14" s="219"/>
      <c r="H14" s="112" t="s">
        <v>1029</v>
      </c>
    </row>
    <row r="15" spans="1:8" ht="19.5" customHeight="1" x14ac:dyDescent="0.35">
      <c r="A15" s="196">
        <v>5</v>
      </c>
      <c r="B15" s="112" t="str">
        <f>'METRADO LLORADEROS'!B11&amp;": "&amp;'METRADO LLORADEROS'!C11</f>
        <v>EJE 02: 0+021.00 a 0+023.03</v>
      </c>
      <c r="C15" s="212" t="str">
        <f>'METRADO LLORADEROS'!D11</f>
        <v>LADO OESTE</v>
      </c>
      <c r="D15" s="198">
        <f>'METRADO LLORADEROS'!E11</f>
        <v>2.0299999999999998</v>
      </c>
      <c r="E15" s="198">
        <f>'METRADO LLORADEROS'!F11</f>
        <v>1.5</v>
      </c>
      <c r="F15" s="198">
        <f>'METRADO LLORADEROS'!G11</f>
        <v>2</v>
      </c>
      <c r="G15" s="219"/>
      <c r="H15" s="112" t="s">
        <v>1029</v>
      </c>
    </row>
    <row r="16" spans="1:8" ht="19.5" customHeight="1" x14ac:dyDescent="0.35">
      <c r="A16" s="196">
        <v>6</v>
      </c>
      <c r="B16" s="112" t="str">
        <f>'METRADO LLORADEROS'!B12&amp;": "&amp;'METRADO LLORADEROS'!C12</f>
        <v>EJE 02: 0+023.03 a 0+033.78</v>
      </c>
      <c r="C16" s="212" t="str">
        <f>'METRADO LLORADEROS'!D12</f>
        <v>LADO SUR</v>
      </c>
      <c r="D16" s="198">
        <f>'METRADO LLORADEROS'!E12</f>
        <v>10.75</v>
      </c>
      <c r="E16" s="198">
        <f>'METRADO LLORADEROS'!F12</f>
        <v>1.5</v>
      </c>
      <c r="F16" s="198">
        <f>'METRADO LLORADEROS'!G12</f>
        <v>8</v>
      </c>
      <c r="G16" s="219"/>
      <c r="H16" s="112" t="s">
        <v>1029</v>
      </c>
    </row>
    <row r="17" spans="1:8" ht="19.5" customHeight="1" x14ac:dyDescent="0.35">
      <c r="A17" s="196">
        <v>7</v>
      </c>
      <c r="B17" s="112" t="str">
        <f>'METRADO LLORADEROS'!B13&amp;": "&amp;'METRADO LLORADEROS'!C13</f>
        <v>EJE 03: 0+000.00 a 0+005.50</v>
      </c>
      <c r="C17" s="212" t="str">
        <f>'METRADO LLORADEROS'!D13</f>
        <v>LADO OESTE</v>
      </c>
      <c r="D17" s="198">
        <f>'METRADO LLORADEROS'!E13</f>
        <v>5.5</v>
      </c>
      <c r="E17" s="198">
        <f>'METRADO LLORADEROS'!F13</f>
        <v>1.5</v>
      </c>
      <c r="F17" s="198">
        <f>'METRADO LLORADEROS'!G13</f>
        <v>4</v>
      </c>
      <c r="G17" s="219"/>
      <c r="H17" s="112" t="s">
        <v>1029</v>
      </c>
    </row>
    <row r="18" spans="1:8" ht="19.5" customHeight="1" x14ac:dyDescent="0.35">
      <c r="A18" s="196">
        <v>8</v>
      </c>
      <c r="B18" s="112" t="str">
        <f>'METRADO LLORADEROS'!B14&amp;": "&amp;'METRADO LLORADEROS'!C14</f>
        <v>EJE 03: 0+007.00 a 0+015.48</v>
      </c>
      <c r="C18" s="212" t="str">
        <f>'METRADO LLORADEROS'!D14</f>
        <v>LADO OESTE</v>
      </c>
      <c r="D18" s="198">
        <f>'METRADO LLORADEROS'!E14</f>
        <v>8.48</v>
      </c>
      <c r="E18" s="198">
        <f>'METRADO LLORADEROS'!F14</f>
        <v>1.5</v>
      </c>
      <c r="F18" s="198">
        <f>'METRADO LLORADEROS'!G14</f>
        <v>6</v>
      </c>
      <c r="G18" s="219"/>
      <c r="H18" s="112" t="s">
        <v>1029</v>
      </c>
    </row>
    <row r="19" spans="1:8" ht="19.5" customHeight="1" x14ac:dyDescent="0.35">
      <c r="A19" s="196">
        <v>9</v>
      </c>
      <c r="B19" s="112" t="str">
        <f>'METRADO LLORADEROS'!B15&amp;": "&amp;'METRADO LLORADEROS'!C15</f>
        <v>EJE 03: 0+017.73 a 0+021.48</v>
      </c>
      <c r="C19" s="212" t="str">
        <f>'METRADO LLORADEROS'!D15</f>
        <v>LADO SUR</v>
      </c>
      <c r="D19" s="198">
        <f>'METRADO LLORADEROS'!E15</f>
        <v>3.75</v>
      </c>
      <c r="E19" s="198">
        <f>'METRADO LLORADEROS'!F15</f>
        <v>1.5</v>
      </c>
      <c r="F19" s="198">
        <f>'METRADO LLORADEROS'!G15</f>
        <v>3</v>
      </c>
      <c r="G19" s="219"/>
      <c r="H19" s="112" t="s">
        <v>1029</v>
      </c>
    </row>
    <row r="20" spans="1:8" ht="19.5" customHeight="1" x14ac:dyDescent="0.35">
      <c r="A20" s="196">
        <v>10</v>
      </c>
      <c r="B20" s="112" t="str">
        <f>'METRADO LLORADEROS'!B16&amp;": "&amp;'METRADO LLORADEROS'!C16</f>
        <v>EJE 04: 0+020.50 a 0+024.25</v>
      </c>
      <c r="C20" s="212" t="str">
        <f>'METRADO LLORADEROS'!D16</f>
        <v>LADO ESTE</v>
      </c>
      <c r="D20" s="198">
        <f>'METRADO LLORADEROS'!E16</f>
        <v>3.75</v>
      </c>
      <c r="E20" s="198">
        <f>'METRADO LLORADEROS'!F16</f>
        <v>1.5</v>
      </c>
      <c r="F20" s="198">
        <f>'METRADO LLORADEROS'!G16</f>
        <v>3</v>
      </c>
      <c r="G20" s="219"/>
      <c r="H20" s="112" t="s">
        <v>1029</v>
      </c>
    </row>
    <row r="21" spans="1:8" ht="19.5" customHeight="1" x14ac:dyDescent="0.35">
      <c r="A21" s="196">
        <v>11</v>
      </c>
      <c r="B21" s="112" t="str">
        <f>'METRADO LLORADEROS'!B17&amp;": "&amp;'METRADO LLORADEROS'!C17</f>
        <v>EJE 04: 0+034.75 a 0+038.50</v>
      </c>
      <c r="C21" s="212" t="str">
        <f>'METRADO LLORADEROS'!D17</f>
        <v>LADO ESTE</v>
      </c>
      <c r="D21" s="198">
        <f>'METRADO LLORADEROS'!E17</f>
        <v>3.75</v>
      </c>
      <c r="E21" s="198">
        <f>'METRADO LLORADEROS'!F17</f>
        <v>1.5</v>
      </c>
      <c r="F21" s="198">
        <f>'METRADO LLORADEROS'!G17</f>
        <v>3</v>
      </c>
      <c r="G21" s="219"/>
      <c r="H21" s="112" t="s">
        <v>1029</v>
      </c>
    </row>
    <row r="22" spans="1:8" ht="19.5" customHeight="1" x14ac:dyDescent="0.35">
      <c r="A22" s="196">
        <v>12</v>
      </c>
      <c r="B22" s="112" t="str">
        <f>'METRADO LLORADEROS'!B18&amp;": "&amp;'METRADO LLORADEROS'!C18</f>
        <v>EJE 04: 0+045.00 a 0+048.75</v>
      </c>
      <c r="C22" s="212" t="str">
        <f>'METRADO LLORADEROS'!D18</f>
        <v>LADO ESTE</v>
      </c>
      <c r="D22" s="198">
        <f>'METRADO LLORADEROS'!E18</f>
        <v>3.75</v>
      </c>
      <c r="E22" s="198">
        <f>'METRADO LLORADEROS'!F18</f>
        <v>1.5</v>
      </c>
      <c r="F22" s="198">
        <f>'METRADO LLORADEROS'!G18</f>
        <v>3</v>
      </c>
      <c r="G22" s="219"/>
      <c r="H22" s="112" t="s">
        <v>1029</v>
      </c>
    </row>
    <row r="23" spans="1:8" ht="19.5" customHeight="1" x14ac:dyDescent="0.35">
      <c r="A23" s="196">
        <v>13</v>
      </c>
      <c r="B23" s="112" t="str">
        <f>'METRADO LLORADEROS'!B19&amp;": "&amp;'METRADO LLORADEROS'!C19</f>
        <v>EJE 04: 0+086.00 a 0+102.31</v>
      </c>
      <c r="C23" s="212" t="str">
        <f>'METRADO LLORADEROS'!D19</f>
        <v>LADO ESTE</v>
      </c>
      <c r="D23" s="198">
        <f>'METRADO LLORADEROS'!E19</f>
        <v>16.309999999999999</v>
      </c>
      <c r="E23" s="198">
        <f>'METRADO LLORADEROS'!F19</f>
        <v>1.5</v>
      </c>
      <c r="F23" s="198">
        <f>'METRADO LLORADEROS'!G19</f>
        <v>11</v>
      </c>
      <c r="G23" s="219"/>
      <c r="H23" s="112" t="s">
        <v>1029</v>
      </c>
    </row>
    <row r="24" spans="1:8" ht="19.5" customHeight="1" x14ac:dyDescent="0.35">
      <c r="A24" s="196">
        <v>14</v>
      </c>
      <c r="B24" s="112" t="str">
        <f>'METRADO LLORADEROS'!B20&amp;": "&amp;'METRADO LLORADEROS'!C20</f>
        <v>EJE 04: 0+013.50 a 0+019.25</v>
      </c>
      <c r="C24" s="212" t="str">
        <f>'METRADO LLORADEROS'!D20</f>
        <v>LADO OESTE</v>
      </c>
      <c r="D24" s="198">
        <f>'METRADO LLORADEROS'!E20</f>
        <v>5.75</v>
      </c>
      <c r="E24" s="198">
        <f>'METRADO LLORADEROS'!F20</f>
        <v>1.5</v>
      </c>
      <c r="F24" s="198">
        <f>'METRADO LLORADEROS'!G20</f>
        <v>4</v>
      </c>
      <c r="G24" s="219"/>
      <c r="H24" s="112" t="s">
        <v>1029</v>
      </c>
    </row>
    <row r="25" spans="1:8" ht="19.5" customHeight="1" x14ac:dyDescent="0.35">
      <c r="A25" s="196">
        <v>15</v>
      </c>
      <c r="B25" s="112" t="str">
        <f>'METRADO LLORADEROS'!B21&amp;": "&amp;'METRADO LLORADEROS'!C21</f>
        <v>EJE 04: 0+032.75 a 0+047.00</v>
      </c>
      <c r="C25" s="212" t="str">
        <f>'METRADO LLORADEROS'!D21</f>
        <v>LADO OESTE</v>
      </c>
      <c r="D25" s="198">
        <f>'METRADO LLORADEROS'!E21</f>
        <v>14.25</v>
      </c>
      <c r="E25" s="198">
        <f>'METRADO LLORADEROS'!F21</f>
        <v>1.5</v>
      </c>
      <c r="F25" s="198">
        <f>'METRADO LLORADEROS'!G21</f>
        <v>10</v>
      </c>
      <c r="G25" s="219"/>
      <c r="H25" s="112" t="s">
        <v>1029</v>
      </c>
    </row>
    <row r="26" spans="1:8" ht="19.5" customHeight="1" x14ac:dyDescent="0.35">
      <c r="A26" s="196">
        <v>16</v>
      </c>
      <c r="B26" s="112" t="str">
        <f>'METRADO LLORADEROS'!B22&amp;": "&amp;'METRADO LLORADEROS'!C22</f>
        <v>EJE 04: 0+057.50 a 0+061.00</v>
      </c>
      <c r="C26" s="212" t="str">
        <f>'METRADO LLORADEROS'!D22</f>
        <v>LADO OESTE</v>
      </c>
      <c r="D26" s="198">
        <f>'METRADO LLORADEROS'!E22</f>
        <v>3.5</v>
      </c>
      <c r="E26" s="198">
        <f>'METRADO LLORADEROS'!F22</f>
        <v>1.5</v>
      </c>
      <c r="F26" s="198">
        <f>'METRADO LLORADEROS'!G22</f>
        <v>3</v>
      </c>
      <c r="G26" s="219"/>
      <c r="H26" s="112" t="s">
        <v>1029</v>
      </c>
    </row>
    <row r="27" spans="1:8" ht="19.5" customHeight="1" x14ac:dyDescent="0.35">
      <c r="A27" s="196">
        <v>17</v>
      </c>
      <c r="B27" s="112" t="str">
        <f>'METRADO LLORADEROS'!B23&amp;": "&amp;'METRADO LLORADEROS'!C23</f>
        <v>EJE 04: 0+086.00 a 0+102.31</v>
      </c>
      <c r="C27" s="212" t="str">
        <f>'METRADO LLORADEROS'!D23</f>
        <v>LADO OESTE</v>
      </c>
      <c r="D27" s="198">
        <f>'METRADO LLORADEROS'!E23</f>
        <v>16.309999999999999</v>
      </c>
      <c r="E27" s="198">
        <f>'METRADO LLORADEROS'!F23</f>
        <v>1.5</v>
      </c>
      <c r="F27" s="198">
        <f>'METRADO LLORADEROS'!G23</f>
        <v>11</v>
      </c>
      <c r="G27" s="219"/>
      <c r="H27" s="112" t="s">
        <v>1029</v>
      </c>
    </row>
    <row r="28" spans="1:8" ht="19.5" customHeight="1" x14ac:dyDescent="0.35">
      <c r="A28" s="196">
        <v>18</v>
      </c>
      <c r="B28" s="112" t="str">
        <f>'METRADO LLORADEROS'!B24&amp;": "&amp;'METRADO LLORADEROS'!C24</f>
        <v>EJE 05: 0+013.75 a 0+019.25</v>
      </c>
      <c r="C28" s="212" t="str">
        <f>'METRADO LLORADEROS'!D24</f>
        <v>LADO ESTE</v>
      </c>
      <c r="D28" s="198">
        <f>'METRADO LLORADEROS'!E24</f>
        <v>5.5</v>
      </c>
      <c r="E28" s="198">
        <f>'METRADO LLORADEROS'!F24</f>
        <v>1.5</v>
      </c>
      <c r="F28" s="198">
        <f>'METRADO LLORADEROS'!G24</f>
        <v>4</v>
      </c>
      <c r="G28" s="219"/>
      <c r="H28" s="112" t="s">
        <v>1029</v>
      </c>
    </row>
    <row r="29" spans="1:8" ht="19.5" customHeight="1" x14ac:dyDescent="0.35">
      <c r="A29" s="196">
        <v>19</v>
      </c>
      <c r="B29" s="112" t="str">
        <f>'METRADO LLORADEROS'!B25&amp;": "&amp;'METRADO LLORADEROS'!C25</f>
        <v>EJE 05: 0+032.54 a 0+035.04</v>
      </c>
      <c r="C29" s="212" t="str">
        <f>'METRADO LLORADEROS'!D25</f>
        <v>LADO SUR</v>
      </c>
      <c r="D29" s="198">
        <f>'METRADO LLORADEROS'!E25</f>
        <v>2.5</v>
      </c>
      <c r="E29" s="198">
        <f>'METRADO LLORADEROS'!F25</f>
        <v>1.5</v>
      </c>
      <c r="F29" s="198">
        <f>'METRADO LLORADEROS'!G25</f>
        <v>2</v>
      </c>
      <c r="G29" s="219"/>
      <c r="H29" s="112" t="s">
        <v>1029</v>
      </c>
    </row>
    <row r="30" spans="1:8" ht="19.5" customHeight="1" x14ac:dyDescent="0.35">
      <c r="A30" s="196">
        <v>20</v>
      </c>
      <c r="B30" s="112" t="str">
        <f>'METRADO LLORADEROS'!B26&amp;": "&amp;'METRADO LLORADEROS'!C26</f>
        <v>EJE 05: 0+020.50 a 0+024.25</v>
      </c>
      <c r="C30" s="212" t="str">
        <f>'METRADO LLORADEROS'!D26</f>
        <v>LADO OESTE</v>
      </c>
      <c r="D30" s="198">
        <f>'METRADO LLORADEROS'!E26</f>
        <v>3.75</v>
      </c>
      <c r="E30" s="198">
        <f>'METRADO LLORADEROS'!F26</f>
        <v>1.5</v>
      </c>
      <c r="F30" s="198">
        <f>'METRADO LLORADEROS'!G26</f>
        <v>3</v>
      </c>
      <c r="G30" s="219"/>
      <c r="H30" s="112" t="s">
        <v>1029</v>
      </c>
    </row>
    <row r="31" spans="1:8" ht="19.5" customHeight="1" x14ac:dyDescent="0.35">
      <c r="A31" s="196">
        <v>21</v>
      </c>
      <c r="B31" s="112" t="str">
        <f>'METRADO LLORADEROS'!B27&amp;": "&amp;'METRADO LLORADEROS'!C27</f>
        <v>EJE 05: 0+027.00 a 0+032.54</v>
      </c>
      <c r="C31" s="212" t="str">
        <f>'METRADO LLORADEROS'!D27</f>
        <v>LADO OESTE</v>
      </c>
      <c r="D31" s="198">
        <f>'METRADO LLORADEROS'!E27</f>
        <v>5.54</v>
      </c>
      <c r="E31" s="198">
        <f>'METRADO LLORADEROS'!F27</f>
        <v>1.5</v>
      </c>
      <c r="F31" s="198">
        <f>'METRADO LLORADEROS'!G27</f>
        <v>4</v>
      </c>
      <c r="G31" s="219"/>
      <c r="H31" s="112" t="s">
        <v>1029</v>
      </c>
    </row>
    <row r="32" spans="1:8" ht="19.5" customHeight="1" x14ac:dyDescent="0.35">
      <c r="A32" s="196">
        <v>22</v>
      </c>
      <c r="B32" s="112" t="str">
        <f>'METRADO LLORADEROS'!B28&amp;": "&amp;'METRADO LLORADEROS'!C28</f>
        <v>EJE 05: 0+032.54 a 0+035.04</v>
      </c>
      <c r="C32" s="212" t="str">
        <f>'METRADO LLORADEROS'!D28</f>
        <v>LADO NORTE</v>
      </c>
      <c r="D32" s="198">
        <f>'METRADO LLORADEROS'!E28</f>
        <v>2.5</v>
      </c>
      <c r="E32" s="198">
        <f>'METRADO LLORADEROS'!F28</f>
        <v>1.5</v>
      </c>
      <c r="F32" s="198">
        <f>'METRADO LLORADEROS'!G28</f>
        <v>2</v>
      </c>
      <c r="G32" s="219"/>
      <c r="H32" s="112" t="s">
        <v>1029</v>
      </c>
    </row>
    <row r="33" spans="1:8" ht="19.5" customHeight="1" x14ac:dyDescent="0.35">
      <c r="A33" s="196">
        <v>23</v>
      </c>
      <c r="B33" s="112" t="str">
        <f>'METRADO LLORADEROS'!B29&amp;": "&amp;'METRADO LLORADEROS'!C29</f>
        <v>EJE 06: 0+000.00 a 0+034.25</v>
      </c>
      <c r="C33" s="212" t="str">
        <f>'METRADO LLORADEROS'!D29</f>
        <v>LADO ESTE</v>
      </c>
      <c r="D33" s="198">
        <f>'METRADO LLORADEROS'!E29</f>
        <v>34.25</v>
      </c>
      <c r="E33" s="198">
        <f>'METRADO LLORADEROS'!F29</f>
        <v>1.5</v>
      </c>
      <c r="F33" s="198">
        <f>'METRADO LLORADEROS'!G29</f>
        <v>23</v>
      </c>
      <c r="G33" s="219"/>
      <c r="H33" s="112" t="s">
        <v>1029</v>
      </c>
    </row>
    <row r="34" spans="1:8" ht="19.5" customHeight="1" x14ac:dyDescent="0.35">
      <c r="A34" s="196">
        <v>24</v>
      </c>
      <c r="B34" s="112" t="str">
        <f>'METRADO LLORADEROS'!B30&amp;": "&amp;'METRADO LLORADEROS'!C30</f>
        <v>EJE 06: 0+083.48 a 0+086.23</v>
      </c>
      <c r="C34" s="212" t="str">
        <f>'METRADO LLORADEROS'!D30</f>
        <v>LADO ESTE</v>
      </c>
      <c r="D34" s="198">
        <f>'METRADO LLORADEROS'!E30</f>
        <v>2.75</v>
      </c>
      <c r="E34" s="198">
        <f>'METRADO LLORADEROS'!F30</f>
        <v>1.5</v>
      </c>
      <c r="F34" s="198">
        <f>'METRADO LLORADEROS'!G30</f>
        <v>2</v>
      </c>
      <c r="G34" s="219"/>
      <c r="H34" s="112" t="s">
        <v>1029</v>
      </c>
    </row>
    <row r="35" spans="1:8" ht="19.5" customHeight="1" x14ac:dyDescent="0.35">
      <c r="A35" s="196">
        <v>25</v>
      </c>
      <c r="B35" s="112" t="str">
        <f>'METRADO LLORADEROS'!B31&amp;": "&amp;'METRADO LLORADEROS'!C31</f>
        <v>EJE 06: 0+094.48 a 0+098.69</v>
      </c>
      <c r="C35" s="212" t="str">
        <f>'METRADO LLORADEROS'!D31</f>
        <v>LADO ESTE</v>
      </c>
      <c r="D35" s="198">
        <f>'METRADO LLORADEROS'!E31</f>
        <v>4.21</v>
      </c>
      <c r="E35" s="198">
        <f>'METRADO LLORADEROS'!F31</f>
        <v>1.5</v>
      </c>
      <c r="F35" s="198">
        <f>'METRADO LLORADEROS'!G31</f>
        <v>3</v>
      </c>
      <c r="G35" s="219"/>
      <c r="H35" s="112" t="s">
        <v>1029</v>
      </c>
    </row>
    <row r="36" spans="1:8" ht="19.5" customHeight="1" x14ac:dyDescent="0.35">
      <c r="A36" s="196">
        <v>26</v>
      </c>
      <c r="B36" s="112" t="str">
        <f>'METRADO LLORADEROS'!B32&amp;": "&amp;'METRADO LLORADEROS'!C32</f>
        <v>EJE 06: 0+013.75 a 0+019.25</v>
      </c>
      <c r="C36" s="212" t="str">
        <f>'METRADO LLORADEROS'!D32</f>
        <v>LADO OESTE</v>
      </c>
      <c r="D36" s="198">
        <f>'METRADO LLORADEROS'!E32</f>
        <v>5.5</v>
      </c>
      <c r="E36" s="198">
        <f>'METRADO LLORADEROS'!F32</f>
        <v>1.5</v>
      </c>
      <c r="F36" s="198">
        <f>'METRADO LLORADEROS'!G32</f>
        <v>4</v>
      </c>
      <c r="G36" s="219"/>
      <c r="H36" s="112" t="s">
        <v>1029</v>
      </c>
    </row>
    <row r="37" spans="1:8" ht="19.5" customHeight="1" x14ac:dyDescent="0.35">
      <c r="A37" s="196">
        <v>27</v>
      </c>
      <c r="B37" s="112" t="str">
        <f>'METRADO LLORADEROS'!B33&amp;": "&amp;'METRADO LLORADEROS'!C33</f>
        <v>EJE 06: 0+034.25 a 0+042.73</v>
      </c>
      <c r="C37" s="212" t="str">
        <f>'METRADO LLORADEROS'!D33</f>
        <v>LADO NORTE</v>
      </c>
      <c r="D37" s="198">
        <f>'METRADO LLORADEROS'!E33</f>
        <v>8.48</v>
      </c>
      <c r="E37" s="198">
        <f>'METRADO LLORADEROS'!F33</f>
        <v>1.5</v>
      </c>
      <c r="F37" s="198">
        <f>'METRADO LLORADEROS'!G33</f>
        <v>6</v>
      </c>
      <c r="G37" s="219"/>
      <c r="H37" s="112" t="s">
        <v>1029</v>
      </c>
    </row>
    <row r="38" spans="1:8" ht="19.5" customHeight="1" x14ac:dyDescent="0.35">
      <c r="A38" s="196">
        <v>28</v>
      </c>
      <c r="B38" s="112" t="str">
        <f>'METRADO LLORADEROS'!B34&amp;": "&amp;'METRADO LLORADEROS'!C34</f>
        <v>EJE 06: 0+042.73 a 0+061.23</v>
      </c>
      <c r="C38" s="212" t="str">
        <f>'METRADO LLORADEROS'!D34</f>
        <v>LADO OESTE</v>
      </c>
      <c r="D38" s="198">
        <f>'METRADO LLORADEROS'!E34</f>
        <v>18.5</v>
      </c>
      <c r="E38" s="198">
        <f>'METRADO LLORADEROS'!F34</f>
        <v>1.5</v>
      </c>
      <c r="F38" s="198">
        <f>'METRADO LLORADEROS'!G34</f>
        <v>13</v>
      </c>
      <c r="G38" s="219"/>
      <c r="H38" s="112" t="s">
        <v>1029</v>
      </c>
    </row>
    <row r="39" spans="1:8" ht="19.5" customHeight="1" x14ac:dyDescent="0.35">
      <c r="A39" s="196">
        <v>29</v>
      </c>
      <c r="B39" s="112" t="str">
        <f>'METRADO LLORADEROS'!B35&amp;": "&amp;'METRADO LLORADEROS'!C35</f>
        <v>EJE 06: 0+072.98 a 0+080.73</v>
      </c>
      <c r="C39" s="212" t="str">
        <f>'METRADO LLORADEROS'!D35</f>
        <v>LADO OESTE</v>
      </c>
      <c r="D39" s="198">
        <f>'METRADO LLORADEROS'!E35</f>
        <v>7.75</v>
      </c>
      <c r="E39" s="198">
        <f>'METRADO LLORADEROS'!F35</f>
        <v>1.5</v>
      </c>
      <c r="F39" s="198">
        <f>'METRADO LLORADEROS'!G35</f>
        <v>6</v>
      </c>
      <c r="G39" s="219"/>
      <c r="H39" s="112" t="s">
        <v>1029</v>
      </c>
    </row>
    <row r="40" spans="1:8" ht="19.5" customHeight="1" x14ac:dyDescent="0.35">
      <c r="A40" s="196">
        <v>30</v>
      </c>
      <c r="B40" s="112" t="str">
        <f>'METRADO LLORADEROS'!B36&amp;": "&amp;'METRADO LLORADEROS'!C36</f>
        <v>EJE 06: 0+083.48 a 0+086.23</v>
      </c>
      <c r="C40" s="212" t="str">
        <f>'METRADO LLORADEROS'!D36</f>
        <v>LADO OESTE</v>
      </c>
      <c r="D40" s="198">
        <f>'METRADO LLORADEROS'!E36</f>
        <v>2.75</v>
      </c>
      <c r="E40" s="198">
        <f>'METRADO LLORADEROS'!F36</f>
        <v>1.5</v>
      </c>
      <c r="F40" s="198">
        <f>'METRADO LLORADEROS'!G36</f>
        <v>2</v>
      </c>
      <c r="G40" s="219"/>
      <c r="H40" s="112" t="s">
        <v>1029</v>
      </c>
    </row>
    <row r="41" spans="1:8" ht="19.5" customHeight="1" x14ac:dyDescent="0.35">
      <c r="A41" s="196">
        <v>31</v>
      </c>
      <c r="B41" s="112" t="str">
        <f>'METRADO LLORADEROS'!B37&amp;": "&amp;'METRADO LLORADEROS'!C37</f>
        <v>EJE 06: 0+094.48 a 0+098.69</v>
      </c>
      <c r="C41" s="212" t="str">
        <f>'METRADO LLORADEROS'!D37</f>
        <v>LADO OESTE</v>
      </c>
      <c r="D41" s="198">
        <f>'METRADO LLORADEROS'!E37</f>
        <v>4.21</v>
      </c>
      <c r="E41" s="198">
        <f>'METRADO LLORADEROS'!F37</f>
        <v>1.5</v>
      </c>
      <c r="F41" s="198">
        <f>'METRADO LLORADEROS'!G37</f>
        <v>3</v>
      </c>
      <c r="G41" s="219"/>
      <c r="H41" s="112" t="s">
        <v>1029</v>
      </c>
    </row>
    <row r="42" spans="1:8" ht="19.5" customHeight="1" x14ac:dyDescent="0.35">
      <c r="A42" s="196">
        <v>32</v>
      </c>
      <c r="B42" s="112" t="str">
        <f>'METRADO LLORADEROS'!B38&amp;": "&amp;'METRADO LLORADEROS'!C38</f>
        <v>EJE 07: 0+000.00 a 0+014.93</v>
      </c>
      <c r="C42" s="212" t="str">
        <f>'METRADO LLORADEROS'!D38</f>
        <v>LADO OESTE</v>
      </c>
      <c r="D42" s="198">
        <f>'METRADO LLORADEROS'!E38</f>
        <v>14.93</v>
      </c>
      <c r="E42" s="198">
        <f>'METRADO LLORADEROS'!F38</f>
        <v>1.5</v>
      </c>
      <c r="F42" s="198">
        <f>'METRADO LLORADEROS'!G38</f>
        <v>10</v>
      </c>
      <c r="G42" s="219"/>
      <c r="H42" s="112" t="s">
        <v>1029</v>
      </c>
    </row>
    <row r="43" spans="1:8" ht="19.5" customHeight="1" x14ac:dyDescent="0.35">
      <c r="A43" s="196">
        <v>33</v>
      </c>
      <c r="B43" s="112" t="str">
        <f>'METRADO LLORADEROS'!B39&amp;": "&amp;'METRADO LLORADEROS'!C39</f>
        <v>EJE 08: 0+029.50 a 0+035.50</v>
      </c>
      <c r="C43" s="212" t="str">
        <f>'METRADO LLORADEROS'!D39</f>
        <v>LADO ESTE</v>
      </c>
      <c r="D43" s="198">
        <f>'METRADO LLORADEROS'!E39</f>
        <v>6</v>
      </c>
      <c r="E43" s="198">
        <f>'METRADO LLORADEROS'!F39</f>
        <v>1.5</v>
      </c>
      <c r="F43" s="198">
        <f>'METRADO LLORADEROS'!G39</f>
        <v>4</v>
      </c>
      <c r="G43" s="219"/>
      <c r="H43" s="112" t="s">
        <v>1029</v>
      </c>
    </row>
    <row r="44" spans="1:8" ht="19.5" customHeight="1" x14ac:dyDescent="0.35">
      <c r="A44" s="196">
        <v>34</v>
      </c>
      <c r="B44" s="112" t="str">
        <f>'METRADO LLORADEROS'!B40&amp;": "&amp;'METRADO LLORADEROS'!C40</f>
        <v>EJE 09: 0+000.25 a 0+021.75</v>
      </c>
      <c r="C44" s="212" t="str">
        <f>'METRADO LLORADEROS'!D40</f>
        <v>LADO OESTE</v>
      </c>
      <c r="D44" s="198">
        <f>'METRADO LLORADEROS'!E40</f>
        <v>21.5</v>
      </c>
      <c r="E44" s="198">
        <f>'METRADO LLORADEROS'!F40</f>
        <v>1.5</v>
      </c>
      <c r="F44" s="198">
        <f>'METRADO LLORADEROS'!G40</f>
        <v>15</v>
      </c>
      <c r="G44" s="219"/>
      <c r="H44" s="112" t="s">
        <v>1029</v>
      </c>
    </row>
    <row r="45" spans="1:8" ht="19.5" customHeight="1" x14ac:dyDescent="0.35">
      <c r="A45" s="22"/>
      <c r="B45" s="218" t="s">
        <v>1030</v>
      </c>
      <c r="C45" s="219"/>
      <c r="D45" s="220">
        <f>SUM(D11:D44)</f>
        <v>320.52999999999997</v>
      </c>
      <c r="E45" s="219"/>
      <c r="F45" s="220">
        <f>SUM(F11:F44)</f>
        <v>226</v>
      </c>
      <c r="G45" s="219"/>
      <c r="H45" s="219"/>
    </row>
    <row r="47" spans="1:8" ht="19.5" customHeight="1" x14ac:dyDescent="0.35">
      <c r="A47" s="325" t="s">
        <v>1031</v>
      </c>
      <c r="B47" s="325"/>
      <c r="C47" s="325"/>
      <c r="D47" s="325"/>
      <c r="E47" s="325"/>
      <c r="F47" s="325"/>
      <c r="G47" s="325"/>
      <c r="H47" s="325"/>
    </row>
    <row r="48" spans="1:8" ht="31.5" customHeight="1" x14ac:dyDescent="0.35">
      <c r="A48" s="195" t="s">
        <v>275</v>
      </c>
      <c r="B48" s="195" t="s">
        <v>884</v>
      </c>
      <c r="C48" s="195" t="s">
        <v>137</v>
      </c>
      <c r="D48" s="195" t="s">
        <v>237</v>
      </c>
      <c r="E48" s="195"/>
      <c r="F48" s="195"/>
      <c r="G48" s="195"/>
      <c r="H48" s="195" t="s">
        <v>445</v>
      </c>
    </row>
    <row r="49" spans="1:8" ht="31.5" customHeight="1" x14ac:dyDescent="0.35">
      <c r="A49" s="196">
        <v>1</v>
      </c>
      <c r="B49" s="112" t="s">
        <v>1032</v>
      </c>
      <c r="C49" s="212" t="s">
        <v>65</v>
      </c>
      <c r="D49" s="230">
        <v>0.3</v>
      </c>
      <c r="E49" s="219"/>
      <c r="F49" s="219"/>
      <c r="G49" s="219"/>
      <c r="H49" s="112" t="s">
        <v>1033</v>
      </c>
    </row>
    <row r="50" spans="1:8" ht="31.5" customHeight="1" x14ac:dyDescent="0.35">
      <c r="A50" s="196">
        <v>2</v>
      </c>
      <c r="B50" s="112" t="s">
        <v>1034</v>
      </c>
      <c r="C50" s="212" t="s">
        <v>65</v>
      </c>
      <c r="D50" s="230">
        <v>0.3</v>
      </c>
      <c r="E50" s="219"/>
      <c r="F50" s="219"/>
      <c r="G50" s="219"/>
      <c r="H50" s="112" t="s">
        <v>1035</v>
      </c>
    </row>
    <row r="51" spans="1:8" ht="31.5" customHeight="1" x14ac:dyDescent="0.35">
      <c r="A51" s="196">
        <v>3</v>
      </c>
      <c r="B51" s="112" t="s">
        <v>1036</v>
      </c>
      <c r="C51" s="212" t="s">
        <v>55</v>
      </c>
      <c r="D51" s="230">
        <v>4</v>
      </c>
      <c r="E51" s="219"/>
      <c r="F51" s="219"/>
      <c r="G51" s="219"/>
      <c r="H51" s="112" t="s">
        <v>1037</v>
      </c>
    </row>
    <row r="52" spans="1:8" ht="31.5" customHeight="1" x14ac:dyDescent="0.35">
      <c r="A52" s="196">
        <v>4</v>
      </c>
      <c r="B52" s="112" t="s">
        <v>1038</v>
      </c>
      <c r="C52" s="212" t="s">
        <v>55</v>
      </c>
      <c r="D52" s="230">
        <v>2</v>
      </c>
      <c r="E52" s="219"/>
      <c r="F52" s="219"/>
      <c r="G52" s="219"/>
      <c r="H52" s="112" t="s">
        <v>1039</v>
      </c>
    </row>
    <row r="53" spans="1:8" ht="31.5" customHeight="1" x14ac:dyDescent="0.35">
      <c r="A53" s="196">
        <v>5</v>
      </c>
      <c r="B53" s="112" t="s">
        <v>1040</v>
      </c>
      <c r="C53" s="212" t="s">
        <v>473</v>
      </c>
      <c r="D53" s="230">
        <v>0.1</v>
      </c>
      <c r="E53" s="219"/>
      <c r="F53" s="219"/>
      <c r="G53" s="219"/>
      <c r="H53" s="112" t="s">
        <v>1041</v>
      </c>
    </row>
    <row r="54" spans="1:8" ht="31.5" customHeight="1" x14ac:dyDescent="0.35">
      <c r="A54" s="196">
        <v>6</v>
      </c>
      <c r="B54" s="112" t="s">
        <v>1042</v>
      </c>
      <c r="C54" s="212" t="s">
        <v>473</v>
      </c>
      <c r="D54" s="230">
        <v>0.1</v>
      </c>
      <c r="E54" s="219"/>
      <c r="F54" s="219"/>
      <c r="G54" s="219"/>
      <c r="H54" s="112" t="s">
        <v>1043</v>
      </c>
    </row>
    <row r="55" spans="1:8" ht="31.5" customHeight="1" x14ac:dyDescent="0.35">
      <c r="A55" s="196">
        <v>7</v>
      </c>
      <c r="B55" s="112" t="s">
        <v>1044</v>
      </c>
      <c r="C55" s="212" t="s">
        <v>152</v>
      </c>
      <c r="D55" s="230">
        <v>5.0000000000000001E-4</v>
      </c>
      <c r="E55" s="219"/>
      <c r="F55" s="219"/>
      <c r="G55" s="219"/>
      <c r="H55" s="112" t="s">
        <v>1045</v>
      </c>
    </row>
    <row r="57" spans="1:8" ht="19.5" customHeight="1" x14ac:dyDescent="0.35">
      <c r="A57" s="325" t="s">
        <v>1046</v>
      </c>
      <c r="B57" s="325"/>
      <c r="C57" s="325"/>
      <c r="D57" s="325"/>
      <c r="E57" s="325"/>
      <c r="F57" s="325"/>
      <c r="G57" s="325"/>
      <c r="H57" s="325"/>
    </row>
    <row r="58" spans="1:8" ht="31.5" customHeight="1" x14ac:dyDescent="0.35">
      <c r="A58" s="195" t="s">
        <v>275</v>
      </c>
      <c r="B58" s="195" t="s">
        <v>853</v>
      </c>
      <c r="C58" s="195" t="s">
        <v>137</v>
      </c>
      <c r="D58" s="195" t="s">
        <v>1047</v>
      </c>
      <c r="E58" s="195" t="s">
        <v>1048</v>
      </c>
      <c r="F58" s="195" t="s">
        <v>136</v>
      </c>
      <c r="G58" s="195"/>
      <c r="H58" s="195" t="s">
        <v>445</v>
      </c>
    </row>
    <row r="59" spans="1:8" ht="31.5" customHeight="1" x14ac:dyDescent="0.35">
      <c r="A59" s="196">
        <v>1</v>
      </c>
      <c r="B59" s="112" t="s">
        <v>1049</v>
      </c>
      <c r="C59" s="212" t="s">
        <v>65</v>
      </c>
      <c r="D59" s="229">
        <f>$D$50</f>
        <v>0.3</v>
      </c>
      <c r="E59" s="198">
        <f t="shared" ref="E59:E64" si="0">+$F$45</f>
        <v>226</v>
      </c>
      <c r="F59" s="229">
        <f t="shared" ref="F59:F64" si="1">D59*E59</f>
        <v>67.8</v>
      </c>
      <c r="G59" s="219"/>
      <c r="H59" s="112" t="s">
        <v>1050</v>
      </c>
    </row>
    <row r="60" spans="1:8" ht="31.5" customHeight="1" x14ac:dyDescent="0.35">
      <c r="A60" s="196">
        <v>2</v>
      </c>
      <c r="B60" s="112" t="s">
        <v>1051</v>
      </c>
      <c r="C60" s="212" t="s">
        <v>55</v>
      </c>
      <c r="D60" s="229">
        <f>$D$51*$D$52</f>
        <v>8</v>
      </c>
      <c r="E60" s="198">
        <f t="shared" si="0"/>
        <v>226</v>
      </c>
      <c r="F60" s="229">
        <f t="shared" si="1"/>
        <v>1808</v>
      </c>
      <c r="G60" s="219"/>
      <c r="H60" s="112" t="s">
        <v>1052</v>
      </c>
    </row>
    <row r="61" spans="1:8" ht="31.5" customHeight="1" x14ac:dyDescent="0.35">
      <c r="A61" s="196">
        <v>3</v>
      </c>
      <c r="B61" s="112" t="s">
        <v>1053</v>
      </c>
      <c r="C61" s="212" t="s">
        <v>152</v>
      </c>
      <c r="D61" s="229">
        <f>$D$49^3</f>
        <v>2.7E-2</v>
      </c>
      <c r="E61" s="198">
        <f t="shared" si="0"/>
        <v>226</v>
      </c>
      <c r="F61" s="229">
        <f t="shared" si="1"/>
        <v>6.1020000000000003</v>
      </c>
      <c r="G61" s="219"/>
      <c r="H61" s="112" t="s">
        <v>1054</v>
      </c>
    </row>
    <row r="62" spans="1:8" ht="31.5" customHeight="1" x14ac:dyDescent="0.35">
      <c r="A62" s="196">
        <v>4</v>
      </c>
      <c r="B62" s="112" t="s">
        <v>1055</v>
      </c>
      <c r="C62" s="212" t="s">
        <v>152</v>
      </c>
      <c r="D62" s="229">
        <f>$D$49^3*(1+$D$53)</f>
        <v>2.9700000000000001E-2</v>
      </c>
      <c r="E62" s="198">
        <f t="shared" si="0"/>
        <v>226</v>
      </c>
      <c r="F62" s="229">
        <f t="shared" si="1"/>
        <v>6.7122000000000002</v>
      </c>
      <c r="G62" s="219"/>
      <c r="H62" s="112" t="s">
        <v>1056</v>
      </c>
    </row>
    <row r="63" spans="1:8" ht="31.5" customHeight="1" x14ac:dyDescent="0.35">
      <c r="A63" s="196">
        <v>5</v>
      </c>
      <c r="B63" s="112" t="s">
        <v>1057</v>
      </c>
      <c r="C63" s="212" t="s">
        <v>153</v>
      </c>
      <c r="D63" s="229">
        <f>6*$D$49^2*(1+$D$54)</f>
        <v>0.59400000000000008</v>
      </c>
      <c r="E63" s="198">
        <f t="shared" si="0"/>
        <v>226</v>
      </c>
      <c r="F63" s="229">
        <f t="shared" si="1"/>
        <v>134.24400000000003</v>
      </c>
      <c r="G63" s="219"/>
      <c r="H63" s="112" t="s">
        <v>1058</v>
      </c>
    </row>
    <row r="64" spans="1:8" ht="31.5" customHeight="1" x14ac:dyDescent="0.35">
      <c r="A64" s="196">
        <v>6</v>
      </c>
      <c r="B64" s="112" t="s">
        <v>1044</v>
      </c>
      <c r="C64" s="212" t="s">
        <v>152</v>
      </c>
      <c r="D64" s="229">
        <f>$D$55</f>
        <v>5.0000000000000001E-4</v>
      </c>
      <c r="E64" s="198">
        <f t="shared" si="0"/>
        <v>226</v>
      </c>
      <c r="F64" s="229">
        <f t="shared" si="1"/>
        <v>0.113</v>
      </c>
      <c r="G64" s="219"/>
      <c r="H64" s="112" t="s">
        <v>1059</v>
      </c>
    </row>
    <row r="66" spans="1:8" ht="19.5" customHeight="1" x14ac:dyDescent="0.35">
      <c r="A66" s="325" t="s">
        <v>1060</v>
      </c>
      <c r="B66" s="325"/>
      <c r="C66" s="325"/>
      <c r="D66" s="325"/>
      <c r="E66" s="325"/>
      <c r="F66" s="325"/>
      <c r="G66" s="325"/>
      <c r="H66" s="325"/>
    </row>
    <row r="67" spans="1:8" ht="19.5" customHeight="1" x14ac:dyDescent="0.35">
      <c r="A67" s="195"/>
      <c r="B67" s="195" t="s">
        <v>692</v>
      </c>
      <c r="C67" s="195" t="s">
        <v>137</v>
      </c>
      <c r="D67" s="195"/>
      <c r="E67" s="195" t="s">
        <v>958</v>
      </c>
      <c r="F67" s="195" t="s">
        <v>1061</v>
      </c>
      <c r="G67" s="195" t="s">
        <v>960</v>
      </c>
      <c r="H67" s="195"/>
    </row>
    <row r="68" spans="1:8" ht="31.5" customHeight="1" x14ac:dyDescent="0.35">
      <c r="A68" s="22"/>
      <c r="B68" s="112" t="s">
        <v>1062</v>
      </c>
      <c r="C68" s="212" t="s">
        <v>55</v>
      </c>
      <c r="D68" s="219"/>
      <c r="E68" s="229">
        <f>+$F$45</f>
        <v>226</v>
      </c>
      <c r="F68" s="229">
        <f>+RESUMEN!D32</f>
        <v>226</v>
      </c>
      <c r="G68" s="196" t="str">
        <f>IF(ABS(E68-F68)&lt;0.001,"CONFORME","REVISAR")</f>
        <v>CONFORME</v>
      </c>
      <c r="H68" s="219"/>
    </row>
  </sheetData>
  <mergeCells count="14">
    <mergeCell ref="A1:H1"/>
    <mergeCell ref="A2:B2"/>
    <mergeCell ref="C2:H2"/>
    <mergeCell ref="A3:B3"/>
    <mergeCell ref="C3:H3"/>
    <mergeCell ref="A9:H9"/>
    <mergeCell ref="A47:H47"/>
    <mergeCell ref="A57:H57"/>
    <mergeCell ref="A66:H66"/>
    <mergeCell ref="A4:B4"/>
    <mergeCell ref="C4:H4"/>
    <mergeCell ref="A5:B5"/>
    <mergeCell ref="C5:H5"/>
    <mergeCell ref="A7:H7"/>
  </mergeCells>
  <pageMargins left="0.5" right="0.5" top="0.75" bottom="0.75" header="0.511811023622047" footer="0.511811023622047"/>
  <pageSetup paperSize="9" fitToHeight="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H48"/>
  <sheetViews>
    <sheetView showGridLines="0" zoomScaleNormal="100" workbookViewId="0">
      <selection activeCell="L26" sqref="L26"/>
    </sheetView>
  </sheetViews>
  <sheetFormatPr baseColWidth="10" defaultColWidth="8.7265625" defaultRowHeight="14.5" x14ac:dyDescent="0.35"/>
  <cols>
    <col min="1" max="1" width="6" customWidth="1"/>
    <col min="2" max="2" width="46" customWidth="1"/>
    <col min="3" max="3" width="8" customWidth="1"/>
    <col min="4" max="7" width="14" customWidth="1"/>
    <col min="8" max="8" width="44" customWidth="1"/>
  </cols>
  <sheetData>
    <row r="1" spans="1:8" ht="27" customHeight="1" x14ac:dyDescent="0.35">
      <c r="A1" s="319" t="s">
        <v>1063</v>
      </c>
      <c r="B1" s="319"/>
      <c r="C1" s="319"/>
      <c r="D1" s="319"/>
      <c r="E1" s="319"/>
      <c r="F1" s="319"/>
      <c r="G1" s="319"/>
      <c r="H1" s="319"/>
    </row>
    <row r="2" spans="1:8" ht="24.75" customHeight="1" x14ac:dyDescent="0.35">
      <c r="A2" s="315" t="s">
        <v>1</v>
      </c>
      <c r="B2" s="315"/>
      <c r="C2" s="316" t="str">
        <f>+RESUMEN!B4</f>
        <v>GERENCIA TERRITORIAL BAJO MAYO - TARAPOTO</v>
      </c>
      <c r="D2" s="316"/>
      <c r="E2" s="316"/>
      <c r="F2" s="316"/>
      <c r="G2" s="316"/>
      <c r="H2" s="316"/>
    </row>
    <row r="3" spans="1:8" ht="58.5" customHeight="1" x14ac:dyDescent="0.35">
      <c r="A3" s="315" t="s">
        <v>3</v>
      </c>
      <c r="B3" s="315"/>
      <c r="C3" s="316" t="str">
        <f>+RESUMEN!B5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16"/>
      <c r="E3" s="316"/>
      <c r="F3" s="316"/>
      <c r="G3" s="316"/>
      <c r="H3" s="316"/>
    </row>
    <row r="4" spans="1:8" ht="24.75" customHeight="1" x14ac:dyDescent="0.35">
      <c r="A4" s="315" t="s">
        <v>5</v>
      </c>
      <c r="B4" s="315"/>
      <c r="C4" s="316" t="str">
        <f>+RESUMEN!B6</f>
        <v>SAN MARTIN - SAN MARTIN - MORALES</v>
      </c>
      <c r="D4" s="316"/>
      <c r="E4" s="316"/>
      <c r="F4" s="316"/>
      <c r="G4" s="316"/>
      <c r="H4" s="316"/>
    </row>
    <row r="5" spans="1:8" ht="24.75" customHeight="1" x14ac:dyDescent="0.35">
      <c r="A5" s="315" t="s">
        <v>7</v>
      </c>
      <c r="B5" s="315"/>
      <c r="C5" s="317">
        <f>+RESUMEN!B7</f>
        <v>46266</v>
      </c>
      <c r="D5" s="317"/>
      <c r="E5" s="317"/>
      <c r="F5" s="317"/>
      <c r="G5" s="317"/>
      <c r="H5" s="317"/>
    </row>
    <row r="7" spans="1:8" ht="66" customHeight="1" x14ac:dyDescent="0.35">
      <c r="A7" s="318" t="s">
        <v>1064</v>
      </c>
      <c r="B7" s="318"/>
      <c r="C7" s="318"/>
      <c r="D7" s="318"/>
      <c r="E7" s="318"/>
      <c r="F7" s="318"/>
      <c r="G7" s="318"/>
      <c r="H7" s="318"/>
    </row>
    <row r="9" spans="1:8" ht="19.5" customHeight="1" x14ac:dyDescent="0.35">
      <c r="A9" s="325" t="s">
        <v>1065</v>
      </c>
      <c r="B9" s="325"/>
      <c r="C9" s="325"/>
      <c r="D9" s="325"/>
      <c r="E9" s="325"/>
      <c r="F9" s="325"/>
      <c r="G9" s="325"/>
      <c r="H9" s="325"/>
    </row>
    <row r="10" spans="1:8" ht="31.5" customHeight="1" x14ac:dyDescent="0.35">
      <c r="A10" s="195" t="s">
        <v>275</v>
      </c>
      <c r="B10" s="195" t="s">
        <v>803</v>
      </c>
      <c r="C10" s="195" t="s">
        <v>137</v>
      </c>
      <c r="D10" s="195" t="s">
        <v>237</v>
      </c>
      <c r="E10" s="195"/>
      <c r="F10" s="195"/>
      <c r="G10" s="195"/>
      <c r="H10" s="195" t="s">
        <v>445</v>
      </c>
    </row>
    <row r="11" spans="1:8" ht="31.5" customHeight="1" x14ac:dyDescent="0.35">
      <c r="A11" s="196">
        <v>1</v>
      </c>
      <c r="B11" s="112" t="s">
        <v>1066</v>
      </c>
      <c r="C11" s="212" t="s">
        <v>55</v>
      </c>
      <c r="D11" s="229">
        <f>'DESAGREGADO LLORADEROS'!F45</f>
        <v>226</v>
      </c>
      <c r="E11" s="219"/>
      <c r="F11" s="219"/>
      <c r="G11" s="219"/>
      <c r="H11" s="112" t="s">
        <v>1098</v>
      </c>
    </row>
    <row r="12" spans="1:8" ht="31.5" customHeight="1" x14ac:dyDescent="0.35">
      <c r="A12" s="196">
        <v>2</v>
      </c>
      <c r="B12" s="112" t="s">
        <v>1067</v>
      </c>
      <c r="C12" s="212" t="s">
        <v>65</v>
      </c>
      <c r="D12" s="229">
        <f>'DESAGREGADO LLORADEROS'!D59</f>
        <v>0.3</v>
      </c>
      <c r="E12" s="219"/>
      <c r="F12" s="219"/>
      <c r="G12" s="219"/>
      <c r="H12" s="112" t="s">
        <v>1099</v>
      </c>
    </row>
    <row r="13" spans="1:8" ht="31.5" customHeight="1" x14ac:dyDescent="0.35">
      <c r="A13" s="196">
        <v>3</v>
      </c>
      <c r="B13" s="112" t="s">
        <v>1068</v>
      </c>
      <c r="C13" s="212" t="s">
        <v>473</v>
      </c>
      <c r="D13" s="230">
        <v>0.05</v>
      </c>
      <c r="E13" s="219"/>
      <c r="F13" s="219"/>
      <c r="G13" s="219"/>
      <c r="H13" s="112" t="s">
        <v>1041</v>
      </c>
    </row>
    <row r="14" spans="1:8" ht="31.5" customHeight="1" x14ac:dyDescent="0.35">
      <c r="A14" s="196">
        <v>4</v>
      </c>
      <c r="B14" s="112" t="s">
        <v>1069</v>
      </c>
      <c r="C14" s="212" t="s">
        <v>152</v>
      </c>
      <c r="D14" s="229">
        <f>'DESAGREGADO LLORADEROS'!D62</f>
        <v>2.9700000000000001E-2</v>
      </c>
      <c r="E14" s="219"/>
      <c r="F14" s="219"/>
      <c r="G14" s="219"/>
      <c r="H14" s="112" t="s">
        <v>1100</v>
      </c>
    </row>
    <row r="15" spans="1:8" ht="31.5" customHeight="1" x14ac:dyDescent="0.35">
      <c r="A15" s="196">
        <v>5</v>
      </c>
      <c r="B15" s="112" t="s">
        <v>1070</v>
      </c>
      <c r="C15" s="212" t="s">
        <v>153</v>
      </c>
      <c r="D15" s="229">
        <f>'DESAGREGADO LLORADEROS'!D63</f>
        <v>0.59400000000000008</v>
      </c>
      <c r="E15" s="219"/>
      <c r="F15" s="219"/>
      <c r="G15" s="219"/>
      <c r="H15" s="112" t="s">
        <v>1101</v>
      </c>
    </row>
    <row r="16" spans="1:8" ht="31.5" customHeight="1" x14ac:dyDescent="0.35">
      <c r="A16" s="196">
        <v>6</v>
      </c>
      <c r="B16" s="112" t="s">
        <v>1071</v>
      </c>
      <c r="C16" s="212" t="s">
        <v>473</v>
      </c>
      <c r="D16" s="230">
        <v>0.05</v>
      </c>
      <c r="E16" s="219"/>
      <c r="F16" s="219"/>
      <c r="G16" s="219"/>
      <c r="H16" s="112" t="s">
        <v>1041</v>
      </c>
    </row>
    <row r="17" spans="1:8" ht="31.5" customHeight="1" x14ac:dyDescent="0.35">
      <c r="A17" s="196">
        <v>7</v>
      </c>
      <c r="B17" s="112" t="s">
        <v>1044</v>
      </c>
      <c r="C17" s="212" t="s">
        <v>152</v>
      </c>
      <c r="D17" s="229">
        <f>'DESAGREGADO LLORADEROS'!D64</f>
        <v>5.0000000000000001E-4</v>
      </c>
      <c r="E17" s="219"/>
      <c r="F17" s="219"/>
      <c r="G17" s="219"/>
      <c r="H17" s="112" t="s">
        <v>1102</v>
      </c>
    </row>
    <row r="18" spans="1:8" ht="31.5" customHeight="1" x14ac:dyDescent="0.35">
      <c r="A18" s="196">
        <v>8</v>
      </c>
      <c r="B18" s="112" t="s">
        <v>1072</v>
      </c>
      <c r="C18" s="212" t="s">
        <v>1073</v>
      </c>
      <c r="D18" s="230">
        <v>10.5</v>
      </c>
      <c r="E18" s="219"/>
      <c r="F18" s="219"/>
      <c r="G18" s="219"/>
      <c r="H18" s="112" t="s">
        <v>1074</v>
      </c>
    </row>
    <row r="19" spans="1:8" ht="31.5" customHeight="1" x14ac:dyDescent="0.35">
      <c r="A19" s="196">
        <v>9</v>
      </c>
      <c r="B19" s="112" t="s">
        <v>1075</v>
      </c>
      <c r="C19" s="212" t="s">
        <v>988</v>
      </c>
      <c r="D19" s="230">
        <v>1.05</v>
      </c>
      <c r="E19" s="219"/>
      <c r="F19" s="219"/>
      <c r="G19" s="219"/>
      <c r="H19" s="112" t="s">
        <v>1076</v>
      </c>
    </row>
    <row r="20" spans="1:8" ht="31.5" customHeight="1" x14ac:dyDescent="0.35">
      <c r="A20" s="196">
        <v>10</v>
      </c>
      <c r="B20" s="112" t="s">
        <v>1077</v>
      </c>
      <c r="C20" s="212" t="s">
        <v>988</v>
      </c>
      <c r="D20" s="230">
        <v>0.27</v>
      </c>
      <c r="E20" s="219"/>
      <c r="F20" s="219"/>
      <c r="G20" s="219"/>
      <c r="H20" s="112" t="s">
        <v>1074</v>
      </c>
    </row>
    <row r="21" spans="1:8" ht="31.5" customHeight="1" x14ac:dyDescent="0.35">
      <c r="A21" s="196">
        <v>11</v>
      </c>
      <c r="B21" s="112" t="s">
        <v>1078</v>
      </c>
      <c r="C21" s="212" t="s">
        <v>1079</v>
      </c>
      <c r="D21" s="230">
        <v>24</v>
      </c>
      <c r="E21" s="219"/>
      <c r="F21" s="219"/>
      <c r="G21" s="219"/>
      <c r="H21" s="112" t="s">
        <v>1080</v>
      </c>
    </row>
    <row r="22" spans="1:8" ht="31.5" customHeight="1" x14ac:dyDescent="0.35">
      <c r="A22" s="196">
        <v>12</v>
      </c>
      <c r="B22" s="112" t="s">
        <v>1081</v>
      </c>
      <c r="C22" s="212" t="s">
        <v>473</v>
      </c>
      <c r="D22" s="230">
        <v>0.5</v>
      </c>
      <c r="E22" s="219"/>
      <c r="F22" s="219"/>
      <c r="G22" s="219"/>
      <c r="H22" s="112" t="s">
        <v>1082</v>
      </c>
    </row>
    <row r="23" spans="1:8" ht="31.5" customHeight="1" x14ac:dyDescent="0.35">
      <c r="A23" s="196">
        <v>13</v>
      </c>
      <c r="B23" s="112" t="s">
        <v>1083</v>
      </c>
      <c r="C23" s="212" t="s">
        <v>473</v>
      </c>
      <c r="D23" s="230">
        <v>1</v>
      </c>
      <c r="E23" s="219"/>
      <c r="F23" s="219"/>
      <c r="G23" s="219"/>
      <c r="H23" s="112" t="s">
        <v>1084</v>
      </c>
    </row>
    <row r="25" spans="1:8" ht="19.5" customHeight="1" x14ac:dyDescent="0.35">
      <c r="A25" s="325" t="s">
        <v>995</v>
      </c>
      <c r="B25" s="325"/>
      <c r="C25" s="325"/>
      <c r="D25" s="325"/>
      <c r="E25" s="325"/>
      <c r="F25" s="325"/>
      <c r="G25" s="325"/>
      <c r="H25" s="325"/>
    </row>
    <row r="26" spans="1:8" ht="19.5" customHeight="1" x14ac:dyDescent="0.35">
      <c r="A26" s="325" t="s">
        <v>858</v>
      </c>
      <c r="B26" s="325"/>
      <c r="C26" s="324" t="s">
        <v>1085</v>
      </c>
      <c r="D26" s="324"/>
      <c r="E26" s="324"/>
      <c r="F26" s="324"/>
      <c r="G26" s="324"/>
      <c r="H26" s="324"/>
    </row>
    <row r="27" spans="1:8" ht="19.5" customHeight="1" x14ac:dyDescent="0.35">
      <c r="A27" s="325" t="s">
        <v>859</v>
      </c>
      <c r="B27" s="325"/>
      <c r="C27" s="324" t="s">
        <v>1086</v>
      </c>
      <c r="D27" s="324"/>
      <c r="E27" s="324"/>
      <c r="F27" s="324"/>
      <c r="G27" s="324"/>
      <c r="H27" s="324"/>
    </row>
    <row r="28" spans="1:8" ht="19.5" customHeight="1" x14ac:dyDescent="0.35">
      <c r="A28" s="325" t="s">
        <v>452</v>
      </c>
      <c r="B28" s="325"/>
      <c r="C28" s="324" t="s">
        <v>55</v>
      </c>
      <c r="D28" s="324"/>
      <c r="E28" s="324"/>
      <c r="F28" s="324"/>
      <c r="G28" s="324"/>
      <c r="H28" s="324"/>
    </row>
    <row r="29" spans="1:8" ht="19.5" customHeight="1" x14ac:dyDescent="0.35">
      <c r="A29" s="325" t="s">
        <v>860</v>
      </c>
      <c r="B29" s="325"/>
      <c r="C29" s="331">
        <f>'DESAGREGADO LLORADEROS'!F45</f>
        <v>226</v>
      </c>
      <c r="D29" s="331"/>
      <c r="E29" s="331"/>
      <c r="F29" s="331"/>
      <c r="G29" s="331"/>
      <c r="H29" s="331"/>
    </row>
    <row r="30" spans="1:8" ht="19.5" customHeight="1" x14ac:dyDescent="0.35">
      <c r="A30" s="325" t="s">
        <v>1087</v>
      </c>
      <c r="B30" s="325"/>
      <c r="C30" s="331">
        <f>$D$21</f>
        <v>24</v>
      </c>
      <c r="D30" s="331"/>
      <c r="E30" s="331"/>
      <c r="F30" s="331"/>
      <c r="G30" s="331"/>
      <c r="H30" s="331"/>
    </row>
    <row r="31" spans="1:8" ht="31.5" customHeight="1" x14ac:dyDescent="0.35">
      <c r="A31" s="195" t="s">
        <v>275</v>
      </c>
      <c r="B31" s="195" t="s">
        <v>862</v>
      </c>
      <c r="C31" s="195" t="s">
        <v>137</v>
      </c>
      <c r="D31" s="195" t="s">
        <v>863</v>
      </c>
      <c r="E31" s="195" t="s">
        <v>1088</v>
      </c>
      <c r="F31" s="195" t="s">
        <v>864</v>
      </c>
      <c r="G31" s="195" t="s">
        <v>855</v>
      </c>
      <c r="H31" s="195" t="s">
        <v>865</v>
      </c>
    </row>
    <row r="32" spans="1:8" ht="19.5" customHeight="1" x14ac:dyDescent="0.35">
      <c r="A32" s="22"/>
      <c r="B32" s="325" t="s">
        <v>866</v>
      </c>
      <c r="C32" s="325"/>
      <c r="D32" s="325"/>
      <c r="E32" s="325"/>
      <c r="F32" s="325"/>
      <c r="G32" s="325"/>
      <c r="H32" s="325"/>
    </row>
    <row r="33" spans="1:8" ht="31.5" customHeight="1" x14ac:dyDescent="0.35">
      <c r="A33" s="196">
        <v>1</v>
      </c>
      <c r="B33" s="219" t="s">
        <v>727</v>
      </c>
      <c r="C33" s="212" t="s">
        <v>728</v>
      </c>
      <c r="D33" s="229">
        <f>E33*$C$30/8</f>
        <v>0.5</v>
      </c>
      <c r="E33" s="229">
        <f>$D$22*8/$D$21</f>
        <v>0.16666666666666666</v>
      </c>
      <c r="F33" s="198">
        <f>'COSTO HORA HOMBRE 2026'!$G$11</f>
        <v>28.95</v>
      </c>
      <c r="G33" s="198">
        <f>E33*F33</f>
        <v>4.8249999999999993</v>
      </c>
      <c r="H33" s="112" t="s">
        <v>867</v>
      </c>
    </row>
    <row r="34" spans="1:8" ht="31.5" customHeight="1" x14ac:dyDescent="0.35">
      <c r="A34" s="196">
        <v>2</v>
      </c>
      <c r="B34" s="219" t="s">
        <v>730</v>
      </c>
      <c r="C34" s="212" t="s">
        <v>728</v>
      </c>
      <c r="D34" s="229">
        <f>E34*$C$30/8</f>
        <v>1</v>
      </c>
      <c r="E34" s="229">
        <f>$D$23*8/$D$21</f>
        <v>0.33333333333333331</v>
      </c>
      <c r="F34" s="198">
        <f>'COSTO HORA HOMBRE 2026'!$G$13</f>
        <v>20.54</v>
      </c>
      <c r="G34" s="198">
        <f>E34*F34</f>
        <v>6.8466666666666658</v>
      </c>
      <c r="H34" s="112" t="s">
        <v>867</v>
      </c>
    </row>
    <row r="35" spans="1:8" ht="19.5" customHeight="1" x14ac:dyDescent="0.35">
      <c r="A35" s="22"/>
      <c r="B35" s="218" t="s">
        <v>868</v>
      </c>
      <c r="C35" s="219"/>
      <c r="D35" s="219"/>
      <c r="E35" s="219"/>
      <c r="F35" s="219"/>
      <c r="G35" s="220">
        <f>SUM(G33:G34)</f>
        <v>11.671666666666665</v>
      </c>
      <c r="H35" s="219"/>
    </row>
    <row r="36" spans="1:8" ht="19.5" customHeight="1" x14ac:dyDescent="0.35">
      <c r="A36" s="22"/>
      <c r="B36" s="325" t="s">
        <v>869</v>
      </c>
      <c r="C36" s="325"/>
      <c r="D36" s="325"/>
      <c r="E36" s="325"/>
      <c r="F36" s="325"/>
      <c r="G36" s="325"/>
      <c r="H36" s="325"/>
    </row>
    <row r="37" spans="1:8" ht="31.5" customHeight="1" x14ac:dyDescent="0.35">
      <c r="A37" s="196">
        <v>3</v>
      </c>
      <c r="B37" s="219" t="s">
        <v>1089</v>
      </c>
      <c r="C37" s="212" t="s">
        <v>65</v>
      </c>
      <c r="D37" s="219"/>
      <c r="E37" s="229">
        <f>$D$12*(1+$D$13)</f>
        <v>0.315</v>
      </c>
      <c r="F37" s="198">
        <f>39.9/1.18/3</f>
        <v>11.271186440677965</v>
      </c>
      <c r="G37" s="198">
        <f t="shared" ref="G37:G42" si="0">E37*F37</f>
        <v>3.5504237288135592</v>
      </c>
      <c r="H37" s="112" t="s">
        <v>1090</v>
      </c>
    </row>
    <row r="38" spans="1:8" ht="31.5" customHeight="1" x14ac:dyDescent="0.35">
      <c r="A38" s="196">
        <v>4</v>
      </c>
      <c r="B38" s="219" t="s">
        <v>1091</v>
      </c>
      <c r="C38" s="212" t="s">
        <v>152</v>
      </c>
      <c r="D38" s="219"/>
      <c r="E38" s="229">
        <f>$D$14</f>
        <v>2.9700000000000001E-2</v>
      </c>
      <c r="F38" s="198">
        <f>70/1.18</f>
        <v>59.322033898305087</v>
      </c>
      <c r="G38" s="198">
        <f t="shared" si="0"/>
        <v>1.7618644067796612</v>
      </c>
      <c r="H38" s="112" t="s">
        <v>1092</v>
      </c>
    </row>
    <row r="39" spans="1:8" ht="31.5" customHeight="1" x14ac:dyDescent="0.35">
      <c r="A39" s="196">
        <v>5</v>
      </c>
      <c r="B39" s="219" t="s">
        <v>1093</v>
      </c>
      <c r="C39" s="212" t="s">
        <v>153</v>
      </c>
      <c r="D39" s="219"/>
      <c r="E39" s="229">
        <f>$D$15*(1+$D$16)</f>
        <v>0.62370000000000014</v>
      </c>
      <c r="F39" s="198">
        <f>2300/400/1.18</f>
        <v>4.8728813559322033</v>
      </c>
      <c r="G39" s="198">
        <f t="shared" si="0"/>
        <v>3.0392161016949157</v>
      </c>
      <c r="H39" s="112" t="s">
        <v>1094</v>
      </c>
    </row>
    <row r="40" spans="1:8" ht="31.5" customHeight="1" x14ac:dyDescent="0.35">
      <c r="A40" s="196">
        <v>6</v>
      </c>
      <c r="B40" s="219" t="s">
        <v>719</v>
      </c>
      <c r="C40" s="212" t="s">
        <v>720</v>
      </c>
      <c r="D40" s="219"/>
      <c r="E40" s="229">
        <f>$D$17*$D$18</f>
        <v>5.2500000000000003E-3</v>
      </c>
      <c r="F40" s="198">
        <f>'ACU TAPA REGISTRO'!F42</f>
        <v>30.93</v>
      </c>
      <c r="G40" s="198">
        <f t="shared" si="0"/>
        <v>0.16238250000000001</v>
      </c>
      <c r="H40" s="112" t="s">
        <v>1095</v>
      </c>
    </row>
    <row r="41" spans="1:8" ht="19.5" customHeight="1" x14ac:dyDescent="0.35">
      <c r="A41" s="196">
        <v>7</v>
      </c>
      <c r="B41" s="219" t="s">
        <v>721</v>
      </c>
      <c r="C41" s="212" t="s">
        <v>152</v>
      </c>
      <c r="D41" s="219"/>
      <c r="E41" s="229">
        <f>$D$17*$D$19</f>
        <v>5.2500000000000008E-4</v>
      </c>
      <c r="F41" s="198">
        <f>'ACU TAPA REGISTRO'!F43</f>
        <v>40.68</v>
      </c>
      <c r="G41" s="198">
        <f t="shared" si="0"/>
        <v>2.1357000000000004E-2</v>
      </c>
      <c r="H41" s="112" t="s">
        <v>1005</v>
      </c>
    </row>
    <row r="42" spans="1:8" ht="19.5" customHeight="1" x14ac:dyDescent="0.35">
      <c r="A42" s="196">
        <v>8</v>
      </c>
      <c r="B42" s="219" t="s">
        <v>723</v>
      </c>
      <c r="C42" s="212" t="s">
        <v>152</v>
      </c>
      <c r="D42" s="219"/>
      <c r="E42" s="229">
        <f>$D$17*$D$20</f>
        <v>1.35E-4</v>
      </c>
      <c r="F42" s="198">
        <f>'ACU TAPA REGISTRO'!F45</f>
        <v>8.33</v>
      </c>
      <c r="G42" s="198">
        <f t="shared" si="0"/>
        <v>1.12455E-3</v>
      </c>
      <c r="H42" s="112" t="s">
        <v>1096</v>
      </c>
    </row>
    <row r="43" spans="1:8" ht="19.5" customHeight="1" x14ac:dyDescent="0.35">
      <c r="A43" s="22"/>
      <c r="B43" s="218" t="s">
        <v>877</v>
      </c>
      <c r="C43" s="219"/>
      <c r="D43" s="219"/>
      <c r="E43" s="219"/>
      <c r="F43" s="219"/>
      <c r="G43" s="220">
        <f>SUM(G37:G42)</f>
        <v>8.5363682872881359</v>
      </c>
      <c r="H43" s="219"/>
    </row>
    <row r="44" spans="1:8" ht="19.5" customHeight="1" x14ac:dyDescent="0.35">
      <c r="A44" s="22"/>
      <c r="B44" s="325" t="s">
        <v>878</v>
      </c>
      <c r="C44" s="325"/>
      <c r="D44" s="325"/>
      <c r="E44" s="325"/>
      <c r="F44" s="325"/>
      <c r="G44" s="325"/>
      <c r="H44" s="325"/>
    </row>
    <row r="45" spans="1:8" ht="19.5" customHeight="1" x14ac:dyDescent="0.35">
      <c r="A45" s="196">
        <v>9</v>
      </c>
      <c r="B45" s="219" t="s">
        <v>740</v>
      </c>
      <c r="C45" s="212" t="s">
        <v>741</v>
      </c>
      <c r="D45" s="219"/>
      <c r="E45" s="231">
        <v>0.03</v>
      </c>
      <c r="F45" s="198">
        <f>+G35</f>
        <v>11.671666666666665</v>
      </c>
      <c r="G45" s="198">
        <f>E45*F45</f>
        <v>0.35014999999999996</v>
      </c>
      <c r="H45" s="112" t="s">
        <v>1097</v>
      </c>
    </row>
    <row r="46" spans="1:8" ht="19.5" customHeight="1" x14ac:dyDescent="0.35">
      <c r="A46" s="22"/>
      <c r="B46" s="218" t="s">
        <v>879</v>
      </c>
      <c r="C46" s="219"/>
      <c r="D46" s="219"/>
      <c r="E46" s="219"/>
      <c r="F46" s="219"/>
      <c r="G46" s="220">
        <f>SUM(G45:G45)</f>
        <v>0.35014999999999996</v>
      </c>
      <c r="H46" s="219"/>
    </row>
    <row r="47" spans="1:8" ht="21.75" customHeight="1" x14ac:dyDescent="0.35">
      <c r="A47" s="325" t="s">
        <v>928</v>
      </c>
      <c r="B47" s="325"/>
      <c r="C47" s="325"/>
      <c r="D47" s="325"/>
      <c r="E47" s="325"/>
      <c r="F47" s="325"/>
      <c r="G47" s="220">
        <f>+G35+G43+G46</f>
        <v>20.5581849539548</v>
      </c>
      <c r="H47" s="219"/>
    </row>
    <row r="48" spans="1:8" ht="21.75" customHeight="1" x14ac:dyDescent="0.35">
      <c r="A48" s="325" t="s">
        <v>1007</v>
      </c>
      <c r="B48" s="325"/>
      <c r="C48" s="325"/>
      <c r="D48" s="325"/>
      <c r="E48" s="325"/>
      <c r="F48" s="325"/>
      <c r="G48" s="220">
        <f>G47*C29</f>
        <v>4646.1497995937852</v>
      </c>
      <c r="H48" s="219"/>
    </row>
  </sheetData>
  <mergeCells count="27">
    <mergeCell ref="A1:H1"/>
    <mergeCell ref="A2:B2"/>
    <mergeCell ref="C2:H2"/>
    <mergeCell ref="A3:B3"/>
    <mergeCell ref="C3:H3"/>
    <mergeCell ref="A4:B4"/>
    <mergeCell ref="C4:H4"/>
    <mergeCell ref="A5:B5"/>
    <mergeCell ref="C5:H5"/>
    <mergeCell ref="A7:H7"/>
    <mergeCell ref="A9:H9"/>
    <mergeCell ref="A25:H25"/>
    <mergeCell ref="A26:B26"/>
    <mergeCell ref="C26:H26"/>
    <mergeCell ref="A27:B27"/>
    <mergeCell ref="C27:H27"/>
    <mergeCell ref="A28:B28"/>
    <mergeCell ref="C28:H28"/>
    <mergeCell ref="A29:B29"/>
    <mergeCell ref="C29:H29"/>
    <mergeCell ref="A30:B30"/>
    <mergeCell ref="C30:H30"/>
    <mergeCell ref="B32:H32"/>
    <mergeCell ref="B36:H36"/>
    <mergeCell ref="B44:H44"/>
    <mergeCell ref="A47:F47"/>
    <mergeCell ref="A48:F48"/>
  </mergeCells>
  <pageMargins left="0.5" right="0.5" top="0.75" bottom="0.75"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10</vt:i4>
      </vt:variant>
    </vt:vector>
  </HeadingPairs>
  <TitlesOfParts>
    <vt:vector size="42" baseType="lpstr">
      <vt:lpstr>RESUMEN</vt:lpstr>
      <vt:lpstr>PLANILLA GENERAL DE METRADOS</vt:lpstr>
      <vt:lpstr>CONCRETO EN CUNETAS</vt:lpstr>
      <vt:lpstr>ENCOFRADO Y DESENCOFRADO</vt:lpstr>
      <vt:lpstr>METRADO MONTANTES</vt:lpstr>
      <vt:lpstr>METRADO CANALETAS</vt:lpstr>
      <vt:lpstr>METRADO  EN PISO (SUMIDERO)</vt:lpstr>
      <vt:lpstr>METRADO ACERO</vt:lpstr>
      <vt:lpstr>METRADO DE CURADO</vt:lpstr>
      <vt:lpstr>METRADO DE REJILLAS</vt:lpstr>
      <vt:lpstr>METRADO JUNTA DE DILATACION</vt:lpstr>
      <vt:lpstr>METRADO LLORADEROS</vt:lpstr>
      <vt:lpstr>PLANILLA TAPAS REGISTRO INTERNO</vt:lpstr>
      <vt:lpstr>CUNETAS - LLEGADA AL COLECTOR</vt:lpstr>
      <vt:lpstr>PARAMETROS</vt:lpstr>
      <vt:lpstr>Listas</vt:lpstr>
      <vt:lpstr>COLECTOR PARAMETROS</vt:lpstr>
      <vt:lpstr>COLECTOR MOV. TIERRAS</vt:lpstr>
      <vt:lpstr>COLECTOR CONCRETO</vt:lpstr>
      <vt:lpstr>COLECTOR ENCOFRADO</vt:lpstr>
      <vt:lpstr>COLECTOR ACERO</vt:lpstr>
      <vt:lpstr>COLECTOR REGISTROS Y TAPAS</vt:lpstr>
      <vt:lpstr>COLECTOR JUNTAS Y EMPALMES</vt:lpstr>
      <vt:lpstr>COLECTOR INSUMOS</vt:lpstr>
      <vt:lpstr>COSTO HORA HOMBRE 2026</vt:lpstr>
      <vt:lpstr>ACU TAPA REGISTRO</vt:lpstr>
      <vt:lpstr>ACU CANALETAS</vt:lpstr>
      <vt:lpstr>DESAGREGADO TAPA REGISTRO</vt:lpstr>
      <vt:lpstr>ACU JUNTA DILATACION</vt:lpstr>
      <vt:lpstr>ACU JUNTA CAJA CL</vt:lpstr>
      <vt:lpstr>DESAGREGADO LLORADEROS</vt:lpstr>
      <vt:lpstr>ACU LLORADEROS</vt:lpstr>
      <vt:lpstr>'CONCRETO EN CUNETAS'!Área_de_impresión</vt:lpstr>
      <vt:lpstr>'ENCOFRADO Y DESENCOFRADO'!Área_de_impresión</vt:lpstr>
      <vt:lpstr>'METRADO CANALETAS'!Área_de_impresión</vt:lpstr>
      <vt:lpstr>'METRADO MONTANTES'!Área_de_impresión</vt:lpstr>
      <vt:lpstr>'PLANILLA GENERAL DE METRADOS'!Área_de_impresión</vt:lpstr>
      <vt:lpstr>RESUMEN!Área_de_impresión</vt:lpstr>
      <vt:lpstr>'CONCRETO EN CUNETAS'!Títulos_a_imprimir</vt:lpstr>
      <vt:lpstr>'ENCOFRADO Y DESENCOFRADO'!Títulos_a_imprimir</vt:lpstr>
      <vt:lpstr>'METRADO CANALETAS'!Títulos_a_imprimir</vt:lpstr>
      <vt:lpstr>'METRADO MONTANTES'!Títulos_a_imprimir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MSI SWORD GAMING</dc:creator>
  <dc:description/>
  <cp:lastModifiedBy>jose pizarro</cp:lastModifiedBy>
  <cp:revision>1</cp:revision>
  <cp:lastPrinted>2026-03-10T13:03:41Z</cp:lastPrinted>
  <dcterms:created xsi:type="dcterms:W3CDTF">2025-06-05T14:29:57Z</dcterms:created>
  <dcterms:modified xsi:type="dcterms:W3CDTF">2026-10-23T17:19:23Z</dcterms:modified>
  <dc:language>en-US</dc:language>
</cp:coreProperties>
</file>