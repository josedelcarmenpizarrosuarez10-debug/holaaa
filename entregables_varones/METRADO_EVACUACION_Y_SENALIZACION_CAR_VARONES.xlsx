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ETRADO" sheetId="2" state="visible" r:id="rId2"/>
    <sheet xmlns:r="http://schemas.openxmlformats.org/officeDocument/2006/relationships" name="ZONAS DE REUNIÓN" sheetId="3" state="visible" r:id="rId3"/>
    <sheet xmlns:r="http://schemas.openxmlformats.org/officeDocument/2006/relationships" name="RUTAS Y AFOROS" sheetId="4" state="visible" r:id="rId4"/>
    <sheet xmlns:r="http://schemas.openxmlformats.org/officeDocument/2006/relationships" name="SEÑALES" sheetId="5" state="visible" r:id="rId5"/>
  </sheets>
  <definedNames>
    <definedName name="_xlnm.Print_Area" localSheetId="0">'RESUMEN'!$A$1:$D$37</definedName>
    <definedName name="_xlnm.Print_Area" localSheetId="1">'METRADO'!$A$1:$S$46</definedName>
    <definedName name="_xlnm.Print_Area" localSheetId="2">'ZONAS DE REUNIÓN'!$A$1:$H$25</definedName>
    <definedName name="_xlnm.Print_Area" localSheetId="3">'RUTAS Y AFOROS'!$A$1:$E$49</definedName>
    <definedName name="_xlnm.Print_Area" localSheetId="4">'SEÑALES'!$A$1:$G$36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;-0;&quot;conforme&quot;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sz val="7"/>
    </font>
    <font>
      <name val="Arial"/>
      <sz val="8"/>
    </font>
    <font>
      <name val="Arial"/>
      <b val="1"/>
      <sz val="8"/>
    </font>
  </fonts>
  <fills count="5">
    <fill>
      <patternFill/>
    </fill>
    <fill>
      <patternFill patternType="gray125"/>
    </fill>
    <fill>
      <patternFill patternType="solid">
        <fgColor rgb="007B1E2B"/>
      </patternFill>
    </fill>
    <fill>
      <patternFill patternType="solid">
        <fgColor rgb="00F2F2F2"/>
      </patternFill>
    </fill>
    <fill>
      <patternFill patternType="solid">
        <fgColor rgb="00F2E6E8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165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70" customWidth="1" min="2" max="2"/>
    <col width="7" customWidth="1" min="3" max="3"/>
    <col width="12" customWidth="1" min="4" max="4"/>
  </cols>
  <sheetData>
    <row r="1" ht="24" customHeight="1">
      <c r="A1" s="1" t="inlineStr">
        <is>
          <t>RESUMEN DE METRADOS - EVACUACIÓN Y SEÑALIZACIÓN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INTEGRAL A NIÑAS, NIÑOS Y ADOLESCENTES SIN CUIDADOS PARENTALES O EN RIESGO DE PERDERLOS EN CENTRO DE ACOGIDA RESIDENCIAL - VARONES DISTRITO DE MORALES DE LA PROVINCIA DE SAN MARTÍN DEL DEPARTAMENTO DE SAN MARTÍN”</t>
        </is>
      </c>
      <c r="C2" s="4" t="n"/>
      <c r="D2" s="4" t="n"/>
    </row>
    <row r="3">
      <c r="A3" s="2" t="inlineStr">
        <is>
          <t>CUI</t>
        </is>
      </c>
      <c r="B3" s="5" t="inlineStr">
        <is>
          <t>N.° 2705619</t>
        </is>
      </c>
      <c r="C3" s="4" t="n"/>
      <c r="D3" s="4" t="n"/>
    </row>
    <row r="4">
      <c r="A4" s="2" t="inlineStr">
        <is>
          <t>ESPECIALIDAD</t>
        </is>
      </c>
      <c r="B4" s="5" t="inlineStr">
        <is>
          <t>ARQUITECTURA - EVACUACIÓN Y SEÑALIZACIÓN</t>
        </is>
      </c>
      <c r="C4" s="4" t="n"/>
      <c r="D4" s="4" t="n"/>
    </row>
    <row r="5">
      <c r="A5" s="2" t="inlineStr">
        <is>
          <t>UBICACIÓN</t>
        </is>
      </c>
      <c r="B5" s="5" t="inlineStr">
        <is>
          <t>Distrito de Morales, provincia y departamento de San Martín</t>
        </is>
      </c>
      <c r="C5" s="4" t="n"/>
      <c r="D5" s="4" t="n"/>
    </row>
    <row r="6">
      <c r="A6" s="2" t="inlineStr">
        <is>
          <t>LÁMINAS</t>
        </is>
      </c>
      <c r="B6" s="5" t="inlineStr">
        <is>
          <t>SE-S-01 Plano de señalización (esc. 1/150) y SE-E-01 Plano de evacuación (esc. 1/150)</t>
        </is>
      </c>
      <c r="C6" s="4" t="n"/>
      <c r="D6" s="4" t="n"/>
    </row>
    <row r="7">
      <c r="A7" s="2" t="inlineStr">
        <is>
          <t>FECHA</t>
        </is>
      </c>
      <c r="B7" s="5" t="inlineStr">
        <is>
          <t>SETIEMBRE 2026</t>
        </is>
      </c>
      <c r="C7" s="4" t="n"/>
      <c r="D7" s="4" t="n"/>
    </row>
    <row r="9">
      <c r="A9" s="6" t="inlineStr">
        <is>
          <t>ITEM</t>
        </is>
      </c>
      <c r="B9" s="6" t="inlineStr">
        <is>
          <t>DESCRIPCIÓN</t>
        </is>
      </c>
      <c r="C9" s="6" t="inlineStr">
        <is>
          <t>UND</t>
        </is>
      </c>
      <c r="D9" s="6" t="inlineStr">
        <is>
          <t>METRADO</t>
        </is>
      </c>
    </row>
    <row r="10">
      <c r="A10" s="7" t="inlineStr">
        <is>
          <t>01</t>
        </is>
      </c>
      <c r="B10" s="2" t="inlineStr">
        <is>
          <t>SEÑALIZACIÓN, EVACUACIÓN Y SEGURIDAD</t>
        </is>
      </c>
      <c r="C10" s="8" t="n"/>
      <c r="D10" s="8" t="n"/>
    </row>
    <row r="11">
      <c r="A11" s="9" t="inlineStr">
        <is>
          <t>01.01</t>
        </is>
      </c>
      <c r="B11" s="3" t="inlineStr">
        <is>
          <t>SEÑALES DE EVACUACIÓN Y EMERGENCIA</t>
        </is>
      </c>
      <c r="C11" s="10" t="n"/>
      <c r="D11" s="10" t="n"/>
    </row>
    <row r="12">
      <c r="A12" s="10" t="inlineStr">
        <is>
          <t>01.01.01</t>
        </is>
      </c>
      <c r="B12" s="5" t="inlineStr">
        <is>
          <t>SEÑAL DE SALIDA CON BRAILLE</t>
        </is>
      </c>
      <c r="C12" s="10" t="inlineStr">
        <is>
          <t>und</t>
        </is>
      </c>
      <c r="D12" s="11">
        <f>'METRADO'!P12</f>
        <v/>
      </c>
    </row>
    <row r="13">
      <c r="A13" s="10" t="inlineStr">
        <is>
          <t>01.01.02</t>
        </is>
      </c>
      <c r="B13" s="5" t="inlineStr">
        <is>
          <t>SEÑAL DE ZONA SEGURA EN CASO DE SISMO CON BRAILLE</t>
        </is>
      </c>
      <c r="C13" s="10" t="inlineStr">
        <is>
          <t>und</t>
        </is>
      </c>
      <c r="D13" s="11">
        <f>'METRADO'!P13</f>
        <v/>
      </c>
    </row>
    <row r="14">
      <c r="A14" s="10" t="inlineStr">
        <is>
          <t>01.01.03</t>
        </is>
      </c>
      <c r="B14" s="5" t="inlineStr">
        <is>
          <t>LETRERO DE AFORO CON BRAILLE</t>
        </is>
      </c>
      <c r="C14" s="10" t="inlineStr">
        <is>
          <t>und</t>
        </is>
      </c>
      <c r="D14" s="11">
        <f>'METRADO'!P14</f>
        <v/>
      </c>
    </row>
    <row r="15">
      <c r="A15" s="10" t="inlineStr">
        <is>
          <t>01.01.04</t>
        </is>
      </c>
      <c r="B15" s="5" t="inlineStr">
        <is>
          <t>ZONA DE REUNIÓN (ZONA SEGURA EXTERNA) PINTADA EN PISO</t>
        </is>
      </c>
      <c r="C15" s="10" t="inlineStr">
        <is>
          <t>und</t>
        </is>
      </c>
      <c r="D15" s="11">
        <f>'METRADO'!P15</f>
        <v/>
      </c>
    </row>
    <row r="16">
      <c r="A16" s="9" t="inlineStr">
        <is>
          <t>01.02</t>
        </is>
      </c>
      <c r="B16" s="3" t="inlineStr">
        <is>
          <t>SEÑALES DE EQUIPOS CONTRA INCENDIO</t>
        </is>
      </c>
      <c r="C16" s="10" t="n"/>
      <c r="D16" s="10" t="n"/>
    </row>
    <row r="17">
      <c r="A17" s="10" t="inlineStr">
        <is>
          <t>01.02.01</t>
        </is>
      </c>
      <c r="B17" s="5" t="inlineStr">
        <is>
          <t>SEÑAL DE UBICACIÓN DE EXTINTOR PQS CON BRAILLE</t>
        </is>
      </c>
      <c r="C17" s="10" t="inlineStr">
        <is>
          <t>und</t>
        </is>
      </c>
      <c r="D17" s="11">
        <f>'METRADO'!P17</f>
        <v/>
      </c>
    </row>
    <row r="18">
      <c r="A18" s="10" t="inlineStr">
        <is>
          <t>01.02.02</t>
        </is>
      </c>
      <c r="B18" s="5" t="inlineStr">
        <is>
          <t>SEÑAL DE UBICACIÓN DE EXTINTOR CO2 CON BRAILLE</t>
        </is>
      </c>
      <c r="C18" s="10" t="inlineStr">
        <is>
          <t>und</t>
        </is>
      </c>
      <c r="D18" s="11">
        <f>'METRADO'!P18</f>
        <v/>
      </c>
    </row>
    <row r="19">
      <c r="A19" s="10" t="inlineStr">
        <is>
          <t>01.02.03</t>
        </is>
      </c>
      <c r="B19" s="5" t="inlineStr">
        <is>
          <t>SEÑAL DE ALARMA CONTRA INCENDIOS CON BRAILLE</t>
        </is>
      </c>
      <c r="C19" s="10" t="inlineStr">
        <is>
          <t>und</t>
        </is>
      </c>
      <c r="D19" s="11">
        <f>'METRADO'!P19</f>
        <v/>
      </c>
    </row>
    <row r="20">
      <c r="A20" s="10" t="inlineStr">
        <is>
          <t>01.02.04</t>
        </is>
      </c>
      <c r="B20" s="5" t="inlineStr">
        <is>
          <t>SEÑAL DE AVISADOR SONORO CON BRAILLE</t>
        </is>
      </c>
      <c r="C20" s="10" t="inlineStr">
        <is>
          <t>und</t>
        </is>
      </c>
      <c r="D20" s="11">
        <f>'METRADO'!P20</f>
        <v/>
      </c>
    </row>
    <row r="21">
      <c r="A21" s="10" t="inlineStr">
        <is>
          <t>01.02.05</t>
        </is>
      </c>
      <c r="B21" s="5" t="inlineStr">
        <is>
          <t>SEÑAL DE CENTRAL DE ALARMA CONTRA INCENDIO CON BRAILLE</t>
        </is>
      </c>
      <c r="C21" s="10" t="inlineStr">
        <is>
          <t>und</t>
        </is>
      </c>
      <c r="D21" s="11">
        <f>'METRADO'!P21</f>
        <v/>
      </c>
    </row>
    <row r="22">
      <c r="A22" s="9" t="inlineStr">
        <is>
          <t>01.03</t>
        </is>
      </c>
      <c r="B22" s="3" t="inlineStr">
        <is>
          <t>SEÑALES DE ADVERTENCIA Y PROHIBICIÓN</t>
        </is>
      </c>
      <c r="C22" s="10" t="n"/>
      <c r="D22" s="10" t="n"/>
    </row>
    <row r="23">
      <c r="A23" s="10" t="inlineStr">
        <is>
          <t>01.03.01</t>
        </is>
      </c>
      <c r="B23" s="5" t="inlineStr">
        <is>
          <t>SEÑAL DE ATENCIÓN RIESGO ELÉCTRICO CON BRAILLE</t>
        </is>
      </c>
      <c r="C23" s="10" t="inlineStr">
        <is>
          <t>und</t>
        </is>
      </c>
      <c r="D23" s="11">
        <f>'METRADO'!P23</f>
        <v/>
      </c>
    </row>
    <row r="24">
      <c r="A24" s="10" t="inlineStr">
        <is>
          <t>01.03.02</t>
        </is>
      </c>
      <c r="B24" s="5" t="inlineStr">
        <is>
          <t>SEÑAL DE RIESGO DE DESCARGA ELÉCTRICA CON BRAILLE</t>
        </is>
      </c>
      <c r="C24" s="10" t="inlineStr">
        <is>
          <t>und</t>
        </is>
      </c>
      <c r="D24" s="11">
        <f>'METRADO'!P24</f>
        <v/>
      </c>
    </row>
    <row r="25">
      <c r="A25" s="10" t="inlineStr">
        <is>
          <t>01.03.03</t>
        </is>
      </c>
      <c r="B25" s="5" t="inlineStr">
        <is>
          <t>SEÑAL DE PROHIBIDO EL INGRESO SOLO PERSONAL AUTORIZADO CON BRAILLE</t>
        </is>
      </c>
      <c r="C25" s="10" t="inlineStr">
        <is>
          <t>und</t>
        </is>
      </c>
      <c r="D25" s="11">
        <f>'METRADO'!P25</f>
        <v/>
      </c>
    </row>
    <row r="26">
      <c r="A26" s="9" t="inlineStr">
        <is>
          <t>01.04</t>
        </is>
      </c>
      <c r="B26" s="3" t="inlineStr">
        <is>
          <t>SEÑALES INFORMATIVAS</t>
        </is>
      </c>
      <c r="C26" s="10" t="n"/>
      <c r="D26" s="10" t="n"/>
    </row>
    <row r="27">
      <c r="A27" s="10" t="inlineStr">
        <is>
          <t>01.04.01</t>
        </is>
      </c>
      <c r="B27" s="5" t="inlineStr">
        <is>
          <t>SEÑAL DE SERVICIOS HIGIÉNICOS PARA PERSONAS CON DISCAPACIDAD CON BRAILLE</t>
        </is>
      </c>
      <c r="C27" s="10" t="inlineStr">
        <is>
          <t>und</t>
        </is>
      </c>
      <c r="D27" s="11">
        <f>'METRADO'!P27</f>
        <v/>
      </c>
    </row>
    <row r="28">
      <c r="A28" s="10" t="inlineStr">
        <is>
          <t>01.04.02</t>
        </is>
      </c>
      <c r="B28" s="5" t="inlineStr">
        <is>
          <t>SEÑAL DE SERVICIOS HIGIÉNICOS MIXTO CON BRAILLE</t>
        </is>
      </c>
      <c r="C28" s="10" t="inlineStr">
        <is>
          <t>und</t>
        </is>
      </c>
      <c r="D28" s="11">
        <f>'METRADO'!P28</f>
        <v/>
      </c>
    </row>
    <row r="29">
      <c r="A29" s="10" t="inlineStr">
        <is>
          <t>01.04.03</t>
        </is>
      </c>
      <c r="B29" s="5" t="inlineStr">
        <is>
          <t>SEÑAL DE SERVICIOS HIGIÉNICOS MUJER CON BRAILLE</t>
        </is>
      </c>
      <c r="C29" s="10" t="inlineStr">
        <is>
          <t>und</t>
        </is>
      </c>
      <c r="D29" s="11">
        <f>'METRADO'!P29</f>
        <v/>
      </c>
    </row>
    <row r="30">
      <c r="A30" s="10" t="inlineStr">
        <is>
          <t>01.04.04</t>
        </is>
      </c>
      <c r="B30" s="5" t="inlineStr">
        <is>
          <t>SEÑAL DE SERVICIOS HIGIÉNICOS VARÓN CON BRAILLE</t>
        </is>
      </c>
      <c r="C30" s="10" t="inlineStr">
        <is>
          <t>und</t>
        </is>
      </c>
      <c r="D30" s="11">
        <f>'METRADO'!P30</f>
        <v/>
      </c>
    </row>
    <row r="31">
      <c r="A31" s="10" t="inlineStr">
        <is>
          <t>01.04.05</t>
        </is>
      </c>
      <c r="B31" s="5" t="inlineStr">
        <is>
          <t>SEÑAL DE BOTIQUÍN DE PRIMEROS AUXILIOS CON BRAILLE</t>
        </is>
      </c>
      <c r="C31" s="10" t="inlineStr">
        <is>
          <t>und</t>
        </is>
      </c>
      <c r="D31" s="11">
        <f>'METRADO'!P31</f>
        <v/>
      </c>
    </row>
    <row r="32">
      <c r="A32" s="10" t="inlineStr">
        <is>
          <t>01.04.06</t>
        </is>
      </c>
      <c r="B32" s="5" t="inlineStr">
        <is>
          <t>SEÑAL DE PUNTO ECOLÓGICO CON BRAILLE</t>
        </is>
      </c>
      <c r="C32" s="10" t="inlineStr">
        <is>
          <t>und</t>
        </is>
      </c>
      <c r="D32" s="11">
        <f>'METRADO'!P32</f>
        <v/>
      </c>
    </row>
    <row r="33">
      <c r="A33" s="9" t="inlineStr">
        <is>
          <t>01.05</t>
        </is>
      </c>
      <c r="B33" s="3" t="inlineStr">
        <is>
          <t>EQUIPOS DE PROTECCIÓN CONTRA INCENDIO Y EMERGENCIA</t>
        </is>
      </c>
      <c r="C33" s="10" t="n"/>
      <c r="D33" s="10" t="n"/>
    </row>
    <row r="34">
      <c r="A34" s="10" t="inlineStr">
        <is>
          <t>01.05.01</t>
        </is>
      </c>
      <c r="B34" s="5" t="inlineStr">
        <is>
          <t>EXTINTOR DE POLVO QUÍMICO SECO (PQS) TIPO ABC DE 6 kg</t>
        </is>
      </c>
      <c r="C34" s="10" t="inlineStr">
        <is>
          <t>und</t>
        </is>
      </c>
      <c r="D34" s="11">
        <f>'METRADO'!P34</f>
        <v/>
      </c>
    </row>
    <row r="35">
      <c r="A35" s="10" t="inlineStr">
        <is>
          <t>01.05.02</t>
        </is>
      </c>
      <c r="B35" s="5" t="inlineStr">
        <is>
          <t>EXTINTOR DE DIÓXIDO DE CARBONO (CO2) DE 10 lb</t>
        </is>
      </c>
      <c r="C35" s="10" t="inlineStr">
        <is>
          <t>und</t>
        </is>
      </c>
      <c r="D35" s="11">
        <f>'METRADO'!P35</f>
        <v/>
      </c>
    </row>
    <row r="36">
      <c r="A36" s="10" t="inlineStr">
        <is>
          <t>01.05.03</t>
        </is>
      </c>
      <c r="B36" s="5" t="inlineStr">
        <is>
          <t>UNIDAD DE LUCES DE EMERGENCIA</t>
        </is>
      </c>
      <c r="C36" s="10" t="inlineStr">
        <is>
          <t>und</t>
        </is>
      </c>
      <c r="D36" s="11">
        <f>'METRADO'!P36</f>
        <v/>
      </c>
    </row>
    <row r="37">
      <c r="A37" s="10" t="inlineStr">
        <is>
          <t>01.05.04</t>
        </is>
      </c>
      <c r="B37" s="5" t="inlineStr">
        <is>
          <t>DETECTOR DE HUMO</t>
        </is>
      </c>
      <c r="C37" s="10" t="inlineStr">
        <is>
          <t>und</t>
        </is>
      </c>
      <c r="D37" s="11">
        <f>'METRADO'!P37</f>
        <v/>
      </c>
    </row>
  </sheetData>
  <mergeCells count="7">
    <mergeCell ref="A1:D1"/>
    <mergeCell ref="B3:D3"/>
    <mergeCell ref="B5:D5"/>
    <mergeCell ref="B4:D4"/>
    <mergeCell ref="B7:D7"/>
    <mergeCell ref="B6:D6"/>
    <mergeCell ref="B2:D2"/>
  </mergeCells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45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7.5" customWidth="1" min="15" max="15"/>
    <col width="7.5" customWidth="1" min="16" max="16"/>
    <col width="8.5" customWidth="1" min="17" max="17"/>
    <col width="9" customWidth="1" min="18" max="18"/>
    <col width="40" customWidth="1" min="19" max="19"/>
  </cols>
  <sheetData>
    <row r="1" ht="24" customHeight="1">
      <c r="A1" s="1" t="inlineStr">
        <is>
          <t>METRADO DE EVACUACIÓN Y SEÑALIZACIÓN POR EDIFICACIÓN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INTEGRAL A NIÑAS, NIÑOS Y ADOLESCENTES SIN CUIDADOS PARENTALES O EN RIESGO DE PERDERLOS EN CENTRO DE ACOGIDA RESIDENCIAL - VARONES DISTRITO DE MORALES DE LA PROVINCIA DE SAN MARTÍN DEL DEPARTAMENTO DE SAN MARTÍN”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>
      <c r="A3" s="2" t="inlineStr">
        <is>
          <t>CUI</t>
        </is>
      </c>
      <c r="B3" s="5" t="inlineStr">
        <is>
          <t>N.° 2705619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>
      <c r="A4" s="2" t="inlineStr">
        <is>
          <t>ESPECIALIDAD</t>
        </is>
      </c>
      <c r="B4" s="5" t="inlineStr">
        <is>
          <t>ARQUITECTURA - EVACUACIÓN Y SEÑALIZACIÓN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2" t="inlineStr">
        <is>
          <t>UBICACIÓN</t>
        </is>
      </c>
      <c r="B5" s="5" t="inlineStr">
        <is>
          <t>Distrito de Morales, provincia y departamento de San Martín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>
      <c r="A6" s="2" t="inlineStr">
        <is>
          <t>LÁMINAS</t>
        </is>
      </c>
      <c r="B6" s="5" t="inlineStr">
        <is>
          <t>SE-S-01 Plano de señalización (esc. 1/150) y SE-E-01 Plano de evacuación (esc. 1/150)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2" t="inlineStr">
        <is>
          <t>FECHA</t>
        </is>
      </c>
      <c r="B7" s="5" t="inlineStr">
        <is>
          <t>SETIEMBRE 2026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9">
      <c r="A9" s="6" t="inlineStr">
        <is>
          <t>ITEM</t>
        </is>
      </c>
      <c r="B9" s="6" t="inlineStr">
        <is>
          <t>DESCRIPCIÓN</t>
        </is>
      </c>
      <c r="C9" s="6" t="inlineStr">
        <is>
          <t>UND</t>
        </is>
      </c>
      <c r="D9" s="6" t="inlineStr">
        <is>
          <t>E-01</t>
        </is>
      </c>
      <c r="E9" s="6" t="inlineStr">
        <is>
          <t>E-02</t>
        </is>
      </c>
      <c r="F9" s="6" t="inlineStr">
        <is>
          <t>E-03</t>
        </is>
      </c>
      <c r="G9" s="6" t="inlineStr">
        <is>
          <t>E-04</t>
        </is>
      </c>
      <c r="H9" s="6" t="inlineStr">
        <is>
          <t>E-05</t>
        </is>
      </c>
      <c r="I9" s="6" t="inlineStr">
        <is>
          <t>E-06</t>
        </is>
      </c>
      <c r="J9" s="6" t="inlineStr">
        <is>
          <t>E-07</t>
        </is>
      </c>
      <c r="K9" s="6" t="inlineStr">
        <is>
          <t>E-08</t>
        </is>
      </c>
      <c r="L9" s="6" t="inlineStr">
        <is>
          <t>E-09</t>
        </is>
      </c>
      <c r="M9" s="6" t="inlineStr">
        <is>
          <t>E-10</t>
        </is>
      </c>
      <c r="N9" s="6" t="inlineStr">
        <is>
          <t>EXT</t>
        </is>
      </c>
      <c r="O9" s="6" t="inlineStr">
        <is>
          <t>SIN UBICAR</t>
        </is>
      </c>
      <c r="P9" s="6" t="inlineStr">
        <is>
          <t>TOTAL</t>
        </is>
      </c>
      <c r="Q9" s="6" t="inlineStr">
        <is>
          <t>LEYENDA SE-S-01</t>
        </is>
      </c>
      <c r="R9" s="6" t="inlineStr">
        <is>
          <t>DIFERENCIA</t>
        </is>
      </c>
      <c r="S9" s="6" t="inlineStr">
        <is>
          <t>FUENTE DE LA CANTIDAD</t>
        </is>
      </c>
    </row>
    <row r="10" ht="48" customHeight="1">
      <c r="A10" s="12" t="n"/>
      <c r="B10" s="12" t="n"/>
      <c r="C10" s="12" t="n"/>
      <c r="D10" s="13" t="inlineStr">
        <is>
          <t>Administración</t>
        </is>
      </c>
      <c r="E10" s="13" t="inlineStr">
        <is>
          <t>Vestidores de la losa deportiva</t>
        </is>
      </c>
      <c r="F10" s="13" t="inlineStr">
        <is>
          <t>Módulo de madres sustitutas</t>
        </is>
      </c>
      <c r="G10" s="13" t="inlineStr">
        <is>
          <t>Módulo de 12 a 17 años (1)</t>
        </is>
      </c>
      <c r="H10" s="13" t="inlineStr">
        <is>
          <t>Módulo de 12 a 17 años (2)</t>
        </is>
      </c>
      <c r="I10" s="13" t="inlineStr">
        <is>
          <t>Módulo de 3 a 5 años</t>
        </is>
      </c>
      <c r="J10" s="13" t="inlineStr">
        <is>
          <t>Módulo de 6 a 11 años</t>
        </is>
      </c>
      <c r="K10" s="13" t="inlineStr">
        <is>
          <t>SUM y cocina</t>
        </is>
      </c>
      <c r="L10" s="13" t="inlineStr">
        <is>
          <t>SS.HH. público</t>
        </is>
      </c>
      <c r="M10" s="13" t="inlineStr">
        <is>
          <t>Servicios generales</t>
        </is>
      </c>
      <c r="N10" s="13" t="inlineStr">
        <is>
          <t>Exteriores</t>
        </is>
      </c>
      <c r="O10" s="12" t="n"/>
      <c r="P10" s="12" t="n"/>
      <c r="Q10" s="12" t="n"/>
      <c r="R10" s="12" t="n"/>
      <c r="S10" s="12" t="n"/>
    </row>
    <row r="11">
      <c r="A11" s="7" t="inlineStr">
        <is>
          <t>01</t>
        </is>
      </c>
      <c r="B11" s="2" t="inlineStr">
        <is>
          <t>SEÑALES DE EVACUACIÓN Y EMERGENCIA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10" t="inlineStr">
        <is>
          <t>01.01</t>
        </is>
      </c>
      <c r="B12" s="5" t="inlineStr">
        <is>
          <t>SEÑAL DE SALIDA CON BRAILLE</t>
        </is>
      </c>
      <c r="C12" s="10" t="inlineStr">
        <is>
          <t>und</t>
        </is>
      </c>
      <c r="D12" s="14" t="n">
        <v>19</v>
      </c>
      <c r="E12" s="14" t="n">
        <v>6</v>
      </c>
      <c r="F12" s="14" t="n">
        <v>4</v>
      </c>
      <c r="G12" s="14" t="n">
        <v>9</v>
      </c>
      <c r="H12" s="14" t="n">
        <v>8</v>
      </c>
      <c r="I12" s="14" t="n">
        <v>8</v>
      </c>
      <c r="J12" s="14" t="n">
        <v>9</v>
      </c>
      <c r="K12" s="14" t="n">
        <v>9</v>
      </c>
      <c r="L12" s="14" t="n">
        <v>3</v>
      </c>
      <c r="M12" s="14" t="n">
        <v>3</v>
      </c>
      <c r="N12" s="14" t="n">
        <v>2</v>
      </c>
      <c r="O12" s="14" t="n"/>
      <c r="P12" s="15">
        <f>SUM(D12:O12)</f>
        <v/>
      </c>
      <c r="Q12" s="14" t="n">
        <v>80</v>
      </c>
      <c r="R12" s="16">
        <f>P12-Q12</f>
        <v/>
      </c>
      <c r="S12" s="17" t="inlineStr">
        <is>
          <t>Planta de SE-S-01: símbolos dibujados (leyenda: 80)</t>
        </is>
      </c>
    </row>
    <row r="13">
      <c r="A13" s="10" t="inlineStr">
        <is>
          <t>01.02</t>
        </is>
      </c>
      <c r="B13" s="5" t="inlineStr">
        <is>
          <t>SEÑAL DE ZONA SEGURA EN CASO DE SISMO CON BRAILLE</t>
        </is>
      </c>
      <c r="C13" s="10" t="inlineStr">
        <is>
          <t>und</t>
        </is>
      </c>
      <c r="D13" s="14" t="n">
        <v>5</v>
      </c>
      <c r="E13" s="14" t="n">
        <v>2</v>
      </c>
      <c r="F13" s="14" t="n">
        <v>2</v>
      </c>
      <c r="G13" s="14" t="n">
        <v>9</v>
      </c>
      <c r="H13" s="14" t="n">
        <v>9</v>
      </c>
      <c r="I13" s="14" t="n">
        <v>9</v>
      </c>
      <c r="J13" s="14" t="n">
        <v>9</v>
      </c>
      <c r="K13" s="14" t="n">
        <v>10</v>
      </c>
      <c r="L13" s="14" t="n">
        <v>2</v>
      </c>
      <c r="M13" s="14" t="n">
        <v>4</v>
      </c>
      <c r="N13" s="14" t="n">
        <v>1</v>
      </c>
      <c r="O13" s="14" t="n"/>
      <c r="P13" s="15">
        <f>SUM(D13:O13)</f>
        <v/>
      </c>
      <c r="Q13" s="14" t="n">
        <v>62</v>
      </c>
      <c r="R13" s="16">
        <f>P13-Q13</f>
        <v/>
      </c>
      <c r="S13" s="17" t="inlineStr">
        <is>
          <t>Planta de SE-S-01: símbolos dibujados (leyenda: 62)</t>
        </is>
      </c>
    </row>
    <row r="14">
      <c r="A14" s="10" t="inlineStr">
        <is>
          <t>01.03</t>
        </is>
      </c>
      <c r="B14" s="5" t="inlineStr">
        <is>
          <t>LETRERO DE AFORO CON BRAILLE</t>
        </is>
      </c>
      <c r="C14" s="10" t="inlineStr">
        <is>
          <t>und</t>
        </is>
      </c>
      <c r="D14" s="14" t="n">
        <v>2</v>
      </c>
      <c r="E14" s="14" t="n">
        <v>2</v>
      </c>
      <c r="F14" s="14" t="n">
        <v>1</v>
      </c>
      <c r="G14" s="14" t="n">
        <v>1</v>
      </c>
      <c r="H14" s="14" t="n">
        <v>1</v>
      </c>
      <c r="I14" s="14" t="n">
        <v>1</v>
      </c>
      <c r="J14" s="14" t="n">
        <v>1</v>
      </c>
      <c r="K14" s="14" t="n">
        <v>2</v>
      </c>
      <c r="L14" s="14" t="n"/>
      <c r="M14" s="14" t="n">
        <v>1</v>
      </c>
      <c r="N14" s="14" t="n">
        <v>2</v>
      </c>
      <c r="O14" s="14" t="n"/>
      <c r="P14" s="15">
        <f>SUM(D14:O14)</f>
        <v/>
      </c>
      <c r="Q14" s="14" t="n">
        <v>14</v>
      </c>
      <c r="R14" s="16">
        <f>P14-Q14</f>
        <v/>
      </c>
      <c r="S14" s="17" t="inlineStr">
        <is>
          <t>Planta de SE-S-01: símbolos dibujados (leyenda: 14)</t>
        </is>
      </c>
    </row>
    <row r="15">
      <c r="A15" s="10" t="inlineStr">
        <is>
          <t>01.04</t>
        </is>
      </c>
      <c r="B15" s="5" t="inlineStr">
        <is>
          <t>ZONA DE REUNIÓN (ZONA SEGURA EXTERNA) PINTADA EN PISO</t>
        </is>
      </c>
      <c r="C15" s="10" t="inlineStr">
        <is>
          <t>und</t>
        </is>
      </c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>
        <v>13</v>
      </c>
      <c r="O15" s="14" t="n"/>
      <c r="P15" s="15">
        <f>SUM(D15:O15)</f>
        <v/>
      </c>
      <c r="Q15" s="14" t="n">
        <v>11</v>
      </c>
      <c r="R15" s="16">
        <f>P15-Q15</f>
        <v/>
      </c>
      <c r="S15" s="17" t="inlineStr">
        <is>
          <t>Lámina SE-E-01: zonas seguras S1 a S13 dibujadas</t>
        </is>
      </c>
    </row>
    <row r="16">
      <c r="A16" s="7" t="inlineStr">
        <is>
          <t>02</t>
        </is>
      </c>
      <c r="B16" s="2" t="inlineStr">
        <is>
          <t>SEÑALES DE EQUIPOS CONTRA INCENDIO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10" t="inlineStr">
        <is>
          <t>02.01</t>
        </is>
      </c>
      <c r="B17" s="5" t="inlineStr">
        <is>
          <t>SEÑAL DE UBICACIÓN DE EXTINTOR PQS CON BRAILLE</t>
        </is>
      </c>
      <c r="C17" s="10" t="inlineStr">
        <is>
          <t>und</t>
        </is>
      </c>
      <c r="D17" s="14" t="n">
        <v>1</v>
      </c>
      <c r="E17" s="14" t="n">
        <v>1</v>
      </c>
      <c r="F17" s="14" t="n">
        <v>1</v>
      </c>
      <c r="G17" s="14" t="n">
        <v>1</v>
      </c>
      <c r="H17" s="14" t="n">
        <v>1</v>
      </c>
      <c r="I17" s="14" t="n">
        <v>1</v>
      </c>
      <c r="J17" s="14" t="n">
        <v>1</v>
      </c>
      <c r="K17" s="14" t="n">
        <v>2</v>
      </c>
      <c r="L17" s="14" t="n"/>
      <c r="M17" s="14" t="n"/>
      <c r="N17" s="14" t="n"/>
      <c r="O17" s="14" t="n"/>
      <c r="P17" s="15">
        <f>SUM(D17:O17)</f>
        <v/>
      </c>
      <c r="Q17" s="14" t="n">
        <v>9</v>
      </c>
      <c r="R17" s="16">
        <f>P17-Q17</f>
        <v/>
      </c>
      <c r="S17" s="17" t="inlineStr">
        <is>
          <t>Planta de SE-S-01: símbolos dibujados (leyenda: 9)</t>
        </is>
      </c>
    </row>
    <row r="18">
      <c r="A18" s="10" t="inlineStr">
        <is>
          <t>02.02</t>
        </is>
      </c>
      <c r="B18" s="5" t="inlineStr">
        <is>
          <t>SEÑAL DE UBICACIÓN DE EXTINTOR CO2 CON BRAILLE</t>
        </is>
      </c>
      <c r="C18" s="10" t="inlineStr">
        <is>
          <t>und</t>
        </is>
      </c>
      <c r="D18" s="14" t="n"/>
      <c r="E18" s="14" t="n"/>
      <c r="F18" s="14" t="n"/>
      <c r="G18" s="14" t="n"/>
      <c r="H18" s="14" t="n"/>
      <c r="I18" s="14" t="n"/>
      <c r="J18" s="14" t="n"/>
      <c r="K18" s="14" t="n">
        <v>2</v>
      </c>
      <c r="L18" s="14" t="n"/>
      <c r="M18" s="14" t="n"/>
      <c r="N18" s="14" t="n"/>
      <c r="O18" s="14" t="n"/>
      <c r="P18" s="15">
        <f>SUM(D18:O18)</f>
        <v/>
      </c>
      <c r="Q18" s="14" t="n">
        <v>2</v>
      </c>
      <c r="R18" s="16">
        <f>P18-Q18</f>
        <v/>
      </c>
      <c r="S18" s="17" t="inlineStr">
        <is>
          <t>Planta de SE-S-01: símbolos dibujados (leyenda: 2)</t>
        </is>
      </c>
    </row>
    <row r="19">
      <c r="A19" s="10" t="inlineStr">
        <is>
          <t>02.03</t>
        </is>
      </c>
      <c r="B19" s="5" t="inlineStr">
        <is>
          <t>SEÑAL DE ALARMA CONTRA INCENDIOS CON BRAILLE</t>
        </is>
      </c>
      <c r="C19" s="10" t="inlineStr">
        <is>
          <t>und</t>
        </is>
      </c>
      <c r="D19" s="14" t="n">
        <v>1</v>
      </c>
      <c r="E19" s="14" t="n"/>
      <c r="F19" s="14" t="n">
        <v>1</v>
      </c>
      <c r="G19" s="14" t="n">
        <v>1</v>
      </c>
      <c r="H19" s="14" t="n">
        <v>1</v>
      </c>
      <c r="I19" s="14" t="n">
        <v>1</v>
      </c>
      <c r="J19" s="14" t="n">
        <v>1</v>
      </c>
      <c r="K19" s="14" t="n">
        <v>1</v>
      </c>
      <c r="L19" s="14" t="n">
        <v>1</v>
      </c>
      <c r="M19" s="14" t="n"/>
      <c r="N19" s="14" t="n"/>
      <c r="O19" s="14" t="n"/>
      <c r="P19" s="15">
        <f>SUM(D19:O19)</f>
        <v/>
      </c>
      <c r="Q19" s="14" t="n">
        <v>8</v>
      </c>
      <c r="R19" s="16">
        <f>P19-Q19</f>
        <v/>
      </c>
      <c r="S19" s="17" t="inlineStr">
        <is>
          <t>Planta de SE-S-01: símbolos dibujados (leyenda: 8)</t>
        </is>
      </c>
    </row>
    <row r="20">
      <c r="A20" s="10" t="inlineStr">
        <is>
          <t>02.04</t>
        </is>
      </c>
      <c r="B20" s="5" t="inlineStr">
        <is>
          <t>SEÑAL DE AVISADOR SONORO CON BRAILLE</t>
        </is>
      </c>
      <c r="C20" s="10" t="inlineStr">
        <is>
          <t>und</t>
        </is>
      </c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>
        <v>8</v>
      </c>
      <c r="P20" s="15">
        <f>SUM(D20:O20)</f>
        <v/>
      </c>
      <c r="Q20" s="14" t="n">
        <v>8</v>
      </c>
      <c r="R20" s="16">
        <f>P20-Q20</f>
        <v/>
      </c>
      <c r="S20" s="17" t="inlineStr">
        <is>
          <t>Leyenda de SE-S-01 (el símbolo es una imagen pegada sin ubicación en el DXF)</t>
        </is>
      </c>
    </row>
    <row r="21">
      <c r="A21" s="10" t="inlineStr">
        <is>
          <t>02.05</t>
        </is>
      </c>
      <c r="B21" s="5" t="inlineStr">
        <is>
          <t>SEÑAL DE CENTRAL DE ALARMA CONTRA INCENDIO CON BRAILLE</t>
        </is>
      </c>
      <c r="C21" s="10" t="inlineStr">
        <is>
          <t>und</t>
        </is>
      </c>
      <c r="D21" s="14" t="n">
        <v>1</v>
      </c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5">
        <f>SUM(D21:O21)</f>
        <v/>
      </c>
      <c r="Q21" s="14" t="n">
        <v>1</v>
      </c>
      <c r="R21" s="16">
        <f>P21-Q21</f>
        <v/>
      </c>
      <c r="S21" s="17" t="inlineStr">
        <is>
          <t>Planta de SE-S-01: símbolos dibujados (leyenda: 1)</t>
        </is>
      </c>
    </row>
    <row r="22">
      <c r="A22" s="7" t="inlineStr">
        <is>
          <t>03</t>
        </is>
      </c>
      <c r="B22" s="2" t="inlineStr">
        <is>
          <t>SEÑALES DE ADVERTENCIA Y PROHIBICIÓN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10" t="inlineStr">
        <is>
          <t>03.01</t>
        </is>
      </c>
      <c r="B23" s="5" t="inlineStr">
        <is>
          <t>SEÑAL DE ATENCIÓN RIESGO ELÉCTRICO CON BRAILLE</t>
        </is>
      </c>
      <c r="C23" s="10" t="inlineStr">
        <is>
          <t>und</t>
        </is>
      </c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>
        <v>2</v>
      </c>
      <c r="P23" s="15">
        <f>SUM(D23:O23)</f>
        <v/>
      </c>
      <c r="Q23" s="14" t="n">
        <v>2</v>
      </c>
      <c r="R23" s="16">
        <f>P23-Q23</f>
        <v/>
      </c>
      <c r="S23" s="17" t="inlineStr">
        <is>
          <t>Leyenda de SE-S-01 (el símbolo es una imagen pegada sin ubicación en el DXF)</t>
        </is>
      </c>
    </row>
    <row r="24">
      <c r="A24" s="10" t="inlineStr">
        <is>
          <t>03.02</t>
        </is>
      </c>
      <c r="B24" s="5" t="inlineStr">
        <is>
          <t>SEÑAL DE RIESGO DE DESCARGA ELÉCTRICA CON BRAILLE</t>
        </is>
      </c>
      <c r="C24" s="10" t="inlineStr">
        <is>
          <t>und</t>
        </is>
      </c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>
        <v>4</v>
      </c>
      <c r="P24" s="15">
        <f>SUM(D24:O24)</f>
        <v/>
      </c>
      <c r="Q24" s="14" t="n">
        <v>4</v>
      </c>
      <c r="R24" s="16">
        <f>P24-Q24</f>
        <v/>
      </c>
      <c r="S24" s="17" t="inlineStr">
        <is>
          <t>Leyenda de SE-S-01 (el símbolo es una imagen pegada sin ubicación en el DXF)</t>
        </is>
      </c>
    </row>
    <row r="25">
      <c r="A25" s="10" t="inlineStr">
        <is>
          <t>03.03</t>
        </is>
      </c>
      <c r="B25" s="5" t="inlineStr">
        <is>
          <t>SEÑAL DE PROHIBIDO EL INGRESO SOLO PERSONAL AUTORIZADO CON BRAILLE</t>
        </is>
      </c>
      <c r="C25" s="10" t="inlineStr">
        <is>
          <t>und</t>
        </is>
      </c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>
        <v>1</v>
      </c>
      <c r="P25" s="15">
        <f>SUM(D25:O25)</f>
        <v/>
      </c>
      <c r="Q25" s="14" t="n">
        <v>1</v>
      </c>
      <c r="R25" s="16">
        <f>P25-Q25</f>
        <v/>
      </c>
      <c r="S25" s="17" t="inlineStr">
        <is>
          <t>Leyenda de SE-S-01 (el símbolo es una imagen pegada sin ubicación en el DXF)</t>
        </is>
      </c>
    </row>
    <row r="26">
      <c r="A26" s="7" t="inlineStr">
        <is>
          <t>04</t>
        </is>
      </c>
      <c r="B26" s="2" t="inlineStr">
        <is>
          <t>SEÑALES INFORMATIVAS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10" t="inlineStr">
        <is>
          <t>04.01</t>
        </is>
      </c>
      <c r="B27" s="5" t="inlineStr">
        <is>
          <t>SEÑAL DE SERVICIOS HIGIÉNICOS PARA PERSONAS CON DISCAPACIDAD CON BRAILLE</t>
        </is>
      </c>
      <c r="C27" s="10" t="inlineStr">
        <is>
          <t>und</t>
        </is>
      </c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>
        <v>1</v>
      </c>
      <c r="M27" s="14" t="n"/>
      <c r="N27" s="14" t="n"/>
      <c r="O27" s="14" t="n"/>
      <c r="P27" s="15">
        <f>SUM(D27:O27)</f>
        <v/>
      </c>
      <c r="Q27" s="14" t="n">
        <v>1</v>
      </c>
      <c r="R27" s="16">
        <f>P27-Q27</f>
        <v/>
      </c>
      <c r="S27" s="17" t="inlineStr">
        <is>
          <t>Planta de SE-S-01: símbolos dibujados (leyenda: 1)</t>
        </is>
      </c>
    </row>
    <row r="28">
      <c r="A28" s="10" t="inlineStr">
        <is>
          <t>04.02</t>
        </is>
      </c>
      <c r="B28" s="5" t="inlineStr">
        <is>
          <t>SEÑAL DE SERVICIOS HIGIÉNICOS MIXTO CON BRAILLE</t>
        </is>
      </c>
      <c r="C28" s="10" t="inlineStr">
        <is>
          <t>und</t>
        </is>
      </c>
      <c r="D28" s="14" t="n"/>
      <c r="E28" s="14" t="n"/>
      <c r="F28" s="14" t="n"/>
      <c r="G28" s="14" t="n"/>
      <c r="H28" s="14" t="n"/>
      <c r="I28" s="14" t="n"/>
      <c r="J28" s="14" t="n"/>
      <c r="K28" s="14" t="n">
        <v>1</v>
      </c>
      <c r="L28" s="14" t="n"/>
      <c r="M28" s="14" t="n"/>
      <c r="N28" s="14" t="n"/>
      <c r="O28" s="14" t="n"/>
      <c r="P28" s="15">
        <f>SUM(D28:O28)</f>
        <v/>
      </c>
      <c r="Q28" s="14" t="n">
        <v>1</v>
      </c>
      <c r="R28" s="16">
        <f>P28-Q28</f>
        <v/>
      </c>
      <c r="S28" s="17" t="inlineStr">
        <is>
          <t>Planta de SE-S-01: símbolos dibujados (leyenda: 1)</t>
        </is>
      </c>
    </row>
    <row r="29">
      <c r="A29" s="10" t="inlineStr">
        <is>
          <t>04.03</t>
        </is>
      </c>
      <c r="B29" s="5" t="inlineStr">
        <is>
          <t>SEÑAL DE SERVICIOS HIGIÉNICOS MUJER CON BRAILLE</t>
        </is>
      </c>
      <c r="C29" s="10" t="inlineStr">
        <is>
          <t>und</t>
        </is>
      </c>
      <c r="D29" s="14" t="n">
        <v>1</v>
      </c>
      <c r="E29" s="14" t="n"/>
      <c r="F29" s="14" t="n">
        <v>2</v>
      </c>
      <c r="G29" s="14" t="n"/>
      <c r="H29" s="14" t="n"/>
      <c r="I29" s="14" t="n"/>
      <c r="J29" s="14" t="n"/>
      <c r="K29" s="14" t="n"/>
      <c r="L29" s="14" t="n">
        <v>1</v>
      </c>
      <c r="M29" s="14" t="n"/>
      <c r="N29" s="14" t="n"/>
      <c r="O29" s="14" t="n"/>
      <c r="P29" s="15">
        <f>SUM(D29:O29)</f>
        <v/>
      </c>
      <c r="Q29" s="14" t="n">
        <v>4</v>
      </c>
      <c r="R29" s="16">
        <f>P29-Q29</f>
        <v/>
      </c>
      <c r="S29" s="17" t="inlineStr">
        <is>
          <t>Planta de SE-S-01: símbolos dibujados (leyenda: 4)</t>
        </is>
      </c>
    </row>
    <row r="30">
      <c r="A30" s="10" t="inlineStr">
        <is>
          <t>04.04</t>
        </is>
      </c>
      <c r="B30" s="5" t="inlineStr">
        <is>
          <t>SEÑAL DE SERVICIOS HIGIÉNICOS VARÓN CON BRAILLE</t>
        </is>
      </c>
      <c r="C30" s="10" t="inlineStr">
        <is>
          <t>und</t>
        </is>
      </c>
      <c r="D30" s="14" t="n">
        <v>1</v>
      </c>
      <c r="E30" s="14" t="n"/>
      <c r="F30" s="14" t="n"/>
      <c r="G30" s="14" t="n">
        <v>4</v>
      </c>
      <c r="H30" s="14" t="n">
        <v>4</v>
      </c>
      <c r="I30" s="14" t="n">
        <v>4</v>
      </c>
      <c r="J30" s="14" t="n">
        <v>4</v>
      </c>
      <c r="K30" s="14" t="n"/>
      <c r="L30" s="14" t="n">
        <v>1</v>
      </c>
      <c r="M30" s="14" t="n"/>
      <c r="N30" s="14" t="n"/>
      <c r="O30" s="14" t="n"/>
      <c r="P30" s="15">
        <f>SUM(D30:O30)</f>
        <v/>
      </c>
      <c r="Q30" s="14" t="n">
        <v>18</v>
      </c>
      <c r="R30" s="16">
        <f>P30-Q30</f>
        <v/>
      </c>
      <c r="S30" s="17" t="inlineStr">
        <is>
          <t>Planta de SE-S-01: símbolos dibujados (leyenda: 18)</t>
        </is>
      </c>
    </row>
    <row r="31">
      <c r="A31" s="10" t="inlineStr">
        <is>
          <t>04.05</t>
        </is>
      </c>
      <c r="B31" s="5" t="inlineStr">
        <is>
          <t>SEÑAL DE BOTIQUÍN DE PRIMEROS AUXILIOS CON BRAILLE</t>
        </is>
      </c>
      <c r="C31" s="10" t="inlineStr">
        <is>
          <t>und</t>
        </is>
      </c>
      <c r="D31" s="14" t="n">
        <v>2</v>
      </c>
      <c r="E31" s="14" t="n">
        <v>1</v>
      </c>
      <c r="F31" s="14" t="n">
        <v>2</v>
      </c>
      <c r="G31" s="14" t="n">
        <v>2</v>
      </c>
      <c r="H31" s="14" t="n">
        <v>2</v>
      </c>
      <c r="I31" s="14" t="n">
        <v>2</v>
      </c>
      <c r="J31" s="14" t="n">
        <v>2</v>
      </c>
      <c r="K31" s="14" t="n">
        <v>3</v>
      </c>
      <c r="L31" s="14" t="n">
        <v>2</v>
      </c>
      <c r="M31" s="14" t="n">
        <v>1</v>
      </c>
      <c r="N31" s="14" t="n">
        <v>1</v>
      </c>
      <c r="O31" s="14" t="n"/>
      <c r="P31" s="15">
        <f>SUM(D31:O31)</f>
        <v/>
      </c>
      <c r="Q31" s="14" t="n">
        <v>20</v>
      </c>
      <c r="R31" s="16">
        <f>P31-Q31</f>
        <v/>
      </c>
      <c r="S31" s="17" t="inlineStr">
        <is>
          <t>Planta de SE-S-01: símbolos dibujados (leyenda: 20)</t>
        </is>
      </c>
    </row>
    <row r="32">
      <c r="A32" s="10" t="inlineStr">
        <is>
          <t>04.06</t>
        </is>
      </c>
      <c r="B32" s="5" t="inlineStr">
        <is>
          <t>SEÑAL DE PUNTO ECOLÓGICO CON BRAILLE</t>
        </is>
      </c>
      <c r="C32" s="10" t="inlineStr">
        <is>
          <t>und</t>
        </is>
      </c>
      <c r="D32" s="14" t="n"/>
      <c r="E32" s="14" t="n"/>
      <c r="F32" s="14" t="n"/>
      <c r="G32" s="14" t="n"/>
      <c r="H32" s="14" t="n">
        <v>1</v>
      </c>
      <c r="I32" s="14" t="n">
        <v>1</v>
      </c>
      <c r="J32" s="14" t="n">
        <v>1</v>
      </c>
      <c r="K32" s="14" t="n"/>
      <c r="L32" s="14" t="n"/>
      <c r="M32" s="14" t="n"/>
      <c r="N32" s="14" t="n">
        <v>3</v>
      </c>
      <c r="O32" s="14" t="n"/>
      <c r="P32" s="15">
        <f>SUM(D32:O32)</f>
        <v/>
      </c>
      <c r="Q32" s="14" t="n">
        <v>6</v>
      </c>
      <c r="R32" s="16">
        <f>P32-Q32</f>
        <v/>
      </c>
      <c r="S32" s="17" t="inlineStr">
        <is>
          <t>Planta de SE-S-01: símbolos dibujados (leyenda: 6)</t>
        </is>
      </c>
    </row>
    <row r="33">
      <c r="A33" s="7" t="inlineStr">
        <is>
          <t>05</t>
        </is>
      </c>
      <c r="B33" s="2" t="inlineStr">
        <is>
          <t>EQUIPOS DE PROTECCIÓN CONTRA INCENDIO Y EMERGENCIA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>
      <c r="A34" s="10" t="inlineStr">
        <is>
          <t>05.01</t>
        </is>
      </c>
      <c r="B34" s="5" t="inlineStr">
        <is>
          <t>EXTINTOR DE POLVO QUÍMICO SECO (PQS) TIPO ABC DE 6 kg</t>
        </is>
      </c>
      <c r="C34" s="10" t="inlineStr">
        <is>
          <t>und</t>
        </is>
      </c>
      <c r="D34" s="14" t="n">
        <v>1</v>
      </c>
      <c r="E34" s="14" t="n">
        <v>1</v>
      </c>
      <c r="F34" s="14" t="n">
        <v>1</v>
      </c>
      <c r="G34" s="14" t="n">
        <v>1</v>
      </c>
      <c r="H34" s="14" t="n">
        <v>1</v>
      </c>
      <c r="I34" s="14" t="n">
        <v>1</v>
      </c>
      <c r="J34" s="14" t="n">
        <v>1</v>
      </c>
      <c r="K34" s="14" t="n">
        <v>2</v>
      </c>
      <c r="L34" s="14" t="n"/>
      <c r="M34" s="14" t="n"/>
      <c r="N34" s="14" t="n"/>
      <c r="O34" s="14" t="n"/>
      <c r="P34" s="15">
        <f>SUM(D34:O34)</f>
        <v/>
      </c>
      <c r="Q34" s="14" t="n">
        <v>9</v>
      </c>
      <c r="R34" s="16">
        <f>P34-Q34</f>
        <v/>
      </c>
      <c r="S34" s="17" t="inlineStr">
        <is>
          <t>Planta de SE-S-01: símbolos dibujados (leyenda: 9)</t>
        </is>
      </c>
    </row>
    <row r="35">
      <c r="A35" s="10" t="inlineStr">
        <is>
          <t>05.02</t>
        </is>
      </c>
      <c r="B35" s="5" t="inlineStr">
        <is>
          <t>EXTINTOR DE DIÓXIDO DE CARBONO (CO2) DE 10 lb</t>
        </is>
      </c>
      <c r="C35" s="10" t="inlineStr">
        <is>
          <t>und</t>
        </is>
      </c>
      <c r="D35" s="14" t="n"/>
      <c r="E35" s="14" t="n"/>
      <c r="F35" s="14" t="n"/>
      <c r="G35" s="14" t="n"/>
      <c r="H35" s="14" t="n"/>
      <c r="I35" s="14" t="n"/>
      <c r="J35" s="14" t="n"/>
      <c r="K35" s="14" t="n">
        <v>2</v>
      </c>
      <c r="L35" s="14" t="n"/>
      <c r="M35" s="14" t="n"/>
      <c r="N35" s="14" t="n"/>
      <c r="O35" s="14" t="n"/>
      <c r="P35" s="15">
        <f>SUM(D35:O35)</f>
        <v/>
      </c>
      <c r="Q35" s="14" t="n">
        <v>2</v>
      </c>
      <c r="R35" s="16">
        <f>P35-Q35</f>
        <v/>
      </c>
      <c r="S35" s="17" t="inlineStr">
        <is>
          <t>Planta de SE-S-01: símbolos dibujados (leyenda: 2)</t>
        </is>
      </c>
    </row>
    <row r="36">
      <c r="A36" s="10" t="inlineStr">
        <is>
          <t>05.03</t>
        </is>
      </c>
      <c r="B36" s="5" t="inlineStr">
        <is>
          <t>UNIDAD DE LUCES DE EMERGENCIA</t>
        </is>
      </c>
      <c r="C36" s="10" t="inlineStr">
        <is>
          <t>und</t>
        </is>
      </c>
      <c r="D36" s="14" t="n">
        <v>9</v>
      </c>
      <c r="E36" s="14" t="n">
        <v>3</v>
      </c>
      <c r="F36" s="14" t="n">
        <v>2</v>
      </c>
      <c r="G36" s="14" t="n">
        <v>8</v>
      </c>
      <c r="H36" s="14" t="n">
        <v>8</v>
      </c>
      <c r="I36" s="14" t="n">
        <v>8</v>
      </c>
      <c r="J36" s="14" t="n">
        <v>8</v>
      </c>
      <c r="K36" s="14" t="n">
        <v>8</v>
      </c>
      <c r="L36" s="14" t="n">
        <v>4</v>
      </c>
      <c r="M36" s="14" t="n">
        <v>4</v>
      </c>
      <c r="N36" s="14" t="n">
        <v>2</v>
      </c>
      <c r="O36" s="14" t="n"/>
      <c r="P36" s="15">
        <f>SUM(D36:O36)</f>
        <v/>
      </c>
      <c r="Q36" s="14" t="n">
        <v>64</v>
      </c>
      <c r="R36" s="16">
        <f>P36-Q36</f>
        <v/>
      </c>
      <c r="S36" s="17" t="inlineStr">
        <is>
          <t>Planta de SE-S-01: símbolos dibujados (leyenda: 64)</t>
        </is>
      </c>
    </row>
    <row r="37">
      <c r="A37" s="10" t="inlineStr">
        <is>
          <t>05.04</t>
        </is>
      </c>
      <c r="B37" s="5" t="inlineStr">
        <is>
          <t>DETECTOR DE HUMO</t>
        </is>
      </c>
      <c r="C37" s="10" t="inlineStr">
        <is>
          <t>und</t>
        </is>
      </c>
      <c r="D37" s="14" t="n">
        <v>12</v>
      </c>
      <c r="E37" s="14" t="n">
        <v>3</v>
      </c>
      <c r="F37" s="14" t="n">
        <v>2</v>
      </c>
      <c r="G37" s="14" t="n">
        <v>8</v>
      </c>
      <c r="H37" s="14" t="n">
        <v>8</v>
      </c>
      <c r="I37" s="14" t="n">
        <v>8</v>
      </c>
      <c r="J37" s="14" t="n">
        <v>7</v>
      </c>
      <c r="K37" s="14" t="n">
        <v>10</v>
      </c>
      <c r="L37" s="14" t="n"/>
      <c r="M37" s="14" t="n">
        <v>5</v>
      </c>
      <c r="N37" s="14" t="n">
        <v>1</v>
      </c>
      <c r="O37" s="14" t="n"/>
      <c r="P37" s="15">
        <f>SUM(D37:O37)</f>
        <v/>
      </c>
      <c r="Q37" s="14" t="n">
        <v>64</v>
      </c>
      <c r="R37" s="16">
        <f>P37-Q37</f>
        <v/>
      </c>
      <c r="S37" s="17" t="inlineStr">
        <is>
          <t>Planta de SE-S-01: símbolos dibujados (leyenda: 64)</t>
        </is>
      </c>
    </row>
    <row r="38">
      <c r="A38" s="18" t="n"/>
      <c r="B38" s="19" t="inlineStr">
        <is>
          <t>TOTAL DE SEÑALES Y EQUIPOS</t>
        </is>
      </c>
      <c r="C38" s="18" t="n"/>
      <c r="D38" s="15">
        <f>SUM(D11:D37)</f>
        <v/>
      </c>
      <c r="E38" s="15">
        <f>SUM(E11:E37)</f>
        <v/>
      </c>
      <c r="F38" s="15">
        <f>SUM(F11:F37)</f>
        <v/>
      </c>
      <c r="G38" s="15">
        <f>SUM(G11:G37)</f>
        <v/>
      </c>
      <c r="H38" s="15">
        <f>SUM(H11:H37)</f>
        <v/>
      </c>
      <c r="I38" s="15">
        <f>SUM(I11:I37)</f>
        <v/>
      </c>
      <c r="J38" s="15">
        <f>SUM(J11:J37)</f>
        <v/>
      </c>
      <c r="K38" s="15">
        <f>SUM(K11:K37)</f>
        <v/>
      </c>
      <c r="L38" s="15">
        <f>SUM(L11:L37)</f>
        <v/>
      </c>
      <c r="M38" s="15">
        <f>SUM(M11:M37)</f>
        <v/>
      </c>
      <c r="N38" s="15">
        <f>SUM(N11:N37)</f>
        <v/>
      </c>
      <c r="O38" s="15">
        <f>SUM(O11:O37)</f>
        <v/>
      </c>
      <c r="P38" s="15">
        <f>SUM(P11:P37)</f>
        <v/>
      </c>
      <c r="Q38" s="18" t="n"/>
      <c r="R38" s="18" t="n"/>
      <c r="S38" s="18" t="n"/>
    </row>
    <row r="40" ht="12" customHeight="1">
      <c r="A40" s="20" t="inlineStr">
        <is>
          <t>Notas:</t>
        </is>
      </c>
    </row>
    <row r="41" ht="24" customHeight="1">
      <c r="A41" s="21" t="inlineStr">
        <is>
          <t>1. Cantidad por edificación: cada símbolo de la planta de la lámina SE-S-01 se asigna a la edificación donde está (contorno del bloque de la planta general, con 0.60 m de margen para las señales de fachada); EXT = obras exteriores y complementarias (patios, ingresos, caseta, losa deportiva y circulaciones).</t>
        </is>
      </c>
    </row>
    <row r="42" ht="24" customHeight="1">
      <c r="A42" s="21" t="inlineStr">
        <is>
          <t>2. SIN UBICAR: señales que en el DXF son imágenes pegadas (avisador sonoro, atención riesgo eléctrico, riesgo de descarga eléctrica y prohibido el ingreso); su ubicación no se exporta y vale la cantidad de la leyenda. Se instalan donde indica la lámina SE-S-01 y en coordinación con el plano de instalaciones eléctricas.</t>
        </is>
      </c>
    </row>
    <row r="43" ht="24" customHeight="1">
      <c r="A43" s="21" t="inlineStr">
        <is>
          <t>3. Zona de reunión pintada en el piso: los 13 círculos de la lámina SE-E-01 (S1 a S13); la leyenda de SE-S-01 indica 11 y debe corregirse a 13.</t>
        </is>
      </c>
    </row>
    <row r="44" ht="24" customHeight="1">
      <c r="A44" s="21" t="inlineStr">
        <is>
          <t>4. Extintores: uno por cada señal de ubicación de extintor de la planta (PQS tipo ABC de 6 kg y CO2 de 10 lb).</t>
        </is>
      </c>
    </row>
    <row r="45" ht="24" customHeight="1">
      <c r="A45" s="21" t="inlineStr">
        <is>
          <t>5. Unidades de luces de emergencia y detectores de humo: equipos de la leyenda de SE-S-01; su conexión y circuitos son de instalaciones eléctricas.</t>
        </is>
      </c>
    </row>
  </sheetData>
  <mergeCells count="26">
    <mergeCell ref="A42:S42"/>
    <mergeCell ref="B11:S11"/>
    <mergeCell ref="B2:S2"/>
    <mergeCell ref="P9:P10"/>
    <mergeCell ref="C9:C10"/>
    <mergeCell ref="A43:S43"/>
    <mergeCell ref="A44:S44"/>
    <mergeCell ref="Q9:Q10"/>
    <mergeCell ref="A40:S40"/>
    <mergeCell ref="S9:S10"/>
    <mergeCell ref="B6:S6"/>
    <mergeCell ref="B9:B10"/>
    <mergeCell ref="B33:S33"/>
    <mergeCell ref="A45:S45"/>
    <mergeCell ref="B5:S5"/>
    <mergeCell ref="A1:S1"/>
    <mergeCell ref="B4:S4"/>
    <mergeCell ref="B26:S26"/>
    <mergeCell ref="R9:R10"/>
    <mergeCell ref="A41:S41"/>
    <mergeCell ref="B7:S7"/>
    <mergeCell ref="B3:S3"/>
    <mergeCell ref="A9:A10"/>
    <mergeCell ref="B16:S16"/>
    <mergeCell ref="O9:O10"/>
    <mergeCell ref="B22:S22"/>
  </mergeCells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40" customWidth="1" min="3" max="3"/>
    <col width="10" customWidth="1" min="4" max="4"/>
    <col width="10" customWidth="1" min="5" max="5"/>
    <col width="13" customWidth="1" min="6" max="6"/>
    <col width="15" customWidth="1" min="7" max="7"/>
    <col width="7" customWidth="1" min="8" max="8"/>
  </cols>
  <sheetData>
    <row r="1" ht="24" customHeight="1">
      <c r="A1" s="1" t="inlineStr">
        <is>
          <t>ZONAS DE REUNIÓN (ZONAS SEGURAS EXTERNAS) PINTADAS EN EL PISO - LÁMINA SE-E-01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INTEGRAL A NIÑAS, NIÑOS Y ADOLESCENTES SIN CUIDADOS PARENTALES O EN RIESGO DE PERDERLOS EN CENTRO DE ACOGIDA RESIDENCIAL - VARONES DISTRITO DE MORALES DE LA PROVINCIA DE SAN MARTÍN DEL DEPARTAMENTO DE SAN MARTÍN”</t>
        </is>
      </c>
      <c r="C2" s="4" t="n"/>
      <c r="D2" s="4" t="n"/>
      <c r="E2" s="4" t="n"/>
      <c r="F2" s="4" t="n"/>
      <c r="G2" s="4" t="n"/>
      <c r="H2" s="4" t="n"/>
    </row>
    <row r="3">
      <c r="A3" s="2" t="inlineStr">
        <is>
          <t>CUI</t>
        </is>
      </c>
      <c r="B3" s="5" t="inlineStr">
        <is>
          <t>N.° 2705619</t>
        </is>
      </c>
      <c r="C3" s="4" t="n"/>
      <c r="D3" s="4" t="n"/>
      <c r="E3" s="4" t="n"/>
      <c r="F3" s="4" t="n"/>
      <c r="G3" s="4" t="n"/>
      <c r="H3" s="4" t="n"/>
    </row>
    <row r="4">
      <c r="A4" s="2" t="inlineStr">
        <is>
          <t>ESPECIALIDAD</t>
        </is>
      </c>
      <c r="B4" s="5" t="inlineStr">
        <is>
          <t>ARQUITECTURA - EVACUACIÓN Y SEÑALIZACIÓN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UBICACIÓN</t>
        </is>
      </c>
      <c r="B5" s="5" t="inlineStr">
        <is>
          <t>Distrito de Morales, provincia y departamento de San Martín</t>
        </is>
      </c>
      <c r="C5" s="4" t="n"/>
      <c r="D5" s="4" t="n"/>
      <c r="E5" s="4" t="n"/>
      <c r="F5" s="4" t="n"/>
      <c r="G5" s="4" t="n"/>
      <c r="H5" s="4" t="n"/>
    </row>
    <row r="6">
      <c r="A6" s="2" t="inlineStr">
        <is>
          <t>LÁMINAS</t>
        </is>
      </c>
      <c r="B6" s="5" t="inlineStr">
        <is>
          <t>SE-S-01 Plano de señalización (esc. 1/150) y SE-E-01 Plano de evacuación (esc. 1/150)</t>
        </is>
      </c>
      <c r="C6" s="4" t="n"/>
      <c r="D6" s="4" t="n"/>
      <c r="E6" s="4" t="n"/>
      <c r="F6" s="4" t="n"/>
      <c r="G6" s="4" t="n"/>
      <c r="H6" s="4" t="n"/>
    </row>
    <row r="7">
      <c r="A7" s="2" t="inlineStr">
        <is>
          <t>FECHA</t>
        </is>
      </c>
      <c r="B7" s="5" t="inlineStr">
        <is>
          <t>SETIEMBRE 2026</t>
        </is>
      </c>
      <c r="C7" s="4" t="n"/>
      <c r="D7" s="4" t="n"/>
      <c r="E7" s="4" t="n"/>
      <c r="F7" s="4" t="n"/>
      <c r="G7" s="4" t="n"/>
      <c r="H7" s="4" t="n"/>
    </row>
    <row r="9">
      <c r="A9" s="7" t="inlineStr">
        <is>
          <t>Radio (m)</t>
        </is>
      </c>
      <c r="B9" s="22" t="n">
        <v>1.5</v>
      </c>
      <c r="C9" s="7" t="inlineStr">
        <is>
          <t>Ancho de línea (m)</t>
        </is>
      </c>
      <c r="D9" s="22" t="n">
        <v>0.1</v>
      </c>
      <c r="E9" s="5" t="inlineStr">
        <is>
          <t>Círculo pintado con pintura de tránsito color amarillo tráfico (leyenda de SE-E-01)</t>
        </is>
      </c>
    </row>
    <row r="11">
      <c r="A11" s="6" t="inlineStr">
        <is>
          <t>N.°</t>
        </is>
      </c>
      <c r="B11" s="6" t="inlineStr">
        <is>
          <t>ZONA</t>
        </is>
      </c>
      <c r="C11" s="6" t="inlineStr">
        <is>
          <t>UBICACIÓN (edificación más cercana)</t>
        </is>
      </c>
      <c r="D11" s="6" t="inlineStr">
        <is>
          <t>RADIO (m)</t>
        </is>
      </c>
      <c r="E11" s="6" t="inlineStr">
        <is>
          <t>ANCHO (m)</t>
        </is>
      </c>
      <c r="F11" s="6" t="inlineStr">
        <is>
          <t>PERÍMETRO (m)</t>
        </is>
      </c>
      <c r="G11" s="6" t="inlineStr">
        <is>
          <t>ÁREA PINTADA (m²)</t>
        </is>
      </c>
      <c r="H11" s="6" t="inlineStr">
        <is>
          <t>UND</t>
        </is>
      </c>
    </row>
    <row r="12">
      <c r="A12" s="10" t="n">
        <v>1</v>
      </c>
      <c r="B12" s="10" t="inlineStr">
        <is>
          <t>S1</t>
        </is>
      </c>
      <c r="C12" s="5" t="inlineStr">
        <is>
          <t>E-01 Administración</t>
        </is>
      </c>
      <c r="D12" s="22">
        <f>$B$9</f>
        <v/>
      </c>
      <c r="E12" s="22">
        <f>$D$9</f>
        <v/>
      </c>
      <c r="F12" s="22">
        <f>2*PI()*D12</f>
        <v/>
      </c>
      <c r="G12" s="22">
        <f>F12*E12</f>
        <v/>
      </c>
      <c r="H12" s="14" t="n">
        <v>1</v>
      </c>
    </row>
    <row r="13">
      <c r="A13" s="10" t="n">
        <v>2</v>
      </c>
      <c r="B13" s="10" t="inlineStr">
        <is>
          <t>S2</t>
        </is>
      </c>
      <c r="C13" s="5" t="inlineStr">
        <is>
          <t>E-10 Servicios generales</t>
        </is>
      </c>
      <c r="D13" s="22">
        <f>$B$9</f>
        <v/>
      </c>
      <c r="E13" s="22">
        <f>$D$9</f>
        <v/>
      </c>
      <c r="F13" s="22">
        <f>2*PI()*D13</f>
        <v/>
      </c>
      <c r="G13" s="22">
        <f>F13*E13</f>
        <v/>
      </c>
      <c r="H13" s="14" t="n">
        <v>1</v>
      </c>
    </row>
    <row r="14">
      <c r="A14" s="10" t="n">
        <v>3</v>
      </c>
      <c r="B14" s="10" t="inlineStr">
        <is>
          <t>S3</t>
        </is>
      </c>
      <c r="C14" s="5" t="inlineStr">
        <is>
          <t>E-08 SUM y cocina</t>
        </is>
      </c>
      <c r="D14" s="22">
        <f>$B$9</f>
        <v/>
      </c>
      <c r="E14" s="22">
        <f>$D$9</f>
        <v/>
      </c>
      <c r="F14" s="22">
        <f>2*PI()*D14</f>
        <v/>
      </c>
      <c r="G14" s="22">
        <f>F14*E14</f>
        <v/>
      </c>
      <c r="H14" s="14" t="n">
        <v>1</v>
      </c>
    </row>
    <row r="15">
      <c r="A15" s="10" t="n">
        <v>4</v>
      </c>
      <c r="B15" s="10" t="inlineStr">
        <is>
          <t>S4</t>
        </is>
      </c>
      <c r="C15" s="5" t="inlineStr">
        <is>
          <t>E-08 SUM y cocina</t>
        </is>
      </c>
      <c r="D15" s="22">
        <f>$B$9</f>
        <v/>
      </c>
      <c r="E15" s="22">
        <f>$D$9</f>
        <v/>
      </c>
      <c r="F15" s="22">
        <f>2*PI()*D15</f>
        <v/>
      </c>
      <c r="G15" s="22">
        <f>F15*E15</f>
        <v/>
      </c>
      <c r="H15" s="14" t="n">
        <v>1</v>
      </c>
    </row>
    <row r="16">
      <c r="A16" s="10" t="n">
        <v>5</v>
      </c>
      <c r="B16" s="10" t="inlineStr">
        <is>
          <t>S5</t>
        </is>
      </c>
      <c r="C16" s="5" t="inlineStr">
        <is>
          <t>E-08 SUM y cocina</t>
        </is>
      </c>
      <c r="D16" s="22">
        <f>$B$9</f>
        <v/>
      </c>
      <c r="E16" s="22">
        <f>$D$9</f>
        <v/>
      </c>
      <c r="F16" s="22">
        <f>2*PI()*D16</f>
        <v/>
      </c>
      <c r="G16" s="22">
        <f>F16*E16</f>
        <v/>
      </c>
      <c r="H16" s="14" t="n">
        <v>1</v>
      </c>
    </row>
    <row r="17">
      <c r="A17" s="10" t="n">
        <v>6</v>
      </c>
      <c r="B17" s="10" t="inlineStr">
        <is>
          <t>S6</t>
        </is>
      </c>
      <c r="C17" s="5" t="inlineStr">
        <is>
          <t>E-09 SS.HH. público</t>
        </is>
      </c>
      <c r="D17" s="22">
        <f>$B$9</f>
        <v/>
      </c>
      <c r="E17" s="22">
        <f>$D$9</f>
        <v/>
      </c>
      <c r="F17" s="22">
        <f>2*PI()*D17</f>
        <v/>
      </c>
      <c r="G17" s="22">
        <f>F17*E17</f>
        <v/>
      </c>
      <c r="H17" s="14" t="n">
        <v>1</v>
      </c>
    </row>
    <row r="18">
      <c r="A18" s="10" t="n">
        <v>7</v>
      </c>
      <c r="B18" s="10" t="inlineStr">
        <is>
          <t>S7</t>
        </is>
      </c>
      <c r="C18" s="5" t="inlineStr">
        <is>
          <t>E-01 Administración</t>
        </is>
      </c>
      <c r="D18" s="22">
        <f>$B$9</f>
        <v/>
      </c>
      <c r="E18" s="22">
        <f>$D$9</f>
        <v/>
      </c>
      <c r="F18" s="22">
        <f>2*PI()*D18</f>
        <v/>
      </c>
      <c r="G18" s="22">
        <f>F18*E18</f>
        <v/>
      </c>
      <c r="H18" s="14" t="n">
        <v>1</v>
      </c>
    </row>
    <row r="19">
      <c r="A19" s="10" t="n">
        <v>8</v>
      </c>
      <c r="B19" s="10" t="inlineStr">
        <is>
          <t>S8</t>
        </is>
      </c>
      <c r="C19" s="5" t="inlineStr">
        <is>
          <t>E-04 Módulo de 12 a 17 años (1)</t>
        </is>
      </c>
      <c r="D19" s="22">
        <f>$B$9</f>
        <v/>
      </c>
      <c r="E19" s="22">
        <f>$D$9</f>
        <v/>
      </c>
      <c r="F19" s="22">
        <f>2*PI()*D19</f>
        <v/>
      </c>
      <c r="G19" s="22">
        <f>F19*E19</f>
        <v/>
      </c>
      <c r="H19" s="14" t="n">
        <v>1</v>
      </c>
    </row>
    <row r="20">
      <c r="A20" s="10" t="n">
        <v>9</v>
      </c>
      <c r="B20" s="10" t="inlineStr">
        <is>
          <t>S9</t>
        </is>
      </c>
      <c r="C20" s="5" t="inlineStr">
        <is>
          <t>E-02 Vestidores de la losa deportiva</t>
        </is>
      </c>
      <c r="D20" s="22">
        <f>$B$9</f>
        <v/>
      </c>
      <c r="E20" s="22">
        <f>$D$9</f>
        <v/>
      </c>
      <c r="F20" s="22">
        <f>2*PI()*D20</f>
        <v/>
      </c>
      <c r="G20" s="22">
        <f>F20*E20</f>
        <v/>
      </c>
      <c r="H20" s="14" t="n">
        <v>1</v>
      </c>
    </row>
    <row r="21">
      <c r="A21" s="10" t="n">
        <v>10</v>
      </c>
      <c r="B21" s="10" t="inlineStr">
        <is>
          <t>S10</t>
        </is>
      </c>
      <c r="C21" s="5" t="inlineStr">
        <is>
          <t>E-07 Módulo de 6 a 11 años</t>
        </is>
      </c>
      <c r="D21" s="22">
        <f>$B$9</f>
        <v/>
      </c>
      <c r="E21" s="22">
        <f>$D$9</f>
        <v/>
      </c>
      <c r="F21" s="22">
        <f>2*PI()*D21</f>
        <v/>
      </c>
      <c r="G21" s="22">
        <f>F21*E21</f>
        <v/>
      </c>
      <c r="H21" s="14" t="n">
        <v>1</v>
      </c>
    </row>
    <row r="22">
      <c r="A22" s="10" t="n">
        <v>11</v>
      </c>
      <c r="B22" s="10" t="inlineStr">
        <is>
          <t>S11</t>
        </is>
      </c>
      <c r="C22" s="5" t="inlineStr">
        <is>
          <t>E-04 Módulo de 12 a 17 años (1)</t>
        </is>
      </c>
      <c r="D22" s="22">
        <f>$B$9</f>
        <v/>
      </c>
      <c r="E22" s="22">
        <f>$D$9</f>
        <v/>
      </c>
      <c r="F22" s="22">
        <f>2*PI()*D22</f>
        <v/>
      </c>
      <c r="G22" s="22">
        <f>F22*E22</f>
        <v/>
      </c>
      <c r="H22" s="14" t="n">
        <v>1</v>
      </c>
    </row>
    <row r="23">
      <c r="A23" s="10" t="n">
        <v>12</v>
      </c>
      <c r="B23" s="10" t="inlineStr">
        <is>
          <t>S12</t>
        </is>
      </c>
      <c r="C23" s="5" t="inlineStr">
        <is>
          <t>E-06 Módulo de 3 a 5 años</t>
        </is>
      </c>
      <c r="D23" s="22">
        <f>$B$9</f>
        <v/>
      </c>
      <c r="E23" s="22">
        <f>$D$9</f>
        <v/>
      </c>
      <c r="F23" s="22">
        <f>2*PI()*D23</f>
        <v/>
      </c>
      <c r="G23" s="22">
        <f>F23*E23</f>
        <v/>
      </c>
      <c r="H23" s="14" t="n">
        <v>1</v>
      </c>
    </row>
    <row r="24">
      <c r="A24" s="10" t="n">
        <v>13</v>
      </c>
      <c r="B24" s="10" t="inlineStr">
        <is>
          <t>S13</t>
        </is>
      </c>
      <c r="C24" s="5" t="inlineStr">
        <is>
          <t>E-05 Módulo de 12 a 17 años (2)</t>
        </is>
      </c>
      <c r="D24" s="22">
        <f>$B$9</f>
        <v/>
      </c>
      <c r="E24" s="22">
        <f>$D$9</f>
        <v/>
      </c>
      <c r="F24" s="22">
        <f>2*PI()*D24</f>
        <v/>
      </c>
      <c r="G24" s="22">
        <f>F24*E24</f>
        <v/>
      </c>
      <c r="H24" s="14" t="n">
        <v>1</v>
      </c>
    </row>
    <row r="25">
      <c r="A25" s="18" t="n"/>
      <c r="B25" s="18" t="n"/>
      <c r="C25" s="19" t="inlineStr">
        <is>
          <t>TOTAL</t>
        </is>
      </c>
      <c r="D25" s="18" t="n"/>
      <c r="E25" s="18" t="n"/>
      <c r="F25" s="23">
        <f>SUM(F12:F24)</f>
        <v/>
      </c>
      <c r="G25" s="23">
        <f>SUM(G12:G24)</f>
        <v/>
      </c>
      <c r="H25" s="15">
        <f>SUM(H12:H24)</f>
        <v/>
      </c>
    </row>
  </sheetData>
  <mergeCells count="8">
    <mergeCell ref="E9:H9"/>
    <mergeCell ref="B4:H4"/>
    <mergeCell ref="B6:H6"/>
    <mergeCell ref="B2:H2"/>
    <mergeCell ref="B7:H7"/>
    <mergeCell ref="A1:H1"/>
    <mergeCell ref="B3:H3"/>
    <mergeCell ref="B5:H5"/>
  </mergeCells>
  <pageMargins left="0.4" right="0.4" top="0.5" bottom="0.5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4" customWidth="1" min="3" max="3"/>
    <col width="16" customWidth="1" min="4" max="4"/>
    <col width="14" customWidth="1" min="5" max="5"/>
    <col width="4" customWidth="1" min="6" max="6"/>
  </cols>
  <sheetData>
    <row r="1" ht="24" customHeight="1">
      <c r="A1" s="1" t="inlineStr">
        <is>
          <t>RUTAS DE EVACUACIÓN, AFOROS Y POBLACIÓN - LÁMINA SE-E-01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INTEGRAL A NIÑAS, NIÑOS Y ADOLESCENTES SIN CUIDADOS PARENTALES O EN RIESGO DE PERDERLOS EN CENTRO DE ACOGIDA RESIDENCIAL - VARONES DISTRITO DE MORALES DE LA PROVINCIA DE SAN MARTÍN DEL DEPARTAMENTO DE SAN MARTÍN”</t>
        </is>
      </c>
      <c r="C2" s="4" t="n"/>
      <c r="D2" s="4" t="n"/>
      <c r="E2" s="4" t="n"/>
      <c r="F2" s="4" t="n"/>
    </row>
    <row r="3">
      <c r="A3" s="2" t="inlineStr">
        <is>
          <t>CUI</t>
        </is>
      </c>
      <c r="B3" s="5" t="inlineStr">
        <is>
          <t>N.° 2705619</t>
        </is>
      </c>
      <c r="C3" s="4" t="n"/>
      <c r="D3" s="4" t="n"/>
      <c r="E3" s="4" t="n"/>
      <c r="F3" s="4" t="n"/>
    </row>
    <row r="4">
      <c r="A4" s="2" t="inlineStr">
        <is>
          <t>ESPECIALIDAD</t>
        </is>
      </c>
      <c r="B4" s="5" t="inlineStr">
        <is>
          <t>ARQUITECTURA - EVACUACIÓN Y SEÑALIZACIÓN</t>
        </is>
      </c>
      <c r="C4" s="4" t="n"/>
      <c r="D4" s="4" t="n"/>
      <c r="E4" s="4" t="n"/>
      <c r="F4" s="4" t="n"/>
    </row>
    <row r="5">
      <c r="A5" s="2" t="inlineStr">
        <is>
          <t>UBICACIÓN</t>
        </is>
      </c>
      <c r="B5" s="5" t="inlineStr">
        <is>
          <t>Distrito de Morales, provincia y departamento de San Martín</t>
        </is>
      </c>
      <c r="C5" s="4" t="n"/>
      <c r="D5" s="4" t="n"/>
      <c r="E5" s="4" t="n"/>
      <c r="F5" s="4" t="n"/>
    </row>
    <row r="6">
      <c r="A6" s="2" t="inlineStr">
        <is>
          <t>LÁMINAS</t>
        </is>
      </c>
      <c r="B6" s="5" t="inlineStr">
        <is>
          <t>SE-S-01 Plano de señalización (esc. 1/150) y SE-E-01 Plano de evacuación (esc. 1/150)</t>
        </is>
      </c>
      <c r="C6" s="4" t="n"/>
      <c r="D6" s="4" t="n"/>
      <c r="E6" s="4" t="n"/>
      <c r="F6" s="4" t="n"/>
    </row>
    <row r="7">
      <c r="A7" s="2" t="inlineStr">
        <is>
          <t>FECHA</t>
        </is>
      </c>
      <c r="B7" s="5" t="inlineStr">
        <is>
          <t>SETIEMBRE 2026</t>
        </is>
      </c>
      <c r="C7" s="4" t="n"/>
      <c r="D7" s="4" t="n"/>
      <c r="E7" s="4" t="n"/>
      <c r="F7" s="4" t="n"/>
    </row>
    <row r="9">
      <c r="A9" s="2" t="inlineStr">
        <is>
          <t>Velocidad de desplazamiento (m/s)</t>
        </is>
      </c>
      <c r="B9" s="24" t="n"/>
      <c r="C9" s="25" t="n"/>
      <c r="D9" s="22" t="n">
        <v>0.6</v>
      </c>
    </row>
    <row r="10">
      <c r="A10" s="2" t="inlineStr">
        <is>
          <t>Recorrido máximo hasta un lugar seguro, sin rociadores - RNE A.130 (m)</t>
        </is>
      </c>
      <c r="B10" s="24" t="n"/>
      <c r="C10" s="25" t="n"/>
      <c r="D10" s="22" t="n">
        <v>45</v>
      </c>
    </row>
    <row r="12">
      <c r="A12" s="6" t="inlineStr">
        <is>
          <t>RUTA</t>
        </is>
      </c>
      <c r="B12" s="6" t="inlineStr">
        <is>
          <t>AMBIENTE QUE EVACÚA</t>
        </is>
      </c>
      <c r="C12" s="6" t="inlineStr">
        <is>
          <t>LONGITUD (m)</t>
        </is>
      </c>
      <c r="D12" s="6" t="inlineStr">
        <is>
          <t>TIEMPO DE DESPLAZAMIENTO (s)</t>
        </is>
      </c>
      <c r="E12" s="6" t="inlineStr">
        <is>
          <t>VERIFICACIÓN</t>
        </is>
      </c>
    </row>
    <row r="13">
      <c r="A13" s="10" t="inlineStr">
        <is>
          <t>RUTA 01</t>
        </is>
      </c>
      <c r="B13" s="5" t="inlineStr">
        <is>
          <t>Administración</t>
        </is>
      </c>
      <c r="C13" s="22" t="n">
        <v>23.74</v>
      </c>
      <c r="D13" s="26">
        <f>C13/$D$9</f>
        <v/>
      </c>
      <c r="E13" s="10">
        <f>IF(C13&lt;=$D$10,"cumple","no cumple")</f>
        <v/>
      </c>
    </row>
    <row r="14">
      <c r="A14" s="10" t="inlineStr">
        <is>
          <t>RUTA 02</t>
        </is>
      </c>
      <c r="B14" s="5" t="inlineStr">
        <is>
          <t>Servicios generales</t>
        </is>
      </c>
      <c r="C14" s="22" t="n">
        <v>15.51</v>
      </c>
      <c r="D14" s="26">
        <f>C14/$D$9</f>
        <v/>
      </c>
      <c r="E14" s="10">
        <f>IF(C14&lt;=$D$10,"cumple","no cumple")</f>
        <v/>
      </c>
    </row>
    <row r="15">
      <c r="A15" s="10" t="inlineStr">
        <is>
          <t>RUTA 03</t>
        </is>
      </c>
      <c r="B15" s="5" t="inlineStr">
        <is>
          <t>SUM + Cocina</t>
        </is>
      </c>
      <c r="C15" s="22" t="n">
        <v>37.3</v>
      </c>
      <c r="D15" s="26">
        <f>C15/$D$9</f>
        <v/>
      </c>
      <c r="E15" s="10">
        <f>IF(C15&lt;=$D$10,"cumple","no cumple")</f>
        <v/>
      </c>
    </row>
    <row r="16">
      <c r="A16" s="10" t="inlineStr">
        <is>
          <t>RUTA 04</t>
        </is>
      </c>
      <c r="B16" s="5" t="inlineStr">
        <is>
          <t>Cocina</t>
        </is>
      </c>
      <c r="C16" s="22" t="n">
        <v>14.07</v>
      </c>
      <c r="D16" s="26">
        <f>C16/$D$9</f>
        <v/>
      </c>
      <c r="E16" s="10">
        <f>IF(C16&lt;=$D$10,"cumple","no cumple")</f>
        <v/>
      </c>
    </row>
    <row r="17">
      <c r="A17" s="10" t="inlineStr">
        <is>
          <t>RUTA 05</t>
        </is>
      </c>
      <c r="B17" s="5" t="inlineStr">
        <is>
          <t>SUM</t>
        </is>
      </c>
      <c r="C17" s="22" t="n">
        <v>20.14</v>
      </c>
      <c r="D17" s="26">
        <f>C17/$D$9</f>
        <v/>
      </c>
      <c r="E17" s="10">
        <f>IF(C17&lt;=$D$10,"cumple","no cumple")</f>
        <v/>
      </c>
    </row>
    <row r="18">
      <c r="A18" s="10" t="inlineStr">
        <is>
          <t>RUTA 06</t>
        </is>
      </c>
      <c r="B18" s="5" t="inlineStr">
        <is>
          <t>SS.HH. público</t>
        </is>
      </c>
      <c r="C18" s="22" t="n">
        <v>20.38</v>
      </c>
      <c r="D18" s="26">
        <f>C18/$D$9</f>
        <v/>
      </c>
      <c r="E18" s="10">
        <f>IF(C18&lt;=$D$10,"cumple","no cumple")</f>
        <v/>
      </c>
    </row>
    <row r="19">
      <c r="A19" s="10" t="inlineStr">
        <is>
          <t>RUTA 07</t>
        </is>
      </c>
      <c r="B19" s="5" t="inlineStr">
        <is>
          <t>Administración</t>
        </is>
      </c>
      <c r="C19" s="22" t="n">
        <v>12.7</v>
      </c>
      <c r="D19" s="26">
        <f>C19/$D$9</f>
        <v/>
      </c>
      <c r="E19" s="10">
        <f>IF(C19&lt;=$D$10,"cumple","no cumple")</f>
        <v/>
      </c>
    </row>
    <row r="20">
      <c r="A20" s="10" t="inlineStr">
        <is>
          <t>RUTA 08</t>
        </is>
      </c>
      <c r="B20" s="5" t="inlineStr">
        <is>
          <t>Módulo madres</t>
        </is>
      </c>
      <c r="C20" s="22" t="n">
        <v>36.93</v>
      </c>
      <c r="D20" s="26">
        <f>C20/$D$9</f>
        <v/>
      </c>
      <c r="E20" s="10">
        <f>IF(C20&lt;=$D$10,"cumple","no cumple")</f>
        <v/>
      </c>
    </row>
    <row r="21">
      <c r="A21" s="10" t="inlineStr">
        <is>
          <t>RUTA 09</t>
        </is>
      </c>
      <c r="B21" s="5" t="inlineStr">
        <is>
          <t>Vestidores losa deportiva</t>
        </is>
      </c>
      <c r="C21" s="22" t="n">
        <v>17.68</v>
      </c>
      <c r="D21" s="26">
        <f>C21/$D$9</f>
        <v/>
      </c>
      <c r="E21" s="10">
        <f>IF(C21&lt;=$D$10,"cumple","no cumple")</f>
        <v/>
      </c>
    </row>
    <row r="22">
      <c r="A22" s="10" t="inlineStr">
        <is>
          <t>RUTA 10</t>
        </is>
      </c>
      <c r="B22" s="5" t="inlineStr">
        <is>
          <t>Módulo de 12 - 17 años</t>
        </is>
      </c>
      <c r="C22" s="22" t="n">
        <v>32.45</v>
      </c>
      <c r="D22" s="26">
        <f>C22/$D$9</f>
        <v/>
      </c>
      <c r="E22" s="10">
        <f>IF(C22&lt;=$D$10,"cumple","no cumple")</f>
        <v/>
      </c>
    </row>
    <row r="23">
      <c r="A23" s="10" t="inlineStr">
        <is>
          <t>RUTA 11</t>
        </is>
      </c>
      <c r="B23" s="5" t="inlineStr">
        <is>
          <t>Módulo de 6 - 11 años</t>
        </is>
      </c>
      <c r="C23" s="22" t="n">
        <v>32.58</v>
      </c>
      <c r="D23" s="26">
        <f>C23/$D$9</f>
        <v/>
      </c>
      <c r="E23" s="10">
        <f>IF(C23&lt;=$D$10,"cumple","no cumple")</f>
        <v/>
      </c>
    </row>
    <row r="24">
      <c r="A24" s="10" t="inlineStr">
        <is>
          <t>RUTA 12</t>
        </is>
      </c>
      <c r="B24" s="5" t="inlineStr">
        <is>
          <t>Módulo de 12 - 17 años</t>
        </is>
      </c>
      <c r="C24" s="22" t="n">
        <v>32.45</v>
      </c>
      <c r="D24" s="26">
        <f>C24/$D$9</f>
        <v/>
      </c>
      <c r="E24" s="10">
        <f>IF(C24&lt;=$D$10,"cumple","no cumple")</f>
        <v/>
      </c>
    </row>
    <row r="25">
      <c r="A25" s="10" t="inlineStr">
        <is>
          <t>RUTA 13</t>
        </is>
      </c>
      <c r="B25" s="5" t="inlineStr">
        <is>
          <t>Módulo de 3 - 5 años</t>
        </is>
      </c>
      <c r="C25" s="22" t="n">
        <v>32.58</v>
      </c>
      <c r="D25" s="26">
        <f>C25/$D$9</f>
        <v/>
      </c>
      <c r="E25" s="10">
        <f>IF(C25&lt;=$D$10,"cumple","no cumple")</f>
        <v/>
      </c>
    </row>
    <row r="27">
      <c r="A27" s="6" t="inlineStr">
        <is>
          <t>EDIFICACIÓN</t>
        </is>
      </c>
      <c r="B27" s="6" t="inlineStr">
        <is>
          <t>AMBIENTE</t>
        </is>
      </c>
      <c r="C27" s="6" t="inlineStr">
        <is>
          <t>AFORO (personas)</t>
        </is>
      </c>
    </row>
    <row r="28">
      <c r="A28" s="10" t="inlineStr">
        <is>
          <t>E-01</t>
        </is>
      </c>
      <c r="B28" s="5" t="inlineStr">
        <is>
          <t>Administración</t>
        </is>
      </c>
      <c r="C28" s="14" t="n">
        <v>11</v>
      </c>
    </row>
    <row r="29">
      <c r="A29" s="10" t="inlineStr">
        <is>
          <t>E-02</t>
        </is>
      </c>
      <c r="B29" s="5" t="inlineStr">
        <is>
          <t>Vestidores de la losa deportiva</t>
        </is>
      </c>
      <c r="C29" s="14" t="n">
        <v>5</v>
      </c>
    </row>
    <row r="30">
      <c r="A30" s="10" t="inlineStr">
        <is>
          <t>E-03</t>
        </is>
      </c>
      <c r="B30" s="5" t="inlineStr">
        <is>
          <t>Módulo de madres sustitutas</t>
        </is>
      </c>
      <c r="C30" s="14" t="n">
        <v>5</v>
      </c>
    </row>
    <row r="31">
      <c r="A31" s="10" t="inlineStr">
        <is>
          <t>E-04</t>
        </is>
      </c>
      <c r="B31" s="5" t="inlineStr">
        <is>
          <t>Módulo de 12 a 17 años (1)</t>
        </is>
      </c>
      <c r="C31" s="14" t="n">
        <v>11</v>
      </c>
    </row>
    <row r="32">
      <c r="A32" s="10" t="inlineStr">
        <is>
          <t>E-05</t>
        </is>
      </c>
      <c r="B32" s="5" t="inlineStr">
        <is>
          <t>Módulo de 12 a 17 años (2)</t>
        </is>
      </c>
      <c r="C32" s="14" t="n">
        <v>11</v>
      </c>
    </row>
    <row r="33">
      <c r="A33" s="10" t="inlineStr">
        <is>
          <t>E-06</t>
        </is>
      </c>
      <c r="B33" s="5" t="inlineStr">
        <is>
          <t>Módulo de 3 a 5 años</t>
        </is>
      </c>
      <c r="C33" s="14" t="n">
        <v>11</v>
      </c>
    </row>
    <row r="34">
      <c r="A34" s="10" t="inlineStr">
        <is>
          <t>E-07</t>
        </is>
      </c>
      <c r="B34" s="5" t="inlineStr">
        <is>
          <t>Módulo de 6 a 11 años</t>
        </is>
      </c>
      <c r="C34" s="14" t="n">
        <v>11</v>
      </c>
    </row>
    <row r="35">
      <c r="A35" s="10" t="inlineStr">
        <is>
          <t>E-08</t>
        </is>
      </c>
      <c r="B35" s="5" t="inlineStr">
        <is>
          <t>SUM</t>
        </is>
      </c>
      <c r="C35" s="14" t="n">
        <v>66</v>
      </c>
    </row>
    <row r="36">
      <c r="A36" s="10" t="inlineStr">
        <is>
          <t>E-08</t>
        </is>
      </c>
      <c r="B36" s="5" t="inlineStr">
        <is>
          <t>Cocina</t>
        </is>
      </c>
      <c r="C36" s="14" t="n">
        <v>5</v>
      </c>
    </row>
    <row r="37">
      <c r="A37" s="10" t="inlineStr">
        <is>
          <t>E-09</t>
        </is>
      </c>
      <c r="B37" s="5" t="inlineStr">
        <is>
          <t>SS.HH. público</t>
        </is>
      </c>
      <c r="C37" s="14" t="n">
        <v>6</v>
      </c>
    </row>
    <row r="38">
      <c r="A38" s="10" t="inlineStr">
        <is>
          <t>E-10</t>
        </is>
      </c>
      <c r="B38" s="5" t="inlineStr">
        <is>
          <t>Servicios generales</t>
        </is>
      </c>
      <c r="C38" s="14" t="n">
        <v>4</v>
      </c>
    </row>
    <row r="39">
      <c r="A39" s="10" t="inlineStr">
        <is>
          <t>EXT</t>
        </is>
      </c>
      <c r="B39" s="5" t="inlineStr">
        <is>
          <t>Caseta de control (O.E. 04)</t>
        </is>
      </c>
      <c r="C39" s="14" t="n">
        <v>1</v>
      </c>
    </row>
    <row r="41">
      <c r="A41" s="6" t="inlineStr">
        <is>
          <t>POBLACIÓN</t>
        </is>
      </c>
      <c r="B41" s="6" t="inlineStr">
        <is>
          <t>DETALLE</t>
        </is>
      </c>
      <c r="C41" s="6" t="inlineStr">
        <is>
          <t>PERSONAS</t>
        </is>
      </c>
    </row>
    <row r="42">
      <c r="A42" s="5" t="inlineStr">
        <is>
          <t>Personal</t>
        </is>
      </c>
      <c r="B42" s="5" t="inlineStr">
        <is>
          <t>Madres sustitutas</t>
        </is>
      </c>
      <c r="C42" s="14" t="n">
        <v>5</v>
      </c>
    </row>
    <row r="43">
      <c r="A43" s="5" t="inlineStr">
        <is>
          <t>Personal</t>
        </is>
      </c>
      <c r="B43" s="5" t="inlineStr">
        <is>
          <t>Personal administrativo</t>
        </is>
      </c>
      <c r="C43" s="14" t="n">
        <v>11</v>
      </c>
    </row>
    <row r="44">
      <c r="A44" s="5" t="inlineStr">
        <is>
          <t>Personal</t>
        </is>
      </c>
      <c r="B44" s="5" t="inlineStr">
        <is>
          <t>Personal de apoyo</t>
        </is>
      </c>
      <c r="C44" s="14" t="n">
        <v>6</v>
      </c>
    </row>
    <row r="45">
      <c r="A45" s="19" t="inlineStr">
        <is>
          <t>Personal</t>
        </is>
      </c>
      <c r="B45" s="19" t="inlineStr">
        <is>
          <t>Subtotal personal</t>
        </is>
      </c>
      <c r="C45" s="15">
        <f>SUM(C42:C44)</f>
        <v/>
      </c>
    </row>
    <row r="46">
      <c r="A46" s="5" t="inlineStr">
        <is>
          <t>Residentes</t>
        </is>
      </c>
      <c r="B46" s="5" t="inlineStr">
        <is>
          <t>Niños y adolescentes varones (4 módulos)</t>
        </is>
      </c>
      <c r="C46" s="14" t="n">
        <v>40</v>
      </c>
    </row>
    <row r="47">
      <c r="A47" s="19" t="inlineStr">
        <is>
          <t>Permanentes</t>
        </is>
      </c>
      <c r="B47" s="19" t="inlineStr">
        <is>
          <t>Personal + residentes</t>
        </is>
      </c>
      <c r="C47" s="15">
        <f>C45+C46</f>
        <v/>
      </c>
    </row>
    <row r="48">
      <c r="A48" s="5" t="inlineStr">
        <is>
          <t>Temporales</t>
        </is>
      </c>
      <c r="B48" s="5" t="inlineStr">
        <is>
          <t>Visitas y personal eventual</t>
        </is>
      </c>
      <c r="C48" s="14" t="n">
        <v>4</v>
      </c>
    </row>
    <row r="49">
      <c r="A49" s="19" t="inlineStr">
        <is>
          <t>CAPACIDAD MÁXIMA</t>
        </is>
      </c>
      <c r="B49" s="19" t="inlineStr">
        <is>
          <t>Permanentes + temporales (= aforo del SUM)</t>
        </is>
      </c>
      <c r="C49" s="15">
        <f>C47+C48</f>
        <v/>
      </c>
    </row>
  </sheetData>
  <mergeCells count="9">
    <mergeCell ref="B4:F4"/>
    <mergeCell ref="A10:C10"/>
    <mergeCell ref="B7:F7"/>
    <mergeCell ref="B6:F6"/>
    <mergeCell ref="B2:F2"/>
    <mergeCell ref="A1:F1"/>
    <mergeCell ref="B3:F3"/>
    <mergeCell ref="B5:F5"/>
    <mergeCell ref="A9:C9"/>
  </mergeCells>
  <pageMargins left="0.4" right="0.4" top="0.5" bottom="0.5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8" customWidth="1" min="3" max="3"/>
    <col width="40" customWidth="1" min="4" max="4"/>
    <col width="12" customWidth="1" min="5" max="5"/>
    <col width="11" customWidth="1" min="6" max="6"/>
    <col width="48" customWidth="1" min="7" max="7"/>
  </cols>
  <sheetData>
    <row r="1" ht="24" customHeight="1">
      <c r="A1" s="1" t="inlineStr">
        <is>
          <t>CARACTERÍSTICAS DE LAS SEÑALES Y EQUIPOS (NTP 399.010-1, RNE A.120 Y A.130)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INTEGRAL A NIÑAS, NIÑOS Y ADOLESCENTES SIN CUIDADOS PARENTALES O EN RIESGO DE PERDERLOS EN CENTRO DE ACOGIDA RESIDENCIAL - VARONES DISTRITO DE MORALES DE LA PROVINCIA DE SAN MARTÍN DEL DEPARTAMENTO DE SAN MARTÍN”</t>
        </is>
      </c>
      <c r="C2" s="4" t="n"/>
      <c r="D2" s="4" t="n"/>
      <c r="E2" s="4" t="n"/>
      <c r="F2" s="4" t="n"/>
      <c r="G2" s="4" t="n"/>
    </row>
    <row r="3">
      <c r="A3" s="2" t="inlineStr">
        <is>
          <t>CUI</t>
        </is>
      </c>
      <c r="B3" s="5" t="inlineStr">
        <is>
          <t>N.° 2705619</t>
        </is>
      </c>
      <c r="C3" s="4" t="n"/>
      <c r="D3" s="4" t="n"/>
      <c r="E3" s="4" t="n"/>
      <c r="F3" s="4" t="n"/>
      <c r="G3" s="4" t="n"/>
    </row>
    <row r="4">
      <c r="A4" s="2" t="inlineStr">
        <is>
          <t>ESPECIALIDAD</t>
        </is>
      </c>
      <c r="B4" s="5" t="inlineStr">
        <is>
          <t>ARQUITECTURA - EVACUACIÓN Y SEÑALIZACIÓN</t>
        </is>
      </c>
      <c r="C4" s="4" t="n"/>
      <c r="D4" s="4" t="n"/>
      <c r="E4" s="4" t="n"/>
      <c r="F4" s="4" t="n"/>
      <c r="G4" s="4" t="n"/>
    </row>
    <row r="5">
      <c r="A5" s="2" t="inlineStr">
        <is>
          <t>UBICACIÓN</t>
        </is>
      </c>
      <c r="B5" s="5" t="inlineStr">
        <is>
          <t>Distrito de Morales, provincia y departamento de San Martín</t>
        </is>
      </c>
      <c r="C5" s="4" t="n"/>
      <c r="D5" s="4" t="n"/>
      <c r="E5" s="4" t="n"/>
      <c r="F5" s="4" t="n"/>
      <c r="G5" s="4" t="n"/>
    </row>
    <row r="6">
      <c r="A6" s="2" t="inlineStr">
        <is>
          <t>LÁMINAS</t>
        </is>
      </c>
      <c r="B6" s="5" t="inlineStr">
        <is>
          <t>SE-S-01 Plano de señalización (esc. 1/150) y SE-E-01 Plano de evacuación (esc. 1/150)</t>
        </is>
      </c>
      <c r="C6" s="4" t="n"/>
      <c r="D6" s="4" t="n"/>
      <c r="E6" s="4" t="n"/>
      <c r="F6" s="4" t="n"/>
      <c r="G6" s="4" t="n"/>
    </row>
    <row r="7">
      <c r="A7" s="2" t="inlineStr">
        <is>
          <t>FECHA</t>
        </is>
      </c>
      <c r="B7" s="5" t="inlineStr">
        <is>
          <t>SETIEMBRE 2026</t>
        </is>
      </c>
      <c r="C7" s="4" t="n"/>
      <c r="D7" s="4" t="n"/>
      <c r="E7" s="4" t="n"/>
      <c r="F7" s="4" t="n"/>
      <c r="G7" s="4" t="n"/>
    </row>
    <row r="9">
      <c r="A9" s="6" t="inlineStr">
        <is>
          <t>ITEM</t>
        </is>
      </c>
      <c r="B9" s="6" t="inlineStr">
        <is>
          <t>PARTIDA</t>
        </is>
      </c>
      <c r="C9" s="6" t="inlineStr">
        <is>
          <t>DIMENSIONES</t>
        </is>
      </c>
      <c r="D9" s="6" t="inlineStr">
        <is>
          <t>MATERIAL</t>
        </is>
      </c>
      <c r="E9" s="6" t="inlineStr">
        <is>
          <t>ALTURA DE INSTALACIÓN</t>
        </is>
      </c>
      <c r="F9" s="6" t="inlineStr">
        <is>
          <t>ALTURA EN LA LEYENDA</t>
        </is>
      </c>
      <c r="G9" s="6" t="inlineStr">
        <is>
          <t>FUNCIÓN Y UBICACIÓN</t>
        </is>
      </c>
    </row>
    <row r="10">
      <c r="A10" s="7" t="inlineStr">
        <is>
          <t>01</t>
        </is>
      </c>
      <c r="B10" s="2" t="inlineStr">
        <is>
          <t>SEÑALES DE EVACUACIÓN Y EMERGENCIA</t>
        </is>
      </c>
      <c r="C10" s="4" t="n"/>
      <c r="D10" s="4" t="n"/>
      <c r="E10" s="4" t="n"/>
      <c r="F10" s="4" t="n"/>
      <c r="G10" s="4" t="n"/>
    </row>
    <row r="11">
      <c r="A11" s="27" t="inlineStr">
        <is>
          <t>01.01</t>
        </is>
      </c>
      <c r="B11" s="17" t="inlineStr">
        <is>
          <t>SEÑAL DE SALIDA CON BRAILLE</t>
        </is>
      </c>
      <c r="C11" s="27" t="inlineStr">
        <is>
          <t>0.30 x 0.20 m</t>
        </is>
      </c>
      <c r="D11" s="17" t="inlineStr">
        <is>
          <t>Lámina de PVC celtex de 3 mm con vinil fotoluminiscente impreso y placa de acrílico con texto en braille</t>
        </is>
      </c>
      <c r="E11" s="27" t="inlineStr">
        <is>
          <t>2.10 m</t>
        </is>
      </c>
      <c r="F11" s="27" t="inlineStr">
        <is>
          <t>2.10</t>
        </is>
      </c>
      <c r="G11" s="17" t="inlineStr">
        <is>
          <t>Indica la puerta de salida y la dirección de la ruta de evacuación; sobre el dintel de las puertas de salida y en la circulación peatonal interna.</t>
        </is>
      </c>
    </row>
    <row r="12">
      <c r="A12" s="27" t="inlineStr">
        <is>
          <t>01.02</t>
        </is>
      </c>
      <c r="B12" s="17" t="inlineStr">
        <is>
          <t>SEÑAL DE ZONA SEGURA EN CASO DE SISMO CON BRAILLE</t>
        </is>
      </c>
      <c r="C12" s="27" t="inlineStr">
        <is>
          <t>0.20 x 0.30 m</t>
        </is>
      </c>
      <c r="D12" s="17" t="inlineStr">
        <is>
          <t>Lámina de PVC celtex de 3 mm con vinil fotoluminiscente impreso y placa de acrílico con texto en braille</t>
        </is>
      </c>
      <c r="E12" s="27" t="inlineStr">
        <is>
          <t>1.80 m</t>
        </is>
      </c>
      <c r="F12" s="27" t="inlineStr">
        <is>
          <t>1.80</t>
        </is>
      </c>
      <c r="G12" s="17" t="inlineStr">
        <is>
          <t>Identifica los lugares de protección dentro de los ambientes (columnas y muros estructurales) durante un sismo.</t>
        </is>
      </c>
    </row>
    <row r="13">
      <c r="A13" s="27" t="inlineStr">
        <is>
          <t>01.03</t>
        </is>
      </c>
      <c r="B13" s="17" t="inlineStr">
        <is>
          <t>LETRERO DE AFORO CON BRAILLE</t>
        </is>
      </c>
      <c r="C13" s="27" t="inlineStr">
        <is>
          <t>0.30 x 0.20 m</t>
        </is>
      </c>
      <c r="D13" s="17" t="inlineStr">
        <is>
          <t>Lámina de PVC celtex de 3 mm con vinil adhesivo impreso y placa de acrílico con texto en braille</t>
        </is>
      </c>
      <c r="E13" s="27" t="inlineStr">
        <is>
          <t>2.10 m</t>
        </is>
      </c>
      <c r="F13" s="27" t="inlineStr">
        <is>
          <t>2.10</t>
        </is>
      </c>
      <c r="G13" s="17" t="inlineStr">
        <is>
          <t>Indica la capacidad máxima de personas del ambiente; junto al ingreso, en el lado de la cerradura.</t>
        </is>
      </c>
    </row>
    <row r="14">
      <c r="A14" s="27" t="inlineStr">
        <is>
          <t>01.04</t>
        </is>
      </c>
      <c r="B14" s="17" t="inlineStr">
        <is>
          <t>ZONA DE REUNIÓN (ZONA SEGURA EXTERNA) PINTADA EN PISO</t>
        </is>
      </c>
      <c r="C14" s="27" t="inlineStr">
        <is>
          <t>círculo de 1.50 m de radio, línea de 0.10 m</t>
        </is>
      </c>
      <c r="D14" s="17" t="inlineStr">
        <is>
          <t>Pintura de tránsito color amarillo sobre piso de concreto</t>
        </is>
      </c>
      <c r="E14" s="27" t="inlineStr">
        <is>
          <t>en piso</t>
        </is>
      </c>
      <c r="F14" s="27" t="inlineStr">
        <is>
          <t>EN PISO</t>
        </is>
      </c>
      <c r="G14" s="17" t="inlineStr">
        <is>
          <t>Lugar exterior de concentración de los ocupantes al final de cada ruta de evacuación (S1 a S13 de la lámina SE-E-01).</t>
        </is>
      </c>
    </row>
    <row r="15">
      <c r="A15" s="7" t="inlineStr">
        <is>
          <t>02</t>
        </is>
      </c>
      <c r="B15" s="2" t="inlineStr">
        <is>
          <t>SEÑALES DE EQUIPOS CONTRA INCENDIO</t>
        </is>
      </c>
      <c r="C15" s="4" t="n"/>
      <c r="D15" s="4" t="n"/>
      <c r="E15" s="4" t="n"/>
      <c r="F15" s="4" t="n"/>
      <c r="G15" s="4" t="n"/>
    </row>
    <row r="16">
      <c r="A16" s="27" t="inlineStr">
        <is>
          <t>02.01</t>
        </is>
      </c>
      <c r="B16" s="17" t="inlineStr">
        <is>
          <t>SEÑAL DE UBICACIÓN DE EXTINTOR PQS CON BRAILLE</t>
        </is>
      </c>
      <c r="C16" s="27" t="inlineStr">
        <is>
          <t>0.20 x 0.30 m</t>
        </is>
      </c>
      <c r="D16" s="17" t="inlineStr">
        <is>
          <t>Lámina de PVC celtex de 3 mm con vinil fotoluminiscente impreso y placa de acrílico con texto en braille</t>
        </is>
      </c>
      <c r="E16" s="27" t="inlineStr">
        <is>
          <t>1.80 m</t>
        </is>
      </c>
      <c r="F16" s="27" t="inlineStr">
        <is>
          <t>1.20</t>
        </is>
      </c>
      <c r="G16" s="17" t="inlineStr">
        <is>
          <t>Identifica la ubicación del extintor de polvo químico seco; sobre el equipo.</t>
        </is>
      </c>
    </row>
    <row r="17">
      <c r="A17" s="27" t="inlineStr">
        <is>
          <t>02.02</t>
        </is>
      </c>
      <c r="B17" s="17" t="inlineStr">
        <is>
          <t>SEÑAL DE UBICACIÓN DE EXTINTOR CO2 CON BRAILLE</t>
        </is>
      </c>
      <c r="C17" s="27" t="inlineStr">
        <is>
          <t>0.20 x 0.30 m</t>
        </is>
      </c>
      <c r="D17" s="17" t="inlineStr">
        <is>
          <t>Lámina de PVC celtex de 3 mm con vinil fotoluminiscente impreso y placa de acrílico con texto en braille</t>
        </is>
      </c>
      <c r="E17" s="27" t="inlineStr">
        <is>
          <t>1.80 m</t>
        </is>
      </c>
      <c r="F17" s="27" t="inlineStr">
        <is>
          <t>1.20</t>
        </is>
      </c>
      <c r="G17" s="17" t="inlineStr">
        <is>
          <t>Identifica la ubicación del extintor de dióxido de carbono; sobre el equipo.</t>
        </is>
      </c>
    </row>
    <row r="18">
      <c r="A18" s="27" t="inlineStr">
        <is>
          <t>02.03</t>
        </is>
      </c>
      <c r="B18" s="17" t="inlineStr">
        <is>
          <t>SEÑAL DE ALARMA CONTRA INCENDIOS CON BRAILLE</t>
        </is>
      </c>
      <c r="C18" s="27" t="inlineStr">
        <is>
          <t>0.20 x 0.30 m</t>
        </is>
      </c>
      <c r="D18" s="17" t="inlineStr">
        <is>
          <t>Lámina de PVC celtex de 3 mm con vinil fotoluminiscente impreso y placa de acrílico con texto en braille</t>
        </is>
      </c>
      <c r="E18" s="27" t="inlineStr">
        <is>
          <t>1.80 m</t>
        </is>
      </c>
      <c r="F18" s="27" t="inlineStr">
        <is>
          <t>1.80</t>
        </is>
      </c>
      <c r="G18" s="17" t="inlineStr">
        <is>
          <t>Identifica la estación manual (pulsador) de alarma contra incendios.</t>
        </is>
      </c>
    </row>
    <row r="19">
      <c r="A19" s="27" t="inlineStr">
        <is>
          <t>02.04</t>
        </is>
      </c>
      <c r="B19" s="17" t="inlineStr">
        <is>
          <t>SEÑAL DE AVISADOR SONORO CON BRAILLE</t>
        </is>
      </c>
      <c r="C19" s="27" t="inlineStr">
        <is>
          <t>0.20 x 0.30 m</t>
        </is>
      </c>
      <c r="D19" s="17" t="inlineStr">
        <is>
          <t>Lámina de PVC celtex de 3 mm con vinil fotoluminiscente impreso y placa de acrílico con texto en braille</t>
        </is>
      </c>
      <c r="E19" s="27" t="inlineStr">
        <is>
          <t>2.00 m</t>
        </is>
      </c>
      <c r="F19" s="27" t="inlineStr">
        <is>
          <t>2.00</t>
        </is>
      </c>
      <c r="G19" s="17" t="inlineStr">
        <is>
          <t>Identifica la sirena o avisador sonoro del sistema de alarma.</t>
        </is>
      </c>
    </row>
    <row r="20">
      <c r="A20" s="27" t="inlineStr">
        <is>
          <t>02.05</t>
        </is>
      </c>
      <c r="B20" s="17" t="inlineStr">
        <is>
          <t>SEÑAL DE CENTRAL DE ALARMA CONTRA INCENDIO CON BRAILLE</t>
        </is>
      </c>
      <c r="C20" s="27" t="inlineStr">
        <is>
          <t>0.20 x 0.30 m</t>
        </is>
      </c>
      <c r="D20" s="17" t="inlineStr">
        <is>
          <t>Lámina de PVC celtex de 3 mm con vinil fotoluminiscente impreso y placa de acrílico con texto en braille</t>
        </is>
      </c>
      <c r="E20" s="27" t="inlineStr">
        <is>
          <t>1.10 m</t>
        </is>
      </c>
      <c r="F20" s="27" t="inlineStr">
        <is>
          <t>1.10</t>
        </is>
      </c>
      <c r="G20" s="17" t="inlineStr">
        <is>
          <t>Identifica el panel central del sistema de detección y alarma.</t>
        </is>
      </c>
    </row>
    <row r="21">
      <c r="A21" s="7" t="inlineStr">
        <is>
          <t>03</t>
        </is>
      </c>
      <c r="B21" s="2" t="inlineStr">
        <is>
          <t>SEÑALES DE ADVERTENCIA Y PROHIBICIÓN</t>
        </is>
      </c>
      <c r="C21" s="4" t="n"/>
      <c r="D21" s="4" t="n"/>
      <c r="E21" s="4" t="n"/>
      <c r="F21" s="4" t="n"/>
      <c r="G21" s="4" t="n"/>
    </row>
    <row r="22">
      <c r="A22" s="27" t="inlineStr">
        <is>
          <t>03.01</t>
        </is>
      </c>
      <c r="B22" s="17" t="inlineStr">
        <is>
          <t>SEÑAL DE ATENCIÓN RIESGO ELÉCTRICO CON BRAILLE</t>
        </is>
      </c>
      <c r="C22" s="27" t="inlineStr">
        <is>
          <t>0.20 x 0.30 m</t>
        </is>
      </c>
      <c r="D22" s="17" t="inlineStr">
        <is>
          <t>Lámina de PVC celtex de 3 mm con vinil adhesivo impreso y placa de acrílico con texto en braille</t>
        </is>
      </c>
      <c r="E22" s="27" t="inlineStr">
        <is>
          <t>1.10 m</t>
        </is>
      </c>
      <c r="F22" s="27" t="inlineStr">
        <is>
          <t>1.10</t>
        </is>
      </c>
      <c r="G22" s="17" t="inlineStr">
        <is>
          <t>Advierte la presencia de tableros y equipos eléctricos; en la puerta o frente del tablero.</t>
        </is>
      </c>
    </row>
    <row r="23">
      <c r="A23" s="27" t="inlineStr">
        <is>
          <t>03.02</t>
        </is>
      </c>
      <c r="B23" s="17" t="inlineStr">
        <is>
          <t>SEÑAL DE RIESGO DE DESCARGA ELÉCTRICA CON BRAILLE</t>
        </is>
      </c>
      <c r="C23" s="27" t="inlineStr">
        <is>
          <t>0.20 x 0.30 m</t>
        </is>
      </c>
      <c r="D23" s="17" t="inlineStr">
        <is>
          <t>Lámina de PVC celtex de 3 mm con vinil adhesivo impreso y placa de acrílico con texto en braille</t>
        </is>
      </c>
      <c r="E23" s="27" t="inlineStr">
        <is>
          <t>1.10 m</t>
        </is>
      </c>
      <c r="F23" s="27" t="inlineStr">
        <is>
          <t>1.10</t>
        </is>
      </c>
      <c r="G23" s="17" t="inlineStr">
        <is>
          <t>Advierte el riesgo de descarga eléctrica en tableros, subestación y grupo electrógeno.</t>
        </is>
      </c>
    </row>
    <row r="24">
      <c r="A24" s="27" t="inlineStr">
        <is>
          <t>03.03</t>
        </is>
      </c>
      <c r="B24" s="17" t="inlineStr">
        <is>
          <t>SEÑAL DE PROHIBIDO EL INGRESO SOLO PERSONAL AUTORIZADO CON BRAILLE</t>
        </is>
      </c>
      <c r="C24" s="27" t="inlineStr">
        <is>
          <t>0.30 x 0.20 m</t>
        </is>
      </c>
      <c r="D24" s="17" t="inlineStr">
        <is>
          <t>Lámina de PVC celtex de 3 mm con vinil adhesivo impreso y placa de acrílico con texto en braille</t>
        </is>
      </c>
      <c r="E24" s="27" t="inlineStr">
        <is>
          <t>1.10 m</t>
        </is>
      </c>
      <c r="F24" s="27" t="inlineStr">
        <is>
          <t>1.10</t>
        </is>
      </c>
      <c r="G24" s="17" t="inlineStr">
        <is>
          <t>Restringe el ingreso a los ambientes técnicos al personal autorizado.</t>
        </is>
      </c>
    </row>
    <row r="25">
      <c r="A25" s="7" t="inlineStr">
        <is>
          <t>04</t>
        </is>
      </c>
      <c r="B25" s="2" t="inlineStr">
        <is>
          <t>SEÑALES INFORMATIVAS</t>
        </is>
      </c>
      <c r="C25" s="4" t="n"/>
      <c r="D25" s="4" t="n"/>
      <c r="E25" s="4" t="n"/>
      <c r="F25" s="4" t="n"/>
      <c r="G25" s="4" t="n"/>
    </row>
    <row r="26">
      <c r="A26" s="27" t="inlineStr">
        <is>
          <t>04.01</t>
        </is>
      </c>
      <c r="B26" s="17" t="inlineStr">
        <is>
          <t>SEÑAL DE SERVICIOS HIGIÉNICOS PARA PERSONAS CON DISCAPACIDAD CON BRAILLE</t>
        </is>
      </c>
      <c r="C26" s="27" t="inlineStr">
        <is>
          <t>0.20 x 0.20 m</t>
        </is>
      </c>
      <c r="D26" s="17" t="inlineStr">
        <is>
          <t>Lámina de PVC celtex de 3 mm con vinil adhesivo impreso y placa de acrílico con texto en braille</t>
        </is>
      </c>
      <c r="E26" s="27" t="inlineStr">
        <is>
          <t>1.80 m</t>
        </is>
      </c>
      <c r="F26" s="27" t="inlineStr">
        <is>
          <t>1.80</t>
        </is>
      </c>
      <c r="G26" s="17" t="inlineStr">
        <is>
          <t>Identifica el servicio higiénico accesible.</t>
        </is>
      </c>
    </row>
    <row r="27">
      <c r="A27" s="27" t="inlineStr">
        <is>
          <t>04.02</t>
        </is>
      </c>
      <c r="B27" s="17" t="inlineStr">
        <is>
          <t>SEÑAL DE SERVICIOS HIGIÉNICOS MIXTO CON BRAILLE</t>
        </is>
      </c>
      <c r="C27" s="27" t="inlineStr">
        <is>
          <t>0.20 x 0.20 m</t>
        </is>
      </c>
      <c r="D27" s="17" t="inlineStr">
        <is>
          <t>Lámina de PVC celtex de 3 mm con vinil adhesivo impreso y placa de acrílico con texto en braille</t>
        </is>
      </c>
      <c r="E27" s="27" t="inlineStr">
        <is>
          <t>1.80 m</t>
        </is>
      </c>
      <c r="F27" s="27" t="inlineStr">
        <is>
          <t>1.80</t>
        </is>
      </c>
      <c r="G27" s="17" t="inlineStr">
        <is>
          <t>Identifica el servicio higiénico de uso mixto.</t>
        </is>
      </c>
    </row>
    <row r="28">
      <c r="A28" s="27" t="inlineStr">
        <is>
          <t>04.03</t>
        </is>
      </c>
      <c r="B28" s="17" t="inlineStr">
        <is>
          <t>SEÑAL DE SERVICIOS HIGIÉNICOS MUJER CON BRAILLE</t>
        </is>
      </c>
      <c r="C28" s="27" t="inlineStr">
        <is>
          <t>0.20 x 0.20 m</t>
        </is>
      </c>
      <c r="D28" s="17" t="inlineStr">
        <is>
          <t>Lámina de PVC celtex de 3 mm con vinil adhesivo impreso y placa de acrílico con texto en braille</t>
        </is>
      </c>
      <c r="E28" s="27" t="inlineStr">
        <is>
          <t>1.80 m</t>
        </is>
      </c>
      <c r="F28" s="27" t="inlineStr">
        <is>
          <t>1.80</t>
        </is>
      </c>
      <c r="G28" s="17" t="inlineStr">
        <is>
          <t>Identifica el servicio higiénico de mujeres.</t>
        </is>
      </c>
    </row>
    <row r="29">
      <c r="A29" s="27" t="inlineStr">
        <is>
          <t>04.04</t>
        </is>
      </c>
      <c r="B29" s="17" t="inlineStr">
        <is>
          <t>SEÑAL DE SERVICIOS HIGIÉNICOS VARÓN CON BRAILLE</t>
        </is>
      </c>
      <c r="C29" s="27" t="inlineStr">
        <is>
          <t>0.20 x 0.20 m</t>
        </is>
      </c>
      <c r="D29" s="17" t="inlineStr">
        <is>
          <t>Lámina de PVC celtex de 3 mm con vinil adhesivo impreso y placa de acrílico con texto en braille</t>
        </is>
      </c>
      <c r="E29" s="27" t="inlineStr">
        <is>
          <t>1.80 m</t>
        </is>
      </c>
      <c r="F29" s="27" t="inlineStr">
        <is>
          <t>1.80</t>
        </is>
      </c>
      <c r="G29" s="17" t="inlineStr">
        <is>
          <t>Identifica el servicio higiénico de varones.</t>
        </is>
      </c>
    </row>
    <row r="30">
      <c r="A30" s="27" t="inlineStr">
        <is>
          <t>04.05</t>
        </is>
      </c>
      <c r="B30" s="17" t="inlineStr">
        <is>
          <t>SEÑAL DE BOTIQUÍN DE PRIMEROS AUXILIOS CON BRAILLE</t>
        </is>
      </c>
      <c r="C30" s="27" t="inlineStr">
        <is>
          <t>0.20 x 0.30 m</t>
        </is>
      </c>
      <c r="D30" s="17" t="inlineStr">
        <is>
          <t>Lámina de PVC celtex de 3 mm con vinil fotoluminiscente impreso y placa de acrílico con texto en braille</t>
        </is>
      </c>
      <c r="E30" s="27" t="inlineStr">
        <is>
          <t>1.80 m</t>
        </is>
      </c>
      <c r="F30" s="27" t="inlineStr">
        <is>
          <t>1.80</t>
        </is>
      </c>
      <c r="G30" s="17" t="inlineStr">
        <is>
          <t>Identifica la ubicación del botiquín de primeros auxilios.</t>
        </is>
      </c>
    </row>
    <row r="31">
      <c r="A31" s="27" t="inlineStr">
        <is>
          <t>04.06</t>
        </is>
      </c>
      <c r="B31" s="17" t="inlineStr">
        <is>
          <t>SEÑAL DE PUNTO ECOLÓGICO CON BRAILLE</t>
        </is>
      </c>
      <c r="C31" s="27" t="inlineStr">
        <is>
          <t>0.30 x 0.20 m</t>
        </is>
      </c>
      <c r="D31" s="17" t="inlineStr">
        <is>
          <t>Lámina de PVC celtex de 3 mm con vinil adhesivo impreso y placa de acrílico con texto en braille</t>
        </is>
      </c>
      <c r="E31" s="27" t="inlineStr">
        <is>
          <t>1.80 m</t>
        </is>
      </c>
      <c r="F31" s="27" t="inlineStr">
        <is>
          <t>—</t>
        </is>
      </c>
      <c r="G31" s="17" t="inlineStr">
        <is>
          <t>Identifica el punto de acopio selectivo de residuos sólidos.</t>
        </is>
      </c>
    </row>
    <row r="32">
      <c r="A32" s="7" t="inlineStr">
        <is>
          <t>05</t>
        </is>
      </c>
      <c r="B32" s="2" t="inlineStr">
        <is>
          <t>EQUIPOS DE PROTECCIÓN CONTRA INCENDIO Y EMERGENCIA</t>
        </is>
      </c>
      <c r="C32" s="4" t="n"/>
      <c r="D32" s="4" t="n"/>
      <c r="E32" s="4" t="n"/>
      <c r="F32" s="4" t="n"/>
      <c r="G32" s="4" t="n"/>
    </row>
    <row r="33">
      <c r="A33" s="27" t="inlineStr">
        <is>
          <t>05.01</t>
        </is>
      </c>
      <c r="B33" s="17" t="inlineStr">
        <is>
          <t>EXTINTOR DE POLVO QUÍMICO SECO (PQS) TIPO ABC DE 6 kg</t>
        </is>
      </c>
      <c r="C33" s="27" t="inlineStr">
        <is>
          <t>extintor portátil de 6 kg, agente PQS multipropósito ABC</t>
        </is>
      </c>
      <c r="D33" s="17" t="inlineStr">
        <is>
          <t>Cilindro de acero con manómetro, manguera, soporte de pared y tarjeta de control</t>
        </is>
      </c>
      <c r="E33" s="27" t="inlineStr">
        <is>
          <t>1.50 m (parte superior)</t>
        </is>
      </c>
      <c r="F33" s="27" t="inlineStr">
        <is>
          <t>—</t>
        </is>
      </c>
      <c r="G33" s="17" t="inlineStr">
        <is>
          <t>Combate fuegos de clase A, B y C en las edificaciones.</t>
        </is>
      </c>
    </row>
    <row r="34">
      <c r="A34" s="27" t="inlineStr">
        <is>
          <t>05.02</t>
        </is>
      </c>
      <c r="B34" s="17" t="inlineStr">
        <is>
          <t>EXTINTOR DE DIÓXIDO DE CARBONO (CO2) DE 10 lb</t>
        </is>
      </c>
      <c r="C34" s="27" t="inlineStr">
        <is>
          <t>extintor portátil de 10 lb, agente CO2</t>
        </is>
      </c>
      <c r="D34" s="17" t="inlineStr">
        <is>
          <t>Cilindro de acero sin costura con válvula, manguera con difusor, soporte de pared y tarjeta de control</t>
        </is>
      </c>
      <c r="E34" s="27" t="inlineStr">
        <is>
          <t>1.50 m (parte superior)</t>
        </is>
      </c>
      <c r="F34" s="27" t="inlineStr">
        <is>
          <t>—</t>
        </is>
      </c>
      <c r="G34" s="17" t="inlineStr">
        <is>
          <t>Combate fuegos de clase B y C (equipos eléctricos de la cocina).</t>
        </is>
      </c>
    </row>
    <row r="35">
      <c r="A35" s="27" t="inlineStr">
        <is>
          <t>05.03</t>
        </is>
      </c>
      <c r="B35" s="17" t="inlineStr">
        <is>
          <t>UNIDAD DE LUCES DE EMERGENCIA</t>
        </is>
      </c>
      <c r="C35" s="27" t="inlineStr">
        <is>
          <t>equipo de dos faros LED, autonomía mínima 90 min</t>
        </is>
      </c>
      <c r="D35" s="17" t="inlineStr">
        <is>
          <t>Equipo autónomo con batería recargable, 220 V</t>
        </is>
      </c>
      <c r="E35" s="27" t="inlineStr">
        <is>
          <t>2.10 m</t>
        </is>
      </c>
      <c r="F35" s="27" t="inlineStr">
        <is>
          <t>2.10</t>
        </is>
      </c>
      <c r="G35" s="17" t="inlineStr">
        <is>
          <t>Ilumina las rutas de evacuación y las salidas al cortarse la energía.</t>
        </is>
      </c>
    </row>
    <row r="36">
      <c r="A36" s="27" t="inlineStr">
        <is>
          <t>05.04</t>
        </is>
      </c>
      <c r="B36" s="17" t="inlineStr">
        <is>
          <t>DETECTOR DE HUMO</t>
        </is>
      </c>
      <c r="C36" s="27" t="inlineStr">
        <is>
          <t>detector fotoeléctrico de techo</t>
        </is>
      </c>
      <c r="D36" s="17" t="inlineStr">
        <is>
          <t>Equipo fotoeléctrico con base de montaje</t>
        </is>
      </c>
      <c r="E36" s="27" t="inlineStr">
        <is>
          <t>techo</t>
        </is>
      </c>
      <c r="F36" s="27" t="inlineStr">
        <is>
          <t>TECHO</t>
        </is>
      </c>
      <c r="G36" s="17" t="inlineStr">
        <is>
          <t>Detecta el humo en los ambientes y activa la alarma.</t>
        </is>
      </c>
    </row>
  </sheetData>
  <mergeCells count="12">
    <mergeCell ref="B3:G3"/>
    <mergeCell ref="B2:G2"/>
    <mergeCell ref="B10:G10"/>
    <mergeCell ref="A1:G1"/>
    <mergeCell ref="B5:G5"/>
    <mergeCell ref="B32:G32"/>
    <mergeCell ref="B4:G4"/>
    <mergeCell ref="B21:G21"/>
    <mergeCell ref="B15:G15"/>
    <mergeCell ref="B7:G7"/>
    <mergeCell ref="B25:G25"/>
    <mergeCell ref="B6:G6"/>
  </mergeCell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Metrado de evacuación y señalización - CAR Varones</dc:title>
  <dcterms:created xmlns:dcterms="http://purl.org/dc/terms/" xmlns:xsi="http://www.w3.org/2001/XMLSchema-instance" xsi:type="dcterms:W3CDTF">2026-10-27T16:14:02Z</dcterms:created>
  <dcterms:modified xmlns:dcterms="http://purl.org/dc/terms/" xmlns:xsi="http://www.w3.org/2001/XMLSchema-instance" xsi:type="dcterms:W3CDTF">2026-10-27T16:14:02Z</dcterms:modified>
</cp:coreProperties>
</file>