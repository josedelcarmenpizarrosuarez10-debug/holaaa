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R-VARONES" sheetId="1" state="visible" r:id="rId3"/>
  </sheets>
  <definedNames>
    <definedName function="false" hidden="false" localSheetId="0" name="_xlnm.Print_Area" vbProcedure="false">'CAR-VARONES'!$A$1:$I$126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<sst xmlns="http://schemas.openxmlformats.org/spreadsheetml/2006/main" count="304" uniqueCount="115">
  <si>
    <t xml:space="preserve">TIPO</t>
  </si>
  <si>
    <t xml:space="preserve">AMBIENTE</t>
  </si>
  <si>
    <t xml:space="preserve">PISO</t>
  </si>
  <si>
    <t xml:space="preserve">CANTIDAD</t>
  </si>
  <si>
    <t xml:space="preserve">CAPACIDAD</t>
  </si>
  <si>
    <t xml:space="preserve">UND</t>
  </si>
  <si>
    <t xml:space="preserve">INDICE OCUPACIONAL (I.O)</t>
  </si>
  <si>
    <t xml:space="preserve">ÁREA SEGÚN NORMATIVA (M2)</t>
  </si>
  <si>
    <t xml:space="preserve">AREA SEGÚN PROYECTO (M2)</t>
  </si>
  <si>
    <t xml:space="preserve">AMBIENTES ADMINISTRATIVO</t>
  </si>
  <si>
    <t xml:space="preserve">HALL</t>
  </si>
  <si>
    <t xml:space="preserve">m2</t>
  </si>
  <si>
    <t xml:space="preserve"> (R.V.M. N° 104-2019 MINEDU)</t>
  </si>
  <si>
    <t xml:space="preserve">DIRECCIÓN GENERAL</t>
  </si>
  <si>
    <t xml:space="preserve"> (R.V.M. N° 208-2019 MINEDU)</t>
  </si>
  <si>
    <t xml:space="preserve">SALA DE REUNIONES</t>
  </si>
  <si>
    <t xml:space="preserve">SECRETARÍA GENERAL Y SALA DE ESPERA</t>
  </si>
  <si>
    <t xml:space="preserve">DATA CENTER</t>
  </si>
  <si>
    <t xml:space="preserve"> (R.V.M. N° 208-2019 MINEDU)/ANSI/ASHRAE 90.4-2019, Norma de Energía para Centros de Datos</t>
  </si>
  <si>
    <t xml:space="preserve">SALA DE MONITOREO</t>
  </si>
  <si>
    <t xml:space="preserve">SS.HH MUJERES</t>
  </si>
  <si>
    <t xml:space="preserve">SS.HH VARONES</t>
  </si>
  <si>
    <t xml:space="preserve">CIRCULACIÓN Y/O PASADIZO</t>
  </si>
  <si>
    <t xml:space="preserve">SUB TOTAL</t>
  </si>
  <si>
    <t xml:space="preserve">AMBIENTE DE ASISTENCIA TÉCNICA ESPECIALIZADA </t>
  </si>
  <si>
    <t xml:space="preserve">ÁREA PSICOLÓGICA</t>
  </si>
  <si>
    <t xml:space="preserve"> TÓPICO</t>
  </si>
  <si>
    <t xml:space="preserve">ASESORÍA LEGAL</t>
  </si>
  <si>
    <t xml:space="preserve">(R.V.M. N° 208-2019 MINEDU)</t>
  </si>
  <si>
    <t xml:space="preserve">NUTRICION</t>
  </si>
  <si>
    <t xml:space="preserve">TRABAJO SOCIAL</t>
  </si>
  <si>
    <t xml:space="preserve">EDUCADOR </t>
  </si>
  <si>
    <t xml:space="preserve">EDIFICACIONES</t>
  </si>
  <si>
    <t xml:space="preserve">DORMITORIO COMPARTIDO -  TIPO 1 ( 3 A 5 AÑOS)</t>
  </si>
  <si>
    <t xml:space="preserve"> (R.V.M. N° 104-2019 MINEDU) / RESOLUCION MINISTERIAL Nº 377 - 2024 - MIMP</t>
  </si>
  <si>
    <t xml:space="preserve">SS.HH DORMITORIO COMPARTIDO - POR HABITACION - TIPO 1</t>
  </si>
  <si>
    <t xml:space="preserve"> (R.V.M. N° 104-2019 MINEDU)/RESOLUCION MINISTERIAL Nº 377 - 2024 - MIMP</t>
  </si>
  <si>
    <t xml:space="preserve">CLOSET DE HAB.</t>
  </si>
  <si>
    <t xml:space="preserve">RESOLUCION MINISTERIAL Nº 377 - 2024 - MIMP</t>
  </si>
  <si>
    <t xml:space="preserve">DORMITORIO MADRE + SS.HH PERSONAL</t>
  </si>
  <si>
    <t xml:space="preserve"> (R.V.M. N° 208-2019 MINEDU)/ RESOLUCION MINISTERIAL Nº 377 - 2024 - MIMP</t>
  </si>
  <si>
    <t xml:space="preserve">TERRAZA Y/O SALA DE ESTAR</t>
  </si>
  <si>
    <t xml:space="preserve"> (R.V.M. N° 208-2019 MINEDU)/RESOLUCION MINISTERIAL Nº 377 - 2024 - MIMP</t>
  </si>
  <si>
    <t xml:space="preserve">TALLER DE PSICOMOTRICIDAD</t>
  </si>
  <si>
    <t xml:space="preserve">(R.V.M. N° 208-2019 MINEDU)/RESOLUCION MINISTERIAL Nº 377 - 2024 - MIMP</t>
  </si>
  <si>
    <t xml:space="preserve">SALA DE ENTREVISTA</t>
  </si>
  <si>
    <t xml:space="preserve">(R.V.M. N° 104-2019 MINEDU)/RESOLUCION MINISTERIAL Nº 377 - 2024 - MIMP</t>
  </si>
  <si>
    <t xml:space="preserve">LAVANDERÍA</t>
  </si>
  <si>
    <t xml:space="preserve">ALMACEN DE RESIDENCIA</t>
  </si>
  <si>
    <t xml:space="preserve">CIRCULACION INTERIOR + HALL</t>
  </si>
  <si>
    <t xml:space="preserve">DORMITORIO COMPARTIDO -  TIPO 2 ( 6 A 11 AÑOS)</t>
  </si>
  <si>
    <t xml:space="preserve">SS.HH DORMITORIO COMPARTIDO - POR HABITACION - TIPO 2</t>
  </si>
  <si>
    <t xml:space="preserve">TALLER DE ARTE</t>
  </si>
  <si>
    <t xml:space="preserve">CIRCULACION INTERIOR</t>
  </si>
  <si>
    <t xml:space="preserve">DORMITORIO COMPARTIDO -  TIPO 3 ( 12 A 17 AÑOS)</t>
  </si>
  <si>
    <t xml:space="preserve">SS.HH DORMITORIO COMPARTIDO - POR HABITACION - TIPO 3</t>
  </si>
  <si>
    <t xml:space="preserve">SALA DE ESTUDIO </t>
  </si>
  <si>
    <t xml:space="preserve">DORMITORIO MADRE SUSTITUTA </t>
  </si>
  <si>
    <t xml:space="preserve">SS.HH</t>
  </si>
  <si>
    <t xml:space="preserve">ALMACEN</t>
  </si>
  <si>
    <t xml:space="preserve">DEPOSITO DE SUM Y/O COMEDOR</t>
  </si>
  <si>
    <t xml:space="preserve"> RESOLUCION MINISTERIAL Nº 377 - 2024 - MIMP</t>
  </si>
  <si>
    <t xml:space="preserve">COCINA TIPO C</t>
  </si>
  <si>
    <t xml:space="preserve">ALMACEN DE ALIMENTOS Y/O DONACIONES</t>
  </si>
  <si>
    <t xml:space="preserve">LAVANDERIA DE COCINA</t>
  </si>
  <si>
    <t xml:space="preserve">INGRESO</t>
  </si>
  <si>
    <t xml:space="preserve">SS.HH PERSONAL</t>
  </si>
  <si>
    <t xml:space="preserve">ALMACEN GENERAL DE COCINA</t>
  </si>
  <si>
    <t xml:space="preserve">GAS</t>
  </si>
  <si>
    <t xml:space="preserve">DEPÓSITO</t>
  </si>
  <si>
    <t xml:space="preserve">RESIDUOS SOLIDOS</t>
  </si>
  <si>
    <t xml:space="preserve">BAÑOS PÚBLICOS</t>
  </si>
  <si>
    <t xml:space="preserve">SS.HH DAMAS</t>
  </si>
  <si>
    <t xml:space="preserve">SS.HH DISCAPACITADOS</t>
  </si>
  <si>
    <t xml:space="preserve">LOSA DEPORTIVA</t>
  </si>
  <si>
    <t xml:space="preserve">LOSA DEPORTIVA + TRIBUNA</t>
  </si>
  <si>
    <t xml:space="preserve">DUCHAS + VESTIDORES MUJERES</t>
  </si>
  <si>
    <t xml:space="preserve">DUCHAS + VESTIDORES VARONES</t>
  </si>
  <si>
    <t xml:space="preserve">ALMACEN DE IMPLEMENTOS DEPORTIVOS</t>
  </si>
  <si>
    <t xml:space="preserve">ESPACIO DE CIRCULACIÓN PEATONAL HORIZONTAL</t>
  </si>
  <si>
    <t xml:space="preserve">INGRESO PEATONAL Y VEHICULAR</t>
  </si>
  <si>
    <t xml:space="preserve">CIRCULACIÓN - PRIMER PISO</t>
  </si>
  <si>
    <t xml:space="preserve">CERCO Y PORTADAS</t>
  </si>
  <si>
    <t xml:space="preserve">CERCO PERIMÉTRICO (Albañilería confinada)</t>
  </si>
  <si>
    <t xml:space="preserve">m</t>
  </si>
  <si>
    <t xml:space="preserve">CERCO PERIMÉTRICO (Tubos metálicos)</t>
  </si>
  <si>
    <t xml:space="preserve">PORTADA DE INGRESO PRINCIPAL</t>
  </si>
  <si>
    <t xml:space="preserve">und.</t>
  </si>
  <si>
    <t xml:space="preserve">SUB TOTAL (sin el cerco perimétrico, que se mide en ml)</t>
  </si>
  <si>
    <t xml:space="preserve">OBRAS EXTERIORES</t>
  </si>
  <si>
    <t xml:space="preserve">AMBIENTES DE SERVICIOS GENERALES Y VIGILANCIA</t>
  </si>
  <si>
    <t xml:space="preserve">TABLERO GENERAL</t>
  </si>
  <si>
    <t xml:space="preserve">-</t>
  </si>
  <si>
    <t xml:space="preserve">CUARTO DE LIMPIEZA</t>
  </si>
  <si>
    <t xml:space="preserve">MAESTRANZA</t>
  </si>
  <si>
    <t xml:space="preserve">CUARTO ELECTRICO - SUB ESTACION</t>
  </si>
  <si>
    <t xml:space="preserve">GARITA + SS.HH</t>
  </si>
  <si>
    <t xml:space="preserve">CUARTO ELECTRICO - GE</t>
  </si>
  <si>
    <t xml:space="preserve">INSTALACIONES EXTERIORES DE SERVICIOS BÁSICOS</t>
  </si>
  <si>
    <t xml:space="preserve">CISTERNA Y TANQUE ELEVADO</t>
  </si>
  <si>
    <t xml:space="preserve">POZO SÉPTICO</t>
  </si>
  <si>
    <t xml:space="preserve">CANALETAS DE DRENAJE PLUVIAL</t>
  </si>
  <si>
    <t xml:space="preserve">CUNETAS DE DRENAJE PLUVIAL</t>
  </si>
  <si>
    <t xml:space="preserve">ESPACIO DE SOCIALIZACIÓN</t>
  </si>
  <si>
    <t xml:space="preserve">ÁREAS VERDES/ JUEGOS INFANTILES</t>
  </si>
  <si>
    <t xml:space="preserve"> (R.V.M. N° 208-2019 MINEDU) CALCULO SEGÚN PROYECTO</t>
  </si>
  <si>
    <t xml:space="preserve">ARBOL TIPO 1</t>
  </si>
  <si>
    <t xml:space="preserve">ARBOL TIPO 2</t>
  </si>
  <si>
    <t xml:space="preserve">(R.V.M. N° 208-2019 MINEDU) CALCULO SEGÚN PROYECTO</t>
  </si>
  <si>
    <t xml:space="preserve">ÁREA DE SEMBRÍOS</t>
  </si>
  <si>
    <t xml:space="preserve">PATIO CENTRAL Y/O PRINCIPAL</t>
  </si>
  <si>
    <t xml:space="preserve">BANCAS DE MADERA</t>
  </si>
  <si>
    <t xml:space="preserve">ESPACIO DE CIRCULACIÓN HORIZONTAL Y VERTICAL</t>
  </si>
  <si>
    <t xml:space="preserve">AREA DE ESTACIONAMIENTO DE AUTOS, MOTOS Y BICICLETAS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</si>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</sst>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ptos Narrow"/>
      <family val="2"/>
      <charset val="1"/>
    </font>
    <font>
      <b val="true"/>
      <sz val="9"/>
      <color theme="1"/>
      <name val="Aptos Narrow"/>
      <family val="2"/>
      <charset val="1"/>
    </font>
    <font>
      <sz val="9"/>
      <name val="Aptos Narrow"/>
      <family val="2"/>
      <charset val="1"/>
    </font>
    <font>
      <b val="true"/>
      <sz val="9"/>
      <color theme="1"/>
      <name val="Aptos Narrow"/>
      <family val="0"/>
      <charset val="1"/>
    </font>
    <font>
      <b val="true"/>
      <sz val="9"/>
      <name val="Aptos Narrow"/>
      <family val="0"/>
      <charset val="1"/>
    </font>
    <font>
      <sz val="9"/>
      <name val="Aptos Narrow"/>
      <family val="0"/>
      <charset val="1"/>
    </font>
    <font>
      <sz val="9"/>
      <color theme="1"/>
      <name val="Aptos Narrow"/>
      <family val="0"/>
      <charset val="1"/>
    </font>
    <font>
      <sz val="9"/>
      <color rgb="FFFF0000"/>
      <name val="Aptos Narrow"/>
      <family val="2"/>
      <charset val="1"/>
    </font>
    <font>
      <sz val="8"/>
      <color theme="1"/>
      <name val="Aptos Narrow"/>
      <family val="2"/>
      <charset val="1"/>
    </font>
    <font>
      <b val="true"/>
      <sz val="11"/>
      <color theme="1"/>
      <name val="Aptos Narrow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8999"/>
        <bgColor rgb="FFCAEEFB"/>
      </patternFill>
    </fill>
    <fill>
      <patternFill patternType="solid">
        <fgColor theme="7"/>
        <bgColor rgb="FF0070C0"/>
      </patternFill>
    </fill>
    <fill>
      <patternFill patternType="solid">
        <fgColor theme="7" tint="0.7999"/>
        <bgColor rgb="FFDCEAF7"/>
      </patternFill>
    </fill>
    <fill>
      <patternFill patternType="solid">
        <fgColor theme="7" tint="0.3999"/>
        <bgColor rgb="FF96DCF8"/>
      </patternFill>
    </fill>
    <fill>
      <patternFill patternType="solid">
        <fgColor theme="9" tint="0.5999"/>
        <bgColor rgb="FF84E291"/>
      </patternFill>
    </fill>
    <fill>
      <patternFill patternType="solid">
        <fgColor theme="9" tint="0.7999"/>
        <bgColor rgb="FFDCEAF7"/>
      </patternFill>
    </fill>
    <fill>
      <patternFill patternType="solid">
        <fgColor theme="9" tint="0.3999"/>
        <bgColor rgb="FF84E291"/>
      </patternFill>
    </fill>
    <fill>
      <patternFill patternType="solid">
        <fgColor theme="5" tint="-0.25"/>
        <bgColor rgb="FFFF6600"/>
      </patternFill>
    </fill>
    <fill>
      <patternFill patternType="solid">
        <fgColor theme="5" tint="0.7999"/>
        <bgColor rgb="FFF2CFEE"/>
      </patternFill>
    </fill>
    <fill>
      <patternFill patternType="solid">
        <fgColor theme="5" tint="0.5999"/>
        <bgColor rgb="FFF2CFEE"/>
      </patternFill>
    </fill>
    <fill>
      <patternFill patternType="solid">
        <fgColor theme="8" tint="0.3999"/>
        <bgColor rgb="FFE59EDD"/>
      </patternFill>
    </fill>
    <fill>
      <patternFill patternType="solid">
        <fgColor theme="8" tint="0.7999"/>
        <bgColor rgb="FFD9D9D9"/>
      </patternFill>
    </fill>
    <fill>
      <patternFill patternType="solid">
        <fgColor theme="8" tint="0.5999"/>
        <bgColor rgb="FFF2AA84"/>
      </patternFill>
    </fill>
    <fill>
      <patternFill patternType="solid">
        <fgColor rgb="FFFFFF00"/>
        <bgColor rgb="FFFFC000"/>
      </patternFill>
    </fill>
    <fill>
      <patternFill patternType="solid">
        <fgColor rgb="FFFFFF99"/>
        <bgColor rgb="FFD9F2D0"/>
      </patternFill>
    </fill>
    <fill>
      <patternFill patternType="solid">
        <fgColor rgb="FFFFCC66"/>
        <bgColor rgb="FFF6C6AD"/>
      </patternFill>
    </fill>
    <fill>
      <patternFill patternType="solid">
        <fgColor theme="6" tint="0.5999"/>
        <bgColor rgb="FF8ED973"/>
      </patternFill>
    </fill>
    <fill>
      <patternFill patternType="solid">
        <fgColor theme="9"/>
        <bgColor rgb="FF808000"/>
      </patternFill>
    </fill>
    <fill>
      <patternFill patternType="solid">
        <fgColor theme="0" tint="-0.25"/>
        <bgColor rgb="FFAEAEAE"/>
      </patternFill>
    </fill>
    <fill>
      <patternFill patternType="solid">
        <fgColor theme="0" tint="-0.15"/>
        <bgColor rgb="FFDCEAF7"/>
      </patternFill>
    </fill>
    <fill>
      <patternFill patternType="solid">
        <fgColor theme="2" tint="-0.25"/>
        <bgColor rgb="FFBFBFBF"/>
      </patternFill>
    </fill>
    <fill>
      <patternFill patternType="solid">
        <fgColor theme="7" tint="0.5999"/>
        <bgColor rgb="FFCAEEFB"/>
      </patternFill>
    </fill>
    <fill>
      <patternFill patternType="solid">
        <fgColor theme="5" tint="0.3999"/>
        <bgColor rgb="FFF6C6AD"/>
      </patternFill>
    </fill>
    <fill>
      <patternFill patternType="solid">
        <fgColor rgb="FFFFC000"/>
        <bgColor rgb="FFFF99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1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1" borderId="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2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2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CF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BFBFBF"/>
      <rgbColor rgb="FF84E291"/>
      <rgbColor rgb="FFB4E5A2"/>
      <rgbColor rgb="FF993366"/>
      <rgbColor rgb="FFFBE3D6"/>
      <rgbColor rgb="FFCAEEFB"/>
      <rgbColor rgb="FF660066"/>
      <rgbColor rgb="FFF2AA84"/>
      <rgbColor rgb="FF0070C0"/>
      <rgbColor rgb="FFD9D9D9"/>
      <rgbColor rgb="FF000080"/>
      <rgbColor rgb="FFFF00FF"/>
      <rgbColor rgb="FFFFCC66"/>
      <rgbColor rgb="FF00FFFF"/>
      <rgbColor rgb="FF800080"/>
      <rgbColor rgb="FF800000"/>
      <rgbColor rgb="FF008080"/>
      <rgbColor rgb="FF0000FF"/>
      <rgbColor rgb="FF00CCFF"/>
      <rgbColor rgb="FFDCEAF7"/>
      <rgbColor rgb="FFD9F2D0"/>
      <rgbColor rgb="FFFFFF99"/>
      <rgbColor rgb="FF96DCF8"/>
      <rgbColor rgb="FFE59EDD"/>
      <rgbColor rgb="FFD86ECC"/>
      <rgbColor rgb="FFF6C6AD"/>
      <rgbColor rgb="FF3366FF"/>
      <rgbColor rgb="FF61CBF4"/>
      <rgbColor rgb="FF8ED973"/>
      <rgbColor rgb="FFFFC000"/>
      <rgbColor rgb="FFFF9900"/>
      <rgbColor rgb="FFFF6600"/>
      <rgbColor rgb="FF666699"/>
      <rgbColor rgb="FFAEAEAE"/>
      <rgbColor rgb="FF003366"/>
      <rgbColor rgb="FF4EA72E"/>
      <rgbColor rgb="FF003300"/>
      <rgbColor rgb="FF333300"/>
      <rgbColor rgb="FFC04F1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2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116" activePane="bottomLeft" state="frozen"/>
      <selection pane="topLeft" activeCell="A1" activeCellId="0" sqref="A1"/>
      <selection pane="bottomLeft" activeCell="K51" activeCellId="0" sqref="K51"/>
    </sheetView>
  </sheetViews>
  <sheetFormatPr defaultColWidth="10.5390625" defaultRowHeight="13.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7.8"/>
    <col collapsed="false" customWidth="true" hidden="false" outlineLevel="0" max="3" min="3" style="0" width="6.8"/>
    <col collapsed="false" customWidth="true" hidden="false" outlineLevel="0" max="4" min="4" style="0" width="9.7"/>
    <col collapsed="false" customWidth="true" hidden="false" outlineLevel="0" max="5" min="5" style="0" width="16.3"/>
    <col collapsed="false" customWidth="true" hidden="false" outlineLevel="0" max="6" min="6" style="0" width="8.4"/>
    <col collapsed="false" customWidth="true" hidden="false" outlineLevel="0" max="7" min="7" style="0" width="16.3"/>
    <col collapsed="false" customWidth="true" hidden="false" outlineLevel="0" max="8" min="8" style="0" width="33.2"/>
    <col collapsed="false" customWidth="true" hidden="false" outlineLevel="0" max="9" min="9" style="0" width="15.4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</row>
    <row r="2" customFormat="false" ht="13.5" hidden="false" customHeight="false" outlineLevel="0" collapsed="false">
      <c r="A2" s="4"/>
      <c r="B2" s="5"/>
      <c r="C2" s="5"/>
      <c r="D2" s="5"/>
      <c r="E2" s="5"/>
      <c r="F2" s="5"/>
      <c r="G2" s="5"/>
      <c r="H2" s="5"/>
      <c r="I2" s="6"/>
      <c r="J2" s="3"/>
      <c r="K2" s="3"/>
    </row>
    <row r="3" customFormat="false" ht="12" hidden="false" customHeight="true" outlineLevel="0" collapsed="false">
      <c r="A3" s="7" t="s">
        <v>9</v>
      </c>
      <c r="B3" s="8" t="s">
        <v>10</v>
      </c>
      <c r="C3" s="9" t="n">
        <v>1</v>
      </c>
      <c r="D3" s="9" t="n">
        <v>1</v>
      </c>
      <c r="E3" s="9"/>
      <c r="F3" s="9" t="s">
        <v>11</v>
      </c>
      <c r="G3" s="9"/>
      <c r="H3" s="9" t="s">
        <v>12</v>
      </c>
      <c r="I3" s="9" t="n">
        <v>22.36</v>
      </c>
    </row>
    <row r="4" customFormat="false" ht="15" hidden="false" customHeight="true" outlineLevel="0" collapsed="false">
      <c r="A4" s="7"/>
      <c r="B4" s="8" t="s">
        <v>13</v>
      </c>
      <c r="C4" s="9" t="n">
        <v>1</v>
      </c>
      <c r="D4" s="9" t="n">
        <v>1</v>
      </c>
      <c r="E4" s="9" t="n">
        <v>1</v>
      </c>
      <c r="F4" s="9" t="s">
        <v>11</v>
      </c>
      <c r="G4" s="9"/>
      <c r="H4" s="9" t="s">
        <v>14</v>
      </c>
      <c r="I4" s="9" t="n">
        <v>11.33</v>
      </c>
    </row>
    <row r="5" customFormat="false" ht="27" hidden="false" customHeight="true" outlineLevel="0" collapsed="false">
      <c r="A5" s="7"/>
      <c r="B5" s="8" t="s">
        <v>15</v>
      </c>
      <c r="C5" s="9" t="n">
        <v>1</v>
      </c>
      <c r="D5" s="9" t="n">
        <v>1</v>
      </c>
      <c r="E5" s="9" t="n">
        <v>8</v>
      </c>
      <c r="F5" s="9" t="s">
        <v>11</v>
      </c>
      <c r="G5" s="9"/>
      <c r="H5" s="10" t="s">
        <v>14</v>
      </c>
      <c r="I5" s="9" t="n">
        <v>17.79</v>
      </c>
    </row>
    <row r="6" customFormat="false" ht="25.5" hidden="false" customHeight="true" outlineLevel="0" collapsed="false">
      <c r="A6" s="7"/>
      <c r="B6" s="8" t="s">
        <v>16</v>
      </c>
      <c r="C6" s="9" t="n">
        <v>1</v>
      </c>
      <c r="D6" s="9" t="n">
        <v>1</v>
      </c>
      <c r="E6" s="9" t="n">
        <v>1</v>
      </c>
      <c r="F6" s="9" t="s">
        <v>11</v>
      </c>
      <c r="G6" s="9"/>
      <c r="H6" s="10" t="s">
        <v>14</v>
      </c>
      <c r="I6" s="9" t="n">
        <v>12.92</v>
      </c>
    </row>
    <row r="7" customFormat="false" ht="37.5" hidden="false" customHeight="true" outlineLevel="0" collapsed="false">
      <c r="A7" s="7"/>
      <c r="B7" s="8" t="s">
        <v>17</v>
      </c>
      <c r="C7" s="9" t="n">
        <v>1</v>
      </c>
      <c r="D7" s="9" t="n">
        <v>1</v>
      </c>
      <c r="E7" s="9" t="n">
        <v>1</v>
      </c>
      <c r="F7" s="9" t="s">
        <v>11</v>
      </c>
      <c r="G7" s="11"/>
      <c r="H7" s="12" t="s">
        <v>18</v>
      </c>
      <c r="I7" s="11" t="n">
        <v>5.29</v>
      </c>
    </row>
    <row r="8" customFormat="false" ht="15.75" hidden="false" customHeight="true" outlineLevel="0" collapsed="false">
      <c r="A8" s="7"/>
      <c r="B8" s="8" t="s">
        <v>19</v>
      </c>
      <c r="C8" s="9" t="n">
        <v>1</v>
      </c>
      <c r="D8" s="9" t="n">
        <v>1</v>
      </c>
      <c r="E8" s="9" t="n">
        <v>1</v>
      </c>
      <c r="F8" s="9" t="s">
        <v>11</v>
      </c>
      <c r="G8" s="11"/>
      <c r="H8" s="12" t="s">
        <v>14</v>
      </c>
      <c r="I8" s="11" t="n">
        <v>12.49</v>
      </c>
    </row>
    <row r="9" customFormat="false" ht="27.75" hidden="false" customHeight="true" outlineLevel="0" collapsed="false">
      <c r="A9" s="7"/>
      <c r="B9" s="8" t="s">
        <v>20</v>
      </c>
      <c r="C9" s="9" t="n">
        <v>1</v>
      </c>
      <c r="D9" s="9" t="n">
        <v>1</v>
      </c>
      <c r="E9" s="9" t="n">
        <v>1</v>
      </c>
      <c r="F9" s="9" t="s">
        <v>11</v>
      </c>
      <c r="G9" s="9"/>
      <c r="H9" s="10" t="s">
        <v>14</v>
      </c>
      <c r="I9" s="9" t="n">
        <v>3.73</v>
      </c>
    </row>
    <row r="10" customFormat="false" ht="19.5" hidden="false" customHeight="true" outlineLevel="0" collapsed="false">
      <c r="A10" s="7"/>
      <c r="B10" s="8" t="s">
        <v>21</v>
      </c>
      <c r="C10" s="9" t="n">
        <v>1</v>
      </c>
      <c r="D10" s="9" t="n">
        <v>1</v>
      </c>
      <c r="E10" s="9" t="n">
        <v>1</v>
      </c>
      <c r="F10" s="9" t="s">
        <v>11</v>
      </c>
      <c r="G10" s="9"/>
      <c r="H10" s="10" t="s">
        <v>14</v>
      </c>
      <c r="I10" s="9" t="n">
        <v>3.76</v>
      </c>
    </row>
    <row r="11" customFormat="false" ht="30" hidden="false" customHeight="true" outlineLevel="0" collapsed="false">
      <c r="A11" s="7"/>
      <c r="B11" s="8" t="s">
        <v>22</v>
      </c>
      <c r="C11" s="9" t="n">
        <v>1</v>
      </c>
      <c r="D11" s="9" t="n">
        <v>1</v>
      </c>
      <c r="E11" s="9"/>
      <c r="F11" s="9" t="s">
        <v>11</v>
      </c>
      <c r="G11" s="9"/>
      <c r="H11" s="10" t="s">
        <v>14</v>
      </c>
      <c r="I11" s="9" t="n">
        <v>20.52</v>
      </c>
    </row>
    <row r="12" customFormat="false" ht="30" hidden="false" customHeight="true" outlineLevel="0" collapsed="false">
      <c r="A12" s="7"/>
      <c r="B12" s="13" t="s">
        <v>23</v>
      </c>
      <c r="C12" s="13"/>
      <c r="D12" s="13"/>
      <c r="E12" s="13"/>
      <c r="F12" s="13"/>
      <c r="G12" s="13"/>
      <c r="H12" s="13"/>
      <c r="I12" s="14" t="n">
        <f aca="false">I3+I4+I5+I6+I7+I8+I9+I10+I11</f>
        <v>110.19</v>
      </c>
    </row>
    <row r="13" customFormat="false" ht="18" hidden="false" customHeight="true" outlineLevel="0" collapsed="false">
      <c r="A13" s="15" t="s">
        <v>24</v>
      </c>
      <c r="B13" s="16" t="s">
        <v>25</v>
      </c>
      <c r="C13" s="17" t="n">
        <v>1</v>
      </c>
      <c r="D13" s="17" t="n">
        <v>1</v>
      </c>
      <c r="E13" s="17" t="n">
        <v>1</v>
      </c>
      <c r="F13" s="17" t="s">
        <v>11</v>
      </c>
      <c r="G13" s="18"/>
      <c r="H13" s="19" t="s">
        <v>14</v>
      </c>
      <c r="I13" s="18" t="n">
        <v>11.8</v>
      </c>
    </row>
    <row r="14" customFormat="false" ht="13.5" hidden="false" customHeight="false" outlineLevel="0" collapsed="false">
      <c r="A14" s="15"/>
      <c r="B14" s="16" t="s">
        <v>26</v>
      </c>
      <c r="C14" s="17" t="n">
        <v>1</v>
      </c>
      <c r="D14" s="17" t="n">
        <v>1</v>
      </c>
      <c r="E14" s="17" t="n">
        <v>1</v>
      </c>
      <c r="F14" s="17" t="s">
        <v>11</v>
      </c>
      <c r="G14" s="18"/>
      <c r="H14" s="19" t="s">
        <v>14</v>
      </c>
      <c r="I14" s="18" t="n">
        <v>23.22</v>
      </c>
    </row>
    <row r="15" customFormat="false" ht="13.5" hidden="false" customHeight="false" outlineLevel="0" collapsed="false">
      <c r="A15" s="15"/>
      <c r="B15" s="16" t="s">
        <v>27</v>
      </c>
      <c r="C15" s="17" t="n">
        <v>1</v>
      </c>
      <c r="D15" s="17" t="n">
        <v>1</v>
      </c>
      <c r="E15" s="17" t="n">
        <v>1</v>
      </c>
      <c r="F15" s="17" t="s">
        <v>11</v>
      </c>
      <c r="G15" s="18"/>
      <c r="H15" s="19" t="s">
        <v>28</v>
      </c>
      <c r="I15" s="18" t="n">
        <v>11.81</v>
      </c>
    </row>
    <row r="16" customFormat="false" ht="13.5" hidden="false" customHeight="false" outlineLevel="0" collapsed="false">
      <c r="A16" s="15"/>
      <c r="B16" s="16" t="s">
        <v>29</v>
      </c>
      <c r="C16" s="17" t="n">
        <v>1</v>
      </c>
      <c r="D16" s="17" t="n">
        <v>1</v>
      </c>
      <c r="E16" s="17" t="n">
        <v>1</v>
      </c>
      <c r="F16" s="17" t="s">
        <v>11</v>
      </c>
      <c r="G16" s="18"/>
      <c r="H16" s="19" t="s">
        <v>28</v>
      </c>
      <c r="I16" s="18" t="n">
        <v>9.25</v>
      </c>
    </row>
    <row r="17" customFormat="false" ht="27.75" hidden="false" customHeight="true" outlineLevel="0" collapsed="false">
      <c r="A17" s="15"/>
      <c r="B17" s="16" t="s">
        <v>30</v>
      </c>
      <c r="C17" s="17" t="n">
        <v>1</v>
      </c>
      <c r="D17" s="17" t="n">
        <v>1</v>
      </c>
      <c r="E17" s="17" t="n">
        <v>1</v>
      </c>
      <c r="F17" s="17" t="s">
        <v>11</v>
      </c>
      <c r="G17" s="18"/>
      <c r="H17" s="19" t="s">
        <v>14</v>
      </c>
      <c r="I17" s="18" t="n">
        <v>14.02</v>
      </c>
    </row>
    <row r="18" customFormat="false" ht="39" hidden="false" customHeight="true" outlineLevel="0" collapsed="false">
      <c r="A18" s="15"/>
      <c r="B18" s="16" t="s">
        <v>31</v>
      </c>
      <c r="C18" s="17" t="n">
        <v>1</v>
      </c>
      <c r="D18" s="17" t="n">
        <v>1</v>
      </c>
      <c r="E18" s="17" t="n">
        <v>1</v>
      </c>
      <c r="F18" s="17" t="s">
        <v>11</v>
      </c>
      <c r="G18" s="18"/>
      <c r="H18" s="19" t="s">
        <v>14</v>
      </c>
      <c r="I18" s="18" t="n">
        <v>9.25</v>
      </c>
    </row>
    <row r="19" customFormat="false" ht="52.5" hidden="false" customHeight="true" outlineLevel="0" collapsed="false">
      <c r="A19" s="15"/>
      <c r="B19" s="20" t="s">
        <v>23</v>
      </c>
      <c r="C19" s="20"/>
      <c r="D19" s="20"/>
      <c r="E19" s="20"/>
      <c r="F19" s="20"/>
      <c r="G19" s="20"/>
      <c r="H19" s="20"/>
      <c r="I19" s="21" t="n">
        <f aca="false">I13+I14+I15+I16+I17+I18</f>
        <v>79.35</v>
      </c>
    </row>
    <row r="20" customFormat="false" ht="33" hidden="false" customHeight="true" outlineLevel="0" collapsed="false">
      <c r="A20" s="22" t="s">
        <v>32</v>
      </c>
      <c r="B20" s="23" t="s">
        <v>33</v>
      </c>
      <c r="C20" s="24" t="n">
        <v>1</v>
      </c>
      <c r="D20" s="24" t="n">
        <v>2</v>
      </c>
      <c r="E20" s="25" t="n">
        <v>10</v>
      </c>
      <c r="F20" s="24" t="s">
        <v>11</v>
      </c>
      <c r="G20" s="26"/>
      <c r="H20" s="27" t="s">
        <v>34</v>
      </c>
      <c r="I20" s="26" t="n">
        <v>33.65</v>
      </c>
    </row>
    <row r="21" customFormat="false" ht="18" hidden="false" customHeight="true" outlineLevel="0" collapsed="false">
      <c r="A21" s="22"/>
      <c r="B21" s="23"/>
      <c r="C21" s="23"/>
      <c r="D21" s="23"/>
      <c r="E21" s="23"/>
      <c r="F21" s="23"/>
      <c r="G21" s="28"/>
      <c r="H21" s="27"/>
      <c r="I21" s="28" t="n">
        <v>33.62</v>
      </c>
    </row>
    <row r="22" customFormat="false" ht="15" hidden="false" customHeight="true" outlineLevel="0" collapsed="false">
      <c r="A22" s="22"/>
      <c r="B22" s="29" t="s">
        <v>35</v>
      </c>
      <c r="C22" s="30" t="n">
        <v>1</v>
      </c>
      <c r="D22" s="30" t="n">
        <v>4</v>
      </c>
      <c r="E22" s="24" t="n">
        <v>4</v>
      </c>
      <c r="F22" s="24" t="s">
        <v>11</v>
      </c>
      <c r="G22" s="28"/>
      <c r="H22" s="27" t="s">
        <v>36</v>
      </c>
      <c r="I22" s="28" t="n">
        <v>4.86</v>
      </c>
    </row>
    <row r="23" customFormat="false" ht="15" hidden="false" customHeight="true" outlineLevel="0" collapsed="false">
      <c r="A23" s="22"/>
      <c r="B23" s="22"/>
      <c r="C23" s="22"/>
      <c r="D23" s="22"/>
      <c r="E23" s="22"/>
      <c r="F23" s="22"/>
      <c r="G23" s="28"/>
      <c r="H23" s="27"/>
      <c r="I23" s="28" t="n">
        <v>4.53</v>
      </c>
    </row>
    <row r="24" customFormat="false" ht="15" hidden="false" customHeight="true" outlineLevel="0" collapsed="false">
      <c r="A24" s="22"/>
      <c r="B24" s="22"/>
      <c r="C24" s="22"/>
      <c r="D24" s="22"/>
      <c r="E24" s="22"/>
      <c r="F24" s="22"/>
      <c r="G24" s="28"/>
      <c r="H24" s="27"/>
      <c r="I24" s="28" t="n">
        <v>4.53</v>
      </c>
    </row>
    <row r="25" customFormat="false" ht="15" hidden="false" customHeight="true" outlineLevel="0" collapsed="false">
      <c r="A25" s="22"/>
      <c r="B25" s="22"/>
      <c r="C25" s="22"/>
      <c r="D25" s="22"/>
      <c r="E25" s="24"/>
      <c r="F25" s="24"/>
      <c r="G25" s="28"/>
      <c r="H25" s="27"/>
      <c r="I25" s="28" t="n">
        <v>4.5</v>
      </c>
    </row>
    <row r="26" customFormat="false" ht="15" hidden="false" customHeight="true" outlineLevel="0" collapsed="false">
      <c r="A26" s="22"/>
      <c r="B26" s="23" t="s">
        <v>37</v>
      </c>
      <c r="C26" s="24" t="n">
        <v>1</v>
      </c>
      <c r="D26" s="24" t="n">
        <v>2</v>
      </c>
      <c r="E26" s="24" t="n">
        <v>2</v>
      </c>
      <c r="F26" s="24" t="s">
        <v>11</v>
      </c>
      <c r="G26" s="31"/>
      <c r="H26" s="27" t="s">
        <v>38</v>
      </c>
      <c r="I26" s="31" t="n">
        <v>6.65</v>
      </c>
    </row>
    <row r="27" customFormat="false" ht="15" hidden="false" customHeight="true" outlineLevel="0" collapsed="false">
      <c r="A27" s="22"/>
      <c r="B27" s="23"/>
      <c r="C27" s="23"/>
      <c r="D27" s="23"/>
      <c r="E27" s="23"/>
      <c r="F27" s="23"/>
      <c r="G27" s="31"/>
      <c r="H27" s="27"/>
      <c r="I27" s="31" t="n">
        <v>6.9</v>
      </c>
    </row>
    <row r="28" customFormat="false" ht="12" hidden="false" customHeight="true" outlineLevel="0" collapsed="false">
      <c r="A28" s="22"/>
      <c r="B28" s="23" t="s">
        <v>39</v>
      </c>
      <c r="C28" s="24" t="n">
        <v>1</v>
      </c>
      <c r="D28" s="24" t="n">
        <v>1</v>
      </c>
      <c r="E28" s="24" t="n">
        <v>1</v>
      </c>
      <c r="F28" s="24" t="s">
        <v>11</v>
      </c>
      <c r="G28" s="26"/>
      <c r="H28" s="27" t="s">
        <v>40</v>
      </c>
      <c r="I28" s="26" t="n">
        <v>23.09</v>
      </c>
    </row>
    <row r="29" customFormat="false" ht="19.5" hidden="false" customHeight="true" outlineLevel="0" collapsed="false">
      <c r="A29" s="22"/>
      <c r="B29" s="23"/>
      <c r="C29" s="23"/>
      <c r="D29" s="23"/>
      <c r="E29" s="23"/>
      <c r="F29" s="23"/>
      <c r="G29" s="23"/>
      <c r="H29" s="23"/>
      <c r="I29" s="23"/>
    </row>
    <row r="30" customFormat="false" ht="39" hidden="false" customHeight="true" outlineLevel="0" collapsed="false">
      <c r="A30" s="22"/>
      <c r="B30" s="25" t="s">
        <v>41</v>
      </c>
      <c r="C30" s="24" t="n">
        <v>1</v>
      </c>
      <c r="D30" s="24" t="n">
        <v>1</v>
      </c>
      <c r="E30" s="28" t="n">
        <v>1</v>
      </c>
      <c r="F30" s="24" t="s">
        <v>11</v>
      </c>
      <c r="G30" s="26"/>
      <c r="H30" s="27" t="s">
        <v>42</v>
      </c>
      <c r="I30" s="26" t="n">
        <v>23.2</v>
      </c>
    </row>
    <row r="31" customFormat="false" ht="40.5" hidden="false" customHeight="true" outlineLevel="0" collapsed="false">
      <c r="A31" s="22"/>
      <c r="B31" s="25" t="s">
        <v>43</v>
      </c>
      <c r="C31" s="24" t="n">
        <v>1</v>
      </c>
      <c r="D31" s="24" t="n">
        <v>1</v>
      </c>
      <c r="E31" s="24" t="n">
        <v>10</v>
      </c>
      <c r="F31" s="24" t="s">
        <v>11</v>
      </c>
      <c r="G31" s="28"/>
      <c r="H31" s="27" t="s">
        <v>44</v>
      </c>
      <c r="I31" s="28" t="n">
        <v>37.96</v>
      </c>
    </row>
    <row r="32" customFormat="false" ht="38.25" hidden="false" customHeight="true" outlineLevel="0" collapsed="false">
      <c r="A32" s="22"/>
      <c r="B32" s="25" t="s">
        <v>45</v>
      </c>
      <c r="C32" s="24" t="n">
        <v>1</v>
      </c>
      <c r="D32" s="24" t="n">
        <v>1</v>
      </c>
      <c r="E32" s="24" t="n">
        <v>4</v>
      </c>
      <c r="F32" s="24" t="s">
        <v>11</v>
      </c>
      <c r="G32" s="28"/>
      <c r="H32" s="27" t="s">
        <v>46</v>
      </c>
      <c r="I32" s="28" t="n">
        <v>17.74</v>
      </c>
    </row>
    <row r="33" customFormat="false" ht="35.25" hidden="false" customHeight="true" outlineLevel="0" collapsed="false">
      <c r="A33" s="22"/>
      <c r="B33" s="25" t="s">
        <v>47</v>
      </c>
      <c r="C33" s="24" t="n">
        <v>1</v>
      </c>
      <c r="D33" s="24" t="n">
        <v>1</v>
      </c>
      <c r="E33" s="24" t="n">
        <v>1</v>
      </c>
      <c r="F33" s="24" t="s">
        <v>11</v>
      </c>
      <c r="G33" s="28"/>
      <c r="H33" s="27" t="s">
        <v>42</v>
      </c>
      <c r="I33" s="28" t="n">
        <v>9.41</v>
      </c>
    </row>
    <row r="34" customFormat="false" ht="45" hidden="false" customHeight="true" outlineLevel="0" collapsed="false">
      <c r="A34" s="22"/>
      <c r="B34" s="25" t="s">
        <v>48</v>
      </c>
      <c r="C34" s="24" t="n">
        <v>1</v>
      </c>
      <c r="D34" s="24" t="n">
        <v>1</v>
      </c>
      <c r="E34" s="24" t="n">
        <v>1</v>
      </c>
      <c r="F34" s="24" t="s">
        <v>11</v>
      </c>
      <c r="G34" s="28"/>
      <c r="H34" s="27" t="s">
        <v>42</v>
      </c>
      <c r="I34" s="28" t="n">
        <v>5.63</v>
      </c>
    </row>
    <row r="35" customFormat="false" ht="26.25" hidden="false" customHeight="true" outlineLevel="0" collapsed="false">
      <c r="A35" s="22"/>
      <c r="B35" s="25" t="s">
        <v>49</v>
      </c>
      <c r="C35" s="24" t="n">
        <v>1</v>
      </c>
      <c r="D35" s="24" t="n">
        <v>1</v>
      </c>
      <c r="E35" s="24" t="n">
        <v>1</v>
      </c>
      <c r="F35" s="24" t="s">
        <v>11</v>
      </c>
      <c r="G35" s="28"/>
      <c r="H35" s="27" t="s">
        <v>38</v>
      </c>
      <c r="I35" s="28" t="n">
        <v>35.85</v>
      </c>
    </row>
    <row r="36" customFormat="false" ht="23.25" hidden="false" customHeight="true" outlineLevel="0" collapsed="false">
      <c r="A36" s="22"/>
      <c r="B36" s="32" t="s">
        <v>23</v>
      </c>
      <c r="C36" s="32"/>
      <c r="D36" s="32"/>
      <c r="E36" s="32"/>
      <c r="F36" s="32"/>
      <c r="G36" s="32"/>
      <c r="H36" s="32"/>
      <c r="I36" s="33" t="n">
        <f aca="false">I20+I21+I22+I23+I24+I25+I26+I27+I28+I30+I31+I32+I33+I34+I35</f>
        <v>252.12</v>
      </c>
    </row>
    <row r="37" customFormat="false" ht="15" hidden="false" customHeight="true" outlineLevel="0" collapsed="false">
      <c r="A37" s="22"/>
      <c r="B37" s="23" t="s">
        <v>50</v>
      </c>
      <c r="C37" s="24" t="n">
        <v>1</v>
      </c>
      <c r="D37" s="24" t="n">
        <v>2</v>
      </c>
      <c r="E37" s="25" t="n">
        <v>10</v>
      </c>
      <c r="F37" s="24" t="s">
        <v>11</v>
      </c>
      <c r="G37" s="26"/>
      <c r="H37" s="27" t="s">
        <v>34</v>
      </c>
      <c r="I37" s="26" t="n">
        <v>33.65</v>
      </c>
    </row>
    <row r="38" customFormat="false" ht="17.25" hidden="false" customHeight="true" outlineLevel="0" collapsed="false">
      <c r="A38" s="22"/>
      <c r="B38" s="23"/>
      <c r="C38" s="23"/>
      <c r="D38" s="23"/>
      <c r="E38" s="23"/>
      <c r="F38" s="23"/>
      <c r="G38" s="28"/>
      <c r="H38" s="27"/>
      <c r="I38" s="28" t="n">
        <v>33.62</v>
      </c>
    </row>
    <row r="39" customFormat="false" ht="15" hidden="false" customHeight="true" outlineLevel="0" collapsed="false">
      <c r="A39" s="22"/>
      <c r="B39" s="29" t="s">
        <v>51</v>
      </c>
      <c r="C39" s="30" t="n">
        <v>1</v>
      </c>
      <c r="D39" s="30" t="n">
        <v>4</v>
      </c>
      <c r="E39" s="24" t="n">
        <v>4</v>
      </c>
      <c r="F39" s="24" t="s">
        <v>11</v>
      </c>
      <c r="G39" s="28"/>
      <c r="H39" s="27" t="s">
        <v>36</v>
      </c>
      <c r="I39" s="28" t="n">
        <v>4.86</v>
      </c>
    </row>
    <row r="40" customFormat="false" ht="15" hidden="false" customHeight="true" outlineLevel="0" collapsed="false">
      <c r="A40" s="22"/>
      <c r="B40" s="22"/>
      <c r="C40" s="22"/>
      <c r="D40" s="22"/>
      <c r="E40" s="22"/>
      <c r="F40" s="22"/>
      <c r="G40" s="28"/>
      <c r="H40" s="27"/>
      <c r="I40" s="28" t="n">
        <v>4.53</v>
      </c>
    </row>
    <row r="41" customFormat="false" ht="15" hidden="false" customHeight="true" outlineLevel="0" collapsed="false">
      <c r="A41" s="22"/>
      <c r="B41" s="22"/>
      <c r="C41" s="22"/>
      <c r="D41" s="22"/>
      <c r="E41" s="22"/>
      <c r="F41" s="22"/>
      <c r="G41" s="28"/>
      <c r="H41" s="27"/>
      <c r="I41" s="28" t="n">
        <v>4.53</v>
      </c>
    </row>
    <row r="42" customFormat="false" ht="12.75" hidden="false" customHeight="true" outlineLevel="0" collapsed="false">
      <c r="A42" s="22"/>
      <c r="B42" s="22"/>
      <c r="C42" s="22"/>
      <c r="D42" s="22"/>
      <c r="E42" s="24"/>
      <c r="F42" s="24"/>
      <c r="G42" s="28"/>
      <c r="H42" s="27"/>
      <c r="I42" s="28" t="n">
        <v>4.5</v>
      </c>
    </row>
    <row r="43" customFormat="false" ht="13.5" hidden="false" customHeight="true" outlineLevel="0" collapsed="false">
      <c r="A43" s="22"/>
      <c r="B43" s="23" t="s">
        <v>37</v>
      </c>
      <c r="C43" s="24" t="n">
        <v>1</v>
      </c>
      <c r="D43" s="24" t="n">
        <v>2</v>
      </c>
      <c r="E43" s="24"/>
      <c r="F43" s="24" t="s">
        <v>11</v>
      </c>
      <c r="G43" s="31"/>
      <c r="H43" s="27" t="s">
        <v>38</v>
      </c>
      <c r="I43" s="31" t="n">
        <v>6.65</v>
      </c>
    </row>
    <row r="44" customFormat="false" ht="13.5" hidden="false" customHeight="false" outlineLevel="0" collapsed="false">
      <c r="A44" s="22"/>
      <c r="B44" s="23"/>
      <c r="C44" s="23"/>
      <c r="D44" s="23"/>
      <c r="E44" s="23"/>
      <c r="F44" s="23"/>
      <c r="G44" s="31"/>
      <c r="H44" s="27"/>
      <c r="I44" s="31" t="n">
        <v>6.9</v>
      </c>
    </row>
    <row r="45" customFormat="false" ht="13.5" hidden="false" customHeight="true" outlineLevel="0" collapsed="false">
      <c r="A45" s="22"/>
      <c r="B45" s="23" t="s">
        <v>39</v>
      </c>
      <c r="C45" s="24" t="n">
        <v>1</v>
      </c>
      <c r="D45" s="24" t="n">
        <v>1</v>
      </c>
      <c r="E45" s="24" t="n">
        <v>1</v>
      </c>
      <c r="F45" s="24" t="s">
        <v>11</v>
      </c>
      <c r="G45" s="26"/>
      <c r="H45" s="27" t="s">
        <v>40</v>
      </c>
      <c r="I45" s="26" t="n">
        <v>23.09</v>
      </c>
    </row>
    <row r="46" customFormat="false" ht="24" hidden="false" customHeight="true" outlineLevel="0" collapsed="false">
      <c r="A46" s="22"/>
      <c r="B46" s="23"/>
      <c r="C46" s="23"/>
      <c r="D46" s="23"/>
      <c r="E46" s="23"/>
      <c r="F46" s="23"/>
      <c r="G46" s="23"/>
      <c r="H46" s="23"/>
      <c r="I46" s="23"/>
    </row>
    <row r="47" customFormat="false" ht="30" hidden="false" customHeight="true" outlineLevel="0" collapsed="false">
      <c r="A47" s="22"/>
      <c r="B47" s="25" t="s">
        <v>41</v>
      </c>
      <c r="C47" s="24" t="n">
        <v>1</v>
      </c>
      <c r="D47" s="24" t="n">
        <v>1</v>
      </c>
      <c r="E47" s="24"/>
      <c r="F47" s="24" t="s">
        <v>11</v>
      </c>
      <c r="G47" s="26"/>
      <c r="H47" s="27" t="s">
        <v>42</v>
      </c>
      <c r="I47" s="26" t="n">
        <v>23.2</v>
      </c>
    </row>
    <row r="48" customFormat="false" ht="38.25" hidden="false" customHeight="true" outlineLevel="0" collapsed="false">
      <c r="A48" s="22"/>
      <c r="B48" s="25" t="s">
        <v>52</v>
      </c>
      <c r="C48" s="24" t="n">
        <v>1</v>
      </c>
      <c r="D48" s="24" t="n">
        <v>1</v>
      </c>
      <c r="E48" s="24"/>
      <c r="F48" s="24" t="s">
        <v>11</v>
      </c>
      <c r="G48" s="28"/>
      <c r="H48" s="27" t="s">
        <v>42</v>
      </c>
      <c r="I48" s="28" t="n">
        <v>37.96</v>
      </c>
    </row>
    <row r="49" customFormat="false" ht="36" hidden="false" customHeight="true" outlineLevel="0" collapsed="false">
      <c r="A49" s="22"/>
      <c r="B49" s="25" t="s">
        <v>45</v>
      </c>
      <c r="C49" s="24" t="n">
        <v>1</v>
      </c>
      <c r="D49" s="24" t="n">
        <v>1</v>
      </c>
      <c r="E49" s="24"/>
      <c r="F49" s="24" t="s">
        <v>11</v>
      </c>
      <c r="G49" s="28"/>
      <c r="H49" s="27" t="s">
        <v>36</v>
      </c>
      <c r="I49" s="28" t="n">
        <v>17.74</v>
      </c>
    </row>
    <row r="50" customFormat="false" ht="39" hidden="false" customHeight="true" outlineLevel="0" collapsed="false">
      <c r="A50" s="22"/>
      <c r="B50" s="25" t="s">
        <v>47</v>
      </c>
      <c r="C50" s="24" t="n">
        <v>1</v>
      </c>
      <c r="D50" s="24" t="n">
        <v>1</v>
      </c>
      <c r="E50" s="24"/>
      <c r="F50" s="24" t="s">
        <v>11</v>
      </c>
      <c r="G50" s="28"/>
      <c r="H50" s="27" t="s">
        <v>44</v>
      </c>
      <c r="I50" s="28" t="n">
        <v>9.41</v>
      </c>
    </row>
    <row r="51" customFormat="false" ht="27.75" hidden="false" customHeight="true" outlineLevel="0" collapsed="false">
      <c r="A51" s="22"/>
      <c r="B51" s="25" t="s">
        <v>48</v>
      </c>
      <c r="C51" s="24" t="n">
        <v>1</v>
      </c>
      <c r="D51" s="24" t="n">
        <v>1</v>
      </c>
      <c r="E51" s="24"/>
      <c r="F51" s="24" t="s">
        <v>11</v>
      </c>
      <c r="G51" s="28"/>
      <c r="H51" s="27" t="s">
        <v>42</v>
      </c>
      <c r="I51" s="28" t="n">
        <v>5.63</v>
      </c>
    </row>
    <row r="52" customFormat="false" ht="38.25" hidden="false" customHeight="true" outlineLevel="0" collapsed="false">
      <c r="A52" s="22"/>
      <c r="B52" s="25" t="s">
        <v>53</v>
      </c>
      <c r="C52" s="24" t="n">
        <v>1</v>
      </c>
      <c r="D52" s="24" t="n">
        <v>1</v>
      </c>
      <c r="E52" s="24"/>
      <c r="F52" s="24" t="s">
        <v>11</v>
      </c>
      <c r="G52" s="28"/>
      <c r="H52" s="27" t="s">
        <v>38</v>
      </c>
      <c r="I52" s="28" t="n">
        <v>35.85</v>
      </c>
    </row>
    <row r="53" customFormat="false" ht="24" hidden="false" customHeight="true" outlineLevel="0" collapsed="false">
      <c r="A53" s="22"/>
      <c r="B53" s="32" t="s">
        <v>23</v>
      </c>
      <c r="C53" s="32"/>
      <c r="D53" s="32"/>
      <c r="E53" s="32"/>
      <c r="F53" s="32"/>
      <c r="G53" s="32"/>
      <c r="H53" s="32"/>
      <c r="I53" s="33" t="n">
        <f aca="false">I37+I38+I39+I40+I41+I42+I43+I44+I45+I47+I48+I49+I50+I51+I52</f>
        <v>252.12</v>
      </c>
    </row>
    <row r="54" customFormat="false" ht="27" hidden="false" customHeight="true" outlineLevel="0" collapsed="false">
      <c r="A54" s="22"/>
      <c r="B54" s="23" t="s">
        <v>54</v>
      </c>
      <c r="C54" s="24" t="n">
        <v>1</v>
      </c>
      <c r="D54" s="24" t="n">
        <v>1</v>
      </c>
      <c r="E54" s="25" t="n">
        <v>10</v>
      </c>
      <c r="F54" s="24" t="s">
        <v>11</v>
      </c>
      <c r="G54" s="26"/>
      <c r="H54" s="27" t="s">
        <v>34</v>
      </c>
      <c r="I54" s="26" t="n">
        <v>33.65</v>
      </c>
    </row>
    <row r="55" customFormat="false" ht="16.5" hidden="false" customHeight="true" outlineLevel="0" collapsed="false">
      <c r="A55" s="22"/>
      <c r="B55" s="23"/>
      <c r="C55" s="23"/>
      <c r="D55" s="23"/>
      <c r="E55" s="23"/>
      <c r="F55" s="23"/>
      <c r="G55" s="28"/>
      <c r="H55" s="27"/>
      <c r="I55" s="28" t="n">
        <v>33.62</v>
      </c>
    </row>
    <row r="56" customFormat="false" ht="13.5" hidden="false" customHeight="true" outlineLevel="0" collapsed="false">
      <c r="A56" s="22"/>
      <c r="B56" s="29" t="s">
        <v>55</v>
      </c>
      <c r="C56" s="30" t="n">
        <v>1</v>
      </c>
      <c r="D56" s="30" t="n">
        <v>4</v>
      </c>
      <c r="E56" s="24" t="n">
        <v>4</v>
      </c>
      <c r="F56" s="24" t="s">
        <v>11</v>
      </c>
      <c r="G56" s="28"/>
      <c r="H56" s="27" t="s">
        <v>36</v>
      </c>
      <c r="I56" s="28" t="n">
        <v>4.86</v>
      </c>
    </row>
    <row r="57" customFormat="false" ht="13.5" hidden="false" customHeight="false" outlineLevel="0" collapsed="false">
      <c r="A57" s="22"/>
      <c r="B57" s="22"/>
      <c r="C57" s="22"/>
      <c r="D57" s="22"/>
      <c r="E57" s="22"/>
      <c r="F57" s="22"/>
      <c r="G57" s="28"/>
      <c r="H57" s="27"/>
      <c r="I57" s="28" t="n">
        <v>4.53</v>
      </c>
    </row>
    <row r="58" customFormat="false" ht="13.5" hidden="false" customHeight="false" outlineLevel="0" collapsed="false">
      <c r="A58" s="22"/>
      <c r="B58" s="22"/>
      <c r="C58" s="22"/>
      <c r="D58" s="22"/>
      <c r="E58" s="22"/>
      <c r="F58" s="22"/>
      <c r="G58" s="28"/>
      <c r="H58" s="27"/>
      <c r="I58" s="28" t="n">
        <v>4.53</v>
      </c>
    </row>
    <row r="59" customFormat="false" ht="13.5" hidden="false" customHeight="false" outlineLevel="0" collapsed="false">
      <c r="A59" s="22"/>
      <c r="B59" s="22"/>
      <c r="C59" s="22"/>
      <c r="D59" s="22"/>
      <c r="E59" s="24"/>
      <c r="F59" s="24"/>
      <c r="G59" s="28"/>
      <c r="H59" s="27"/>
      <c r="I59" s="28" t="n">
        <v>4.5</v>
      </c>
    </row>
    <row r="60" customFormat="false" ht="13.5" hidden="false" customHeight="true" outlineLevel="0" collapsed="false">
      <c r="A60" s="22"/>
      <c r="B60" s="23" t="s">
        <v>37</v>
      </c>
      <c r="C60" s="24" t="n">
        <v>1</v>
      </c>
      <c r="D60" s="24" t="n">
        <v>2</v>
      </c>
      <c r="E60" s="24"/>
      <c r="F60" s="24" t="s">
        <v>11</v>
      </c>
      <c r="G60" s="31"/>
      <c r="H60" s="27" t="s">
        <v>38</v>
      </c>
      <c r="I60" s="31" t="n">
        <v>6.65</v>
      </c>
    </row>
    <row r="61" customFormat="false" ht="13.5" hidden="false" customHeight="false" outlineLevel="0" collapsed="false">
      <c r="A61" s="22"/>
      <c r="B61" s="23"/>
      <c r="C61" s="23"/>
      <c r="D61" s="23"/>
      <c r="E61" s="23"/>
      <c r="F61" s="23"/>
      <c r="G61" s="31"/>
      <c r="H61" s="27"/>
      <c r="I61" s="31" t="n">
        <v>6.9</v>
      </c>
    </row>
    <row r="62" customFormat="false" ht="13.5" hidden="false" customHeight="true" outlineLevel="0" collapsed="false">
      <c r="A62" s="22"/>
      <c r="B62" s="23" t="s">
        <v>39</v>
      </c>
      <c r="C62" s="24" t="n">
        <v>1</v>
      </c>
      <c r="D62" s="24" t="n">
        <v>1</v>
      </c>
      <c r="E62" s="24" t="n">
        <v>1</v>
      </c>
      <c r="F62" s="24" t="s">
        <v>11</v>
      </c>
      <c r="G62" s="26"/>
      <c r="H62" s="27" t="s">
        <v>40</v>
      </c>
      <c r="I62" s="26" t="n">
        <v>23.09</v>
      </c>
    </row>
    <row r="63" customFormat="false" ht="20.25" hidden="false" customHeight="true" outlineLevel="0" collapsed="false">
      <c r="A63" s="22"/>
      <c r="B63" s="23"/>
      <c r="C63" s="23"/>
      <c r="D63" s="23"/>
      <c r="E63" s="23"/>
      <c r="F63" s="23"/>
      <c r="G63" s="23"/>
      <c r="H63" s="23"/>
      <c r="I63" s="23"/>
    </row>
    <row r="64" customFormat="false" ht="27" hidden="false" customHeight="true" outlineLevel="0" collapsed="false">
      <c r="A64" s="22"/>
      <c r="B64" s="25" t="s">
        <v>41</v>
      </c>
      <c r="C64" s="24" t="n">
        <v>1</v>
      </c>
      <c r="D64" s="24" t="n">
        <v>1</v>
      </c>
      <c r="E64" s="24"/>
      <c r="F64" s="24" t="s">
        <v>11</v>
      </c>
      <c r="G64" s="26"/>
      <c r="H64" s="27" t="s">
        <v>42</v>
      </c>
      <c r="I64" s="26" t="n">
        <v>23.2</v>
      </c>
    </row>
    <row r="65" customFormat="false" ht="45" hidden="false" customHeight="true" outlineLevel="0" collapsed="false">
      <c r="A65" s="22"/>
      <c r="B65" s="25" t="s">
        <v>56</v>
      </c>
      <c r="C65" s="24" t="n">
        <v>1</v>
      </c>
      <c r="D65" s="24" t="n">
        <v>1</v>
      </c>
      <c r="E65" s="24"/>
      <c r="F65" s="24" t="s">
        <v>11</v>
      </c>
      <c r="G65" s="28"/>
      <c r="H65" s="27" t="s">
        <v>42</v>
      </c>
      <c r="I65" s="28" t="n">
        <v>37.96</v>
      </c>
    </row>
    <row r="66" customFormat="false" ht="32.25" hidden="false" customHeight="true" outlineLevel="0" collapsed="false">
      <c r="A66" s="22"/>
      <c r="B66" s="25" t="s">
        <v>45</v>
      </c>
      <c r="C66" s="24" t="n">
        <v>1</v>
      </c>
      <c r="D66" s="24" t="n">
        <v>1</v>
      </c>
      <c r="E66" s="24"/>
      <c r="F66" s="24" t="s">
        <v>11</v>
      </c>
      <c r="G66" s="28"/>
      <c r="H66" s="27" t="s">
        <v>36</v>
      </c>
      <c r="I66" s="28" t="n">
        <v>17.74</v>
      </c>
    </row>
    <row r="67" customFormat="false" ht="36" hidden="false" customHeight="true" outlineLevel="0" collapsed="false">
      <c r="A67" s="22"/>
      <c r="B67" s="25" t="s">
        <v>47</v>
      </c>
      <c r="C67" s="24" t="n">
        <v>1</v>
      </c>
      <c r="D67" s="24" t="n">
        <v>1</v>
      </c>
      <c r="E67" s="24"/>
      <c r="F67" s="24" t="s">
        <v>11</v>
      </c>
      <c r="G67" s="28"/>
      <c r="H67" s="27" t="s">
        <v>42</v>
      </c>
      <c r="I67" s="28" t="n">
        <v>9.41</v>
      </c>
    </row>
    <row r="68" customFormat="false" ht="32.25" hidden="false" customHeight="true" outlineLevel="0" collapsed="false">
      <c r="A68" s="22"/>
      <c r="B68" s="25" t="s">
        <v>48</v>
      </c>
      <c r="C68" s="24" t="n">
        <v>1</v>
      </c>
      <c r="D68" s="24" t="n">
        <v>1</v>
      </c>
      <c r="E68" s="24"/>
      <c r="F68" s="24" t="s">
        <v>11</v>
      </c>
      <c r="G68" s="28"/>
      <c r="H68" s="27" t="s">
        <v>42</v>
      </c>
      <c r="I68" s="28" t="n">
        <v>5.63</v>
      </c>
    </row>
    <row r="69" customFormat="false" ht="19.5" hidden="false" customHeight="true" outlineLevel="0" collapsed="false">
      <c r="A69" s="22"/>
      <c r="B69" s="25" t="s">
        <v>53</v>
      </c>
      <c r="C69" s="24" t="n">
        <v>1</v>
      </c>
      <c r="D69" s="24" t="n">
        <v>1</v>
      </c>
      <c r="E69" s="24"/>
      <c r="F69" s="24" t="s">
        <v>11</v>
      </c>
      <c r="G69" s="28"/>
      <c r="H69" s="27" t="s">
        <v>38</v>
      </c>
      <c r="I69" s="28" t="n">
        <v>35.85</v>
      </c>
    </row>
    <row r="70" customFormat="false" ht="21" hidden="false" customHeight="true" outlineLevel="0" collapsed="false">
      <c r="A70" s="22"/>
      <c r="B70" s="32" t="s">
        <v>23</v>
      </c>
      <c r="C70" s="32"/>
      <c r="D70" s="32"/>
      <c r="E70" s="32"/>
      <c r="F70" s="32"/>
      <c r="G70" s="32"/>
      <c r="H70" s="32"/>
      <c r="I70" s="33" t="n">
        <f aca="false">I54+I55+I56+I57+I58+I59+I60+I61+I62+I64+I65+I66+I67+I68+I69</f>
        <v>252.12</v>
      </c>
    </row>
    <row r="71" customFormat="false" ht="39" hidden="false" customHeight="true" outlineLevel="0" collapsed="false">
      <c r="A71" s="22"/>
      <c r="B71" s="25" t="s">
        <v>57</v>
      </c>
      <c r="C71" s="24" t="n">
        <v>1</v>
      </c>
      <c r="D71" s="24" t="n">
        <v>1</v>
      </c>
      <c r="E71" s="24" t="n">
        <v>5</v>
      </c>
      <c r="F71" s="24" t="s">
        <v>11</v>
      </c>
      <c r="G71" s="28"/>
      <c r="H71" s="27" t="s">
        <v>42</v>
      </c>
      <c r="I71" s="28" t="n">
        <v>33.66</v>
      </c>
    </row>
    <row r="72" customFormat="false" ht="13.5" hidden="false" customHeight="false" outlineLevel="0" collapsed="false">
      <c r="A72" s="22"/>
      <c r="B72" s="25" t="s">
        <v>58</v>
      </c>
      <c r="C72" s="24" t="n">
        <v>1</v>
      </c>
      <c r="D72" s="24" t="n">
        <v>2</v>
      </c>
      <c r="E72" s="24" t="n">
        <v>2</v>
      </c>
      <c r="F72" s="24" t="s">
        <v>11</v>
      </c>
      <c r="G72" s="28"/>
      <c r="H72" s="27" t="s">
        <v>12</v>
      </c>
      <c r="I72" s="28" t="n">
        <v>4.54</v>
      </c>
    </row>
    <row r="73" customFormat="false" ht="22.5" hidden="false" customHeight="true" outlineLevel="0" collapsed="false">
      <c r="A73" s="22"/>
      <c r="B73" s="25"/>
      <c r="C73" s="25"/>
      <c r="D73" s="25"/>
      <c r="E73" s="25"/>
      <c r="F73" s="25"/>
      <c r="G73" s="28"/>
      <c r="H73" s="27" t="s">
        <v>38</v>
      </c>
      <c r="I73" s="28" t="n">
        <v>4.51</v>
      </c>
    </row>
    <row r="74" customFormat="false" ht="30.75" hidden="false" customHeight="true" outlineLevel="0" collapsed="false">
      <c r="A74" s="22"/>
      <c r="B74" s="25" t="s">
        <v>59</v>
      </c>
      <c r="C74" s="24" t="n">
        <v>1</v>
      </c>
      <c r="D74" s="24" t="n">
        <v>1</v>
      </c>
      <c r="E74" s="24"/>
      <c r="F74" s="24" t="s">
        <v>11</v>
      </c>
      <c r="G74" s="28"/>
      <c r="H74" s="27" t="s">
        <v>44</v>
      </c>
      <c r="I74" s="28" t="n">
        <v>5.9</v>
      </c>
    </row>
    <row r="75" customFormat="false" ht="39" hidden="false" customHeight="true" outlineLevel="0" collapsed="false">
      <c r="A75" s="22"/>
      <c r="B75" s="25" t="s">
        <v>47</v>
      </c>
      <c r="C75" s="24" t="n">
        <v>1</v>
      </c>
      <c r="D75" s="24" t="n">
        <v>1</v>
      </c>
      <c r="E75" s="24"/>
      <c r="F75" s="24" t="s">
        <v>11</v>
      </c>
      <c r="G75" s="28"/>
      <c r="H75" s="27" t="s">
        <v>42</v>
      </c>
      <c r="I75" s="28" t="n">
        <v>10.66</v>
      </c>
    </row>
    <row r="76" customFormat="false" ht="22.5" hidden="false" customHeight="true" outlineLevel="0" collapsed="false">
      <c r="A76" s="22"/>
      <c r="B76" s="25" t="s">
        <v>37</v>
      </c>
      <c r="C76" s="24" t="n">
        <v>1</v>
      </c>
      <c r="D76" s="24" t="n">
        <v>1</v>
      </c>
      <c r="E76" s="24"/>
      <c r="F76" s="24" t="s">
        <v>11</v>
      </c>
      <c r="G76" s="28"/>
      <c r="H76" s="27" t="s">
        <v>38</v>
      </c>
      <c r="I76" s="28" t="n">
        <v>6.93</v>
      </c>
    </row>
    <row r="77" customFormat="false" ht="19.5" hidden="false" customHeight="true" outlineLevel="0" collapsed="false">
      <c r="A77" s="22"/>
      <c r="B77" s="32" t="s">
        <v>23</v>
      </c>
      <c r="C77" s="32"/>
      <c r="D77" s="32"/>
      <c r="E77" s="32"/>
      <c r="F77" s="32"/>
      <c r="G77" s="32"/>
      <c r="H77" s="32"/>
      <c r="I77" s="33" t="n">
        <f aca="false">I71+I72+I73+I74+I75+I76</f>
        <v>66.2</v>
      </c>
    </row>
    <row r="78" customFormat="false" ht="22.5" hidden="false" customHeight="true" outlineLevel="0" collapsed="false">
      <c r="A78" s="34"/>
      <c r="B78" s="35" t="s">
        <v>60</v>
      </c>
      <c r="C78" s="36" t="n">
        <v>1</v>
      </c>
      <c r="D78" s="36" t="n">
        <v>1</v>
      </c>
      <c r="E78" s="37"/>
      <c r="F78" s="38" t="s">
        <v>11</v>
      </c>
      <c r="G78" s="39"/>
      <c r="H78" s="40" t="s">
        <v>61</v>
      </c>
      <c r="I78" s="39" t="n">
        <v>215.32</v>
      </c>
    </row>
    <row r="79" customFormat="false" ht="22.5" hidden="false" customHeight="true" outlineLevel="0" collapsed="false">
      <c r="A79" s="34"/>
      <c r="B79" s="35" t="s">
        <v>62</v>
      </c>
      <c r="C79" s="36" t="n">
        <v>1</v>
      </c>
      <c r="D79" s="36" t="n">
        <v>1</v>
      </c>
      <c r="E79" s="37"/>
      <c r="F79" s="38" t="s">
        <v>11</v>
      </c>
      <c r="G79" s="39"/>
      <c r="H79" s="40" t="s">
        <v>61</v>
      </c>
      <c r="I79" s="39" t="n">
        <v>18.44</v>
      </c>
    </row>
    <row r="80" customFormat="false" ht="22.5" hidden="false" customHeight="true" outlineLevel="0" collapsed="false">
      <c r="A80" s="34"/>
      <c r="B80" s="35" t="s">
        <v>63</v>
      </c>
      <c r="C80" s="36" t="n">
        <v>1</v>
      </c>
      <c r="D80" s="36" t="n">
        <v>1</v>
      </c>
      <c r="E80" s="37"/>
      <c r="F80" s="38" t="s">
        <v>11</v>
      </c>
      <c r="G80" s="39"/>
      <c r="H80" s="40" t="s">
        <v>61</v>
      </c>
      <c r="I80" s="39" t="n">
        <v>6.48</v>
      </c>
    </row>
    <row r="81" customFormat="false" ht="22.5" hidden="false" customHeight="true" outlineLevel="0" collapsed="false">
      <c r="A81" s="34"/>
      <c r="B81" s="35" t="s">
        <v>64</v>
      </c>
      <c r="C81" s="36" t="n">
        <v>1</v>
      </c>
      <c r="D81" s="36" t="n">
        <v>1</v>
      </c>
      <c r="E81" s="37"/>
      <c r="F81" s="38" t="s">
        <v>11</v>
      </c>
      <c r="G81" s="39"/>
      <c r="H81" s="40" t="s">
        <v>61</v>
      </c>
      <c r="I81" s="39" t="n">
        <v>6.5</v>
      </c>
    </row>
    <row r="82" customFormat="false" ht="22.5" hidden="false" customHeight="true" outlineLevel="0" collapsed="false">
      <c r="A82" s="34"/>
      <c r="B82" s="35" t="s">
        <v>65</v>
      </c>
      <c r="C82" s="36" t="n">
        <v>1</v>
      </c>
      <c r="D82" s="36" t="n">
        <v>1</v>
      </c>
      <c r="E82" s="37"/>
      <c r="F82" s="38" t="s">
        <v>11</v>
      </c>
      <c r="G82" s="39"/>
      <c r="H82" s="40" t="s">
        <v>61</v>
      </c>
      <c r="I82" s="39" t="n">
        <v>7.71</v>
      </c>
    </row>
    <row r="83" customFormat="false" ht="22.5" hidden="false" customHeight="true" outlineLevel="0" collapsed="false">
      <c r="A83" s="34"/>
      <c r="B83" s="35" t="s">
        <v>66</v>
      </c>
      <c r="C83" s="36" t="n">
        <v>1</v>
      </c>
      <c r="D83" s="36" t="n">
        <v>1</v>
      </c>
      <c r="E83" s="37"/>
      <c r="F83" s="38" t="s">
        <v>11</v>
      </c>
      <c r="G83" s="39"/>
      <c r="H83" s="40" t="s">
        <v>61</v>
      </c>
      <c r="I83" s="39" t="n">
        <v>4.03</v>
      </c>
    </row>
    <row r="84" customFormat="false" ht="22.5" hidden="false" customHeight="true" outlineLevel="0" collapsed="false">
      <c r="A84" s="34"/>
      <c r="B84" s="35" t="s">
        <v>67</v>
      </c>
      <c r="C84" s="36" t="n">
        <v>1</v>
      </c>
      <c r="D84" s="36" t="n">
        <v>1</v>
      </c>
      <c r="E84" s="37"/>
      <c r="F84" s="38"/>
      <c r="G84" s="39"/>
      <c r="H84" s="40" t="s">
        <v>61</v>
      </c>
      <c r="I84" s="39" t="n">
        <v>19.85</v>
      </c>
    </row>
    <row r="85" customFormat="false" ht="22.5" hidden="false" customHeight="true" outlineLevel="0" collapsed="false">
      <c r="A85" s="34"/>
      <c r="B85" s="35" t="s">
        <v>68</v>
      </c>
      <c r="C85" s="36" t="n">
        <v>1</v>
      </c>
      <c r="D85" s="36" t="n">
        <v>1</v>
      </c>
      <c r="E85" s="37"/>
      <c r="F85" s="38"/>
      <c r="G85" s="39"/>
      <c r="H85" s="40" t="s">
        <v>61</v>
      </c>
      <c r="I85" s="39" t="n">
        <v>4.05</v>
      </c>
    </row>
    <row r="86" customFormat="false" ht="22.5" hidden="false" customHeight="true" outlineLevel="0" collapsed="false">
      <c r="A86" s="34"/>
      <c r="B86" s="35" t="s">
        <v>69</v>
      </c>
      <c r="C86" s="36" t="n">
        <v>1</v>
      </c>
      <c r="D86" s="36" t="n">
        <v>1</v>
      </c>
      <c r="E86" s="37"/>
      <c r="F86" s="38"/>
      <c r="G86" s="39"/>
      <c r="H86" s="40" t="s">
        <v>61</v>
      </c>
      <c r="I86" s="39" t="n">
        <v>6.39</v>
      </c>
    </row>
    <row r="87" customFormat="false" ht="22.5" hidden="false" customHeight="true" outlineLevel="0" collapsed="false">
      <c r="A87" s="34"/>
      <c r="B87" s="35" t="s">
        <v>70</v>
      </c>
      <c r="C87" s="36" t="n">
        <v>1</v>
      </c>
      <c r="D87" s="36" t="n">
        <v>1</v>
      </c>
      <c r="E87" s="37"/>
      <c r="F87" s="38"/>
      <c r="G87" s="39"/>
      <c r="H87" s="40" t="s">
        <v>61</v>
      </c>
      <c r="I87" s="39" t="n">
        <v>17.09</v>
      </c>
    </row>
    <row r="88" customFormat="false" ht="13.5" hidden="false" customHeight="false" outlineLevel="0" collapsed="false">
      <c r="A88" s="34"/>
      <c r="B88" s="41" t="s">
        <v>23</v>
      </c>
      <c r="C88" s="41"/>
      <c r="D88" s="41"/>
      <c r="E88" s="41"/>
      <c r="F88" s="41"/>
      <c r="G88" s="41"/>
      <c r="H88" s="41"/>
      <c r="I88" s="42" t="n">
        <f aca="false">I78+I79+I80+I81+I82+I83+I84+I85+I86+I87</f>
        <v>305.86</v>
      </c>
    </row>
    <row r="89" customFormat="false" ht="13.5" hidden="false" customHeight="true" outlineLevel="0" collapsed="false">
      <c r="A89" s="43" t="s">
        <v>71</v>
      </c>
      <c r="B89" s="44" t="s">
        <v>72</v>
      </c>
      <c r="C89" s="45" t="n">
        <v>1</v>
      </c>
      <c r="D89" s="45" t="n">
        <v>1</v>
      </c>
      <c r="E89" s="46"/>
      <c r="F89" s="44" t="s">
        <v>11</v>
      </c>
      <c r="G89" s="47"/>
      <c r="H89" s="48" t="s">
        <v>28</v>
      </c>
      <c r="I89" s="49" t="n">
        <v>21.03</v>
      </c>
      <c r="J89" s="50"/>
    </row>
    <row r="90" customFormat="false" ht="13.5" hidden="false" customHeight="false" outlineLevel="0" collapsed="false">
      <c r="A90" s="43"/>
      <c r="B90" s="44" t="s">
        <v>21</v>
      </c>
      <c r="C90" s="45" t="n">
        <v>1</v>
      </c>
      <c r="D90" s="45" t="n">
        <v>1</v>
      </c>
      <c r="E90" s="46"/>
      <c r="F90" s="44" t="s">
        <v>11</v>
      </c>
      <c r="G90" s="47"/>
      <c r="H90" s="48" t="s">
        <v>28</v>
      </c>
      <c r="I90" s="49" t="n">
        <v>20.97</v>
      </c>
      <c r="J90" s="50"/>
    </row>
    <row r="91" customFormat="false" ht="13.5" hidden="false" customHeight="false" outlineLevel="0" collapsed="false">
      <c r="A91" s="43"/>
      <c r="B91" s="44" t="s">
        <v>73</v>
      </c>
      <c r="C91" s="45" t="n">
        <v>1</v>
      </c>
      <c r="D91" s="45" t="n">
        <v>1</v>
      </c>
      <c r="E91" s="46"/>
      <c r="F91" s="44" t="s">
        <v>11</v>
      </c>
      <c r="G91" s="47"/>
      <c r="H91" s="48" t="s">
        <v>28</v>
      </c>
      <c r="I91" s="49" t="n">
        <v>5.71</v>
      </c>
      <c r="J91" s="50"/>
    </row>
    <row r="92" customFormat="false" ht="13.5" hidden="false" customHeight="false" outlineLevel="0" collapsed="false">
      <c r="A92" s="43"/>
      <c r="B92" s="51" t="s">
        <v>23</v>
      </c>
      <c r="C92" s="51"/>
      <c r="D92" s="51"/>
      <c r="E92" s="51"/>
      <c r="F92" s="51"/>
      <c r="G92" s="51"/>
      <c r="H92" s="51"/>
      <c r="I92" s="47" t="n">
        <f aca="false">I89+I90+I91</f>
        <v>47.71</v>
      </c>
      <c r="J92" s="50"/>
    </row>
    <row r="93" customFormat="false" ht="51.75" hidden="false" customHeight="true" outlineLevel="0" collapsed="false">
      <c r="A93" s="52" t="s">
        <v>74</v>
      </c>
      <c r="B93" s="53" t="s">
        <v>75</v>
      </c>
      <c r="C93" s="54" t="n">
        <v>1</v>
      </c>
      <c r="D93" s="54" t="n">
        <v>1</v>
      </c>
      <c r="E93" s="55"/>
      <c r="F93" s="56" t="s">
        <v>11</v>
      </c>
      <c r="G93" s="57"/>
      <c r="H93" s="58" t="s">
        <v>28</v>
      </c>
      <c r="I93" s="57" t="n">
        <v>809.07</v>
      </c>
    </row>
    <row r="94" customFormat="false" ht="13.5" hidden="false" customHeight="true" outlineLevel="0" collapsed="false">
      <c r="A94" s="52"/>
      <c r="B94" s="59" t="s">
        <v>76</v>
      </c>
      <c r="C94" s="54" t="n">
        <v>1</v>
      </c>
      <c r="D94" s="54" t="n">
        <v>1</v>
      </c>
      <c r="E94" s="54"/>
      <c r="F94" s="54" t="s">
        <v>11</v>
      </c>
      <c r="G94" s="60"/>
      <c r="H94" s="58" t="s">
        <v>28</v>
      </c>
      <c r="I94" s="60" t="n">
        <v>17.04</v>
      </c>
    </row>
    <row r="95" customFormat="false" ht="13.5" hidden="false" customHeight="false" outlineLevel="0" collapsed="false">
      <c r="A95" s="52"/>
      <c r="B95" s="59" t="s">
        <v>77</v>
      </c>
      <c r="C95" s="54" t="n">
        <v>1</v>
      </c>
      <c r="D95" s="54" t="n">
        <v>1</v>
      </c>
      <c r="E95" s="54"/>
      <c r="F95" s="54" t="s">
        <v>11</v>
      </c>
      <c r="G95" s="60"/>
      <c r="H95" s="58" t="s">
        <v>28</v>
      </c>
      <c r="I95" s="60" t="n">
        <v>17.04</v>
      </c>
    </row>
    <row r="96" customFormat="false" ht="13.5" hidden="false" customHeight="false" outlineLevel="0" collapsed="false">
      <c r="A96" s="52"/>
      <c r="B96" s="59" t="s">
        <v>78</v>
      </c>
      <c r="C96" s="54" t="n">
        <v>1</v>
      </c>
      <c r="D96" s="54" t="n">
        <v>1</v>
      </c>
      <c r="E96" s="54"/>
      <c r="F96" s="54" t="s">
        <v>11</v>
      </c>
      <c r="G96" s="60"/>
      <c r="H96" s="58" t="s">
        <v>14</v>
      </c>
      <c r="I96" s="60" t="n">
        <v>38.6</v>
      </c>
    </row>
    <row r="97" customFormat="false" ht="13.5" hidden="false" customHeight="false" outlineLevel="0" collapsed="false">
      <c r="A97" s="52"/>
      <c r="B97" s="61" t="s">
        <v>23</v>
      </c>
      <c r="C97" s="61"/>
      <c r="D97" s="61"/>
      <c r="E97" s="61"/>
      <c r="F97" s="61"/>
      <c r="G97" s="61"/>
      <c r="H97" s="61"/>
      <c r="I97" s="62" t="n">
        <f aca="false">I93+I94+I95+I96</f>
        <v>881.75</v>
      </c>
    </row>
    <row r="98" customFormat="false" ht="30.75" hidden="false" customHeight="true" outlineLevel="0" collapsed="false">
      <c r="A98" s="63" t="s">
        <v>79</v>
      </c>
      <c r="B98" s="16" t="s">
        <v>80</v>
      </c>
      <c r="C98" s="17" t="n">
        <v>1</v>
      </c>
      <c r="D98" s="17" t="n">
        <v>1</v>
      </c>
      <c r="E98" s="17"/>
      <c r="F98" s="17" t="s">
        <v>11</v>
      </c>
      <c r="G98" s="64"/>
      <c r="H98" s="19" t="s">
        <v>14</v>
      </c>
      <c r="I98" s="17" t="n">
        <v>422.13</v>
      </c>
      <c r="J98" s="65"/>
    </row>
    <row r="99" customFormat="false" ht="54" hidden="false" customHeight="true" outlineLevel="0" collapsed="false">
      <c r="A99" s="63"/>
      <c r="B99" s="16" t="s">
        <v>81</v>
      </c>
      <c r="C99" s="17" t="n">
        <v>1</v>
      </c>
      <c r="D99" s="17" t="n">
        <v>1</v>
      </c>
      <c r="E99" s="17"/>
      <c r="F99" s="17" t="s">
        <v>11</v>
      </c>
      <c r="G99" s="64"/>
      <c r="H99" s="19" t="s">
        <v>28</v>
      </c>
      <c r="I99" s="17" t="n">
        <v>652.03</v>
      </c>
      <c r="J99" s="65"/>
    </row>
    <row r="100" customFormat="false" ht="13.5" hidden="false" customHeight="true" outlineLevel="0" collapsed="false">
      <c r="A100" s="66" t="s">
        <v>82</v>
      </c>
      <c r="B100" s="67" t="s">
        <v>83</v>
      </c>
      <c r="C100" s="68" t="n">
        <v>1</v>
      </c>
      <c r="D100" s="68" t="n">
        <v>1</v>
      </c>
      <c r="E100" s="68"/>
      <c r="F100" s="68" t="s">
        <v>84</v>
      </c>
      <c r="G100" s="69"/>
      <c r="H100" s="70" t="s">
        <v>14</v>
      </c>
      <c r="I100" s="68" t="n">
        <v>101.95</v>
      </c>
      <c r="J100" s="65"/>
    </row>
    <row r="101" customFormat="false" ht="13.5" hidden="false" customHeight="false" outlineLevel="0" collapsed="false">
      <c r="A101" s="66"/>
      <c r="B101" s="67" t="s">
        <v>85</v>
      </c>
      <c r="C101" s="68" t="n">
        <v>1</v>
      </c>
      <c r="D101" s="68" t="n">
        <v>1</v>
      </c>
      <c r="E101" s="68"/>
      <c r="F101" s="68" t="s">
        <v>84</v>
      </c>
      <c r="G101" s="69"/>
      <c r="H101" s="70" t="s">
        <v>28</v>
      </c>
      <c r="I101" s="68" t="n">
        <v>24</v>
      </c>
      <c r="J101" s="65"/>
    </row>
    <row r="102" customFormat="false" ht="38.25" hidden="false" customHeight="true" outlineLevel="0" collapsed="false">
      <c r="A102" s="66"/>
      <c r="B102" s="67" t="s">
        <v>86</v>
      </c>
      <c r="C102" s="68" t="n">
        <v>1</v>
      </c>
      <c r="D102" s="68" t="n">
        <v>1</v>
      </c>
      <c r="E102" s="68"/>
      <c r="F102" s="68" t="s">
        <v>87</v>
      </c>
      <c r="G102" s="69"/>
      <c r="H102" s="70" t="s">
        <v>14</v>
      </c>
      <c r="I102" s="68" t="n">
        <v>29.65</v>
      </c>
      <c r="J102" s="65"/>
    </row>
    <row r="103" customFormat="false" ht="13.5" hidden="false" customHeight="false" outlineLevel="0" collapsed="false">
      <c r="A103" s="66"/>
      <c r="B103" s="71" t="s">
        <v>88</v>
      </c>
      <c r="C103" s="71"/>
      <c r="D103" s="71"/>
      <c r="E103" s="71"/>
      <c r="F103" s="71"/>
      <c r="G103" s="71"/>
      <c r="H103" s="71"/>
      <c r="I103" s="71" t="n">
        <f aca="false">I98+I99+I102</f>
        <v>1103.81</v>
      </c>
    </row>
    <row r="104" customFormat="false" ht="13.5" hidden="false" customHeight="false" outlineLevel="0" collapsed="false">
      <c r="A104" s="72" t="s">
        <v>89</v>
      </c>
      <c r="B104" s="72"/>
      <c r="C104" s="72"/>
      <c r="D104" s="72"/>
      <c r="E104" s="72"/>
      <c r="F104" s="72"/>
      <c r="G104" s="72"/>
      <c r="H104" s="72"/>
      <c r="I104" s="72"/>
    </row>
    <row r="105" customFormat="false" ht="23.25" hidden="false" customHeight="true" outlineLevel="0" collapsed="false">
      <c r="A105" s="73" t="s">
        <v>90</v>
      </c>
      <c r="B105" s="8" t="s">
        <v>91</v>
      </c>
      <c r="C105" s="9" t="s">
        <v>92</v>
      </c>
      <c r="D105" s="9" t="n">
        <v>1</v>
      </c>
      <c r="E105" s="9"/>
      <c r="F105" s="9" t="s">
        <v>11</v>
      </c>
      <c r="G105" s="11"/>
      <c r="H105" s="12" t="s">
        <v>14</v>
      </c>
      <c r="I105" s="11" t="n">
        <v>4.8</v>
      </c>
    </row>
    <row r="106" customFormat="false" ht="15.75" hidden="false" customHeight="true" outlineLevel="0" collapsed="false">
      <c r="A106" s="73"/>
      <c r="B106" s="8" t="s">
        <v>93</v>
      </c>
      <c r="C106" s="9" t="n">
        <v>1</v>
      </c>
      <c r="D106" s="9" t="n">
        <v>1</v>
      </c>
      <c r="E106" s="9"/>
      <c r="F106" s="9" t="s">
        <v>11</v>
      </c>
      <c r="G106" s="11"/>
      <c r="H106" s="12" t="s">
        <v>14</v>
      </c>
      <c r="I106" s="11" t="n">
        <v>5.16</v>
      </c>
    </row>
    <row r="107" customFormat="false" ht="14.25" hidden="false" customHeight="true" outlineLevel="0" collapsed="false">
      <c r="A107" s="73"/>
      <c r="B107" s="8" t="s">
        <v>94</v>
      </c>
      <c r="C107" s="9" t="n">
        <v>1</v>
      </c>
      <c r="D107" s="9" t="n">
        <v>1</v>
      </c>
      <c r="E107" s="9"/>
      <c r="F107" s="9" t="s">
        <v>11</v>
      </c>
      <c r="G107" s="11"/>
      <c r="H107" s="12" t="s">
        <v>14</v>
      </c>
      <c r="I107" s="11" t="n">
        <v>9.47</v>
      </c>
    </row>
    <row r="108" customFormat="false" ht="13.5" hidden="false" customHeight="false" outlineLevel="0" collapsed="false">
      <c r="A108" s="73"/>
      <c r="B108" s="8" t="s">
        <v>95</v>
      </c>
      <c r="C108" s="9" t="n">
        <v>1</v>
      </c>
      <c r="D108" s="9" t="n">
        <v>1</v>
      </c>
      <c r="E108" s="9"/>
      <c r="F108" s="9" t="s">
        <v>11</v>
      </c>
      <c r="G108" s="11"/>
      <c r="H108" s="12" t="s">
        <v>14</v>
      </c>
      <c r="I108" s="11" t="n">
        <v>14.82</v>
      </c>
    </row>
    <row r="109" customFormat="false" ht="13.5" hidden="false" customHeight="false" outlineLevel="0" collapsed="false">
      <c r="A109" s="73"/>
      <c r="B109" s="8" t="s">
        <v>96</v>
      </c>
      <c r="C109" s="9" t="n">
        <v>1</v>
      </c>
      <c r="D109" s="9" t="n">
        <v>1</v>
      </c>
      <c r="E109" s="9"/>
      <c r="F109" s="9" t="s">
        <v>11</v>
      </c>
      <c r="G109" s="11"/>
      <c r="H109" s="12" t="s">
        <v>14</v>
      </c>
      <c r="I109" s="11" t="n">
        <v>8.94</v>
      </c>
    </row>
    <row r="110" customFormat="false" ht="24" hidden="false" customHeight="true" outlineLevel="0" collapsed="false">
      <c r="A110" s="73"/>
      <c r="B110" s="8" t="s">
        <v>97</v>
      </c>
      <c r="C110" s="9" t="n">
        <v>1</v>
      </c>
      <c r="D110" s="9" t="n">
        <v>1</v>
      </c>
      <c r="E110" s="9"/>
      <c r="F110" s="9" t="s">
        <v>11</v>
      </c>
      <c r="G110" s="11"/>
      <c r="H110" s="12" t="s">
        <v>14</v>
      </c>
      <c r="I110" s="11" t="n">
        <v>11.61</v>
      </c>
    </row>
    <row r="111" customFormat="false" ht="42" hidden="false" customHeight="true" outlineLevel="0" collapsed="false">
      <c r="A111" s="73"/>
      <c r="B111" s="74" t="s">
        <v>23</v>
      </c>
      <c r="C111" s="74"/>
      <c r="D111" s="74"/>
      <c r="E111" s="74"/>
      <c r="F111" s="74"/>
      <c r="G111" s="74"/>
      <c r="H111" s="74"/>
      <c r="I111" s="75" t="n">
        <f aca="false">I105+I106+I107+I108+I109+I110</f>
        <v>54.8</v>
      </c>
    </row>
    <row r="112" customFormat="false" ht="20.25" hidden="false" customHeight="true" outlineLevel="0" collapsed="false">
      <c r="A112" s="76" t="s">
        <v>98</v>
      </c>
      <c r="B112" s="77" t="s">
        <v>99</v>
      </c>
      <c r="C112" s="78" t="n">
        <v>1</v>
      </c>
      <c r="D112" s="78" t="n">
        <v>1</v>
      </c>
      <c r="E112" s="32"/>
      <c r="F112" s="79" t="s">
        <v>11</v>
      </c>
      <c r="G112" s="80"/>
      <c r="H112" s="81" t="s">
        <v>28</v>
      </c>
      <c r="I112" s="80" t="n">
        <v>6.15</v>
      </c>
    </row>
    <row r="113" customFormat="false" ht="23.25" hidden="false" customHeight="true" outlineLevel="0" collapsed="false">
      <c r="A113" s="76"/>
      <c r="B113" s="77" t="s">
        <v>100</v>
      </c>
      <c r="C113" s="78" t="n">
        <v>1</v>
      </c>
      <c r="D113" s="78" t="n">
        <v>1</v>
      </c>
      <c r="E113" s="32"/>
      <c r="F113" s="79" t="s">
        <v>11</v>
      </c>
      <c r="G113" s="80"/>
      <c r="H113" s="81" t="s">
        <v>28</v>
      </c>
      <c r="I113" s="80" t="n">
        <v>265.4</v>
      </c>
    </row>
    <row r="114" customFormat="false" ht="21" hidden="false" customHeight="true" outlineLevel="0" collapsed="false">
      <c r="A114" s="76"/>
      <c r="B114" s="77" t="s">
        <v>101</v>
      </c>
      <c r="C114" s="78"/>
      <c r="D114" s="32"/>
      <c r="E114" s="32"/>
      <c r="F114" s="79" t="s">
        <v>11</v>
      </c>
      <c r="G114" s="82"/>
      <c r="H114" s="81" t="s">
        <v>28</v>
      </c>
      <c r="I114" s="78"/>
    </row>
    <row r="115" customFormat="false" ht="21" hidden="false" customHeight="true" outlineLevel="0" collapsed="false">
      <c r="A115" s="76"/>
      <c r="B115" s="77" t="s">
        <v>102</v>
      </c>
      <c r="C115" s="78"/>
      <c r="D115" s="32"/>
      <c r="E115" s="32"/>
      <c r="F115" s="79" t="s">
        <v>11</v>
      </c>
      <c r="G115" s="82"/>
      <c r="H115" s="81" t="s">
        <v>28</v>
      </c>
      <c r="I115" s="78"/>
    </row>
    <row r="116" customFormat="false" ht="27" hidden="false" customHeight="true" outlineLevel="0" collapsed="false">
      <c r="A116" s="76"/>
      <c r="B116" s="83" t="s">
        <v>23</v>
      </c>
      <c r="C116" s="83"/>
      <c r="D116" s="83"/>
      <c r="E116" s="83"/>
      <c r="F116" s="83"/>
      <c r="G116" s="83"/>
      <c r="H116" s="83"/>
      <c r="I116" s="84" t="n">
        <f aca="false">I112+I113+I114+I115</f>
        <v>271.55</v>
      </c>
    </row>
    <row r="117" customFormat="false" ht="30" hidden="false" customHeight="true" outlineLevel="0" collapsed="false">
      <c r="A117" s="52" t="s">
        <v>103</v>
      </c>
      <c r="B117" s="16" t="s">
        <v>104</v>
      </c>
      <c r="C117" s="17" t="s">
        <v>92</v>
      </c>
      <c r="D117" s="17" t="n">
        <v>1</v>
      </c>
      <c r="E117" s="17"/>
      <c r="F117" s="17" t="s">
        <v>11</v>
      </c>
      <c r="G117" s="18"/>
      <c r="H117" s="19" t="s">
        <v>105</v>
      </c>
      <c r="I117" s="18" t="n">
        <v>90.6</v>
      </c>
      <c r="J117" s="50"/>
    </row>
    <row r="118" customFormat="false" ht="22.5" hidden="false" customHeight="true" outlineLevel="0" collapsed="false">
      <c r="A118" s="52"/>
      <c r="B118" s="16" t="s">
        <v>106</v>
      </c>
      <c r="C118" s="17" t="s">
        <v>92</v>
      </c>
      <c r="D118" s="17" t="n">
        <v>1</v>
      </c>
      <c r="E118" s="17"/>
      <c r="F118" s="17" t="s">
        <v>87</v>
      </c>
      <c r="G118" s="64"/>
      <c r="H118" s="19" t="s">
        <v>105</v>
      </c>
      <c r="I118" s="17"/>
      <c r="J118" s="50"/>
    </row>
    <row r="119" customFormat="false" ht="22.5" hidden="false" customHeight="true" outlineLevel="0" collapsed="false">
      <c r="A119" s="52"/>
      <c r="B119" s="16" t="s">
        <v>107</v>
      </c>
      <c r="C119" s="17" t="s">
        <v>92</v>
      </c>
      <c r="D119" s="17" t="n">
        <v>1</v>
      </c>
      <c r="E119" s="17"/>
      <c r="F119" s="17" t="s">
        <v>87</v>
      </c>
      <c r="G119" s="64"/>
      <c r="H119" s="19" t="s">
        <v>108</v>
      </c>
      <c r="I119" s="17"/>
      <c r="J119" s="50"/>
    </row>
    <row r="120" customFormat="false" ht="22.5" hidden="false" customHeight="true" outlineLevel="0" collapsed="false">
      <c r="A120" s="52"/>
      <c r="B120" s="16" t="s">
        <v>109</v>
      </c>
      <c r="C120" s="17" t="s">
        <v>92</v>
      </c>
      <c r="D120" s="17" t="n">
        <v>1</v>
      </c>
      <c r="E120" s="17"/>
      <c r="F120" s="17" t="s">
        <v>11</v>
      </c>
      <c r="G120" s="18"/>
      <c r="H120" s="19" t="s">
        <v>108</v>
      </c>
      <c r="I120" s="18" t="n">
        <v>177.64</v>
      </c>
    </row>
    <row r="121" customFormat="false" ht="22.5" hidden="false" customHeight="true" outlineLevel="0" collapsed="false">
      <c r="A121" s="52"/>
      <c r="B121" s="16" t="s">
        <v>110</v>
      </c>
      <c r="C121" s="17" t="n">
        <v>2</v>
      </c>
      <c r="D121" s="17" t="n">
        <v>2</v>
      </c>
      <c r="E121" s="17"/>
      <c r="F121" s="17"/>
      <c r="G121" s="18"/>
      <c r="H121" s="19" t="s">
        <v>108</v>
      </c>
      <c r="I121" s="18" t="n">
        <v>212.88</v>
      </c>
    </row>
    <row r="122" customFormat="false" ht="36.75" hidden="false" customHeight="true" outlineLevel="0" collapsed="false">
      <c r="A122" s="52"/>
      <c r="B122" s="16" t="s">
        <v>111</v>
      </c>
      <c r="C122" s="17" t="s">
        <v>92</v>
      </c>
      <c r="D122" s="17" t="n">
        <v>1</v>
      </c>
      <c r="E122" s="17"/>
      <c r="F122" s="17" t="s">
        <v>87</v>
      </c>
      <c r="G122" s="64"/>
      <c r="H122" s="19" t="s">
        <v>105</v>
      </c>
      <c r="I122" s="17"/>
    </row>
    <row r="123" customFormat="false" ht="36.75" hidden="false" customHeight="true" outlineLevel="0" collapsed="false">
      <c r="A123" s="52"/>
      <c r="B123" s="20" t="s">
        <v>23</v>
      </c>
      <c r="C123" s="20"/>
      <c r="D123" s="20"/>
      <c r="E123" s="20"/>
      <c r="F123" s="20"/>
      <c r="G123" s="20"/>
      <c r="H123" s="20"/>
      <c r="I123" s="21" t="n">
        <f aca="false">I117+I118+I119+I120+I121+I122</f>
        <v>481.12</v>
      </c>
    </row>
    <row r="124" customFormat="false" ht="111" hidden="false" customHeight="true" outlineLevel="0" collapsed="false">
      <c r="A124" s="85" t="s">
        <v>112</v>
      </c>
      <c r="B124" s="86" t="s">
        <v>113</v>
      </c>
      <c r="C124" s="87" t="n">
        <v>1</v>
      </c>
      <c r="D124" s="87" t="n">
        <v>1</v>
      </c>
      <c r="E124" s="87"/>
      <c r="F124" s="87" t="s">
        <v>11</v>
      </c>
      <c r="G124" s="88"/>
      <c r="H124" s="89" t="s">
        <v>28</v>
      </c>
      <c r="I124" s="87" t="n">
        <v>122.82</v>
      </c>
    </row>
    <row r="125" customFormat="false" ht="13.5" hidden="false" customHeight="false" outlineLevel="0" collapsed="false">
      <c r="A125" s="90" t="s">
        <v>114</v>
      </c>
      <c r="B125" s="90"/>
      <c r="C125" s="90"/>
      <c r="D125" s="90"/>
      <c r="E125" s="90"/>
      <c r="F125" s="90"/>
      <c r="G125" s="90"/>
      <c r="H125" s="90"/>
      <c r="I125" s="91" t="n">
        <f aca="false">I12+I19+I36+I53+I70+I77+I88+I92+I97+I103+I111+I116+I123+I124</f>
        <v>4281.52</v>
      </c>
    </row>
    <row r="126" customFormat="false" ht="14.25" hidden="false" customHeight="true" outlineLevel="0" collapsed="false">
      <c r="A126" s="90"/>
      <c r="B126" s="90"/>
      <c r="C126" s="90"/>
      <c r="D126" s="90"/>
      <c r="E126" s="90"/>
      <c r="F126" s="90"/>
      <c r="G126" s="90"/>
      <c r="H126" s="90"/>
      <c r="I126" s="91"/>
    </row>
  </sheetData>
  <mergeCells count="113">
    <mergeCell ref="A3:A12"/>
    <mergeCell ref="B12:H12"/>
    <mergeCell ref="A13:A19"/>
    <mergeCell ref="B19:H19"/>
    <mergeCell ref="A20:A77"/>
    <mergeCell ref="B20:B21"/>
    <mergeCell ref="C20:C21"/>
    <mergeCell ref="D20:D21"/>
    <mergeCell ref="E20:E21"/>
    <mergeCell ref="F20:F21"/>
    <mergeCell ref="H20:H21"/>
    <mergeCell ref="B22:B25"/>
    <mergeCell ref="C22:C25"/>
    <mergeCell ref="D22:D25"/>
    <mergeCell ref="E22:E25"/>
    <mergeCell ref="F22:F25"/>
    <mergeCell ref="H22:H25"/>
    <mergeCell ref="B26:B27"/>
    <mergeCell ref="C26:C27"/>
    <mergeCell ref="D26:D27"/>
    <mergeCell ref="E26:E27"/>
    <mergeCell ref="F26:F27"/>
    <mergeCell ref="H26:H27"/>
    <mergeCell ref="B28:B29"/>
    <mergeCell ref="C28:C29"/>
    <mergeCell ref="D28:D29"/>
    <mergeCell ref="E28:E29"/>
    <mergeCell ref="F28:F29"/>
    <mergeCell ref="G28:G29"/>
    <mergeCell ref="H28:H29"/>
    <mergeCell ref="I28:I29"/>
    <mergeCell ref="B36:H36"/>
    <mergeCell ref="B37:B38"/>
    <mergeCell ref="C37:C38"/>
    <mergeCell ref="D37:D38"/>
    <mergeCell ref="E37:E38"/>
    <mergeCell ref="F37:F38"/>
    <mergeCell ref="H37:H38"/>
    <mergeCell ref="B39:B42"/>
    <mergeCell ref="C39:C42"/>
    <mergeCell ref="D39:D42"/>
    <mergeCell ref="E39:E42"/>
    <mergeCell ref="F39:F42"/>
    <mergeCell ref="H39:H42"/>
    <mergeCell ref="B43:B44"/>
    <mergeCell ref="C43:C44"/>
    <mergeCell ref="D43:D44"/>
    <mergeCell ref="E43:E44"/>
    <mergeCell ref="F43:F44"/>
    <mergeCell ref="H43:H44"/>
    <mergeCell ref="B45:B46"/>
    <mergeCell ref="C45:C46"/>
    <mergeCell ref="D45:D46"/>
    <mergeCell ref="E45:E46"/>
    <mergeCell ref="F45:F46"/>
    <mergeCell ref="G45:G46"/>
    <mergeCell ref="H45:H46"/>
    <mergeCell ref="I45:I46"/>
    <mergeCell ref="B53:H53"/>
    <mergeCell ref="B54:B55"/>
    <mergeCell ref="C54:C55"/>
    <mergeCell ref="D54:D55"/>
    <mergeCell ref="E54:E55"/>
    <mergeCell ref="F54:F55"/>
    <mergeCell ref="H54:H55"/>
    <mergeCell ref="B56:B59"/>
    <mergeCell ref="C56:C59"/>
    <mergeCell ref="D56:D59"/>
    <mergeCell ref="E56:E59"/>
    <mergeCell ref="F56:F59"/>
    <mergeCell ref="H56:H59"/>
    <mergeCell ref="B60:B61"/>
    <mergeCell ref="C60:C61"/>
    <mergeCell ref="D60:D61"/>
    <mergeCell ref="E60:E61"/>
    <mergeCell ref="F60:F61"/>
    <mergeCell ref="H60:H61"/>
    <mergeCell ref="B62:B63"/>
    <mergeCell ref="C62:C63"/>
    <mergeCell ref="D62:D63"/>
    <mergeCell ref="E62:E63"/>
    <mergeCell ref="F62:F63"/>
    <mergeCell ref="G62:G63"/>
    <mergeCell ref="H62:H63"/>
    <mergeCell ref="I62:I63"/>
    <mergeCell ref="B70:H70"/>
    <mergeCell ref="B72:B73"/>
    <mergeCell ref="C72:C73"/>
    <mergeCell ref="D72:D73"/>
    <mergeCell ref="E72:E73"/>
    <mergeCell ref="F72:F73"/>
    <mergeCell ref="B77:H77"/>
    <mergeCell ref="A78:A88"/>
    <mergeCell ref="B88:H88"/>
    <mergeCell ref="A89:A92"/>
    <mergeCell ref="J89:J92"/>
    <mergeCell ref="B92:H92"/>
    <mergeCell ref="A93:A97"/>
    <mergeCell ref="B97:H97"/>
    <mergeCell ref="A98:A99"/>
    <mergeCell ref="J98:J102"/>
    <mergeCell ref="A100:A103"/>
    <mergeCell ref="B103:H103"/>
    <mergeCell ref="A104:I104"/>
    <mergeCell ref="A105:A111"/>
    <mergeCell ref="B111:H111"/>
    <mergeCell ref="A112:A116"/>
    <mergeCell ref="B116:H116"/>
    <mergeCell ref="A117:A123"/>
    <mergeCell ref="J117:J119"/>
    <mergeCell ref="B123:H123"/>
    <mergeCell ref="A125:H126"/>
    <mergeCell ref="I125:I126"/>
  </mergeCells>
  <printOptions headings="false" gridLines="false" gridLinesSet="true" horizontalCentered="true" verticalCentered="true"/>
  <pageMargins left="0.236111111111111" right="0.236111111111111" top="0.747916666666667" bottom="0.747916666666667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2026-04-22T00:38:28Z</dcterms:created>
  <dc:creator>TONNY</dc:creator>
  <dc:description/>
  <dc:language>en-US</dc:language>
  <cp:lastModifiedBy>renato vela ñaupi</cp:lastModifiedBy>
  <cp:lastPrinted>2026-10-02T21:21:53Z</cp:lastPrinted>
  <dcterms:modified xsi:type="dcterms:W3CDTF">2026-10-28T21:23:02Z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