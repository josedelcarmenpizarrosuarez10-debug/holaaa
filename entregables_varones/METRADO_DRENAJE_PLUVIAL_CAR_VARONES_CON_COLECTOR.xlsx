
<file path=[Content_Types].xml><?xml version="1.0" encoding="utf-8"?>
<Types xmlns="http://schemas.openxmlformats.org/package/2006/content-types">
  <Default Extension="vml" ContentType="application/vnd.openxmlformats-officedocument.vmlDrawing"/>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24.xml" ContentType="application/vnd.openxmlformats-officedocument.spreadsheetml.worksheet+xml"/>
  <Override PartName="/xl/worksheets/sheet1.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6.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tables/table1.xml" ContentType="application/vnd.openxmlformats-officedocument.spreadsheetml.table+xml"/>
  <Override PartName="/xl/comments11.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839" firstSheet="0" activeTab="23"/>
  </bookViews>
  <sheets>
    <sheet name="RESUMEN" sheetId="1" state="visible" r:id="rId3"/>
    <sheet name="PLANILLA GENERAL DE METRADOS" sheetId="2" state="visible" r:id="rId4"/>
    <sheet name="CONCRETO EN CUNETAS" sheetId="3" state="visible" r:id="rId5"/>
    <sheet name="ENCOFRADO Y DESENCOFRADO" sheetId="4" state="visible" r:id="rId6"/>
    <sheet name="METRADO MONTANTES" sheetId="5" state="visible" r:id="rId7"/>
    <sheet name="METRADO CANALETAS" sheetId="6" state="visible" r:id="rId8"/>
    <sheet name="METRADO  EN PISO (SUMIDERO)" sheetId="7" state="visible" r:id="rId9"/>
    <sheet name="METRADO ACERO" sheetId="8" state="visible" r:id="rId10"/>
    <sheet name="METRADO DE CURADO" sheetId="9" state="visible" r:id="rId11"/>
    <sheet name="METRADO DE REJILLAS" sheetId="10" state="visible" r:id="rId12"/>
    <sheet name="METRADO JUNTA DE DILATACION" sheetId="11" state="visible" r:id="rId13"/>
    <sheet name="METRADO LLORADEROS" sheetId="12" state="visible" r:id="rId14"/>
    <sheet name="PLANILLA TAPAS REGISTRO INTERNO" sheetId="13" state="visible" r:id="rId15"/>
    <sheet name="CUNETAS - LLEGADA AL COLECTOR" sheetId="14" state="visible" r:id="rId16"/>
    <sheet name="PARAMETROS" sheetId="15" state="visible" r:id="rId17"/>
    <sheet name="Listas" sheetId="16" state="hidden" r:id="rId18"/>
    <sheet name="COLECTOR PARAMETROS" sheetId="17" state="visible" r:id="rId19"/>
    <sheet name="COLECTOR MOV. TIERRAS" sheetId="18" state="visible" r:id="rId20"/>
    <sheet name="COLECTOR CONCRETO" sheetId="19" state="visible" r:id="rId21"/>
    <sheet name="COLECTOR ENCOFRADO" sheetId="20" state="visible" r:id="rId22"/>
    <sheet name="COLECTOR ACERO" sheetId="21" state="visible" r:id="rId23"/>
    <sheet name="COLECTOR REGISTROS Y TAPAS" sheetId="22" state="visible" r:id="rId24"/>
    <sheet name="COLECTOR JUNTAS Y EMPALMES" sheetId="23" state="visible" r:id="rId25"/>
    <sheet name="COLECTOR INSUMOS" sheetId="24" state="visible" r:id="rId26"/>
    <sheet name="COSTO HORA HOMBRE 2026" sheetId="25" state="visible" r:id="rId28"/>
    <sheet name="ACU TAPA REGISTRO" sheetId="26" state="visible" r:id="rId29"/>
    <sheet name="ACU CANALETAS" sheetId="27" state="visible" r:id="rId30"/>
    <sheet name="DESAGREGADO TAPA REGISTRO" sheetId="28" state="visible" r:id="rId31"/>
    <sheet name="ACU JUNTA DILATACION" sheetId="29" state="visible" r:id="rId32"/>
    <sheet name="ACU JUNTA CAJA CL" sheetId="30" state="visible" r:id="rId33"/>
    <sheet name="DESAGREGADO LLORADEROS" sheetId="31" state="visible" r:id="rId34"/>
    <sheet name="ACU LLORADEROS" sheetId="32" state="visible" r:id="rId35"/>
  </sheets>
  <definedNames>
    <definedName function="false" hidden="false" localSheetId="2" name="_xlnm.Print_Area" vbProcedure="false">'CONCRETO EN CUNETAS'!$A$1:$O$79</definedName>
    <definedName function="false" hidden="false" localSheetId="2" name="_xlnm.Print_Titles" vbProcedure="false">'CONCRETO EN CUNETAS'!$1:$8</definedName>
    <definedName function="false" hidden="false" localSheetId="3" name="_xlnm.Print_Area" vbProcedure="false">'ENCOFRADO Y DESENCOFRADO'!$A$1:$P$79</definedName>
    <definedName function="false" hidden="false" localSheetId="3" name="_xlnm.Print_Titles" vbProcedure="false">'ENCOFRADO Y DESENCOFRADO'!$2:$7</definedName>
    <definedName function="false" hidden="false" localSheetId="5" name="_xlnm.Print_Area" vbProcedure="false">'METRADO CANALETAS'!$A$1:$L$56</definedName>
    <definedName function="false" hidden="false" localSheetId="5" name="_xlnm.Print_Titles" vbProcedure="false">'METRADO CANALETAS'!$1:$10</definedName>
    <definedName function="false" hidden="false" localSheetId="4" name="_xlnm.Print_Area" vbProcedure="false">'METRADO MONTANTES'!$A$1:$O$51</definedName>
    <definedName function="false" hidden="false" localSheetId="4" name="_xlnm.Print_Titles" vbProcedure="false">'METRADO MONTANTES'!$1:$10</definedName>
    <definedName function="false" hidden="false" localSheetId="1" name="_xlnm.Print_Area" vbProcedure="false">'PLANILLA GENERAL DE METRADOS'!$A$1:$L$216</definedName>
    <definedName function="false" hidden="false" localSheetId="0" name="_xlnm.Print_Area" vbProcedure="false">RESUMEN!$A$1:$D$82</definedName>
  </definedNames>
  <calcPr iterateCount="100" refMode="A1" iterate="false" iterateDelta="0.0001"/>
  <extLst>
    <ext xmlns:loext="http://schemas.libreoffice.org/" uri="{7626C862-2A13-11E5-B345-FEFF819CDC9F}">
      <loext:extCalcPr stringRefSyntax="ExcelA1"/>
    </ext>
  </extLst>
</workbook>
</file>

<file path=xl/comments6.xml><?xml version="1.0" encoding="utf-8"?>
<comments xmlns="http://schemas.openxmlformats.org/spreadsheetml/2006/main" xmlns:xdr="http://schemas.openxmlformats.org/drawingml/2006/spreadsheetDrawing">
  <authors>
    <author>Unknown Author</author>
  </authors>
  <commentList>
    <comment ref="D13" authorId="0">
      <text>
        <r>
          <rPr>
            <sz val="10"/>
            <rFont val="Arial"/>
            <family val="2"/>
          </rPr>
          <t xml:space="preserve">Techo a dos aguas: se toma igual al Lado 01. Si el Lado 02 mide distinto, escribir aquí su longitud.</t>
        </r>
      </text>
    </comment>
    <comment ref="D16" authorId="0">
      <text>
        <r>
          <rPr>
            <sz val="10"/>
            <rFont val="Arial"/>
            <family val="2"/>
          </rPr>
          <t xml:space="preserve">Techo a dos aguas: se toma igual al Lado 01. Si el Lado 02 mide distinto, escribir aquí su longitud.</t>
        </r>
      </text>
    </comment>
    <comment ref="D19" authorId="0">
      <text>
        <r>
          <rPr>
            <sz val="10"/>
            <rFont val="Arial"/>
            <family val="2"/>
          </rPr>
          <t xml:space="preserve">Techo a dos aguas: se toma igual al Lado 01. Si el Lado 02 mide distinto, escribir aquí su longitud.</t>
        </r>
      </text>
    </comment>
    <comment ref="D22" authorId="0">
      <text>
        <r>
          <rPr>
            <sz val="10"/>
            <rFont val="Arial"/>
            <family val="2"/>
          </rPr>
          <t xml:space="preserve">Techo a dos aguas: se toma igual al Lado 01. Si el Lado 02 mide distinto, escribir aquí su longitud.</t>
        </r>
      </text>
    </comment>
    <comment ref="D25" authorId="0">
      <text>
        <r>
          <rPr>
            <sz val="10"/>
            <rFont val="Arial"/>
            <family val="2"/>
          </rPr>
          <t xml:space="preserve">Techo a dos aguas: se toma igual al Lado 01. Si el Lado 02 mide distinto, escribir aquí su longitud.</t>
        </r>
      </text>
    </comment>
    <comment ref="D28" authorId="0">
      <text>
        <r>
          <rPr>
            <sz val="10"/>
            <rFont val="Arial"/>
            <family val="2"/>
          </rPr>
          <t xml:space="preserve">Techo a dos aguas: se toma igual al Lado 01. Si el Lado 02 mide distinto, escribir aquí su longitud.</t>
        </r>
      </text>
    </comment>
    <comment ref="D31" authorId="0">
      <text>
        <r>
          <rPr>
            <sz val="10"/>
            <rFont val="Arial"/>
            <family val="2"/>
          </rPr>
          <t xml:space="preserve">Techo a dos aguas: se toma igual al Lado 01. Si el Lado 02 mide distinto, escribir aquí su longitud.</t>
        </r>
      </text>
    </comment>
    <comment ref="D34" authorId="0">
      <text>
        <r>
          <rPr>
            <sz val="10"/>
            <rFont val="Arial"/>
            <family val="2"/>
          </rPr>
          <t xml:space="preserve">Techo a dos aguas: se toma igual al Lado 01. Si el Lado 02 mide distinto, escribir aquí su longitud.</t>
        </r>
      </text>
    </comment>
    <comment ref="D37" authorId="0">
      <text>
        <r>
          <rPr>
            <sz val="10"/>
            <rFont val="Arial"/>
            <family val="2"/>
          </rPr>
          <t xml:space="preserve">Techo a dos aguas: se toma igual al Lado 01. Si el Lado 02 mide distinto, escribir aquí su longitud.</t>
        </r>
      </text>
    </comment>
    <comment ref="D40" authorId="0">
      <text>
        <r>
          <rPr>
            <sz val="10"/>
            <rFont val="Arial"/>
            <family val="2"/>
          </rPr>
          <t xml:space="preserve">Techo a dos aguas: se toma igual al Lado 01. Si el Lado 02 mide distinto, escribir aquí su longitud.</t>
        </r>
      </text>
    </comment>
    <comment ref="D43" authorId="0">
      <text>
        <r>
          <rPr>
            <sz val="10"/>
            <rFont val="Arial"/>
            <family val="2"/>
          </rPr>
          <t xml:space="preserve">Techo a dos aguas: se toma igual al Lado 01. Si el Lado 02 mide distinto, escribir aquí su longitud.</t>
        </r>
      </text>
    </comment>
    <comment ref="J12" authorId="0">
      <text>
        <r>
          <rPr>
            <sz val="10"/>
            <rFont val="Arial"/>
            <family val="2"/>
          </rPr>
          <t xml:space="preserve">Igual al N° de montantes de METRADO MONTANTES, EDIFICACION 01, Lado A.</t>
        </r>
      </text>
    </comment>
    <comment ref="J13" authorId="0">
      <text>
        <r>
          <rPr>
            <sz val="10"/>
            <rFont val="Arial"/>
            <family val="2"/>
          </rPr>
          <t xml:space="preserve">Igual al N° de montantes de METRADO MONTANTES, EDIFICACION 01, Lado B.</t>
        </r>
      </text>
    </comment>
    <comment ref="J15" authorId="0">
      <text>
        <r>
          <rPr>
            <sz val="10"/>
            <rFont val="Arial"/>
            <family val="2"/>
          </rPr>
          <t xml:space="preserve">Igual al N° de montantes de METRADO MONTANTES, EDIFICACION 02, Lado A.</t>
        </r>
      </text>
    </comment>
    <comment ref="J16" authorId="0">
      <text>
        <r>
          <rPr>
            <sz val="10"/>
            <rFont val="Arial"/>
            <family val="2"/>
          </rPr>
          <t xml:space="preserve">Igual al N° de montantes de METRADO MONTANTES, EDIFICACION 02, Lado B.</t>
        </r>
      </text>
    </comment>
    <comment ref="J18" authorId="0">
      <text>
        <r>
          <rPr>
            <sz val="10"/>
            <rFont val="Arial"/>
            <family val="2"/>
          </rPr>
          <t xml:space="preserve">Igual al N° de montantes de METRADO MONTANTES, EDIFICACION 03, Lado A.</t>
        </r>
      </text>
    </comment>
    <comment ref="J19" authorId="0">
      <text>
        <r>
          <rPr>
            <sz val="10"/>
            <rFont val="Arial"/>
            <family val="2"/>
          </rPr>
          <t xml:space="preserve">Igual al N° de montantes de METRADO MONTANTES, EDIFICACION 03, Lado B.</t>
        </r>
      </text>
    </comment>
    <comment ref="J21" authorId="0">
      <text>
        <r>
          <rPr>
            <sz val="10"/>
            <rFont val="Arial"/>
            <family val="2"/>
          </rPr>
          <t xml:space="preserve">Igual al N° de montantes de METRADO MONTANTES, EDIFICACION 04, Lado A.</t>
        </r>
      </text>
    </comment>
    <comment ref="J22" authorId="0">
      <text>
        <r>
          <rPr>
            <sz val="10"/>
            <rFont val="Arial"/>
            <family val="2"/>
          </rPr>
          <t xml:space="preserve">Igual al N° de montantes de METRADO MONTANTES, EDIFICACION 04, Lado B.</t>
        </r>
      </text>
    </comment>
    <comment ref="J24" authorId="0">
      <text>
        <r>
          <rPr>
            <sz val="10"/>
            <rFont val="Arial"/>
            <family val="2"/>
          </rPr>
          <t xml:space="preserve">Igual al N° de montantes de METRADO MONTANTES, EDIFICACION 05, Lado A.</t>
        </r>
      </text>
    </comment>
    <comment ref="J25" authorId="0">
      <text>
        <r>
          <rPr>
            <sz val="10"/>
            <rFont val="Arial"/>
            <family val="2"/>
          </rPr>
          <t xml:space="preserve">Igual al N° de montantes de METRADO MONTANTES, EDIFICACION 05, Lado B.</t>
        </r>
      </text>
    </comment>
    <comment ref="J27" authorId="0">
      <text>
        <r>
          <rPr>
            <sz val="10"/>
            <rFont val="Arial"/>
            <family val="2"/>
          </rPr>
          <t xml:space="preserve">Igual al N° de montantes de METRADO MONTANTES, EDIFICACION 06, Lado A.</t>
        </r>
      </text>
    </comment>
    <comment ref="J28" authorId="0">
      <text>
        <r>
          <rPr>
            <sz val="10"/>
            <rFont val="Arial"/>
            <family val="2"/>
          </rPr>
          <t xml:space="preserve">Igual al N° de montantes de METRADO MONTANTES, EDIFICACION 06, Lado B.</t>
        </r>
      </text>
    </comment>
    <comment ref="J30" authorId="0">
      <text>
        <r>
          <rPr>
            <sz val="10"/>
            <rFont val="Arial"/>
            <family val="2"/>
          </rPr>
          <t xml:space="preserve">Igual al N° de montantes de METRADO MONTANTES, EDIFICACION 07, Lado A.</t>
        </r>
      </text>
    </comment>
    <comment ref="J31" authorId="0">
      <text>
        <r>
          <rPr>
            <sz val="10"/>
            <rFont val="Arial"/>
            <family val="2"/>
          </rPr>
          <t xml:space="preserve">Igual al N° de montantes de METRADO MONTANTES, EDIFICACION 07, Lado B.</t>
        </r>
      </text>
    </comment>
    <comment ref="J33" authorId="0">
      <text>
        <r>
          <rPr>
            <sz val="10"/>
            <rFont val="Arial"/>
            <family val="2"/>
          </rPr>
          <t xml:space="preserve">Igual al N° de montantes de METRADO MONTANTES, EDIFICACION 08, Lado A + Lado A".</t>
        </r>
      </text>
    </comment>
    <comment ref="J34" authorId="0">
      <text>
        <r>
          <rPr>
            <sz val="10"/>
            <rFont val="Arial"/>
            <family val="2"/>
          </rPr>
          <t xml:space="preserve">Igual al N° de montantes de METRADO MONTANTES, EDIFICACION 08, Lado B + Lado B".</t>
        </r>
      </text>
    </comment>
    <comment ref="J36" authorId="0">
      <text>
        <r>
          <rPr>
            <sz val="10"/>
            <rFont val="Arial"/>
            <family val="2"/>
          </rPr>
          <t xml:space="preserve">Igual al N° de montantes de METRADO MONTANTES, EDIFICACION 09, Lado A.</t>
        </r>
      </text>
    </comment>
    <comment ref="J37" authorId="0">
      <text>
        <r>
          <rPr>
            <sz val="10"/>
            <rFont val="Arial"/>
            <family val="2"/>
          </rPr>
          <t xml:space="preserve">Igual al N° de montantes de METRADO MONTANTES, EDIFICACION 09, Lado B.</t>
        </r>
      </text>
    </comment>
    <comment ref="J39" authorId="0">
      <text>
        <r>
          <rPr>
            <sz val="10"/>
            <rFont val="Arial"/>
            <family val="2"/>
          </rPr>
          <t xml:space="preserve">Igual al N° de montantes de METRADO MONTANTES, EDIFICACION 10, Lado A.</t>
        </r>
      </text>
    </comment>
    <comment ref="J40" authorId="0">
      <text>
        <r>
          <rPr>
            <sz val="10"/>
            <rFont val="Arial"/>
            <family val="2"/>
          </rPr>
          <t xml:space="preserve">Igual al N° de montantes de METRADO MONTANTES, EDIFICACION 10, Lado B.</t>
        </r>
      </text>
    </comment>
    <comment ref="J42" authorId="0">
      <text>
        <r>
          <rPr>
            <sz val="10"/>
            <rFont val="Arial"/>
            <family val="2"/>
          </rPr>
          <t xml:space="preserve">Igual al N° de montantes de METRADO MONTANTES, LOSA DEPORTIVA, Lado A.</t>
        </r>
      </text>
    </comment>
    <comment ref="J43" authorId="0">
      <text>
        <r>
          <rPr>
            <sz val="10"/>
            <rFont val="Arial"/>
            <family val="2"/>
          </rPr>
          <t xml:space="preserve">Igual al N° de montantes de METRADO MONTANTES, LOSA DEPORTIVA, Lado B.</t>
        </r>
      </text>
    </comment>
  </commentList>
</comments>
</file>

<file path=xl/comments11.xml><?xml version="1.0" encoding="utf-8"?>
<comments xmlns="http://schemas.openxmlformats.org/spreadsheetml/2006/main" xmlns:xdr="http://schemas.openxmlformats.org/drawingml/2006/spreadsheetDrawing">
  <authors>
    <author>Unknown Author</author>
  </authors>
  <commentList>
    <comment ref="E13" authorId="0">
      <text>
        <r>
          <rPr>
            <sz val="10"/>
            <rFont val="Arial"/>
            <family val="2"/>
          </rPr>
          <t xml:space="preserve">Área de muro (un solo muro) tomada de la hoja 'CONCRETO ARMADO EN CUNETAS' de tu Excel (fila AREA, bajo MUROS de cada eje).</t>
        </r>
      </text>
    </comment>
    <comment ref="F13" authorId="0">
      <text>
        <r>
          <rPr>
            <sz val="10"/>
            <rFont val="Arial"/>
            <family val="2"/>
          </rPr>
          <t xml:space="preserve">Altura de muro = Área de muro / Longitud del eje (misma altura usada para el volumen de concreto de muros en tu hoja original).</t>
        </r>
      </text>
    </comment>
    <comment ref="H13" authorId="0">
      <text>
        <r>
          <rPr>
            <sz val="10"/>
            <rFont val="Arial"/>
            <family val="2"/>
          </rPr>
          <t xml:space="preserve">N° de juntas = REDONDEAR.MAS(Longitud eje / Espaciamiento). Ajusta si tu criterio es distinto (p.ej. no contar junta en los extremos).</t>
        </r>
      </text>
    </comment>
  </commentList>
</comments>
</file>

<file path=xl/sharedStrings.xml><?xml version="1.0" encoding="utf-8"?>
<sst xmlns="http://schemas.openxmlformats.org/spreadsheetml/2006/main" count="2474" uniqueCount="1332">
  <si>
    <t xml:space="preserve">RESUMEN METRADOS DE DRENAJE PLUVIAL</t>
  </si>
  <si>
    <t xml:space="preserve">ENTIDAD</t>
  </si>
  <si>
    <t xml:space="preserve">GERENCIA TERRITORIAL BAJO MAYO - TARAPOTO</t>
  </si>
  <si>
    <t xml:space="preserve">PROYECTO</t>
  </si>
  <si>
    <t xml:space="preserve">CREACIÓN DEL SERVICIO DE PROTECCIÓN INTEGRAL A NIÑAS, NIÑOS Y ADOLESCENTES SIN CUIDADOS PARENTALES O EN RIESGO DE PERDERLOS EN CENTRO DE ACOGIDA RESIDENCIAL - VARONES DISTRITO DE MORALES DE LA PROVINCIA DE SAN MARTÍN DEL DEPARTAMENTO DE SAN MARTÍN, con CUI N.° 2705619</t>
  </si>
  <si>
    <t xml:space="preserve">UBICACIÓN</t>
  </si>
  <si>
    <t xml:space="preserve">SAN MARTIN - SAN MARTIN - MORALES</t>
  </si>
  <si>
    <t xml:space="preserve">FECHA</t>
  </si>
  <si>
    <t xml:space="preserve">Item</t>
  </si>
  <si>
    <t xml:space="preserve">Descripción</t>
  </si>
  <si>
    <t xml:space="preserve">Unid.</t>
  </si>
  <si>
    <t xml:space="preserve">Total.</t>
  </si>
  <si>
    <t xml:space="preserve">01.04.03</t>
  </si>
  <si>
    <t xml:space="preserve">SISTEMA DE DRENAJE PLUVIAL</t>
  </si>
  <si>
    <t xml:space="preserve">01.04.03.01</t>
  </si>
  <si>
    <t xml:space="preserve">TRABAJOS PRELIMINARES</t>
  </si>
  <si>
    <t xml:space="preserve">01.04.03.01.01</t>
  </si>
  <si>
    <t xml:space="preserve">LIMPIEZA MANUAL DE TERRENO</t>
  </si>
  <si>
    <t xml:space="preserve">m²</t>
  </si>
  <si>
    <t xml:space="preserve">01.04.03.01.02</t>
  </si>
  <si>
    <t xml:space="preserve">TRAZO, NIVELES Y REPLANTEO PRELIMINAR</t>
  </si>
  <si>
    <t xml:space="preserve">01.04.03.02</t>
  </si>
  <si>
    <t xml:space="preserve">MOVIMIENTO DE TIERRAS</t>
  </si>
  <si>
    <t xml:space="preserve">01.04.03.02.01</t>
  </si>
  <si>
    <t xml:space="preserve">EXCAVACIÓN MANUAL DE ZANJAS P/CUNETAS</t>
  </si>
  <si>
    <t xml:space="preserve">m³</t>
  </si>
  <si>
    <t xml:space="preserve">01.04.03.02.02</t>
  </si>
  <si>
    <t xml:space="preserve">EXCAVACIÓN MANUAL DE ZANJAS P/DADOS DE CONCRETO</t>
  </si>
  <si>
    <t xml:space="preserve">01.04.03.02.03</t>
  </si>
  <si>
    <t xml:space="preserve">REFINE, NIVELACIÓN Y COMPACTACIÓN EN TERRENO NORMAL</t>
  </si>
  <si>
    <t xml:space="preserve">01.04.03.02.04</t>
  </si>
  <si>
    <t xml:space="preserve">RELLENO COMPACTADO CON MATERIAL PROPIO SELECCIONADO</t>
  </si>
  <si>
    <t xml:space="preserve">01.04.03.02.05</t>
  </si>
  <si>
    <t xml:space="preserve">ELIMINACIÓN DE MATERIAL EXCEDENTE</t>
  </si>
  <si>
    <t xml:space="preserve">01.04.03.03</t>
  </si>
  <si>
    <t xml:space="preserve">OBRAS DE CONCRETO SIMPLE</t>
  </si>
  <si>
    <t xml:space="preserve">01.04.03.03.01</t>
  </si>
  <si>
    <t xml:space="preserve">CONCRETO f'c=100 kg/cm2 PARA SOLADO E=4''</t>
  </si>
  <si>
    <t xml:space="preserve">01.04.03.03.02</t>
  </si>
  <si>
    <t xml:space="preserve">CONCRETO f'c=140 Kg/cm2 PARA DADOS DE CONCRETO</t>
  </si>
  <si>
    <t xml:space="preserve">01.04.03.04</t>
  </si>
  <si>
    <t xml:space="preserve">OBRAS DE CONCRETO ARMADO</t>
  </si>
  <si>
    <t xml:space="preserve">01.04.03.04.02</t>
  </si>
  <si>
    <t xml:space="preserve">CUNETAS</t>
  </si>
  <si>
    <t xml:space="preserve">01.04.03.04.02.01</t>
  </si>
  <si>
    <t xml:space="preserve">CONCRETO P/CUNETAS f'c=175 kg/cm2</t>
  </si>
  <si>
    <t xml:space="preserve">01.04.03.04.02.02</t>
  </si>
  <si>
    <t xml:space="preserve">ENCOFRADO Y DESENCOFRADO DE CUNETA</t>
  </si>
  <si>
    <t xml:space="preserve">01.04.03.04.02.03</t>
  </si>
  <si>
    <t xml:space="preserve">ACERO f'y=4200 kg/cm2 PARA CUNETA</t>
  </si>
  <si>
    <t xml:space="preserve">kg</t>
  </si>
  <si>
    <t xml:space="preserve">01.04.03.04.02.04</t>
  </si>
  <si>
    <t xml:space="preserve">CURADO DE CONCRETO EN CUNETA</t>
  </si>
  <si>
    <t xml:space="preserve">01.04.03.04.03</t>
  </si>
  <si>
    <t xml:space="preserve">VARIOS</t>
  </si>
  <si>
    <t xml:space="preserve">01.04.03.04.03.01</t>
  </si>
  <si>
    <t xml:space="preserve">REJILLA METALICA P/CUNETA C/PL 1''x 3/16'' Y ANGULO 1'' x 1'' x 3/16''</t>
  </si>
  <si>
    <t xml:space="preserve">ml</t>
  </si>
  <si>
    <t xml:space="preserve">01.04.03.04.03.02</t>
  </si>
  <si>
    <t xml:space="preserve">TAPA DE INSPECCION 0.60m x 0.60m</t>
  </si>
  <si>
    <t xml:space="preserve">und</t>
  </si>
  <si>
    <t xml:space="preserve">01.04.03.04.03.03</t>
  </si>
  <si>
    <t xml:space="preserve">JUNTA DE DILATACION E=1" CON SELLADOR ASFALTO</t>
  </si>
  <si>
    <t xml:space="preserve">01.04.03.04.03.04</t>
  </si>
  <si>
    <t xml:space="preserve">LLORADERO DE TUBERIA PVC Ø3" C/FILTRO DE GRAVA Y GEOTEXTIL @1.50 m (CUNETA COLINDANTE CON AREA VERDE)</t>
  </si>
  <si>
    <t xml:space="preserve">01.04.03.05</t>
  </si>
  <si>
    <t xml:space="preserve">RED DE COLECCIÓN</t>
  </si>
  <si>
    <t xml:space="preserve">01.04.03.05.01</t>
  </si>
  <si>
    <t xml:space="preserve">RED DE RECOLECCION TECHO</t>
  </si>
  <si>
    <t xml:space="preserve">01.04.03.05.01.01</t>
  </si>
  <si>
    <t xml:space="preserve">MONTANTE TUBERÍA PVC DE 4"</t>
  </si>
  <si>
    <t xml:space="preserve">m</t>
  </si>
  <si>
    <t xml:space="preserve">01.04.03.05.01.02</t>
  </si>
  <si>
    <t xml:space="preserve">FALSA COLUMNA P/MONTANTE DE 0.20m x 0.15m x 1.30m</t>
  </si>
  <si>
    <t xml:space="preserve">01.04.03.05.01.02.01</t>
  </si>
  <si>
    <t xml:space="preserve">CONCRETO F´C=175 KG/CM2 EN FALSA COLUMNA</t>
  </si>
  <si>
    <t xml:space="preserve">01.04.03.05.01.02.02</t>
  </si>
  <si>
    <t xml:space="preserve">ENCOFRADO Y DESENCOFRADO EN FALSA COLUMNA - MONTANTE PLUVIAL</t>
  </si>
  <si>
    <t xml:space="preserve">01.04.03.05.01.02.03</t>
  </si>
  <si>
    <t xml:space="preserve">ACERO FY=4200 KG/CM2 EN FALSA COLUMNA (MONTANTE PLUVIAL)</t>
  </si>
  <si>
    <t xml:space="preserve">01.04.03.05.01.03</t>
  </si>
  <si>
    <t xml:space="preserve">CANALETA DE PLANCHA DE ACERO GALVANIZADO e=0.9mm, SECCIÓN 0.25m x 0.20m</t>
  </si>
  <si>
    <t xml:space="preserve">01.04.03.05.01.04</t>
  </si>
  <si>
    <t xml:space="preserve">SOPORTE DE PLATINA F°G° 1" x 1/8" P/CANALETA</t>
  </si>
  <si>
    <t xml:space="preserve">01.04.03.05.01.05</t>
  </si>
  <si>
    <t xml:space="preserve">TAPA LATERAL DE PLANCHA GALVANIZADA P/CANALETA</t>
  </si>
  <si>
    <t xml:space="preserve">01.04.03.05.01.06</t>
  </si>
  <si>
    <t xml:space="preserve">BOQUILLA DE PLANCHA GALVANIZADA P/CONEXIÓN DE CANALETA A MONTANTE Ø4"</t>
  </si>
  <si>
    <t xml:space="preserve">01.04.03.05.02</t>
  </si>
  <si>
    <t xml:space="preserve">RED DE RECOLECCION PISO</t>
  </si>
  <si>
    <t xml:space="preserve">01.04.03.05.02.01</t>
  </si>
  <si>
    <t xml:space="preserve">TUBERIA DESAGÜE PVC-CP Ø4" x 3m</t>
  </si>
  <si>
    <t xml:space="preserve">01.04.03.05.02.02</t>
  </si>
  <si>
    <t xml:space="preserve">SUMIDERO METALICO C/PLATINA 1" X 3/16"</t>
  </si>
  <si>
    <t xml:space="preserve">01.04.03.05.02.03</t>
  </si>
  <si>
    <t xml:space="preserve">CODO 90° x 4"</t>
  </si>
  <si>
    <t xml:space="preserve">01.04.03.05.02.04</t>
  </si>
  <si>
    <t xml:space="preserve">TEE° x 4"</t>
  </si>
  <si>
    <t xml:space="preserve">01.04.03.05.03</t>
  </si>
  <si>
    <t xml:space="preserve">ACCESORIOS</t>
  </si>
  <si>
    <t xml:space="preserve">01.04.03.05.03.02</t>
  </si>
  <si>
    <t xml:space="preserve">CODO DESAGÜE PVC Ø4" x 90°</t>
  </si>
  <si>
    <t xml:space="preserve">01.04.03.05.03.04</t>
  </si>
  <si>
    <t xml:space="preserve">COLGADOR F°G° P/TUBERIA PVC Ø4"</t>
  </si>
  <si>
    <t xml:space="preserve">01.04.03.05.03.05</t>
  </si>
  <si>
    <t xml:space="preserve">ABRAZADERA DE F°G° P/TUBERIA PVC Ø4"</t>
  </si>
  <si>
    <t xml:space="preserve">01.04.04</t>
  </si>
  <si>
    <t xml:space="preserve">COLECTOR PLUVIAL FRONTAL (TRAMO CAR VARONES - EMPALME CON LA CAJA CL DEL HOGAR DE REFUGIO)</t>
  </si>
  <si>
    <t xml:space="preserve">01.04.04.01</t>
  </si>
  <si>
    <t xml:space="preserve">01.04.04.01.01</t>
  </si>
  <si>
    <t xml:space="preserve">01.04.04.01.02</t>
  </si>
  <si>
    <t xml:space="preserve">01.04.04.02</t>
  </si>
  <si>
    <t xml:space="preserve">01.04.04.02.01</t>
  </si>
  <si>
    <t xml:space="preserve">EXCAVACIÓN MANUAL DE ZANJAS P/COLECTOR (ancho 1.40 m)</t>
  </si>
  <si>
    <t xml:space="preserve">01.04.04.02.02</t>
  </si>
  <si>
    <t xml:space="preserve">01.04.04.02.03</t>
  </si>
  <si>
    <t xml:space="preserve">RELLENO COMPACTADO CON MATERIAL PROPIO SELECCIONADO (incluye nivelacion del retiro)</t>
  </si>
  <si>
    <t xml:space="preserve">01.04.04.02.04</t>
  </si>
  <si>
    <t xml:space="preserve">01.04.04.03</t>
  </si>
  <si>
    <t xml:space="preserve">01.04.04.03.01</t>
  </si>
  <si>
    <t xml:space="preserve">CONCRETO f'c=100 kg/cm2 PARA SOLADO E=2" (0.05 m)</t>
  </si>
  <si>
    <t xml:space="preserve">01.04.04.04</t>
  </si>
  <si>
    <t xml:space="preserve">OBRAS DE CONCRETO ARMADO - COLECTOR</t>
  </si>
  <si>
    <t xml:space="preserve">01.04.04.04.01</t>
  </si>
  <si>
    <t xml:space="preserve">CONCRETO f'c=210 kg/cm2 EN LOSA DE FONDO</t>
  </si>
  <si>
    <t xml:space="preserve">01.04.04.04.02</t>
  </si>
  <si>
    <t xml:space="preserve">CONCRETO f'c=210 kg/cm2 EN MUROS</t>
  </si>
  <si>
    <t xml:space="preserve">01.04.04.04.03</t>
  </si>
  <si>
    <t xml:space="preserve">CONCRETO f'c=210 kg/cm2 EN LOSA SUPERIOR (incluye bordes de registro)</t>
  </si>
  <si>
    <t xml:space="preserve">01.04.04.04.04</t>
  </si>
  <si>
    <t xml:space="preserve">ENCOFRADO Y DESENCOFRADO NORMAL EN COLECTOR</t>
  </si>
  <si>
    <t xml:space="preserve">01.04.04.04.05</t>
  </si>
  <si>
    <t xml:space="preserve">ACERO DE REFUERZO fy=4200 kg/cm2 EN COLECTOR</t>
  </si>
  <si>
    <t xml:space="preserve">01.04.04.04.06</t>
  </si>
  <si>
    <t xml:space="preserve">ACABADO FROTACHADO Y BRUÑADO DE LOSA SUPERIOR</t>
  </si>
  <si>
    <t xml:space="preserve">01.04.04.04.07</t>
  </si>
  <si>
    <t xml:space="preserve">CURADO DE CONCRETO EN COLECTOR</t>
  </si>
  <si>
    <t xml:space="preserve">01.04.04.05</t>
  </si>
  <si>
    <t xml:space="preserve">REGISTROS DE LIMPIEZA Y TAPAS</t>
  </si>
  <si>
    <t xml:space="preserve">01.04.04.05.01</t>
  </si>
  <si>
    <t xml:space="preserve">CONTRAMARCO METALICO L 2"x2"x3/16" CON ANCLAJES</t>
  </si>
  <si>
    <t xml:space="preserve">01.04.04.05.02</t>
  </si>
  <si>
    <t xml:space="preserve">MARCO METALICO DE TAPA L 1 1/2"x1 1/2"x1/8"</t>
  </si>
  <si>
    <t xml:space="preserve">01.04.04.05.03</t>
  </si>
  <si>
    <t xml:space="preserve">ANGULOS METALICOS P/MARCO Y CONTRAMARCO (incluye soldadura)</t>
  </si>
  <si>
    <t xml:space="preserve">01.04.04.05.04</t>
  </si>
  <si>
    <t xml:space="preserve">TAPA DE CONCRETO ARMADO 0.68 x 0.68 x 0.08 m (incluye acero y asas)</t>
  </si>
  <si>
    <t xml:space="preserve">01.04.04.05.05</t>
  </si>
  <si>
    <t xml:space="preserve">CONCRETO f'c=210 kg/cm2 EN TAPAS</t>
  </si>
  <si>
    <t xml:space="preserve">01.04.04.05.06</t>
  </si>
  <si>
    <t xml:space="preserve">ACERO DE REFUERZO fy=4200 kg/cm2 EN TAPAS, BORDES Y ANCLAJES</t>
  </si>
  <si>
    <t xml:space="preserve">01.04.04.05.07</t>
  </si>
  <si>
    <t xml:space="preserve">PINTURA ANTICORROSIVA Y ESMALTE EN ANGULOS</t>
  </si>
  <si>
    <t xml:space="preserve">01.04.04.06</t>
  </si>
  <si>
    <t xml:space="preserve">JUNTAS Y EMPALMES</t>
  </si>
  <si>
    <t xml:space="preserve">01.04.04.06.01</t>
  </si>
  <si>
    <t xml:space="preserve">JUNTA DE DILATACION E=1" CON TECNOPOR Y SELLADOR ELASTOMERICO</t>
  </si>
  <si>
    <t xml:space="preserve">01.04.04.06.02</t>
  </si>
  <si>
    <t xml:space="preserve">JUNTA DE TECNOPOR E=1" ENTRE COLECTOR, PISO ADYACENTE Y CAJA CL</t>
  </si>
  <si>
    <t xml:space="preserve">ITEM</t>
  </si>
  <si>
    <t xml:space="preserve">DESCRIPCION</t>
  </si>
  <si>
    <t xml:space="preserve">Nº DE VECES</t>
  </si>
  <si>
    <t xml:space="preserve">LARGO</t>
  </si>
  <si>
    <t xml:space="preserve">ANCHO</t>
  </si>
  <si>
    <t xml:space="preserve">ALTURA</t>
  </si>
  <si>
    <t xml:space="preserve">FACT.</t>
  </si>
  <si>
    <t xml:space="preserve">AREA</t>
  </si>
  <si>
    <t xml:space="preserve">VOLUMEN</t>
  </si>
  <si>
    <t xml:space="preserve">PARCIAL</t>
  </si>
  <si>
    <t xml:space="preserve">TOTAL</t>
  </si>
  <si>
    <t xml:space="preserve">UND</t>
  </si>
  <si>
    <t xml:space="preserve">EJE 1</t>
  </si>
  <si>
    <t xml:space="preserve">EJE 2</t>
  </si>
  <si>
    <t xml:space="preserve">EJE 3</t>
  </si>
  <si>
    <t xml:space="preserve">EJE 4</t>
  </si>
  <si>
    <t xml:space="preserve">EJE 5</t>
  </si>
  <si>
    <t xml:space="preserve">EJE 6</t>
  </si>
  <si>
    <t xml:space="preserve">EJE 7</t>
  </si>
  <si>
    <t xml:space="preserve">EJE 8</t>
  </si>
  <si>
    <t xml:space="preserve">EJE 9</t>
  </si>
  <si>
    <t xml:space="preserve">DADO 0.40 X 0.40</t>
  </si>
  <si>
    <t xml:space="preserve">EXCAVACIÓN  MANUAL DE ZANJA PARA CUNETA</t>
  </si>
  <si>
    <t xml:space="preserve">RELLENO COMPACTADO CON MATERIAL PROPIO</t>
  </si>
  <si>
    <t xml:space="preserve">REJILLA METALICA P/CUNETA C/PL 1''x 3/16'' Y ANGULO 1'' x 1'' x 3/16'', S/DETALLE</t>
  </si>
  <si>
    <t xml:space="preserve">MONTANTE CON TUBERÍA PVC DE 4"</t>
  </si>
  <si>
    <t xml:space="preserve">m3</t>
  </si>
  <si>
    <t xml:space="preserve">m2</t>
  </si>
  <si>
    <t xml:space="preserve">Kgr</t>
  </si>
  <si>
    <t xml:space="preserve">Acero Longitudinal</t>
  </si>
  <si>
    <t xml:space="preserve">Acero Transversal</t>
  </si>
  <si>
    <t xml:space="preserve">Cruce de camiones (0+000.00 - 0+006.08)</t>
  </si>
  <si>
    <t xml:space="preserve">Tramo normal (0+006.08 - 0+100.90)</t>
  </si>
  <si>
    <t xml:space="preserve">Tramo de empalme con la cl (horizontal) (0+100.90 - 0+105.29)</t>
  </si>
  <si>
    <t xml:space="preserve">Cruce de camiones (0+000.00 - 0+006.08) - lateral de zanja</t>
  </si>
  <si>
    <t xml:space="preserve">Tramo normal (0+006.08 - 0+100.90) - lateral de zanja</t>
  </si>
  <si>
    <t xml:space="preserve">Tramo de empalme con la cl (horizontal) (0+100.90 - 0+105.29) - lateral de zanja</t>
  </si>
  <si>
    <t xml:space="preserve">Cruce de camiones (0+000.00 - 0+006.08) - franja de nivelacion</t>
  </si>
  <si>
    <t xml:space="preserve">Tramo normal (0+006.08 - 0+100.90) - franja de nivelacion</t>
  </si>
  <si>
    <t xml:space="preserve">Tramo de empalme con la cl (horizontal) (0+100.90 - 0+105.29) - franja de nivelacion</t>
  </si>
  <si>
    <t xml:space="preserve">Excavacion de zanjas</t>
  </si>
  <si>
    <t xml:space="preserve">Relleno compactado (se descuenta)</t>
  </si>
  <si>
    <t xml:space="preserve">Bordes engrosados de abertura de registros RV-01 a RV-11</t>
  </si>
  <si>
    <t xml:space="preserve">Descuento de aberturas de registro 0.70 x 0.70 x 0.10</t>
  </si>
  <si>
    <t xml:space="preserve">CONCRETO F´C=175 KG/CM2 PARA CUNETAS  - DRENAJE PLUVIAL</t>
  </si>
  <si>
    <t xml:space="preserve">LONGITUDES Y AREAS</t>
  </si>
  <si>
    <t xml:space="preserve">Sub.TOTAL</t>
  </si>
  <si>
    <t xml:space="preserve">TOTAL (m3)</t>
  </si>
  <si>
    <t xml:space="preserve">CUNETA EJE 01</t>
  </si>
  <si>
    <t xml:space="preserve">MUROS</t>
  </si>
  <si>
    <t xml:space="preserve">CUNETA EJE 07</t>
  </si>
  <si>
    <t xml:space="preserve">ESPESOR</t>
  </si>
  <si>
    <t xml:space="preserve">CANT.</t>
  </si>
  <si>
    <t xml:space="preserve">LOSA</t>
  </si>
  <si>
    <t xml:space="preserve">LONGITUD</t>
  </si>
  <si>
    <t xml:space="preserve">TAPA</t>
  </si>
  <si>
    <t xml:space="preserve">CUNETA EJE 02</t>
  </si>
  <si>
    <t xml:space="preserve">CUNETA EJE 08</t>
  </si>
  <si>
    <t xml:space="preserve">CUNETA EJE 03</t>
  </si>
  <si>
    <t xml:space="preserve">CUNETA EJE 09</t>
  </si>
  <si>
    <t xml:space="preserve">CUNETA EJE 04</t>
  </si>
  <si>
    <t xml:space="preserve">CUNETA EJE 05</t>
  </si>
  <si>
    <t xml:space="preserve">CUNETA EJE 06</t>
  </si>
  <si>
    <t xml:space="preserve"> ENCOFRADO Y DESENCOFRADO CUNETAS - DRENAJE PLUVIAL</t>
  </si>
  <si>
    <t xml:space="preserve">OBRAS DE CONCRETO ARMADO - ENCOFRADO Y DESENCOFRADO CUNETAS</t>
  </si>
  <si>
    <t xml:space="preserve">TOTAL (m2)</t>
  </si>
  <si>
    <t xml:space="preserve">ABIERTA</t>
  </si>
  <si>
    <t xml:space="preserve">MUROS EXTERNO</t>
  </si>
  <si>
    <t xml:space="preserve">MURO INTERNO</t>
  </si>
  <si>
    <t xml:space="preserve">CANTIDAD</t>
  </si>
  <si>
    <t xml:space="preserve">TAPADO</t>
  </si>
  <si>
    <t xml:space="preserve">MURO EXTERNO</t>
  </si>
  <si>
    <t xml:space="preserve">CALCULO DE MONTANTES POR EDIFICACION  - DRENAJE PLUVIAL</t>
  </si>
  <si>
    <t xml:space="preserve">MONTANTES</t>
  </si>
  <si>
    <t xml:space="preserve">LONG. TUBERIA PVC 4"</t>
  </si>
  <si>
    <t xml:space="preserve">CODO PVC 90° 4"</t>
  </si>
  <si>
    <t xml:space="preserve">ABRAZADERA 4"</t>
  </si>
  <si>
    <t xml:space="preserve">COLGADOR 4"</t>
  </si>
  <si>
    <t xml:space="preserve">VECES</t>
  </si>
  <si>
    <t xml:space="preserve">TOTAL (m)</t>
  </si>
  <si>
    <t xml:space="preserve">TOTAL (und)</t>
  </si>
  <si>
    <t xml:space="preserve">EDIFICACION 01</t>
  </si>
  <si>
    <t xml:space="preserve">Lado A</t>
  </si>
  <si>
    <t xml:space="preserve">Lado B</t>
  </si>
  <si>
    <t xml:space="preserve">EDIFICACION 02</t>
  </si>
  <si>
    <t xml:space="preserve">EDIFICACION 03</t>
  </si>
  <si>
    <t xml:space="preserve">EDIFICACION 04</t>
  </si>
  <si>
    <t xml:space="preserve">EDIFICACION 05</t>
  </si>
  <si>
    <t xml:space="preserve">EDIFICACION 06</t>
  </si>
  <si>
    <t xml:space="preserve">EDIFICACION 07</t>
  </si>
  <si>
    <t xml:space="preserve">EDIFICACION 08</t>
  </si>
  <si>
    <t xml:space="preserve">Lado A"</t>
  </si>
  <si>
    <t xml:space="preserve">Lado B"</t>
  </si>
  <si>
    <t xml:space="preserve">EDIFICACION 09</t>
  </si>
  <si>
    <t xml:space="preserve">EDIFICACION 10</t>
  </si>
  <si>
    <t xml:space="preserve">LOSA DEPORTIVA</t>
  </si>
  <si>
    <t xml:space="preserve">OBRA EXTERIOR 01</t>
  </si>
  <si>
    <t xml:space="preserve">OBRA EXTERIOR03</t>
  </si>
  <si>
    <t xml:space="preserve">OBRA EXTERIOR 01.1</t>
  </si>
  <si>
    <t xml:space="preserve">METRADO DE CANALETAS DE TECHO - DRENAJE PLUVIAL</t>
  </si>
  <si>
    <t xml:space="preserve">CANALETA DE PLANCHA DE ACERO GALVANIZADO - SECCIÓN INTERIOR 0.25 m (FONDO) x 0.20 m (ALTO) - TECHOS A DOS AGUAS: UNA CANALETA POR CADA LADO</t>
  </si>
  <si>
    <t xml:space="preserve">EDIFICACIÓN</t>
  </si>
  <si>
    <t xml:space="preserve">N° DE CANALETAS</t>
  </si>
  <si>
    <t xml:space="preserve">CANALETA 0.25 x 0.20 m</t>
  </si>
  <si>
    <t xml:space="preserve">SOPORTE PLATINA F°G° 1" x 1/8"</t>
  </si>
  <si>
    <t xml:space="preserve">TAPA LATERAL</t>
  </si>
  <si>
    <t xml:space="preserve">BOQUILLA A MONTANTE Ø4"</t>
  </si>
  <si>
    <t xml:space="preserve">LONGITUD (m)</t>
  </si>
  <si>
    <t xml:space="preserve">Lado 01</t>
  </si>
  <si>
    <t xml:space="preserve">Lado 02</t>
  </si>
  <si>
    <t xml:space="preserve">PARÁMETROS DE CÁLCULO - CANALETA</t>
  </si>
  <si>
    <t xml:space="preserve">DESCRIPCIÓN</t>
  </si>
  <si>
    <t xml:space="preserve">VALOR</t>
  </si>
  <si>
    <t xml:space="preserve">UNIDAD</t>
  </si>
  <si>
    <t xml:space="preserve">CRITERIO</t>
  </si>
  <si>
    <t xml:space="preserve">Fondo interior de canaleta</t>
  </si>
  <si>
    <t xml:space="preserve">Dato del proyecto</t>
  </si>
  <si>
    <t xml:space="preserve">Altura interior de canaleta</t>
  </si>
  <si>
    <t xml:space="preserve">Doblez o pestaña superior (por cada lado)</t>
  </si>
  <si>
    <t xml:space="preserve">Editable según detalle</t>
  </si>
  <si>
    <t xml:space="preserve">Desarrollo de plancha (fondo + 2 alturas + 2 dobleces)</t>
  </si>
  <si>
    <t xml:space="preserve">Calculado</t>
  </si>
  <si>
    <t xml:space="preserve">Espesor de plancha galvanizada</t>
  </si>
  <si>
    <t xml:space="preserve">mm</t>
  </si>
  <si>
    <t xml:space="preserve">Editable según EE.TT. (cambiar también la descripción de la partida)</t>
  </si>
  <si>
    <t xml:space="preserve">Separación de soportes</t>
  </si>
  <si>
    <t xml:space="preserve">Editable. Soportes por canaleta = REDONDEAR.MAS(L / sep) + 1</t>
  </si>
  <si>
    <t xml:space="preserve">Tapas laterales por canaleta</t>
  </si>
  <si>
    <t xml:space="preserve">Una en cada extremo</t>
  </si>
  <si>
    <t xml:space="preserve">Área de plancha galvanizada (referencial)</t>
  </si>
  <si>
    <t xml:space="preserve">Total de canaleta x desarrollo. Solo referencia para el análisis de costos</t>
  </si>
  <si>
    <t xml:space="preserve">PLANILLA DE METRADOS - RED DE DRENAJE EN PISO Y SUMIDEROS</t>
  </si>
  <si>
    <t xml:space="preserve">SECTOR</t>
  </si>
  <si>
    <t xml:space="preserve">TUBERÍA 4" PVC-U
Desagüe Clase Pesada (m)</t>
  </si>
  <si>
    <t xml:space="preserve">SUMIDERO DE 4"
(und)</t>
  </si>
  <si>
    <t xml:space="preserve">CODO 90° x 4"
(und)</t>
  </si>
  <si>
    <t xml:space="preserve">CODO 45° x 4"
(und)</t>
  </si>
  <si>
    <t xml:space="preserve">TEE° x 4"
(und)</t>
  </si>
  <si>
    <t xml:space="preserve">OBSERVACIÓN</t>
  </si>
  <si>
    <t xml:space="preserve">SECTOR 01</t>
  </si>
  <si>
    <t xml:space="preserve">Sin datos de Varones</t>
  </si>
  <si>
    <t xml:space="preserve">SECTOR 02</t>
  </si>
  <si>
    <t xml:space="preserve">SECTOR 03</t>
  </si>
  <si>
    <t xml:space="preserve">METRADO DE ACERO EN CUNETAS  - DRENAJE PLUVIAL</t>
  </si>
  <si>
    <t xml:space="preserve">METRADO DETALLADO POR EJE Y POR TRAMO</t>
  </si>
  <si>
    <t xml:space="preserve">IDENTIFICACIÓN Y GEOMETRÍA</t>
  </si>
  <si>
    <t xml:space="preserve">ACERO LONGITUDINAL DEL CUERPO U</t>
  </si>
  <si>
    <t xml:space="preserve">ACERO TRANSVERSAL DEL CUERPO U</t>
  </si>
  <si>
    <t xml:space="preserve">ACERO TRANSVERSAL DE LA TAPA (SOLO CUNETA TAPADA)</t>
  </si>
  <si>
    <t xml:space="preserve">RESULTADO</t>
  </si>
  <si>
    <t xml:space="preserve">N°</t>
  </si>
  <si>
    <t xml:space="preserve">EJE</t>
  </si>
  <si>
    <t xml:space="preserve">TRAMO</t>
  </si>
  <si>
    <t xml:space="preserve">TIPO DE CUNETA</t>
  </si>
  <si>
    <t xml:space="preserve">SEC. INI</t>
  </si>
  <si>
    <t xml:space="preserve">SEC. FIN</t>
  </si>
  <si>
    <t xml:space="preserve">LONGITUD TRAMO (m)</t>
  </si>
  <si>
    <t xml:space="preserve">Ø CUERPO</t>
  </si>
  <si>
    <t xml:space="preserve">FACTOR CUERPO (kg/m)</t>
  </si>
  <si>
    <t xml:space="preserve">SEP. LONG. (m)</t>
  </si>
  <si>
    <t xml:space="preserve">BARRAS LONG. INI</t>
  </si>
  <si>
    <t xml:space="preserve">BARRAS LONG. FIN</t>
  </si>
  <si>
    <t xml:space="preserve">BARRAS PROM.</t>
  </si>
  <si>
    <t xml:space="preserve">LONG. ACERO LONG. (m)</t>
  </si>
  <si>
    <t xml:space="preserve">KG LONG.</t>
  </si>
  <si>
    <t xml:space="preserve">SEP. TRANSV. U (m)</t>
  </si>
  <si>
    <t xml:space="preserve">DES. TRANSV. U INI (m)</t>
  </si>
  <si>
    <t xml:space="preserve">DES. TRANSV. U FIN (m)</t>
  </si>
  <si>
    <t xml:space="preserve">DES. PROM. U (m)</t>
  </si>
  <si>
    <t xml:space="preserve">CANT. TRANSV. U</t>
  </si>
  <si>
    <t xml:space="preserve">LONG. ACERO TRANSV. U (m)</t>
  </si>
  <si>
    <t xml:space="preserve">KG TRANSV. U</t>
  </si>
  <si>
    <t xml:space="preserve">TOTAL KG CUERPO U</t>
  </si>
  <si>
    <t xml:space="preserve">Ø TAPA</t>
  </si>
  <si>
    <t xml:space="preserve">FACTOR TAPA (kg/m)</t>
  </si>
  <si>
    <t xml:space="preserve">SEP. TRANSV. TAPA (m)</t>
  </si>
  <si>
    <t xml:space="preserve">LONG. BARRA TAPA INI (m)</t>
  </si>
  <si>
    <t xml:space="preserve">LONG. BARRA TAPA FIN (m)</t>
  </si>
  <si>
    <t xml:space="preserve">LONG. PROM. TAPA (m)</t>
  </si>
  <si>
    <t xml:space="preserve">CANT. BARRAS TAPA</t>
  </si>
  <si>
    <t xml:space="preserve">LONG. ACERO TAPA (m)</t>
  </si>
  <si>
    <t xml:space="preserve">KG ACERO TAPA</t>
  </si>
  <si>
    <t xml:space="preserve">TOTAL KG TRAMO</t>
  </si>
  <si>
    <t xml:space="preserve">EJE 01</t>
  </si>
  <si>
    <t xml:space="preserve">TRAMO 01</t>
  </si>
  <si>
    <t xml:space="preserve">TAPADA</t>
  </si>
  <si>
    <t xml:space="preserve">SEC 02</t>
  </si>
  <si>
    <t xml:space="preserve">SEC 03</t>
  </si>
  <si>
    <t xml:space="preserve">3/8"</t>
  </si>
  <si>
    <t xml:space="preserve">TRAMO 02</t>
  </si>
  <si>
    <t xml:space="preserve">SEC 04</t>
  </si>
  <si>
    <t xml:space="preserve">TRAMO 03</t>
  </si>
  <si>
    <t xml:space="preserve">SEC 07</t>
  </si>
  <si>
    <t xml:space="preserve">EJE 02</t>
  </si>
  <si>
    <t xml:space="preserve">SEC 09</t>
  </si>
  <si>
    <t xml:space="preserve">SEC 10</t>
  </si>
  <si>
    <t xml:space="preserve">EJE 03</t>
  </si>
  <si>
    <t xml:space="preserve">SEC 12</t>
  </si>
  <si>
    <t xml:space="preserve">SEC 13</t>
  </si>
  <si>
    <t xml:space="preserve">EJE 04</t>
  </si>
  <si>
    <t xml:space="preserve">SEC 15</t>
  </si>
  <si>
    <t xml:space="preserve">SEC 16</t>
  </si>
  <si>
    <t xml:space="preserve">SEC 17</t>
  </si>
  <si>
    <t xml:space="preserve">SEC 20</t>
  </si>
  <si>
    <t xml:space="preserve">EJE 05</t>
  </si>
  <si>
    <t xml:space="preserve">SEC 22</t>
  </si>
  <si>
    <t xml:space="preserve">SEC 23</t>
  </si>
  <si>
    <t xml:space="preserve">SEC 24</t>
  </si>
  <si>
    <t xml:space="preserve">EJE 06</t>
  </si>
  <si>
    <t xml:space="preserve">SEC 26</t>
  </si>
  <si>
    <t xml:space="preserve">SEC 27</t>
  </si>
  <si>
    <t xml:space="preserve">SEC 30</t>
  </si>
  <si>
    <t xml:space="preserve">EJE 07</t>
  </si>
  <si>
    <t xml:space="preserve">SEC 32</t>
  </si>
  <si>
    <t xml:space="preserve">SEC 33</t>
  </si>
  <si>
    <t xml:space="preserve">EJE 08</t>
  </si>
  <si>
    <t xml:space="preserve">SEC 35</t>
  </si>
  <si>
    <t xml:space="preserve">SEC 36</t>
  </si>
  <si>
    <t xml:space="preserve">SEC 37</t>
  </si>
  <si>
    <t xml:space="preserve">EJE 09</t>
  </si>
  <si>
    <t xml:space="preserve">SEC 39</t>
  </si>
  <si>
    <t xml:space="preserve">SEC 40</t>
  </si>
  <si>
    <t xml:space="preserve">SEC 42</t>
  </si>
  <si>
    <t xml:space="preserve">TOTALES DE LA PLANILLA</t>
  </si>
  <si>
    <t xml:space="preserve">METRADO DE CURADO DE CONCRETO EN CUNETAS</t>
  </si>
  <si>
    <t xml:space="preserve">ANCHO INTERIOR (m)</t>
  </si>
  <si>
    <t xml:space="preserve">ALTURA INT. INI (m)</t>
  </si>
  <si>
    <t xml:space="preserve">ALTURA INT. FIN (m)</t>
  </si>
  <si>
    <t xml:space="preserve">ALTURA PROM. (m)</t>
  </si>
  <si>
    <t xml:space="preserve">ÁREA 2 MUROS (m²)</t>
  </si>
  <si>
    <t xml:space="preserve">ÁREA FONDO (m²)</t>
  </si>
  <si>
    <t xml:space="preserve">ÁREA TAPA / TECHO (m²)</t>
  </si>
  <si>
    <t xml:space="preserve">TOTAL CURADO (m²)</t>
  </si>
  <si>
    <t xml:space="preserve">N° CARAS</t>
  </si>
  <si>
    <t xml:space="preserve">UND.</t>
  </si>
  <si>
    <t xml:space="preserve">TRAMO 04</t>
  </si>
  <si>
    <t xml:space="preserve">TOTAL DE CURADO DE CONCRETO EN CUNETAS</t>
  </si>
  <si>
    <t xml:space="preserve">METRADO DE REJILLAS PARA CUNETAS</t>
  </si>
  <si>
    <t xml:space="preserve">LONGITUD DEL TRAMO (m)</t>
  </si>
  <si>
    <t xml:space="preserve">DESCUENTO SIN REJILLA (m)</t>
  </si>
  <si>
    <t xml:space="preserve">LONGITUD CON REJILLA (m)</t>
  </si>
  <si>
    <t xml:space="preserve">TOTAL CALCULADO DE REJILLA EN CUNETAS ABIERTAS</t>
  </si>
  <si>
    <t xml:space="preserve">PLANILLA DE METRADOS - JUNTA DE DILATACIÓN E=1" CON SELLADOR ASFÁLTICO EN MUROS DE CUNETAS</t>
  </si>
  <si>
    <t xml:space="preserve">PARÁMETROS</t>
  </si>
  <si>
    <t xml:space="preserve">Espaciamiento entre juntas (m)</t>
  </si>
  <si>
    <t xml:space="preserve">N° de muros con junta por cuneta</t>
  </si>
  <si>
    <t xml:space="preserve">Espesor de junta (referencial, no interviene en el metrado lineal)</t>
  </si>
  <si>
    <t xml:space="preserve">1" = 0.0254 m</t>
  </si>
  <si>
    <t xml:space="preserve">EJE / DESCRIPCIÓN</t>
  </si>
  <si>
    <t xml:space="preserve">LONGITUD
EJE (m)</t>
  </si>
  <si>
    <t xml:space="preserve">ÁREA MURO
(m²)</t>
  </si>
  <si>
    <t xml:space="preserve">ALTURA
MURO (m)</t>
  </si>
  <si>
    <t xml:space="preserve">ESPACIAMIENTO
(m)</t>
  </si>
  <si>
    <t xml:space="preserve">N° DE
JUNTAS</t>
  </si>
  <si>
    <t xml:space="preserve">N° MUROS
x JUNTA</t>
  </si>
  <si>
    <t xml:space="preserve">PARCIAL
(ml)</t>
  </si>
  <si>
    <t xml:space="preserve">Descripccion</t>
  </si>
  <si>
    <t xml:space="preserve">METRADO DE LLORADEROS DE PVC Ø3" EN MUROS DE CUNETA COLINDANTES CON ÁREA VERDE</t>
  </si>
  <si>
    <t xml:space="preserve">PROGRESIVA DEL TRAMO (desde - hasta)</t>
  </si>
  <si>
    <t xml:space="preserve">LADO DEL MURO</t>
  </si>
  <si>
    <t xml:space="preserve">LONGITUD JUNTO A ÁREA VERDE (m)</t>
  </si>
  <si>
    <t xml:space="preserve">ESPACIAMIENTO (m)</t>
  </si>
  <si>
    <t xml:space="preserve">N° DE LLORADEROS</t>
  </si>
  <si>
    <t xml:space="preserve">0+013.50 a 0+019.00</t>
  </si>
  <si>
    <t xml:space="preserve">LADO ESTE</t>
  </si>
  <si>
    <t xml:space="preserve">0+054.75 a 0+077.25</t>
  </si>
  <si>
    <t xml:space="preserve">0+080.75 a 0+111.53</t>
  </si>
  <si>
    <t xml:space="preserve">0+000.00 a 0+013.25</t>
  </si>
  <si>
    <t xml:space="preserve">0+021.00 a 0+023.03</t>
  </si>
  <si>
    <t xml:space="preserve">LADO OESTE</t>
  </si>
  <si>
    <t xml:space="preserve">0+023.03 a 0+033.78</t>
  </si>
  <si>
    <t xml:space="preserve">LADO SUR</t>
  </si>
  <si>
    <t xml:space="preserve">0+000.00 a 0+005.50</t>
  </si>
  <si>
    <t xml:space="preserve">0+007.00 a 0+015.48</t>
  </si>
  <si>
    <t xml:space="preserve">0+017.73 a 0+021.48</t>
  </si>
  <si>
    <t xml:space="preserve">0+020.50 a 0+024.25</t>
  </si>
  <si>
    <t xml:space="preserve">0+034.75 a 0+038.50</t>
  </si>
  <si>
    <t xml:space="preserve">0+045.00 a 0+048.75</t>
  </si>
  <si>
    <t xml:space="preserve">0+086.00 a 0+102.31</t>
  </si>
  <si>
    <t xml:space="preserve">0+013.50 a 0+019.25</t>
  </si>
  <si>
    <t xml:space="preserve">0+032.75 a 0+047.00</t>
  </si>
  <si>
    <t xml:space="preserve">0+057.50 a 0+061.00</t>
  </si>
  <si>
    <t xml:space="preserve">0+013.75 a 0+019.25</t>
  </si>
  <si>
    <t xml:space="preserve">0+032.54 a 0+035.04</t>
  </si>
  <si>
    <t xml:space="preserve">0+027.00 a 0+032.54</t>
  </si>
  <si>
    <t xml:space="preserve">LADO NORTE</t>
  </si>
  <si>
    <t xml:space="preserve">0+000.00 a 0+034.25</t>
  </si>
  <si>
    <t xml:space="preserve">0+083.48 a 0+086.23</t>
  </si>
  <si>
    <t xml:space="preserve">0+094.48 a 0+098.69</t>
  </si>
  <si>
    <t xml:space="preserve">0+034.25 a 0+042.73</t>
  </si>
  <si>
    <t xml:space="preserve">0+042.73 a 0+061.23</t>
  </si>
  <si>
    <t xml:space="preserve">0+072.98 a 0+080.73</t>
  </si>
  <si>
    <t xml:space="preserve">0+000.00 a 0+014.93</t>
  </si>
  <si>
    <t xml:space="preserve">0+029.50 a 0+035.50</t>
  </si>
  <si>
    <t xml:space="preserve">0+000.25 a 0+021.75</t>
  </si>
  <si>
    <t xml:space="preserve">TOTAL DE LLORADEROS EN CUNETAS COLINDANTES CON ÁREA VERDE</t>
  </si>
  <si>
    <t xml:space="preserve">CRITERIO DE METRADO</t>
  </si>
  <si>
    <t xml:space="preserve">1. Solo llevan lloraderos los muros de cuneta colindantes con área verde (detalle de instalación de lloraderos en cunetas de evacuación pluvial y especificación técnica del plano de drenaje: lloraderos de tubería PVC Ø3", espaciamiento típico L = 1.50 m, en muros de contención de la cuneta colindantes con áreas verdes).</t>
  </si>
  <si>
    <t xml:space="preserve">2. Tramos medidos en la planta general de drenaje: muro cuya franja exterior de 0.30 m queda dentro del achurado de área verde; no se cuentan tramos menores de 1.50 m. Progresivas desde el inicio de cada eje (igual que los perfiles), recortadas a la longitud del eje de este metrado.</t>
  </si>
  <si>
    <t xml:space="preserve">3. N° de lloraderos por tramo = REDONDEAR.MAS(longitud / 1.50). Cada unidad comprende: pase de tubería PVC-U Ø3" (L = 0.30 m) a media altura del muro con pendiente S = 0.5 % hacia la cuneta; filtro localizado de grava 20-40 mm de 0.30 x 0.30 x 0.30 m (0.027 m³) envuelto en geotextil no tejido (0.60 m² con traslapes); excavación local y relleno del filtro.</t>
  </si>
  <si>
    <t xml:space="preserve">4. Partida nueva: no modifica ninguna otra partida del metrado.</t>
  </si>
  <si>
    <t xml:space="preserve">METRADO DE TAPAS DE REGISTRO EN CUNETAS TAPADAS</t>
  </si>
  <si>
    <t xml:space="preserve">DIMENSIONES</t>
  </si>
  <si>
    <t xml:space="preserve">VOLUMEN / PARCIAL</t>
  </si>
  <si>
    <t xml:space="preserve">TAPA DE REGISTRO (DE CONCRETO)</t>
  </si>
  <si>
    <t xml:space="preserve">CONCRETO F´C=210 KG/CM2 EN TAPA DE REGISTRO</t>
  </si>
  <si>
    <t xml:space="preserve">TAPA 0.60 x 0.60 x 0.10 m</t>
  </si>
  <si>
    <t xml:space="preserve">ENCOFRADO Y DESENCOFRADO EN TAPA DE REGISTRO</t>
  </si>
  <si>
    <t xml:space="preserve">LATERALES DE TAPA</t>
  </si>
  <si>
    <t xml:space="preserve">FONDO DE MOLDE / BASE DE PREFABRICADO</t>
  </si>
  <si>
    <t xml:space="preserve">TOTAL ENCOFRADO FONDO + LATERALES</t>
  </si>
  <si>
    <t xml:space="preserve">ACERO FY=4200 KG/CM2 EN TAPA DE REGISTRO - VARILLA 3/8</t>
  </si>
  <si>
    <t xml:space="preserve">LONGITUD DE CADA BARRA</t>
  </si>
  <si>
    <t xml:space="preserve">CANTIDAD DE BARRAS POR TAPA</t>
  </si>
  <si>
    <t xml:space="preserve">Acero longitudinal 3/8 - parrilla simple</t>
  </si>
  <si>
    <t xml:space="preserve">Acero transversal 3/8 - parrilla simple</t>
  </si>
  <si>
    <t xml:space="preserve">TOTAL ACERO 3/8</t>
  </si>
  <si>
    <t xml:space="preserve">CUNETAS - ACORTAMIENTO EN LA LLEGADA AL COLECTOR PLUVIAL FRONTAL</t>
  </si>
  <si>
    <t xml:space="preserve">Las cunetas estan dibujadas hasta la franja exterior del frente. El colector pluvial frontal ocupa esa franja, por lo que cada cuneta termina en la cara del muro lado predio del colector (ventana de empalme, lamina DP-06C) o en el muro norte de la caja de llegada CL del Hogar de Refugio (Eje 01, lamina DP-07). El tramo que caia dentro del colector se descuenta de la longitud de la cuneta en todas las hojas de este metrado (concreto, encofrado, acero, curado, rejillas, juntas, movimiento de tierras).</t>
  </si>
  <si>
    <t xml:space="preserve">CUNETA</t>
  </si>
  <si>
    <t xml:space="preserve">LONGITUD DIBUJADA (m)</t>
  </si>
  <si>
    <t xml:space="preserve">ACORTAMIENTO (m)</t>
  </si>
  <si>
    <t xml:space="preserve">LONGITUD METRADA (m)</t>
  </si>
  <si>
    <t xml:space="preserve">TERMINA EN</t>
  </si>
  <si>
    <t xml:space="preserve">SUSTENTO</t>
  </si>
  <si>
    <t xml:space="preserve">muro norte de la caja CL</t>
  </si>
  <si>
    <t xml:space="preserve">Lamina DP-01 del colector (planta: tramo de cuneta que se descuenta) y memoria de calculo del colector, hoja CUNETAS</t>
  </si>
  <si>
    <t xml:space="preserve">muro del colector (ventana)</t>
  </si>
  <si>
    <t xml:space="preserve">Nota: el acortamiento se aplica al ultimo tramo de cada eje (el que llega al frente); las alturas H se mantienen las del perfil. Las cunetas de los Ejes 02, 03, 05 y 07 no llegan al frente y no cambian.</t>
  </si>
  <si>
    <t xml:space="preserve">PARÁMETROS  - TAPA DE REGISTRO DE CONCRETO</t>
  </si>
  <si>
    <t xml:space="preserve">Valor</t>
  </si>
  <si>
    <t xml:space="preserve">Unidad</t>
  </si>
  <si>
    <t xml:space="preserve">Criterio</t>
  </si>
  <si>
    <t xml:space="preserve">Cantidad de tapas</t>
  </si>
  <si>
    <t xml:space="preserve">Provisional: 1 tapa por tramo tapado (8 tramos); confirmar con el plano</t>
  </si>
  <si>
    <t xml:space="preserve">Largo de tapa</t>
  </si>
  <si>
    <t xml:space="preserve">Según detalle</t>
  </si>
  <si>
    <t xml:space="preserve">Ancho de tapa</t>
  </si>
  <si>
    <t xml:space="preserve">Espesor de tapa</t>
  </si>
  <si>
    <t xml:space="preserve">Recubrimiento considerado</t>
  </si>
  <si>
    <t xml:space="preserve">Editable según plano estructural</t>
  </si>
  <si>
    <t xml:space="preserve">Separación de varillas 3/8</t>
  </si>
  <si>
    <t xml:space="preserve">Parrilla simple en ambos sentidos</t>
  </si>
  <si>
    <t xml:space="preserve">Peso varilla 3/8</t>
  </si>
  <si>
    <t xml:space="preserve">kg/m</t>
  </si>
  <si>
    <t xml:space="preserve">Peso unitario usado para metrado</t>
  </si>
  <si>
    <t xml:space="preserve">Longitud varilla comercial</t>
  </si>
  <si>
    <t xml:space="preserve">Solo equivalente de longitud, sin redondeo</t>
  </si>
  <si>
    <t xml:space="preserve">PARÁMETROS - MOVIMIENTO DE TIERRAS</t>
  </si>
  <si>
    <t xml:space="preserve">Espesor de solado sumado a excavación y relleno</t>
  </si>
  <si>
    <t xml:space="preserve">Solado e=4" bajo la losa. Poner 0 si la altura ya lo incluye</t>
  </si>
  <si>
    <t xml:space="preserve">Factor de esponjamiento</t>
  </si>
  <si>
    <t xml:space="preserve">-</t>
  </si>
  <si>
    <t xml:space="preserve">Eliminación = (excavación − relleno) × factor</t>
  </si>
  <si>
    <t xml:space="preserve">LISTAS, FACTORES Y PARÁMETROS EDITABLES</t>
  </si>
  <si>
    <t xml:space="preserve">DIÁMETRO</t>
  </si>
  <si>
    <t xml:space="preserve">FACTOR kg/m</t>
  </si>
  <si>
    <t xml:space="preserve">CRITERIO DE CONTEO</t>
  </si>
  <si>
    <t xml:space="preserve">6 mm</t>
  </si>
  <si>
    <t xml:space="preserve">TEÓRICO (L/s+1)</t>
  </si>
  <si>
    <t xml:space="preserve">8 mm</t>
  </si>
  <si>
    <t xml:space="preserve">ENTERO (redondeo arriba)</t>
  </si>
  <si>
    <t xml:space="preserve">12 mm</t>
  </si>
  <si>
    <t xml:space="preserve">1/2"</t>
  </si>
  <si>
    <t xml:space="preserve">5/8"</t>
  </si>
  <si>
    <t xml:space="preserve">3/4"</t>
  </si>
  <si>
    <t xml:space="preserve">1"</t>
  </si>
  <si>
    <t xml:space="preserve">NOTA</t>
  </si>
  <si>
    <t xml:space="preserve">Los factores kg/m son editables. Si el proyecto usa otro factor, cámbialo aquí.</t>
  </si>
  <si>
    <t xml:space="preserve">La opción TEÓRICO mantiene cantidades decimales: Longitud / separación + 1.</t>
  </si>
  <si>
    <t xml:space="preserve">La opción ENTERO redondea hacia arriba antes de sumar la barra final.</t>
  </si>
  <si>
    <t xml:space="preserve">COLECTOR PLUVIAL FRONTAL - PARAMETROS DE METRADO</t>
  </si>
  <si>
    <t xml:space="preserve">Tramo CAR Varones (CUI 2705619), empalme con la caja de llegada CL del colector del Hogar de Refugio Temporal (CUI 2675514). Valores tomados de los planos DP-01 a DP-08, DA-01 a DA-03 y DD-01 a DD-04 y de la memoria de calculo del colector. Celda amarilla = dato; verde = formula.</t>
  </si>
  <si>
    <t xml:space="preserve">PARAMETRO</t>
  </si>
  <si>
    <t xml:space="preserve">SUSTENTO (lamina / norma / criterio)</t>
  </si>
  <si>
    <t xml:space="preserve">Ancho interior del colector b</t>
  </si>
  <si>
    <t xml:space="preserve">Lamina DP-04 (secciones); memoria de calculo, hoja DATOS</t>
  </si>
  <si>
    <t xml:space="preserve">Espesor de muros</t>
  </si>
  <si>
    <t xml:space="preserve">Lamina DP-04; memoria, hoja ESTRUCTURAL</t>
  </si>
  <si>
    <t xml:space="preserve">Espesor de losa de fondo</t>
  </si>
  <si>
    <t xml:space="preserve">Lamina DP-04</t>
  </si>
  <si>
    <t xml:space="preserve">Espesor de losa superior (tramo normal)</t>
  </si>
  <si>
    <t xml:space="preserve">Lamina DP-04 (secciones S-02 a S-08)</t>
  </si>
  <si>
    <t xml:space="preserve">Espesor de losa superior (cruce de camiones cisterna)</t>
  </si>
  <si>
    <t xml:space="preserve">Lamina DP-04 (seccion S-01); memoria, hoja ESTRUCTURAL (carga HL-93)</t>
  </si>
  <si>
    <t xml:space="preserve">Espesor de solado</t>
  </si>
  <si>
    <t xml:space="preserve">Lamina DP-04 y DA-02</t>
  </si>
  <si>
    <t xml:space="preserve">Nivel de piso terminado del frente (cara superior de la losa)</t>
  </si>
  <si>
    <t xml:space="preserve">msnm</t>
  </si>
  <si>
    <t xml:space="preserve">Lamina DP-02 (perfil) y plano de arquitectura (+261.15)</t>
  </si>
  <si>
    <t xml:space="preserve">Sobreancho de excavacion a cada lado del colector</t>
  </si>
  <si>
    <t xml:space="preserve">Lamina DA-01: zanja de 1.40 m (0.90 + 2 x 0.25)</t>
  </si>
  <si>
    <t xml:space="preserve">Franja de relleno de nivelacion del retiro, lado via</t>
  </si>
  <si>
    <t xml:space="preserve">Lamina DA-01, nota 2</t>
  </si>
  <si>
    <t xml:space="preserve">Recubrimiento del acero</t>
  </si>
  <si>
    <t xml:space="preserve">Norma E.060, tabla 7.7.1 (concreto en contacto con el suelo)</t>
  </si>
  <si>
    <t xml:space="preserve">Peso de la barra de 3/8"</t>
  </si>
  <si>
    <t xml:space="preserve">Igual a PARAMETROS!B10 de esta planilla</t>
  </si>
  <si>
    <t xml:space="preserve">Peso de la barra de 1/2"</t>
  </si>
  <si>
    <t xml:space="preserve">Catalogo del fabricante (0.994 kg/m)</t>
  </si>
  <si>
    <t xml:space="preserve">Traslape de barras longitudinales</t>
  </si>
  <si>
    <t xml:space="preserve">Norma E.060, 12.15 (clase B, 3/8"): 0.40 m</t>
  </si>
  <si>
    <t xml:space="preserve">Longitud comercial de barra</t>
  </si>
  <si>
    <t xml:space="preserve">Igual a PARAMETROS!B11 de esta planilla</t>
  </si>
  <si>
    <t xml:space="preserve">Ganchos de cierre del marco (2 x 0.15)</t>
  </si>
  <si>
    <t xml:space="preserve">Lamina DP-08, cuadro de doblado</t>
  </si>
  <si>
    <t xml:space="preserve">Igual a PARAMETROS!B16 de esta planilla</t>
  </si>
  <si>
    <t xml:space="preserve">Espaciamiento de marcos en tramo normal</t>
  </si>
  <si>
    <t xml:space="preserve">Lamina DP-04 y DP-08</t>
  </si>
  <si>
    <t xml:space="preserve">Espaciamiento de marcos en el cruce de camiones</t>
  </si>
  <si>
    <t xml:space="preserve">Lamina DP-04 (seccion S-01) y DP-08</t>
  </si>
  <si>
    <t xml:space="preserve">Espaciamiento de barras longitudinales (tramo normal)</t>
  </si>
  <si>
    <t xml:space="preserve">Espaciamiento de barras longitudinales (camiones)</t>
  </si>
  <si>
    <t xml:space="preserve">Numero de registros de limpieza con tapa</t>
  </si>
  <si>
    <t xml:space="preserve">Lamina DP-01 (RV-01 a RV-11), todos en la losa del colector; hoja COLECTOR REGISTROS Y TAPAS</t>
  </si>
  <si>
    <t xml:space="preserve">Lado de la tapa de concreto</t>
  </si>
  <si>
    <t xml:space="preserve">Lamina DP-06B</t>
  </si>
  <si>
    <t xml:space="preserve">Espesor de la tapa</t>
  </si>
  <si>
    <t xml:space="preserve">Lado de la abertura en la losa (luz del contramarco)</t>
  </si>
  <si>
    <t xml:space="preserve">Perimetro del contramarco L 2"x2"x3/16" (4 x 0.70)</t>
  </si>
  <si>
    <t xml:space="preserve">Perimetro del marco de tapa L 1 1/2"x1 1/2"x1/8" (4 x 0.68)</t>
  </si>
  <si>
    <t xml:space="preserve">Peso del angulo L 2"x2"x3/16"</t>
  </si>
  <si>
    <t xml:space="preserve">Catalogo del fabricante</t>
  </si>
  <si>
    <t xml:space="preserve">Peso del angulo L 1 1/2"x1 1/2"x1/8"</t>
  </si>
  <si>
    <t xml:space="preserve">Desarrollo pintado del angulo 2"x2" (4 caras)</t>
  </si>
  <si>
    <t xml:space="preserve">m2/m</t>
  </si>
  <si>
    <t xml:space="preserve">4 x 0.0508 m</t>
  </si>
  <si>
    <t xml:space="preserve">Desarrollo pintado del angulo 1 1/2"x1 1/2" (4 caras)</t>
  </si>
  <si>
    <t xml:space="preserve">4 x 0.0381 m</t>
  </si>
  <si>
    <t xml:space="preserve">Borde engrosado de la abertura: perimetro medio</t>
  </si>
  <si>
    <t xml:space="preserve">Lamina DP-06B (4 x 0.75)</t>
  </si>
  <si>
    <t xml:space="preserve">Borde engrosado: seccion (0.15 x 0.10)</t>
  </si>
  <si>
    <t xml:space="preserve">Cota de fondo del colector en el arranque (0+000)</t>
  </si>
  <si>
    <t xml:space="preserve">Lamina DP-02; memoria, hoja PERFIL_FLUJO</t>
  </si>
  <si>
    <t xml:space="preserve">Cota de fondo del colector en la llegada a la CL (0+105.29)</t>
  </si>
  <si>
    <t xml:space="preserve">Lamina DP-02 y DP-07; memoria, hoja EMPALME_CL</t>
  </si>
  <si>
    <t xml:space="preserve">Espaciamiento de juntas de dilatacion</t>
  </si>
  <si>
    <t xml:space="preserve">Lamina DP-01, nota; DP-02</t>
  </si>
  <si>
    <t xml:space="preserve">Altura interior maxima del colector (para el perimetro de la junta)</t>
  </si>
  <si>
    <t xml:space="preserve">Lamina DP-02 (perfil): llegada a la CL</t>
  </si>
  <si>
    <t xml:space="preserve">Progresiva final (cara este de la caja CL)</t>
  </si>
  <si>
    <t xml:space="preserve">Lamina DP-01</t>
  </si>
  <si>
    <t xml:space="preserve">Progresiva del quiebre (inicio del tramo de empalme)</t>
  </si>
  <si>
    <t xml:space="preserve">Ancho exterior del muro este de la caja CL (contacto con el colector)</t>
  </si>
  <si>
    <t xml:space="preserve">Lamina DP-07</t>
  </si>
  <si>
    <t xml:space="preserve">COLECTOR PLUVIAL FRONTAL - METRADO DE MOVIMIENTO DE TIERRAS</t>
  </si>
  <si>
    <t xml:space="preserve">Criterio (lamina DA-01): LIMPIEZA Y TRAZO = ancho de zanja x L.  EXCAVACION = ancho de zanja x Hz x L, con Hz = terreno existente (topografia) - fondo del solado.  REFINE = (ancho exterior + 0.10) x L (fondo del solado).  RELLENO LATERAL = 2 x sobreancho x Hz x L.  RELLENO FRANJA = 1.00 x (NPT - terreno) x L (nivelacion del retiro lado via).  h y Hz son valores medios ponderados del tramo (perfil DP-02 y topografia); el detalle cada 2.00 m esta en la memoria de calculo.</t>
  </si>
  <si>
    <t xml:space="preserve">ZONA</t>
  </si>
  <si>
    <t xml:space="preserve">PROG. INICIO</t>
  </si>
  <si>
    <t xml:space="preserve">PROG. FIN</t>
  </si>
  <si>
    <t xml:space="preserve">ALTURA INTERIOR h (m)</t>
  </si>
  <si>
    <t xml:space="preserve">e LOSA SUP. (m)</t>
  </si>
  <si>
    <t xml:space="preserve">ANCHO EXT. b + 2e (m)</t>
  </si>
  <si>
    <t xml:space="preserve">ANCHO DE ZANJA (m)</t>
  </si>
  <si>
    <t xml:space="preserve">Hz: TERRENO - FONDO DE SOLADO (m)</t>
  </si>
  <si>
    <t xml:space="preserve">NPT - TERRENO (m)</t>
  </si>
  <si>
    <t xml:space="preserve">LIMPIEZA Y TRAZO (m2)</t>
  </si>
  <si>
    <t xml:space="preserve">EXCAVACION (m3)</t>
  </si>
  <si>
    <t xml:space="preserve">REFINE Y NIVELACION (m2)</t>
  </si>
  <si>
    <t xml:space="preserve">RELLENO LATERAL DE ZANJA (m3)</t>
  </si>
  <si>
    <t xml:space="preserve">RELLENO FRANJA DE NIVELACION (m3)</t>
  </si>
  <si>
    <t xml:space="preserve">cruce de camiones</t>
  </si>
  <si>
    <t xml:space="preserve">CAMION</t>
  </si>
  <si>
    <t xml:space="preserve">0+000.00</t>
  </si>
  <si>
    <t xml:space="preserve">0+006.08</t>
  </si>
  <si>
    <t xml:space="preserve">DP-01 (planta), DP-02 (perfil: fondo y terreno), DP-04 (seccion), DA-01 (criterio)</t>
  </si>
  <si>
    <t xml:space="preserve">tramo normal</t>
  </si>
  <si>
    <t xml:space="preserve">NORMAL</t>
  </si>
  <si>
    <t xml:space="preserve">0+100.90</t>
  </si>
  <si>
    <t xml:space="preserve">tramo de empalme con la CL (horizontal)</t>
  </si>
  <si>
    <t xml:space="preserve">0+105.29</t>
  </si>
  <si>
    <t xml:space="preserve">TOTAL COLECTOR</t>
  </si>
  <si>
    <t xml:space="preserve">RESUMEN PARA LA PLANILLA GENERAL (partidas 01.04.04.01 y 01.04.04.02)</t>
  </si>
  <si>
    <t xml:space="preserve">LIMPIEZA MANUAL DE TERRENO / TRAZO Y REPLANTEO</t>
  </si>
  <si>
    <t xml:space="preserve">EXCAVACION MANUAL DE ZANJAS</t>
  </si>
  <si>
    <t xml:space="preserve">REFINE, NIVELACION Y COMPACTACION</t>
  </si>
  <si>
    <t xml:space="preserve">RELLENO COMPACTADO (lateral + franja)</t>
  </si>
  <si>
    <t xml:space="preserve">ELIMINACION DE MATERIAL EXCEDENTE = (excavacion - relleno) x esponjamiento</t>
  </si>
  <si>
    <t xml:space="preserve">Nota: el acortamiento de las cunetas que llegan al colector (Ejes 09, 08, 06, 04 y 01) esta aplicado en las hojas de cunetas de esta planilla (hoja CUNETAS - LLEGADA AL COLECTOR); no forma parte de esta partida. La caja CL pertenece al expediente del Hogar de Refugio.</t>
  </si>
  <si>
    <t xml:space="preserve">COLECTOR PLUVIAL FRONTAL - METRADO DE CONCRETO SIMPLE Y ARMADO</t>
  </si>
  <si>
    <t xml:space="preserve">Criterio (lamina DA-02): SOLADO = (ancho exterior + 0.10) x L.  LOSA DE FONDO = ancho exterior x e fondo x L.  MUROS = 2 x e muro x h x L.  LOSA SUPERIOR = ancho exterior x e losa x L.  ACABADO = ancho exterior x L (losa superior frotachada y brunada).  CURADO = 2 caras interiores de muros (2 x h x L) + fondo interior (b x L) + losa superior (ancho exterior x L), igual al criterio de la hoja METRADO DE CURADO.</t>
  </si>
  <si>
    <t xml:space="preserve">ANCHO EXT. (m)</t>
  </si>
  <si>
    <t xml:space="preserve">SOLADO f'c=100 (m2)</t>
  </si>
  <si>
    <t xml:space="preserve">LOSA DE FONDO (m3)</t>
  </si>
  <si>
    <t xml:space="preserve">MUROS (m3)</t>
  </si>
  <si>
    <t xml:space="preserve">LOSA SUPERIOR (m3)</t>
  </si>
  <si>
    <t xml:space="preserve">ACABADO DE LOSA SUP. (m2)</t>
  </si>
  <si>
    <t xml:space="preserve">CURADO (m2)</t>
  </si>
  <si>
    <t xml:space="preserve">DP-04 (secciones), DP-02 (h por tramo), DA-02 (areas por metro)</t>
  </si>
  <si>
    <t xml:space="preserve">TOTAL COLECTOR (tramos)</t>
  </si>
  <si>
    <t xml:space="preserve">REGISTROS DE LIMPIEZA EN LA LOSA DEL COLECTOR - lamina DP-06B (borde engrosado 0.15 x 0.10 alrededor de la abertura; descuento de la abertura 0.70 x 0.70 en la losa superior)</t>
  </si>
  <si>
    <t xml:space="preserve">ELEMENTO</t>
  </si>
  <si>
    <t xml:space="preserve">DETALLE</t>
  </si>
  <si>
    <t xml:space="preserve">LARGO (m)</t>
  </si>
  <si>
    <t xml:space="preserve">ANCHO (m)</t>
  </si>
  <si>
    <t xml:space="preserve">ALTO / ESPESOR (m)</t>
  </si>
  <si>
    <t xml:space="preserve">SOLADO (m2)</t>
  </si>
  <si>
    <t xml:space="preserve">ACABADO (m2)</t>
  </si>
  <si>
    <t xml:space="preserve">Registros RV-01 a RV-11: borde engrosado de la abertura</t>
  </si>
  <si>
    <t xml:space="preserve">perimetro x seccion</t>
  </si>
  <si>
    <t xml:space="preserve">DP-06B, DD-01: borde engrosado en los 11 registros</t>
  </si>
  <si>
    <t xml:space="preserve">Registros RV-01 a RV-11: descuento de la abertura en la losa superior</t>
  </si>
  <si>
    <t xml:space="preserve">0.70 x 0.70 x e</t>
  </si>
  <si>
    <t xml:space="preserve">DP-06B</t>
  </si>
  <si>
    <t xml:space="preserve">TOTAL REGISTROS</t>
  </si>
  <si>
    <t xml:space="preserve">RESUMEN PARA LA PLANILLA GENERAL (partidas 01.04.04.03 y 01.04.04.04)</t>
  </si>
  <si>
    <t xml:space="preserve">CONCRETO f'c=100 PARA SOLADO e=0.05</t>
  </si>
  <si>
    <t xml:space="preserve">CONCRETO f'c=210 EN LOSA DE FONDO</t>
  </si>
  <si>
    <t xml:space="preserve">CONCRETO f'c=210 EN MUROS</t>
  </si>
  <si>
    <t xml:space="preserve">CONCRETO f'c=210 EN LOSA SUPERIOR</t>
  </si>
  <si>
    <t xml:space="preserve">CURADO DE CONCRETO</t>
  </si>
  <si>
    <t xml:space="preserve">COLECTOR PLUVIAL FRONTAL - METRADO DE ENCOFRADO Y DESENCOFRADO</t>
  </si>
  <si>
    <t xml:space="preserve">Criterio (lamina DA-02): se encofran las dos caras interiores de los muros, las dos caras exteriores en toda la altura del cajon (losa de fondo + muro + losa superior) y el fondo de la losa superior (ancho interior b). La losa de fondo se vacia sobre el solado y la cara superior de la losa queda libre (acabado).</t>
  </si>
  <si>
    <t xml:space="preserve">ANCHO INT. b (m)</t>
  </si>
  <si>
    <t xml:space="preserve">CARAS INTERIORES DE MUROS 2 x h x L (m2)</t>
  </si>
  <si>
    <t xml:space="preserve">CARAS EXTERIORES 2 x (e fondo + h + e losa) x L (m2)</t>
  </si>
  <si>
    <t xml:space="preserve">FONDO DE LOSA SUPERIOR b x L (m2)</t>
  </si>
  <si>
    <t xml:space="preserve">TOTAL ENCOFRADO (m2)</t>
  </si>
  <si>
    <t xml:space="preserve">DP-04 (secciones), DA-02 (areas por metro)</t>
  </si>
  <si>
    <t xml:space="preserve">RESUMEN PARA LA PLANILLA GENERAL (partida 01.04.04.04.04)</t>
  </si>
  <si>
    <t xml:space="preserve">COLECTOR PLUVIAL FRONTAL - METRADO DE ACERO DE REFUERZO fy=4200 kg/cm2</t>
  </si>
  <si>
    <t xml:space="preserve">Criterio (laminas DP-04 y DP-08, norma E.060 14.3.4): el tramo normal lleva un solo marco cerrado en el eje de muros y losas (perimetro = 2 x (ancho ext. - e) + 2 x (e fondo/2 + h + e losa/2) + ganchos); el cruce de camiones cisterna lleva marco exterior + marco interior de 1/2" (perimetros con recubrimiento 0.04). Barras longitudinales 3/8" en cada marco, con traslape de 0.40 cada 9.00 m. Peso: 3/8" = 0.56 kg/m, 1/2" = 0.994 kg/m.</t>
  </si>
  <si>
    <t xml:space="preserve">ESPAC. MARCOS s (m)</t>
  </si>
  <si>
    <t xml:space="preserve">CAPAS (1 = marco unico; 2 = ext. + int.)</t>
  </si>
  <si>
    <t xml:space="preserve">DIAM. MARCOS</t>
  </si>
  <si>
    <t xml:space="preserve">N° DE JUEGOS (L / s, redondeado arriba)</t>
  </si>
  <si>
    <t xml:space="preserve">PERIMETRO MARCO 1 (m)</t>
  </si>
  <si>
    <t xml:space="preserve">PERIMETRO MARCO 2 (m)</t>
  </si>
  <si>
    <t xml:space="preserve">LONGITUD DE MARCOS (m)</t>
  </si>
  <si>
    <t xml:space="preserve">PESO (kg/m)</t>
  </si>
  <si>
    <t xml:space="preserve">ACERO EN MARCOS (kg)</t>
  </si>
  <si>
    <t xml:space="preserve">ESPAC. LONGIT. (m)</t>
  </si>
  <si>
    <t xml:space="preserve">N° BARRAS LONGIT. (perimetro / espac.)</t>
  </si>
  <si>
    <t xml:space="preserve">LONGITUD LONGIT. CON TRASLAPE (m)</t>
  </si>
  <si>
    <t xml:space="preserve">ACERO LONGIT. 3/8" (kg)</t>
  </si>
  <si>
    <t xml:space="preserve">TOTAL (kg)</t>
  </si>
  <si>
    <t xml:space="preserve">DP-04 (seccion S-01), DP-08 (cuadro de doblado), DA-03</t>
  </si>
  <si>
    <t xml:space="preserve">DP-04 (seccion S-02 a S-08), DP-08 (cuadro de doblado), DA-03</t>
  </si>
  <si>
    <t xml:space="preserve">REGISTROS DE LIMPIEZA Y TAPAS - laminas DP-06B, DD-01 y DD-02: refuerzo de borde de la abertura, parrilla de la tapa, asas y anclajes del contramarco (cantidad de registros de la hoja COLECTOR REGISTROS Y TAPAS)</t>
  </si>
  <si>
    <t xml:space="preserve">DIAM.</t>
  </si>
  <si>
    <t xml:space="preserve">FORMA</t>
  </si>
  <si>
    <t xml:space="preserve">PIEZAS POR REGISTRO</t>
  </si>
  <si>
    <t xml:space="preserve">REGISTROS</t>
  </si>
  <si>
    <t xml:space="preserve">LONG. POR PIEZA (m)</t>
  </si>
  <si>
    <t xml:space="preserve">LONG. TOTAL (m)</t>
  </si>
  <si>
    <t xml:space="preserve">ACERO (kg)</t>
  </si>
  <si>
    <t xml:space="preserve">Refuerzo de borde de la abertura</t>
  </si>
  <si>
    <t xml:space="preserve">recta</t>
  </si>
  <si>
    <t xml:space="preserve">DP-06B, DD-01: 2 barras de 1/2" por lado, L = 1.40</t>
  </si>
  <si>
    <t xml:space="preserve">Parrilla de la tapa de concreto</t>
  </si>
  <si>
    <t xml:space="preserve">DD-02: 7 + 7 barras 3/8" @0.10</t>
  </si>
  <si>
    <t xml:space="preserve">Asas de la tapa</t>
  </si>
  <si>
    <t xml:space="preserve">3/8" liso</t>
  </si>
  <si>
    <t xml:space="preserve">U</t>
  </si>
  <si>
    <t xml:space="preserve">DD-02: 2 asas de 0.40 desarrollado</t>
  </si>
  <si>
    <t xml:space="preserve">Anclajes del contramarco</t>
  </si>
  <si>
    <t xml:space="preserve">L</t>
  </si>
  <si>
    <t xml:space="preserve">DD-01: 8 anclajes de 0.20 soldados al angulo</t>
  </si>
  <si>
    <t xml:space="preserve">TOTAL REGISTROS Y TAPAS</t>
  </si>
  <si>
    <t xml:space="preserve">RESUMEN PARA LA PLANILLA GENERAL (partidas 01.04.04.04.05 y 01.04.04.05.06)</t>
  </si>
  <si>
    <t xml:space="preserve">ACERO DE REFUERZO EN COLECTOR</t>
  </si>
  <si>
    <t xml:space="preserve">ACERO DE REFUERZO EN TAPAS, BORDES Y ANCLAJES</t>
  </si>
  <si>
    <t xml:space="preserve">COLECTOR PLUVIAL FRONTAL - REGISTROS DE LIMPIEZA Y TAPAS</t>
  </si>
  <si>
    <t xml:space="preserve">Lamina DP-01 (ubicacion), DP-06B, DD-01 y DD-02 (detalle): contramarco L 2"x2"x3/16" anclado a la losa, marco L 1 1/2"x1 1/2"x1/8" soldado a la tapa, tapa de concreto armado 0.68 x 0.68 x 0.08 con parrilla 3/8" @0.10 y asas; borde engrosado 0.15 x 0.10 alrededor de la abertura de 0.70 x 0.70. El registro de la caja CL pertenece al expediente del Hogar de Refugio.</t>
  </si>
  <si>
    <t xml:space="preserve">REGISTRO</t>
  </si>
  <si>
    <t xml:space="preserve">PROGRESIVA</t>
  </si>
  <si>
    <t xml:space="preserve">UBICACION</t>
  </si>
  <si>
    <t xml:space="preserve">TAPA 0.68 x 0.68 (und)</t>
  </si>
  <si>
    <t xml:space="preserve">RV-01</t>
  </si>
  <si>
    <t xml:space="preserve">0+007.01</t>
  </si>
  <si>
    <t xml:space="preserve">Registro en la losa del colector; empalme cuneta Eje 09</t>
  </si>
  <si>
    <t xml:space="preserve">DP-01, DP-06B</t>
  </si>
  <si>
    <t xml:space="preserve">RV-02</t>
  </si>
  <si>
    <t xml:space="preserve">0+013.52</t>
  </si>
  <si>
    <t xml:space="preserve">Registro en la losa del colector; limpieza</t>
  </si>
  <si>
    <t xml:space="preserve">RV-03</t>
  </si>
  <si>
    <t xml:space="preserve">0+020.02</t>
  </si>
  <si>
    <t xml:space="preserve">Registro en la losa del colector; empalme cuneta Eje 08</t>
  </si>
  <si>
    <t xml:space="preserve">RV-04</t>
  </si>
  <si>
    <t xml:space="preserve">0+028.72</t>
  </si>
  <si>
    <t xml:space="preserve">RV-05</t>
  </si>
  <si>
    <t xml:space="preserve">0+037.41</t>
  </si>
  <si>
    <t xml:space="preserve">RV-06</t>
  </si>
  <si>
    <t xml:space="preserve">0+046.11</t>
  </si>
  <si>
    <t xml:space="preserve">Registro en la losa del colector; empalme cuneta Eje 06</t>
  </si>
  <si>
    <t xml:space="preserve">RV-07</t>
  </si>
  <si>
    <t xml:space="preserve">0+056.47</t>
  </si>
  <si>
    <t xml:space="preserve">RV-08</t>
  </si>
  <si>
    <t xml:space="preserve">0+066.84</t>
  </si>
  <si>
    <t xml:space="preserve">RV-09</t>
  </si>
  <si>
    <t xml:space="preserve">0+077.20</t>
  </si>
  <si>
    <t xml:space="preserve">Registro en la losa del colector; empalme cuneta Eje 04</t>
  </si>
  <si>
    <t xml:space="preserve">RV-10</t>
  </si>
  <si>
    <t xml:space="preserve">0+089.05</t>
  </si>
  <si>
    <t xml:space="preserve">RV-11</t>
  </si>
  <si>
    <t xml:space="preserve">Registro en la losa del colector; quiebre; inicio del tramo de empalme con la CL</t>
  </si>
  <si>
    <t xml:space="preserve">TOTAL DE REGISTROS CON TAPA</t>
  </si>
  <si>
    <t xml:space="preserve">METRADO DE LAS PARTIDAS DE REGISTROS (cantidad = total de registros; dimensiones de la hoja COLECTOR PARAMETROS)</t>
  </si>
  <si>
    <t xml:space="preserve">PARTIDA</t>
  </si>
  <si>
    <t xml:space="preserve">CALCULO</t>
  </si>
  <si>
    <t xml:space="preserve">1 por registro</t>
  </si>
  <si>
    <t xml:space="preserve">DP-06B, DD-01</t>
  </si>
  <si>
    <t xml:space="preserve">1 por tapa</t>
  </si>
  <si>
    <t xml:space="preserve">DP-06B, DD-02</t>
  </si>
  <si>
    <t xml:space="preserve">ANGULOS METALICOS P/MARCO Y CONTRAMARCO</t>
  </si>
  <si>
    <t xml:space="preserve">registros x (2.80 x 3.63 + 2.72 x 1.83)</t>
  </si>
  <si>
    <t xml:space="preserve">DP-06B; pesos de catalogo</t>
  </si>
  <si>
    <t xml:space="preserve">TAPA DE CONCRETO ARMADO 0.68 x 0.68 x 0.08</t>
  </si>
  <si>
    <t xml:space="preserve">DD-02</t>
  </si>
  <si>
    <t xml:space="preserve">CONCRETO f'c=210 EN TAPAS</t>
  </si>
  <si>
    <t xml:space="preserve">registros x 0.68 x 0.68 x 0.08</t>
  </si>
  <si>
    <t xml:space="preserve">registros x (2.80 x 0.203 + 2.72 x 0.152)</t>
  </si>
  <si>
    <t xml:space="preserve">4 caras de cada angulo</t>
  </si>
  <si>
    <t xml:space="preserve">COLECTOR PLUVIAL FRONTAL - JUNTAS Y EMPALMES DE CUNETAS</t>
  </si>
  <si>
    <t xml:space="preserve">Laminas DP-01, DP-02, DP-06C, DP-07 y DD-03. Junta de dilatacion de 1" cada 4.00 m en todo el perimetro de la seccion (tecnopor + sellador elastomerico). Junta de tecnopor de 1" entre el borde de la losa y el piso adyacente (no hay cerco perimetrico) y en el contacto con la caja CL. Empalme de cada cuneta por ventana en el muro lado predio con caida libre al fondo (sin dintel adicional).</t>
  </si>
  <si>
    <t xml:space="preserve">PROGRESIVA / DETALLE</t>
  </si>
  <si>
    <t xml:space="preserve">PARCIAL (m)</t>
  </si>
  <si>
    <t xml:space="preserve">JUNTA DE DILATACION e=1" CON TECNOPOR Y SELLADOR ELASTOMERICO (perimetro = 2 x ancho exterior + 2 x (e fondo + h max + e losa))</t>
  </si>
  <si>
    <t xml:space="preserve">Juntas de dilatacion cada 4.00 m entre 0+004.00 y 0+104.00</t>
  </si>
  <si>
    <t xml:space="preserve">DP-01; DP-02 (juntas en el perfil); DD-03; perimetro de la seccion</t>
  </si>
  <si>
    <t xml:space="preserve">TOTAL JUNTA DE DILATACION (m)</t>
  </si>
  <si>
    <t xml:space="preserve">JUNTA DE TECNOPOR e=1" ENTRE COLECTOR, PISO ADYACENTE Y CAJA CL (el frente de Varones no tiene cerco perimetrico)</t>
  </si>
  <si>
    <t xml:space="preserve">Borde de la losa con el piso adyacente: colector (ambos lados)</t>
  </si>
  <si>
    <t xml:space="preserve">DP-04, DD-03: junta de tecnopor en el borde de la losa superior</t>
  </si>
  <si>
    <t xml:space="preserve">Contacto del colector con el muro este de la caja CL (perimetro de la seccion)</t>
  </si>
  <si>
    <t xml:space="preserve">DP-07: tecnopor en todo el contacto colector - CL</t>
  </si>
  <si>
    <t xml:space="preserve">TOTAL JUNTA DE TECNOPOR (m)</t>
  </si>
  <si>
    <t xml:space="preserve">EMPALME DE CUNETA AL COLECTOR (ventana 0.40 x H en el muro lado predio, caida libre y registro encima) - laminas DP-06C y DD-04</t>
  </si>
  <si>
    <t xml:space="preserve">Cuneta Eje 09 (registro RV-01)</t>
  </si>
  <si>
    <t xml:space="preserve">DP-06C (cuadro de empalmes); DP-01</t>
  </si>
  <si>
    <t xml:space="preserve">Cuneta Eje 08 (registro RV-03)</t>
  </si>
  <si>
    <t xml:space="preserve">Cuneta Eje 06 (registro RV-06)</t>
  </si>
  <si>
    <t xml:space="preserve">Cuneta Eje 04 (registro RV-09)</t>
  </si>
  <si>
    <t xml:space="preserve">TOTAL EMPALMES (und)</t>
  </si>
  <si>
    <t xml:space="preserve">Nota: la cuneta del Eje 01 no entra al colector: cae directamente a la caja CL por una ventana en su muro norte (DP-07); esa ventana y la del muro este (llegada del colector) se dejan en la caja CL del expediente del Hogar de Refugio. Las cunetas se acortan hasta el muro (hoja CUNETAS - LLEGADA AL COLECTOR).</t>
  </si>
  <si>
    <t xml:space="preserve">COLECTOR PLUVIAL FRONTAL - DESGLOSE DE INSUMOS POR PARTIDA</t>
  </si>
  <si>
    <t xml:space="preserve">Rendimientos unitarios referenciales (celdas amarillas, editar segun el analisis de costos unitarios adoptado). El metrado se toma de la PLANILLA GENERAL DE METRADOS.</t>
  </si>
  <si>
    <t xml:space="preserve">METRADO</t>
  </si>
  <si>
    <t xml:space="preserve">INSUMO</t>
  </si>
  <si>
    <t xml:space="preserve">UND INSUMO</t>
  </si>
  <si>
    <t xml:space="preserve">CANTIDAD POR UND DE PARTIDA</t>
  </si>
  <si>
    <t xml:space="preserve">CANTIDAD TOTAL</t>
  </si>
  <si>
    <t xml:space="preserve">01.04.04.04.01 CONCRETO f'c=210 - losa de fondo</t>
  </si>
  <si>
    <t xml:space="preserve">Cemento Portland tipo I</t>
  </si>
  <si>
    <t xml:space="preserve">bol</t>
  </si>
  <si>
    <t xml:space="preserve">Arena gruesa</t>
  </si>
  <si>
    <t xml:space="preserve">Piedra chancada 1/2"</t>
  </si>
  <si>
    <t xml:space="preserve">Agua</t>
  </si>
  <si>
    <t xml:space="preserve">Mezcladora 9-11 p3</t>
  </si>
  <si>
    <t xml:space="preserve">hm</t>
  </si>
  <si>
    <t xml:space="preserve">Vibrador de concreto</t>
  </si>
  <si>
    <t xml:space="preserve">Operario</t>
  </si>
  <si>
    <t xml:space="preserve">hh</t>
  </si>
  <si>
    <t xml:space="preserve">Oficial</t>
  </si>
  <si>
    <t xml:space="preserve">Peon</t>
  </si>
  <si>
    <t xml:space="preserve">01.04.04.04.02 CONCRETO f'c=210 - muros</t>
  </si>
  <si>
    <t xml:space="preserve">01.04.04.04.03 CONCRETO f'c=210 - losa superior</t>
  </si>
  <si>
    <t xml:space="preserve">01.04.04.04.04 ENCOFRADO Y DESENCOFRADO</t>
  </si>
  <si>
    <t xml:space="preserve">Madera tornillo</t>
  </si>
  <si>
    <t xml:space="preserve">p2</t>
  </si>
  <si>
    <t xml:space="preserve">Clavos 3"</t>
  </si>
  <si>
    <t xml:space="preserve">Alambre negro N 8</t>
  </si>
  <si>
    <t xml:space="preserve">01.04.04.04.05 ACERO DE REFUERZO fy=4200</t>
  </si>
  <si>
    <t xml:space="preserve">Acero corrugado fy=4200 (incluye 5 % desperdicio)</t>
  </si>
  <si>
    <t xml:space="preserve">Alambre negro N 16</t>
  </si>
  <si>
    <t xml:space="preserve">01.04.04.03.01 SOLADO f'c=100 e=0.05</t>
  </si>
  <si>
    <t xml:space="preserve">Hormigon</t>
  </si>
  <si>
    <t xml:space="preserve">01.04.04.02.01 EXCAVACION MANUAL DE ZANJAS</t>
  </si>
  <si>
    <t xml:space="preserve">Herramientas manuales</t>
  </si>
  <si>
    <t xml:space="preserve">%mo</t>
  </si>
  <si>
    <t xml:space="preserve">01.04.04.02.03 RELLENO COMPACTADO CON MATERIAL PROPIO</t>
  </si>
  <si>
    <t xml:space="preserve">Compactador vibratorio tipo plancha</t>
  </si>
  <si>
    <t xml:space="preserve">01.04.04.02.04 ELIMINACION DE MATERIAL EXCEDENTE</t>
  </si>
  <si>
    <t xml:space="preserve">Volquete 6 m3</t>
  </si>
  <si>
    <t xml:space="preserve">Cargador frontal</t>
  </si>
  <si>
    <t xml:space="preserve">01.04.04.05.03 ANGULOS METALICOS (marco y contramarco)</t>
  </si>
  <si>
    <t xml:space="preserve">Angulo de acero (incluye corte y soldadura)</t>
  </si>
  <si>
    <t xml:space="preserve">Soldadura cellocord</t>
  </si>
  <si>
    <t xml:space="preserve">01.04.04.05.07 PINTURA ANTICORROSIVA Y ESMALTE</t>
  </si>
  <si>
    <t xml:space="preserve">Pintura anticorrosiva</t>
  </si>
  <si>
    <t xml:space="preserve">gal</t>
  </si>
  <si>
    <t xml:space="preserve">Esmalte sintetico</t>
  </si>
  <si>
    <t xml:space="preserve">Lija y thinner</t>
  </si>
  <si>
    <t xml:space="preserve">glb</t>
  </si>
  <si>
    <t xml:space="preserve">01.04.04.06.01 JUNTA DE DILATACION e=1" CON SELLADOR</t>
  </si>
  <si>
    <t xml:space="preserve">Tecnopor 1"</t>
  </si>
  <si>
    <t xml:space="preserve">Sello elastomerico de poliuretano</t>
  </si>
  <si>
    <t xml:space="preserve">01.04.04.06.02 JUNTA DE TECNOPOR e=1"</t>
  </si>
  <si>
    <t xml:space="preserve">RELLENO COMPACTADO C/MATERIAL PROPIO SELECCIONADO</t>
  </si>
  <si>
    <t xml:space="preserve">ELIMINACIÓN DE MATERIAL EXCEDENTE D&lt;1Km</t>
  </si>
  <si>
    <t xml:space="preserve">CONCRETO f'c=175 kg/cm2 PARA CUNETAS</t>
  </si>
  <si>
    <t xml:space="preserve">ENCOFRADO Y DESENCOFRADO DE CUNETAS</t>
  </si>
  <si>
    <t xml:space="preserve">TUBERIA DESAGÜE PVC-CP Ø4"</t>
  </si>
  <si>
    <t xml:space="preserve">TEE SANITARIA DESAGÜE PVC Ø4"</t>
  </si>
  <si>
    <t xml:space="preserve">EXCAVACIÓN MANUAL DE ZANJAS P/COLECTOR</t>
  </si>
  <si>
    <t xml:space="preserve">CONCRETO f'c=100 kg/cm2 PARA SOLADO E=2''</t>
  </si>
  <si>
    <t xml:space="preserve">CONCRETO f'c=210 kg/cm2 PARA COLECTOR</t>
  </si>
  <si>
    <t xml:space="preserve">Muros:</t>
  </si>
  <si>
    <t xml:space="preserve">Losa superior (incluye bordes de registro):</t>
  </si>
  <si>
    <t xml:space="preserve">Losa de fondo - Cruce de camiones (0+000.00 - 0+006.08)</t>
  </si>
  <si>
    <t xml:space="preserve">Losa de fondo - Tramo normal (0+006.08 - 0+100.90)</t>
  </si>
  <si>
    <t xml:space="preserve">Losa de fondo - Tramo de empalme con la cl (horizontal) (0+100.90 - 0+105.29)</t>
  </si>
  <si>
    <t xml:space="preserve">ENCOFRADO Y DESENCOFRADO DE COLECTOR</t>
  </si>
  <si>
    <t xml:space="preserve">ACERO f'y=4200 kg/cm2 PARA COLECTOR</t>
  </si>
  <si>
    <t xml:space="preserve">ACABADO FROTACHADO DE LOSA SUPERIOR (VEREDA)</t>
  </si>
  <si>
    <t xml:space="preserve">TAPA DE REGISTRO 0.68x0.68 C/MARCO Y CONTRAMARCO</t>
  </si>
  <si>
    <t xml:space="preserve">JUNTAS</t>
  </si>
  <si>
    <t xml:space="preserve">JUNTA DE DILATACION E=1" CON TECNOPOR Y SELLADOR ASFALTICO EN COLECTOR</t>
  </si>
  <si>
    <t xml:space="preserve">JUNTA E=1" CON TECNOPOR Y SELLADOR ASFALTICO ENTRE COLECTOR Y CAJA CL</t>
  </si>
  <si>
    <t xml:space="preserve">Registros en la losa del colector (RV-01 a RV-11)</t>
  </si>
  <si>
    <t xml:space="preserve">Cada tapa incluye: contramarco L 1 1/2"x1 1/2"x1/8" con 8 anclajes, marco L 1 1/2"x1 1/2"x1/8", tapa de concreto armado 0.68 x 0.68 x 0.08 con parrilla y asas, refuerzo de borde y pintura</t>
  </si>
  <si>
    <t xml:space="preserve">Desagregado por componente: ver hoja DESAGREGADO TAPA REGISTRO</t>
  </si>
  <si>
    <t xml:space="preserve">Perimetro del contramarco L 1 1/2"x1 1/2"x1/8" (4 x 0.70)</t>
  </si>
  <si>
    <t xml:space="preserve">Peso del angulo L 1 1/2"x1 1/2"x1/8" (contramarco)</t>
  </si>
  <si>
    <t xml:space="preserve">Peso del angulo L 1 1/2"x1 1/2"x1/8" (marco de tapa)</t>
  </si>
  <si>
    <t xml:space="preserve">Desarrollo pintado del angulo 1 1/2"x1 1/2" del contramarco (4 caras)</t>
  </si>
  <si>
    <t xml:space="preserve">Desarrollo pintado del angulo 1 1/2"x1 1/2" del marco de tapa (4 caras)</t>
  </si>
  <si>
    <t xml:space="preserve">Lamina DP-01 (ubicacion), DP-06B, DD-01 y DD-02 (detalle): contramarco L 1 1/2"x1 1/2"x1/8" anclado a la losa, marco L 1 1/2"x1 1/2"x1/8" soldado a la tapa, tapa de concreto armado 0.68 x 0.68 x 0.08 con parrilla 3/8" @0.10 y asas; borde engrosado 0.15 x 0.10 alrededor de la abertura de 0.70 x 0.70. El registro de la caja CL pertenece al expediente del Hogar de Refugio.</t>
  </si>
  <si>
    <t xml:space="preserve">CONTRAMARCO METALICO L 1 1/2"x1 1/2"x1/8" CON ANCLAJES</t>
  </si>
  <si>
    <t xml:space="preserve">registros x (2.80 x 1.83 + 2.72 x 1.83)</t>
  </si>
  <si>
    <t xml:space="preserve">registros x (2.80 x 0.152 + 2.72 x 0.152)</t>
  </si>
  <si>
    <t xml:space="preserve">Laminas DP-01, DP-02, DP-06C, DP-07 y DD-03. Junta de dilatacion de 1" cada 4.00 m en todo el perimetro de la seccion (tecnopor de 1" en todo el perimetro + sellador asfaltico RC-250 con arena de 1" x 2" en la cara expuesta, EG-2013 MTC). A ambos lados del colector hay terreno natural (sin piso): no lleva junta longitudinal; la losa superior sirve de vereda. Junta de tecnopor de 1" con sellador asfaltico en el contacto con la caja CL. Empalme de cada cuneta por ventana en el muro lado predio con caida libre al fondo (sin dintel adicional).</t>
  </si>
  <si>
    <t xml:space="preserve">JUNTA DE DILATACION e=1" CON TECNOPOR Y SELLADOR ASFALTICO EN COLECTOR (perimetro = 2 x ancho exterior + 2 x (e fondo + h max + e losa))</t>
  </si>
  <si>
    <t xml:space="preserve">JUNTA e=1" CON TECNOPOR Y SELLADOR ASFALTICO ENTRE COLECTOR Y CAJA CL (a ambos lados del colector hay terreno natural: no lleva junta longitudinal)</t>
  </si>
  <si>
    <t xml:space="preserve">Bordes de la losa: terreno natural a ambos lados (sin piso): no lleva junta</t>
  </si>
  <si>
    <t xml:space="preserve">DP-04 y DD-03</t>
  </si>
  <si>
    <t xml:space="preserve">DP-07 y DD-03: tecnopor y sellador en todo el contacto colector - CL</t>
  </si>
  <si>
    <t xml:space="preserve">TOTAL JUNTA CON LA CAJA CL (m)</t>
  </si>
  <si>
    <t xml:space="preserve">PLANILLA DE METRADOS - JUNTA DE DILATACIÓN E=1" (0.0254 m) CON SELLADOR ASFÁLTICO EN CUNETAS: TODA LA SECCIÓN (2 MUROS + LOSA DE FONDO)</t>
  </si>
  <si>
    <t xml:space="preserve">Ancho interior del fondo (m)</t>
  </si>
  <si>
    <t xml:space="preserve">LONG. POR
JUNTA (m)
2 muros + fondo</t>
  </si>
  <si>
    <t xml:space="preserve">NOTAS:</t>
  </si>
  <si>
    <t xml:space="preserve">1. EG-2013 MTC, Seccion 510 (cunetas revestidas de concreto): la junta corta toda la seccion en U, es decir los dos muros y la losa de fondo, para que cada paño de 3.00 m trabaje independiente.</t>
  </si>
  <si>
    <t xml:space="preserve">2. Longitud por junta = 2 x altura del muro (area del muro / longitud del eje, hoja CONCRETO EN CUNETAS) + ancho interior del fondo 0.40 m.</t>
  </si>
  <si>
    <t xml:space="preserve">3. Junta e = 1" (0.0254 m): tecnopor de 1" en todo el espesor y sellador asfaltico (RC-250 + arena) en la cara interior; se mide en metros lineales de junta sellada. Detalle en la lamina DJ-01.</t>
  </si>
  <si>
    <t xml:space="preserve">01.04.04.04.01 CONCRETO f'c=210 PARA COLECTOR - losa de fondo</t>
  </si>
  <si>
    <t xml:space="preserve">01.04.04.04.01 CONCRETO f'c=210 PARA COLECTOR - muros</t>
  </si>
  <si>
    <t xml:space="preserve">01.04.04.04.01 CONCRETO f'c=210 PARA COLECTOR - losa superior</t>
  </si>
  <si>
    <t xml:space="preserve">01.04.04.04.02 ENCOFRADO Y DESENCOFRADO DE COLECTOR</t>
  </si>
  <si>
    <t xml:space="preserve">01.04.04.04.03 ACERO f'y=4200 PARA COLECTOR</t>
  </si>
  <si>
    <t xml:space="preserve">01.04.04.05.01 TAPA DE REGISTRO: angulos (marco y contramarco)</t>
  </si>
  <si>
    <t xml:space="preserve">01.04.04.05.01 TAPA DE REGISTRO: pintura en angulos</t>
  </si>
  <si>
    <t xml:space="preserve">Angulo L 1 1/2"x1 1/2"x1/8" (incluye corte y soldadura)</t>
  </si>
  <si>
    <t xml:space="preserve">Lija para fierro N° 80</t>
  </si>
  <si>
    <t xml:space="preserve">Thinner acrilico</t>
  </si>
  <si>
    <t xml:space="preserve">01.04.04.06.01 JUNTA DE DILATACION e=1" CON TECNOPOR Y SELLADOR ASFALTICO</t>
  </si>
  <si>
    <t xml:space="preserve">Sellador asfaltico: asfalto liquido RC-250 + arena gruesa (sello de 1" x 2")</t>
  </si>
  <si>
    <t xml:space="preserve">01.04.04.06.02 JUNTA e=1" CON TECNOPOR Y SELLADOR ASFALTICO ENTRE COLECTOR Y CAJA CL</t>
  </si>
  <si>
    <t xml:space="preserve">COSTO DE LA HORA-HOMBRE 2026 - REGIMEN DE CONSTRUCCION CIVIL (TABLA OFICIAL CAPECO - FTCCP)</t>
  </si>
  <si>
    <t xml:space="preserve">Costo de la hora-hombre en edificacion del 01.01.2026 al 31.12.2026, segun la tabla oficial elaborada entre CAPECO y la FTCCP (Remuneracion y condiciones de trabajo en construccion civil 2026, Acta final de negociacion colectiva, Exp. N° 339-2025-MTPE/2.14-NC). El resumen de la parte 1 es el que usan todas las ACU de la planilla. Celda amarilla = dato de la tabla oficial; verde = formula.</t>
  </si>
  <si>
    <t xml:space="preserve">1. COSTO HORA-HOMBRE 2026 POR CATEGORIA (lo usan todas las ACU)</t>
  </si>
  <si>
    <t xml:space="preserve">CATEGORIA</t>
  </si>
  <si>
    <t xml:space="preserve">JORNAL BASICO (S/ dia)</t>
  </si>
  <si>
    <t xml:space="preserve">TOTAL POR DIA DE 8 h (S/)</t>
  </si>
  <si>
    <t xml:space="preserve">COSTO HH 2026 (S/ hh)</t>
  </si>
  <si>
    <t xml:space="preserve">FUENTE</t>
  </si>
  <si>
    <t xml:space="preserve">Tabla oficial CAPECO - FTCCP 2026 (Exp. N° 339-2025-MTPE/2.14-NC)</t>
  </si>
  <si>
    <t xml:space="preserve">2. COSTO HORA-HOMBRE EN EDIFICACION DEL 01.01.2026 AL 31.12.2026</t>
  </si>
  <si>
    <t xml:space="preserve">CONCEPTO</t>
  </si>
  <si>
    <t xml:space="preserve">BASE</t>
  </si>
  <si>
    <t xml:space="preserve">OPERARIO</t>
  </si>
  <si>
    <t xml:space="preserve">OFICIAL</t>
  </si>
  <si>
    <t xml:space="preserve">PEON</t>
  </si>
  <si>
    <t xml:space="preserve">Remuneracion basica del 01/01/2026 al 31/12/2026</t>
  </si>
  <si>
    <t xml:space="preserve">jornal</t>
  </si>
  <si>
    <t xml:space="preserve">R.M. 197-2025-TR; tabla oficial CAPECO - FTCCP 2026</t>
  </si>
  <si>
    <t xml:space="preserve">Beneficios y leyes sociales sobre el jornal basico (%)</t>
  </si>
  <si>
    <t xml:space="preserve">parte 3: 112.20 % sobre el jornal basico</t>
  </si>
  <si>
    <t xml:space="preserve">Bonificacion unificada de construccion (BUC)</t>
  </si>
  <si>
    <t xml:space="preserve">32/30/30 %</t>
  </si>
  <si>
    <t xml:space="preserve">32 % operario; 30 % oficial y peon</t>
  </si>
  <si>
    <t xml:space="preserve">Beneficios y leyes sociales sobre el BUC (%)</t>
  </si>
  <si>
    <t xml:space="preserve">parte 3: 12.25 % sobre el BUC</t>
  </si>
  <si>
    <t xml:space="preserve">Seguro de vida ESSALUD + Vida (S/ 5.00 por mes)</t>
  </si>
  <si>
    <t xml:space="preserve">dia</t>
  </si>
  <si>
    <t xml:space="preserve">tabla oficial</t>
  </si>
  <si>
    <t xml:space="preserve">Fondo de capacitacion (Exp. N° 339-2025-MTPE/2.14-NC)</t>
  </si>
  <si>
    <t xml:space="preserve">Bonificacion por movilidad (R.M. N° 139-2024-TR)</t>
  </si>
  <si>
    <t xml:space="preserve">S/ 8.60 por dia laborado en todo el pais</t>
  </si>
  <si>
    <t xml:space="preserve">Overol (R.D. N° 777-87-DR-LIM): (2 x S/ 132.80) / 300</t>
  </si>
  <si>
    <t xml:space="preserve">Total por dia de 8 horas (S/)</t>
  </si>
  <si>
    <t xml:space="preserve">Costo de la hora-hombre (S/ hh)</t>
  </si>
  <si>
    <t xml:space="preserve">total por dia / 8 horas</t>
  </si>
  <si>
    <t xml:space="preserve">3. PORCENTAJES DE BENEFICIOS Y LEYES SOCIALES EN EDIFICACION (tabla oficial CAPECO - FTCCP 2026)</t>
  </si>
  <si>
    <t xml:space="preserve">SOBRE JORNAL BASICO (%)</t>
  </si>
  <si>
    <t xml:space="preserve">SOBRE BUC (%)</t>
  </si>
  <si>
    <t xml:space="preserve">1.01 Indemnizacion por tiempo de servicios</t>
  </si>
  <si>
    <t xml:space="preserve">1.01 Indemnizacion por participacion de utilidades</t>
  </si>
  <si>
    <t xml:space="preserve">1.02 SCTR: prestaciones asistenciales (Ley 26790)</t>
  </si>
  <si>
    <t xml:space="preserve">1.02 SCTR: prestaciones economicas</t>
  </si>
  <si>
    <t xml:space="preserve">1.04 Regimen de prestaciones de salud (ESSALUD)</t>
  </si>
  <si>
    <t xml:space="preserve">1.05 Seguro de vida ley</t>
  </si>
  <si>
    <t xml:space="preserve">2.01 Salario dominical</t>
  </si>
  <si>
    <t xml:space="preserve">2.02 Vacaciones record (30 dias)</t>
  </si>
  <si>
    <t xml:space="preserve">2.03 Gratificacion por Fiestas Patrias y Navidad</t>
  </si>
  <si>
    <t xml:space="preserve">2.04 Jornales por dias feriados no laborables</t>
  </si>
  <si>
    <t xml:space="preserve">2.05 Asignacion escolar (promedio 3 hijos)</t>
  </si>
  <si>
    <t xml:space="preserve">3.01 ESSALUD sobre salario dominical (9 % de 17.58 %)</t>
  </si>
  <si>
    <t xml:space="preserve">3.02 ESSALUD sobre vacaciones (9 % de 10.00 %)</t>
  </si>
  <si>
    <t xml:space="preserve">3.03 ESSALUD sobre feriados (9 % de 4.33 %)</t>
  </si>
  <si>
    <t xml:space="preserve">4.01 SCTR sobre salario dominical (2.35 % de 17.58 %)</t>
  </si>
  <si>
    <t xml:space="preserve">4.02 SCTR sobre vacaciones (2.35 % de 10.00 %)</t>
  </si>
  <si>
    <t xml:space="preserve">4.03 SCTR sobre feriados (2.35 % de 4.33 %)</t>
  </si>
  <si>
    <t xml:space="preserve">5.01 Seguro de vida ley sobre salario dominical (0.90 % de 17.58 %)</t>
  </si>
  <si>
    <t xml:space="preserve">5.02 Seguro de vida ley sobre feriados (0.90 % de 4.33 %)</t>
  </si>
  <si>
    <t xml:space="preserve">6.01 Bonificacion extraordinaria Ley 30334 (9 % de 22.22 %)</t>
  </si>
  <si>
    <t xml:space="preserve">PORCENTAJE TOTAL DE LEYES Y BENEFICIOS SOCIALES</t>
  </si>
  <si>
    <t xml:space="preserve">112.20 % y 12.25 %</t>
  </si>
  <si>
    <t xml:space="preserve">ANALISIS DE COSTO UNITARIO - TAPA DE REGISTRO 0.68 x 0.68 C/MARCO Y CONTRAMARCO</t>
  </si>
  <si>
    <t xml:space="preserve">Analisis de la partida de Delphin 01.04.04.06.05.01 TAPA DE REGISTRO 0.68x0.68 C/MARCO Y CONTRAMARCO, partida 01.04.04.05.01 del metrado; componentes desagregados en la hoja DESAGREGADO TAPA REGISTRO. Cantidad por tapa = metrado del componente / numero de tapas. Ratios de insumos tomados de la hoja COLECTOR INSUMOS. Celda amarilla = dato (ratio o precio); verde = formula. Precios sin IGV obtenidos de precios publicados (octubre 2026), con su fuente en la columna H; los marcados "por cotizar" deben confirmarse en Tarapoto.</t>
  </si>
  <si>
    <t xml:space="preserve">1. CANTIDADES POR TAPA (tomadas de este metrado)</t>
  </si>
  <si>
    <t xml:space="preserve">COMPONENTE</t>
  </si>
  <si>
    <t xml:space="preserve">METRADO TOTAL</t>
  </si>
  <si>
    <t xml:space="preserve">N° DE TAPAS</t>
  </si>
  <si>
    <t xml:space="preserve">CANTIDAD POR TAPA</t>
  </si>
  <si>
    <t xml:space="preserve">Contramarco metalico L 1 1/2"x1 1/2"x1/8" con anclajes</t>
  </si>
  <si>
    <t xml:space="preserve">contramarco</t>
  </si>
  <si>
    <t xml:space="preserve">DP-06B; 1 por registro</t>
  </si>
  <si>
    <t xml:space="preserve">Marco metalico de tapa L 1 1/2"x1 1/2"x1/8"</t>
  </si>
  <si>
    <t xml:space="preserve">marco</t>
  </si>
  <si>
    <t xml:space="preserve">DP-06B; 1 por tapa</t>
  </si>
  <si>
    <t xml:space="preserve">Angulos metalicos para marco y contramarco (incluye soldadura)</t>
  </si>
  <si>
    <t xml:space="preserve">angulos</t>
  </si>
  <si>
    <t xml:space="preserve">2.80 x 1.83 + 2.72 x 1.83 = 10.10 kg por tapa</t>
  </si>
  <si>
    <t xml:space="preserve">Tapa de concreto armado 0.68 x 0.68 x 0.08 m (incluye acero y asas)</t>
  </si>
  <si>
    <t xml:space="preserve">tapa</t>
  </si>
  <si>
    <t xml:space="preserve">Concreto f'c=210 kg/cm2 en tapas</t>
  </si>
  <si>
    <t xml:space="preserve">concreto</t>
  </si>
  <si>
    <t xml:space="preserve">0.68 x 0.68 x 0.08 = 0.0370 m3 por tapa</t>
  </si>
  <si>
    <t xml:space="preserve">Acero fy=4200 kg/cm2 en tapas, bordes y anclajes</t>
  </si>
  <si>
    <t xml:space="preserve">acero</t>
  </si>
  <si>
    <t xml:space="preserve">Hoja COLECTOR ACERO, filas 33 a 36</t>
  </si>
  <si>
    <t xml:space="preserve">Pintura anticorrosiva y esmalte en angulos</t>
  </si>
  <si>
    <t xml:space="preserve">pintura</t>
  </si>
  <si>
    <t xml:space="preserve">2.80 x 0.152 + 2.72 x 0.152 = 0.84 m2 por tapa</t>
  </si>
  <si>
    <t xml:space="preserve">2. DESGLOSE POR COMPONENTE (insumos que aporta cada componente a una tapa)</t>
  </si>
  <si>
    <t xml:space="preserve">CANTIDAD DEL COMPONENTE POR TAPA</t>
  </si>
  <si>
    <t xml:space="preserve">RATIO POR UND DE COMPONENTE</t>
  </si>
  <si>
    <t xml:space="preserve">APORTE POR TAPA</t>
  </si>
  <si>
    <t xml:space="preserve">PARCIAL S/</t>
  </si>
  <si>
    <t xml:space="preserve">SUSTENTO DEL RATIO</t>
  </si>
  <si>
    <t xml:space="preserve">A</t>
  </si>
  <si>
    <t xml:space="preserve">Marco y contramarco metalicos: fabricacion, soldadura de anclajes y colocacion (kg de angulo por tapa)</t>
  </si>
  <si>
    <t xml:space="preserve">Angulo L 1 1/2"x1 1/2"x1/8"</t>
  </si>
  <si>
    <t xml:space="preserve">Contramarco 4 x 0.70 = 2.80 m x 1.83 kg/m; 5 % de desperdicio (COLECTOR INSUMOS)</t>
  </si>
  <si>
    <t xml:space="preserve">Marco 4 x 0.68 = 2.72 m x 1.83 kg/m; 5 % de desperdicio</t>
  </si>
  <si>
    <t xml:space="preserve">Soldadura cellocord E6011 1/8"</t>
  </si>
  <si>
    <t xml:space="preserve">COLECTOR INSUMOS, ratio por kg de angulo</t>
  </si>
  <si>
    <t xml:space="preserve">Maquina de soldar 250 A</t>
  </si>
  <si>
    <t xml:space="preserve">Mismo tiempo del operario soldador</t>
  </si>
  <si>
    <t xml:space="preserve">Subtotal A</t>
  </si>
  <si>
    <t xml:space="preserve">B</t>
  </si>
  <si>
    <t xml:space="preserve">Concreto f'c=210 kg/cm2 de la tapa (m3 por tapa)</t>
  </si>
  <si>
    <t xml:space="preserve">COLECTOR INSUMOS, concreto f'c=210 (diseno de mezcla)</t>
  </si>
  <si>
    <t xml:space="preserve">COLECTOR INSUMOS</t>
  </si>
  <si>
    <t xml:space="preserve">Subtotal B</t>
  </si>
  <si>
    <t xml:space="preserve">C</t>
  </si>
  <si>
    <t xml:space="preserve">Vaciado de la tapa dentro del marco (und de tapa)</t>
  </si>
  <si>
    <t xml:space="preserve">Tablero de vaciado 0.80 x 0.80 x 1" = 6.89 p2, 6 usos; el marco metalico hace de encofrado lateral</t>
  </si>
  <si>
    <t xml:space="preserve">Subtotal C</t>
  </si>
  <si>
    <t xml:space="preserve">D</t>
  </si>
  <si>
    <t xml:space="preserve">Acero fy=4200 kg/cm2 de tapa, borde de abertura, asas y anclajes (kg por tapa)</t>
  </si>
  <si>
    <t xml:space="preserve">Acero corrugado fy=4200</t>
  </si>
  <si>
    <t xml:space="preserve">COLECTOR INSUMOS (incluye 5 % de desperdicio)</t>
  </si>
  <si>
    <t xml:space="preserve">Subtotal D</t>
  </si>
  <si>
    <t xml:space="preserve">E</t>
  </si>
  <si>
    <t xml:space="preserve">Pintura anticorrosiva y esmalte en angulos (m2 por tapa)</t>
  </si>
  <si>
    <t xml:space="preserve">COLECTOR INSUMOS: 1 pliego cada 4 m2</t>
  </si>
  <si>
    <t xml:space="preserve">COLECTOR INSUMOS: 15 % del volumen de pintura (dilucion y limpieza)</t>
  </si>
  <si>
    <t xml:space="preserve">Subtotal E</t>
  </si>
  <si>
    <t xml:space="preserve">F</t>
  </si>
  <si>
    <t xml:space="preserve">Colocacion: nivelacion y fijacion del contramarco antes del vaciado de la losa y asentado de la tapa (und de tapa)</t>
  </si>
  <si>
    <t xml:space="preserve">Criterio de obra: 1 hh por registro</t>
  </si>
  <si>
    <t xml:space="preserve">Subtotal F</t>
  </si>
  <si>
    <t xml:space="preserve">Costo de los componentes por tapa (sin herramientas manuales)</t>
  </si>
  <si>
    <t xml:space="preserve">3. ANALISIS DE COSTO UNITARIO (formato Delphin)</t>
  </si>
  <si>
    <t xml:space="preserve">Partida</t>
  </si>
  <si>
    <t xml:space="preserve">01.04.04.06.05.01 TAPA DE REGISTRO 0.68x0.68 C/MARCO Y CONTRAMARCO</t>
  </si>
  <si>
    <t xml:space="preserve">Partida del metrado</t>
  </si>
  <si>
    <t xml:space="preserve">01.04.04.05.01 TAPA DE REGISTRO (10 und); componentes en la hoja DESAGREGADO TAPA REGISTRO</t>
  </si>
  <si>
    <t xml:space="preserve">Metrado</t>
  </si>
  <si>
    <t xml:space="preserve">Rendimiento (und/dia, cuadrilla de 1 operario)</t>
  </si>
  <si>
    <t xml:space="preserve">RECURSO</t>
  </si>
  <si>
    <t xml:space="preserve">CUADRILLA</t>
  </si>
  <si>
    <t xml:space="preserve">PRECIO S/</t>
  </si>
  <si>
    <t xml:space="preserve">FUENTE DEL PRECIO</t>
  </si>
  <si>
    <t xml:space="preserve">MANO DE OBRA</t>
  </si>
  <si>
    <t xml:space="preserve">hoja COSTO HORA HOMBRE 2026 (tabla oficial CAPECO - FTCCP 2026)</t>
  </si>
  <si>
    <t xml:space="preserve">Subtotal mano de obra</t>
  </si>
  <si>
    <t xml:space="preserve">MATERIALES</t>
  </si>
  <si>
    <t xml:space="preserve">Sodimac Peru: barra de 6 m (10.98 kg) S/ 39.90 con IGV</t>
  </si>
  <si>
    <t xml:space="preserve">Sodimac Peru: caja de 5 kg S/ 109.90 con IGV</t>
  </si>
  <si>
    <t xml:space="preserve">Cemento Pacasmayo tipo I 42.5 kg: S/ 36.50 con IGV</t>
  </si>
  <si>
    <t xml:space="preserve">Agregados Tarapoto (Morales): S/ 48.00 el m3</t>
  </si>
  <si>
    <t xml:space="preserve">Por cotizar en Tarapoto: no hay precio publicado de la piedra de 1/2"</t>
  </si>
  <si>
    <t xml:space="preserve">EMAPA San Martin: tarifa comercial de 30 m3 a mas, agua 6.80 + alcantarillado 1.53</t>
  </si>
  <si>
    <t xml:space="preserve">Maderas del Norte: S/ 5.20 el p2 con IGV</t>
  </si>
  <si>
    <t xml:space="preserve">Sodimac Peru, Aceros Arequipa: 1/2" x 9 m S/ 36.50 y 3/8" x 9 m S/ 20.35 con IGV (ponderado)</t>
  </si>
  <si>
    <t xml:space="preserve">Sodimac Peru: rollo de 10 kg S/ 59.90 con IGV</t>
  </si>
  <si>
    <t xml:space="preserve">Promart: anticorrosivo Vencedor 1 gl S/ 53.00 con IGV</t>
  </si>
  <si>
    <t xml:space="preserve">Promart: esmalte sintetico CPP 1 gl S/ 57.00 con IGV</t>
  </si>
  <si>
    <t xml:space="preserve">Sodimac Peru: lija para fierro 3M grano 80 S/ 2.50 con IGV</t>
  </si>
  <si>
    <t xml:space="preserve">Sodimac Peru: thinner acrilico TOPEX 3.5 L S/ 38.90 con IGV</t>
  </si>
  <si>
    <t xml:space="preserve">Subtotal materiales</t>
  </si>
  <si>
    <t xml:space="preserve">EQUIPOS</t>
  </si>
  <si>
    <t xml:space="preserve">3 % del costo de mano de obra</t>
  </si>
  <si>
    <t xml:space="preserve">Konstrutecnia: S/ 15.00 la hora-maquina con IGV</t>
  </si>
  <si>
    <t xml:space="preserve">Konstrutecnia: S/ 13.00 la hora-maquina con IGV</t>
  </si>
  <si>
    <t xml:space="preserve">Por cotizar en Tarapoto: no hay tarifa publicada</t>
  </si>
  <si>
    <t xml:space="preserve">Subtotal equipos</t>
  </si>
  <si>
    <t xml:space="preserve">COSTO UNITARIO DIRECTO POR TAPA (S/ por und)</t>
  </si>
  <si>
    <t xml:space="preserve">COSTO DIRECTO DE LA PARTIDA (metrado x costo unitario)</t>
  </si>
  <si>
    <t xml:space="preserve">Control: costo de componentes (seccion 2) + herramientas manuales = costo unitario</t>
  </si>
  <si>
    <t xml:space="preserve">Hoja COLECTOR ACERO, filas 17 a 20</t>
  </si>
  <si>
    <t xml:space="preserve">01.04.04.05.01 TAPA DE REGISTRO (11 und); componentes en la hoja DESAGREGADO TAPA REGISTRO</t>
  </si>
  <si>
    <t xml:space="preserve">ANALISIS DE COSTOS UNITARIOS - CANALETAS DE TECHO DE PLANCHA GALVANIZADA</t>
  </si>
  <si>
    <t xml:space="preserve">Analisis de las partidas 01.04.03.05.01.03 a 01.04.03.05.01.06 (red de recoleccion de techo). Las cantidades de insumos salen de los parametros de la hoja METRADO CANALETAS (seccion 0.25 x 0.20, pestana 0.05, plancha e=0.9 mm, soportes @0.60). Celda amarilla = dato (cuadrilla, rendimiento, aporte o precio); verde = formula. Precios sin IGV, referenciales: al pasar a Delphin rigen los de la base de precios del presupuesto.</t>
  </si>
  <si>
    <t xml:space="preserve">DATOS DE CALCULO (de la hoja METRADO CANALETAS y de catalogo)</t>
  </si>
  <si>
    <t xml:space="preserve">DATO</t>
  </si>
  <si>
    <t xml:space="preserve">Fondo interior de la canaleta</t>
  </si>
  <si>
    <t xml:space="preserve">METRADO CANALETAS F45</t>
  </si>
  <si>
    <t xml:space="preserve">Altura interior de la canaleta</t>
  </si>
  <si>
    <t xml:space="preserve">METRADO CANALETAS F46</t>
  </si>
  <si>
    <t xml:space="preserve">Pestana superior (cada lado)</t>
  </si>
  <si>
    <t xml:space="preserve">METRADO CANALETAS F47</t>
  </si>
  <si>
    <t xml:space="preserve">Desarrollo de plancha por metro de canaleta</t>
  </si>
  <si>
    <t xml:space="preserve">fondo + 2 alturas + 2 pestanas</t>
  </si>
  <si>
    <t xml:space="preserve">METRADO CANALETAS F49</t>
  </si>
  <si>
    <t xml:space="preserve">Separacion de soportes</t>
  </si>
  <si>
    <t xml:space="preserve">METRADO CANALETAS F50</t>
  </si>
  <si>
    <t xml:space="preserve">Peso de la plancha galvanizada</t>
  </si>
  <si>
    <t xml:space="preserve">kg/m2</t>
  </si>
  <si>
    <t xml:space="preserve">espesor x 7.85 kg/m2 por mm + zinc (0.3 kg/m2)</t>
  </si>
  <si>
    <t xml:space="preserve">Largo de la plancha comercial (1.22 x 2.44)</t>
  </si>
  <si>
    <t xml:space="preserve">catalogo; la canaleta se fabrica en tramos de 2.44 m</t>
  </si>
  <si>
    <t xml:space="preserve">Traslape entre tramos</t>
  </si>
  <si>
    <t xml:space="preserve">criterio de obra (remachado y sellado)</t>
  </si>
  <si>
    <t xml:space="preserve">Desarrollo de la platina de un soporte</t>
  </si>
  <si>
    <t xml:space="preserve">abraza la canaleta (fondo + 2 lados) + 2 orejas de fijacion de 0.10</t>
  </si>
  <si>
    <t xml:space="preserve">Peso de la platina 1" x 1/8"</t>
  </si>
  <si>
    <t xml:space="preserve">25.4 x 3.18 mm x 7.85 = 0.633 kg/m</t>
  </si>
  <si>
    <t xml:space="preserve">Largo de la platina comercial</t>
  </si>
  <si>
    <t xml:space="preserve">catalogo</t>
  </si>
  <si>
    <t xml:space="preserve">ACU 1: 01.04.03.05.01.03 CANALETA DE PLANCHA DE ACERO GALVANIZADO e=0.9mm, SECCION 0.25m x 0.20m</t>
  </si>
  <si>
    <t xml:space="preserve">Rendimiento (m/dia)</t>
  </si>
  <si>
    <t xml:space="preserve">fabricacion (corte y doblado en obra), remachado, sellado y colocacion sobre los soportes; cuadrilla 1 op + 1 peon</t>
  </si>
  <si>
    <t xml:space="preserve">SUSTENTO / FUENTE</t>
  </si>
  <si>
    <t xml:space="preserve">Operario (hojalatero)</t>
  </si>
  <si>
    <t xml:space="preserve">Plancha de acero galvanizado e=0.9 mm</t>
  </si>
  <si>
    <t xml:space="preserve">desarrollo x (1 + traslape/2.44) x 1.05 desperdicio; Mercado Tarapoto 2026, sin IGV (referencial)</t>
  </si>
  <si>
    <t xml:space="preserve">Remache pop 1/8"</t>
  </si>
  <si>
    <t xml:space="preserve">2 filas a @0.05 en cada traslape (cada 2.44 m)</t>
  </si>
  <si>
    <t xml:space="preserve">Sellador de poliuretano (cartucho 300 ml)</t>
  </si>
  <si>
    <t xml:space="preserve">1 cartucho = 8 m de cordon de 6 mm; una junta (0.65 m) cada 2.44 m</t>
  </si>
  <si>
    <t xml:space="preserve">5 % del costo de mano de obra (hojalateria)</t>
  </si>
  <si>
    <t xml:space="preserve">COSTO UNITARIO DIRECTO (S/ por m)</t>
  </si>
  <si>
    <t xml:space="preserve">ACU 2: 01.04.03.05.01.04 SOPORTE DE PLATINA F°G° 1" x 1/8" P/CANALETA</t>
  </si>
  <si>
    <t xml:space="preserve">Rendimiento (und/dia)</t>
  </si>
  <si>
    <t xml:space="preserve">corte, doblado en U con orejas, perforado y fijacion al alero o viga; cuadrilla 1 op + 0.5 peon</t>
  </si>
  <si>
    <t xml:space="preserve">Platina de fierro galvanizado 1" x 1/8"</t>
  </si>
  <si>
    <t xml:space="preserve">desarrollo del soporte x 1.05 desperdicio; Mercado Tarapoto 2026, sin IGV (referencial)</t>
  </si>
  <si>
    <t xml:space="preserve">Perno de expansion 1/4" x 2 1/2" con tarugo</t>
  </si>
  <si>
    <t xml:space="preserve">2 por soporte (una oreja a cada lado)</t>
  </si>
  <si>
    <t xml:space="preserve">Tornillo autorroscante 1/4" x 3/4" (soporte a canaleta)</t>
  </si>
  <si>
    <t xml:space="preserve">2 por soporte</t>
  </si>
  <si>
    <t xml:space="preserve">COSTO UNITARIO DIRECTO (S/ por und)</t>
  </si>
  <si>
    <t xml:space="preserve">ACU 3: 01.04.03.05.01.05 TAPA LATERAL DE PLANCHA GALVANIZADA P/CANALETA</t>
  </si>
  <si>
    <t xml:space="preserve">trazo, corte, doblez de pestanas, remachado y sellado en el extremo de la canaleta; cuadrilla 1 op + 0.5 peon</t>
  </si>
  <si>
    <t xml:space="preserve">tapa 0.25 x 0.20 + pestana de 0.03 en el contorno, 10 % desperdicio</t>
  </si>
  <si>
    <t xml:space="preserve">6 por tapa</t>
  </si>
  <si>
    <t xml:space="preserve">contorno de la tapa (0.65 m) / 8 m por cartucho</t>
  </si>
  <si>
    <t xml:space="preserve">ACU 4: 01.04.03.05.01.06 BOQUILLA DE PLANCHA GALVANIZADA P/CONEXION DE CANALETA A MONTANTE Ø4"</t>
  </si>
  <si>
    <t xml:space="preserve">corte de la abertura en el fondo, fabricacion del tubo y la brida, remachado, sellado y embone al montante; cuadrilla 1 op + 0.5 peon</t>
  </si>
  <si>
    <t xml:space="preserve">tubo de 4" x 0.15 m (embone en el montante) + brida 0.20 x 0.20 en el fondo de la canaleta; 15 % desperdicio</t>
  </si>
  <si>
    <t xml:space="preserve">8 por boquilla (brida al fondo de la canaleta)</t>
  </si>
  <si>
    <t xml:space="preserve">contorno de la brida + embone (1.12 m) / 8 m por cartucho</t>
  </si>
  <si>
    <t xml:space="preserve">RESUMEN DE COSTOS DIRECTOS (referencial)</t>
  </si>
  <si>
    <t xml:space="preserve">C.U. S/</t>
  </si>
  <si>
    <t xml:space="preserve">CANALETA DE PLANCHA DE ACERO GALVANIZADO e=0.9mm, SECCION 0.25m x 0.20m</t>
  </si>
  <si>
    <t xml:space="preserve">BOQUILLA DE PLANCHA GALVANIZADA P/CONEXION DE CANALETA A MONTANTE Ø4"</t>
  </si>
  <si>
    <t xml:space="preserve">TOTAL CANALETAS (costo directo)</t>
  </si>
  <si>
    <t xml:space="preserve">METRADO CANALETAS F48</t>
  </si>
  <si>
    <t xml:space="preserve">METRADO CANALETAS F52</t>
  </si>
  <si>
    <t xml:space="preserve">METRADO CANALETAS F53</t>
  </si>
  <si>
    <t xml:space="preserve">DESAGREGADO DE LA PARTIDA 01.04.04.05.01 - TAPA DE REGISTRO 0.68x0.68 C/MARCO Y CONTRAMARCO</t>
  </si>
  <si>
    <t xml:space="preserve">La partida se mide por unidad de registro (tapa con marco y contramarco). Esta hoja muestra donde va cada registro y lo que lleva cada uno; las cantidades salen de las hojas COLECTOR PARAMETROS, COLECTOR REGISTROS Y TAPAS y COLECTOR ACERO (lamina DP-06B).</t>
  </si>
  <si>
    <t xml:space="preserve">A. UBICACION DE LOS REGISTROS</t>
  </si>
  <si>
    <t xml:space="preserve">CANT. (und)</t>
  </si>
  <si>
    <t xml:space="preserve">TOTAL DE REGISTROS (und de la partida)</t>
  </si>
  <si>
    <t xml:space="preserve">B. COMPONENTES DE UNA TAPA DE REGISTRO Y TOTAL DE LA PARTIDA</t>
  </si>
  <si>
    <t xml:space="preserve">POR REGISTRO</t>
  </si>
  <si>
    <t xml:space="preserve">N° REGISTROS</t>
  </si>
  <si>
    <t xml:space="preserve">ANGULOS METALICOS</t>
  </si>
  <si>
    <t xml:space="preserve">Contramarco: angulo L 1 1/2"x1 1/2"x1/8", 4 x 0.70 = 2.80 m x 1.83 kg/m</t>
  </si>
  <si>
    <t xml:space="preserve">lamina DP-06B; esquinas a 45 grados soldadas</t>
  </si>
  <si>
    <t xml:space="preserve">Marco de tapa: angulo L 1 1/2"x1 1/2"x1/8", 4 x 0.68 = 2.72 m x 1.83 kg/m</t>
  </si>
  <si>
    <t xml:space="preserve">lamina DP-06B; sirve de encofrado de la tapa</t>
  </si>
  <si>
    <t xml:space="preserve">Subtotal angulos</t>
  </si>
  <si>
    <t xml:space="preserve">CONCRETO</t>
  </si>
  <si>
    <t xml:space="preserve">Tapa de concreto f'c=210: 0.68 x 0.68 x 0.08</t>
  </si>
  <si>
    <t xml:space="preserve">lamina DP-06B</t>
  </si>
  <si>
    <t xml:space="preserve">Subtotal concreto</t>
  </si>
  <si>
    <t xml:space="preserve">ACERO DE REFUERZO fy=4200</t>
  </si>
  <si>
    <t xml:space="preserve">Parrilla de la tapa: 7 + 7 barras 3/8" @0.10, L = 0.62</t>
  </si>
  <si>
    <t xml:space="preserve">COLECTOR ACERO fila 34</t>
  </si>
  <si>
    <t xml:space="preserve">Asas de la tapa: 2 barras 3/8" liso, desarrollo 0.40</t>
  </si>
  <si>
    <t xml:space="preserve">COLECTOR ACERO fila 35</t>
  </si>
  <si>
    <t xml:space="preserve">Anclajes del contramarco: 8 barras 3/8", L = 0.20</t>
  </si>
  <si>
    <t xml:space="preserve">COLECTOR ACERO fila 36</t>
  </si>
  <si>
    <t xml:space="preserve">Refuerzo de borde de la abertura: 8 barras 1/2", L = 1.40</t>
  </si>
  <si>
    <t xml:space="preserve">COLECTOR ACERO fila 33</t>
  </si>
  <si>
    <t xml:space="preserve">Subtotal acero</t>
  </si>
  <si>
    <t xml:space="preserve">PINTURA</t>
  </si>
  <si>
    <t xml:space="preserve">Anticorrosivo y esmalte en angulos: 2.80 x 0.152 + 2.72 x 0.152</t>
  </si>
  <si>
    <t xml:space="preserve">Subtotal pintura</t>
  </si>
  <si>
    <t xml:space="preserve">C. CONTROL CON EL METRADO DE LOS COMPONENTES (hojas del colector)</t>
  </si>
  <si>
    <t xml:space="preserve">ESTA HOJA</t>
  </si>
  <si>
    <t xml:space="preserve">HOJA DEL COLECTOR</t>
  </si>
  <si>
    <t xml:space="preserve">CONTROL</t>
  </si>
  <si>
    <t xml:space="preserve">Angulos (marco y contramarco)</t>
  </si>
  <si>
    <t xml:space="preserve">Concreto en tapas</t>
  </si>
  <si>
    <t xml:space="preserve">Acero en tapas, bordes y anclajes</t>
  </si>
  <si>
    <t xml:space="preserve">Pintura en angulos</t>
  </si>
  <si>
    <t xml:space="preserve">COLECTOR ACERO fila 18</t>
  </si>
  <si>
    <t xml:space="preserve">COLECTOR ACERO fila 19</t>
  </si>
  <si>
    <t xml:space="preserve">COLECTOR ACERO fila 20</t>
  </si>
  <si>
    <t xml:space="preserve">COLECTOR ACERO fila 17</t>
  </si>
  <si>
    <t xml:space="preserve">ANALISIS DE COSTO UNITARIO - JUNTA DE DILATACION E=1" CON TECNOPOR Y SELLADOR ASFALTICO EN COLECTOR</t>
  </si>
  <si>
    <t xml:space="preserve">Partida de Delphin 01.04.04.06.01 JUNTA DE DILATACION E=1" CON TECNOPOR Y SELLADOR ASFALTICO EN COLECTOR (metrado 01.04.04.06.01, hoja COLECTOR JUNTAS Y EMPALMES). Se mide por metro de junta a lo largo del perimetro de la seccion. Cantidades de la lamina DD-03: plancha de tecnopor de 1" en toda la seccion y sellador asfaltico 1" x 2" (asfalto liquido RC-250 + arena gruesa) en las caras interiores y en la cara superior (EG-2013 MTC, 510). Celda amarilla = dato; verde = formula. Precios sin IGV.</t>
  </si>
  <si>
    <t xml:space="preserve">1. CANTIDADES POR METRO DE JUNTA (lamina DD-03 y hoja COLECTOR JUNTAS Y EMPALMES)</t>
  </si>
  <si>
    <t xml:space="preserve">Perimetro de la seccion en cada junta: 2 x 1.10 + 2 x (0.15 + 1.61 + 0.10)</t>
  </si>
  <si>
    <t xml:space="preserve">COLECTOR JUNTAS Y EMPALMES fila 11; DD-03 A</t>
  </si>
  <si>
    <t xml:space="preserve">Numero de juntas de dilatacion (cada 4.00 m)</t>
  </si>
  <si>
    <t xml:space="preserve">COLECTOR JUNTAS Y EMPALMES fila 11; DD-03 E</t>
  </si>
  <si>
    <t xml:space="preserve">Area de tecnopor por junta: seccion 1.10 x 1.86 menos el hueco 0.80 x 1.61</t>
  </si>
  <si>
    <t xml:space="preserve">DD-03, cuadro de componentes</t>
  </si>
  <si>
    <t xml:space="preserve">Tecnopor por metro de junta (area neta)</t>
  </si>
  <si>
    <t xml:space="preserve">formula</t>
  </si>
  <si>
    <t xml:space="preserve">Desperdicio por el corte del anillo en planchas de 1.20 x 2.40</t>
  </si>
  <si>
    <t xml:space="preserve">criterio: recortes del hueco interior y de las esquinas</t>
  </si>
  <si>
    <t xml:space="preserve">Area de una plancha de tecnopor 1" (1.20 x 2.40 m)</t>
  </si>
  <si>
    <t xml:space="preserve">medida comercial</t>
  </si>
  <si>
    <t xml:space="preserve">Planchas de tecnopor por metro de junta</t>
  </si>
  <si>
    <t xml:space="preserve">pln/m</t>
  </si>
  <si>
    <t xml:space="preserve">Longitud sellada por junta: caras interiores 2 x 1.61 + 0.80 y cara superior 1.10</t>
  </si>
  <si>
    <t xml:space="preserve">Seccion del sellador 1" x 2" (0.0254 x 0.0508)</t>
  </si>
  <si>
    <t xml:space="preserve">DD-03 B; EG-2013 MTC, Seccion 510</t>
  </si>
  <si>
    <t xml:space="preserve">Mezcla de sellador por metro de junta</t>
  </si>
  <si>
    <t xml:space="preserve">m3/m</t>
  </si>
  <si>
    <t xml:space="preserve">Asfalto liquido RC-250 por m3 de mezcla</t>
  </si>
  <si>
    <t xml:space="preserve">gal/m3</t>
  </si>
  <si>
    <t xml:space="preserve">criterio: mezcla de ~2,000 kg/m3 con ~9 % de asfalto = 180 kg / 3.6 kg/gal</t>
  </si>
  <si>
    <t xml:space="preserve">Arena gruesa por m3 de mezcla</t>
  </si>
  <si>
    <t xml:space="preserve">m3/m3</t>
  </si>
  <si>
    <t xml:space="preserve">criterio: arena suelta con 5 % de desperdicio</t>
  </si>
  <si>
    <t xml:space="preserve">Operario por metro de junta (colocacion del tecnopor y sellado)</t>
  </si>
  <si>
    <t xml:space="preserve">hh/m</t>
  </si>
  <si>
    <t xml:space="preserve">COLECTOR INSUMOS fila 71</t>
  </si>
  <si>
    <t xml:space="preserve">Peon por metro de junta</t>
  </si>
  <si>
    <t xml:space="preserve">COLECTOR INSUMOS fila 72</t>
  </si>
  <si>
    <t xml:space="preserve">2. ANALISIS DE COSTO UNITARIO (formato Delphin)</t>
  </si>
  <si>
    <t xml:space="preserve">01.04.04.06.01 JUNTA DE DILATACION E=1" CON TECNOPOR Y SELLADOR ASFALTICO EN COLECTOR</t>
  </si>
  <si>
    <t xml:space="preserve">01.04.04.06.01 (hoja COLECTOR JUNTAS Y EMPALMES)</t>
  </si>
  <si>
    <t xml:space="preserve">Rendimiento (m/dia, cuadrilla de 1 operario)</t>
  </si>
  <si>
    <t xml:space="preserve">CANTIDAD POR M</t>
  </si>
  <si>
    <t xml:space="preserve">Plancha de tecnopor 1" x 1.20 x 2.40 m</t>
  </si>
  <si>
    <t xml:space="preserve">pln</t>
  </si>
  <si>
    <t xml:space="preserve">Sodimac Peru: plancha de poliestireno expandido 1" x 1.20 x 2.40 m (Dipropor) S/ 13.90 con IGV</t>
  </si>
  <si>
    <t xml:space="preserve">Asfalto liquido RC-250</t>
  </si>
  <si>
    <t xml:space="preserve">Conselva: asfalto liquido RC-250 por galon S/ 17.70 con IGV (Petroperu publica su lista ex planta; confirmar en Tarapoto)</t>
  </si>
  <si>
    <t xml:space="preserve">precio de la ACU TAPA REGISTRO (Agregados Tarapoto, Morales)</t>
  </si>
  <si>
    <t xml:space="preserve">3 % del costo de mano de obra (incluye recipiente para calentar el asfalto)</t>
  </si>
  <si>
    <t xml:space="preserve">COSTO DIRECTO DE LA PARTIDA (metrado x costo unitario, S/)</t>
  </si>
  <si>
    <t xml:space="preserve">Perimetro de la seccion en cada junta: 2 x 0.90 + 2 x (0.15 + 1.17 + 0.10)</t>
  </si>
  <si>
    <t xml:space="preserve">Area de tecnopor por junta: seccion 0.90 x 1.42 menos el hueco 0.60 x 1.17</t>
  </si>
  <si>
    <t xml:space="preserve">Longitud sellada por junta: caras interiores 2 x 1.17 + 0.60 y cara superior 0.90</t>
  </si>
  <si>
    <t xml:space="preserve">ANALISIS DE COSTO UNITARIO - JUNTA E=1" CON TECNOPOR Y SELLADOR ASFALTICO ENTRE COLECTOR Y CAJA CL</t>
  </si>
  <si>
    <t xml:space="preserve">Partida de Delphin 01.04.04.06.02 JUNTA E=1" CON TECNOPOR Y SELLADOR ASFALTICO ENTRE COLECTOR Y CAJA CL (metrado 01.04.04.06.02, hoja COLECTOR JUNTAS Y EMPALMES). Se mide por metro de junta a lo largo del perimetro de la seccion, en el contacto del colector con el muro este de la caja CL. Cantidades de la lamina DD-03: plancha de tecnopor de 1" en toda la seccion y sellador asfaltico 1" x 2" (RC-250 + arena) en las caras interiores y en la cara superior. A ambos lados del colector hay terreno natural: no lleva junta longitudinal. Celda amarilla = dato; verde = formula. Precios sin IGV.</t>
  </si>
  <si>
    <t xml:space="preserve">Perimetro de la seccion en el contacto con la caja CL: 2 x 0.90 + 2 x (0.15 + 1.17 + 0.10)</t>
  </si>
  <si>
    <t xml:space="preserve">COLECTOR JUNTAS Y EMPALMES fila 16; DD-03</t>
  </si>
  <si>
    <t xml:space="preserve">Numero de juntas en el contacto con la caja CL</t>
  </si>
  <si>
    <t xml:space="preserve">COLECTOR JUNTAS Y EMPALMES fila 16</t>
  </si>
  <si>
    <t xml:space="preserve">Area de tecnopor de la junta: seccion 0.90 x 1.42 menos el hueco 0.60 x 1.17</t>
  </si>
  <si>
    <t xml:space="preserve">Longitud sellada: caras interiores 2 x 1.17 + 0.60 y cara superior 0.90</t>
  </si>
  <si>
    <t xml:space="preserve">COLECTOR INSUMOS fila 75</t>
  </si>
  <si>
    <t xml:space="preserve">COLECTOR INSUMOS fila 76</t>
  </si>
  <si>
    <t xml:space="preserve">01.04.04.06.02 JUNTA E=1" CON TECNOPOR Y SELLADOR ASFALTICO ENTRE COLECTOR Y CAJA CL</t>
  </si>
  <si>
    <t xml:space="preserve">01.04.04.06.02 (hoja COLECTOR JUNTAS Y EMPALMES)</t>
  </si>
  <si>
    <t xml:space="preserve">DESAGREGADO DE LA PARTIDA 01.04.03.04.03.04 - LLORADERO DE TUBERIA PVC Ø3" C/FILTRO DE GRAVA Y GEOTEXTIL @1.50 m</t>
  </si>
  <si>
    <t xml:space="preserve">La partida se mide por unidad de lloradero. A: ubicacion y numero, de la hoja METRADO LLORADEROS (muros de cuneta colindantes con area verde, medidos en la planta general de drenaje; un lloradero cada 1.50 m). B: componentes de un lloradero segun las laminas DL-01 y DL-02 (tubo PVC-U Ø 3" de 0.30 m con 8 perforaciones Ø 3/8", filtro de grava de 0.30 x 0.30 x 0.30 m forrado con geotextil no tejido) por el numero de lloraderos. Celda amarilla = dato; verde = formula.</t>
  </si>
  <si>
    <t xml:space="preserve">A. UBICACION Y NUMERO DE LLORADEROS (hoja METRADO LLORADEROS)</t>
  </si>
  <si>
    <t xml:space="preserve">EJE Y TRAMO (progresivas de la cuneta)</t>
  </si>
  <si>
    <t xml:space="preserve">LONGITUD JUNTO A AREA VERDE (m)</t>
  </si>
  <si>
    <t xml:space="preserve">ESPACIAM. (m)</t>
  </si>
  <si>
    <t xml:space="preserve">planta general de drenaje; N° = REDONDEAR.MAS(L / 1.50)</t>
  </si>
  <si>
    <t xml:space="preserve">TOTAL (und de la partida)</t>
  </si>
  <si>
    <t xml:space="preserve">B. DATOS DEL DETALLE (laminas DL-01 y DL-02)</t>
  </si>
  <si>
    <t xml:space="preserve">Lado del filtro localizado (cubo de grava forrado con geotextil)</t>
  </si>
  <si>
    <t xml:space="preserve">DL-02 A: filtro 0.30 x 0.30 x 0.30 m</t>
  </si>
  <si>
    <t xml:space="preserve">Longitud del tubo PVC-U Ø 3" por lloradero</t>
  </si>
  <si>
    <t xml:space="preserve">DL-02 B: 0.10 en el muro + 0.20 perforado dentro del filtro</t>
  </si>
  <si>
    <t xml:space="preserve">Perforaciones Ø 3/8" por fila</t>
  </si>
  <si>
    <t xml:space="preserve">DL-02 B: 4 perforaciones @0.05 por fila</t>
  </si>
  <si>
    <t xml:space="preserve">Filas de perforaciones</t>
  </si>
  <si>
    <t xml:space="preserve">DL-02 B: 2 filas a 120 grados, simetricas respecto al fondo</t>
  </si>
  <si>
    <t xml:space="preserve">Desperdicio de grava (acomodo y perdidas)</t>
  </si>
  <si>
    <t xml:space="preserve">criterio de obra</t>
  </si>
  <si>
    <t xml:space="preserve">Traslapes del geotextil</t>
  </si>
  <si>
    <t xml:space="preserve">DL-01 etapa 3: traslape de 0.10 m al cerrar el filtro</t>
  </si>
  <si>
    <t xml:space="preserve">Mortero 1:3 de sellado alrededor del tubo</t>
  </si>
  <si>
    <t xml:space="preserve">anillo de 0.02 m en las dos caras del muro (DL-02)</t>
  </si>
  <si>
    <t xml:space="preserve">C. COMPONENTES DE UN LLORADERO Y TOTAL DE LA PARTIDA</t>
  </si>
  <si>
    <t xml:space="preserve">POR LLORADERO</t>
  </si>
  <si>
    <t xml:space="preserve">N° LLORADEROS</t>
  </si>
  <si>
    <t xml:space="preserve">Tubo PVC-U Ø 3" para desague (NTP 399.003)</t>
  </si>
  <si>
    <t xml:space="preserve">DL-02 B; sale de tubos de 3 m (10 lloraderos por tubo)</t>
  </si>
  <si>
    <t xml:space="preserve">Perforaciones Ø 3/8" en el tramo dentro del filtro</t>
  </si>
  <si>
    <t xml:space="preserve">DL-02 B</t>
  </si>
  <si>
    <t xml:space="preserve">Excavacion local del hueco del filtro (lado^3)</t>
  </si>
  <si>
    <t xml:space="preserve">DL-01 etapa 1; incluida en la mano de obra del ACU</t>
  </si>
  <si>
    <t xml:space="preserve">Grava filtrante (ripio) 20 a 40 mm: lado^3 + desperdicio</t>
  </si>
  <si>
    <t xml:space="preserve">DL-01 etapa 2; DL-02 A</t>
  </si>
  <si>
    <t xml:space="preserve">Geotextil no tejido clase 2: 6 caras del cubo + traslapes</t>
  </si>
  <si>
    <t xml:space="preserve">DL-01 etapa 3; DL-02 A</t>
  </si>
  <si>
    <t xml:space="preserve">DL-02</t>
  </si>
  <si>
    <t xml:space="preserve">D. CONTROL CON EL RESUMEN</t>
  </si>
  <si>
    <t xml:space="preserve">RESUMEN</t>
  </si>
  <si>
    <t xml:space="preserve">01.04.03.04.03.04 LLORADERO DE TUBERIA PVC Ø3" C/FILTRO DE GRAVA Y GEOTEXTIL @1.50 m</t>
  </si>
  <si>
    <t xml:space="preserve">ANALISIS DE COSTO UNITARIO - LLORADERO DE TUBERIA PVC Ø3" C/FILTRO DE GRAVA Y GEOTEXTIL @1.50 m</t>
  </si>
  <si>
    <t xml:space="preserve">Partida de Delphin 01.04.03.04.03.04 LLORADERO DE TUBERIA PVC Ø3" C/FILTRO DE GRAVA Y GEOTEXTIL @1.50 m (CUNETA COLINDANTE CON AREA VERDE) (metrado: hojas METRADO LLORADEROS y DESAGREGADO LLORADEROS). Cantidades por lloradero de las laminas DL-01 y DL-02: tubo PVC-U Ø 3" de 0.30 m con 8 perforaciones Ø 3/8", filtro de grava de 0.30 x 0.30 x 0.30 m forrado con geotextil no tejido y mortero 1:3 de sellado. Mano de obra de la hoja COSTO HORA HOMBRE 2026. Celda amarilla = dato; verde = formula. Precios sin IGV.</t>
  </si>
  <si>
    <t xml:space="preserve">1. CANTIDADES POR LLORADERO (hoja DESAGREGADO LLORADEROS)</t>
  </si>
  <si>
    <t xml:space="preserve">Numero de lloraderos de la partida</t>
  </si>
  <si>
    <t xml:space="preserve">DESAGREGADO LLORADEROS fila 23</t>
  </si>
  <si>
    <t xml:space="preserve">Tubo PVC-U Ø 3" por lloradero</t>
  </si>
  <si>
    <t xml:space="preserve">DESAGREGADO LLORADEROS fila 37 (DL-02 B)</t>
  </si>
  <si>
    <t xml:space="preserve">Desperdicio del tubo (corte de 10 piezas por tubo de 3 m)</t>
  </si>
  <si>
    <t xml:space="preserve">Grava filtrante por lloradero (incluye 10 % de desperdicio)</t>
  </si>
  <si>
    <t xml:space="preserve">DESAGREGADO LLORADEROS fila 40 (DL-02 A)</t>
  </si>
  <si>
    <t xml:space="preserve">Geotextil por lloradero (6 caras + 10 % de traslapes)</t>
  </si>
  <si>
    <t xml:space="preserve">DESAGREGADO LLORADEROS fila 41 (DL-01 etapa 3)</t>
  </si>
  <si>
    <t xml:space="preserve">Desperdicio del geotextil (corte del rollo)</t>
  </si>
  <si>
    <t xml:space="preserve">DESAGREGADO LLORADEROS fila 42 (DL-02)</t>
  </si>
  <si>
    <t xml:space="preserve">Cemento por m3 de mortero 1:3</t>
  </si>
  <si>
    <t xml:space="preserve">bol/m3</t>
  </si>
  <si>
    <t xml:space="preserve">dosificacion usual del mortero 1:3</t>
  </si>
  <si>
    <t xml:space="preserve">Arena gruesa por m3 de mortero 1:3</t>
  </si>
  <si>
    <t xml:space="preserve">arena suelta con 5 % de desperdicio</t>
  </si>
  <si>
    <t xml:space="preserve">Agua por m3 de mortero 1:3</t>
  </si>
  <si>
    <t xml:space="preserve">Rendimiento de la cuadrilla</t>
  </si>
  <si>
    <t xml:space="preserve">und/dia</t>
  </si>
  <si>
    <t xml:space="preserve">excavacion local de 0.027 m3, forrado, grava y cierre; el tubo se deja al vaciar el muro</t>
  </si>
  <si>
    <t xml:space="preserve">Operarios en la cuadrilla</t>
  </si>
  <si>
    <t xml:space="preserve">colocacion del tubo, sellado y control</t>
  </si>
  <si>
    <t xml:space="preserve">Peones en la cuadrilla</t>
  </si>
  <si>
    <t xml:space="preserve">excavacion, grava y relleno</t>
  </si>
  <si>
    <t xml:space="preserve">01.04.03.04.03.04 LLORADERO DE TUBERIA PVC Ø3" C/FILTRO DE GRAVA Y GEOTEXTIL @1.50 m (CUNETA COLINDANTE CON AREA VERDE)</t>
  </si>
  <si>
    <t xml:space="preserve">01.04.03.04.03.04 (hojas METRADO LLORADEROS y DESAGREGADO LLORADEROS)</t>
  </si>
  <si>
    <t xml:space="preserve">Rendimiento (und/dia, cuadrilla 0.5 operario + 1 peon)</t>
  </si>
  <si>
    <t xml:space="preserve">CANTIDAD POR UND</t>
  </si>
  <si>
    <t xml:space="preserve">Tubo PVC-U Ø 3" desague (NTP 399.003)</t>
  </si>
  <si>
    <t xml:space="preserve">Sodimac Peru y Promart: tubo desague PVC 3" x 3 m liviano Pavco S/ 39.90 con IGV (S/ 11.27 el m sin IGV)</t>
  </si>
  <si>
    <t xml:space="preserve">Grava filtrante 20 a 40 mm</t>
  </si>
  <si>
    <t xml:space="preserve">Agregados Tarapoto (Morales): piedra chancada 3/4" S/ 70.00 el m3 puesto en obra (precio publicado mas cercano a la grava 20 a 40 mm)</t>
  </si>
  <si>
    <t xml:space="preserve">Geotextil no tejido 200 g/m2</t>
  </si>
  <si>
    <t xml:space="preserve">Ferropolis Peru: geotextil no tejido 200 g/m2, rollo de 4 x 100 m S/ 2,300.00 (S/ 5.75 el m2 con IGV)</t>
  </si>
  <si>
    <t xml:space="preserve">precio de la ACU TAPA REGISTRO (Cemento Pacasmayo tipo I S/ 36.50 con IGV)</t>
  </si>
  <si>
    <t xml:space="preserve">precio de la ACU TAPA REGISTRO (EMAPA San Martin)</t>
  </si>
  <si>
    <t xml:space="preserve">3 % del costo de mano de obra (pala, pico, barreta, sierra para PVC y taladro para las perforaciones)</t>
  </si>
  <si>
    <t xml:space="preserve">DESAGREGADO LLORADEROS fila 45</t>
  </si>
  <si>
    <t xml:space="preserve">DESAGREGADO LLORADEROS fila 59 (DL-02 B)</t>
  </si>
  <si>
    <t xml:space="preserve">DESAGREGADO LLORADEROS fila 62 (DL-02 A)</t>
  </si>
  <si>
    <t xml:space="preserve">DESAGREGADO LLORADEROS fila 63 (DL-01 etapa 3)</t>
  </si>
  <si>
    <t xml:space="preserve">DESAGREGADO LLORADEROS fila 64 (DL-02)</t>
  </si>
</sst>
</file>

<file path=xl/styles.xml><?xml version="1.0" encoding="utf-8"?>
<styleSheet xmlns="http://schemas.openxmlformats.org/spreadsheetml/2006/main">
  <numFmts count="10">
    <numFmt numFmtId="164" formatCode="General"/>
    <numFmt numFmtId="165" formatCode="mmm\-yy"/>
    <numFmt numFmtId="166" formatCode="@"/>
    <numFmt numFmtId="167" formatCode="d\-mmm\-yy"/>
    <numFmt numFmtId="168" formatCode="0.00"/>
    <numFmt numFmtId="169" formatCode="General"/>
    <numFmt numFmtId="170" formatCode="0.0000"/>
    <numFmt numFmtId="171" formatCode="0"/>
    <numFmt numFmtId="172" formatCode="0.0"/>
    <numFmt numFmtId="173" formatCode="0.000"/>
  </numFmts>
  <fonts count="50">
    <font>
      <sz val="11"/>
      <color theme="1"/>
      <name val="Calibri"/>
      <family val="2"/>
      <charset val="1"/>
    </font>
    <font>
      <sz val="10"/>
      <name val="Arial"/>
      <family val="0"/>
    </font>
    <font>
      <sz val="10"/>
      <name val="Arial"/>
      <family val="0"/>
    </font>
    <font>
      <sz val="10"/>
      <name val="Arial"/>
      <family val="0"/>
    </font>
    <font>
      <sz val="10"/>
      <name val="Arial"/>
      <family val="2"/>
      <charset val="1"/>
    </font>
    <font>
      <sz val="11"/>
      <name val="Calibri"/>
      <family val="0"/>
      <charset val="1"/>
    </font>
    <font>
      <sz val="12"/>
      <color theme="1"/>
      <name val="Arial Narrow"/>
      <family val="2"/>
      <charset val="1"/>
    </font>
    <font>
      <b val="true"/>
      <u val="single"/>
      <sz val="14"/>
      <color theme="0"/>
      <name val="Arial Narrow"/>
      <family val="2"/>
      <charset val="1"/>
    </font>
    <font>
      <b val="true"/>
      <sz val="14"/>
      <name val="Arial Narrow"/>
      <family val="2"/>
      <charset val="1"/>
    </font>
    <font>
      <sz val="14"/>
      <name val="Arial Narrow"/>
      <family val="2"/>
      <charset val="1"/>
    </font>
    <font>
      <b val="true"/>
      <sz val="12"/>
      <color rgb="FFFFFFFF"/>
      <name val="Arial Narrow"/>
      <family val="2"/>
      <charset val="1"/>
    </font>
    <font>
      <b val="true"/>
      <sz val="12"/>
      <name val="Arial Narrow"/>
      <family val="2"/>
      <charset val="1"/>
    </font>
    <font>
      <sz val="12"/>
      <name val="Arial Narrow"/>
      <family val="2"/>
      <charset val="1"/>
    </font>
    <font>
      <sz val="11"/>
      <color theme="1"/>
      <name val="Arial Narrow"/>
      <family val="2"/>
      <charset val="1"/>
    </font>
    <font>
      <b val="true"/>
      <u val="single"/>
      <sz val="16"/>
      <color theme="0"/>
      <name val="Arial Narrow"/>
      <family val="2"/>
      <charset val="1"/>
    </font>
    <font>
      <b val="true"/>
      <sz val="14"/>
      <color theme="0"/>
      <name val="Arial Narrow"/>
      <family val="2"/>
      <charset val="1"/>
    </font>
    <font>
      <b val="true"/>
      <sz val="12"/>
      <color theme="0"/>
      <name val="Arial Narrow"/>
      <family val="2"/>
      <charset val="1"/>
    </font>
    <font>
      <b val="true"/>
      <sz val="12"/>
      <color theme="1"/>
      <name val="Arial Narrow"/>
      <family val="2"/>
      <charset val="1"/>
    </font>
    <font>
      <b val="true"/>
      <u val="single"/>
      <sz val="12"/>
      <color theme="0"/>
      <name val="Arial Narrow"/>
      <family val="2"/>
      <charset val="1"/>
    </font>
    <font>
      <sz val="12"/>
      <color rgb="FF000000"/>
      <name val="Arial Narrow"/>
      <family val="2"/>
      <charset val="1"/>
    </font>
    <font>
      <sz val="12"/>
      <color theme="0"/>
      <name val="Arial Narrow"/>
      <family val="2"/>
      <charset val="1"/>
    </font>
    <font>
      <b val="true"/>
      <sz val="12"/>
      <name val="Arial Narrow"/>
      <family val="0"/>
      <charset val="1"/>
    </font>
    <font>
      <b val="true"/>
      <sz val="12"/>
      <color rgb="FFFFFFFF"/>
      <name val="Arial Narrow"/>
      <family val="0"/>
      <charset val="1"/>
    </font>
    <font>
      <sz val="12"/>
      <name val="Arial Narrow"/>
      <family val="0"/>
      <charset val="1"/>
    </font>
    <font>
      <sz val="10"/>
      <name val="Arial"/>
      <family val="2"/>
    </font>
    <font>
      <b val="true"/>
      <sz val="14"/>
      <color rgb="FFFFFFFF"/>
      <name val="Arial Narrow"/>
      <family val="2"/>
      <charset val="1"/>
    </font>
    <font>
      <sz val="10"/>
      <name val="Arial Narrow"/>
      <family val="2"/>
      <charset val="1"/>
    </font>
    <font>
      <sz val="11"/>
      <name val="Arial Narrow"/>
      <family val="2"/>
      <charset val="1"/>
    </font>
    <font>
      <b val="true"/>
      <sz val="11"/>
      <color rgb="FFFFFFFF"/>
      <name val="Arial Narrow"/>
      <family val="2"/>
      <charset val="1"/>
    </font>
    <font>
      <b val="true"/>
      <u val="single"/>
      <sz val="18"/>
      <color theme="0"/>
      <name val="Arial Narrow"/>
      <family val="2"/>
      <charset val="1"/>
    </font>
    <font>
      <b val="true"/>
      <sz val="16"/>
      <name val="Arial Narrow"/>
      <family val="2"/>
      <charset val="1"/>
    </font>
    <font>
      <sz val="16"/>
      <name val="Arial Narrow"/>
      <family val="2"/>
      <charset val="1"/>
    </font>
    <font>
      <b val="true"/>
      <sz val="16"/>
      <color rgb="FFFFFFFF"/>
      <name val="Arial Narrow"/>
      <family val="2"/>
      <charset val="1"/>
    </font>
    <font>
      <b val="true"/>
      <sz val="14"/>
      <color rgb="FF1F1F1F"/>
      <name val="Arial Narrow"/>
      <family val="2"/>
      <charset val="1"/>
    </font>
    <font>
      <sz val="11"/>
      <color rgb="FF1F1F1F"/>
      <name val="Arial Narrow"/>
      <family val="2"/>
      <charset val="1"/>
    </font>
    <font>
      <b val="true"/>
      <sz val="11"/>
      <color theme="0"/>
      <name val="Arial Narrow"/>
      <family val="2"/>
      <charset val="1"/>
    </font>
    <font>
      <b val="true"/>
      <sz val="10"/>
      <color rgb="FFFFFFFF"/>
      <name val="Arial Narrow"/>
      <family val="2"/>
      <charset val="1"/>
    </font>
    <font>
      <b val="true"/>
      <sz val="11"/>
      <color rgb="FFC00000"/>
      <name val="Arial Narrow"/>
      <family val="2"/>
      <charset val="1"/>
    </font>
    <font>
      <b val="true"/>
      <sz val="11"/>
      <name val="Arial Narrow"/>
      <family val="2"/>
      <charset val="1"/>
    </font>
    <font>
      <sz val="11"/>
      <color rgb="FF0000FF"/>
      <name val="Arial Narrow"/>
      <family val="2"/>
      <charset val="1"/>
    </font>
    <font>
      <b val="true"/>
      <sz val="11"/>
      <color rgb="FF1F4E78"/>
      <name val="Arial Narrow"/>
      <family val="2"/>
      <charset val="1"/>
    </font>
    <font>
      <b val="true"/>
      <sz val="11"/>
      <color theme="1"/>
      <name val="Arial Narrow"/>
      <family val="2"/>
      <charset val="1"/>
    </font>
    <font>
      <b val="true"/>
      <sz val="16"/>
      <color rgb="FFFFFFFF"/>
      <name val="Arial Narrow"/>
      <family val="0"/>
      <charset val="1"/>
    </font>
    <font>
      <b val="true"/>
      <sz val="14"/>
      <name val="Arial Narrow"/>
      <family val="0"/>
      <charset val="1"/>
    </font>
    <font>
      <sz val="14"/>
      <name val="Arial Narrow"/>
      <family val="0"/>
      <charset val="1"/>
    </font>
    <font>
      <sz val="11"/>
      <name val="Arial Narrow"/>
      <family val="0"/>
      <charset val="1"/>
    </font>
    <font>
      <i val="true"/>
      <sz val="11"/>
      <name val="Arial Narrow"/>
      <family val="0"/>
      <charset val="1"/>
    </font>
    <font>
      <b val="true"/>
      <sz val="11"/>
      <color rgb="FFFFFFFF"/>
      <name val="Calibri"/>
      <family val="0"/>
      <charset val="1"/>
    </font>
    <font>
      <b val="true"/>
      <sz val="11"/>
      <name val="Calibri"/>
      <family val="0"/>
      <charset val="1"/>
    </font>
    <font>
      <b val="true"/>
      <sz val="14"/>
      <color rgb="FFFFFFFF"/>
      <name val="Calibri"/>
      <family val="0"/>
      <charset val="1"/>
    </font>
  </fonts>
  <fills count="32">
    <fill>
      <patternFill patternType="none"/>
    </fill>
    <fill>
      <patternFill patternType="gray125"/>
    </fill>
    <fill>
      <patternFill patternType="solid">
        <fgColor theme="0"/>
        <bgColor rgb="FFFCF6E0"/>
      </patternFill>
    </fill>
    <fill>
      <patternFill patternType="solid">
        <fgColor theme="4" tint="-0.25"/>
        <bgColor rgb="FF305496"/>
      </patternFill>
    </fill>
    <fill>
      <patternFill patternType="solid">
        <fgColor theme="0" tint="-0.05"/>
        <bgColor rgb="FFEAF3F8"/>
      </patternFill>
    </fill>
    <fill>
      <patternFill patternType="solid">
        <fgColor rgb="FFEAF4FB"/>
        <bgColor rgb="FFEAF3F8"/>
      </patternFill>
    </fill>
    <fill>
      <patternFill patternType="solid">
        <fgColor theme="7" tint="0.7999"/>
        <bgColor rgb="FFFBECC9"/>
      </patternFill>
    </fill>
    <fill>
      <patternFill patternType="solid">
        <fgColor rgb="FF305496"/>
        <bgColor rgb="FF2F5597"/>
      </patternFill>
    </fill>
    <fill>
      <patternFill patternType="solid">
        <fgColor rgb="FFD9EAF7"/>
        <bgColor rgb="FFDDEBF7"/>
      </patternFill>
    </fill>
    <fill>
      <patternFill patternType="solid">
        <fgColor rgb="FFFBECC9"/>
        <bgColor rgb="FFFFF2CC"/>
      </patternFill>
    </fill>
    <fill>
      <patternFill patternType="solid">
        <fgColor rgb="FFFCF6E0"/>
        <bgColor rgb="FFF0F7E8"/>
      </patternFill>
    </fill>
    <fill>
      <patternFill patternType="solid">
        <fgColor theme="8" tint="0.7999"/>
        <bgColor rgb="FFDDEBF7"/>
      </patternFill>
    </fill>
    <fill>
      <patternFill patternType="solid">
        <fgColor rgb="FF0070C0"/>
        <bgColor rgb="FF008080"/>
      </patternFill>
    </fill>
    <fill>
      <patternFill patternType="solid">
        <fgColor theme="9" tint="0.5999"/>
        <bgColor rgb="FFD9D9D9"/>
      </patternFill>
    </fill>
    <fill>
      <patternFill patternType="solid">
        <fgColor theme="2" tint="-0.25"/>
        <bgColor rgb="FFBFBFBF"/>
      </patternFill>
    </fill>
    <fill>
      <patternFill patternType="solid">
        <fgColor theme="0" tint="-0.25"/>
        <bgColor rgb="FFAFABAB"/>
      </patternFill>
    </fill>
    <fill>
      <patternFill patternType="solid">
        <fgColor theme="7" tint="0.5999"/>
        <bgColor rgb="FFFBECC9"/>
      </patternFill>
    </fill>
    <fill>
      <patternFill patternType="solid">
        <fgColor rgb="FF92D050"/>
        <bgColor rgb="FFAFABAB"/>
      </patternFill>
    </fill>
    <fill>
      <patternFill patternType="solid">
        <fgColor theme="0" tint="-0.15"/>
        <bgColor rgb="FFE4DFEC"/>
      </patternFill>
    </fill>
    <fill>
      <patternFill patternType="solid">
        <fgColor theme="5" tint="0.3999"/>
        <bgColor rgb="FFBFBFBF"/>
      </patternFill>
    </fill>
    <fill>
      <patternFill patternType="solid">
        <fgColor rgb="FFFFFF00"/>
        <bgColor rgb="FFFFE699"/>
      </patternFill>
    </fill>
    <fill>
      <patternFill patternType="solid">
        <fgColor rgb="FF1F4E78"/>
        <bgColor rgb="FF305496"/>
      </patternFill>
    </fill>
    <fill>
      <patternFill patternType="solid">
        <fgColor rgb="FFE2F0D9"/>
        <bgColor rgb="FFF0F7E8"/>
      </patternFill>
    </fill>
    <fill>
      <patternFill patternType="solid">
        <fgColor rgb="FFD9E1F2"/>
        <bgColor rgb="FFE4DFEC"/>
      </patternFill>
    </fill>
    <fill>
      <patternFill patternType="solid">
        <fgColor rgb="FFDDEBF7"/>
        <bgColor rgb="FFDEEBF7"/>
      </patternFill>
    </fill>
    <fill>
      <patternFill patternType="solid">
        <fgColor rgb="FFEAF3F8"/>
        <bgColor rgb="FFEAF4FB"/>
      </patternFill>
    </fill>
    <fill>
      <patternFill patternType="solid">
        <fgColor rgb="FF5B9BD5"/>
        <bgColor rgb="FF7F7F7F"/>
      </patternFill>
    </fill>
    <fill>
      <patternFill patternType="solid">
        <fgColor rgb="FFE4DFEC"/>
        <bgColor rgb="FFD9E1F2"/>
      </patternFill>
    </fill>
    <fill>
      <patternFill patternType="solid">
        <fgColor rgb="FFF0F7E8"/>
        <bgColor rgb="FFF2F2F2"/>
      </patternFill>
    </fill>
    <fill>
      <patternFill patternType="solid">
        <fgColor rgb="FF0B1F2A"/>
        <bgColor rgb="FF1F1F1F"/>
      </patternFill>
    </fill>
    <fill>
      <patternFill patternType="solid">
        <fgColor rgb="FF17365D"/>
        <bgColor rgb="FF1F4E78"/>
      </patternFill>
    </fill>
    <fill>
      <patternFill patternType="solid">
        <fgColor rgb="FFFFF2CC"/>
        <bgColor rgb="FFFBECC9"/>
      </patternFill>
    </fill>
  </fills>
  <borders count="27">
    <border diagonalUp="false" diagonalDown="false">
      <left/>
      <right/>
      <top/>
      <bottom/>
      <diagonal/>
    </border>
    <border diagonalUp="false" diagonalDown="false">
      <left style="thin"/>
      <right style="thin"/>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right style="medium"/>
      <top/>
      <bottom/>
      <diagonal/>
    </border>
    <border diagonalUp="false" diagonalDown="false">
      <left style="medium"/>
      <right/>
      <top/>
      <bottom/>
      <diagonal/>
    </border>
    <border diagonalUp="false" diagonalDown="false">
      <left style="medium"/>
      <right style="thin"/>
      <top style="medium"/>
      <bottom style="thin"/>
      <diagonal/>
    </border>
    <border diagonalUp="false" diagonalDown="false">
      <left style="thin"/>
      <right style="thin"/>
      <top style="medium"/>
      <bottom/>
      <diagonal/>
    </border>
    <border diagonalUp="false" diagonalDown="false">
      <left style="thin"/>
      <right style="medium"/>
      <top style="medium"/>
      <bottom/>
      <diagonal/>
    </border>
    <border diagonalUp="false" diagonalDown="false">
      <left style="medium"/>
      <right/>
      <top style="thin"/>
      <bottom style="thin"/>
      <diagonal/>
    </border>
    <border diagonalUp="false" diagonalDown="false">
      <left style="medium"/>
      <right style="thin"/>
      <top style="medium"/>
      <bottom style="medium"/>
      <diagonal/>
    </border>
    <border diagonalUp="false" diagonalDown="false">
      <left style="thin"/>
      <right style="thin"/>
      <top style="medium"/>
      <bottom style="thin"/>
      <diagonal/>
    </border>
    <border diagonalUp="false" diagonalDown="false">
      <left style="thin"/>
      <right style="thin"/>
      <top style="medium"/>
      <bottom style="medium"/>
      <diagonal/>
    </border>
    <border diagonalUp="false" diagonalDown="false">
      <left style="thin"/>
      <right style="medium"/>
      <top style="medium"/>
      <bottom style="medium"/>
      <diagonal/>
    </border>
    <border diagonalUp="false" diagonalDown="false">
      <left style="thin"/>
      <right style="thin"/>
      <top style="thin"/>
      <bottom style="medium"/>
      <diagonal/>
    </border>
    <border diagonalUp="false" diagonalDown="false">
      <left style="thin"/>
      <right style="thin"/>
      <top style="thin"/>
      <bottom/>
      <diagonal/>
    </border>
    <border diagonalUp="false" diagonalDown="false">
      <left style="thin"/>
      <right/>
      <top style="thin"/>
      <bottom style="thin"/>
      <diagonal/>
    </border>
    <border diagonalUp="false" diagonalDown="false">
      <left style="thin"/>
      <right style="thin"/>
      <top/>
      <bottom style="medium"/>
      <diagonal/>
    </border>
    <border diagonalUp="false" diagonalDown="false">
      <left style="thin"/>
      <right style="thin"/>
      <top/>
      <bottom style="thin"/>
      <diagonal/>
    </border>
    <border diagonalUp="false" diagonalDown="false">
      <left style="thin"/>
      <right style="medium"/>
      <top style="thin"/>
      <bottom style="thin"/>
      <diagonal/>
    </border>
    <border diagonalUp="false" diagonalDown="false">
      <left style="thin"/>
      <right style="thin"/>
      <top/>
      <bottom/>
      <diagonal/>
    </border>
    <border diagonalUp="false" diagonalDown="false">
      <left style="thin"/>
      <right/>
      <top/>
      <bottom/>
      <diagonal/>
    </border>
    <border diagonalUp="false" diagonalDown="false">
      <left style="medium"/>
      <right style="medium"/>
      <top style="medium"/>
      <bottom style="medium"/>
      <diagonal/>
    </border>
    <border diagonalUp="false" diagonalDown="false">
      <left/>
      <right style="thin"/>
      <top/>
      <bottom style="thin"/>
      <diagonal/>
    </border>
    <border diagonalUp="false" diagonalDown="false">
      <left style="thin"/>
      <right/>
      <top/>
      <bottom style="thin"/>
      <diagonal/>
    </border>
    <border diagonalUp="false" diagonalDown="false">
      <left/>
      <right style="thin"/>
      <top style="thin"/>
      <bottom/>
      <diagonal/>
    </border>
    <border diagonalUp="false" diagonalDown="false">
      <left style="thin"/>
      <right/>
      <top style="thin"/>
      <botto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cellStyleXfs>
  <cellXfs count="324">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6" fillId="2" borderId="0" xfId="0" applyFont="true" applyBorder="false" applyAlignment="true" applyProtection="false">
      <alignment horizontal="general" vertical="center" textRotation="0" wrapText="fals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general"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false" indent="0" shrinkToFit="false"/>
      <protection locked="true" hidden="false"/>
    </xf>
    <xf numFmtId="164" fontId="9" fillId="2" borderId="1"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5" fontId="9" fillId="2" borderId="1" xfId="0" applyFont="true" applyBorder="true" applyAlignment="true" applyProtection="false">
      <alignment horizontal="left" vertical="center" textRotation="0" wrapText="true" indent="0" shrinkToFit="false"/>
      <protection locked="true" hidden="false"/>
    </xf>
    <xf numFmtId="166" fontId="10" fillId="3" borderId="1" xfId="0" applyFont="true" applyBorder="true" applyAlignment="true" applyProtection="false">
      <alignment horizontal="center" vertical="bottom" textRotation="0" wrapText="true" indent="0" shrinkToFit="false"/>
      <protection locked="true" hidden="false"/>
    </xf>
    <xf numFmtId="166" fontId="11" fillId="5" borderId="1" xfId="0" applyFont="true" applyBorder="true" applyAlignment="true" applyProtection="false">
      <alignment horizontal="general" vertical="bottom" textRotation="0" wrapText="true" indent="0" shrinkToFit="false"/>
      <protection locked="true" hidden="false"/>
    </xf>
    <xf numFmtId="166" fontId="6" fillId="0" borderId="1" xfId="0" applyFont="true" applyBorder="true" applyAlignment="true" applyProtection="false">
      <alignment horizontal="general" vertical="bottom" textRotation="0" wrapText="true" indent="0" shrinkToFit="false"/>
      <protection locked="true" hidden="false"/>
    </xf>
    <xf numFmtId="167" fontId="6" fillId="0" borderId="1" xfId="0" applyFont="true" applyBorder="true" applyAlignment="true" applyProtection="false">
      <alignment horizontal="general" vertical="bottom" textRotation="0" wrapText="true" indent="0" shrinkToFit="false"/>
      <protection locked="true" hidden="false"/>
    </xf>
    <xf numFmtId="166" fontId="6" fillId="0" borderId="1" xfId="0" applyFont="true" applyBorder="true" applyAlignment="true" applyProtection="false">
      <alignment horizontal="center" vertical="bottom" textRotation="0" wrapText="true" indent="0" shrinkToFit="false"/>
      <protection locked="true" hidden="false"/>
    </xf>
    <xf numFmtId="168" fontId="6" fillId="0" borderId="1" xfId="0" applyFont="true" applyBorder="true" applyAlignment="true" applyProtection="false">
      <alignment horizontal="center" vertical="center" textRotation="0" wrapText="false" indent="0" shrinkToFit="false"/>
      <protection locked="true" hidden="false"/>
    </xf>
    <xf numFmtId="166" fontId="11" fillId="5" borderId="1" xfId="0" applyFont="true" applyBorder="true" applyAlignment="true" applyProtection="false">
      <alignment horizontal="center" vertical="bottom" textRotation="0" wrapText="true" indent="0" shrinkToFit="false"/>
      <protection locked="true" hidden="false"/>
    </xf>
    <xf numFmtId="168" fontId="11" fillId="5" borderId="1" xfId="0" applyFont="true" applyBorder="true" applyAlignment="true" applyProtection="false">
      <alignment horizontal="general" vertical="bottom" textRotation="0" wrapText="true" indent="0" shrinkToFit="false"/>
      <protection locked="true" hidden="false"/>
    </xf>
    <xf numFmtId="166" fontId="11" fillId="6" borderId="1" xfId="0" applyFont="true" applyBorder="true" applyAlignment="true" applyProtection="false">
      <alignment horizontal="general" vertical="bottom" textRotation="0" wrapText="true" indent="0" shrinkToFit="false"/>
      <protection locked="true" hidden="false"/>
    </xf>
    <xf numFmtId="166" fontId="6" fillId="0" borderId="1" xfId="0" applyFont="true" applyBorder="true" applyAlignment="true" applyProtection="false">
      <alignment horizontal="left" vertical="center" textRotation="0" wrapText="true" indent="0" shrinkToFit="false"/>
      <protection locked="true" hidden="false"/>
    </xf>
    <xf numFmtId="166" fontId="6"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6" fontId="10" fillId="7" borderId="1" xfId="0" applyFont="true" applyBorder="true" applyAlignment="true" applyProtection="false">
      <alignment horizontal="center" vertical="center" textRotation="0" wrapText="true" indent="0" shrinkToFit="false"/>
      <protection locked="true" hidden="false"/>
    </xf>
    <xf numFmtId="166" fontId="11" fillId="8" borderId="1" xfId="0" applyFont="true" applyBorder="true" applyAlignment="true" applyProtection="false">
      <alignment horizontal="general" vertical="center" textRotation="0" wrapText="true" indent="0" shrinkToFit="false"/>
      <protection locked="true" hidden="false"/>
    </xf>
    <xf numFmtId="166" fontId="11" fillId="6" borderId="1" xfId="0" applyFont="true" applyBorder="true" applyAlignment="true" applyProtection="false">
      <alignment horizontal="general" vertical="center" textRotation="0" wrapText="true" indent="0" shrinkToFit="false"/>
      <protection locked="true" hidden="false"/>
    </xf>
    <xf numFmtId="168" fontId="11" fillId="6" borderId="1" xfId="0" applyFont="true" applyBorder="true" applyAlignment="true" applyProtection="false">
      <alignment horizontal="general" vertical="center" textRotation="0" wrapText="true" indent="0" shrinkToFit="false"/>
      <protection locked="true" hidden="false"/>
    </xf>
    <xf numFmtId="166" fontId="12" fillId="0" borderId="1" xfId="0" applyFont="true" applyBorder="true" applyAlignment="true" applyProtection="false">
      <alignment horizontal="general" vertical="bottom" textRotation="0" wrapText="true" indent="0" shrinkToFit="false"/>
      <protection locked="true" hidden="false"/>
    </xf>
    <xf numFmtId="168" fontId="12" fillId="0" borderId="1" xfId="0" applyFont="true" applyBorder="true" applyAlignment="true" applyProtection="false">
      <alignment horizontal="general" vertical="bottom" textRotation="0" wrapText="true" indent="0" shrinkToFit="false"/>
      <protection locked="true" hidden="false"/>
    </xf>
    <xf numFmtId="168" fontId="11" fillId="6" borderId="1" xfId="0" applyFont="true" applyBorder="true" applyAlignment="true" applyProtection="false">
      <alignment horizontal="right" vertical="center" textRotation="0" wrapText="true" indent="0" shrinkToFit="false"/>
      <protection locked="true" hidden="false"/>
    </xf>
    <xf numFmtId="168" fontId="11" fillId="8" borderId="1" xfId="0" applyFont="true" applyBorder="true" applyAlignment="true" applyProtection="false">
      <alignment horizontal="general" vertical="center" textRotation="0" wrapText="true" indent="0" shrinkToFit="false"/>
      <protection locked="true" hidden="false"/>
    </xf>
    <xf numFmtId="169" fontId="12" fillId="0" borderId="1" xfId="0" applyFont="true" applyBorder="tru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6" fontId="12" fillId="0" borderId="1" xfId="0" applyFont="true" applyBorder="true" applyAlignment="true" applyProtection="false">
      <alignment horizontal="general" vertical="center" textRotation="0" wrapText="true" indent="0" shrinkToFit="false"/>
      <protection locked="true" hidden="false"/>
    </xf>
    <xf numFmtId="168" fontId="12" fillId="0" borderId="1" xfId="0" applyFont="true" applyBorder="true" applyAlignment="true" applyProtection="false">
      <alignment horizontal="general" vertical="center" textRotation="0" wrapText="true" indent="0" shrinkToFit="false"/>
      <protection locked="true" hidden="false"/>
    </xf>
    <xf numFmtId="166" fontId="11" fillId="5" borderId="1" xfId="0" applyFont="true" applyBorder="true" applyAlignment="true" applyProtection="false">
      <alignment horizontal="general" vertical="center" textRotation="0" wrapText="true" indent="0" shrinkToFit="false"/>
      <protection locked="true" hidden="false"/>
    </xf>
    <xf numFmtId="168" fontId="11" fillId="5" borderId="1" xfId="0" applyFont="true" applyBorder="true" applyAlignment="true" applyProtection="false">
      <alignment horizontal="general" vertical="center" textRotation="0" wrapText="true" indent="0" shrinkToFit="false"/>
      <protection locked="true" hidden="false"/>
    </xf>
    <xf numFmtId="166" fontId="11" fillId="9" borderId="1" xfId="0" applyFont="true" applyBorder="true" applyAlignment="true" applyProtection="false">
      <alignment horizontal="general" vertical="center" textRotation="0" wrapText="true" indent="0" shrinkToFit="false"/>
      <protection locked="true" hidden="false"/>
    </xf>
    <xf numFmtId="168" fontId="11" fillId="9" borderId="1" xfId="0" applyFont="true" applyBorder="true" applyAlignment="true" applyProtection="false">
      <alignment horizontal="general" vertical="center" textRotation="0" wrapText="true" indent="0" shrinkToFit="false"/>
      <protection locked="true" hidden="false"/>
    </xf>
    <xf numFmtId="166" fontId="11" fillId="0" borderId="1" xfId="0" applyFont="true" applyBorder="true" applyAlignment="true" applyProtection="false">
      <alignment horizontal="general" vertical="center" textRotation="0" wrapText="true" indent="0" shrinkToFit="false"/>
      <protection locked="true" hidden="false"/>
    </xf>
    <xf numFmtId="168" fontId="11" fillId="0" borderId="1" xfId="0" applyFont="true" applyBorder="true" applyAlignment="true" applyProtection="false">
      <alignment horizontal="general" vertical="center" textRotation="0" wrapText="true" indent="0" shrinkToFit="false"/>
      <protection locked="true" hidden="false"/>
    </xf>
    <xf numFmtId="166" fontId="11" fillId="5" borderId="1" xfId="0" applyFont="true" applyBorder="true" applyAlignment="true" applyProtection="false">
      <alignment horizontal="left" vertical="center" textRotation="0" wrapText="true" indent="0" shrinkToFit="false"/>
      <protection locked="true" hidden="false"/>
    </xf>
    <xf numFmtId="166" fontId="11" fillId="6" borderId="1" xfId="0" applyFont="true" applyBorder="true" applyAlignment="true" applyProtection="false">
      <alignment horizontal="left" vertical="center" textRotation="0" wrapText="true" indent="0" shrinkToFit="false"/>
      <protection locked="true" hidden="false"/>
    </xf>
    <xf numFmtId="168" fontId="11" fillId="9" borderId="1" xfId="0" applyFont="true" applyBorder="true" applyAlignment="true" applyProtection="false">
      <alignment horizontal="right" vertical="center" textRotation="0" wrapText="true" indent="0" shrinkToFit="false"/>
      <protection locked="true" hidden="false"/>
    </xf>
    <xf numFmtId="166" fontId="11" fillId="9" borderId="1" xfId="0" applyFont="true" applyBorder="true" applyAlignment="true" applyProtection="false">
      <alignment horizontal="left" vertical="center" textRotation="0" wrapText="true" indent="0" shrinkToFit="false"/>
      <protection locked="true" hidden="false"/>
    </xf>
    <xf numFmtId="166" fontId="11" fillId="2" borderId="1" xfId="0" applyFont="true" applyBorder="true" applyAlignment="true" applyProtection="false">
      <alignment horizontal="general" vertical="center" textRotation="0" wrapText="true" indent="0" shrinkToFit="false"/>
      <protection locked="true" hidden="false"/>
    </xf>
    <xf numFmtId="168" fontId="11" fillId="2" borderId="1" xfId="0" applyFont="true" applyBorder="true" applyAlignment="true" applyProtection="false">
      <alignment horizontal="general" vertical="center" textRotation="0" wrapText="true" indent="0" shrinkToFit="false"/>
      <protection locked="true" hidden="false"/>
    </xf>
    <xf numFmtId="166" fontId="11" fillId="10" borderId="1" xfId="0" applyFont="true" applyBorder="true" applyAlignment="true" applyProtection="false">
      <alignment horizontal="left" vertical="center" textRotation="0" wrapText="true" indent="1" shrinkToFit="false"/>
      <protection locked="true" hidden="false"/>
    </xf>
    <xf numFmtId="166" fontId="11" fillId="10" borderId="1" xfId="0" applyFont="true" applyBorder="true" applyAlignment="true" applyProtection="false">
      <alignment horizontal="general" vertical="center" textRotation="0" wrapText="true" indent="0" shrinkToFit="false"/>
      <protection locked="true" hidden="false"/>
    </xf>
    <xf numFmtId="168" fontId="11" fillId="10" borderId="1" xfId="0" applyFont="true" applyBorder="true" applyAlignment="true" applyProtection="false">
      <alignment horizontal="left" vertical="bottom" textRotation="0" wrapText="false" indent="0" shrinkToFit="false"/>
      <protection locked="true" hidden="false"/>
    </xf>
    <xf numFmtId="164" fontId="12" fillId="10" borderId="1" xfId="0" applyFont="true" applyBorder="true" applyAlignment="false" applyProtection="false">
      <alignment horizontal="general" vertical="bottom" textRotation="0" wrapText="false" indent="0" shrinkToFit="false"/>
      <protection locked="true" hidden="false"/>
    </xf>
    <xf numFmtId="168" fontId="11" fillId="10" borderId="1" xfId="0" applyFont="true" applyBorder="true" applyAlignment="true" applyProtection="false">
      <alignment horizontal="general" vertical="center" textRotation="0" wrapText="true" indent="0" shrinkToFit="false"/>
      <protection locked="true" hidden="false"/>
    </xf>
    <xf numFmtId="168" fontId="11" fillId="10" borderId="1" xfId="0" applyFont="true" applyBorder="true" applyAlignment="true" applyProtection="false">
      <alignment horizontal="right" vertical="center" textRotation="0" wrapText="false" indent="0" shrinkToFit="false"/>
      <protection locked="true" hidden="false"/>
    </xf>
    <xf numFmtId="166" fontId="11" fillId="2" borderId="1" xfId="0" applyFont="true" applyBorder="true" applyAlignment="true" applyProtection="false">
      <alignment horizontal="left" vertical="center" textRotation="0" wrapText="true" indent="1" shrinkToFit="false"/>
      <protection locked="true" hidden="false"/>
    </xf>
    <xf numFmtId="168" fontId="11" fillId="2" borderId="1" xfId="0" applyFont="true" applyBorder="true" applyAlignment="true" applyProtection="false">
      <alignment horizontal="left" vertical="bottom" textRotation="0" wrapText="false" indent="0" shrinkToFit="false"/>
      <protection locked="true" hidden="false"/>
    </xf>
    <xf numFmtId="168" fontId="12"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false" applyProtection="false">
      <alignment horizontal="general" vertical="bottom" textRotation="0" wrapText="false" indent="0" shrinkToFit="false"/>
      <protection locked="true" hidden="false"/>
    </xf>
    <xf numFmtId="168" fontId="11" fillId="2" borderId="1" xfId="0" applyFont="true" applyBorder="true" applyAlignment="true" applyProtection="false">
      <alignment horizontal="right" vertical="center" textRotation="0" wrapText="false" indent="0" shrinkToFit="false"/>
      <protection locked="true" hidden="false"/>
    </xf>
    <xf numFmtId="166" fontId="11" fillId="10" borderId="1" xfId="0" applyFont="true" applyBorder="true" applyAlignment="true" applyProtection="false">
      <alignment horizontal="left" vertical="top" textRotation="0" wrapText="true" indent="1" shrinkToFit="false"/>
      <protection locked="true" hidden="false"/>
    </xf>
    <xf numFmtId="168" fontId="11" fillId="10" borderId="1" xfId="0" applyFont="true" applyBorder="true" applyAlignment="true" applyProtection="false">
      <alignment horizontal="left" vertical="center" textRotation="0" wrapText="true" indent="0" shrinkToFit="false"/>
      <protection locked="true" hidden="false"/>
    </xf>
    <xf numFmtId="168" fontId="11" fillId="10" borderId="1" xfId="0" applyFont="true" applyBorder="true" applyAlignment="true" applyProtection="false">
      <alignment horizontal="right" vertical="center" textRotation="0" wrapText="true" indent="0" shrinkToFit="false"/>
      <protection locked="true" hidden="false"/>
    </xf>
    <xf numFmtId="166" fontId="11" fillId="2" borderId="1" xfId="0" applyFont="true" applyBorder="true" applyAlignment="true" applyProtection="false">
      <alignment horizontal="left" vertical="top" textRotation="0" wrapText="true" indent="1" shrinkToFit="false"/>
      <protection locked="true" hidden="false"/>
    </xf>
    <xf numFmtId="168" fontId="11" fillId="2" borderId="1" xfId="0" applyFont="true" applyBorder="true" applyAlignment="true" applyProtection="false">
      <alignment horizontal="left" vertical="center" textRotation="0" wrapText="true" indent="0" shrinkToFit="false"/>
      <protection locked="true" hidden="false"/>
    </xf>
    <xf numFmtId="168" fontId="11" fillId="2" borderId="1" xfId="0" applyFont="true" applyBorder="true" applyAlignment="true" applyProtection="false">
      <alignment horizontal="right" vertical="center" textRotation="0" wrapText="true" indent="0" shrinkToFit="false"/>
      <protection locked="true" hidden="false"/>
    </xf>
    <xf numFmtId="168" fontId="12" fillId="0" borderId="1" xfId="0" applyFont="true" applyBorder="true" applyAlignment="true" applyProtection="false">
      <alignment horizontal="right" vertical="center" textRotation="0" wrapText="true" indent="0" shrinkToFit="false"/>
      <protection locked="true" hidden="false"/>
    </xf>
    <xf numFmtId="164" fontId="0" fillId="11" borderId="2" xfId="0" applyFont="false" applyBorder="true" applyAlignment="false" applyProtection="false">
      <alignment horizontal="general" vertical="bottom" textRotation="0" wrapText="false" indent="0" shrinkToFit="false"/>
      <protection locked="true" hidden="false"/>
    </xf>
    <xf numFmtId="164" fontId="0" fillId="11" borderId="3" xfId="0" applyFont="fals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3" borderId="1" xfId="0" applyFont="true" applyBorder="true" applyAlignment="true" applyProtection="false">
      <alignment horizontal="center" vertical="center" textRotation="0" wrapText="true" indent="0" shrinkToFit="false"/>
      <protection locked="true" hidden="false"/>
    </xf>
    <xf numFmtId="164" fontId="13" fillId="0" borderId="4" xfId="0" applyFont="true" applyBorder="true" applyAlignment="true" applyProtection="false">
      <alignment horizontal="center" vertical="bottom" textRotation="0" wrapText="false" indent="0" shrinkToFit="false"/>
      <protection locked="true" hidden="false"/>
    </xf>
    <xf numFmtId="164" fontId="15" fillId="12" borderId="5" xfId="0" applyFont="true" applyBorder="true" applyAlignment="true" applyProtection="false">
      <alignment horizontal="center" vertical="center" textRotation="0" wrapText="false" indent="0" shrinkToFit="false"/>
      <protection locked="true" hidden="false"/>
    </xf>
    <xf numFmtId="164" fontId="16" fillId="12" borderId="6" xfId="0" applyFont="true" applyBorder="true" applyAlignment="true" applyProtection="false">
      <alignment horizontal="center" vertical="center" textRotation="0" wrapText="true" indent="0" shrinkToFit="false"/>
      <protection locked="true" hidden="false"/>
    </xf>
    <xf numFmtId="164" fontId="16" fillId="12" borderId="7" xfId="0" applyFont="true" applyBorder="true" applyAlignment="true" applyProtection="false">
      <alignment horizontal="center" vertical="center" textRotation="0" wrapText="true" indent="0" shrinkToFit="false"/>
      <protection locked="true" hidden="false"/>
    </xf>
    <xf numFmtId="164" fontId="16" fillId="12" borderId="8"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general" vertical="center" textRotation="0" wrapText="true" indent="0" shrinkToFit="false"/>
      <protection locked="true" hidden="false"/>
    </xf>
    <xf numFmtId="164" fontId="16" fillId="12" borderId="1" xfId="0" applyFont="true" applyBorder="true" applyAlignment="true" applyProtection="false">
      <alignment horizontal="center" vertical="center" textRotation="0" wrapText="true" indent="0" shrinkToFit="false"/>
      <protection locked="true" hidden="false"/>
    </xf>
    <xf numFmtId="164" fontId="17" fillId="13" borderId="9" xfId="0" applyFont="true" applyBorder="true" applyAlignment="true" applyProtection="false">
      <alignment horizontal="center" vertical="center" textRotation="0" wrapText="true" indent="0" shrinkToFit="false"/>
      <protection locked="true" hidden="false"/>
    </xf>
    <xf numFmtId="164" fontId="17" fillId="2" borderId="10" xfId="0" applyFont="true" applyBorder="true" applyAlignment="true" applyProtection="false">
      <alignment horizontal="center" vertical="center" textRotation="0" wrapText="true" indent="0" shrinkToFit="false"/>
      <protection locked="true" hidden="false"/>
    </xf>
    <xf numFmtId="164" fontId="6" fillId="2" borderId="11" xfId="0" applyFont="true" applyBorder="true" applyAlignment="true" applyProtection="false">
      <alignment horizontal="center" vertical="center" textRotation="0" wrapText="true" indent="0" shrinkToFit="false"/>
      <protection locked="true" hidden="false"/>
    </xf>
    <xf numFmtId="168" fontId="6" fillId="2" borderId="11" xfId="0" applyFont="true" applyBorder="true" applyAlignment="true" applyProtection="false">
      <alignment horizontal="center" vertical="center" textRotation="0" wrapText="true" indent="0" shrinkToFit="false"/>
      <protection locked="true" hidden="false"/>
    </xf>
    <xf numFmtId="168" fontId="17" fillId="2" borderId="12" xfId="0" applyFont="true" applyBorder="true" applyAlignment="true" applyProtection="false">
      <alignment horizontal="center" vertical="center" textRotation="0" wrapText="true" indent="0" shrinkToFit="false"/>
      <protection locked="true" hidden="false"/>
    </xf>
    <xf numFmtId="168" fontId="17" fillId="2" borderId="13" xfId="0" applyFont="true" applyBorder="true" applyAlignment="true" applyProtection="false">
      <alignment horizontal="center" vertical="center" textRotation="0" wrapText="true" indent="0" shrinkToFit="false"/>
      <protection locked="true" hidden="false"/>
    </xf>
    <xf numFmtId="164" fontId="17" fillId="13" borderId="1" xfId="0" applyFont="true" applyBorder="true" applyAlignment="true" applyProtection="false">
      <alignment horizontal="center" vertical="center" textRotation="0" wrapText="true" indent="0" shrinkToFit="false"/>
      <protection locked="true" hidden="false"/>
    </xf>
    <xf numFmtId="164" fontId="17" fillId="2" borderId="1"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8" fontId="6" fillId="2" borderId="1" xfId="0" applyFont="true" applyBorder="true" applyAlignment="true" applyProtection="false">
      <alignment horizontal="center" vertical="center" textRotation="0" wrapText="true" indent="0" shrinkToFit="false"/>
      <protection locked="true" hidden="false"/>
    </xf>
    <xf numFmtId="168" fontId="17" fillId="2" borderId="1" xfId="0" applyFont="true" applyBorder="true" applyAlignment="true" applyProtection="false">
      <alignment horizontal="center" vertical="center" textRotation="0" wrapText="true" indent="0" shrinkToFit="false"/>
      <protection locked="true" hidden="false"/>
    </xf>
    <xf numFmtId="164" fontId="6" fillId="2" borderId="14" xfId="0" applyFont="true" applyBorder="true" applyAlignment="true" applyProtection="false">
      <alignment horizontal="center" vertical="center" textRotation="0" wrapText="true" indent="0" shrinkToFit="false"/>
      <protection locked="true" hidden="false"/>
    </xf>
    <xf numFmtId="168" fontId="6" fillId="2" borderId="14" xfId="0" applyFont="true" applyBorder="true" applyAlignment="true" applyProtection="false">
      <alignment horizontal="center" vertical="center" textRotation="0" wrapText="true" indent="0" shrinkToFit="false"/>
      <protection locked="true" hidden="false"/>
    </xf>
    <xf numFmtId="168" fontId="6" fillId="0" borderId="1" xfId="0" applyFont="true" applyBorder="true" applyAlignment="true" applyProtection="false">
      <alignment horizontal="center" vertical="center" textRotation="0" wrapText="true" indent="0" shrinkToFit="false"/>
      <protection locked="true" hidden="false"/>
    </xf>
    <xf numFmtId="168" fontId="13" fillId="0" borderId="0" xfId="0" applyFont="true" applyBorder="false" applyAlignment="false" applyProtection="false">
      <alignment horizontal="general" vertical="bottom" textRotation="0" wrapText="false" indent="0" shrinkToFit="false"/>
      <protection locked="true" hidden="false"/>
    </xf>
    <xf numFmtId="164" fontId="16" fillId="12" borderId="15" xfId="0" applyFont="true" applyBorder="true" applyAlignment="true" applyProtection="false">
      <alignment horizontal="center" vertical="center" textRotation="0" wrapText="true" indent="0" shrinkToFit="false"/>
      <protection locked="true" hidden="false"/>
    </xf>
    <xf numFmtId="164" fontId="17" fillId="13" borderId="16" xfId="0" applyFont="true" applyBorder="true" applyAlignment="true" applyProtection="false">
      <alignment horizontal="center" vertical="center" textRotation="0" wrapText="true" indent="0" shrinkToFit="false"/>
      <protection locked="true" hidden="false"/>
    </xf>
    <xf numFmtId="168" fontId="6" fillId="14" borderId="1" xfId="0" applyFont="true" applyBorder="true" applyAlignment="true" applyProtection="false">
      <alignment horizontal="center" vertical="center" textRotation="0" wrapText="true" indent="0" shrinkToFit="false"/>
      <protection locked="true" hidden="false"/>
    </xf>
    <xf numFmtId="164" fontId="17" fillId="13" borderId="6" xfId="0" applyFont="true" applyBorder="true" applyAlignment="true" applyProtection="false">
      <alignment horizontal="center" vertical="center" textRotation="0" wrapText="true" indent="0" shrinkToFit="false"/>
      <protection locked="true" hidden="false"/>
    </xf>
    <xf numFmtId="164" fontId="17" fillId="2" borderId="17" xfId="0" applyFont="true" applyBorder="true" applyAlignment="true" applyProtection="false">
      <alignment horizontal="center" vertical="center" textRotation="0" wrapText="true" indent="0" shrinkToFit="false"/>
      <protection locked="true" hidden="false"/>
    </xf>
    <xf numFmtId="164" fontId="6" fillId="2" borderId="18" xfId="0" applyFont="true" applyBorder="true" applyAlignment="true" applyProtection="false">
      <alignment horizontal="center" vertical="center" textRotation="0" wrapText="true" indent="0" shrinkToFit="false"/>
      <protection locked="true" hidden="false"/>
    </xf>
    <xf numFmtId="168" fontId="6" fillId="14" borderId="18" xfId="0" applyFont="true" applyBorder="true" applyAlignment="true" applyProtection="false">
      <alignment horizontal="center" vertical="center" textRotation="0" wrapText="true" indent="0" shrinkToFit="false"/>
      <protection locked="true" hidden="false"/>
    </xf>
    <xf numFmtId="168" fontId="17" fillId="2" borderId="17" xfId="0" applyFont="true" applyBorder="true" applyAlignment="true" applyProtection="false">
      <alignment horizontal="center" vertical="center" textRotation="0" wrapText="true" indent="0" shrinkToFit="false"/>
      <protection locked="true" hidden="false"/>
    </xf>
    <xf numFmtId="168" fontId="6" fillId="15" borderId="11" xfId="0" applyFont="true" applyBorder="true" applyAlignment="true" applyProtection="false">
      <alignment horizontal="center" vertical="center" textRotation="0" wrapText="true" indent="0" shrinkToFit="false"/>
      <protection locked="true" hidden="false"/>
    </xf>
    <xf numFmtId="164" fontId="17" fillId="13" borderId="19" xfId="0" applyFont="true" applyBorder="true" applyAlignment="true" applyProtection="false">
      <alignment horizontal="center" vertical="center" textRotation="0" wrapText="true" indent="0" shrinkToFit="false"/>
      <protection locked="true" hidden="false"/>
    </xf>
    <xf numFmtId="164" fontId="17" fillId="2" borderId="20" xfId="0" applyFont="true" applyBorder="true" applyAlignment="true" applyProtection="false">
      <alignment horizontal="center" vertical="center" textRotation="0" wrapText="true" indent="0" shrinkToFit="false"/>
      <protection locked="true" hidden="false"/>
    </xf>
    <xf numFmtId="168" fontId="6" fillId="2" borderId="18" xfId="0" applyFont="true" applyBorder="true" applyAlignment="true" applyProtection="false">
      <alignment horizontal="center" vertical="center" textRotation="0" wrapText="true" indent="0" shrinkToFit="false"/>
      <protection locked="true" hidden="false"/>
    </xf>
    <xf numFmtId="168" fontId="17" fillId="2" borderId="20" xfId="0" applyFont="true" applyBorder="true" applyAlignment="true" applyProtection="false">
      <alignment horizontal="center" vertical="center" textRotation="0" wrapText="true" indent="0" shrinkToFit="false"/>
      <protection locked="true" hidden="false"/>
    </xf>
    <xf numFmtId="164" fontId="6" fillId="2" borderId="15" xfId="0" applyFont="true" applyBorder="true" applyAlignment="true" applyProtection="false">
      <alignment horizontal="center" vertical="center" textRotation="0" wrapText="true" indent="0" shrinkToFit="false"/>
      <protection locked="true" hidden="false"/>
    </xf>
    <xf numFmtId="168" fontId="6" fillId="2" borderId="15" xfId="0" applyFont="true" applyBorder="true" applyAlignment="true" applyProtection="false">
      <alignment horizontal="center" vertical="center" textRotation="0" wrapText="true" indent="0" shrinkToFit="false"/>
      <protection locked="true" hidden="false"/>
    </xf>
    <xf numFmtId="168" fontId="6" fillId="0" borderId="1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8" fillId="3" borderId="21" xfId="0" applyFont="true" applyBorder="true" applyAlignment="true" applyProtection="false">
      <alignment horizontal="center" vertical="center" textRotation="0" wrapText="tru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left" vertical="center" textRotation="0" wrapText="true" indent="0" shrinkToFit="false"/>
      <protection locked="true" hidden="false"/>
    </xf>
    <xf numFmtId="165" fontId="12" fillId="2" borderId="1" xfId="0" applyFont="true" applyBorder="true" applyAlignment="true" applyProtection="false">
      <alignment horizontal="left" vertical="center" textRotation="0" wrapText="true" indent="0" shrinkToFit="false"/>
      <protection locked="true" hidden="false"/>
    </xf>
    <xf numFmtId="164" fontId="18" fillId="0" borderId="0" xfId="0" applyFont="true" applyBorder="false" applyAlignment="true" applyProtection="false">
      <alignment horizontal="general" vertical="center" textRotation="0" wrapText="true" indent="0" shrinkToFit="false"/>
      <protection locked="true" hidden="false"/>
    </xf>
    <xf numFmtId="164" fontId="16" fillId="3" borderId="22" xfId="0" applyFont="true" applyBorder="true" applyAlignment="true" applyProtection="false">
      <alignment horizontal="center" vertical="center" textRotation="0" wrapText="true" indent="0" shrinkToFit="false"/>
      <protection locked="true" hidden="false"/>
    </xf>
    <xf numFmtId="164" fontId="16" fillId="3" borderId="1" xfId="0" applyFont="true" applyBorder="true" applyAlignment="true" applyProtection="false">
      <alignment horizontal="center" vertical="center"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7" fillId="16"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8" fontId="17" fillId="0" borderId="1" xfId="0" applyFont="true" applyBorder="true" applyAlignment="true" applyProtection="false">
      <alignment horizontal="center" vertical="center" textRotation="0" wrapText="true" indent="0" shrinkToFit="false"/>
      <protection locked="true" hidden="false"/>
    </xf>
    <xf numFmtId="170" fontId="17" fillId="0" borderId="1" xfId="0" applyFont="true" applyBorder="true" applyAlignment="true" applyProtection="false">
      <alignment horizontal="center" vertical="center" textRotation="0" wrapText="true" indent="0" shrinkToFit="false"/>
      <protection locked="true" hidden="false"/>
    </xf>
    <xf numFmtId="170" fontId="17" fillId="16" borderId="1" xfId="0" applyFont="true" applyBorder="true" applyAlignment="true" applyProtection="false">
      <alignment horizontal="center" vertical="center" textRotation="0" wrapText="true" indent="0" shrinkToFit="false"/>
      <protection locked="true" hidden="false"/>
    </xf>
    <xf numFmtId="170" fontId="6" fillId="0" borderId="1" xfId="0" applyFont="true" applyBorder="true" applyAlignment="true" applyProtection="false">
      <alignment horizontal="center" vertical="center" textRotation="0" wrapText="true" indent="0" shrinkToFit="false"/>
      <protection locked="true" hidden="false"/>
    </xf>
    <xf numFmtId="164" fontId="17" fillId="17" borderId="1" xfId="0" applyFont="true" applyBorder="true" applyAlignment="true" applyProtection="false">
      <alignment horizontal="center" vertical="center" textRotation="0" wrapText="true" indent="0" shrinkToFit="false"/>
      <protection locked="true" hidden="false"/>
    </xf>
    <xf numFmtId="170" fontId="17" fillId="17" borderId="1" xfId="0" applyFont="true" applyBorder="true" applyAlignment="true" applyProtection="false">
      <alignment horizontal="center" vertical="center" textRotation="0" wrapText="tru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70" fontId="16" fillId="3" borderId="1" xfId="0" applyFont="true" applyBorder="true" applyAlignment="true" applyProtection="false">
      <alignment horizontal="center" vertical="center" textRotation="0" wrapText="true" indent="0" shrinkToFit="false"/>
      <protection locked="true" hidden="false"/>
    </xf>
    <xf numFmtId="168" fontId="6" fillId="15" borderId="1" xfId="0" applyFont="true" applyBorder="true" applyAlignment="true" applyProtection="false">
      <alignment horizontal="center" vertical="center" textRotation="0" wrapText="true" indent="0" shrinkToFit="false"/>
      <protection locked="true" hidden="false"/>
    </xf>
    <xf numFmtId="168" fontId="6" fillId="18" borderId="1" xfId="0" applyFont="true" applyBorder="true" applyAlignment="true" applyProtection="false">
      <alignment horizontal="center" vertical="center" textRotation="0" wrapText="true" indent="0" shrinkToFit="false"/>
      <protection locked="true" hidden="false"/>
    </xf>
    <xf numFmtId="168" fontId="6" fillId="18" borderId="1" xfId="0" applyFont="true" applyBorder="true" applyAlignment="true" applyProtection="false">
      <alignment horizontal="center" vertical="bottom" textRotation="0" wrapText="true" indent="0" shrinkToFit="false"/>
      <protection locked="true" hidden="false"/>
    </xf>
    <xf numFmtId="168" fontId="6" fillId="0" borderId="1" xfId="0" applyFont="true" applyBorder="true" applyAlignment="true" applyProtection="false">
      <alignment horizontal="center" vertical="bottom" textRotation="0" wrapText="true" indent="0" shrinkToFit="false"/>
      <protection locked="true" hidden="false"/>
    </xf>
    <xf numFmtId="168" fontId="6" fillId="2" borderId="1" xfId="0" applyFont="true" applyBorder="true" applyAlignment="true" applyProtection="false">
      <alignment horizontal="center" vertical="bottom" textRotation="0" wrapText="true" indent="0" shrinkToFit="false"/>
      <protection locked="true" hidden="false"/>
    </xf>
    <xf numFmtId="164" fontId="14" fillId="3" borderId="2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true" applyProtection="false">
      <alignment horizontal="center" vertical="center" textRotation="0" wrapText="false" indent="0" shrinkToFit="false"/>
      <protection locked="true" hidden="false"/>
    </xf>
    <xf numFmtId="165" fontId="19" fillId="0" borderId="0" xfId="0" applyFont="true" applyBorder="true" applyAlignment="true" applyProtection="false">
      <alignment horizontal="left" vertical="center" textRotation="0" wrapText="true" indent="0" shrinkToFit="false"/>
      <protection locked="true" hidden="false"/>
    </xf>
    <xf numFmtId="164" fontId="20" fillId="12" borderId="1" xfId="0" applyFont="true" applyBorder="true" applyAlignment="true" applyProtection="false">
      <alignment horizontal="center" vertical="center" textRotation="0" wrapText="true" indent="0" shrinkToFit="false"/>
      <protection locked="true" hidden="false"/>
    </xf>
    <xf numFmtId="164" fontId="17" fillId="19" borderId="1" xfId="0" applyFont="true" applyBorder="true" applyAlignment="true" applyProtection="false">
      <alignment horizontal="center" vertical="center" textRotation="0" wrapText="true" indent="0" shrinkToFit="false"/>
      <protection locked="true" hidden="false"/>
    </xf>
    <xf numFmtId="164" fontId="17" fillId="13" borderId="1" xfId="0" applyFont="true" applyBorder="true" applyAlignment="true" applyProtection="false">
      <alignment horizontal="center" vertical="bottom" textRotation="0" wrapText="false" indent="0" shrinkToFit="false"/>
      <protection locked="true" hidden="false"/>
    </xf>
    <xf numFmtId="164" fontId="17" fillId="0" borderId="1" xfId="0" applyFont="true" applyBorder="true" applyAlignment="true" applyProtection="false">
      <alignment horizontal="center" vertical="bottom" textRotation="0" wrapText="false" indent="0" shrinkToFit="false"/>
      <protection locked="true" hidden="false"/>
    </xf>
    <xf numFmtId="169" fontId="17" fillId="19"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9" fontId="17" fillId="20" borderId="1" xfId="0" applyFont="true" applyBorder="true" applyAlignment="true" applyProtection="false">
      <alignment horizontal="center" vertical="center" textRotation="0" wrapText="true" indent="0" shrinkToFit="false"/>
      <protection locked="true" hidden="false"/>
    </xf>
    <xf numFmtId="164" fontId="21" fillId="4" borderId="1" xfId="0" applyFont="true" applyBorder="true" applyAlignment="true" applyProtection="false">
      <alignment horizontal="center" vertical="center" textRotation="0" wrapText="true" indent="0" shrinkToFit="false"/>
      <protection locked="true" hidden="false"/>
    </xf>
    <xf numFmtId="168" fontId="17" fillId="19" borderId="1" xfId="0" applyFont="true" applyBorder="true" applyAlignment="true" applyProtection="false">
      <alignment horizontal="center" vertical="center" textRotation="0" wrapText="true" indent="0" shrinkToFit="false"/>
      <protection locked="true" hidden="false"/>
    </xf>
    <xf numFmtId="171" fontId="6" fillId="0" borderId="1" xfId="0" applyFont="true" applyBorder="true" applyAlignment="true" applyProtection="false">
      <alignment horizontal="center" vertical="center" textRotation="0" wrapText="true" indent="0" shrinkToFit="false"/>
      <protection locked="true" hidden="false"/>
    </xf>
    <xf numFmtId="168" fontId="17" fillId="20" borderId="1" xfId="0" applyFont="true" applyBorder="true" applyAlignment="true" applyProtection="false">
      <alignment horizontal="center" vertical="center" textRotation="0" wrapText="true" indent="0" shrinkToFit="false"/>
      <protection locked="true" hidden="false"/>
    </xf>
    <xf numFmtId="164" fontId="22" fillId="21" borderId="1" xfId="0" applyFont="true" applyBorder="true" applyAlignment="true" applyProtection="false">
      <alignment horizontal="left" vertical="center" textRotation="0" wrapText="false" indent="0" shrinkToFit="false"/>
      <protection locked="true" hidden="false"/>
    </xf>
    <xf numFmtId="164" fontId="21" fillId="8" borderId="1" xfId="0" applyFont="true" applyBorder="true" applyAlignment="true" applyProtection="false">
      <alignment horizontal="center" vertical="center" textRotation="0" wrapText="false" indent="0" shrinkToFit="false"/>
      <protection locked="true" hidden="false"/>
    </xf>
    <xf numFmtId="164" fontId="23" fillId="0" borderId="1" xfId="0" applyFont="true" applyBorder="true" applyAlignment="true" applyProtection="false">
      <alignment horizontal="left" vertical="center" textRotation="0" wrapText="true" indent="0" shrinkToFit="false"/>
      <protection locked="true" hidden="false"/>
    </xf>
    <xf numFmtId="168" fontId="23" fillId="0" borderId="1" xfId="0" applyFont="true" applyBorder="true" applyAlignment="true" applyProtection="false">
      <alignment horizontal="center" vertical="center" textRotation="0" wrapText="true" indent="0" shrinkToFit="false"/>
      <protection locked="true" hidden="false"/>
    </xf>
    <xf numFmtId="164" fontId="23" fillId="0" borderId="1" xfId="0" applyFont="true" applyBorder="true" applyAlignment="true" applyProtection="false">
      <alignment horizontal="center" vertical="center" textRotation="0" wrapText="true" indent="0" shrinkToFit="false"/>
      <protection locked="true" hidden="false"/>
    </xf>
    <xf numFmtId="172" fontId="23" fillId="0" borderId="1" xfId="0" applyFont="true" applyBorder="true" applyAlignment="true" applyProtection="false">
      <alignment horizontal="center" vertical="center" textRotation="0" wrapText="true" indent="0" shrinkToFit="false"/>
      <protection locked="true" hidden="false"/>
    </xf>
    <xf numFmtId="171" fontId="23" fillId="0" borderId="1" xfId="0" applyFont="true" applyBorder="true" applyAlignment="true" applyProtection="false">
      <alignment horizontal="center" vertical="center" textRotation="0" wrapText="true" indent="0" shrinkToFit="false"/>
      <protection locked="true" hidden="false"/>
    </xf>
    <xf numFmtId="164" fontId="21" fillId="0" borderId="1" xfId="0" applyFont="true" applyBorder="true" applyAlignment="true" applyProtection="false">
      <alignment horizontal="left" vertical="center" textRotation="0" wrapText="true" indent="0" shrinkToFit="false"/>
      <protection locked="true" hidden="false"/>
    </xf>
    <xf numFmtId="168" fontId="21" fillId="0" borderId="1" xfId="0" applyFont="true" applyBorder="true" applyAlignment="true" applyProtection="false">
      <alignment horizontal="center" vertical="center" textRotation="0" wrapText="true" indent="0" shrinkToFit="false"/>
      <protection locked="true" hidden="false"/>
    </xf>
    <xf numFmtId="164" fontId="21" fillId="0"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xf numFmtId="164" fontId="25" fillId="3" borderId="0"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5" fontId="9" fillId="0" borderId="1" xfId="0" applyFont="true" applyBorder="true" applyAlignment="true" applyProtection="false">
      <alignment horizontal="left" vertical="center" textRotation="0" wrapText="true" indent="0" shrinkToFit="false"/>
      <protection locked="true" hidden="false"/>
    </xf>
    <xf numFmtId="164" fontId="26" fillId="0" borderId="0" xfId="0" applyFont="true" applyBorder="false" applyAlignment="true" applyProtection="false">
      <alignment horizontal="general" vertical="center" textRotation="0" wrapText="true" indent="0" shrinkToFit="false"/>
      <protection locked="true" hidden="false"/>
    </xf>
    <xf numFmtId="164" fontId="10" fillId="3" borderId="23" xfId="0" applyFont="true" applyBorder="true" applyAlignment="true" applyProtection="false">
      <alignment horizontal="center" vertical="center" textRotation="0" wrapText="true" indent="0" shrinkToFit="false"/>
      <protection locked="true" hidden="false"/>
    </xf>
    <xf numFmtId="164" fontId="10" fillId="3" borderId="18" xfId="0" applyFont="true" applyBorder="true" applyAlignment="true" applyProtection="false">
      <alignment horizontal="center" vertical="center" textRotation="0" wrapText="true" indent="0" shrinkToFit="false"/>
      <protection locked="true" hidden="false"/>
    </xf>
    <xf numFmtId="164" fontId="10" fillId="3" borderId="24" xfId="0" applyFont="true" applyBorder="true" applyAlignment="true" applyProtection="false">
      <alignment horizontal="center" vertical="center" textRotation="0" wrapText="true" indent="0" shrinkToFit="false"/>
      <protection locked="true" hidden="false"/>
    </xf>
    <xf numFmtId="164" fontId="11" fillId="22" borderId="3" xfId="0" applyFont="true" applyBorder="true" applyAlignment="true" applyProtection="false">
      <alignment horizontal="center" vertical="center" textRotation="0" wrapText="true" indent="0" shrinkToFit="false"/>
      <protection locked="true" hidden="false"/>
    </xf>
    <xf numFmtId="168" fontId="12" fillId="0" borderId="1" xfId="0" applyFont="true" applyBorder="true" applyAlignment="true" applyProtection="false">
      <alignment horizontal="center" vertical="center" textRotation="0" wrapText="true" indent="0" shrinkToFit="false"/>
      <protection locked="true" hidden="false"/>
    </xf>
    <xf numFmtId="171" fontId="12" fillId="0" borderId="1" xfId="0" applyFont="true" applyBorder="true" applyAlignment="true" applyProtection="false">
      <alignment horizontal="center" vertical="center" textRotation="0" wrapText="true" indent="0" shrinkToFit="false"/>
      <protection locked="true" hidden="false"/>
    </xf>
    <xf numFmtId="164" fontId="12" fillId="0" borderId="16" xfId="0" applyFont="true" applyBorder="true" applyAlignment="true" applyProtection="false">
      <alignment horizontal="center" vertical="center" textRotation="0" wrapText="true" indent="0" shrinkToFit="false"/>
      <protection locked="true" hidden="false"/>
    </xf>
    <xf numFmtId="164" fontId="11" fillId="2" borderId="25" xfId="0" applyFont="true" applyBorder="true" applyAlignment="true" applyProtection="false">
      <alignment horizontal="center" vertical="center" textRotation="0" wrapText="true" indent="0" shrinkToFit="false"/>
      <protection locked="true" hidden="false"/>
    </xf>
    <xf numFmtId="168" fontId="11" fillId="2" borderId="15" xfId="0" applyFont="true" applyBorder="true" applyAlignment="true" applyProtection="false">
      <alignment horizontal="center" vertical="center" textRotation="0" wrapText="true" indent="0" shrinkToFit="false"/>
      <protection locked="true" hidden="false"/>
    </xf>
    <xf numFmtId="169" fontId="11" fillId="2" borderId="15" xfId="0" applyFont="true" applyBorder="true" applyAlignment="true" applyProtection="false">
      <alignment horizontal="center" vertical="center" textRotation="0" wrapText="true" indent="0" shrinkToFit="false"/>
      <protection locked="true" hidden="false"/>
    </xf>
    <xf numFmtId="164" fontId="11" fillId="2" borderId="26" xfId="0" applyFont="true" applyBorder="true" applyAlignment="true" applyProtection="false">
      <alignment horizontal="center" vertical="center" textRotation="0" wrapText="true" indent="0" shrinkToFit="false"/>
      <protection locked="true" hidden="false"/>
    </xf>
    <xf numFmtId="164" fontId="27" fillId="0" borderId="0" xfId="21" applyFont="true" applyBorder="false" applyAlignment="false" applyProtection="false">
      <alignment horizontal="general" vertical="bottom" textRotation="0" wrapText="false" indent="0" shrinkToFit="false"/>
      <protection locked="true" hidden="false"/>
    </xf>
    <xf numFmtId="164" fontId="27" fillId="0" borderId="0" xfId="21" applyFont="true" applyBorder="false" applyAlignment="true" applyProtection="false">
      <alignment horizontal="center" vertical="bottom" textRotation="0" wrapText="false" indent="0" shrinkToFit="false"/>
      <protection locked="true" hidden="false"/>
    </xf>
    <xf numFmtId="164" fontId="28" fillId="2" borderId="0" xfId="21" applyFont="true" applyBorder="false" applyAlignment="true" applyProtection="false">
      <alignment horizontal="center" vertical="center" textRotation="0" wrapText="false" indent="0" shrinkToFit="false"/>
      <protection locked="true" hidden="false"/>
    </xf>
    <xf numFmtId="164" fontId="27" fillId="2" borderId="0" xfId="21" applyFont="true" applyBorder="false" applyAlignment="true" applyProtection="false">
      <alignment horizontal="general" vertical="center" textRotation="0" wrapText="true" indent="0" shrinkToFit="false"/>
      <protection locked="true" hidden="false"/>
    </xf>
    <xf numFmtId="164" fontId="27" fillId="2" borderId="0" xfId="21" applyFont="true" applyBorder="false" applyAlignment="true" applyProtection="false">
      <alignment horizontal="center" vertical="center" textRotation="0" wrapText="true" indent="0" shrinkToFit="false"/>
      <protection locked="true" hidden="false"/>
    </xf>
    <xf numFmtId="164" fontId="27" fillId="2" borderId="0" xfId="21" applyFont="true" applyBorder="false" applyAlignment="false" applyProtection="false">
      <alignment horizontal="general" vertical="bottom" textRotation="0" wrapText="false" indent="0" shrinkToFit="false"/>
      <protection locked="true" hidden="false"/>
    </xf>
    <xf numFmtId="164" fontId="29" fillId="3" borderId="1" xfId="0" applyFont="true" applyBorder="true" applyAlignment="true" applyProtection="false">
      <alignment horizontal="center" vertical="center" textRotation="0" wrapText="true" indent="0" shrinkToFit="false"/>
      <protection locked="true" hidden="false"/>
    </xf>
    <xf numFmtId="164" fontId="30" fillId="4" borderId="1" xfId="0" applyFont="true" applyBorder="true" applyAlignment="true" applyProtection="false">
      <alignment horizontal="center" vertical="center" textRotation="0" wrapText="true" indent="0" shrinkToFit="false"/>
      <protection locked="true" hidden="false"/>
    </xf>
    <xf numFmtId="164" fontId="31" fillId="2" borderId="1" xfId="0" applyFont="true" applyBorder="true" applyAlignment="true" applyProtection="false">
      <alignment horizontal="left" vertical="center" textRotation="0" wrapText="true" indent="0" shrinkToFit="false"/>
      <protection locked="true" hidden="false"/>
    </xf>
    <xf numFmtId="165" fontId="31" fillId="2" borderId="1" xfId="0" applyFont="true" applyBorder="true" applyAlignment="true" applyProtection="false">
      <alignment horizontal="left" vertical="center" textRotation="0" wrapText="true" indent="0" shrinkToFit="false"/>
      <protection locked="true" hidden="false"/>
    </xf>
    <xf numFmtId="164" fontId="32" fillId="21" borderId="1" xfId="21" applyFont="true" applyBorder="true" applyAlignment="true" applyProtection="false">
      <alignment horizontal="center" vertical="center" textRotation="0" wrapText="false" indent="0" shrinkToFit="false"/>
      <protection locked="true" hidden="false"/>
    </xf>
    <xf numFmtId="164" fontId="33" fillId="23" borderId="1" xfId="21" applyFont="true" applyBorder="true" applyAlignment="true" applyProtection="false">
      <alignment horizontal="center" vertical="center" textRotation="0" wrapText="true" indent="0" shrinkToFit="false"/>
      <protection locked="true" hidden="false"/>
    </xf>
    <xf numFmtId="164" fontId="33" fillId="24" borderId="1" xfId="21" applyFont="true" applyBorder="true" applyAlignment="true" applyProtection="false">
      <alignment horizontal="center" vertical="center" textRotation="0" wrapText="true" indent="0" shrinkToFit="false"/>
      <protection locked="true" hidden="false"/>
    </xf>
    <xf numFmtId="164" fontId="33" fillId="25" borderId="1" xfId="21" applyFont="true" applyBorder="true" applyAlignment="true" applyProtection="false">
      <alignment horizontal="center" vertical="center" textRotation="0" wrapText="true" indent="0" shrinkToFit="false"/>
      <protection locked="true" hidden="false"/>
    </xf>
    <xf numFmtId="164" fontId="33" fillId="22" borderId="1" xfId="21" applyFont="true" applyBorder="true" applyAlignment="true" applyProtection="false">
      <alignment horizontal="center" vertical="center" textRotation="0" wrapText="true" indent="0" shrinkToFit="false"/>
      <protection locked="true" hidden="false"/>
    </xf>
    <xf numFmtId="164" fontId="33" fillId="19" borderId="1" xfId="21" applyFont="true" applyBorder="true" applyAlignment="true" applyProtection="false">
      <alignment horizontal="center" vertical="center" textRotation="0" wrapText="true" indent="0" shrinkToFit="false"/>
      <protection locked="true" hidden="false"/>
    </xf>
    <xf numFmtId="164" fontId="25" fillId="26" borderId="1" xfId="21" applyFont="true" applyBorder="true" applyAlignment="true" applyProtection="false">
      <alignment horizontal="center" vertical="center" textRotation="0" wrapText="true" indent="0" shrinkToFit="false"/>
      <protection locked="true" hidden="false"/>
    </xf>
    <xf numFmtId="164" fontId="9" fillId="0" borderId="1" xfId="21" applyFont="true" applyBorder="true" applyAlignment="true" applyProtection="false">
      <alignment horizontal="center" vertical="center" textRotation="0" wrapText="true" indent="0" shrinkToFit="false"/>
      <protection locked="true" hidden="false"/>
    </xf>
    <xf numFmtId="164" fontId="9" fillId="6" borderId="1" xfId="21" applyFont="true" applyBorder="true" applyAlignment="true" applyProtection="false">
      <alignment horizontal="center" vertical="center" textRotation="0" wrapText="true" indent="0" shrinkToFit="false"/>
      <protection locked="true" hidden="false"/>
    </xf>
    <xf numFmtId="164" fontId="8" fillId="27" borderId="1" xfId="21" applyFont="true" applyBorder="true" applyAlignment="true" applyProtection="false">
      <alignment horizontal="center" vertical="center" textRotation="0" wrapText="true" indent="0" shrinkToFit="false"/>
      <protection locked="true" hidden="false"/>
    </xf>
    <xf numFmtId="168" fontId="9" fillId="6" borderId="1" xfId="21" applyFont="true" applyBorder="true" applyAlignment="true" applyProtection="false">
      <alignment horizontal="center" vertical="center" textRotation="0" wrapText="true" indent="0" shrinkToFit="false"/>
      <protection locked="true" hidden="false"/>
    </xf>
    <xf numFmtId="173" fontId="9" fillId="24" borderId="1" xfId="21" applyFont="true" applyBorder="true" applyAlignment="true" applyProtection="false">
      <alignment horizontal="center" vertical="center" textRotation="0" wrapText="true" indent="0" shrinkToFit="false"/>
      <protection locked="true" hidden="false"/>
    </xf>
    <xf numFmtId="168" fontId="9" fillId="24" borderId="1" xfId="21" applyFont="true" applyBorder="true" applyAlignment="true" applyProtection="false">
      <alignment horizontal="center" vertical="center" textRotation="0" wrapText="true" indent="0" shrinkToFit="false"/>
      <protection locked="true" hidden="false"/>
    </xf>
    <xf numFmtId="164" fontId="9" fillId="22" borderId="1" xfId="21" applyFont="true" applyBorder="true" applyAlignment="true" applyProtection="false">
      <alignment horizontal="center" vertical="center" textRotation="0" wrapText="true" indent="0" shrinkToFit="false"/>
      <protection locked="true" hidden="false"/>
    </xf>
    <xf numFmtId="173" fontId="9" fillId="28" borderId="1" xfId="21" applyFont="true" applyBorder="true" applyAlignment="true" applyProtection="false">
      <alignment horizontal="center" vertical="center" textRotation="0" wrapText="true" indent="0" shrinkToFit="false"/>
      <protection locked="true" hidden="false"/>
    </xf>
    <xf numFmtId="168" fontId="9" fillId="22" borderId="1" xfId="21" applyFont="true" applyBorder="true" applyAlignment="true" applyProtection="false">
      <alignment horizontal="center" vertical="center" textRotation="0" wrapText="true" indent="0" shrinkToFit="false"/>
      <protection locked="true" hidden="false"/>
    </xf>
    <xf numFmtId="168" fontId="9" fillId="28" borderId="1" xfId="21" applyFont="true" applyBorder="true" applyAlignment="true" applyProtection="false">
      <alignment horizontal="center" vertical="center" textRotation="0" wrapText="true" indent="0" shrinkToFit="false"/>
      <protection locked="true" hidden="false"/>
    </xf>
    <xf numFmtId="168" fontId="8" fillId="19" borderId="1" xfId="21" applyFont="true" applyBorder="true" applyAlignment="true" applyProtection="false">
      <alignment horizontal="center" vertical="center" textRotation="0" wrapText="true" indent="0" shrinkToFit="false"/>
      <protection locked="true" hidden="false"/>
    </xf>
    <xf numFmtId="168" fontId="25" fillId="29" borderId="1" xfId="21" applyFont="true" applyBorder="true" applyAlignment="true" applyProtection="false">
      <alignment horizontal="center" vertical="center" textRotation="0" wrapText="false" indent="0" shrinkToFit="false"/>
      <protection locked="true" hidden="false"/>
    </xf>
    <xf numFmtId="164" fontId="12" fillId="0" borderId="0" xfId="21" applyFont="true" applyBorder="false" applyAlignment="false" applyProtection="false">
      <alignment horizontal="general" vertical="bottom" textRotation="0" wrapText="false" indent="0" shrinkToFit="false"/>
      <protection locked="true" hidden="false"/>
    </xf>
    <xf numFmtId="164" fontId="32" fillId="3" borderId="1" xfId="21" applyFont="true" applyBorder="true" applyAlignment="true" applyProtection="false">
      <alignment horizontal="center" vertical="center" textRotation="0" wrapText="false" indent="0" shrinkToFit="false"/>
      <protection locked="true" hidden="false"/>
    </xf>
    <xf numFmtId="164" fontId="8" fillId="4" borderId="1" xfId="21" applyFont="true" applyBorder="true" applyAlignment="true" applyProtection="false">
      <alignment horizontal="general" vertical="center" textRotation="0" wrapText="false" indent="0" shrinkToFit="false"/>
      <protection locked="true" hidden="false"/>
    </xf>
    <xf numFmtId="164" fontId="9" fillId="2" borderId="1" xfId="21" applyFont="true" applyBorder="true" applyAlignment="true" applyProtection="false">
      <alignment horizontal="left" vertical="center" textRotation="0" wrapText="true" indent="0" shrinkToFit="false"/>
      <protection locked="true" hidden="false"/>
    </xf>
    <xf numFmtId="165" fontId="9" fillId="2" borderId="1" xfId="21" applyFont="true" applyBorder="true" applyAlignment="true" applyProtection="false">
      <alignment horizontal="left" vertical="center" textRotation="0" wrapText="true" indent="0" shrinkToFit="false"/>
      <protection locked="true" hidden="false"/>
    </xf>
    <xf numFmtId="164" fontId="25" fillId="3" borderId="0" xfId="21" applyFont="true" applyBorder="false" applyAlignment="true" applyProtection="false">
      <alignment horizontal="center" vertical="center" textRotation="0" wrapText="true" indent="0" shrinkToFit="false"/>
      <protection locked="true" hidden="false"/>
    </xf>
    <xf numFmtId="164" fontId="12" fillId="0" borderId="1" xfId="21" applyFont="true" applyBorder="true" applyAlignment="true" applyProtection="false">
      <alignment horizontal="center" vertical="center" textRotation="0" wrapText="true" indent="0" shrinkToFit="false"/>
      <protection locked="true" hidden="false"/>
    </xf>
    <xf numFmtId="164" fontId="9" fillId="2" borderId="1" xfId="21" applyFont="true" applyBorder="true" applyAlignment="true" applyProtection="false">
      <alignment horizontal="center" vertical="center" textRotation="0" wrapText="true" indent="0" shrinkToFit="false"/>
      <protection locked="true" hidden="false"/>
    </xf>
    <xf numFmtId="168" fontId="9" fillId="2" borderId="1" xfId="21" applyFont="true" applyBorder="true" applyAlignment="true" applyProtection="false">
      <alignment horizontal="center" vertical="center" textRotation="0" wrapText="true" indent="0" shrinkToFit="false"/>
      <protection locked="true" hidden="false"/>
    </xf>
    <xf numFmtId="168" fontId="8" fillId="28" borderId="1" xfId="21" applyFont="true" applyBorder="true" applyAlignment="true" applyProtection="false">
      <alignment horizontal="center" vertical="center" textRotation="0" wrapText="true" indent="0" shrinkToFit="false"/>
      <protection locked="true" hidden="false"/>
    </xf>
    <xf numFmtId="171" fontId="9" fillId="28" borderId="1" xfId="21" applyFont="true" applyBorder="true" applyAlignment="true" applyProtection="false">
      <alignment horizontal="center" vertical="center" textRotation="0" wrapText="true" indent="0" shrinkToFit="false"/>
      <protection locked="true" hidden="false"/>
    </xf>
    <xf numFmtId="164" fontId="9" fillId="4" borderId="1" xfId="21" applyFont="true" applyBorder="true" applyAlignment="true" applyProtection="false">
      <alignment horizontal="center" vertical="center" textRotation="0" wrapText="true" indent="0" shrinkToFit="false"/>
      <protection locked="true" hidden="false"/>
    </xf>
    <xf numFmtId="168" fontId="25" fillId="30" borderId="0" xfId="21" applyFont="true" applyBorder="true" applyAlignment="true" applyProtection="false">
      <alignment horizontal="center" vertical="center" textRotation="0" wrapText="false" indent="0" shrinkToFit="false"/>
      <protection locked="true" hidden="false"/>
    </xf>
    <xf numFmtId="168" fontId="25" fillId="30" borderId="0" xfId="21" applyFont="true" applyBorder="false" applyAlignment="true" applyProtection="false">
      <alignment horizontal="center" vertical="center" textRotation="0" wrapText="false" indent="0" shrinkToFit="false"/>
      <protection locked="true" hidden="false"/>
    </xf>
    <xf numFmtId="164" fontId="32" fillId="3" borderId="0" xfId="21" applyFont="true" applyBorder="true" applyAlignment="true" applyProtection="false">
      <alignment horizontal="center" vertical="center" textRotation="0" wrapText="false" indent="0" shrinkToFit="false"/>
      <protection locked="true" hidden="false"/>
    </xf>
    <xf numFmtId="164" fontId="28" fillId="3" borderId="1" xfId="21" applyFont="true" applyBorder="true" applyAlignment="true" applyProtection="false">
      <alignment horizontal="center" vertical="center" textRotation="0" wrapText="false" indent="0" shrinkToFit="false"/>
      <protection locked="true" hidden="false"/>
    </xf>
    <xf numFmtId="164" fontId="34" fillId="0" borderId="1" xfId="21" applyFont="true" applyBorder="true" applyAlignment="true" applyProtection="false">
      <alignment horizontal="left" vertical="center" textRotation="0" wrapText="true" indent="0" shrinkToFit="false"/>
      <protection locked="true" hidden="false"/>
    </xf>
    <xf numFmtId="164" fontId="27" fillId="0" borderId="1" xfId="21" applyFont="true" applyBorder="true" applyAlignment="true" applyProtection="false">
      <alignment horizontal="left" vertical="center" textRotation="0" wrapText="true" indent="0" shrinkToFit="false"/>
      <protection locked="true" hidden="false"/>
    </xf>
    <xf numFmtId="164" fontId="35" fillId="3" borderId="1" xfId="21" applyFont="true" applyBorder="true" applyAlignment="true" applyProtection="false">
      <alignment horizontal="general" vertical="center" textRotation="0" wrapText="false" indent="0" shrinkToFit="false"/>
      <protection locked="true" hidden="false"/>
    </xf>
    <xf numFmtId="165" fontId="27" fillId="0" borderId="1" xfId="21" applyFont="true" applyBorder="true" applyAlignment="true" applyProtection="false">
      <alignment horizontal="general" vertical="center" textRotation="0" wrapText="true" indent="0" shrinkToFit="false"/>
      <protection locked="true" hidden="false"/>
    </xf>
    <xf numFmtId="164" fontId="36" fillId="3" borderId="1" xfId="21" applyFont="true" applyBorder="true" applyAlignment="true" applyProtection="false">
      <alignment horizontal="center" vertical="center" textRotation="0" wrapText="true" indent="0" shrinkToFit="false"/>
      <protection locked="true" hidden="false"/>
    </xf>
    <xf numFmtId="168" fontId="12" fillId="2" borderId="1" xfId="21" applyFont="true" applyBorder="true" applyAlignment="true" applyProtection="false">
      <alignment horizontal="center" vertical="center" textRotation="0" wrapText="true" indent="0" shrinkToFit="false"/>
      <protection locked="true" hidden="false"/>
    </xf>
    <xf numFmtId="168" fontId="11" fillId="28" borderId="1" xfId="21" applyFont="true" applyBorder="true" applyAlignment="true" applyProtection="false">
      <alignment horizontal="center" vertical="center" textRotation="0" wrapText="true" indent="0" shrinkToFit="false"/>
      <protection locked="true" hidden="false"/>
    </xf>
    <xf numFmtId="164" fontId="12" fillId="4" borderId="1" xfId="21" applyFont="true" applyBorder="true" applyAlignment="true" applyProtection="false">
      <alignment horizontal="center" vertical="center" textRotation="0" wrapText="true" indent="0" shrinkToFit="false"/>
      <protection locked="true" hidden="false"/>
    </xf>
    <xf numFmtId="168" fontId="28" fillId="30" borderId="0" xfId="21" applyFont="true" applyBorder="true" applyAlignment="true" applyProtection="false">
      <alignment horizontal="center" vertical="center" textRotation="0" wrapText="false" indent="0" shrinkToFit="false"/>
      <protection locked="true" hidden="false"/>
    </xf>
    <xf numFmtId="168" fontId="28" fillId="30" borderId="0" xfId="21" applyFont="true" applyBorder="false" applyAlignment="true" applyProtection="false">
      <alignment horizontal="center" vertical="center" textRotation="0" wrapText="false" indent="0" shrinkToFit="false"/>
      <protection locked="true" hidden="false"/>
    </xf>
    <xf numFmtId="164" fontId="13" fillId="0" borderId="0" xfId="22" applyFont="true" applyBorder="false" applyAlignment="true" applyProtection="false">
      <alignment horizontal="center" vertical="center" textRotation="0" wrapText="true" indent="0" shrinkToFit="false"/>
      <protection locked="true" hidden="false"/>
    </xf>
    <xf numFmtId="164" fontId="10" fillId="3" borderId="0" xfId="22" applyFont="true" applyBorder="true" applyAlignment="true" applyProtection="false">
      <alignment horizontal="center" vertical="center" textRotation="0" wrapText="true" indent="0" shrinkToFit="false"/>
      <protection locked="true" hidden="false"/>
    </xf>
    <xf numFmtId="164" fontId="11" fillId="0" borderId="1" xfId="22" applyFont="true" applyBorder="true" applyAlignment="true" applyProtection="false">
      <alignment horizontal="left" vertical="center" textRotation="0" wrapText="true" indent="0" shrinkToFit="false"/>
      <protection locked="true" hidden="false"/>
    </xf>
    <xf numFmtId="164" fontId="12" fillId="0" borderId="1" xfId="22" applyFont="true" applyBorder="true" applyAlignment="true" applyProtection="false">
      <alignment horizontal="left" vertical="center" textRotation="0" wrapText="true" indent="0" shrinkToFit="false"/>
      <protection locked="true" hidden="false"/>
    </xf>
    <xf numFmtId="165" fontId="12" fillId="0" borderId="1" xfId="22" applyFont="true" applyBorder="true" applyAlignment="true" applyProtection="false">
      <alignment horizontal="left" vertical="center" textRotation="0" wrapText="true" indent="0" shrinkToFit="false"/>
      <protection locked="true" hidden="false"/>
    </xf>
    <xf numFmtId="164" fontId="37" fillId="0" borderId="1" xfId="22" applyFont="true" applyBorder="true" applyAlignment="true" applyProtection="false">
      <alignment horizontal="center" vertical="center" textRotation="0" wrapText="true" indent="0" shrinkToFit="false"/>
      <protection locked="true" hidden="false"/>
    </xf>
    <xf numFmtId="164" fontId="13" fillId="0" borderId="1" xfId="22" applyFont="true" applyBorder="true" applyAlignment="true" applyProtection="false">
      <alignment horizontal="center" vertical="center" textRotation="0" wrapText="true" indent="0" shrinkToFit="false"/>
      <protection locked="true" hidden="false"/>
    </xf>
    <xf numFmtId="164" fontId="38" fillId="0" borderId="1" xfId="22" applyFont="true" applyBorder="true" applyAlignment="true" applyProtection="false">
      <alignment horizontal="center" vertical="center" textRotation="0" wrapText="true" indent="0" shrinkToFit="false"/>
      <protection locked="true" hidden="false"/>
    </xf>
    <xf numFmtId="164" fontId="39" fillId="6" borderId="1" xfId="22" applyFont="true" applyBorder="true" applyAlignment="true" applyProtection="false">
      <alignment horizontal="center" vertical="center" textRotation="0" wrapText="true" indent="0" shrinkToFit="false"/>
      <protection locked="true" hidden="false"/>
    </xf>
    <xf numFmtId="164" fontId="27" fillId="0" borderId="1" xfId="22" applyFont="true" applyBorder="true" applyAlignment="true" applyProtection="false">
      <alignment horizontal="center" vertical="center" textRotation="0" wrapText="true" indent="0" shrinkToFit="false"/>
      <protection locked="true" hidden="false"/>
    </xf>
    <xf numFmtId="164" fontId="28" fillId="3" borderId="1" xfId="22" applyFont="true" applyBorder="true" applyAlignment="true" applyProtection="false">
      <alignment horizontal="center" vertical="center" textRotation="0" wrapText="true" indent="0" shrinkToFit="false"/>
      <protection locked="true" hidden="false"/>
    </xf>
    <xf numFmtId="164" fontId="40" fillId="0" borderId="1" xfId="22" applyFont="true" applyBorder="true" applyAlignment="true" applyProtection="false">
      <alignment horizontal="center" vertical="center" textRotation="0" wrapText="true" indent="0" shrinkToFit="false"/>
      <protection locked="true" hidden="false"/>
    </xf>
    <xf numFmtId="168" fontId="40" fillId="0" borderId="1" xfId="22" applyFont="true" applyBorder="true" applyAlignment="true" applyProtection="false">
      <alignment horizontal="center" vertical="center" textRotation="0" wrapText="true" indent="0" shrinkToFit="false"/>
      <protection locked="true" hidden="false"/>
    </xf>
    <xf numFmtId="168" fontId="12" fillId="0" borderId="1" xfId="0" applyFont="true" applyBorder="true" applyAlignment="true" applyProtection="false">
      <alignment horizontal="center" vertical="bottom" textRotation="0" wrapText="true" indent="0" shrinkToFit="false"/>
      <protection locked="true" hidden="false"/>
    </xf>
    <xf numFmtId="168" fontId="27" fillId="0" borderId="1" xfId="22" applyFont="true" applyBorder="true" applyAlignment="true" applyProtection="false">
      <alignment horizontal="center" vertical="center" textRotation="0" wrapText="true" indent="0" shrinkToFit="false"/>
      <protection locked="true" hidden="false"/>
    </xf>
    <xf numFmtId="168" fontId="28" fillId="30" borderId="0" xfId="21" applyFont="true" applyBorder="true" applyAlignment="true" applyProtection="false">
      <alignment horizontal="center" vertical="center" textRotation="0" wrapText="true" indent="0" shrinkToFit="false"/>
      <protection locked="true" hidden="false"/>
    </xf>
    <xf numFmtId="169" fontId="27" fillId="0" borderId="0" xfId="21" applyFont="true" applyBorder="false" applyAlignment="false" applyProtection="false">
      <alignment horizontal="general" vertical="bottom" textRotation="0" wrapText="false" indent="0" shrinkToFit="false"/>
      <protection locked="true" hidden="false"/>
    </xf>
    <xf numFmtId="164" fontId="38" fillId="0" borderId="0" xfId="21" applyFont="true" applyBorder="false" applyAlignment="true" applyProtection="false">
      <alignment horizontal="left" vertical="bottom" textRotation="0" wrapText="true" indent="0" shrinkToFit="false"/>
      <protection locked="true" hidden="false"/>
    </xf>
    <xf numFmtId="164" fontId="27" fillId="0" borderId="0" xfId="21" applyFont="true" applyBorder="false" applyAlignment="true" applyProtection="false">
      <alignment horizontal="left" vertical="bottom" textRotation="0" wrapText="true" indent="0" shrinkToFit="false"/>
      <protection locked="true" hidden="false"/>
    </xf>
    <xf numFmtId="164" fontId="32" fillId="3" borderId="21" xfId="21" applyFont="true" applyBorder="true" applyAlignment="true" applyProtection="false">
      <alignment horizontal="center" vertical="center" textRotation="0" wrapText="false" indent="0" shrinkToFit="false"/>
      <protection locked="true" hidden="false"/>
    </xf>
    <xf numFmtId="165" fontId="12" fillId="0" borderId="1" xfId="21" applyFont="true" applyBorder="true" applyAlignment="true" applyProtection="false">
      <alignment horizontal="left" vertical="bottom" textRotation="0" wrapText="false" indent="0" shrinkToFit="false"/>
      <protection locked="true" hidden="false"/>
    </xf>
    <xf numFmtId="164" fontId="12" fillId="0" borderId="0" xfId="21" applyFont="true" applyBorder="false" applyAlignment="true" applyProtection="false">
      <alignment horizontal="general" vertical="center" textRotation="0" wrapText="true" indent="0" shrinkToFit="false"/>
      <protection locked="true" hidden="false"/>
    </xf>
    <xf numFmtId="164" fontId="10" fillId="21" borderId="1" xfId="21" applyFont="true" applyBorder="true" applyAlignment="true" applyProtection="false">
      <alignment horizontal="center" vertical="center" textRotation="0" wrapText="true" indent="0" shrinkToFit="false"/>
      <protection locked="true" hidden="false"/>
    </xf>
    <xf numFmtId="164" fontId="12" fillId="0" borderId="1" xfId="21" applyFont="true" applyBorder="true" applyAlignment="true" applyProtection="false">
      <alignment horizontal="right" vertical="center" textRotation="0" wrapText="true" indent="0" shrinkToFit="false"/>
      <protection locked="true" hidden="false"/>
    </xf>
    <xf numFmtId="168" fontId="11" fillId="0" borderId="1" xfId="21" applyFont="true" applyBorder="true" applyAlignment="true" applyProtection="false">
      <alignment horizontal="center" vertical="center" textRotation="0" wrapText="true" indent="0" shrinkToFit="false"/>
      <protection locked="true" hidden="false"/>
    </xf>
    <xf numFmtId="164" fontId="11" fillId="0" borderId="1" xfId="21" applyFont="true" applyBorder="true" applyAlignment="true" applyProtection="false">
      <alignment horizontal="center" vertical="center" textRotation="0" wrapText="true" indent="0" shrinkToFit="false"/>
      <protection locked="true" hidden="false"/>
    </xf>
    <xf numFmtId="164" fontId="11" fillId="8" borderId="1" xfId="21" applyFont="true" applyBorder="true" applyAlignment="true" applyProtection="false">
      <alignment horizontal="center" vertical="center" textRotation="0" wrapText="true" indent="0" shrinkToFit="false"/>
      <protection locked="true" hidden="false"/>
    </xf>
    <xf numFmtId="164" fontId="11" fillId="8" borderId="1" xfId="21" applyFont="true" applyBorder="true" applyAlignment="true" applyProtection="false">
      <alignment horizontal="right" vertical="center" textRotation="0" wrapText="true" indent="0" shrinkToFit="false"/>
      <protection locked="true" hidden="false"/>
    </xf>
    <xf numFmtId="168" fontId="12" fillId="0" borderId="1" xfId="21" applyFont="true" applyBorder="true" applyAlignment="true" applyProtection="false">
      <alignment horizontal="center" vertical="center" textRotation="0" wrapText="true" indent="0" shrinkToFit="false"/>
      <protection locked="true" hidden="false"/>
    </xf>
    <xf numFmtId="173" fontId="12" fillId="0" borderId="1" xfId="21" applyFont="true" applyBorder="true" applyAlignment="true" applyProtection="false">
      <alignment horizontal="center" vertical="center" textRotation="0" wrapText="true" indent="0" shrinkToFit="false"/>
      <protection locked="true" hidden="false"/>
    </xf>
    <xf numFmtId="173" fontId="11" fillId="8" borderId="1" xfId="21" applyFont="true" applyBorder="true" applyAlignment="true" applyProtection="false">
      <alignment horizontal="center" vertical="center" textRotation="0" wrapText="true" indent="0" shrinkToFit="false"/>
      <protection locked="true" hidden="false"/>
    </xf>
    <xf numFmtId="173" fontId="38" fillId="8" borderId="1" xfId="21" applyFont="true" applyBorder="true" applyAlignment="true" applyProtection="false">
      <alignment horizontal="center" vertical="center" textRotation="0" wrapText="true" indent="0" shrinkToFit="false"/>
      <protection locked="true" hidden="false"/>
    </xf>
    <xf numFmtId="164" fontId="41" fillId="11" borderId="0" xfId="0" applyFont="true" applyBorder="false" applyAlignment="true" applyProtection="false">
      <alignment horizontal="center" vertical="center" textRotation="0" wrapText="true" indent="0" shrinkToFit="false"/>
      <protection locked="true" hidden="false"/>
    </xf>
    <xf numFmtId="164" fontId="12" fillId="0" borderId="0" xfId="21" applyFont="true" applyBorder="false" applyAlignment="true" applyProtection="false">
      <alignment horizontal="center" vertical="center" textRotation="0" wrapText="true" indent="0" shrinkToFit="false"/>
      <protection locked="true" hidden="false"/>
    </xf>
    <xf numFmtId="164" fontId="42" fillId="3" borderId="1" xfId="0" applyFont="true" applyBorder="true" applyAlignment="true" applyProtection="false">
      <alignment horizontal="center" vertical="center" textRotation="0" wrapText="true" indent="0" shrinkToFit="false"/>
      <protection locked="true" hidden="false"/>
    </xf>
    <xf numFmtId="164" fontId="43" fillId="0" borderId="1" xfId="0" applyFont="true" applyBorder="true" applyAlignment="true" applyProtection="false">
      <alignment horizontal="center" vertical="center" textRotation="0" wrapText="false" indent="0" shrinkToFit="false"/>
      <protection locked="true" hidden="false"/>
    </xf>
    <xf numFmtId="164" fontId="44" fillId="0" borderId="1" xfId="0" applyFont="true" applyBorder="true" applyAlignment="true" applyProtection="false">
      <alignment horizontal="left" vertical="center" textRotation="0" wrapText="true" indent="0" shrinkToFit="false"/>
      <protection locked="true" hidden="false"/>
    </xf>
    <xf numFmtId="165" fontId="44" fillId="0" borderId="1" xfId="0" applyFont="true" applyBorder="true" applyAlignment="true" applyProtection="false">
      <alignment horizontal="left" vertical="center" textRotation="0" wrapText="true" indent="0" shrinkToFit="false"/>
      <protection locked="true" hidden="false"/>
    </xf>
    <xf numFmtId="164" fontId="21" fillId="8" borderId="1" xfId="0" applyFont="true" applyBorder="true" applyAlignment="true" applyProtection="false">
      <alignment horizontal="left" vertical="center" textRotation="0" wrapText="true" indent="0" shrinkToFit="false"/>
      <protection locked="true" hidden="false"/>
    </xf>
    <xf numFmtId="164" fontId="22" fillId="3" borderId="1" xfId="0" applyFont="true" applyBorder="true" applyAlignment="true" applyProtection="false">
      <alignment horizontal="center" vertical="center" textRotation="0" wrapText="true" indent="0" shrinkToFit="false"/>
      <protection locked="true" hidden="false"/>
    </xf>
    <xf numFmtId="164" fontId="23" fillId="0" borderId="1" xfId="0" applyFont="true" applyBorder="true" applyAlignment="true" applyProtection="false">
      <alignment horizontal="center" vertical="center" textRotation="0" wrapText="false" indent="0" shrinkToFit="false"/>
      <protection locked="true" hidden="false"/>
    </xf>
    <xf numFmtId="168" fontId="23" fillId="6" borderId="1" xfId="0" applyFont="true" applyBorder="true" applyAlignment="true" applyProtection="false">
      <alignment horizontal="center" vertical="center" textRotation="0" wrapText="false" indent="0" shrinkToFit="false"/>
      <protection locked="true" hidden="false"/>
    </xf>
    <xf numFmtId="168" fontId="23" fillId="28" borderId="1" xfId="0" applyFont="true" applyBorder="true" applyAlignment="true" applyProtection="false">
      <alignment horizontal="center" vertical="center" textRotation="0" wrapText="false" indent="0" shrinkToFit="false"/>
      <protection locked="true" hidden="false"/>
    </xf>
    <xf numFmtId="164" fontId="45" fillId="0" borderId="1" xfId="0" applyFont="true" applyBorder="true" applyAlignment="true" applyProtection="false">
      <alignment horizontal="left" vertical="center" textRotation="0" wrapText="true" indent="0" shrinkToFit="false"/>
      <protection locked="true" hidden="false"/>
    </xf>
    <xf numFmtId="164" fontId="46" fillId="0" borderId="0" xfId="0" applyFont="true" applyBorder="true" applyAlignment="true" applyProtection="false">
      <alignment horizontal="left" vertical="center" textRotation="0" wrapText="true" indent="0" shrinkToFit="false"/>
      <protection locked="true" hidden="false"/>
    </xf>
    <xf numFmtId="164" fontId="5" fillId="0" borderId="0" xfId="21" applyFont="true" applyBorder="false" applyAlignment="false" applyProtection="false">
      <alignment horizontal="general" vertical="bottom" textRotation="0" wrapText="false" indent="0" shrinkToFit="false"/>
      <protection locked="true" hidden="false"/>
    </xf>
    <xf numFmtId="164" fontId="47" fillId="21" borderId="0" xfId="21" applyFont="true" applyBorder="true" applyAlignment="true" applyProtection="false">
      <alignment horizontal="center" vertical="center" textRotation="0" wrapText="true" indent="0" shrinkToFit="false"/>
      <protection locked="true" hidden="false"/>
    </xf>
    <xf numFmtId="164" fontId="5" fillId="0" borderId="0" xfId="21" applyFont="true" applyBorder="false" applyAlignment="true" applyProtection="false">
      <alignment horizontal="general" vertical="center" textRotation="0" wrapText="true" indent="0" shrinkToFit="false"/>
      <protection locked="true" hidden="false"/>
    </xf>
    <xf numFmtId="164" fontId="48" fillId="8" borderId="0" xfId="21" applyFont="true" applyBorder="false" applyAlignment="true" applyProtection="false">
      <alignment horizontal="center" vertical="center" textRotation="0" wrapText="true" indent="0" shrinkToFit="false"/>
      <protection locked="true" hidden="false"/>
    </xf>
    <xf numFmtId="173" fontId="5" fillId="0" borderId="0" xfId="21" applyFont="true" applyBorder="false" applyAlignment="true" applyProtection="false">
      <alignment horizontal="center" vertical="center" textRotation="0" wrapText="true" indent="0" shrinkToFit="false"/>
      <protection locked="true" hidden="false"/>
    </xf>
    <xf numFmtId="164" fontId="5" fillId="0" borderId="0" xfId="21" applyFont="true" applyBorder="false" applyAlignment="true" applyProtection="false">
      <alignment horizontal="center" vertical="center" textRotation="0" wrapText="true" indent="0" shrinkToFit="false"/>
      <protection locked="true" hidden="false"/>
    </xf>
    <xf numFmtId="164" fontId="47" fillId="21" borderId="0" xfId="21" applyFont="true" applyBorder="false" applyAlignment="true" applyProtection="false">
      <alignment horizontal="center" vertical="center" textRotation="0" wrapText="true" indent="0" shrinkToFit="false"/>
      <protection locked="true" hidden="false"/>
    </xf>
    <xf numFmtId="164" fontId="49" fillId="29" borderId="0" xfId="21" applyFont="true" applyBorder="true" applyAlignment="true" applyProtection="false">
      <alignment horizontal="center" vertical="center" textRotation="0" wrapText="false" indent="0" shrinkToFit="false"/>
      <protection locked="true" hidden="false"/>
    </xf>
    <xf numFmtId="164" fontId="47" fillId="21" borderId="0" xfId="21" applyFont="true" applyBorder="false" applyAlignment="true" applyProtection="false">
      <alignment horizontal="center" vertical="center" textRotation="0" wrapText="false" indent="0" shrinkToFit="false"/>
      <protection locked="true" hidden="false"/>
    </xf>
    <xf numFmtId="164" fontId="5" fillId="6" borderId="0" xfId="21" applyFont="true" applyBorder="false" applyAlignment="true" applyProtection="false">
      <alignment horizontal="center" vertical="bottom" textRotation="0" wrapText="false" indent="0" shrinkToFit="false"/>
      <protection locked="true" hidden="false"/>
    </xf>
    <xf numFmtId="173" fontId="5" fillId="6" borderId="0" xfId="21" applyFont="true" applyBorder="false" applyAlignment="true" applyProtection="false">
      <alignment horizontal="center" vertical="bottom" textRotation="0" wrapText="false" indent="0" shrinkToFit="false"/>
      <protection locked="true" hidden="false"/>
    </xf>
    <xf numFmtId="164" fontId="5" fillId="27" borderId="0" xfId="21" applyFont="true" applyBorder="false" applyAlignment="true" applyProtection="false">
      <alignment horizontal="center" vertical="bottom" textRotation="0" wrapText="false" indent="0" shrinkToFit="false"/>
      <protection locked="true" hidden="false"/>
    </xf>
    <xf numFmtId="164" fontId="5" fillId="22" borderId="0" xfId="21" applyFont="true" applyBorder="false" applyAlignment="true" applyProtection="false">
      <alignment horizontal="general" vertical="bottom" textRotation="0" wrapText="true" indent="0" shrinkToFit="false"/>
      <protection locked="true" hidden="false"/>
    </xf>
    <xf numFmtId="164" fontId="48" fillId="19" borderId="0" xfId="21" applyFont="true" applyBorder="true" applyAlignment="true" applyProtection="false">
      <alignment horizontal="center" vertical="bottom" textRotation="0" wrapText="false" indent="0" shrinkToFit="false"/>
      <protection locked="true" hidden="false"/>
    </xf>
    <xf numFmtId="164" fontId="5" fillId="4" borderId="0" xfId="21" applyFont="true" applyBorder="true" applyAlignment="true" applyProtection="false">
      <alignment horizontal="general" vertical="bottom" textRotation="0" wrapText="true" indent="0" shrinkToFit="false"/>
      <protection locked="true" hidden="false"/>
    </xf>
    <xf numFmtId="173" fontId="23" fillId="6" borderId="1" xfId="0" applyFont="true" applyBorder="true" applyAlignment="true" applyProtection="false">
      <alignment horizontal="center" vertical="center" textRotation="0" wrapText="false" indent="0" shrinkToFit="false"/>
      <protection locked="true" hidden="false"/>
    </xf>
    <xf numFmtId="164" fontId="23" fillId="4" borderId="1" xfId="0" applyFont="true" applyBorder="true" applyAlignment="true" applyProtection="false">
      <alignment horizontal="center" vertical="center" textRotation="0" wrapText="false" indent="0" shrinkToFit="false"/>
      <protection locked="true" hidden="false"/>
    </xf>
    <xf numFmtId="173" fontId="23" fillId="28" borderId="1" xfId="0" applyFont="true" applyBorder="true" applyAlignment="true" applyProtection="false">
      <alignment horizontal="center" vertical="center" textRotation="0" wrapText="false" indent="0" shrinkToFit="false"/>
      <protection locked="true" hidden="false"/>
    </xf>
    <xf numFmtId="164" fontId="21" fillId="27" borderId="1" xfId="0" applyFont="true" applyBorder="true" applyAlignment="true" applyProtection="false">
      <alignment horizontal="center" vertical="center" textRotation="0" wrapText="false" indent="0" shrinkToFit="false"/>
      <protection locked="true" hidden="false"/>
    </xf>
    <xf numFmtId="164" fontId="22" fillId="30" borderId="1" xfId="0" applyFont="true" applyBorder="true" applyAlignment="true" applyProtection="false">
      <alignment horizontal="left" vertical="center" textRotation="0" wrapText="false" indent="0" shrinkToFit="false"/>
      <protection locked="true" hidden="false"/>
    </xf>
    <xf numFmtId="164" fontId="22" fillId="30" borderId="1" xfId="0" applyFont="true" applyBorder="true" applyAlignment="true" applyProtection="false">
      <alignment horizontal="center" vertical="center" textRotation="0" wrapText="false" indent="0" shrinkToFit="false"/>
      <protection locked="true" hidden="false"/>
    </xf>
    <xf numFmtId="168" fontId="22" fillId="30" borderId="1" xfId="0" applyFont="true" applyBorder="true" applyAlignment="true" applyProtection="false">
      <alignment horizontal="center" vertical="center" textRotation="0" wrapText="false" indent="0" shrinkToFit="false"/>
      <protection locked="true" hidden="false"/>
    </xf>
    <xf numFmtId="164" fontId="21" fillId="8" borderId="1" xfId="0" applyFont="true" applyBorder="true" applyAlignment="true" applyProtection="false">
      <alignment horizontal="left" vertical="center" textRotation="0" wrapText="false" indent="0" shrinkToFit="false"/>
      <protection locked="true" hidden="false"/>
    </xf>
    <xf numFmtId="164" fontId="23" fillId="0" borderId="1" xfId="0" applyFont="true" applyBorder="true" applyAlignment="true" applyProtection="false">
      <alignment horizontal="left" vertical="center" textRotation="0" wrapText="false" indent="0" shrinkToFit="false"/>
      <protection locked="true" hidden="false"/>
    </xf>
    <xf numFmtId="168" fontId="21" fillId="19" borderId="1" xfId="0" applyFont="true" applyBorder="true" applyAlignment="true" applyProtection="false">
      <alignment horizontal="center" vertical="center" textRotation="0" wrapText="false" indent="0" shrinkToFit="false"/>
      <protection locked="true" hidden="false"/>
    </xf>
    <xf numFmtId="171" fontId="23" fillId="28" borderId="1" xfId="0" applyFont="true" applyBorder="true" applyAlignment="true" applyProtection="false">
      <alignment horizontal="center" vertical="center" textRotation="0" wrapText="false" indent="0" shrinkToFit="false"/>
      <protection locked="true" hidden="false"/>
    </xf>
    <xf numFmtId="171" fontId="23" fillId="6" borderId="1" xfId="0" applyFont="true" applyBorder="true" applyAlignment="true" applyProtection="false">
      <alignment horizontal="center" vertical="center" textRotation="0" wrapText="false" indent="0" shrinkToFit="false"/>
      <protection locked="true" hidden="false"/>
    </xf>
    <xf numFmtId="171" fontId="22" fillId="30" borderId="1" xfId="0" applyFont="true" applyBorder="true" applyAlignment="true" applyProtection="false">
      <alignment horizontal="center" vertical="center" textRotation="0" wrapText="false" indent="0" shrinkToFit="false"/>
      <protection locked="true" hidden="false"/>
    </xf>
    <xf numFmtId="168" fontId="23" fillId="0" borderId="1" xfId="0" applyFont="true" applyBorder="true" applyAlignment="true" applyProtection="false">
      <alignment horizontal="center" vertical="center" textRotation="0" wrapText="false" indent="0" shrinkToFit="false"/>
      <protection locked="true" hidden="false"/>
    </xf>
    <xf numFmtId="164" fontId="22" fillId="30" borderId="1" xfId="0" applyFont="true" applyBorder="true" applyAlignment="true" applyProtection="false">
      <alignment horizontal="left" vertical="center" textRotation="0" wrapText="true" indent="0" shrinkToFit="false"/>
      <protection locked="true" hidden="false"/>
    </xf>
    <xf numFmtId="164" fontId="0" fillId="0" borderId="0" xfId="0" applyFont="false" applyBorder="false" applyAlignment="true" applyProtection="false">
      <alignment horizontal="left" vertical="center" textRotation="0" wrapText="true" indent="0" shrinkToFit="false"/>
      <protection locked="true" hidden="false"/>
    </xf>
    <xf numFmtId="164" fontId="0" fillId="0" borderId="1" xfId="0" applyFont="false" applyBorder="true" applyAlignment="true" applyProtection="false">
      <alignment horizontal="left" vertical="center" textRotation="0" wrapText="false" indent="0" shrinkToFit="false"/>
      <protection locked="true" hidden="false"/>
    </xf>
    <xf numFmtId="169" fontId="42" fillId="3" borderId="1" xfId="0" applyFont="true" applyBorder="true" applyAlignment="true" applyProtection="false">
      <alignment horizontal="center" vertical="center" textRotation="0" wrapText="true" indent="0" shrinkToFit="false"/>
      <protection locked="true" hidden="false"/>
    </xf>
    <xf numFmtId="169" fontId="43" fillId="0" borderId="1" xfId="0" applyFont="true" applyBorder="true" applyAlignment="true" applyProtection="false">
      <alignment horizontal="center" vertical="center" textRotation="0" wrapText="false" indent="0" shrinkToFit="false"/>
      <protection locked="true" hidden="false"/>
    </xf>
    <xf numFmtId="169" fontId="44" fillId="0" borderId="1" xfId="0" applyFont="true" applyBorder="true" applyAlignment="true" applyProtection="false">
      <alignment horizontal="left" vertical="center" textRotation="0" wrapText="true" indent="0" shrinkToFit="false"/>
      <protection locked="true" hidden="false"/>
    </xf>
    <xf numFmtId="169" fontId="21" fillId="8" borderId="1" xfId="0" applyFont="true" applyBorder="true" applyAlignment="true" applyProtection="false">
      <alignment horizontal="left" vertical="center" textRotation="0" wrapText="true" indent="0" shrinkToFit="false"/>
      <protection locked="true" hidden="false"/>
    </xf>
    <xf numFmtId="169" fontId="21" fillId="8" borderId="1" xfId="0" applyFont="true" applyBorder="true" applyAlignment="true" applyProtection="false">
      <alignment horizontal="left" vertical="center" textRotation="0" wrapText="false" indent="0" shrinkToFit="false"/>
      <protection locked="true" hidden="false"/>
    </xf>
    <xf numFmtId="169" fontId="22" fillId="3" borderId="1" xfId="0" applyFont="true" applyBorder="true" applyAlignment="true" applyProtection="false">
      <alignment horizontal="center" vertical="center" textRotation="0" wrapText="true" indent="0" shrinkToFit="false"/>
      <protection locked="true" hidden="false"/>
    </xf>
    <xf numFmtId="169" fontId="23" fillId="0" borderId="1" xfId="0" applyFont="true" applyBorder="true" applyAlignment="true" applyProtection="false">
      <alignment horizontal="center" vertical="center" textRotation="0" wrapText="false" indent="0" shrinkToFit="false"/>
      <protection locked="true" hidden="false"/>
    </xf>
    <xf numFmtId="169" fontId="23" fillId="0" borderId="1" xfId="0" applyFont="true" applyBorder="true" applyAlignment="true" applyProtection="false">
      <alignment horizontal="left" vertical="center" textRotation="0" wrapText="true" indent="0" shrinkToFit="false"/>
      <protection locked="true" hidden="false"/>
    </xf>
    <xf numFmtId="169" fontId="23" fillId="0" borderId="1" xfId="0" applyFont="true" applyBorder="true" applyAlignment="true" applyProtection="false">
      <alignment horizontal="left" vertical="center" textRotation="0" wrapText="false" indent="0" shrinkToFit="false"/>
      <protection locked="true" hidden="false"/>
    </xf>
    <xf numFmtId="169" fontId="23" fillId="4" borderId="1" xfId="0" applyFont="true" applyBorder="true" applyAlignment="true" applyProtection="false">
      <alignment horizontal="center" vertical="center" textRotation="0" wrapText="false" indent="0" shrinkToFit="false"/>
      <protection locked="true" hidden="false"/>
    </xf>
    <xf numFmtId="168" fontId="23" fillId="31" borderId="1" xfId="0" applyFont="true" applyBorder="true" applyAlignment="true" applyProtection="false">
      <alignment horizontal="center" vertical="center" textRotation="0" wrapText="false" indent="0" shrinkToFit="false"/>
      <protection locked="true" hidden="false"/>
    </xf>
    <xf numFmtId="169" fontId="0" fillId="0" borderId="1" xfId="0" applyFont="false" applyBorder="tru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1" fontId="23" fillId="0" borderId="1" xfId="0" applyFont="true" applyBorder="true" applyAlignment="true" applyProtection="false">
      <alignment horizontal="center" vertical="center" textRotation="0" wrapText="false" indent="0" shrinkToFit="false"/>
      <protection locked="true" hidden="false"/>
    </xf>
    <xf numFmtId="170" fontId="23" fillId="28" borderId="1" xfId="0" applyFont="true" applyBorder="true" applyAlignment="true" applyProtection="false">
      <alignment horizontal="center" vertical="center" textRotation="0" wrapText="false" indent="0" shrinkToFit="false"/>
      <protection locked="true" hidden="false"/>
    </xf>
    <xf numFmtId="170" fontId="23" fillId="31" borderId="1" xfId="0" applyFont="true" applyBorder="true" applyAlignment="true" applyProtection="false">
      <alignment horizontal="center" vertical="center" textRotation="0" wrapText="false" indent="0" shrinkToFit="false"/>
      <protection locked="true" hidden="false"/>
    </xf>
    <xf numFmtId="173" fontId="23" fillId="31" borderId="1" xfId="0" applyFont="true" applyBorder="true" applyAlignment="true" applyProtection="false">
      <alignment horizontal="center" vertical="center" textRotation="0" wrapText="false" indent="0" shrinkToFit="false"/>
      <protection locked="true" hidden="false"/>
    </xf>
    <xf numFmtId="170" fontId="21" fillId="19" borderId="1" xfId="0" applyFont="true" applyBorder="true" applyAlignment="true" applyProtection="false">
      <alignment horizontal="center" vertical="center" textRotation="0" wrapText="fals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s>
  <dxfs count="13">
    <dxf>
      <fill>
        <patternFill patternType="solid">
          <fgColor rgb="FF2F5597"/>
          <bgColor rgb="FF000000"/>
        </patternFill>
      </fill>
    </dxf>
    <dxf>
      <fill>
        <patternFill patternType="solid">
          <fgColor rgb="FFE2F0D9"/>
          <bgColor rgb="FF000000"/>
        </patternFill>
      </fill>
    </dxf>
    <dxf>
      <fill>
        <patternFill patternType="solid">
          <fgColor rgb="FFFFFFFF"/>
          <bgColor rgb="FF000000"/>
        </patternFill>
      </fill>
    </dxf>
    <dxf>
      <fill>
        <patternFill patternType="solid">
          <bgColor rgb="FF000000"/>
        </patternFill>
      </fill>
    </dxf>
    <dxf>
      <font>
        <color rgb="FF7F7F7F"/>
      </font>
      <fill>
        <patternFill>
          <bgColor rgb="FFF2F2F2"/>
        </patternFill>
      </fill>
    </dxf>
    <dxf>
      <font>
        <b val="1"/>
        <color rgb="FF385723"/>
      </font>
      <fill>
        <patternFill>
          <bgColor rgb="FFE2F0D9"/>
        </patternFill>
      </fill>
    </dxf>
    <dxf>
      <font>
        <b val="1"/>
        <color rgb="FF7F6000"/>
      </font>
      <fill>
        <patternFill>
          <bgColor rgb="FFFFF2CC"/>
        </patternFill>
      </fill>
    </dxf>
    <dxf>
      <font>
        <b val="1"/>
        <color rgb="FF385723"/>
      </font>
      <fill>
        <patternFill>
          <bgColor rgb="FFE2F0D9"/>
        </patternFill>
      </fill>
    </dxf>
    <dxf>
      <font>
        <b val="1"/>
        <color rgb="FF7F6000"/>
      </font>
      <fill>
        <patternFill>
          <bgColor rgb="FFFFF2CC"/>
        </patternFill>
      </fill>
    </dxf>
    <dxf>
      <font>
        <color rgb="FF7F7F7F"/>
      </font>
      <fill>
        <patternFill>
          <bgColor rgb="FFF2F2F2"/>
        </patternFill>
      </fill>
    </dxf>
    <dxf>
      <font>
        <b val="1"/>
        <color rgb="FF385723"/>
      </font>
      <fill>
        <patternFill>
          <bgColor rgb="FFE2F0D9"/>
        </patternFill>
      </fill>
    </dxf>
    <dxf>
      <font>
        <b val="1"/>
        <color rgb="FF7F6000"/>
      </font>
      <fill>
        <patternFill>
          <bgColor rgb="FFFFF2CC"/>
        </patternFill>
      </fill>
    </dxf>
    <dxf>
      <font>
        <color rgb="FF7F7F7F"/>
      </font>
      <fill>
        <patternFill>
          <bgColor rgb="FFF2F2F2"/>
        </patternFill>
      </fill>
    </dxf>
  </dxfs>
  <colors>
    <indexedColors>
      <rgbColor rgb="FF000000"/>
      <rgbColor rgb="FFFFFFFF"/>
      <rgbColor rgb="FFC00000"/>
      <rgbColor rgb="FF00FF00"/>
      <rgbColor rgb="FF0000FF"/>
      <rgbColor rgb="FFFFFF00"/>
      <rgbColor rgb="FFFF00FF"/>
      <rgbColor rgb="FFEAF4FB"/>
      <rgbColor rgb="FF800000"/>
      <rgbColor rgb="FF008000"/>
      <rgbColor rgb="FF000080"/>
      <rgbColor rgb="FF7F6000"/>
      <rgbColor rgb="FF800080"/>
      <rgbColor rgb="FF1F4E78"/>
      <rgbColor rgb="FFBFBFBF"/>
      <rgbColor rgb="FF7F7F7F"/>
      <rgbColor rgb="FF5B9BD5"/>
      <rgbColor rgb="FF993366"/>
      <rgbColor rgb="FFFCF6E0"/>
      <rgbColor rgb="FFD9EAF7"/>
      <rgbColor rgb="FF660066"/>
      <rgbColor rgb="FFDEEBF7"/>
      <rgbColor rgb="FF0070C0"/>
      <rgbColor rgb="FFD9D9D9"/>
      <rgbColor rgb="FF000080"/>
      <rgbColor rgb="FFFF00FF"/>
      <rgbColor rgb="FFFBECC9"/>
      <rgbColor rgb="FFF0F7E8"/>
      <rgbColor rgb="FF800080"/>
      <rgbColor rgb="FF800000"/>
      <rgbColor rgb="FF008080"/>
      <rgbColor rgb="FF0000FF"/>
      <rgbColor rgb="FF00CCFF"/>
      <rgbColor rgb="FFDDEBF7"/>
      <rgbColor rgb="FFE2F0D9"/>
      <rgbColor rgb="FFFFE699"/>
      <rgbColor rgb="FFC5E0B4"/>
      <rgbColor rgb="FFD9E1F2"/>
      <rgbColor rgb="FFE4DFEC"/>
      <rgbColor rgb="FFF4B183"/>
      <rgbColor rgb="FF3366FF"/>
      <rgbColor rgb="FFEAF3F8"/>
      <rgbColor rgb="FF92D050"/>
      <rgbColor rgb="FFFFF2CC"/>
      <rgbColor rgb="FFF2F2F2"/>
      <rgbColor rgb="FFFF6600"/>
      <rgbColor rgb="FF2F5597"/>
      <rgbColor rgb="FFAFABAB"/>
      <rgbColor rgb="FF17365D"/>
      <rgbColor rgb="FF339966"/>
      <rgbColor rgb="FF0B1F2A"/>
      <rgbColor rgb="FF385723"/>
      <rgbColor rgb="FF993300"/>
      <rgbColor rgb="FF993366"/>
      <rgbColor rgb="FF305496"/>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sharedStrings" Target="sharedStrings.xml"/>
<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s>
</file>

<file path=xl/tables/table1.xml><?xml version="1.0" encoding="utf-8"?>
<table xmlns="http://schemas.openxmlformats.org/spreadsheetml/2006/main" id="1" name="TablaDrenajePisoSumideros" displayName="TablaDrenajePisoSumideros" ref="A7:G11" headerRowCount="1" totalsRowCount="0" totalsRowShown="0">
  <tableColumns count="7">
    <tableColumn id="1" name="SECTOR"/>
    <tableColumn id="2" name="TUBERÍA 4&quot; PVC-U&#10;Desagüe Clase Pesada (m)"/>
    <tableColumn id="3" name="SUMIDERO DE 4&quot;&#10;(und)"/>
    <tableColumn id="4" name="CODO 90° x 4&quot;&#10;(und)"/>
    <tableColumn id="5" name="CODO 45° x 4&quot;&#10;(und)"/>
    <tableColumn id="6" name="TEE° x 4&quot;&#10;(und)"/>
    <tableColumn id="7" name="OBSERVACIÓN"/>
  </tableColumns>
</table>
</file>

<file path=xl/theme/theme1.xml><?xml version="1.0" encoding="utf-8"?>
<a:theme xmlns:a="http://schemas.openxmlformats.org/drawingml/2006/main" xmlns:r="http://schemas.openxmlformats.org/officeDocument/2006/relationships" name="Office 2013 - Tema de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1.vml"/>
</Relationships>
</file>

<file path=xl/worksheets/_rels/sheet7.xml.rels><?xml version="1.0" encoding="UTF-8"?>
<Relationships xmlns="http://schemas.openxmlformats.org/package/2006/relationships"><Relationship Id="rId1" Type="http://schemas.openxmlformats.org/officeDocument/2006/relationships/table" Target="../tables/table1.x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4"/>
  <sheetViews>
    <sheetView showFormulas="false" showGridLines="true" showRowColHeaders="true" showZeros="true" rightToLeft="false" tabSelected="false" showOutlineSymbols="true" defaultGridColor="true" view="normal" topLeftCell="A13" colorId="64" zoomScale="130" zoomScaleNormal="130" zoomScalePageLayoutView="130" workbookViewId="0">
      <selection pane="topLeft" activeCell="B41" activeCellId="0" sqref="B41"/>
    </sheetView>
  </sheetViews>
  <sheetFormatPr defaultColWidth="11.54296875" defaultRowHeight="15" zeroHeight="false" outlineLevelRow="0" outlineLevelCol="0"/>
  <cols>
    <col collapsed="false" customWidth="true" hidden="false" outlineLevel="0" max="1" min="1" style="1" width="18.09"/>
    <col collapsed="false" customWidth="true" hidden="false" outlineLevel="0" max="2" min="2" style="1" width="74.09"/>
    <col collapsed="false" customWidth="true" hidden="false" outlineLevel="0" max="3" min="3" style="2" width="19.36"/>
    <col collapsed="false" customWidth="true" hidden="false" outlineLevel="0" max="4" min="4" style="2" width="21.54"/>
    <col collapsed="false" customWidth="false" hidden="false" outlineLevel="0" max="16384" min="5" style="1" width="11.54"/>
  </cols>
  <sheetData>
    <row r="1" customFormat="false" ht="15" hidden="false" customHeight="true" outlineLevel="0" collapsed="false">
      <c r="A1" s="3"/>
      <c r="B1" s="4"/>
      <c r="C1" s="4"/>
      <c r="D1" s="4"/>
      <c r="E1" s="3"/>
    </row>
    <row r="2" customFormat="false" ht="22.5" hidden="false" customHeight="true" outlineLevel="0" collapsed="false">
      <c r="A2" s="5" t="s">
        <v>0</v>
      </c>
      <c r="B2" s="5"/>
      <c r="C2" s="5"/>
      <c r="D2" s="5"/>
    </row>
    <row r="3" customFormat="false" ht="4.5" hidden="true" customHeight="true" outlineLevel="0" collapsed="false">
      <c r="A3" s="6"/>
      <c r="B3" s="6"/>
      <c r="C3" s="6"/>
      <c r="D3" s="6"/>
    </row>
    <row r="4" customFormat="false" ht="21" hidden="false" customHeight="true" outlineLevel="0" collapsed="false">
      <c r="A4" s="7" t="s">
        <v>1</v>
      </c>
      <c r="B4" s="8" t="s">
        <v>2</v>
      </c>
      <c r="C4" s="8"/>
      <c r="D4" s="8"/>
    </row>
    <row r="5" customFormat="false" ht="79.5" hidden="false" customHeight="true" outlineLevel="0" collapsed="false">
      <c r="A5" s="9" t="s">
        <v>3</v>
      </c>
      <c r="B5" s="8" t="s">
        <v>4</v>
      </c>
      <c r="C5" s="8"/>
      <c r="D5" s="8"/>
    </row>
    <row r="6" customFormat="false" ht="18" hidden="false" customHeight="true" outlineLevel="0" collapsed="false">
      <c r="A6" s="7" t="s">
        <v>5</v>
      </c>
      <c r="B6" s="8" t="s">
        <v>6</v>
      </c>
      <c r="C6" s="8"/>
      <c r="D6" s="8"/>
    </row>
    <row r="7" customFormat="false" ht="24.75" hidden="false" customHeight="true" outlineLevel="0" collapsed="false">
      <c r="A7" s="7" t="s">
        <v>7</v>
      </c>
      <c r="B7" s="10" t="n">
        <v>46266</v>
      </c>
      <c r="C7" s="10"/>
      <c r="D7" s="10"/>
    </row>
    <row r="8" customFormat="false" ht="15" hidden="false" customHeight="false" outlineLevel="0" collapsed="false">
      <c r="A8" s="11" t="s">
        <v>8</v>
      </c>
      <c r="B8" s="11" t="s">
        <v>9</v>
      </c>
      <c r="C8" s="11" t="s">
        <v>10</v>
      </c>
      <c r="D8" s="11" t="s">
        <v>11</v>
      </c>
    </row>
    <row r="9" customFormat="false" ht="15" hidden="false" customHeight="false" outlineLevel="0" collapsed="false">
      <c r="A9" s="12" t="s">
        <v>12</v>
      </c>
      <c r="B9" s="12" t="s">
        <v>13</v>
      </c>
      <c r="C9" s="12"/>
      <c r="D9" s="12"/>
    </row>
    <row r="10" customFormat="false" ht="15" hidden="false" customHeight="false" outlineLevel="0" collapsed="false">
      <c r="A10" s="12" t="s">
        <v>14</v>
      </c>
      <c r="B10" s="12" t="s">
        <v>15</v>
      </c>
      <c r="C10" s="12"/>
      <c r="D10" s="12"/>
    </row>
    <row r="11" customFormat="false" ht="15" hidden="false" customHeight="false" outlineLevel="0" collapsed="false">
      <c r="A11" s="13" t="s">
        <v>16</v>
      </c>
      <c r="B11" s="14" t="s">
        <v>17</v>
      </c>
      <c r="C11" s="15" t="s">
        <v>18</v>
      </c>
      <c r="D11" s="16" t="n">
        <f aca="false">+'PLANILLA GENERAL DE METRADOS'!K11</f>
        <v>753.536</v>
      </c>
    </row>
    <row r="12" customFormat="false" ht="15" hidden="false" customHeight="false" outlineLevel="0" collapsed="false">
      <c r="A12" s="13" t="s">
        <v>19</v>
      </c>
      <c r="B12" s="13" t="s">
        <v>20</v>
      </c>
      <c r="C12" s="15" t="s">
        <v>18</v>
      </c>
      <c r="D12" s="16" t="n">
        <f aca="false">+'PLANILLA GENERAL DE METRADOS'!K21</f>
        <v>753.536</v>
      </c>
    </row>
    <row r="13" customFormat="false" ht="15" hidden="false" customHeight="false" outlineLevel="0" collapsed="false">
      <c r="A13" s="12" t="s">
        <v>21</v>
      </c>
      <c r="B13" s="12" t="s">
        <v>22</v>
      </c>
      <c r="C13" s="17"/>
      <c r="D13" s="18"/>
    </row>
    <row r="14" customFormat="false" ht="15" hidden="false" customHeight="false" outlineLevel="0" collapsed="false">
      <c r="A14" s="13" t="s">
        <v>23</v>
      </c>
      <c r="B14" s="13" t="s">
        <v>24</v>
      </c>
      <c r="C14" s="15" t="s">
        <v>25</v>
      </c>
      <c r="D14" s="16" t="n">
        <f aca="false">+'PLANILLA GENERAL DE METRADOS'!K32</f>
        <v>513.90864</v>
      </c>
    </row>
    <row r="15" customFormat="false" ht="15" hidden="false" customHeight="false" outlineLevel="0" collapsed="false">
      <c r="A15" s="13" t="s">
        <v>26</v>
      </c>
      <c r="B15" s="13" t="s">
        <v>27</v>
      </c>
      <c r="C15" s="15" t="s">
        <v>25</v>
      </c>
      <c r="D15" s="16" t="n">
        <f aca="false">+'PLANILLA GENERAL DE METRADOS'!K42</f>
        <v>3.136</v>
      </c>
    </row>
    <row r="16" customFormat="false" ht="15" hidden="false" customHeight="false" outlineLevel="0" collapsed="false">
      <c r="A16" s="13" t="s">
        <v>28</v>
      </c>
      <c r="B16" s="13" t="s">
        <v>29</v>
      </c>
      <c r="C16" s="15" t="s">
        <v>18</v>
      </c>
      <c r="D16" s="16" t="n">
        <f aca="false">+'PLANILLA GENERAL DE METRADOS'!K45</f>
        <v>322.944</v>
      </c>
    </row>
    <row r="17" customFormat="false" ht="15" hidden="false" customHeight="false" outlineLevel="0" collapsed="false">
      <c r="A17" s="13" t="s">
        <v>30</v>
      </c>
      <c r="B17" s="13" t="s">
        <v>847</v>
      </c>
      <c r="C17" s="15" t="s">
        <v>25</v>
      </c>
      <c r="D17" s="16" t="n">
        <f aca="false">+'PLANILLA GENERAL DE METRADOS'!K55</f>
        <v>293.66208</v>
      </c>
    </row>
    <row r="18" customFormat="false" ht="15" hidden="false" customHeight="false" outlineLevel="0" collapsed="false">
      <c r="A18" s="13" t="s">
        <v>32</v>
      </c>
      <c r="B18" s="13" t="s">
        <v>848</v>
      </c>
      <c r="C18" s="15" t="s">
        <v>25</v>
      </c>
      <c r="D18" s="16" t="n">
        <f aca="false">+'PLANILLA GENERAL DE METRADOS'!K65</f>
        <v>264.295872</v>
      </c>
    </row>
    <row r="19" customFormat="false" ht="15" hidden="false" customHeight="false" outlineLevel="0" collapsed="false">
      <c r="A19" s="12" t="s">
        <v>34</v>
      </c>
      <c r="B19" s="12" t="s">
        <v>35</v>
      </c>
      <c r="C19" s="17"/>
      <c r="D19" s="18"/>
    </row>
    <row r="20" customFormat="false" ht="15" hidden="false" customHeight="false" outlineLevel="0" collapsed="false">
      <c r="A20" s="13" t="s">
        <v>36</v>
      </c>
      <c r="B20" s="13" t="s">
        <v>37</v>
      </c>
      <c r="C20" s="15" t="s">
        <v>18</v>
      </c>
      <c r="D20" s="16" t="n">
        <f aca="false">+'PLANILLA GENERAL DE METRADOS'!K69</f>
        <v>322.944</v>
      </c>
    </row>
    <row r="21" customFormat="false" ht="15" hidden="false" customHeight="false" outlineLevel="0" collapsed="false">
      <c r="A21" s="13" t="s">
        <v>38</v>
      </c>
      <c r="B21" s="13" t="s">
        <v>39</v>
      </c>
      <c r="C21" s="15" t="s">
        <v>25</v>
      </c>
      <c r="D21" s="16" t="n">
        <f aca="false">+'PLANILLA GENERAL DE METRADOS'!K79</f>
        <v>3.136</v>
      </c>
    </row>
    <row r="22" customFormat="false" ht="15" hidden="false" customHeight="false" outlineLevel="0" collapsed="false">
      <c r="A22" s="12" t="s">
        <v>40</v>
      </c>
      <c r="B22" s="12" t="s">
        <v>41</v>
      </c>
      <c r="C22" s="17"/>
      <c r="D22" s="18"/>
    </row>
    <row r="23" customFormat="false" ht="15" hidden="false" customHeight="false" outlineLevel="0" collapsed="false">
      <c r="A23" s="13" t="s">
        <v>42</v>
      </c>
      <c r="B23" s="19" t="s">
        <v>43</v>
      </c>
      <c r="C23" s="15"/>
      <c r="D23" s="16"/>
    </row>
    <row r="24" customFormat="false" ht="15" hidden="false" customHeight="false" outlineLevel="0" collapsed="false">
      <c r="A24" s="13" t="s">
        <v>44</v>
      </c>
      <c r="B24" s="13" t="s">
        <v>849</v>
      </c>
      <c r="C24" s="15" t="s">
        <v>25</v>
      </c>
      <c r="D24" s="16" t="n">
        <f aca="false">+'PLANILLA GENERAL DE METRADOS'!K83</f>
        <v>94.1398</v>
      </c>
    </row>
    <row r="25" customFormat="false" ht="15" hidden="false" customHeight="false" outlineLevel="0" collapsed="false">
      <c r="A25" s="13" t="s">
        <v>46</v>
      </c>
      <c r="B25" s="13" t="s">
        <v>850</v>
      </c>
      <c r="C25" s="15" t="s">
        <v>18</v>
      </c>
      <c r="D25" s="16" t="n">
        <f aca="false">+'PLANILLA GENERAL DE METRADOS'!K93</f>
        <v>1245.916</v>
      </c>
    </row>
    <row r="26" customFormat="false" ht="15" hidden="false" customHeight="false" outlineLevel="0" collapsed="false">
      <c r="A26" s="13" t="s">
        <v>48</v>
      </c>
      <c r="B26" s="13" t="s">
        <v>49</v>
      </c>
      <c r="C26" s="15" t="s">
        <v>50</v>
      </c>
      <c r="D26" s="16" t="n">
        <f aca="false">+'PLANILLA GENERAL DE METRADOS'!K103</f>
        <v>3354.729728</v>
      </c>
    </row>
    <row r="27" customFormat="false" ht="15" hidden="false" customHeight="false" outlineLevel="0" collapsed="false">
      <c r="A27" s="13" t="s">
        <v>51</v>
      </c>
      <c r="B27" s="13" t="s">
        <v>52</v>
      </c>
      <c r="C27" s="15" t="s">
        <v>18</v>
      </c>
      <c r="D27" s="16" t="n">
        <f aca="false">+'METRADO DE CURADO'!M27</f>
        <v>801.5833</v>
      </c>
    </row>
    <row r="28" customFormat="false" ht="15" hidden="false" customHeight="false" outlineLevel="0" collapsed="false">
      <c r="A28" s="13" t="s">
        <v>53</v>
      </c>
      <c r="B28" s="19" t="s">
        <v>54</v>
      </c>
      <c r="C28" s="15"/>
      <c r="D28" s="16"/>
    </row>
    <row r="29" customFormat="false" ht="15" hidden="false" customHeight="false" outlineLevel="0" collapsed="false">
      <c r="A29" s="13" t="s">
        <v>55</v>
      </c>
      <c r="B29" s="13" t="s">
        <v>183</v>
      </c>
      <c r="C29" s="15" t="s">
        <v>71</v>
      </c>
      <c r="D29" s="16" t="n">
        <f aca="false">+'PLANILLA GENERAL DE METRADOS'!K108</f>
        <v>373.85</v>
      </c>
    </row>
    <row r="30" customFormat="false" ht="15" hidden="false" customHeight="false" outlineLevel="0" collapsed="false">
      <c r="A30" s="13" t="s">
        <v>58</v>
      </c>
      <c r="B30" s="13" t="s">
        <v>59</v>
      </c>
      <c r="C30" s="15" t="s">
        <v>60</v>
      </c>
      <c r="D30" s="16" t="n">
        <f aca="false">+'PLANILLA GENERAL DE METRADOS'!K109</f>
        <v>18.0</v>
      </c>
    </row>
    <row r="31" customFormat="false" ht="15" hidden="false" customHeight="false" outlineLevel="0" collapsed="false">
      <c r="A31" s="13" t="s">
        <v>61</v>
      </c>
      <c r="B31" s="13" t="s">
        <v>62</v>
      </c>
      <c r="C31" s="15" t="s">
        <v>71</v>
      </c>
      <c r="D31" s="16" t="n">
        <f aca="false">+'PLANILLA GENERAL DE METRADOS'!K110</f>
        <v>252.286876344768</v>
      </c>
    </row>
    <row r="32" customFormat="false" ht="29.85" hidden="false" customHeight="false" outlineLevel="0" collapsed="false">
      <c r="A32" s="13" t="s">
        <v>63</v>
      </c>
      <c r="B32" s="13" t="s">
        <v>64</v>
      </c>
      <c r="C32" s="15" t="s">
        <v>60</v>
      </c>
      <c r="D32" s="16" t="n">
        <f aca="false">+'PLANILLA GENERAL DE METRADOS'!K111</f>
        <v>226.0</v>
      </c>
      <c r="G32" s="0"/>
    </row>
    <row r="33" customFormat="false" ht="15" hidden="false" customHeight="false" outlineLevel="0" collapsed="false">
      <c r="A33" s="12" t="s">
        <v>65</v>
      </c>
      <c r="B33" s="12" t="s">
        <v>66</v>
      </c>
      <c r="C33" s="17"/>
      <c r="D33" s="18"/>
    </row>
    <row r="34" customFormat="false" ht="18" hidden="false" customHeight="true" outlineLevel="0" collapsed="false">
      <c r="A34" s="13" t="s">
        <v>67</v>
      </c>
      <c r="B34" s="19" t="s">
        <v>68</v>
      </c>
      <c r="C34" s="15"/>
      <c r="D34" s="16"/>
    </row>
    <row r="35" customFormat="false" ht="18" hidden="false" customHeight="true" outlineLevel="0" collapsed="false">
      <c r="A35" s="13" t="s">
        <v>69</v>
      </c>
      <c r="B35" s="13" t="s">
        <v>184</v>
      </c>
      <c r="C35" s="15" t="s">
        <v>71</v>
      </c>
      <c r="D35" s="16" t="n">
        <f aca="false">+'PLANILLA GENERAL DE METRADOS'!K115</f>
        <v>408.02</v>
      </c>
    </row>
    <row r="36" customFormat="false" ht="18" hidden="false" customHeight="true" outlineLevel="0" collapsed="false">
      <c r="A36" s="13" t="s">
        <v>72</v>
      </c>
      <c r="B36" s="13" t="s">
        <v>73</v>
      </c>
      <c r="C36" s="15" t="s">
        <v>60</v>
      </c>
      <c r="D36" s="16" t="n">
        <f aca="false">+'PLANILLA GENERAL DE METRADOS'!K116</f>
        <v>56.0</v>
      </c>
    </row>
    <row r="37" customFormat="false" ht="18" hidden="false" customHeight="true" outlineLevel="0" collapsed="false">
      <c r="A37" s="20" t="s">
        <v>74</v>
      </c>
      <c r="B37" s="13" t="s">
        <v>75</v>
      </c>
      <c r="C37" s="15" t="s">
        <v>25</v>
      </c>
      <c r="D37" s="16" t="n">
        <f aca="false">+'PLANILLA GENERAL DE METRADOS'!K117</f>
        <v>2.184</v>
      </c>
    </row>
    <row r="38" customFormat="false" ht="29.85" hidden="false" customHeight="false" outlineLevel="0" collapsed="false">
      <c r="A38" s="20" t="s">
        <v>76</v>
      </c>
      <c r="B38" s="13" t="s">
        <v>77</v>
      </c>
      <c r="C38" s="15" t="s">
        <v>18</v>
      </c>
      <c r="D38" s="16" t="n">
        <f aca="false">+'PLANILLA GENERAL DE METRADOS'!K119</f>
        <v>36.4</v>
      </c>
    </row>
    <row r="39" customFormat="false" ht="29.85" hidden="false" customHeight="false" outlineLevel="0" collapsed="false">
      <c r="A39" s="20" t="s">
        <v>78</v>
      </c>
      <c r="B39" s="13" t="s">
        <v>79</v>
      </c>
      <c r="C39" s="15" t="s">
        <v>50</v>
      </c>
      <c r="D39" s="16" t="n">
        <f aca="false">+'PLANILLA GENERAL DE METRADOS'!K122</f>
        <v>314.2272</v>
      </c>
    </row>
    <row r="40" customFormat="false" ht="18" hidden="false" customHeight="true" outlineLevel="0" collapsed="false">
      <c r="A40" s="13" t="s">
        <v>80</v>
      </c>
      <c r="B40" s="13" t="s">
        <v>81</v>
      </c>
      <c r="C40" s="15" t="s">
        <v>71</v>
      </c>
      <c r="D40" s="16" t="n">
        <f aca="false">+'PLANILLA GENERAL DE METRADOS'!K125</f>
        <v>523.16</v>
      </c>
    </row>
    <row r="41" customFormat="false" ht="18" hidden="false" customHeight="true" outlineLevel="0" collapsed="false">
      <c r="A41" s="13" t="s">
        <v>82</v>
      </c>
      <c r="B41" s="13" t="s">
        <v>83</v>
      </c>
      <c r="C41" s="15" t="s">
        <v>60</v>
      </c>
      <c r="D41" s="16" t="n">
        <f aca="false">+'PLANILLA GENERAL DE METRADOS'!K126</f>
        <v>906.0</v>
      </c>
    </row>
    <row r="42" customFormat="false" ht="18" hidden="false" customHeight="true" outlineLevel="0" collapsed="false">
      <c r="A42" s="13" t="s">
        <v>84</v>
      </c>
      <c r="B42" s="13" t="s">
        <v>85</v>
      </c>
      <c r="C42" s="15" t="s">
        <v>60</v>
      </c>
      <c r="D42" s="16" t="n">
        <f aca="false">+'PLANILLA GENERAL DE METRADOS'!K127</f>
        <v>44.0</v>
      </c>
    </row>
    <row r="43" customFormat="false" ht="31.5" hidden="false" customHeight="true" outlineLevel="0" collapsed="false">
      <c r="A43" s="20" t="s">
        <v>86</v>
      </c>
      <c r="B43" s="13" t="s">
        <v>87</v>
      </c>
      <c r="C43" s="21" t="s">
        <v>60</v>
      </c>
      <c r="D43" s="16" t="n">
        <f aca="false">+'PLANILLA GENERAL DE METRADOS'!K128</f>
        <v>52.0</v>
      </c>
    </row>
    <row r="44" customFormat="false" ht="15" hidden="false" customHeight="false" outlineLevel="0" collapsed="false">
      <c r="A44" s="13" t="s">
        <v>88</v>
      </c>
      <c r="B44" s="19" t="s">
        <v>89</v>
      </c>
      <c r="C44" s="15"/>
      <c r="D44" s="16"/>
    </row>
    <row r="45" customFormat="false" ht="15" hidden="false" customHeight="false" outlineLevel="0" collapsed="false">
      <c r="A45" s="13" t="s">
        <v>90</v>
      </c>
      <c r="B45" s="13" t="s">
        <v>851</v>
      </c>
      <c r="C45" s="15" t="s">
        <v>71</v>
      </c>
      <c r="D45" s="16" t="n">
        <f aca="false">+'PLANILLA GENERAL DE METRADOS'!K131</f>
        <v>92.08</v>
      </c>
    </row>
    <row r="46" customFormat="false" ht="15" hidden="false" customHeight="false" outlineLevel="0" collapsed="false">
      <c r="A46" s="13" t="s">
        <v>92</v>
      </c>
      <c r="B46" s="13" t="s">
        <v>93</v>
      </c>
      <c r="C46" s="15" t="s">
        <v>60</v>
      </c>
      <c r="D46" s="16" t="n">
        <f aca="false">+'PLANILLA GENERAL DE METRADOS'!K132</f>
        <v>16.0</v>
      </c>
    </row>
    <row r="47" customFormat="false" ht="15" hidden="false" customHeight="false" outlineLevel="0" collapsed="false">
      <c r="A47" s="13" t="s">
        <v>94</v>
      </c>
      <c r="B47" s="13" t="s">
        <v>101</v>
      </c>
      <c r="C47" s="15" t="s">
        <v>60</v>
      </c>
      <c r="D47" s="16" t="n">
        <f aca="false">+'PLANILLA GENERAL DE METRADOS'!K133</f>
        <v>13.0</v>
      </c>
    </row>
    <row r="48" customFormat="false" ht="15" hidden="false" customHeight="false" outlineLevel="0" collapsed="false">
      <c r="A48" s="13" t="s">
        <v>96</v>
      </c>
      <c r="B48" s="13" t="s">
        <v>852</v>
      </c>
      <c r="C48" s="15" t="s">
        <v>60</v>
      </c>
      <c r="D48" s="16" t="n">
        <f aca="false">+'PLANILLA GENERAL DE METRADOS'!K134</f>
        <v>3.0</v>
      </c>
    </row>
    <row r="49" customFormat="false" ht="15" hidden="false" customHeight="false" outlineLevel="0" collapsed="false">
      <c r="A49" s="13" t="s">
        <v>98</v>
      </c>
      <c r="B49" s="19" t="s">
        <v>99</v>
      </c>
      <c r="C49" s="15"/>
      <c r="D49" s="16"/>
    </row>
    <row r="50" customFormat="false" ht="15" hidden="false" customHeight="false" outlineLevel="0" collapsed="false">
      <c r="A50" s="13" t="s">
        <v>100</v>
      </c>
      <c r="B50" s="13" t="s">
        <v>101</v>
      </c>
      <c r="C50" s="15" t="s">
        <v>60</v>
      </c>
      <c r="D50" s="16" t="n">
        <f aca="false">+'PLANILLA GENERAL DE METRADOS'!K137</f>
        <v>168.0</v>
      </c>
    </row>
    <row r="51" customFormat="false" ht="15" hidden="false" customHeight="false" outlineLevel="0" collapsed="false">
      <c r="A51" s="13" t="s">
        <v>102</v>
      </c>
      <c r="B51" s="13" t="s">
        <v>103</v>
      </c>
      <c r="C51" s="15" t="s">
        <v>60</v>
      </c>
      <c r="D51" s="16" t="n">
        <f aca="false">+'PLANILLA GENERAL DE METRADOS'!K138</f>
        <v>100.0</v>
      </c>
    </row>
    <row r="52" customFormat="false" ht="15" hidden="false" customHeight="false" outlineLevel="0" collapsed="false">
      <c r="A52" s="13" t="s">
        <v>104</v>
      </c>
      <c r="B52" s="13" t="s">
        <v>105</v>
      </c>
      <c r="C52" s="15" t="s">
        <v>60</v>
      </c>
      <c r="D52" s="16" t="n">
        <f aca="false">+'PLANILLA GENERAL DE METRADOS'!K139</f>
        <v>80.0</v>
      </c>
    </row>
    <row r="53" customFormat="false" ht="30.75" hidden="false" customHeight="true" outlineLevel="0" collapsed="false">
      <c r="A53" s="12" t="s">
        <v>106</v>
      </c>
      <c r="B53" s="12" t="s">
        <v>107</v>
      </c>
      <c r="C53" s="12"/>
      <c r="D53" s="12"/>
    </row>
    <row r="54" customFormat="false" ht="15" hidden="false" customHeight="false" outlineLevel="0" collapsed="false">
      <c r="A54" s="12" t="s">
        <v>108</v>
      </c>
      <c r="B54" s="12" t="s">
        <v>15</v>
      </c>
      <c r="C54" s="12"/>
      <c r="D54" s="12"/>
    </row>
    <row r="55" customFormat="false" ht="15" hidden="false" customHeight="false" outlineLevel="0" collapsed="false">
      <c r="A55" s="13" t="s">
        <v>109</v>
      </c>
      <c r="B55" s="14" t="s">
        <v>17</v>
      </c>
      <c r="C55" s="15" t="s">
        <v>18</v>
      </c>
      <c r="D55" s="16" t="n">
        <f aca="false">+'PLANILLA GENERAL DE METRADOS'!K143</f>
        <v>147.406</v>
      </c>
    </row>
    <row r="56" customFormat="false" ht="15" hidden="false" customHeight="false" outlineLevel="0" collapsed="false">
      <c r="A56" s="13" t="s">
        <v>110</v>
      </c>
      <c r="B56" s="14" t="s">
        <v>20</v>
      </c>
      <c r="C56" s="15" t="s">
        <v>18</v>
      </c>
      <c r="D56" s="16" t="n">
        <f aca="false">+'PLANILLA GENERAL DE METRADOS'!K147</f>
        <v>147.406</v>
      </c>
    </row>
    <row r="57" customFormat="false" ht="15" hidden="false" customHeight="false" outlineLevel="0" collapsed="false">
      <c r="A57" s="12" t="s">
        <v>111</v>
      </c>
      <c r="B57" s="12" t="s">
        <v>22</v>
      </c>
      <c r="C57" s="12"/>
      <c r="D57" s="12"/>
    </row>
    <row r="58" customFormat="false" ht="15" hidden="false" customHeight="false" outlineLevel="0" collapsed="false">
      <c r="A58" s="13" t="s">
        <v>112</v>
      </c>
      <c r="B58" s="14" t="s">
        <v>853</v>
      </c>
      <c r="C58" s="15" t="s">
        <v>25</v>
      </c>
      <c r="D58" s="16" t="n">
        <f aca="false">+'PLANILLA GENERAL DE METRADOS'!K152</f>
        <v>130.622324</v>
      </c>
    </row>
    <row r="59" customFormat="false" ht="15" hidden="false" customHeight="false" outlineLevel="0" collapsed="false">
      <c r="A59" s="13" t="s">
        <v>114</v>
      </c>
      <c r="B59" s="14" t="s">
        <v>29</v>
      </c>
      <c r="C59" s="15" t="s">
        <v>18</v>
      </c>
      <c r="D59" s="16" t="n">
        <f aca="false">+'PLANILLA GENERAL DE METRADOS'!K156</f>
        <v>105.29</v>
      </c>
    </row>
    <row r="60" customFormat="false" ht="30.75" hidden="false" customHeight="true" outlineLevel="0" collapsed="false">
      <c r="A60" s="20" t="s">
        <v>115</v>
      </c>
      <c r="B60" s="14" t="s">
        <v>847</v>
      </c>
      <c r="C60" s="15" t="s">
        <v>25</v>
      </c>
      <c r="D60" s="16" t="n">
        <f aca="false">+'PLANILLA GENERAL DE METRADOS'!K160</f>
        <v>91.51313</v>
      </c>
    </row>
    <row r="61" customFormat="false" ht="15" hidden="false" customHeight="false" outlineLevel="0" collapsed="false">
      <c r="A61" s="13" t="s">
        <v>117</v>
      </c>
      <c r="B61" s="14" t="s">
        <v>848</v>
      </c>
      <c r="C61" s="15" t="s">
        <v>25</v>
      </c>
      <c r="D61" s="16" t="n">
        <f aca="false">+'PLANILLA GENERAL DE METRADOS'!K167</f>
        <v>46.9310328</v>
      </c>
    </row>
    <row r="62" customFormat="false" ht="15" hidden="false" customHeight="false" outlineLevel="0" collapsed="false">
      <c r="A62" s="12" t="s">
        <v>118</v>
      </c>
      <c r="B62" s="12" t="s">
        <v>35</v>
      </c>
      <c r="C62" s="12"/>
      <c r="D62" s="12"/>
    </row>
    <row r="63" customFormat="false" ht="15" hidden="false" customHeight="false" outlineLevel="0" collapsed="false">
      <c r="A63" s="13" t="s">
        <v>119</v>
      </c>
      <c r="B63" s="14" t="s">
        <v>854</v>
      </c>
      <c r="C63" s="15" t="s">
        <v>18</v>
      </c>
      <c r="D63" s="16" t="n">
        <f aca="false">+'PLANILLA GENERAL DE METRADOS'!K171</f>
        <v>105.29</v>
      </c>
    </row>
    <row r="64" customFormat="false" ht="15" hidden="false" customHeight="false" outlineLevel="0" collapsed="false">
      <c r="A64" s="12" t="s">
        <v>121</v>
      </c>
      <c r="B64" s="12" t="s">
        <v>122</v>
      </c>
      <c r="C64" s="12"/>
      <c r="D64" s="12"/>
    </row>
    <row r="65" customFormat="false" ht="15" hidden="false" customHeight="false" outlineLevel="0" collapsed="false">
      <c r="A65" s="13" t="s">
        <v>123</v>
      </c>
      <c r="B65" s="14" t="s">
        <v>855</v>
      </c>
      <c r="C65" s="15" t="s">
        <v>25</v>
      </c>
      <c r="D65" s="16" t="n">
        <f aca="false">+'PLANILLA GENERAL DE METRADOS'!K176</f>
        <v>56.017129</v>
      </c>
    </row>
    <row r="66" customFormat="false" ht="15" hidden="false" customHeight="false" outlineLevel="0" collapsed="false">
      <c r="A66" s="13" t="s">
        <v>125</v>
      </c>
      <c r="B66" s="14" t="s">
        <v>861</v>
      </c>
      <c r="C66" s="15" t="s">
        <v>18</v>
      </c>
      <c r="D66" s="16" t="n">
        <f aca="false">+'PLANILLA GENERAL DE METRADOS'!K190</f>
        <v>538.31072</v>
      </c>
    </row>
    <row r="67" customFormat="false" ht="15" hidden="false" customHeight="false" outlineLevel="0" collapsed="false">
      <c r="A67" s="13" t="s">
        <v>127</v>
      </c>
      <c r="B67" s="14" t="s">
        <v>862</v>
      </c>
      <c r="C67" s="15" t="s">
        <v>50</v>
      </c>
      <c r="D67" s="16" t="n">
        <f aca="false">+'PLANILLA GENERAL DE METRADOS'!K194</f>
        <v>2523.83768622222</v>
      </c>
    </row>
    <row r="68" customFormat="false" ht="15" hidden="false" customHeight="false" outlineLevel="0" collapsed="false">
      <c r="A68" s="13" t="s">
        <v>129</v>
      </c>
      <c r="B68" s="14" t="s">
        <v>863</v>
      </c>
      <c r="C68" s="15" t="s">
        <v>18</v>
      </c>
      <c r="D68" s="16" t="n">
        <f aca="false">+'PLANILLA GENERAL DE METRADOS'!K198</f>
        <v>94.761</v>
      </c>
    </row>
    <row r="69" customFormat="false" ht="15" hidden="false" customHeight="false" outlineLevel="0" collapsed="false">
      <c r="A69" s="13" t="s">
        <v>131</v>
      </c>
      <c r="B69" s="14" t="s">
        <v>136</v>
      </c>
      <c r="C69" s="15" t="s">
        <v>18</v>
      </c>
      <c r="D69" s="16" t="n">
        <f aca="false">+'PLANILLA GENERAL DE METRADOS'!K202</f>
        <v>368.26886</v>
      </c>
    </row>
    <row r="70" customFormat="false" ht="15" hidden="false" customHeight="false" outlineLevel="0" collapsed="false">
      <c r="A70" s="12" t="s">
        <v>137</v>
      </c>
      <c r="B70" s="12" t="s">
        <v>138</v>
      </c>
      <c r="C70" s="12"/>
      <c r="D70" s="12"/>
    </row>
    <row r="71" customFormat="false" ht="15" hidden="false" customHeight="false" outlineLevel="0" collapsed="false">
      <c r="A71" s="13" t="s">
        <v>139</v>
      </c>
      <c r="B71" s="14" t="s">
        <v>864</v>
      </c>
      <c r="C71" s="15" t="s">
        <v>60</v>
      </c>
      <c r="D71" s="16" t="n">
        <f aca="false">+'PLANILLA GENERAL DE METRADOS'!K207</f>
        <v>11.0</v>
      </c>
    </row>
    <row r="72" customFormat="false" ht="15" hidden="false" customHeight="false" outlineLevel="0" collapsed="false">
      <c r="A72" s="12" t="s">
        <v>153</v>
      </c>
      <c r="B72" s="12" t="s">
        <v>865</v>
      </c>
      <c r="C72" s="12"/>
      <c r="D72" s="12"/>
    </row>
    <row r="73" customFormat="false" ht="15" hidden="false" customHeight="false" outlineLevel="0" collapsed="false">
      <c r="A73" s="13" t="s">
        <v>155</v>
      </c>
      <c r="B73" s="14" t="s">
        <v>866</v>
      </c>
      <c r="C73" s="15" t="s">
        <v>71</v>
      </c>
      <c r="D73" s="16" t="n">
        <f aca="false">+'PLANILLA GENERAL DE METRADOS'!K215</f>
        <v>120.64</v>
      </c>
    </row>
    <row r="74" customFormat="false" ht="15" hidden="false" customHeight="false" outlineLevel="0" collapsed="false">
      <c r="A74" s="13" t="s">
        <v>157</v>
      </c>
      <c r="B74" s="14" t="s">
        <v>867</v>
      </c>
      <c r="C74" s="15" t="s">
        <v>71</v>
      </c>
      <c r="D74" s="16" t="n">
        <f aca="false">+'PLANILLA GENERAL DE METRADOS'!K216</f>
        <v>4.64</v>
      </c>
    </row>
  </sheetData>
  <mergeCells count="5">
    <mergeCell ref="A2:D2"/>
    <mergeCell ref="B4:D4"/>
    <mergeCell ref="B5:D5"/>
    <mergeCell ref="B6:D6"/>
    <mergeCell ref="B7:D7"/>
  </mergeCells>
  <printOptions headings="false" gridLines="false" gridLinesSet="true" horizontalCentered="false" verticalCentered="false"/>
  <pageMargins left="0.670138888888889" right="0" top="1.26458333333333" bottom="0.354166666666667" header="0.315277777777778" footer="0.511811023622047"/>
  <pageSetup paperSize="9" scale="65"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L216"/>
  <sheetViews>
    <sheetView showFormulas="false" showGridLines="true" showRowColHeaders="true" showZeros="true" rightToLeft="false" tabSelected="false" showOutlineSymbols="true" defaultGridColor="true" view="normal" topLeftCell="A4" colorId="64" zoomScale="100" zoomScaleNormal="100" zoomScalePageLayoutView="130" workbookViewId="0">
      <selection pane="topLeft" activeCell="F144" activeCellId="0" sqref="F144"/>
    </sheetView>
  </sheetViews>
  <sheetFormatPr defaultColWidth="10.5390625" defaultRowHeight="14.25" zeroHeight="false" outlineLevelRow="0" outlineLevelCol="0"/>
  <cols>
    <col collapsed="false" customWidth="true" hidden="false" outlineLevel="0" max="1" min="1" style="0" width="18.81"/>
    <col collapsed="false" customWidth="true" hidden="false" outlineLevel="0" max="2" min="2" style="0" width="37"/>
    <col collapsed="false" customWidth="true" hidden="false" outlineLevel="0" max="10" min="10" style="0" width="20"/>
  </cols>
  <sheetData>
    <row r="2" customFormat="false" ht="24.75" hidden="false" customHeight="true" outlineLevel="0" collapsed="false">
      <c r="A2" s="5" t="s">
        <v>0</v>
      </c>
      <c r="B2" s="5"/>
      <c r="C2" s="5"/>
      <c r="D2" s="5"/>
      <c r="E2" s="5"/>
      <c r="F2" s="5"/>
      <c r="G2" s="5"/>
      <c r="H2" s="5"/>
      <c r="I2" s="5"/>
      <c r="J2" s="5"/>
      <c r="K2" s="5"/>
      <c r="L2" s="5"/>
    </row>
    <row r="3" customFormat="false" ht="25.5" hidden="false" customHeight="true" outlineLevel="0" collapsed="false">
      <c r="A3" s="9" t="s">
        <v>1</v>
      </c>
      <c r="B3" s="8" t="str">
        <f aca="false">+RESUMEN!B4</f>
        <v>GERENCIA TERRITORIAL BAJO MAYO - TARAPOTO</v>
      </c>
      <c r="C3" s="8"/>
      <c r="D3" s="8"/>
      <c r="E3" s="8"/>
      <c r="F3" s="8"/>
      <c r="G3" s="8"/>
      <c r="H3" s="8"/>
      <c r="I3" s="8"/>
      <c r="J3" s="8"/>
      <c r="K3" s="8"/>
      <c r="L3" s="8"/>
    </row>
    <row r="4" customFormat="false" ht="58.5" hidden="false" customHeight="true" outlineLevel="0" collapsed="false">
      <c r="A4" s="9" t="s">
        <v>3</v>
      </c>
      <c r="B4" s="8" t="str">
        <f aca="false">+RESUMEN!B5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C4" s="8"/>
      <c r="D4" s="8"/>
      <c r="E4" s="8"/>
      <c r="F4" s="8"/>
      <c r="G4" s="8"/>
      <c r="H4" s="8"/>
      <c r="I4" s="8"/>
      <c r="J4" s="8"/>
      <c r="K4" s="8"/>
      <c r="L4" s="8"/>
    </row>
    <row r="5" customFormat="false" ht="25.5" hidden="false" customHeight="true" outlineLevel="0" collapsed="false">
      <c r="A5" s="9" t="s">
        <v>5</v>
      </c>
      <c r="B5" s="8" t="str">
        <f aca="false">+RESUMEN!B6</f>
        <v>SAN MARTIN - SAN MARTIN - MORALES</v>
      </c>
      <c r="C5" s="8"/>
      <c r="D5" s="8"/>
      <c r="E5" s="8"/>
      <c r="F5" s="8"/>
      <c r="G5" s="8"/>
      <c r="H5" s="8"/>
      <c r="I5" s="8"/>
      <c r="J5" s="8"/>
      <c r="K5" s="8"/>
      <c r="L5" s="8"/>
    </row>
    <row r="6" customFormat="false" ht="25.5" hidden="false" customHeight="true" outlineLevel="0" collapsed="false">
      <c r="A6" s="9" t="s">
        <v>7</v>
      </c>
      <c r="B6" s="10" t="n">
        <f aca="false">+RESUMEN!B7</f>
        <v>46266</v>
      </c>
      <c r="C6" s="10"/>
      <c r="D6" s="10"/>
      <c r="E6" s="10"/>
      <c r="F6" s="10"/>
      <c r="G6" s="10"/>
      <c r="H6" s="10"/>
      <c r="I6" s="10"/>
      <c r="J6" s="10"/>
      <c r="K6" s="10"/>
      <c r="L6" s="10"/>
    </row>
    <row r="7" customFormat="false" ht="14.25" hidden="false" customHeight="false" outlineLevel="0" collapsed="false">
      <c r="A7" s="22"/>
      <c r="B7" s="22"/>
      <c r="C7" s="22"/>
      <c r="D7" s="22"/>
      <c r="E7" s="22"/>
      <c r="F7" s="22"/>
      <c r="G7" s="22"/>
      <c r="H7" s="22"/>
      <c r="I7" s="22"/>
      <c r="J7" s="22"/>
      <c r="K7" s="22"/>
      <c r="L7" s="22"/>
    </row>
    <row r="8" customFormat="false" ht="30.75" hidden="false" customHeight="true" outlineLevel="0" collapsed="false">
      <c r="A8" s="23" t="s">
        <v>159</v>
      </c>
      <c r="B8" s="23" t="s">
        <v>160</v>
      </c>
      <c r="C8" s="23" t="s">
        <v>161</v>
      </c>
      <c r="D8" s="23" t="s">
        <v>162</v>
      </c>
      <c r="E8" s="23" t="s">
        <v>163</v>
      </c>
      <c r="F8" s="23" t="s">
        <v>164</v>
      </c>
      <c r="G8" s="23" t="s">
        <v>165</v>
      </c>
      <c r="H8" s="23" t="s">
        <v>166</v>
      </c>
      <c r="I8" s="23" t="s">
        <v>167</v>
      </c>
      <c r="J8" s="23" t="s">
        <v>168</v>
      </c>
      <c r="K8" s="23" t="s">
        <v>169</v>
      </c>
      <c r="L8" s="23" t="s">
        <v>170</v>
      </c>
    </row>
    <row r="9" customFormat="false" ht="15" hidden="false" customHeight="true" outlineLevel="0" collapsed="false">
      <c r="A9" s="24" t="s">
        <v>12</v>
      </c>
      <c r="B9" s="24" t="s">
        <v>13</v>
      </c>
      <c r="C9" s="24"/>
      <c r="D9" s="24"/>
      <c r="E9" s="24"/>
      <c r="F9" s="24"/>
      <c r="G9" s="24"/>
      <c r="H9" s="24"/>
      <c r="I9" s="24"/>
      <c r="J9" s="24"/>
      <c r="K9" s="24"/>
      <c r="L9" s="24"/>
    </row>
    <row r="10" customFormat="false" ht="15" hidden="false" customHeight="true" outlineLevel="0" collapsed="false">
      <c r="A10" s="24" t="s">
        <v>14</v>
      </c>
      <c r="B10" s="24" t="s">
        <v>15</v>
      </c>
      <c r="C10" s="24"/>
      <c r="D10" s="24"/>
      <c r="E10" s="24"/>
      <c r="F10" s="24"/>
      <c r="G10" s="24"/>
      <c r="H10" s="24"/>
      <c r="I10" s="24"/>
      <c r="J10" s="24"/>
      <c r="K10" s="24"/>
      <c r="L10" s="24"/>
    </row>
    <row r="11" customFormat="false" ht="21.75" hidden="false" customHeight="true" outlineLevel="0" collapsed="false">
      <c r="A11" s="25" t="s">
        <v>16</v>
      </c>
      <c r="B11" s="25" t="s">
        <v>17</v>
      </c>
      <c r="C11" s="26"/>
      <c r="D11" s="26"/>
      <c r="E11" s="26"/>
      <c r="F11" s="26"/>
      <c r="G11" s="26"/>
      <c r="H11" s="26"/>
      <c r="I11" s="26"/>
      <c r="J11" s="26"/>
      <c r="K11" s="26" t="n">
        <f aca="false">SUM(J12:J20)</f>
        <v>753.536</v>
      </c>
      <c r="L11" s="25" t="s">
        <v>18</v>
      </c>
    </row>
    <row r="12" customFormat="false" ht="15" hidden="false" customHeight="true" outlineLevel="0" collapsed="false">
      <c r="A12" s="27"/>
      <c r="B12" s="27" t="s">
        <v>171</v>
      </c>
      <c r="C12" s="28" t="n">
        <v>1</v>
      </c>
      <c r="D12" s="28" t="n">
        <v>111.53</v>
      </c>
      <c r="E12" s="28" t="n">
        <v>1.4</v>
      </c>
      <c r="F12" s="28"/>
      <c r="G12" s="28"/>
      <c r="H12" s="28"/>
      <c r="I12" s="28"/>
      <c r="J12" s="28" t="n">
        <f aca="false">C12*D12*E12</f>
        <v>156.142</v>
      </c>
      <c r="K12" s="28"/>
      <c r="L12" s="27"/>
    </row>
    <row r="13" customFormat="false" ht="15" hidden="false" customHeight="true" outlineLevel="0" collapsed="false">
      <c r="A13" s="27"/>
      <c r="B13" s="27" t="s">
        <v>172</v>
      </c>
      <c r="C13" s="28" t="n">
        <v>1</v>
      </c>
      <c r="D13" s="28" t="n">
        <v>34.25</v>
      </c>
      <c r="E13" s="28" t="n">
        <v>1.4</v>
      </c>
      <c r="F13" s="28"/>
      <c r="G13" s="28"/>
      <c r="H13" s="28"/>
      <c r="I13" s="28"/>
      <c r="J13" s="28" t="n">
        <f aca="false">C13*D13*E13</f>
        <v>47.95</v>
      </c>
      <c r="K13" s="28"/>
      <c r="L13" s="27"/>
    </row>
    <row r="14" customFormat="false" ht="15" hidden="false" customHeight="true" outlineLevel="0" collapsed="false">
      <c r="A14" s="27"/>
      <c r="B14" s="27" t="s">
        <v>173</v>
      </c>
      <c r="C14" s="28" t="n">
        <v>1</v>
      </c>
      <c r="D14" s="28" t="n">
        <v>22.4</v>
      </c>
      <c r="E14" s="28" t="n">
        <v>1.4</v>
      </c>
      <c r="F14" s="28"/>
      <c r="G14" s="28"/>
      <c r="H14" s="28"/>
      <c r="I14" s="28"/>
      <c r="J14" s="28" t="n">
        <f aca="false">C14*D14*E14</f>
        <v>31.36</v>
      </c>
      <c r="K14" s="28"/>
      <c r="L14" s="27"/>
    </row>
    <row r="15" customFormat="false" ht="15" hidden="false" customHeight="true" outlineLevel="0" collapsed="false">
      <c r="A15" s="27"/>
      <c r="B15" s="27" t="s">
        <v>174</v>
      </c>
      <c r="C15" s="28" t="n">
        <v>1</v>
      </c>
      <c r="D15" s="28" t="n">
        <v>102.31</v>
      </c>
      <c r="E15" s="28" t="n">
        <v>1.4</v>
      </c>
      <c r="F15" s="28"/>
      <c r="G15" s="28"/>
      <c r="H15" s="28"/>
      <c r="I15" s="28"/>
      <c r="J15" s="28" t="n">
        <f aca="false">C15*D15*E15</f>
        <v>143.234</v>
      </c>
      <c r="K15" s="28"/>
      <c r="L15" s="27"/>
    </row>
    <row r="16" customFormat="false" ht="15" hidden="false" customHeight="true" outlineLevel="0" collapsed="false">
      <c r="A16" s="27"/>
      <c r="B16" s="27" t="s">
        <v>175</v>
      </c>
      <c r="C16" s="28" t="n">
        <v>1</v>
      </c>
      <c r="D16" s="28" t="n">
        <v>42.2</v>
      </c>
      <c r="E16" s="28" t="n">
        <v>1.4</v>
      </c>
      <c r="F16" s="28"/>
      <c r="G16" s="28"/>
      <c r="H16" s="28"/>
      <c r="I16" s="28"/>
      <c r="J16" s="28" t="n">
        <f aca="false">C16*D16*E16</f>
        <v>59.08</v>
      </c>
      <c r="K16" s="28"/>
      <c r="L16" s="27"/>
    </row>
    <row r="17" customFormat="false" ht="15" hidden="false" customHeight="true" outlineLevel="0" collapsed="false">
      <c r="A17" s="27"/>
      <c r="B17" s="27" t="s">
        <v>176</v>
      </c>
      <c r="C17" s="28" t="n">
        <v>1</v>
      </c>
      <c r="D17" s="28" t="n">
        <v>98.69</v>
      </c>
      <c r="E17" s="28" t="n">
        <v>1.4</v>
      </c>
      <c r="F17" s="28"/>
      <c r="G17" s="28"/>
      <c r="H17" s="28"/>
      <c r="I17" s="28"/>
      <c r="J17" s="28" t="n">
        <f aca="false">C17*D17*E17</f>
        <v>138.166</v>
      </c>
      <c r="K17" s="28"/>
      <c r="L17" s="27"/>
    </row>
    <row r="18" customFormat="false" ht="15" hidden="false" customHeight="true" outlineLevel="0" collapsed="false">
      <c r="A18" s="27"/>
      <c r="B18" s="27" t="s">
        <v>177</v>
      </c>
      <c r="C18" s="28" t="n">
        <v>1</v>
      </c>
      <c r="D18" s="28" t="n">
        <v>23.6</v>
      </c>
      <c r="E18" s="28" t="n">
        <v>1.4</v>
      </c>
      <c r="F18" s="28"/>
      <c r="G18" s="28"/>
      <c r="H18" s="28"/>
      <c r="I18" s="28"/>
      <c r="J18" s="28" t="n">
        <f aca="false">C18*D18*E18</f>
        <v>33.04</v>
      </c>
      <c r="K18" s="28"/>
      <c r="L18" s="27"/>
    </row>
    <row r="19" customFormat="false" ht="15" hidden="false" customHeight="true" outlineLevel="0" collapsed="false">
      <c r="A19" s="27"/>
      <c r="B19" s="27" t="s">
        <v>178</v>
      </c>
      <c r="C19" s="28" t="n">
        <v>1</v>
      </c>
      <c r="D19" s="28" t="n">
        <v>60.6</v>
      </c>
      <c r="E19" s="28" t="n">
        <v>1.4</v>
      </c>
      <c r="F19" s="28"/>
      <c r="G19" s="28"/>
      <c r="H19" s="28"/>
      <c r="I19" s="28"/>
      <c r="J19" s="28" t="n">
        <f aca="false">C19*D19*E19</f>
        <v>84.84</v>
      </c>
      <c r="K19" s="28"/>
      <c r="L19" s="27"/>
    </row>
    <row r="20" customFormat="false" ht="15" hidden="false" customHeight="true" outlineLevel="0" collapsed="false">
      <c r="A20" s="27"/>
      <c r="B20" s="27" t="s">
        <v>179</v>
      </c>
      <c r="C20" s="28" t="n">
        <v>1</v>
      </c>
      <c r="D20" s="28" t="n">
        <v>42.66</v>
      </c>
      <c r="E20" s="28" t="n">
        <v>1.4</v>
      </c>
      <c r="F20" s="28"/>
      <c r="G20" s="28"/>
      <c r="H20" s="28"/>
      <c r="I20" s="28"/>
      <c r="J20" s="28" t="n">
        <f aca="false">C20*D20*E20</f>
        <v>59.724</v>
      </c>
      <c r="K20" s="28"/>
      <c r="L20" s="27"/>
    </row>
    <row r="21" customFormat="false" ht="30.75" hidden="false" customHeight="true" outlineLevel="0" collapsed="false">
      <c r="A21" s="25" t="s">
        <v>19</v>
      </c>
      <c r="B21" s="25" t="s">
        <v>20</v>
      </c>
      <c r="C21" s="26"/>
      <c r="D21" s="26"/>
      <c r="E21" s="26"/>
      <c r="F21" s="26"/>
      <c r="G21" s="26"/>
      <c r="H21" s="26"/>
      <c r="I21" s="26"/>
      <c r="J21" s="26"/>
      <c r="K21" s="29" t="n">
        <f aca="false">SUM(J22:J30)</f>
        <v>753.536</v>
      </c>
      <c r="L21" s="25" t="s">
        <v>18</v>
      </c>
    </row>
    <row r="22" customFormat="false" ht="15" hidden="false" customHeight="true" outlineLevel="0" collapsed="false">
      <c r="A22" s="27"/>
      <c r="B22" s="27" t="s">
        <v>171</v>
      </c>
      <c r="C22" s="28" t="n">
        <v>1</v>
      </c>
      <c r="D22" s="28" t="n">
        <v>111.53</v>
      </c>
      <c r="E22" s="28" t="n">
        <v>1.4</v>
      </c>
      <c r="F22" s="28"/>
      <c r="G22" s="28"/>
      <c r="H22" s="28"/>
      <c r="I22" s="28"/>
      <c r="J22" s="28" t="n">
        <f aca="false">C22*D22*E22</f>
        <v>156.142</v>
      </c>
      <c r="K22" s="28"/>
      <c r="L22" s="27"/>
    </row>
    <row r="23" customFormat="false" ht="15" hidden="false" customHeight="true" outlineLevel="0" collapsed="false">
      <c r="A23" s="27"/>
      <c r="B23" s="27" t="s">
        <v>172</v>
      </c>
      <c r="C23" s="28" t="n">
        <v>1</v>
      </c>
      <c r="D23" s="28" t="n">
        <v>34.25</v>
      </c>
      <c r="E23" s="28" t="n">
        <v>1.4</v>
      </c>
      <c r="F23" s="28"/>
      <c r="G23" s="28"/>
      <c r="H23" s="28"/>
      <c r="I23" s="28"/>
      <c r="J23" s="28" t="n">
        <f aca="false">C23*D23*E23</f>
        <v>47.95</v>
      </c>
      <c r="K23" s="28"/>
      <c r="L23" s="27"/>
    </row>
    <row r="24" customFormat="false" ht="15" hidden="false" customHeight="true" outlineLevel="0" collapsed="false">
      <c r="A24" s="27"/>
      <c r="B24" s="27" t="s">
        <v>173</v>
      </c>
      <c r="C24" s="28" t="n">
        <v>1</v>
      </c>
      <c r="D24" s="28" t="n">
        <v>22.4</v>
      </c>
      <c r="E24" s="28" t="n">
        <v>1.4</v>
      </c>
      <c r="F24" s="28"/>
      <c r="G24" s="28"/>
      <c r="H24" s="28"/>
      <c r="I24" s="28"/>
      <c r="J24" s="28" t="n">
        <f aca="false">C24*D24*E24</f>
        <v>31.36</v>
      </c>
      <c r="K24" s="27"/>
      <c r="L24" s="27"/>
    </row>
    <row r="25" customFormat="false" ht="15" hidden="false" customHeight="true" outlineLevel="0" collapsed="false">
      <c r="A25" s="27"/>
      <c r="B25" s="27" t="s">
        <v>174</v>
      </c>
      <c r="C25" s="28" t="n">
        <v>1</v>
      </c>
      <c r="D25" s="28" t="n">
        <v>102.31</v>
      </c>
      <c r="E25" s="28" t="n">
        <v>1.4</v>
      </c>
      <c r="F25" s="28"/>
      <c r="G25" s="28"/>
      <c r="H25" s="28"/>
      <c r="I25" s="28"/>
      <c r="J25" s="28" t="n">
        <f aca="false">C25*D25*E25</f>
        <v>143.234</v>
      </c>
      <c r="K25" s="27"/>
      <c r="L25" s="27"/>
    </row>
    <row r="26" customFormat="false" ht="15" hidden="false" customHeight="true" outlineLevel="0" collapsed="false">
      <c r="A26" s="27"/>
      <c r="B26" s="27" t="s">
        <v>175</v>
      </c>
      <c r="C26" s="28" t="n">
        <v>1</v>
      </c>
      <c r="D26" s="28" t="n">
        <v>42.2</v>
      </c>
      <c r="E26" s="28" t="n">
        <v>1.4</v>
      </c>
      <c r="F26" s="28"/>
      <c r="G26" s="28"/>
      <c r="H26" s="28"/>
      <c r="I26" s="28"/>
      <c r="J26" s="28" t="n">
        <f aca="false">C26*D26*E26</f>
        <v>59.08</v>
      </c>
      <c r="K26" s="27"/>
      <c r="L26" s="27"/>
    </row>
    <row r="27" customFormat="false" ht="15" hidden="false" customHeight="true" outlineLevel="0" collapsed="false">
      <c r="A27" s="27"/>
      <c r="B27" s="27" t="s">
        <v>176</v>
      </c>
      <c r="C27" s="28" t="n">
        <v>1</v>
      </c>
      <c r="D27" s="28" t="n">
        <v>98.69</v>
      </c>
      <c r="E27" s="28" t="n">
        <v>1.4</v>
      </c>
      <c r="F27" s="28"/>
      <c r="G27" s="28"/>
      <c r="H27" s="28"/>
      <c r="I27" s="28"/>
      <c r="J27" s="28" t="n">
        <f aca="false">C27*D27*E27</f>
        <v>138.166</v>
      </c>
      <c r="K27" s="27"/>
      <c r="L27" s="27"/>
    </row>
    <row r="28" customFormat="false" ht="15" hidden="false" customHeight="true" outlineLevel="0" collapsed="false">
      <c r="A28" s="27"/>
      <c r="B28" s="27" t="s">
        <v>177</v>
      </c>
      <c r="C28" s="28" t="n">
        <v>1</v>
      </c>
      <c r="D28" s="28" t="n">
        <v>23.6</v>
      </c>
      <c r="E28" s="28" t="n">
        <v>1.4</v>
      </c>
      <c r="F28" s="28"/>
      <c r="G28" s="28"/>
      <c r="H28" s="28"/>
      <c r="I28" s="28"/>
      <c r="J28" s="28" t="n">
        <f aca="false">C28*D28*E28</f>
        <v>33.04</v>
      </c>
      <c r="K28" s="27"/>
      <c r="L28" s="27"/>
    </row>
    <row r="29" customFormat="false" ht="15" hidden="false" customHeight="true" outlineLevel="0" collapsed="false">
      <c r="A29" s="27"/>
      <c r="B29" s="27" t="s">
        <v>178</v>
      </c>
      <c r="C29" s="28" t="n">
        <v>1</v>
      </c>
      <c r="D29" s="28" t="n">
        <v>60.6</v>
      </c>
      <c r="E29" s="28" t="n">
        <v>1.4</v>
      </c>
      <c r="F29" s="28"/>
      <c r="G29" s="28"/>
      <c r="H29" s="28"/>
      <c r="I29" s="28"/>
      <c r="J29" s="28" t="n">
        <f aca="false">C29*D29*E29</f>
        <v>84.84</v>
      </c>
      <c r="K29" s="27"/>
      <c r="L29" s="27"/>
    </row>
    <row r="30" customFormat="false" ht="15" hidden="false" customHeight="true" outlineLevel="0" collapsed="false">
      <c r="A30" s="27"/>
      <c r="B30" s="27" t="s">
        <v>179</v>
      </c>
      <c r="C30" s="28" t="n">
        <v>1</v>
      </c>
      <c r="D30" s="28" t="n">
        <v>42.66</v>
      </c>
      <c r="E30" s="28" t="n">
        <v>1.4</v>
      </c>
      <c r="F30" s="28"/>
      <c r="G30" s="28"/>
      <c r="H30" s="28"/>
      <c r="I30" s="28"/>
      <c r="J30" s="28" t="n">
        <f aca="false">C30*D30*E30</f>
        <v>59.724</v>
      </c>
      <c r="K30" s="27"/>
      <c r="L30" s="27"/>
    </row>
    <row r="31" customFormat="false" ht="15" hidden="false" customHeight="true" outlineLevel="0" collapsed="false">
      <c r="A31" s="24" t="s">
        <v>21</v>
      </c>
      <c r="B31" s="24" t="s">
        <v>22</v>
      </c>
      <c r="C31" s="30"/>
      <c r="D31" s="30"/>
      <c r="E31" s="30"/>
      <c r="F31" s="30"/>
      <c r="G31" s="30"/>
      <c r="H31" s="30"/>
      <c r="I31" s="30"/>
      <c r="J31" s="30"/>
      <c r="K31" s="24"/>
      <c r="L31" s="24"/>
    </row>
    <row r="32" customFormat="false" ht="30.75" hidden="false" customHeight="true" outlineLevel="0" collapsed="false">
      <c r="A32" s="25" t="s">
        <v>23</v>
      </c>
      <c r="B32" s="25" t="s">
        <v>24</v>
      </c>
      <c r="C32" s="26"/>
      <c r="D32" s="26"/>
      <c r="E32" s="26"/>
      <c r="F32" s="26"/>
      <c r="G32" s="26"/>
      <c r="H32" s="26"/>
      <c r="I32" s="26"/>
      <c r="J32" s="26"/>
      <c r="K32" s="26" t="n">
        <f aca="false">SUM(J33:J41)</f>
        <v>513.90864</v>
      </c>
      <c r="L32" s="25" t="s">
        <v>25</v>
      </c>
    </row>
    <row r="33" customFormat="false" ht="15" hidden="false" customHeight="true" outlineLevel="0" collapsed="false">
      <c r="A33" s="27"/>
      <c r="B33" s="27" t="s">
        <v>171</v>
      </c>
      <c r="C33" s="28" t="n">
        <v>1</v>
      </c>
      <c r="D33" s="28" t="n">
        <v>111.53</v>
      </c>
      <c r="E33" s="28" t="n">
        <v>1.4</v>
      </c>
      <c r="F33" s="28" t="n">
        <v>0.65</v>
      </c>
      <c r="G33" s="28"/>
      <c r="H33" s="28"/>
      <c r="I33" s="28"/>
      <c r="J33" s="28" t="n">
        <f aca="false">C33*D33*E33*(F33+PARAMETROS!$B$15)</f>
        <v>117.1065</v>
      </c>
      <c r="K33" s="27"/>
      <c r="L33" s="27"/>
    </row>
    <row r="34" customFormat="false" ht="15" hidden="false" customHeight="true" outlineLevel="0" collapsed="false">
      <c r="A34" s="27"/>
      <c r="B34" s="27" t="s">
        <v>172</v>
      </c>
      <c r="C34" s="28" t="n">
        <v>1</v>
      </c>
      <c r="D34" s="28" t="n">
        <v>34.25</v>
      </c>
      <c r="E34" s="28" t="n">
        <v>1.4</v>
      </c>
      <c r="F34" s="28" t="n">
        <v>0.49</v>
      </c>
      <c r="G34" s="28"/>
      <c r="H34" s="28"/>
      <c r="I34" s="28"/>
      <c r="J34" s="28" t="n">
        <f aca="false">C34*D34*E34*(F34+PARAMETROS!$B$15)</f>
        <v>28.2905</v>
      </c>
      <c r="K34" s="27"/>
      <c r="L34" s="27"/>
    </row>
    <row r="35" customFormat="false" ht="15" hidden="false" customHeight="true" outlineLevel="0" collapsed="false">
      <c r="A35" s="27"/>
      <c r="B35" s="27" t="s">
        <v>173</v>
      </c>
      <c r="C35" s="28" t="n">
        <v>1</v>
      </c>
      <c r="D35" s="28" t="n">
        <v>22.4</v>
      </c>
      <c r="E35" s="28" t="n">
        <v>1.4</v>
      </c>
      <c r="F35" s="28" t="n">
        <v>0.46</v>
      </c>
      <c r="G35" s="28"/>
      <c r="H35" s="28"/>
      <c r="I35" s="28"/>
      <c r="J35" s="28" t="n">
        <f aca="false">C35*D35*E35*(F35+PARAMETROS!$B$15)</f>
        <v>17.5616</v>
      </c>
      <c r="K35" s="27"/>
      <c r="L35" s="27"/>
    </row>
    <row r="36" customFormat="false" ht="15" hidden="false" customHeight="true" outlineLevel="0" collapsed="false">
      <c r="A36" s="27"/>
      <c r="B36" s="27" t="s">
        <v>174</v>
      </c>
      <c r="C36" s="28" t="n">
        <v>1</v>
      </c>
      <c r="D36" s="28" t="n">
        <v>102.31</v>
      </c>
      <c r="E36" s="28" t="n">
        <v>1.4</v>
      </c>
      <c r="F36" s="28" t="n">
        <v>0.63</v>
      </c>
      <c r="G36" s="28"/>
      <c r="H36" s="28"/>
      <c r="I36" s="28"/>
      <c r="J36" s="28" t="n">
        <f aca="false">C36*D36*E36*(F36+PARAMETROS!$B$15)</f>
        <v>104.56082</v>
      </c>
      <c r="K36" s="27"/>
      <c r="L36" s="27"/>
    </row>
    <row r="37" customFormat="false" ht="15" hidden="false" customHeight="true" outlineLevel="0" collapsed="false">
      <c r="A37" s="27"/>
      <c r="B37" s="27" t="s">
        <v>175</v>
      </c>
      <c r="C37" s="28" t="n">
        <v>1</v>
      </c>
      <c r="D37" s="28" t="n">
        <v>42.2</v>
      </c>
      <c r="E37" s="28" t="n">
        <v>1.4</v>
      </c>
      <c r="F37" s="28" t="n">
        <v>0.5</v>
      </c>
      <c r="G37" s="28"/>
      <c r="H37" s="28"/>
      <c r="I37" s="28"/>
      <c r="J37" s="28" t="n">
        <f aca="false">C37*D37*E37*(F37+PARAMETROS!$B$15)</f>
        <v>35.448</v>
      </c>
      <c r="K37" s="27"/>
      <c r="L37" s="27"/>
    </row>
    <row r="38" customFormat="false" ht="15" hidden="false" customHeight="true" outlineLevel="0" collapsed="false">
      <c r="A38" s="27"/>
      <c r="B38" s="27" t="s">
        <v>176</v>
      </c>
      <c r="C38" s="28" t="n">
        <v>1</v>
      </c>
      <c r="D38" s="28" t="n">
        <v>98.69</v>
      </c>
      <c r="E38" s="28" t="n">
        <v>1.4</v>
      </c>
      <c r="F38" s="28" t="n">
        <v>0.63</v>
      </c>
      <c r="G38" s="28"/>
      <c r="H38" s="28"/>
      <c r="I38" s="28"/>
      <c r="J38" s="28" t="n">
        <f aca="false">C38*D38*E38*(F38+PARAMETROS!$B$15)</f>
        <v>100.86118</v>
      </c>
      <c r="K38" s="27"/>
      <c r="L38" s="27"/>
    </row>
    <row r="39" customFormat="false" ht="15" hidden="false" customHeight="true" outlineLevel="0" collapsed="false">
      <c r="A39" s="27"/>
      <c r="B39" s="27" t="s">
        <v>177</v>
      </c>
      <c r="C39" s="28" t="n">
        <v>1</v>
      </c>
      <c r="D39" s="28" t="n">
        <v>23.6</v>
      </c>
      <c r="E39" s="28" t="n">
        <v>1.4</v>
      </c>
      <c r="F39" s="28" t="n">
        <v>0.46</v>
      </c>
      <c r="G39" s="28"/>
      <c r="H39" s="28"/>
      <c r="I39" s="28"/>
      <c r="J39" s="28" t="n">
        <f aca="false">C39*D39*E39*(F39+PARAMETROS!$B$15)</f>
        <v>18.5024</v>
      </c>
      <c r="K39" s="27"/>
      <c r="L39" s="27"/>
    </row>
    <row r="40" customFormat="false" ht="15" hidden="false" customHeight="true" outlineLevel="0" collapsed="false">
      <c r="A40" s="27"/>
      <c r="B40" s="27" t="s">
        <v>178</v>
      </c>
      <c r="C40" s="28" t="n">
        <v>1</v>
      </c>
      <c r="D40" s="28" t="n">
        <v>60.6</v>
      </c>
      <c r="E40" s="28" t="n">
        <v>1.4</v>
      </c>
      <c r="F40" s="28" t="n">
        <v>0.55</v>
      </c>
      <c r="G40" s="28"/>
      <c r="H40" s="28"/>
      <c r="I40" s="28"/>
      <c r="J40" s="28" t="n">
        <f aca="false">C40*D40*E40*(F40+PARAMETROS!$B$15)</f>
        <v>55.146</v>
      </c>
      <c r="K40" s="27"/>
      <c r="L40" s="27"/>
    </row>
    <row r="41" customFormat="false" ht="15" hidden="false" customHeight="true" outlineLevel="0" collapsed="false">
      <c r="A41" s="27"/>
      <c r="B41" s="27" t="s">
        <v>179</v>
      </c>
      <c r="C41" s="28" t="n">
        <v>1</v>
      </c>
      <c r="D41" s="28" t="n">
        <v>42.66</v>
      </c>
      <c r="E41" s="28" t="n">
        <v>1.4</v>
      </c>
      <c r="F41" s="28" t="n">
        <v>0.51</v>
      </c>
      <c r="G41" s="28"/>
      <c r="H41" s="28"/>
      <c r="I41" s="28"/>
      <c r="J41" s="28" t="n">
        <f aca="false">C41*D41*E41*(F41+PARAMETROS!$B$15)</f>
        <v>36.43164</v>
      </c>
      <c r="K41" s="27"/>
      <c r="L41" s="27"/>
    </row>
    <row r="42" customFormat="false" ht="30.75" hidden="false" customHeight="true" outlineLevel="0" collapsed="false">
      <c r="A42" s="25" t="s">
        <v>26</v>
      </c>
      <c r="B42" s="25" t="s">
        <v>27</v>
      </c>
      <c r="C42" s="26" t="n">
        <v>56</v>
      </c>
      <c r="D42" s="26"/>
      <c r="E42" s="26"/>
      <c r="F42" s="26"/>
      <c r="G42" s="26"/>
      <c r="H42" s="26"/>
      <c r="I42" s="26"/>
      <c r="J42" s="26"/>
      <c r="K42" s="26" t="n">
        <f aca="false">J43*C42</f>
        <v>3.136</v>
      </c>
      <c r="L42" s="25" t="s">
        <v>25</v>
      </c>
    </row>
    <row r="43" customFormat="false" ht="15" hidden="false" customHeight="true" outlineLevel="0" collapsed="false">
      <c r="A43" s="27"/>
      <c r="B43" s="27" t="s">
        <v>180</v>
      </c>
      <c r="C43" s="28"/>
      <c r="D43" s="28" t="n">
        <v>0.4</v>
      </c>
      <c r="E43" s="28" t="n">
        <v>0.35</v>
      </c>
      <c r="F43" s="28" t="n">
        <v>0.4</v>
      </c>
      <c r="G43" s="28"/>
      <c r="H43" s="28"/>
      <c r="I43" s="28"/>
      <c r="J43" s="31" t="n">
        <f aca="false">D43*E43*F43</f>
        <v>0.056</v>
      </c>
      <c r="K43" s="27"/>
      <c r="L43" s="27"/>
    </row>
    <row r="44" customFormat="false" ht="15" hidden="false" customHeight="true" outlineLevel="0" collapsed="false">
      <c r="A44" s="27"/>
      <c r="B44" s="27"/>
      <c r="C44" s="28"/>
      <c r="D44" s="28"/>
      <c r="E44" s="28"/>
      <c r="F44" s="28"/>
      <c r="G44" s="28"/>
      <c r="H44" s="28"/>
      <c r="I44" s="28"/>
      <c r="J44" s="28"/>
      <c r="K44" s="27"/>
      <c r="L44" s="27"/>
    </row>
    <row r="45" customFormat="false" ht="46.5" hidden="false" customHeight="true" outlineLevel="0" collapsed="false">
      <c r="A45" s="25" t="s">
        <v>28</v>
      </c>
      <c r="B45" s="25" t="s">
        <v>29</v>
      </c>
      <c r="C45" s="26"/>
      <c r="D45" s="26"/>
      <c r="E45" s="26"/>
      <c r="F45" s="26"/>
      <c r="G45" s="26"/>
      <c r="H45" s="26"/>
      <c r="I45" s="26"/>
      <c r="J45" s="26"/>
      <c r="K45" s="26" t="n">
        <f aca="false">SUM(J46:J54)</f>
        <v>322.944</v>
      </c>
      <c r="L45" s="25" t="s">
        <v>18</v>
      </c>
    </row>
    <row r="46" customFormat="false" ht="15" hidden="false" customHeight="true" outlineLevel="0" collapsed="false">
      <c r="A46" s="27"/>
      <c r="B46" s="27" t="s">
        <v>171</v>
      </c>
      <c r="C46" s="28" t="n">
        <v>1</v>
      </c>
      <c r="D46" s="28" t="n">
        <v>111.53</v>
      </c>
      <c r="E46" s="28" t="n">
        <v>0.6</v>
      </c>
      <c r="F46" s="28"/>
      <c r="G46" s="28"/>
      <c r="H46" s="28"/>
      <c r="I46" s="28"/>
      <c r="J46" s="28" t="n">
        <f aca="false">C46*D46*E46</f>
        <v>66.918</v>
      </c>
      <c r="K46" s="27"/>
      <c r="L46" s="27"/>
    </row>
    <row r="47" customFormat="false" ht="15" hidden="false" customHeight="true" outlineLevel="0" collapsed="false">
      <c r="A47" s="27"/>
      <c r="B47" s="27" t="s">
        <v>172</v>
      </c>
      <c r="C47" s="28" t="n">
        <v>1</v>
      </c>
      <c r="D47" s="28" t="n">
        <v>34.25</v>
      </c>
      <c r="E47" s="28" t="n">
        <v>0.6</v>
      </c>
      <c r="F47" s="28"/>
      <c r="G47" s="28"/>
      <c r="H47" s="28"/>
      <c r="I47" s="28"/>
      <c r="J47" s="28" t="n">
        <f aca="false">C47*D47*E47</f>
        <v>20.55</v>
      </c>
      <c r="K47" s="27"/>
      <c r="L47" s="27"/>
    </row>
    <row r="48" customFormat="false" ht="15" hidden="false" customHeight="true" outlineLevel="0" collapsed="false">
      <c r="A48" s="27"/>
      <c r="B48" s="27" t="s">
        <v>173</v>
      </c>
      <c r="C48" s="28" t="n">
        <v>1</v>
      </c>
      <c r="D48" s="28" t="n">
        <v>22.4</v>
      </c>
      <c r="E48" s="28" t="n">
        <v>0.6</v>
      </c>
      <c r="F48" s="28"/>
      <c r="G48" s="28"/>
      <c r="H48" s="28"/>
      <c r="I48" s="28"/>
      <c r="J48" s="28" t="n">
        <f aca="false">C48*D48*E48</f>
        <v>13.44</v>
      </c>
      <c r="K48" s="27"/>
      <c r="L48" s="27"/>
    </row>
    <row r="49" customFormat="false" ht="15" hidden="false" customHeight="true" outlineLevel="0" collapsed="false">
      <c r="A49" s="27"/>
      <c r="B49" s="27" t="s">
        <v>174</v>
      </c>
      <c r="C49" s="28" t="n">
        <v>1</v>
      </c>
      <c r="D49" s="28" t="n">
        <v>102.31</v>
      </c>
      <c r="E49" s="28" t="n">
        <v>0.6</v>
      </c>
      <c r="F49" s="28"/>
      <c r="G49" s="28"/>
      <c r="H49" s="28"/>
      <c r="I49" s="28"/>
      <c r="J49" s="28" t="n">
        <f aca="false">C49*D49*E49</f>
        <v>61.386</v>
      </c>
      <c r="K49" s="27"/>
      <c r="L49" s="27"/>
    </row>
    <row r="50" customFormat="false" ht="15" hidden="false" customHeight="true" outlineLevel="0" collapsed="false">
      <c r="A50" s="27"/>
      <c r="B50" s="27" t="s">
        <v>175</v>
      </c>
      <c r="C50" s="28" t="n">
        <v>1</v>
      </c>
      <c r="D50" s="28" t="n">
        <v>42.2</v>
      </c>
      <c r="E50" s="28" t="n">
        <v>0.6</v>
      </c>
      <c r="F50" s="28"/>
      <c r="G50" s="28"/>
      <c r="H50" s="28"/>
      <c r="I50" s="28"/>
      <c r="J50" s="28" t="n">
        <f aca="false">C50*D50*E50</f>
        <v>25.32</v>
      </c>
      <c r="K50" s="27"/>
      <c r="L50" s="27"/>
    </row>
    <row r="51" customFormat="false" ht="15" hidden="false" customHeight="true" outlineLevel="0" collapsed="false">
      <c r="A51" s="27"/>
      <c r="B51" s="27" t="s">
        <v>176</v>
      </c>
      <c r="C51" s="28" t="n">
        <v>1</v>
      </c>
      <c r="D51" s="28" t="n">
        <v>98.69</v>
      </c>
      <c r="E51" s="28" t="n">
        <v>0.6</v>
      </c>
      <c r="F51" s="28"/>
      <c r="G51" s="28"/>
      <c r="H51" s="28"/>
      <c r="I51" s="28"/>
      <c r="J51" s="28" t="n">
        <f aca="false">C51*D51*E51</f>
        <v>59.214</v>
      </c>
      <c r="K51" s="27"/>
      <c r="L51" s="27"/>
    </row>
    <row r="52" customFormat="false" ht="15" hidden="false" customHeight="true" outlineLevel="0" collapsed="false">
      <c r="A52" s="27"/>
      <c r="B52" s="27" t="s">
        <v>177</v>
      </c>
      <c r="C52" s="28" t="n">
        <v>1</v>
      </c>
      <c r="D52" s="28" t="n">
        <v>23.6</v>
      </c>
      <c r="E52" s="28" t="n">
        <v>0.6</v>
      </c>
      <c r="F52" s="28"/>
      <c r="G52" s="28"/>
      <c r="H52" s="28"/>
      <c r="I52" s="28"/>
      <c r="J52" s="28" t="n">
        <f aca="false">C52*D52*E52</f>
        <v>14.16</v>
      </c>
      <c r="K52" s="27"/>
      <c r="L52" s="27"/>
    </row>
    <row r="53" customFormat="false" ht="15" hidden="false" customHeight="true" outlineLevel="0" collapsed="false">
      <c r="A53" s="27"/>
      <c r="B53" s="27" t="s">
        <v>178</v>
      </c>
      <c r="C53" s="28" t="n">
        <v>1</v>
      </c>
      <c r="D53" s="28" t="n">
        <v>60.6</v>
      </c>
      <c r="E53" s="28" t="n">
        <v>0.6</v>
      </c>
      <c r="F53" s="28"/>
      <c r="G53" s="28"/>
      <c r="H53" s="28"/>
      <c r="I53" s="28"/>
      <c r="J53" s="28" t="n">
        <f aca="false">C53*D53*E53</f>
        <v>36.36</v>
      </c>
      <c r="K53" s="27"/>
      <c r="L53" s="27"/>
    </row>
    <row r="54" customFormat="false" ht="15" hidden="false" customHeight="true" outlineLevel="0" collapsed="false">
      <c r="A54" s="27"/>
      <c r="B54" s="27" t="s">
        <v>179</v>
      </c>
      <c r="C54" s="28" t="n">
        <v>1</v>
      </c>
      <c r="D54" s="28" t="n">
        <v>42.66</v>
      </c>
      <c r="E54" s="28" t="n">
        <v>0.6</v>
      </c>
      <c r="F54" s="28"/>
      <c r="G54" s="28"/>
      <c r="H54" s="28"/>
      <c r="I54" s="28"/>
      <c r="J54" s="28" t="n">
        <f aca="false">C54*D54*E54</f>
        <v>25.596</v>
      </c>
      <c r="K54" s="27"/>
      <c r="L54" s="27"/>
    </row>
    <row r="55" s="32" customFormat="true" ht="30.75" hidden="false" customHeight="true" outlineLevel="0" collapsed="false">
      <c r="A55" s="25" t="s">
        <v>30</v>
      </c>
      <c r="B55" s="25" t="s">
        <v>847</v>
      </c>
      <c r="C55" s="26"/>
      <c r="D55" s="26"/>
      <c r="E55" s="26"/>
      <c r="F55" s="26"/>
      <c r="G55" s="26"/>
      <c r="H55" s="26"/>
      <c r="I55" s="26"/>
      <c r="J55" s="26"/>
      <c r="K55" s="26" t="n">
        <f aca="false">SUM(J56:J64)</f>
        <v>293.66208</v>
      </c>
      <c r="L55" s="25" t="s">
        <v>25</v>
      </c>
    </row>
    <row r="56" customFormat="false" ht="15" hidden="false" customHeight="true" outlineLevel="0" collapsed="false">
      <c r="A56" s="27"/>
      <c r="B56" s="27" t="s">
        <v>171</v>
      </c>
      <c r="C56" s="28" t="n">
        <v>1</v>
      </c>
      <c r="D56" s="28" t="n">
        <v>111.53</v>
      </c>
      <c r="E56" s="28" t="n">
        <v>0.8</v>
      </c>
      <c r="F56" s="28" t="n">
        <v>0.65</v>
      </c>
      <c r="G56" s="28"/>
      <c r="H56" s="28"/>
      <c r="I56" s="28"/>
      <c r="J56" s="28" t="n">
        <f aca="false">C56*D56*E56*(F56+PARAMETROS!$B$15)</f>
        <v>66.918</v>
      </c>
      <c r="K56" s="27"/>
      <c r="L56" s="27"/>
    </row>
    <row r="57" customFormat="false" ht="15" hidden="false" customHeight="true" outlineLevel="0" collapsed="false">
      <c r="A57" s="27"/>
      <c r="B57" s="27" t="s">
        <v>172</v>
      </c>
      <c r="C57" s="28" t="n">
        <v>1</v>
      </c>
      <c r="D57" s="28" t="n">
        <v>34.25</v>
      </c>
      <c r="E57" s="28" t="n">
        <v>0.8</v>
      </c>
      <c r="F57" s="28" t="n">
        <v>0.49</v>
      </c>
      <c r="G57" s="28"/>
      <c r="H57" s="28"/>
      <c r="I57" s="28"/>
      <c r="J57" s="28" t="n">
        <f aca="false">C57*D57*E57*(F57+PARAMETROS!$B$15)</f>
        <v>16.166</v>
      </c>
      <c r="K57" s="27"/>
      <c r="L57" s="27"/>
    </row>
    <row r="58" customFormat="false" ht="15" hidden="false" customHeight="true" outlineLevel="0" collapsed="false">
      <c r="A58" s="27"/>
      <c r="B58" s="27" t="s">
        <v>173</v>
      </c>
      <c r="C58" s="28" t="n">
        <v>1</v>
      </c>
      <c r="D58" s="28" t="n">
        <v>22.4</v>
      </c>
      <c r="E58" s="28" t="n">
        <v>0.8</v>
      </c>
      <c r="F58" s="28" t="n">
        <v>0.46</v>
      </c>
      <c r="G58" s="28"/>
      <c r="H58" s="28"/>
      <c r="I58" s="28"/>
      <c r="J58" s="28" t="n">
        <f aca="false">C58*D58*E58*(F58+PARAMETROS!$B$15)</f>
        <v>10.0352</v>
      </c>
      <c r="K58" s="27"/>
      <c r="L58" s="27"/>
    </row>
    <row r="59" customFormat="false" ht="15" hidden="false" customHeight="true" outlineLevel="0" collapsed="false">
      <c r="A59" s="27"/>
      <c r="B59" s="27" t="s">
        <v>174</v>
      </c>
      <c r="C59" s="28" t="n">
        <v>1</v>
      </c>
      <c r="D59" s="28" t="n">
        <v>102.31</v>
      </c>
      <c r="E59" s="28" t="n">
        <v>0.8</v>
      </c>
      <c r="F59" s="28" t="n">
        <v>0.63</v>
      </c>
      <c r="G59" s="28"/>
      <c r="H59" s="28"/>
      <c r="I59" s="28"/>
      <c r="J59" s="28" t="n">
        <f aca="false">C59*D59*E59*(F59+PARAMETROS!$B$15)</f>
        <v>59.74904</v>
      </c>
      <c r="K59" s="27"/>
      <c r="L59" s="27"/>
    </row>
    <row r="60" customFormat="false" ht="15" hidden="false" customHeight="true" outlineLevel="0" collapsed="false">
      <c r="A60" s="27"/>
      <c r="B60" s="27" t="s">
        <v>175</v>
      </c>
      <c r="C60" s="28" t="n">
        <v>1</v>
      </c>
      <c r="D60" s="28" t="n">
        <v>42.2</v>
      </c>
      <c r="E60" s="28" t="n">
        <v>0.8</v>
      </c>
      <c r="F60" s="28" t="n">
        <v>0.5</v>
      </c>
      <c r="G60" s="28"/>
      <c r="H60" s="28"/>
      <c r="I60" s="28"/>
      <c r="J60" s="28" t="n">
        <f aca="false">C60*D60*E60*(F60+PARAMETROS!$B$15)</f>
        <v>20.256</v>
      </c>
      <c r="K60" s="27"/>
      <c r="L60" s="27"/>
    </row>
    <row r="61" customFormat="false" ht="15" hidden="false" customHeight="true" outlineLevel="0" collapsed="false">
      <c r="A61" s="27"/>
      <c r="B61" s="27" t="s">
        <v>176</v>
      </c>
      <c r="C61" s="28" t="n">
        <v>1</v>
      </c>
      <c r="D61" s="28" t="n">
        <v>98.69</v>
      </c>
      <c r="E61" s="28" t="n">
        <v>0.8</v>
      </c>
      <c r="F61" s="28" t="n">
        <v>0.63</v>
      </c>
      <c r="G61" s="28"/>
      <c r="H61" s="28"/>
      <c r="I61" s="28"/>
      <c r="J61" s="28" t="n">
        <f aca="false">C61*D61*E61*(F61+PARAMETROS!$B$15)</f>
        <v>57.63496</v>
      </c>
      <c r="K61" s="27"/>
      <c r="L61" s="27"/>
    </row>
    <row r="62" customFormat="false" ht="15" hidden="false" customHeight="true" outlineLevel="0" collapsed="false">
      <c r="A62" s="27"/>
      <c r="B62" s="27" t="s">
        <v>177</v>
      </c>
      <c r="C62" s="28" t="n">
        <v>1</v>
      </c>
      <c r="D62" s="28" t="n">
        <v>23.6</v>
      </c>
      <c r="E62" s="28" t="n">
        <v>0.8</v>
      </c>
      <c r="F62" s="28" t="n">
        <v>0.46</v>
      </c>
      <c r="G62" s="28"/>
      <c r="H62" s="28"/>
      <c r="I62" s="28"/>
      <c r="J62" s="28" t="n">
        <f aca="false">C62*D62*E62*(F62+PARAMETROS!$B$15)</f>
        <v>10.5728</v>
      </c>
      <c r="K62" s="27"/>
      <c r="L62" s="27"/>
    </row>
    <row r="63" customFormat="false" ht="15" hidden="false" customHeight="true" outlineLevel="0" collapsed="false">
      <c r="A63" s="27"/>
      <c r="B63" s="27" t="s">
        <v>178</v>
      </c>
      <c r="C63" s="28" t="n">
        <v>1</v>
      </c>
      <c r="D63" s="28" t="n">
        <v>60.6</v>
      </c>
      <c r="E63" s="28" t="n">
        <v>0.8</v>
      </c>
      <c r="F63" s="28" t="n">
        <v>0.55</v>
      </c>
      <c r="G63" s="28"/>
      <c r="H63" s="28"/>
      <c r="I63" s="28"/>
      <c r="J63" s="28" t="n">
        <f aca="false">C63*D63*E63*(F63+PARAMETROS!$B$15)</f>
        <v>31.512</v>
      </c>
      <c r="K63" s="27"/>
      <c r="L63" s="27"/>
    </row>
    <row r="64" customFormat="false" ht="15" hidden="false" customHeight="true" outlineLevel="0" collapsed="false">
      <c r="A64" s="27"/>
      <c r="B64" s="27" t="s">
        <v>179</v>
      </c>
      <c r="C64" s="28" t="n">
        <v>1</v>
      </c>
      <c r="D64" s="28" t="n">
        <v>42.66</v>
      </c>
      <c r="E64" s="28" t="n">
        <v>0.8</v>
      </c>
      <c r="F64" s="28" t="n">
        <v>0.51</v>
      </c>
      <c r="G64" s="28"/>
      <c r="H64" s="28"/>
      <c r="I64" s="28"/>
      <c r="J64" s="28" t="n">
        <f aca="false">C64*D64*E64*(F64+PARAMETROS!$B$15)</f>
        <v>20.81808</v>
      </c>
      <c r="K64" s="27"/>
      <c r="L64" s="27"/>
    </row>
    <row r="65" customFormat="false" ht="30.75" hidden="false" customHeight="true" outlineLevel="0" collapsed="false">
      <c r="A65" s="25" t="s">
        <v>32</v>
      </c>
      <c r="B65" s="25" t="s">
        <v>848</v>
      </c>
      <c r="C65" s="26"/>
      <c r="D65" s="26"/>
      <c r="E65" s="26"/>
      <c r="F65" s="26"/>
      <c r="G65" s="28" t="n">
        <f aca="false">PARAMETROS!$B$16</f>
        <v>1.2</v>
      </c>
      <c r="H65" s="26"/>
      <c r="I65" s="26"/>
      <c r="J65" s="26"/>
      <c r="K65" s="26" t="n">
        <f aca="false">(J66+J67)*G65</f>
        <v>264.295872</v>
      </c>
      <c r="L65" s="25" t="s">
        <v>25</v>
      </c>
    </row>
    <row r="66" customFormat="false" ht="30.75" hidden="false" customHeight="true" outlineLevel="0" collapsed="false">
      <c r="A66" s="27"/>
      <c r="B66" s="27" t="s">
        <v>181</v>
      </c>
      <c r="C66" s="28"/>
      <c r="D66" s="28"/>
      <c r="E66" s="28"/>
      <c r="F66" s="28"/>
      <c r="G66" s="28" t="n">
        <v>1</v>
      </c>
      <c r="H66" s="28"/>
      <c r="I66" s="28" t="n">
        <f aca="false">+K32</f>
        <v>513.90864</v>
      </c>
      <c r="J66" s="28" t="n">
        <f aca="false">G66*I66</f>
        <v>513.90864</v>
      </c>
      <c r="K66" s="27"/>
      <c r="L66" s="27"/>
    </row>
    <row r="67" customFormat="false" ht="30.75" hidden="false" customHeight="true" outlineLevel="0" collapsed="false">
      <c r="A67" s="27"/>
      <c r="B67" s="27" t="s">
        <v>182</v>
      </c>
      <c r="C67" s="28"/>
      <c r="D67" s="28"/>
      <c r="E67" s="28"/>
      <c r="F67" s="28"/>
      <c r="G67" s="28" t="n">
        <v>-1</v>
      </c>
      <c r="H67" s="28"/>
      <c r="I67" s="28" t="n">
        <f aca="false">+K55</f>
        <v>293.66208</v>
      </c>
      <c r="J67" s="28" t="n">
        <f aca="false">G67*I67</f>
        <v>-293.66208</v>
      </c>
      <c r="K67" s="27"/>
      <c r="L67" s="27"/>
    </row>
    <row r="68" customFormat="false" ht="15" hidden="false" customHeight="true" outlineLevel="0" collapsed="false">
      <c r="A68" s="24" t="s">
        <v>34</v>
      </c>
      <c r="B68" s="24" t="s">
        <v>35</v>
      </c>
      <c r="C68" s="30"/>
      <c r="D68" s="30"/>
      <c r="E68" s="30"/>
      <c r="F68" s="30"/>
      <c r="G68" s="30"/>
      <c r="H68" s="30"/>
      <c r="I68" s="30"/>
      <c r="J68" s="30"/>
      <c r="K68" s="24"/>
      <c r="L68" s="24"/>
    </row>
    <row r="69" customFormat="false" ht="30.75" hidden="false" customHeight="true" outlineLevel="0" collapsed="false">
      <c r="A69" s="25" t="s">
        <v>36</v>
      </c>
      <c r="B69" s="25" t="s">
        <v>37</v>
      </c>
      <c r="C69" s="26"/>
      <c r="D69" s="26"/>
      <c r="E69" s="26"/>
      <c r="F69" s="26"/>
      <c r="G69" s="26"/>
      <c r="H69" s="26"/>
      <c r="I69" s="26"/>
      <c r="J69" s="26"/>
      <c r="K69" s="26" t="n">
        <f aca="false">SUM(J70:J78)</f>
        <v>322.944</v>
      </c>
      <c r="L69" s="25" t="s">
        <v>18</v>
      </c>
    </row>
    <row r="70" customFormat="false" ht="15" hidden="false" customHeight="true" outlineLevel="0" collapsed="false">
      <c r="A70" s="27"/>
      <c r="B70" s="27" t="s">
        <v>171</v>
      </c>
      <c r="C70" s="28" t="n">
        <v>1</v>
      </c>
      <c r="D70" s="28" t="n">
        <v>111.53</v>
      </c>
      <c r="E70" s="28" t="n">
        <v>0.6</v>
      </c>
      <c r="F70" s="28"/>
      <c r="G70" s="28"/>
      <c r="H70" s="28"/>
      <c r="I70" s="28"/>
      <c r="J70" s="28" t="n">
        <f aca="false">C70*D70*E70</f>
        <v>66.918</v>
      </c>
      <c r="K70" s="27"/>
      <c r="L70" s="27"/>
    </row>
    <row r="71" customFormat="false" ht="15" hidden="false" customHeight="true" outlineLevel="0" collapsed="false">
      <c r="A71" s="27"/>
      <c r="B71" s="27" t="s">
        <v>172</v>
      </c>
      <c r="C71" s="28" t="n">
        <v>1</v>
      </c>
      <c r="D71" s="28" t="n">
        <v>34.25</v>
      </c>
      <c r="E71" s="28" t="n">
        <v>0.6</v>
      </c>
      <c r="F71" s="28"/>
      <c r="G71" s="28"/>
      <c r="H71" s="28"/>
      <c r="I71" s="28"/>
      <c r="J71" s="28" t="n">
        <f aca="false">C71*D71*E71</f>
        <v>20.55</v>
      </c>
      <c r="K71" s="27"/>
      <c r="L71" s="27"/>
    </row>
    <row r="72" customFormat="false" ht="15" hidden="false" customHeight="true" outlineLevel="0" collapsed="false">
      <c r="A72" s="27"/>
      <c r="B72" s="27" t="s">
        <v>173</v>
      </c>
      <c r="C72" s="28" t="n">
        <v>1</v>
      </c>
      <c r="D72" s="28" t="n">
        <v>22.4</v>
      </c>
      <c r="E72" s="28" t="n">
        <v>0.6</v>
      </c>
      <c r="F72" s="28"/>
      <c r="G72" s="28"/>
      <c r="H72" s="28"/>
      <c r="I72" s="28"/>
      <c r="J72" s="28" t="n">
        <f aca="false">C72*D72*E72</f>
        <v>13.44</v>
      </c>
      <c r="K72" s="27"/>
      <c r="L72" s="27"/>
    </row>
    <row r="73" customFormat="false" ht="15" hidden="false" customHeight="true" outlineLevel="0" collapsed="false">
      <c r="A73" s="27"/>
      <c r="B73" s="27" t="s">
        <v>174</v>
      </c>
      <c r="C73" s="28" t="n">
        <v>1</v>
      </c>
      <c r="D73" s="28" t="n">
        <v>102.31</v>
      </c>
      <c r="E73" s="28" t="n">
        <v>0.6</v>
      </c>
      <c r="F73" s="28"/>
      <c r="G73" s="28"/>
      <c r="H73" s="28"/>
      <c r="I73" s="28"/>
      <c r="J73" s="28" t="n">
        <f aca="false">C73*D73*E73</f>
        <v>61.386</v>
      </c>
      <c r="K73" s="27"/>
      <c r="L73" s="27"/>
    </row>
    <row r="74" customFormat="false" ht="15" hidden="false" customHeight="true" outlineLevel="0" collapsed="false">
      <c r="A74" s="27"/>
      <c r="B74" s="27" t="s">
        <v>175</v>
      </c>
      <c r="C74" s="28" t="n">
        <v>1</v>
      </c>
      <c r="D74" s="28" t="n">
        <v>42.2</v>
      </c>
      <c r="E74" s="28" t="n">
        <v>0.6</v>
      </c>
      <c r="F74" s="28"/>
      <c r="G74" s="28"/>
      <c r="H74" s="28"/>
      <c r="I74" s="28"/>
      <c r="J74" s="28" t="n">
        <f aca="false">C74*D74*E74</f>
        <v>25.32</v>
      </c>
      <c r="K74" s="27"/>
      <c r="L74" s="27"/>
    </row>
    <row r="75" customFormat="false" ht="15" hidden="false" customHeight="true" outlineLevel="0" collapsed="false">
      <c r="A75" s="27"/>
      <c r="B75" s="27" t="s">
        <v>176</v>
      </c>
      <c r="C75" s="28" t="n">
        <v>1</v>
      </c>
      <c r="D75" s="28" t="n">
        <v>98.69</v>
      </c>
      <c r="E75" s="28" t="n">
        <v>0.6</v>
      </c>
      <c r="F75" s="28"/>
      <c r="G75" s="28"/>
      <c r="H75" s="28"/>
      <c r="I75" s="28"/>
      <c r="J75" s="28" t="n">
        <f aca="false">C75*D75*E75</f>
        <v>59.214</v>
      </c>
      <c r="K75" s="27"/>
      <c r="L75" s="27"/>
    </row>
    <row r="76" customFormat="false" ht="15" hidden="false" customHeight="true" outlineLevel="0" collapsed="false">
      <c r="A76" s="27"/>
      <c r="B76" s="27" t="s">
        <v>177</v>
      </c>
      <c r="C76" s="28" t="n">
        <v>1</v>
      </c>
      <c r="D76" s="28" t="n">
        <v>23.6</v>
      </c>
      <c r="E76" s="28" t="n">
        <v>0.6</v>
      </c>
      <c r="F76" s="28"/>
      <c r="G76" s="28"/>
      <c r="H76" s="28"/>
      <c r="I76" s="28"/>
      <c r="J76" s="28" t="n">
        <f aca="false">C76*D76*E76</f>
        <v>14.16</v>
      </c>
      <c r="K76" s="27"/>
      <c r="L76" s="27"/>
    </row>
    <row r="77" customFormat="false" ht="15" hidden="false" customHeight="true" outlineLevel="0" collapsed="false">
      <c r="A77" s="27"/>
      <c r="B77" s="27" t="s">
        <v>178</v>
      </c>
      <c r="C77" s="28" t="n">
        <v>1</v>
      </c>
      <c r="D77" s="28" t="n">
        <v>60.6</v>
      </c>
      <c r="E77" s="28" t="n">
        <v>0.6</v>
      </c>
      <c r="F77" s="28"/>
      <c r="G77" s="28"/>
      <c r="H77" s="28"/>
      <c r="I77" s="28"/>
      <c r="J77" s="28" t="n">
        <f aca="false">C77*D77*E77</f>
        <v>36.36</v>
      </c>
      <c r="K77" s="27"/>
      <c r="L77" s="27"/>
    </row>
    <row r="78" customFormat="false" ht="15" hidden="false" customHeight="true" outlineLevel="0" collapsed="false">
      <c r="A78" s="27"/>
      <c r="B78" s="27" t="s">
        <v>179</v>
      </c>
      <c r="C78" s="28" t="n">
        <v>1</v>
      </c>
      <c r="D78" s="28" t="n">
        <v>42.66</v>
      </c>
      <c r="E78" s="28" t="n">
        <v>0.6</v>
      </c>
      <c r="F78" s="28"/>
      <c r="G78" s="28"/>
      <c r="H78" s="28"/>
      <c r="I78" s="28"/>
      <c r="J78" s="28" t="n">
        <f aca="false">C78*D78*E78</f>
        <v>25.596</v>
      </c>
      <c r="K78" s="27"/>
      <c r="L78" s="27"/>
    </row>
    <row r="79" customFormat="false" ht="30.75" hidden="false" customHeight="true" outlineLevel="0" collapsed="false">
      <c r="A79" s="25" t="s">
        <v>38</v>
      </c>
      <c r="B79" s="25" t="s">
        <v>39</v>
      </c>
      <c r="C79" s="26" t="n">
        <v>56</v>
      </c>
      <c r="D79" s="26"/>
      <c r="E79" s="26"/>
      <c r="F79" s="26"/>
      <c r="G79" s="26"/>
      <c r="H79" s="26"/>
      <c r="I79" s="26"/>
      <c r="J79" s="26"/>
      <c r="K79" s="26" t="n">
        <f aca="false">J80*C79</f>
        <v>3.136</v>
      </c>
      <c r="L79" s="25" t="s">
        <v>25</v>
      </c>
    </row>
    <row r="80" customFormat="false" ht="20.25" hidden="false" customHeight="true" outlineLevel="0" collapsed="false">
      <c r="A80" s="33"/>
      <c r="B80" s="33" t="s">
        <v>180</v>
      </c>
      <c r="C80" s="34"/>
      <c r="D80" s="34" t="n">
        <v>0.4</v>
      </c>
      <c r="E80" s="34" t="n">
        <v>0.35</v>
      </c>
      <c r="F80" s="34" t="n">
        <v>0.4</v>
      </c>
      <c r="G80" s="34"/>
      <c r="H80" s="34"/>
      <c r="I80" s="34"/>
      <c r="J80" s="34" t="n">
        <f aca="false">D80*E80*F80</f>
        <v>0.056</v>
      </c>
      <c r="K80" s="34"/>
      <c r="L80" s="33"/>
    </row>
    <row r="81" customFormat="false" ht="20.25" hidden="false" customHeight="true" outlineLevel="0" collapsed="false">
      <c r="A81" s="24" t="s">
        <v>40</v>
      </c>
      <c r="B81" s="24" t="s">
        <v>41</v>
      </c>
      <c r="C81" s="30"/>
      <c r="D81" s="30"/>
      <c r="E81" s="30"/>
      <c r="F81" s="30"/>
      <c r="G81" s="30"/>
      <c r="H81" s="30"/>
      <c r="I81" s="30"/>
      <c r="J81" s="30"/>
      <c r="K81" s="30"/>
      <c r="L81" s="24"/>
    </row>
    <row r="82" customFormat="false" ht="15" hidden="false" customHeight="true" outlineLevel="0" collapsed="false">
      <c r="A82" s="35" t="s">
        <v>42</v>
      </c>
      <c r="B82" s="35" t="s">
        <v>43</v>
      </c>
      <c r="C82" s="36"/>
      <c r="D82" s="36"/>
      <c r="E82" s="36"/>
      <c r="F82" s="36"/>
      <c r="G82" s="36"/>
      <c r="H82" s="36"/>
      <c r="I82" s="36"/>
      <c r="J82" s="36"/>
      <c r="K82" s="36"/>
      <c r="L82" s="35"/>
    </row>
    <row r="83" customFormat="false" ht="30.75" hidden="false" customHeight="true" outlineLevel="0" collapsed="false">
      <c r="A83" s="25" t="s">
        <v>44</v>
      </c>
      <c r="B83" s="25" t="s">
        <v>849</v>
      </c>
      <c r="C83" s="26"/>
      <c r="D83" s="26"/>
      <c r="E83" s="26"/>
      <c r="F83" s="26"/>
      <c r="G83" s="26"/>
      <c r="H83" s="26"/>
      <c r="I83" s="26"/>
      <c r="J83" s="26"/>
      <c r="K83" s="26" t="n">
        <f aca="false">SUM(J84:J92)</f>
        <v>94.1398</v>
      </c>
      <c r="L83" s="25" t="s">
        <v>25</v>
      </c>
    </row>
    <row r="84" customFormat="false" ht="15" hidden="false" customHeight="true" outlineLevel="0" collapsed="false">
      <c r="A84" s="27"/>
      <c r="B84" s="27" t="s">
        <v>171</v>
      </c>
      <c r="C84" s="28" t="n">
        <v>1</v>
      </c>
      <c r="D84" s="28"/>
      <c r="E84" s="28"/>
      <c r="F84" s="28"/>
      <c r="G84" s="28"/>
      <c r="H84" s="28"/>
      <c r="I84" s="28"/>
      <c r="J84" s="28" t="n">
        <f aca="false">+'CONCRETO EN CUNETAS'!G10</f>
        <v>21.3456</v>
      </c>
      <c r="K84" s="28"/>
      <c r="L84" s="27"/>
    </row>
    <row r="85" customFormat="false" ht="15" hidden="false" customHeight="true" outlineLevel="0" collapsed="false">
      <c r="A85" s="27"/>
      <c r="B85" s="27" t="s">
        <v>172</v>
      </c>
      <c r="C85" s="28" t="n">
        <v>1</v>
      </c>
      <c r="D85" s="28"/>
      <c r="E85" s="28"/>
      <c r="F85" s="28"/>
      <c r="G85" s="28"/>
      <c r="H85" s="28"/>
      <c r="I85" s="28"/>
      <c r="J85" s="28" t="n">
        <f aca="false">+'CONCRETO EN CUNETAS'!G22</f>
        <v>4.693</v>
      </c>
      <c r="K85" s="28"/>
      <c r="L85" s="27"/>
    </row>
    <row r="86" customFormat="false" ht="15" hidden="false" customHeight="true" outlineLevel="0" collapsed="false">
      <c r="A86" s="27"/>
      <c r="B86" s="27" t="s">
        <v>173</v>
      </c>
      <c r="C86" s="28" t="n">
        <v>1</v>
      </c>
      <c r="D86" s="28"/>
      <c r="E86" s="28"/>
      <c r="F86" s="28"/>
      <c r="G86" s="28"/>
      <c r="H86" s="28"/>
      <c r="I86" s="28"/>
      <c r="J86" s="28" t="n">
        <f aca="false">+'CONCRETO EN CUNETAS'!G34</f>
        <v>2.94</v>
      </c>
      <c r="K86" s="28"/>
      <c r="L86" s="27"/>
    </row>
    <row r="87" customFormat="false" ht="15" hidden="false" customHeight="true" outlineLevel="0" collapsed="false">
      <c r="A87" s="27"/>
      <c r="B87" s="27" t="s">
        <v>174</v>
      </c>
      <c r="C87" s="28" t="n">
        <v>1</v>
      </c>
      <c r="D87" s="28"/>
      <c r="E87" s="28"/>
      <c r="F87" s="28"/>
      <c r="G87" s="28"/>
      <c r="H87" s="28"/>
      <c r="I87" s="28"/>
      <c r="J87" s="28" t="n">
        <f aca="false">+'CONCRETO EN CUNETAS'!G46</f>
        <v>18.8362</v>
      </c>
      <c r="K87" s="28"/>
      <c r="L87" s="27"/>
    </row>
    <row r="88" customFormat="false" ht="15" hidden="false" customHeight="true" outlineLevel="0" collapsed="false">
      <c r="A88" s="27"/>
      <c r="B88" s="27" t="s">
        <v>175</v>
      </c>
      <c r="C88" s="28" t="n">
        <v>1</v>
      </c>
      <c r="D88" s="28"/>
      <c r="E88" s="28"/>
      <c r="F88" s="28"/>
      <c r="G88" s="28"/>
      <c r="H88" s="28"/>
      <c r="I88" s="28"/>
      <c r="J88" s="28" t="n">
        <f aca="false">+'CONCRETO EN CUNETAS'!G58</f>
        <v>6.54</v>
      </c>
      <c r="K88" s="28"/>
      <c r="L88" s="27"/>
    </row>
    <row r="89" customFormat="false" ht="15" hidden="false" customHeight="true" outlineLevel="0" collapsed="false">
      <c r="A89" s="27"/>
      <c r="B89" s="27" t="s">
        <v>176</v>
      </c>
      <c r="C89" s="28" t="n">
        <v>1</v>
      </c>
      <c r="D89" s="28"/>
      <c r="E89" s="28"/>
      <c r="F89" s="28"/>
      <c r="G89" s="28"/>
      <c r="H89" s="28"/>
      <c r="I89" s="28"/>
      <c r="J89" s="28" t="n">
        <f aca="false">+'CONCRETO EN CUNETAS'!G70</f>
        <v>20.4348</v>
      </c>
      <c r="K89" s="28"/>
      <c r="L89" s="27"/>
    </row>
    <row r="90" customFormat="false" ht="15" hidden="false" customHeight="true" outlineLevel="0" collapsed="false">
      <c r="A90" s="27"/>
      <c r="B90" s="27" t="s">
        <v>177</v>
      </c>
      <c r="C90" s="28" t="n">
        <v>1</v>
      </c>
      <c r="D90" s="28"/>
      <c r="E90" s="28"/>
      <c r="F90" s="28"/>
      <c r="G90" s="28"/>
      <c r="H90" s="28"/>
      <c r="I90" s="28"/>
      <c r="J90" s="28" t="n">
        <f aca="false">+'CONCRETO EN CUNETAS'!O10</f>
        <v>3.108</v>
      </c>
      <c r="K90" s="28"/>
      <c r="L90" s="27"/>
    </row>
    <row r="91" customFormat="false" ht="15" hidden="false" customHeight="true" outlineLevel="0" collapsed="false">
      <c r="A91" s="27"/>
      <c r="B91" s="27" t="s">
        <v>178</v>
      </c>
      <c r="C91" s="28" t="n">
        <v>1</v>
      </c>
      <c r="D91" s="28"/>
      <c r="E91" s="28"/>
      <c r="F91" s="28"/>
      <c r="G91" s="28"/>
      <c r="H91" s="28"/>
      <c r="I91" s="28"/>
      <c r="J91" s="28" t="n">
        <f aca="false">+'CONCRETO EN CUNETAS'!O22</f>
        <v>9.749</v>
      </c>
      <c r="K91" s="28"/>
      <c r="L91" s="27"/>
    </row>
    <row r="92" customFormat="false" ht="15" hidden="false" customHeight="true" outlineLevel="0" collapsed="false">
      <c r="A92" s="27"/>
      <c r="B92" s="27" t="s">
        <v>179</v>
      </c>
      <c r="C92" s="28" t="n">
        <v>1</v>
      </c>
      <c r="D92" s="28"/>
      <c r="E92" s="28"/>
      <c r="F92" s="28"/>
      <c r="G92" s="28"/>
      <c r="H92" s="28"/>
      <c r="I92" s="28"/>
      <c r="J92" s="28" t="n">
        <f aca="false">+'CONCRETO EN CUNETAS'!O34</f>
        <v>6.4932</v>
      </c>
      <c r="K92" s="28"/>
      <c r="L92" s="27"/>
    </row>
    <row r="93" customFormat="false" ht="30.75" hidden="false" customHeight="true" outlineLevel="0" collapsed="false">
      <c r="A93" s="25" t="s">
        <v>46</v>
      </c>
      <c r="B93" s="25" t="s">
        <v>850</v>
      </c>
      <c r="C93" s="26"/>
      <c r="D93" s="26"/>
      <c r="E93" s="26"/>
      <c r="F93" s="26"/>
      <c r="G93" s="26"/>
      <c r="H93" s="26"/>
      <c r="I93" s="26"/>
      <c r="J93" s="26"/>
      <c r="K93" s="26" t="n">
        <f aca="false">SUM(J94:J102)</f>
        <v>1245.916</v>
      </c>
      <c r="L93" s="25" t="s">
        <v>18</v>
      </c>
    </row>
    <row r="94" customFormat="false" ht="15" hidden="false" customHeight="true" outlineLevel="0" collapsed="false">
      <c r="A94" s="27"/>
      <c r="B94" s="27" t="s">
        <v>171</v>
      </c>
      <c r="C94" s="28" t="n">
        <v>1</v>
      </c>
      <c r="D94" s="28"/>
      <c r="E94" s="28"/>
      <c r="F94" s="28"/>
      <c r="G94" s="28"/>
      <c r="H94" s="28"/>
      <c r="I94" s="28"/>
      <c r="J94" s="28" t="n">
        <f aca="false">+'ENCOFRADO Y DESENCOFRADO'!H12</f>
        <v>291.252</v>
      </c>
      <c r="K94" s="28"/>
      <c r="L94" s="27"/>
    </row>
    <row r="95" customFormat="false" ht="15" hidden="false" customHeight="true" outlineLevel="0" collapsed="false">
      <c r="A95" s="27"/>
      <c r="B95" s="27" t="s">
        <v>172</v>
      </c>
      <c r="C95" s="28" t="n">
        <v>1</v>
      </c>
      <c r="D95" s="28"/>
      <c r="E95" s="28"/>
      <c r="F95" s="28"/>
      <c r="G95" s="28"/>
      <c r="H95" s="28"/>
      <c r="I95" s="28"/>
      <c r="J95" s="28" t="n">
        <f aca="false">+'ENCOFRADO Y DESENCOFRADO'!P12</f>
        <v>59.62</v>
      </c>
      <c r="K95" s="28"/>
      <c r="L95" s="27"/>
    </row>
    <row r="96" customFormat="false" ht="15" hidden="false" customHeight="true" outlineLevel="0" collapsed="false">
      <c r="A96" s="27"/>
      <c r="B96" s="27" t="s">
        <v>173</v>
      </c>
      <c r="C96" s="28" t="n">
        <v>1</v>
      </c>
      <c r="D96" s="28"/>
      <c r="E96" s="28"/>
      <c r="F96" s="28"/>
      <c r="G96" s="28"/>
      <c r="H96" s="28"/>
      <c r="I96" s="28"/>
      <c r="J96" s="28" t="n">
        <f aca="false">+'ENCOFRADO Y DESENCOFRADO'!H23</f>
        <v>36.4</v>
      </c>
      <c r="K96" s="28"/>
      <c r="L96" s="27"/>
    </row>
    <row r="97" customFormat="false" ht="15" hidden="false" customHeight="true" outlineLevel="0" collapsed="false">
      <c r="A97" s="27"/>
      <c r="B97" s="27" t="s">
        <v>174</v>
      </c>
      <c r="C97" s="28" t="n">
        <v>1</v>
      </c>
      <c r="D97" s="28"/>
      <c r="E97" s="28"/>
      <c r="F97" s="28"/>
      <c r="G97" s="28"/>
      <c r="H97" s="28"/>
      <c r="I97" s="28"/>
      <c r="J97" s="28" t="n">
        <f aca="false">+'ENCOFRADO Y DESENCOFRADO'!P23</f>
        <v>256.004</v>
      </c>
      <c r="K97" s="28"/>
      <c r="L97" s="27"/>
    </row>
    <row r="98" customFormat="false" ht="15" hidden="false" customHeight="true" outlineLevel="0" collapsed="false">
      <c r="A98" s="27"/>
      <c r="B98" s="27" t="s">
        <v>175</v>
      </c>
      <c r="C98" s="28" t="n">
        <v>1</v>
      </c>
      <c r="D98" s="28"/>
      <c r="E98" s="28"/>
      <c r="F98" s="28"/>
      <c r="G98" s="28"/>
      <c r="H98" s="28"/>
      <c r="I98" s="28"/>
      <c r="J98" s="28" t="n">
        <f aca="false">+'ENCOFRADO Y DESENCOFRADO'!H34</f>
        <v>82.66</v>
      </c>
      <c r="K98" s="28"/>
      <c r="L98" s="27"/>
    </row>
    <row r="99" customFormat="false" ht="15" hidden="false" customHeight="true" outlineLevel="0" collapsed="false">
      <c r="A99" s="27"/>
      <c r="B99" s="27" t="s">
        <v>176</v>
      </c>
      <c r="C99" s="28" t="n">
        <v>1</v>
      </c>
      <c r="D99" s="28"/>
      <c r="E99" s="28"/>
      <c r="F99" s="28"/>
      <c r="G99" s="28"/>
      <c r="H99" s="28"/>
      <c r="I99" s="28"/>
      <c r="J99" s="28" t="n">
        <f aca="false">+'ENCOFRADO Y DESENCOFRADO'!P34</f>
        <v>270.296</v>
      </c>
      <c r="K99" s="28"/>
      <c r="L99" s="27"/>
    </row>
    <row r="100" customFormat="false" ht="15" hidden="false" customHeight="true" outlineLevel="0" collapsed="false">
      <c r="A100" s="27"/>
      <c r="B100" s="27" t="s">
        <v>177</v>
      </c>
      <c r="C100" s="28" t="n">
        <v>1</v>
      </c>
      <c r="D100" s="28"/>
      <c r="E100" s="28"/>
      <c r="F100" s="28"/>
      <c r="G100" s="28"/>
      <c r="H100" s="28"/>
      <c r="I100" s="28"/>
      <c r="J100" s="28" t="n">
        <f aca="false">+'ENCOFRADO Y DESENCOFRADO'!H45</f>
        <v>38.56</v>
      </c>
      <c r="K100" s="28"/>
      <c r="L100" s="27"/>
    </row>
    <row r="101" customFormat="false" ht="15" hidden="false" customHeight="true" outlineLevel="0" collapsed="false">
      <c r="A101" s="27"/>
      <c r="B101" s="27" t="s">
        <v>178</v>
      </c>
      <c r="C101" s="28" t="n">
        <v>1</v>
      </c>
      <c r="D101" s="28"/>
      <c r="E101" s="28"/>
      <c r="F101" s="28"/>
      <c r="G101" s="28"/>
      <c r="H101" s="28"/>
      <c r="I101" s="28"/>
      <c r="J101" s="28" t="n">
        <f aca="false">+'ENCOFRADO Y DESENCOFRADO'!P45</f>
        <v>127.92</v>
      </c>
      <c r="K101" s="28"/>
      <c r="L101" s="27"/>
    </row>
    <row r="102" customFormat="false" ht="15" hidden="false" customHeight="true" outlineLevel="0" collapsed="false">
      <c r="A102" s="27"/>
      <c r="B102" s="27" t="s">
        <v>179</v>
      </c>
      <c r="C102" s="28" t="n">
        <v>1</v>
      </c>
      <c r="D102" s="28"/>
      <c r="E102" s="28"/>
      <c r="F102" s="28"/>
      <c r="G102" s="28"/>
      <c r="H102" s="28"/>
      <c r="I102" s="28"/>
      <c r="J102" s="28" t="n">
        <f aca="false">+'ENCOFRADO Y DESENCOFRADO'!H57</f>
        <v>83.204</v>
      </c>
      <c r="K102" s="28"/>
      <c r="L102" s="27"/>
    </row>
    <row r="103" customFormat="false" ht="30.75" hidden="false" customHeight="true" outlineLevel="0" collapsed="false">
      <c r="A103" s="25" t="s">
        <v>48</v>
      </c>
      <c r="B103" s="25" t="s">
        <v>49</v>
      </c>
      <c r="C103" s="26"/>
      <c r="D103" s="26"/>
      <c r="E103" s="26"/>
      <c r="F103" s="26"/>
      <c r="G103" s="26"/>
      <c r="H103" s="26"/>
      <c r="I103" s="26"/>
      <c r="J103" s="26"/>
      <c r="K103" s="26" t="n">
        <f aca="false">+'METRADO ACERO'!AG28</f>
        <v>3354.729728</v>
      </c>
      <c r="L103" s="25" t="s">
        <v>50</v>
      </c>
    </row>
    <row r="104" customFormat="false" ht="15" hidden="false" customHeight="true" outlineLevel="0" collapsed="false">
      <c r="A104" s="27"/>
      <c r="B104" s="27"/>
      <c r="C104" s="27"/>
      <c r="D104" s="27"/>
      <c r="E104" s="27"/>
      <c r="F104" s="27"/>
      <c r="G104" s="27"/>
      <c r="H104" s="27"/>
      <c r="I104" s="27"/>
      <c r="J104" s="27"/>
      <c r="K104" s="28"/>
      <c r="L104" s="27"/>
    </row>
    <row r="105" customFormat="false" ht="15" hidden="false" customHeight="true" outlineLevel="0" collapsed="false">
      <c r="A105" s="37" t="s">
        <v>51</v>
      </c>
      <c r="B105" s="37" t="s">
        <v>52</v>
      </c>
      <c r="C105" s="37"/>
      <c r="D105" s="37"/>
      <c r="E105" s="37"/>
      <c r="F105" s="37"/>
      <c r="G105" s="37"/>
      <c r="H105" s="37"/>
      <c r="I105" s="37"/>
      <c r="J105" s="37"/>
      <c r="K105" s="38" t="n">
        <f aca="false">+'METRADO DE CURADO'!M27</f>
        <v>801.5833</v>
      </c>
      <c r="L105" s="37" t="s">
        <v>18</v>
      </c>
    </row>
    <row r="106" customFormat="false" ht="15" hidden="false" customHeight="true" outlineLevel="0" collapsed="false">
      <c r="A106" s="39"/>
      <c r="B106" s="39"/>
      <c r="C106" s="39"/>
      <c r="D106" s="39"/>
      <c r="E106" s="39"/>
      <c r="F106" s="39"/>
      <c r="G106" s="39"/>
      <c r="H106" s="39"/>
      <c r="I106" s="39"/>
      <c r="J106" s="39"/>
      <c r="K106" s="40"/>
      <c r="L106" s="39"/>
    </row>
    <row r="107" customFormat="false" ht="15" hidden="false" customHeight="true" outlineLevel="0" collapsed="false">
      <c r="A107" s="35" t="s">
        <v>53</v>
      </c>
      <c r="B107" s="41" t="s">
        <v>54</v>
      </c>
      <c r="C107" s="41"/>
      <c r="D107" s="41"/>
      <c r="E107" s="41"/>
      <c r="F107" s="41"/>
      <c r="G107" s="41"/>
      <c r="H107" s="41"/>
      <c r="I107" s="41"/>
      <c r="J107" s="41"/>
      <c r="K107" s="41"/>
      <c r="L107" s="41"/>
    </row>
    <row r="108" customFormat="false" ht="46.5" hidden="false" customHeight="true" outlineLevel="0" collapsed="false">
      <c r="A108" s="25" t="s">
        <v>55</v>
      </c>
      <c r="B108" s="25" t="s">
        <v>183</v>
      </c>
      <c r="C108" s="25"/>
      <c r="D108" s="25"/>
      <c r="E108" s="25"/>
      <c r="F108" s="25"/>
      <c r="G108" s="25"/>
      <c r="H108" s="25"/>
      <c r="I108" s="25"/>
      <c r="J108" s="25"/>
      <c r="K108" s="29" t="n">
        <f aca="false">+'METRADO DE REJILLAS'!G27</f>
        <v>373.85</v>
      </c>
      <c r="L108" s="42" t="s">
        <v>71</v>
      </c>
    </row>
    <row r="109" customFormat="false" ht="15" hidden="false" customHeight="true" outlineLevel="0" collapsed="false">
      <c r="A109" s="37" t="s">
        <v>58</v>
      </c>
      <c r="B109" s="37" t="s">
        <v>59</v>
      </c>
      <c r="C109" s="37"/>
      <c r="D109" s="37"/>
      <c r="E109" s="37"/>
      <c r="F109" s="37"/>
      <c r="G109" s="37"/>
      <c r="H109" s="37"/>
      <c r="I109" s="37"/>
      <c r="J109" s="37"/>
      <c r="K109" s="43" t="n">
        <f aca="false">+'PLANILLA TAPAS REGISTRO INTERNO'!J9</f>
        <v>18.0</v>
      </c>
      <c r="L109" s="44" t="s">
        <v>60</v>
      </c>
    </row>
    <row r="110" customFormat="false" ht="30.75" hidden="false" customHeight="true" outlineLevel="0" collapsed="false">
      <c r="A110" s="37" t="s">
        <v>61</v>
      </c>
      <c r="B110" s="37" t="s">
        <v>62</v>
      </c>
      <c r="C110" s="37"/>
      <c r="D110" s="37"/>
      <c r="E110" s="37"/>
      <c r="F110" s="37"/>
      <c r="G110" s="37"/>
      <c r="H110" s="37"/>
      <c r="I110" s="37"/>
      <c r="J110" s="37"/>
      <c r="K110" s="29" t="n">
        <f aca="false">+'METRADO JUNTA DE DILATACION'!J12</f>
        <v>252.286876344768</v>
      </c>
      <c r="L110" s="44" t="s">
        <v>71</v>
      </c>
    </row>
    <row r="111" customFormat="false" ht="30.75" hidden="false" customHeight="true" outlineLevel="0" collapsed="false">
      <c r="A111" s="37" t="s">
        <v>63</v>
      </c>
      <c r="B111" s="37" t="s">
        <v>64</v>
      </c>
      <c r="C111" s="37"/>
      <c r="D111" s="37"/>
      <c r="E111" s="37"/>
      <c r="F111" s="37"/>
      <c r="G111" s="37"/>
      <c r="H111" s="37"/>
      <c r="I111" s="37"/>
      <c r="J111" s="37"/>
      <c r="K111" s="29" t="n">
        <f aca="false">+'METRADO LLORADEROS'!G42</f>
        <v>226.0</v>
      </c>
      <c r="L111" s="44" t="s">
        <v>60</v>
      </c>
    </row>
    <row r="112" customFormat="false" ht="15" hidden="false" customHeight="true" outlineLevel="0" collapsed="false">
      <c r="A112" s="45"/>
      <c r="B112" s="45"/>
      <c r="C112" s="45"/>
      <c r="D112" s="45"/>
      <c r="E112" s="45"/>
      <c r="F112" s="45"/>
      <c r="G112" s="45"/>
      <c r="H112" s="45"/>
      <c r="I112" s="45"/>
      <c r="J112" s="45"/>
      <c r="K112" s="46"/>
      <c r="L112" s="45"/>
    </row>
    <row r="113" customFormat="false" ht="15" hidden="false" customHeight="true" outlineLevel="0" collapsed="false">
      <c r="A113" s="24" t="s">
        <v>65</v>
      </c>
      <c r="B113" s="24" t="s">
        <v>66</v>
      </c>
      <c r="C113" s="24"/>
      <c r="D113" s="24"/>
      <c r="E113" s="24"/>
      <c r="F113" s="24"/>
      <c r="G113" s="24"/>
      <c r="H113" s="24"/>
      <c r="I113" s="24"/>
      <c r="J113" s="24"/>
      <c r="K113" s="24"/>
      <c r="L113" s="24"/>
    </row>
    <row r="114" customFormat="false" ht="15" hidden="false" customHeight="true" outlineLevel="0" collapsed="false">
      <c r="A114" s="35" t="s">
        <v>67</v>
      </c>
      <c r="B114" s="35" t="s">
        <v>68</v>
      </c>
      <c r="C114" s="35"/>
      <c r="D114" s="35"/>
      <c r="E114" s="35"/>
      <c r="F114" s="35"/>
      <c r="G114" s="35"/>
      <c r="H114" s="35"/>
      <c r="I114" s="35"/>
      <c r="J114" s="35"/>
      <c r="K114" s="35"/>
      <c r="L114" s="35"/>
    </row>
    <row r="115" customFormat="false" ht="15" hidden="false" customHeight="true" outlineLevel="0" collapsed="false">
      <c r="A115" s="25" t="s">
        <v>69</v>
      </c>
      <c r="B115" s="25" t="s">
        <v>184</v>
      </c>
      <c r="C115" s="25"/>
      <c r="D115" s="25"/>
      <c r="E115" s="25"/>
      <c r="F115" s="25"/>
      <c r="G115" s="25"/>
      <c r="H115" s="25"/>
      <c r="I115" s="25"/>
      <c r="J115" s="25"/>
      <c r="K115" s="29" t="n">
        <f aca="false">+'METRADO MONTANTES'!F49</f>
        <v>408.02</v>
      </c>
      <c r="L115" s="25" t="s">
        <v>71</v>
      </c>
    </row>
    <row r="116" customFormat="false" ht="30.75" hidden="false" customHeight="true" outlineLevel="0" collapsed="false">
      <c r="A116" s="37" t="s">
        <v>72</v>
      </c>
      <c r="B116" s="37" t="s">
        <v>73</v>
      </c>
      <c r="C116" s="37"/>
      <c r="D116" s="37"/>
      <c r="E116" s="37"/>
      <c r="F116" s="37"/>
      <c r="G116" s="37"/>
      <c r="H116" s="37"/>
      <c r="I116" s="37"/>
      <c r="J116" s="38"/>
      <c r="K116" s="43" t="n">
        <v>56</v>
      </c>
      <c r="L116" s="37" t="s">
        <v>60</v>
      </c>
    </row>
    <row r="117" customFormat="false" ht="30.75" hidden="false" customHeight="true" outlineLevel="0" collapsed="false">
      <c r="A117" s="47" t="s">
        <v>74</v>
      </c>
      <c r="B117" s="48" t="s">
        <v>75</v>
      </c>
      <c r="C117" s="49" t="n">
        <v>56</v>
      </c>
      <c r="D117" s="50"/>
      <c r="E117" s="50"/>
      <c r="F117" s="50"/>
      <c r="G117" s="50"/>
      <c r="H117" s="51"/>
      <c r="I117" s="51"/>
      <c r="J117" s="51"/>
      <c r="K117" s="52" t="n">
        <f aca="false">J118*C117</f>
        <v>2.184</v>
      </c>
      <c r="L117" s="48" t="s">
        <v>185</v>
      </c>
    </row>
    <row r="118" customFormat="false" ht="15" hidden="false" customHeight="true" outlineLevel="0" collapsed="false">
      <c r="A118" s="53"/>
      <c r="B118" s="45"/>
      <c r="C118" s="54"/>
      <c r="D118" s="55" t="n">
        <v>1.3</v>
      </c>
      <c r="E118" s="55" t="n">
        <v>0.15</v>
      </c>
      <c r="F118" s="55" t="n">
        <v>0.2</v>
      </c>
      <c r="G118" s="56"/>
      <c r="H118" s="46"/>
      <c r="I118" s="46"/>
      <c r="J118" s="46" t="n">
        <f aca="false">D118*E118*F118</f>
        <v>0.039</v>
      </c>
      <c r="K118" s="57"/>
      <c r="L118" s="45"/>
    </row>
    <row r="119" customFormat="false" ht="46.5" hidden="false" customHeight="true" outlineLevel="0" collapsed="false">
      <c r="A119" s="58" t="s">
        <v>76</v>
      </c>
      <c r="B119" s="48" t="s">
        <v>77</v>
      </c>
      <c r="C119" s="59" t="n">
        <v>56</v>
      </c>
      <c r="D119" s="48"/>
      <c r="E119" s="48"/>
      <c r="F119" s="48"/>
      <c r="G119" s="48"/>
      <c r="H119" s="51"/>
      <c r="I119" s="51"/>
      <c r="J119" s="51"/>
      <c r="K119" s="60" t="n">
        <f aca="false">K120*C119</f>
        <v>36.4</v>
      </c>
      <c r="L119" s="48" t="s">
        <v>186</v>
      </c>
    </row>
    <row r="120" customFormat="false" ht="15" hidden="false" customHeight="true" outlineLevel="0" collapsed="false">
      <c r="A120" s="61"/>
      <c r="B120" s="45"/>
      <c r="C120" s="62" t="n">
        <v>2</v>
      </c>
      <c r="D120" s="55" t="n">
        <v>1.3</v>
      </c>
      <c r="E120" s="55" t="n">
        <v>0.15</v>
      </c>
      <c r="F120" s="45"/>
      <c r="G120" s="45"/>
      <c r="H120" s="46"/>
      <c r="I120" s="46"/>
      <c r="J120" s="46" t="n">
        <f aca="false">C120*D120*E120</f>
        <v>0.39</v>
      </c>
      <c r="K120" s="63" t="n">
        <f aca="false">J120+J121</f>
        <v>0.65</v>
      </c>
      <c r="L120" s="45"/>
    </row>
    <row r="121" customFormat="false" ht="15" hidden="false" customHeight="true" outlineLevel="0" collapsed="false">
      <c r="A121" s="61"/>
      <c r="B121" s="45"/>
      <c r="C121" s="62" t="n">
        <v>1</v>
      </c>
      <c r="D121" s="55" t="n">
        <v>1.3</v>
      </c>
      <c r="E121" s="55" t="n">
        <v>0.2</v>
      </c>
      <c r="F121" s="45"/>
      <c r="G121" s="45"/>
      <c r="H121" s="46"/>
      <c r="I121" s="46"/>
      <c r="J121" s="46" t="n">
        <f aca="false">C121*D121*E121</f>
        <v>0.26</v>
      </c>
      <c r="K121" s="63"/>
      <c r="L121" s="45"/>
    </row>
    <row r="122" customFormat="false" ht="30.75" hidden="false" customHeight="true" outlineLevel="0" collapsed="false">
      <c r="A122" s="58" t="s">
        <v>78</v>
      </c>
      <c r="B122" s="48" t="s">
        <v>79</v>
      </c>
      <c r="C122" s="59" t="n">
        <v>56</v>
      </c>
      <c r="D122" s="48"/>
      <c r="E122" s="48"/>
      <c r="F122" s="48"/>
      <c r="G122" s="48"/>
      <c r="H122" s="51"/>
      <c r="I122" s="51"/>
      <c r="J122" s="51"/>
      <c r="K122" s="60" t="n">
        <f aca="false">K123*C122</f>
        <v>314.2272</v>
      </c>
      <c r="L122" s="48" t="s">
        <v>187</v>
      </c>
    </row>
    <row r="123" customFormat="false" ht="15" hidden="false" customHeight="true" outlineLevel="0" collapsed="false">
      <c r="A123" s="61"/>
      <c r="B123" s="27" t="s">
        <v>188</v>
      </c>
      <c r="C123" s="27"/>
      <c r="D123" s="28" t="n">
        <v>1.2</v>
      </c>
      <c r="E123" s="28" t="n">
        <v>4</v>
      </c>
      <c r="F123" s="28" t="n">
        <v>0.56</v>
      </c>
      <c r="G123" s="28"/>
      <c r="H123" s="28"/>
      <c r="I123" s="28"/>
      <c r="J123" s="28" t="n">
        <f aca="false">D123*E123*F123</f>
        <v>2.688</v>
      </c>
      <c r="K123" s="64" t="n">
        <f aca="false">+J123+J124</f>
        <v>5.6112</v>
      </c>
      <c r="L123" s="27"/>
    </row>
    <row r="124" customFormat="false" ht="15" hidden="false" customHeight="true" outlineLevel="0" collapsed="false">
      <c r="A124" s="61"/>
      <c r="B124" s="27" t="s">
        <v>189</v>
      </c>
      <c r="C124" s="27"/>
      <c r="D124" s="28" t="n">
        <v>0.58</v>
      </c>
      <c r="E124" s="28" t="n">
        <v>9</v>
      </c>
      <c r="F124" s="28" t="n">
        <v>0.56</v>
      </c>
      <c r="G124" s="28"/>
      <c r="H124" s="28"/>
      <c r="I124" s="28"/>
      <c r="J124" s="28" t="n">
        <f aca="false">D124*E124*F124</f>
        <v>2.9232</v>
      </c>
      <c r="K124" s="64"/>
      <c r="L124" s="27"/>
    </row>
    <row r="125" customFormat="false" ht="46.5" hidden="false" customHeight="true" outlineLevel="0" collapsed="false">
      <c r="A125" s="25" t="s">
        <v>80</v>
      </c>
      <c r="B125" s="25" t="s">
        <v>81</v>
      </c>
      <c r="C125" s="25"/>
      <c r="D125" s="25"/>
      <c r="E125" s="25"/>
      <c r="F125" s="25"/>
      <c r="G125" s="25"/>
      <c r="H125" s="25"/>
      <c r="I125" s="25"/>
      <c r="J125" s="25"/>
      <c r="K125" s="29" t="n">
        <f aca="false">+'METRADO CANALETAS'!E44</f>
        <v>523.16</v>
      </c>
      <c r="L125" s="25" t="s">
        <v>71</v>
      </c>
    </row>
    <row r="126" customFormat="false" ht="30.75" hidden="false" customHeight="true" outlineLevel="0" collapsed="false">
      <c r="A126" s="25" t="s">
        <v>82</v>
      </c>
      <c r="B126" s="25" t="s">
        <v>83</v>
      </c>
      <c r="C126" s="25"/>
      <c r="D126" s="25"/>
      <c r="E126" s="25"/>
      <c r="F126" s="25"/>
      <c r="G126" s="25"/>
      <c r="H126" s="25"/>
      <c r="I126" s="25"/>
      <c r="J126" s="25"/>
      <c r="K126" s="29" t="n">
        <f aca="false">+'METRADO CANALETAS'!G44</f>
        <v>906.0</v>
      </c>
      <c r="L126" s="25" t="s">
        <v>60</v>
      </c>
    </row>
    <row r="127" customFormat="false" ht="30.75" hidden="false" customHeight="true" outlineLevel="0" collapsed="false">
      <c r="A127" s="25" t="s">
        <v>84</v>
      </c>
      <c r="B127" s="25" t="s">
        <v>85</v>
      </c>
      <c r="C127" s="25"/>
      <c r="D127" s="25"/>
      <c r="E127" s="25"/>
      <c r="F127" s="25"/>
      <c r="G127" s="25"/>
      <c r="H127" s="25"/>
      <c r="I127" s="25"/>
      <c r="J127" s="25"/>
      <c r="K127" s="29" t="n">
        <f aca="false">+'METRADO CANALETAS'!I44</f>
        <v>44.0</v>
      </c>
      <c r="L127" s="25" t="s">
        <v>60</v>
      </c>
    </row>
    <row r="128" customFormat="false" ht="46.5" hidden="false" customHeight="true" outlineLevel="0" collapsed="false">
      <c r="A128" s="25" t="s">
        <v>86</v>
      </c>
      <c r="B128" s="25" t="s">
        <v>87</v>
      </c>
      <c r="C128" s="25"/>
      <c r="D128" s="25"/>
      <c r="E128" s="25"/>
      <c r="F128" s="25"/>
      <c r="G128" s="25"/>
      <c r="H128" s="25"/>
      <c r="I128" s="25"/>
      <c r="J128" s="25"/>
      <c r="K128" s="29" t="n">
        <f aca="false">+'METRADO CANALETAS'!K44</f>
        <v>52.0</v>
      </c>
      <c r="L128" s="25" t="s">
        <v>60</v>
      </c>
    </row>
    <row r="129" customFormat="false" ht="15" hidden="false" customHeight="true" outlineLevel="0" collapsed="false">
      <c r="A129" s="61"/>
      <c r="B129" s="45"/>
      <c r="C129" s="45"/>
      <c r="D129" s="45"/>
      <c r="E129" s="45"/>
      <c r="F129" s="45"/>
      <c r="G129" s="45"/>
      <c r="H129" s="46"/>
      <c r="I129" s="46"/>
      <c r="J129" s="46"/>
      <c r="K129" s="46"/>
      <c r="L129" s="45"/>
    </row>
    <row r="130" customFormat="false" ht="15" hidden="false" customHeight="true" outlineLevel="0" collapsed="false">
      <c r="A130" s="35" t="s">
        <v>88</v>
      </c>
      <c r="B130" s="35" t="s">
        <v>89</v>
      </c>
      <c r="C130" s="35"/>
      <c r="D130" s="35"/>
      <c r="E130" s="35"/>
      <c r="F130" s="35"/>
      <c r="G130" s="35"/>
      <c r="H130" s="35"/>
      <c r="I130" s="35"/>
      <c r="J130" s="36"/>
      <c r="K130" s="36"/>
      <c r="L130" s="35"/>
    </row>
    <row r="131" customFormat="false" ht="15" hidden="false" customHeight="true" outlineLevel="0" collapsed="false">
      <c r="A131" s="25" t="s">
        <v>90</v>
      </c>
      <c r="B131" s="25" t="s">
        <v>851</v>
      </c>
      <c r="C131" s="25"/>
      <c r="D131" s="25"/>
      <c r="E131" s="25"/>
      <c r="F131" s="25"/>
      <c r="G131" s="25"/>
      <c r="H131" s="25"/>
      <c r="I131" s="25"/>
      <c r="J131" s="26"/>
      <c r="K131" s="26" t="n">
        <f aca="false">+'METRADO  EN PISO (SUMIDERO)'!B11</f>
        <v>92.08</v>
      </c>
      <c r="L131" s="25" t="s">
        <v>71</v>
      </c>
    </row>
    <row r="132" customFormat="false" ht="30.75" hidden="false" customHeight="true" outlineLevel="0" collapsed="false">
      <c r="A132" s="37" t="s">
        <v>92</v>
      </c>
      <c r="B132" s="37" t="s">
        <v>93</v>
      </c>
      <c r="C132" s="37"/>
      <c r="D132" s="37"/>
      <c r="E132" s="37"/>
      <c r="F132" s="37"/>
      <c r="G132" s="37"/>
      <c r="H132" s="37"/>
      <c r="I132" s="37"/>
      <c r="J132" s="38"/>
      <c r="K132" s="26" t="n">
        <f aca="false">+'METRADO  EN PISO (SUMIDERO)'!C11</f>
        <v>16.0</v>
      </c>
      <c r="L132" s="37" t="s">
        <v>60</v>
      </c>
    </row>
    <row r="133" customFormat="false" ht="15" hidden="false" customHeight="true" outlineLevel="0" collapsed="false">
      <c r="A133" s="37" t="s">
        <v>94</v>
      </c>
      <c r="B133" s="37" t="s">
        <v>101</v>
      </c>
      <c r="C133" s="37"/>
      <c r="D133" s="37"/>
      <c r="E133" s="37"/>
      <c r="F133" s="37"/>
      <c r="G133" s="37"/>
      <c r="H133" s="37"/>
      <c r="I133" s="37"/>
      <c r="J133" s="38"/>
      <c r="K133" s="26" t="n">
        <f aca="false">+'METRADO  EN PISO (SUMIDERO)'!D11</f>
        <v>13.0</v>
      </c>
      <c r="L133" s="37" t="s">
        <v>60</v>
      </c>
    </row>
    <row r="134" customFormat="false" ht="15" hidden="false" customHeight="true" outlineLevel="0" collapsed="false">
      <c r="A134" s="37" t="s">
        <v>96</v>
      </c>
      <c r="B134" s="37" t="s">
        <v>852</v>
      </c>
      <c r="C134" s="37"/>
      <c r="D134" s="37"/>
      <c r="E134" s="37"/>
      <c r="F134" s="37"/>
      <c r="G134" s="37"/>
      <c r="H134" s="37"/>
      <c r="I134" s="37"/>
      <c r="J134" s="38"/>
      <c r="K134" s="26" t="n">
        <f aca="false">+'METRADO  EN PISO (SUMIDERO)'!F11</f>
        <v>3.0</v>
      </c>
      <c r="L134" s="37" t="s">
        <v>60</v>
      </c>
    </row>
    <row r="135" customFormat="false" ht="15" hidden="false" customHeight="true" outlineLevel="0" collapsed="false">
      <c r="A135" s="45"/>
      <c r="B135" s="45"/>
      <c r="C135" s="45"/>
      <c r="D135" s="45"/>
      <c r="E135" s="45"/>
      <c r="F135" s="45"/>
      <c r="G135" s="45"/>
      <c r="H135" s="45"/>
      <c r="I135" s="45"/>
      <c r="J135" s="46"/>
      <c r="K135" s="46"/>
      <c r="L135" s="45"/>
    </row>
    <row r="136" customFormat="false" ht="15" hidden="false" customHeight="true" outlineLevel="0" collapsed="false">
      <c r="A136" s="35" t="s">
        <v>98</v>
      </c>
      <c r="B136" s="35" t="s">
        <v>99</v>
      </c>
      <c r="C136" s="35"/>
      <c r="D136" s="35"/>
      <c r="E136" s="35"/>
      <c r="F136" s="35"/>
      <c r="G136" s="35"/>
      <c r="H136" s="35"/>
      <c r="I136" s="35"/>
      <c r="J136" s="36"/>
      <c r="K136" s="36"/>
      <c r="L136" s="35"/>
    </row>
    <row r="137" customFormat="false" ht="15" hidden="false" customHeight="true" outlineLevel="0" collapsed="false">
      <c r="A137" s="37" t="s">
        <v>100</v>
      </c>
      <c r="B137" s="25" t="s">
        <v>101</v>
      </c>
      <c r="C137" s="25"/>
      <c r="D137" s="25"/>
      <c r="E137" s="25"/>
      <c r="F137" s="25"/>
      <c r="G137" s="25"/>
      <c r="H137" s="25"/>
      <c r="I137" s="25"/>
      <c r="J137" s="26"/>
      <c r="K137" s="26" t="n">
        <f aca="false">+'METRADO MONTANTES'!I49</f>
        <v>168.0</v>
      </c>
      <c r="L137" s="25" t="s">
        <v>60</v>
      </c>
    </row>
    <row r="138" customFormat="false" ht="22.5" hidden="false" customHeight="true" outlineLevel="0" collapsed="false">
      <c r="A138" s="37" t="s">
        <v>102</v>
      </c>
      <c r="B138" s="25" t="s">
        <v>103</v>
      </c>
      <c r="C138" s="25"/>
      <c r="D138" s="25"/>
      <c r="E138" s="25"/>
      <c r="F138" s="25"/>
      <c r="G138" s="25"/>
      <c r="H138" s="25"/>
      <c r="I138" s="25"/>
      <c r="J138" s="26"/>
      <c r="K138" s="26" t="n">
        <f aca="false">+'METRADO MONTANTES'!O49</f>
        <v>100.0</v>
      </c>
      <c r="L138" s="25" t="s">
        <v>60</v>
      </c>
    </row>
    <row r="139" customFormat="false" ht="30.75" hidden="false" customHeight="true" outlineLevel="0" collapsed="false">
      <c r="A139" s="37" t="s">
        <v>104</v>
      </c>
      <c r="B139" s="25" t="s">
        <v>105</v>
      </c>
      <c r="C139" s="25"/>
      <c r="D139" s="25"/>
      <c r="E139" s="25"/>
      <c r="F139" s="25"/>
      <c r="G139" s="25"/>
      <c r="H139" s="25"/>
      <c r="I139" s="25"/>
      <c r="J139" s="25"/>
      <c r="K139" s="26" t="n">
        <f aca="false">+'METRADO MONTANTES'!L49</f>
        <v>80.0</v>
      </c>
      <c r="L139" s="25" t="s">
        <v>60</v>
      </c>
    </row>
    <row r="141" customFormat="false" ht="48" hidden="false" customHeight="true" outlineLevel="0" collapsed="false">
      <c r="A141" s="24" t="s">
        <v>106</v>
      </c>
      <c r="B141" s="24" t="s">
        <v>107</v>
      </c>
      <c r="C141" s="65"/>
      <c r="D141" s="65"/>
      <c r="E141" s="65"/>
      <c r="F141" s="65"/>
      <c r="G141" s="65"/>
      <c r="H141" s="65"/>
      <c r="I141" s="65"/>
      <c r="J141" s="65"/>
      <c r="K141" s="65"/>
      <c r="L141" s="66"/>
    </row>
    <row r="142" customFormat="false" ht="15" hidden="false" customHeight="true" outlineLevel="0" collapsed="false">
      <c r="A142" s="24" t="s">
        <v>108</v>
      </c>
      <c r="B142" s="24" t="s">
        <v>15</v>
      </c>
      <c r="C142" s="67"/>
      <c r="D142" s="67"/>
      <c r="E142" s="67"/>
      <c r="F142" s="67"/>
      <c r="G142" s="67"/>
      <c r="H142" s="67"/>
      <c r="I142" s="67"/>
      <c r="J142" s="67"/>
      <c r="K142" s="67"/>
      <c r="L142" s="68"/>
    </row>
    <row r="143" customFormat="false" ht="15" hidden="false" customHeight="true" outlineLevel="0" collapsed="false">
      <c r="A143" s="25" t="s">
        <v>109</v>
      </c>
      <c r="B143" s="25" t="s">
        <v>17</v>
      </c>
      <c r="C143" s="26"/>
      <c r="D143" s="26"/>
      <c r="E143" s="26"/>
      <c r="F143" s="26"/>
      <c r="G143" s="26"/>
      <c r="H143" s="26"/>
      <c r="I143" s="26"/>
      <c r="J143" s="26"/>
      <c r="K143" s="26" t="n">
        <f aca="false">SUM(J144:J146)</f>
        <v>147.406</v>
      </c>
      <c r="L143" s="25" t="s">
        <v>18</v>
      </c>
    </row>
    <row r="144" customFormat="false" ht="30.75" hidden="false" customHeight="true" outlineLevel="0" collapsed="false">
      <c r="A144" s="27"/>
      <c r="B144" s="27" t="s">
        <v>190</v>
      </c>
      <c r="C144" s="28" t="n">
        <v>1</v>
      </c>
      <c r="D144" s="28"/>
      <c r="E144" s="28"/>
      <c r="F144" s="28"/>
      <c r="G144" s="28"/>
      <c r="H144" s="28"/>
      <c r="I144" s="28"/>
      <c r="J144" s="28" t="n">
        <f aca="false">'COLECTOR MOV. TIERRAS'!M10</f>
        <v>8.512</v>
      </c>
      <c r="K144" s="28"/>
      <c r="L144" s="27"/>
    </row>
    <row r="145" customFormat="false" ht="15" hidden="false" customHeight="true" outlineLevel="0" collapsed="false">
      <c r="A145" s="27"/>
      <c r="B145" s="27" t="s">
        <v>191</v>
      </c>
      <c r="C145" s="28" t="n">
        <v>1</v>
      </c>
      <c r="D145" s="28"/>
      <c r="E145" s="28"/>
      <c r="F145" s="28"/>
      <c r="G145" s="28"/>
      <c r="H145" s="28"/>
      <c r="I145" s="28"/>
      <c r="J145" s="28" t="n">
        <f aca="false">'COLECTOR MOV. TIERRAS'!M11</f>
        <v>132.748</v>
      </c>
      <c r="K145" s="28"/>
      <c r="L145" s="27"/>
    </row>
    <row r="146" customFormat="false" ht="30.75" hidden="false" customHeight="true" outlineLevel="0" collapsed="false">
      <c r="A146" s="27"/>
      <c r="B146" s="27" t="s">
        <v>192</v>
      </c>
      <c r="C146" s="28" t="n">
        <v>1</v>
      </c>
      <c r="D146" s="28"/>
      <c r="E146" s="28"/>
      <c r="F146" s="28"/>
      <c r="G146" s="28"/>
      <c r="H146" s="28"/>
      <c r="I146" s="28"/>
      <c r="J146" s="28" t="n">
        <f aca="false">'COLECTOR MOV. TIERRAS'!M12</f>
        <v>6.146</v>
      </c>
      <c r="K146" s="28"/>
      <c r="L146" s="27"/>
    </row>
    <row r="147" customFormat="false" ht="30.75" hidden="false" customHeight="true" outlineLevel="0" collapsed="false">
      <c r="A147" s="25" t="s">
        <v>110</v>
      </c>
      <c r="B147" s="25" t="s">
        <v>20</v>
      </c>
      <c r="C147" s="26"/>
      <c r="D147" s="26"/>
      <c r="E147" s="26"/>
      <c r="F147" s="26"/>
      <c r="G147" s="26"/>
      <c r="H147" s="26"/>
      <c r="I147" s="26"/>
      <c r="J147" s="26"/>
      <c r="K147" s="26" t="n">
        <f aca="false">SUM(J148:J150)</f>
        <v>147.406</v>
      </c>
      <c r="L147" s="25" t="s">
        <v>18</v>
      </c>
    </row>
    <row r="148" customFormat="false" ht="30.75" hidden="false" customHeight="true" outlineLevel="0" collapsed="false">
      <c r="A148" s="27"/>
      <c r="B148" s="27" t="s">
        <v>190</v>
      </c>
      <c r="C148" s="28" t="n">
        <v>1</v>
      </c>
      <c r="D148" s="28"/>
      <c r="E148" s="28"/>
      <c r="F148" s="28"/>
      <c r="G148" s="28"/>
      <c r="H148" s="28"/>
      <c r="I148" s="28"/>
      <c r="J148" s="28" t="n">
        <f aca="false">'COLECTOR MOV. TIERRAS'!M10</f>
        <v>8.512</v>
      </c>
      <c r="K148" s="28"/>
      <c r="L148" s="27"/>
    </row>
    <row r="149" customFormat="false" ht="15" hidden="false" customHeight="true" outlineLevel="0" collapsed="false">
      <c r="A149" s="27"/>
      <c r="B149" s="27" t="s">
        <v>191</v>
      </c>
      <c r="C149" s="28" t="n">
        <v>1</v>
      </c>
      <c r="D149" s="28"/>
      <c r="E149" s="28"/>
      <c r="F149" s="28"/>
      <c r="G149" s="28"/>
      <c r="H149" s="28"/>
      <c r="I149" s="28"/>
      <c r="J149" s="28" t="n">
        <f aca="false">'COLECTOR MOV. TIERRAS'!M11</f>
        <v>132.748</v>
      </c>
      <c r="K149" s="28"/>
      <c r="L149" s="27"/>
    </row>
    <row r="150" customFormat="false" ht="30.75" hidden="false" customHeight="true" outlineLevel="0" collapsed="false">
      <c r="A150" s="27"/>
      <c r="B150" s="27" t="s">
        <v>192</v>
      </c>
      <c r="C150" s="28" t="n">
        <v>1</v>
      </c>
      <c r="D150" s="28"/>
      <c r="E150" s="28"/>
      <c r="F150" s="28"/>
      <c r="G150" s="28"/>
      <c r="H150" s="28"/>
      <c r="I150" s="28"/>
      <c r="J150" s="28" t="n">
        <f aca="false">'COLECTOR MOV. TIERRAS'!M12</f>
        <v>6.146</v>
      </c>
      <c r="K150" s="28"/>
      <c r="L150" s="27"/>
    </row>
    <row r="151" customFormat="false" ht="15" hidden="false" customHeight="true" outlineLevel="0" collapsed="false">
      <c r="A151" s="24" t="s">
        <v>111</v>
      </c>
      <c r="B151" s="24" t="s">
        <v>22</v>
      </c>
      <c r="C151" s="67"/>
      <c r="D151" s="67"/>
      <c r="E151" s="67"/>
      <c r="F151" s="67"/>
      <c r="G151" s="67"/>
      <c r="H151" s="67"/>
      <c r="I151" s="67"/>
      <c r="J151" s="67"/>
      <c r="K151" s="67"/>
      <c r="L151" s="68"/>
    </row>
    <row r="152" customFormat="false" ht="30.75" hidden="false" customHeight="true" outlineLevel="0" collapsed="false">
      <c r="A152" s="25" t="s">
        <v>112</v>
      </c>
      <c r="B152" s="25" t="s">
        <v>853</v>
      </c>
      <c r="C152" s="26"/>
      <c r="D152" s="26"/>
      <c r="E152" s="26"/>
      <c r="F152" s="26"/>
      <c r="G152" s="26"/>
      <c r="H152" s="26"/>
      <c r="I152" s="26"/>
      <c r="J152" s="26"/>
      <c r="K152" s="26" t="n">
        <f aca="false">SUM(J153:J155)</f>
        <v>130.622324</v>
      </c>
      <c r="L152" s="25" t="s">
        <v>25</v>
      </c>
    </row>
    <row r="153" customFormat="false" ht="30.75" hidden="false" customHeight="true" outlineLevel="0" collapsed="false">
      <c r="A153" s="27"/>
      <c r="B153" s="27" t="s">
        <v>190</v>
      </c>
      <c r="C153" s="28" t="n">
        <v>1</v>
      </c>
      <c r="D153" s="28"/>
      <c r="E153" s="28"/>
      <c r="F153" s="28"/>
      <c r="G153" s="28"/>
      <c r="H153" s="28"/>
      <c r="I153" s="28"/>
      <c r="J153" s="28" t="n">
        <f aca="false">'COLECTOR MOV. TIERRAS'!N10</f>
        <v>10.291008</v>
      </c>
      <c r="K153" s="28"/>
      <c r="L153" s="27"/>
    </row>
    <row r="154" customFormat="false" ht="15" hidden="false" customHeight="true" outlineLevel="0" collapsed="false">
      <c r="A154" s="27"/>
      <c r="B154" s="27" t="s">
        <v>191</v>
      </c>
      <c r="C154" s="28" t="n">
        <v>1</v>
      </c>
      <c r="D154" s="28"/>
      <c r="E154" s="28"/>
      <c r="F154" s="28"/>
      <c r="G154" s="28"/>
      <c r="H154" s="28"/>
      <c r="I154" s="28"/>
      <c r="J154" s="28" t="n">
        <f aca="false">'COLECTOR MOV. TIERRAS'!N11</f>
        <v>116.287248</v>
      </c>
      <c r="K154" s="28"/>
      <c r="L154" s="27"/>
    </row>
    <row r="155" customFormat="false" ht="30.75" hidden="false" customHeight="true" outlineLevel="0" collapsed="false">
      <c r="A155" s="27"/>
      <c r="B155" s="27" t="s">
        <v>192</v>
      </c>
      <c r="C155" s="28" t="n">
        <v>1</v>
      </c>
      <c r="D155" s="28"/>
      <c r="E155" s="28"/>
      <c r="F155" s="28"/>
      <c r="G155" s="28"/>
      <c r="H155" s="28"/>
      <c r="I155" s="28"/>
      <c r="J155" s="28" t="n">
        <f aca="false">'COLECTOR MOV. TIERRAS'!N12</f>
        <v>4.044068</v>
      </c>
      <c r="K155" s="28"/>
      <c r="L155" s="27"/>
    </row>
    <row r="156" customFormat="false" ht="46.5" hidden="false" customHeight="true" outlineLevel="0" collapsed="false">
      <c r="A156" s="25" t="s">
        <v>114</v>
      </c>
      <c r="B156" s="25" t="s">
        <v>29</v>
      </c>
      <c r="C156" s="26"/>
      <c r="D156" s="26"/>
      <c r="E156" s="26"/>
      <c r="F156" s="26"/>
      <c r="G156" s="26"/>
      <c r="H156" s="26"/>
      <c r="I156" s="26"/>
      <c r="J156" s="26"/>
      <c r="K156" s="26" t="n">
        <f aca="false">SUM(J157:J159)</f>
        <v>105.29</v>
      </c>
      <c r="L156" s="25" t="s">
        <v>18</v>
      </c>
    </row>
    <row r="157" customFormat="false" ht="30.75" hidden="false" customHeight="true" outlineLevel="0" collapsed="false">
      <c r="A157" s="27"/>
      <c r="B157" s="27" t="s">
        <v>190</v>
      </c>
      <c r="C157" s="28" t="n">
        <v>1</v>
      </c>
      <c r="D157" s="28"/>
      <c r="E157" s="28"/>
      <c r="F157" s="28"/>
      <c r="G157" s="28"/>
      <c r="H157" s="28"/>
      <c r="I157" s="28"/>
      <c r="J157" s="28" t="n">
        <f aca="false">'COLECTOR MOV. TIERRAS'!O10</f>
        <v>6.08</v>
      </c>
      <c r="K157" s="28"/>
      <c r="L157" s="27"/>
    </row>
    <row r="158" customFormat="false" ht="15" hidden="false" customHeight="true" outlineLevel="0" collapsed="false">
      <c r="A158" s="27"/>
      <c r="B158" s="27" t="s">
        <v>191</v>
      </c>
      <c r="C158" s="28" t="n">
        <v>1</v>
      </c>
      <c r="D158" s="28"/>
      <c r="E158" s="28"/>
      <c r="F158" s="28"/>
      <c r="G158" s="28"/>
      <c r="H158" s="28"/>
      <c r="I158" s="28"/>
      <c r="J158" s="28" t="n">
        <f aca="false">'COLECTOR MOV. TIERRAS'!O11</f>
        <v>94.82</v>
      </c>
      <c r="K158" s="28"/>
      <c r="L158" s="27"/>
    </row>
    <row r="159" customFormat="false" ht="30.75" hidden="false" customHeight="true" outlineLevel="0" collapsed="false">
      <c r="A159" s="27"/>
      <c r="B159" s="27" t="s">
        <v>192</v>
      </c>
      <c r="C159" s="28" t="n">
        <v>1</v>
      </c>
      <c r="D159" s="28"/>
      <c r="E159" s="28"/>
      <c r="F159" s="28"/>
      <c r="G159" s="28"/>
      <c r="H159" s="28"/>
      <c r="I159" s="28"/>
      <c r="J159" s="28" t="n">
        <f aca="false">'COLECTOR MOV. TIERRAS'!O12</f>
        <v>4.39</v>
      </c>
      <c r="K159" s="28"/>
      <c r="L159" s="27"/>
    </row>
    <row r="160" customFormat="false" ht="46.5" hidden="false" customHeight="true" outlineLevel="0" collapsed="false">
      <c r="A160" s="25" t="s">
        <v>115</v>
      </c>
      <c r="B160" s="25" t="s">
        <v>847</v>
      </c>
      <c r="C160" s="26"/>
      <c r="D160" s="26"/>
      <c r="E160" s="26"/>
      <c r="F160" s="26"/>
      <c r="G160" s="26"/>
      <c r="H160" s="26"/>
      <c r="I160" s="26"/>
      <c r="J160" s="26"/>
      <c r="K160" s="26" t="n">
        <f aca="false">SUM(J161:J166)</f>
        <v>91.51313</v>
      </c>
      <c r="L160" s="25" t="s">
        <v>25</v>
      </c>
    </row>
    <row r="161" customFormat="false" ht="30.75" hidden="false" customHeight="true" outlineLevel="0" collapsed="false">
      <c r="A161" s="27"/>
      <c r="B161" s="27" t="s">
        <v>193</v>
      </c>
      <c r="C161" s="28" t="n">
        <v>1</v>
      </c>
      <c r="D161" s="28"/>
      <c r="E161" s="28"/>
      <c r="F161" s="28"/>
      <c r="G161" s="28"/>
      <c r="H161" s="28"/>
      <c r="I161" s="28"/>
      <c r="J161" s="28" t="n">
        <f aca="false">'COLECTOR MOV. TIERRAS'!P10</f>
        <v>3.67536</v>
      </c>
      <c r="K161" s="28"/>
      <c r="L161" s="27"/>
    </row>
    <row r="162" customFormat="false" ht="30.75" hidden="false" customHeight="true" outlineLevel="0" collapsed="false">
      <c r="A162" s="27"/>
      <c r="B162" s="27" t="s">
        <v>194</v>
      </c>
      <c r="C162" s="28" t="n">
        <v>1</v>
      </c>
      <c r="D162" s="28"/>
      <c r="E162" s="28"/>
      <c r="F162" s="28"/>
      <c r="G162" s="28"/>
      <c r="H162" s="28"/>
      <c r="I162" s="28"/>
      <c r="J162" s="28" t="n">
        <f aca="false">'COLECTOR MOV. TIERRAS'!P11</f>
        <v>41.53116</v>
      </c>
      <c r="K162" s="28"/>
      <c r="L162" s="27"/>
    </row>
    <row r="163" customFormat="false" ht="30.75" hidden="false" customHeight="true" outlineLevel="0" collapsed="false">
      <c r="A163" s="27"/>
      <c r="B163" s="27" t="s">
        <v>195</v>
      </c>
      <c r="C163" s="28" t="n">
        <v>1</v>
      </c>
      <c r="D163" s="28"/>
      <c r="E163" s="28"/>
      <c r="F163" s="28"/>
      <c r="G163" s="28"/>
      <c r="H163" s="28"/>
      <c r="I163" s="28"/>
      <c r="J163" s="28" t="n">
        <f aca="false">'COLECTOR MOV. TIERRAS'!P12</f>
        <v>1.44431</v>
      </c>
      <c r="K163" s="28"/>
      <c r="L163" s="27"/>
    </row>
    <row r="164" customFormat="false" ht="30.75" hidden="false" customHeight="true" outlineLevel="0" collapsed="false">
      <c r="A164" s="27"/>
      <c r="B164" s="27" t="s">
        <v>196</v>
      </c>
      <c r="C164" s="28" t="n">
        <v>1</v>
      </c>
      <c r="D164" s="28"/>
      <c r="E164" s="28"/>
      <c r="F164" s="28"/>
      <c r="G164" s="28"/>
      <c r="H164" s="28"/>
      <c r="I164" s="28"/>
      <c r="J164" s="28" t="n">
        <f aca="false">'COLECTOR MOV. TIERRAS'!Q10</f>
        <v>0.0</v>
      </c>
      <c r="K164" s="28"/>
      <c r="L164" s="27"/>
    </row>
    <row r="165" customFormat="false" ht="30.75" hidden="false" customHeight="true" outlineLevel="0" collapsed="false">
      <c r="A165" s="27"/>
      <c r="B165" s="27" t="s">
        <v>197</v>
      </c>
      <c r="C165" s="28" t="n">
        <v>1</v>
      </c>
      <c r="D165" s="28"/>
      <c r="E165" s="28"/>
      <c r="F165" s="28"/>
      <c r="G165" s="28"/>
      <c r="H165" s="28"/>
      <c r="I165" s="28"/>
      <c r="J165" s="28" t="n">
        <f aca="false">'COLECTOR MOV. TIERRAS'!Q11</f>
        <v>41.34152</v>
      </c>
      <c r="K165" s="28"/>
      <c r="L165" s="27"/>
    </row>
    <row r="166" customFormat="false" ht="46.5" hidden="false" customHeight="true" outlineLevel="0" collapsed="false">
      <c r="A166" s="27"/>
      <c r="B166" s="27" t="s">
        <v>198</v>
      </c>
      <c r="C166" s="28" t="n">
        <v>1</v>
      </c>
      <c r="D166" s="28"/>
      <c r="E166" s="28"/>
      <c r="F166" s="28"/>
      <c r="G166" s="28"/>
      <c r="H166" s="28"/>
      <c r="I166" s="28"/>
      <c r="J166" s="28" t="n">
        <f aca="false">'COLECTOR MOV. TIERRAS'!Q12</f>
        <v>3.52078</v>
      </c>
      <c r="K166" s="28"/>
      <c r="L166" s="27"/>
    </row>
    <row r="167" customFormat="false" ht="30.75" hidden="false" customHeight="true" outlineLevel="0" collapsed="false">
      <c r="A167" s="25" t="s">
        <v>117</v>
      </c>
      <c r="B167" s="25" t="s">
        <v>848</v>
      </c>
      <c r="C167" s="26"/>
      <c r="D167" s="26"/>
      <c r="E167" s="26"/>
      <c r="F167" s="26"/>
      <c r="G167" s="26"/>
      <c r="H167" s="26"/>
      <c r="I167" s="26"/>
      <c r="J167" s="26"/>
      <c r="K167" s="26" t="n">
        <f aca="false">SUM(J168:J169)*PARAMETROS!$B$16</f>
        <v>46.9310328</v>
      </c>
      <c r="L167" s="25" t="s">
        <v>25</v>
      </c>
    </row>
    <row r="168" customFormat="false" ht="15" hidden="false" customHeight="true" outlineLevel="0" collapsed="false">
      <c r="A168" s="27"/>
      <c r="B168" s="27" t="s">
        <v>199</v>
      </c>
      <c r="C168" s="28" t="n">
        <v>1</v>
      </c>
      <c r="D168" s="28"/>
      <c r="E168" s="28"/>
      <c r="F168" s="28"/>
      <c r="G168" s="28"/>
      <c r="H168" s="28"/>
      <c r="I168" s="28"/>
      <c r="J168" s="28" t="n">
        <f aca="false">K152</f>
        <v>130.622324</v>
      </c>
      <c r="K168" s="28"/>
      <c r="L168" s="27"/>
    </row>
    <row r="169" customFormat="false" ht="15" hidden="false" customHeight="true" outlineLevel="0" collapsed="false">
      <c r="A169" s="27"/>
      <c r="B169" s="27" t="s">
        <v>200</v>
      </c>
      <c r="C169" s="28" t="n">
        <v>-1</v>
      </c>
      <c r="D169" s="28"/>
      <c r="E169" s="28"/>
      <c r="F169" s="28"/>
      <c r="G169" s="28"/>
      <c r="H169" s="28"/>
      <c r="I169" s="28"/>
      <c r="J169" s="28" t="n">
        <f aca="false">-K160</f>
        <v>-91.51313</v>
      </c>
      <c r="K169" s="28"/>
      <c r="L169" s="27"/>
    </row>
    <row r="170" customFormat="false" ht="15" hidden="false" customHeight="true" outlineLevel="0" collapsed="false">
      <c r="A170" s="24" t="s">
        <v>118</v>
      </c>
      <c r="B170" s="24" t="s">
        <v>35</v>
      </c>
      <c r="C170" s="67"/>
      <c r="D170" s="67"/>
      <c r="E170" s="67"/>
      <c r="F170" s="67"/>
      <c r="G170" s="67"/>
      <c r="H170" s="67"/>
      <c r="I170" s="67"/>
      <c r="J170" s="67"/>
      <c r="K170" s="67"/>
      <c r="L170" s="68"/>
    </row>
    <row r="171" customFormat="false" ht="30.75" hidden="false" customHeight="true" outlineLevel="0" collapsed="false">
      <c r="A171" s="25" t="s">
        <v>119</v>
      </c>
      <c r="B171" s="25" t="s">
        <v>854</v>
      </c>
      <c r="C171" s="26"/>
      <c r="D171" s="26"/>
      <c r="E171" s="26"/>
      <c r="F171" s="26"/>
      <c r="G171" s="26"/>
      <c r="H171" s="26"/>
      <c r="I171" s="26"/>
      <c r="J171" s="26"/>
      <c r="K171" s="26" t="n">
        <f aca="false">SUM(J172:J174)</f>
        <v>105.29</v>
      </c>
      <c r="L171" s="25" t="s">
        <v>18</v>
      </c>
    </row>
    <row r="172" customFormat="false" ht="30.75" hidden="false" customHeight="true" outlineLevel="0" collapsed="false">
      <c r="A172" s="27"/>
      <c r="B172" s="27" t="s">
        <v>190</v>
      </c>
      <c r="C172" s="28" t="n">
        <v>1</v>
      </c>
      <c r="D172" s="28"/>
      <c r="E172" s="28"/>
      <c r="F172" s="28"/>
      <c r="G172" s="28"/>
      <c r="H172" s="28"/>
      <c r="I172" s="28"/>
      <c r="J172" s="28" t="n">
        <f aca="false">'COLECTOR CONCRETO'!H10</f>
        <v>6.08</v>
      </c>
      <c r="K172" s="28"/>
      <c r="L172" s="27"/>
    </row>
    <row r="173" customFormat="false" ht="15" hidden="false" customHeight="true" outlineLevel="0" collapsed="false">
      <c r="A173" s="27"/>
      <c r="B173" s="27" t="s">
        <v>191</v>
      </c>
      <c r="C173" s="28" t="n">
        <v>1</v>
      </c>
      <c r="D173" s="28"/>
      <c r="E173" s="28"/>
      <c r="F173" s="28"/>
      <c r="G173" s="28"/>
      <c r="H173" s="28"/>
      <c r="I173" s="28"/>
      <c r="J173" s="28" t="n">
        <f aca="false">'COLECTOR CONCRETO'!H11</f>
        <v>94.82</v>
      </c>
      <c r="K173" s="28"/>
      <c r="L173" s="27"/>
    </row>
    <row r="174" customFormat="false" ht="30.75" hidden="false" customHeight="true" outlineLevel="0" collapsed="false">
      <c r="A174" s="27"/>
      <c r="B174" s="27" t="s">
        <v>192</v>
      </c>
      <c r="C174" s="28" t="n">
        <v>1</v>
      </c>
      <c r="D174" s="28"/>
      <c r="E174" s="28"/>
      <c r="F174" s="28"/>
      <c r="G174" s="28"/>
      <c r="H174" s="28"/>
      <c r="I174" s="28"/>
      <c r="J174" s="28" t="n">
        <f aca="false">'COLECTOR CONCRETO'!H12</f>
        <v>4.39</v>
      </c>
      <c r="K174" s="28"/>
      <c r="L174" s="27"/>
    </row>
    <row r="175" customFormat="false" ht="30.75" hidden="false" customHeight="true" outlineLevel="0" collapsed="false">
      <c r="A175" s="24" t="s">
        <v>121</v>
      </c>
      <c r="B175" s="24" t="s">
        <v>122</v>
      </c>
      <c r="C175" s="67"/>
      <c r="D175" s="67"/>
      <c r="E175" s="67"/>
      <c r="F175" s="67"/>
      <c r="G175" s="67"/>
      <c r="H175" s="67"/>
      <c r="I175" s="67"/>
      <c r="J175" s="67"/>
      <c r="K175" s="67"/>
      <c r="L175" s="68"/>
    </row>
    <row r="176" customFormat="false" ht="30.75" hidden="false" customHeight="true" outlineLevel="0" collapsed="false">
      <c r="A176" s="25" t="s">
        <v>123</v>
      </c>
      <c r="B176" s="25" t="s">
        <v>855</v>
      </c>
      <c r="C176" s="26"/>
      <c r="D176" s="26"/>
      <c r="E176" s="26"/>
      <c r="F176" s="26"/>
      <c r="G176" s="26"/>
      <c r="H176" s="26"/>
      <c r="I176" s="26"/>
      <c r="J176" s="26"/>
      <c r="K176" s="26" t="n">
        <f aca="false">SUM(J177:J189)</f>
        <v>56.017129</v>
      </c>
      <c r="L176" s="25" t="s">
        <v>25</v>
      </c>
    </row>
    <row r="177" customFormat="false" ht="30.75" hidden="false" customHeight="true" outlineLevel="0" collapsed="false">
      <c r="A177" s="27"/>
      <c r="B177" s="27" t="s">
        <v>858</v>
      </c>
      <c r="C177" s="28" t="n">
        <v>1</v>
      </c>
      <c r="D177" s="28"/>
      <c r="E177" s="28"/>
      <c r="F177" s="28"/>
      <c r="G177" s="28"/>
      <c r="H177" s="28"/>
      <c r="I177" s="28"/>
      <c r="J177" s="28" t="n">
        <f aca="false">'COLECTOR CONCRETO'!I10</f>
        <v>0.8208</v>
      </c>
      <c r="K177" s="28"/>
      <c r="L177" s="27"/>
    </row>
    <row r="178" customFormat="false" ht="15" hidden="false" customHeight="true" outlineLevel="0" collapsed="false">
      <c r="A178" s="27"/>
      <c r="B178" s="27" t="s">
        <v>859</v>
      </c>
      <c r="C178" s="28" t="n">
        <v>1</v>
      </c>
      <c r="D178" s="28"/>
      <c r="E178" s="28"/>
      <c r="F178" s="28"/>
      <c r="G178" s="28"/>
      <c r="H178" s="28"/>
      <c r="I178" s="28"/>
      <c r="J178" s="28" t="n">
        <f aca="false">'COLECTOR CONCRETO'!I11</f>
        <v>12.8007</v>
      </c>
      <c r="K178" s="28"/>
      <c r="L178" s="27"/>
    </row>
    <row r="179" customFormat="false" ht="30.75" hidden="false" customHeight="true" outlineLevel="0" collapsed="false">
      <c r="A179" s="27"/>
      <c r="B179" s="27" t="s">
        <v>860</v>
      </c>
      <c r="C179" s="28" t="n">
        <v>1</v>
      </c>
      <c r="D179" s="28"/>
      <c r="E179" s="28"/>
      <c r="F179" s="28"/>
      <c r="G179" s="28"/>
      <c r="H179" s="28"/>
      <c r="I179" s="28"/>
      <c r="J179" s="28" t="n">
        <f aca="false">'COLECTOR CONCRETO'!I12</f>
        <v>0.59265</v>
      </c>
      <c r="K179" s="28"/>
      <c r="L179" s="27"/>
    </row>
    <row r="180" customFormat="false" ht="30.75" hidden="false" customHeight="true" outlineLevel="0" collapsed="false">
      <c r="A180" s="27"/>
      <c r="B180" s="25" t="s">
        <v>856</v>
      </c>
      <c r="C180" s="26"/>
      <c r="D180" s="26"/>
      <c r="E180" s="26"/>
      <c r="F180" s="26"/>
      <c r="G180" s="26"/>
      <c r="H180" s="26"/>
      <c r="I180" s="26"/>
      <c r="J180" s="26"/>
      <c r="K180" s="28"/>
      <c r="L180" s="27"/>
    </row>
    <row r="181" customFormat="false" ht="30.75" hidden="false" customHeight="true" outlineLevel="0" collapsed="false">
      <c r="A181" s="27"/>
      <c r="B181" s="27" t="s">
        <v>190</v>
      </c>
      <c r="C181" s="28" t="n">
        <v>1</v>
      </c>
      <c r="D181" s="28"/>
      <c r="E181" s="28"/>
      <c r="F181" s="28"/>
      <c r="G181" s="28"/>
      <c r="H181" s="28"/>
      <c r="I181" s="28"/>
      <c r="J181" s="28" t="n">
        <f aca="false">'COLECTOR CONCRETO'!J10</f>
        <v>1.293216</v>
      </c>
      <c r="K181" s="28"/>
      <c r="L181" s="27"/>
    </row>
    <row r="182" customFormat="false" ht="15" hidden="false" customHeight="true" outlineLevel="0" collapsed="false">
      <c r="A182" s="27"/>
      <c r="B182" s="27" t="s">
        <v>191</v>
      </c>
      <c r="C182" s="28" t="n">
        <v>1</v>
      </c>
      <c r="D182" s="28"/>
      <c r="E182" s="28"/>
      <c r="F182" s="28"/>
      <c r="G182" s="28"/>
      <c r="H182" s="28"/>
      <c r="I182" s="28"/>
      <c r="J182" s="28" t="n">
        <f aca="false">'COLECTOR CONCRETO'!J11</f>
        <v>28.73046</v>
      </c>
      <c r="K182" s="28"/>
      <c r="L182" s="27"/>
    </row>
    <row r="183" customFormat="false" ht="30.75" hidden="false" customHeight="true" outlineLevel="0" collapsed="false">
      <c r="A183" s="27"/>
      <c r="B183" s="27" t="s">
        <v>192</v>
      </c>
      <c r="C183" s="28" t="n">
        <v>1</v>
      </c>
      <c r="D183" s="28"/>
      <c r="E183" s="28"/>
      <c r="F183" s="28"/>
      <c r="G183" s="28"/>
      <c r="H183" s="28"/>
      <c r="I183" s="28"/>
      <c r="J183" s="28" t="n">
        <f aca="false">'COLECTOR CONCRETO'!J12</f>
        <v>1.526403</v>
      </c>
      <c r="K183" s="28"/>
      <c r="L183" s="27"/>
    </row>
    <row r="184" customFormat="false" ht="46.5" hidden="false" customHeight="true" outlineLevel="0" collapsed="false">
      <c r="A184" s="27"/>
      <c r="B184" s="25" t="s">
        <v>857</v>
      </c>
      <c r="C184" s="26"/>
      <c r="D184" s="26"/>
      <c r="E184" s="26"/>
      <c r="F184" s="26"/>
      <c r="G184" s="26"/>
      <c r="H184" s="26"/>
      <c r="I184" s="26"/>
      <c r="J184" s="26"/>
      <c r="K184" s="28"/>
      <c r="L184" s="27"/>
    </row>
    <row r="185" customFormat="false" ht="30.75" hidden="false" customHeight="true" outlineLevel="0" collapsed="false">
      <c r="A185" s="27"/>
      <c r="B185" s="27" t="s">
        <v>190</v>
      </c>
      <c r="C185" s="28" t="n">
        <v>1</v>
      </c>
      <c r="D185" s="28"/>
      <c r="E185" s="28"/>
      <c r="F185" s="28"/>
      <c r="G185" s="28"/>
      <c r="H185" s="28"/>
      <c r="I185" s="28"/>
      <c r="J185" s="28" t="n">
        <f aca="false">'COLECTOR CONCRETO'!K10</f>
        <v>1.368</v>
      </c>
      <c r="K185" s="28"/>
      <c r="L185" s="27"/>
    </row>
    <row r="186" customFormat="false" ht="15" hidden="false" customHeight="true" outlineLevel="0" collapsed="false">
      <c r="A186" s="27"/>
      <c r="B186" s="27" t="s">
        <v>191</v>
      </c>
      <c r="C186" s="28" t="n">
        <v>1</v>
      </c>
      <c r="D186" s="28"/>
      <c r="E186" s="28"/>
      <c r="F186" s="28"/>
      <c r="G186" s="28"/>
      <c r="H186" s="28"/>
      <c r="I186" s="28"/>
      <c r="J186" s="28" t="n">
        <f aca="false">'COLECTOR CONCRETO'!K11</f>
        <v>8.5338</v>
      </c>
      <c r="K186" s="28"/>
      <c r="L186" s="27"/>
    </row>
    <row r="187" customFormat="false" ht="30.75" hidden="false" customHeight="true" outlineLevel="0" collapsed="false">
      <c r="A187" s="27"/>
      <c r="B187" s="27" t="s">
        <v>192</v>
      </c>
      <c r="C187" s="28" t="n">
        <v>1</v>
      </c>
      <c r="D187" s="28"/>
      <c r="E187" s="28"/>
      <c r="F187" s="28"/>
      <c r="G187" s="28"/>
      <c r="H187" s="28"/>
      <c r="I187" s="28"/>
      <c r="J187" s="28" t="n">
        <f aca="false">'COLECTOR CONCRETO'!K12</f>
        <v>0.3951</v>
      </c>
      <c r="K187" s="28"/>
      <c r="L187" s="27"/>
    </row>
    <row r="188" customFormat="false" ht="30.75" hidden="false" customHeight="true" outlineLevel="0" collapsed="false">
      <c r="A188" s="27"/>
      <c r="B188" s="27" t="s">
        <v>201</v>
      </c>
      <c r="C188" s="28" t="n">
        <v>1</v>
      </c>
      <c r="D188" s="28"/>
      <c r="E188" s="28"/>
      <c r="F188" s="28"/>
      <c r="G188" s="28"/>
      <c r="H188" s="28"/>
      <c r="I188" s="28"/>
      <c r="J188" s="28" t="n">
        <f aca="false">'COLECTOR CONCRETO'!K17</f>
        <v>0.495</v>
      </c>
      <c r="K188" s="28"/>
      <c r="L188" s="27"/>
    </row>
    <row r="189" customFormat="false" ht="30.75" hidden="false" customHeight="true" outlineLevel="0" collapsed="false">
      <c r="A189" s="27"/>
      <c r="B189" s="27" t="s">
        <v>202</v>
      </c>
      <c r="C189" s="28" t="n">
        <v>1</v>
      </c>
      <c r="D189" s="28"/>
      <c r="E189" s="28"/>
      <c r="F189" s="28"/>
      <c r="G189" s="28"/>
      <c r="H189" s="28"/>
      <c r="I189" s="28"/>
      <c r="J189" s="28" t="n">
        <f aca="false">'COLECTOR CONCRETO'!K18</f>
        <v>-0.539</v>
      </c>
      <c r="K189" s="28"/>
      <c r="L189" s="27"/>
    </row>
    <row r="190" customFormat="false" ht="30.75" hidden="false" customHeight="true" outlineLevel="0" collapsed="false">
      <c r="A190" s="25" t="s">
        <v>125</v>
      </c>
      <c r="B190" s="25" t="s">
        <v>861</v>
      </c>
      <c r="C190" s="26"/>
      <c r="D190" s="26"/>
      <c r="E190" s="26"/>
      <c r="F190" s="26"/>
      <c r="G190" s="26"/>
      <c r="H190" s="26"/>
      <c r="I190" s="26"/>
      <c r="J190" s="26"/>
      <c r="K190" s="26" t="n">
        <f aca="false">SUM(J191:J193)</f>
        <v>538.31072</v>
      </c>
      <c r="L190" s="25" t="s">
        <v>18</v>
      </c>
    </row>
    <row r="191" customFormat="false" ht="30.75" hidden="false" customHeight="true" outlineLevel="0" collapsed="false">
      <c r="A191" s="27"/>
      <c r="B191" s="27" t="s">
        <v>190</v>
      </c>
      <c r="C191" s="28" t="n">
        <v>1</v>
      </c>
      <c r="D191" s="28"/>
      <c r="E191" s="28"/>
      <c r="F191" s="28"/>
      <c r="G191" s="28"/>
      <c r="H191" s="28"/>
      <c r="I191" s="28"/>
      <c r="J191" s="28" t="n">
        <f aca="false">'COLECTOR ENCOFRADO'!K10</f>
        <v>25.75488</v>
      </c>
      <c r="K191" s="28"/>
      <c r="L191" s="27"/>
    </row>
    <row r="192" customFormat="false" ht="15" hidden="false" customHeight="true" outlineLevel="0" collapsed="false">
      <c r="A192" s="27"/>
      <c r="B192" s="27" t="s">
        <v>191</v>
      </c>
      <c r="C192" s="28" t="n">
        <v>1</v>
      </c>
      <c r="D192" s="28"/>
      <c r="E192" s="28"/>
      <c r="F192" s="28"/>
      <c r="G192" s="28"/>
      <c r="H192" s="28"/>
      <c r="I192" s="28"/>
      <c r="J192" s="28" t="n">
        <f aca="false">'COLECTOR ENCOFRADO'!K11</f>
        <v>487.3748</v>
      </c>
      <c r="K192" s="28"/>
      <c r="L192" s="27"/>
    </row>
    <row r="193" customFormat="false" ht="30.75" hidden="false" customHeight="true" outlineLevel="0" collapsed="false">
      <c r="A193" s="27"/>
      <c r="B193" s="27" t="s">
        <v>192</v>
      </c>
      <c r="C193" s="28" t="n">
        <v>1</v>
      </c>
      <c r="D193" s="28"/>
      <c r="E193" s="28"/>
      <c r="F193" s="28"/>
      <c r="G193" s="28"/>
      <c r="H193" s="28"/>
      <c r="I193" s="28"/>
      <c r="J193" s="28" t="n">
        <f aca="false">'COLECTOR ENCOFRADO'!K12</f>
        <v>25.18104</v>
      </c>
      <c r="K193" s="28"/>
      <c r="L193" s="27"/>
    </row>
    <row r="194" customFormat="false" ht="30.75" hidden="false" customHeight="true" outlineLevel="0" collapsed="false">
      <c r="A194" s="25" t="s">
        <v>127</v>
      </c>
      <c r="B194" s="25" t="s">
        <v>862</v>
      </c>
      <c r="C194" s="26"/>
      <c r="D194" s="26"/>
      <c r="E194" s="26"/>
      <c r="F194" s="26"/>
      <c r="G194" s="26"/>
      <c r="H194" s="26"/>
      <c r="I194" s="26"/>
      <c r="J194" s="26"/>
      <c r="K194" s="26" t="n">
        <f aca="false">SUM(J195:J197)</f>
        <v>2523.83768622222</v>
      </c>
      <c r="L194" s="25" t="s">
        <v>50</v>
      </c>
    </row>
    <row r="195" customFormat="false" ht="30.75" hidden="false" customHeight="true" outlineLevel="0" collapsed="false">
      <c r="A195" s="27"/>
      <c r="B195" s="27" t="s">
        <v>190</v>
      </c>
      <c r="C195" s="28" t="n">
        <v>1</v>
      </c>
      <c r="D195" s="28"/>
      <c r="E195" s="28"/>
      <c r="F195" s="28"/>
      <c r="G195" s="28"/>
      <c r="H195" s="28"/>
      <c r="I195" s="28"/>
      <c r="J195" s="28" t="n">
        <f aca="false">'COLECTOR ACERO'!U10</f>
        <v>456.407037333333</v>
      </c>
      <c r="K195" s="28"/>
      <c r="L195" s="27"/>
    </row>
    <row r="196" customFormat="false" ht="15" hidden="false" customHeight="true" outlineLevel="0" collapsed="false">
      <c r="A196" s="27"/>
      <c r="B196" s="27" t="s">
        <v>191</v>
      </c>
      <c r="C196" s="28" t="n">
        <v>1</v>
      </c>
      <c r="D196" s="28"/>
      <c r="E196" s="28"/>
      <c r="F196" s="28"/>
      <c r="G196" s="28"/>
      <c r="H196" s="28"/>
      <c r="I196" s="28"/>
      <c r="J196" s="28" t="n">
        <f aca="false">'COLECTOR ACERO'!U11</f>
        <v>1969.96663111111</v>
      </c>
      <c r="K196" s="28"/>
      <c r="L196" s="27"/>
    </row>
    <row r="197" customFormat="false" ht="30.75" hidden="false" customHeight="true" outlineLevel="0" collapsed="false">
      <c r="A197" s="27"/>
      <c r="B197" s="27" t="s">
        <v>192</v>
      </c>
      <c r="C197" s="28" t="n">
        <v>1</v>
      </c>
      <c r="D197" s="28"/>
      <c r="E197" s="28"/>
      <c r="F197" s="28"/>
      <c r="G197" s="28"/>
      <c r="H197" s="28"/>
      <c r="I197" s="28"/>
      <c r="J197" s="28" t="n">
        <f aca="false">'COLECTOR ACERO'!U12</f>
        <v>97.4640177777778</v>
      </c>
      <c r="K197" s="28"/>
      <c r="L197" s="27"/>
    </row>
    <row r="198" customFormat="false" ht="30.75" hidden="false" customHeight="true" outlineLevel="0" collapsed="false">
      <c r="A198" s="25" t="s">
        <v>129</v>
      </c>
      <c r="B198" s="25" t="s">
        <v>863</v>
      </c>
      <c r="C198" s="26"/>
      <c r="D198" s="26"/>
      <c r="E198" s="26"/>
      <c r="F198" s="26"/>
      <c r="G198" s="26"/>
      <c r="H198" s="26"/>
      <c r="I198" s="26"/>
      <c r="J198" s="26"/>
      <c r="K198" s="26" t="n">
        <f aca="false">SUM(J199:J201)</f>
        <v>94.761</v>
      </c>
      <c r="L198" s="25" t="s">
        <v>18</v>
      </c>
    </row>
    <row r="199" customFormat="false" ht="30.75" hidden="false" customHeight="true" outlineLevel="0" collapsed="false">
      <c r="A199" s="27"/>
      <c r="B199" s="27" t="s">
        <v>190</v>
      </c>
      <c r="C199" s="28" t="n">
        <v>1</v>
      </c>
      <c r="D199" s="28"/>
      <c r="E199" s="28"/>
      <c r="F199" s="28"/>
      <c r="G199" s="28"/>
      <c r="H199" s="28"/>
      <c r="I199" s="28"/>
      <c r="J199" s="28" t="n">
        <f aca="false">'COLECTOR CONCRETO'!L10</f>
        <v>5.472</v>
      </c>
      <c r="K199" s="28"/>
      <c r="L199" s="27"/>
    </row>
    <row r="200" customFormat="false" ht="15" hidden="false" customHeight="true" outlineLevel="0" collapsed="false">
      <c r="A200" s="27"/>
      <c r="B200" s="27" t="s">
        <v>191</v>
      </c>
      <c r="C200" s="28" t="n">
        <v>1</v>
      </c>
      <c r="D200" s="28"/>
      <c r="E200" s="28"/>
      <c r="F200" s="28"/>
      <c r="G200" s="28"/>
      <c r="H200" s="28"/>
      <c r="I200" s="28"/>
      <c r="J200" s="28" t="n">
        <f aca="false">'COLECTOR CONCRETO'!L11</f>
        <v>85.338</v>
      </c>
      <c r="K200" s="28"/>
      <c r="L200" s="27"/>
    </row>
    <row r="201" customFormat="false" ht="30.75" hidden="false" customHeight="true" outlineLevel="0" collapsed="false">
      <c r="A201" s="27"/>
      <c r="B201" s="27" t="s">
        <v>192</v>
      </c>
      <c r="C201" s="28" t="n">
        <v>1</v>
      </c>
      <c r="D201" s="28"/>
      <c r="E201" s="28"/>
      <c r="F201" s="28"/>
      <c r="G201" s="28"/>
      <c r="H201" s="28"/>
      <c r="I201" s="28"/>
      <c r="J201" s="28" t="n">
        <f aca="false">'COLECTOR CONCRETO'!L12</f>
        <v>3.951</v>
      </c>
      <c r="K201" s="28"/>
      <c r="L201" s="27"/>
    </row>
    <row r="202" customFormat="false" ht="30.75" hidden="false" customHeight="true" outlineLevel="0" collapsed="false">
      <c r="A202" s="25" t="s">
        <v>131</v>
      </c>
      <c r="B202" s="25" t="s">
        <v>136</v>
      </c>
      <c r="C202" s="26"/>
      <c r="D202" s="26"/>
      <c r="E202" s="26"/>
      <c r="F202" s="26"/>
      <c r="G202" s="26"/>
      <c r="H202" s="26"/>
      <c r="I202" s="26"/>
      <c r="J202" s="26"/>
      <c r="K202" s="26" t="n">
        <f aca="false">SUM(J203:J205)</f>
        <v>368.26886</v>
      </c>
      <c r="L202" s="25" t="s">
        <v>18</v>
      </c>
    </row>
    <row r="203" customFormat="false" ht="30.75" hidden="false" customHeight="true" outlineLevel="0" collapsed="false">
      <c r="A203" s="27"/>
      <c r="B203" s="27" t="s">
        <v>190</v>
      </c>
      <c r="C203" s="28" t="n">
        <v>1</v>
      </c>
      <c r="D203" s="28"/>
      <c r="E203" s="28"/>
      <c r="F203" s="28"/>
      <c r="G203" s="28"/>
      <c r="H203" s="28"/>
      <c r="I203" s="28"/>
      <c r="J203" s="28" t="n">
        <f aca="false">'COLECTOR CONCRETO'!M10</f>
        <v>17.74144</v>
      </c>
      <c r="K203" s="28"/>
      <c r="L203" s="27"/>
    </row>
    <row r="204" customFormat="false" ht="15" hidden="false" customHeight="true" outlineLevel="0" collapsed="false">
      <c r="A204" s="27"/>
      <c r="B204" s="27" t="s">
        <v>191</v>
      </c>
      <c r="C204" s="28" t="n">
        <v>1</v>
      </c>
      <c r="D204" s="28"/>
      <c r="E204" s="28"/>
      <c r="F204" s="28"/>
      <c r="G204" s="28"/>
      <c r="H204" s="28"/>
      <c r="I204" s="28"/>
      <c r="J204" s="28" t="n">
        <f aca="false">'COLECTOR CONCRETO'!M11</f>
        <v>333.7664</v>
      </c>
      <c r="K204" s="28"/>
      <c r="L204" s="27"/>
    </row>
    <row r="205" customFormat="false" ht="30.75" hidden="false" customHeight="true" outlineLevel="0" collapsed="false">
      <c r="A205" s="27"/>
      <c r="B205" s="27" t="s">
        <v>192</v>
      </c>
      <c r="C205" s="28" t="n">
        <v>1</v>
      </c>
      <c r="D205" s="28"/>
      <c r="E205" s="28"/>
      <c r="F205" s="28"/>
      <c r="G205" s="28"/>
      <c r="H205" s="28"/>
      <c r="I205" s="28"/>
      <c r="J205" s="28" t="n">
        <f aca="false">'COLECTOR CONCRETO'!M12</f>
        <v>16.76102</v>
      </c>
      <c r="K205" s="28"/>
      <c r="L205" s="27"/>
    </row>
    <row r="206" customFormat="false" ht="15" hidden="false" customHeight="true" outlineLevel="0" collapsed="false">
      <c r="A206" s="24" t="s">
        <v>137</v>
      </c>
      <c r="B206" s="24" t="s">
        <v>138</v>
      </c>
      <c r="C206" s="67"/>
      <c r="D206" s="67"/>
      <c r="E206" s="67"/>
      <c r="F206" s="67"/>
      <c r="G206" s="67"/>
      <c r="H206" s="67"/>
      <c r="I206" s="67"/>
      <c r="J206" s="67"/>
      <c r="K206" s="67"/>
      <c r="L206" s="68"/>
    </row>
    <row r="207" customFormat="false" ht="31" hidden="false" customHeight="true" outlineLevel="0" collapsed="false">
      <c r="A207" s="25" t="s">
        <v>139</v>
      </c>
      <c r="B207" s="25" t="s">
        <v>864</v>
      </c>
      <c r="C207" s="26"/>
      <c r="D207" s="26"/>
      <c r="E207" s="26"/>
      <c r="F207" s="26"/>
      <c r="G207" s="26"/>
      <c r="H207" s="26"/>
      <c r="I207" s="26"/>
      <c r="J207" s="26"/>
      <c r="K207" s="26" t="n">
        <f aca="false">SUM(J208:J208)</f>
        <v>11.0</v>
      </c>
      <c r="L207" s="25" t="s">
        <v>60</v>
      </c>
    </row>
    <row r="208" customFormat="false" ht="31" hidden="false" customHeight="true" outlineLevel="0" collapsed="false">
      <c r="A208" s="27"/>
      <c r="B208" s="27" t="s">
        <v>868</v>
      </c>
      <c r="C208" s="28" t="n">
        <v>1.0</v>
      </c>
      <c r="D208" s="28"/>
      <c r="E208" s="28"/>
      <c r="F208" s="28"/>
      <c r="G208" s="28"/>
      <c r="H208" s="28"/>
      <c r="I208" s="28"/>
      <c r="J208" s="28" t="n">
        <f aca="false">SUM('COLECTOR REGISTROS Y TAPAS'!E10:E20)</f>
        <v>11.0</v>
      </c>
      <c r="K208" s="28"/>
      <c r="L208" s="27"/>
    </row>
    <row r="209" customFormat="false" ht="46.5" hidden="false" customHeight="true" outlineLevel="0" collapsed="false">
      <c r="A209" s="27"/>
      <c r="B209" s="27" t="s">
        <v>869</v>
      </c>
      <c r="C209" s="28"/>
      <c r="D209" s="28"/>
      <c r="E209" s="28"/>
      <c r="F209" s="28"/>
      <c r="G209" s="28"/>
      <c r="H209" s="28"/>
      <c r="I209" s="28"/>
      <c r="J209" s="28"/>
      <c r="K209" s="28"/>
      <c r="L209" s="27"/>
    </row>
    <row r="210" customFormat="false" ht="46.5" hidden="false" customHeight="true" outlineLevel="0" collapsed="false">
      <c r="A210" s="27"/>
      <c r="B210" s="27" t="str">
        <f aca="false">"Totales para "&amp;K207&amp;" tapas: angulos "&amp;TEXT('COLECTOR REGISTROS Y TAPAS'!E27,"0.00")&amp;" kg; concreto "&amp;TEXT('COLECTOR REGISTROS Y TAPAS'!E29,"0.00")&amp;" m3; acero "&amp;TEXT('COLECTOR ACERO'!I25,"0.00")&amp;" kg; pintura "&amp;TEXT('COLECTOR REGISTROS Y TAPAS'!E30,"0.00")&amp;" m2"</f>
        <v>Totales para 11 tapas: angulos 111.12 kg; concreto 0.41 m3; acero 190.71 kg; pintura 9.23 m2</v>
      </c>
      <c r="C210" s="28"/>
      <c r="D210" s="28"/>
      <c r="E210" s="28"/>
      <c r="F210" s="28"/>
      <c r="G210" s="28"/>
      <c r="H210" s="28"/>
      <c r="I210" s="28"/>
      <c r="J210" s="28"/>
      <c r="K210" s="28"/>
      <c r="L210" s="27"/>
    </row>
    <row r="211" customFormat="false" ht="15.5" hidden="false" customHeight="true" outlineLevel="0" collapsed="false">
      <c r="A211" s="27"/>
      <c r="B211" s="27" t="s">
        <v>870</v>
      </c>
      <c r="C211" s="28"/>
      <c r="D211" s="28"/>
      <c r="E211" s="28"/>
      <c r="F211" s="28"/>
      <c r="G211" s="28"/>
      <c r="H211" s="28"/>
      <c r="I211" s="28"/>
      <c r="J211" s="28"/>
      <c r="K211" s="28"/>
      <c r="L211" s="27"/>
    </row>
    <row r="212" customFormat="false" ht="46.5" hidden="false" customHeight="true" outlineLevel="0" collapsed="false">
      <c r="A212" s="27"/>
      <c r="B212" s="27" t="s">
        <v>150</v>
      </c>
      <c r="C212" s="28"/>
      <c r="D212" s="28"/>
      <c r="E212" s="28"/>
      <c r="F212" s="28"/>
      <c r="G212" s="28"/>
      <c r="H212" s="28"/>
      <c r="I212" s="28"/>
      <c r="J212" s="28"/>
      <c r="K212" s="28"/>
      <c r="L212" s="27"/>
    </row>
    <row r="213" customFormat="false" ht="30.75" hidden="false" customHeight="true" outlineLevel="0" collapsed="false">
      <c r="A213" s="27"/>
      <c r="B213" s="27" t="s">
        <v>152</v>
      </c>
      <c r="C213" s="28"/>
      <c r="D213" s="28"/>
      <c r="E213" s="28"/>
      <c r="F213" s="28"/>
      <c r="G213" s="28"/>
      <c r="H213" s="28"/>
      <c r="I213" s="28"/>
      <c r="J213" s="28"/>
      <c r="K213" s="28"/>
      <c r="L213" s="27"/>
    </row>
    <row r="214" customFormat="false" ht="15" hidden="false" customHeight="true" outlineLevel="0" collapsed="false">
      <c r="A214" s="24" t="s">
        <v>153</v>
      </c>
      <c r="B214" s="24" t="s">
        <v>865</v>
      </c>
      <c r="C214" s="67"/>
      <c r="D214" s="67"/>
      <c r="E214" s="67"/>
      <c r="F214" s="67"/>
      <c r="G214" s="67"/>
      <c r="H214" s="67"/>
      <c r="I214" s="67"/>
      <c r="J214" s="67"/>
      <c r="K214" s="67"/>
      <c r="L214" s="68"/>
    </row>
    <row r="215" customFormat="false" ht="46.5" hidden="false" customHeight="true" outlineLevel="0" collapsed="false">
      <c r="A215" s="25" t="s">
        <v>155</v>
      </c>
      <c r="B215" s="25" t="s">
        <v>866</v>
      </c>
      <c r="C215" s="26"/>
      <c r="D215" s="26"/>
      <c r="E215" s="26"/>
      <c r="F215" s="26"/>
      <c r="G215" s="26"/>
      <c r="H215" s="26"/>
      <c r="I215" s="26"/>
      <c r="J215" s="26"/>
      <c r="K215" s="26" t="n">
        <f aca="false">+'COLECTOR JUNTAS Y EMPALMES'!F12</f>
        <v>120.64</v>
      </c>
      <c r="L215" s="25" t="s">
        <v>71</v>
      </c>
    </row>
    <row r="216" customFormat="false" ht="46.5" hidden="false" customHeight="true" outlineLevel="0" collapsed="false">
      <c r="A216" s="25" t="s">
        <v>157</v>
      </c>
      <c r="B216" s="25" t="s">
        <v>867</v>
      </c>
      <c r="C216" s="26"/>
      <c r="D216" s="26"/>
      <c r="E216" s="26"/>
      <c r="F216" s="26"/>
      <c r="G216" s="26"/>
      <c r="H216" s="26"/>
      <c r="I216" s="26"/>
      <c r="J216" s="26"/>
      <c r="K216" s="26" t="n">
        <f aca="false">+'COLECTOR JUNTAS Y EMPALMES'!F17</f>
        <v>4.64</v>
      </c>
      <c r="L216" s="25" t="s">
        <v>71</v>
      </c>
    </row>
  </sheetData>
  <mergeCells count="12">
    <mergeCell ref="A2:L2"/>
    <mergeCell ref="B3:L3"/>
    <mergeCell ref="B4:L4"/>
    <mergeCell ref="B5:L5"/>
    <mergeCell ref="B6:L6"/>
    <mergeCell ref="B9:L9"/>
    <mergeCell ref="B10:L10"/>
    <mergeCell ref="B107:L107"/>
    <mergeCell ref="B113:L113"/>
    <mergeCell ref="B114:L114"/>
    <mergeCell ref="K120:K121"/>
    <mergeCell ref="K123:K124"/>
  </mergeCells>
  <printOptions headings="false" gridLines="false" gridLinesSet="true" horizontalCentered="false" verticalCentered="false"/>
  <pageMargins left="0.7" right="0.7" top="0.75" bottom="0.75" header="0.511811023622047" footer="0.511811023622047"/>
  <pageSetup paperSize="9" scale="5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O157"/>
  <sheetViews>
    <sheetView showFormulas="false" showGridLines="true" showRowColHeaders="true" showZeros="true" rightToLeft="false" tabSelected="false" showOutlineSymbols="true" defaultGridColor="true" view="normal" topLeftCell="A61" colorId="64" zoomScale="115" zoomScaleNormal="115" zoomScalePageLayoutView="130" workbookViewId="0">
      <selection pane="topLeft" activeCell="H64" activeCellId="0" sqref="H64"/>
    </sheetView>
  </sheetViews>
  <sheetFormatPr defaultColWidth="12.3671875" defaultRowHeight="13.5" zeroHeight="false" outlineLevelRow="0" outlineLevelCol="0"/>
  <cols>
    <col collapsed="false" customWidth="true" hidden="false" outlineLevel="0" max="1" min="1" style="69" width="3.91"/>
    <col collapsed="false" customWidth="true" hidden="false" outlineLevel="0" max="2" min="2" style="69" width="12.91"/>
    <col collapsed="false" customWidth="true" hidden="false" outlineLevel="0" max="3" min="3" style="69" width="15.64"/>
    <col collapsed="false" customWidth="false" hidden="false" outlineLevel="0" max="6" min="4" style="69" width="12.36"/>
    <col collapsed="false" customWidth="true" hidden="false" outlineLevel="0" max="7" min="7" style="69" width="13.91"/>
    <col collapsed="false" customWidth="true" hidden="false" outlineLevel="0" max="8" min="8" style="69" width="7.91"/>
    <col collapsed="false" customWidth="true" hidden="false" outlineLevel="0" max="9" min="9" style="69" width="7.09"/>
    <col collapsed="false" customWidth="false" hidden="false" outlineLevel="0" max="14" min="10" style="69" width="12.36"/>
    <col collapsed="false" customWidth="true" hidden="false" outlineLevel="0" max="15" min="15" style="69" width="14.18"/>
    <col collapsed="false" customWidth="false" hidden="false" outlineLevel="0" max="16384" min="16" style="69" width="12.36"/>
  </cols>
  <sheetData>
    <row r="1" customFormat="false" ht="27" hidden="false" customHeight="true" outlineLevel="0" collapsed="false"/>
    <row r="2" customFormat="false" ht="24.75" hidden="false" customHeight="true" outlineLevel="0" collapsed="false">
      <c r="B2" s="70" t="s">
        <v>203</v>
      </c>
      <c r="C2" s="70"/>
      <c r="D2" s="70"/>
      <c r="E2" s="70"/>
      <c r="F2" s="70"/>
      <c r="G2" s="70"/>
      <c r="H2" s="70"/>
      <c r="I2" s="70"/>
      <c r="J2" s="70"/>
      <c r="K2" s="70"/>
      <c r="L2" s="70"/>
      <c r="M2" s="70"/>
      <c r="N2" s="70"/>
      <c r="O2" s="70"/>
    </row>
    <row r="3" customFormat="false" ht="24.75" hidden="false" customHeight="true" outlineLevel="0" collapsed="false">
      <c r="B3" s="9" t="s">
        <v>1</v>
      </c>
      <c r="C3" s="8" t="str">
        <f aca="false">+RESUMEN!B4</f>
        <v>GERENCIA TERRITORIAL BAJO MAYO - TARAPOTO</v>
      </c>
      <c r="D3" s="8"/>
      <c r="E3" s="8"/>
      <c r="F3" s="8"/>
      <c r="G3" s="8"/>
      <c r="H3" s="8"/>
      <c r="I3" s="8"/>
      <c r="J3" s="8"/>
      <c r="K3" s="8"/>
      <c r="L3" s="8"/>
      <c r="M3" s="8"/>
      <c r="N3" s="8"/>
      <c r="O3" s="8"/>
    </row>
    <row r="4" customFormat="false" ht="59.25" hidden="false" customHeight="true" outlineLevel="0" collapsed="false">
      <c r="B4" s="9" t="s">
        <v>3</v>
      </c>
      <c r="C4" s="8" t="str">
        <f aca="false">+RESUMEN!B5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4" s="8"/>
      <c r="E4" s="8"/>
      <c r="F4" s="8"/>
      <c r="G4" s="8"/>
      <c r="H4" s="8"/>
      <c r="I4" s="8"/>
      <c r="J4" s="8"/>
      <c r="K4" s="8"/>
      <c r="L4" s="8"/>
      <c r="M4" s="8"/>
      <c r="N4" s="8"/>
      <c r="O4" s="8"/>
    </row>
    <row r="5" customFormat="false" ht="24.75" hidden="false" customHeight="true" outlineLevel="0" collapsed="false">
      <c r="B5" s="9" t="s">
        <v>5</v>
      </c>
      <c r="C5" s="8" t="str">
        <f aca="false">+RESUMEN!B6</f>
        <v>SAN MARTIN - SAN MARTIN - MORALES</v>
      </c>
      <c r="D5" s="8"/>
      <c r="E5" s="8"/>
      <c r="F5" s="8"/>
      <c r="G5" s="8"/>
      <c r="H5" s="8"/>
      <c r="I5" s="8"/>
      <c r="J5" s="8"/>
      <c r="K5" s="8"/>
      <c r="L5" s="8"/>
      <c r="M5" s="8"/>
      <c r="N5" s="8"/>
      <c r="O5" s="8"/>
    </row>
    <row r="6" customFormat="false" ht="24.75" hidden="false" customHeight="true" outlineLevel="0" collapsed="false">
      <c r="B6" s="9" t="s">
        <v>7</v>
      </c>
      <c r="C6" s="10" t="n">
        <f aca="false">+RESUMEN!B7</f>
        <v>46266</v>
      </c>
      <c r="D6" s="10"/>
      <c r="E6" s="10"/>
      <c r="F6" s="10"/>
      <c r="G6" s="10"/>
      <c r="H6" s="10"/>
      <c r="I6" s="10"/>
      <c r="J6" s="10"/>
      <c r="K6" s="10"/>
      <c r="L6" s="10"/>
      <c r="M6" s="10"/>
      <c r="N6" s="10"/>
      <c r="O6" s="10"/>
    </row>
    <row r="7" customFormat="false" ht="24" hidden="false" customHeight="true" outlineLevel="0" collapsed="false">
      <c r="A7" s="71"/>
      <c r="B7" s="72" t="s">
        <v>41</v>
      </c>
      <c r="C7" s="72"/>
      <c r="D7" s="72"/>
      <c r="E7" s="72"/>
      <c r="F7" s="72"/>
      <c r="G7" s="72"/>
      <c r="H7" s="72"/>
      <c r="I7" s="72"/>
      <c r="J7" s="72"/>
      <c r="K7" s="72"/>
      <c r="L7" s="72"/>
      <c r="M7" s="72"/>
      <c r="N7" s="72"/>
      <c r="O7" s="72"/>
    </row>
    <row r="8" customFormat="false" ht="15.75" hidden="false" customHeight="true" outlineLevel="0" collapsed="false"/>
    <row r="9" customFormat="false" ht="24" hidden="false" customHeight="true" outlineLevel="0" collapsed="false">
      <c r="B9" s="73" t="s">
        <v>204</v>
      </c>
      <c r="C9" s="73"/>
      <c r="D9" s="73"/>
      <c r="E9" s="74" t="s">
        <v>185</v>
      </c>
      <c r="F9" s="74" t="s">
        <v>205</v>
      </c>
      <c r="G9" s="75" t="s">
        <v>206</v>
      </c>
      <c r="I9" s="76"/>
      <c r="J9" s="77" t="s">
        <v>204</v>
      </c>
      <c r="K9" s="77"/>
      <c r="L9" s="77"/>
      <c r="M9" s="77" t="s">
        <v>185</v>
      </c>
      <c r="N9" s="77" t="s">
        <v>205</v>
      </c>
      <c r="O9" s="77" t="s">
        <v>206</v>
      </c>
    </row>
    <row r="10" customFormat="false" ht="15" hidden="false" customHeight="true" outlineLevel="0" collapsed="false">
      <c r="B10" s="78" t="s">
        <v>207</v>
      </c>
      <c r="C10" s="79" t="s">
        <v>208</v>
      </c>
      <c r="D10" s="80" t="s">
        <v>166</v>
      </c>
      <c r="E10" s="81" t="n">
        <v>61.2</v>
      </c>
      <c r="F10" s="82" t="n">
        <f aca="false">E10*E11*E12</f>
        <v>12.24</v>
      </c>
      <c r="G10" s="83" t="n">
        <f aca="false">SUM(F10:F18)</f>
        <v>21.3456</v>
      </c>
      <c r="I10" s="76"/>
      <c r="J10" s="84" t="s">
        <v>209</v>
      </c>
      <c r="K10" s="85" t="s">
        <v>208</v>
      </c>
      <c r="L10" s="86" t="s">
        <v>166</v>
      </c>
      <c r="M10" s="87" t="n">
        <v>8.46</v>
      </c>
      <c r="N10" s="88" t="n">
        <f aca="false">M10*M11*M12</f>
        <v>1.692</v>
      </c>
      <c r="O10" s="88" t="n">
        <f aca="false">SUM(N10:N18)</f>
        <v>3.108</v>
      </c>
    </row>
    <row r="11" customFormat="false" ht="15" hidden="false" customHeight="true" outlineLevel="0" collapsed="false">
      <c r="B11" s="78"/>
      <c r="C11" s="79"/>
      <c r="D11" s="86" t="s">
        <v>210</v>
      </c>
      <c r="E11" s="87" t="n">
        <v>0.1</v>
      </c>
      <c r="F11" s="82"/>
      <c r="G11" s="83"/>
      <c r="I11" s="76"/>
      <c r="J11" s="84"/>
      <c r="K11" s="84"/>
      <c r="L11" s="86" t="s">
        <v>210</v>
      </c>
      <c r="M11" s="87" t="n">
        <v>0.1</v>
      </c>
      <c r="N11" s="88"/>
      <c r="O11" s="88"/>
    </row>
    <row r="12" customFormat="false" ht="15" hidden="false" customHeight="true" outlineLevel="0" collapsed="false">
      <c r="B12" s="78"/>
      <c r="C12" s="79"/>
      <c r="D12" s="89" t="s">
        <v>211</v>
      </c>
      <c r="E12" s="90" t="n">
        <v>2</v>
      </c>
      <c r="F12" s="82"/>
      <c r="G12" s="83"/>
      <c r="I12" s="76"/>
      <c r="J12" s="84"/>
      <c r="K12" s="85"/>
      <c r="L12" s="86" t="s">
        <v>211</v>
      </c>
      <c r="M12" s="87" t="n">
        <v>2</v>
      </c>
      <c r="N12" s="88"/>
      <c r="O12" s="88"/>
    </row>
    <row r="13" customFormat="false" ht="15" hidden="false" customHeight="true" outlineLevel="0" collapsed="false">
      <c r="B13" s="78"/>
      <c r="C13" s="79" t="s">
        <v>212</v>
      </c>
      <c r="D13" s="80" t="s">
        <v>210</v>
      </c>
      <c r="E13" s="81" t="n">
        <v>0.1</v>
      </c>
      <c r="F13" s="82" t="n">
        <f aca="false">E13*E14*E15</f>
        <v>6.6918</v>
      </c>
      <c r="G13" s="83"/>
      <c r="I13" s="76"/>
      <c r="J13" s="84"/>
      <c r="K13" s="85" t="s">
        <v>212</v>
      </c>
      <c r="L13" s="86" t="s">
        <v>210</v>
      </c>
      <c r="M13" s="87" t="n">
        <v>0.1</v>
      </c>
      <c r="N13" s="88" t="n">
        <f aca="false">M13*M14*M15</f>
        <v>1.416</v>
      </c>
      <c r="O13" s="88"/>
    </row>
    <row r="14" customFormat="false" ht="15" hidden="false" customHeight="true" outlineLevel="0" collapsed="false">
      <c r="B14" s="78"/>
      <c r="C14" s="79"/>
      <c r="D14" s="86" t="s">
        <v>213</v>
      </c>
      <c r="E14" s="87" t="n">
        <v>111.53</v>
      </c>
      <c r="F14" s="82"/>
      <c r="G14" s="83"/>
      <c r="I14" s="76"/>
      <c r="J14" s="84"/>
      <c r="K14" s="84"/>
      <c r="L14" s="86" t="s">
        <v>213</v>
      </c>
      <c r="M14" s="87" t="n">
        <v>23.6</v>
      </c>
      <c r="N14" s="88"/>
      <c r="O14" s="88"/>
    </row>
    <row r="15" customFormat="false" ht="15.75" hidden="false" customHeight="true" outlineLevel="0" collapsed="false">
      <c r="B15" s="78"/>
      <c r="C15" s="79"/>
      <c r="D15" s="89" t="s">
        <v>163</v>
      </c>
      <c r="E15" s="90" t="n">
        <v>0.6</v>
      </c>
      <c r="F15" s="82"/>
      <c r="G15" s="83"/>
      <c r="I15" s="76"/>
      <c r="J15" s="84"/>
      <c r="K15" s="85"/>
      <c r="L15" s="86" t="s">
        <v>163</v>
      </c>
      <c r="M15" s="87" t="n">
        <v>0.6</v>
      </c>
      <c r="N15" s="88"/>
      <c r="O15" s="88"/>
    </row>
    <row r="16" customFormat="false" ht="15" hidden="false" customHeight="true" outlineLevel="0" collapsed="false">
      <c r="B16" s="78"/>
      <c r="C16" s="79" t="s">
        <v>214</v>
      </c>
      <c r="D16" s="80" t="s">
        <v>213</v>
      </c>
      <c r="E16" s="81" t="n">
        <v>40.23</v>
      </c>
      <c r="F16" s="82" t="n">
        <f aca="false">E16*E17*E18</f>
        <v>2.4138</v>
      </c>
      <c r="G16" s="83"/>
      <c r="I16" s="76"/>
      <c r="J16" s="84"/>
      <c r="K16" s="85" t="s">
        <v>214</v>
      </c>
      <c r="L16" s="86" t="s">
        <v>213</v>
      </c>
      <c r="M16" s="91" t="n">
        <v>0</v>
      </c>
      <c r="N16" s="88" t="n">
        <f aca="false">M16*M17*M18</f>
        <v>0.0</v>
      </c>
      <c r="O16" s="88"/>
    </row>
    <row r="17" customFormat="false" ht="15" hidden="false" customHeight="true" outlineLevel="0" collapsed="false">
      <c r="B17" s="78"/>
      <c r="C17" s="79"/>
      <c r="D17" s="86" t="s">
        <v>210</v>
      </c>
      <c r="E17" s="87" t="n">
        <v>0.1</v>
      </c>
      <c r="F17" s="82"/>
      <c r="G17" s="83"/>
      <c r="I17" s="76"/>
      <c r="J17" s="84"/>
      <c r="K17" s="84"/>
      <c r="L17" s="86" t="s">
        <v>210</v>
      </c>
      <c r="M17" s="87" t="n">
        <v>0.1</v>
      </c>
      <c r="N17" s="88"/>
      <c r="O17" s="88"/>
    </row>
    <row r="18" customFormat="false" ht="15.75" hidden="false" customHeight="true" outlineLevel="0" collapsed="false">
      <c r="B18" s="78"/>
      <c r="C18" s="79"/>
      <c r="D18" s="89" t="s">
        <v>163</v>
      </c>
      <c r="E18" s="90" t="n">
        <v>0.6</v>
      </c>
      <c r="F18" s="82"/>
      <c r="G18" s="83"/>
      <c r="I18" s="76"/>
      <c r="J18" s="84"/>
      <c r="K18" s="84"/>
      <c r="L18" s="86" t="s">
        <v>163</v>
      </c>
      <c r="M18" s="87" t="n">
        <v>0.6</v>
      </c>
      <c r="N18" s="88"/>
      <c r="O18" s="88"/>
    </row>
    <row r="19" customFormat="false" ht="15" hidden="false" customHeight="true" outlineLevel="0" collapsed="false">
      <c r="F19" s="92"/>
      <c r="I19" s="76"/>
    </row>
    <row r="20" customFormat="false" ht="14.25" hidden="false" customHeight="true" outlineLevel="0" collapsed="false">
      <c r="I20" s="76"/>
    </row>
    <row r="21" customFormat="false" ht="21" hidden="false" customHeight="true" outlineLevel="0" collapsed="false">
      <c r="B21" s="73" t="s">
        <v>204</v>
      </c>
      <c r="C21" s="73"/>
      <c r="D21" s="73"/>
      <c r="E21" s="74" t="s">
        <v>185</v>
      </c>
      <c r="F21" s="74" t="s">
        <v>205</v>
      </c>
      <c r="G21" s="75" t="s">
        <v>206</v>
      </c>
      <c r="I21" s="76"/>
      <c r="J21" s="77" t="s">
        <v>204</v>
      </c>
      <c r="K21" s="77"/>
      <c r="L21" s="77"/>
      <c r="M21" s="77" t="s">
        <v>185</v>
      </c>
      <c r="N21" s="77" t="s">
        <v>205</v>
      </c>
      <c r="O21" s="77" t="s">
        <v>206</v>
      </c>
    </row>
    <row r="22" customFormat="false" ht="15.75" hidden="false" customHeight="true" outlineLevel="0" collapsed="false">
      <c r="B22" s="78" t="s">
        <v>215</v>
      </c>
      <c r="C22" s="79" t="s">
        <v>208</v>
      </c>
      <c r="D22" s="80" t="s">
        <v>166</v>
      </c>
      <c r="E22" s="81" t="n">
        <v>13.19</v>
      </c>
      <c r="F22" s="82" t="n">
        <f aca="false">E22*E23*E24</f>
        <v>2.638</v>
      </c>
      <c r="G22" s="83" t="n">
        <f aca="false">SUM(F22:F30)</f>
        <v>4.693</v>
      </c>
      <c r="J22" s="84" t="s">
        <v>216</v>
      </c>
      <c r="K22" s="85" t="s">
        <v>208</v>
      </c>
      <c r="L22" s="86" t="s">
        <v>166</v>
      </c>
      <c r="M22" s="87" t="n">
        <v>27.34</v>
      </c>
      <c r="N22" s="88" t="n">
        <f aca="false">M22*M23*M24</f>
        <v>5.468</v>
      </c>
      <c r="O22" s="88" t="n">
        <f aca="false">SUM(N22:N30)</f>
        <v>9.749</v>
      </c>
    </row>
    <row r="23" customFormat="false" ht="15" hidden="false" customHeight="true" outlineLevel="0" collapsed="false">
      <c r="B23" s="78"/>
      <c r="C23" s="79"/>
      <c r="D23" s="86" t="s">
        <v>210</v>
      </c>
      <c r="E23" s="87" t="n">
        <v>0.1</v>
      </c>
      <c r="F23" s="82"/>
      <c r="G23" s="83"/>
      <c r="J23" s="84"/>
      <c r="K23" s="84"/>
      <c r="L23" s="86" t="s">
        <v>210</v>
      </c>
      <c r="M23" s="87" t="n">
        <v>0.1</v>
      </c>
      <c r="N23" s="88"/>
      <c r="O23" s="88"/>
    </row>
    <row r="24" customFormat="false" ht="15.75" hidden="false" customHeight="true" outlineLevel="0" collapsed="false">
      <c r="B24" s="78"/>
      <c r="C24" s="79"/>
      <c r="D24" s="89" t="s">
        <v>211</v>
      </c>
      <c r="E24" s="90" t="n">
        <v>2</v>
      </c>
      <c r="F24" s="82"/>
      <c r="G24" s="83"/>
      <c r="J24" s="84"/>
      <c r="K24" s="85"/>
      <c r="L24" s="86" t="s">
        <v>211</v>
      </c>
      <c r="M24" s="87" t="n">
        <v>2</v>
      </c>
      <c r="N24" s="88"/>
      <c r="O24" s="88"/>
    </row>
    <row r="25" customFormat="false" ht="15" hidden="false" customHeight="true" outlineLevel="0" collapsed="false">
      <c r="B25" s="78"/>
      <c r="C25" s="79" t="s">
        <v>212</v>
      </c>
      <c r="D25" s="80" t="s">
        <v>210</v>
      </c>
      <c r="E25" s="81" t="n">
        <v>0.1</v>
      </c>
      <c r="F25" s="82" t="n">
        <f aca="false">E25*E26*E27</f>
        <v>2.055</v>
      </c>
      <c r="G25" s="83"/>
      <c r="J25" s="84"/>
      <c r="K25" s="85" t="s">
        <v>212</v>
      </c>
      <c r="L25" s="86" t="s">
        <v>210</v>
      </c>
      <c r="M25" s="87" t="n">
        <v>0.1</v>
      </c>
      <c r="N25" s="88" t="n">
        <f aca="false">M25*M26*M27</f>
        <v>3.636</v>
      </c>
      <c r="O25" s="88"/>
    </row>
    <row r="26" customFormat="false" ht="15" hidden="false" customHeight="true" outlineLevel="0" collapsed="false">
      <c r="B26" s="78"/>
      <c r="C26" s="79"/>
      <c r="D26" s="86" t="s">
        <v>213</v>
      </c>
      <c r="E26" s="87" t="n">
        <v>34.25</v>
      </c>
      <c r="F26" s="82"/>
      <c r="G26" s="83"/>
      <c r="J26" s="84"/>
      <c r="K26" s="84"/>
      <c r="L26" s="86" t="s">
        <v>213</v>
      </c>
      <c r="M26" s="87" t="n">
        <v>60.6</v>
      </c>
      <c r="N26" s="88"/>
      <c r="O26" s="88"/>
    </row>
    <row r="27" customFormat="false" ht="15.75" hidden="false" customHeight="true" outlineLevel="0" collapsed="false">
      <c r="B27" s="78"/>
      <c r="C27" s="79"/>
      <c r="D27" s="89" t="s">
        <v>163</v>
      </c>
      <c r="E27" s="90" t="n">
        <v>0.6</v>
      </c>
      <c r="F27" s="82"/>
      <c r="G27" s="83"/>
      <c r="J27" s="84"/>
      <c r="K27" s="85"/>
      <c r="L27" s="86" t="s">
        <v>163</v>
      </c>
      <c r="M27" s="87" t="n">
        <v>0.6</v>
      </c>
      <c r="N27" s="88"/>
      <c r="O27" s="88"/>
    </row>
    <row r="28" customFormat="false" ht="15" hidden="false" customHeight="true" outlineLevel="0" collapsed="false">
      <c r="B28" s="78"/>
      <c r="C28" s="79" t="s">
        <v>214</v>
      </c>
      <c r="D28" s="80" t="s">
        <v>213</v>
      </c>
      <c r="E28" s="81" t="n">
        <v>0</v>
      </c>
      <c r="F28" s="82" t="n">
        <f aca="false">E28*E29*E30</f>
        <v>0.0</v>
      </c>
      <c r="G28" s="83"/>
      <c r="J28" s="84"/>
      <c r="K28" s="85" t="s">
        <v>214</v>
      </c>
      <c r="L28" s="86" t="s">
        <v>213</v>
      </c>
      <c r="M28" s="87" t="n">
        <v>10.75</v>
      </c>
      <c r="N28" s="88" t="n">
        <f aca="false">M28*M29*M30</f>
        <v>0.645</v>
      </c>
      <c r="O28" s="88"/>
    </row>
    <row r="29" customFormat="false" ht="15" hidden="false" customHeight="true" outlineLevel="0" collapsed="false">
      <c r="B29" s="78"/>
      <c r="C29" s="79"/>
      <c r="D29" s="86" t="s">
        <v>210</v>
      </c>
      <c r="E29" s="87" t="n">
        <v>0.1</v>
      </c>
      <c r="F29" s="82"/>
      <c r="G29" s="83"/>
      <c r="J29" s="84"/>
      <c r="K29" s="84"/>
      <c r="L29" s="86" t="s">
        <v>210</v>
      </c>
      <c r="M29" s="87" t="n">
        <v>0.1</v>
      </c>
      <c r="N29" s="88"/>
      <c r="O29" s="88"/>
    </row>
    <row r="30" customFormat="false" ht="15.75" hidden="false" customHeight="true" outlineLevel="0" collapsed="false">
      <c r="B30" s="78"/>
      <c r="C30" s="79"/>
      <c r="D30" s="89" t="s">
        <v>163</v>
      </c>
      <c r="E30" s="90" t="n">
        <v>0.6</v>
      </c>
      <c r="F30" s="82"/>
      <c r="G30" s="83"/>
      <c r="J30" s="84"/>
      <c r="K30" s="84"/>
      <c r="L30" s="86" t="s">
        <v>163</v>
      </c>
      <c r="M30" s="87" t="n">
        <v>0.6</v>
      </c>
      <c r="N30" s="88"/>
      <c r="O30" s="88"/>
    </row>
    <row r="31" customFormat="false" ht="19.5" hidden="false" customHeight="true" outlineLevel="0" collapsed="false"/>
    <row r="33" customFormat="false" ht="18.75" hidden="false" customHeight="true" outlineLevel="0" collapsed="false">
      <c r="B33" s="77" t="s">
        <v>204</v>
      </c>
      <c r="C33" s="77"/>
      <c r="D33" s="77"/>
      <c r="E33" s="77" t="s">
        <v>185</v>
      </c>
      <c r="F33" s="77" t="s">
        <v>205</v>
      </c>
      <c r="G33" s="77" t="s">
        <v>206</v>
      </c>
      <c r="J33" s="77" t="s">
        <v>204</v>
      </c>
      <c r="K33" s="77"/>
      <c r="L33" s="77"/>
      <c r="M33" s="93" t="s">
        <v>185</v>
      </c>
      <c r="N33" s="93" t="s">
        <v>205</v>
      </c>
      <c r="O33" s="93" t="s">
        <v>206</v>
      </c>
    </row>
    <row r="34" customFormat="false" ht="15" hidden="false" customHeight="true" outlineLevel="0" collapsed="false">
      <c r="B34" s="84" t="s">
        <v>217</v>
      </c>
      <c r="C34" s="85" t="s">
        <v>208</v>
      </c>
      <c r="D34" s="86" t="s">
        <v>166</v>
      </c>
      <c r="E34" s="87" t="n">
        <v>7.98</v>
      </c>
      <c r="F34" s="88" t="n">
        <f aca="false">E34*E35*E36</f>
        <v>1.596</v>
      </c>
      <c r="G34" s="88" t="n">
        <f aca="false">SUM(F34:F42)</f>
        <v>2.94</v>
      </c>
      <c r="J34" s="94" t="s">
        <v>218</v>
      </c>
      <c r="K34" s="79" t="s">
        <v>208</v>
      </c>
      <c r="L34" s="80" t="s">
        <v>166</v>
      </c>
      <c r="M34" s="81" t="n">
        <v>17.67</v>
      </c>
      <c r="N34" s="82" t="n">
        <f aca="false">M34*M35*M36</f>
        <v>3.534</v>
      </c>
      <c r="O34" s="83" t="n">
        <f aca="false">SUM(N34:N42)</f>
        <v>6.4932</v>
      </c>
    </row>
    <row r="35" customFormat="false" ht="15.75" hidden="false" customHeight="true" outlineLevel="0" collapsed="false">
      <c r="B35" s="84"/>
      <c r="C35" s="84"/>
      <c r="D35" s="86" t="s">
        <v>210</v>
      </c>
      <c r="E35" s="87" t="n">
        <v>0.1</v>
      </c>
      <c r="F35" s="88"/>
      <c r="G35" s="88"/>
      <c r="J35" s="94"/>
      <c r="K35" s="79"/>
      <c r="L35" s="86" t="s">
        <v>210</v>
      </c>
      <c r="M35" s="87" t="n">
        <v>0.1</v>
      </c>
      <c r="N35" s="82"/>
      <c r="O35" s="83"/>
    </row>
    <row r="36" customFormat="false" ht="15.75" hidden="false" customHeight="true" outlineLevel="0" collapsed="false">
      <c r="B36" s="84"/>
      <c r="C36" s="85"/>
      <c r="D36" s="86" t="s">
        <v>211</v>
      </c>
      <c r="E36" s="87" t="n">
        <v>2</v>
      </c>
      <c r="F36" s="88"/>
      <c r="G36" s="88"/>
      <c r="J36" s="94"/>
      <c r="K36" s="79"/>
      <c r="L36" s="89" t="s">
        <v>211</v>
      </c>
      <c r="M36" s="90" t="n">
        <v>2</v>
      </c>
      <c r="N36" s="82"/>
      <c r="O36" s="83"/>
    </row>
    <row r="37" customFormat="false" ht="19.5" hidden="false" customHeight="true" outlineLevel="0" collapsed="false">
      <c r="B37" s="84"/>
      <c r="C37" s="85" t="s">
        <v>212</v>
      </c>
      <c r="D37" s="86" t="s">
        <v>210</v>
      </c>
      <c r="E37" s="87" t="n">
        <v>0.1</v>
      </c>
      <c r="F37" s="88" t="n">
        <f aca="false">E37*E38*E39</f>
        <v>1.344</v>
      </c>
      <c r="G37" s="88"/>
      <c r="J37" s="94"/>
      <c r="K37" s="79" t="s">
        <v>212</v>
      </c>
      <c r="L37" s="80" t="s">
        <v>210</v>
      </c>
      <c r="M37" s="81" t="n">
        <v>0.1</v>
      </c>
      <c r="N37" s="82" t="n">
        <f aca="false">M37*M38*M39</f>
        <v>2.5596</v>
      </c>
      <c r="O37" s="83"/>
    </row>
    <row r="38" customFormat="false" ht="15" hidden="false" customHeight="true" outlineLevel="0" collapsed="false">
      <c r="B38" s="84"/>
      <c r="C38" s="84"/>
      <c r="D38" s="86" t="s">
        <v>213</v>
      </c>
      <c r="E38" s="87" t="n">
        <v>22.4</v>
      </c>
      <c r="F38" s="88"/>
      <c r="G38" s="88"/>
      <c r="J38" s="94"/>
      <c r="K38" s="79"/>
      <c r="L38" s="86" t="s">
        <v>213</v>
      </c>
      <c r="M38" s="87" t="n">
        <v>42.66</v>
      </c>
      <c r="N38" s="82"/>
      <c r="O38" s="83"/>
    </row>
    <row r="39" customFormat="false" ht="15.75" hidden="false" customHeight="true" outlineLevel="0" collapsed="false">
      <c r="B39" s="84"/>
      <c r="C39" s="85"/>
      <c r="D39" s="86" t="s">
        <v>163</v>
      </c>
      <c r="E39" s="87" t="n">
        <v>0.6</v>
      </c>
      <c r="F39" s="88"/>
      <c r="G39" s="88"/>
      <c r="J39" s="94"/>
      <c r="K39" s="79"/>
      <c r="L39" s="89" t="s">
        <v>163</v>
      </c>
      <c r="M39" s="90" t="n">
        <v>0.6</v>
      </c>
      <c r="N39" s="82"/>
      <c r="O39" s="83"/>
    </row>
    <row r="40" customFormat="false" ht="15" hidden="false" customHeight="true" outlineLevel="0" collapsed="false">
      <c r="B40" s="84"/>
      <c r="C40" s="85" t="s">
        <v>214</v>
      </c>
      <c r="D40" s="86" t="s">
        <v>213</v>
      </c>
      <c r="E40" s="95" t="n">
        <v>0</v>
      </c>
      <c r="F40" s="88" t="n">
        <f aca="false">E40*E41*E42</f>
        <v>0.0</v>
      </c>
      <c r="G40" s="88"/>
      <c r="J40" s="94"/>
      <c r="K40" s="79" t="s">
        <v>214</v>
      </c>
      <c r="L40" s="80" t="s">
        <v>213</v>
      </c>
      <c r="M40" s="81" t="n">
        <v>6.66</v>
      </c>
      <c r="N40" s="82" t="n">
        <f aca="false">M40*M41*M42</f>
        <v>0.3996</v>
      </c>
      <c r="O40" s="83"/>
    </row>
    <row r="41" customFormat="false" ht="15" hidden="false" customHeight="true" outlineLevel="0" collapsed="false">
      <c r="B41" s="84"/>
      <c r="C41" s="84"/>
      <c r="D41" s="86" t="s">
        <v>210</v>
      </c>
      <c r="E41" s="87" t="n">
        <v>0.1</v>
      </c>
      <c r="F41" s="88"/>
      <c r="G41" s="88"/>
      <c r="J41" s="94"/>
      <c r="K41" s="79"/>
      <c r="L41" s="86" t="s">
        <v>210</v>
      </c>
      <c r="M41" s="87" t="n">
        <v>0.1</v>
      </c>
      <c r="N41" s="82"/>
      <c r="O41" s="83"/>
    </row>
    <row r="42" customFormat="false" ht="15" hidden="false" customHeight="true" outlineLevel="0" collapsed="false">
      <c r="B42" s="84"/>
      <c r="C42" s="84"/>
      <c r="D42" s="86" t="s">
        <v>163</v>
      </c>
      <c r="E42" s="87" t="n">
        <v>0.6</v>
      </c>
      <c r="F42" s="88"/>
      <c r="G42" s="88"/>
      <c r="J42" s="94"/>
      <c r="K42" s="79"/>
      <c r="L42" s="89" t="s">
        <v>163</v>
      </c>
      <c r="M42" s="90" t="n">
        <v>0.6</v>
      </c>
      <c r="N42" s="82"/>
      <c r="O42" s="83"/>
    </row>
    <row r="45" customFormat="false" ht="19.5" hidden="false" customHeight="true" outlineLevel="0" collapsed="false">
      <c r="B45" s="93" t="s">
        <v>204</v>
      </c>
      <c r="C45" s="93"/>
      <c r="D45" s="93"/>
      <c r="E45" s="93" t="s">
        <v>185</v>
      </c>
      <c r="F45" s="93" t="s">
        <v>205</v>
      </c>
      <c r="G45" s="93" t="s">
        <v>206</v>
      </c>
      <c r="J45" s="77" t="s">
        <v>204</v>
      </c>
      <c r="K45" s="77"/>
      <c r="L45" s="77"/>
      <c r="M45" s="93" t="s">
        <v>185</v>
      </c>
      <c r="N45" s="93" t="s">
        <v>205</v>
      </c>
      <c r="O45" s="93" t="s">
        <v>206</v>
      </c>
    </row>
    <row r="46" customFormat="false" ht="15" hidden="false" customHeight="true" outlineLevel="0" collapsed="false">
      <c r="B46" s="96" t="s">
        <v>219</v>
      </c>
      <c r="C46" s="79" t="s">
        <v>208</v>
      </c>
      <c r="D46" s="80" t="s">
        <v>166</v>
      </c>
      <c r="E46" s="81" t="n">
        <v>54.29</v>
      </c>
      <c r="F46" s="82" t="n">
        <f aca="false">E46*E47*E48</f>
        <v>10.858</v>
      </c>
      <c r="G46" s="83" t="n">
        <f aca="false">SUM(F46:F54)</f>
        <v>18.8362</v>
      </c>
      <c r="J46" s="94"/>
      <c r="K46" s="79" t="s">
        <v>208</v>
      </c>
      <c r="L46" s="80" t="s">
        <v>166</v>
      </c>
      <c r="M46" s="81" t="n">
        <v>0</v>
      </c>
      <c r="N46" s="82" t="n">
        <f aca="false">M46*M47*M48</f>
        <v>0.0</v>
      </c>
      <c r="O46" s="83" t="n">
        <f aca="false">SUM(N46:N54)</f>
        <v>0.0</v>
      </c>
    </row>
    <row r="47" customFormat="false" ht="15" hidden="false" customHeight="true" outlineLevel="0" collapsed="false">
      <c r="B47" s="96"/>
      <c r="C47" s="96"/>
      <c r="D47" s="86" t="s">
        <v>210</v>
      </c>
      <c r="E47" s="87" t="n">
        <v>0.1</v>
      </c>
      <c r="F47" s="82"/>
      <c r="G47" s="83"/>
      <c r="J47" s="94"/>
      <c r="K47" s="79"/>
      <c r="L47" s="86" t="s">
        <v>210</v>
      </c>
      <c r="M47" s="87" t="n">
        <v>0.1</v>
      </c>
      <c r="N47" s="82"/>
      <c r="O47" s="83"/>
    </row>
    <row r="48" customFormat="false" ht="15.75" hidden="false" customHeight="true" outlineLevel="0" collapsed="false">
      <c r="B48" s="96"/>
      <c r="C48" s="79"/>
      <c r="D48" s="89" t="s">
        <v>211</v>
      </c>
      <c r="E48" s="90" t="n">
        <v>2</v>
      </c>
      <c r="F48" s="82"/>
      <c r="G48" s="83"/>
      <c r="J48" s="94"/>
      <c r="K48" s="79"/>
      <c r="L48" s="89" t="s">
        <v>211</v>
      </c>
      <c r="M48" s="90" t="n">
        <v>2</v>
      </c>
      <c r="N48" s="82"/>
      <c r="O48" s="83"/>
    </row>
    <row r="49" customFormat="false" ht="15" hidden="false" customHeight="true" outlineLevel="0" collapsed="false">
      <c r="B49" s="96"/>
      <c r="C49" s="79" t="s">
        <v>212</v>
      </c>
      <c r="D49" s="80" t="s">
        <v>210</v>
      </c>
      <c r="E49" s="81" t="n">
        <v>0.1</v>
      </c>
      <c r="F49" s="82" t="n">
        <f aca="false">E49*E50*E51</f>
        <v>6.1386</v>
      </c>
      <c r="G49" s="83"/>
      <c r="J49" s="94"/>
      <c r="K49" s="79" t="s">
        <v>212</v>
      </c>
      <c r="L49" s="80" t="s">
        <v>210</v>
      </c>
      <c r="M49" s="81" t="n">
        <v>0.1</v>
      </c>
      <c r="N49" s="82" t="n">
        <f aca="false">M49*M50*M51</f>
        <v>0.0</v>
      </c>
      <c r="O49" s="83"/>
    </row>
    <row r="50" customFormat="false" ht="15" hidden="false" customHeight="true" outlineLevel="0" collapsed="false">
      <c r="B50" s="96"/>
      <c r="C50" s="96"/>
      <c r="D50" s="86" t="s">
        <v>213</v>
      </c>
      <c r="E50" s="87" t="n">
        <v>102.31</v>
      </c>
      <c r="F50" s="82"/>
      <c r="G50" s="83"/>
      <c r="J50" s="94"/>
      <c r="K50" s="79"/>
      <c r="L50" s="86" t="s">
        <v>213</v>
      </c>
      <c r="M50" s="87" t="n">
        <v>0</v>
      </c>
      <c r="N50" s="82"/>
      <c r="O50" s="83"/>
    </row>
    <row r="51" customFormat="false" ht="21" hidden="false" customHeight="true" outlineLevel="0" collapsed="false">
      <c r="B51" s="96"/>
      <c r="C51" s="79"/>
      <c r="D51" s="89" t="s">
        <v>163</v>
      </c>
      <c r="E51" s="90" t="n">
        <v>0.6</v>
      </c>
      <c r="F51" s="82"/>
      <c r="G51" s="83"/>
      <c r="J51" s="94"/>
      <c r="K51" s="79"/>
      <c r="L51" s="89" t="s">
        <v>163</v>
      </c>
      <c r="M51" s="90" t="n">
        <v>0.6</v>
      </c>
      <c r="N51" s="82"/>
      <c r="O51" s="83"/>
    </row>
    <row r="52" customFormat="false" ht="15" hidden="false" customHeight="true" outlineLevel="0" collapsed="false">
      <c r="B52" s="96"/>
      <c r="C52" s="97" t="s">
        <v>214</v>
      </c>
      <c r="D52" s="98" t="s">
        <v>213</v>
      </c>
      <c r="E52" s="99" t="n">
        <v>30.66</v>
      </c>
      <c r="F52" s="100" t="n">
        <f aca="false">E52*E53*E54</f>
        <v>1.8396</v>
      </c>
      <c r="G52" s="83"/>
      <c r="J52" s="94"/>
      <c r="K52" s="79" t="s">
        <v>214</v>
      </c>
      <c r="L52" s="80" t="s">
        <v>213</v>
      </c>
      <c r="M52" s="101" t="n">
        <v>0</v>
      </c>
      <c r="N52" s="82" t="n">
        <f aca="false">M52*M53*M54</f>
        <v>0.0</v>
      </c>
      <c r="O52" s="83"/>
    </row>
    <row r="53" customFormat="false" ht="15" hidden="false" customHeight="true" outlineLevel="0" collapsed="false">
      <c r="B53" s="96"/>
      <c r="C53" s="97"/>
      <c r="D53" s="86" t="s">
        <v>210</v>
      </c>
      <c r="E53" s="87" t="n">
        <v>0.1</v>
      </c>
      <c r="F53" s="100"/>
      <c r="G53" s="83"/>
      <c r="J53" s="94"/>
      <c r="K53" s="79"/>
      <c r="L53" s="86" t="s">
        <v>210</v>
      </c>
      <c r="M53" s="87" t="n">
        <v>0.1</v>
      </c>
      <c r="N53" s="82"/>
      <c r="O53" s="83"/>
    </row>
    <row r="54" customFormat="false" ht="15.75" hidden="false" customHeight="true" outlineLevel="0" collapsed="false">
      <c r="B54" s="96"/>
      <c r="C54" s="97"/>
      <c r="D54" s="89" t="s">
        <v>163</v>
      </c>
      <c r="E54" s="90" t="n">
        <v>0.6</v>
      </c>
      <c r="F54" s="100"/>
      <c r="G54" s="83"/>
      <c r="J54" s="94"/>
      <c r="K54" s="79"/>
      <c r="L54" s="89" t="s">
        <v>163</v>
      </c>
      <c r="M54" s="90" t="n">
        <v>0.6</v>
      </c>
      <c r="N54" s="82"/>
      <c r="O54" s="83"/>
    </row>
    <row r="57" customFormat="false" ht="21" hidden="false" customHeight="true" outlineLevel="0" collapsed="false">
      <c r="B57" s="77" t="s">
        <v>204</v>
      </c>
      <c r="C57" s="77"/>
      <c r="D57" s="77"/>
      <c r="E57" s="77" t="s">
        <v>185</v>
      </c>
      <c r="F57" s="77" t="s">
        <v>205</v>
      </c>
      <c r="G57" s="77" t="s">
        <v>206</v>
      </c>
      <c r="J57" s="77" t="s">
        <v>204</v>
      </c>
      <c r="K57" s="77"/>
      <c r="L57" s="77"/>
      <c r="M57" s="93" t="s">
        <v>185</v>
      </c>
      <c r="N57" s="93" t="s">
        <v>205</v>
      </c>
      <c r="O57" s="93" t="s">
        <v>206</v>
      </c>
    </row>
    <row r="58" customFormat="false" ht="15" hidden="false" customHeight="true" outlineLevel="0" collapsed="false">
      <c r="B58" s="84" t="s">
        <v>220</v>
      </c>
      <c r="C58" s="85" t="s">
        <v>208</v>
      </c>
      <c r="D58" s="86" t="s">
        <v>166</v>
      </c>
      <c r="E58" s="87" t="n">
        <v>17.07</v>
      </c>
      <c r="F58" s="88" t="n">
        <f aca="false">E58*E59*E60</f>
        <v>3.414</v>
      </c>
      <c r="G58" s="88" t="n">
        <f aca="false">SUM(F58:F66)</f>
        <v>6.54</v>
      </c>
      <c r="J58" s="94"/>
      <c r="K58" s="79" t="s">
        <v>208</v>
      </c>
      <c r="L58" s="80" t="s">
        <v>166</v>
      </c>
      <c r="M58" s="81" t="n">
        <v>0</v>
      </c>
      <c r="N58" s="82" t="n">
        <f aca="false">M58*M59*M60</f>
        <v>0.0</v>
      </c>
      <c r="O58" s="83" t="n">
        <f aca="false">SUM(N58:N66)</f>
        <v>0.0</v>
      </c>
    </row>
    <row r="59" customFormat="false" ht="15" hidden="false" customHeight="true" outlineLevel="0" collapsed="false">
      <c r="B59" s="84"/>
      <c r="C59" s="84"/>
      <c r="D59" s="86" t="s">
        <v>210</v>
      </c>
      <c r="E59" s="87" t="n">
        <v>0.1</v>
      </c>
      <c r="F59" s="88"/>
      <c r="G59" s="88"/>
      <c r="J59" s="94"/>
      <c r="K59" s="79"/>
      <c r="L59" s="86" t="s">
        <v>210</v>
      </c>
      <c r="M59" s="87" t="n">
        <v>0.1</v>
      </c>
      <c r="N59" s="82"/>
      <c r="O59" s="83"/>
    </row>
    <row r="60" customFormat="false" ht="15.75" hidden="false" customHeight="true" outlineLevel="0" collapsed="false">
      <c r="B60" s="84"/>
      <c r="C60" s="85"/>
      <c r="D60" s="86" t="s">
        <v>211</v>
      </c>
      <c r="E60" s="87" t="n">
        <v>2</v>
      </c>
      <c r="F60" s="88"/>
      <c r="G60" s="88"/>
      <c r="J60" s="94"/>
      <c r="K60" s="79"/>
      <c r="L60" s="89" t="s">
        <v>211</v>
      </c>
      <c r="M60" s="90" t="n">
        <v>2</v>
      </c>
      <c r="N60" s="82"/>
      <c r="O60" s="83"/>
    </row>
    <row r="61" customFormat="false" ht="15" hidden="false" customHeight="true" outlineLevel="0" collapsed="false">
      <c r="B61" s="84"/>
      <c r="C61" s="85" t="s">
        <v>212</v>
      </c>
      <c r="D61" s="86" t="s">
        <v>210</v>
      </c>
      <c r="E61" s="87" t="n">
        <v>0.1</v>
      </c>
      <c r="F61" s="88" t="n">
        <f aca="false">E61*E62*E63</f>
        <v>2.532</v>
      </c>
      <c r="G61" s="88"/>
      <c r="J61" s="94"/>
      <c r="K61" s="79" t="s">
        <v>212</v>
      </c>
      <c r="L61" s="80" t="s">
        <v>210</v>
      </c>
      <c r="M61" s="81" t="n">
        <v>0.1</v>
      </c>
      <c r="N61" s="82" t="n">
        <f aca="false">M61*M62*M63</f>
        <v>0.0</v>
      </c>
      <c r="O61" s="83"/>
    </row>
    <row r="62" customFormat="false" ht="15" hidden="false" customHeight="true" outlineLevel="0" collapsed="false">
      <c r="B62" s="84"/>
      <c r="C62" s="84"/>
      <c r="D62" s="86" t="s">
        <v>213</v>
      </c>
      <c r="E62" s="87" t="n">
        <v>42.2</v>
      </c>
      <c r="F62" s="88"/>
      <c r="G62" s="88"/>
      <c r="I62" s="76"/>
      <c r="J62" s="94"/>
      <c r="K62" s="79"/>
      <c r="L62" s="86" t="s">
        <v>213</v>
      </c>
      <c r="M62" s="87" t="n">
        <v>0</v>
      </c>
      <c r="N62" s="82"/>
      <c r="O62" s="83"/>
    </row>
    <row r="63" customFormat="false" ht="15.75" hidden="false" customHeight="true" outlineLevel="0" collapsed="false">
      <c r="B63" s="84"/>
      <c r="C63" s="85"/>
      <c r="D63" s="86" t="s">
        <v>163</v>
      </c>
      <c r="E63" s="87" t="n">
        <v>0.6</v>
      </c>
      <c r="F63" s="88"/>
      <c r="G63" s="88"/>
      <c r="I63" s="76"/>
      <c r="J63" s="94"/>
      <c r="K63" s="79"/>
      <c r="L63" s="89" t="s">
        <v>163</v>
      </c>
      <c r="M63" s="90" t="n">
        <v>0.6</v>
      </c>
      <c r="N63" s="82"/>
      <c r="O63" s="83"/>
    </row>
    <row r="64" customFormat="false" ht="15" hidden="false" customHeight="true" outlineLevel="0" collapsed="false">
      <c r="B64" s="84"/>
      <c r="C64" s="85" t="s">
        <v>214</v>
      </c>
      <c r="D64" s="86" t="s">
        <v>213</v>
      </c>
      <c r="E64" s="87" t="n">
        <v>9.9</v>
      </c>
      <c r="F64" s="88" t="n">
        <f aca="false">E64*E65*E66</f>
        <v>0.594</v>
      </c>
      <c r="G64" s="88"/>
      <c r="J64" s="94"/>
      <c r="K64" s="79" t="s">
        <v>214</v>
      </c>
      <c r="L64" s="80" t="s">
        <v>213</v>
      </c>
      <c r="M64" s="81" t="n">
        <v>0</v>
      </c>
      <c r="N64" s="82" t="n">
        <f aca="false">M64*M65*M66</f>
        <v>0.0</v>
      </c>
      <c r="O64" s="83"/>
    </row>
    <row r="65" customFormat="false" ht="15" hidden="false" customHeight="true" outlineLevel="0" collapsed="false">
      <c r="B65" s="84"/>
      <c r="C65" s="84"/>
      <c r="D65" s="86" t="s">
        <v>210</v>
      </c>
      <c r="E65" s="87" t="n">
        <v>0.1</v>
      </c>
      <c r="F65" s="88"/>
      <c r="G65" s="88"/>
      <c r="J65" s="94"/>
      <c r="K65" s="79"/>
      <c r="L65" s="86" t="s">
        <v>210</v>
      </c>
      <c r="M65" s="87" t="n">
        <v>0.1</v>
      </c>
      <c r="N65" s="82"/>
      <c r="O65" s="83"/>
    </row>
    <row r="66" customFormat="false" ht="18" hidden="false" customHeight="true" outlineLevel="0" collapsed="false">
      <c r="B66" s="84"/>
      <c r="C66" s="84"/>
      <c r="D66" s="86" t="s">
        <v>163</v>
      </c>
      <c r="E66" s="87" t="n">
        <v>0.6</v>
      </c>
      <c r="F66" s="88"/>
      <c r="G66" s="88"/>
      <c r="J66" s="94"/>
      <c r="K66" s="79"/>
      <c r="L66" s="89" t="s">
        <v>163</v>
      </c>
      <c r="M66" s="90" t="n">
        <v>0.6</v>
      </c>
      <c r="N66" s="82"/>
      <c r="O66" s="83"/>
    </row>
    <row r="68" customFormat="false" ht="14.25" hidden="false" customHeight="true" outlineLevel="0" collapsed="false"/>
    <row r="69" customFormat="false" ht="24" hidden="false" customHeight="true" outlineLevel="0" collapsed="false">
      <c r="B69" s="73" t="s">
        <v>204</v>
      </c>
      <c r="C69" s="73"/>
      <c r="D69" s="73"/>
      <c r="E69" s="74" t="s">
        <v>185</v>
      </c>
      <c r="F69" s="74" t="s">
        <v>205</v>
      </c>
      <c r="G69" s="75" t="s">
        <v>206</v>
      </c>
      <c r="J69" s="77" t="s">
        <v>204</v>
      </c>
      <c r="K69" s="77"/>
      <c r="L69" s="77"/>
      <c r="M69" s="93" t="s">
        <v>185</v>
      </c>
      <c r="N69" s="93" t="s">
        <v>205</v>
      </c>
      <c r="O69" s="93" t="s">
        <v>206</v>
      </c>
    </row>
    <row r="70" customFormat="false" ht="19.5" hidden="false" customHeight="true" outlineLevel="0" collapsed="false">
      <c r="B70" s="78" t="s">
        <v>221</v>
      </c>
      <c r="C70" s="79" t="s">
        <v>208</v>
      </c>
      <c r="D70" s="80" t="s">
        <v>166</v>
      </c>
      <c r="E70" s="81" t="n">
        <v>52.71</v>
      </c>
      <c r="F70" s="82" t="n">
        <f aca="false">E70*E71*E72</f>
        <v>10.542</v>
      </c>
      <c r="G70" s="83" t="n">
        <f aca="false">SUM(F70:F78)</f>
        <v>20.4348</v>
      </c>
      <c r="J70" s="102"/>
      <c r="K70" s="79" t="s">
        <v>208</v>
      </c>
      <c r="L70" s="80" t="s">
        <v>166</v>
      </c>
      <c r="M70" s="81" t="n">
        <v>0</v>
      </c>
      <c r="N70" s="82" t="n">
        <f aca="false">M70*M71*M72</f>
        <v>0.0</v>
      </c>
      <c r="O70" s="83" t="n">
        <f aca="false">SUM(N70:N78)</f>
        <v>0.0</v>
      </c>
    </row>
    <row r="71" customFormat="false" ht="14.25" hidden="false" customHeight="true" outlineLevel="0" collapsed="false">
      <c r="B71" s="78"/>
      <c r="C71" s="79"/>
      <c r="D71" s="86" t="s">
        <v>210</v>
      </c>
      <c r="E71" s="87" t="n">
        <v>0.1</v>
      </c>
      <c r="F71" s="82"/>
      <c r="G71" s="83"/>
      <c r="J71" s="102"/>
      <c r="K71" s="79"/>
      <c r="L71" s="86" t="s">
        <v>210</v>
      </c>
      <c r="M71" s="87" t="n">
        <v>0.1</v>
      </c>
      <c r="N71" s="82"/>
      <c r="O71" s="83"/>
    </row>
    <row r="72" customFormat="false" ht="22.5" hidden="false" customHeight="true" outlineLevel="0" collapsed="false">
      <c r="B72" s="78"/>
      <c r="C72" s="79"/>
      <c r="D72" s="89" t="s">
        <v>211</v>
      </c>
      <c r="E72" s="90" t="n">
        <v>2</v>
      </c>
      <c r="F72" s="82"/>
      <c r="G72" s="83"/>
      <c r="J72" s="102"/>
      <c r="K72" s="79"/>
      <c r="L72" s="89" t="s">
        <v>211</v>
      </c>
      <c r="M72" s="90" t="n">
        <v>2</v>
      </c>
      <c r="N72" s="82"/>
      <c r="O72" s="83"/>
    </row>
    <row r="73" customFormat="false" ht="15" hidden="false" customHeight="true" outlineLevel="0" collapsed="false">
      <c r="B73" s="78"/>
      <c r="C73" s="103" t="s">
        <v>212</v>
      </c>
      <c r="D73" s="98" t="s">
        <v>210</v>
      </c>
      <c r="E73" s="104" t="n">
        <v>0.1</v>
      </c>
      <c r="F73" s="105" t="n">
        <f aca="false">E73*E74*E75</f>
        <v>5.9214</v>
      </c>
      <c r="G73" s="83"/>
      <c r="J73" s="102"/>
      <c r="K73" s="79" t="s">
        <v>212</v>
      </c>
      <c r="L73" s="80" t="s">
        <v>210</v>
      </c>
      <c r="M73" s="81" t="n">
        <v>0.1</v>
      </c>
      <c r="N73" s="82" t="n">
        <f aca="false">M73*M74*M75</f>
        <v>0.0</v>
      </c>
      <c r="O73" s="83"/>
    </row>
    <row r="74" customFormat="false" ht="14.25" hidden="false" customHeight="true" outlineLevel="0" collapsed="false">
      <c r="B74" s="78"/>
      <c r="C74" s="103"/>
      <c r="D74" s="86" t="s">
        <v>213</v>
      </c>
      <c r="E74" s="87" t="n">
        <v>98.69</v>
      </c>
      <c r="F74" s="105"/>
      <c r="G74" s="83"/>
      <c r="J74" s="102"/>
      <c r="K74" s="79"/>
      <c r="L74" s="86" t="s">
        <v>213</v>
      </c>
      <c r="M74" s="87" t="n">
        <v>0</v>
      </c>
      <c r="N74" s="82"/>
      <c r="O74" s="83"/>
    </row>
    <row r="75" customFormat="false" ht="15.75" hidden="false" customHeight="true" outlineLevel="0" collapsed="false">
      <c r="B75" s="78"/>
      <c r="C75" s="103"/>
      <c r="D75" s="106" t="s">
        <v>163</v>
      </c>
      <c r="E75" s="107" t="n">
        <v>0.6</v>
      </c>
      <c r="F75" s="105"/>
      <c r="G75" s="83"/>
      <c r="J75" s="102"/>
      <c r="K75" s="79"/>
      <c r="L75" s="89" t="s">
        <v>163</v>
      </c>
      <c r="M75" s="90" t="n">
        <v>0.6</v>
      </c>
      <c r="N75" s="82"/>
      <c r="O75" s="83"/>
    </row>
    <row r="76" customFormat="false" ht="15" hidden="false" customHeight="true" outlineLevel="0" collapsed="false">
      <c r="B76" s="78"/>
      <c r="C76" s="79" t="s">
        <v>214</v>
      </c>
      <c r="D76" s="80" t="s">
        <v>213</v>
      </c>
      <c r="E76" s="81" t="n">
        <v>66.19</v>
      </c>
      <c r="F76" s="82" t="n">
        <f aca="false">E76*E77*E78</f>
        <v>3.9714</v>
      </c>
      <c r="G76" s="83"/>
      <c r="J76" s="102"/>
      <c r="K76" s="79" t="s">
        <v>214</v>
      </c>
      <c r="L76" s="80" t="s">
        <v>213</v>
      </c>
      <c r="M76" s="108" t="n">
        <v>0</v>
      </c>
      <c r="N76" s="82" t="n">
        <f aca="false">M76*M77*M78</f>
        <v>0.0</v>
      </c>
      <c r="O76" s="83"/>
    </row>
    <row r="77" customFormat="false" ht="14.25" hidden="false" customHeight="true" outlineLevel="0" collapsed="false">
      <c r="B77" s="78"/>
      <c r="C77" s="79"/>
      <c r="D77" s="86" t="s">
        <v>210</v>
      </c>
      <c r="E77" s="87" t="n">
        <v>0.1</v>
      </c>
      <c r="F77" s="82"/>
      <c r="G77" s="83"/>
      <c r="I77" s="76"/>
      <c r="J77" s="102"/>
      <c r="K77" s="79"/>
      <c r="L77" s="86" t="s">
        <v>210</v>
      </c>
      <c r="M77" s="87" t="n">
        <v>0.1</v>
      </c>
      <c r="N77" s="82"/>
      <c r="O77" s="83"/>
    </row>
    <row r="78" customFormat="false" ht="15.75" hidden="false" customHeight="true" outlineLevel="0" collapsed="false">
      <c r="B78" s="78"/>
      <c r="C78" s="79"/>
      <c r="D78" s="89" t="s">
        <v>163</v>
      </c>
      <c r="E78" s="90" t="n">
        <v>0.6</v>
      </c>
      <c r="F78" s="82"/>
      <c r="G78" s="83"/>
      <c r="I78" s="76"/>
      <c r="J78" s="102"/>
      <c r="K78" s="79"/>
      <c r="L78" s="89" t="s">
        <v>163</v>
      </c>
      <c r="M78" s="90" t="n">
        <v>0.6</v>
      </c>
      <c r="N78" s="82"/>
      <c r="O78" s="83"/>
    </row>
    <row r="80" customFormat="false" ht="13.5" hidden="false" customHeight="false" outlineLevel="0" collapsed="false">
      <c r="I80" s="76"/>
    </row>
    <row r="81" customFormat="false" ht="13.5" hidden="false" customHeight="false" outlineLevel="0" collapsed="false">
      <c r="I81" s="76"/>
    </row>
    <row r="85" customFormat="false" ht="27.75" hidden="false" customHeight="true" outlineLevel="0" collapsed="false"/>
    <row r="96" customFormat="false" ht="13.5" hidden="false" customHeight="false" outlineLevel="0" collapsed="false">
      <c r="I96" s="76"/>
    </row>
    <row r="97" customFormat="false" ht="13.5" hidden="false" customHeight="false" outlineLevel="0" collapsed="false">
      <c r="I97" s="76"/>
    </row>
    <row r="100" customFormat="false" ht="24" hidden="false" customHeight="true" outlineLevel="0" collapsed="false"/>
    <row r="111" customFormat="false" ht="13.5" hidden="false" customHeight="false" outlineLevel="0" collapsed="false">
      <c r="I111" s="76"/>
    </row>
    <row r="112" customFormat="false" ht="13.5" hidden="false" customHeight="false" outlineLevel="0" collapsed="false">
      <c r="I112" s="76"/>
    </row>
    <row r="115" customFormat="false" ht="23.25" hidden="false" customHeight="true" outlineLevel="0" collapsed="false"/>
    <row r="126" customFormat="false" ht="13.5" hidden="false" customHeight="false" outlineLevel="0" collapsed="false">
      <c r="I126" s="76"/>
    </row>
    <row r="127" customFormat="false" ht="13.5" hidden="false" customHeight="false" outlineLevel="0" collapsed="false">
      <c r="I127" s="76"/>
    </row>
    <row r="130" customFormat="false" ht="25.5" hidden="false" customHeight="true" outlineLevel="0" collapsed="false"/>
    <row r="141" customFormat="false" ht="13.5" hidden="false" customHeight="false" outlineLevel="0" collapsed="false">
      <c r="I141" s="76"/>
    </row>
    <row r="142" customFormat="false" ht="13.5" hidden="false" customHeight="false" outlineLevel="0" collapsed="false">
      <c r="I142" s="76"/>
    </row>
    <row r="145" customFormat="false" ht="25.5" hidden="false" customHeight="true" outlineLevel="0" collapsed="false"/>
    <row r="146" customFormat="false" ht="15" hidden="false" customHeight="true" outlineLevel="0" collapsed="false"/>
    <row r="156" customFormat="false" ht="13.5" hidden="false" customHeight="false" outlineLevel="0" collapsed="false">
      <c r="I156" s="76"/>
    </row>
    <row r="157" customFormat="false" ht="13.5" hidden="false" customHeight="false" outlineLevel="0" collapsed="false">
      <c r="I157" s="76"/>
    </row>
  </sheetData>
  <mergeCells count="114">
    <mergeCell ref="B2:O2"/>
    <mergeCell ref="C3:O3"/>
    <mergeCell ref="C4:O4"/>
    <mergeCell ref="C5:O5"/>
    <mergeCell ref="C6:O6"/>
    <mergeCell ref="B7:O7"/>
    <mergeCell ref="B9:D9"/>
    <mergeCell ref="J9:L9"/>
    <mergeCell ref="B10:B18"/>
    <mergeCell ref="C10:C12"/>
    <mergeCell ref="F10:F12"/>
    <mergeCell ref="G10:G18"/>
    <mergeCell ref="J10:J18"/>
    <mergeCell ref="K10:K12"/>
    <mergeCell ref="N10:N12"/>
    <mergeCell ref="O10:O18"/>
    <mergeCell ref="C13:C15"/>
    <mergeCell ref="F13:F15"/>
    <mergeCell ref="K13:K15"/>
    <mergeCell ref="N13:N15"/>
    <mergeCell ref="C16:C18"/>
    <mergeCell ref="F16:F18"/>
    <mergeCell ref="K16:K18"/>
    <mergeCell ref="N16:N18"/>
    <mergeCell ref="B21:D21"/>
    <mergeCell ref="J21:L21"/>
    <mergeCell ref="B22:B30"/>
    <mergeCell ref="C22:C24"/>
    <mergeCell ref="F22:F24"/>
    <mergeCell ref="G22:G30"/>
    <mergeCell ref="J22:J30"/>
    <mergeCell ref="K22:K24"/>
    <mergeCell ref="N22:N24"/>
    <mergeCell ref="O22:O30"/>
    <mergeCell ref="C25:C27"/>
    <mergeCell ref="F25:F27"/>
    <mergeCell ref="K25:K27"/>
    <mergeCell ref="N25:N27"/>
    <mergeCell ref="C28:C30"/>
    <mergeCell ref="F28:F30"/>
    <mergeCell ref="K28:K30"/>
    <mergeCell ref="N28:N30"/>
    <mergeCell ref="B33:D33"/>
    <mergeCell ref="J33:L33"/>
    <mergeCell ref="B34:B42"/>
    <mergeCell ref="C34:C36"/>
    <mergeCell ref="F34:F36"/>
    <mergeCell ref="G34:G42"/>
    <mergeCell ref="J34:J42"/>
    <mergeCell ref="K34:K36"/>
    <mergeCell ref="N34:N36"/>
    <mergeCell ref="O34:O42"/>
    <mergeCell ref="C37:C39"/>
    <mergeCell ref="F37:F39"/>
    <mergeCell ref="K37:K39"/>
    <mergeCell ref="N37:N39"/>
    <mergeCell ref="C40:C42"/>
    <mergeCell ref="F40:F42"/>
    <mergeCell ref="K40:K42"/>
    <mergeCell ref="N40:N42"/>
    <mergeCell ref="B45:D45"/>
    <mergeCell ref="J45:L45"/>
    <mergeCell ref="B46:B54"/>
    <mergeCell ref="C46:C48"/>
    <mergeCell ref="F46:F48"/>
    <mergeCell ref="G46:G54"/>
    <mergeCell ref="J46:J54"/>
    <mergeCell ref="K46:K48"/>
    <mergeCell ref="N46:N48"/>
    <mergeCell ref="O46:O54"/>
    <mergeCell ref="C49:C51"/>
    <mergeCell ref="F49:F51"/>
    <mergeCell ref="K49:K51"/>
    <mergeCell ref="N49:N51"/>
    <mergeCell ref="C52:C54"/>
    <mergeCell ref="F52:F54"/>
    <mergeCell ref="K52:K54"/>
    <mergeCell ref="N52:N54"/>
    <mergeCell ref="B57:D57"/>
    <mergeCell ref="J57:L57"/>
    <mergeCell ref="B58:B66"/>
    <mergeCell ref="C58:C60"/>
    <mergeCell ref="F58:F60"/>
    <mergeCell ref="G58:G66"/>
    <mergeCell ref="J58:J66"/>
    <mergeCell ref="K58:K60"/>
    <mergeCell ref="N58:N60"/>
    <mergeCell ref="O58:O66"/>
    <mergeCell ref="C61:C63"/>
    <mergeCell ref="F61:F63"/>
    <mergeCell ref="K61:K63"/>
    <mergeCell ref="N61:N63"/>
    <mergeCell ref="C64:C66"/>
    <mergeCell ref="F64:F66"/>
    <mergeCell ref="K64:K66"/>
    <mergeCell ref="N64:N66"/>
    <mergeCell ref="B69:D69"/>
    <mergeCell ref="J69:L69"/>
    <mergeCell ref="B70:B78"/>
    <mergeCell ref="C70:C72"/>
    <mergeCell ref="F70:F72"/>
    <mergeCell ref="G70:G78"/>
    <mergeCell ref="J70:J78"/>
    <mergeCell ref="K70:K72"/>
    <mergeCell ref="N70:N72"/>
    <mergeCell ref="O70:O78"/>
    <mergeCell ref="C73:C75"/>
    <mergeCell ref="F73:F75"/>
    <mergeCell ref="K73:K75"/>
    <mergeCell ref="N73:N75"/>
    <mergeCell ref="C76:C78"/>
    <mergeCell ref="F76:F78"/>
    <mergeCell ref="K76:K78"/>
    <mergeCell ref="N76:N78"/>
  </mergeCells>
  <printOptions headings="false" gridLines="false" gridLinesSet="true" horizontalCentered="false" verticalCentered="false"/>
  <pageMargins left="0.5" right="0.118055555555556" top="1.10694444444444" bottom="0.929861111111111" header="0.3" footer="0.511811023622047"/>
  <pageSetup paperSize="9" scale="38" fitToWidth="1" fitToHeight="1" pageOrder="downThenOver" orientation="portrait" blackAndWhite="false" draft="false" cellComments="none" horizontalDpi="300" verticalDpi="300" copies="1"/>
  <headerFooter differentFirst="false" differentOddEven="false">
    <oddHeader/>
    <oddFooter/>
  </headerFooter>
  <rowBreaks count="1" manualBreakCount="1">
    <brk id="143" man="true" max="16383" min="0"/>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B2:P79"/>
  <sheetViews>
    <sheetView showFormulas="false" showGridLines="true" showRowColHeaders="true" showZeros="true" rightToLeft="false" tabSelected="false" showOutlineSymbols="true" defaultGridColor="true" view="normal" topLeftCell="C1" colorId="64" zoomScale="130" zoomScaleNormal="130" zoomScalePageLayoutView="130" workbookViewId="0">
      <selection pane="topLeft" activeCell="H81" activeCellId="0" sqref="H81"/>
    </sheetView>
  </sheetViews>
  <sheetFormatPr defaultColWidth="10.91015625" defaultRowHeight="15" zeroHeight="false" outlineLevelRow="0" outlineLevelCol="0"/>
  <cols>
    <col collapsed="false" customWidth="true" hidden="false" outlineLevel="0" max="1" min="1" style="109" width="4.45"/>
    <col collapsed="false" customWidth="true" hidden="false" outlineLevel="0" max="2" min="2" style="109" width="13.45"/>
    <col collapsed="false" customWidth="true" hidden="false" outlineLevel="0" max="3" min="3" style="109" width="15"/>
    <col collapsed="false" customWidth="false" hidden="false" outlineLevel="0" max="7" min="4" style="109" width="10.91"/>
    <col collapsed="false" customWidth="true" hidden="false" outlineLevel="0" max="8" min="8" style="109" width="12.27"/>
    <col collapsed="false" customWidth="false" hidden="false" outlineLevel="0" max="14" min="9" style="109" width="10.91"/>
    <col collapsed="false" customWidth="true" hidden="false" outlineLevel="0" max="15" min="15" style="109" width="16.54"/>
    <col collapsed="false" customWidth="true" hidden="false" outlineLevel="0" max="16" min="16" style="109" width="12.36"/>
    <col collapsed="false" customWidth="false" hidden="false" outlineLevel="0" max="16384" min="17" style="109" width="10.91"/>
  </cols>
  <sheetData>
    <row r="2" customFormat="false" ht="21" hidden="false" customHeight="true" outlineLevel="0" collapsed="false">
      <c r="B2" s="110" t="s">
        <v>222</v>
      </c>
      <c r="C2" s="110"/>
      <c r="D2" s="110"/>
      <c r="E2" s="110"/>
      <c r="F2" s="110"/>
      <c r="G2" s="110"/>
      <c r="H2" s="110"/>
      <c r="I2" s="110"/>
      <c r="J2" s="110"/>
      <c r="K2" s="110"/>
      <c r="L2" s="110"/>
      <c r="M2" s="110"/>
      <c r="N2" s="110"/>
      <c r="O2" s="110"/>
      <c r="P2" s="110"/>
    </row>
    <row r="3" customFormat="false" ht="20.25" hidden="false" customHeight="true" outlineLevel="0" collapsed="false">
      <c r="B3" s="111" t="s">
        <v>1</v>
      </c>
      <c r="C3" s="112" t="str">
        <f aca="false">+RESUMEN!B4</f>
        <v>GERENCIA TERRITORIAL BAJO MAYO - TARAPOTO</v>
      </c>
      <c r="D3" s="112"/>
      <c r="E3" s="112"/>
      <c r="F3" s="112"/>
      <c r="G3" s="112"/>
      <c r="H3" s="112"/>
      <c r="I3" s="112"/>
      <c r="J3" s="112"/>
      <c r="K3" s="112"/>
      <c r="L3" s="112"/>
      <c r="M3" s="112"/>
      <c r="N3" s="112"/>
      <c r="O3" s="112"/>
      <c r="P3" s="112"/>
    </row>
    <row r="4" customFormat="false" ht="60" hidden="false" customHeight="true" outlineLevel="0" collapsed="false">
      <c r="B4" s="111" t="s">
        <v>3</v>
      </c>
      <c r="C4" s="112" t="str">
        <f aca="false">+RESUMEN!B5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4" s="112"/>
      <c r="E4" s="112"/>
      <c r="F4" s="112"/>
      <c r="G4" s="112"/>
      <c r="H4" s="112"/>
      <c r="I4" s="112"/>
      <c r="J4" s="112"/>
      <c r="K4" s="112"/>
      <c r="L4" s="112"/>
      <c r="M4" s="112"/>
      <c r="N4" s="112"/>
      <c r="O4" s="112"/>
      <c r="P4" s="112"/>
    </row>
    <row r="5" customFormat="false" ht="36" hidden="false" customHeight="true" outlineLevel="0" collapsed="false">
      <c r="B5" s="111" t="s">
        <v>5</v>
      </c>
      <c r="C5" s="112" t="str">
        <f aca="false">+RESUMEN!B6</f>
        <v>SAN MARTIN - SAN MARTIN - MORALES</v>
      </c>
      <c r="D5" s="112"/>
      <c r="E5" s="112"/>
      <c r="F5" s="112"/>
      <c r="G5" s="112"/>
      <c r="H5" s="112"/>
      <c r="I5" s="112"/>
      <c r="J5" s="112"/>
      <c r="K5" s="112"/>
      <c r="L5" s="112"/>
      <c r="M5" s="112"/>
      <c r="N5" s="112"/>
      <c r="O5" s="112"/>
      <c r="P5" s="112"/>
    </row>
    <row r="6" customFormat="false" ht="19.5" hidden="false" customHeight="true" outlineLevel="0" collapsed="false">
      <c r="B6" s="111" t="s">
        <v>7</v>
      </c>
      <c r="C6" s="113" t="n">
        <f aca="false">+RESUMEN!B7</f>
        <v>46266</v>
      </c>
      <c r="D6" s="113"/>
      <c r="E6" s="113"/>
      <c r="F6" s="113"/>
      <c r="G6" s="113"/>
      <c r="H6" s="113"/>
      <c r="I6" s="113"/>
      <c r="J6" s="113"/>
      <c r="K6" s="113"/>
      <c r="L6" s="113"/>
      <c r="M6" s="113"/>
      <c r="N6" s="113"/>
      <c r="O6" s="113"/>
      <c r="P6" s="113"/>
    </row>
    <row r="7" customFormat="false" ht="19.5" hidden="false" customHeight="true" outlineLevel="0" collapsed="false">
      <c r="B7" s="114"/>
      <c r="C7" s="114"/>
      <c r="D7" s="114"/>
      <c r="E7" s="114"/>
      <c r="F7" s="114"/>
      <c r="G7" s="114"/>
      <c r="H7" s="114"/>
      <c r="I7" s="114"/>
      <c r="J7" s="114"/>
      <c r="K7" s="114"/>
      <c r="L7" s="114"/>
      <c r="M7" s="114"/>
      <c r="N7" s="114"/>
      <c r="O7" s="114"/>
      <c r="P7" s="114"/>
    </row>
    <row r="8" customFormat="false" ht="15" hidden="false" customHeight="true" outlineLevel="0" collapsed="false">
      <c r="B8" s="115" t="s">
        <v>223</v>
      </c>
      <c r="C8" s="115"/>
      <c r="D8" s="115"/>
      <c r="E8" s="115"/>
      <c r="F8" s="115"/>
      <c r="G8" s="115"/>
      <c r="H8" s="115"/>
      <c r="I8" s="115"/>
      <c r="J8" s="115"/>
      <c r="K8" s="115"/>
      <c r="L8" s="115"/>
      <c r="M8" s="115"/>
      <c r="N8" s="115"/>
      <c r="O8" s="115"/>
      <c r="P8" s="115"/>
    </row>
    <row r="9" customFormat="false" ht="15.75" hidden="false" customHeight="true" outlineLevel="0" collapsed="false">
      <c r="B9" s="115"/>
      <c r="C9" s="115"/>
      <c r="D9" s="115"/>
      <c r="E9" s="115"/>
      <c r="F9" s="115"/>
      <c r="G9" s="115"/>
      <c r="H9" s="115"/>
      <c r="I9" s="115"/>
      <c r="J9" s="115"/>
      <c r="K9" s="115"/>
      <c r="L9" s="115"/>
      <c r="M9" s="115"/>
      <c r="N9" s="115"/>
      <c r="O9" s="115"/>
      <c r="P9" s="115"/>
    </row>
    <row r="11" customFormat="false" ht="19.5" hidden="false" customHeight="true" outlineLevel="0" collapsed="false">
      <c r="B11" s="116" t="s">
        <v>204</v>
      </c>
      <c r="C11" s="116"/>
      <c r="D11" s="116"/>
      <c r="E11" s="116"/>
      <c r="F11" s="116"/>
      <c r="G11" s="116" t="s">
        <v>205</v>
      </c>
      <c r="H11" s="116" t="s">
        <v>224</v>
      </c>
      <c r="I11" s="1"/>
      <c r="J11" s="116" t="s">
        <v>204</v>
      </c>
      <c r="K11" s="116"/>
      <c r="L11" s="116"/>
      <c r="M11" s="116"/>
      <c r="N11" s="116"/>
      <c r="O11" s="116" t="s">
        <v>205</v>
      </c>
      <c r="P11" s="116" t="s">
        <v>224</v>
      </c>
    </row>
    <row r="12" customFormat="false" ht="15" hidden="false" customHeight="true" outlineLevel="0" collapsed="false">
      <c r="B12" s="117" t="s">
        <v>171</v>
      </c>
      <c r="C12" s="118" t="s">
        <v>225</v>
      </c>
      <c r="D12" s="117" t="s">
        <v>226</v>
      </c>
      <c r="E12" s="119" t="s">
        <v>166</v>
      </c>
      <c r="F12" s="91" t="n">
        <v>42.85</v>
      </c>
      <c r="G12" s="91" t="n">
        <f aca="false">F12*F13</f>
        <v>85.7</v>
      </c>
      <c r="H12" s="120" t="n">
        <f aca="false">SUM(G12:G20)</f>
        <v>291.252</v>
      </c>
      <c r="I12" s="1"/>
      <c r="J12" s="121" t="s">
        <v>172</v>
      </c>
      <c r="K12" s="122" t="s">
        <v>225</v>
      </c>
      <c r="L12" s="121" t="s">
        <v>226</v>
      </c>
      <c r="M12" s="123" t="s">
        <v>166</v>
      </c>
      <c r="N12" s="91" t="n">
        <v>16.62</v>
      </c>
      <c r="O12" s="91" t="n">
        <f aca="false">N12*N13</f>
        <v>33.24</v>
      </c>
      <c r="P12" s="120" t="n">
        <f aca="false">SUM(O12:O20)</f>
        <v>59.62</v>
      </c>
    </row>
    <row r="13" customFormat="false" ht="15" hidden="false" customHeight="false" outlineLevel="0" collapsed="false">
      <c r="B13" s="117"/>
      <c r="C13" s="117"/>
      <c r="D13" s="117"/>
      <c r="E13" s="119" t="s">
        <v>211</v>
      </c>
      <c r="F13" s="91" t="n">
        <v>2</v>
      </c>
      <c r="G13" s="91"/>
      <c r="H13" s="120"/>
      <c r="I13" s="1"/>
      <c r="J13" s="121"/>
      <c r="K13" s="121"/>
      <c r="L13" s="121"/>
      <c r="M13" s="123" t="s">
        <v>211</v>
      </c>
      <c r="N13" s="91" t="n">
        <v>2</v>
      </c>
      <c r="O13" s="91"/>
      <c r="P13" s="120"/>
    </row>
    <row r="14" customFormat="false" ht="15" hidden="false" customHeight="true" outlineLevel="0" collapsed="false">
      <c r="B14" s="117"/>
      <c r="C14" s="117"/>
      <c r="D14" s="117" t="s">
        <v>227</v>
      </c>
      <c r="E14" s="119" t="s">
        <v>166</v>
      </c>
      <c r="F14" s="91" t="n">
        <v>35.72</v>
      </c>
      <c r="G14" s="91" t="n">
        <f aca="false">F14*F15</f>
        <v>71.44</v>
      </c>
      <c r="H14" s="120"/>
      <c r="I14" s="1"/>
      <c r="J14" s="121"/>
      <c r="K14" s="121"/>
      <c r="L14" s="121" t="s">
        <v>227</v>
      </c>
      <c r="M14" s="123" t="s">
        <v>166</v>
      </c>
      <c r="N14" s="91" t="n">
        <v>13.19</v>
      </c>
      <c r="O14" s="91" t="n">
        <f aca="false">N14*N15</f>
        <v>26.38</v>
      </c>
      <c r="P14" s="120"/>
    </row>
    <row r="15" customFormat="false" ht="15" hidden="false" customHeight="false" outlineLevel="0" collapsed="false">
      <c r="B15" s="117"/>
      <c r="C15" s="118"/>
      <c r="D15" s="118"/>
      <c r="E15" s="119" t="s">
        <v>228</v>
      </c>
      <c r="F15" s="91" t="n">
        <v>2</v>
      </c>
      <c r="G15" s="91"/>
      <c r="H15" s="120"/>
      <c r="I15" s="1"/>
      <c r="J15" s="121"/>
      <c r="K15" s="122"/>
      <c r="L15" s="122"/>
      <c r="M15" s="123" t="s">
        <v>228</v>
      </c>
      <c r="N15" s="91" t="n">
        <v>2</v>
      </c>
      <c r="O15" s="91"/>
      <c r="P15" s="120"/>
    </row>
    <row r="16" customFormat="false" ht="15" hidden="false" customHeight="true" outlineLevel="0" collapsed="false">
      <c r="B16" s="117"/>
      <c r="C16" s="124" t="s">
        <v>229</v>
      </c>
      <c r="D16" s="117" t="s">
        <v>230</v>
      </c>
      <c r="E16" s="119" t="s">
        <v>166</v>
      </c>
      <c r="F16" s="87" t="n">
        <v>33.53</v>
      </c>
      <c r="G16" s="91" t="n">
        <f aca="false">F16*F17</f>
        <v>67.06</v>
      </c>
      <c r="H16" s="120"/>
      <c r="I16" s="1"/>
      <c r="J16" s="121"/>
      <c r="K16" s="125" t="s">
        <v>229</v>
      </c>
      <c r="L16" s="121" t="s">
        <v>230</v>
      </c>
      <c r="M16" s="123" t="s">
        <v>166</v>
      </c>
      <c r="N16" s="91" t="n">
        <v>0</v>
      </c>
      <c r="O16" s="91" t="n">
        <f aca="false">N16*N17</f>
        <v>0.0</v>
      </c>
      <c r="P16" s="120"/>
    </row>
    <row r="17" customFormat="false" ht="15" hidden="false" customHeight="false" outlineLevel="0" collapsed="false">
      <c r="B17" s="117"/>
      <c r="C17" s="117"/>
      <c r="D17" s="117"/>
      <c r="E17" s="119" t="s">
        <v>211</v>
      </c>
      <c r="F17" s="87" t="n">
        <v>2</v>
      </c>
      <c r="G17" s="91"/>
      <c r="H17" s="120"/>
      <c r="I17" s="1"/>
      <c r="J17" s="121"/>
      <c r="K17" s="121"/>
      <c r="L17" s="121"/>
      <c r="M17" s="123" t="s">
        <v>211</v>
      </c>
      <c r="N17" s="91" t="n">
        <v>2</v>
      </c>
      <c r="O17" s="91"/>
      <c r="P17" s="120"/>
    </row>
    <row r="18" customFormat="false" ht="15" hidden="false" customHeight="true" outlineLevel="0" collapsed="false">
      <c r="B18" s="117"/>
      <c r="C18" s="117"/>
      <c r="D18" s="117" t="s">
        <v>227</v>
      </c>
      <c r="E18" s="119" t="s">
        <v>166</v>
      </c>
      <c r="F18" s="87" t="n">
        <v>25.48</v>
      </c>
      <c r="G18" s="91" t="n">
        <f aca="false">(F18*F19)+F20</f>
        <v>67.052</v>
      </c>
      <c r="H18" s="120"/>
      <c r="I18" s="1"/>
      <c r="J18" s="121"/>
      <c r="K18" s="121"/>
      <c r="L18" s="121" t="s">
        <v>227</v>
      </c>
      <c r="M18" s="123" t="s">
        <v>166</v>
      </c>
      <c r="N18" s="91" t="n">
        <v>0</v>
      </c>
      <c r="O18" s="91" t="n">
        <f aca="false">N18*N19+N20</f>
        <v>0.0</v>
      </c>
      <c r="P18" s="120"/>
    </row>
    <row r="19" customFormat="false" ht="15" hidden="false" customHeight="false" outlineLevel="0" collapsed="false">
      <c r="B19" s="117"/>
      <c r="C19" s="117"/>
      <c r="D19" s="117"/>
      <c r="E19" s="119" t="s">
        <v>228</v>
      </c>
      <c r="F19" s="87" t="n">
        <v>2</v>
      </c>
      <c r="G19" s="91"/>
      <c r="H19" s="91"/>
      <c r="I19" s="1"/>
      <c r="J19" s="121"/>
      <c r="K19" s="121"/>
      <c r="L19" s="121"/>
      <c r="M19" s="123" t="s">
        <v>228</v>
      </c>
      <c r="N19" s="91" t="n">
        <v>2</v>
      </c>
      <c r="O19" s="91"/>
      <c r="P19" s="91"/>
    </row>
    <row r="20" customFormat="false" ht="14.25" hidden="false" customHeight="true" outlineLevel="0" collapsed="false">
      <c r="B20" s="117"/>
      <c r="C20" s="117"/>
      <c r="D20" s="117"/>
      <c r="E20" s="119" t="s">
        <v>214</v>
      </c>
      <c r="F20" s="87" t="n">
        <f aca="false">40.23*0.4</f>
        <v>16.092</v>
      </c>
      <c r="G20" s="91"/>
      <c r="H20" s="91"/>
      <c r="I20" s="1"/>
      <c r="J20" s="121"/>
      <c r="K20" s="121"/>
      <c r="L20" s="121"/>
      <c r="M20" s="123" t="s">
        <v>214</v>
      </c>
      <c r="N20" s="91" t="n">
        <v>0</v>
      </c>
      <c r="O20" s="91"/>
      <c r="P20" s="91"/>
    </row>
    <row r="21" customFormat="false" ht="15" hidden="false" customHeight="false" outlineLevel="0" collapsed="false">
      <c r="J21" s="126"/>
      <c r="K21" s="126"/>
      <c r="L21" s="126"/>
      <c r="M21" s="126"/>
      <c r="N21" s="126"/>
    </row>
    <row r="22" customFormat="false" ht="29.85" hidden="false" customHeight="true" outlineLevel="0" collapsed="false">
      <c r="B22" s="116" t="s">
        <v>204</v>
      </c>
      <c r="C22" s="116"/>
      <c r="D22" s="116"/>
      <c r="E22" s="116"/>
      <c r="F22" s="116"/>
      <c r="G22" s="116" t="s">
        <v>205</v>
      </c>
      <c r="H22" s="116" t="s">
        <v>224</v>
      </c>
      <c r="I22" s="1"/>
      <c r="J22" s="127" t="s">
        <v>204</v>
      </c>
      <c r="K22" s="127"/>
      <c r="L22" s="127"/>
      <c r="M22" s="127"/>
      <c r="N22" s="127"/>
      <c r="O22" s="116" t="s">
        <v>205</v>
      </c>
      <c r="P22" s="116" t="s">
        <v>224</v>
      </c>
    </row>
    <row r="23" customFormat="false" ht="15" hidden="false" customHeight="true" outlineLevel="0" collapsed="false">
      <c r="B23" s="121" t="s">
        <v>173</v>
      </c>
      <c r="C23" s="122" t="s">
        <v>225</v>
      </c>
      <c r="D23" s="121" t="s">
        <v>226</v>
      </c>
      <c r="E23" s="123" t="s">
        <v>166</v>
      </c>
      <c r="F23" s="91" t="n">
        <v>10.22</v>
      </c>
      <c r="G23" s="91" t="n">
        <f aca="false">F23*F24</f>
        <v>20.44</v>
      </c>
      <c r="H23" s="120" t="n">
        <f aca="false">SUM(G23:G31)</f>
        <v>36.4</v>
      </c>
      <c r="I23" s="1"/>
      <c r="J23" s="121" t="s">
        <v>174</v>
      </c>
      <c r="K23" s="122" t="s">
        <v>225</v>
      </c>
      <c r="L23" s="121" t="s">
        <v>226</v>
      </c>
      <c r="M23" s="123" t="s">
        <v>166</v>
      </c>
      <c r="N23" s="91" t="n">
        <v>42.88</v>
      </c>
      <c r="O23" s="91" t="n">
        <f aca="false">N23*N24</f>
        <v>85.76</v>
      </c>
      <c r="P23" s="120" t="n">
        <f aca="false">SUM(O23:O31)</f>
        <v>256.004</v>
      </c>
    </row>
    <row r="24" customFormat="false" ht="15" hidden="false" customHeight="false" outlineLevel="0" collapsed="false">
      <c r="B24" s="121"/>
      <c r="C24" s="121"/>
      <c r="D24" s="121"/>
      <c r="E24" s="123" t="s">
        <v>211</v>
      </c>
      <c r="F24" s="91" t="n">
        <v>2</v>
      </c>
      <c r="G24" s="91"/>
      <c r="H24" s="120"/>
      <c r="I24" s="1"/>
      <c r="J24" s="121"/>
      <c r="K24" s="121"/>
      <c r="L24" s="121"/>
      <c r="M24" s="123" t="s">
        <v>211</v>
      </c>
      <c r="N24" s="91" t="n">
        <v>2</v>
      </c>
      <c r="O24" s="91"/>
      <c r="P24" s="120"/>
    </row>
    <row r="25" customFormat="false" ht="15" hidden="false" customHeight="true" outlineLevel="0" collapsed="false">
      <c r="B25" s="121"/>
      <c r="C25" s="121"/>
      <c r="D25" s="121" t="s">
        <v>227</v>
      </c>
      <c r="E25" s="123" t="s">
        <v>166</v>
      </c>
      <c r="F25" s="91" t="n">
        <v>7.98</v>
      </c>
      <c r="G25" s="91" t="n">
        <f aca="false">F25*F26</f>
        <v>15.96</v>
      </c>
      <c r="H25" s="120"/>
      <c r="I25" s="1"/>
      <c r="J25" s="121"/>
      <c r="K25" s="121"/>
      <c r="L25" s="121" t="s">
        <v>227</v>
      </c>
      <c r="M25" s="123" t="s">
        <v>166</v>
      </c>
      <c r="N25" s="91" t="n">
        <v>35.72</v>
      </c>
      <c r="O25" s="91" t="n">
        <f aca="false">N25*N26</f>
        <v>71.44</v>
      </c>
      <c r="P25" s="120"/>
    </row>
    <row r="26" customFormat="false" ht="15" hidden="false" customHeight="false" outlineLevel="0" collapsed="false">
      <c r="B26" s="121"/>
      <c r="C26" s="122"/>
      <c r="D26" s="122"/>
      <c r="E26" s="123" t="s">
        <v>228</v>
      </c>
      <c r="F26" s="91" t="n">
        <v>2</v>
      </c>
      <c r="G26" s="91"/>
      <c r="H26" s="120"/>
      <c r="I26" s="1"/>
      <c r="J26" s="121"/>
      <c r="K26" s="122"/>
      <c r="L26" s="122"/>
      <c r="M26" s="123" t="s">
        <v>228</v>
      </c>
      <c r="N26" s="91" t="n">
        <v>2</v>
      </c>
      <c r="O26" s="91"/>
      <c r="P26" s="120"/>
    </row>
    <row r="27" customFormat="false" ht="15" hidden="false" customHeight="true" outlineLevel="0" collapsed="false">
      <c r="B27" s="121"/>
      <c r="C27" s="125" t="s">
        <v>229</v>
      </c>
      <c r="D27" s="121" t="s">
        <v>230</v>
      </c>
      <c r="E27" s="123" t="s">
        <v>166</v>
      </c>
      <c r="F27" s="128" t="n">
        <v>0</v>
      </c>
      <c r="G27" s="91" t="n">
        <f aca="false">F27*F28</f>
        <v>0.0</v>
      </c>
      <c r="H27" s="120"/>
      <c r="I27" s="1"/>
      <c r="J27" s="121"/>
      <c r="K27" s="125" t="s">
        <v>229</v>
      </c>
      <c r="L27" s="121" t="s">
        <v>230</v>
      </c>
      <c r="M27" s="123" t="s">
        <v>166</v>
      </c>
      <c r="N27" s="128" t="n">
        <v>24.7</v>
      </c>
      <c r="O27" s="91" t="n">
        <f aca="false">N27*N28</f>
        <v>49.4</v>
      </c>
      <c r="P27" s="120"/>
    </row>
    <row r="28" customFormat="false" ht="15" hidden="false" customHeight="false" outlineLevel="0" collapsed="false">
      <c r="B28" s="121"/>
      <c r="C28" s="121"/>
      <c r="D28" s="121"/>
      <c r="E28" s="123" t="s">
        <v>211</v>
      </c>
      <c r="F28" s="128" t="n">
        <v>2</v>
      </c>
      <c r="G28" s="91"/>
      <c r="H28" s="120"/>
      <c r="I28" s="1"/>
      <c r="J28" s="121"/>
      <c r="K28" s="121"/>
      <c r="L28" s="121"/>
      <c r="M28" s="123" t="s">
        <v>211</v>
      </c>
      <c r="N28" s="128" t="n">
        <v>2</v>
      </c>
      <c r="O28" s="91"/>
      <c r="P28" s="120"/>
    </row>
    <row r="29" customFormat="false" ht="15" hidden="false" customHeight="true" outlineLevel="0" collapsed="false">
      <c r="B29" s="121"/>
      <c r="C29" s="121"/>
      <c r="D29" s="121" t="s">
        <v>227</v>
      </c>
      <c r="E29" s="123" t="s">
        <v>166</v>
      </c>
      <c r="F29" s="128" t="n">
        <v>0</v>
      </c>
      <c r="G29" s="91" t="n">
        <f aca="false">F29*F30+F31</f>
        <v>0.0</v>
      </c>
      <c r="H29" s="120"/>
      <c r="I29" s="1"/>
      <c r="J29" s="121"/>
      <c r="K29" s="121"/>
      <c r="L29" s="121" t="s">
        <v>227</v>
      </c>
      <c r="M29" s="123" t="s">
        <v>166</v>
      </c>
      <c r="N29" s="128" t="n">
        <v>18.57</v>
      </c>
      <c r="O29" s="91" t="n">
        <f aca="false">N29*N30+N31</f>
        <v>49.404</v>
      </c>
      <c r="P29" s="120"/>
    </row>
    <row r="30" customFormat="false" ht="15" hidden="false" customHeight="false" outlineLevel="0" collapsed="false">
      <c r="B30" s="121"/>
      <c r="C30" s="121"/>
      <c r="D30" s="121"/>
      <c r="E30" s="123" t="s">
        <v>228</v>
      </c>
      <c r="F30" s="128" t="n">
        <v>2</v>
      </c>
      <c r="G30" s="91"/>
      <c r="H30" s="91"/>
      <c r="I30" s="1"/>
      <c r="J30" s="121"/>
      <c r="K30" s="121"/>
      <c r="L30" s="121"/>
      <c r="M30" s="123" t="s">
        <v>228</v>
      </c>
      <c r="N30" s="128" t="n">
        <v>2</v>
      </c>
      <c r="O30" s="91"/>
      <c r="P30" s="91"/>
    </row>
    <row r="31" customFormat="false" ht="13.5" hidden="false" customHeight="true" outlineLevel="0" collapsed="false">
      <c r="B31" s="121"/>
      <c r="C31" s="121"/>
      <c r="D31" s="121"/>
      <c r="E31" s="123" t="s">
        <v>214</v>
      </c>
      <c r="F31" s="128" t="n">
        <v>0</v>
      </c>
      <c r="G31" s="91"/>
      <c r="H31" s="91"/>
      <c r="I31" s="1"/>
      <c r="J31" s="121"/>
      <c r="K31" s="121"/>
      <c r="L31" s="121"/>
      <c r="M31" s="123" t="s">
        <v>214</v>
      </c>
      <c r="N31" s="128" t="n">
        <f aca="false">30.66*0.4</f>
        <v>12.264</v>
      </c>
      <c r="O31" s="91"/>
      <c r="P31" s="91"/>
    </row>
    <row r="32" customFormat="false" ht="15" hidden="false" customHeight="false" outlineLevel="0" collapsed="false">
      <c r="B32" s="126"/>
      <c r="C32" s="126"/>
      <c r="D32" s="126"/>
      <c r="E32" s="126"/>
      <c r="F32" s="126"/>
      <c r="J32" s="126"/>
      <c r="K32" s="126"/>
      <c r="L32" s="126"/>
      <c r="M32" s="126"/>
      <c r="N32" s="126"/>
    </row>
    <row r="33" customFormat="false" ht="29.85" hidden="false" customHeight="true" outlineLevel="0" collapsed="false">
      <c r="B33" s="127" t="s">
        <v>204</v>
      </c>
      <c r="C33" s="127"/>
      <c r="D33" s="127"/>
      <c r="E33" s="127"/>
      <c r="F33" s="127"/>
      <c r="G33" s="116" t="s">
        <v>205</v>
      </c>
      <c r="H33" s="116" t="s">
        <v>224</v>
      </c>
      <c r="I33" s="1"/>
      <c r="J33" s="127" t="s">
        <v>204</v>
      </c>
      <c r="K33" s="127"/>
      <c r="L33" s="127"/>
      <c r="M33" s="127"/>
      <c r="N33" s="127"/>
      <c r="O33" s="116" t="s">
        <v>205</v>
      </c>
      <c r="P33" s="116" t="s">
        <v>224</v>
      </c>
    </row>
    <row r="34" customFormat="false" ht="15" hidden="false" customHeight="true" outlineLevel="0" collapsed="false">
      <c r="B34" s="121" t="s">
        <v>175</v>
      </c>
      <c r="C34" s="122" t="s">
        <v>225</v>
      </c>
      <c r="D34" s="121" t="s">
        <v>226</v>
      </c>
      <c r="E34" s="123" t="s">
        <v>166</v>
      </c>
      <c r="F34" s="91" t="n">
        <v>15.51</v>
      </c>
      <c r="G34" s="91" t="n">
        <f aca="false">F34*F35</f>
        <v>31.02</v>
      </c>
      <c r="H34" s="120" t="n">
        <f aca="false">SUM(G34:G42)</f>
        <v>82.66</v>
      </c>
      <c r="I34" s="1"/>
      <c r="J34" s="121" t="s">
        <v>176</v>
      </c>
      <c r="K34" s="122" t="s">
        <v>225</v>
      </c>
      <c r="L34" s="121" t="s">
        <v>226</v>
      </c>
      <c r="M34" s="123" t="s">
        <v>166</v>
      </c>
      <c r="N34" s="91" t="n">
        <v>15.61</v>
      </c>
      <c r="O34" s="91" t="n">
        <f aca="false">N34*N35</f>
        <v>31.22</v>
      </c>
      <c r="P34" s="120" t="n">
        <f aca="false">SUM(O34:O42)</f>
        <v>270.296</v>
      </c>
    </row>
    <row r="35" customFormat="false" ht="15" hidden="false" customHeight="false" outlineLevel="0" collapsed="false">
      <c r="B35" s="121"/>
      <c r="C35" s="121"/>
      <c r="D35" s="121"/>
      <c r="E35" s="123" t="s">
        <v>211</v>
      </c>
      <c r="F35" s="91" t="n">
        <v>2</v>
      </c>
      <c r="G35" s="91"/>
      <c r="H35" s="120"/>
      <c r="I35" s="1"/>
      <c r="J35" s="121"/>
      <c r="K35" s="121"/>
      <c r="L35" s="121"/>
      <c r="M35" s="123" t="s">
        <v>211</v>
      </c>
      <c r="N35" s="91" t="n">
        <v>2</v>
      </c>
      <c r="O35" s="91"/>
      <c r="P35" s="120"/>
    </row>
    <row r="36" customFormat="false" ht="15" hidden="false" customHeight="true" outlineLevel="0" collapsed="false">
      <c r="B36" s="121"/>
      <c r="C36" s="121"/>
      <c r="D36" s="121" t="s">
        <v>227</v>
      </c>
      <c r="E36" s="123" t="s">
        <v>166</v>
      </c>
      <c r="F36" s="91" t="n">
        <v>12.28</v>
      </c>
      <c r="G36" s="91" t="n">
        <f aca="false">F36*F37</f>
        <v>24.56</v>
      </c>
      <c r="H36" s="120"/>
      <c r="I36" s="1"/>
      <c r="J36" s="121"/>
      <c r="K36" s="121"/>
      <c r="L36" s="121" t="s">
        <v>227</v>
      </c>
      <c r="M36" s="123" t="s">
        <v>166</v>
      </c>
      <c r="N36" s="91" t="n">
        <v>12.36</v>
      </c>
      <c r="O36" s="91" t="n">
        <f aca="false">N36*N37</f>
        <v>24.72</v>
      </c>
      <c r="P36" s="120"/>
    </row>
    <row r="37" customFormat="false" ht="15" hidden="false" customHeight="false" outlineLevel="0" collapsed="false">
      <c r="B37" s="121"/>
      <c r="C37" s="122"/>
      <c r="D37" s="122"/>
      <c r="E37" s="123" t="s">
        <v>228</v>
      </c>
      <c r="F37" s="91" t="n">
        <v>2</v>
      </c>
      <c r="G37" s="91"/>
      <c r="H37" s="120"/>
      <c r="I37" s="1"/>
      <c r="J37" s="121"/>
      <c r="K37" s="122"/>
      <c r="L37" s="122"/>
      <c r="M37" s="123" t="s">
        <v>228</v>
      </c>
      <c r="N37" s="91" t="n">
        <v>2</v>
      </c>
      <c r="O37" s="91"/>
      <c r="P37" s="120"/>
    </row>
    <row r="38" customFormat="false" ht="15" hidden="false" customHeight="true" outlineLevel="0" collapsed="false">
      <c r="B38" s="121"/>
      <c r="C38" s="125" t="s">
        <v>229</v>
      </c>
      <c r="D38" s="121" t="s">
        <v>230</v>
      </c>
      <c r="E38" s="123" t="s">
        <v>166</v>
      </c>
      <c r="F38" s="87" t="n">
        <v>6.77</v>
      </c>
      <c r="G38" s="91" t="n">
        <f aca="false">F38*F39</f>
        <v>13.54</v>
      </c>
      <c r="H38" s="120"/>
      <c r="I38" s="1"/>
      <c r="J38" s="121"/>
      <c r="K38" s="125" t="s">
        <v>229</v>
      </c>
      <c r="L38" s="121" t="s">
        <v>230</v>
      </c>
      <c r="M38" s="123" t="s">
        <v>166</v>
      </c>
      <c r="N38" s="87" t="n">
        <v>53.59</v>
      </c>
      <c r="O38" s="91" t="n">
        <f aca="false">N38*N39</f>
        <v>107.18</v>
      </c>
      <c r="P38" s="120"/>
    </row>
    <row r="39" customFormat="false" ht="15" hidden="false" customHeight="false" outlineLevel="0" collapsed="false">
      <c r="B39" s="121"/>
      <c r="C39" s="121"/>
      <c r="D39" s="121"/>
      <c r="E39" s="123" t="s">
        <v>211</v>
      </c>
      <c r="F39" s="87" t="n">
        <v>2</v>
      </c>
      <c r="G39" s="91"/>
      <c r="H39" s="120"/>
      <c r="I39" s="1"/>
      <c r="J39" s="121"/>
      <c r="K39" s="121"/>
      <c r="L39" s="121"/>
      <c r="M39" s="123" t="s">
        <v>211</v>
      </c>
      <c r="N39" s="87" t="n">
        <v>2</v>
      </c>
      <c r="O39" s="91"/>
      <c r="P39" s="120"/>
    </row>
    <row r="40" customFormat="false" ht="15" hidden="false" customHeight="true" outlineLevel="0" collapsed="false">
      <c r="B40" s="121"/>
      <c r="C40" s="121"/>
      <c r="D40" s="121" t="s">
        <v>227</v>
      </c>
      <c r="E40" s="123" t="s">
        <v>166</v>
      </c>
      <c r="F40" s="87" t="n">
        <v>4.79</v>
      </c>
      <c r="G40" s="91" t="n">
        <f aca="false">F40*F41+F42</f>
        <v>13.54</v>
      </c>
      <c r="H40" s="120"/>
      <c r="I40" s="1"/>
      <c r="J40" s="121"/>
      <c r="K40" s="121"/>
      <c r="L40" s="121" t="s">
        <v>227</v>
      </c>
      <c r="M40" s="123" t="s">
        <v>166</v>
      </c>
      <c r="N40" s="87" t="n">
        <v>40.35</v>
      </c>
      <c r="O40" s="91" t="n">
        <f aca="false">N40*N41+N42</f>
        <v>107.176</v>
      </c>
      <c r="P40" s="120"/>
    </row>
    <row r="41" customFormat="false" ht="15" hidden="false" customHeight="false" outlineLevel="0" collapsed="false">
      <c r="B41" s="121"/>
      <c r="C41" s="121"/>
      <c r="D41" s="121"/>
      <c r="E41" s="123" t="s">
        <v>228</v>
      </c>
      <c r="F41" s="87" t="n">
        <v>2</v>
      </c>
      <c r="G41" s="91"/>
      <c r="H41" s="91"/>
      <c r="I41" s="1"/>
      <c r="J41" s="121"/>
      <c r="K41" s="121"/>
      <c r="L41" s="121"/>
      <c r="M41" s="123" t="s">
        <v>228</v>
      </c>
      <c r="N41" s="87" t="n">
        <v>2</v>
      </c>
      <c r="O41" s="91"/>
      <c r="P41" s="91"/>
    </row>
    <row r="42" customFormat="false" ht="13.5" hidden="false" customHeight="true" outlineLevel="0" collapsed="false">
      <c r="B42" s="121"/>
      <c r="C42" s="121"/>
      <c r="D42" s="121"/>
      <c r="E42" s="123" t="s">
        <v>214</v>
      </c>
      <c r="F42" s="87" t="n">
        <f aca="false">9.9*0.4</f>
        <v>3.96</v>
      </c>
      <c r="G42" s="91"/>
      <c r="H42" s="91"/>
      <c r="I42" s="1"/>
      <c r="J42" s="121"/>
      <c r="K42" s="121"/>
      <c r="L42" s="121"/>
      <c r="M42" s="123" t="s">
        <v>214</v>
      </c>
      <c r="N42" s="87" t="n">
        <f aca="false">66.19*0.4</f>
        <v>26.476</v>
      </c>
      <c r="O42" s="91"/>
      <c r="P42" s="91"/>
    </row>
    <row r="43" customFormat="false" ht="15" hidden="false" customHeight="false" outlineLevel="0" collapsed="false">
      <c r="B43" s="126"/>
      <c r="C43" s="126"/>
      <c r="D43" s="126"/>
      <c r="E43" s="126"/>
      <c r="F43" s="126"/>
      <c r="J43" s="126"/>
      <c r="K43" s="126"/>
      <c r="L43" s="126"/>
      <c r="M43" s="126"/>
      <c r="N43" s="126"/>
    </row>
    <row r="44" customFormat="false" ht="29.85" hidden="false" customHeight="true" outlineLevel="0" collapsed="false">
      <c r="B44" s="127" t="s">
        <v>204</v>
      </c>
      <c r="C44" s="127"/>
      <c r="D44" s="127"/>
      <c r="E44" s="127"/>
      <c r="F44" s="127"/>
      <c r="G44" s="116" t="s">
        <v>205</v>
      </c>
      <c r="H44" s="116" t="s">
        <v>224</v>
      </c>
      <c r="I44" s="1"/>
      <c r="J44" s="127" t="s">
        <v>204</v>
      </c>
      <c r="K44" s="127"/>
      <c r="L44" s="127"/>
      <c r="M44" s="127"/>
      <c r="N44" s="127"/>
      <c r="O44" s="116" t="s">
        <v>205</v>
      </c>
      <c r="P44" s="116" t="s">
        <v>224</v>
      </c>
    </row>
    <row r="45" customFormat="false" ht="15" hidden="false" customHeight="true" outlineLevel="0" collapsed="false">
      <c r="B45" s="121" t="s">
        <v>177</v>
      </c>
      <c r="C45" s="122" t="s">
        <v>225</v>
      </c>
      <c r="D45" s="121" t="s">
        <v>226</v>
      </c>
      <c r="E45" s="123" t="s">
        <v>166</v>
      </c>
      <c r="F45" s="91" t="n">
        <v>10.82</v>
      </c>
      <c r="G45" s="91" t="n">
        <f aca="false">F45*F46</f>
        <v>21.64</v>
      </c>
      <c r="H45" s="120" t="n">
        <f aca="false">SUM(G45:G53)</f>
        <v>38.56</v>
      </c>
      <c r="I45" s="1"/>
      <c r="J45" s="121" t="s">
        <v>178</v>
      </c>
      <c r="K45" s="122" t="s">
        <v>225</v>
      </c>
      <c r="L45" s="121" t="s">
        <v>226</v>
      </c>
      <c r="M45" s="123" t="s">
        <v>166</v>
      </c>
      <c r="N45" s="129" t="n">
        <v>26.15</v>
      </c>
      <c r="O45" s="91" t="n">
        <f aca="false">N45*N46</f>
        <v>52.3</v>
      </c>
      <c r="P45" s="120" t="n">
        <f aca="false">SUM(O45:O53)</f>
        <v>127.92</v>
      </c>
    </row>
    <row r="46" customFormat="false" ht="15" hidden="false" customHeight="false" outlineLevel="0" collapsed="false">
      <c r="B46" s="121"/>
      <c r="C46" s="121"/>
      <c r="D46" s="121"/>
      <c r="E46" s="123" t="s">
        <v>211</v>
      </c>
      <c r="F46" s="91" t="n">
        <v>2</v>
      </c>
      <c r="G46" s="91"/>
      <c r="H46" s="120"/>
      <c r="I46" s="1"/>
      <c r="J46" s="121"/>
      <c r="K46" s="121"/>
      <c r="L46" s="121"/>
      <c r="M46" s="123" t="s">
        <v>211</v>
      </c>
      <c r="N46" s="129" t="n">
        <v>2</v>
      </c>
      <c r="O46" s="91"/>
      <c r="P46" s="120"/>
    </row>
    <row r="47" customFormat="false" ht="15" hidden="false" customHeight="true" outlineLevel="0" collapsed="false">
      <c r="B47" s="121"/>
      <c r="C47" s="121"/>
      <c r="D47" s="121" t="s">
        <v>227</v>
      </c>
      <c r="E47" s="123" t="s">
        <v>166</v>
      </c>
      <c r="F47" s="91" t="n">
        <v>8.46</v>
      </c>
      <c r="G47" s="91" t="n">
        <f aca="false">F47*F48</f>
        <v>16.92</v>
      </c>
      <c r="H47" s="120"/>
      <c r="I47" s="1"/>
      <c r="J47" s="121"/>
      <c r="K47" s="121"/>
      <c r="L47" s="121" t="s">
        <v>227</v>
      </c>
      <c r="M47" s="123" t="s">
        <v>166</v>
      </c>
      <c r="N47" s="129" t="n">
        <v>21.17</v>
      </c>
      <c r="O47" s="91" t="n">
        <f aca="false">N47*N48</f>
        <v>42.34</v>
      </c>
      <c r="P47" s="120"/>
    </row>
    <row r="48" customFormat="false" ht="15" hidden="false" customHeight="false" outlineLevel="0" collapsed="false">
      <c r="B48" s="121"/>
      <c r="C48" s="122"/>
      <c r="D48" s="122"/>
      <c r="E48" s="123" t="s">
        <v>228</v>
      </c>
      <c r="F48" s="91" t="n">
        <v>2</v>
      </c>
      <c r="G48" s="91"/>
      <c r="H48" s="120"/>
      <c r="I48" s="1"/>
      <c r="J48" s="121"/>
      <c r="K48" s="122"/>
      <c r="L48" s="122"/>
      <c r="M48" s="123" t="s">
        <v>228</v>
      </c>
      <c r="N48" s="129" t="n">
        <v>2</v>
      </c>
      <c r="O48" s="91"/>
      <c r="P48" s="120"/>
    </row>
    <row r="49" customFormat="false" ht="15" hidden="false" customHeight="true" outlineLevel="0" collapsed="false">
      <c r="B49" s="121"/>
      <c r="C49" s="125" t="s">
        <v>229</v>
      </c>
      <c r="D49" s="121" t="s">
        <v>230</v>
      </c>
      <c r="E49" s="123" t="s">
        <v>166</v>
      </c>
      <c r="F49" s="87" t="n">
        <v>0</v>
      </c>
      <c r="G49" s="91" t="n">
        <f aca="false">F49*F50</f>
        <v>0.0</v>
      </c>
      <c r="H49" s="120"/>
      <c r="I49" s="1"/>
      <c r="J49" s="121"/>
      <c r="K49" s="125" t="s">
        <v>229</v>
      </c>
      <c r="L49" s="121" t="s">
        <v>230</v>
      </c>
      <c r="M49" s="123" t="s">
        <v>166</v>
      </c>
      <c r="N49" s="87" t="n">
        <v>8.32</v>
      </c>
      <c r="O49" s="91" t="n">
        <f aca="false">N49*N50</f>
        <v>16.64</v>
      </c>
      <c r="P49" s="120"/>
    </row>
    <row r="50" customFormat="false" ht="15" hidden="false" customHeight="false" outlineLevel="0" collapsed="false">
      <c r="B50" s="121"/>
      <c r="C50" s="121"/>
      <c r="D50" s="121"/>
      <c r="E50" s="123" t="s">
        <v>211</v>
      </c>
      <c r="F50" s="91" t="n">
        <v>2</v>
      </c>
      <c r="G50" s="91"/>
      <c r="H50" s="120"/>
      <c r="I50" s="1"/>
      <c r="J50" s="121"/>
      <c r="K50" s="121"/>
      <c r="L50" s="121"/>
      <c r="M50" s="123" t="s">
        <v>211</v>
      </c>
      <c r="N50" s="87" t="n">
        <v>2</v>
      </c>
      <c r="O50" s="91"/>
      <c r="P50" s="120"/>
    </row>
    <row r="51" customFormat="false" ht="15" hidden="false" customHeight="true" outlineLevel="0" collapsed="false">
      <c r="B51" s="121"/>
      <c r="C51" s="121"/>
      <c r="D51" s="121" t="s">
        <v>227</v>
      </c>
      <c r="E51" s="123" t="s">
        <v>166</v>
      </c>
      <c r="F51" s="87" t="n">
        <v>0</v>
      </c>
      <c r="G51" s="91" t="n">
        <f aca="false">F51*F52+F53</f>
        <v>0.0</v>
      </c>
      <c r="H51" s="120"/>
      <c r="I51" s="1"/>
      <c r="J51" s="121"/>
      <c r="K51" s="121"/>
      <c r="L51" s="121" t="s">
        <v>227</v>
      </c>
      <c r="M51" s="123" t="s">
        <v>166</v>
      </c>
      <c r="N51" s="87" t="n">
        <v>6.17</v>
      </c>
      <c r="O51" s="91" t="n">
        <f aca="false">N51*N52+N53</f>
        <v>16.64</v>
      </c>
      <c r="P51" s="120"/>
    </row>
    <row r="52" customFormat="false" ht="15" hidden="false" customHeight="false" outlineLevel="0" collapsed="false">
      <c r="B52" s="121"/>
      <c r="C52" s="121"/>
      <c r="D52" s="121"/>
      <c r="E52" s="123" t="s">
        <v>228</v>
      </c>
      <c r="F52" s="91" t="n">
        <v>2</v>
      </c>
      <c r="G52" s="91"/>
      <c r="H52" s="91"/>
      <c r="I52" s="1"/>
      <c r="J52" s="121"/>
      <c r="K52" s="121"/>
      <c r="L52" s="121"/>
      <c r="M52" s="123" t="s">
        <v>228</v>
      </c>
      <c r="N52" s="87" t="n">
        <v>2</v>
      </c>
      <c r="O52" s="91"/>
      <c r="P52" s="91"/>
    </row>
    <row r="53" customFormat="false" ht="13.5" hidden="false" customHeight="true" outlineLevel="0" collapsed="false">
      <c r="B53" s="121"/>
      <c r="C53" s="121"/>
      <c r="D53" s="121"/>
      <c r="E53" s="123" t="s">
        <v>214</v>
      </c>
      <c r="F53" s="91" t="n">
        <v>0</v>
      </c>
      <c r="G53" s="91"/>
      <c r="H53" s="91"/>
      <c r="I53" s="1"/>
      <c r="J53" s="121"/>
      <c r="K53" s="121"/>
      <c r="L53" s="121"/>
      <c r="M53" s="123" t="s">
        <v>214</v>
      </c>
      <c r="N53" s="87" t="n">
        <f aca="false">10.75*0.4</f>
        <v>4.3</v>
      </c>
      <c r="O53" s="91"/>
      <c r="P53" s="91"/>
    </row>
    <row r="54" customFormat="false" ht="15" hidden="false" customHeight="false" outlineLevel="0" collapsed="false">
      <c r="B54" s="126"/>
      <c r="C54" s="126"/>
      <c r="D54" s="126"/>
      <c r="E54" s="126"/>
      <c r="F54" s="126"/>
      <c r="J54" s="126"/>
      <c r="K54" s="126"/>
      <c r="L54" s="126"/>
      <c r="M54" s="126"/>
      <c r="N54" s="126"/>
    </row>
    <row r="55" customFormat="false" ht="15" hidden="false" customHeight="false" outlineLevel="0" collapsed="false">
      <c r="B55" s="126"/>
      <c r="C55" s="126"/>
      <c r="D55" s="126"/>
      <c r="E55" s="126"/>
      <c r="F55" s="126"/>
      <c r="J55" s="126"/>
      <c r="K55" s="126"/>
      <c r="L55" s="126"/>
      <c r="M55" s="126"/>
      <c r="N55" s="126"/>
    </row>
    <row r="56" customFormat="false" ht="29.85" hidden="false" customHeight="true" outlineLevel="0" collapsed="false">
      <c r="B56" s="127" t="s">
        <v>204</v>
      </c>
      <c r="C56" s="127"/>
      <c r="D56" s="127"/>
      <c r="E56" s="127"/>
      <c r="F56" s="127"/>
      <c r="G56" s="116" t="s">
        <v>205</v>
      </c>
      <c r="H56" s="116" t="s">
        <v>224</v>
      </c>
      <c r="J56" s="127" t="s">
        <v>204</v>
      </c>
      <c r="K56" s="127"/>
      <c r="L56" s="127"/>
      <c r="M56" s="127"/>
      <c r="N56" s="127"/>
      <c r="O56" s="116" t="s">
        <v>205</v>
      </c>
      <c r="P56" s="116" t="s">
        <v>224</v>
      </c>
    </row>
    <row r="57" customFormat="false" ht="15" hidden="false" customHeight="true" outlineLevel="0" collapsed="false">
      <c r="B57" s="121" t="s">
        <v>179</v>
      </c>
      <c r="C57" s="122" t="s">
        <v>225</v>
      </c>
      <c r="D57" s="121" t="s">
        <v>226</v>
      </c>
      <c r="E57" s="123" t="s">
        <v>166</v>
      </c>
      <c r="F57" s="129" t="n">
        <v>17.69</v>
      </c>
      <c r="G57" s="91" t="n">
        <f aca="false">F57*F58</f>
        <v>35.38</v>
      </c>
      <c r="H57" s="120" t="n">
        <f aca="false">SUM(G57:G65)</f>
        <v>83.204</v>
      </c>
      <c r="J57" s="121"/>
      <c r="K57" s="122"/>
      <c r="L57" s="121" t="s">
        <v>226</v>
      </c>
      <c r="M57" s="123" t="s">
        <v>166</v>
      </c>
      <c r="N57" s="87" t="n">
        <v>0</v>
      </c>
      <c r="O57" s="91" t="n">
        <f aca="false">N57*N58</f>
        <v>0.0</v>
      </c>
      <c r="P57" s="120" t="n">
        <f aca="false">SUM(O57:O65)</f>
        <v>0.0</v>
      </c>
    </row>
    <row r="58" customFormat="false" ht="15" hidden="false" customHeight="false" outlineLevel="0" collapsed="false">
      <c r="B58" s="121"/>
      <c r="C58" s="121"/>
      <c r="D58" s="121"/>
      <c r="E58" s="123" t="s">
        <v>211</v>
      </c>
      <c r="F58" s="130" t="n">
        <v>2</v>
      </c>
      <c r="G58" s="91"/>
      <c r="H58" s="120"/>
      <c r="J58" s="121"/>
      <c r="K58" s="121"/>
      <c r="L58" s="121"/>
      <c r="M58" s="123" t="s">
        <v>211</v>
      </c>
      <c r="N58" s="91" t="n">
        <v>2</v>
      </c>
      <c r="O58" s="91"/>
      <c r="P58" s="120"/>
    </row>
    <row r="59" customFormat="false" ht="15" hidden="false" customHeight="true" outlineLevel="0" collapsed="false">
      <c r="B59" s="121"/>
      <c r="C59" s="121"/>
      <c r="D59" s="121" t="s">
        <v>227</v>
      </c>
      <c r="E59" s="123" t="s">
        <v>166</v>
      </c>
      <c r="F59" s="130" t="n">
        <v>14.09</v>
      </c>
      <c r="G59" s="91" t="n">
        <f aca="false">F59*F60</f>
        <v>28.18</v>
      </c>
      <c r="H59" s="120"/>
      <c r="J59" s="121"/>
      <c r="K59" s="121"/>
      <c r="L59" s="121" t="s">
        <v>227</v>
      </c>
      <c r="M59" s="123" t="s">
        <v>166</v>
      </c>
      <c r="N59" s="91" t="n">
        <v>0</v>
      </c>
      <c r="O59" s="91" t="n">
        <f aca="false">N59*N60</f>
        <v>0.0</v>
      </c>
      <c r="P59" s="120"/>
    </row>
    <row r="60" customFormat="false" ht="15" hidden="false" customHeight="false" outlineLevel="0" collapsed="false">
      <c r="B60" s="121"/>
      <c r="C60" s="122"/>
      <c r="D60" s="122"/>
      <c r="E60" s="123" t="s">
        <v>228</v>
      </c>
      <c r="F60" s="130" t="n">
        <v>2</v>
      </c>
      <c r="G60" s="91"/>
      <c r="H60" s="120"/>
      <c r="J60" s="121"/>
      <c r="K60" s="122"/>
      <c r="L60" s="122"/>
      <c r="M60" s="123" t="s">
        <v>228</v>
      </c>
      <c r="N60" s="91" t="n">
        <v>2</v>
      </c>
      <c r="O60" s="91"/>
      <c r="P60" s="120"/>
    </row>
    <row r="61" customFormat="false" ht="15" hidden="false" customHeight="true" outlineLevel="0" collapsed="false">
      <c r="B61" s="121"/>
      <c r="C61" s="125" t="s">
        <v>229</v>
      </c>
      <c r="D61" s="121" t="s">
        <v>230</v>
      </c>
      <c r="E61" s="123" t="s">
        <v>166</v>
      </c>
      <c r="F61" s="87" t="n">
        <v>4.91</v>
      </c>
      <c r="G61" s="91" t="n">
        <f aca="false">F61*F62</f>
        <v>9.82</v>
      </c>
      <c r="H61" s="120"/>
      <c r="J61" s="121"/>
      <c r="K61" s="125" t="s">
        <v>229</v>
      </c>
      <c r="L61" s="121" t="s">
        <v>230</v>
      </c>
      <c r="M61" s="123" t="s">
        <v>166</v>
      </c>
      <c r="N61" s="129" t="n">
        <v>0</v>
      </c>
      <c r="O61" s="91" t="n">
        <f aca="false">N61*N62</f>
        <v>0.0</v>
      </c>
      <c r="P61" s="120"/>
    </row>
    <row r="62" customFormat="false" ht="15" hidden="false" customHeight="false" outlineLevel="0" collapsed="false">
      <c r="B62" s="121"/>
      <c r="C62" s="121"/>
      <c r="D62" s="121"/>
      <c r="E62" s="123" t="s">
        <v>211</v>
      </c>
      <c r="F62" s="87" t="n">
        <v>2</v>
      </c>
      <c r="G62" s="91"/>
      <c r="H62" s="120"/>
      <c r="J62" s="121"/>
      <c r="K62" s="121"/>
      <c r="L62" s="121"/>
      <c r="M62" s="123" t="s">
        <v>211</v>
      </c>
      <c r="N62" s="129" t="n">
        <v>2</v>
      </c>
      <c r="O62" s="91"/>
      <c r="P62" s="120"/>
    </row>
    <row r="63" customFormat="false" ht="15" hidden="false" customHeight="true" outlineLevel="0" collapsed="false">
      <c r="B63" s="121"/>
      <c r="C63" s="121"/>
      <c r="D63" s="121" t="s">
        <v>227</v>
      </c>
      <c r="E63" s="123" t="s">
        <v>166</v>
      </c>
      <c r="F63" s="87" t="n">
        <v>3.58</v>
      </c>
      <c r="G63" s="91" t="n">
        <f aca="false">F63*F64+F65</f>
        <v>9.824</v>
      </c>
      <c r="H63" s="120"/>
      <c r="J63" s="121"/>
      <c r="K63" s="121"/>
      <c r="L63" s="121" t="s">
        <v>227</v>
      </c>
      <c r="M63" s="123" t="s">
        <v>166</v>
      </c>
      <c r="N63" s="129" t="n">
        <v>0</v>
      </c>
      <c r="O63" s="91" t="n">
        <f aca="false">N63*N64+N65</f>
        <v>0.0</v>
      </c>
      <c r="P63" s="120"/>
    </row>
    <row r="64" customFormat="false" ht="15" hidden="false" customHeight="false" outlineLevel="0" collapsed="false">
      <c r="B64" s="121"/>
      <c r="C64" s="121"/>
      <c r="D64" s="121"/>
      <c r="E64" s="123" t="s">
        <v>228</v>
      </c>
      <c r="F64" s="87" t="n">
        <v>2</v>
      </c>
      <c r="G64" s="91"/>
      <c r="H64" s="91"/>
      <c r="J64" s="121"/>
      <c r="K64" s="121"/>
      <c r="L64" s="121"/>
      <c r="M64" s="123" t="s">
        <v>228</v>
      </c>
      <c r="N64" s="129" t="n">
        <v>2</v>
      </c>
      <c r="O64" s="91"/>
      <c r="P64" s="91"/>
    </row>
    <row r="65" customFormat="false" ht="13.5" hidden="false" customHeight="true" outlineLevel="0" collapsed="false">
      <c r="B65" s="121"/>
      <c r="C65" s="121"/>
      <c r="D65" s="121"/>
      <c r="E65" s="123" t="s">
        <v>214</v>
      </c>
      <c r="F65" s="87" t="n">
        <f aca="false">6.66*0.4</f>
        <v>2.664</v>
      </c>
      <c r="G65" s="91"/>
      <c r="H65" s="91"/>
      <c r="J65" s="121"/>
      <c r="K65" s="121"/>
      <c r="L65" s="121"/>
      <c r="M65" s="123" t="s">
        <v>214</v>
      </c>
      <c r="N65" s="129" t="n">
        <v>0</v>
      </c>
      <c r="O65" s="91"/>
      <c r="P65" s="91"/>
    </row>
    <row r="66" customFormat="false" ht="15" hidden="false" customHeight="false" outlineLevel="0" collapsed="false">
      <c r="B66" s="126"/>
      <c r="C66" s="126"/>
      <c r="D66" s="126"/>
      <c r="E66" s="126"/>
      <c r="F66" s="126"/>
      <c r="J66" s="126"/>
      <c r="K66" s="126"/>
      <c r="L66" s="126"/>
      <c r="M66" s="126"/>
      <c r="N66" s="126"/>
    </row>
    <row r="67" customFormat="false" ht="15" hidden="false" customHeight="false" outlineLevel="0" collapsed="false">
      <c r="B67" s="126"/>
      <c r="C67" s="126"/>
      <c r="D67" s="126"/>
      <c r="E67" s="126"/>
      <c r="F67" s="126"/>
      <c r="J67" s="126"/>
      <c r="K67" s="126"/>
      <c r="L67" s="126"/>
      <c r="M67" s="126"/>
      <c r="N67" s="126"/>
    </row>
    <row r="68" customFormat="false" ht="29.85" hidden="false" customHeight="true" outlineLevel="0" collapsed="false">
      <c r="B68" s="127" t="s">
        <v>204</v>
      </c>
      <c r="C68" s="127"/>
      <c r="D68" s="127"/>
      <c r="E68" s="127"/>
      <c r="F68" s="127"/>
      <c r="G68" s="116" t="s">
        <v>205</v>
      </c>
      <c r="H68" s="116" t="s">
        <v>224</v>
      </c>
      <c r="J68" s="127" t="s">
        <v>204</v>
      </c>
      <c r="K68" s="127"/>
      <c r="L68" s="127"/>
      <c r="M68" s="127"/>
      <c r="N68" s="127"/>
      <c r="O68" s="116" t="s">
        <v>205</v>
      </c>
      <c r="P68" s="116" t="s">
        <v>224</v>
      </c>
    </row>
    <row r="69" customFormat="false" ht="15" hidden="false" customHeight="true" outlineLevel="0" collapsed="false">
      <c r="B69" s="121"/>
      <c r="C69" s="122"/>
      <c r="D69" s="121" t="s">
        <v>226</v>
      </c>
      <c r="E69" s="123" t="s">
        <v>166</v>
      </c>
      <c r="F69" s="91" t="n">
        <v>0</v>
      </c>
      <c r="G69" s="91" t="n">
        <f aca="false">F69*F70</f>
        <v>0.0</v>
      </c>
      <c r="H69" s="120" t="n">
        <f aca="false">SUM(G69:G77)</f>
        <v>0.0</v>
      </c>
      <c r="J69" s="121"/>
      <c r="K69" s="122"/>
      <c r="L69" s="121" t="s">
        <v>226</v>
      </c>
      <c r="M69" s="123" t="s">
        <v>166</v>
      </c>
      <c r="N69" s="87" t="n">
        <v>0</v>
      </c>
      <c r="O69" s="91" t="n">
        <f aca="false">N69*N70</f>
        <v>0.0</v>
      </c>
      <c r="P69" s="120" t="n">
        <f aca="false">SUM(O69:O77)</f>
        <v>0.0</v>
      </c>
    </row>
    <row r="70" customFormat="false" ht="15" hidden="false" customHeight="false" outlineLevel="0" collapsed="false">
      <c r="B70" s="121"/>
      <c r="C70" s="121"/>
      <c r="D70" s="121"/>
      <c r="E70" s="123" t="s">
        <v>211</v>
      </c>
      <c r="F70" s="131" t="n">
        <v>2</v>
      </c>
      <c r="G70" s="91"/>
      <c r="H70" s="120"/>
      <c r="J70" s="121"/>
      <c r="K70" s="121"/>
      <c r="L70" s="121"/>
      <c r="M70" s="123" t="s">
        <v>211</v>
      </c>
      <c r="N70" s="131" t="n">
        <v>2</v>
      </c>
      <c r="O70" s="91"/>
      <c r="P70" s="120"/>
    </row>
    <row r="71" customFormat="false" ht="15" hidden="false" customHeight="true" outlineLevel="0" collapsed="false">
      <c r="B71" s="121"/>
      <c r="C71" s="121"/>
      <c r="D71" s="121" t="s">
        <v>227</v>
      </c>
      <c r="E71" s="123" t="s">
        <v>166</v>
      </c>
      <c r="F71" s="131" t="n">
        <v>0</v>
      </c>
      <c r="G71" s="91" t="n">
        <f aca="false">F71*F72</f>
        <v>0.0</v>
      </c>
      <c r="H71" s="120"/>
      <c r="J71" s="121"/>
      <c r="K71" s="121"/>
      <c r="L71" s="121" t="s">
        <v>227</v>
      </c>
      <c r="M71" s="123" t="s">
        <v>166</v>
      </c>
      <c r="N71" s="132" t="n">
        <v>0</v>
      </c>
      <c r="O71" s="91" t="n">
        <f aca="false">N71*N72</f>
        <v>0.0</v>
      </c>
      <c r="P71" s="120"/>
    </row>
    <row r="72" customFormat="false" ht="15" hidden="false" customHeight="false" outlineLevel="0" collapsed="false">
      <c r="B72" s="121"/>
      <c r="C72" s="122"/>
      <c r="D72" s="122"/>
      <c r="E72" s="123" t="s">
        <v>228</v>
      </c>
      <c r="F72" s="131" t="n">
        <v>2</v>
      </c>
      <c r="G72" s="91"/>
      <c r="H72" s="120"/>
      <c r="J72" s="121"/>
      <c r="K72" s="122"/>
      <c r="L72" s="122"/>
      <c r="M72" s="123" t="s">
        <v>228</v>
      </c>
      <c r="N72" s="131" t="n">
        <v>2</v>
      </c>
      <c r="O72" s="91"/>
      <c r="P72" s="120"/>
    </row>
    <row r="73" customFormat="false" ht="15" hidden="false" customHeight="true" outlineLevel="0" collapsed="false">
      <c r="B73" s="121"/>
      <c r="C73" s="125" t="s">
        <v>229</v>
      </c>
      <c r="D73" s="121" t="s">
        <v>230</v>
      </c>
      <c r="E73" s="123" t="s">
        <v>166</v>
      </c>
      <c r="F73" s="87" t="n">
        <v>0</v>
      </c>
      <c r="G73" s="91" t="n">
        <f aca="false">F73*F74</f>
        <v>0.0</v>
      </c>
      <c r="H73" s="120"/>
      <c r="J73" s="121"/>
      <c r="K73" s="125" t="s">
        <v>229</v>
      </c>
      <c r="L73" s="121" t="s">
        <v>230</v>
      </c>
      <c r="M73" s="123" t="s">
        <v>166</v>
      </c>
      <c r="N73" s="91" t="n">
        <v>0</v>
      </c>
      <c r="O73" s="91" t="n">
        <f aca="false">N73*N74</f>
        <v>0.0</v>
      </c>
      <c r="P73" s="120"/>
    </row>
    <row r="74" customFormat="false" ht="15" hidden="false" customHeight="false" outlineLevel="0" collapsed="false">
      <c r="B74" s="121"/>
      <c r="C74" s="121"/>
      <c r="D74" s="121"/>
      <c r="E74" s="123" t="s">
        <v>211</v>
      </c>
      <c r="F74" s="87" t="n">
        <v>2</v>
      </c>
      <c r="G74" s="91"/>
      <c r="H74" s="120"/>
      <c r="J74" s="121"/>
      <c r="K74" s="121"/>
      <c r="L74" s="121"/>
      <c r="M74" s="123" t="s">
        <v>211</v>
      </c>
      <c r="N74" s="91" t="n">
        <v>2</v>
      </c>
      <c r="O74" s="91"/>
      <c r="P74" s="120"/>
    </row>
    <row r="75" customFormat="false" ht="15" hidden="false" customHeight="true" outlineLevel="0" collapsed="false">
      <c r="B75" s="121"/>
      <c r="C75" s="121"/>
      <c r="D75" s="121" t="s">
        <v>227</v>
      </c>
      <c r="E75" s="123" t="s">
        <v>166</v>
      </c>
      <c r="F75" s="87" t="n">
        <v>0</v>
      </c>
      <c r="G75" s="91" t="n">
        <f aca="false">F75*F76+F77</f>
        <v>0.0</v>
      </c>
      <c r="H75" s="120"/>
      <c r="J75" s="121"/>
      <c r="K75" s="121"/>
      <c r="L75" s="121" t="s">
        <v>227</v>
      </c>
      <c r="M75" s="123" t="s">
        <v>166</v>
      </c>
      <c r="N75" s="91" t="n">
        <v>0</v>
      </c>
      <c r="O75" s="91" t="n">
        <f aca="false">N75*N76+N77</f>
        <v>0.0</v>
      </c>
      <c r="P75" s="120"/>
    </row>
    <row r="76" customFormat="false" ht="15" hidden="false" customHeight="false" outlineLevel="0" collapsed="false">
      <c r="B76" s="121"/>
      <c r="C76" s="121"/>
      <c r="D76" s="121"/>
      <c r="E76" s="123" t="s">
        <v>228</v>
      </c>
      <c r="F76" s="87" t="n">
        <v>2</v>
      </c>
      <c r="G76" s="91"/>
      <c r="H76" s="91"/>
      <c r="J76" s="121"/>
      <c r="K76" s="121"/>
      <c r="L76" s="121"/>
      <c r="M76" s="123" t="s">
        <v>228</v>
      </c>
      <c r="N76" s="91" t="n">
        <v>2</v>
      </c>
      <c r="O76" s="91"/>
      <c r="P76" s="91"/>
    </row>
    <row r="77" customFormat="false" ht="13.5" hidden="false" customHeight="true" outlineLevel="0" collapsed="false">
      <c r="B77" s="121"/>
      <c r="C77" s="121"/>
      <c r="D77" s="121"/>
      <c r="E77" s="123" t="s">
        <v>214</v>
      </c>
      <c r="F77" s="87" t="n">
        <v>0</v>
      </c>
      <c r="G77" s="91"/>
      <c r="H77" s="91"/>
      <c r="J77" s="121"/>
      <c r="K77" s="121"/>
      <c r="L77" s="121"/>
      <c r="M77" s="123" t="s">
        <v>214</v>
      </c>
      <c r="N77" s="91" t="n">
        <v>0</v>
      </c>
      <c r="O77" s="91"/>
      <c r="P77" s="91"/>
    </row>
    <row r="78" customFormat="false" ht="15" hidden="false" customHeight="false" outlineLevel="0" collapsed="false">
      <c r="B78" s="126"/>
      <c r="C78" s="126"/>
      <c r="D78" s="126"/>
      <c r="E78" s="126"/>
      <c r="F78" s="126"/>
    </row>
    <row r="79" customFormat="false" ht="15" hidden="false" customHeight="false" outlineLevel="0" collapsed="false">
      <c r="B79" s="126"/>
      <c r="C79" s="126"/>
      <c r="D79" s="126"/>
      <c r="E79" s="126"/>
      <c r="F79" s="126"/>
    </row>
  </sheetData>
  <mergeCells count="162">
    <mergeCell ref="B2:P2"/>
    <mergeCell ref="C3:P3"/>
    <mergeCell ref="C4:P4"/>
    <mergeCell ref="C5:P5"/>
    <mergeCell ref="C6:P6"/>
    <mergeCell ref="B8:P9"/>
    <mergeCell ref="B11:F11"/>
    <mergeCell ref="J11:N11"/>
    <mergeCell ref="B12:B20"/>
    <mergeCell ref="C12:C15"/>
    <mergeCell ref="D12:D13"/>
    <mergeCell ref="G12:G13"/>
    <mergeCell ref="H12:H20"/>
    <mergeCell ref="J12:J20"/>
    <mergeCell ref="K12:K15"/>
    <mergeCell ref="L12:L13"/>
    <mergeCell ref="O12:O13"/>
    <mergeCell ref="P12:P20"/>
    <mergeCell ref="D14:D15"/>
    <mergeCell ref="G14:G15"/>
    <mergeCell ref="L14:L15"/>
    <mergeCell ref="O14:O15"/>
    <mergeCell ref="C16:C20"/>
    <mergeCell ref="D16:D17"/>
    <mergeCell ref="G16:G17"/>
    <mergeCell ref="K16:K20"/>
    <mergeCell ref="L16:L17"/>
    <mergeCell ref="O16:O17"/>
    <mergeCell ref="D18:D20"/>
    <mergeCell ref="G18:G20"/>
    <mergeCell ref="L18:L20"/>
    <mergeCell ref="O18:O20"/>
    <mergeCell ref="B22:F22"/>
    <mergeCell ref="J22:N22"/>
    <mergeCell ref="B23:B31"/>
    <mergeCell ref="C23:C26"/>
    <mergeCell ref="D23:D24"/>
    <mergeCell ref="G23:G24"/>
    <mergeCell ref="H23:H31"/>
    <mergeCell ref="J23:J31"/>
    <mergeCell ref="K23:K26"/>
    <mergeCell ref="L23:L24"/>
    <mergeCell ref="O23:O24"/>
    <mergeCell ref="P23:P31"/>
    <mergeCell ref="D25:D26"/>
    <mergeCell ref="G25:G26"/>
    <mergeCell ref="L25:L26"/>
    <mergeCell ref="O25:O26"/>
    <mergeCell ref="C27:C31"/>
    <mergeCell ref="D27:D28"/>
    <mergeCell ref="G27:G28"/>
    <mergeCell ref="K27:K31"/>
    <mergeCell ref="L27:L28"/>
    <mergeCell ref="O27:O28"/>
    <mergeCell ref="D29:D31"/>
    <mergeCell ref="G29:G31"/>
    <mergeCell ref="L29:L31"/>
    <mergeCell ref="O29:O31"/>
    <mergeCell ref="B33:F33"/>
    <mergeCell ref="J33:N33"/>
    <mergeCell ref="B34:B42"/>
    <mergeCell ref="C34:C37"/>
    <mergeCell ref="D34:D35"/>
    <mergeCell ref="G34:G35"/>
    <mergeCell ref="H34:H42"/>
    <mergeCell ref="J34:J42"/>
    <mergeCell ref="K34:K37"/>
    <mergeCell ref="L34:L35"/>
    <mergeCell ref="O34:O35"/>
    <mergeCell ref="P34:P42"/>
    <mergeCell ref="D36:D37"/>
    <mergeCell ref="G36:G37"/>
    <mergeCell ref="L36:L37"/>
    <mergeCell ref="O36:O37"/>
    <mergeCell ref="C38:C42"/>
    <mergeCell ref="D38:D39"/>
    <mergeCell ref="G38:G39"/>
    <mergeCell ref="K38:K42"/>
    <mergeCell ref="L38:L39"/>
    <mergeCell ref="O38:O39"/>
    <mergeCell ref="D40:D42"/>
    <mergeCell ref="G40:G42"/>
    <mergeCell ref="L40:L42"/>
    <mergeCell ref="O40:O42"/>
    <mergeCell ref="B44:F44"/>
    <mergeCell ref="J44:N44"/>
    <mergeCell ref="B45:B53"/>
    <mergeCell ref="C45:C48"/>
    <mergeCell ref="D45:D46"/>
    <mergeCell ref="G45:G46"/>
    <mergeCell ref="H45:H53"/>
    <mergeCell ref="J45:J53"/>
    <mergeCell ref="K45:K48"/>
    <mergeCell ref="L45:L46"/>
    <mergeCell ref="O45:O46"/>
    <mergeCell ref="P45:P53"/>
    <mergeCell ref="D47:D48"/>
    <mergeCell ref="G47:G48"/>
    <mergeCell ref="L47:L48"/>
    <mergeCell ref="O47:O48"/>
    <mergeCell ref="C49:C53"/>
    <mergeCell ref="D49:D50"/>
    <mergeCell ref="G49:G50"/>
    <mergeCell ref="K49:K53"/>
    <mergeCell ref="L49:L50"/>
    <mergeCell ref="O49:O50"/>
    <mergeCell ref="D51:D53"/>
    <mergeCell ref="G51:G53"/>
    <mergeCell ref="L51:L53"/>
    <mergeCell ref="O51:O53"/>
    <mergeCell ref="B56:F56"/>
    <mergeCell ref="J56:N56"/>
    <mergeCell ref="B57:B65"/>
    <mergeCell ref="C57:C60"/>
    <mergeCell ref="D57:D58"/>
    <mergeCell ref="G57:G58"/>
    <mergeCell ref="H57:H65"/>
    <mergeCell ref="J57:J65"/>
    <mergeCell ref="K57:K60"/>
    <mergeCell ref="L57:L58"/>
    <mergeCell ref="O57:O58"/>
    <mergeCell ref="P57:P65"/>
    <mergeCell ref="D59:D60"/>
    <mergeCell ref="G59:G60"/>
    <mergeCell ref="L59:L60"/>
    <mergeCell ref="O59:O60"/>
    <mergeCell ref="C61:C65"/>
    <mergeCell ref="D61:D62"/>
    <mergeCell ref="G61:G62"/>
    <mergeCell ref="K61:K65"/>
    <mergeCell ref="L61:L62"/>
    <mergeCell ref="O61:O62"/>
    <mergeCell ref="D63:D65"/>
    <mergeCell ref="G63:G65"/>
    <mergeCell ref="L63:L65"/>
    <mergeCell ref="O63:O65"/>
    <mergeCell ref="B68:F68"/>
    <mergeCell ref="J68:N68"/>
    <mergeCell ref="B69:B77"/>
    <mergeCell ref="C69:C72"/>
    <mergeCell ref="D69:D70"/>
    <mergeCell ref="G69:G70"/>
    <mergeCell ref="H69:H77"/>
    <mergeCell ref="J69:J77"/>
    <mergeCell ref="K69:K72"/>
    <mergeCell ref="L69:L70"/>
    <mergeCell ref="O69:O70"/>
    <mergeCell ref="P69:P77"/>
    <mergeCell ref="D71:D72"/>
    <mergeCell ref="G71:G72"/>
    <mergeCell ref="L71:L72"/>
    <mergeCell ref="O71:O72"/>
    <mergeCell ref="C73:C77"/>
    <mergeCell ref="D73:D74"/>
    <mergeCell ref="G73:G74"/>
    <mergeCell ref="K73:K77"/>
    <mergeCell ref="L73:L74"/>
    <mergeCell ref="O73:O74"/>
    <mergeCell ref="D75:D77"/>
    <mergeCell ref="G75:G77"/>
    <mergeCell ref="L75:L77"/>
    <mergeCell ref="O75:O77"/>
  </mergeCells>
  <printOptions headings="false" gridLines="false" gridLinesSet="true" horizontalCentered="false" verticalCentered="false"/>
  <pageMargins left="0.354166666666667" right="0.118055555555556" top="0.988888888888889" bottom="0.354166666666667" header="0.196527777777778" footer="0.511811023622047"/>
  <pageSetup paperSize="9" scale="46" fitToWidth="1" fitToHeight="1" pageOrder="downThenOver" orientation="portrait" blackAndWhite="false" draft="false" cellComments="none" horizontalDpi="300" verticalDpi="300" copies="1"/>
  <headerFooter differentFirst="false" differentOddEven="false">
    <oddHeader/>
    <oddFooter/>
  </headerFooter>
  <rowBreaks count="1" manualBreakCount="1">
    <brk id="80" man="true" max="16383" min="0"/>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B1:O50"/>
  <sheetViews>
    <sheetView showFormulas="false" showGridLines="true" showRowColHeaders="true" showZeros="true" rightToLeft="false" tabSelected="false" showOutlineSymbols="true" defaultGridColor="true" view="normal" topLeftCell="A29" colorId="64" zoomScale="115" zoomScaleNormal="115" zoomScalePageLayoutView="100" workbookViewId="0">
      <selection pane="topLeft" activeCell="Q45" activeCellId="0" sqref="Q45"/>
    </sheetView>
  </sheetViews>
  <sheetFormatPr defaultColWidth="10.91015625" defaultRowHeight="15" zeroHeight="false" outlineLevelRow="0" outlineLevelCol="0"/>
  <cols>
    <col collapsed="false" customWidth="true" hidden="false" outlineLevel="0" max="1" min="1" style="109" width="3.45"/>
    <col collapsed="false" customWidth="true" hidden="false" outlineLevel="0" max="2" min="2" style="109" width="19.18"/>
    <col collapsed="false" customWidth="true" hidden="false" outlineLevel="0" max="3" min="3" style="109" width="16.27"/>
    <col collapsed="false" customWidth="true" hidden="false" outlineLevel="0" max="4" min="4" style="109" width="13.09"/>
    <col collapsed="false" customWidth="true" hidden="false" outlineLevel="0" max="5" min="5" style="109" width="12.91"/>
    <col collapsed="false" customWidth="true" hidden="false" outlineLevel="0" max="6" min="6" style="109" width="8.73"/>
    <col collapsed="false" customWidth="true" hidden="false" outlineLevel="0" max="7" min="7" style="109" width="12.09"/>
    <col collapsed="false" customWidth="true" hidden="false" outlineLevel="0" max="8" min="8" style="109" width="8.54"/>
    <col collapsed="false" customWidth="true" hidden="false" outlineLevel="0" max="9" min="9" style="109" width="7.82"/>
    <col collapsed="false" customWidth="true" hidden="false" outlineLevel="0" max="10" min="10" style="109" width="12.09"/>
    <col collapsed="false" customWidth="true" hidden="false" outlineLevel="0" max="11" min="11" style="109" width="9.63"/>
    <col collapsed="false" customWidth="true" hidden="false" outlineLevel="0" max="12" min="12" style="109" width="8.45"/>
    <col collapsed="false" customWidth="true" hidden="false" outlineLevel="0" max="13" min="13" style="109" width="12.27"/>
    <col collapsed="false" customWidth="true" hidden="false" outlineLevel="0" max="14" min="14" style="109" width="10.18"/>
    <col collapsed="false" customWidth="true" hidden="false" outlineLevel="0" max="15" min="15" style="109" width="8.37"/>
    <col collapsed="false" customWidth="false" hidden="false" outlineLevel="0" max="16384" min="16" style="109" width="10.91"/>
  </cols>
  <sheetData>
    <row r="1" customFormat="false" ht="14.25" hidden="false" customHeight="true" outlineLevel="0" collapsed="false">
      <c r="B1" s="114"/>
      <c r="C1" s="114"/>
      <c r="D1" s="114"/>
      <c r="E1" s="114"/>
      <c r="F1" s="114"/>
      <c r="G1" s="114"/>
      <c r="H1" s="114"/>
      <c r="I1" s="114"/>
      <c r="J1" s="114"/>
      <c r="K1" s="114"/>
      <c r="L1" s="114"/>
      <c r="M1" s="114"/>
      <c r="N1" s="114"/>
      <c r="O1" s="114"/>
    </row>
    <row r="2" customFormat="false" ht="24" hidden="false" customHeight="true" outlineLevel="0" collapsed="false">
      <c r="B2" s="133" t="s">
        <v>231</v>
      </c>
      <c r="C2" s="133"/>
      <c r="D2" s="133"/>
      <c r="E2" s="133"/>
      <c r="F2" s="133"/>
      <c r="G2" s="133"/>
      <c r="H2" s="133"/>
      <c r="I2" s="133"/>
      <c r="J2" s="133"/>
      <c r="K2" s="133"/>
      <c r="L2" s="133"/>
      <c r="M2" s="133"/>
      <c r="N2" s="133"/>
      <c r="O2" s="133"/>
    </row>
    <row r="3" customFormat="false" ht="21" hidden="false" customHeight="true" outlineLevel="0" collapsed="false">
      <c r="B3" s="9" t="s">
        <v>1</v>
      </c>
      <c r="C3" s="8" t="str">
        <f aca="false">+RESUMEN!B4</f>
        <v>GERENCIA TERRITORIAL BAJO MAYO - TARAPOTO</v>
      </c>
      <c r="D3" s="8"/>
      <c r="E3" s="8"/>
      <c r="F3" s="8"/>
      <c r="G3" s="8"/>
      <c r="H3" s="8"/>
      <c r="I3" s="8"/>
      <c r="J3" s="8"/>
      <c r="K3" s="8"/>
      <c r="L3" s="8"/>
      <c r="M3" s="8"/>
      <c r="N3" s="8"/>
      <c r="O3" s="8"/>
    </row>
    <row r="4" customFormat="false" ht="66" hidden="false" customHeight="true" outlineLevel="0" collapsed="false">
      <c r="B4" s="9" t="s">
        <v>3</v>
      </c>
      <c r="C4" s="8" t="str">
        <f aca="false">+RESUMEN!B5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4" s="8"/>
      <c r="E4" s="8"/>
      <c r="F4" s="8"/>
      <c r="G4" s="8"/>
      <c r="H4" s="8"/>
      <c r="I4" s="8"/>
      <c r="J4" s="8"/>
      <c r="K4" s="8"/>
      <c r="L4" s="8"/>
      <c r="M4" s="8"/>
      <c r="N4" s="8"/>
      <c r="O4" s="8"/>
    </row>
    <row r="5" customFormat="false" ht="30.75" hidden="false" customHeight="true" outlineLevel="0" collapsed="false">
      <c r="B5" s="9" t="s">
        <v>5</v>
      </c>
      <c r="C5" s="8" t="str">
        <f aca="false">+RESUMEN!B6</f>
        <v>SAN MARTIN - SAN MARTIN - MORALES</v>
      </c>
      <c r="D5" s="8"/>
      <c r="E5" s="8"/>
      <c r="F5" s="8"/>
      <c r="G5" s="8"/>
      <c r="H5" s="8"/>
      <c r="I5" s="8"/>
      <c r="J5" s="8"/>
      <c r="K5" s="8"/>
      <c r="L5" s="8"/>
      <c r="M5" s="8"/>
      <c r="N5" s="8"/>
      <c r="O5" s="8"/>
    </row>
    <row r="6" customFormat="false" ht="18.75" hidden="false" customHeight="true" outlineLevel="0" collapsed="false">
      <c r="B6" s="9" t="s">
        <v>7</v>
      </c>
      <c r="C6" s="10" t="n">
        <f aca="false">+RESUMEN!B7</f>
        <v>46266</v>
      </c>
      <c r="D6" s="10"/>
      <c r="E6" s="10"/>
      <c r="F6" s="10"/>
      <c r="G6" s="10"/>
      <c r="H6" s="10"/>
      <c r="I6" s="10"/>
      <c r="J6" s="10"/>
      <c r="K6" s="10"/>
      <c r="L6" s="10"/>
      <c r="M6" s="10"/>
      <c r="N6" s="10"/>
      <c r="O6" s="10"/>
    </row>
    <row r="7" customFormat="false" ht="15" hidden="false" customHeight="false" outlineLevel="0" collapsed="false">
      <c r="B7" s="134"/>
      <c r="C7" s="135"/>
      <c r="D7" s="135"/>
      <c r="E7" s="135"/>
      <c r="F7" s="135"/>
      <c r="G7" s="135"/>
      <c r="H7" s="135"/>
      <c r="I7" s="135"/>
      <c r="J7" s="135"/>
      <c r="K7" s="135"/>
      <c r="L7" s="135"/>
      <c r="M7" s="135"/>
      <c r="N7" s="135"/>
      <c r="O7" s="135"/>
    </row>
    <row r="9" customFormat="false" ht="16.5" hidden="false" customHeight="true" outlineLevel="0" collapsed="false">
      <c r="C9" s="77" t="s">
        <v>232</v>
      </c>
      <c r="D9" s="77" t="s">
        <v>233</v>
      </c>
      <c r="E9" s="77"/>
      <c r="F9" s="77"/>
      <c r="G9" s="77" t="s">
        <v>234</v>
      </c>
      <c r="H9" s="77"/>
      <c r="I9" s="77"/>
      <c r="J9" s="77" t="s">
        <v>235</v>
      </c>
      <c r="K9" s="77"/>
      <c r="L9" s="77"/>
      <c r="M9" s="77" t="s">
        <v>236</v>
      </c>
      <c r="N9" s="77"/>
      <c r="O9" s="77"/>
    </row>
    <row r="10" customFormat="false" ht="30.75" hidden="false" customHeight="true" outlineLevel="0" collapsed="false">
      <c r="C10" s="77"/>
      <c r="D10" s="136" t="s">
        <v>237</v>
      </c>
      <c r="E10" s="136" t="s">
        <v>213</v>
      </c>
      <c r="F10" s="137" t="s">
        <v>238</v>
      </c>
      <c r="G10" s="136" t="s">
        <v>228</v>
      </c>
      <c r="H10" s="136" t="s">
        <v>237</v>
      </c>
      <c r="I10" s="137" t="s">
        <v>239</v>
      </c>
      <c r="J10" s="136" t="s">
        <v>228</v>
      </c>
      <c r="K10" s="136" t="s">
        <v>237</v>
      </c>
      <c r="L10" s="137" t="s">
        <v>239</v>
      </c>
      <c r="M10" s="136" t="s">
        <v>228</v>
      </c>
      <c r="N10" s="136" t="s">
        <v>237</v>
      </c>
      <c r="O10" s="137" t="s">
        <v>239</v>
      </c>
    </row>
    <row r="11" customFormat="false" ht="23.25" hidden="false" customHeight="true" outlineLevel="0" collapsed="false">
      <c r="B11" s="138" t="s">
        <v>240</v>
      </c>
      <c r="C11" s="119"/>
      <c r="D11" s="119"/>
      <c r="E11" s="119"/>
      <c r="F11" s="117"/>
      <c r="G11" s="119"/>
      <c r="H11" s="119"/>
      <c r="I11" s="117"/>
      <c r="J11" s="119"/>
      <c r="K11" s="119"/>
      <c r="L11" s="117"/>
      <c r="M11" s="119"/>
      <c r="N11" s="119"/>
      <c r="O11" s="117"/>
    </row>
    <row r="12" customFormat="false" ht="23.25" hidden="false" customHeight="true" outlineLevel="0" collapsed="false">
      <c r="B12" s="139" t="s">
        <v>241</v>
      </c>
      <c r="C12" s="119" t="n">
        <v>2</v>
      </c>
      <c r="D12" s="119" t="n">
        <v>2</v>
      </c>
      <c r="E12" s="119" t="n">
        <v>6.22</v>
      </c>
      <c r="F12" s="137" t="n">
        <f aca="false">E12*D12</f>
        <v>12.44</v>
      </c>
      <c r="G12" s="119" t="n">
        <v>3</v>
      </c>
      <c r="H12" s="119" t="n">
        <v>2</v>
      </c>
      <c r="I12" s="137" t="n">
        <f aca="false">H12*G12</f>
        <v>6.0</v>
      </c>
      <c r="J12" s="119" t="n">
        <v>1</v>
      </c>
      <c r="K12" s="119" t="n">
        <v>2</v>
      </c>
      <c r="L12" s="137" t="n">
        <f aca="false">K12*J12</f>
        <v>2.0</v>
      </c>
      <c r="M12" s="119" t="n">
        <v>2</v>
      </c>
      <c r="N12" s="119" t="n">
        <v>2</v>
      </c>
      <c r="O12" s="137" t="n">
        <f aca="false">N12*M12</f>
        <v>4.0</v>
      </c>
    </row>
    <row r="13" customFormat="false" ht="23.25" hidden="false" customHeight="true" outlineLevel="0" collapsed="false">
      <c r="B13" s="139" t="s">
        <v>242</v>
      </c>
      <c r="C13" s="119" t="n">
        <v>2</v>
      </c>
      <c r="D13" s="119" t="n">
        <v>2</v>
      </c>
      <c r="E13" s="119" t="n">
        <v>6.22</v>
      </c>
      <c r="F13" s="137" t="n">
        <f aca="false">E13*D13</f>
        <v>12.44</v>
      </c>
      <c r="G13" s="119" t="n">
        <v>3</v>
      </c>
      <c r="H13" s="119" t="n">
        <v>2</v>
      </c>
      <c r="I13" s="137" t="n">
        <f aca="false">H13*G13</f>
        <v>6.0</v>
      </c>
      <c r="J13" s="119" t="n">
        <v>1</v>
      </c>
      <c r="K13" s="119" t="n">
        <v>2</v>
      </c>
      <c r="L13" s="137" t="n">
        <f aca="false">K13*J13</f>
        <v>2.0</v>
      </c>
      <c r="M13" s="119" t="n">
        <v>2</v>
      </c>
      <c r="N13" s="119" t="n">
        <v>2</v>
      </c>
      <c r="O13" s="137" t="n">
        <f aca="false">N13*M13</f>
        <v>4.0</v>
      </c>
    </row>
    <row r="14" customFormat="false" ht="23.25" hidden="false" customHeight="true" outlineLevel="0" collapsed="false">
      <c r="B14" s="138" t="s">
        <v>243</v>
      </c>
      <c r="C14" s="119"/>
      <c r="D14" s="119"/>
      <c r="E14" s="119"/>
      <c r="F14" s="117"/>
      <c r="G14" s="119"/>
      <c r="H14" s="119"/>
      <c r="I14" s="117"/>
      <c r="J14" s="119"/>
      <c r="K14" s="119"/>
      <c r="L14" s="117"/>
      <c r="M14" s="119"/>
      <c r="N14" s="119"/>
      <c r="O14" s="117"/>
    </row>
    <row r="15" customFormat="false" ht="23.25" hidden="false" customHeight="true" outlineLevel="0" collapsed="false">
      <c r="B15" s="139" t="s">
        <v>241</v>
      </c>
      <c r="C15" s="119" t="n">
        <v>2</v>
      </c>
      <c r="D15" s="119" t="n">
        <v>2</v>
      </c>
      <c r="E15" s="119" t="n">
        <v>6.2</v>
      </c>
      <c r="F15" s="137" t="n">
        <f aca="false">E15*D15</f>
        <v>12.4</v>
      </c>
      <c r="G15" s="119" t="n">
        <v>3</v>
      </c>
      <c r="H15" s="119" t="n">
        <v>2</v>
      </c>
      <c r="I15" s="137" t="n">
        <f aca="false">H15*G15</f>
        <v>6.0</v>
      </c>
      <c r="J15" s="119" t="n">
        <v>1</v>
      </c>
      <c r="K15" s="119" t="n">
        <v>2</v>
      </c>
      <c r="L15" s="137" t="n">
        <f aca="false">K15*J15</f>
        <v>2.0</v>
      </c>
      <c r="M15" s="119" t="n">
        <v>2</v>
      </c>
      <c r="N15" s="119" t="n">
        <v>2</v>
      </c>
      <c r="O15" s="137" t="n">
        <f aca="false">N15*M15</f>
        <v>4.0</v>
      </c>
    </row>
    <row r="16" customFormat="false" ht="23.25" hidden="false" customHeight="true" outlineLevel="0" collapsed="false">
      <c r="B16" s="139" t="s">
        <v>242</v>
      </c>
      <c r="C16" s="119" t="n">
        <v>2</v>
      </c>
      <c r="D16" s="119" t="n">
        <v>2</v>
      </c>
      <c r="E16" s="119" t="n">
        <v>6.2</v>
      </c>
      <c r="F16" s="137" t="n">
        <f aca="false">E16*D16</f>
        <v>12.4</v>
      </c>
      <c r="G16" s="119" t="n">
        <v>3</v>
      </c>
      <c r="H16" s="119" t="n">
        <v>2</v>
      </c>
      <c r="I16" s="137" t="n">
        <f aca="false">H16*G16</f>
        <v>6.0</v>
      </c>
      <c r="J16" s="119" t="n">
        <v>1</v>
      </c>
      <c r="K16" s="119" t="n">
        <v>2</v>
      </c>
      <c r="L16" s="137" t="n">
        <f aca="false">K16*J16</f>
        <v>2.0</v>
      </c>
      <c r="M16" s="119" t="n">
        <v>2</v>
      </c>
      <c r="N16" s="119" t="n">
        <v>2</v>
      </c>
      <c r="O16" s="137" t="n">
        <f aca="false">N16*M16</f>
        <v>4.0</v>
      </c>
    </row>
    <row r="17" customFormat="false" ht="23.25" hidden="false" customHeight="true" outlineLevel="0" collapsed="false">
      <c r="B17" s="138" t="s">
        <v>244</v>
      </c>
      <c r="C17" s="119"/>
      <c r="D17" s="119"/>
      <c r="E17" s="119"/>
      <c r="F17" s="117"/>
      <c r="G17" s="119"/>
      <c r="H17" s="119"/>
      <c r="I17" s="117"/>
      <c r="J17" s="119"/>
      <c r="K17" s="119"/>
      <c r="L17" s="117"/>
      <c r="M17" s="119"/>
      <c r="N17" s="119"/>
      <c r="O17" s="117"/>
    </row>
    <row r="18" customFormat="false" ht="23.25" hidden="false" customHeight="true" outlineLevel="0" collapsed="false">
      <c r="B18" s="139" t="s">
        <v>241</v>
      </c>
      <c r="C18" s="119" t="n">
        <v>2</v>
      </c>
      <c r="D18" s="119" t="n">
        <v>2</v>
      </c>
      <c r="E18" s="119" t="n">
        <v>6.26</v>
      </c>
      <c r="F18" s="137" t="n">
        <f aca="false">E18*D18</f>
        <v>12.52</v>
      </c>
      <c r="G18" s="119" t="n">
        <v>3</v>
      </c>
      <c r="H18" s="119" t="n">
        <v>2</v>
      </c>
      <c r="I18" s="137" t="n">
        <f aca="false">H18*G18</f>
        <v>6.0</v>
      </c>
      <c r="J18" s="119" t="n">
        <v>1</v>
      </c>
      <c r="K18" s="119" t="n">
        <v>2</v>
      </c>
      <c r="L18" s="137" t="n">
        <f aca="false">K18*J18</f>
        <v>2.0</v>
      </c>
      <c r="M18" s="119" t="n">
        <v>2</v>
      </c>
      <c r="N18" s="119" t="n">
        <v>2</v>
      </c>
      <c r="O18" s="137" t="n">
        <f aca="false">N18*M18</f>
        <v>4.0</v>
      </c>
    </row>
    <row r="19" customFormat="false" ht="23.25" hidden="false" customHeight="true" outlineLevel="0" collapsed="false">
      <c r="B19" s="139" t="s">
        <v>242</v>
      </c>
      <c r="C19" s="119" t="n">
        <v>2</v>
      </c>
      <c r="D19" s="119" t="n">
        <v>2</v>
      </c>
      <c r="E19" s="119" t="n">
        <v>6.26</v>
      </c>
      <c r="F19" s="137" t="n">
        <f aca="false">E19*D19</f>
        <v>12.52</v>
      </c>
      <c r="G19" s="119" t="n">
        <v>3</v>
      </c>
      <c r="H19" s="119" t="n">
        <v>2</v>
      </c>
      <c r="I19" s="137" t="n">
        <f aca="false">H19*G19</f>
        <v>6.0</v>
      </c>
      <c r="J19" s="119" t="n">
        <v>1</v>
      </c>
      <c r="K19" s="119" t="n">
        <v>2</v>
      </c>
      <c r="L19" s="137" t="n">
        <f aca="false">K19*J19</f>
        <v>2.0</v>
      </c>
      <c r="M19" s="119" t="n">
        <v>2</v>
      </c>
      <c r="N19" s="119" t="n">
        <v>2</v>
      </c>
      <c r="O19" s="137" t="n">
        <f aca="false">N19*M19</f>
        <v>4.0</v>
      </c>
    </row>
    <row r="20" customFormat="false" ht="23.25" hidden="false" customHeight="true" outlineLevel="0" collapsed="false">
      <c r="B20" s="138" t="s">
        <v>245</v>
      </c>
      <c r="C20" s="119"/>
      <c r="D20" s="119"/>
      <c r="E20" s="119"/>
      <c r="F20" s="117"/>
      <c r="G20" s="119"/>
      <c r="H20" s="119"/>
      <c r="I20" s="117"/>
      <c r="J20" s="119"/>
      <c r="K20" s="119"/>
      <c r="L20" s="117"/>
      <c r="M20" s="119"/>
      <c r="N20" s="119"/>
      <c r="O20" s="117"/>
    </row>
    <row r="21" customFormat="false" ht="23.25" hidden="false" customHeight="true" outlineLevel="0" collapsed="false">
      <c r="B21" s="139" t="s">
        <v>241</v>
      </c>
      <c r="C21" s="119" t="n">
        <v>2</v>
      </c>
      <c r="D21" s="119" t="n">
        <v>2</v>
      </c>
      <c r="E21" s="119" t="n">
        <v>6.16</v>
      </c>
      <c r="F21" s="137" t="n">
        <f aca="false">E21*D21</f>
        <v>12.32</v>
      </c>
      <c r="G21" s="119" t="n">
        <v>3</v>
      </c>
      <c r="H21" s="119" t="n">
        <v>2</v>
      </c>
      <c r="I21" s="137" t="n">
        <f aca="false">H21*G21</f>
        <v>6.0</v>
      </c>
      <c r="J21" s="119" t="n">
        <v>1</v>
      </c>
      <c r="K21" s="119" t="n">
        <v>2</v>
      </c>
      <c r="L21" s="137" t="n">
        <f aca="false">K21*J21</f>
        <v>2.0</v>
      </c>
      <c r="M21" s="119" t="n">
        <v>2</v>
      </c>
      <c r="N21" s="119" t="n">
        <v>2</v>
      </c>
      <c r="O21" s="137" t="n">
        <f aca="false">N21*M21</f>
        <v>4.0</v>
      </c>
    </row>
    <row r="22" customFormat="false" ht="23.25" hidden="false" customHeight="true" outlineLevel="0" collapsed="false">
      <c r="B22" s="139" t="s">
        <v>242</v>
      </c>
      <c r="C22" s="119" t="n">
        <v>2</v>
      </c>
      <c r="D22" s="119" t="n">
        <v>2</v>
      </c>
      <c r="E22" s="119" t="n">
        <v>6.16</v>
      </c>
      <c r="F22" s="137" t="n">
        <f aca="false">E22*D22</f>
        <v>12.32</v>
      </c>
      <c r="G22" s="119" t="n">
        <v>3</v>
      </c>
      <c r="H22" s="119" t="n">
        <v>2</v>
      </c>
      <c r="I22" s="137" t="n">
        <f aca="false">H22*G22</f>
        <v>6.0</v>
      </c>
      <c r="J22" s="119" t="n">
        <v>1</v>
      </c>
      <c r="K22" s="119" t="n">
        <v>2</v>
      </c>
      <c r="L22" s="137" t="n">
        <f aca="false">K22*J22</f>
        <v>2.0</v>
      </c>
      <c r="M22" s="119" t="n">
        <v>2</v>
      </c>
      <c r="N22" s="119" t="n">
        <v>2</v>
      </c>
      <c r="O22" s="137" t="n">
        <f aca="false">N22*M22</f>
        <v>4.0</v>
      </c>
    </row>
    <row r="23" customFormat="false" ht="23.25" hidden="false" customHeight="true" outlineLevel="0" collapsed="false">
      <c r="B23" s="138" t="s">
        <v>246</v>
      </c>
      <c r="C23" s="119"/>
      <c r="D23" s="119"/>
      <c r="E23" s="119"/>
      <c r="F23" s="117"/>
      <c r="G23" s="119"/>
      <c r="H23" s="119"/>
      <c r="I23" s="117"/>
      <c r="J23" s="119"/>
      <c r="K23" s="119"/>
      <c r="L23" s="117"/>
      <c r="M23" s="119"/>
      <c r="N23" s="119"/>
      <c r="O23" s="117"/>
    </row>
    <row r="24" customFormat="false" ht="23.25" hidden="false" customHeight="true" outlineLevel="0" collapsed="false">
      <c r="B24" s="139" t="s">
        <v>241</v>
      </c>
      <c r="C24" s="119" t="n">
        <v>2</v>
      </c>
      <c r="D24" s="119" t="n">
        <v>2</v>
      </c>
      <c r="E24" s="119" t="n">
        <v>6.24</v>
      </c>
      <c r="F24" s="137" t="n">
        <f aca="false">E24*D24</f>
        <v>12.48</v>
      </c>
      <c r="G24" s="119" t="n">
        <v>3</v>
      </c>
      <c r="H24" s="119" t="n">
        <v>2</v>
      </c>
      <c r="I24" s="137" t="n">
        <f aca="false">H24*G24</f>
        <v>6.0</v>
      </c>
      <c r="J24" s="119" t="n">
        <v>1</v>
      </c>
      <c r="K24" s="119" t="n">
        <v>2</v>
      </c>
      <c r="L24" s="137" t="n">
        <f aca="false">K24*J24</f>
        <v>2.0</v>
      </c>
      <c r="M24" s="119" t="n">
        <v>2</v>
      </c>
      <c r="N24" s="119" t="n">
        <v>2</v>
      </c>
      <c r="O24" s="137" t="n">
        <f aca="false">N24*M24</f>
        <v>4.0</v>
      </c>
    </row>
    <row r="25" customFormat="false" ht="23.25" hidden="false" customHeight="true" outlineLevel="0" collapsed="false">
      <c r="B25" s="139" t="s">
        <v>242</v>
      </c>
      <c r="C25" s="119" t="n">
        <v>2</v>
      </c>
      <c r="D25" s="119" t="n">
        <v>2</v>
      </c>
      <c r="E25" s="119" t="n">
        <v>6.24</v>
      </c>
      <c r="F25" s="137" t="n">
        <f aca="false">E25*D25</f>
        <v>12.48</v>
      </c>
      <c r="G25" s="119" t="n">
        <v>3</v>
      </c>
      <c r="H25" s="119" t="n">
        <v>2</v>
      </c>
      <c r="I25" s="137" t="n">
        <f aca="false">H25*G25</f>
        <v>6.0</v>
      </c>
      <c r="J25" s="119" t="n">
        <v>1</v>
      </c>
      <c r="K25" s="119" t="n">
        <v>2</v>
      </c>
      <c r="L25" s="137" t="n">
        <f aca="false">K25*J25</f>
        <v>2.0</v>
      </c>
      <c r="M25" s="119" t="n">
        <v>2</v>
      </c>
      <c r="N25" s="119" t="n">
        <v>2</v>
      </c>
      <c r="O25" s="137" t="n">
        <f aca="false">N25*M25</f>
        <v>4.0</v>
      </c>
    </row>
    <row r="26" customFormat="false" ht="23.25" hidden="false" customHeight="true" outlineLevel="0" collapsed="false">
      <c r="B26" s="138" t="s">
        <v>247</v>
      </c>
      <c r="C26" s="119"/>
      <c r="D26" s="119"/>
      <c r="E26" s="119"/>
      <c r="F26" s="117"/>
      <c r="G26" s="119"/>
      <c r="H26" s="119"/>
      <c r="I26" s="117"/>
      <c r="J26" s="119"/>
      <c r="K26" s="119"/>
      <c r="L26" s="117"/>
      <c r="M26" s="119"/>
      <c r="N26" s="119"/>
      <c r="O26" s="117"/>
    </row>
    <row r="27" customFormat="false" ht="23.25" hidden="false" customHeight="true" outlineLevel="0" collapsed="false">
      <c r="B27" s="139" t="s">
        <v>241</v>
      </c>
      <c r="C27" s="119" t="n">
        <v>2</v>
      </c>
      <c r="D27" s="119" t="n">
        <v>2</v>
      </c>
      <c r="E27" s="119" t="n">
        <v>6.21</v>
      </c>
      <c r="F27" s="137" t="n">
        <f aca="false">E27*D27</f>
        <v>12.42</v>
      </c>
      <c r="G27" s="119" t="n">
        <v>3</v>
      </c>
      <c r="H27" s="119" t="n">
        <v>2</v>
      </c>
      <c r="I27" s="137" t="n">
        <f aca="false">H27*G27</f>
        <v>6.0</v>
      </c>
      <c r="J27" s="119" t="n">
        <v>1</v>
      </c>
      <c r="K27" s="119" t="n">
        <v>2</v>
      </c>
      <c r="L27" s="137" t="n">
        <f aca="false">K27*J27</f>
        <v>2.0</v>
      </c>
      <c r="M27" s="119" t="n">
        <v>2</v>
      </c>
      <c r="N27" s="119" t="n">
        <v>2</v>
      </c>
      <c r="O27" s="137" t="n">
        <f aca="false">N27*M27</f>
        <v>4.0</v>
      </c>
    </row>
    <row r="28" customFormat="false" ht="23.25" hidden="false" customHeight="true" outlineLevel="0" collapsed="false">
      <c r="B28" s="139" t="s">
        <v>242</v>
      </c>
      <c r="C28" s="119" t="n">
        <v>2</v>
      </c>
      <c r="D28" s="119" t="n">
        <v>2</v>
      </c>
      <c r="E28" s="119" t="n">
        <v>6.21</v>
      </c>
      <c r="F28" s="137" t="n">
        <f aca="false">E28*D28</f>
        <v>12.42</v>
      </c>
      <c r="G28" s="119" t="n">
        <v>3</v>
      </c>
      <c r="H28" s="119" t="n">
        <v>2</v>
      </c>
      <c r="I28" s="137" t="n">
        <f aca="false">H28*G28</f>
        <v>6.0</v>
      </c>
      <c r="J28" s="119" t="n">
        <v>1</v>
      </c>
      <c r="K28" s="119" t="n">
        <v>2</v>
      </c>
      <c r="L28" s="137" t="n">
        <f aca="false">K28*J28</f>
        <v>2.0</v>
      </c>
      <c r="M28" s="119" t="n">
        <v>2</v>
      </c>
      <c r="N28" s="119" t="n">
        <v>2</v>
      </c>
      <c r="O28" s="137" t="n">
        <f aca="false">N28*M28</f>
        <v>4.0</v>
      </c>
    </row>
    <row r="29" customFormat="false" ht="23.25" hidden="false" customHeight="true" outlineLevel="0" collapsed="false">
      <c r="B29" s="138" t="s">
        <v>248</v>
      </c>
      <c r="C29" s="119"/>
      <c r="D29" s="119"/>
      <c r="E29" s="119"/>
      <c r="F29" s="117"/>
      <c r="G29" s="119"/>
      <c r="H29" s="119"/>
      <c r="I29" s="117"/>
      <c r="J29" s="119"/>
      <c r="K29" s="119"/>
      <c r="L29" s="117"/>
      <c r="M29" s="119"/>
      <c r="N29" s="119"/>
      <c r="O29" s="117"/>
    </row>
    <row r="30" customFormat="false" ht="23.25" hidden="false" customHeight="true" outlineLevel="0" collapsed="false">
      <c r="B30" s="139" t="s">
        <v>241</v>
      </c>
      <c r="C30" s="119" t="n">
        <v>2</v>
      </c>
      <c r="D30" s="119" t="n">
        <v>2</v>
      </c>
      <c r="E30" s="119" t="n">
        <v>6.17</v>
      </c>
      <c r="F30" s="137" t="n">
        <f aca="false">E30*D30</f>
        <v>12.34</v>
      </c>
      <c r="G30" s="119" t="n">
        <v>3</v>
      </c>
      <c r="H30" s="119" t="n">
        <v>2</v>
      </c>
      <c r="I30" s="137" t="n">
        <f aca="false">H30*G30</f>
        <v>6.0</v>
      </c>
      <c r="J30" s="119" t="n">
        <v>1</v>
      </c>
      <c r="K30" s="119" t="n">
        <v>2</v>
      </c>
      <c r="L30" s="137" t="n">
        <f aca="false">K30*J30</f>
        <v>2.0</v>
      </c>
      <c r="M30" s="119" t="n">
        <v>2</v>
      </c>
      <c r="N30" s="119" t="n">
        <v>2</v>
      </c>
      <c r="O30" s="137" t="n">
        <f aca="false">N30*M30</f>
        <v>4.0</v>
      </c>
    </row>
    <row r="31" customFormat="false" ht="23.25" hidden="false" customHeight="true" outlineLevel="0" collapsed="false">
      <c r="B31" s="139" t="s">
        <v>242</v>
      </c>
      <c r="C31" s="119" t="n">
        <v>2</v>
      </c>
      <c r="D31" s="119" t="n">
        <v>2</v>
      </c>
      <c r="E31" s="119" t="n">
        <v>6.17</v>
      </c>
      <c r="F31" s="137" t="n">
        <f aca="false">E31*D31</f>
        <v>12.34</v>
      </c>
      <c r="G31" s="119" t="n">
        <v>3</v>
      </c>
      <c r="H31" s="119" t="n">
        <v>2</v>
      </c>
      <c r="I31" s="137" t="n">
        <f aca="false">H31*G31</f>
        <v>6.0</v>
      </c>
      <c r="J31" s="119" t="n">
        <v>1</v>
      </c>
      <c r="K31" s="119" t="n">
        <v>2</v>
      </c>
      <c r="L31" s="137" t="n">
        <f aca="false">K31*J31</f>
        <v>2.0</v>
      </c>
      <c r="M31" s="119" t="n">
        <v>2</v>
      </c>
      <c r="N31" s="119" t="n">
        <v>2</v>
      </c>
      <c r="O31" s="137" t="n">
        <f aca="false">N31*M31</f>
        <v>4.0</v>
      </c>
    </row>
    <row r="32" customFormat="false" ht="23.25" hidden="false" customHeight="true" outlineLevel="0" collapsed="false">
      <c r="B32" s="138" t="s">
        <v>249</v>
      </c>
      <c r="C32" s="119"/>
      <c r="D32" s="119"/>
      <c r="E32" s="119"/>
      <c r="F32" s="117"/>
      <c r="G32" s="119"/>
      <c r="H32" s="119"/>
      <c r="I32" s="117"/>
      <c r="J32" s="119"/>
      <c r="K32" s="119"/>
      <c r="L32" s="117"/>
      <c r="M32" s="119"/>
      <c r="N32" s="119"/>
      <c r="O32" s="117"/>
    </row>
    <row r="33" customFormat="false" ht="23.25" hidden="false" customHeight="true" outlineLevel="0" collapsed="false">
      <c r="B33" s="139" t="s">
        <v>241</v>
      </c>
      <c r="C33" s="119" t="n">
        <v>2</v>
      </c>
      <c r="D33" s="119" t="n">
        <v>2</v>
      </c>
      <c r="E33" s="119" t="n">
        <v>7.33</v>
      </c>
      <c r="F33" s="137" t="n">
        <f aca="false">E33*D33</f>
        <v>14.66</v>
      </c>
      <c r="G33" s="119" t="n">
        <v>3</v>
      </c>
      <c r="H33" s="2" t="n">
        <v>2</v>
      </c>
      <c r="I33" s="137" t="n">
        <f aca="false">H33*G33</f>
        <v>6.0</v>
      </c>
      <c r="J33" s="119" t="n">
        <v>2</v>
      </c>
      <c r="K33" s="119" t="n">
        <v>2</v>
      </c>
      <c r="L33" s="137" t="n">
        <f aca="false">K33*J33</f>
        <v>4.0</v>
      </c>
      <c r="M33" s="119" t="n">
        <v>2</v>
      </c>
      <c r="N33" s="119" t="n">
        <v>2</v>
      </c>
      <c r="O33" s="137" t="n">
        <f aca="false">N33*M33</f>
        <v>4.0</v>
      </c>
    </row>
    <row r="34" customFormat="false" ht="23.25" hidden="false" customHeight="true" outlineLevel="0" collapsed="false">
      <c r="B34" s="139" t="s">
        <v>242</v>
      </c>
      <c r="C34" s="119" t="n">
        <v>2</v>
      </c>
      <c r="D34" s="119" t="n">
        <v>2</v>
      </c>
      <c r="E34" s="119" t="n">
        <v>7.33</v>
      </c>
      <c r="F34" s="137" t="n">
        <f aca="false">E34*D34</f>
        <v>14.66</v>
      </c>
      <c r="G34" s="119" t="n">
        <v>3</v>
      </c>
      <c r="H34" s="119" t="n">
        <v>2</v>
      </c>
      <c r="I34" s="137" t="n">
        <f aca="false">H34*G34</f>
        <v>6.0</v>
      </c>
      <c r="J34" s="119" t="n">
        <v>2</v>
      </c>
      <c r="K34" s="119" t="n">
        <v>2</v>
      </c>
      <c r="L34" s="137" t="n">
        <f aca="false">K34*J34</f>
        <v>4.0</v>
      </c>
      <c r="M34" s="119" t="n">
        <v>2</v>
      </c>
      <c r="N34" s="119" t="n">
        <v>2</v>
      </c>
      <c r="O34" s="137" t="n">
        <f aca="false">N34*M34</f>
        <v>4.0</v>
      </c>
    </row>
    <row r="35" customFormat="false" ht="23.25" hidden="false" customHeight="true" outlineLevel="0" collapsed="false">
      <c r="B35" s="139" t="s">
        <v>250</v>
      </c>
      <c r="C35" s="119" t="n">
        <v>2</v>
      </c>
      <c r="D35" s="119" t="n">
        <v>2</v>
      </c>
      <c r="E35" s="119" t="n">
        <v>9.96</v>
      </c>
      <c r="F35" s="140" t="n">
        <f aca="false">E35*D35</f>
        <v>19.92</v>
      </c>
      <c r="G35" s="119" t="n">
        <v>3</v>
      </c>
      <c r="H35" s="119" t="n">
        <v>2</v>
      </c>
      <c r="I35" s="140" t="n">
        <f aca="false">H35*G35</f>
        <v>6.0</v>
      </c>
      <c r="J35" s="119" t="n">
        <v>2</v>
      </c>
      <c r="K35" s="119" t="n">
        <v>2</v>
      </c>
      <c r="L35" s="140" t="n">
        <f aca="false">K35*J35</f>
        <v>4.0</v>
      </c>
      <c r="M35" s="119" t="n">
        <v>2</v>
      </c>
      <c r="N35" s="119" t="n">
        <v>2</v>
      </c>
      <c r="O35" s="140" t="n">
        <f aca="false">N35*M35</f>
        <v>4.0</v>
      </c>
    </row>
    <row r="36" customFormat="false" ht="23.25" hidden="false" customHeight="true" outlineLevel="0" collapsed="false">
      <c r="B36" s="139" t="s">
        <v>251</v>
      </c>
      <c r="C36" s="119" t="n">
        <v>2</v>
      </c>
      <c r="D36" s="119" t="n">
        <v>2</v>
      </c>
      <c r="E36" s="119" t="n">
        <v>9.96</v>
      </c>
      <c r="F36" s="140" t="n">
        <f aca="false">E36*D36</f>
        <v>19.92</v>
      </c>
      <c r="G36" s="119" t="n">
        <v>3</v>
      </c>
      <c r="H36" s="119" t="n">
        <v>2</v>
      </c>
      <c r="I36" s="140" t="n">
        <f aca="false">H36*G36</f>
        <v>6.0</v>
      </c>
      <c r="J36" s="119" t="n">
        <v>2</v>
      </c>
      <c r="K36" s="119" t="n">
        <v>2</v>
      </c>
      <c r="L36" s="140" t="n">
        <f aca="false">K36*J36</f>
        <v>4.0</v>
      </c>
      <c r="M36" s="119" t="n">
        <v>2</v>
      </c>
      <c r="N36" s="119" t="n">
        <v>2</v>
      </c>
      <c r="O36" s="140" t="n">
        <f aca="false">N36*M36</f>
        <v>4.0</v>
      </c>
    </row>
    <row r="37" customFormat="false" ht="23.25" hidden="false" customHeight="true" outlineLevel="0" collapsed="false">
      <c r="B37" s="138" t="s">
        <v>252</v>
      </c>
      <c r="C37" s="119"/>
      <c r="D37" s="119"/>
      <c r="E37" s="119"/>
      <c r="F37" s="117"/>
      <c r="G37" s="119"/>
      <c r="H37" s="119"/>
      <c r="I37" s="117"/>
      <c r="J37" s="119"/>
      <c r="K37" s="119"/>
      <c r="L37" s="117"/>
      <c r="M37" s="119"/>
      <c r="N37" s="119"/>
      <c r="O37" s="117"/>
    </row>
    <row r="38" customFormat="false" ht="23.25" hidden="false" customHeight="true" outlineLevel="0" collapsed="false">
      <c r="B38" s="139" t="s">
        <v>241</v>
      </c>
      <c r="C38" s="119" t="n">
        <v>2</v>
      </c>
      <c r="D38" s="119" t="n">
        <v>2</v>
      </c>
      <c r="E38" s="119" t="n">
        <v>6.25</v>
      </c>
      <c r="F38" s="137" t="n">
        <f aca="false">E38*D38</f>
        <v>12.5</v>
      </c>
      <c r="G38" s="119" t="n">
        <v>3</v>
      </c>
      <c r="H38" s="119" t="n">
        <v>2</v>
      </c>
      <c r="I38" s="137" t="n">
        <f aca="false">H38*G38</f>
        <v>6.0</v>
      </c>
      <c r="J38" s="119" t="n">
        <v>1</v>
      </c>
      <c r="K38" s="119" t="n">
        <v>2</v>
      </c>
      <c r="L38" s="137" t="n">
        <f aca="false">K38*J38</f>
        <v>2.0</v>
      </c>
      <c r="M38" s="119" t="n">
        <v>2</v>
      </c>
      <c r="N38" s="119" t="n">
        <v>2</v>
      </c>
      <c r="O38" s="137" t="n">
        <f aca="false">N38*M38</f>
        <v>4.0</v>
      </c>
    </row>
    <row r="39" customFormat="false" ht="23.25" hidden="false" customHeight="true" outlineLevel="0" collapsed="false">
      <c r="B39" s="139" t="s">
        <v>242</v>
      </c>
      <c r="C39" s="119" t="n">
        <v>2</v>
      </c>
      <c r="D39" s="119" t="n">
        <v>2</v>
      </c>
      <c r="E39" s="119" t="n">
        <v>6.26</v>
      </c>
      <c r="F39" s="137" t="n">
        <f aca="false">E39*D39</f>
        <v>12.52</v>
      </c>
      <c r="G39" s="119" t="n">
        <v>3</v>
      </c>
      <c r="H39" s="119" t="n">
        <v>2</v>
      </c>
      <c r="I39" s="137" t="n">
        <f aca="false">H39*G39</f>
        <v>6.0</v>
      </c>
      <c r="J39" s="119" t="n">
        <v>1</v>
      </c>
      <c r="K39" s="119" t="n">
        <v>2</v>
      </c>
      <c r="L39" s="137" t="n">
        <f aca="false">K39*J39</f>
        <v>2.0</v>
      </c>
      <c r="M39" s="119" t="n">
        <v>2</v>
      </c>
      <c r="N39" s="119" t="n">
        <v>2</v>
      </c>
      <c r="O39" s="137" t="n">
        <f aca="false">N39*M39</f>
        <v>4.0</v>
      </c>
    </row>
    <row r="40" customFormat="false" ht="23.25" hidden="false" customHeight="true" outlineLevel="0" collapsed="false">
      <c r="B40" s="138" t="s">
        <v>253</v>
      </c>
      <c r="C40" s="141"/>
      <c r="D40" s="119"/>
      <c r="E40" s="119"/>
      <c r="F40" s="117"/>
      <c r="G40" s="119"/>
      <c r="H40" s="119"/>
      <c r="I40" s="117"/>
      <c r="J40" s="119"/>
      <c r="K40" s="119"/>
      <c r="L40" s="117"/>
      <c r="M40" s="119"/>
      <c r="N40" s="119"/>
      <c r="O40" s="117"/>
    </row>
    <row r="41" customFormat="false" ht="23.25" hidden="false" customHeight="true" outlineLevel="0" collapsed="false">
      <c r="B41" s="139" t="s">
        <v>241</v>
      </c>
      <c r="C41" s="142" t="n">
        <v>2</v>
      </c>
      <c r="D41" s="119" t="n">
        <v>2</v>
      </c>
      <c r="E41" s="119" t="n">
        <v>6.2</v>
      </c>
      <c r="F41" s="137" t="n">
        <f aca="false">E41*D41</f>
        <v>12.4</v>
      </c>
      <c r="G41" s="119" t="n">
        <v>3</v>
      </c>
      <c r="H41" s="119" t="n">
        <v>2</v>
      </c>
      <c r="I41" s="137" t="n">
        <f aca="false">H41*G41</f>
        <v>6.0</v>
      </c>
      <c r="J41" s="119" t="n">
        <v>1</v>
      </c>
      <c r="K41" s="119" t="n">
        <v>2</v>
      </c>
      <c r="L41" s="137" t="n">
        <f aca="false">K41*J41</f>
        <v>2.0</v>
      </c>
      <c r="M41" s="119" t="n">
        <v>2</v>
      </c>
      <c r="N41" s="119" t="n">
        <v>2</v>
      </c>
      <c r="O41" s="137" t="n">
        <f aca="false">N41*M41</f>
        <v>4.0</v>
      </c>
    </row>
    <row r="42" customFormat="false" ht="23.25" hidden="false" customHeight="true" outlineLevel="0" collapsed="false">
      <c r="B42" s="139" t="s">
        <v>242</v>
      </c>
      <c r="C42" s="119" t="n">
        <v>2</v>
      </c>
      <c r="D42" s="119" t="n">
        <v>2</v>
      </c>
      <c r="E42" s="119" t="n">
        <v>6.2</v>
      </c>
      <c r="F42" s="137" t="n">
        <f aca="false">E42*D42</f>
        <v>12.4</v>
      </c>
      <c r="G42" s="119" t="n">
        <v>3</v>
      </c>
      <c r="H42" s="119" t="n">
        <v>2</v>
      </c>
      <c r="I42" s="137" t="n">
        <f aca="false">H42*G42</f>
        <v>6.0</v>
      </c>
      <c r="J42" s="119" t="n">
        <v>1</v>
      </c>
      <c r="K42" s="119" t="n">
        <v>2</v>
      </c>
      <c r="L42" s="137" t="n">
        <f aca="false">K42*J42</f>
        <v>2.0</v>
      </c>
      <c r="M42" s="119" t="n">
        <v>2</v>
      </c>
      <c r="N42" s="119" t="n">
        <v>2</v>
      </c>
      <c r="O42" s="137" t="n">
        <f aca="false">N42*M42</f>
        <v>4.0</v>
      </c>
    </row>
    <row r="43" customFormat="false" ht="23.25" hidden="false" customHeight="true" outlineLevel="0" collapsed="false">
      <c r="B43" s="138" t="s">
        <v>254</v>
      </c>
      <c r="C43" s="119"/>
      <c r="D43" s="119"/>
      <c r="E43" s="119"/>
      <c r="F43" s="137" t="n">
        <f aca="false">E43*D43</f>
        <v>0.0</v>
      </c>
      <c r="G43" s="119"/>
      <c r="H43" s="119"/>
      <c r="I43" s="137" t="n">
        <f aca="false">H43*G43</f>
        <v>0.0</v>
      </c>
      <c r="J43" s="119"/>
      <c r="K43" s="119"/>
      <c r="L43" s="137" t="n">
        <f aca="false">K43*J43</f>
        <v>0.0</v>
      </c>
      <c r="M43" s="119"/>
      <c r="N43" s="119"/>
      <c r="O43" s="137" t="n">
        <f aca="false">N43*M43</f>
        <v>0.0</v>
      </c>
    </row>
    <row r="44" customFormat="false" ht="23.25" hidden="false" customHeight="true" outlineLevel="0" collapsed="false">
      <c r="B44" s="139" t="s">
        <v>241</v>
      </c>
      <c r="C44" s="119" t="n">
        <v>4</v>
      </c>
      <c r="D44" s="119" t="n">
        <v>4</v>
      </c>
      <c r="E44" s="119" t="n">
        <v>11</v>
      </c>
      <c r="F44" s="137" t="n">
        <f aca="false">E44*D44</f>
        <v>44.0</v>
      </c>
      <c r="G44" s="119" t="n">
        <v>3</v>
      </c>
      <c r="H44" s="119" t="n">
        <v>4</v>
      </c>
      <c r="I44" s="137" t="n">
        <f aca="false">H44*G44</f>
        <v>12.0</v>
      </c>
      <c r="J44" s="119" t="n">
        <v>3</v>
      </c>
      <c r="K44" s="119" t="n">
        <v>4</v>
      </c>
      <c r="L44" s="137" t="n">
        <f aca="false">K44*J44</f>
        <v>12.0</v>
      </c>
      <c r="M44" s="119" t="n">
        <v>1</v>
      </c>
      <c r="N44" s="119" t="n">
        <v>4</v>
      </c>
      <c r="O44" s="137" t="n">
        <f aca="false">N44*M44</f>
        <v>4.0</v>
      </c>
    </row>
    <row r="45" customFormat="false" ht="23.25" hidden="false" customHeight="true" outlineLevel="0" collapsed="false">
      <c r="B45" s="139" t="s">
        <v>242</v>
      </c>
      <c r="C45" s="119" t="n">
        <v>4</v>
      </c>
      <c r="D45" s="119" t="n">
        <v>4</v>
      </c>
      <c r="E45" s="119" t="n">
        <v>11</v>
      </c>
      <c r="F45" s="137" t="n">
        <f aca="false">E45*D45</f>
        <v>44.0</v>
      </c>
      <c r="G45" s="119" t="n">
        <v>3</v>
      </c>
      <c r="H45" s="119" t="n">
        <v>4</v>
      </c>
      <c r="I45" s="137" t="n">
        <f aca="false">H45*G45</f>
        <v>12.0</v>
      </c>
      <c r="J45" s="119" t="n">
        <v>3</v>
      </c>
      <c r="K45" s="119" t="n">
        <v>4</v>
      </c>
      <c r="L45" s="137" t="n">
        <f aca="false">K45*J45</f>
        <v>12.0</v>
      </c>
      <c r="M45" s="119" t="n">
        <v>1</v>
      </c>
      <c r="N45" s="119" t="n">
        <v>4</v>
      </c>
      <c r="O45" s="137" t="n">
        <f aca="false">N45*M45</f>
        <v>4.0</v>
      </c>
    </row>
    <row r="46" customFormat="false" ht="23.25" hidden="false" customHeight="true" outlineLevel="0" collapsed="false">
      <c r="B46" s="138" t="s">
        <v>255</v>
      </c>
      <c r="C46" s="119" t="n">
        <v>1</v>
      </c>
      <c r="D46" s="119" t="n">
        <v>1</v>
      </c>
      <c r="E46" s="119" t="n">
        <v>6.9</v>
      </c>
      <c r="F46" s="137" t="n">
        <f aca="false">E46*D46</f>
        <v>6.9</v>
      </c>
      <c r="G46" s="119" t="n">
        <v>3</v>
      </c>
      <c r="H46" s="119" t="n">
        <v>1</v>
      </c>
      <c r="I46" s="137" t="n">
        <f aca="false">H46*G46</f>
        <v>3.0</v>
      </c>
      <c r="J46" s="119" t="n">
        <v>1</v>
      </c>
      <c r="K46" s="119" t="n">
        <v>1</v>
      </c>
      <c r="L46" s="137" t="n">
        <f aca="false">K46*J46</f>
        <v>1.0</v>
      </c>
      <c r="M46" s="119" t="n">
        <v>1</v>
      </c>
      <c r="N46" s="119" t="n">
        <v>1</v>
      </c>
      <c r="O46" s="137" t="n">
        <f aca="false">N46*M46</f>
        <v>1.0</v>
      </c>
    </row>
    <row r="47" customFormat="false" ht="23.25" hidden="false" customHeight="true" outlineLevel="0" collapsed="false">
      <c r="B47" s="138" t="s">
        <v>256</v>
      </c>
      <c r="C47" s="119" t="n">
        <v>2</v>
      </c>
      <c r="D47" s="119" t="n">
        <v>2</v>
      </c>
      <c r="E47" s="119" t="n">
        <v>6.7</v>
      </c>
      <c r="F47" s="137" t="n">
        <f aca="false">E47*D47</f>
        <v>13.4</v>
      </c>
      <c r="G47" s="119" t="n">
        <v>3</v>
      </c>
      <c r="H47" s="119" t="n">
        <v>2</v>
      </c>
      <c r="I47" s="137" t="n">
        <f aca="false">H47*G47</f>
        <v>6.0</v>
      </c>
      <c r="J47" s="119" t="n">
        <v>1</v>
      </c>
      <c r="K47" s="119" t="n">
        <v>2</v>
      </c>
      <c r="L47" s="137" t="n">
        <f aca="false">K47*J47</f>
        <v>2.0</v>
      </c>
      <c r="M47" s="119" t="n">
        <v>1</v>
      </c>
      <c r="N47" s="119" t="n">
        <v>2</v>
      </c>
      <c r="O47" s="137" t="n">
        <f aca="false">N47*M47</f>
        <v>2.0</v>
      </c>
    </row>
    <row r="48" customFormat="false" ht="23.25" hidden="false" customHeight="true" outlineLevel="0" collapsed="false">
      <c r="B48" s="138" t="s">
        <v>257</v>
      </c>
      <c r="C48" s="119" t="n">
        <v>1</v>
      </c>
      <c r="D48" s="119" t="n">
        <v>1</v>
      </c>
      <c r="E48" s="119" t="n">
        <v>6.9</v>
      </c>
      <c r="F48" s="137" t="n">
        <f aca="false">E48*D48</f>
        <v>6.9</v>
      </c>
      <c r="G48" s="119" t="n">
        <v>3</v>
      </c>
      <c r="H48" s="119" t="n">
        <v>1</v>
      </c>
      <c r="I48" s="137" t="n">
        <f aca="false">H48*G48</f>
        <v>3.0</v>
      </c>
      <c r="J48" s="119" t="n">
        <v>1</v>
      </c>
      <c r="K48" s="119" t="n">
        <v>1</v>
      </c>
      <c r="L48" s="137" t="n">
        <f aca="false">K48*J48</f>
        <v>1.0</v>
      </c>
      <c r="M48" s="119" t="n">
        <v>1</v>
      </c>
      <c r="N48" s="119" t="n">
        <v>1</v>
      </c>
      <c r="O48" s="137" t="n">
        <f aca="false">N48*M48</f>
        <v>1.0</v>
      </c>
    </row>
    <row r="49" customFormat="false" ht="23.25" hidden="false" customHeight="true" outlineLevel="0" collapsed="false">
      <c r="C49" s="143" t="n">
        <f aca="false">SUM(C11:C48)</f>
        <v>56.0</v>
      </c>
      <c r="D49" s="119"/>
      <c r="E49" s="119"/>
      <c r="F49" s="143" t="n">
        <f aca="false">SUM(F11:F48)</f>
        <v>408.02</v>
      </c>
      <c r="G49" s="119"/>
      <c r="H49" s="119"/>
      <c r="I49" s="143" t="n">
        <f aca="false">SUM(I11:I48)</f>
        <v>168.0</v>
      </c>
      <c r="J49" s="119"/>
      <c r="K49" s="119"/>
      <c r="L49" s="143" t="n">
        <f aca="false">SUM(L11:L48)</f>
        <v>80.0</v>
      </c>
      <c r="M49" s="119"/>
      <c r="N49" s="119"/>
      <c r="O49" s="143" t="n">
        <f aca="false">SUM(O11:O48)</f>
        <v>100.0</v>
      </c>
    </row>
    <row r="50" customFormat="false" ht="15" hidden="false" customHeight="false" outlineLevel="0" collapsed="false">
      <c r="M50" s="2"/>
      <c r="N50" s="2"/>
      <c r="O50" s="2"/>
    </row>
  </sheetData>
  <mergeCells count="11">
    <mergeCell ref="B2:O2"/>
    <mergeCell ref="C3:O3"/>
    <mergeCell ref="C4:O4"/>
    <mergeCell ref="C5:O5"/>
    <mergeCell ref="C6:O6"/>
    <mergeCell ref="C7:O7"/>
    <mergeCell ref="C9:C10"/>
    <mergeCell ref="D9:F9"/>
    <mergeCell ref="G9:I9"/>
    <mergeCell ref="J9:L9"/>
    <mergeCell ref="M9:O9"/>
  </mergeCells>
  <printOptions headings="false" gridLines="false" gridLinesSet="true" horizontalCentered="false" verticalCentered="false"/>
  <pageMargins left="1.41736111111111" right="0.39375" top="1.14652777777778" bottom="0.39375" header="0.315277777777778" footer="0.511811023622047"/>
  <pageSetup paperSize="9" scale="5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K55"/>
  <sheetViews>
    <sheetView showFormulas="false" showGridLines="false" showRowColHeaders="true" showZeros="true" rightToLeft="false" tabSelected="false" showOutlineSymbols="true" defaultGridColor="true" view="normal" topLeftCell="A1" colorId="64" zoomScale="100" zoomScaleNormal="100" zoomScalePageLayoutView="104" workbookViewId="0">
      <pane xSplit="2" ySplit="10" topLeftCell="C33" activePane="bottomRight" state="frozen"/>
      <selection pane="topLeft" activeCell="A1" activeCellId="0" sqref="A1"/>
      <selection pane="topRight" activeCell="C1" activeCellId="0" sqref="C1"/>
      <selection pane="bottomLeft" activeCell="A33" activeCellId="0" sqref="A33"/>
      <selection pane="bottomRight" activeCell="A1" activeCellId="0" sqref="A1"/>
    </sheetView>
  </sheetViews>
  <sheetFormatPr defaultColWidth="8.73046875" defaultRowHeight="14.25" zeroHeight="false" outlineLevelRow="0" outlineLevelCol="0"/>
  <cols>
    <col collapsed="false" customWidth="true" hidden="false" outlineLevel="0" max="1" min="1" style="0" width="3.45"/>
    <col collapsed="false" customWidth="true" hidden="false" outlineLevel="0" max="2" min="2" style="0" width="22"/>
    <col collapsed="false" customWidth="true" hidden="false" outlineLevel="0" max="4" min="3" style="0" width="13"/>
    <col collapsed="false" customWidth="true" hidden="false" outlineLevel="0" max="9" min="5" style="0" width="12"/>
    <col collapsed="false" customWidth="true" hidden="false" outlineLevel="0" max="10" min="10" style="0" width="13"/>
    <col collapsed="false" customWidth="true" hidden="false" outlineLevel="0" max="11" min="11" style="0" width="12"/>
  </cols>
  <sheetData>
    <row r="2" customFormat="false" ht="24" hidden="false" customHeight="true" outlineLevel="0" collapsed="false">
      <c r="B2" s="133" t="s">
        <v>258</v>
      </c>
      <c r="C2" s="133"/>
      <c r="D2" s="133"/>
      <c r="E2" s="133"/>
      <c r="F2" s="133"/>
      <c r="G2" s="133"/>
      <c r="H2" s="133"/>
      <c r="I2" s="133"/>
      <c r="J2" s="133"/>
      <c r="K2" s="133"/>
    </row>
    <row r="3" customFormat="false" ht="21" hidden="false" customHeight="true" outlineLevel="0" collapsed="false">
      <c r="B3" s="9" t="s">
        <v>1</v>
      </c>
      <c r="C3" s="8" t="str">
        <f aca="false">+RESUMEN!B4</f>
        <v>GERENCIA TERRITORIAL BAJO MAYO - TARAPOTO</v>
      </c>
      <c r="D3" s="8"/>
      <c r="E3" s="8"/>
      <c r="F3" s="8"/>
      <c r="G3" s="8"/>
      <c r="H3" s="8"/>
      <c r="I3" s="8"/>
      <c r="J3" s="8"/>
      <c r="K3" s="8"/>
    </row>
    <row r="4" customFormat="false" ht="75" hidden="false" customHeight="true" outlineLevel="0" collapsed="false">
      <c r="B4" s="9" t="s">
        <v>3</v>
      </c>
      <c r="C4" s="8" t="str">
        <f aca="false">+RESUMEN!B5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4" s="8"/>
      <c r="E4" s="8"/>
      <c r="F4" s="8"/>
      <c r="G4" s="8"/>
      <c r="H4" s="8"/>
      <c r="I4" s="8"/>
      <c r="J4" s="8"/>
      <c r="K4" s="8"/>
    </row>
    <row r="5" customFormat="false" ht="21" hidden="false" customHeight="true" outlineLevel="0" collapsed="false">
      <c r="B5" s="9" t="s">
        <v>5</v>
      </c>
      <c r="C5" s="8" t="str">
        <f aca="false">+RESUMEN!B6</f>
        <v>SAN MARTIN - SAN MARTIN - MORALES</v>
      </c>
      <c r="D5" s="8"/>
      <c r="E5" s="8"/>
      <c r="F5" s="8"/>
      <c r="G5" s="8"/>
      <c r="H5" s="8"/>
      <c r="I5" s="8"/>
      <c r="J5" s="8"/>
      <c r="K5" s="8"/>
    </row>
    <row r="6" customFormat="false" ht="21" hidden="false" customHeight="true" outlineLevel="0" collapsed="false">
      <c r="B6" s="9" t="s">
        <v>7</v>
      </c>
      <c r="C6" s="10" t="n">
        <f aca="false">+RESUMEN!B7</f>
        <v>46266</v>
      </c>
      <c r="D6" s="10"/>
      <c r="E6" s="10"/>
      <c r="F6" s="10"/>
      <c r="G6" s="10"/>
      <c r="H6" s="10"/>
      <c r="I6" s="10"/>
      <c r="J6" s="10"/>
      <c r="K6" s="10"/>
    </row>
    <row r="8" customFormat="false" ht="33" hidden="false" customHeight="true" outlineLevel="0" collapsed="false">
      <c r="B8" s="144" t="s">
        <v>259</v>
      </c>
      <c r="C8" s="144"/>
      <c r="D8" s="144"/>
      <c r="E8" s="144"/>
      <c r="F8" s="144"/>
      <c r="G8" s="144"/>
      <c r="H8" s="144"/>
      <c r="I8" s="144"/>
      <c r="J8" s="144"/>
      <c r="K8" s="144"/>
    </row>
    <row r="9" customFormat="false" ht="42" hidden="false" customHeight="true" outlineLevel="0" collapsed="false">
      <c r="B9" s="77" t="s">
        <v>260</v>
      </c>
      <c r="C9" s="77" t="s">
        <v>261</v>
      </c>
      <c r="D9" s="77" t="s">
        <v>262</v>
      </c>
      <c r="E9" s="77"/>
      <c r="F9" s="77" t="s">
        <v>263</v>
      </c>
      <c r="G9" s="77"/>
      <c r="H9" s="77" t="s">
        <v>264</v>
      </c>
      <c r="I9" s="77"/>
      <c r="J9" s="77" t="s">
        <v>265</v>
      </c>
      <c r="K9" s="77"/>
    </row>
    <row r="10" customFormat="false" ht="30.75" hidden="false" customHeight="true" outlineLevel="0" collapsed="false">
      <c r="B10" s="77"/>
      <c r="C10" s="77"/>
      <c r="D10" s="136" t="s">
        <v>266</v>
      </c>
      <c r="E10" s="136" t="s">
        <v>238</v>
      </c>
      <c r="F10" s="136" t="s">
        <v>228</v>
      </c>
      <c r="G10" s="136" t="s">
        <v>239</v>
      </c>
      <c r="H10" s="136" t="s">
        <v>228</v>
      </c>
      <c r="I10" s="136" t="s">
        <v>239</v>
      </c>
      <c r="J10" s="136" t="s">
        <v>228</v>
      </c>
      <c r="K10" s="136" t="s">
        <v>239</v>
      </c>
    </row>
    <row r="11" customFormat="false" ht="23.25" hidden="false" customHeight="true" outlineLevel="0" collapsed="false">
      <c r="B11" s="138" t="s">
        <v>240</v>
      </c>
      <c r="C11" s="119"/>
      <c r="D11" s="119"/>
      <c r="E11" s="119"/>
      <c r="F11" s="119"/>
      <c r="G11" s="119"/>
      <c r="H11" s="119"/>
      <c r="I11" s="119"/>
      <c r="J11" s="119"/>
      <c r="K11" s="119"/>
    </row>
    <row r="12" customFormat="false" ht="23.25" hidden="false" customHeight="true" outlineLevel="0" collapsed="false">
      <c r="B12" s="139" t="s">
        <v>267</v>
      </c>
      <c r="C12" s="119" t="n">
        <v>1</v>
      </c>
      <c r="D12" s="91" t="n">
        <v>25.78</v>
      </c>
      <c r="E12" s="145" t="n">
        <f aca="false">C12*D12</f>
        <v>25.78</v>
      </c>
      <c r="F12" s="119" t="n">
        <f aca="false">IF(D12&gt;0,ROUNDUP(D12/$F$53,0)+1,0)</f>
        <v>44.0</v>
      </c>
      <c r="G12" s="137" t="n">
        <f aca="false">C12*F12</f>
        <v>44.0</v>
      </c>
      <c r="H12" s="146" t="n">
        <f aca="false">$F$54</f>
        <v>2.0</v>
      </c>
      <c r="I12" s="137" t="n">
        <f aca="false">C12*H12</f>
        <v>2.0</v>
      </c>
      <c r="J12" s="119" t="n">
        <f aca="false">'METRADO MONTANTES'!C12</f>
        <v>2.0</v>
      </c>
      <c r="K12" s="137" t="n">
        <f aca="false">C12*J12</f>
        <v>2.0</v>
      </c>
    </row>
    <row r="13" customFormat="false" ht="23.25" hidden="false" customHeight="true" outlineLevel="0" collapsed="false">
      <c r="B13" s="139" t="s">
        <v>268</v>
      </c>
      <c r="C13" s="119" t="n">
        <v>1</v>
      </c>
      <c r="D13" s="91" t="n">
        <f aca="false">D12</f>
        <v>25.78</v>
      </c>
      <c r="E13" s="145" t="n">
        <f aca="false">C13*D13</f>
        <v>25.78</v>
      </c>
      <c r="F13" s="119" t="n">
        <f aca="false">IF(D13&gt;0,ROUNDUP(D13/$F$53,0)+1,0)</f>
        <v>44.0</v>
      </c>
      <c r="G13" s="137" t="n">
        <f aca="false">C13*F13</f>
        <v>44.0</v>
      </c>
      <c r="H13" s="146" t="n">
        <f aca="false">$F$54</f>
        <v>2.0</v>
      </c>
      <c r="I13" s="137" t="n">
        <f aca="false">C13*H13</f>
        <v>2.0</v>
      </c>
      <c r="J13" s="119" t="n">
        <f aca="false">'METRADO MONTANTES'!C13</f>
        <v>2.0</v>
      </c>
      <c r="K13" s="137" t="n">
        <f aca="false">C13*J13</f>
        <v>2.0</v>
      </c>
    </row>
    <row r="14" customFormat="false" ht="23.25" hidden="false" customHeight="true" outlineLevel="0" collapsed="false">
      <c r="B14" s="138" t="s">
        <v>243</v>
      </c>
      <c r="C14" s="119"/>
      <c r="D14" s="119"/>
      <c r="E14" s="119"/>
      <c r="F14" s="119"/>
      <c r="G14" s="119"/>
      <c r="H14" s="119"/>
      <c r="I14" s="119"/>
      <c r="J14" s="119"/>
      <c r="K14" s="119"/>
    </row>
    <row r="15" customFormat="false" ht="23.25" hidden="false" customHeight="true" outlineLevel="0" collapsed="false">
      <c r="B15" s="139" t="s">
        <v>267</v>
      </c>
      <c r="C15" s="119" t="n">
        <v>1</v>
      </c>
      <c r="D15" s="91" t="n">
        <v>14.77</v>
      </c>
      <c r="E15" s="145" t="n">
        <f aca="false">C15*D15</f>
        <v>14.77</v>
      </c>
      <c r="F15" s="119" t="n">
        <f aca="false">IF(D15&gt;0,ROUNDUP(D15/$F$53,0)+1,0)</f>
        <v>26.0</v>
      </c>
      <c r="G15" s="137" t="n">
        <f aca="false">C15*F15</f>
        <v>26.0</v>
      </c>
      <c r="H15" s="146" t="n">
        <f aca="false">$F$54</f>
        <v>2.0</v>
      </c>
      <c r="I15" s="137" t="n">
        <f aca="false">C15*H15</f>
        <v>2.0</v>
      </c>
      <c r="J15" s="119" t="n">
        <f aca="false">'METRADO MONTANTES'!C15</f>
        <v>2.0</v>
      </c>
      <c r="K15" s="137" t="n">
        <f aca="false">C15*J15</f>
        <v>2.0</v>
      </c>
    </row>
    <row r="16" customFormat="false" ht="23.25" hidden="false" customHeight="true" outlineLevel="0" collapsed="false">
      <c r="B16" s="139" t="s">
        <v>268</v>
      </c>
      <c r="C16" s="119" t="n">
        <v>1</v>
      </c>
      <c r="D16" s="91" t="n">
        <f aca="false">D15</f>
        <v>14.77</v>
      </c>
      <c r="E16" s="145" t="n">
        <f aca="false">C16*D16</f>
        <v>14.77</v>
      </c>
      <c r="F16" s="119" t="n">
        <f aca="false">IF(D16&gt;0,ROUNDUP(D16/$F$53,0)+1,0)</f>
        <v>26.0</v>
      </c>
      <c r="G16" s="137" t="n">
        <f aca="false">C16*F16</f>
        <v>26.0</v>
      </c>
      <c r="H16" s="146" t="n">
        <f aca="false">$F$54</f>
        <v>2.0</v>
      </c>
      <c r="I16" s="137" t="n">
        <f aca="false">C16*H16</f>
        <v>2.0</v>
      </c>
      <c r="J16" s="119" t="n">
        <f aca="false">'METRADO MONTANTES'!C16</f>
        <v>2.0</v>
      </c>
      <c r="K16" s="137" t="n">
        <f aca="false">C16*J16</f>
        <v>2.0</v>
      </c>
    </row>
    <row r="17" customFormat="false" ht="23.25" hidden="false" customHeight="true" outlineLevel="0" collapsed="false">
      <c r="B17" s="138" t="s">
        <v>244</v>
      </c>
      <c r="C17" s="119"/>
      <c r="D17" s="119"/>
      <c r="E17" s="119"/>
      <c r="F17" s="119"/>
      <c r="G17" s="119"/>
      <c r="H17" s="119"/>
      <c r="I17" s="119"/>
      <c r="J17" s="119"/>
      <c r="K17" s="119"/>
    </row>
    <row r="18" customFormat="false" ht="23.25" hidden="false" customHeight="true" outlineLevel="0" collapsed="false">
      <c r="B18" s="139" t="s">
        <v>267</v>
      </c>
      <c r="C18" s="119" t="n">
        <v>1</v>
      </c>
      <c r="D18" s="91" t="n">
        <v>16.05</v>
      </c>
      <c r="E18" s="145" t="n">
        <f aca="false">C18*D18</f>
        <v>16.05</v>
      </c>
      <c r="F18" s="119" t="n">
        <f aca="false">IF(D18&gt;0,ROUNDUP(D18/$F$53,0)+1,0)</f>
        <v>28.0</v>
      </c>
      <c r="G18" s="137" t="n">
        <f aca="false">C18*F18</f>
        <v>28.0</v>
      </c>
      <c r="H18" s="146" t="n">
        <f aca="false">$F$54</f>
        <v>2.0</v>
      </c>
      <c r="I18" s="137" t="n">
        <f aca="false">C18*H18</f>
        <v>2.0</v>
      </c>
      <c r="J18" s="119" t="n">
        <f aca="false">'METRADO MONTANTES'!C18</f>
        <v>2.0</v>
      </c>
      <c r="K18" s="137" t="n">
        <f aca="false">C18*J18</f>
        <v>2.0</v>
      </c>
    </row>
    <row r="19" customFormat="false" ht="23.25" hidden="false" customHeight="true" outlineLevel="0" collapsed="false">
      <c r="B19" s="139" t="s">
        <v>268</v>
      </c>
      <c r="C19" s="119" t="n">
        <v>1</v>
      </c>
      <c r="D19" s="91" t="n">
        <f aca="false">D18</f>
        <v>16.05</v>
      </c>
      <c r="E19" s="145" t="n">
        <f aca="false">C19*D19</f>
        <v>16.05</v>
      </c>
      <c r="F19" s="119" t="n">
        <f aca="false">IF(D19&gt;0,ROUNDUP(D19/$F$53,0)+1,0)</f>
        <v>28.0</v>
      </c>
      <c r="G19" s="137" t="n">
        <f aca="false">C19*F19</f>
        <v>28.0</v>
      </c>
      <c r="H19" s="146" t="n">
        <f aca="false">$F$54</f>
        <v>2.0</v>
      </c>
      <c r="I19" s="137" t="n">
        <f aca="false">C19*H19</f>
        <v>2.0</v>
      </c>
      <c r="J19" s="119" t="n">
        <f aca="false">'METRADO MONTANTES'!C19</f>
        <v>2.0</v>
      </c>
      <c r="K19" s="137" t="n">
        <f aca="false">C19*J19</f>
        <v>2.0</v>
      </c>
    </row>
    <row r="20" customFormat="false" ht="23.25" hidden="false" customHeight="true" outlineLevel="0" collapsed="false">
      <c r="B20" s="138" t="s">
        <v>245</v>
      </c>
      <c r="C20" s="119"/>
      <c r="D20" s="119"/>
      <c r="E20" s="119"/>
      <c r="F20" s="119"/>
      <c r="G20" s="119"/>
      <c r="H20" s="119"/>
      <c r="I20" s="119"/>
      <c r="J20" s="119"/>
      <c r="K20" s="119"/>
    </row>
    <row r="21" customFormat="false" ht="23.25" hidden="false" customHeight="true" outlineLevel="0" collapsed="false">
      <c r="B21" s="139" t="s">
        <v>267</v>
      </c>
      <c r="C21" s="119" t="n">
        <v>1</v>
      </c>
      <c r="D21" s="91" t="n">
        <v>27.15</v>
      </c>
      <c r="E21" s="145" t="n">
        <f aca="false">C21*D21</f>
        <v>27.15</v>
      </c>
      <c r="F21" s="119" t="n">
        <f aca="false">IF(D21&gt;0,ROUNDUP(D21/$F$53,0)+1,0)</f>
        <v>47.0</v>
      </c>
      <c r="G21" s="137" t="n">
        <f aca="false">C21*F21</f>
        <v>47.0</v>
      </c>
      <c r="H21" s="146" t="n">
        <f aca="false">$F$54</f>
        <v>2.0</v>
      </c>
      <c r="I21" s="137" t="n">
        <f aca="false">C21*H21</f>
        <v>2.0</v>
      </c>
      <c r="J21" s="119" t="n">
        <f aca="false">'METRADO MONTANTES'!C21</f>
        <v>2.0</v>
      </c>
      <c r="K21" s="137" t="n">
        <f aca="false">C21*J21</f>
        <v>2.0</v>
      </c>
    </row>
    <row r="22" customFormat="false" ht="23.25" hidden="false" customHeight="true" outlineLevel="0" collapsed="false">
      <c r="B22" s="139" t="s">
        <v>268</v>
      </c>
      <c r="C22" s="119" t="n">
        <v>1</v>
      </c>
      <c r="D22" s="91" t="n">
        <f aca="false">D21</f>
        <v>27.15</v>
      </c>
      <c r="E22" s="145" t="n">
        <f aca="false">C22*D22</f>
        <v>27.15</v>
      </c>
      <c r="F22" s="119" t="n">
        <f aca="false">IF(D22&gt;0,ROUNDUP(D22/$F$53,0)+1,0)</f>
        <v>47.0</v>
      </c>
      <c r="G22" s="137" t="n">
        <f aca="false">C22*F22</f>
        <v>47.0</v>
      </c>
      <c r="H22" s="146" t="n">
        <f aca="false">$F$54</f>
        <v>2.0</v>
      </c>
      <c r="I22" s="137" t="n">
        <f aca="false">C22*H22</f>
        <v>2.0</v>
      </c>
      <c r="J22" s="119" t="n">
        <f aca="false">'METRADO MONTANTES'!C22</f>
        <v>2.0</v>
      </c>
      <c r="K22" s="137" t="n">
        <f aca="false">C22*J22</f>
        <v>2.0</v>
      </c>
    </row>
    <row r="23" customFormat="false" ht="23.25" hidden="false" customHeight="true" outlineLevel="0" collapsed="false">
      <c r="B23" s="138" t="s">
        <v>246</v>
      </c>
      <c r="C23" s="119"/>
      <c r="D23" s="119"/>
      <c r="E23" s="119"/>
      <c r="F23" s="119"/>
      <c r="G23" s="119"/>
      <c r="H23" s="119"/>
      <c r="I23" s="119"/>
      <c r="J23" s="119"/>
      <c r="K23" s="119"/>
    </row>
    <row r="24" customFormat="false" ht="23.25" hidden="false" customHeight="true" outlineLevel="0" collapsed="false">
      <c r="B24" s="139" t="s">
        <v>267</v>
      </c>
      <c r="C24" s="119" t="n">
        <v>1</v>
      </c>
      <c r="D24" s="91" t="n">
        <v>27.15</v>
      </c>
      <c r="E24" s="145" t="n">
        <f aca="false">C24*D24</f>
        <v>27.15</v>
      </c>
      <c r="F24" s="119" t="n">
        <f aca="false">IF(D24&gt;0,ROUNDUP(D24/$F$53,0)+1,0)</f>
        <v>47.0</v>
      </c>
      <c r="G24" s="137" t="n">
        <f aca="false">C24*F24</f>
        <v>47.0</v>
      </c>
      <c r="H24" s="146" t="n">
        <f aca="false">$F$54</f>
        <v>2.0</v>
      </c>
      <c r="I24" s="137" t="n">
        <f aca="false">C24*H24</f>
        <v>2.0</v>
      </c>
      <c r="J24" s="119" t="n">
        <f aca="false">'METRADO MONTANTES'!C24</f>
        <v>2.0</v>
      </c>
      <c r="K24" s="137" t="n">
        <f aca="false">C24*J24</f>
        <v>2.0</v>
      </c>
    </row>
    <row r="25" customFormat="false" ht="23.25" hidden="false" customHeight="true" outlineLevel="0" collapsed="false">
      <c r="B25" s="139" t="s">
        <v>268</v>
      </c>
      <c r="C25" s="119" t="n">
        <v>1</v>
      </c>
      <c r="D25" s="91" t="n">
        <f aca="false">D24</f>
        <v>27.15</v>
      </c>
      <c r="E25" s="145" t="n">
        <f aca="false">C25*D25</f>
        <v>27.15</v>
      </c>
      <c r="F25" s="119" t="n">
        <f aca="false">IF(D25&gt;0,ROUNDUP(D25/$F$53,0)+1,0)</f>
        <v>47.0</v>
      </c>
      <c r="G25" s="137" t="n">
        <f aca="false">C25*F25</f>
        <v>47.0</v>
      </c>
      <c r="H25" s="146" t="n">
        <f aca="false">$F$54</f>
        <v>2.0</v>
      </c>
      <c r="I25" s="137" t="n">
        <f aca="false">C25*H25</f>
        <v>2.0</v>
      </c>
      <c r="J25" s="119" t="n">
        <f aca="false">'METRADO MONTANTES'!C25</f>
        <v>2.0</v>
      </c>
      <c r="K25" s="137" t="n">
        <f aca="false">C25*J25</f>
        <v>2.0</v>
      </c>
    </row>
    <row r="26" customFormat="false" ht="23.25" hidden="false" customHeight="true" outlineLevel="0" collapsed="false">
      <c r="B26" s="138" t="s">
        <v>247</v>
      </c>
      <c r="C26" s="119"/>
      <c r="D26" s="119"/>
      <c r="E26" s="119"/>
      <c r="F26" s="119"/>
      <c r="G26" s="119"/>
      <c r="H26" s="119"/>
      <c r="I26" s="119"/>
      <c r="J26" s="119"/>
      <c r="K26" s="119"/>
    </row>
    <row r="27" customFormat="false" ht="23.25" hidden="false" customHeight="true" outlineLevel="0" collapsed="false">
      <c r="B27" s="139" t="s">
        <v>267</v>
      </c>
      <c r="C27" s="119" t="n">
        <v>1</v>
      </c>
      <c r="D27" s="91" t="n">
        <v>27.2</v>
      </c>
      <c r="E27" s="145" t="n">
        <f aca="false">C27*D27</f>
        <v>27.2</v>
      </c>
      <c r="F27" s="119" t="n">
        <f aca="false">IF(D27&gt;0,ROUNDUP(D27/$F$53,0)+1,0)</f>
        <v>47.0</v>
      </c>
      <c r="G27" s="137" t="n">
        <f aca="false">C27*F27</f>
        <v>47.0</v>
      </c>
      <c r="H27" s="146" t="n">
        <f aca="false">$F$54</f>
        <v>2.0</v>
      </c>
      <c r="I27" s="137" t="n">
        <f aca="false">C27*H27</f>
        <v>2.0</v>
      </c>
      <c r="J27" s="119" t="n">
        <f aca="false">'METRADO MONTANTES'!C27</f>
        <v>2.0</v>
      </c>
      <c r="K27" s="137" t="n">
        <f aca="false">C27*J27</f>
        <v>2.0</v>
      </c>
    </row>
    <row r="28" customFormat="false" ht="23.25" hidden="false" customHeight="true" outlineLevel="0" collapsed="false">
      <c r="B28" s="139" t="s">
        <v>268</v>
      </c>
      <c r="C28" s="119" t="n">
        <v>1</v>
      </c>
      <c r="D28" s="91" t="n">
        <f aca="false">D27</f>
        <v>27.2</v>
      </c>
      <c r="E28" s="145" t="n">
        <f aca="false">C28*D28</f>
        <v>27.2</v>
      </c>
      <c r="F28" s="119" t="n">
        <f aca="false">IF(D28&gt;0,ROUNDUP(D28/$F$53,0)+1,0)</f>
        <v>47.0</v>
      </c>
      <c r="G28" s="137" t="n">
        <f aca="false">C28*F28</f>
        <v>47.0</v>
      </c>
      <c r="H28" s="146" t="n">
        <f aca="false">$F$54</f>
        <v>2.0</v>
      </c>
      <c r="I28" s="137" t="n">
        <f aca="false">C28*H28</f>
        <v>2.0</v>
      </c>
      <c r="J28" s="119" t="n">
        <f aca="false">'METRADO MONTANTES'!C28</f>
        <v>2.0</v>
      </c>
      <c r="K28" s="137" t="n">
        <f aca="false">C28*J28</f>
        <v>2.0</v>
      </c>
    </row>
    <row r="29" customFormat="false" ht="23.25" hidden="false" customHeight="true" outlineLevel="0" collapsed="false">
      <c r="B29" s="138" t="s">
        <v>248</v>
      </c>
      <c r="C29" s="119"/>
      <c r="D29" s="119"/>
      <c r="E29" s="119"/>
      <c r="F29" s="119"/>
      <c r="G29" s="119"/>
      <c r="H29" s="119"/>
      <c r="I29" s="119"/>
      <c r="J29" s="119"/>
      <c r="K29" s="119"/>
    </row>
    <row r="30" customFormat="false" ht="23.25" hidden="false" customHeight="true" outlineLevel="0" collapsed="false">
      <c r="B30" s="139" t="s">
        <v>267</v>
      </c>
      <c r="C30" s="119" t="n">
        <v>1</v>
      </c>
      <c r="D30" s="91" t="n">
        <v>27.15</v>
      </c>
      <c r="E30" s="145" t="n">
        <f aca="false">C30*D30</f>
        <v>27.15</v>
      </c>
      <c r="F30" s="119" t="n">
        <f aca="false">IF(D30&gt;0,ROUNDUP(D30/$F$53,0)+1,0)</f>
        <v>47.0</v>
      </c>
      <c r="G30" s="137" t="n">
        <f aca="false">C30*F30</f>
        <v>47.0</v>
      </c>
      <c r="H30" s="146" t="n">
        <f aca="false">$F$54</f>
        <v>2.0</v>
      </c>
      <c r="I30" s="137" t="n">
        <f aca="false">C30*H30</f>
        <v>2.0</v>
      </c>
      <c r="J30" s="119" t="n">
        <f aca="false">'METRADO MONTANTES'!C30</f>
        <v>2.0</v>
      </c>
      <c r="K30" s="137" t="n">
        <f aca="false">C30*J30</f>
        <v>2.0</v>
      </c>
    </row>
    <row r="31" customFormat="false" ht="23.25" hidden="false" customHeight="true" outlineLevel="0" collapsed="false">
      <c r="B31" s="139" t="s">
        <v>268</v>
      </c>
      <c r="C31" s="119" t="n">
        <v>1</v>
      </c>
      <c r="D31" s="91" t="n">
        <f aca="false">D30</f>
        <v>27.15</v>
      </c>
      <c r="E31" s="145" t="n">
        <f aca="false">C31*D31</f>
        <v>27.15</v>
      </c>
      <c r="F31" s="119" t="n">
        <f aca="false">IF(D31&gt;0,ROUNDUP(D31/$F$53,0)+1,0)</f>
        <v>47.0</v>
      </c>
      <c r="G31" s="137" t="n">
        <f aca="false">C31*F31</f>
        <v>47.0</v>
      </c>
      <c r="H31" s="146" t="n">
        <f aca="false">$F$54</f>
        <v>2.0</v>
      </c>
      <c r="I31" s="137" t="n">
        <f aca="false">C31*H31</f>
        <v>2.0</v>
      </c>
      <c r="J31" s="119" t="n">
        <f aca="false">'METRADO MONTANTES'!C31</f>
        <v>2.0</v>
      </c>
      <c r="K31" s="137" t="n">
        <f aca="false">C31*J31</f>
        <v>2.0</v>
      </c>
    </row>
    <row r="32" customFormat="false" ht="23.25" hidden="false" customHeight="true" outlineLevel="0" collapsed="false">
      <c r="B32" s="138" t="s">
        <v>249</v>
      </c>
      <c r="C32" s="119"/>
      <c r="D32" s="119"/>
      <c r="E32" s="119"/>
      <c r="F32" s="119"/>
      <c r="G32" s="119"/>
      <c r="H32" s="119"/>
      <c r="I32" s="119"/>
      <c r="J32" s="119"/>
      <c r="K32" s="119"/>
    </row>
    <row r="33" customFormat="false" ht="23.25" hidden="false" customHeight="true" outlineLevel="0" collapsed="false">
      <c r="B33" s="139" t="s">
        <v>267</v>
      </c>
      <c r="C33" s="119" t="n">
        <v>1</v>
      </c>
      <c r="D33" s="91" t="n">
        <v>34.58</v>
      </c>
      <c r="E33" s="145" t="n">
        <f aca="false">C33*D33</f>
        <v>34.58</v>
      </c>
      <c r="F33" s="119" t="n">
        <f aca="false">IF(D33&gt;0,ROUNDUP(D33/$F$53,0)+1,0)</f>
        <v>59.0</v>
      </c>
      <c r="G33" s="137" t="n">
        <f aca="false">C33*F33</f>
        <v>59.0</v>
      </c>
      <c r="H33" s="146" t="n">
        <f aca="false">$F$54</f>
        <v>2.0</v>
      </c>
      <c r="I33" s="137" t="n">
        <f aca="false">C33*H33</f>
        <v>2.0</v>
      </c>
      <c r="J33" s="119" t="n">
        <f aca="false">'METRADO MONTANTES'!C33+'METRADO MONTANTES'!C35</f>
        <v>4.0</v>
      </c>
      <c r="K33" s="137" t="n">
        <f aca="false">C33*J33</f>
        <v>4.0</v>
      </c>
    </row>
    <row r="34" customFormat="false" ht="23.25" hidden="false" customHeight="true" outlineLevel="0" collapsed="false">
      <c r="B34" s="139" t="s">
        <v>268</v>
      </c>
      <c r="C34" s="119" t="n">
        <v>1</v>
      </c>
      <c r="D34" s="91" t="n">
        <f aca="false">D33</f>
        <v>34.58</v>
      </c>
      <c r="E34" s="145" t="n">
        <f aca="false">C34*D34</f>
        <v>34.58</v>
      </c>
      <c r="F34" s="119" t="n">
        <f aca="false">IF(D34&gt;0,ROUNDUP(D34/$F$53,0)+1,0)</f>
        <v>59.0</v>
      </c>
      <c r="G34" s="137" t="n">
        <f aca="false">C34*F34</f>
        <v>59.0</v>
      </c>
      <c r="H34" s="146" t="n">
        <f aca="false">$F$54</f>
        <v>2.0</v>
      </c>
      <c r="I34" s="137" t="n">
        <f aca="false">C34*H34</f>
        <v>2.0</v>
      </c>
      <c r="J34" s="119" t="n">
        <f aca="false">'METRADO MONTANTES'!C34+'METRADO MONTANTES'!C36</f>
        <v>4.0</v>
      </c>
      <c r="K34" s="137" t="n">
        <f aca="false">C34*J34</f>
        <v>4.0</v>
      </c>
    </row>
    <row r="35" customFormat="false" ht="23.25" hidden="false" customHeight="true" outlineLevel="0" collapsed="false">
      <c r="B35" s="138" t="s">
        <v>252</v>
      </c>
      <c r="C35" s="119"/>
      <c r="D35" s="119"/>
      <c r="E35" s="119"/>
      <c r="F35" s="119"/>
      <c r="G35" s="119"/>
      <c r="H35" s="119"/>
      <c r="I35" s="119"/>
      <c r="J35" s="119"/>
      <c r="K35" s="119"/>
    </row>
    <row r="36" customFormat="false" ht="23.25" hidden="false" customHeight="true" outlineLevel="0" collapsed="false">
      <c r="B36" s="139" t="s">
        <v>267</v>
      </c>
      <c r="C36" s="119" t="n">
        <v>1</v>
      </c>
      <c r="D36" s="91" t="n">
        <v>9.7</v>
      </c>
      <c r="E36" s="145" t="n">
        <f aca="false">C36*D36</f>
        <v>9.7</v>
      </c>
      <c r="F36" s="119" t="n">
        <f aca="false">IF(D36&gt;0,ROUNDUP(D36/$F$53,0)+1,0)</f>
        <v>18.0</v>
      </c>
      <c r="G36" s="137" t="n">
        <f aca="false">C36*F36</f>
        <v>18.0</v>
      </c>
      <c r="H36" s="146" t="n">
        <f aca="false">$F$54</f>
        <v>2.0</v>
      </c>
      <c r="I36" s="137" t="n">
        <f aca="false">C36*H36</f>
        <v>2.0</v>
      </c>
      <c r="J36" s="119" t="n">
        <f aca="false">'METRADO MONTANTES'!C38</f>
        <v>2.0</v>
      </c>
      <c r="K36" s="137" t="n">
        <f aca="false">C36*J36</f>
        <v>2.0</v>
      </c>
    </row>
    <row r="37" customFormat="false" ht="23.25" hidden="false" customHeight="true" outlineLevel="0" collapsed="false">
      <c r="B37" s="139" t="s">
        <v>268</v>
      </c>
      <c r="C37" s="119" t="n">
        <v>1</v>
      </c>
      <c r="D37" s="91" t="n">
        <f aca="false">D36</f>
        <v>9.7</v>
      </c>
      <c r="E37" s="145" t="n">
        <f aca="false">C37*D37</f>
        <v>9.7</v>
      </c>
      <c r="F37" s="119" t="n">
        <f aca="false">IF(D37&gt;0,ROUNDUP(D37/$F$53,0)+1,0)</f>
        <v>18.0</v>
      </c>
      <c r="G37" s="137" t="n">
        <f aca="false">C37*F37</f>
        <v>18.0</v>
      </c>
      <c r="H37" s="146" t="n">
        <f aca="false">$F$54</f>
        <v>2.0</v>
      </c>
      <c r="I37" s="137" t="n">
        <f aca="false">C37*H37</f>
        <v>2.0</v>
      </c>
      <c r="J37" s="119" t="n">
        <f aca="false">'METRADO MONTANTES'!C39</f>
        <v>2.0</v>
      </c>
      <c r="K37" s="137" t="n">
        <f aca="false">C37*J37</f>
        <v>2.0</v>
      </c>
    </row>
    <row r="38" customFormat="false" ht="23.25" hidden="false" customHeight="true" outlineLevel="0" collapsed="false">
      <c r="B38" s="138" t="s">
        <v>253</v>
      </c>
      <c r="C38" s="119"/>
      <c r="D38" s="119"/>
      <c r="E38" s="119"/>
      <c r="F38" s="119"/>
      <c r="G38" s="119"/>
      <c r="H38" s="119"/>
      <c r="I38" s="119"/>
      <c r="J38" s="119"/>
      <c r="K38" s="119"/>
    </row>
    <row r="39" customFormat="false" ht="23.25" hidden="false" customHeight="true" outlineLevel="0" collapsed="false">
      <c r="B39" s="139" t="s">
        <v>267</v>
      </c>
      <c r="C39" s="119" t="n">
        <v>1</v>
      </c>
      <c r="D39" s="91" t="n">
        <v>15.4</v>
      </c>
      <c r="E39" s="145" t="n">
        <f aca="false">C39*D39</f>
        <v>15.4</v>
      </c>
      <c r="F39" s="119" t="n">
        <f aca="false">IF(D39&gt;0,ROUNDUP(D39/$F$53,0)+1,0)</f>
        <v>27.0</v>
      </c>
      <c r="G39" s="137" t="n">
        <f aca="false">C39*F39</f>
        <v>27.0</v>
      </c>
      <c r="H39" s="146" t="n">
        <f aca="false">$F$54</f>
        <v>2.0</v>
      </c>
      <c r="I39" s="137" t="n">
        <f aca="false">C39*H39</f>
        <v>2.0</v>
      </c>
      <c r="J39" s="119" t="n">
        <f aca="false">'METRADO MONTANTES'!C41</f>
        <v>2.0</v>
      </c>
      <c r="K39" s="137" t="n">
        <f aca="false">C39*J39</f>
        <v>2.0</v>
      </c>
    </row>
    <row r="40" customFormat="false" ht="23.25" hidden="false" customHeight="true" outlineLevel="0" collapsed="false">
      <c r="B40" s="139" t="s">
        <v>268</v>
      </c>
      <c r="C40" s="119" t="n">
        <v>1</v>
      </c>
      <c r="D40" s="91" t="n">
        <f aca="false">D39</f>
        <v>15.4</v>
      </c>
      <c r="E40" s="145" t="n">
        <f aca="false">C40*D40</f>
        <v>15.4</v>
      </c>
      <c r="F40" s="119" t="n">
        <f aca="false">IF(D40&gt;0,ROUNDUP(D40/$F$53,0)+1,0)</f>
        <v>27.0</v>
      </c>
      <c r="G40" s="137" t="n">
        <f aca="false">C40*F40</f>
        <v>27.0</v>
      </c>
      <c r="H40" s="146" t="n">
        <f aca="false">$F$54</f>
        <v>2.0</v>
      </c>
      <c r="I40" s="137" t="n">
        <f aca="false">C40*H40</f>
        <v>2.0</v>
      </c>
      <c r="J40" s="119" t="n">
        <f aca="false">'METRADO MONTANTES'!C42</f>
        <v>2.0</v>
      </c>
      <c r="K40" s="137" t="n">
        <f aca="false">C40*J40</f>
        <v>2.0</v>
      </c>
    </row>
    <row r="41" customFormat="false" ht="23.25" hidden="false" customHeight="true" outlineLevel="0" collapsed="false">
      <c r="B41" s="138" t="s">
        <v>254</v>
      </c>
      <c r="C41" s="119"/>
      <c r="D41" s="119"/>
      <c r="E41" s="119"/>
      <c r="F41" s="119"/>
      <c r="G41" s="119"/>
      <c r="H41" s="119"/>
      <c r="I41" s="119"/>
      <c r="J41" s="119"/>
      <c r="K41" s="119"/>
    </row>
    <row r="42" customFormat="false" ht="23.25" hidden="false" customHeight="true" outlineLevel="0" collapsed="false">
      <c r="B42" s="139" t="s">
        <v>267</v>
      </c>
      <c r="C42" s="119" t="n">
        <v>1</v>
      </c>
      <c r="D42" s="91" t="n">
        <v>36.65</v>
      </c>
      <c r="E42" s="145" t="n">
        <f aca="false">C42*D42</f>
        <v>36.65</v>
      </c>
      <c r="F42" s="119" t="n">
        <f aca="false">IF(D42&gt;0,ROUNDUP(D42/$F$53,0)+1,0)</f>
        <v>63.0</v>
      </c>
      <c r="G42" s="137" t="n">
        <f aca="false">C42*F42</f>
        <v>63.0</v>
      </c>
      <c r="H42" s="146" t="n">
        <f aca="false">$F$54</f>
        <v>2.0</v>
      </c>
      <c r="I42" s="137" t="n">
        <f aca="false">C42*H42</f>
        <v>2.0</v>
      </c>
      <c r="J42" s="119" t="n">
        <f aca="false">'METRADO MONTANTES'!C44</f>
        <v>4.0</v>
      </c>
      <c r="K42" s="137" t="n">
        <f aca="false">C42*J42</f>
        <v>4.0</v>
      </c>
    </row>
    <row r="43" customFormat="false" ht="23.25" hidden="false" customHeight="true" outlineLevel="0" collapsed="false">
      <c r="B43" s="139" t="s">
        <v>268</v>
      </c>
      <c r="C43" s="119" t="n">
        <v>1</v>
      </c>
      <c r="D43" s="91" t="n">
        <f aca="false">D42</f>
        <v>36.65</v>
      </c>
      <c r="E43" s="145" t="n">
        <f aca="false">C43*D43</f>
        <v>36.65</v>
      </c>
      <c r="F43" s="119" t="n">
        <f aca="false">IF(D43&gt;0,ROUNDUP(D43/$F$53,0)+1,0)</f>
        <v>63.0</v>
      </c>
      <c r="G43" s="137" t="n">
        <f aca="false">C43*F43</f>
        <v>63.0</v>
      </c>
      <c r="H43" s="146" t="n">
        <f aca="false">$F$54</f>
        <v>2.0</v>
      </c>
      <c r="I43" s="137" t="n">
        <f aca="false">C43*H43</f>
        <v>2.0</v>
      </c>
      <c r="J43" s="119" t="n">
        <f aca="false">'METRADO MONTANTES'!C45</f>
        <v>4.0</v>
      </c>
      <c r="K43" s="137" t="n">
        <f aca="false">C43*J43</f>
        <v>4.0</v>
      </c>
    </row>
    <row r="44" customFormat="false" ht="23.25" hidden="false" customHeight="true" outlineLevel="0" collapsed="false">
      <c r="B44" s="143" t="s">
        <v>169</v>
      </c>
      <c r="C44" s="143" t="n">
        <f aca="false">SUM(C11:C43)</f>
        <v>22.0</v>
      </c>
      <c r="D44" s="143"/>
      <c r="E44" s="147" t="n">
        <f aca="false">SUM(E11:E43)</f>
        <v>523.16</v>
      </c>
      <c r="F44" s="143"/>
      <c r="G44" s="143" t="n">
        <f aca="false">SUM(G11:G43)</f>
        <v>906.0</v>
      </c>
      <c r="H44" s="143"/>
      <c r="I44" s="143" t="n">
        <f aca="false">SUM(I11:I43)</f>
        <v>44.0</v>
      </c>
      <c r="J44" s="143"/>
      <c r="K44" s="143" t="n">
        <f aca="false">SUM(K11:K43)</f>
        <v>52.0</v>
      </c>
    </row>
    <row r="46" customFormat="false" ht="15" hidden="false" customHeight="false" outlineLevel="0" collapsed="false">
      <c r="B46" s="148" t="s">
        <v>269</v>
      </c>
      <c r="C46" s="148"/>
      <c r="D46" s="148"/>
      <c r="E46" s="148"/>
      <c r="F46" s="148"/>
      <c r="G46" s="148"/>
      <c r="H46" s="148"/>
      <c r="I46" s="148"/>
      <c r="J46" s="148"/>
      <c r="K46" s="148"/>
    </row>
    <row r="47" customFormat="false" ht="15" hidden="false" customHeight="false" outlineLevel="0" collapsed="false">
      <c r="B47" s="149" t="s">
        <v>270</v>
      </c>
      <c r="C47" s="149"/>
      <c r="D47" s="149"/>
      <c r="E47" s="149"/>
      <c r="F47" s="149" t="s">
        <v>271</v>
      </c>
      <c r="G47" s="149" t="s">
        <v>272</v>
      </c>
      <c r="H47" s="149" t="s">
        <v>273</v>
      </c>
      <c r="I47" s="149"/>
      <c r="J47" s="149"/>
      <c r="K47" s="149"/>
    </row>
    <row r="48" customFormat="false" ht="18" hidden="false" customHeight="true" outlineLevel="0" collapsed="false">
      <c r="B48" s="150" t="s">
        <v>274</v>
      </c>
      <c r="C48" s="150"/>
      <c r="D48" s="150"/>
      <c r="E48" s="150"/>
      <c r="F48" s="151" t="n">
        <v>0.25</v>
      </c>
      <c r="G48" s="152" t="s">
        <v>71</v>
      </c>
      <c r="H48" s="150" t="s">
        <v>275</v>
      </c>
      <c r="I48" s="150"/>
      <c r="J48" s="150"/>
      <c r="K48" s="150"/>
    </row>
    <row r="49" customFormat="false" ht="18" hidden="false" customHeight="true" outlineLevel="0" collapsed="false">
      <c r="B49" s="150" t="s">
        <v>276</v>
      </c>
      <c r="C49" s="150"/>
      <c r="D49" s="150"/>
      <c r="E49" s="150"/>
      <c r="F49" s="151" t="n">
        <v>0.2</v>
      </c>
      <c r="G49" s="152" t="s">
        <v>71</v>
      </c>
      <c r="H49" s="150" t="s">
        <v>275</v>
      </c>
      <c r="I49" s="150"/>
      <c r="J49" s="150"/>
      <c r="K49" s="150"/>
    </row>
    <row r="50" customFormat="false" ht="18" hidden="false" customHeight="true" outlineLevel="0" collapsed="false">
      <c r="B50" s="150" t="s">
        <v>277</v>
      </c>
      <c r="C50" s="150"/>
      <c r="D50" s="150"/>
      <c r="E50" s="150"/>
      <c r="F50" s="151" t="n">
        <v>0.05</v>
      </c>
      <c r="G50" s="152" t="s">
        <v>71</v>
      </c>
      <c r="H50" s="150" t="s">
        <v>278</v>
      </c>
      <c r="I50" s="150"/>
      <c r="J50" s="150"/>
      <c r="K50" s="150"/>
    </row>
    <row r="51" customFormat="false" ht="18" hidden="false" customHeight="true" outlineLevel="0" collapsed="false">
      <c r="B51" s="150" t="s">
        <v>279</v>
      </c>
      <c r="C51" s="150"/>
      <c r="D51" s="150"/>
      <c r="E51" s="150"/>
      <c r="F51" s="151" t="n">
        <f aca="false">F48+2*F49+2*F50</f>
        <v>0.75</v>
      </c>
      <c r="G51" s="152" t="s">
        <v>71</v>
      </c>
      <c r="H51" s="150" t="s">
        <v>280</v>
      </c>
      <c r="I51" s="150"/>
      <c r="J51" s="150"/>
      <c r="K51" s="150"/>
    </row>
    <row r="52" customFormat="false" ht="30.75" hidden="false" customHeight="true" outlineLevel="0" collapsed="false">
      <c r="B52" s="150" t="s">
        <v>281</v>
      </c>
      <c r="C52" s="150"/>
      <c r="D52" s="150"/>
      <c r="E52" s="150"/>
      <c r="F52" s="153" t="n">
        <v>0.9</v>
      </c>
      <c r="G52" s="152" t="s">
        <v>282</v>
      </c>
      <c r="H52" s="150" t="s">
        <v>283</v>
      </c>
      <c r="I52" s="150"/>
      <c r="J52" s="150"/>
      <c r="K52" s="150"/>
    </row>
    <row r="53" customFormat="false" ht="30.75" hidden="false" customHeight="true" outlineLevel="0" collapsed="false">
      <c r="B53" s="150" t="s">
        <v>284</v>
      </c>
      <c r="C53" s="150"/>
      <c r="D53" s="150"/>
      <c r="E53" s="150"/>
      <c r="F53" s="151" t="n">
        <v>0.6</v>
      </c>
      <c r="G53" s="152" t="s">
        <v>71</v>
      </c>
      <c r="H53" s="150" t="s">
        <v>285</v>
      </c>
      <c r="I53" s="150"/>
      <c r="J53" s="150"/>
      <c r="K53" s="150"/>
    </row>
    <row r="54" customFormat="false" ht="18" hidden="false" customHeight="true" outlineLevel="0" collapsed="false">
      <c r="B54" s="150" t="s">
        <v>286</v>
      </c>
      <c r="C54" s="150"/>
      <c r="D54" s="150"/>
      <c r="E54" s="150"/>
      <c r="F54" s="154" t="n">
        <v>2</v>
      </c>
      <c r="G54" s="152" t="s">
        <v>60</v>
      </c>
      <c r="H54" s="150" t="s">
        <v>287</v>
      </c>
      <c r="I54" s="150"/>
      <c r="J54" s="150"/>
      <c r="K54" s="150"/>
    </row>
    <row r="55" customFormat="false" ht="30.75" hidden="false" customHeight="true" outlineLevel="0" collapsed="false">
      <c r="B55" s="155" t="s">
        <v>288</v>
      </c>
      <c r="C55" s="155"/>
      <c r="D55" s="155"/>
      <c r="E55" s="155"/>
      <c r="F55" s="156" t="n">
        <f aca="false">E44*F51</f>
        <v>392.37</v>
      </c>
      <c r="G55" s="157" t="s">
        <v>18</v>
      </c>
      <c r="H55" s="155" t="s">
        <v>289</v>
      </c>
      <c r="I55" s="155"/>
      <c r="J55" s="155"/>
      <c r="K55" s="155"/>
    </row>
  </sheetData>
  <mergeCells count="31">
    <mergeCell ref="B2:K2"/>
    <mergeCell ref="C3:K3"/>
    <mergeCell ref="C4:K4"/>
    <mergeCell ref="C5:K5"/>
    <mergeCell ref="C6:K6"/>
    <mergeCell ref="B8:K8"/>
    <mergeCell ref="B9:B10"/>
    <mergeCell ref="C9:C10"/>
    <mergeCell ref="D9:E9"/>
    <mergeCell ref="F9:G9"/>
    <mergeCell ref="H9:I9"/>
    <mergeCell ref="J9:K9"/>
    <mergeCell ref="B46:K46"/>
    <mergeCell ref="B47:E47"/>
    <mergeCell ref="H47:K47"/>
    <mergeCell ref="B48:E48"/>
    <mergeCell ref="H48:K48"/>
    <mergeCell ref="B49:E49"/>
    <mergeCell ref="H49:K49"/>
    <mergeCell ref="B50:E50"/>
    <mergeCell ref="H50:K50"/>
    <mergeCell ref="B51:E51"/>
    <mergeCell ref="H51:K51"/>
    <mergeCell ref="B52:E52"/>
    <mergeCell ref="H52:K52"/>
    <mergeCell ref="B53:E53"/>
    <mergeCell ref="H53:K53"/>
    <mergeCell ref="B54:E54"/>
    <mergeCell ref="H54:K54"/>
    <mergeCell ref="B55:E55"/>
    <mergeCell ref="H55:K55"/>
  </mergeCells>
  <printOptions headings="false" gridLines="false" gridLinesSet="true" horizontalCentered="true" verticalCentered="false"/>
  <pageMargins left="1.41736111111111" right="0.39375" top="1.29930555555556" bottom="0.3937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true"/>
  </sheetPr>
  <dimension ref="A1:G34"/>
  <sheetViews>
    <sheetView showFormulas="false" showGridLines="true" showRowColHeaders="true" showZeros="true" rightToLeft="false" tabSelected="false" showOutlineSymbols="true" defaultGridColor="true" view="normal" topLeftCell="A1" colorId="64" zoomScale="115" zoomScaleNormal="115" zoomScalePageLayoutView="115" workbookViewId="0">
      <selection pane="topLeft" activeCell="F11" activeCellId="0" sqref="F11"/>
    </sheetView>
  </sheetViews>
  <sheetFormatPr defaultColWidth="10.91015625" defaultRowHeight="13.5" zeroHeight="false" outlineLevelRow="0" outlineLevelCol="0"/>
  <cols>
    <col collapsed="false" customWidth="true" hidden="false" outlineLevel="0" max="1" min="1" style="158" width="17.45"/>
    <col collapsed="false" customWidth="true" hidden="false" outlineLevel="0" max="2" min="2" style="158" width="26.18"/>
    <col collapsed="false" customWidth="true" hidden="false" outlineLevel="0" max="6" min="3" style="158" width="19.64"/>
    <col collapsed="false" customWidth="true" hidden="false" outlineLevel="0" max="7" min="7" style="158" width="24"/>
    <col collapsed="false" customWidth="false" hidden="false" outlineLevel="0" max="16384" min="8" style="158" width="10.91"/>
  </cols>
  <sheetData>
    <row r="1" customFormat="false" ht="18" hidden="false" customHeight="true" outlineLevel="0" collapsed="false">
      <c r="A1" s="159" t="s">
        <v>290</v>
      </c>
      <c r="B1" s="159"/>
      <c r="C1" s="159"/>
      <c r="D1" s="159"/>
      <c r="E1" s="159"/>
      <c r="F1" s="159"/>
      <c r="G1" s="159"/>
    </row>
    <row r="2" customFormat="false" ht="24.75" hidden="false" customHeight="true" outlineLevel="0" collapsed="false">
      <c r="A2" s="9" t="s">
        <v>1</v>
      </c>
      <c r="B2" s="160" t="str">
        <f aca="false">+RESUMEN!B4</f>
        <v>GERENCIA TERRITORIAL BAJO MAYO - TARAPOTO</v>
      </c>
      <c r="C2" s="160"/>
      <c r="D2" s="160"/>
      <c r="E2" s="160"/>
      <c r="F2" s="160"/>
      <c r="G2" s="160"/>
    </row>
    <row r="3" customFormat="false" ht="53.25" hidden="false" customHeight="true" outlineLevel="0" collapsed="false">
      <c r="A3" s="9" t="s">
        <v>3</v>
      </c>
      <c r="B3" s="160" t="str">
        <f aca="false">+RESUMEN!B5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C3" s="160"/>
      <c r="D3" s="160"/>
      <c r="E3" s="160"/>
      <c r="F3" s="160"/>
      <c r="G3" s="160"/>
    </row>
    <row r="4" customFormat="false" ht="24.75" hidden="false" customHeight="true" outlineLevel="0" collapsed="false">
      <c r="A4" s="9" t="s">
        <v>5</v>
      </c>
      <c r="B4" s="160" t="str">
        <f aca="false">+RESUMEN!B6</f>
        <v>SAN MARTIN - SAN MARTIN - MORALES</v>
      </c>
      <c r="C4" s="160"/>
      <c r="D4" s="160"/>
      <c r="E4" s="160"/>
      <c r="F4" s="160"/>
      <c r="G4" s="160"/>
    </row>
    <row r="5" customFormat="false" ht="24.75" hidden="false" customHeight="true" outlineLevel="0" collapsed="false">
      <c r="A5" s="9" t="s">
        <v>7</v>
      </c>
      <c r="B5" s="161" t="n">
        <f aca="false">+RESUMEN!B7</f>
        <v>46266</v>
      </c>
      <c r="C5" s="161"/>
      <c r="D5" s="161"/>
      <c r="E5" s="161"/>
      <c r="F5" s="161"/>
      <c r="G5" s="161"/>
    </row>
    <row r="6" customFormat="false" ht="13.5" hidden="false" customHeight="false" outlineLevel="0" collapsed="false">
      <c r="A6" s="162"/>
      <c r="B6" s="162"/>
      <c r="C6" s="162"/>
      <c r="D6" s="162"/>
      <c r="E6" s="162"/>
      <c r="F6" s="162"/>
      <c r="G6" s="162"/>
    </row>
    <row r="7" customFormat="false" ht="39" hidden="false" customHeight="true" outlineLevel="0" collapsed="false">
      <c r="A7" s="163" t="s">
        <v>291</v>
      </c>
      <c r="B7" s="164" t="s">
        <v>292</v>
      </c>
      <c r="C7" s="164" t="s">
        <v>293</v>
      </c>
      <c r="D7" s="164" t="s">
        <v>294</v>
      </c>
      <c r="E7" s="164" t="s">
        <v>295</v>
      </c>
      <c r="F7" s="164" t="s">
        <v>296</v>
      </c>
      <c r="G7" s="165" t="s">
        <v>297</v>
      </c>
    </row>
    <row r="8" customFormat="false" ht="21" hidden="false" customHeight="true" outlineLevel="0" collapsed="false">
      <c r="A8" s="166" t="s">
        <v>298</v>
      </c>
      <c r="B8" s="167" t="n">
        <v>19.1</v>
      </c>
      <c r="C8" s="168" t="n">
        <v>5</v>
      </c>
      <c r="D8" s="168" t="n">
        <v>5</v>
      </c>
      <c r="E8" s="168" t="n">
        <v>0</v>
      </c>
      <c r="F8" s="168" t="n">
        <v>0</v>
      </c>
      <c r="G8" s="169" t="s">
        <v>299</v>
      </c>
    </row>
    <row r="9" customFormat="false" ht="21" hidden="false" customHeight="true" outlineLevel="0" collapsed="false">
      <c r="A9" s="166" t="s">
        <v>300</v>
      </c>
      <c r="B9" s="167" t="n">
        <v>57.98</v>
      </c>
      <c r="C9" s="168" t="n">
        <v>9</v>
      </c>
      <c r="D9" s="168" t="n">
        <v>6</v>
      </c>
      <c r="E9" s="168" t="n">
        <v>0</v>
      </c>
      <c r="F9" s="168" t="n">
        <v>3</v>
      </c>
      <c r="G9" s="169" t="s">
        <v>299</v>
      </c>
    </row>
    <row r="10" customFormat="false" ht="21" hidden="false" customHeight="true" outlineLevel="0" collapsed="false">
      <c r="A10" s="166" t="s">
        <v>301</v>
      </c>
      <c r="B10" s="167" t="n">
        <v>15</v>
      </c>
      <c r="C10" s="168" t="n">
        <v>2</v>
      </c>
      <c r="D10" s="168" t="n">
        <v>2</v>
      </c>
      <c r="E10" s="168" t="n">
        <v>0</v>
      </c>
      <c r="F10" s="168" t="n">
        <v>0</v>
      </c>
      <c r="G10" s="169" t="s">
        <v>299</v>
      </c>
    </row>
    <row r="11" customFormat="false" ht="21" hidden="false" customHeight="true" outlineLevel="0" collapsed="false">
      <c r="A11" s="170" t="s">
        <v>169</v>
      </c>
      <c r="B11" s="171" t="n">
        <f aca="false">SUM(B8:B10)</f>
        <v>92.08</v>
      </c>
      <c r="C11" s="172" t="n">
        <f aca="false">SUM(C8:C10)</f>
        <v>16.0</v>
      </c>
      <c r="D11" s="172" t="n">
        <f aca="false">SUM(D8:D10)</f>
        <v>13.0</v>
      </c>
      <c r="E11" s="172" t="n">
        <f aca="false">SUM(E8:E10)</f>
        <v>0.0</v>
      </c>
      <c r="F11" s="172" t="n">
        <f aca="false">SUM(F8:F10)</f>
        <v>3.0</v>
      </c>
      <c r="G11" s="173"/>
    </row>
    <row r="12" customFormat="false" ht="13.5" hidden="false" customHeight="false" outlineLevel="0" collapsed="false">
      <c r="A12" s="162"/>
      <c r="B12" s="162"/>
      <c r="C12" s="162"/>
      <c r="D12" s="162"/>
      <c r="E12" s="162"/>
      <c r="F12" s="162"/>
      <c r="G12" s="162"/>
    </row>
    <row r="13" customFormat="false" ht="13.5" hidden="false" customHeight="false" outlineLevel="0" collapsed="false">
      <c r="A13" s="162"/>
      <c r="B13" s="162"/>
      <c r="C13" s="162"/>
      <c r="D13" s="162"/>
      <c r="E13" s="162"/>
      <c r="F13" s="162"/>
      <c r="G13" s="162"/>
    </row>
    <row r="14" customFormat="false" ht="13.5" hidden="false" customHeight="false" outlineLevel="0" collapsed="false">
      <c r="A14" s="162"/>
      <c r="B14" s="162"/>
      <c r="C14" s="162"/>
      <c r="D14" s="162"/>
      <c r="E14" s="162"/>
      <c r="F14" s="162"/>
      <c r="G14" s="162"/>
    </row>
    <row r="15" customFormat="false" ht="13.5" hidden="false" customHeight="false" outlineLevel="0" collapsed="false">
      <c r="A15" s="162"/>
      <c r="B15" s="162"/>
      <c r="C15" s="162"/>
      <c r="D15" s="162"/>
      <c r="E15" s="162"/>
      <c r="F15" s="162"/>
      <c r="G15" s="162"/>
    </row>
    <row r="16" customFormat="false" ht="13.5" hidden="false" customHeight="false" outlineLevel="0" collapsed="false">
      <c r="A16" s="162"/>
      <c r="B16" s="162"/>
      <c r="C16" s="162"/>
      <c r="D16" s="162"/>
      <c r="E16" s="162"/>
      <c r="F16" s="162"/>
      <c r="G16" s="162"/>
    </row>
    <row r="17" customFormat="false" ht="13.5" hidden="false" customHeight="false" outlineLevel="0" collapsed="false">
      <c r="A17" s="162"/>
      <c r="B17" s="162"/>
      <c r="C17" s="162"/>
      <c r="D17" s="162"/>
      <c r="E17" s="162"/>
      <c r="F17" s="162"/>
      <c r="G17" s="162"/>
    </row>
    <row r="18" customFormat="false" ht="13.5" hidden="false" customHeight="false" outlineLevel="0" collapsed="false">
      <c r="A18" s="162"/>
      <c r="B18" s="162"/>
      <c r="C18" s="162"/>
      <c r="D18" s="162"/>
      <c r="E18" s="162"/>
      <c r="F18" s="162"/>
      <c r="G18" s="162"/>
    </row>
    <row r="19" customFormat="false" ht="13.5" hidden="false" customHeight="false" outlineLevel="0" collapsed="false">
      <c r="A19" s="162"/>
      <c r="B19" s="162"/>
      <c r="C19" s="162"/>
      <c r="D19" s="162"/>
      <c r="E19" s="162"/>
      <c r="F19" s="162"/>
      <c r="G19" s="162"/>
    </row>
    <row r="20" customFormat="false" ht="13.5" hidden="false" customHeight="false" outlineLevel="0" collapsed="false">
      <c r="A20" s="162"/>
      <c r="B20" s="162"/>
      <c r="C20" s="162"/>
      <c r="D20" s="162"/>
      <c r="E20" s="162"/>
      <c r="F20" s="162"/>
      <c r="G20" s="162"/>
    </row>
    <row r="21" customFormat="false" ht="13.5" hidden="false" customHeight="false" outlineLevel="0" collapsed="false">
      <c r="A21" s="162"/>
      <c r="B21" s="162"/>
      <c r="C21" s="162"/>
      <c r="D21" s="162"/>
      <c r="E21" s="162"/>
      <c r="F21" s="162"/>
      <c r="G21" s="162"/>
    </row>
    <row r="22" customFormat="false" ht="13.5" hidden="false" customHeight="false" outlineLevel="0" collapsed="false">
      <c r="A22" s="162"/>
      <c r="B22" s="162"/>
      <c r="C22" s="162"/>
      <c r="D22" s="162"/>
      <c r="E22" s="162"/>
      <c r="F22" s="162"/>
      <c r="G22" s="162"/>
    </row>
    <row r="23" customFormat="false" ht="13.5" hidden="false" customHeight="false" outlineLevel="0" collapsed="false">
      <c r="A23" s="162"/>
      <c r="B23" s="162"/>
      <c r="C23" s="162"/>
      <c r="D23" s="162"/>
      <c r="E23" s="162"/>
      <c r="F23" s="162"/>
      <c r="G23" s="162"/>
    </row>
    <row r="24" customFormat="false" ht="13.5" hidden="false" customHeight="false" outlineLevel="0" collapsed="false">
      <c r="A24" s="162"/>
      <c r="B24" s="162"/>
      <c r="C24" s="162"/>
      <c r="D24" s="162"/>
      <c r="E24" s="162"/>
      <c r="F24" s="162"/>
      <c r="G24" s="162"/>
    </row>
    <row r="25" customFormat="false" ht="13.5" hidden="false" customHeight="false" outlineLevel="0" collapsed="false">
      <c r="A25" s="162"/>
      <c r="B25" s="162"/>
      <c r="C25" s="162"/>
      <c r="D25" s="162"/>
      <c r="E25" s="162"/>
      <c r="F25" s="162"/>
      <c r="G25" s="162"/>
    </row>
    <row r="26" customFormat="false" ht="13.5" hidden="false" customHeight="false" outlineLevel="0" collapsed="false">
      <c r="A26" s="162"/>
      <c r="B26" s="162"/>
      <c r="C26" s="162"/>
      <c r="D26" s="162"/>
      <c r="E26" s="162"/>
      <c r="F26" s="162"/>
      <c r="G26" s="162"/>
    </row>
    <row r="27" customFormat="false" ht="13.5" hidden="false" customHeight="false" outlineLevel="0" collapsed="false">
      <c r="A27" s="162"/>
      <c r="B27" s="162"/>
      <c r="C27" s="162"/>
      <c r="D27" s="162"/>
      <c r="E27" s="162"/>
      <c r="F27" s="162"/>
      <c r="G27" s="162"/>
    </row>
    <row r="28" customFormat="false" ht="13.5" hidden="false" customHeight="false" outlineLevel="0" collapsed="false">
      <c r="A28" s="162"/>
      <c r="B28" s="162"/>
      <c r="C28" s="162"/>
      <c r="D28" s="162"/>
      <c r="E28" s="162"/>
      <c r="F28" s="162"/>
      <c r="G28" s="162"/>
    </row>
    <row r="29" customFormat="false" ht="13.5" hidden="false" customHeight="false" outlineLevel="0" collapsed="false">
      <c r="A29" s="162"/>
      <c r="B29" s="162"/>
      <c r="C29" s="162"/>
      <c r="D29" s="162"/>
      <c r="E29" s="162"/>
      <c r="F29" s="162"/>
      <c r="G29" s="162"/>
    </row>
    <row r="30" customFormat="false" ht="13.5" hidden="false" customHeight="false" outlineLevel="0" collapsed="false">
      <c r="A30" s="162"/>
      <c r="B30" s="162"/>
      <c r="C30" s="162"/>
      <c r="D30" s="162"/>
      <c r="E30" s="162"/>
      <c r="F30" s="162"/>
      <c r="G30" s="162"/>
    </row>
    <row r="31" customFormat="false" ht="13.5" hidden="false" customHeight="false" outlineLevel="0" collapsed="false">
      <c r="A31" s="162"/>
      <c r="B31" s="162"/>
      <c r="C31" s="162"/>
      <c r="D31" s="162"/>
      <c r="E31" s="162"/>
      <c r="F31" s="162"/>
      <c r="G31" s="162"/>
    </row>
    <row r="32" customFormat="false" ht="13.5" hidden="false" customHeight="false" outlineLevel="0" collapsed="false">
      <c r="A32" s="162"/>
      <c r="B32" s="162"/>
      <c r="C32" s="162"/>
      <c r="D32" s="162"/>
      <c r="E32" s="162"/>
      <c r="F32" s="162"/>
      <c r="G32" s="162"/>
    </row>
    <row r="33" customFormat="false" ht="13.5" hidden="false" customHeight="false" outlineLevel="0" collapsed="false">
      <c r="A33" s="162"/>
      <c r="B33" s="162"/>
      <c r="C33" s="162"/>
      <c r="D33" s="162"/>
      <c r="E33" s="162"/>
      <c r="F33" s="162"/>
      <c r="G33" s="162"/>
    </row>
    <row r="34" customFormat="false" ht="13.5" hidden="false" customHeight="false" outlineLevel="0" collapsed="false">
      <c r="A34" s="162"/>
      <c r="B34" s="162"/>
      <c r="C34" s="162"/>
      <c r="D34" s="162"/>
      <c r="E34" s="162"/>
      <c r="F34" s="162"/>
      <c r="G34" s="162"/>
    </row>
  </sheetData>
  <mergeCells count="5">
    <mergeCell ref="A1:G1"/>
    <mergeCell ref="B2:G2"/>
    <mergeCell ref="B3:G3"/>
    <mergeCell ref="B4:G4"/>
    <mergeCell ref="B5:G5"/>
  </mergeCells>
  <printOptions headings="false" gridLines="false" gridLinesSet="true" horizontalCentered="false" verticalCentered="false"/>
  <pageMargins left="0.7" right="0.7"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true"/>
  </sheetPr>
  <dimension ref="A1:AG28"/>
  <sheetViews>
    <sheetView showFormulas="false" showGridLines="true" showRowColHeaders="true" showZeros="true" rightToLeft="false" tabSelected="false" showOutlineSymbols="true" defaultGridColor="true" view="normal" topLeftCell="A7" colorId="64" zoomScale="85" zoomScaleNormal="85" zoomScalePageLayoutView="100" workbookViewId="0">
      <selection pane="topLeft" activeCell="L44" activeCellId="0" sqref="L44"/>
    </sheetView>
  </sheetViews>
  <sheetFormatPr defaultColWidth="9.453125" defaultRowHeight="13.5" zeroHeight="false" outlineLevelRow="0" outlineLevelCol="0"/>
  <cols>
    <col collapsed="false" customWidth="true" hidden="false" outlineLevel="0" max="1" min="1" style="174" width="18"/>
    <col collapsed="false" customWidth="true" hidden="false" outlineLevel="0" max="2" min="2" style="174" width="10.82"/>
    <col collapsed="false" customWidth="true" hidden="false" outlineLevel="0" max="3" min="3" style="174" width="14.18"/>
    <col collapsed="false" customWidth="true" hidden="false" outlineLevel="0" max="4" min="4" style="174" width="16.36"/>
    <col collapsed="false" customWidth="true" hidden="false" outlineLevel="0" max="6" min="5" style="174" width="12"/>
    <col collapsed="false" customWidth="true" hidden="false" outlineLevel="0" max="7" min="7" style="175" width="13.09"/>
    <col collapsed="false" customWidth="true" hidden="false" outlineLevel="0" max="8" min="8" style="174" width="12"/>
    <col collapsed="false" customWidth="true" hidden="false" outlineLevel="0" max="9" min="9" style="174" width="14.18"/>
    <col collapsed="false" customWidth="true" hidden="false" outlineLevel="0" max="10" min="10" style="174" width="13.09"/>
    <col collapsed="false" customWidth="true" hidden="false" outlineLevel="0" max="12" min="11" style="174" width="14.18"/>
    <col collapsed="false" customWidth="true" hidden="false" outlineLevel="0" max="13" min="13" style="174" width="13.09"/>
    <col collapsed="false" customWidth="true" hidden="false" outlineLevel="0" max="14" min="14" style="174" width="15.27"/>
    <col collapsed="false" customWidth="true" hidden="false" outlineLevel="0" max="15" min="15" style="174" width="12"/>
    <col collapsed="false" customWidth="true" hidden="false" outlineLevel="0" max="16" min="16" style="174" width="14.18"/>
    <col collapsed="false" customWidth="true" hidden="false" outlineLevel="0" max="18" min="17" style="174" width="16.36"/>
    <col collapsed="false" customWidth="true" hidden="false" outlineLevel="0" max="20" min="19" style="174" width="14.18"/>
    <col collapsed="false" customWidth="true" hidden="false" outlineLevel="0" max="21" min="21" style="174" width="16.36"/>
    <col collapsed="false" customWidth="true" hidden="false" outlineLevel="0" max="22" min="22" style="174" width="13.09"/>
    <col collapsed="false" customWidth="true" hidden="false" outlineLevel="0" max="23" min="23" style="174" width="15.27"/>
    <col collapsed="false" customWidth="true" hidden="false" outlineLevel="0" max="24" min="24" style="174" width="10.91"/>
    <col collapsed="false" customWidth="true" hidden="false" outlineLevel="0" max="25" min="25" style="174" width="13.09"/>
    <col collapsed="false" customWidth="true" hidden="false" outlineLevel="0" max="26" min="26" style="174" width="15.27"/>
    <col collapsed="false" customWidth="true" hidden="false" outlineLevel="0" max="28" min="27" style="174" width="16.36"/>
    <col collapsed="false" customWidth="true" hidden="false" outlineLevel="0" max="29" min="29" style="174" width="15.27"/>
    <col collapsed="false" customWidth="true" hidden="false" outlineLevel="0" max="30" min="30" style="174" width="14.18"/>
    <col collapsed="false" customWidth="true" hidden="false" outlineLevel="0" max="31" min="31" style="174" width="16.36"/>
    <col collapsed="false" customWidth="true" hidden="false" outlineLevel="0" max="32" min="32" style="174" width="14.18"/>
    <col collapsed="false" customWidth="true" hidden="false" outlineLevel="0" max="33" min="33" style="174" width="15.27"/>
    <col collapsed="false" customWidth="false" hidden="false" outlineLevel="0" max="16384" min="34" style="174" width="9.45"/>
  </cols>
  <sheetData>
    <row r="1" s="179" customFormat="true" ht="13.5" hidden="false" customHeight="false" outlineLevel="0" collapsed="false">
      <c r="A1" s="176"/>
      <c r="B1" s="177"/>
      <c r="C1" s="177"/>
      <c r="D1" s="177"/>
      <c r="E1" s="177"/>
      <c r="F1" s="177"/>
      <c r="G1" s="178"/>
      <c r="H1" s="177"/>
      <c r="I1" s="176"/>
      <c r="J1" s="177"/>
      <c r="K1" s="177"/>
      <c r="L1" s="177"/>
      <c r="M1" s="177"/>
      <c r="N1" s="176"/>
      <c r="O1" s="177"/>
      <c r="P1" s="177"/>
      <c r="Q1" s="177"/>
      <c r="R1" s="177"/>
      <c r="S1" s="177"/>
      <c r="T1" s="177"/>
      <c r="U1" s="177"/>
      <c r="V1" s="177"/>
      <c r="W1" s="176"/>
      <c r="X1" s="177"/>
      <c r="Y1" s="177"/>
      <c r="Z1" s="177"/>
      <c r="AA1" s="177"/>
      <c r="AB1" s="177"/>
      <c r="AC1" s="177"/>
      <c r="AD1" s="177"/>
      <c r="AE1" s="177"/>
      <c r="AF1" s="177"/>
      <c r="AG1" s="177"/>
    </row>
    <row r="2" s="179" customFormat="true" ht="33" hidden="false" customHeight="true" outlineLevel="0" collapsed="false">
      <c r="A2" s="180" t="s">
        <v>302</v>
      </c>
      <c r="B2" s="180"/>
      <c r="C2" s="180"/>
      <c r="D2" s="180"/>
      <c r="E2" s="180"/>
      <c r="F2" s="180"/>
      <c r="G2" s="180"/>
      <c r="H2" s="180"/>
      <c r="I2" s="180"/>
      <c r="J2" s="180"/>
      <c r="K2" s="180"/>
      <c r="L2" s="180"/>
      <c r="M2" s="180"/>
      <c r="N2" s="180"/>
      <c r="O2" s="180"/>
      <c r="P2" s="180"/>
      <c r="Q2" s="180"/>
      <c r="R2" s="180"/>
      <c r="S2" s="180"/>
      <c r="T2" s="180"/>
      <c r="U2" s="180"/>
      <c r="V2" s="180"/>
      <c r="W2" s="180"/>
      <c r="X2" s="180"/>
      <c r="Y2" s="180"/>
      <c r="Z2" s="180"/>
      <c r="AA2" s="180"/>
      <c r="AB2" s="180"/>
      <c r="AC2" s="180"/>
      <c r="AD2" s="180"/>
      <c r="AE2" s="180"/>
      <c r="AF2" s="180"/>
      <c r="AG2" s="180"/>
    </row>
    <row r="3" s="179" customFormat="true" ht="30" hidden="false" customHeight="true" outlineLevel="0" collapsed="false">
      <c r="A3" s="181" t="s">
        <v>1</v>
      </c>
      <c r="B3" s="182" t="str">
        <f aca="false">+RESUMEN!B4</f>
        <v>GERENCIA TERRITORIAL BAJO MAYO - TARAPOTO</v>
      </c>
      <c r="C3" s="182"/>
      <c r="D3" s="182"/>
      <c r="E3" s="182"/>
      <c r="F3" s="182"/>
      <c r="G3" s="182"/>
      <c r="H3" s="182"/>
      <c r="I3" s="182"/>
      <c r="J3" s="182"/>
      <c r="K3" s="182"/>
      <c r="L3" s="182"/>
      <c r="M3" s="182"/>
      <c r="N3" s="182"/>
      <c r="O3" s="182"/>
      <c r="P3" s="182"/>
      <c r="Q3" s="182"/>
      <c r="R3" s="182"/>
      <c r="S3" s="182"/>
      <c r="T3" s="182"/>
      <c r="U3" s="182"/>
      <c r="V3" s="182"/>
      <c r="W3" s="182"/>
      <c r="X3" s="182"/>
      <c r="Y3" s="182"/>
      <c r="Z3" s="182"/>
      <c r="AA3" s="182"/>
      <c r="AB3" s="182"/>
      <c r="AC3" s="182"/>
      <c r="AD3" s="182"/>
      <c r="AE3" s="182"/>
      <c r="AF3" s="182"/>
      <c r="AG3" s="182"/>
    </row>
    <row r="4" s="179" customFormat="true" ht="39.75" hidden="false" customHeight="true" outlineLevel="0" collapsed="false">
      <c r="A4" s="181" t="s">
        <v>3</v>
      </c>
      <c r="B4" s="182" t="str">
        <f aca="false">+RESUMEN!B5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C4" s="182"/>
      <c r="D4" s="182"/>
      <c r="E4" s="182"/>
      <c r="F4" s="182"/>
      <c r="G4" s="182"/>
      <c r="H4" s="182"/>
      <c r="I4" s="182"/>
      <c r="J4" s="182"/>
      <c r="K4" s="182"/>
      <c r="L4" s="182"/>
      <c r="M4" s="182"/>
      <c r="N4" s="182"/>
      <c r="O4" s="182"/>
      <c r="P4" s="182"/>
      <c r="Q4" s="182"/>
      <c r="R4" s="182"/>
      <c r="S4" s="182"/>
      <c r="T4" s="182"/>
      <c r="U4" s="182"/>
      <c r="V4" s="182"/>
      <c r="W4" s="182"/>
      <c r="X4" s="182"/>
      <c r="Y4" s="182"/>
      <c r="Z4" s="182"/>
      <c r="AA4" s="182"/>
      <c r="AB4" s="182"/>
      <c r="AC4" s="182"/>
      <c r="AD4" s="182"/>
      <c r="AE4" s="182"/>
      <c r="AF4" s="182"/>
      <c r="AG4" s="182"/>
    </row>
    <row r="5" s="179" customFormat="true" ht="34.5" hidden="false" customHeight="true" outlineLevel="0" collapsed="false">
      <c r="A5" s="181" t="s">
        <v>5</v>
      </c>
      <c r="B5" s="182" t="str">
        <f aca="false">+RESUMEN!B6</f>
        <v>SAN MARTIN - SAN MARTIN - MORALES</v>
      </c>
      <c r="C5" s="182"/>
      <c r="D5" s="182"/>
      <c r="E5" s="182"/>
      <c r="F5" s="182"/>
      <c r="G5" s="182"/>
      <c r="H5" s="182"/>
      <c r="I5" s="182"/>
      <c r="J5" s="182"/>
      <c r="K5" s="182"/>
      <c r="L5" s="182"/>
      <c r="M5" s="182"/>
      <c r="N5" s="182"/>
      <c r="O5" s="182"/>
      <c r="P5" s="182"/>
      <c r="Q5" s="182"/>
      <c r="R5" s="182"/>
      <c r="S5" s="182"/>
      <c r="T5" s="182"/>
      <c r="U5" s="182"/>
      <c r="V5" s="182"/>
      <c r="W5" s="182"/>
      <c r="X5" s="182"/>
      <c r="Y5" s="182"/>
      <c r="Z5" s="182"/>
      <c r="AA5" s="182"/>
      <c r="AB5" s="182"/>
      <c r="AC5" s="182"/>
      <c r="AD5" s="182"/>
      <c r="AE5" s="182"/>
      <c r="AF5" s="182"/>
      <c r="AG5" s="182"/>
    </row>
    <row r="6" s="179" customFormat="true" ht="30" hidden="false" customHeight="true" outlineLevel="0" collapsed="false">
      <c r="A6" s="181" t="s">
        <v>7</v>
      </c>
      <c r="B6" s="183" t="n">
        <f aca="false">+RESUMEN!B7</f>
        <v>46266</v>
      </c>
      <c r="C6" s="183"/>
      <c r="D6" s="183"/>
      <c r="E6" s="183"/>
      <c r="F6" s="183"/>
      <c r="G6" s="183"/>
      <c r="H6" s="183"/>
      <c r="I6" s="183"/>
      <c r="J6" s="183"/>
      <c r="K6" s="183"/>
      <c r="L6" s="183"/>
      <c r="M6" s="183"/>
      <c r="N6" s="183"/>
      <c r="O6" s="183"/>
      <c r="P6" s="183"/>
      <c r="Q6" s="183"/>
      <c r="R6" s="183"/>
      <c r="S6" s="183"/>
      <c r="T6" s="183"/>
      <c r="U6" s="183"/>
      <c r="V6" s="183"/>
      <c r="W6" s="183"/>
      <c r="X6" s="183"/>
      <c r="Y6" s="183"/>
      <c r="Z6" s="183"/>
      <c r="AA6" s="183"/>
      <c r="AB6" s="183"/>
      <c r="AC6" s="183"/>
      <c r="AD6" s="183"/>
      <c r="AE6" s="183"/>
      <c r="AF6" s="183"/>
      <c r="AG6" s="183"/>
    </row>
    <row r="7" s="179" customFormat="true" ht="15" hidden="false" customHeight="true" outlineLevel="0" collapsed="false">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row>
    <row r="8" customFormat="false" ht="21.75" hidden="false" customHeight="true" outlineLevel="0" collapsed="false">
      <c r="A8" s="184" t="s">
        <v>303</v>
      </c>
      <c r="B8" s="184"/>
      <c r="C8" s="184"/>
      <c r="D8" s="184"/>
      <c r="E8" s="184"/>
      <c r="F8" s="184"/>
      <c r="G8" s="184"/>
      <c r="H8" s="184"/>
      <c r="I8" s="184"/>
      <c r="J8" s="184"/>
      <c r="K8" s="184"/>
      <c r="L8" s="184"/>
      <c r="M8" s="184"/>
      <c r="N8" s="184"/>
      <c r="O8" s="184"/>
      <c r="P8" s="184"/>
      <c r="Q8" s="184"/>
      <c r="R8" s="184"/>
      <c r="S8" s="184"/>
      <c r="T8" s="184"/>
      <c r="U8" s="184"/>
      <c r="V8" s="184"/>
      <c r="W8" s="184"/>
      <c r="X8" s="184"/>
      <c r="Y8" s="184"/>
      <c r="Z8" s="184"/>
      <c r="AA8" s="184"/>
      <c r="AB8" s="184"/>
      <c r="AC8" s="184"/>
      <c r="AD8" s="184"/>
      <c r="AE8" s="184"/>
      <c r="AF8" s="184"/>
      <c r="AG8" s="184"/>
    </row>
    <row r="9" customFormat="false" ht="23.25" hidden="false" customHeight="true" outlineLevel="0" collapsed="false">
      <c r="A9" s="185" t="s">
        <v>304</v>
      </c>
      <c r="B9" s="185"/>
      <c r="C9" s="185"/>
      <c r="D9" s="185"/>
      <c r="E9" s="185"/>
      <c r="F9" s="185"/>
      <c r="G9" s="185"/>
      <c r="H9" s="186" t="s">
        <v>305</v>
      </c>
      <c r="I9" s="186"/>
      <c r="J9" s="186"/>
      <c r="K9" s="186"/>
      <c r="L9" s="186"/>
      <c r="M9" s="186"/>
      <c r="N9" s="186"/>
      <c r="O9" s="186"/>
      <c r="P9" s="187" t="s">
        <v>306</v>
      </c>
      <c r="Q9" s="187"/>
      <c r="R9" s="187"/>
      <c r="S9" s="187"/>
      <c r="T9" s="187"/>
      <c r="U9" s="187"/>
      <c r="V9" s="187"/>
      <c r="W9" s="187"/>
      <c r="X9" s="188" t="s">
        <v>307</v>
      </c>
      <c r="Y9" s="188"/>
      <c r="Z9" s="188"/>
      <c r="AA9" s="188"/>
      <c r="AB9" s="188"/>
      <c r="AC9" s="188"/>
      <c r="AD9" s="188"/>
      <c r="AE9" s="188"/>
      <c r="AF9" s="188"/>
      <c r="AG9" s="189" t="s">
        <v>308</v>
      </c>
    </row>
    <row r="10" customFormat="false" ht="60" hidden="false" customHeight="true" outlineLevel="0" collapsed="false">
      <c r="A10" s="190" t="s">
        <v>309</v>
      </c>
      <c r="B10" s="190" t="s">
        <v>310</v>
      </c>
      <c r="C10" s="190" t="s">
        <v>311</v>
      </c>
      <c r="D10" s="190" t="s">
        <v>312</v>
      </c>
      <c r="E10" s="190" t="s">
        <v>313</v>
      </c>
      <c r="F10" s="190" t="s">
        <v>314</v>
      </c>
      <c r="G10" s="190" t="s">
        <v>315</v>
      </c>
      <c r="H10" s="190" t="s">
        <v>316</v>
      </c>
      <c r="I10" s="190" t="s">
        <v>317</v>
      </c>
      <c r="J10" s="190" t="s">
        <v>318</v>
      </c>
      <c r="K10" s="190" t="s">
        <v>319</v>
      </c>
      <c r="L10" s="190" t="s">
        <v>320</v>
      </c>
      <c r="M10" s="190" t="s">
        <v>321</v>
      </c>
      <c r="N10" s="190" t="s">
        <v>322</v>
      </c>
      <c r="O10" s="190" t="s">
        <v>323</v>
      </c>
      <c r="P10" s="190" t="s">
        <v>324</v>
      </c>
      <c r="Q10" s="190" t="s">
        <v>325</v>
      </c>
      <c r="R10" s="190" t="s">
        <v>326</v>
      </c>
      <c r="S10" s="190" t="s">
        <v>327</v>
      </c>
      <c r="T10" s="190" t="s">
        <v>328</v>
      </c>
      <c r="U10" s="190" t="s">
        <v>329</v>
      </c>
      <c r="V10" s="190" t="s">
        <v>330</v>
      </c>
      <c r="W10" s="190" t="s">
        <v>331</v>
      </c>
      <c r="X10" s="190" t="s">
        <v>332</v>
      </c>
      <c r="Y10" s="190" t="s">
        <v>333</v>
      </c>
      <c r="Z10" s="190" t="s">
        <v>334</v>
      </c>
      <c r="AA10" s="190" t="s">
        <v>335</v>
      </c>
      <c r="AB10" s="190" t="s">
        <v>336</v>
      </c>
      <c r="AC10" s="190" t="s">
        <v>337</v>
      </c>
      <c r="AD10" s="190" t="s">
        <v>338</v>
      </c>
      <c r="AE10" s="190" t="s">
        <v>339</v>
      </c>
      <c r="AF10" s="190" t="s">
        <v>340</v>
      </c>
      <c r="AG10" s="190" t="s">
        <v>341</v>
      </c>
    </row>
    <row r="11" customFormat="false" ht="36" hidden="false" customHeight="true" outlineLevel="0" collapsed="false">
      <c r="A11" s="191" t="n">
        <v>1</v>
      </c>
      <c r="B11" s="192" t="s">
        <v>342</v>
      </c>
      <c r="C11" s="192" t="s">
        <v>343</v>
      </c>
      <c r="D11" s="193" t="s">
        <v>344</v>
      </c>
      <c r="E11" s="192" t="s">
        <v>345</v>
      </c>
      <c r="F11" s="192" t="s">
        <v>346</v>
      </c>
      <c r="G11" s="194" t="n">
        <v>6</v>
      </c>
      <c r="H11" s="192" t="s">
        <v>347</v>
      </c>
      <c r="I11" s="195" t="n">
        <f aca="false">IF(H11="","",IFERROR(VLOOKUP(H11,Listas!$A$4:$B$11,2,FALSE()),""))</f>
        <v>0.56</v>
      </c>
      <c r="J11" s="194" t="n">
        <v>0.2</v>
      </c>
      <c r="K11" s="194" t="n">
        <v>7</v>
      </c>
      <c r="L11" s="194" t="n">
        <v>7</v>
      </c>
      <c r="M11" s="196" t="n">
        <f aca="false">IF(B11="","",(K11+L11)/2)</f>
        <v>7.0</v>
      </c>
      <c r="N11" s="196" t="n">
        <f aca="false">IF(B11="","",G11*M11)</f>
        <v>42.0</v>
      </c>
      <c r="O11" s="196" t="n">
        <f aca="false">IF(B11="","",N11*I11)</f>
        <v>23.52</v>
      </c>
      <c r="P11" s="194" t="n">
        <v>0.25</v>
      </c>
      <c r="Q11" s="194" t="n">
        <v>1.44</v>
      </c>
      <c r="R11" s="194" t="n">
        <v>1.5</v>
      </c>
      <c r="S11" s="196" t="n">
        <f aca="false">IF(B11="","",(Q11+R11)/2)</f>
        <v>1.47</v>
      </c>
      <c r="T11" s="196" t="n">
        <f aca="false">IF(B11="","",IFERROR(IF($X$1="ENTERO (redondeo arriba)",ROUNDUP(G11/P11,0)+1,G11/P11+1),0))</f>
        <v>25.0</v>
      </c>
      <c r="U11" s="196" t="n">
        <f aca="false">IF(B11="","",S11*T11)</f>
        <v>36.75</v>
      </c>
      <c r="V11" s="196" t="n">
        <f aca="false">IF(B11="","",U11*I11)</f>
        <v>20.58</v>
      </c>
      <c r="W11" s="196" t="n">
        <f aca="false">IF(B11="","",O11+V11)</f>
        <v>44.1</v>
      </c>
      <c r="X11" s="197" t="s">
        <v>347</v>
      </c>
      <c r="Y11" s="198" t="n">
        <v>0.56</v>
      </c>
      <c r="Z11" s="199" t="n">
        <v>0.25</v>
      </c>
      <c r="AA11" s="199" t="n">
        <v>0.56</v>
      </c>
      <c r="AB11" s="199" t="n">
        <v>0.56</v>
      </c>
      <c r="AC11" s="200" t="n">
        <f aca="false">IF(B11="","",IF(D11="TAPADA",(AA11+AB11)/2,0))</f>
        <v>0.56</v>
      </c>
      <c r="AD11" s="200" t="n">
        <f aca="false">IF(B11="","",IF(D11="TAPADA",IFERROR(IF($X$1="ENTERO (redondeo arriba)",ROUNDUP(G11/Z11,0)+1,G11/Z11+1),0),0))</f>
        <v>25.0</v>
      </c>
      <c r="AE11" s="200" t="n">
        <f aca="false">IF(B11="","",IF(D11="TAPADA",AC11*AD11,0))</f>
        <v>14.0</v>
      </c>
      <c r="AF11" s="200" t="n">
        <f aca="false">IF(B11="","",IF(D11="TAPADA",AE11*Y11,0))</f>
        <v>7.84</v>
      </c>
      <c r="AG11" s="201" t="n">
        <f aca="false">IF(B11="","",W11+AF11)</f>
        <v>51.94</v>
      </c>
    </row>
    <row r="12" customFormat="false" ht="36" hidden="false" customHeight="true" outlineLevel="0" collapsed="false">
      <c r="A12" s="191" t="n">
        <v>2</v>
      </c>
      <c r="B12" s="192" t="s">
        <v>342</v>
      </c>
      <c r="C12" s="192" t="s">
        <v>348</v>
      </c>
      <c r="D12" s="193" t="s">
        <v>225</v>
      </c>
      <c r="E12" s="192" t="s">
        <v>346</v>
      </c>
      <c r="F12" s="192" t="s">
        <v>349</v>
      </c>
      <c r="G12" s="194" t="n">
        <v>58.1</v>
      </c>
      <c r="H12" s="192" t="s">
        <v>347</v>
      </c>
      <c r="I12" s="195" t="n">
        <f aca="false">IF(H12="","",IFERROR(VLOOKUP(H12,Listas!$A$4:$B$11,2,FALSE()),""))</f>
        <v>0.56</v>
      </c>
      <c r="J12" s="194" t="n">
        <v>0.22</v>
      </c>
      <c r="K12" s="194" t="n">
        <v>7</v>
      </c>
      <c r="L12" s="194" t="n">
        <v>9</v>
      </c>
      <c r="M12" s="196" t="n">
        <f aca="false">IF(B12="","",(K12+L12)/2)</f>
        <v>8.0</v>
      </c>
      <c r="N12" s="196" t="n">
        <f aca="false">IF(B12="","",G12*M12)</f>
        <v>464.8</v>
      </c>
      <c r="O12" s="196" t="n">
        <f aca="false">IF(B12="","",N12*I12)</f>
        <v>260.288</v>
      </c>
      <c r="P12" s="194" t="n">
        <v>0.25</v>
      </c>
      <c r="Q12" s="194" t="n">
        <v>1.5</v>
      </c>
      <c r="R12" s="194" t="n">
        <v>2.06</v>
      </c>
      <c r="S12" s="196" t="n">
        <f aca="false">IF(B12="","",(Q12+R12)/2)</f>
        <v>1.78</v>
      </c>
      <c r="T12" s="196" t="n">
        <f aca="false">IF(B12="","",IFERROR(IF($X$1="ENTERO (redondeo arriba)",ROUNDUP(G12/P12,0)+1,G12/P12+1),0))</f>
        <v>233.4</v>
      </c>
      <c r="U12" s="196" t="n">
        <f aca="false">IF(B12="","",S12*T12)</f>
        <v>415.452</v>
      </c>
      <c r="V12" s="196" t="n">
        <f aca="false">IF(B12="","",U12*I12)</f>
        <v>232.65312</v>
      </c>
      <c r="W12" s="196" t="n">
        <f aca="false">IF(B12="","",O12+V12)</f>
        <v>492.94112</v>
      </c>
      <c r="X12" s="197"/>
      <c r="Y12" s="198"/>
      <c r="Z12" s="199"/>
      <c r="AA12" s="199"/>
      <c r="AB12" s="199"/>
      <c r="AC12" s="200" t="n">
        <f aca="false">IF(B12="","",IF(D12="TAPADA",(AA12+AB12)/2,0))</f>
        <v>0.0</v>
      </c>
      <c r="AD12" s="200" t="n">
        <f aca="false">IF(B12="","",IF(D12="TAPADA",IFERROR(IF($X$1="ENTERO (redondeo arriba)",ROUNDUP(G12/Z12,0)+1,G12/Z12+1),0),0))</f>
        <v>0.0</v>
      </c>
      <c r="AE12" s="200" t="n">
        <f aca="false">IF(B12="","",IF(D12="TAPADA",AC12*AD12,0))</f>
        <v>0.0</v>
      </c>
      <c r="AF12" s="200" t="n">
        <f aca="false">IF(B12="","",IF(D12="TAPADA",AE12*Y12,0))</f>
        <v>0.0</v>
      </c>
      <c r="AG12" s="201" t="n">
        <f aca="false">IF(B12="","",W12+AF12)</f>
        <v>492.94112</v>
      </c>
    </row>
    <row r="13" customFormat="false" ht="36" hidden="false" customHeight="true" outlineLevel="0" collapsed="false">
      <c r="A13" s="191" t="n">
        <v>3</v>
      </c>
      <c r="B13" s="192" t="s">
        <v>342</v>
      </c>
      <c r="C13" s="192" t="s">
        <v>350</v>
      </c>
      <c r="D13" s="193" t="s">
        <v>344</v>
      </c>
      <c r="E13" s="192" t="s">
        <v>349</v>
      </c>
      <c r="F13" s="192" t="s">
        <v>351</v>
      </c>
      <c r="G13" s="194" t="n">
        <v>34.23</v>
      </c>
      <c r="H13" s="192" t="s">
        <v>347</v>
      </c>
      <c r="I13" s="195" t="n">
        <f aca="false">IF(H13="","",IFERROR(VLOOKUP(H13,Listas!$A$4:$B$11,2,FALSE()),""))</f>
        <v>0.56</v>
      </c>
      <c r="J13" s="194" t="n">
        <v>0.25</v>
      </c>
      <c r="K13" s="194" t="n">
        <v>8</v>
      </c>
      <c r="L13" s="194" t="n">
        <v>9</v>
      </c>
      <c r="M13" s="196" t="n">
        <f aca="false">IF(B13="","",(K13+L13)/2)</f>
        <v>8.5</v>
      </c>
      <c r="N13" s="196" t="n">
        <f aca="false">IF(B13="","",G13*M13)</f>
        <v>290.955</v>
      </c>
      <c r="O13" s="196" t="n">
        <f aca="false">IF(B13="","",N13*I13)</f>
        <v>162.9348</v>
      </c>
      <c r="P13" s="194" t="n">
        <v>0.25</v>
      </c>
      <c r="Q13" s="194" t="n">
        <v>2.06</v>
      </c>
      <c r="R13" s="194" t="n">
        <v>2.2</v>
      </c>
      <c r="S13" s="196" t="n">
        <f aca="false">IF(B13="","",(Q13+R13)/2)</f>
        <v>2.13</v>
      </c>
      <c r="T13" s="196" t="n">
        <f aca="false">IF(B13="","",IFERROR(IF($X$1="ENTERO (redondeo arriba)",ROUNDUP(G13/P13,0)+1,G13/P13+1),0))</f>
        <v>137.92</v>
      </c>
      <c r="U13" s="196" t="n">
        <f aca="false">IF(B13="","",S13*T13)</f>
        <v>293.7696</v>
      </c>
      <c r="V13" s="196" t="n">
        <f aca="false">IF(B13="","",U13*I13)</f>
        <v>164.510976</v>
      </c>
      <c r="W13" s="196" t="n">
        <f aca="false">IF(B13="","",O13+V13)</f>
        <v>327.445776</v>
      </c>
      <c r="X13" s="197" t="s">
        <v>347</v>
      </c>
      <c r="Y13" s="198" t="n">
        <v>0.56</v>
      </c>
      <c r="Z13" s="199" t="n">
        <v>0.25</v>
      </c>
      <c r="AA13" s="199" t="n">
        <v>0.56</v>
      </c>
      <c r="AB13" s="199" t="n">
        <v>0.56</v>
      </c>
      <c r="AC13" s="200" t="n">
        <f aca="false">IF(B13="","",IF(D13="TAPADA",(AA13+AB13)/2,0))</f>
        <v>0.56</v>
      </c>
      <c r="AD13" s="200" t="n">
        <f aca="false">IF(B13="","",IF(D13="TAPADA",IFERROR(IF($X$1="ENTERO (redondeo arriba)",ROUNDUP(G13/Z13,0)+1,G13/Z13+1),0),0))</f>
        <v>137.92</v>
      </c>
      <c r="AE13" s="200" t="n">
        <f aca="false">IF(B13="","",IF(D13="TAPADA",AC13*AD13,0))</f>
        <v>77.2352</v>
      </c>
      <c r="AF13" s="200" t="n">
        <f aca="false">IF(B13="","",IF(D13="TAPADA",AE13*Y13,0))</f>
        <v>43.251712</v>
      </c>
      <c r="AG13" s="201" t="n">
        <f aca="false">IF(B13="","",W13+AF13)</f>
        <v>370.697488</v>
      </c>
    </row>
    <row r="14" customFormat="false" ht="36" hidden="false" customHeight="true" outlineLevel="0" collapsed="false">
      <c r="A14" s="191" t="n">
        <v>4</v>
      </c>
      <c r="B14" s="192" t="s">
        <v>352</v>
      </c>
      <c r="C14" s="192" t="s">
        <v>343</v>
      </c>
      <c r="D14" s="193" t="s">
        <v>225</v>
      </c>
      <c r="E14" s="192" t="s">
        <v>353</v>
      </c>
      <c r="F14" s="192" t="s">
        <v>354</v>
      </c>
      <c r="G14" s="194" t="n">
        <v>14.25</v>
      </c>
      <c r="H14" s="192" t="s">
        <v>347</v>
      </c>
      <c r="I14" s="195" t="n">
        <f aca="false">IF(H14="","",IFERROR(VLOOKUP(H14,Listas!$A$4:$B$11,2,FALSE()),""))</f>
        <v>0.56</v>
      </c>
      <c r="J14" s="194" t="n">
        <v>0.2</v>
      </c>
      <c r="K14" s="194" t="n">
        <v>7</v>
      </c>
      <c r="L14" s="194" t="n">
        <v>8</v>
      </c>
      <c r="M14" s="196" t="n">
        <f aca="false">IF(B14="","",(K14+L14)/2)</f>
        <v>7.5</v>
      </c>
      <c r="N14" s="196" t="n">
        <f aca="false">IF(B14="","",G14*M14)</f>
        <v>106.875</v>
      </c>
      <c r="O14" s="196" t="n">
        <f aca="false">IF(B14="","",N14*I14)</f>
        <v>59.85</v>
      </c>
      <c r="P14" s="194" t="n">
        <v>0.25</v>
      </c>
      <c r="Q14" s="194" t="n">
        <v>1.5</v>
      </c>
      <c r="R14" s="194" t="n">
        <v>1.64</v>
      </c>
      <c r="S14" s="196" t="n">
        <f aca="false">IF(B14="","",(Q14+R14)/2)</f>
        <v>1.57</v>
      </c>
      <c r="T14" s="196" t="n">
        <f aca="false">IF(B14="","",IFERROR(IF($X$1="ENTERO (redondeo arriba)",ROUNDUP(G14/P14,0)+1,G14/P14+1),0))</f>
        <v>58.0</v>
      </c>
      <c r="U14" s="196" t="n">
        <f aca="false">IF(B14="","",S14*T14)</f>
        <v>91.06</v>
      </c>
      <c r="V14" s="196" t="n">
        <f aca="false">IF(B14="","",U14*I14)</f>
        <v>50.9936</v>
      </c>
      <c r="W14" s="196" t="n">
        <f aca="false">IF(B14="","",O14+V14)</f>
        <v>110.8436</v>
      </c>
      <c r="X14" s="197"/>
      <c r="Y14" s="198"/>
      <c r="Z14" s="199"/>
      <c r="AA14" s="199"/>
      <c r="AB14" s="199"/>
      <c r="AC14" s="200" t="n">
        <f aca="false">IF(B14="","",IF(D14="TAPADA",(AA14+AB14)/2,0))</f>
        <v>0.0</v>
      </c>
      <c r="AD14" s="200" t="n">
        <f aca="false">IF(B14="","",IF(D14="TAPADA",IFERROR(IF($X$1="ENTERO (redondeo arriba)",ROUNDUP(G14/Z14,0)+1,G14/Z14+1),0),0))</f>
        <v>0.0</v>
      </c>
      <c r="AE14" s="200" t="n">
        <f aca="false">IF(B14="","",IF(D14="TAPADA",AC14*AD14,0))</f>
        <v>0.0</v>
      </c>
      <c r="AF14" s="200" t="n">
        <f aca="false">IF(B14="","",IF(D14="TAPADA",AE14*Y14,0))</f>
        <v>0.0</v>
      </c>
      <c r="AG14" s="201" t="n">
        <f aca="false">IF(B14="","",W14+AF14)</f>
        <v>110.8436</v>
      </c>
    </row>
    <row r="15" customFormat="false" ht="36" hidden="false" customHeight="true" outlineLevel="0" collapsed="false">
      <c r="A15" s="191" t="n">
        <v>5</v>
      </c>
      <c r="B15" s="192" t="s">
        <v>355</v>
      </c>
      <c r="C15" s="192" t="s">
        <v>343</v>
      </c>
      <c r="D15" s="193" t="s">
        <v>225</v>
      </c>
      <c r="E15" s="192" t="s">
        <v>356</v>
      </c>
      <c r="F15" s="192" t="s">
        <v>357</v>
      </c>
      <c r="G15" s="194" t="n">
        <v>2.4</v>
      </c>
      <c r="H15" s="192" t="s">
        <v>347</v>
      </c>
      <c r="I15" s="195" t="n">
        <f aca="false">IF(H15="","",IFERROR(VLOOKUP(H15,Listas!$A$4:$B$11,2,FALSE()),""))</f>
        <v>0.56</v>
      </c>
      <c r="J15" s="194" t="n">
        <v>0.2</v>
      </c>
      <c r="K15" s="194" t="n">
        <v>7</v>
      </c>
      <c r="L15" s="194" t="n">
        <v>8</v>
      </c>
      <c r="M15" s="196" t="n">
        <f aca="false">IF(B15="","",(K15+L15)/2)</f>
        <v>7.5</v>
      </c>
      <c r="N15" s="196" t="n">
        <f aca="false">IF(B15="","",G15*M15)</f>
        <v>18.0</v>
      </c>
      <c r="O15" s="196" t="n">
        <f aca="false">IF(B15="","",N15*I15)</f>
        <v>10.08</v>
      </c>
      <c r="P15" s="194" t="n">
        <v>0.25</v>
      </c>
      <c r="Q15" s="194" t="n">
        <v>1.5</v>
      </c>
      <c r="R15" s="194" t="n">
        <v>1.54</v>
      </c>
      <c r="S15" s="196" t="n">
        <f aca="false">IF(B15="","",(Q15+R15)/2)</f>
        <v>1.52</v>
      </c>
      <c r="T15" s="196" t="n">
        <f aca="false">IF(B15="","",IFERROR(IF($X$1="ENTERO (redondeo arriba)",ROUNDUP(G15/P15,0)+1,G15/P15+1),0))</f>
        <v>10.6</v>
      </c>
      <c r="U15" s="196" t="n">
        <f aca="false">IF(B15="","",S15*T15)</f>
        <v>16.112</v>
      </c>
      <c r="V15" s="196" t="n">
        <f aca="false">IF(B15="","",U15*I15)</f>
        <v>9.02272</v>
      </c>
      <c r="W15" s="196" t="n">
        <f aca="false">IF(B15="","",O15+V15)</f>
        <v>19.10272</v>
      </c>
      <c r="X15" s="197"/>
      <c r="Y15" s="198"/>
      <c r="Z15" s="199"/>
      <c r="AA15" s="199"/>
      <c r="AB15" s="199"/>
      <c r="AC15" s="200" t="n">
        <f aca="false">IF(B15="","",IF(D15="TAPADA",(AA15+AB15)/2,0))</f>
        <v>0.0</v>
      </c>
      <c r="AD15" s="200" t="n">
        <f aca="false">IF(B15="","",IF(D15="TAPADA",IFERROR(IF($X$1="ENTERO (redondeo arriba)",ROUNDUP(G15/Z15,0)+1,G15/Z15+1),0),0))</f>
        <v>0.0</v>
      </c>
      <c r="AE15" s="200" t="n">
        <f aca="false">IF(B15="","",IF(D15="TAPADA",AC15*AD15,0))</f>
        <v>0.0</v>
      </c>
      <c r="AF15" s="200" t="n">
        <f aca="false">IF(B15="","",IF(D15="TAPADA",AE15*Y15,0))</f>
        <v>0.0</v>
      </c>
      <c r="AG15" s="201" t="n">
        <f aca="false">IF(B15="","",W15+AF15)</f>
        <v>19.10272</v>
      </c>
    </row>
    <row r="16" customFormat="false" ht="36" hidden="false" customHeight="true" outlineLevel="0" collapsed="false">
      <c r="A16" s="191" t="n">
        <v>6</v>
      </c>
      <c r="B16" s="192" t="s">
        <v>358</v>
      </c>
      <c r="C16" s="192" t="s">
        <v>343</v>
      </c>
      <c r="D16" s="193" t="s">
        <v>344</v>
      </c>
      <c r="E16" s="192" t="s">
        <v>359</v>
      </c>
      <c r="F16" s="192" t="s">
        <v>360</v>
      </c>
      <c r="G16" s="194" t="n">
        <v>5.5</v>
      </c>
      <c r="H16" s="192" t="s">
        <v>347</v>
      </c>
      <c r="I16" s="195" t="n">
        <f aca="false">IF(H16="","",IFERROR(VLOOKUP(H16,Listas!$A$4:$B$11,2,FALSE()),""))</f>
        <v>0.56</v>
      </c>
      <c r="J16" s="194" t="n">
        <v>0.2</v>
      </c>
      <c r="K16" s="194" t="n">
        <v>7</v>
      </c>
      <c r="L16" s="194" t="n">
        <v>7</v>
      </c>
      <c r="M16" s="196" t="n">
        <f aca="false">IF(B16="","",(K16+L16)/2)</f>
        <v>7.0</v>
      </c>
      <c r="N16" s="196" t="n">
        <f aca="false">IF(B16="","",G16*M16)</f>
        <v>38.5</v>
      </c>
      <c r="O16" s="196" t="n">
        <f aca="false">IF(B16="","",N16*I16)</f>
        <v>21.56</v>
      </c>
      <c r="P16" s="194" t="n">
        <v>0.25</v>
      </c>
      <c r="Q16" s="194" t="n">
        <v>1.42</v>
      </c>
      <c r="R16" s="194" t="n">
        <v>1.5</v>
      </c>
      <c r="S16" s="196" t="n">
        <f aca="false">IF(B16="","",(Q16+R16)/2)</f>
        <v>1.46</v>
      </c>
      <c r="T16" s="196" t="n">
        <f aca="false">IF(B16="","",IFERROR(IF($X$1="ENTERO (redondeo arriba)",ROUNDUP(G16/P16,0)+1,G16/P16+1),0))</f>
        <v>23.0</v>
      </c>
      <c r="U16" s="196" t="n">
        <f aca="false">IF(B16="","",S16*T16)</f>
        <v>33.58</v>
      </c>
      <c r="V16" s="196" t="n">
        <f aca="false">IF(B16="","",U16*I16)</f>
        <v>18.8048</v>
      </c>
      <c r="W16" s="196" t="n">
        <f aca="false">IF(B16="","",O16+V16)</f>
        <v>40.3648</v>
      </c>
      <c r="X16" s="197" t="s">
        <v>347</v>
      </c>
      <c r="Y16" s="198" t="n">
        <v>0.56</v>
      </c>
      <c r="Z16" s="199" t="n">
        <v>0.25</v>
      </c>
      <c r="AA16" s="199" t="n">
        <v>0.56</v>
      </c>
      <c r="AB16" s="199" t="n">
        <v>0.56</v>
      </c>
      <c r="AC16" s="200" t="n">
        <f aca="false">IF(B16="","",IF(D16="TAPADA",(AA16+AB16)/2,0))</f>
        <v>0.56</v>
      </c>
      <c r="AD16" s="200" t="n">
        <f aca="false">IF(B16="","",IF(D16="TAPADA",IFERROR(IF($X$1="ENTERO (redondeo arriba)",ROUNDUP(G16/Z16,0)+1,G16/Z16+1),0),0))</f>
        <v>23.0</v>
      </c>
      <c r="AE16" s="200" t="n">
        <f aca="false">IF(B16="","",IF(D16="TAPADA",AC16*AD16,0))</f>
        <v>12.88</v>
      </c>
      <c r="AF16" s="200" t="n">
        <f aca="false">IF(B16="","",IF(D16="TAPADA",AE16*Y16,0))</f>
        <v>7.2128</v>
      </c>
      <c r="AG16" s="201" t="n">
        <f aca="false">IF(B16="","",W16+AF16)</f>
        <v>47.5776</v>
      </c>
    </row>
    <row r="17" customFormat="false" ht="36" hidden="false" customHeight="true" outlineLevel="0" collapsed="false">
      <c r="A17" s="191" t="n">
        <v>7</v>
      </c>
      <c r="B17" s="192" t="s">
        <v>358</v>
      </c>
      <c r="C17" s="192" t="s">
        <v>348</v>
      </c>
      <c r="D17" s="193" t="s">
        <v>225</v>
      </c>
      <c r="E17" s="192" t="s">
        <v>360</v>
      </c>
      <c r="F17" s="192" t="s">
        <v>361</v>
      </c>
      <c r="G17" s="194" t="n">
        <v>58</v>
      </c>
      <c r="H17" s="192" t="s">
        <v>347</v>
      </c>
      <c r="I17" s="195" t="n">
        <f aca="false">IF(H17="","",IFERROR(VLOOKUP(H17,Listas!$A$4:$B$11,2,FALSE()),""))</f>
        <v>0.56</v>
      </c>
      <c r="J17" s="194" t="n">
        <v>0.22</v>
      </c>
      <c r="K17" s="194" t="n">
        <v>7</v>
      </c>
      <c r="L17" s="194" t="n">
        <v>9</v>
      </c>
      <c r="M17" s="196" t="n">
        <f aca="false">IF(B17="","",(K17+L17)/2)</f>
        <v>8.0</v>
      </c>
      <c r="N17" s="196" t="n">
        <f aca="false">IF(B17="","",G17*M17)</f>
        <v>464.0</v>
      </c>
      <c r="O17" s="196" t="n">
        <f aca="false">IF(B17="","",N17*I17)</f>
        <v>259.84</v>
      </c>
      <c r="P17" s="194" t="n">
        <v>0.25</v>
      </c>
      <c r="Q17" s="194" t="n">
        <v>1.5</v>
      </c>
      <c r="R17" s="194" t="n">
        <v>2.06</v>
      </c>
      <c r="S17" s="196" t="n">
        <f aca="false">IF(B17="","",(Q17+R17)/2)</f>
        <v>1.78</v>
      </c>
      <c r="T17" s="196" t="n">
        <f aca="false">IF(B17="","",IFERROR(IF($X$1="ENTERO (redondeo arriba)",ROUNDUP(G17/P17,0)+1,G17/P17+1),0))</f>
        <v>233.0</v>
      </c>
      <c r="U17" s="196" t="n">
        <f aca="false">IF(B17="","",S17*T17)</f>
        <v>414.74</v>
      </c>
      <c r="V17" s="196" t="n">
        <f aca="false">IF(B17="","",U17*I17)</f>
        <v>232.2544</v>
      </c>
      <c r="W17" s="196" t="n">
        <f aca="false">IF(B17="","",O17+V17)</f>
        <v>492.0944</v>
      </c>
      <c r="X17" s="197"/>
      <c r="Y17" s="198"/>
      <c r="Z17" s="199"/>
      <c r="AA17" s="199"/>
      <c r="AB17" s="199"/>
      <c r="AC17" s="200" t="n">
        <f aca="false">IF(B17="","",IF(D17="TAPADA",(AA17+AB17)/2,0))</f>
        <v>0.0</v>
      </c>
      <c r="AD17" s="200" t="n">
        <f aca="false">IF(B17="","",IF(D17="TAPADA",IFERROR(IF($X$1="ENTERO (redondeo arriba)",ROUNDUP(G17/Z17,0)+1,G17/Z17+1),0),0))</f>
        <v>0.0</v>
      </c>
      <c r="AE17" s="200" t="n">
        <f aca="false">IF(B17="","",IF(D17="TAPADA",AC17*AD17,0))</f>
        <v>0.0</v>
      </c>
      <c r="AF17" s="200" t="n">
        <f aca="false">IF(B17="","",IF(D17="TAPADA",AE17*Y17,0))</f>
        <v>0.0</v>
      </c>
      <c r="AG17" s="201" t="n">
        <f aca="false">IF(B17="","",W17+AF17)</f>
        <v>492.0944</v>
      </c>
    </row>
    <row r="18" customFormat="false" ht="36" hidden="false" customHeight="true" outlineLevel="0" collapsed="false">
      <c r="A18" s="191" t="n">
        <v>8</v>
      </c>
      <c r="B18" s="192" t="s">
        <v>358</v>
      </c>
      <c r="C18" s="192" t="s">
        <v>350</v>
      </c>
      <c r="D18" s="193" t="s">
        <v>344</v>
      </c>
      <c r="E18" s="192" t="s">
        <v>361</v>
      </c>
      <c r="F18" s="192" t="s">
        <v>362</v>
      </c>
      <c r="G18" s="194" t="n">
        <v>25.16</v>
      </c>
      <c r="H18" s="192" t="s">
        <v>347</v>
      </c>
      <c r="I18" s="195" t="n">
        <f aca="false">IF(H18="","",IFERROR(VLOOKUP(H18,Listas!$A$4:$B$11,2,FALSE()),""))</f>
        <v>0.56</v>
      </c>
      <c r="J18" s="194" t="n">
        <v>0.25</v>
      </c>
      <c r="K18" s="194" t="n">
        <v>8</v>
      </c>
      <c r="L18" s="194" t="n">
        <v>8</v>
      </c>
      <c r="M18" s="196" t="n">
        <f aca="false">IF(B18="","",(K18+L18)/2)</f>
        <v>8.0</v>
      </c>
      <c r="N18" s="196" t="n">
        <f aca="false">IF(B18="","",G18*M18)</f>
        <v>201.28</v>
      </c>
      <c r="O18" s="196" t="n">
        <f aca="false">IF(B18="","",N18*I18)</f>
        <v>112.7168</v>
      </c>
      <c r="P18" s="194" t="n">
        <v>0.25</v>
      </c>
      <c r="Q18" s="194" t="n">
        <v>2.06</v>
      </c>
      <c r="R18" s="194" t="n">
        <v>2.1</v>
      </c>
      <c r="S18" s="196" t="n">
        <f aca="false">IF(B18="","",(Q18+R18)/2)</f>
        <v>2.08</v>
      </c>
      <c r="T18" s="196" t="n">
        <f aca="false">IF(B18="","",IFERROR(IF($X$1="ENTERO (redondeo arriba)",ROUNDUP(G18/P18,0)+1,G18/P18+1),0))</f>
        <v>101.64</v>
      </c>
      <c r="U18" s="196" t="n">
        <f aca="false">IF(B18="","",S18*T18)</f>
        <v>211.4112</v>
      </c>
      <c r="V18" s="196" t="n">
        <f aca="false">IF(B18="","",U18*I18)</f>
        <v>118.390272</v>
      </c>
      <c r="W18" s="196" t="n">
        <f aca="false">IF(B18="","",O18+V18)</f>
        <v>231.107072</v>
      </c>
      <c r="X18" s="197" t="s">
        <v>347</v>
      </c>
      <c r="Y18" s="198" t="n">
        <v>0.56</v>
      </c>
      <c r="Z18" s="199" t="n">
        <v>0.25</v>
      </c>
      <c r="AA18" s="199" t="n">
        <v>0.56</v>
      </c>
      <c r="AB18" s="199" t="n">
        <v>0.56</v>
      </c>
      <c r="AC18" s="200" t="n">
        <f aca="false">IF(B18="","",IF(D18="TAPADA",(AA18+AB18)/2,0))</f>
        <v>0.56</v>
      </c>
      <c r="AD18" s="200" t="n">
        <f aca="false">IF(B18="","",IF(D18="TAPADA",IFERROR(IF($X$1="ENTERO (redondeo arriba)",ROUNDUP(G18/Z18,0)+1,G18/Z18+1),0),0))</f>
        <v>101.64</v>
      </c>
      <c r="AE18" s="200" t="n">
        <f aca="false">IF(B18="","",IF(D18="TAPADA",AC18*AD18,0))</f>
        <v>56.9184</v>
      </c>
      <c r="AF18" s="200" t="n">
        <f aca="false">IF(B18="","",IF(D18="TAPADA",AE18*Y18,0))</f>
        <v>31.874304</v>
      </c>
      <c r="AG18" s="201" t="n">
        <f aca="false">IF(B18="","",W18+AF18)</f>
        <v>262.981376</v>
      </c>
    </row>
    <row r="19" customFormat="false" ht="36" hidden="false" customHeight="true" outlineLevel="0" collapsed="false">
      <c r="A19" s="191" t="n">
        <v>9</v>
      </c>
      <c r="B19" s="192" t="s">
        <v>363</v>
      </c>
      <c r="C19" s="192" t="s">
        <v>343</v>
      </c>
      <c r="D19" s="193" t="s">
        <v>225</v>
      </c>
      <c r="E19" s="192" t="s">
        <v>364</v>
      </c>
      <c r="F19" s="192" t="s">
        <v>365</v>
      </c>
      <c r="G19" s="194" t="n">
        <v>12.3</v>
      </c>
      <c r="H19" s="192" t="s">
        <v>347</v>
      </c>
      <c r="I19" s="195" t="n">
        <f aca="false">IF(H19="","",IFERROR(VLOOKUP(H19,Listas!$A$4:$B$11,2,FALSE()),""))</f>
        <v>0.56</v>
      </c>
      <c r="J19" s="194" t="n">
        <v>0.2</v>
      </c>
      <c r="K19" s="194" t="n">
        <v>7</v>
      </c>
      <c r="L19" s="194" t="n">
        <v>8</v>
      </c>
      <c r="M19" s="196" t="n">
        <f aca="false">IF(B19="","",(K19+L19)/2)</f>
        <v>7.5</v>
      </c>
      <c r="N19" s="196" t="n">
        <f aca="false">IF(B19="","",G19*M19)</f>
        <v>92.25</v>
      </c>
      <c r="O19" s="196" t="n">
        <f aca="false">IF(B19="","",N19*I19)</f>
        <v>51.66</v>
      </c>
      <c r="P19" s="194" t="n">
        <v>0.25</v>
      </c>
      <c r="Q19" s="194" t="n">
        <v>1.5</v>
      </c>
      <c r="R19" s="194" t="n">
        <v>1.62</v>
      </c>
      <c r="S19" s="196" t="n">
        <f aca="false">IF(B19="","",(Q19+R19)/2)</f>
        <v>1.56</v>
      </c>
      <c r="T19" s="196" t="n">
        <f aca="false">IF(B19="","",IFERROR(IF($X$1="ENTERO (redondeo arriba)",ROUNDUP(G19/P19,0)+1,G19/P19+1),0))</f>
        <v>50.2</v>
      </c>
      <c r="U19" s="196" t="n">
        <f aca="false">IF(B19="","",S19*T19)</f>
        <v>78.312</v>
      </c>
      <c r="V19" s="196" t="n">
        <f aca="false">IF(B19="","",U19*I19)</f>
        <v>43.85472</v>
      </c>
      <c r="W19" s="196" t="n">
        <f aca="false">IF(B19="","",O19+V19)</f>
        <v>95.51472</v>
      </c>
      <c r="X19" s="197"/>
      <c r="Y19" s="198"/>
      <c r="Z19" s="199"/>
      <c r="AA19" s="199"/>
      <c r="AB19" s="199"/>
      <c r="AC19" s="200" t="n">
        <f aca="false">IF(B19="","",IF(D19="TAPADA",(AA19+AB19)/2,0))</f>
        <v>0.0</v>
      </c>
      <c r="AD19" s="200" t="n">
        <f aca="false">IF(B19="","",IF(D19="TAPADA",IFERROR(IF($X$1="ENTERO (redondeo arriba)",ROUNDUP(G19/Z19,0)+1,G19/Z19+1),0),0))</f>
        <v>0.0</v>
      </c>
      <c r="AE19" s="200" t="n">
        <f aca="false">IF(B19="","",IF(D19="TAPADA",AC19*AD19,0))</f>
        <v>0.0</v>
      </c>
      <c r="AF19" s="200" t="n">
        <f aca="false">IF(B19="","",IF(D19="TAPADA",AE19*Y19,0))</f>
        <v>0.0</v>
      </c>
      <c r="AG19" s="201" t="n">
        <f aca="false">IF(B19="","",W19+AF19)</f>
        <v>95.51472</v>
      </c>
    </row>
    <row r="20" customFormat="false" ht="36" hidden="false" customHeight="true" outlineLevel="0" collapsed="false">
      <c r="A20" s="191" t="n">
        <v>10</v>
      </c>
      <c r="B20" s="192" t="s">
        <v>363</v>
      </c>
      <c r="C20" s="192" t="s">
        <v>348</v>
      </c>
      <c r="D20" s="193" t="s">
        <v>344</v>
      </c>
      <c r="E20" s="192" t="s">
        <v>365</v>
      </c>
      <c r="F20" s="192" t="s">
        <v>366</v>
      </c>
      <c r="G20" s="194" t="n">
        <v>9.9</v>
      </c>
      <c r="H20" s="192" t="s">
        <v>347</v>
      </c>
      <c r="I20" s="195" t="n">
        <f aca="false">IF(H20="","",IFERROR(VLOOKUP(H20,Listas!$A$4:$B$11,2,FALSE()),""))</f>
        <v>0.56</v>
      </c>
      <c r="J20" s="194" t="n">
        <v>0.22</v>
      </c>
      <c r="K20" s="194" t="n">
        <v>7</v>
      </c>
      <c r="L20" s="194" t="n">
        <v>8</v>
      </c>
      <c r="M20" s="196" t="n">
        <f aca="false">IF(B20="","",(K20+L20)/2)</f>
        <v>7.5</v>
      </c>
      <c r="N20" s="196" t="n">
        <f aca="false">IF(B20="","",G20*M20)</f>
        <v>74.25</v>
      </c>
      <c r="O20" s="196" t="n">
        <f aca="false">IF(B20="","",N20*I20)</f>
        <v>41.58</v>
      </c>
      <c r="P20" s="194" t="n">
        <v>0.25</v>
      </c>
      <c r="Q20" s="194" t="n">
        <v>1.62</v>
      </c>
      <c r="R20" s="194" t="n">
        <v>1.72</v>
      </c>
      <c r="S20" s="196" t="n">
        <f aca="false">IF(B20="","",(Q20+R20)/2)</f>
        <v>1.67</v>
      </c>
      <c r="T20" s="196" t="n">
        <f aca="false">IF(B20="","",IFERROR(IF($X$1="ENTERO (redondeo arriba)",ROUNDUP(G20/P20,0)+1,G20/P20+1),0))</f>
        <v>40.6</v>
      </c>
      <c r="U20" s="196" t="n">
        <f aca="false">IF(B20="","",S20*T20)</f>
        <v>67.802</v>
      </c>
      <c r="V20" s="196" t="n">
        <f aca="false">IF(B20="","",U20*I20)</f>
        <v>37.96912</v>
      </c>
      <c r="W20" s="196" t="n">
        <f aca="false">IF(B20="","",O20+V20)</f>
        <v>79.54912</v>
      </c>
      <c r="X20" s="197" t="s">
        <v>347</v>
      </c>
      <c r="Y20" s="198" t="n">
        <v>0.56</v>
      </c>
      <c r="Z20" s="199" t="n">
        <v>0.25</v>
      </c>
      <c r="AA20" s="199" t="n">
        <v>0.56</v>
      </c>
      <c r="AB20" s="199" t="n">
        <v>0.56</v>
      </c>
      <c r="AC20" s="200" t="n">
        <f aca="false">IF(B20="","",IF(D20="TAPADA",(AA20+AB20)/2,0))</f>
        <v>0.56</v>
      </c>
      <c r="AD20" s="200" t="n">
        <f aca="false">IF(B20="","",IF(D20="TAPADA",IFERROR(IF($X$1="ENTERO (redondeo arriba)",ROUNDUP(G20/Z20,0)+1,G20/Z20+1),0),0))</f>
        <v>40.6</v>
      </c>
      <c r="AE20" s="200" t="n">
        <f aca="false">IF(B20="","",IF(D20="TAPADA",AC20*AD20,0))</f>
        <v>22.736</v>
      </c>
      <c r="AF20" s="200" t="n">
        <f aca="false">IF(B20="","",IF(D20="TAPADA",AE20*Y20,0))</f>
        <v>12.73216</v>
      </c>
      <c r="AG20" s="201" t="n">
        <f aca="false">IF(B20="","",W20+AF20)</f>
        <v>92.28128</v>
      </c>
    </row>
    <row r="21" customFormat="false" ht="36" hidden="false" customHeight="true" outlineLevel="0" collapsed="false">
      <c r="A21" s="191" t="n">
        <v>11</v>
      </c>
      <c r="B21" s="192" t="s">
        <v>367</v>
      </c>
      <c r="C21" s="192" t="s">
        <v>343</v>
      </c>
      <c r="D21" s="193" t="s">
        <v>225</v>
      </c>
      <c r="E21" s="192" t="s">
        <v>368</v>
      </c>
      <c r="F21" s="192" t="s">
        <v>369</v>
      </c>
      <c r="G21" s="194" t="n">
        <v>12.5</v>
      </c>
      <c r="H21" s="192" t="s">
        <v>347</v>
      </c>
      <c r="I21" s="195" t="n">
        <f aca="false">IF(H21="","",IFERROR(VLOOKUP(H21,Listas!$A$4:$B$11,2,FALSE()),""))</f>
        <v>0.56</v>
      </c>
      <c r="J21" s="194" t="n">
        <v>0.2</v>
      </c>
      <c r="K21" s="194" t="n">
        <v>7</v>
      </c>
      <c r="L21" s="194" t="n">
        <v>8</v>
      </c>
      <c r="M21" s="196" t="n">
        <f aca="false">IF(B21="","",(K21+L21)/2)</f>
        <v>7.5</v>
      </c>
      <c r="N21" s="196" t="n">
        <f aca="false">IF(B21="","",G21*M21)</f>
        <v>93.75</v>
      </c>
      <c r="O21" s="196" t="n">
        <f aca="false">IF(B21="","",N21*I21)</f>
        <v>52.5</v>
      </c>
      <c r="P21" s="194" t="n">
        <v>0.25</v>
      </c>
      <c r="Q21" s="194" t="n">
        <v>1.5</v>
      </c>
      <c r="R21" s="194" t="n">
        <v>1.62</v>
      </c>
      <c r="S21" s="196" t="n">
        <f aca="false">IF(B21="","",(Q21+R21)/2)</f>
        <v>1.56</v>
      </c>
      <c r="T21" s="196" t="n">
        <f aca="false">IF(B21="","",IFERROR(IF($X$1="ENTERO (redondeo arriba)",ROUNDUP(G21/P21,0)+1,G21/P21+1),0))</f>
        <v>51.0</v>
      </c>
      <c r="U21" s="196" t="n">
        <f aca="false">IF(B21="","",S21*T21)</f>
        <v>79.56</v>
      </c>
      <c r="V21" s="196" t="n">
        <f aca="false">IF(B21="","",U21*I21)</f>
        <v>44.5536</v>
      </c>
      <c r="W21" s="196" t="n">
        <f aca="false">IF(B21="","",O21+V21)</f>
        <v>97.0536</v>
      </c>
      <c r="X21" s="197"/>
      <c r="Y21" s="198"/>
      <c r="Z21" s="199"/>
      <c r="AA21" s="199"/>
      <c r="AB21" s="199"/>
      <c r="AC21" s="200" t="n">
        <f aca="false">IF(B21="","",IF(D21="TAPADA",(AA21+AB21)/2,0))</f>
        <v>0.0</v>
      </c>
      <c r="AD21" s="200" t="n">
        <f aca="false">IF(B21="","",IF(D21="TAPADA",IFERROR(IF($X$1="ENTERO (redondeo arriba)",ROUNDUP(G21/Z21,0)+1,G21/Z21+1),0),0))</f>
        <v>0.0</v>
      </c>
      <c r="AE21" s="200" t="n">
        <f aca="false">IF(B21="","",IF(D21="TAPADA",AC21*AD21,0))</f>
        <v>0.0</v>
      </c>
      <c r="AF21" s="200" t="n">
        <f aca="false">IF(B21="","",IF(D21="TAPADA",AE21*Y21,0))</f>
        <v>0.0</v>
      </c>
      <c r="AG21" s="201" t="n">
        <f aca="false">IF(B21="","",W21+AF21)</f>
        <v>97.0536</v>
      </c>
    </row>
    <row r="22" customFormat="false" ht="36" hidden="false" customHeight="true" outlineLevel="0" collapsed="false">
      <c r="A22" s="191" t="n">
        <v>12</v>
      </c>
      <c r="B22" s="192" t="s">
        <v>367</v>
      </c>
      <c r="C22" s="192" t="s">
        <v>348</v>
      </c>
      <c r="D22" s="193" t="s">
        <v>344</v>
      </c>
      <c r="E22" s="192" t="s">
        <v>369</v>
      </c>
      <c r="F22" s="192" t="s">
        <v>370</v>
      </c>
      <c r="G22" s="194" t="n">
        <v>66.19</v>
      </c>
      <c r="H22" s="192" t="s">
        <v>347</v>
      </c>
      <c r="I22" s="195" t="n">
        <f aca="false">IF(H22="","",IFERROR(VLOOKUP(H22,Listas!$A$4:$B$11,2,FALSE()),""))</f>
        <v>0.56</v>
      </c>
      <c r="J22" s="194" t="n">
        <v>0.22</v>
      </c>
      <c r="K22" s="194" t="n">
        <v>7</v>
      </c>
      <c r="L22" s="194" t="n">
        <v>9</v>
      </c>
      <c r="M22" s="196" t="n">
        <f aca="false">IF(B22="","",(K22+L22)/2)</f>
        <v>8.0</v>
      </c>
      <c r="N22" s="196" t="n">
        <f aca="false">IF(B22="","",G22*M22)</f>
        <v>529.52</v>
      </c>
      <c r="O22" s="196" t="n">
        <f aca="false">IF(B22="","",N22*I22)</f>
        <v>296.5312</v>
      </c>
      <c r="P22" s="194" t="n">
        <v>0.25</v>
      </c>
      <c r="Q22" s="194" t="n">
        <v>1.62</v>
      </c>
      <c r="R22" s="194" t="n">
        <v>2.08</v>
      </c>
      <c r="S22" s="196" t="n">
        <f aca="false">IF(B22="","",(Q22+R22)/2)</f>
        <v>1.85</v>
      </c>
      <c r="T22" s="196" t="n">
        <f aca="false">IF(B22="","",IFERROR(IF($X$1="ENTERO (redondeo arriba)",ROUNDUP(G22/P22,0)+1,G22/P22+1),0))</f>
        <v>265.76</v>
      </c>
      <c r="U22" s="196" t="n">
        <f aca="false">IF(B22="","",S22*T22)</f>
        <v>491.656</v>
      </c>
      <c r="V22" s="196" t="n">
        <f aca="false">IF(B22="","",U22*I22)</f>
        <v>275.32736</v>
      </c>
      <c r="W22" s="196" t="n">
        <f aca="false">IF(B22="","",O22+V22)</f>
        <v>571.85856</v>
      </c>
      <c r="X22" s="197" t="s">
        <v>347</v>
      </c>
      <c r="Y22" s="198" t="n">
        <v>0.56</v>
      </c>
      <c r="Z22" s="199" t="n">
        <v>0.25</v>
      </c>
      <c r="AA22" s="199" t="n">
        <v>0.56</v>
      </c>
      <c r="AB22" s="199" t="n">
        <v>0.56</v>
      </c>
      <c r="AC22" s="200" t="n">
        <f aca="false">IF(B22="","",IF(D22="TAPADA",(AA22+AB22)/2,0))</f>
        <v>0.56</v>
      </c>
      <c r="AD22" s="200" t="n">
        <f aca="false">IF(B22="","",IF(D22="TAPADA",IFERROR(IF($X$1="ENTERO (redondeo arriba)",ROUNDUP(G22/Z22,0)+1,G22/Z22+1),0),0))</f>
        <v>265.76</v>
      </c>
      <c r="AE22" s="200" t="n">
        <f aca="false">IF(B22="","",IF(D22="TAPADA",AC22*AD22,0))</f>
        <v>148.8256</v>
      </c>
      <c r="AF22" s="200" t="n">
        <f aca="false">IF(B22="","",IF(D22="TAPADA",AE22*Y22,0))</f>
        <v>83.342336</v>
      </c>
      <c r="AG22" s="201" t="n">
        <f aca="false">IF(B22="","",W22+AF22)</f>
        <v>655.200896</v>
      </c>
    </row>
    <row r="23" customFormat="false" ht="36" hidden="false" customHeight="true" outlineLevel="0" collapsed="false">
      <c r="A23" s="191" t="n">
        <v>13</v>
      </c>
      <c r="B23" s="192" t="s">
        <v>371</v>
      </c>
      <c r="C23" s="192" t="s">
        <v>343</v>
      </c>
      <c r="D23" s="193" t="s">
        <v>225</v>
      </c>
      <c r="E23" s="192" t="s">
        <v>372</v>
      </c>
      <c r="F23" s="192" t="s">
        <v>373</v>
      </c>
      <c r="G23" s="194" t="n">
        <v>3.6</v>
      </c>
      <c r="H23" s="192" t="s">
        <v>347</v>
      </c>
      <c r="I23" s="195" t="n">
        <f aca="false">IF(H23="","",IFERROR(VLOOKUP(H23,Listas!$A$4:$B$11,2,FALSE()),""))</f>
        <v>0.56</v>
      </c>
      <c r="J23" s="194" t="n">
        <v>0.2</v>
      </c>
      <c r="K23" s="194" t="n">
        <v>7</v>
      </c>
      <c r="L23" s="194" t="n">
        <v>8</v>
      </c>
      <c r="M23" s="196" t="n">
        <f aca="false">IF(B23="","",(K23+L23)/2)</f>
        <v>7.5</v>
      </c>
      <c r="N23" s="196" t="n">
        <f aca="false">IF(B23="","",G23*M23)</f>
        <v>27.0</v>
      </c>
      <c r="O23" s="196" t="n">
        <f aca="false">IF(B23="","",N23*I23)</f>
        <v>15.12</v>
      </c>
      <c r="P23" s="194" t="n">
        <v>0.25</v>
      </c>
      <c r="Q23" s="194" t="n">
        <v>1.5</v>
      </c>
      <c r="R23" s="194" t="n">
        <v>1.52</v>
      </c>
      <c r="S23" s="196" t="n">
        <f aca="false">IF(B23="","",(Q23+R23)/2)</f>
        <v>1.51</v>
      </c>
      <c r="T23" s="196" t="n">
        <f aca="false">IF(B23="","",IFERROR(IF($X$1="ENTERO (redondeo arriba)",ROUNDUP(G23/P23,0)+1,G23/P23+1),0))</f>
        <v>15.4</v>
      </c>
      <c r="U23" s="196" t="n">
        <f aca="false">IF(B23="","",S23*T23)</f>
        <v>23.254</v>
      </c>
      <c r="V23" s="196" t="n">
        <f aca="false">IF(B23="","",U23*I23)</f>
        <v>13.02224</v>
      </c>
      <c r="W23" s="196" t="n">
        <f aca="false">IF(B23="","",O23+V23)</f>
        <v>28.14224</v>
      </c>
      <c r="X23" s="197"/>
      <c r="Y23" s="198"/>
      <c r="Z23" s="199"/>
      <c r="AA23" s="199"/>
      <c r="AB23" s="199"/>
      <c r="AC23" s="200" t="n">
        <f aca="false">IF(B23="","",IF(D23="TAPADA",(AA23+AB23)/2,0))</f>
        <v>0.0</v>
      </c>
      <c r="AD23" s="200" t="n">
        <f aca="false">IF(B23="","",IF(D23="TAPADA",IFERROR(IF($X$1="ENTERO (redondeo arriba)",ROUNDUP(G23/Z23,0)+1,G23/Z23+1),0),0))</f>
        <v>0.0</v>
      </c>
      <c r="AE23" s="200" t="n">
        <f aca="false">IF(B23="","",IF(D23="TAPADA",AC23*AD23,0))</f>
        <v>0.0</v>
      </c>
      <c r="AF23" s="200" t="n">
        <f aca="false">IF(B23="","",IF(D23="TAPADA",AE23*Y23,0))</f>
        <v>0.0</v>
      </c>
      <c r="AG23" s="201" t="n">
        <f aca="false">IF(B23="","",W23+AF23)</f>
        <v>28.14224</v>
      </c>
    </row>
    <row r="24" customFormat="false" ht="36" hidden="false" customHeight="true" outlineLevel="0" collapsed="false">
      <c r="A24" s="191" t="n">
        <v>14</v>
      </c>
      <c r="B24" s="192" t="s">
        <v>374</v>
      </c>
      <c r="C24" s="192" t="s">
        <v>343</v>
      </c>
      <c r="D24" s="193" t="s">
        <v>225</v>
      </c>
      <c r="E24" s="192" t="s">
        <v>375</v>
      </c>
      <c r="F24" s="192" t="s">
        <v>376</v>
      </c>
      <c r="G24" s="194" t="n">
        <v>29.85</v>
      </c>
      <c r="H24" s="192" t="s">
        <v>347</v>
      </c>
      <c r="I24" s="195" t="n">
        <f aca="false">IF(H24="","",IFERROR(VLOOKUP(H24,Listas!$A$4:$B$11,2,FALSE()),""))</f>
        <v>0.56</v>
      </c>
      <c r="J24" s="194" t="n">
        <v>0.22</v>
      </c>
      <c r="K24" s="194" t="n">
        <v>7</v>
      </c>
      <c r="L24" s="194" t="n">
        <v>8</v>
      </c>
      <c r="M24" s="196" t="n">
        <f aca="false">IF(B24="","",(K24+L24)/2)</f>
        <v>7.5</v>
      </c>
      <c r="N24" s="196" t="n">
        <f aca="false">IF(B24="","",G24*M24)</f>
        <v>223.875</v>
      </c>
      <c r="O24" s="196" t="n">
        <f aca="false">IF(B24="","",N24*I24)</f>
        <v>125.37</v>
      </c>
      <c r="P24" s="194" t="n">
        <v>0.25</v>
      </c>
      <c r="Q24" s="194" t="n">
        <v>1.5</v>
      </c>
      <c r="R24" s="194" t="n">
        <v>1.8</v>
      </c>
      <c r="S24" s="196" t="n">
        <f aca="false">IF(B24="","",(Q24+R24)/2)</f>
        <v>1.65</v>
      </c>
      <c r="T24" s="196" t="n">
        <f aca="false">IF(B24="","",IFERROR(IF($X$1="ENTERO (redondeo arriba)",ROUNDUP(G24/P24,0)+1,G24/P24+1),0))</f>
        <v>120.4</v>
      </c>
      <c r="U24" s="196" t="n">
        <f aca="false">IF(B24="","",S24*T24)</f>
        <v>198.66</v>
      </c>
      <c r="V24" s="196" t="n">
        <f aca="false">IF(B24="","",U24*I24)</f>
        <v>111.2496</v>
      </c>
      <c r="W24" s="196" t="n">
        <f aca="false">IF(B24="","",O24+V24)</f>
        <v>236.6196</v>
      </c>
      <c r="X24" s="197"/>
      <c r="Y24" s="198"/>
      <c r="Z24" s="199"/>
      <c r="AA24" s="199"/>
      <c r="AB24" s="199"/>
      <c r="AC24" s="200" t="n">
        <f aca="false">IF(B24="","",IF(D24="TAPADA",(AA24+AB24)/2,0))</f>
        <v>0.0</v>
      </c>
      <c r="AD24" s="200" t="n">
        <f aca="false">IF(B24="","",IF(D24="TAPADA",IFERROR(IF($X$1="ENTERO (redondeo arriba)",ROUNDUP(G24/Z24,0)+1,G24/Z24+1),0),0))</f>
        <v>0.0</v>
      </c>
      <c r="AE24" s="200" t="n">
        <f aca="false">IF(B24="","",IF(D24="TAPADA",AC24*AD24,0))</f>
        <v>0.0</v>
      </c>
      <c r="AF24" s="200" t="n">
        <f aca="false">IF(B24="","",IF(D24="TAPADA",AE24*Y24,0))</f>
        <v>0.0</v>
      </c>
      <c r="AG24" s="201" t="n">
        <f aca="false">IF(B24="","",W24+AF24)</f>
        <v>236.6196</v>
      </c>
    </row>
    <row r="25" customFormat="false" ht="36" hidden="false" customHeight="true" outlineLevel="0" collapsed="false">
      <c r="A25" s="191" t="n">
        <v>15</v>
      </c>
      <c r="B25" s="192" t="s">
        <v>374</v>
      </c>
      <c r="C25" s="192" t="s">
        <v>348</v>
      </c>
      <c r="D25" s="193" t="s">
        <v>344</v>
      </c>
      <c r="E25" s="192" t="s">
        <v>376</v>
      </c>
      <c r="F25" s="192" t="s">
        <v>377</v>
      </c>
      <c r="G25" s="194" t="n">
        <v>10.75</v>
      </c>
      <c r="H25" s="192" t="s">
        <v>347</v>
      </c>
      <c r="I25" s="195" t="n">
        <f aca="false">IF(H25="","",IFERROR(VLOOKUP(H25,Listas!$A$4:$B$11,2,FALSE()),""))</f>
        <v>0.56</v>
      </c>
      <c r="J25" s="194" t="n">
        <v>0.22</v>
      </c>
      <c r="K25" s="194" t="n">
        <v>8</v>
      </c>
      <c r="L25" s="194" t="n">
        <v>9</v>
      </c>
      <c r="M25" s="196" t="n">
        <f aca="false">IF(B25="","",(K25+L25)/2)</f>
        <v>8.5</v>
      </c>
      <c r="N25" s="196" t="n">
        <f aca="false">IF(B25="","",G25*M25)</f>
        <v>91.375</v>
      </c>
      <c r="O25" s="196" t="n">
        <f aca="false">IF(B25="","",N25*I25)</f>
        <v>51.17</v>
      </c>
      <c r="P25" s="194" t="n">
        <v>0.25</v>
      </c>
      <c r="Q25" s="194" t="n">
        <v>1.8</v>
      </c>
      <c r="R25" s="194" t="n">
        <v>1.9</v>
      </c>
      <c r="S25" s="196" t="n">
        <f aca="false">IF(B25="","",(Q25+R25)/2)</f>
        <v>1.85</v>
      </c>
      <c r="T25" s="196" t="n">
        <f aca="false">IF(B25="","",IFERROR(IF($X$1="ENTERO (redondeo arriba)",ROUNDUP(G25/P25,0)+1,G25/P25+1),0))</f>
        <v>44.0</v>
      </c>
      <c r="U25" s="196" t="n">
        <f aca="false">IF(B25="","",S25*T25)</f>
        <v>81.4</v>
      </c>
      <c r="V25" s="196" t="n">
        <f aca="false">IF(B25="","",U25*I25)</f>
        <v>45.584</v>
      </c>
      <c r="W25" s="196" t="n">
        <f aca="false">IF(B25="","",O25+V25)</f>
        <v>96.754</v>
      </c>
      <c r="X25" s="197" t="s">
        <v>347</v>
      </c>
      <c r="Y25" s="198" t="n">
        <v>0.56</v>
      </c>
      <c r="Z25" s="199" t="n">
        <v>0.25</v>
      </c>
      <c r="AA25" s="199" t="n">
        <v>0.56</v>
      </c>
      <c r="AB25" s="199" t="n">
        <v>0.56</v>
      </c>
      <c r="AC25" s="200" t="n">
        <f aca="false">IF(B25="","",IF(D25="TAPADA",(AA25+AB25)/2,0))</f>
        <v>0.56</v>
      </c>
      <c r="AD25" s="200" t="n">
        <f aca="false">IF(B25="","",IF(D25="TAPADA",IFERROR(IF($X$1="ENTERO (redondeo arriba)",ROUNDUP(G25/Z25,0)+1,G25/Z25+1),0),0))</f>
        <v>44.0</v>
      </c>
      <c r="AE25" s="200" t="n">
        <f aca="false">IF(B25="","",IF(D25="TAPADA",AC25*AD25,0))</f>
        <v>24.64</v>
      </c>
      <c r="AF25" s="200" t="n">
        <f aca="false">IF(B25="","",IF(D25="TAPADA",AE25*Y25,0))</f>
        <v>13.7984</v>
      </c>
      <c r="AG25" s="201" t="n">
        <f aca="false">IF(B25="","",W25+AF25)</f>
        <v>110.5524</v>
      </c>
    </row>
    <row r="26" customFormat="false" ht="36" hidden="false" customHeight="true" outlineLevel="0" collapsed="false">
      <c r="A26" s="191" t="n">
        <v>16</v>
      </c>
      <c r="B26" s="192" t="s">
        <v>378</v>
      </c>
      <c r="C26" s="192" t="s">
        <v>343</v>
      </c>
      <c r="D26" s="193" t="s">
        <v>225</v>
      </c>
      <c r="E26" s="192" t="s">
        <v>379</v>
      </c>
      <c r="F26" s="192" t="s">
        <v>380</v>
      </c>
      <c r="G26" s="194" t="n">
        <v>16</v>
      </c>
      <c r="H26" s="192" t="s">
        <v>347</v>
      </c>
      <c r="I26" s="195" t="n">
        <f aca="false">IF(H26="","",IFERROR(VLOOKUP(H26,Listas!$A$4:$B$11,2,FALSE()),""))</f>
        <v>0.56</v>
      </c>
      <c r="J26" s="194" t="n">
        <v>0.22</v>
      </c>
      <c r="K26" s="194" t="n">
        <v>7</v>
      </c>
      <c r="L26" s="194" t="n">
        <v>8</v>
      </c>
      <c r="M26" s="196" t="n">
        <f aca="false">IF(B26="","",(K26+L26)/2)</f>
        <v>7.5</v>
      </c>
      <c r="N26" s="196" t="n">
        <f aca="false">IF(B26="","",G26*M26)</f>
        <v>120.0</v>
      </c>
      <c r="O26" s="196" t="n">
        <f aca="false">IF(B26="","",N26*I26)</f>
        <v>67.2</v>
      </c>
      <c r="P26" s="194" t="n">
        <v>0.25</v>
      </c>
      <c r="Q26" s="194" t="n">
        <v>1.5</v>
      </c>
      <c r="R26" s="194" t="n">
        <v>1.7</v>
      </c>
      <c r="S26" s="196" t="n">
        <f aca="false">IF(B26="","",(Q26+R26)/2)</f>
        <v>1.6</v>
      </c>
      <c r="T26" s="196" t="n">
        <f aca="false">IF(B26="","",IFERROR(IF($X$1="ENTERO (redondeo arriba)",ROUNDUP(G26/P26,0)+1,G26/P26+1),0))</f>
        <v>65.0</v>
      </c>
      <c r="U26" s="196" t="n">
        <f aca="false">IF(B26="","",S26*T26)</f>
        <v>104.0</v>
      </c>
      <c r="V26" s="196" t="n">
        <f aca="false">IF(B26="","",U26*I26)</f>
        <v>58.24</v>
      </c>
      <c r="W26" s="196" t="n">
        <f aca="false">IF(B26="","",O26+V26)</f>
        <v>125.44</v>
      </c>
      <c r="X26" s="197"/>
      <c r="Y26" s="198"/>
      <c r="Z26" s="199"/>
      <c r="AA26" s="199"/>
      <c r="AB26" s="199"/>
      <c r="AC26" s="200" t="n">
        <f aca="false">IF(B26="","",IF(D26="TAPADA",(AA26+AB26)/2,0))</f>
        <v>0.0</v>
      </c>
      <c r="AD26" s="200" t="n">
        <f aca="false">IF(B26="","",IF(D26="TAPADA",IFERROR(IF($X$1="ENTERO (redondeo arriba)",ROUNDUP(G26/Z26,0)+1,G26/Z26+1),0),0))</f>
        <v>0.0</v>
      </c>
      <c r="AE26" s="200" t="n">
        <f aca="false">IF(B26="","",IF(D26="TAPADA",AC26*AD26,0))</f>
        <v>0.0</v>
      </c>
      <c r="AF26" s="200" t="n">
        <f aca="false">IF(B26="","",IF(D26="TAPADA",AE26*Y26,0))</f>
        <v>0.0</v>
      </c>
      <c r="AG26" s="201" t="n">
        <f aca="false">IF(B26="","",W26+AF26)</f>
        <v>125.44</v>
      </c>
    </row>
    <row r="27" customFormat="false" ht="36" hidden="false" customHeight="true" outlineLevel="0" collapsed="false">
      <c r="A27" s="191" t="n">
        <v>17</v>
      </c>
      <c r="B27" s="192" t="s">
        <v>378</v>
      </c>
      <c r="C27" s="192" t="s">
        <v>348</v>
      </c>
      <c r="D27" s="193" t="s">
        <v>344</v>
      </c>
      <c r="E27" s="192" t="s">
        <v>380</v>
      </c>
      <c r="F27" s="192" t="s">
        <v>381</v>
      </c>
      <c r="G27" s="194" t="n">
        <v>6.66</v>
      </c>
      <c r="H27" s="192" t="s">
        <v>347</v>
      </c>
      <c r="I27" s="195" t="n">
        <f aca="false">IF(H27="","",IFERROR(VLOOKUP(H27,Listas!$A$4:$B$11,2,FALSE()),""))</f>
        <v>0.56</v>
      </c>
      <c r="J27" s="194" t="n">
        <v>0.22</v>
      </c>
      <c r="K27" s="194" t="n">
        <v>8</v>
      </c>
      <c r="L27" s="194" t="n">
        <v>8</v>
      </c>
      <c r="M27" s="196" t="n">
        <f aca="false">IF(B27="","",(K27+L27)/2)</f>
        <v>8.0</v>
      </c>
      <c r="N27" s="196" t="n">
        <f aca="false">IF(B27="","",G27*M27)</f>
        <v>53.28</v>
      </c>
      <c r="O27" s="196" t="n">
        <f aca="false">IF(B27="","",N27*I27)</f>
        <v>29.8368</v>
      </c>
      <c r="P27" s="194" t="n">
        <v>0.25</v>
      </c>
      <c r="Q27" s="194" t="n">
        <v>1.7</v>
      </c>
      <c r="R27" s="194" t="n">
        <v>1.82</v>
      </c>
      <c r="S27" s="196" t="n">
        <f aca="false">IF(B27="","",(Q27+R27)/2)</f>
        <v>1.76</v>
      </c>
      <c r="T27" s="196" t="n">
        <f aca="false">IF(B27="","",IFERROR(IF($X$1="ENTERO (redondeo arriba)",ROUNDUP(G27/P27,0)+1,G27/P27+1),0))</f>
        <v>27.64</v>
      </c>
      <c r="U27" s="196" t="n">
        <f aca="false">IF(B27="","",S27*T27)</f>
        <v>48.6464</v>
      </c>
      <c r="V27" s="196" t="n">
        <f aca="false">IF(B27="","",U27*I27)</f>
        <v>27.241984</v>
      </c>
      <c r="W27" s="196" t="n">
        <f aca="false">IF(B27="","",O27+V27)</f>
        <v>57.078784</v>
      </c>
      <c r="X27" s="197" t="s">
        <v>347</v>
      </c>
      <c r="Y27" s="198" t="n">
        <v>0.56</v>
      </c>
      <c r="Z27" s="199" t="n">
        <v>0.25</v>
      </c>
      <c r="AA27" s="199" t="n">
        <v>0.56</v>
      </c>
      <c r="AB27" s="199" t="n">
        <v>0.56</v>
      </c>
      <c r="AC27" s="200" t="n">
        <f aca="false">IF(B27="","",IF(D27="TAPADA",(AA27+AB27)/2,0))</f>
        <v>0.56</v>
      </c>
      <c r="AD27" s="200" t="n">
        <f aca="false">IF(B27="","",IF(D27="TAPADA",IFERROR(IF($X$1="ENTERO (redondeo arriba)",ROUNDUP(G27/Z27,0)+1,G27/Z27+1),0),0))</f>
        <v>27.64</v>
      </c>
      <c r="AE27" s="200" t="n">
        <f aca="false">IF(B27="","",IF(D27="TAPADA",AC27*AD27,0))</f>
        <v>15.4784</v>
      </c>
      <c r="AF27" s="200" t="n">
        <f aca="false">IF(B27="","",IF(D27="TAPADA",AE27*Y27,0))</f>
        <v>8.667904</v>
      </c>
      <c r="AG27" s="201" t="n">
        <f aca="false">IF(B27="","",W27+AF27)</f>
        <v>65.746688</v>
      </c>
    </row>
    <row r="28" customFormat="false" ht="36" hidden="false" customHeight="true" outlineLevel="0" collapsed="false">
      <c r="A28" s="202" t="s">
        <v>382</v>
      </c>
      <c r="B28" s="202"/>
      <c r="C28" s="202"/>
      <c r="D28" s="202"/>
      <c r="E28" s="202"/>
      <c r="F28" s="202"/>
      <c r="G28" s="202" t="n">
        <f aca="false">SUM(G11:G27)</f>
        <v>371.39</v>
      </c>
      <c r="H28" s="202"/>
      <c r="I28" s="202"/>
      <c r="J28" s="202"/>
      <c r="K28" s="202"/>
      <c r="L28" s="202"/>
      <c r="M28" s="202"/>
      <c r="N28" s="202" t="n">
        <f aca="false">SUM(N11:N27)</f>
        <v>2931.71</v>
      </c>
      <c r="O28" s="202" t="n">
        <f aca="false">SUM(O11:O27)</f>
        <v>1641.7576</v>
      </c>
      <c r="P28" s="202"/>
      <c r="Q28" s="202"/>
      <c r="R28" s="202"/>
      <c r="S28" s="202"/>
      <c r="T28" s="202"/>
      <c r="U28" s="202" t="n">
        <f aca="false">SUM(U11:U27)</f>
        <v>2686.1652</v>
      </c>
      <c r="V28" s="202" t="n">
        <f aca="false">SUM(V11:V27)</f>
        <v>1504.252512</v>
      </c>
      <c r="W28" s="202" t="n">
        <f aca="false">SUM(W11:W27)</f>
        <v>3146.010112</v>
      </c>
      <c r="X28" s="202"/>
      <c r="Y28" s="202"/>
      <c r="Z28" s="202"/>
      <c r="AA28" s="202"/>
      <c r="AB28" s="202"/>
      <c r="AC28" s="202"/>
      <c r="AD28" s="202"/>
      <c r="AE28" s="202" t="n">
        <f aca="false">SUM(AE11:AE27)</f>
        <v>372.7136</v>
      </c>
      <c r="AF28" s="202" t="n">
        <f aca="false">SUM(AF11:AF27)</f>
        <v>208.719616</v>
      </c>
      <c r="AG28" s="202" t="n">
        <f aca="false">SUM(AG11:AG27)</f>
        <v>3354.729728</v>
      </c>
    </row>
  </sheetData>
  <mergeCells count="11">
    <mergeCell ref="A2:AG2"/>
    <mergeCell ref="B3:AG3"/>
    <mergeCell ref="B4:AG4"/>
    <mergeCell ref="B5:AG5"/>
    <mergeCell ref="B6:AG6"/>
    <mergeCell ref="A8:AG8"/>
    <mergeCell ref="A9:G9"/>
    <mergeCell ref="H9:O9"/>
    <mergeCell ref="P9:W9"/>
    <mergeCell ref="X9:AF9"/>
    <mergeCell ref="A28:F28"/>
  </mergeCells>
  <conditionalFormatting sqref="X11:AF27">
    <cfRule type="expression" priority="2" aboveAverage="0" equalAverage="0" bottom="0" percent="0" rank="0" text="" dxfId="4">
      <formula>$D11="ABIERTA"</formula>
    </cfRule>
  </conditionalFormatting>
  <conditionalFormatting sqref="D11:D27">
    <cfRule type="expression" priority="3" aboveAverage="0" equalAverage="0" bottom="0" percent="0" rank="0" text="" dxfId="5">
      <formula>D11="TAPADA"</formula>
    </cfRule>
    <cfRule type="expression" priority="4" aboveAverage="0" equalAverage="0" bottom="0" percent="0" rank="0" text="" dxfId="6">
      <formula>D11="ABIERTA"</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true"/>
  </sheetPr>
  <dimension ref="A1:O27"/>
  <sheetViews>
    <sheetView showFormulas="false" showGridLines="true" showRowColHeaders="true" showZeros="true" rightToLeft="false" tabSelected="false" showOutlineSymbols="true" defaultGridColor="true" view="normal" topLeftCell="A3" colorId="64" zoomScale="100" zoomScaleNormal="100" zoomScalePageLayoutView="100" workbookViewId="0">
      <selection pane="topLeft" activeCell="A27" activeCellId="0" sqref="A27"/>
    </sheetView>
  </sheetViews>
  <sheetFormatPr defaultColWidth="9.453125" defaultRowHeight="15" zeroHeight="false" outlineLevelRow="0" outlineLevelCol="0"/>
  <cols>
    <col collapsed="false" customWidth="true" hidden="false" outlineLevel="0" max="1" min="1" style="203" width="6.54"/>
    <col collapsed="false" customWidth="true" hidden="false" outlineLevel="0" max="2" min="2" style="203" width="13.09"/>
    <col collapsed="false" customWidth="true" hidden="false" outlineLevel="0" max="3" min="3" style="203" width="18.81"/>
    <col collapsed="false" customWidth="true" hidden="false" outlineLevel="0" max="4" min="4" style="203" width="17.45"/>
    <col collapsed="false" customWidth="true" hidden="false" outlineLevel="0" max="5" min="5" style="203" width="16"/>
    <col collapsed="false" customWidth="true" hidden="false" outlineLevel="0" max="8" min="6" style="203" width="15.27"/>
    <col collapsed="false" customWidth="true" hidden="false" outlineLevel="0" max="9" min="9" style="203" width="14.18"/>
    <col collapsed="false" customWidth="true" hidden="false" outlineLevel="0" max="10" min="10" style="203" width="16.36"/>
    <col collapsed="false" customWidth="true" hidden="false" outlineLevel="0" max="11" min="11" style="203" width="15.27"/>
    <col collapsed="false" customWidth="true" hidden="false" outlineLevel="0" max="12" min="12" style="203" width="17.45"/>
    <col collapsed="false" customWidth="true" hidden="false" outlineLevel="0" max="13" min="13" style="203" width="16.36"/>
    <col collapsed="false" customWidth="true" hidden="false" outlineLevel="0" max="14" min="14" style="203" width="10.91"/>
    <col collapsed="false" customWidth="true" hidden="false" outlineLevel="0" max="15" min="15" style="203" width="8.73"/>
    <col collapsed="false" customWidth="false" hidden="false" outlineLevel="0" max="16384" min="16" style="203" width="9.45"/>
  </cols>
  <sheetData>
    <row r="1" customFormat="false" ht="24.75" hidden="false" customHeight="true" outlineLevel="0" collapsed="false">
      <c r="A1" s="204" t="s">
        <v>383</v>
      </c>
      <c r="B1" s="204"/>
      <c r="C1" s="204"/>
      <c r="D1" s="204"/>
      <c r="E1" s="204"/>
      <c r="F1" s="204"/>
      <c r="G1" s="204"/>
      <c r="H1" s="204"/>
      <c r="I1" s="204"/>
      <c r="J1" s="204"/>
      <c r="K1" s="204"/>
      <c r="L1" s="204"/>
      <c r="M1" s="204"/>
      <c r="N1" s="204"/>
      <c r="O1" s="204"/>
    </row>
    <row r="2" customFormat="false" ht="27" hidden="false" customHeight="true" outlineLevel="0" collapsed="false">
      <c r="A2" s="205" t="s">
        <v>1</v>
      </c>
      <c r="B2" s="205"/>
      <c r="C2" s="206" t="s">
        <v>2</v>
      </c>
      <c r="D2" s="206"/>
      <c r="E2" s="206"/>
      <c r="F2" s="206"/>
      <c r="G2" s="206"/>
      <c r="H2" s="206"/>
      <c r="I2" s="206"/>
      <c r="J2" s="206"/>
      <c r="K2" s="206"/>
      <c r="L2" s="206"/>
      <c r="M2" s="206"/>
      <c r="N2" s="206"/>
      <c r="O2" s="206"/>
    </row>
    <row r="3" customFormat="false" ht="46.5" hidden="false" customHeight="true" outlineLevel="0" collapsed="false">
      <c r="A3" s="205" t="s">
        <v>3</v>
      </c>
      <c r="B3" s="205"/>
      <c r="C3" s="206" t="str">
        <f aca="false">+RESUMEN!B5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206"/>
      <c r="E3" s="206"/>
      <c r="F3" s="206"/>
      <c r="G3" s="206"/>
      <c r="H3" s="206"/>
      <c r="I3" s="206"/>
      <c r="J3" s="206"/>
      <c r="K3" s="206"/>
      <c r="L3" s="206"/>
      <c r="M3" s="206"/>
      <c r="N3" s="206"/>
      <c r="O3" s="206"/>
    </row>
    <row r="4" customFormat="false" ht="27" hidden="false" customHeight="true" outlineLevel="0" collapsed="false">
      <c r="A4" s="205" t="s">
        <v>5</v>
      </c>
      <c r="B4" s="205"/>
      <c r="C4" s="206" t="str">
        <f aca="false">+RESUMEN!B6</f>
        <v>SAN MARTIN - SAN MARTIN - MORALES</v>
      </c>
      <c r="D4" s="206"/>
      <c r="E4" s="206"/>
      <c r="F4" s="206"/>
      <c r="G4" s="206"/>
      <c r="H4" s="206"/>
      <c r="I4" s="206"/>
      <c r="J4" s="206"/>
      <c r="K4" s="205" t="s">
        <v>7</v>
      </c>
      <c r="L4" s="207" t="n">
        <f aca="false">+RESUMEN!B7</f>
        <v>46266</v>
      </c>
      <c r="M4" s="207"/>
      <c r="N4" s="207"/>
      <c r="O4" s="207"/>
    </row>
    <row r="6" customFormat="false" ht="36.75" hidden="false" customHeight="true" outlineLevel="0" collapsed="false">
      <c r="A6" s="208" t="s">
        <v>309</v>
      </c>
      <c r="B6" s="208" t="s">
        <v>310</v>
      </c>
      <c r="C6" s="208" t="s">
        <v>311</v>
      </c>
      <c r="D6" s="208" t="s">
        <v>312</v>
      </c>
      <c r="E6" s="208" t="s">
        <v>266</v>
      </c>
      <c r="F6" s="208" t="s">
        <v>384</v>
      </c>
      <c r="G6" s="208" t="s">
        <v>385</v>
      </c>
      <c r="H6" s="208" t="s">
        <v>386</v>
      </c>
      <c r="I6" s="208" t="s">
        <v>387</v>
      </c>
      <c r="J6" s="208" t="s">
        <v>388</v>
      </c>
      <c r="K6" s="208" t="s">
        <v>389</v>
      </c>
      <c r="L6" s="208" t="s">
        <v>390</v>
      </c>
      <c r="M6" s="208" t="s">
        <v>391</v>
      </c>
      <c r="N6" s="208" t="s">
        <v>392</v>
      </c>
      <c r="O6" s="208" t="s">
        <v>393</v>
      </c>
    </row>
    <row r="7" customFormat="false" ht="33" hidden="false" customHeight="true" outlineLevel="0" collapsed="false">
      <c r="A7" s="209" t="n">
        <v>1</v>
      </c>
      <c r="B7" s="210" t="s">
        <v>342</v>
      </c>
      <c r="C7" s="210" t="s">
        <v>343</v>
      </c>
      <c r="D7" s="193" t="s">
        <v>225</v>
      </c>
      <c r="E7" s="211" t="n">
        <v>13.2</v>
      </c>
      <c r="F7" s="194" t="n">
        <v>0.4</v>
      </c>
      <c r="G7" s="211" t="n">
        <v>0.3</v>
      </c>
      <c r="H7" s="211" t="n">
        <v>0.37</v>
      </c>
      <c r="I7" s="200" t="n">
        <f aca="false">IF(B7="","",(G7+H7)/2)</f>
        <v>0.335</v>
      </c>
      <c r="J7" s="200" t="n">
        <f aca="false">IF(B7="","",2*E7*I7)</f>
        <v>8.844</v>
      </c>
      <c r="K7" s="200" t="n">
        <f aca="false">IF(B7="","",E7*F7)</f>
        <v>5.28</v>
      </c>
      <c r="L7" s="200" t="n">
        <f aca="false">IF(B7="","",IF(D7="TAPADA",E7*F7,0))</f>
        <v>0.0</v>
      </c>
      <c r="M7" s="212" t="n">
        <f aca="false">SUM(J7:L7)</f>
        <v>14.124</v>
      </c>
      <c r="N7" s="213" t="n">
        <f aca="false">IF(B7="","",IF(D7="TAPADA",4,3))</f>
        <v>3.0</v>
      </c>
      <c r="O7" s="214" t="s">
        <v>18</v>
      </c>
    </row>
    <row r="8" customFormat="false" ht="33" hidden="false" customHeight="true" outlineLevel="0" collapsed="false">
      <c r="A8" s="209" t="n">
        <v>2</v>
      </c>
      <c r="B8" s="210" t="s">
        <v>342</v>
      </c>
      <c r="C8" s="210" t="s">
        <v>348</v>
      </c>
      <c r="D8" s="193" t="s">
        <v>344</v>
      </c>
      <c r="E8" s="211" t="n">
        <v>6</v>
      </c>
      <c r="F8" s="194" t="n">
        <v>0.4</v>
      </c>
      <c r="G8" s="211" t="n">
        <v>0.37</v>
      </c>
      <c r="H8" s="211" t="n">
        <v>0.4</v>
      </c>
      <c r="I8" s="200" t="n">
        <f aca="false">IF(B8="","",(G8+H8)/2)</f>
        <v>0.385</v>
      </c>
      <c r="J8" s="200" t="n">
        <f aca="false">IF(B8="","",2*E8*I8)</f>
        <v>4.62</v>
      </c>
      <c r="K8" s="200" t="n">
        <f aca="false">IF(B8="","",E8*F8)</f>
        <v>2.4</v>
      </c>
      <c r="L8" s="200" t="n">
        <f aca="false">IF(B8="","",IF(D8="TAPADA",E8*F8,0))</f>
        <v>2.4</v>
      </c>
      <c r="M8" s="212" t="n">
        <f aca="false">SUM(J8:L8)</f>
        <v>9.42</v>
      </c>
      <c r="N8" s="213" t="n">
        <f aca="false">IF(B8="","",IF(D8="TAPADA",4,3))</f>
        <v>4.0</v>
      </c>
      <c r="O8" s="214" t="s">
        <v>18</v>
      </c>
    </row>
    <row r="9" customFormat="false" ht="33" hidden="false" customHeight="true" outlineLevel="0" collapsed="false">
      <c r="A9" s="209" t="n">
        <v>3</v>
      </c>
      <c r="B9" s="210" t="s">
        <v>342</v>
      </c>
      <c r="C9" s="210" t="s">
        <v>350</v>
      </c>
      <c r="D9" s="193" t="s">
        <v>225</v>
      </c>
      <c r="E9" s="211" t="n">
        <v>58.1</v>
      </c>
      <c r="F9" s="194" t="n">
        <v>0.4</v>
      </c>
      <c r="G9" s="211" t="n">
        <v>0.4</v>
      </c>
      <c r="H9" s="211" t="n">
        <v>0.68</v>
      </c>
      <c r="I9" s="200" t="n">
        <f aca="false">IF(B9="","",(G9+H9)/2)</f>
        <v>0.54</v>
      </c>
      <c r="J9" s="200" t="n">
        <f aca="false">IF(B9="","",2*E9*I9)</f>
        <v>62.748</v>
      </c>
      <c r="K9" s="200" t="n">
        <f aca="false">IF(B9="","",E9*F9)</f>
        <v>23.24</v>
      </c>
      <c r="L9" s="200" t="n">
        <f aca="false">IF(B9="","",IF(D9="TAPADA",E9*F9,0))</f>
        <v>0.0</v>
      </c>
      <c r="M9" s="212" t="n">
        <f aca="false">SUM(J9:L9)</f>
        <v>85.988</v>
      </c>
      <c r="N9" s="213" t="n">
        <f aca="false">IF(B9="","",IF(D9="TAPADA",4,3))</f>
        <v>3.0</v>
      </c>
      <c r="O9" s="214" t="s">
        <v>18</v>
      </c>
    </row>
    <row r="10" customFormat="false" ht="33" hidden="false" customHeight="true" outlineLevel="0" collapsed="false">
      <c r="A10" s="209" t="n">
        <v>4</v>
      </c>
      <c r="B10" s="210" t="s">
        <v>342</v>
      </c>
      <c r="C10" s="210" t="s">
        <v>394</v>
      </c>
      <c r="D10" s="193" t="s">
        <v>344</v>
      </c>
      <c r="E10" s="211" t="n">
        <v>34.23</v>
      </c>
      <c r="F10" s="194" t="n">
        <v>0.4</v>
      </c>
      <c r="G10" s="211" t="n">
        <v>0.68</v>
      </c>
      <c r="H10" s="211" t="n">
        <v>0.75</v>
      </c>
      <c r="I10" s="200" t="n">
        <f aca="false">IF(B10="","",(G10+H10)/2)</f>
        <v>0.715</v>
      </c>
      <c r="J10" s="200" t="n">
        <f aca="false">IF(B10="","",2*E10*I10)</f>
        <v>48.9489</v>
      </c>
      <c r="K10" s="200" t="n">
        <f aca="false">IF(B10="","",E10*F10)</f>
        <v>13.692</v>
      </c>
      <c r="L10" s="200" t="n">
        <f aca="false">IF(B10="","",IF(D10="TAPADA",E10*F10,0))</f>
        <v>13.692</v>
      </c>
      <c r="M10" s="212" t="n">
        <f aca="false">SUM(J10:L10)</f>
        <v>76.3329</v>
      </c>
      <c r="N10" s="213" t="n">
        <f aca="false">IF(B10="","",IF(D10="TAPADA",4,3))</f>
        <v>4.0</v>
      </c>
      <c r="O10" s="214" t="s">
        <v>18</v>
      </c>
    </row>
    <row r="11" customFormat="false" ht="33" hidden="false" customHeight="true" outlineLevel="0" collapsed="false">
      <c r="A11" s="209" t="n">
        <v>5</v>
      </c>
      <c r="B11" s="210" t="s">
        <v>352</v>
      </c>
      <c r="C11" s="210" t="s">
        <v>343</v>
      </c>
      <c r="D11" s="193" t="s">
        <v>225</v>
      </c>
      <c r="E11" s="211" t="n">
        <v>34.25</v>
      </c>
      <c r="F11" s="194" t="n">
        <v>0.4</v>
      </c>
      <c r="G11" s="211" t="n">
        <v>0.3</v>
      </c>
      <c r="H11" s="211" t="n">
        <v>0.47</v>
      </c>
      <c r="I11" s="200" t="n">
        <f aca="false">IF(B11="","",(G11+H11)/2)</f>
        <v>0.385</v>
      </c>
      <c r="J11" s="200" t="n">
        <f aca="false">IF(B11="","",2*E11*I11)</f>
        <v>26.3725</v>
      </c>
      <c r="K11" s="200" t="n">
        <f aca="false">IF(B11="","",E11*F11)</f>
        <v>13.7</v>
      </c>
      <c r="L11" s="200" t="n">
        <f aca="false">IF(B11="","",IF(D11="TAPADA",E11*F11,0))</f>
        <v>0.0</v>
      </c>
      <c r="M11" s="212" t="n">
        <f aca="false">SUM(J11:L11)</f>
        <v>40.0725</v>
      </c>
      <c r="N11" s="213" t="n">
        <f aca="false">IF(B11="","",IF(D11="TAPADA",4,3))</f>
        <v>3.0</v>
      </c>
      <c r="O11" s="214" t="s">
        <v>18</v>
      </c>
    </row>
    <row r="12" customFormat="false" ht="39.75" hidden="false" customHeight="true" outlineLevel="0" collapsed="false">
      <c r="A12" s="209" t="n">
        <v>6</v>
      </c>
      <c r="B12" s="210" t="s">
        <v>355</v>
      </c>
      <c r="C12" s="210" t="s">
        <v>343</v>
      </c>
      <c r="D12" s="193" t="s">
        <v>225</v>
      </c>
      <c r="E12" s="211" t="n">
        <v>22.4</v>
      </c>
      <c r="F12" s="194" t="n">
        <v>0.4</v>
      </c>
      <c r="G12" s="211" t="n">
        <v>0.3</v>
      </c>
      <c r="H12" s="211" t="n">
        <v>0.42</v>
      </c>
      <c r="I12" s="200" t="n">
        <f aca="false">IF(B12="","",(G12+H12)/2)</f>
        <v>0.36</v>
      </c>
      <c r="J12" s="200" t="n">
        <f aca="false">IF(B12="","",2*E12*I12)</f>
        <v>16.128</v>
      </c>
      <c r="K12" s="200" t="n">
        <f aca="false">IF(B12="","",E12*F12)</f>
        <v>8.96</v>
      </c>
      <c r="L12" s="200" t="n">
        <f aca="false">IF(B12="","",IF(D12="TAPADA",E12*F12,0))</f>
        <v>0.0</v>
      </c>
      <c r="M12" s="212" t="n">
        <f aca="false">SUM(J12:L12)</f>
        <v>25.088</v>
      </c>
      <c r="N12" s="213" t="n">
        <f aca="false">IF(B12="","",IF(D12="TAPADA",4,3))</f>
        <v>3.0</v>
      </c>
      <c r="O12" s="214" t="s">
        <v>18</v>
      </c>
    </row>
    <row r="13" customFormat="false" ht="33" hidden="false" customHeight="true" outlineLevel="0" collapsed="false">
      <c r="A13" s="209" t="n">
        <v>7</v>
      </c>
      <c r="B13" s="210" t="s">
        <v>358</v>
      </c>
      <c r="C13" s="210" t="s">
        <v>343</v>
      </c>
      <c r="D13" s="193" t="s">
        <v>225</v>
      </c>
      <c r="E13" s="211" t="n">
        <v>13.65</v>
      </c>
      <c r="F13" s="194" t="n">
        <v>0.4</v>
      </c>
      <c r="G13" s="211" t="n">
        <v>0.3</v>
      </c>
      <c r="H13" s="211" t="n">
        <v>0.36</v>
      </c>
      <c r="I13" s="200" t="n">
        <f aca="false">IF(B13="","",(G13+H13)/2)</f>
        <v>0.33</v>
      </c>
      <c r="J13" s="200" t="n">
        <f aca="false">IF(B13="","",2*E13*I13)</f>
        <v>9.009</v>
      </c>
      <c r="K13" s="200" t="n">
        <f aca="false">IF(B13="","",E13*F13)</f>
        <v>5.46</v>
      </c>
      <c r="L13" s="200" t="n">
        <f aca="false">IF(B13="","",IF(D13="TAPADA",E13*F13,0))</f>
        <v>0.0</v>
      </c>
      <c r="M13" s="212" t="n">
        <f aca="false">SUM(J13:L13)</f>
        <v>14.469</v>
      </c>
      <c r="N13" s="213" t="n">
        <f aca="false">IF(B13="","",IF(D13="TAPADA",4,3))</f>
        <v>3.0</v>
      </c>
      <c r="O13" s="214" t="s">
        <v>18</v>
      </c>
    </row>
    <row r="14" customFormat="false" ht="33" hidden="false" customHeight="true" outlineLevel="0" collapsed="false">
      <c r="A14" s="209" t="n">
        <v>8</v>
      </c>
      <c r="B14" s="210" t="s">
        <v>358</v>
      </c>
      <c r="C14" s="210" t="s">
        <v>348</v>
      </c>
      <c r="D14" s="193" t="s">
        <v>344</v>
      </c>
      <c r="E14" s="211" t="n">
        <v>5.5</v>
      </c>
      <c r="F14" s="194" t="n">
        <v>0.4</v>
      </c>
      <c r="G14" s="211" t="n">
        <v>0.36</v>
      </c>
      <c r="H14" s="211" t="n">
        <v>0.4</v>
      </c>
      <c r="I14" s="200" t="n">
        <f aca="false">IF(B14="","",(G14+H14)/2)</f>
        <v>0.38</v>
      </c>
      <c r="J14" s="200" t="n">
        <f aca="false">IF(B14="","",2*E14*I14)</f>
        <v>4.18</v>
      </c>
      <c r="K14" s="200" t="n">
        <f aca="false">IF(B14="","",E14*F14)</f>
        <v>2.2</v>
      </c>
      <c r="L14" s="200" t="n">
        <f aca="false">IF(B14="","",IF(D14="TAPADA",E14*F14,0))</f>
        <v>2.2</v>
      </c>
      <c r="M14" s="212" t="n">
        <f aca="false">SUM(J14:L14)</f>
        <v>8.58</v>
      </c>
      <c r="N14" s="213" t="n">
        <f aca="false">IF(B14="","",IF(D14="TAPADA",4,3))</f>
        <v>4.0</v>
      </c>
      <c r="O14" s="214" t="s">
        <v>18</v>
      </c>
    </row>
    <row r="15" customFormat="false" ht="33" hidden="false" customHeight="true" outlineLevel="0" collapsed="false">
      <c r="A15" s="209" t="n">
        <v>9</v>
      </c>
      <c r="B15" s="210" t="s">
        <v>358</v>
      </c>
      <c r="C15" s="210" t="s">
        <v>350</v>
      </c>
      <c r="D15" s="193" t="s">
        <v>225</v>
      </c>
      <c r="E15" s="211" t="n">
        <v>58</v>
      </c>
      <c r="F15" s="194" t="n">
        <v>0.4</v>
      </c>
      <c r="G15" s="211" t="n">
        <v>0.4</v>
      </c>
      <c r="H15" s="211" t="n">
        <v>0.68</v>
      </c>
      <c r="I15" s="200" t="n">
        <f aca="false">IF(B15="","",(G15+H15)/2)</f>
        <v>0.54</v>
      </c>
      <c r="J15" s="200" t="n">
        <f aca="false">IF(B15="","",2*E15*I15)</f>
        <v>62.64</v>
      </c>
      <c r="K15" s="200" t="n">
        <f aca="false">IF(B15="","",E15*F15)</f>
        <v>23.2</v>
      </c>
      <c r="L15" s="200" t="n">
        <f aca="false">IF(B15="","",IF(D15="TAPADA",E15*F15,0))</f>
        <v>0.0</v>
      </c>
      <c r="M15" s="212" t="n">
        <f aca="false">SUM(J15:L15)</f>
        <v>85.84</v>
      </c>
      <c r="N15" s="213" t="n">
        <f aca="false">IF(B15="","",IF(D15="TAPADA",4,3))</f>
        <v>3.0</v>
      </c>
      <c r="O15" s="214" t="s">
        <v>18</v>
      </c>
    </row>
    <row r="16" customFormat="false" ht="33" hidden="false" customHeight="true" outlineLevel="0" collapsed="false">
      <c r="A16" s="209" t="n">
        <v>10</v>
      </c>
      <c r="B16" s="210" t="s">
        <v>358</v>
      </c>
      <c r="C16" s="210" t="s">
        <v>394</v>
      </c>
      <c r="D16" s="193" t="s">
        <v>344</v>
      </c>
      <c r="E16" s="211" t="n">
        <v>25.16</v>
      </c>
      <c r="F16" s="194" t="n">
        <v>0.4</v>
      </c>
      <c r="G16" s="211" t="n">
        <v>0.68</v>
      </c>
      <c r="H16" s="211" t="n">
        <v>0.7</v>
      </c>
      <c r="I16" s="200" t="n">
        <f aca="false">IF(B16="","",(G16+H16)/2)</f>
        <v>0.69</v>
      </c>
      <c r="J16" s="200" t="n">
        <f aca="false">IF(B16="","",2*E16*I16)</f>
        <v>34.7208</v>
      </c>
      <c r="K16" s="200" t="n">
        <f aca="false">IF(B16="","",E16*F16)</f>
        <v>10.064</v>
      </c>
      <c r="L16" s="200" t="n">
        <f aca="false">IF(B16="","",IF(D16="TAPADA",E16*F16,0))</f>
        <v>10.064</v>
      </c>
      <c r="M16" s="212" t="n">
        <f aca="false">SUM(J16:L16)</f>
        <v>54.8488</v>
      </c>
      <c r="N16" s="213" t="n">
        <f aca="false">IF(B16="","",IF(D16="TAPADA",4,3))</f>
        <v>4.0</v>
      </c>
      <c r="O16" s="214" t="s">
        <v>18</v>
      </c>
    </row>
    <row r="17" customFormat="false" ht="33" hidden="false" customHeight="true" outlineLevel="0" collapsed="false">
      <c r="A17" s="209" t="n">
        <v>11</v>
      </c>
      <c r="B17" s="210" t="s">
        <v>363</v>
      </c>
      <c r="C17" s="210" t="s">
        <v>343</v>
      </c>
      <c r="D17" s="193" t="s">
        <v>225</v>
      </c>
      <c r="E17" s="211" t="n">
        <v>32.3</v>
      </c>
      <c r="F17" s="194" t="n">
        <v>0.4</v>
      </c>
      <c r="G17" s="211" t="n">
        <v>0.3</v>
      </c>
      <c r="H17" s="211" t="n">
        <v>0.46</v>
      </c>
      <c r="I17" s="200" t="n">
        <f aca="false">IF(B17="","",(G17+H17)/2)</f>
        <v>0.38</v>
      </c>
      <c r="J17" s="200" t="n">
        <f aca="false">IF(B17="","",2*E17*I17)</f>
        <v>24.548</v>
      </c>
      <c r="K17" s="200" t="n">
        <f aca="false">IF(B17="","",E17*F17)</f>
        <v>12.92</v>
      </c>
      <c r="L17" s="200" t="n">
        <f aca="false">IF(B17="","",IF(D17="TAPADA",E17*F17,0))</f>
        <v>0.0</v>
      </c>
      <c r="M17" s="212" t="n">
        <f aca="false">SUM(J17:L17)</f>
        <v>37.468</v>
      </c>
      <c r="N17" s="213" t="n">
        <f aca="false">IF(B17="","",IF(D17="TAPADA",4,3))</f>
        <v>3.0</v>
      </c>
      <c r="O17" s="214" t="s">
        <v>18</v>
      </c>
    </row>
    <row r="18" customFormat="false" ht="33" hidden="false" customHeight="true" outlineLevel="0" collapsed="false">
      <c r="A18" s="209" t="n">
        <v>12</v>
      </c>
      <c r="B18" s="210" t="s">
        <v>363</v>
      </c>
      <c r="C18" s="210" t="s">
        <v>348</v>
      </c>
      <c r="D18" s="193" t="s">
        <v>344</v>
      </c>
      <c r="E18" s="211" t="n">
        <v>9.9</v>
      </c>
      <c r="F18" s="194" t="n">
        <v>0.4</v>
      </c>
      <c r="G18" s="211" t="n">
        <v>0.46</v>
      </c>
      <c r="H18" s="211" t="n">
        <v>0.51</v>
      </c>
      <c r="I18" s="200" t="n">
        <f aca="false">IF(B18="","",(G18+H18)/2)</f>
        <v>0.485</v>
      </c>
      <c r="J18" s="200" t="n">
        <f aca="false">IF(B18="","",2*E18*I18)</f>
        <v>9.603</v>
      </c>
      <c r="K18" s="200" t="n">
        <f aca="false">IF(B18="","",E18*F18)</f>
        <v>3.96</v>
      </c>
      <c r="L18" s="200" t="n">
        <f aca="false">IF(B18="","",IF(D18="TAPADA",E18*F18,0))</f>
        <v>3.96</v>
      </c>
      <c r="M18" s="212" t="n">
        <f aca="false">SUM(J18:L18)</f>
        <v>17.523</v>
      </c>
      <c r="N18" s="213" t="n">
        <f aca="false">IF(B18="","",IF(D18="TAPADA",4,3))</f>
        <v>4.0</v>
      </c>
      <c r="O18" s="214" t="s">
        <v>18</v>
      </c>
    </row>
    <row r="19" customFormat="false" ht="33" hidden="false" customHeight="true" outlineLevel="0" collapsed="false">
      <c r="A19" s="209" t="n">
        <v>13</v>
      </c>
      <c r="B19" s="210" t="s">
        <v>367</v>
      </c>
      <c r="C19" s="210" t="s">
        <v>343</v>
      </c>
      <c r="D19" s="193" t="s">
        <v>225</v>
      </c>
      <c r="E19" s="211" t="n">
        <v>32.5</v>
      </c>
      <c r="F19" s="194" t="n">
        <v>0.4</v>
      </c>
      <c r="G19" s="211" t="n">
        <v>0.3</v>
      </c>
      <c r="H19" s="211" t="n">
        <v>0.46</v>
      </c>
      <c r="I19" s="200" t="n">
        <f aca="false">IF(B19="","",(G19+H19)/2)</f>
        <v>0.38</v>
      </c>
      <c r="J19" s="200" t="n">
        <f aca="false">IF(B19="","",2*E19*I19)</f>
        <v>24.7</v>
      </c>
      <c r="K19" s="200" t="n">
        <f aca="false">IF(B19="","",E19*F19)</f>
        <v>13.0</v>
      </c>
      <c r="L19" s="200" t="n">
        <f aca="false">IF(B19="","",IF(D19="TAPADA",E19*F19,0))</f>
        <v>0.0</v>
      </c>
      <c r="M19" s="212" t="n">
        <f aca="false">SUM(J19:L19)</f>
        <v>37.7</v>
      </c>
      <c r="N19" s="213" t="n">
        <f aca="false">IF(B19="","",IF(D19="TAPADA",4,3))</f>
        <v>3.0</v>
      </c>
      <c r="O19" s="214" t="s">
        <v>18</v>
      </c>
    </row>
    <row r="20" customFormat="false" ht="33" hidden="false" customHeight="true" outlineLevel="0" collapsed="false">
      <c r="A20" s="209" t="n">
        <v>14</v>
      </c>
      <c r="B20" s="210" t="s">
        <v>367</v>
      </c>
      <c r="C20" s="210" t="s">
        <v>348</v>
      </c>
      <c r="D20" s="193" t="s">
        <v>344</v>
      </c>
      <c r="E20" s="211" t="n">
        <v>66.19</v>
      </c>
      <c r="F20" s="194" t="n">
        <v>0.4</v>
      </c>
      <c r="G20" s="211" t="n">
        <v>0.46</v>
      </c>
      <c r="H20" s="211" t="n">
        <v>0.69</v>
      </c>
      <c r="I20" s="200" t="n">
        <f aca="false">IF(B20="","",(G20+H20)/2)</f>
        <v>0.575</v>
      </c>
      <c r="J20" s="200" t="n">
        <f aca="false">IF(B20="","",2*E20*I20)</f>
        <v>76.1185</v>
      </c>
      <c r="K20" s="200" t="n">
        <f aca="false">IF(B20="","",E20*F20)</f>
        <v>26.476</v>
      </c>
      <c r="L20" s="200" t="n">
        <f aca="false">IF(B20="","",IF(D20="TAPADA",E20*F20,0))</f>
        <v>26.476</v>
      </c>
      <c r="M20" s="212" t="n">
        <f aca="false">SUM(J20:L20)</f>
        <v>129.0705</v>
      </c>
      <c r="N20" s="213" t="n">
        <f aca="false">IF(B20="","",IF(D20="TAPADA",4,3))</f>
        <v>4.0</v>
      </c>
      <c r="O20" s="214" t="s">
        <v>18</v>
      </c>
    </row>
    <row r="21" customFormat="false" ht="33" hidden="false" customHeight="true" outlineLevel="0" collapsed="false">
      <c r="A21" s="209" t="n">
        <v>15</v>
      </c>
      <c r="B21" s="210" t="s">
        <v>371</v>
      </c>
      <c r="C21" s="210" t="s">
        <v>343</v>
      </c>
      <c r="D21" s="193" t="s">
        <v>225</v>
      </c>
      <c r="E21" s="211" t="n">
        <v>23.6</v>
      </c>
      <c r="F21" s="194" t="n">
        <v>0.4</v>
      </c>
      <c r="G21" s="211" t="n">
        <v>0.3</v>
      </c>
      <c r="H21" s="211" t="n">
        <v>0.41</v>
      </c>
      <c r="I21" s="200" t="n">
        <f aca="false">IF(B21="","",(G21+H21)/2)</f>
        <v>0.355</v>
      </c>
      <c r="J21" s="200" t="n">
        <f aca="false">IF(B21="","",2*E21*I21)</f>
        <v>16.756</v>
      </c>
      <c r="K21" s="200" t="n">
        <f aca="false">IF(B21="","",E21*F21)</f>
        <v>9.44</v>
      </c>
      <c r="L21" s="200" t="n">
        <f aca="false">IF(B21="","",IF(D21="TAPADA",E21*F21,0))</f>
        <v>0.0</v>
      </c>
      <c r="M21" s="212" t="n">
        <f aca="false">SUM(J21:L21)</f>
        <v>26.196</v>
      </c>
      <c r="N21" s="213" t="n">
        <f aca="false">IF(B21="","",IF(D21="TAPADA",4,3))</f>
        <v>3.0</v>
      </c>
      <c r="O21" s="214" t="s">
        <v>18</v>
      </c>
    </row>
    <row r="22" customFormat="false" ht="33" hidden="false" customHeight="true" outlineLevel="0" collapsed="false">
      <c r="A22" s="209" t="n">
        <v>16</v>
      </c>
      <c r="B22" s="210" t="s">
        <v>374</v>
      </c>
      <c r="C22" s="210" t="s">
        <v>343</v>
      </c>
      <c r="D22" s="193" t="s">
        <v>225</v>
      </c>
      <c r="E22" s="211" t="n">
        <v>49.85</v>
      </c>
      <c r="F22" s="194" t="n">
        <v>0.4</v>
      </c>
      <c r="G22" s="211" t="n">
        <v>0.3</v>
      </c>
      <c r="H22" s="211" t="n">
        <v>0.55</v>
      </c>
      <c r="I22" s="200" t="n">
        <f aca="false">IF(B22="","",(G22+H22)/2)</f>
        <v>0.425</v>
      </c>
      <c r="J22" s="200" t="n">
        <f aca="false">IF(B22="","",2*E22*I22)</f>
        <v>42.3725</v>
      </c>
      <c r="K22" s="200" t="n">
        <f aca="false">IF(B22="","",E22*F22)</f>
        <v>19.94</v>
      </c>
      <c r="L22" s="200" t="n">
        <f aca="false">IF(B22="","",IF(D22="TAPADA",E22*F22,0))</f>
        <v>0.0</v>
      </c>
      <c r="M22" s="212" t="n">
        <f aca="false">SUM(J22:L22)</f>
        <v>62.3125</v>
      </c>
      <c r="N22" s="213" t="n">
        <f aca="false">IF(B22="","",IF(D22="TAPADA",4,3))</f>
        <v>3.0</v>
      </c>
      <c r="O22" s="214" t="s">
        <v>18</v>
      </c>
    </row>
    <row r="23" customFormat="false" ht="33" hidden="false" customHeight="true" outlineLevel="0" collapsed="false">
      <c r="A23" s="209" t="n">
        <v>17</v>
      </c>
      <c r="B23" s="210" t="s">
        <v>374</v>
      </c>
      <c r="C23" s="210" t="s">
        <v>348</v>
      </c>
      <c r="D23" s="193" t="s">
        <v>344</v>
      </c>
      <c r="E23" s="211" t="n">
        <v>10.75</v>
      </c>
      <c r="F23" s="194" t="n">
        <v>0.4</v>
      </c>
      <c r="G23" s="211" t="n">
        <v>0.55</v>
      </c>
      <c r="H23" s="211" t="n">
        <v>0.6</v>
      </c>
      <c r="I23" s="200" t="n">
        <f aca="false">IF(B23="","",(G23+H23)/2)</f>
        <v>0.575</v>
      </c>
      <c r="J23" s="200" t="n">
        <f aca="false">IF(B23="","",2*E23*I23)</f>
        <v>12.3625</v>
      </c>
      <c r="K23" s="200" t="n">
        <f aca="false">IF(B23="","",E23*F23)</f>
        <v>4.3</v>
      </c>
      <c r="L23" s="200" t="n">
        <f aca="false">IF(B23="","",IF(D23="TAPADA",E23*F23,0))</f>
        <v>4.3</v>
      </c>
      <c r="M23" s="212" t="n">
        <f aca="false">SUM(J23:L23)</f>
        <v>20.9625</v>
      </c>
      <c r="N23" s="213" t="n">
        <f aca="false">IF(B23="","",IF(D23="TAPADA",4,3))</f>
        <v>4.0</v>
      </c>
      <c r="O23" s="214" t="s">
        <v>18</v>
      </c>
    </row>
    <row r="24" customFormat="false" ht="33" hidden="false" customHeight="true" outlineLevel="0" collapsed="false">
      <c r="A24" s="209" t="n">
        <v>18</v>
      </c>
      <c r="B24" s="210" t="s">
        <v>378</v>
      </c>
      <c r="C24" s="210" t="s">
        <v>343</v>
      </c>
      <c r="D24" s="193" t="s">
        <v>225</v>
      </c>
      <c r="E24" s="211" t="n">
        <v>36</v>
      </c>
      <c r="F24" s="194" t="n">
        <v>0.4</v>
      </c>
      <c r="G24" s="211" t="n">
        <v>0.3</v>
      </c>
      <c r="H24" s="211" t="n">
        <v>0.5</v>
      </c>
      <c r="I24" s="200" t="n">
        <f aca="false">IF(B24="","",(G24+H24)/2)</f>
        <v>0.4</v>
      </c>
      <c r="J24" s="200" t="n">
        <f aca="false">IF(B24="","",2*E24*I24)</f>
        <v>28.8</v>
      </c>
      <c r="K24" s="200" t="n">
        <f aca="false">IF(B24="","",E24*F24)</f>
        <v>14.4</v>
      </c>
      <c r="L24" s="200" t="n">
        <f aca="false">IF(B24="","",IF(D24="TAPADA",E24*F24,0))</f>
        <v>0.0</v>
      </c>
      <c r="M24" s="212" t="n">
        <f aca="false">SUM(J24:L24)</f>
        <v>43.2</v>
      </c>
      <c r="N24" s="213" t="n">
        <f aca="false">IF(B24="","",IF(D24="TAPADA",4,3))</f>
        <v>3.0</v>
      </c>
      <c r="O24" s="214" t="s">
        <v>18</v>
      </c>
    </row>
    <row r="25" customFormat="false" ht="33" hidden="false" customHeight="true" outlineLevel="0" collapsed="false">
      <c r="A25" s="209" t="n">
        <v>19</v>
      </c>
      <c r="B25" s="210" t="s">
        <v>378</v>
      </c>
      <c r="C25" s="210" t="s">
        <v>348</v>
      </c>
      <c r="D25" s="193" t="s">
        <v>344</v>
      </c>
      <c r="E25" s="211" t="n">
        <v>6.66</v>
      </c>
      <c r="F25" s="194" t="n">
        <v>0.4</v>
      </c>
      <c r="G25" s="211" t="n">
        <v>0.5</v>
      </c>
      <c r="H25" s="211" t="n">
        <v>0.56</v>
      </c>
      <c r="I25" s="200" t="n">
        <f aca="false">IF(B25="","",(G25+H25)/2)</f>
        <v>0.53</v>
      </c>
      <c r="J25" s="200" t="n">
        <f aca="false">IF(B25="","",2*E25*I25)</f>
        <v>7.0596</v>
      </c>
      <c r="K25" s="200" t="n">
        <f aca="false">IF(B25="","",E25*F25)</f>
        <v>2.664</v>
      </c>
      <c r="L25" s="200" t="n">
        <f aca="false">IF(B25="","",IF(D25="TAPADA",E25*F25,0))</f>
        <v>2.664</v>
      </c>
      <c r="M25" s="212" t="n">
        <f aca="false">SUM(J25:L25)</f>
        <v>12.3876</v>
      </c>
      <c r="N25" s="213" t="n">
        <f aca="false">IF(B25="","",IF(D25="TAPADA",4,3))</f>
        <v>4.0</v>
      </c>
      <c r="O25" s="214" t="s">
        <v>18</v>
      </c>
    </row>
    <row r="27" customFormat="false" ht="22.5" hidden="false" customHeight="true" outlineLevel="0" collapsed="false">
      <c r="A27" s="215" t="s">
        <v>395</v>
      </c>
      <c r="B27" s="215"/>
      <c r="C27" s="215"/>
      <c r="D27" s="215"/>
      <c r="E27" s="215"/>
      <c r="F27" s="215"/>
      <c r="G27" s="215"/>
      <c r="H27" s="215"/>
      <c r="I27" s="215"/>
      <c r="J27" s="215"/>
      <c r="K27" s="215"/>
      <c r="L27" s="215"/>
      <c r="M27" s="216" t="n">
        <f aca="false">SUM(M7:M25)</f>
        <v>801.5833</v>
      </c>
      <c r="N27" s="216"/>
      <c r="O27" s="216" t="s">
        <v>18</v>
      </c>
    </row>
  </sheetData>
  <mergeCells count="9">
    <mergeCell ref="A1:O1"/>
    <mergeCell ref="A2:B2"/>
    <mergeCell ref="C2:O2"/>
    <mergeCell ref="A3:B3"/>
    <mergeCell ref="C3:O3"/>
    <mergeCell ref="A4:B4"/>
    <mergeCell ref="C4:J4"/>
    <mergeCell ref="L4:O4"/>
    <mergeCell ref="A27:L27"/>
  </mergeCells>
  <conditionalFormatting sqref="D7:D25">
    <cfRule type="expression" priority="2" aboveAverage="0" equalAverage="0" bottom="0" percent="0" rank="0" text="" dxfId="7">
      <formula>D7="TAPADA"</formula>
    </cfRule>
    <cfRule type="expression" priority="3" aboveAverage="0" equalAverage="0" bottom="0" percent="0" rank="0" text="" dxfId="8">
      <formula>D7="ABIERTA"</formula>
    </cfRule>
  </conditionalFormatting>
  <conditionalFormatting sqref="L7:L25">
    <cfRule type="expression" priority="4" aboveAverage="0" equalAverage="0" bottom="0" percent="0" rank="0" text="" dxfId="9">
      <formula>$D7="ABIERTA"</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H27"/>
  <sheetViews>
    <sheetView showFormulas="false" showGridLines="true" showRowColHeaders="true" showZeros="true" rightToLeft="false" tabSelected="false" showOutlineSymbols="true" defaultGridColor="true" view="normal" topLeftCell="A4" colorId="64" zoomScale="115" zoomScaleNormal="115" zoomScalePageLayoutView="115" workbookViewId="0">
      <selection pane="topLeft" activeCell="I18" activeCellId="0" sqref="I18"/>
    </sheetView>
  </sheetViews>
  <sheetFormatPr defaultColWidth="9.453125" defaultRowHeight="13.5" zeroHeight="false" outlineLevelRow="0" outlineLevelCol="0"/>
  <cols>
    <col collapsed="false" customWidth="true" hidden="false" outlineLevel="0" max="1" min="1" style="174" width="6.54"/>
    <col collapsed="false" customWidth="true" hidden="false" outlineLevel="0" max="2" min="2" style="174" width="15.91"/>
    <col collapsed="false" customWidth="true" hidden="false" outlineLevel="0" max="3" min="3" style="174" width="18.81"/>
    <col collapsed="false" customWidth="true" hidden="false" outlineLevel="0" max="4" min="4" style="174" width="17.45"/>
    <col collapsed="false" customWidth="true" hidden="false" outlineLevel="0" max="5" min="5" style="174" width="14.73"/>
    <col collapsed="false" customWidth="true" hidden="false" outlineLevel="0" max="6" min="6" style="174" width="19.64"/>
    <col collapsed="false" customWidth="true" hidden="false" outlineLevel="0" max="7" min="7" style="174" width="27"/>
    <col collapsed="false" customWidth="true" hidden="false" outlineLevel="0" max="8" min="8" style="174" width="8.73"/>
    <col collapsed="false" customWidth="false" hidden="false" outlineLevel="0" max="16384" min="9" style="174" width="9.45"/>
  </cols>
  <sheetData>
    <row r="1" customFormat="false" ht="21" hidden="false" customHeight="true" outlineLevel="0" collapsed="false">
      <c r="A1" s="217" t="s">
        <v>396</v>
      </c>
      <c r="B1" s="217"/>
      <c r="C1" s="217"/>
      <c r="D1" s="217"/>
      <c r="E1" s="217"/>
      <c r="F1" s="217"/>
      <c r="G1" s="217"/>
      <c r="H1" s="217"/>
    </row>
    <row r="2" customFormat="false" ht="22.5" hidden="false" customHeight="true" outlineLevel="0" collapsed="false">
      <c r="A2" s="218" t="s">
        <v>1</v>
      </c>
      <c r="B2" s="218"/>
      <c r="C2" s="219" t="s">
        <v>2</v>
      </c>
      <c r="D2" s="219"/>
      <c r="E2" s="219"/>
      <c r="F2" s="219"/>
      <c r="G2" s="219"/>
      <c r="H2" s="219"/>
    </row>
    <row r="3" customFormat="false" ht="54" hidden="false" customHeight="true" outlineLevel="0" collapsed="false">
      <c r="A3" s="218" t="s">
        <v>3</v>
      </c>
      <c r="B3" s="218"/>
      <c r="C3" s="219" t="str">
        <f aca="false">+RESUMEN!B5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219"/>
      <c r="E3" s="219"/>
      <c r="F3" s="219"/>
      <c r="G3" s="219"/>
      <c r="H3" s="219"/>
    </row>
    <row r="4" customFormat="false" ht="24" hidden="false" customHeight="true" outlineLevel="0" collapsed="false">
      <c r="A4" s="218" t="s">
        <v>5</v>
      </c>
      <c r="B4" s="218"/>
      <c r="C4" s="220" t="str">
        <f aca="false">+RESUMEN!B6</f>
        <v>SAN MARTIN - SAN MARTIN - MORALES</v>
      </c>
      <c r="D4" s="220"/>
      <c r="E4" s="220"/>
      <c r="F4" s="220"/>
      <c r="G4" s="221" t="s">
        <v>7</v>
      </c>
      <c r="H4" s="222" t="n">
        <f aca="false">+RESUMEN!B7</f>
        <v>46266</v>
      </c>
    </row>
    <row r="6" customFormat="false" ht="31.5" hidden="false" customHeight="true" outlineLevel="0" collapsed="false">
      <c r="A6" s="223" t="s">
        <v>309</v>
      </c>
      <c r="B6" s="223" t="s">
        <v>310</v>
      </c>
      <c r="C6" s="223" t="s">
        <v>311</v>
      </c>
      <c r="D6" s="223" t="s">
        <v>312</v>
      </c>
      <c r="E6" s="223" t="s">
        <v>397</v>
      </c>
      <c r="F6" s="223" t="s">
        <v>398</v>
      </c>
      <c r="G6" s="223" t="s">
        <v>399</v>
      </c>
      <c r="H6" s="223" t="s">
        <v>393</v>
      </c>
    </row>
    <row r="7" customFormat="false" ht="30" hidden="false" customHeight="true" outlineLevel="0" collapsed="false">
      <c r="A7" s="209" t="n">
        <v>1</v>
      </c>
      <c r="B7" s="210" t="s">
        <v>342</v>
      </c>
      <c r="C7" s="210" t="s">
        <v>343</v>
      </c>
      <c r="D7" s="193" t="s">
        <v>225</v>
      </c>
      <c r="E7" s="211" t="n">
        <v>13.2</v>
      </c>
      <c r="F7" s="224" t="n">
        <v>0</v>
      </c>
      <c r="G7" s="225" t="n">
        <f aca="false">IF(B7="","",IF(D7="ABIERTA",IF(E7-F7&lt;0,0,E7-F7),0))</f>
        <v>13.2</v>
      </c>
      <c r="H7" s="226" t="s">
        <v>71</v>
      </c>
    </row>
    <row r="8" customFormat="false" ht="33" hidden="false" customHeight="true" outlineLevel="0" collapsed="false">
      <c r="A8" s="209" t="n">
        <v>2</v>
      </c>
      <c r="B8" s="210" t="s">
        <v>342</v>
      </c>
      <c r="C8" s="210" t="s">
        <v>348</v>
      </c>
      <c r="D8" s="193" t="s">
        <v>344</v>
      </c>
      <c r="E8" s="211" t="n">
        <v>6</v>
      </c>
      <c r="F8" s="224" t="n">
        <v>0</v>
      </c>
      <c r="G8" s="225" t="n">
        <f aca="false">IF(B8="","",IF(D8="ABIERTA",IF(E8-F8&lt;0,0,E8-F8),0))</f>
        <v>0.0</v>
      </c>
      <c r="H8" s="226" t="s">
        <v>71</v>
      </c>
    </row>
    <row r="9" customFormat="false" ht="28.5" hidden="false" customHeight="true" outlineLevel="0" collapsed="false">
      <c r="A9" s="209" t="n">
        <v>3</v>
      </c>
      <c r="B9" s="210" t="s">
        <v>342</v>
      </c>
      <c r="C9" s="210" t="s">
        <v>350</v>
      </c>
      <c r="D9" s="193" t="s">
        <v>225</v>
      </c>
      <c r="E9" s="211" t="n">
        <v>58.1</v>
      </c>
      <c r="F9" s="224" t="n">
        <v>0</v>
      </c>
      <c r="G9" s="225" t="n">
        <f aca="false">IF(B9="","",IF(D9="ABIERTA",IF(E9-F9&lt;0,0,E9-F9),0))</f>
        <v>58.1</v>
      </c>
      <c r="H9" s="226" t="s">
        <v>71</v>
      </c>
    </row>
    <row r="10" customFormat="false" ht="27" hidden="false" customHeight="true" outlineLevel="0" collapsed="false">
      <c r="A10" s="209" t="n">
        <v>4</v>
      </c>
      <c r="B10" s="210" t="s">
        <v>342</v>
      </c>
      <c r="C10" s="210" t="s">
        <v>394</v>
      </c>
      <c r="D10" s="193" t="s">
        <v>344</v>
      </c>
      <c r="E10" s="211" t="n">
        <v>34.23</v>
      </c>
      <c r="F10" s="224" t="n">
        <v>0</v>
      </c>
      <c r="G10" s="225" t="n">
        <f aca="false">IF(B10="","",IF(D10="ABIERTA",IF(E10-F10&lt;0,0,E10-F10),0))</f>
        <v>0.0</v>
      </c>
      <c r="H10" s="226" t="s">
        <v>71</v>
      </c>
    </row>
    <row r="11" customFormat="false" ht="27" hidden="false" customHeight="true" outlineLevel="0" collapsed="false">
      <c r="A11" s="209" t="n">
        <v>5</v>
      </c>
      <c r="B11" s="210" t="s">
        <v>352</v>
      </c>
      <c r="C11" s="210" t="s">
        <v>343</v>
      </c>
      <c r="D11" s="193" t="s">
        <v>225</v>
      </c>
      <c r="E11" s="211" t="n">
        <v>34.25</v>
      </c>
      <c r="F11" s="224" t="n">
        <v>0</v>
      </c>
      <c r="G11" s="225" t="n">
        <f aca="false">IF(B11="","",IF(D11="ABIERTA",IF(E11-F11&lt;0,0,E11-F11),0))</f>
        <v>34.25</v>
      </c>
      <c r="H11" s="226" t="s">
        <v>71</v>
      </c>
    </row>
    <row r="12" customFormat="false" ht="27" hidden="false" customHeight="true" outlineLevel="0" collapsed="false">
      <c r="A12" s="209" t="n">
        <v>6</v>
      </c>
      <c r="B12" s="210" t="s">
        <v>355</v>
      </c>
      <c r="C12" s="210" t="s">
        <v>343</v>
      </c>
      <c r="D12" s="193" t="s">
        <v>225</v>
      </c>
      <c r="E12" s="211" t="n">
        <v>22.4</v>
      </c>
      <c r="F12" s="224" t="n">
        <v>0</v>
      </c>
      <c r="G12" s="225" t="n">
        <f aca="false">IF(B12="","",IF(D12="ABIERTA",IF(E12-F12&lt;0,0,E12-F12),0))</f>
        <v>22.4</v>
      </c>
      <c r="H12" s="226" t="s">
        <v>71</v>
      </c>
    </row>
    <row r="13" customFormat="false" ht="27" hidden="false" customHeight="true" outlineLevel="0" collapsed="false">
      <c r="A13" s="209" t="n">
        <v>7</v>
      </c>
      <c r="B13" s="210" t="s">
        <v>358</v>
      </c>
      <c r="C13" s="210" t="s">
        <v>343</v>
      </c>
      <c r="D13" s="193" t="s">
        <v>225</v>
      </c>
      <c r="E13" s="211" t="n">
        <v>13.65</v>
      </c>
      <c r="F13" s="224" t="n">
        <v>0</v>
      </c>
      <c r="G13" s="225" t="n">
        <f aca="false">IF(B13="","",IF(D13="ABIERTA",IF(E13-F13&lt;0,0,E13-F13),0))</f>
        <v>13.65</v>
      </c>
      <c r="H13" s="226" t="s">
        <v>71</v>
      </c>
    </row>
    <row r="14" customFormat="false" ht="27" hidden="false" customHeight="true" outlineLevel="0" collapsed="false">
      <c r="A14" s="209" t="n">
        <v>8</v>
      </c>
      <c r="B14" s="210" t="s">
        <v>358</v>
      </c>
      <c r="C14" s="210" t="s">
        <v>348</v>
      </c>
      <c r="D14" s="193" t="s">
        <v>344</v>
      </c>
      <c r="E14" s="211" t="n">
        <v>5.5</v>
      </c>
      <c r="F14" s="224" t="n">
        <v>0</v>
      </c>
      <c r="G14" s="225" t="n">
        <f aca="false">IF(B14="","",IF(D14="ABIERTA",IF(E14-F14&lt;0,0,E14-F14),0))</f>
        <v>0.0</v>
      </c>
      <c r="H14" s="226" t="s">
        <v>71</v>
      </c>
    </row>
    <row r="15" customFormat="false" ht="27" hidden="false" customHeight="true" outlineLevel="0" collapsed="false">
      <c r="A15" s="209" t="n">
        <v>9</v>
      </c>
      <c r="B15" s="210" t="s">
        <v>358</v>
      </c>
      <c r="C15" s="210" t="s">
        <v>350</v>
      </c>
      <c r="D15" s="193" t="s">
        <v>225</v>
      </c>
      <c r="E15" s="211" t="n">
        <v>58</v>
      </c>
      <c r="F15" s="224" t="n">
        <v>0</v>
      </c>
      <c r="G15" s="225" t="n">
        <f aca="false">IF(B15="","",IF(D15="ABIERTA",IF(E15-F15&lt;0,0,E15-F15),0))</f>
        <v>58.0</v>
      </c>
      <c r="H15" s="226" t="s">
        <v>71</v>
      </c>
    </row>
    <row r="16" customFormat="false" ht="27" hidden="false" customHeight="true" outlineLevel="0" collapsed="false">
      <c r="A16" s="209" t="n">
        <v>10</v>
      </c>
      <c r="B16" s="210" t="s">
        <v>358</v>
      </c>
      <c r="C16" s="210" t="s">
        <v>394</v>
      </c>
      <c r="D16" s="193" t="s">
        <v>344</v>
      </c>
      <c r="E16" s="211" t="n">
        <v>25.16</v>
      </c>
      <c r="F16" s="224" t="n">
        <v>0</v>
      </c>
      <c r="G16" s="225" t="n">
        <f aca="false">IF(B16="","",IF(D16="ABIERTA",IF(E16-F16&lt;0,0,E16-F16),0))</f>
        <v>0.0</v>
      </c>
      <c r="H16" s="226" t="s">
        <v>71</v>
      </c>
    </row>
    <row r="17" customFormat="false" ht="27" hidden="false" customHeight="true" outlineLevel="0" collapsed="false">
      <c r="A17" s="209" t="n">
        <v>11</v>
      </c>
      <c r="B17" s="210" t="s">
        <v>363</v>
      </c>
      <c r="C17" s="210" t="s">
        <v>343</v>
      </c>
      <c r="D17" s="193" t="s">
        <v>225</v>
      </c>
      <c r="E17" s="211" t="n">
        <v>32.3</v>
      </c>
      <c r="F17" s="224" t="n">
        <v>0</v>
      </c>
      <c r="G17" s="225" t="n">
        <f aca="false">IF(B17="","",IF(D17="ABIERTA",IF(E17-F17&lt;0,0,E17-F17),0))</f>
        <v>32.3</v>
      </c>
      <c r="H17" s="226" t="s">
        <v>71</v>
      </c>
    </row>
    <row r="18" customFormat="false" ht="27" hidden="false" customHeight="true" outlineLevel="0" collapsed="false">
      <c r="A18" s="209" t="n">
        <v>12</v>
      </c>
      <c r="B18" s="210" t="s">
        <v>363</v>
      </c>
      <c r="C18" s="210" t="s">
        <v>348</v>
      </c>
      <c r="D18" s="193" t="s">
        <v>344</v>
      </c>
      <c r="E18" s="211" t="n">
        <v>9.9</v>
      </c>
      <c r="F18" s="224" t="n">
        <v>0</v>
      </c>
      <c r="G18" s="225" t="n">
        <f aca="false">IF(B18="","",IF(D18="ABIERTA",IF(E18-F18&lt;0,0,E18-F18),0))</f>
        <v>0.0</v>
      </c>
      <c r="H18" s="226" t="s">
        <v>71</v>
      </c>
    </row>
    <row r="19" customFormat="false" ht="27" hidden="false" customHeight="true" outlineLevel="0" collapsed="false">
      <c r="A19" s="209" t="n">
        <v>13</v>
      </c>
      <c r="B19" s="210" t="s">
        <v>367</v>
      </c>
      <c r="C19" s="210" t="s">
        <v>343</v>
      </c>
      <c r="D19" s="193" t="s">
        <v>225</v>
      </c>
      <c r="E19" s="211" t="n">
        <v>32.5</v>
      </c>
      <c r="F19" s="224" t="n">
        <v>0</v>
      </c>
      <c r="G19" s="225" t="n">
        <f aca="false">IF(B19="","",IF(D19="ABIERTA",IF(E19-F19&lt;0,0,E19-F19),0))</f>
        <v>32.5</v>
      </c>
      <c r="H19" s="226" t="s">
        <v>71</v>
      </c>
    </row>
    <row r="20" customFormat="false" ht="27" hidden="false" customHeight="true" outlineLevel="0" collapsed="false">
      <c r="A20" s="209" t="n">
        <v>14</v>
      </c>
      <c r="B20" s="210" t="s">
        <v>367</v>
      </c>
      <c r="C20" s="210" t="s">
        <v>348</v>
      </c>
      <c r="D20" s="193" t="s">
        <v>344</v>
      </c>
      <c r="E20" s="211" t="n">
        <v>66.19</v>
      </c>
      <c r="F20" s="224" t="n">
        <v>0</v>
      </c>
      <c r="G20" s="225" t="n">
        <f aca="false">IF(B20="","",IF(D20="ABIERTA",IF(E20-F20&lt;0,0,E20-F20),0))</f>
        <v>0.0</v>
      </c>
      <c r="H20" s="226" t="s">
        <v>71</v>
      </c>
    </row>
    <row r="21" customFormat="false" ht="27" hidden="false" customHeight="true" outlineLevel="0" collapsed="false">
      <c r="A21" s="209" t="n">
        <v>15</v>
      </c>
      <c r="B21" s="210" t="s">
        <v>371</v>
      </c>
      <c r="C21" s="210" t="s">
        <v>343</v>
      </c>
      <c r="D21" s="193" t="s">
        <v>225</v>
      </c>
      <c r="E21" s="211" t="n">
        <v>23.6</v>
      </c>
      <c r="F21" s="224" t="n">
        <v>0</v>
      </c>
      <c r="G21" s="225" t="n">
        <f aca="false">IF(B21="","",IF(D21="ABIERTA",IF(E21-F21&lt;0,0,E21-F21),0))</f>
        <v>23.6</v>
      </c>
      <c r="H21" s="226" t="s">
        <v>71</v>
      </c>
    </row>
    <row r="22" customFormat="false" ht="27" hidden="false" customHeight="true" outlineLevel="0" collapsed="false">
      <c r="A22" s="209" t="n">
        <v>16</v>
      </c>
      <c r="B22" s="210" t="s">
        <v>374</v>
      </c>
      <c r="C22" s="210" t="s">
        <v>343</v>
      </c>
      <c r="D22" s="193" t="s">
        <v>225</v>
      </c>
      <c r="E22" s="211" t="n">
        <v>49.85</v>
      </c>
      <c r="F22" s="224" t="n">
        <v>0</v>
      </c>
      <c r="G22" s="225" t="n">
        <f aca="false">IF(B22="","",IF(D22="ABIERTA",IF(E22-F22&lt;0,0,E22-F22),0))</f>
        <v>49.85</v>
      </c>
      <c r="H22" s="226" t="s">
        <v>71</v>
      </c>
    </row>
    <row r="23" customFormat="false" ht="27" hidden="false" customHeight="true" outlineLevel="0" collapsed="false">
      <c r="A23" s="209" t="n">
        <v>17</v>
      </c>
      <c r="B23" s="210" t="s">
        <v>374</v>
      </c>
      <c r="C23" s="210" t="s">
        <v>348</v>
      </c>
      <c r="D23" s="193" t="s">
        <v>344</v>
      </c>
      <c r="E23" s="211" t="n">
        <v>10.75</v>
      </c>
      <c r="F23" s="224" t="n">
        <v>0</v>
      </c>
      <c r="G23" s="225" t="n">
        <f aca="false">IF(B23="","",IF(D23="ABIERTA",IF(E23-F23&lt;0,0,E23-F23),0))</f>
        <v>0.0</v>
      </c>
      <c r="H23" s="226" t="s">
        <v>71</v>
      </c>
    </row>
    <row r="24" customFormat="false" ht="27" hidden="false" customHeight="true" outlineLevel="0" collapsed="false">
      <c r="A24" s="209" t="n">
        <v>18</v>
      </c>
      <c r="B24" s="210" t="s">
        <v>378</v>
      </c>
      <c r="C24" s="210" t="s">
        <v>343</v>
      </c>
      <c r="D24" s="193" t="s">
        <v>225</v>
      </c>
      <c r="E24" s="211" t="n">
        <v>36</v>
      </c>
      <c r="F24" s="224" t="n">
        <v>0</v>
      </c>
      <c r="G24" s="225" t="n">
        <f aca="false">IF(B24="","",IF(D24="ABIERTA",IF(E24-F24&lt;0,0,E24-F24),0))</f>
        <v>36.0</v>
      </c>
      <c r="H24" s="226" t="s">
        <v>71</v>
      </c>
    </row>
    <row r="25" customFormat="false" ht="27" hidden="false" customHeight="true" outlineLevel="0" collapsed="false">
      <c r="A25" s="209" t="n">
        <v>19</v>
      </c>
      <c r="B25" s="210" t="s">
        <v>378</v>
      </c>
      <c r="C25" s="210" t="s">
        <v>348</v>
      </c>
      <c r="D25" s="193" t="s">
        <v>344</v>
      </c>
      <c r="E25" s="211" t="n">
        <v>6.66</v>
      </c>
      <c r="F25" s="224" t="n">
        <v>0</v>
      </c>
      <c r="G25" s="225" t="n">
        <f aca="false">IF(B25="","",IF(D25="ABIERTA",IF(E25-F25&lt;0,0,E25-F25),0))</f>
        <v>0.0</v>
      </c>
      <c r="H25" s="226" t="s">
        <v>71</v>
      </c>
    </row>
    <row r="27" customFormat="false" ht="18" hidden="false" customHeight="true" outlineLevel="0" collapsed="false">
      <c r="A27" s="227" t="s">
        <v>400</v>
      </c>
      <c r="B27" s="227"/>
      <c r="C27" s="227"/>
      <c r="D27" s="227"/>
      <c r="E27" s="227"/>
      <c r="F27" s="227"/>
      <c r="G27" s="228" t="n">
        <f aca="false">SUM(G7:G25)</f>
        <v>373.85</v>
      </c>
      <c r="H27" s="228" t="s">
        <v>71</v>
      </c>
    </row>
  </sheetData>
  <mergeCells count="8">
    <mergeCell ref="A1:H1"/>
    <mergeCell ref="A2:B2"/>
    <mergeCell ref="C2:H2"/>
    <mergeCell ref="A3:B3"/>
    <mergeCell ref="C3:H3"/>
    <mergeCell ref="A4:B4"/>
    <mergeCell ref="C4:F4"/>
    <mergeCell ref="A27:F27"/>
  </mergeCells>
  <conditionalFormatting sqref="D7:D25">
    <cfRule type="expression" priority="2" aboveAverage="0" equalAverage="0" bottom="0" percent="0" rank="0" text="" dxfId="10">
      <formula>D7="TAPADA"</formula>
    </cfRule>
    <cfRule type="expression" priority="3" aboveAverage="0" equalAverage="0" bottom="0" percent="0" rank="0" text="" dxfId="11">
      <formula>D7="ABIERTA"</formula>
    </cfRule>
  </conditionalFormatting>
  <conditionalFormatting sqref="G7:G25">
    <cfRule type="expression" priority="4" aboveAverage="0" equalAverage="0" bottom="0" percent="0" rank="0" text="" dxfId="12">
      <formula>$D7="TAPADA"</formula>
    </cfRule>
  </conditionalFormatting>
  <printOptions headings="false" gridLines="false" gridLinesSet="true" horizontalCentered="false" verticalCentered="false"/>
  <pageMargins left="0.7" right="0.7" top="0.75" bottom="0.75" header="0.511811023622047" footer="0.511811023622047"/>
  <pageSetup paperSize="9" scale="6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J26"/>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pane xSplit="0" ySplit="11" topLeftCell="A12" activePane="bottomLeft" state="frozen"/>
      <selection pane="topLeft" activeCell="A1" activeCellId="0" sqref="A1"/>
      <selection pane="bottomLeft" activeCell="A22" activeCellId="0" sqref="A22"/>
    </sheetView>
  </sheetViews>
  <sheetFormatPr defaultColWidth="8.63671875" defaultRowHeight="13.5" zeroHeight="false" outlineLevelRow="0" outlineLevelCol="0"/>
  <cols>
    <col collapsed="false" customWidth="true" hidden="false" outlineLevel="0" max="1" min="1" style="229" width="24.91"/>
    <col collapsed="false" customWidth="true" hidden="false" outlineLevel="0" max="2" min="2" style="229" width="16"/>
    <col collapsed="false" customWidth="true" hidden="false" outlineLevel="0" max="3" min="3" style="229" width="7"/>
    <col collapsed="false" customWidth="true" hidden="false" outlineLevel="0" max="10" min="4" style="229" width="15.27"/>
    <col collapsed="false" customWidth="false" hidden="false" outlineLevel="0" max="16384" min="11" style="229" width="8.64"/>
  </cols>
  <sheetData>
    <row r="1" customFormat="false" ht="31.5" hidden="false" customHeight="true" outlineLevel="0" collapsed="false">
      <c r="A1" s="230" t="s">
        <v>887</v>
      </c>
      <c r="B1" s="230"/>
      <c r="C1" s="230"/>
      <c r="D1" s="230"/>
      <c r="E1" s="230"/>
      <c r="F1" s="230"/>
      <c r="G1" s="230"/>
      <c r="H1" s="230"/>
      <c r="I1" s="230"/>
      <c r="J1" s="230"/>
    </row>
    <row r="2" customFormat="false" ht="15" hidden="false" customHeight="true" outlineLevel="0" collapsed="false">
      <c r="A2" s="231" t="s">
        <v>1</v>
      </c>
      <c r="B2" s="232" t="s">
        <v>2</v>
      </c>
      <c r="C2" s="232"/>
      <c r="D2" s="232"/>
      <c r="E2" s="232"/>
      <c r="F2" s="232"/>
      <c r="G2" s="232"/>
      <c r="H2" s="232"/>
      <c r="I2" s="232"/>
      <c r="J2" s="232"/>
    </row>
    <row r="3" customFormat="false" ht="59.25" hidden="false" customHeight="true" outlineLevel="0" collapsed="false">
      <c r="A3" s="231" t="s">
        <v>3</v>
      </c>
      <c r="B3" s="232" t="str">
        <f aca="false">+RESUMEN!B5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C3" s="232"/>
      <c r="D3" s="232"/>
      <c r="E3" s="232"/>
      <c r="F3" s="232"/>
      <c r="G3" s="232"/>
      <c r="H3" s="232"/>
      <c r="I3" s="232"/>
      <c r="J3" s="232"/>
    </row>
    <row r="4" customFormat="false" ht="15" hidden="false" customHeight="true" outlineLevel="0" collapsed="false">
      <c r="A4" s="231" t="s">
        <v>5</v>
      </c>
      <c r="B4" s="232" t="str">
        <f aca="false">+RESUMEN!B6</f>
        <v>SAN MARTIN - SAN MARTIN - MORALES</v>
      </c>
      <c r="C4" s="232"/>
      <c r="D4" s="232"/>
      <c r="E4" s="232"/>
      <c r="F4" s="232"/>
      <c r="G4" s="232"/>
      <c r="H4" s="232"/>
      <c r="I4" s="232"/>
      <c r="J4" s="232"/>
    </row>
    <row r="5" customFormat="false" ht="15" hidden="false" customHeight="true" outlineLevel="0" collapsed="false">
      <c r="A5" s="231" t="s">
        <v>7</v>
      </c>
      <c r="B5" s="233" t="n">
        <f aca="false">+RESUMEN!B7</f>
        <v>46266</v>
      </c>
      <c r="C5" s="233"/>
      <c r="D5" s="233"/>
      <c r="E5" s="233"/>
      <c r="F5" s="233"/>
      <c r="G5" s="233"/>
      <c r="H5" s="233"/>
      <c r="I5" s="233"/>
      <c r="J5" s="233"/>
    </row>
    <row r="7" customFormat="false" ht="14.9" hidden="false" customHeight="false" outlineLevel="0" collapsed="false">
      <c r="A7" s="234" t="s">
        <v>402</v>
      </c>
      <c r="B7" s="235"/>
    </row>
    <row r="8" customFormat="false" ht="36" hidden="false" customHeight="true" outlineLevel="0" collapsed="false">
      <c r="A8" s="236" t="s">
        <v>403</v>
      </c>
      <c r="B8" s="237" t="n">
        <v>3</v>
      </c>
    </row>
    <row r="9" customFormat="false" ht="26.25" hidden="false" customHeight="true" outlineLevel="0" collapsed="false">
      <c r="A9" s="236" t="s">
        <v>404</v>
      </c>
      <c r="B9" s="237" t="n">
        <v>2</v>
      </c>
    </row>
    <row r="10" customFormat="false" ht="27.75" hidden="false" customHeight="true" outlineLevel="0" collapsed="false">
      <c r="A10" s="238" t="s">
        <v>888</v>
      </c>
      <c r="B10" s="237" t="n">
        <v>0.4</v>
      </c>
    </row>
    <row r="11" customFormat="false" ht="39.75" hidden="false" customHeight="true" outlineLevel="0" collapsed="false">
      <c r="A11" s="239" t="s">
        <v>159</v>
      </c>
      <c r="B11" s="239" t="s">
        <v>407</v>
      </c>
      <c r="C11" s="239" t="s">
        <v>393</v>
      </c>
      <c r="D11" s="239" t="s">
        <v>408</v>
      </c>
      <c r="E11" s="239" t="s">
        <v>409</v>
      </c>
      <c r="F11" s="239" t="s">
        <v>410</v>
      </c>
      <c r="G11" s="239" t="s">
        <v>411</v>
      </c>
      <c r="H11" s="239" t="s">
        <v>412</v>
      </c>
      <c r="I11" s="239" t="s">
        <v>889</v>
      </c>
      <c r="J11" s="239" t="s">
        <v>414</v>
      </c>
    </row>
    <row r="12" customFormat="false" ht="25.5" hidden="false" customHeight="true" outlineLevel="0" collapsed="false">
      <c r="A12" s="240" t="s">
        <v>415</v>
      </c>
      <c r="B12" s="240" t="s">
        <v>62</v>
      </c>
      <c r="C12" s="240" t="s">
        <v>57</v>
      </c>
      <c r="D12" s="241"/>
      <c r="E12" s="241"/>
      <c r="F12" s="241"/>
      <c r="G12" s="241"/>
      <c r="H12" s="241"/>
      <c r="I12" s="241"/>
      <c r="J12" s="241" t="n">
        <f aca="false">SUM(J13:J21)</f>
        <v>252.286876344768</v>
      </c>
    </row>
    <row r="13" customFormat="false" ht="15" hidden="false" customHeight="true" outlineLevel="0" collapsed="false">
      <c r="A13" s="238" t="n">
        <v>1</v>
      </c>
      <c r="B13" s="238" t="s">
        <v>342</v>
      </c>
      <c r="C13" s="238"/>
      <c r="D13" s="242" t="n">
        <v>111.53</v>
      </c>
      <c r="E13" s="243" t="n">
        <f aca="false">+'CONCRETO EN CUNETAS'!E10</f>
        <v>61.2</v>
      </c>
      <c r="F13" s="243" t="n">
        <f aca="false">E13/D13</f>
        <v>0.548731283062853</v>
      </c>
      <c r="G13" s="243" t="n">
        <f aca="false">B8</f>
        <v>3.0</v>
      </c>
      <c r="H13" s="243" t="n">
        <f aca="false">ROUNDUP(D13/G13,0)</f>
        <v>38.0</v>
      </c>
      <c r="I13" s="243" t="n">
        <f aca="false">$B$9*F13+$B$10</f>
        <v>1.49746256612571</v>
      </c>
      <c r="J13" s="243" t="n">
        <f aca="false">H13*I13</f>
        <v>56.9035775127768</v>
      </c>
    </row>
    <row r="14" customFormat="false" ht="15" hidden="false" customHeight="true" outlineLevel="0" collapsed="false">
      <c r="A14" s="238" t="n">
        <v>2</v>
      </c>
      <c r="B14" s="238" t="s">
        <v>352</v>
      </c>
      <c r="C14" s="238"/>
      <c r="D14" s="242" t="n">
        <v>34.25</v>
      </c>
      <c r="E14" s="243" t="n">
        <f aca="false">+'CONCRETO EN CUNETAS'!E22</f>
        <v>13.19</v>
      </c>
      <c r="F14" s="243" t="n">
        <f aca="false">E14/D14</f>
        <v>0.385109489051095</v>
      </c>
      <c r="G14" s="243" t="n">
        <f aca="false">B8</f>
        <v>3.0</v>
      </c>
      <c r="H14" s="243" t="n">
        <f aca="false">ROUNDUP(D14/G14,0)</f>
        <v>12.0</v>
      </c>
      <c r="I14" s="243" t="n">
        <f aca="false">$B$9*F14+$B$10</f>
        <v>1.17021897810219</v>
      </c>
      <c r="J14" s="243" t="n">
        <f aca="false">H14*I14</f>
        <v>14.0426277372263</v>
      </c>
    </row>
    <row r="15" customFormat="false" ht="15" hidden="false" customHeight="true" outlineLevel="0" collapsed="false">
      <c r="A15" s="238" t="n">
        <v>3</v>
      </c>
      <c r="B15" s="238" t="s">
        <v>355</v>
      </c>
      <c r="C15" s="238"/>
      <c r="D15" s="242" t="n">
        <v>22.4</v>
      </c>
      <c r="E15" s="243" t="n">
        <f aca="false">+'CONCRETO EN CUNETAS'!E34</f>
        <v>7.98</v>
      </c>
      <c r="F15" s="243" t="n">
        <f aca="false">E15/D15</f>
        <v>0.35625</v>
      </c>
      <c r="G15" s="243" t="n">
        <f aca="false">B8</f>
        <v>3.0</v>
      </c>
      <c r="H15" s="243" t="n">
        <f aca="false">ROUNDUP(D15/G15,0)</f>
        <v>8.0</v>
      </c>
      <c r="I15" s="243" t="n">
        <f aca="false">$B$9*F15+$B$10</f>
        <v>1.1125</v>
      </c>
      <c r="J15" s="243" t="n">
        <f aca="false">H15*I15</f>
        <v>8.9</v>
      </c>
    </row>
    <row r="16" customFormat="false" ht="15" hidden="false" customHeight="true" outlineLevel="0" collapsed="false">
      <c r="A16" s="238" t="n">
        <v>4</v>
      </c>
      <c r="B16" s="238" t="s">
        <v>358</v>
      </c>
      <c r="C16" s="238"/>
      <c r="D16" s="242" t="n">
        <v>102.31</v>
      </c>
      <c r="E16" s="243" t="n">
        <f aca="false">+'CONCRETO EN CUNETAS'!E46</f>
        <v>54.29</v>
      </c>
      <c r="F16" s="243" t="n">
        <f aca="false">E16/D16</f>
        <v>0.530642165966181</v>
      </c>
      <c r="G16" s="243" t="n">
        <f aca="false">B8</f>
        <v>3.0</v>
      </c>
      <c r="H16" s="243" t="n">
        <f aca="false">ROUNDUP(D16/G16,0)</f>
        <v>35.0</v>
      </c>
      <c r="I16" s="243" t="n">
        <f aca="false">$B$9*F16+$B$10</f>
        <v>1.46128433193236</v>
      </c>
      <c r="J16" s="243" t="n">
        <f aca="false">H16*I16</f>
        <v>51.1449516176327</v>
      </c>
    </row>
    <row r="17" customFormat="false" ht="15" hidden="false" customHeight="true" outlineLevel="0" collapsed="false">
      <c r="A17" s="238" t="n">
        <v>5</v>
      </c>
      <c r="B17" s="238" t="s">
        <v>363</v>
      </c>
      <c r="C17" s="238"/>
      <c r="D17" s="242" t="n">
        <v>42.2</v>
      </c>
      <c r="E17" s="243" t="n">
        <f aca="false">+'CONCRETO EN CUNETAS'!E58</f>
        <v>17.07</v>
      </c>
      <c r="F17" s="243" t="n">
        <f aca="false">E17/D17</f>
        <v>0.404502369668246</v>
      </c>
      <c r="G17" s="243" t="n">
        <f aca="false">B8</f>
        <v>3.0</v>
      </c>
      <c r="H17" s="243" t="n">
        <f aca="false">ROUNDUP(D17/G17,0)</f>
        <v>15.0</v>
      </c>
      <c r="I17" s="243" t="n">
        <f aca="false">$B$9*F17+$B$10</f>
        <v>1.20900473933649</v>
      </c>
      <c r="J17" s="243" t="n">
        <f aca="false">H17*I17</f>
        <v>18.1350710900474</v>
      </c>
    </row>
    <row r="18" customFormat="false" ht="15" hidden="false" customHeight="true" outlineLevel="0" collapsed="false">
      <c r="A18" s="238" t="n">
        <v>6</v>
      </c>
      <c r="B18" s="238" t="s">
        <v>367</v>
      </c>
      <c r="C18" s="238"/>
      <c r="D18" s="242" t="n">
        <v>98.69</v>
      </c>
      <c r="E18" s="243" t="n">
        <f aca="false">+'CONCRETO EN CUNETAS'!E70</f>
        <v>52.71</v>
      </c>
      <c r="F18" s="243" t="n">
        <f aca="false">E18/D18</f>
        <v>0.534096666328909</v>
      </c>
      <c r="G18" s="243" t="n">
        <f aca="false">B8</f>
        <v>3.0</v>
      </c>
      <c r="H18" s="243" t="n">
        <f aca="false">ROUNDUP(D18/G18,0)</f>
        <v>33.0</v>
      </c>
      <c r="I18" s="243" t="n">
        <f aca="false">$B$9*F18+$B$10</f>
        <v>1.46819333265782</v>
      </c>
      <c r="J18" s="243" t="n">
        <f aca="false">H18*I18</f>
        <v>48.450379977708</v>
      </c>
    </row>
    <row r="19" customFormat="false" ht="15" hidden="false" customHeight="true" outlineLevel="0" collapsed="false">
      <c r="A19" s="238" t="n">
        <v>7</v>
      </c>
      <c r="B19" s="238" t="s">
        <v>371</v>
      </c>
      <c r="C19" s="238"/>
      <c r="D19" s="242" t="n">
        <v>23.6</v>
      </c>
      <c r="E19" s="243" t="n">
        <f aca="false">+'CONCRETO EN CUNETAS'!M10</f>
        <v>8.46</v>
      </c>
      <c r="F19" s="243" t="n">
        <f aca="false">E19/D19</f>
        <v>0.358474576271186</v>
      </c>
      <c r="G19" s="243" t="n">
        <f aca="false">B8</f>
        <v>3.0</v>
      </c>
      <c r="H19" s="243" t="n">
        <f aca="false">ROUNDUP(D19/G19,0)</f>
        <v>8.0</v>
      </c>
      <c r="I19" s="243" t="n">
        <f aca="false">$B$9*F19+$B$10</f>
        <v>1.11694915254237</v>
      </c>
      <c r="J19" s="243" t="n">
        <f aca="false">H19*I19</f>
        <v>8.93559322033898</v>
      </c>
    </row>
    <row r="20" customFormat="false" ht="15" hidden="false" customHeight="true" outlineLevel="0" collapsed="false">
      <c r="A20" s="238" t="n">
        <v>8</v>
      </c>
      <c r="B20" s="238" t="s">
        <v>374</v>
      </c>
      <c r="C20" s="238"/>
      <c r="D20" s="242" t="n">
        <v>60.6</v>
      </c>
      <c r="E20" s="243" t="n">
        <f aca="false">+'CONCRETO EN CUNETAS'!M22</f>
        <v>27.34</v>
      </c>
      <c r="F20" s="243" t="n">
        <f aca="false">E20/D20</f>
        <v>0.451155115511551</v>
      </c>
      <c r="G20" s="243" t="n">
        <f aca="false">B8</f>
        <v>3.0</v>
      </c>
      <c r="H20" s="243" t="n">
        <f aca="false">ROUNDUP(D20/G20,0)</f>
        <v>21.0</v>
      </c>
      <c r="I20" s="243" t="n">
        <f aca="false">$B$9*F20+$B$10</f>
        <v>1.3023102310231</v>
      </c>
      <c r="J20" s="243" t="n">
        <f aca="false">H20*I20</f>
        <v>27.3485148514852</v>
      </c>
    </row>
    <row r="21" customFormat="false" ht="15" hidden="false" customHeight="true" outlineLevel="0" collapsed="false">
      <c r="A21" s="238" t="n">
        <v>9</v>
      </c>
      <c r="B21" s="238" t="s">
        <v>378</v>
      </c>
      <c r="C21" s="238"/>
      <c r="D21" s="242" t="n">
        <v>42.66</v>
      </c>
      <c r="E21" s="243" t="n">
        <f aca="false">+'CONCRETO EN CUNETAS'!M34</f>
        <v>17.67</v>
      </c>
      <c r="F21" s="243" t="n">
        <f aca="false">E21/D21</f>
        <v>0.414205344585092</v>
      </c>
      <c r="G21" s="243" t="n">
        <f aca="false">B8</f>
        <v>3.0</v>
      </c>
      <c r="H21" s="243" t="n">
        <f aca="false">ROUNDUP(D21/G21,0)</f>
        <v>15.0</v>
      </c>
      <c r="I21" s="243" t="n">
        <f aca="false">$B$9*F21+$B$10</f>
        <v>1.22841068917018</v>
      </c>
      <c r="J21" s="243" t="n">
        <f aca="false">H21*I21</f>
        <v>18.4261603375527</v>
      </c>
    </row>
    <row r="23" customHeight="true" ht="15">
      <c r="A23" s="238" t="s">
        <v>890</v>
      </c>
    </row>
    <row r="24" customHeight="true" ht="27">
      <c r="A24" s="238" t="s">
        <v>891</v>
      </c>
    </row>
    <row r="25" customHeight="true" ht="27">
      <c r="A25" s="238" t="s">
        <v>892</v>
      </c>
    </row>
    <row r="26" customHeight="true" ht="27">
      <c r="A26" s="238" t="s">
        <v>893</v>
      </c>
    </row>
  </sheetData>
  <mergeCells count="9">
    <mergeCell ref="A1:J1"/>
    <mergeCell ref="B2:J2"/>
    <mergeCell ref="B3:J3"/>
    <mergeCell ref="B4:J4"/>
    <mergeCell ref="B5:J5"/>
    <mergeCell ref="A23:J23"/>
    <mergeCell ref="A24:J24"/>
    <mergeCell ref="A25:J25"/>
    <mergeCell ref="A26:J26"/>
  </mergeCells>
  <printOptions headings="false" gridLines="false" gridLinesSet="true" horizontalCentered="false" verticalCentered="false"/>
  <pageMargins left="0.75" right="0.75" top="1" bottom="1" header="0.511811023622047" footer="0.511811023622047"/>
  <pageSetup paperSize="9" scale="55"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true"/>
  </sheetPr>
  <dimension ref="A1:H1048576"/>
  <sheetViews>
    <sheetView showFormulas="false" showGridLines="true" showRowColHeaders="true" showZeros="true" rightToLeft="false" tabSelected="false" showOutlineSymbols="true" defaultGridColor="true" view="normal" topLeftCell="A4" colorId="64" zoomScale="115" zoomScaleNormal="115" zoomScalePageLayoutView="115" workbookViewId="0">
      <selection pane="topLeft" activeCell="I18" activeCellId="0" sqref="I18"/>
    </sheetView>
  </sheetViews>
  <sheetFormatPr defaultColWidth="9.453125" defaultRowHeight="13.5" zeroHeight="false" outlineLevelRow="0" outlineLevelCol="0"/>
  <cols>
    <col collapsed="false" customWidth="true" hidden="false" outlineLevel="0" max="1" min="1" style="174" width="6.54"/>
    <col collapsed="false" customWidth="true" hidden="false" outlineLevel="0" max="2" min="2" style="174" width="15.91"/>
    <col collapsed="false" customWidth="true" hidden="false" outlineLevel="0" max="3" min="3" style="174" width="18.81"/>
    <col collapsed="false" customWidth="true" hidden="false" outlineLevel="0" max="4" min="4" style="174" width="17.45"/>
    <col collapsed="false" customWidth="true" hidden="false" outlineLevel="0" max="5" min="5" style="174" width="14.73"/>
    <col collapsed="false" customWidth="true" hidden="false" outlineLevel="0" max="6" min="6" style="174" width="19.64"/>
    <col collapsed="false" customWidth="true" hidden="false" outlineLevel="0" max="7" min="7" style="174" width="27"/>
    <col collapsed="false" customWidth="true" hidden="false" outlineLevel="0" max="8" min="8" style="174" width="8.73"/>
    <col collapsed="false" customWidth="false" hidden="false" outlineLevel="0" max="10" min="9" style="174" width="9.45"/>
  </cols>
  <sheetData>
    <row r="1" customFormat="false" ht="21" hidden="false" customHeight="true" outlineLevel="0" collapsed="false">
      <c r="A1" s="217" t="s">
        <v>416</v>
      </c>
      <c r="B1" s="217"/>
      <c r="C1" s="217"/>
      <c r="D1" s="217"/>
      <c r="E1" s="217"/>
      <c r="F1" s="217"/>
      <c r="G1" s="217"/>
      <c r="H1" s="217"/>
    </row>
    <row r="2" customFormat="false" ht="22.5" hidden="false" customHeight="true" outlineLevel="0" collapsed="false">
      <c r="A2" s="218" t="s">
        <v>1</v>
      </c>
      <c r="B2" s="218"/>
      <c r="C2" s="219" t="s">
        <v>2</v>
      </c>
      <c r="D2" s="219"/>
      <c r="E2" s="219"/>
      <c r="F2" s="219"/>
      <c r="G2" s="219"/>
      <c r="H2" s="219"/>
    </row>
    <row r="3" customFormat="false" ht="54" hidden="false" customHeight="true" outlineLevel="0" collapsed="false">
      <c r="A3" s="218" t="s">
        <v>3</v>
      </c>
      <c r="B3" s="218"/>
      <c r="C3" s="219" t="str">
        <f aca="false">+RESUMEN!B5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219"/>
      <c r="E3" s="219"/>
      <c r="F3" s="219"/>
      <c r="G3" s="219"/>
      <c r="H3" s="219"/>
    </row>
    <row r="4" customFormat="false" ht="24" hidden="false" customHeight="true" outlineLevel="0" collapsed="false">
      <c r="A4" s="218" t="s">
        <v>5</v>
      </c>
      <c r="B4" s="218"/>
      <c r="C4" s="220" t="str">
        <f aca="false">+RESUMEN!B6</f>
        <v>SAN MARTIN - SAN MARTIN - MORALES</v>
      </c>
      <c r="D4" s="220"/>
      <c r="E4" s="220"/>
      <c r="F4" s="220"/>
      <c r="G4" s="221" t="s">
        <v>7</v>
      </c>
      <c r="H4" s="222" t="n">
        <f aca="false">+RESUMEN!B7</f>
        <v>46266</v>
      </c>
    </row>
    <row r="6" customFormat="false" ht="31.5" hidden="false" customHeight="true" outlineLevel="0" collapsed="false">
      <c r="A6" s="223" t="s">
        <v>309</v>
      </c>
      <c r="B6" s="223" t="s">
        <v>310</v>
      </c>
      <c r="C6" s="223" t="s">
        <v>417</v>
      </c>
      <c r="D6" s="223" t="s">
        <v>418</v>
      </c>
      <c r="E6" s="223" t="s">
        <v>419</v>
      </c>
      <c r="F6" s="223" t="s">
        <v>420</v>
      </c>
      <c r="G6" s="223" t="s">
        <v>421</v>
      </c>
      <c r="H6" s="223" t="s">
        <v>393</v>
      </c>
    </row>
    <row r="7" customFormat="false" ht="30" hidden="false" customHeight="true" outlineLevel="0" collapsed="false">
      <c r="A7" s="209" t="n">
        <v>1</v>
      </c>
      <c r="B7" s="210" t="s">
        <v>342</v>
      </c>
      <c r="C7" s="210" t="s">
        <v>422</v>
      </c>
      <c r="D7" s="193" t="s">
        <v>423</v>
      </c>
      <c r="E7" s="211" t="n">
        <v>5.5</v>
      </c>
      <c r="F7" s="224" t="n">
        <v>1.5</v>
      </c>
      <c r="G7" s="225" t="n">
        <f aca="false">IF(B7="","",ROUNDUP(E7/F7,0))</f>
        <v>4.0</v>
      </c>
      <c r="H7" s="226" t="s">
        <v>60</v>
      </c>
    </row>
    <row r="8" customFormat="false" ht="34.3" hidden="false" customHeight="false" outlineLevel="0" collapsed="false">
      <c r="A8" s="209" t="n">
        <v>2</v>
      </c>
      <c r="B8" s="210" t="s">
        <v>342</v>
      </c>
      <c r="C8" s="210" t="s">
        <v>424</v>
      </c>
      <c r="D8" s="193" t="s">
        <v>423</v>
      </c>
      <c r="E8" s="211" t="n">
        <v>22.5</v>
      </c>
      <c r="F8" s="224" t="n">
        <v>1.5</v>
      </c>
      <c r="G8" s="225" t="n">
        <f aca="false">IF(B8="","",ROUNDUP(E8/F8,0))</f>
        <v>15.0</v>
      </c>
      <c r="H8" s="226" t="s">
        <v>60</v>
      </c>
    </row>
    <row r="9" customFormat="false" ht="34.3" hidden="false" customHeight="false" outlineLevel="0" collapsed="false">
      <c r="A9" s="209" t="n">
        <v>3</v>
      </c>
      <c r="B9" s="210" t="s">
        <v>342</v>
      </c>
      <c r="C9" s="210" t="s">
        <v>425</v>
      </c>
      <c r="D9" s="193" t="s">
        <v>423</v>
      </c>
      <c r="E9" s="211" t="n">
        <v>30.78</v>
      </c>
      <c r="F9" s="224" t="n">
        <v>1.5</v>
      </c>
      <c r="G9" s="225" t="n">
        <f aca="false">IF(B9="","",ROUNDUP(E9/F9,0))</f>
        <v>21.0</v>
      </c>
      <c r="H9" s="226" t="s">
        <v>60</v>
      </c>
    </row>
    <row r="10" customFormat="false" ht="34.3" hidden="false" customHeight="false" outlineLevel="0" collapsed="false">
      <c r="A10" s="209" t="n">
        <v>4</v>
      </c>
      <c r="B10" s="210" t="s">
        <v>352</v>
      </c>
      <c r="C10" s="210" t="s">
        <v>426</v>
      </c>
      <c r="D10" s="193" t="s">
        <v>423</v>
      </c>
      <c r="E10" s="211" t="n">
        <v>13.25</v>
      </c>
      <c r="F10" s="224" t="n">
        <v>1.5</v>
      </c>
      <c r="G10" s="225" t="n">
        <f aca="false">IF(B10="","",ROUNDUP(E10/F10,0))</f>
        <v>9.0</v>
      </c>
      <c r="H10" s="226" t="s">
        <v>60</v>
      </c>
    </row>
    <row r="11" customFormat="false" ht="34.3" hidden="false" customHeight="false" outlineLevel="0" collapsed="false">
      <c r="A11" s="209" t="n">
        <v>5</v>
      </c>
      <c r="B11" s="210" t="s">
        <v>352</v>
      </c>
      <c r="C11" s="210" t="s">
        <v>427</v>
      </c>
      <c r="D11" s="193" t="s">
        <v>428</v>
      </c>
      <c r="E11" s="211" t="n">
        <v>2.03</v>
      </c>
      <c r="F11" s="224" t="n">
        <v>1.5</v>
      </c>
      <c r="G11" s="225" t="n">
        <f aca="false">IF(B11="","",ROUNDUP(E11/F11,0))</f>
        <v>2.0</v>
      </c>
      <c r="H11" s="226" t="s">
        <v>60</v>
      </c>
    </row>
    <row r="12" customFormat="false" ht="34.3" hidden="false" customHeight="false" outlineLevel="0" collapsed="false">
      <c r="A12" s="209" t="n">
        <v>6</v>
      </c>
      <c r="B12" s="210" t="s">
        <v>352</v>
      </c>
      <c r="C12" s="210" t="s">
        <v>429</v>
      </c>
      <c r="D12" s="193" t="s">
        <v>430</v>
      </c>
      <c r="E12" s="211" t="n">
        <v>10.75</v>
      </c>
      <c r="F12" s="224" t="n">
        <v>1.5</v>
      </c>
      <c r="G12" s="225" t="n">
        <f aca="false">IF(B12="","",ROUNDUP(E12/F12,0))</f>
        <v>8.0</v>
      </c>
      <c r="H12" s="226" t="s">
        <v>60</v>
      </c>
    </row>
    <row r="13" customFormat="false" ht="34.3" hidden="false" customHeight="false" outlineLevel="0" collapsed="false">
      <c r="A13" s="209" t="n">
        <v>7</v>
      </c>
      <c r="B13" s="210" t="s">
        <v>355</v>
      </c>
      <c r="C13" s="210" t="s">
        <v>431</v>
      </c>
      <c r="D13" s="193" t="s">
        <v>428</v>
      </c>
      <c r="E13" s="211" t="n">
        <v>5.5</v>
      </c>
      <c r="F13" s="224" t="n">
        <v>1.5</v>
      </c>
      <c r="G13" s="225" t="n">
        <f aca="false">IF(B13="","",ROUNDUP(E13/F13,0))</f>
        <v>4.0</v>
      </c>
      <c r="H13" s="226" t="s">
        <v>60</v>
      </c>
    </row>
    <row r="14" customFormat="false" ht="34.3" hidden="false" customHeight="false" outlineLevel="0" collapsed="false">
      <c r="A14" s="209" t="n">
        <v>8</v>
      </c>
      <c r="B14" s="210" t="s">
        <v>355</v>
      </c>
      <c r="C14" s="210" t="s">
        <v>432</v>
      </c>
      <c r="D14" s="193" t="s">
        <v>428</v>
      </c>
      <c r="E14" s="211" t="n">
        <v>8.48</v>
      </c>
      <c r="F14" s="224" t="n">
        <v>1.5</v>
      </c>
      <c r="G14" s="225" t="n">
        <f aca="false">IF(B14="","",ROUNDUP(E14/F14,0))</f>
        <v>6.0</v>
      </c>
      <c r="H14" s="226" t="s">
        <v>60</v>
      </c>
    </row>
    <row r="15" customFormat="false" ht="34.3" hidden="false" customHeight="false" outlineLevel="0" collapsed="false">
      <c r="A15" s="209" t="n">
        <v>9</v>
      </c>
      <c r="B15" s="210" t="s">
        <v>355</v>
      </c>
      <c r="C15" s="210" t="s">
        <v>433</v>
      </c>
      <c r="D15" s="193" t="s">
        <v>430</v>
      </c>
      <c r="E15" s="211" t="n">
        <v>3.75</v>
      </c>
      <c r="F15" s="224" t="n">
        <v>1.5</v>
      </c>
      <c r="G15" s="225" t="n">
        <f aca="false">IF(B15="","",ROUNDUP(E15/F15,0))</f>
        <v>3.0</v>
      </c>
      <c r="H15" s="226" t="s">
        <v>60</v>
      </c>
    </row>
    <row r="16" customFormat="false" ht="34.3" hidden="false" customHeight="false" outlineLevel="0" collapsed="false">
      <c r="A16" s="209" t="n">
        <v>10</v>
      </c>
      <c r="B16" s="210" t="s">
        <v>358</v>
      </c>
      <c r="C16" s="210" t="s">
        <v>434</v>
      </c>
      <c r="D16" s="193" t="s">
        <v>423</v>
      </c>
      <c r="E16" s="211" t="n">
        <v>3.75</v>
      </c>
      <c r="F16" s="224" t="n">
        <v>1.5</v>
      </c>
      <c r="G16" s="225" t="n">
        <f aca="false">IF(B16="","",ROUNDUP(E16/F16,0))</f>
        <v>3.0</v>
      </c>
      <c r="H16" s="226" t="s">
        <v>60</v>
      </c>
    </row>
    <row r="17" customFormat="false" ht="34.3" hidden="false" customHeight="false" outlineLevel="0" collapsed="false">
      <c r="A17" s="209" t="n">
        <v>11</v>
      </c>
      <c r="B17" s="210" t="s">
        <v>358</v>
      </c>
      <c r="C17" s="210" t="s">
        <v>435</v>
      </c>
      <c r="D17" s="193" t="s">
        <v>423</v>
      </c>
      <c r="E17" s="211" t="n">
        <v>3.75</v>
      </c>
      <c r="F17" s="224" t="n">
        <v>1.5</v>
      </c>
      <c r="G17" s="225" t="n">
        <f aca="false">IF(B17="","",ROUNDUP(E17/F17,0))</f>
        <v>3.0</v>
      </c>
      <c r="H17" s="226" t="s">
        <v>60</v>
      </c>
    </row>
    <row r="18" customFormat="false" ht="34.3" hidden="false" customHeight="false" outlineLevel="0" collapsed="false">
      <c r="A18" s="209" t="n">
        <v>12</v>
      </c>
      <c r="B18" s="210" t="s">
        <v>358</v>
      </c>
      <c r="C18" s="210" t="s">
        <v>436</v>
      </c>
      <c r="D18" s="193" t="s">
        <v>423</v>
      </c>
      <c r="E18" s="211" t="n">
        <v>3.75</v>
      </c>
      <c r="F18" s="224" t="n">
        <v>1.5</v>
      </c>
      <c r="G18" s="225" t="n">
        <f aca="false">IF(B18="","",ROUNDUP(E18/F18,0))</f>
        <v>3.0</v>
      </c>
      <c r="H18" s="226" t="s">
        <v>60</v>
      </c>
    </row>
    <row r="19" customFormat="false" ht="34.3" hidden="false" customHeight="false" outlineLevel="0" collapsed="false">
      <c r="A19" s="209" t="n">
        <v>13</v>
      </c>
      <c r="B19" s="210" t="s">
        <v>358</v>
      </c>
      <c r="C19" s="210" t="s">
        <v>437</v>
      </c>
      <c r="D19" s="193" t="s">
        <v>423</v>
      </c>
      <c r="E19" s="211" t="n">
        <v>16.31</v>
      </c>
      <c r="F19" s="224" t="n">
        <v>1.5</v>
      </c>
      <c r="G19" s="225" t="n">
        <f aca="false">IF(B19="","",ROUNDUP(E19/F19,0))</f>
        <v>11.0</v>
      </c>
      <c r="H19" s="226" t="s">
        <v>60</v>
      </c>
    </row>
    <row r="20" customFormat="false" ht="34.3" hidden="false" customHeight="false" outlineLevel="0" collapsed="false">
      <c r="A20" s="209" t="n">
        <v>14</v>
      </c>
      <c r="B20" s="210" t="s">
        <v>358</v>
      </c>
      <c r="C20" s="210" t="s">
        <v>438</v>
      </c>
      <c r="D20" s="193" t="s">
        <v>428</v>
      </c>
      <c r="E20" s="211" t="n">
        <v>5.75</v>
      </c>
      <c r="F20" s="224" t="n">
        <v>1.5</v>
      </c>
      <c r="G20" s="225" t="n">
        <f aca="false">IF(B20="","",ROUNDUP(E20/F20,0))</f>
        <v>4.0</v>
      </c>
      <c r="H20" s="226" t="s">
        <v>60</v>
      </c>
    </row>
    <row r="21" customFormat="false" ht="34.3" hidden="false" customHeight="false" outlineLevel="0" collapsed="false">
      <c r="A21" s="209" t="n">
        <v>15</v>
      </c>
      <c r="B21" s="210" t="s">
        <v>358</v>
      </c>
      <c r="C21" s="210" t="s">
        <v>439</v>
      </c>
      <c r="D21" s="193" t="s">
        <v>428</v>
      </c>
      <c r="E21" s="211" t="n">
        <v>14.25</v>
      </c>
      <c r="F21" s="224" t="n">
        <v>1.5</v>
      </c>
      <c r="G21" s="225" t="n">
        <f aca="false">IF(B21="","",ROUNDUP(E21/F21,0))</f>
        <v>10.0</v>
      </c>
      <c r="H21" s="226" t="s">
        <v>60</v>
      </c>
    </row>
    <row r="22" customFormat="false" ht="34.3" hidden="false" customHeight="false" outlineLevel="0" collapsed="false">
      <c r="A22" s="209" t="n">
        <v>16</v>
      </c>
      <c r="B22" s="210" t="s">
        <v>358</v>
      </c>
      <c r="C22" s="210" t="s">
        <v>440</v>
      </c>
      <c r="D22" s="193" t="s">
        <v>428</v>
      </c>
      <c r="E22" s="211" t="n">
        <v>3.5</v>
      </c>
      <c r="F22" s="224" t="n">
        <v>1.5</v>
      </c>
      <c r="G22" s="225" t="n">
        <f aca="false">IF(B22="","",ROUNDUP(E22/F22,0))</f>
        <v>3.0</v>
      </c>
      <c r="H22" s="226" t="s">
        <v>60</v>
      </c>
    </row>
    <row r="23" customFormat="false" ht="34.3" hidden="false" customHeight="false" outlineLevel="0" collapsed="false">
      <c r="A23" s="209" t="n">
        <v>17</v>
      </c>
      <c r="B23" s="210" t="s">
        <v>358</v>
      </c>
      <c r="C23" s="210" t="s">
        <v>437</v>
      </c>
      <c r="D23" s="193" t="s">
        <v>428</v>
      </c>
      <c r="E23" s="211" t="n">
        <v>16.31</v>
      </c>
      <c r="F23" s="224" t="n">
        <v>1.5</v>
      </c>
      <c r="G23" s="225" t="n">
        <f aca="false">IF(B23="","",ROUNDUP(E23/F23,0))</f>
        <v>11.0</v>
      </c>
      <c r="H23" s="226" t="s">
        <v>60</v>
      </c>
    </row>
    <row r="24" customFormat="false" ht="34.3" hidden="false" customHeight="false" outlineLevel="0" collapsed="false">
      <c r="A24" s="209" t="n">
        <v>18</v>
      </c>
      <c r="B24" s="210" t="s">
        <v>363</v>
      </c>
      <c r="C24" s="210" t="s">
        <v>441</v>
      </c>
      <c r="D24" s="193" t="s">
        <v>423</v>
      </c>
      <c r="E24" s="211" t="n">
        <v>5.5</v>
      </c>
      <c r="F24" s="224" t="n">
        <v>1.5</v>
      </c>
      <c r="G24" s="225" t="n">
        <f aca="false">IF(B24="","",ROUNDUP(E24/F24,0))</f>
        <v>4.0</v>
      </c>
      <c r="H24" s="226" t="s">
        <v>60</v>
      </c>
    </row>
    <row r="25" customFormat="false" ht="34.3" hidden="false" customHeight="false" outlineLevel="0" collapsed="false">
      <c r="A25" s="209" t="n">
        <v>19</v>
      </c>
      <c r="B25" s="210" t="s">
        <v>363</v>
      </c>
      <c r="C25" s="210" t="s">
        <v>442</v>
      </c>
      <c r="D25" s="193" t="s">
        <v>430</v>
      </c>
      <c r="E25" s="211" t="n">
        <v>2.5</v>
      </c>
      <c r="F25" s="224" t="n">
        <v>1.5</v>
      </c>
      <c r="G25" s="225" t="n">
        <f aca="false">IF(B25="","",ROUNDUP(E25/F25,0))</f>
        <v>2.0</v>
      </c>
      <c r="H25" s="226" t="s">
        <v>60</v>
      </c>
    </row>
    <row r="26" customFormat="false" ht="34.3" hidden="false" customHeight="false" outlineLevel="0" collapsed="false">
      <c r="A26" s="209" t="n">
        <v>20</v>
      </c>
      <c r="B26" s="210" t="s">
        <v>363</v>
      </c>
      <c r="C26" s="210" t="s">
        <v>434</v>
      </c>
      <c r="D26" s="193" t="s">
        <v>428</v>
      </c>
      <c r="E26" s="211" t="n">
        <v>3.75</v>
      </c>
      <c r="F26" s="224" t="n">
        <v>1.5</v>
      </c>
      <c r="G26" s="225" t="n">
        <f aca="false">IF(B26="","",ROUNDUP(E26/F26,0))</f>
        <v>3.0</v>
      </c>
      <c r="H26" s="226" t="s">
        <v>60</v>
      </c>
    </row>
    <row r="27" customFormat="false" ht="34.3" hidden="false" customHeight="false" outlineLevel="0" collapsed="false">
      <c r="A27" s="209" t="n">
        <v>21</v>
      </c>
      <c r="B27" s="210" t="s">
        <v>363</v>
      </c>
      <c r="C27" s="210" t="s">
        <v>443</v>
      </c>
      <c r="D27" s="193" t="s">
        <v>428</v>
      </c>
      <c r="E27" s="211" t="n">
        <v>5.54</v>
      </c>
      <c r="F27" s="224" t="n">
        <v>1.5</v>
      </c>
      <c r="G27" s="225" t="n">
        <f aca="false">IF(B27="","",ROUNDUP(E27/F27,0))</f>
        <v>4.0</v>
      </c>
      <c r="H27" s="226" t="s">
        <v>60</v>
      </c>
    </row>
    <row r="28" customFormat="false" ht="34.3" hidden="false" customHeight="false" outlineLevel="0" collapsed="false">
      <c r="A28" s="209" t="n">
        <v>22</v>
      </c>
      <c r="B28" s="210" t="s">
        <v>363</v>
      </c>
      <c r="C28" s="210" t="s">
        <v>442</v>
      </c>
      <c r="D28" s="193" t="s">
        <v>444</v>
      </c>
      <c r="E28" s="211" t="n">
        <v>2.5</v>
      </c>
      <c r="F28" s="224" t="n">
        <v>1.5</v>
      </c>
      <c r="G28" s="225" t="n">
        <f aca="false">IF(B28="","",ROUNDUP(E28/F28,0))</f>
        <v>2.0</v>
      </c>
      <c r="H28" s="226" t="s">
        <v>60</v>
      </c>
    </row>
    <row r="29" customFormat="false" ht="34.3" hidden="false" customHeight="false" outlineLevel="0" collapsed="false">
      <c r="A29" s="209" t="n">
        <v>23</v>
      </c>
      <c r="B29" s="210" t="s">
        <v>367</v>
      </c>
      <c r="C29" s="210" t="s">
        <v>445</v>
      </c>
      <c r="D29" s="193" t="s">
        <v>423</v>
      </c>
      <c r="E29" s="211" t="n">
        <v>34.25</v>
      </c>
      <c r="F29" s="224" t="n">
        <v>1.5</v>
      </c>
      <c r="G29" s="225" t="n">
        <f aca="false">IF(B29="","",ROUNDUP(E29/F29,0))</f>
        <v>23.0</v>
      </c>
      <c r="H29" s="226" t="s">
        <v>60</v>
      </c>
    </row>
    <row r="30" customFormat="false" ht="34.3" hidden="false" customHeight="false" outlineLevel="0" collapsed="false">
      <c r="A30" s="209" t="n">
        <v>24</v>
      </c>
      <c r="B30" s="210" t="s">
        <v>367</v>
      </c>
      <c r="C30" s="210" t="s">
        <v>446</v>
      </c>
      <c r="D30" s="193" t="s">
        <v>423</v>
      </c>
      <c r="E30" s="211" t="n">
        <v>2.75</v>
      </c>
      <c r="F30" s="224" t="n">
        <v>1.5</v>
      </c>
      <c r="G30" s="225" t="n">
        <f aca="false">IF(B30="","",ROUNDUP(E30/F30,0))</f>
        <v>2.0</v>
      </c>
      <c r="H30" s="226" t="s">
        <v>60</v>
      </c>
    </row>
    <row r="31" customFormat="false" ht="34.3" hidden="false" customHeight="false" outlineLevel="0" collapsed="false">
      <c r="A31" s="209" t="n">
        <v>25</v>
      </c>
      <c r="B31" s="210" t="s">
        <v>367</v>
      </c>
      <c r="C31" s="210" t="s">
        <v>447</v>
      </c>
      <c r="D31" s="193" t="s">
        <v>423</v>
      </c>
      <c r="E31" s="211" t="n">
        <v>4.21</v>
      </c>
      <c r="F31" s="224" t="n">
        <v>1.5</v>
      </c>
      <c r="G31" s="225" t="n">
        <f aca="false">IF(B31="","",ROUNDUP(E31/F31,0))</f>
        <v>3.0</v>
      </c>
      <c r="H31" s="226" t="s">
        <v>60</v>
      </c>
    </row>
    <row r="32" customFormat="false" ht="34.3" hidden="false" customHeight="false" outlineLevel="0" collapsed="false">
      <c r="A32" s="209" t="n">
        <v>26</v>
      </c>
      <c r="B32" s="210" t="s">
        <v>367</v>
      </c>
      <c r="C32" s="210" t="s">
        <v>441</v>
      </c>
      <c r="D32" s="193" t="s">
        <v>428</v>
      </c>
      <c r="E32" s="211" t="n">
        <v>5.5</v>
      </c>
      <c r="F32" s="224" t="n">
        <v>1.5</v>
      </c>
      <c r="G32" s="225" t="n">
        <f aca="false">IF(B32="","",ROUNDUP(E32/F32,0))</f>
        <v>4.0</v>
      </c>
      <c r="H32" s="226" t="s">
        <v>60</v>
      </c>
    </row>
    <row r="33" customFormat="false" ht="34.3" hidden="false" customHeight="false" outlineLevel="0" collapsed="false">
      <c r="A33" s="209" t="n">
        <v>27</v>
      </c>
      <c r="B33" s="210" t="s">
        <v>367</v>
      </c>
      <c r="C33" s="210" t="s">
        <v>448</v>
      </c>
      <c r="D33" s="193" t="s">
        <v>444</v>
      </c>
      <c r="E33" s="211" t="n">
        <v>8.48</v>
      </c>
      <c r="F33" s="224" t="n">
        <v>1.5</v>
      </c>
      <c r="G33" s="225" t="n">
        <f aca="false">IF(B33="","",ROUNDUP(E33/F33,0))</f>
        <v>6.0</v>
      </c>
      <c r="H33" s="226" t="s">
        <v>60</v>
      </c>
    </row>
    <row r="34" customFormat="false" ht="34.3" hidden="false" customHeight="false" outlineLevel="0" collapsed="false">
      <c r="A34" s="209" t="n">
        <v>28</v>
      </c>
      <c r="B34" s="210" t="s">
        <v>367</v>
      </c>
      <c r="C34" s="210" t="s">
        <v>449</v>
      </c>
      <c r="D34" s="193" t="s">
        <v>428</v>
      </c>
      <c r="E34" s="211" t="n">
        <v>18.5</v>
      </c>
      <c r="F34" s="224" t="n">
        <v>1.5</v>
      </c>
      <c r="G34" s="225" t="n">
        <f aca="false">IF(B34="","",ROUNDUP(E34/F34,0))</f>
        <v>13.0</v>
      </c>
      <c r="H34" s="226" t="s">
        <v>60</v>
      </c>
    </row>
    <row r="35" customFormat="false" ht="34.3" hidden="false" customHeight="false" outlineLevel="0" collapsed="false">
      <c r="A35" s="209" t="n">
        <v>29</v>
      </c>
      <c r="B35" s="210" t="s">
        <v>367</v>
      </c>
      <c r="C35" s="210" t="s">
        <v>450</v>
      </c>
      <c r="D35" s="193" t="s">
        <v>428</v>
      </c>
      <c r="E35" s="211" t="n">
        <v>7.75</v>
      </c>
      <c r="F35" s="224" t="n">
        <v>1.5</v>
      </c>
      <c r="G35" s="225" t="n">
        <f aca="false">IF(B35="","",ROUNDUP(E35/F35,0))</f>
        <v>6.0</v>
      </c>
      <c r="H35" s="226" t="s">
        <v>60</v>
      </c>
    </row>
    <row r="36" customFormat="false" ht="34.3" hidden="false" customHeight="false" outlineLevel="0" collapsed="false">
      <c r="A36" s="209" t="n">
        <v>30</v>
      </c>
      <c r="B36" s="210" t="s">
        <v>367</v>
      </c>
      <c r="C36" s="210" t="s">
        <v>446</v>
      </c>
      <c r="D36" s="193" t="s">
        <v>428</v>
      </c>
      <c r="E36" s="211" t="n">
        <v>2.75</v>
      </c>
      <c r="F36" s="224" t="n">
        <v>1.5</v>
      </c>
      <c r="G36" s="225" t="n">
        <f aca="false">IF(B36="","",ROUNDUP(E36/F36,0))</f>
        <v>2.0</v>
      </c>
      <c r="H36" s="226" t="s">
        <v>60</v>
      </c>
    </row>
    <row r="37" customFormat="false" ht="34.3" hidden="false" customHeight="false" outlineLevel="0" collapsed="false">
      <c r="A37" s="209" t="n">
        <v>31</v>
      </c>
      <c r="B37" s="210" t="s">
        <v>367</v>
      </c>
      <c r="C37" s="210" t="s">
        <v>447</v>
      </c>
      <c r="D37" s="193" t="s">
        <v>428</v>
      </c>
      <c r="E37" s="211" t="n">
        <v>4.21</v>
      </c>
      <c r="F37" s="224" t="n">
        <v>1.5</v>
      </c>
      <c r="G37" s="225" t="n">
        <f aca="false">IF(B37="","",ROUNDUP(E37/F37,0))</f>
        <v>3.0</v>
      </c>
      <c r="H37" s="226" t="s">
        <v>60</v>
      </c>
    </row>
    <row r="38" customFormat="false" ht="34.3" hidden="false" customHeight="false" outlineLevel="0" collapsed="false">
      <c r="A38" s="209" t="n">
        <v>32</v>
      </c>
      <c r="B38" s="210" t="s">
        <v>371</v>
      </c>
      <c r="C38" s="210" t="s">
        <v>451</v>
      </c>
      <c r="D38" s="193" t="s">
        <v>428</v>
      </c>
      <c r="E38" s="211" t="n">
        <v>14.93</v>
      </c>
      <c r="F38" s="224" t="n">
        <v>1.5</v>
      </c>
      <c r="G38" s="225" t="n">
        <f aca="false">IF(B38="","",ROUNDUP(E38/F38,0))</f>
        <v>10.0</v>
      </c>
      <c r="H38" s="226" t="s">
        <v>60</v>
      </c>
    </row>
    <row r="39" customFormat="false" ht="34.3" hidden="false" customHeight="false" outlineLevel="0" collapsed="false">
      <c r="A39" s="209" t="n">
        <v>33</v>
      </c>
      <c r="B39" s="210" t="s">
        <v>374</v>
      </c>
      <c r="C39" s="210" t="s">
        <v>452</v>
      </c>
      <c r="D39" s="193" t="s">
        <v>423</v>
      </c>
      <c r="E39" s="211" t="n">
        <v>6</v>
      </c>
      <c r="F39" s="224" t="n">
        <v>1.5</v>
      </c>
      <c r="G39" s="225" t="n">
        <f aca="false">IF(B39="","",ROUNDUP(E39/F39,0))</f>
        <v>4.0</v>
      </c>
      <c r="H39" s="226" t="s">
        <v>60</v>
      </c>
    </row>
    <row r="40" customFormat="false" ht="34.3" hidden="false" customHeight="false" outlineLevel="0" collapsed="false">
      <c r="A40" s="209" t="n">
        <v>34</v>
      </c>
      <c r="B40" s="210" t="s">
        <v>378</v>
      </c>
      <c r="C40" s="210" t="s">
        <v>453</v>
      </c>
      <c r="D40" s="193" t="s">
        <v>428</v>
      </c>
      <c r="E40" s="211" t="n">
        <v>21.5</v>
      </c>
      <c r="F40" s="224" t="n">
        <v>1.5</v>
      </c>
      <c r="G40" s="225" t="n">
        <f aca="false">IF(B40="","",ROUNDUP(E40/F40,0))</f>
        <v>15.0</v>
      </c>
      <c r="H40" s="226" t="s">
        <v>60</v>
      </c>
    </row>
    <row r="42" customFormat="false" ht="25.5" hidden="false" customHeight="true" outlineLevel="0" collapsed="false">
      <c r="A42" s="244" t="s">
        <v>454</v>
      </c>
      <c r="B42" s="244"/>
      <c r="C42" s="244"/>
      <c r="D42" s="244"/>
      <c r="E42" s="245" t="n">
        <f aca="false">SUM(E7:E40)</f>
        <v>320.53</v>
      </c>
      <c r="F42" s="245"/>
      <c r="G42" s="228" t="n">
        <f aca="false">SUM(G7:G40)</f>
        <v>226.0</v>
      </c>
      <c r="H42" s="228" t="s">
        <v>60</v>
      </c>
    </row>
    <row r="44" customFormat="false" ht="15.6" hidden="false" customHeight="true" outlineLevel="0" collapsed="false">
      <c r="A44" s="246" t="s">
        <v>455</v>
      </c>
      <c r="B44" s="246"/>
      <c r="C44" s="246"/>
      <c r="D44" s="246"/>
      <c r="E44" s="246"/>
      <c r="F44" s="246"/>
      <c r="G44" s="246"/>
      <c r="H44" s="246"/>
    </row>
    <row r="45" customFormat="false" ht="35.45" hidden="false" customHeight="true" outlineLevel="0" collapsed="false">
      <c r="A45" s="247" t="s">
        <v>456</v>
      </c>
      <c r="B45" s="247"/>
      <c r="C45" s="247"/>
      <c r="D45" s="247"/>
      <c r="E45" s="247"/>
      <c r="F45" s="247"/>
      <c r="G45" s="247"/>
      <c r="H45" s="247"/>
    </row>
    <row r="46" customFormat="false" ht="48.2" hidden="false" customHeight="true" outlineLevel="0" collapsed="false">
      <c r="A46" s="247" t="s">
        <v>457</v>
      </c>
      <c r="B46" s="247"/>
      <c r="C46" s="247"/>
      <c r="D46" s="247"/>
      <c r="E46" s="247"/>
      <c r="F46" s="247"/>
      <c r="G46" s="247"/>
      <c r="H46" s="247"/>
    </row>
    <row r="47" customFormat="false" ht="59.55" hidden="false" customHeight="true" outlineLevel="0" collapsed="false">
      <c r="A47" s="247" t="s">
        <v>458</v>
      </c>
      <c r="B47" s="247"/>
      <c r="C47" s="247"/>
      <c r="D47" s="247"/>
      <c r="E47" s="247"/>
      <c r="F47" s="247"/>
      <c r="G47" s="247"/>
      <c r="H47" s="247"/>
    </row>
    <row r="48" customFormat="false" ht="18.45" hidden="false" customHeight="true" outlineLevel="0" collapsed="false">
      <c r="A48" s="247" t="s">
        <v>459</v>
      </c>
      <c r="B48" s="247"/>
      <c r="C48" s="247"/>
      <c r="D48" s="247"/>
      <c r="E48" s="247"/>
      <c r="F48" s="247"/>
      <c r="G48" s="247"/>
      <c r="H48" s="247"/>
    </row>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13">
    <mergeCell ref="A1:H1"/>
    <mergeCell ref="A2:B2"/>
    <mergeCell ref="C2:H2"/>
    <mergeCell ref="A3:B3"/>
    <mergeCell ref="C3:H3"/>
    <mergeCell ref="A4:B4"/>
    <mergeCell ref="C4:F4"/>
    <mergeCell ref="A42:D42"/>
    <mergeCell ref="A44:H44"/>
    <mergeCell ref="A45:H45"/>
    <mergeCell ref="A46:H46"/>
    <mergeCell ref="A47:H47"/>
    <mergeCell ref="A48:H48"/>
  </mergeCells>
  <conditionalFormatting sqref="D7:D40">
    <cfRule type="expression" priority="2" aboveAverage="0" equalAverage="0" bottom="0" percent="0" rank="0" text="" dxfId="10">
      <formula>D7="TAPADA"</formula>
    </cfRule>
    <cfRule type="expression" priority="3" aboveAverage="0" equalAverage="0" bottom="0" percent="0" rank="0" text="" dxfId="11">
      <formula>D7="ABIERTA"</formula>
    </cfRule>
  </conditionalFormatting>
  <conditionalFormatting sqref="G7:G40">
    <cfRule type="expression" priority="4" aboveAverage="0" equalAverage="0" bottom="0" percent="0" rank="0" text="" dxfId="12">
      <formula>$D7="TAPADA"</formula>
    </cfRule>
  </conditionalFormatting>
  <printOptions headings="false" gridLines="false" gridLinesSet="true" horizontalCentered="false" verticalCentered="false"/>
  <pageMargins left="0.7" right="0.7" top="0.848611111111111" bottom="0.848611111111111" header="0.75" footer="0.75"/>
  <pageSetup paperSize="9" scale="100" fitToWidth="1" fitToHeight="0"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true"/>
  </sheetPr>
  <dimension ref="A1:K23"/>
  <sheetViews>
    <sheetView showFormulas="false" showGridLines="true" showRowColHeaders="true" showZeros="true" rightToLeft="false" tabSelected="false" showOutlineSymbols="true" defaultGridColor="true" view="normal" topLeftCell="B7" colorId="64" zoomScale="115" zoomScaleNormal="115" zoomScalePageLayoutView="115" workbookViewId="0">
      <selection pane="topLeft" activeCell="F17" activeCellId="0" sqref="F17"/>
    </sheetView>
  </sheetViews>
  <sheetFormatPr defaultColWidth="9.453125" defaultRowHeight="15" zeroHeight="false" outlineLevelRow="0" outlineLevelCol="0"/>
  <cols>
    <col collapsed="false" customWidth="true" hidden="false" outlineLevel="0" max="1" min="1" style="203" width="22.45"/>
    <col collapsed="false" customWidth="true" hidden="false" outlineLevel="0" max="2" min="2" style="203" width="50.73"/>
    <col collapsed="false" customWidth="true" hidden="false" outlineLevel="0" max="3" min="3" style="203" width="14.18"/>
    <col collapsed="false" customWidth="true" hidden="false" outlineLevel="0" max="4" min="4" style="203" width="18.18"/>
    <col collapsed="false" customWidth="true" hidden="false" outlineLevel="0" max="5" min="5" style="203" width="12.54"/>
    <col collapsed="false" customWidth="true" hidden="false" outlineLevel="0" max="8" min="6" style="203" width="12"/>
    <col collapsed="false" customWidth="true" hidden="false" outlineLevel="0" max="10" min="9" style="203" width="16.36"/>
    <col collapsed="false" customWidth="true" hidden="false" outlineLevel="0" max="11" min="11" style="203" width="9.82"/>
    <col collapsed="false" customWidth="false" hidden="false" outlineLevel="0" max="16384" min="12" style="203" width="9.45"/>
  </cols>
  <sheetData>
    <row r="1" customFormat="false" ht="19.5" hidden="false" customHeight="true" outlineLevel="0" collapsed="false">
      <c r="A1" s="248" t="s">
        <v>460</v>
      </c>
      <c r="B1" s="248"/>
      <c r="C1" s="248"/>
      <c r="D1" s="248"/>
      <c r="E1" s="248"/>
      <c r="F1" s="248"/>
      <c r="G1" s="248"/>
      <c r="H1" s="248"/>
      <c r="I1" s="248"/>
      <c r="J1" s="248"/>
      <c r="K1" s="248"/>
    </row>
    <row r="2" customFormat="false" ht="24.75" hidden="false" customHeight="true" outlineLevel="0" collapsed="false">
      <c r="A2" s="205" t="s">
        <v>1</v>
      </c>
      <c r="B2" s="206" t="s">
        <v>2</v>
      </c>
      <c r="C2" s="206"/>
      <c r="D2" s="206"/>
      <c r="E2" s="206"/>
      <c r="F2" s="206"/>
      <c r="G2" s="206"/>
      <c r="H2" s="206"/>
      <c r="I2" s="206"/>
      <c r="J2" s="206"/>
      <c r="K2" s="206"/>
    </row>
    <row r="3" customFormat="false" ht="39.75" hidden="false" customHeight="true" outlineLevel="0" collapsed="false">
      <c r="A3" s="205" t="s">
        <v>3</v>
      </c>
      <c r="B3" s="206" t="str">
        <f aca="false">+RESUMEN!B5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C3" s="206"/>
      <c r="D3" s="206"/>
      <c r="E3" s="206"/>
      <c r="F3" s="206"/>
      <c r="G3" s="206"/>
      <c r="H3" s="206"/>
      <c r="I3" s="206"/>
      <c r="J3" s="206"/>
      <c r="K3" s="206"/>
    </row>
    <row r="4" customFormat="false" ht="24" hidden="false" customHeight="true" outlineLevel="0" collapsed="false">
      <c r="A4" s="205" t="s">
        <v>5</v>
      </c>
      <c r="B4" s="206" t="str">
        <f aca="false">+RESUMEN!B6</f>
        <v>SAN MARTIN - SAN MARTIN - MORALES</v>
      </c>
      <c r="C4" s="206"/>
      <c r="D4" s="206"/>
      <c r="E4" s="206"/>
      <c r="F4" s="206"/>
      <c r="G4" s="206"/>
      <c r="H4" s="206"/>
      <c r="I4" s="206"/>
      <c r="J4" s="206"/>
      <c r="K4" s="206"/>
    </row>
    <row r="5" customFormat="false" ht="18" hidden="false" customHeight="true" outlineLevel="0" collapsed="false">
      <c r="A5" s="205" t="s">
        <v>7</v>
      </c>
      <c r="B5" s="249" t="n">
        <f aca="false">+RESUMEN!B7</f>
        <v>46266</v>
      </c>
      <c r="C5" s="249"/>
      <c r="D5" s="249"/>
      <c r="E5" s="249"/>
      <c r="F5" s="249"/>
      <c r="G5" s="249"/>
      <c r="H5" s="249"/>
      <c r="I5" s="249"/>
      <c r="J5" s="249"/>
      <c r="K5" s="249"/>
    </row>
    <row r="6" customFormat="false" ht="9.75" hidden="false" customHeight="true" outlineLevel="0" collapsed="false">
      <c r="A6" s="250"/>
      <c r="B6" s="250"/>
      <c r="C6" s="250"/>
      <c r="D6" s="250"/>
      <c r="E6" s="250"/>
      <c r="F6" s="250"/>
      <c r="G6" s="250"/>
      <c r="H6" s="250"/>
      <c r="I6" s="250"/>
      <c r="J6" s="250"/>
      <c r="K6" s="250"/>
    </row>
    <row r="7" customFormat="false" ht="19.5" hidden="false" customHeight="true" outlineLevel="0" collapsed="false">
      <c r="A7" s="251" t="s">
        <v>159</v>
      </c>
      <c r="B7" s="251" t="s">
        <v>270</v>
      </c>
      <c r="C7" s="251" t="s">
        <v>161</v>
      </c>
      <c r="D7" s="251" t="s">
        <v>461</v>
      </c>
      <c r="E7" s="251"/>
      <c r="F7" s="251"/>
      <c r="G7" s="251"/>
      <c r="H7" s="251"/>
      <c r="I7" s="251" t="s">
        <v>168</v>
      </c>
      <c r="J7" s="251" t="s">
        <v>169</v>
      </c>
      <c r="K7" s="251" t="s">
        <v>170</v>
      </c>
    </row>
    <row r="8" customFormat="false" ht="36" hidden="false" customHeight="true" outlineLevel="0" collapsed="false">
      <c r="A8" s="251"/>
      <c r="B8" s="251"/>
      <c r="C8" s="251"/>
      <c r="D8" s="251" t="s">
        <v>162</v>
      </c>
      <c r="E8" s="251" t="s">
        <v>163</v>
      </c>
      <c r="F8" s="251" t="s">
        <v>164</v>
      </c>
      <c r="G8" s="251" t="s">
        <v>165</v>
      </c>
      <c r="H8" s="251" t="s">
        <v>166</v>
      </c>
      <c r="I8" s="251" t="s">
        <v>462</v>
      </c>
      <c r="J8" s="251"/>
      <c r="K8" s="251"/>
    </row>
    <row r="9" customFormat="false" ht="19.5" hidden="false" customHeight="true" outlineLevel="0" collapsed="false">
      <c r="A9" s="209" t="s">
        <v>58</v>
      </c>
      <c r="B9" s="252" t="s">
        <v>463</v>
      </c>
      <c r="C9" s="209"/>
      <c r="D9" s="209"/>
      <c r="E9" s="209"/>
      <c r="F9" s="209"/>
      <c r="G9" s="209"/>
      <c r="H9" s="209"/>
      <c r="I9" s="209"/>
      <c r="J9" s="253" t="n">
        <f aca="false">+PARAMETROS!B4</f>
        <v>18.0</v>
      </c>
      <c r="K9" s="254" t="s">
        <v>60</v>
      </c>
    </row>
    <row r="10" customFormat="false" ht="19.5" hidden="false" customHeight="true" outlineLevel="0" collapsed="false">
      <c r="A10" s="209"/>
      <c r="B10" s="252"/>
      <c r="C10" s="209"/>
      <c r="D10" s="209"/>
      <c r="E10" s="209"/>
      <c r="F10" s="209"/>
      <c r="G10" s="209"/>
      <c r="H10" s="209"/>
      <c r="I10" s="209"/>
      <c r="J10" s="209"/>
      <c r="K10" s="209"/>
    </row>
    <row r="11" customFormat="false" ht="19.5" hidden="false" customHeight="true" outlineLevel="0" collapsed="false">
      <c r="A11" s="255"/>
      <c r="B11" s="256" t="s">
        <v>464</v>
      </c>
      <c r="C11" s="255"/>
      <c r="D11" s="255"/>
      <c r="E11" s="255"/>
      <c r="F11" s="255"/>
      <c r="G11" s="255"/>
      <c r="H11" s="255"/>
      <c r="I11" s="255" t="s">
        <v>169</v>
      </c>
      <c r="J11" s="255"/>
      <c r="K11" s="255"/>
    </row>
    <row r="12" customFormat="false" ht="19.5" hidden="false" customHeight="true" outlineLevel="0" collapsed="false">
      <c r="A12" s="209"/>
      <c r="B12" s="252" t="s">
        <v>465</v>
      </c>
      <c r="C12" s="257" t="n">
        <f aca="false">PARAMETROS!B4</f>
        <v>18.0</v>
      </c>
      <c r="D12" s="257" t="n">
        <f aca="false">PARAMETROS!B5</f>
        <v>0.6</v>
      </c>
      <c r="E12" s="257" t="n">
        <f aca="false">PARAMETROS!B6</f>
        <v>0.6</v>
      </c>
      <c r="F12" s="257" t="n">
        <f aca="false">PARAMETROS!B7</f>
        <v>0.1</v>
      </c>
      <c r="G12" s="258"/>
      <c r="H12" s="258"/>
      <c r="I12" s="257" t="n">
        <f aca="false">C12*D12*E12*F12</f>
        <v>0.648</v>
      </c>
      <c r="J12" s="253" t="n">
        <f aca="false">I12</f>
        <v>0.648</v>
      </c>
      <c r="K12" s="254" t="s">
        <v>185</v>
      </c>
    </row>
    <row r="13" customFormat="false" ht="19.5" hidden="false" customHeight="true" outlineLevel="0" collapsed="false">
      <c r="A13" s="209"/>
      <c r="B13" s="252"/>
      <c r="C13" s="258"/>
      <c r="D13" s="258"/>
      <c r="E13" s="258"/>
      <c r="F13" s="258"/>
      <c r="G13" s="258"/>
      <c r="H13" s="258"/>
      <c r="I13" s="258"/>
      <c r="J13" s="258"/>
      <c r="K13" s="209"/>
    </row>
    <row r="14" customFormat="false" ht="29.25" hidden="false" customHeight="true" outlineLevel="0" collapsed="false">
      <c r="A14" s="255"/>
      <c r="B14" s="256" t="s">
        <v>466</v>
      </c>
      <c r="C14" s="259"/>
      <c r="D14" s="259"/>
      <c r="E14" s="259"/>
      <c r="F14" s="259"/>
      <c r="G14" s="259"/>
      <c r="H14" s="259"/>
      <c r="I14" s="259" t="s">
        <v>169</v>
      </c>
      <c r="J14" s="259"/>
      <c r="K14" s="255"/>
    </row>
    <row r="15" customFormat="false" ht="19.5" hidden="false" customHeight="true" outlineLevel="0" collapsed="false">
      <c r="A15" s="209"/>
      <c r="B15" s="252" t="s">
        <v>467</v>
      </c>
      <c r="C15" s="257" t="n">
        <f aca="false">PARAMETROS!B4</f>
        <v>18.0</v>
      </c>
      <c r="D15" s="257" t="n">
        <f aca="false">2*(PARAMETROS!B5+PARAMETROS!B6)</f>
        <v>2.4</v>
      </c>
      <c r="E15" s="257"/>
      <c r="F15" s="257" t="n">
        <f aca="false">PARAMETROS!B7</f>
        <v>0.1</v>
      </c>
      <c r="G15" s="258"/>
      <c r="H15" s="257" t="n">
        <f aca="false">D15*F15</f>
        <v>0.24</v>
      </c>
      <c r="I15" s="257" t="n">
        <f aca="false">C15*H15</f>
        <v>4.32</v>
      </c>
      <c r="J15" s="257" t="n">
        <f aca="false">I15</f>
        <v>4.32</v>
      </c>
      <c r="K15" s="209" t="s">
        <v>186</v>
      </c>
    </row>
    <row r="16" customFormat="false" ht="19.5" hidden="false" customHeight="true" outlineLevel="0" collapsed="false">
      <c r="A16" s="209"/>
      <c r="B16" s="252" t="s">
        <v>468</v>
      </c>
      <c r="C16" s="257" t="n">
        <f aca="false">PARAMETROS!B4</f>
        <v>18.0</v>
      </c>
      <c r="D16" s="257" t="n">
        <f aca="false">PARAMETROS!B5</f>
        <v>0.6</v>
      </c>
      <c r="E16" s="257" t="n">
        <f aca="false">PARAMETROS!B6</f>
        <v>0.6</v>
      </c>
      <c r="F16" s="257"/>
      <c r="G16" s="258"/>
      <c r="H16" s="257" t="n">
        <f aca="false">D16*E16</f>
        <v>0.36</v>
      </c>
      <c r="I16" s="257" t="n">
        <f aca="false">C16*H16</f>
        <v>6.48</v>
      </c>
      <c r="J16" s="257" t="n">
        <f aca="false">I16</f>
        <v>6.48</v>
      </c>
      <c r="K16" s="209" t="s">
        <v>186</v>
      </c>
    </row>
    <row r="17" customFormat="false" ht="19.5" hidden="false" customHeight="true" outlineLevel="0" collapsed="false">
      <c r="A17" s="209"/>
      <c r="B17" s="252" t="s">
        <v>469</v>
      </c>
      <c r="C17" s="258"/>
      <c r="D17" s="258"/>
      <c r="E17" s="258"/>
      <c r="F17" s="258"/>
      <c r="G17" s="258"/>
      <c r="H17" s="257"/>
      <c r="I17" s="257"/>
      <c r="J17" s="253" t="n">
        <f aca="false">J15+J16</f>
        <v>10.8</v>
      </c>
      <c r="K17" s="254" t="s">
        <v>186</v>
      </c>
    </row>
    <row r="18" customFormat="false" ht="19.5" hidden="false" customHeight="true" outlineLevel="0" collapsed="false">
      <c r="A18" s="209"/>
      <c r="B18" s="252"/>
      <c r="C18" s="258"/>
      <c r="D18" s="258"/>
      <c r="E18" s="258"/>
      <c r="F18" s="258"/>
      <c r="G18" s="258"/>
      <c r="H18" s="258"/>
      <c r="I18" s="258"/>
      <c r="J18" s="258"/>
      <c r="K18" s="209"/>
    </row>
    <row r="19" customFormat="false" ht="42.75" hidden="false" customHeight="true" outlineLevel="0" collapsed="false">
      <c r="A19" s="255"/>
      <c r="B19" s="256" t="s">
        <v>470</v>
      </c>
      <c r="C19" s="259"/>
      <c r="D19" s="260" t="s">
        <v>471</v>
      </c>
      <c r="E19" s="261" t="s">
        <v>472</v>
      </c>
      <c r="F19" s="259"/>
      <c r="G19" s="259"/>
      <c r="H19" s="259"/>
      <c r="I19" s="259" t="s">
        <v>169</v>
      </c>
      <c r="J19" s="259"/>
      <c r="K19" s="255"/>
    </row>
    <row r="20" customFormat="false" ht="19.5" hidden="false" customHeight="true" outlineLevel="0" collapsed="false">
      <c r="A20" s="209"/>
      <c r="B20" s="252" t="s">
        <v>473</v>
      </c>
      <c r="C20" s="257" t="n">
        <f aca="false">PARAMETROS!B4</f>
        <v>18.0</v>
      </c>
      <c r="D20" s="257" t="n">
        <f aca="false">PARAMETROS!B5-2*PARAMETROS!B8</f>
        <v>0.55</v>
      </c>
      <c r="E20" s="257" t="n">
        <f aca="false">ROUND((PARAMETROS!B6-2*PARAMETROS!B8)/PARAMETROS!B9,0)+1</f>
        <v>5.0</v>
      </c>
      <c r="F20" s="257"/>
      <c r="G20" s="257" t="n">
        <f aca="false">PARAMETROS!B10</f>
        <v>0.56</v>
      </c>
      <c r="H20" s="258"/>
      <c r="I20" s="257" t="n">
        <f aca="false">C20*D20*E20*G20</f>
        <v>27.72</v>
      </c>
      <c r="J20" s="257" t="n">
        <f aca="false">I20</f>
        <v>27.72</v>
      </c>
      <c r="K20" s="209" t="s">
        <v>50</v>
      </c>
    </row>
    <row r="21" customFormat="false" ht="19.5" hidden="false" customHeight="true" outlineLevel="0" collapsed="false">
      <c r="A21" s="209"/>
      <c r="B21" s="252" t="s">
        <v>474</v>
      </c>
      <c r="C21" s="257" t="n">
        <f aca="false">PARAMETROS!B4</f>
        <v>18.0</v>
      </c>
      <c r="D21" s="257" t="n">
        <f aca="false">PARAMETROS!B6-2*PARAMETROS!B8</f>
        <v>0.55</v>
      </c>
      <c r="E21" s="257" t="n">
        <f aca="false">ROUND((PARAMETROS!B5-2*PARAMETROS!B8)/PARAMETROS!B9,0)+1</f>
        <v>5.0</v>
      </c>
      <c r="F21" s="257"/>
      <c r="G21" s="257" t="n">
        <f aca="false">PARAMETROS!B10</f>
        <v>0.56</v>
      </c>
      <c r="H21" s="258"/>
      <c r="I21" s="257" t="n">
        <f aca="false">C21*D21*E21*G21</f>
        <v>27.72</v>
      </c>
      <c r="J21" s="257" t="n">
        <f aca="false">I21</f>
        <v>27.72</v>
      </c>
      <c r="K21" s="209" t="s">
        <v>50</v>
      </c>
    </row>
    <row r="22" customFormat="false" ht="19.5" hidden="false" customHeight="true" outlineLevel="0" collapsed="false">
      <c r="A22" s="209"/>
      <c r="B22" s="252" t="s">
        <v>475</v>
      </c>
      <c r="C22" s="258"/>
      <c r="D22" s="258"/>
      <c r="E22" s="258"/>
      <c r="F22" s="258"/>
      <c r="G22" s="258"/>
      <c r="H22" s="258"/>
      <c r="I22" s="257"/>
      <c r="J22" s="253" t="n">
        <f aca="false">J20+J21</f>
        <v>55.44</v>
      </c>
      <c r="K22" s="254" t="s">
        <v>50</v>
      </c>
    </row>
    <row r="23" customFormat="false" ht="19.5" hidden="false" customHeight="true" outlineLevel="0" collapsed="false">
      <c r="A23" s="262"/>
      <c r="B23" s="250"/>
      <c r="C23" s="262"/>
      <c r="D23" s="262"/>
      <c r="E23" s="262"/>
      <c r="F23" s="262"/>
      <c r="G23" s="262"/>
      <c r="H23" s="262"/>
      <c r="I23" s="262"/>
      <c r="J23" s="262"/>
      <c r="K23" s="262"/>
    </row>
  </sheetData>
  <mergeCells count="10">
    <mergeCell ref="A1:K1"/>
    <mergeCell ref="B2:K2"/>
    <mergeCell ref="B3:K3"/>
    <mergeCell ref="B4:K4"/>
    <mergeCell ref="B5:K5"/>
    <mergeCell ref="A7:A8"/>
    <mergeCell ref="B7:B8"/>
    <mergeCell ref="D7:H7"/>
    <mergeCell ref="J7:J8"/>
    <mergeCell ref="K7:K8"/>
  </mergeCells>
  <printOptions headings="false" gridLines="false" gridLinesSet="true" horizontalCentered="false" verticalCentered="false"/>
  <pageMargins left="0.7" right="0.7"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true" showRowColHeaders="true" showZeros="true" rightToLeft="false" tabSelected="false" showOutlineSymbols="true" defaultGridColor="true" view="normal" topLeftCell="A1" colorId="64" zoomScale="100" zoomScaleNormal="100" zoomScalePageLayoutView="116" workbookViewId="0">
      <selection pane="topLeft" activeCell="A1" activeCellId="0" sqref="A1"/>
    </sheetView>
  </sheetViews>
  <sheetFormatPr defaultColWidth="8.73046875" defaultRowHeight="14.25" zeroHeight="false" outlineLevelRow="0" outlineLevelCol="0"/>
  <cols>
    <col collapsed="false" customWidth="true" hidden="false" outlineLevel="0" max="1" min="1" style="0" width="5"/>
    <col collapsed="false" customWidth="true" hidden="false" outlineLevel="0" max="5" min="2" style="0" width="14"/>
    <col collapsed="false" customWidth="true" hidden="false" outlineLevel="0" max="6" min="6" style="0" width="30"/>
    <col collapsed="false" customWidth="true" hidden="false" outlineLevel="0" max="7" min="7" style="0" width="70"/>
  </cols>
  <sheetData>
    <row r="1" customFormat="false" ht="27" hidden="false" customHeight="true" outlineLevel="0" collapsed="false">
      <c r="A1" s="263" t="s">
        <v>476</v>
      </c>
      <c r="B1" s="263"/>
      <c r="C1" s="263"/>
      <c r="D1" s="263"/>
      <c r="E1" s="263"/>
      <c r="F1" s="263"/>
      <c r="G1" s="263"/>
    </row>
    <row r="2" customFormat="false" ht="24.75" hidden="false" customHeight="true" outlineLevel="0" collapsed="false">
      <c r="A2" s="264" t="s">
        <v>1</v>
      </c>
      <c r="B2" s="264"/>
      <c r="C2" s="265" t="str">
        <f aca="false">+RESUMEN!B4</f>
        <v>GERENCIA TERRITORIAL BAJO MAYO - TARAPOTO</v>
      </c>
      <c r="D2" s="265"/>
      <c r="E2" s="265"/>
      <c r="F2" s="265"/>
      <c r="G2" s="265"/>
    </row>
    <row r="3" customFormat="false" ht="58.5" hidden="false" customHeight="true" outlineLevel="0" collapsed="false">
      <c r="A3" s="264" t="s">
        <v>3</v>
      </c>
      <c r="B3" s="264"/>
      <c r="C3" s="265" t="str">
        <f aca="false">+RESUMEN!B5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265"/>
      <c r="E3" s="265"/>
      <c r="F3" s="265"/>
      <c r="G3" s="265"/>
    </row>
    <row r="4" customFormat="false" ht="24.75" hidden="false" customHeight="true" outlineLevel="0" collapsed="false">
      <c r="A4" s="264" t="s">
        <v>5</v>
      </c>
      <c r="B4" s="264"/>
      <c r="C4" s="265" t="str">
        <f aca="false">+RESUMEN!B6</f>
        <v>SAN MARTIN - SAN MARTIN - MORALES</v>
      </c>
      <c r="D4" s="265"/>
      <c r="E4" s="265"/>
      <c r="F4" s="265"/>
      <c r="G4" s="265"/>
    </row>
    <row r="5" customFormat="false" ht="24.75" hidden="false" customHeight="true" outlineLevel="0" collapsed="false">
      <c r="A5" s="264" t="s">
        <v>7</v>
      </c>
      <c r="B5" s="264"/>
      <c r="C5" s="266" t="n">
        <f aca="false">+RESUMEN!B7</f>
        <v>46266</v>
      </c>
      <c r="D5" s="266"/>
      <c r="E5" s="266"/>
      <c r="F5" s="266"/>
      <c r="G5" s="266"/>
    </row>
    <row r="7" customFormat="false" ht="48" hidden="false" customHeight="true" outlineLevel="0" collapsed="false">
      <c r="A7" s="267" t="s">
        <v>477</v>
      </c>
      <c r="B7" s="267"/>
      <c r="C7" s="267"/>
      <c r="D7" s="267"/>
      <c r="E7" s="267"/>
      <c r="F7" s="267"/>
      <c r="G7" s="267"/>
    </row>
    <row r="9" customFormat="false" ht="39.75" hidden="false" customHeight="true" outlineLevel="0" collapsed="false">
      <c r="A9" s="268" t="s">
        <v>309</v>
      </c>
      <c r="B9" s="268" t="s">
        <v>478</v>
      </c>
      <c r="C9" s="268" t="s">
        <v>479</v>
      </c>
      <c r="D9" s="268" t="s">
        <v>480</v>
      </c>
      <c r="E9" s="268" t="s">
        <v>481</v>
      </c>
      <c r="F9" s="268" t="s">
        <v>482</v>
      </c>
      <c r="G9" s="268" t="s">
        <v>483</v>
      </c>
    </row>
    <row r="10" customFormat="false" ht="25.5" hidden="false" customHeight="true" outlineLevel="0" collapsed="false">
      <c r="A10" s="269" t="n">
        <v>1</v>
      </c>
      <c r="B10" s="269" t="s">
        <v>342</v>
      </c>
      <c r="C10" s="270" t="n">
        <v>114.3</v>
      </c>
      <c r="D10" s="270" t="n">
        <v>2.77</v>
      </c>
      <c r="E10" s="271" t="n">
        <f aca="false">C10-D10</f>
        <v>111.53</v>
      </c>
      <c r="F10" s="269" t="s">
        <v>484</v>
      </c>
      <c r="G10" s="272" t="s">
        <v>485</v>
      </c>
    </row>
    <row r="11" customFormat="false" ht="25.5" hidden="false" customHeight="true" outlineLevel="0" collapsed="false">
      <c r="A11" s="269" t="n">
        <v>2</v>
      </c>
      <c r="B11" s="269" t="s">
        <v>358</v>
      </c>
      <c r="C11" s="270" t="n">
        <v>105.7</v>
      </c>
      <c r="D11" s="270" t="n">
        <v>3.39</v>
      </c>
      <c r="E11" s="271" t="n">
        <f aca="false">C11-D11</f>
        <v>102.31</v>
      </c>
      <c r="F11" s="269" t="s">
        <v>486</v>
      </c>
      <c r="G11" s="272" t="s">
        <v>485</v>
      </c>
    </row>
    <row r="12" customFormat="false" ht="25.5" hidden="false" customHeight="true" outlineLevel="0" collapsed="false">
      <c r="A12" s="269" t="n">
        <v>3</v>
      </c>
      <c r="B12" s="269" t="s">
        <v>367</v>
      </c>
      <c r="C12" s="270" t="n">
        <v>98.95</v>
      </c>
      <c r="D12" s="270" t="n">
        <v>0.26</v>
      </c>
      <c r="E12" s="271" t="n">
        <f aca="false">C12-D12</f>
        <v>98.69</v>
      </c>
      <c r="F12" s="269" t="s">
        <v>486</v>
      </c>
      <c r="G12" s="272" t="s">
        <v>485</v>
      </c>
    </row>
    <row r="13" customFormat="false" ht="25.5" hidden="false" customHeight="true" outlineLevel="0" collapsed="false">
      <c r="A13" s="269" t="n">
        <v>4</v>
      </c>
      <c r="B13" s="269" t="s">
        <v>374</v>
      </c>
      <c r="C13" s="270" t="n">
        <v>60.7</v>
      </c>
      <c r="D13" s="270" t="n">
        <v>0.1</v>
      </c>
      <c r="E13" s="271" t="n">
        <f aca="false">C13-D13</f>
        <v>60.6</v>
      </c>
      <c r="F13" s="269" t="s">
        <v>486</v>
      </c>
      <c r="G13" s="272" t="s">
        <v>485</v>
      </c>
    </row>
    <row r="14" customFormat="false" ht="25.5" hidden="false" customHeight="true" outlineLevel="0" collapsed="false">
      <c r="A14" s="269" t="n">
        <v>5</v>
      </c>
      <c r="B14" s="269" t="s">
        <v>378</v>
      </c>
      <c r="C14" s="270" t="n">
        <v>42.7</v>
      </c>
      <c r="D14" s="270" t="n">
        <v>0.04</v>
      </c>
      <c r="E14" s="271" t="n">
        <f aca="false">C14-D14</f>
        <v>42.66</v>
      </c>
      <c r="F14" s="269" t="s">
        <v>486</v>
      </c>
      <c r="G14" s="272" t="s">
        <v>485</v>
      </c>
    </row>
    <row r="16" customFormat="false" ht="33.75" hidden="false" customHeight="true" outlineLevel="0" collapsed="false">
      <c r="A16" s="273" t="s">
        <v>487</v>
      </c>
      <c r="B16" s="273"/>
      <c r="C16" s="273"/>
      <c r="D16" s="273"/>
      <c r="E16" s="273"/>
      <c r="F16" s="273"/>
      <c r="G16" s="273"/>
    </row>
  </sheetData>
  <mergeCells count="11">
    <mergeCell ref="A1:G1"/>
    <mergeCell ref="A2:B2"/>
    <mergeCell ref="C2:G2"/>
    <mergeCell ref="A3:B3"/>
    <mergeCell ref="C3:G3"/>
    <mergeCell ref="A4:B4"/>
    <mergeCell ref="C4:G4"/>
    <mergeCell ref="A5:B5"/>
    <mergeCell ref="C5:G5"/>
    <mergeCell ref="A7:G7"/>
    <mergeCell ref="A16:G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60" workbookViewId="0">
      <selection pane="topLeft" activeCell="B5" activeCellId="0" sqref="B5"/>
    </sheetView>
  </sheetViews>
  <sheetFormatPr defaultColWidth="9.453125" defaultRowHeight="13.5" zeroHeight="false" outlineLevelRow="0" outlineLevelCol="0"/>
  <cols>
    <col collapsed="false" customWidth="true" hidden="false" outlineLevel="0" max="1" min="1" style="274" width="34.91"/>
    <col collapsed="false" customWidth="true" hidden="false" outlineLevel="0" max="2" min="2" style="274" width="14.18"/>
    <col collapsed="false" customWidth="true" hidden="false" outlineLevel="0" max="3" min="3" style="274" width="13.09"/>
    <col collapsed="false" customWidth="true" hidden="false" outlineLevel="0" max="4" min="4" style="274" width="52.36"/>
    <col collapsed="false" customWidth="false" hidden="false" outlineLevel="0" max="16384" min="5" style="274" width="9.45"/>
  </cols>
  <sheetData>
    <row r="1" customFormat="false" ht="9.75" hidden="false" customHeight="true" outlineLevel="0" collapsed="false">
      <c r="A1" s="275" t="s">
        <v>488</v>
      </c>
      <c r="B1" s="275"/>
      <c r="C1" s="275"/>
      <c r="D1" s="275"/>
    </row>
    <row r="2" customFormat="false" ht="9.75" hidden="false" customHeight="true" outlineLevel="0" collapsed="false">
      <c r="A2" s="276"/>
      <c r="B2" s="276"/>
      <c r="C2" s="276"/>
      <c r="D2" s="276"/>
    </row>
    <row r="3" customFormat="false" ht="9.75" hidden="false" customHeight="true" outlineLevel="0" collapsed="false">
      <c r="A3" s="277" t="s">
        <v>9</v>
      </c>
      <c r="B3" s="277" t="s">
        <v>489</v>
      </c>
      <c r="C3" s="277" t="s">
        <v>490</v>
      </c>
      <c r="D3" s="277" t="s">
        <v>491</v>
      </c>
    </row>
    <row r="4" customFormat="false" ht="15" hidden="false" customHeight="true" outlineLevel="0" collapsed="false">
      <c r="A4" s="276" t="s">
        <v>492</v>
      </c>
      <c r="B4" s="278" t="n">
        <v>18</v>
      </c>
      <c r="C4" s="279" t="s">
        <v>60</v>
      </c>
      <c r="D4" s="276" t="s">
        <v>493</v>
      </c>
    </row>
    <row r="5" customFormat="false" ht="15" hidden="false" customHeight="true" outlineLevel="0" collapsed="false">
      <c r="A5" s="276" t="s">
        <v>494</v>
      </c>
      <c r="B5" s="278" t="n">
        <v>0.6</v>
      </c>
      <c r="C5" s="279" t="s">
        <v>71</v>
      </c>
      <c r="D5" s="276" t="s">
        <v>495</v>
      </c>
    </row>
    <row r="6" customFormat="false" ht="15" hidden="false" customHeight="true" outlineLevel="0" collapsed="false">
      <c r="A6" s="276" t="s">
        <v>496</v>
      </c>
      <c r="B6" s="278" t="n">
        <v>0.6</v>
      </c>
      <c r="C6" s="279" t="s">
        <v>71</v>
      </c>
      <c r="D6" s="276" t="s">
        <v>495</v>
      </c>
    </row>
    <row r="7" customFormat="false" ht="15" hidden="false" customHeight="true" outlineLevel="0" collapsed="false">
      <c r="A7" s="276" t="s">
        <v>497</v>
      </c>
      <c r="B7" s="278" t="n">
        <v>0.1</v>
      </c>
      <c r="C7" s="279" t="s">
        <v>71</v>
      </c>
      <c r="D7" s="276" t="s">
        <v>495</v>
      </c>
    </row>
    <row r="8" customFormat="false" ht="15" hidden="false" customHeight="true" outlineLevel="0" collapsed="false">
      <c r="A8" s="276" t="s">
        <v>498</v>
      </c>
      <c r="B8" s="278" t="n">
        <v>0.025</v>
      </c>
      <c r="C8" s="279" t="s">
        <v>71</v>
      </c>
      <c r="D8" s="276" t="s">
        <v>499</v>
      </c>
    </row>
    <row r="9" customFormat="false" ht="15" hidden="false" customHeight="true" outlineLevel="0" collapsed="false">
      <c r="A9" s="276" t="s">
        <v>500</v>
      </c>
      <c r="B9" s="278" t="n">
        <v>0.15</v>
      </c>
      <c r="C9" s="279" t="s">
        <v>71</v>
      </c>
      <c r="D9" s="276" t="s">
        <v>501</v>
      </c>
    </row>
    <row r="10" customFormat="false" ht="15" hidden="false" customHeight="true" outlineLevel="0" collapsed="false">
      <c r="A10" s="276" t="s">
        <v>502</v>
      </c>
      <c r="B10" s="278" t="n">
        <v>0.56</v>
      </c>
      <c r="C10" s="279" t="s">
        <v>503</v>
      </c>
      <c r="D10" s="276" t="s">
        <v>504</v>
      </c>
    </row>
    <row r="11" customFormat="false" ht="15" hidden="false" customHeight="true" outlineLevel="0" collapsed="false">
      <c r="A11" s="276" t="s">
        <v>505</v>
      </c>
      <c r="B11" s="278" t="n">
        <v>9</v>
      </c>
      <c r="C11" s="279" t="s">
        <v>71</v>
      </c>
      <c r="D11" s="276" t="s">
        <v>506</v>
      </c>
    </row>
    <row r="13" customFormat="false" ht="27.75" hidden="false" customHeight="true" outlineLevel="0" collapsed="false">
      <c r="A13" s="280" t="s">
        <v>507</v>
      </c>
    </row>
    <row r="14" customFormat="false" ht="14.9" hidden="false" customHeight="false" outlineLevel="0" collapsed="false">
      <c r="A14" s="277" t="s">
        <v>9</v>
      </c>
      <c r="B14" s="277" t="s">
        <v>489</v>
      </c>
      <c r="C14" s="277" t="s">
        <v>490</v>
      </c>
      <c r="D14" s="277" t="s">
        <v>491</v>
      </c>
    </row>
    <row r="15" customFormat="false" ht="27.75" hidden="false" customHeight="true" outlineLevel="0" collapsed="false">
      <c r="A15" s="276" t="s">
        <v>508</v>
      </c>
      <c r="B15" s="278" t="n">
        <v>0.1</v>
      </c>
      <c r="C15" s="279" t="s">
        <v>71</v>
      </c>
      <c r="D15" s="276" t="s">
        <v>509</v>
      </c>
    </row>
    <row r="16" customFormat="false" ht="14.9" hidden="false" customHeight="false" outlineLevel="0" collapsed="false">
      <c r="A16" s="276" t="s">
        <v>510</v>
      </c>
      <c r="B16" s="278" t="n">
        <v>1.2</v>
      </c>
      <c r="C16" s="279" t="s">
        <v>511</v>
      </c>
      <c r="D16" s="276" t="s">
        <v>512</v>
      </c>
    </row>
  </sheetData>
  <mergeCells count="1">
    <mergeCell ref="A1:D1"/>
  </mergeCells>
  <printOptions headings="false" gridLines="false" gridLinesSet="true" horizontalCentered="false" verticalCentered="false"/>
  <pageMargins left="0.7" right="0.7" top="0.75" bottom="0.75" header="0.511811023622047" footer="0.511811023622047"/>
  <pageSetup paperSize="9" scale="77"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0" activeCellId="0" sqref="E20"/>
    </sheetView>
  </sheetViews>
  <sheetFormatPr defaultColWidth="9.453125" defaultRowHeight="13.5" zeroHeight="false" outlineLevelRow="0" outlineLevelCol="0"/>
  <cols>
    <col collapsed="false" customWidth="true" hidden="false" outlineLevel="0" max="2" min="1" style="274" width="16.36"/>
    <col collapsed="false" customWidth="false" hidden="false" outlineLevel="0" max="3" min="3" style="274" width="9.45"/>
    <col collapsed="false" customWidth="true" hidden="false" outlineLevel="0" max="4" min="4" style="274" width="19.64"/>
    <col collapsed="false" customWidth="false" hidden="false" outlineLevel="0" max="5" min="5" style="274" width="9.45"/>
    <col collapsed="false" customWidth="true" hidden="false" outlineLevel="0" max="6" min="6" style="274" width="30.54"/>
    <col collapsed="false" customWidth="false" hidden="false" outlineLevel="0" max="16384" min="7" style="274" width="9.45"/>
  </cols>
  <sheetData>
    <row r="1" customFormat="false" ht="18" hidden="false" customHeight="true" outlineLevel="0" collapsed="false">
      <c r="A1" s="281" t="s">
        <v>513</v>
      </c>
      <c r="B1" s="281"/>
      <c r="C1" s="281"/>
      <c r="D1" s="281"/>
      <c r="E1" s="281"/>
      <c r="F1" s="281"/>
    </row>
    <row r="3" customFormat="false" ht="13.5" hidden="false" customHeight="false" outlineLevel="0" collapsed="false">
      <c r="A3" s="282" t="s">
        <v>514</v>
      </c>
      <c r="B3" s="282" t="s">
        <v>515</v>
      </c>
      <c r="D3" s="282" t="s">
        <v>312</v>
      </c>
      <c r="F3" s="282" t="s">
        <v>516</v>
      </c>
    </row>
    <row r="4" customFormat="false" ht="14.9" hidden="false" customHeight="false" outlineLevel="0" collapsed="false">
      <c r="A4" s="283" t="s">
        <v>517</v>
      </c>
      <c r="B4" s="284" t="n">
        <v>0.222</v>
      </c>
      <c r="D4" s="285" t="s">
        <v>225</v>
      </c>
      <c r="F4" s="286" t="s">
        <v>518</v>
      </c>
    </row>
    <row r="5" customFormat="false" ht="14.9" hidden="false" customHeight="false" outlineLevel="0" collapsed="false">
      <c r="A5" s="283" t="s">
        <v>519</v>
      </c>
      <c r="B5" s="284" t="n">
        <v>0.395</v>
      </c>
      <c r="D5" s="285" t="s">
        <v>344</v>
      </c>
      <c r="F5" s="286" t="s">
        <v>520</v>
      </c>
    </row>
    <row r="6" customFormat="false" ht="13.5" hidden="false" customHeight="false" outlineLevel="0" collapsed="false">
      <c r="A6" s="283" t="s">
        <v>347</v>
      </c>
      <c r="B6" s="284" t="n">
        <v>0.56</v>
      </c>
    </row>
    <row r="7" customFormat="false" ht="13.5" hidden="false" customHeight="false" outlineLevel="0" collapsed="false">
      <c r="A7" s="283" t="s">
        <v>521</v>
      </c>
      <c r="B7" s="284" t="n">
        <v>0.888</v>
      </c>
    </row>
    <row r="8" customFormat="false" ht="13.5" hidden="false" customHeight="false" outlineLevel="0" collapsed="false">
      <c r="A8" s="283" t="s">
        <v>522</v>
      </c>
      <c r="B8" s="284" t="n">
        <v>0.994</v>
      </c>
    </row>
    <row r="9" customFormat="false" ht="13.5" hidden="false" customHeight="false" outlineLevel="0" collapsed="false">
      <c r="A9" s="283" t="s">
        <v>523</v>
      </c>
      <c r="B9" s="284" t="n">
        <v>1.552</v>
      </c>
    </row>
    <row r="10" customFormat="false" ht="13.5" hidden="false" customHeight="false" outlineLevel="0" collapsed="false">
      <c r="A10" s="283" t="s">
        <v>524</v>
      </c>
      <c r="B10" s="284" t="n">
        <v>2.235</v>
      </c>
    </row>
    <row r="11" customFormat="false" ht="13.5" hidden="false" customHeight="false" outlineLevel="0" collapsed="false">
      <c r="A11" s="283" t="s">
        <v>525</v>
      </c>
      <c r="B11" s="284" t="n">
        <v>3.973</v>
      </c>
    </row>
    <row r="13" customFormat="false" ht="13.5" hidden="false" customHeight="false" outlineLevel="0" collapsed="false">
      <c r="A13" s="287" t="s">
        <v>526</v>
      </c>
      <c r="B13" s="287"/>
      <c r="C13" s="287"/>
      <c r="D13" s="287"/>
      <c r="E13" s="287"/>
      <c r="F13" s="287"/>
    </row>
    <row r="14" customFormat="false" ht="14.9" hidden="false" customHeight="true" outlineLevel="0" collapsed="false">
      <c r="A14" s="288" t="s">
        <v>527</v>
      </c>
      <c r="B14" s="288"/>
      <c r="C14" s="288"/>
      <c r="D14" s="288"/>
      <c r="E14" s="288"/>
      <c r="F14" s="288"/>
    </row>
    <row r="15" customFormat="false" ht="14.9" hidden="false" customHeight="true" outlineLevel="0" collapsed="false">
      <c r="A15" s="288" t="s">
        <v>528</v>
      </c>
      <c r="B15" s="288"/>
      <c r="C15" s="288"/>
      <c r="D15" s="288"/>
      <c r="E15" s="288"/>
      <c r="F15" s="288"/>
    </row>
    <row r="16" customFormat="false" ht="14.9" hidden="false" customHeight="true" outlineLevel="0" collapsed="false">
      <c r="A16" s="288" t="s">
        <v>529</v>
      </c>
      <c r="B16" s="288"/>
      <c r="C16" s="288"/>
      <c r="D16" s="288"/>
      <c r="E16" s="288"/>
      <c r="F16" s="288"/>
    </row>
  </sheetData>
  <mergeCells count="5">
    <mergeCell ref="A1:F1"/>
    <mergeCell ref="A13:F13"/>
    <mergeCell ref="A14:F14"/>
    <mergeCell ref="A15:F15"/>
    <mergeCell ref="A16:F1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8"/>
  <sheetViews>
    <sheetView showFormulas="false" showGridLines="true" showRowColHeaders="true" showZeros="true" rightToLeft="false" tabSelected="false" showOutlineSymbols="true" defaultGridColor="true" view="normal" topLeftCell="A23" colorId="64" zoomScale="100" zoomScaleNormal="100" zoomScalePageLayoutView="93" workbookViewId="0">
      <selection pane="topLeft" activeCell="A1" activeCellId="0" sqref="A1"/>
    </sheetView>
  </sheetViews>
  <sheetFormatPr defaultColWidth="8.73046875" defaultRowHeight="14.25" zeroHeight="false" outlineLevelRow="0" outlineLevelCol="0"/>
  <cols>
    <col collapsed="false" customWidth="true" hidden="false" outlineLevel="0" max="1" min="1" style="0" width="5"/>
    <col collapsed="false" customWidth="true" hidden="false" outlineLevel="0" max="2" min="2" style="0" width="62"/>
    <col collapsed="false" customWidth="true" hidden="false" outlineLevel="0" max="3" min="3" style="0" width="12"/>
    <col collapsed="false" customWidth="true" hidden="false" outlineLevel="0" max="4" min="4" style="0" width="8"/>
    <col collapsed="false" customWidth="true" hidden="false" outlineLevel="0" max="5" min="5" style="0" width="70"/>
  </cols>
  <sheetData>
    <row r="1" customFormat="false" ht="27" hidden="false" customHeight="true" outlineLevel="0" collapsed="false">
      <c r="A1" s="263" t="s">
        <v>530</v>
      </c>
      <c r="B1" s="263"/>
      <c r="C1" s="263"/>
      <c r="D1" s="263"/>
      <c r="E1" s="263"/>
      <c r="F1" s="263"/>
    </row>
    <row r="2" customFormat="false" ht="24.75" hidden="false" customHeight="true" outlineLevel="0" collapsed="false">
      <c r="A2" s="264" t="s">
        <v>1</v>
      </c>
      <c r="B2" s="264"/>
      <c r="C2" s="265" t="str">
        <f aca="false">+RESUMEN!B4</f>
        <v>GERENCIA TERRITORIAL BAJO MAYO - TARAPOTO</v>
      </c>
      <c r="D2" s="265"/>
      <c r="E2" s="265"/>
      <c r="F2" s="265"/>
    </row>
    <row r="3" customFormat="false" ht="58.5" hidden="false" customHeight="true" outlineLevel="0" collapsed="false">
      <c r="A3" s="264" t="s">
        <v>3</v>
      </c>
      <c r="B3" s="264"/>
      <c r="C3" s="265" t="str">
        <f aca="false">+RESUMEN!B5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265"/>
      <c r="E3" s="265"/>
      <c r="F3" s="265"/>
    </row>
    <row r="4" customFormat="false" ht="24.75" hidden="false" customHeight="true" outlineLevel="0" collapsed="false">
      <c r="A4" s="264" t="s">
        <v>5</v>
      </c>
      <c r="B4" s="264"/>
      <c r="C4" s="265" t="str">
        <f aca="false">+RESUMEN!B6</f>
        <v>SAN MARTIN - SAN MARTIN - MORALES</v>
      </c>
      <c r="D4" s="265"/>
      <c r="E4" s="265"/>
      <c r="F4" s="265"/>
    </row>
    <row r="5" customFormat="false" ht="24.75" hidden="false" customHeight="true" outlineLevel="0" collapsed="false">
      <c r="A5" s="264" t="s">
        <v>7</v>
      </c>
      <c r="B5" s="264"/>
      <c r="C5" s="266" t="n">
        <f aca="false">+RESUMEN!B7</f>
        <v>46266</v>
      </c>
      <c r="D5" s="266"/>
      <c r="E5" s="266"/>
      <c r="F5" s="266"/>
    </row>
    <row r="7" customFormat="false" ht="48" hidden="false" customHeight="true" outlineLevel="0" collapsed="false">
      <c r="A7" s="267" t="s">
        <v>531</v>
      </c>
      <c r="B7" s="267"/>
      <c r="C7" s="267"/>
      <c r="D7" s="267"/>
      <c r="E7" s="267"/>
      <c r="F7" s="267"/>
    </row>
    <row r="9" customFormat="false" ht="30" hidden="false" customHeight="true" outlineLevel="0" collapsed="false">
      <c r="A9" s="268" t="s">
        <v>309</v>
      </c>
      <c r="B9" s="268" t="s">
        <v>532</v>
      </c>
      <c r="C9" s="268" t="s">
        <v>271</v>
      </c>
      <c r="D9" s="268" t="s">
        <v>170</v>
      </c>
      <c r="E9" s="268" t="s">
        <v>533</v>
      </c>
    </row>
    <row r="10" customFormat="false" ht="15" hidden="false" customHeight="true" outlineLevel="0" collapsed="false">
      <c r="A10" s="269" t="n">
        <v>1</v>
      </c>
      <c r="B10" s="150" t="s">
        <v>534</v>
      </c>
      <c r="C10" s="289" t="n">
        <v>0.6</v>
      </c>
      <c r="D10" s="290" t="s">
        <v>71</v>
      </c>
      <c r="E10" s="272" t="s">
        <v>535</v>
      </c>
    </row>
    <row r="11" customFormat="false" ht="15" hidden="false" customHeight="true" outlineLevel="0" collapsed="false">
      <c r="A11" s="269" t="n">
        <v>2</v>
      </c>
      <c r="B11" s="150" t="s">
        <v>536</v>
      </c>
      <c r="C11" s="289" t="n">
        <v>0.15</v>
      </c>
      <c r="D11" s="290" t="s">
        <v>71</v>
      </c>
      <c r="E11" s="272" t="s">
        <v>537</v>
      </c>
    </row>
    <row r="12" customFormat="false" ht="15" hidden="false" customHeight="true" outlineLevel="0" collapsed="false">
      <c r="A12" s="269" t="n">
        <v>3</v>
      </c>
      <c r="B12" s="150" t="s">
        <v>538</v>
      </c>
      <c r="C12" s="289" t="n">
        <v>0.15</v>
      </c>
      <c r="D12" s="290" t="s">
        <v>71</v>
      </c>
      <c r="E12" s="272" t="s">
        <v>539</v>
      </c>
    </row>
    <row r="13" customFormat="false" ht="15" hidden="false" customHeight="true" outlineLevel="0" collapsed="false">
      <c r="A13" s="269" t="n">
        <v>4</v>
      </c>
      <c r="B13" s="150" t="s">
        <v>540</v>
      </c>
      <c r="C13" s="289" t="n">
        <v>0.1</v>
      </c>
      <c r="D13" s="290" t="s">
        <v>71</v>
      </c>
      <c r="E13" s="272" t="s">
        <v>541</v>
      </c>
    </row>
    <row r="14" customFormat="false" ht="15" hidden="false" customHeight="true" outlineLevel="0" collapsed="false">
      <c r="A14" s="269" t="n">
        <v>5</v>
      </c>
      <c r="B14" s="150" t="s">
        <v>542</v>
      </c>
      <c r="C14" s="289" t="n">
        <v>0.25</v>
      </c>
      <c r="D14" s="290" t="s">
        <v>71</v>
      </c>
      <c r="E14" s="272" t="s">
        <v>543</v>
      </c>
    </row>
    <row r="15" customFormat="false" ht="15" hidden="false" customHeight="true" outlineLevel="0" collapsed="false">
      <c r="A15" s="269" t="n">
        <v>6</v>
      </c>
      <c r="B15" s="150" t="s">
        <v>544</v>
      </c>
      <c r="C15" s="289" t="n">
        <v>0.05</v>
      </c>
      <c r="D15" s="290" t="s">
        <v>71</v>
      </c>
      <c r="E15" s="272" t="s">
        <v>545</v>
      </c>
    </row>
    <row r="16" customFormat="false" ht="15" hidden="false" customHeight="true" outlineLevel="0" collapsed="false">
      <c r="A16" s="269" t="n">
        <v>7</v>
      </c>
      <c r="B16" s="150" t="s">
        <v>546</v>
      </c>
      <c r="C16" s="289" t="n">
        <v>261.15</v>
      </c>
      <c r="D16" s="290" t="s">
        <v>547</v>
      </c>
      <c r="E16" s="272" t="s">
        <v>548</v>
      </c>
    </row>
    <row r="17" customFormat="false" ht="15" hidden="false" customHeight="true" outlineLevel="0" collapsed="false">
      <c r="A17" s="269" t="n">
        <v>8</v>
      </c>
      <c r="B17" s="150" t="s">
        <v>549</v>
      </c>
      <c r="C17" s="289" t="n">
        <v>0.25</v>
      </c>
      <c r="D17" s="290" t="s">
        <v>71</v>
      </c>
      <c r="E17" s="272" t="s">
        <v>550</v>
      </c>
    </row>
    <row r="18" customFormat="false" ht="15" hidden="false" customHeight="true" outlineLevel="0" collapsed="false">
      <c r="A18" s="269" t="n">
        <v>9</v>
      </c>
      <c r="B18" s="150" t="s">
        <v>551</v>
      </c>
      <c r="C18" s="289" t="n">
        <v>1</v>
      </c>
      <c r="D18" s="290" t="s">
        <v>71</v>
      </c>
      <c r="E18" s="272" t="s">
        <v>552</v>
      </c>
    </row>
    <row r="19" customFormat="false" ht="15" hidden="false" customHeight="true" outlineLevel="0" collapsed="false">
      <c r="A19" s="269" t="n">
        <v>10</v>
      </c>
      <c r="B19" s="150" t="s">
        <v>553</v>
      </c>
      <c r="C19" s="289" t="n">
        <v>0.04</v>
      </c>
      <c r="D19" s="290" t="s">
        <v>71</v>
      </c>
      <c r="E19" s="272" t="s">
        <v>554</v>
      </c>
    </row>
    <row r="20" customFormat="false" ht="15" hidden="false" customHeight="true" outlineLevel="0" collapsed="false">
      <c r="A20" s="269" t="n">
        <v>11</v>
      </c>
      <c r="B20" s="150" t="s">
        <v>555</v>
      </c>
      <c r="C20" s="289" t="n">
        <v>0.56</v>
      </c>
      <c r="D20" s="290" t="s">
        <v>503</v>
      </c>
      <c r="E20" s="272" t="s">
        <v>556</v>
      </c>
    </row>
    <row r="21" customFormat="false" ht="15" hidden="false" customHeight="true" outlineLevel="0" collapsed="false">
      <c r="A21" s="269" t="n">
        <v>12</v>
      </c>
      <c r="B21" s="150" t="s">
        <v>557</v>
      </c>
      <c r="C21" s="289" t="n">
        <v>0.994</v>
      </c>
      <c r="D21" s="290" t="s">
        <v>503</v>
      </c>
      <c r="E21" s="272" t="s">
        <v>558</v>
      </c>
    </row>
    <row r="22" customFormat="false" ht="15" hidden="false" customHeight="true" outlineLevel="0" collapsed="false">
      <c r="A22" s="269" t="n">
        <v>13</v>
      </c>
      <c r="B22" s="150" t="s">
        <v>559</v>
      </c>
      <c r="C22" s="289" t="n">
        <v>0.4</v>
      </c>
      <c r="D22" s="290" t="s">
        <v>71</v>
      </c>
      <c r="E22" s="272" t="s">
        <v>560</v>
      </c>
    </row>
    <row r="23" customFormat="false" ht="15" hidden="false" customHeight="true" outlineLevel="0" collapsed="false">
      <c r="A23" s="269" t="n">
        <v>14</v>
      </c>
      <c r="B23" s="150" t="s">
        <v>561</v>
      </c>
      <c r="C23" s="289" t="n">
        <v>9</v>
      </c>
      <c r="D23" s="290" t="s">
        <v>71</v>
      </c>
      <c r="E23" s="272" t="s">
        <v>562</v>
      </c>
    </row>
    <row r="24" customFormat="false" ht="15" hidden="false" customHeight="true" outlineLevel="0" collapsed="false">
      <c r="A24" s="269" t="n">
        <v>15</v>
      </c>
      <c r="B24" s="150" t="s">
        <v>563</v>
      </c>
      <c r="C24" s="289" t="n">
        <v>0.3</v>
      </c>
      <c r="D24" s="290" t="s">
        <v>71</v>
      </c>
      <c r="E24" s="272" t="s">
        <v>564</v>
      </c>
    </row>
    <row r="25" customFormat="false" ht="15" hidden="false" customHeight="true" outlineLevel="0" collapsed="false">
      <c r="A25" s="269" t="n">
        <v>16</v>
      </c>
      <c r="B25" s="150" t="s">
        <v>510</v>
      </c>
      <c r="C25" s="291" t="n">
        <f aca="false">PARAMETROS!$B$16</f>
        <v>1.2</v>
      </c>
      <c r="D25" s="290" t="s">
        <v>511</v>
      </c>
      <c r="E25" s="272" t="s">
        <v>565</v>
      </c>
    </row>
    <row r="26" customFormat="false" ht="15" hidden="false" customHeight="true" outlineLevel="0" collapsed="false">
      <c r="A26" s="269" t="n">
        <v>17</v>
      </c>
      <c r="B26" s="150" t="s">
        <v>566</v>
      </c>
      <c r="C26" s="289" t="n">
        <v>0.2</v>
      </c>
      <c r="D26" s="290" t="s">
        <v>71</v>
      </c>
      <c r="E26" s="272" t="s">
        <v>567</v>
      </c>
    </row>
    <row r="27" customFormat="false" ht="15" hidden="false" customHeight="true" outlineLevel="0" collapsed="false">
      <c r="A27" s="269" t="n">
        <v>18</v>
      </c>
      <c r="B27" s="150" t="s">
        <v>568</v>
      </c>
      <c r="C27" s="289" t="n">
        <v>0.15</v>
      </c>
      <c r="D27" s="290" t="s">
        <v>71</v>
      </c>
      <c r="E27" s="272" t="s">
        <v>569</v>
      </c>
    </row>
    <row r="28" customFormat="false" ht="15" hidden="false" customHeight="true" outlineLevel="0" collapsed="false">
      <c r="A28" s="269" t="n">
        <v>19</v>
      </c>
      <c r="B28" s="150" t="s">
        <v>570</v>
      </c>
      <c r="C28" s="289" t="n">
        <v>0.25</v>
      </c>
      <c r="D28" s="290" t="s">
        <v>71</v>
      </c>
      <c r="E28" s="272" t="s">
        <v>567</v>
      </c>
    </row>
    <row r="29" customFormat="false" ht="15" hidden="false" customHeight="true" outlineLevel="0" collapsed="false">
      <c r="A29" s="269" t="n">
        <v>20</v>
      </c>
      <c r="B29" s="150" t="s">
        <v>571</v>
      </c>
      <c r="C29" s="289" t="n">
        <v>0.2</v>
      </c>
      <c r="D29" s="290" t="s">
        <v>71</v>
      </c>
      <c r="E29" s="272" t="s">
        <v>569</v>
      </c>
    </row>
    <row r="30" customFormat="false" ht="27.75" hidden="false" customHeight="true" outlineLevel="0" collapsed="false">
      <c r="A30" s="269" t="n">
        <v>21</v>
      </c>
      <c r="B30" s="150" t="s">
        <v>572</v>
      </c>
      <c r="C30" s="289" t="n">
        <v>11</v>
      </c>
      <c r="D30" s="290" t="s">
        <v>60</v>
      </c>
      <c r="E30" s="272" t="s">
        <v>573</v>
      </c>
    </row>
    <row r="31" customFormat="false" ht="15" hidden="false" customHeight="true" outlineLevel="0" collapsed="false">
      <c r="A31" s="269" t="n">
        <v>22</v>
      </c>
      <c r="B31" s="150" t="s">
        <v>574</v>
      </c>
      <c r="C31" s="289" t="n">
        <v>0.68</v>
      </c>
      <c r="D31" s="290" t="s">
        <v>71</v>
      </c>
      <c r="E31" s="272" t="s">
        <v>575</v>
      </c>
    </row>
    <row r="32" customFormat="false" ht="15" hidden="false" customHeight="true" outlineLevel="0" collapsed="false">
      <c r="A32" s="269" t="n">
        <v>23</v>
      </c>
      <c r="B32" s="150" t="s">
        <v>576</v>
      </c>
      <c r="C32" s="289" t="n">
        <v>0.08</v>
      </c>
      <c r="D32" s="290" t="s">
        <v>71</v>
      </c>
      <c r="E32" s="272" t="s">
        <v>575</v>
      </c>
    </row>
    <row r="33" customFormat="false" ht="15" hidden="false" customHeight="true" outlineLevel="0" collapsed="false">
      <c r="A33" s="269" t="n">
        <v>24</v>
      </c>
      <c r="B33" s="150" t="s">
        <v>577</v>
      </c>
      <c r="C33" s="289" t="n">
        <v>0.7</v>
      </c>
      <c r="D33" s="290" t="s">
        <v>71</v>
      </c>
      <c r="E33" s="272" t="s">
        <v>575</v>
      </c>
    </row>
    <row r="34" customFormat="false" ht="15" hidden="false" customHeight="true" outlineLevel="0" collapsed="false">
      <c r="A34" s="269" t="n">
        <v>25</v>
      </c>
      <c r="B34" s="150" t="s">
        <v>871</v>
      </c>
      <c r="C34" s="289" t="n">
        <v>2.8</v>
      </c>
      <c r="D34" s="290" t="s">
        <v>71</v>
      </c>
      <c r="E34" s="272" t="s">
        <v>575</v>
      </c>
    </row>
    <row r="35" customFormat="false" ht="15" hidden="false" customHeight="true" outlineLevel="0" collapsed="false">
      <c r="A35" s="269" t="n">
        <v>26</v>
      </c>
      <c r="B35" s="150" t="s">
        <v>579</v>
      </c>
      <c r="C35" s="289" t="n">
        <v>2.72</v>
      </c>
      <c r="D35" s="290" t="s">
        <v>71</v>
      </c>
      <c r="E35" s="272" t="s">
        <v>575</v>
      </c>
    </row>
    <row r="36" customFormat="false" ht="15" hidden="false" customHeight="true" outlineLevel="0" collapsed="false">
      <c r="A36" s="269" t="n">
        <v>27</v>
      </c>
      <c r="B36" s="150" t="s">
        <v>872</v>
      </c>
      <c r="C36" s="289" t="n">
        <v>1.83</v>
      </c>
      <c r="D36" s="290" t="s">
        <v>503</v>
      </c>
      <c r="E36" s="272" t="s">
        <v>581</v>
      </c>
    </row>
    <row r="37" customFormat="false" ht="15" hidden="false" customHeight="true" outlineLevel="0" collapsed="false">
      <c r="A37" s="269" t="n">
        <v>28</v>
      </c>
      <c r="B37" s="150" t="s">
        <v>873</v>
      </c>
      <c r="C37" s="289" t="n">
        <v>1.83</v>
      </c>
      <c r="D37" s="290" t="s">
        <v>503</v>
      </c>
      <c r="E37" s="272" t="s">
        <v>581</v>
      </c>
    </row>
    <row r="38" customFormat="false" ht="15" hidden="false" customHeight="true" outlineLevel="0" collapsed="false">
      <c r="A38" s="269" t="n">
        <v>29</v>
      </c>
      <c r="B38" s="150" t="s">
        <v>874</v>
      </c>
      <c r="C38" s="289" t="n">
        <v>0.152</v>
      </c>
      <c r="D38" s="290" t="s">
        <v>584</v>
      </c>
      <c r="E38" s="272" t="s">
        <v>587</v>
      </c>
    </row>
    <row r="39" customFormat="false" ht="15" hidden="false" customHeight="true" outlineLevel="0" collapsed="false">
      <c r="A39" s="269" t="n">
        <v>30</v>
      </c>
      <c r="B39" s="150" t="s">
        <v>875</v>
      </c>
      <c r="C39" s="289" t="n">
        <v>0.152</v>
      </c>
      <c r="D39" s="290" t="s">
        <v>584</v>
      </c>
      <c r="E39" s="272" t="s">
        <v>587</v>
      </c>
    </row>
    <row r="40" customFormat="false" ht="15" hidden="false" customHeight="true" outlineLevel="0" collapsed="false">
      <c r="A40" s="269" t="n">
        <v>31</v>
      </c>
      <c r="B40" s="150" t="s">
        <v>588</v>
      </c>
      <c r="C40" s="289" t="n">
        <v>3</v>
      </c>
      <c r="D40" s="290" t="s">
        <v>71</v>
      </c>
      <c r="E40" s="272" t="s">
        <v>589</v>
      </c>
    </row>
    <row r="41" customFormat="false" ht="15" hidden="false" customHeight="true" outlineLevel="0" collapsed="false">
      <c r="A41" s="269" t="n">
        <v>32</v>
      </c>
      <c r="B41" s="150" t="s">
        <v>590</v>
      </c>
      <c r="C41" s="289" t="n">
        <v>0.015</v>
      </c>
      <c r="D41" s="290" t="s">
        <v>186</v>
      </c>
      <c r="E41" s="272" t="s">
        <v>575</v>
      </c>
    </row>
    <row r="42" customFormat="false" ht="15" hidden="false" customHeight="true" outlineLevel="0" collapsed="false">
      <c r="A42" s="269" t="n">
        <v>33</v>
      </c>
      <c r="B42" s="150" t="s">
        <v>591</v>
      </c>
      <c r="C42" s="289" t="n">
        <v>260.2</v>
      </c>
      <c r="D42" s="290" t="s">
        <v>547</v>
      </c>
      <c r="E42" s="272" t="s">
        <v>592</v>
      </c>
    </row>
    <row r="43" customFormat="false" ht="15" hidden="false" customHeight="true" outlineLevel="0" collapsed="false">
      <c r="A43" s="269" t="n">
        <v>34</v>
      </c>
      <c r="B43" s="150" t="s">
        <v>593</v>
      </c>
      <c r="C43" s="289" t="n">
        <v>259.884</v>
      </c>
      <c r="D43" s="290" t="s">
        <v>547</v>
      </c>
      <c r="E43" s="272" t="s">
        <v>594</v>
      </c>
    </row>
    <row r="44" customFormat="false" ht="15" hidden="false" customHeight="true" outlineLevel="0" collapsed="false">
      <c r="A44" s="269" t="n">
        <v>35</v>
      </c>
      <c r="B44" s="150" t="s">
        <v>595</v>
      </c>
      <c r="C44" s="289" t="n">
        <v>4</v>
      </c>
      <c r="D44" s="290" t="s">
        <v>71</v>
      </c>
      <c r="E44" s="272" t="s">
        <v>596</v>
      </c>
    </row>
    <row r="45" customFormat="false" ht="15" hidden="false" customHeight="true" outlineLevel="0" collapsed="false">
      <c r="A45" s="269" t="n">
        <v>36</v>
      </c>
      <c r="B45" s="150" t="s">
        <v>597</v>
      </c>
      <c r="C45" s="289" t="n">
        <v>1.17</v>
      </c>
      <c r="D45" s="290" t="s">
        <v>71</v>
      </c>
      <c r="E45" s="272" t="s">
        <v>598</v>
      </c>
    </row>
    <row r="46" customFormat="false" ht="15" hidden="false" customHeight="true" outlineLevel="0" collapsed="false">
      <c r="A46" s="269" t="n">
        <v>37</v>
      </c>
      <c r="B46" s="150" t="s">
        <v>599</v>
      </c>
      <c r="C46" s="289" t="n">
        <v>105.29</v>
      </c>
      <c r="D46" s="290" t="s">
        <v>71</v>
      </c>
      <c r="E46" s="272" t="s">
        <v>600</v>
      </c>
    </row>
    <row r="47" customFormat="false" ht="15" hidden="false" customHeight="true" outlineLevel="0" collapsed="false">
      <c r="A47" s="269" t="n">
        <v>38</v>
      </c>
      <c r="B47" s="150" t="s">
        <v>601</v>
      </c>
      <c r="C47" s="289" t="n">
        <v>100.9</v>
      </c>
      <c r="D47" s="290" t="s">
        <v>71</v>
      </c>
      <c r="E47" s="272" t="s">
        <v>600</v>
      </c>
    </row>
    <row r="48" customFormat="false" ht="15" hidden="false" customHeight="true" outlineLevel="0" collapsed="false">
      <c r="A48" s="269" t="n">
        <v>39</v>
      </c>
      <c r="B48" s="150" t="s">
        <v>602</v>
      </c>
      <c r="C48" s="289" t="n">
        <v>1.3</v>
      </c>
      <c r="D48" s="290" t="s">
        <v>71</v>
      </c>
      <c r="E48" s="272" t="s">
        <v>603</v>
      </c>
    </row>
  </sheetData>
  <mergeCells count="10">
    <mergeCell ref="A1:F1"/>
    <mergeCell ref="A2:B2"/>
    <mergeCell ref="C2:F2"/>
    <mergeCell ref="A3:B3"/>
    <mergeCell ref="C3:F3"/>
    <mergeCell ref="A4:B4"/>
    <mergeCell ref="C4:F4"/>
    <mergeCell ref="A5:B5"/>
    <mergeCell ref="C5:F5"/>
    <mergeCell ref="A7:F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9" topLeftCell="C10" activePane="bottomRight" state="frozen"/>
      <selection pane="topLeft" activeCell="A1" activeCellId="0" sqref="A1"/>
      <selection pane="topRight" activeCell="C1" activeCellId="0" sqref="C1"/>
      <selection pane="bottomLeft" activeCell="A10" activeCellId="0" sqref="A10"/>
      <selection pane="bottomRight" activeCell="A1" activeCellId="0" sqref="A1"/>
    </sheetView>
  </sheetViews>
  <sheetFormatPr defaultColWidth="8.73046875" defaultRowHeight="14.25"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7" min="3" style="0" width="11"/>
    <col collapsed="false" customWidth="true" hidden="false" outlineLevel="0" max="8" min="8" style="0" width="10"/>
    <col collapsed="false" customWidth="true" hidden="false" outlineLevel="0" max="10" min="9" style="0" width="11"/>
    <col collapsed="false" customWidth="true" hidden="false" outlineLevel="0" max="11" min="11" style="0" width="13"/>
    <col collapsed="false" customWidth="true" hidden="false" outlineLevel="0" max="12" min="12" style="0" width="11"/>
    <col collapsed="false" customWidth="true" hidden="false" outlineLevel="0" max="17" min="13" style="0" width="12"/>
    <col collapsed="false" customWidth="true" hidden="false" outlineLevel="0" max="18" min="18" style="0" width="46"/>
  </cols>
  <sheetData>
    <row r="1" customFormat="false" ht="27" hidden="false" customHeight="true" outlineLevel="0" collapsed="false">
      <c r="A1" s="263" t="s">
        <v>604</v>
      </c>
      <c r="B1" s="263"/>
      <c r="C1" s="263"/>
      <c r="D1" s="263"/>
      <c r="E1" s="263"/>
      <c r="F1" s="263"/>
      <c r="G1" s="263"/>
      <c r="H1" s="263"/>
      <c r="I1" s="263"/>
      <c r="J1" s="263"/>
      <c r="K1" s="263"/>
      <c r="L1" s="263"/>
      <c r="M1" s="263"/>
      <c r="N1" s="263"/>
      <c r="O1" s="263"/>
      <c r="P1" s="263"/>
      <c r="Q1" s="263"/>
      <c r="R1" s="263"/>
    </row>
    <row r="2" customFormat="false" ht="24.75" hidden="false" customHeight="true" outlineLevel="0" collapsed="false">
      <c r="A2" s="264" t="s">
        <v>1</v>
      </c>
      <c r="B2" s="264"/>
      <c r="C2" s="265" t="str">
        <f aca="false">+RESUMEN!B4</f>
        <v>GERENCIA TERRITORIAL BAJO MAYO - TARAPOTO</v>
      </c>
      <c r="D2" s="265"/>
      <c r="E2" s="265"/>
      <c r="F2" s="265"/>
      <c r="G2" s="265"/>
      <c r="H2" s="265"/>
      <c r="I2" s="265"/>
      <c r="J2" s="265"/>
      <c r="K2" s="265"/>
      <c r="L2" s="265"/>
      <c r="M2" s="265"/>
      <c r="N2" s="265"/>
      <c r="O2" s="265"/>
      <c r="P2" s="265"/>
      <c r="Q2" s="265"/>
      <c r="R2" s="265"/>
    </row>
    <row r="3" customFormat="false" ht="58.5" hidden="false" customHeight="true" outlineLevel="0" collapsed="false">
      <c r="A3" s="264" t="s">
        <v>3</v>
      </c>
      <c r="B3" s="264"/>
      <c r="C3" s="265" t="str">
        <f aca="false">+RESUMEN!B5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265"/>
      <c r="E3" s="265"/>
      <c r="F3" s="265"/>
      <c r="G3" s="265"/>
      <c r="H3" s="265"/>
      <c r="I3" s="265"/>
      <c r="J3" s="265"/>
      <c r="K3" s="265"/>
      <c r="L3" s="265"/>
      <c r="M3" s="265"/>
      <c r="N3" s="265"/>
      <c r="O3" s="265"/>
      <c r="P3" s="265"/>
      <c r="Q3" s="265"/>
      <c r="R3" s="265"/>
    </row>
    <row r="4" customFormat="false" ht="24.75" hidden="false" customHeight="true" outlineLevel="0" collapsed="false">
      <c r="A4" s="264" t="s">
        <v>5</v>
      </c>
      <c r="B4" s="264"/>
      <c r="C4" s="265" t="str">
        <f aca="false">+RESUMEN!B6</f>
        <v>SAN MARTIN - SAN MARTIN - MORALES</v>
      </c>
      <c r="D4" s="265"/>
      <c r="E4" s="265"/>
      <c r="F4" s="265"/>
      <c r="G4" s="265"/>
      <c r="H4" s="265"/>
      <c r="I4" s="265"/>
      <c r="J4" s="265"/>
      <c r="K4" s="265"/>
      <c r="L4" s="265"/>
      <c r="M4" s="265"/>
      <c r="N4" s="265"/>
      <c r="O4" s="265"/>
      <c r="P4" s="265"/>
      <c r="Q4" s="265"/>
      <c r="R4" s="265"/>
    </row>
    <row r="5" customFormat="false" ht="24.75" hidden="false" customHeight="true" outlineLevel="0" collapsed="false">
      <c r="A5" s="264" t="s">
        <v>7</v>
      </c>
      <c r="B5" s="264"/>
      <c r="C5" s="266" t="n">
        <f aca="false">+RESUMEN!B7</f>
        <v>46266</v>
      </c>
      <c r="D5" s="266"/>
      <c r="E5" s="266"/>
      <c r="F5" s="266"/>
      <c r="G5" s="266"/>
      <c r="H5" s="266"/>
      <c r="I5" s="266"/>
      <c r="J5" s="266"/>
      <c r="K5" s="266"/>
      <c r="L5" s="266"/>
      <c r="M5" s="266"/>
      <c r="N5" s="266"/>
      <c r="O5" s="266"/>
      <c r="P5" s="266"/>
      <c r="Q5" s="266"/>
      <c r="R5" s="266"/>
    </row>
    <row r="7" customFormat="false" ht="48" hidden="false" customHeight="true" outlineLevel="0" collapsed="false">
      <c r="A7" s="267" t="s">
        <v>605</v>
      </c>
      <c r="B7" s="267"/>
      <c r="C7" s="267"/>
      <c r="D7" s="267"/>
      <c r="E7" s="267"/>
      <c r="F7" s="267"/>
      <c r="G7" s="267"/>
      <c r="H7" s="267"/>
      <c r="I7" s="267"/>
      <c r="J7" s="267"/>
      <c r="K7" s="267"/>
      <c r="L7" s="267"/>
      <c r="M7" s="267"/>
      <c r="N7" s="267"/>
      <c r="O7" s="267"/>
      <c r="P7" s="267"/>
      <c r="Q7" s="267"/>
      <c r="R7" s="267"/>
    </row>
    <row r="9" customFormat="false" ht="48" hidden="false" customHeight="true" outlineLevel="0" collapsed="false">
      <c r="A9" s="268" t="s">
        <v>309</v>
      </c>
      <c r="B9" s="268" t="s">
        <v>311</v>
      </c>
      <c r="C9" s="268" t="s">
        <v>606</v>
      </c>
      <c r="D9" s="268" t="s">
        <v>607</v>
      </c>
      <c r="E9" s="268" t="s">
        <v>608</v>
      </c>
      <c r="F9" s="268" t="s">
        <v>266</v>
      </c>
      <c r="G9" s="268" t="s">
        <v>609</v>
      </c>
      <c r="H9" s="268" t="s">
        <v>610</v>
      </c>
      <c r="I9" s="268" t="s">
        <v>611</v>
      </c>
      <c r="J9" s="268" t="s">
        <v>612</v>
      </c>
      <c r="K9" s="268" t="s">
        <v>613</v>
      </c>
      <c r="L9" s="268" t="s">
        <v>614</v>
      </c>
      <c r="M9" s="268" t="s">
        <v>615</v>
      </c>
      <c r="N9" s="268" t="s">
        <v>616</v>
      </c>
      <c r="O9" s="268" t="s">
        <v>617</v>
      </c>
      <c r="P9" s="268" t="s">
        <v>618</v>
      </c>
      <c r="Q9" s="268" t="s">
        <v>619</v>
      </c>
      <c r="R9" s="268" t="s">
        <v>483</v>
      </c>
    </row>
    <row r="10" customFormat="false" ht="30" hidden="false" customHeight="true" outlineLevel="0" collapsed="false">
      <c r="A10" s="269" t="n">
        <v>1</v>
      </c>
      <c r="B10" s="269" t="s">
        <v>620</v>
      </c>
      <c r="C10" s="292" t="s">
        <v>621</v>
      </c>
      <c r="D10" s="269" t="s">
        <v>622</v>
      </c>
      <c r="E10" s="269" t="s">
        <v>623</v>
      </c>
      <c r="F10" s="270" t="n">
        <v>6.08</v>
      </c>
      <c r="G10" s="289" t="n">
        <v>0.709</v>
      </c>
      <c r="H10" s="270" t="n">
        <v>0.25</v>
      </c>
      <c r="I10" s="271" t="n">
        <f aca="false">'COLECTOR PARAMETROS'!$C$10+2*'COLECTOR PARAMETROS'!$C$11</f>
        <v>0.9</v>
      </c>
      <c r="J10" s="271" t="n">
        <f aca="false">I10+2*'COLECTOR PARAMETROS'!$C$17</f>
        <v>1.4</v>
      </c>
      <c r="K10" s="289" t="n">
        <v>1.209</v>
      </c>
      <c r="L10" s="289" t="n">
        <v>0</v>
      </c>
      <c r="M10" s="271" t="n">
        <f aca="false">J10*F10</f>
        <v>8.512</v>
      </c>
      <c r="N10" s="271" t="n">
        <f aca="false">J10*K10*F10</f>
        <v>10.291008</v>
      </c>
      <c r="O10" s="271" t="n">
        <f aca="false">(I10+0.1)*F10</f>
        <v>6.08</v>
      </c>
      <c r="P10" s="271" t="n">
        <f aca="false">2*'COLECTOR PARAMETROS'!$C$17*K10*F10</f>
        <v>3.67536</v>
      </c>
      <c r="Q10" s="271" t="n">
        <f aca="false">'COLECTOR PARAMETROS'!$C$18*L10*F10</f>
        <v>0.0</v>
      </c>
      <c r="R10" s="272" t="s">
        <v>624</v>
      </c>
    </row>
    <row r="11" customFormat="false" ht="30" hidden="false" customHeight="true" outlineLevel="0" collapsed="false">
      <c r="A11" s="269" t="n">
        <v>2</v>
      </c>
      <c r="B11" s="269" t="s">
        <v>625</v>
      </c>
      <c r="C11" s="292" t="s">
        <v>626</v>
      </c>
      <c r="D11" s="269" t="s">
        <v>623</v>
      </c>
      <c r="E11" s="269" t="s">
        <v>627</v>
      </c>
      <c r="F11" s="270" t="n">
        <v>94.82</v>
      </c>
      <c r="G11" s="289" t="n">
        <v>1.01</v>
      </c>
      <c r="H11" s="270" t="n">
        <v>0.1</v>
      </c>
      <c r="I11" s="271" t="n">
        <f aca="false">'COLECTOR PARAMETROS'!$C$10+2*'COLECTOR PARAMETROS'!$C$11</f>
        <v>0.9</v>
      </c>
      <c r="J11" s="271" t="n">
        <f aca="false">I11+2*'COLECTOR PARAMETROS'!$C$17</f>
        <v>1.4</v>
      </c>
      <c r="K11" s="289" t="n">
        <v>0.876</v>
      </c>
      <c r="L11" s="289" t="n">
        <v>0.436</v>
      </c>
      <c r="M11" s="271" t="n">
        <f aca="false">J11*F11</f>
        <v>132.748</v>
      </c>
      <c r="N11" s="271" t="n">
        <f aca="false">J11*K11*F11</f>
        <v>116.287248</v>
      </c>
      <c r="O11" s="271" t="n">
        <f aca="false">(I11+0.1)*F11</f>
        <v>94.82</v>
      </c>
      <c r="P11" s="271" t="n">
        <f aca="false">2*'COLECTOR PARAMETROS'!$C$17*K11*F11</f>
        <v>41.53116</v>
      </c>
      <c r="Q11" s="271" t="n">
        <f aca="false">'COLECTOR PARAMETROS'!$C$18*L11*F11</f>
        <v>41.34152</v>
      </c>
      <c r="R11" s="272" t="s">
        <v>624</v>
      </c>
    </row>
    <row r="12" customFormat="false" ht="30" hidden="false" customHeight="true" outlineLevel="0" collapsed="false">
      <c r="A12" s="269" t="n">
        <v>3</v>
      </c>
      <c r="B12" s="269" t="s">
        <v>628</v>
      </c>
      <c r="C12" s="292" t="s">
        <v>626</v>
      </c>
      <c r="D12" s="269" t="s">
        <v>627</v>
      </c>
      <c r="E12" s="269" t="s">
        <v>629</v>
      </c>
      <c r="F12" s="270" t="n">
        <v>4.39</v>
      </c>
      <c r="G12" s="289" t="n">
        <v>1.159</v>
      </c>
      <c r="H12" s="270" t="n">
        <v>0.1</v>
      </c>
      <c r="I12" s="271" t="n">
        <f aca="false">'COLECTOR PARAMETROS'!$C$10+2*'COLECTOR PARAMETROS'!$C$11</f>
        <v>0.9</v>
      </c>
      <c r="J12" s="271" t="n">
        <f aca="false">I12+2*'COLECTOR PARAMETROS'!$C$17</f>
        <v>1.4</v>
      </c>
      <c r="K12" s="289" t="n">
        <v>0.658</v>
      </c>
      <c r="L12" s="289" t="n">
        <v>0.802</v>
      </c>
      <c r="M12" s="271" t="n">
        <f aca="false">J12*F12</f>
        <v>6.146</v>
      </c>
      <c r="N12" s="271" t="n">
        <f aca="false">J12*K12*F12</f>
        <v>4.044068</v>
      </c>
      <c r="O12" s="271" t="n">
        <f aca="false">(I12+0.1)*F12</f>
        <v>4.39</v>
      </c>
      <c r="P12" s="271" t="n">
        <f aca="false">2*'COLECTOR PARAMETROS'!$C$17*K12*F12</f>
        <v>1.44431</v>
      </c>
      <c r="Q12" s="271" t="n">
        <f aca="false">'COLECTOR PARAMETROS'!$C$18*L12*F12</f>
        <v>3.52078</v>
      </c>
      <c r="R12" s="272" t="s">
        <v>624</v>
      </c>
    </row>
    <row r="13" customFormat="false" ht="21.75" hidden="false" customHeight="true" outlineLevel="0" collapsed="false">
      <c r="A13" s="293" t="s">
        <v>630</v>
      </c>
      <c r="B13" s="294"/>
      <c r="C13" s="294"/>
      <c r="D13" s="294"/>
      <c r="E13" s="294"/>
      <c r="F13" s="295" t="n">
        <f aca="false">SUM(F10:F12)</f>
        <v>105.29</v>
      </c>
      <c r="G13" s="294"/>
      <c r="H13" s="294"/>
      <c r="I13" s="294"/>
      <c r="J13" s="294"/>
      <c r="K13" s="294"/>
      <c r="L13" s="294"/>
      <c r="M13" s="295" t="n">
        <f aca="false">SUM(M10:M12)</f>
        <v>147.406</v>
      </c>
      <c r="N13" s="295" t="n">
        <f aca="false">SUM(N10:N12)</f>
        <v>130.622324</v>
      </c>
      <c r="O13" s="295" t="n">
        <f aca="false">SUM(O10:O12)</f>
        <v>105.29</v>
      </c>
      <c r="P13" s="295" t="n">
        <f aca="false">SUM(P10:P12)</f>
        <v>46.65083</v>
      </c>
      <c r="Q13" s="295" t="n">
        <f aca="false">SUM(Q10:Q12)</f>
        <v>44.8623</v>
      </c>
      <c r="R13" s="294"/>
    </row>
    <row r="15" customFormat="false" ht="19.5" hidden="false" customHeight="true" outlineLevel="0" collapsed="false">
      <c r="A15" s="296" t="s">
        <v>631</v>
      </c>
      <c r="B15" s="296"/>
      <c r="C15" s="296"/>
      <c r="D15" s="296"/>
      <c r="E15" s="296"/>
      <c r="F15" s="296"/>
      <c r="G15" s="296"/>
      <c r="H15" s="296"/>
      <c r="I15" s="296"/>
      <c r="J15" s="296"/>
      <c r="K15" s="296"/>
      <c r="L15" s="296"/>
      <c r="M15" s="296"/>
      <c r="N15" s="296"/>
      <c r="O15" s="296"/>
      <c r="P15" s="296"/>
      <c r="Q15" s="296"/>
      <c r="R15" s="296"/>
    </row>
    <row r="16" customFormat="false" ht="21.75" hidden="false" customHeight="true" outlineLevel="0" collapsed="false">
      <c r="A16" s="269" t="n">
        <v>1</v>
      </c>
      <c r="B16" s="297" t="s">
        <v>632</v>
      </c>
      <c r="C16" s="297"/>
      <c r="D16" s="297"/>
      <c r="E16" s="297"/>
      <c r="F16" s="290" t="s">
        <v>186</v>
      </c>
      <c r="G16" s="298" t="n">
        <f aca="false">M13</f>
        <v>147.406</v>
      </c>
    </row>
    <row r="17" customFormat="false" ht="21.75" hidden="false" customHeight="true" outlineLevel="0" collapsed="false">
      <c r="A17" s="269" t="n">
        <v>2</v>
      </c>
      <c r="B17" s="297" t="s">
        <v>633</v>
      </c>
      <c r="C17" s="297"/>
      <c r="D17" s="297"/>
      <c r="E17" s="297"/>
      <c r="F17" s="290" t="s">
        <v>185</v>
      </c>
      <c r="G17" s="298" t="n">
        <f aca="false">N13</f>
        <v>130.622324</v>
      </c>
    </row>
    <row r="18" customFormat="false" ht="21.75" hidden="false" customHeight="true" outlineLevel="0" collapsed="false">
      <c r="A18" s="269" t="n">
        <v>3</v>
      </c>
      <c r="B18" s="297" t="s">
        <v>634</v>
      </c>
      <c r="C18" s="297"/>
      <c r="D18" s="297"/>
      <c r="E18" s="297"/>
      <c r="F18" s="290" t="s">
        <v>186</v>
      </c>
      <c r="G18" s="298" t="n">
        <f aca="false">O13</f>
        <v>105.29</v>
      </c>
    </row>
    <row r="19" customFormat="false" ht="21.75" hidden="false" customHeight="true" outlineLevel="0" collapsed="false">
      <c r="A19" s="269" t="n">
        <v>4</v>
      </c>
      <c r="B19" s="297" t="s">
        <v>635</v>
      </c>
      <c r="C19" s="297"/>
      <c r="D19" s="297"/>
      <c r="E19" s="297"/>
      <c r="F19" s="290" t="s">
        <v>185</v>
      </c>
      <c r="G19" s="298" t="n">
        <f aca="false">P13+Q13</f>
        <v>91.51313</v>
      </c>
    </row>
    <row r="20" customFormat="false" ht="21.75" hidden="false" customHeight="true" outlineLevel="0" collapsed="false">
      <c r="A20" s="269" t="n">
        <v>5</v>
      </c>
      <c r="B20" s="297" t="s">
        <v>636</v>
      </c>
      <c r="C20" s="297"/>
      <c r="D20" s="297"/>
      <c r="E20" s="297"/>
      <c r="F20" s="290" t="s">
        <v>185</v>
      </c>
      <c r="G20" s="298" t="n">
        <f aca="false">(G17-G19)*'COLECTOR PARAMETROS'!$C$25</f>
        <v>46.9310328</v>
      </c>
    </row>
    <row r="22" customFormat="false" ht="33.75" hidden="false" customHeight="true" outlineLevel="0" collapsed="false">
      <c r="A22" s="273" t="s">
        <v>637</v>
      </c>
      <c r="B22" s="273"/>
      <c r="C22" s="273"/>
      <c r="D22" s="273"/>
      <c r="E22" s="273"/>
      <c r="F22" s="273"/>
      <c r="G22" s="273"/>
      <c r="H22" s="273"/>
      <c r="I22" s="273"/>
      <c r="J22" s="273"/>
      <c r="K22" s="273"/>
      <c r="L22" s="273"/>
      <c r="M22" s="273"/>
      <c r="N22" s="273"/>
      <c r="O22" s="273"/>
      <c r="P22" s="273"/>
      <c r="Q22" s="273"/>
      <c r="R22" s="273"/>
    </row>
  </sheetData>
  <mergeCells count="17">
    <mergeCell ref="A1:R1"/>
    <mergeCell ref="A2:B2"/>
    <mergeCell ref="C2:R2"/>
    <mergeCell ref="A3:B3"/>
    <mergeCell ref="C3:R3"/>
    <mergeCell ref="A4:B4"/>
    <mergeCell ref="C4:R4"/>
    <mergeCell ref="A5:B5"/>
    <mergeCell ref="C5:R5"/>
    <mergeCell ref="A7:R7"/>
    <mergeCell ref="A15:R15"/>
    <mergeCell ref="B16:E16"/>
    <mergeCell ref="B17:E17"/>
    <mergeCell ref="B18:E18"/>
    <mergeCell ref="B19:E19"/>
    <mergeCell ref="B20:E20"/>
    <mergeCell ref="A22:R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9" topLeftCell="C10" activePane="bottomRight" state="frozen"/>
      <selection pane="topLeft" activeCell="A1" activeCellId="0" sqref="A1"/>
      <selection pane="topRight" activeCell="C1" activeCellId="0" sqref="C1"/>
      <selection pane="bottomLeft" activeCell="A10" activeCellId="0" sqref="A10"/>
      <selection pane="bottomRight" activeCell="A1" activeCellId="0" sqref="A1"/>
    </sheetView>
  </sheetViews>
  <sheetFormatPr defaultColWidth="8.73046875" defaultRowHeight="14.25"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5" min="3" style="0" width="11"/>
    <col collapsed="false" customWidth="true" hidden="false" outlineLevel="0" max="7" min="6" style="0" width="10"/>
    <col collapsed="false" customWidth="true" hidden="false" outlineLevel="0" max="13" min="8" style="0" width="12"/>
    <col collapsed="false" customWidth="true" hidden="false" outlineLevel="0" max="14" min="14" style="0" width="46"/>
  </cols>
  <sheetData>
    <row r="1" customFormat="false" ht="27" hidden="false" customHeight="true" outlineLevel="0" collapsed="false">
      <c r="A1" s="263" t="s">
        <v>638</v>
      </c>
      <c r="B1" s="263"/>
      <c r="C1" s="263"/>
      <c r="D1" s="263"/>
      <c r="E1" s="263"/>
      <c r="F1" s="263"/>
      <c r="G1" s="263"/>
      <c r="H1" s="263"/>
      <c r="I1" s="263"/>
      <c r="J1" s="263"/>
      <c r="K1" s="263"/>
      <c r="L1" s="263"/>
      <c r="M1" s="263"/>
      <c r="N1" s="263"/>
    </row>
    <row r="2" customFormat="false" ht="24.75" hidden="false" customHeight="true" outlineLevel="0" collapsed="false">
      <c r="A2" s="264" t="s">
        <v>1</v>
      </c>
      <c r="B2" s="264"/>
      <c r="C2" s="265" t="str">
        <f aca="false">+RESUMEN!B4</f>
        <v>GERENCIA TERRITORIAL BAJO MAYO - TARAPOTO</v>
      </c>
      <c r="D2" s="265"/>
      <c r="E2" s="265"/>
      <c r="F2" s="265"/>
      <c r="G2" s="265"/>
      <c r="H2" s="265"/>
      <c r="I2" s="265"/>
      <c r="J2" s="265"/>
      <c r="K2" s="265"/>
      <c r="L2" s="265"/>
      <c r="M2" s="265"/>
      <c r="N2" s="265"/>
    </row>
    <row r="3" customFormat="false" ht="58.5" hidden="false" customHeight="true" outlineLevel="0" collapsed="false">
      <c r="A3" s="264" t="s">
        <v>3</v>
      </c>
      <c r="B3" s="264"/>
      <c r="C3" s="265" t="str">
        <f aca="false">+RESUMEN!B5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265"/>
      <c r="E3" s="265"/>
      <c r="F3" s="265"/>
      <c r="G3" s="265"/>
      <c r="H3" s="265"/>
      <c r="I3" s="265"/>
      <c r="J3" s="265"/>
      <c r="K3" s="265"/>
      <c r="L3" s="265"/>
      <c r="M3" s="265"/>
      <c r="N3" s="265"/>
    </row>
    <row r="4" customFormat="false" ht="24.75" hidden="false" customHeight="true" outlineLevel="0" collapsed="false">
      <c r="A4" s="264" t="s">
        <v>5</v>
      </c>
      <c r="B4" s="264"/>
      <c r="C4" s="265" t="str">
        <f aca="false">+RESUMEN!B6</f>
        <v>SAN MARTIN - SAN MARTIN - MORALES</v>
      </c>
      <c r="D4" s="265"/>
      <c r="E4" s="265"/>
      <c r="F4" s="265"/>
      <c r="G4" s="265"/>
      <c r="H4" s="265"/>
      <c r="I4" s="265"/>
      <c r="J4" s="265"/>
      <c r="K4" s="265"/>
      <c r="L4" s="265"/>
      <c r="M4" s="265"/>
      <c r="N4" s="265"/>
    </row>
    <row r="5" customFormat="false" ht="24.75" hidden="false" customHeight="true" outlineLevel="0" collapsed="false">
      <c r="A5" s="264" t="s">
        <v>7</v>
      </c>
      <c r="B5" s="264"/>
      <c r="C5" s="266" t="n">
        <f aca="false">+RESUMEN!B7</f>
        <v>46266</v>
      </c>
      <c r="D5" s="266"/>
      <c r="E5" s="266"/>
      <c r="F5" s="266"/>
      <c r="G5" s="266"/>
      <c r="H5" s="266"/>
      <c r="I5" s="266"/>
      <c r="J5" s="266"/>
      <c r="K5" s="266"/>
      <c r="L5" s="266"/>
      <c r="M5" s="266"/>
      <c r="N5" s="266"/>
    </row>
    <row r="7" customFormat="false" ht="48" hidden="false" customHeight="true" outlineLevel="0" collapsed="false">
      <c r="A7" s="267" t="s">
        <v>639</v>
      </c>
      <c r="B7" s="267"/>
      <c r="C7" s="267"/>
      <c r="D7" s="267"/>
      <c r="E7" s="267"/>
      <c r="F7" s="267"/>
      <c r="G7" s="267"/>
      <c r="H7" s="267"/>
      <c r="I7" s="267"/>
      <c r="J7" s="267"/>
      <c r="K7" s="267"/>
      <c r="L7" s="267"/>
      <c r="M7" s="267"/>
      <c r="N7" s="267"/>
    </row>
    <row r="9" customFormat="false" ht="48" hidden="false" customHeight="true" outlineLevel="0" collapsed="false">
      <c r="A9" s="268" t="s">
        <v>309</v>
      </c>
      <c r="B9" s="268" t="s">
        <v>311</v>
      </c>
      <c r="C9" s="268" t="s">
        <v>606</v>
      </c>
      <c r="D9" s="268" t="s">
        <v>266</v>
      </c>
      <c r="E9" s="268" t="s">
        <v>609</v>
      </c>
      <c r="F9" s="268" t="s">
        <v>610</v>
      </c>
      <c r="G9" s="268" t="s">
        <v>640</v>
      </c>
      <c r="H9" s="268" t="s">
        <v>641</v>
      </c>
      <c r="I9" s="268" t="s">
        <v>642</v>
      </c>
      <c r="J9" s="268" t="s">
        <v>643</v>
      </c>
      <c r="K9" s="268" t="s">
        <v>644</v>
      </c>
      <c r="L9" s="268" t="s">
        <v>645</v>
      </c>
      <c r="M9" s="268" t="s">
        <v>646</v>
      </c>
      <c r="N9" s="268" t="s">
        <v>483</v>
      </c>
    </row>
    <row r="10" customFormat="false" ht="30" hidden="false" customHeight="true" outlineLevel="0" collapsed="false">
      <c r="A10" s="269" t="n">
        <v>1</v>
      </c>
      <c r="B10" s="269" t="s">
        <v>620</v>
      </c>
      <c r="C10" s="292" t="s">
        <v>621</v>
      </c>
      <c r="D10" s="271" t="n">
        <f aca="false">'COLECTOR MOV. TIERRAS'!F10</f>
        <v>6.08</v>
      </c>
      <c r="E10" s="291" t="n">
        <f aca="false">'COLECTOR MOV. TIERRAS'!G10</f>
        <v>0.709</v>
      </c>
      <c r="F10" s="271" t="n">
        <f aca="false">'COLECTOR MOV. TIERRAS'!H10</f>
        <v>0.25</v>
      </c>
      <c r="G10" s="271" t="n">
        <f aca="false">'COLECTOR MOV. TIERRAS'!I10</f>
        <v>0.9</v>
      </c>
      <c r="H10" s="271" t="n">
        <f aca="false">(G10+0.1)*D10</f>
        <v>6.08</v>
      </c>
      <c r="I10" s="271" t="n">
        <f aca="false">G10*'COLECTOR PARAMETROS'!$C$12*D10</f>
        <v>0.8208</v>
      </c>
      <c r="J10" s="271" t="n">
        <f aca="false">2*'COLECTOR PARAMETROS'!$C$11*E10*D10</f>
        <v>1.293216</v>
      </c>
      <c r="K10" s="271" t="n">
        <f aca="false">G10*F10*D10</f>
        <v>1.368</v>
      </c>
      <c r="L10" s="271" t="n">
        <f aca="false">G10*D10</f>
        <v>5.472</v>
      </c>
      <c r="M10" s="271" t="n">
        <f aca="false">(2*E10+'COLECTOR PARAMETROS'!$C$10+G10)*D10</f>
        <v>17.74144</v>
      </c>
      <c r="N10" s="272" t="s">
        <v>647</v>
      </c>
    </row>
    <row r="11" customFormat="false" ht="30" hidden="false" customHeight="true" outlineLevel="0" collapsed="false">
      <c r="A11" s="269" t="n">
        <v>2</v>
      </c>
      <c r="B11" s="269" t="s">
        <v>625</v>
      </c>
      <c r="C11" s="292" t="s">
        <v>626</v>
      </c>
      <c r="D11" s="271" t="n">
        <f aca="false">'COLECTOR MOV. TIERRAS'!F11</f>
        <v>94.82</v>
      </c>
      <c r="E11" s="291" t="n">
        <f aca="false">'COLECTOR MOV. TIERRAS'!G11</f>
        <v>1.01</v>
      </c>
      <c r="F11" s="271" t="n">
        <f aca="false">'COLECTOR MOV. TIERRAS'!H11</f>
        <v>0.1</v>
      </c>
      <c r="G11" s="271" t="n">
        <f aca="false">'COLECTOR MOV. TIERRAS'!I11</f>
        <v>0.9</v>
      </c>
      <c r="H11" s="271" t="n">
        <f aca="false">(G11+0.1)*D11</f>
        <v>94.82</v>
      </c>
      <c r="I11" s="271" t="n">
        <f aca="false">G11*'COLECTOR PARAMETROS'!$C$12*D11</f>
        <v>12.8007</v>
      </c>
      <c r="J11" s="271" t="n">
        <f aca="false">2*'COLECTOR PARAMETROS'!$C$11*E11*D11</f>
        <v>28.73046</v>
      </c>
      <c r="K11" s="271" t="n">
        <f aca="false">G11*F11*D11</f>
        <v>8.5338</v>
      </c>
      <c r="L11" s="271" t="n">
        <f aca="false">G11*D11</f>
        <v>85.338</v>
      </c>
      <c r="M11" s="271" t="n">
        <f aca="false">(2*E11+'COLECTOR PARAMETROS'!$C$10+G11)*D11</f>
        <v>333.7664</v>
      </c>
      <c r="N11" s="272" t="s">
        <v>647</v>
      </c>
    </row>
    <row r="12" customFormat="false" ht="30" hidden="false" customHeight="true" outlineLevel="0" collapsed="false">
      <c r="A12" s="269" t="n">
        <v>3</v>
      </c>
      <c r="B12" s="269" t="s">
        <v>628</v>
      </c>
      <c r="C12" s="292" t="s">
        <v>626</v>
      </c>
      <c r="D12" s="271" t="n">
        <f aca="false">'COLECTOR MOV. TIERRAS'!F12</f>
        <v>4.39</v>
      </c>
      <c r="E12" s="291" t="n">
        <f aca="false">'COLECTOR MOV. TIERRAS'!G12</f>
        <v>1.159</v>
      </c>
      <c r="F12" s="271" t="n">
        <f aca="false">'COLECTOR MOV. TIERRAS'!H12</f>
        <v>0.1</v>
      </c>
      <c r="G12" s="271" t="n">
        <f aca="false">'COLECTOR MOV. TIERRAS'!I12</f>
        <v>0.9</v>
      </c>
      <c r="H12" s="271" t="n">
        <f aca="false">(G12+0.1)*D12</f>
        <v>4.39</v>
      </c>
      <c r="I12" s="271" t="n">
        <f aca="false">G12*'COLECTOR PARAMETROS'!$C$12*D12</f>
        <v>0.59265</v>
      </c>
      <c r="J12" s="271" t="n">
        <f aca="false">2*'COLECTOR PARAMETROS'!$C$11*E12*D12</f>
        <v>1.526403</v>
      </c>
      <c r="K12" s="271" t="n">
        <f aca="false">G12*F12*D12</f>
        <v>0.3951</v>
      </c>
      <c r="L12" s="271" t="n">
        <f aca="false">G12*D12</f>
        <v>3.951</v>
      </c>
      <c r="M12" s="271" t="n">
        <f aca="false">(2*E12+'COLECTOR PARAMETROS'!$C$10+G12)*D12</f>
        <v>16.76102</v>
      </c>
      <c r="N12" s="272" t="s">
        <v>647</v>
      </c>
    </row>
    <row r="13" customFormat="false" ht="21.75" hidden="false" customHeight="true" outlineLevel="0" collapsed="false">
      <c r="A13" s="293" t="s">
        <v>648</v>
      </c>
      <c r="B13" s="294"/>
      <c r="C13" s="294"/>
      <c r="D13" s="295" t="n">
        <f aca="false">SUM(D10:D12)</f>
        <v>105.29</v>
      </c>
      <c r="E13" s="294"/>
      <c r="F13" s="294"/>
      <c r="G13" s="294"/>
      <c r="H13" s="295" t="n">
        <f aca="false">SUM(H10:H12)</f>
        <v>105.29</v>
      </c>
      <c r="I13" s="295" t="n">
        <f aca="false">SUM(I10:I12)</f>
        <v>14.21415</v>
      </c>
      <c r="J13" s="295" t="n">
        <f aca="false">SUM(J10:J12)</f>
        <v>31.550079</v>
      </c>
      <c r="K13" s="295" t="n">
        <f aca="false">SUM(K10:K12)</f>
        <v>10.2969</v>
      </c>
      <c r="L13" s="295" t="n">
        <f aca="false">SUM(L10:L12)</f>
        <v>94.761</v>
      </c>
      <c r="M13" s="295" t="n">
        <f aca="false">SUM(M10:M12)</f>
        <v>368.26886</v>
      </c>
      <c r="N13" s="294"/>
    </row>
    <row r="15" customFormat="false" ht="19.5" hidden="false" customHeight="true" outlineLevel="0" collapsed="false">
      <c r="A15" s="296" t="s">
        <v>649</v>
      </c>
      <c r="B15" s="296"/>
      <c r="C15" s="296"/>
      <c r="D15" s="296"/>
      <c r="E15" s="296"/>
      <c r="F15" s="296"/>
      <c r="G15" s="296"/>
      <c r="H15" s="296"/>
      <c r="I15" s="296"/>
      <c r="J15" s="296"/>
      <c r="K15" s="296"/>
      <c r="L15" s="296"/>
      <c r="M15" s="296"/>
      <c r="N15" s="296"/>
    </row>
    <row r="16" customFormat="false" ht="48" hidden="false" customHeight="true" outlineLevel="0" collapsed="false">
      <c r="A16" s="268" t="s">
        <v>309</v>
      </c>
      <c r="B16" s="268" t="s">
        <v>650</v>
      </c>
      <c r="C16" s="268" t="s">
        <v>651</v>
      </c>
      <c r="D16" s="268" t="s">
        <v>652</v>
      </c>
      <c r="E16" s="268" t="s">
        <v>653</v>
      </c>
      <c r="F16" s="268" t="s">
        <v>654</v>
      </c>
      <c r="G16" s="268" t="s">
        <v>237</v>
      </c>
      <c r="H16" s="268" t="s">
        <v>655</v>
      </c>
      <c r="I16" s="268" t="s">
        <v>642</v>
      </c>
      <c r="J16" s="268" t="s">
        <v>643</v>
      </c>
      <c r="K16" s="268" t="s">
        <v>644</v>
      </c>
      <c r="L16" s="268" t="s">
        <v>656</v>
      </c>
      <c r="M16" s="268" t="s">
        <v>646</v>
      </c>
      <c r="N16" s="268" t="s">
        <v>483</v>
      </c>
    </row>
    <row r="17" customFormat="false" ht="30" hidden="false" customHeight="true" outlineLevel="0" collapsed="false">
      <c r="A17" s="269" t="n">
        <v>1</v>
      </c>
      <c r="B17" s="150" t="s">
        <v>657</v>
      </c>
      <c r="C17" s="269" t="s">
        <v>658</v>
      </c>
      <c r="D17" s="271" t="n">
        <f aca="false">'COLECTOR PARAMETROS'!$C$40</f>
        <v>3.0</v>
      </c>
      <c r="E17" s="271" t="n">
        <f aca="false">'COLECTOR PARAMETROS'!$C$41</f>
        <v>0.015</v>
      </c>
      <c r="F17" s="289" t="n">
        <v>1</v>
      </c>
      <c r="G17" s="299" t="n">
        <f aca="false">'COLECTOR PARAMETROS'!$C$30</f>
        <v>11.0</v>
      </c>
      <c r="H17" s="22"/>
      <c r="I17" s="22"/>
      <c r="J17" s="22"/>
      <c r="K17" s="271" t="n">
        <f aca="false">D17*E17*F17*G17</f>
        <v>0.495</v>
      </c>
      <c r="L17" s="22"/>
      <c r="M17" s="22"/>
      <c r="N17" s="272" t="s">
        <v>659</v>
      </c>
    </row>
    <row r="18" customFormat="false" ht="30" hidden="false" customHeight="true" outlineLevel="0" collapsed="false">
      <c r="A18" s="269" t="n">
        <v>2</v>
      </c>
      <c r="B18" s="150" t="s">
        <v>660</v>
      </c>
      <c r="C18" s="269" t="s">
        <v>661</v>
      </c>
      <c r="D18" s="271" t="n">
        <f aca="false">'COLECTOR PARAMETROS'!$C$33</f>
        <v>0.7</v>
      </c>
      <c r="E18" s="271" t="n">
        <f aca="false">'COLECTOR PARAMETROS'!$C$33</f>
        <v>0.7</v>
      </c>
      <c r="F18" s="291" t="n">
        <f aca="false">'COLECTOR PARAMETROS'!$C$13</f>
        <v>0.1</v>
      </c>
      <c r="G18" s="299" t="n">
        <f aca="false">-'COLECTOR PARAMETROS'!$C$30</f>
        <v>-11.0</v>
      </c>
      <c r="H18" s="22"/>
      <c r="I18" s="22"/>
      <c r="J18" s="22"/>
      <c r="K18" s="271" t="n">
        <f aca="false">D18*E18*F18*G18</f>
        <v>-0.539</v>
      </c>
      <c r="L18" s="22"/>
      <c r="M18" s="22"/>
      <c r="N18" s="272" t="s">
        <v>662</v>
      </c>
    </row>
    <row r="19" customFormat="false" ht="21.75" hidden="false" customHeight="true" outlineLevel="0" collapsed="false">
      <c r="A19" s="293" t="s">
        <v>663</v>
      </c>
      <c r="B19" s="294"/>
      <c r="C19" s="294"/>
      <c r="D19" s="294"/>
      <c r="E19" s="294"/>
      <c r="F19" s="294"/>
      <c r="G19" s="294"/>
      <c r="H19" s="295" t="n">
        <f aca="false">SUM(H17:H18)</f>
        <v>0.0</v>
      </c>
      <c r="I19" s="295" t="n">
        <f aca="false">SUM(I17:I18)</f>
        <v>0.0</v>
      </c>
      <c r="J19" s="295" t="n">
        <f aca="false">SUM(J17:J18)</f>
        <v>0.0</v>
      </c>
      <c r="K19" s="295" t="n">
        <f aca="false">SUM(K17:K18)</f>
        <v>-0.0439999999999999</v>
      </c>
      <c r="L19" s="295" t="n">
        <f aca="false">SUM(L17:L18)</f>
        <v>0.0</v>
      </c>
      <c r="M19" s="295" t="n">
        <f aca="false">SUM(M17:M18)</f>
        <v>0.0</v>
      </c>
      <c r="N19" s="294"/>
    </row>
    <row r="21" customFormat="false" ht="19.5" hidden="false" customHeight="true" outlineLevel="0" collapsed="false">
      <c r="A21" s="296" t="s">
        <v>664</v>
      </c>
      <c r="B21" s="296"/>
      <c r="C21" s="296"/>
      <c r="D21" s="296"/>
      <c r="E21" s="296"/>
      <c r="F21" s="296"/>
      <c r="G21" s="296"/>
      <c r="H21" s="296"/>
      <c r="I21" s="296"/>
      <c r="J21" s="296"/>
      <c r="K21" s="296"/>
      <c r="L21" s="296"/>
      <c r="M21" s="296"/>
      <c r="N21" s="296"/>
    </row>
    <row r="22" customFormat="false" ht="21.75" hidden="false" customHeight="true" outlineLevel="0" collapsed="false">
      <c r="A22" s="269" t="n">
        <v>1</v>
      </c>
      <c r="B22" s="297" t="s">
        <v>665</v>
      </c>
      <c r="C22" s="297"/>
      <c r="D22" s="297"/>
      <c r="E22" s="297"/>
      <c r="F22" s="290" t="s">
        <v>186</v>
      </c>
      <c r="G22" s="271" t="n">
        <f aca="false">H13</f>
        <v>105.29</v>
      </c>
      <c r="H22" s="271" t="n">
        <f aca="false">H19</f>
        <v>0.0</v>
      </c>
      <c r="I22" s="298" t="n">
        <f aca="false">G22+H22</f>
        <v>105.29</v>
      </c>
    </row>
    <row r="23" customFormat="false" ht="21.75" hidden="false" customHeight="true" outlineLevel="0" collapsed="false">
      <c r="A23" s="269" t="n">
        <v>2</v>
      </c>
      <c r="B23" s="297" t="s">
        <v>666</v>
      </c>
      <c r="C23" s="297"/>
      <c r="D23" s="297"/>
      <c r="E23" s="297"/>
      <c r="F23" s="290" t="s">
        <v>185</v>
      </c>
      <c r="G23" s="271" t="n">
        <f aca="false">I13</f>
        <v>14.21415</v>
      </c>
      <c r="H23" s="271" t="n">
        <f aca="false">I19</f>
        <v>0.0</v>
      </c>
      <c r="I23" s="298" t="n">
        <f aca="false">G23+H23</f>
        <v>14.21415</v>
      </c>
    </row>
    <row r="24" customFormat="false" ht="21.75" hidden="false" customHeight="true" outlineLevel="0" collapsed="false">
      <c r="A24" s="269" t="n">
        <v>3</v>
      </c>
      <c r="B24" s="297" t="s">
        <v>667</v>
      </c>
      <c r="C24" s="297"/>
      <c r="D24" s="297"/>
      <c r="E24" s="297"/>
      <c r="F24" s="290" t="s">
        <v>185</v>
      </c>
      <c r="G24" s="271" t="n">
        <f aca="false">J13</f>
        <v>31.550079</v>
      </c>
      <c r="H24" s="271" t="n">
        <f aca="false">J19</f>
        <v>0.0</v>
      </c>
      <c r="I24" s="298" t="n">
        <f aca="false">G24+H24</f>
        <v>31.550079</v>
      </c>
    </row>
    <row r="25" customFormat="false" ht="21.75" hidden="false" customHeight="true" outlineLevel="0" collapsed="false">
      <c r="A25" s="269" t="n">
        <v>4</v>
      </c>
      <c r="B25" s="297" t="s">
        <v>668</v>
      </c>
      <c r="C25" s="297"/>
      <c r="D25" s="297"/>
      <c r="E25" s="297"/>
      <c r="F25" s="290" t="s">
        <v>185</v>
      </c>
      <c r="G25" s="271" t="n">
        <f aca="false">K13</f>
        <v>10.2969</v>
      </c>
      <c r="H25" s="271" t="n">
        <f aca="false">K19</f>
        <v>-0.0439999999999999</v>
      </c>
      <c r="I25" s="298" t="n">
        <f aca="false">G25+H25</f>
        <v>10.2529</v>
      </c>
    </row>
    <row r="26" customFormat="false" ht="21.75" hidden="false" customHeight="true" outlineLevel="0" collapsed="false">
      <c r="A26" s="269" t="n">
        <v>5</v>
      </c>
      <c r="B26" s="297" t="s">
        <v>134</v>
      </c>
      <c r="C26" s="297"/>
      <c r="D26" s="297"/>
      <c r="E26" s="297"/>
      <c r="F26" s="290" t="s">
        <v>186</v>
      </c>
      <c r="G26" s="271" t="n">
        <f aca="false">L13</f>
        <v>94.761</v>
      </c>
      <c r="H26" s="271" t="n">
        <f aca="false">L19</f>
        <v>0.0</v>
      </c>
      <c r="I26" s="298" t="n">
        <f aca="false">G26+H26</f>
        <v>94.761</v>
      </c>
    </row>
    <row r="27" customFormat="false" ht="21.75" hidden="false" customHeight="true" outlineLevel="0" collapsed="false">
      <c r="A27" s="269" t="n">
        <v>6</v>
      </c>
      <c r="B27" s="297" t="s">
        <v>669</v>
      </c>
      <c r="C27" s="297"/>
      <c r="D27" s="297"/>
      <c r="E27" s="297"/>
      <c r="F27" s="290" t="s">
        <v>186</v>
      </c>
      <c r="G27" s="271" t="n">
        <f aca="false">M13</f>
        <v>368.26886</v>
      </c>
      <c r="H27" s="271" t="n">
        <f aca="false">M19</f>
        <v>0.0</v>
      </c>
      <c r="I27" s="298" t="n">
        <f aca="false">G27+H27</f>
        <v>368.26886</v>
      </c>
    </row>
  </sheetData>
  <mergeCells count="18">
    <mergeCell ref="A1:N1"/>
    <mergeCell ref="A2:B2"/>
    <mergeCell ref="C2:N2"/>
    <mergeCell ref="A3:B3"/>
    <mergeCell ref="C3:N3"/>
    <mergeCell ref="A4:B4"/>
    <mergeCell ref="C4:N4"/>
    <mergeCell ref="A5:B5"/>
    <mergeCell ref="C5:N5"/>
    <mergeCell ref="A7:N7"/>
    <mergeCell ref="A15:N15"/>
    <mergeCell ref="A21:N21"/>
    <mergeCell ref="B22:E22"/>
    <mergeCell ref="B23:E23"/>
    <mergeCell ref="B24:E24"/>
    <mergeCell ref="B25:E25"/>
    <mergeCell ref="B26:E26"/>
    <mergeCell ref="B27:E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9" topLeftCell="C10" activePane="bottomRight" state="frozen"/>
      <selection pane="topLeft" activeCell="A1" activeCellId="0" sqref="A1"/>
      <selection pane="topRight" activeCell="C1" activeCellId="0" sqref="C1"/>
      <selection pane="bottomLeft" activeCell="A10" activeCellId="0" sqref="A10"/>
      <selection pane="bottomRight" activeCell="A1" activeCellId="0" sqref="A1"/>
    </sheetView>
  </sheetViews>
  <sheetFormatPr defaultColWidth="8.73046875" defaultRowHeight="14.25"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5" min="3" style="0" width="11"/>
    <col collapsed="false" customWidth="true" hidden="false" outlineLevel="0" max="7" min="6" style="0" width="10"/>
    <col collapsed="false" customWidth="true" hidden="false" outlineLevel="0" max="8" min="8" style="0" width="13"/>
    <col collapsed="false" customWidth="true" hidden="false" outlineLevel="0" max="9" min="9" style="0" width="14"/>
    <col collapsed="false" customWidth="true" hidden="false" outlineLevel="0" max="10" min="10" style="0" width="13"/>
    <col collapsed="false" customWidth="true" hidden="false" outlineLevel="0" max="11" min="11" style="0" width="12"/>
    <col collapsed="false" customWidth="true" hidden="false" outlineLevel="0" max="12" min="12" style="0" width="46"/>
  </cols>
  <sheetData>
    <row r="1" customFormat="false" ht="27" hidden="false" customHeight="true" outlineLevel="0" collapsed="false">
      <c r="A1" s="263" t="s">
        <v>670</v>
      </c>
      <c r="B1" s="263"/>
      <c r="C1" s="263"/>
      <c r="D1" s="263"/>
      <c r="E1" s="263"/>
      <c r="F1" s="263"/>
      <c r="G1" s="263"/>
      <c r="H1" s="263"/>
      <c r="I1" s="263"/>
      <c r="J1" s="263"/>
      <c r="K1" s="263"/>
      <c r="L1" s="263"/>
    </row>
    <row r="2" customFormat="false" ht="24.75" hidden="false" customHeight="true" outlineLevel="0" collapsed="false">
      <c r="A2" s="264" t="s">
        <v>1</v>
      </c>
      <c r="B2" s="264"/>
      <c r="C2" s="265" t="str">
        <f aca="false">+RESUMEN!B4</f>
        <v>GERENCIA TERRITORIAL BAJO MAYO - TARAPOTO</v>
      </c>
      <c r="D2" s="265"/>
      <c r="E2" s="265"/>
      <c r="F2" s="265"/>
      <c r="G2" s="265"/>
      <c r="H2" s="265"/>
      <c r="I2" s="265"/>
      <c r="J2" s="265"/>
      <c r="K2" s="265"/>
      <c r="L2" s="265"/>
    </row>
    <row r="3" customFormat="false" ht="58.5" hidden="false" customHeight="true" outlineLevel="0" collapsed="false">
      <c r="A3" s="264" t="s">
        <v>3</v>
      </c>
      <c r="B3" s="264"/>
      <c r="C3" s="265" t="str">
        <f aca="false">+RESUMEN!B5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265"/>
      <c r="E3" s="265"/>
      <c r="F3" s="265"/>
      <c r="G3" s="265"/>
      <c r="H3" s="265"/>
      <c r="I3" s="265"/>
      <c r="J3" s="265"/>
      <c r="K3" s="265"/>
      <c r="L3" s="265"/>
    </row>
    <row r="4" customFormat="false" ht="24.75" hidden="false" customHeight="true" outlineLevel="0" collapsed="false">
      <c r="A4" s="264" t="s">
        <v>5</v>
      </c>
      <c r="B4" s="264"/>
      <c r="C4" s="265" t="str">
        <f aca="false">+RESUMEN!B6</f>
        <v>SAN MARTIN - SAN MARTIN - MORALES</v>
      </c>
      <c r="D4" s="265"/>
      <c r="E4" s="265"/>
      <c r="F4" s="265"/>
      <c r="G4" s="265"/>
      <c r="H4" s="265"/>
      <c r="I4" s="265"/>
      <c r="J4" s="265"/>
      <c r="K4" s="265"/>
      <c r="L4" s="265"/>
    </row>
    <row r="5" customFormat="false" ht="24.75" hidden="false" customHeight="true" outlineLevel="0" collapsed="false">
      <c r="A5" s="264" t="s">
        <v>7</v>
      </c>
      <c r="B5" s="264"/>
      <c r="C5" s="266" t="n">
        <f aca="false">+RESUMEN!B7</f>
        <v>46266</v>
      </c>
      <c r="D5" s="266"/>
      <c r="E5" s="266"/>
      <c r="F5" s="266"/>
      <c r="G5" s="266"/>
      <c r="H5" s="266"/>
      <c r="I5" s="266"/>
      <c r="J5" s="266"/>
      <c r="K5" s="266"/>
      <c r="L5" s="266"/>
    </row>
    <row r="7" customFormat="false" ht="48" hidden="false" customHeight="true" outlineLevel="0" collapsed="false">
      <c r="A7" s="267" t="s">
        <v>671</v>
      </c>
      <c r="B7" s="267"/>
      <c r="C7" s="267"/>
      <c r="D7" s="267"/>
      <c r="E7" s="267"/>
      <c r="F7" s="267"/>
      <c r="G7" s="267"/>
      <c r="H7" s="267"/>
      <c r="I7" s="267"/>
      <c r="J7" s="267"/>
      <c r="K7" s="267"/>
      <c r="L7" s="267"/>
    </row>
    <row r="9" customFormat="false" ht="48" hidden="false" customHeight="true" outlineLevel="0" collapsed="false">
      <c r="A9" s="268" t="s">
        <v>309</v>
      </c>
      <c r="B9" s="268" t="s">
        <v>311</v>
      </c>
      <c r="C9" s="268" t="s">
        <v>606</v>
      </c>
      <c r="D9" s="268" t="s">
        <v>266</v>
      </c>
      <c r="E9" s="268" t="s">
        <v>609</v>
      </c>
      <c r="F9" s="268" t="s">
        <v>610</v>
      </c>
      <c r="G9" s="268" t="s">
        <v>672</v>
      </c>
      <c r="H9" s="268" t="s">
        <v>673</v>
      </c>
      <c r="I9" s="268" t="s">
        <v>674</v>
      </c>
      <c r="J9" s="268" t="s">
        <v>675</v>
      </c>
      <c r="K9" s="268" t="s">
        <v>676</v>
      </c>
      <c r="L9" s="268" t="s">
        <v>483</v>
      </c>
    </row>
    <row r="10" customFormat="false" ht="30" hidden="false" customHeight="true" outlineLevel="0" collapsed="false">
      <c r="A10" s="269" t="n">
        <v>1</v>
      </c>
      <c r="B10" s="269" t="s">
        <v>620</v>
      </c>
      <c r="C10" s="292" t="s">
        <v>621</v>
      </c>
      <c r="D10" s="271" t="n">
        <f aca="false">'COLECTOR MOV. TIERRAS'!F10</f>
        <v>6.08</v>
      </c>
      <c r="E10" s="291" t="n">
        <f aca="false">'COLECTOR MOV. TIERRAS'!G10</f>
        <v>0.709</v>
      </c>
      <c r="F10" s="271" t="n">
        <f aca="false">'COLECTOR MOV. TIERRAS'!H10</f>
        <v>0.25</v>
      </c>
      <c r="G10" s="271" t="n">
        <f aca="false">'COLECTOR PARAMETROS'!$C$10</f>
        <v>0.6</v>
      </c>
      <c r="H10" s="271" t="n">
        <f aca="false">2*E10*D10</f>
        <v>8.62144</v>
      </c>
      <c r="I10" s="271" t="n">
        <f aca="false">2*('COLECTOR PARAMETROS'!$C$12+E10+F10)*D10</f>
        <v>13.48544</v>
      </c>
      <c r="J10" s="271" t="n">
        <f aca="false">G10*D10</f>
        <v>3.648</v>
      </c>
      <c r="K10" s="298" t="n">
        <f aca="false">SUM(H10:J10)</f>
        <v>25.75488</v>
      </c>
      <c r="L10" s="272" t="s">
        <v>677</v>
      </c>
    </row>
    <row r="11" customFormat="false" ht="30" hidden="false" customHeight="true" outlineLevel="0" collapsed="false">
      <c r="A11" s="269" t="n">
        <v>2</v>
      </c>
      <c r="B11" s="269" t="s">
        <v>625</v>
      </c>
      <c r="C11" s="292" t="s">
        <v>626</v>
      </c>
      <c r="D11" s="271" t="n">
        <f aca="false">'COLECTOR MOV. TIERRAS'!F11</f>
        <v>94.82</v>
      </c>
      <c r="E11" s="291" t="n">
        <f aca="false">'COLECTOR MOV. TIERRAS'!G11</f>
        <v>1.01</v>
      </c>
      <c r="F11" s="271" t="n">
        <f aca="false">'COLECTOR MOV. TIERRAS'!H11</f>
        <v>0.1</v>
      </c>
      <c r="G11" s="271" t="n">
        <f aca="false">'COLECTOR PARAMETROS'!$C$10</f>
        <v>0.6</v>
      </c>
      <c r="H11" s="271" t="n">
        <f aca="false">2*E11*D11</f>
        <v>191.5364</v>
      </c>
      <c r="I11" s="271" t="n">
        <f aca="false">2*('COLECTOR PARAMETROS'!$C$12+E11+F11)*D11</f>
        <v>238.9464</v>
      </c>
      <c r="J11" s="271" t="n">
        <f aca="false">G11*D11</f>
        <v>56.892</v>
      </c>
      <c r="K11" s="298" t="n">
        <f aca="false">SUM(H11:J11)</f>
        <v>487.3748</v>
      </c>
      <c r="L11" s="272" t="s">
        <v>677</v>
      </c>
    </row>
    <row r="12" customFormat="false" ht="30" hidden="false" customHeight="true" outlineLevel="0" collapsed="false">
      <c r="A12" s="269" t="n">
        <v>3</v>
      </c>
      <c r="B12" s="269" t="s">
        <v>628</v>
      </c>
      <c r="C12" s="292" t="s">
        <v>626</v>
      </c>
      <c r="D12" s="271" t="n">
        <f aca="false">'COLECTOR MOV. TIERRAS'!F12</f>
        <v>4.39</v>
      </c>
      <c r="E12" s="291" t="n">
        <f aca="false">'COLECTOR MOV. TIERRAS'!G12</f>
        <v>1.159</v>
      </c>
      <c r="F12" s="271" t="n">
        <f aca="false">'COLECTOR MOV. TIERRAS'!H12</f>
        <v>0.1</v>
      </c>
      <c r="G12" s="271" t="n">
        <f aca="false">'COLECTOR PARAMETROS'!$C$10</f>
        <v>0.6</v>
      </c>
      <c r="H12" s="271" t="n">
        <f aca="false">2*E12*D12</f>
        <v>10.17602</v>
      </c>
      <c r="I12" s="271" t="n">
        <f aca="false">2*('COLECTOR PARAMETROS'!$C$12+E12+F12)*D12</f>
        <v>12.37102</v>
      </c>
      <c r="J12" s="271" t="n">
        <f aca="false">G12*D12</f>
        <v>2.634</v>
      </c>
      <c r="K12" s="298" t="n">
        <f aca="false">SUM(H12:J12)</f>
        <v>25.18104</v>
      </c>
      <c r="L12" s="272" t="s">
        <v>677</v>
      </c>
    </row>
    <row r="13" customFormat="false" ht="21.75" hidden="false" customHeight="true" outlineLevel="0" collapsed="false">
      <c r="A13" s="293" t="s">
        <v>630</v>
      </c>
      <c r="B13" s="294"/>
      <c r="C13" s="294"/>
      <c r="D13" s="295" t="n">
        <f aca="false">SUM(D10:D12)</f>
        <v>105.29</v>
      </c>
      <c r="E13" s="294"/>
      <c r="F13" s="294"/>
      <c r="G13" s="294"/>
      <c r="H13" s="295" t="n">
        <f aca="false">SUM(H10:H12)</f>
        <v>210.33386</v>
      </c>
      <c r="I13" s="295" t="n">
        <f aca="false">SUM(I10:I12)</f>
        <v>264.80286</v>
      </c>
      <c r="J13" s="295" t="n">
        <f aca="false">SUM(J10:J12)</f>
        <v>63.174</v>
      </c>
      <c r="K13" s="295" t="n">
        <f aca="false">SUM(K10:K12)</f>
        <v>538.31072</v>
      </c>
      <c r="L13" s="294"/>
    </row>
    <row r="15" customFormat="false" ht="19.5" hidden="false" customHeight="true" outlineLevel="0" collapsed="false">
      <c r="A15" s="296" t="s">
        <v>678</v>
      </c>
      <c r="B15" s="296"/>
      <c r="C15" s="296"/>
      <c r="D15" s="296"/>
      <c r="E15" s="296"/>
      <c r="F15" s="296"/>
      <c r="G15" s="296"/>
      <c r="H15" s="296"/>
      <c r="I15" s="296"/>
      <c r="J15" s="296"/>
      <c r="K15" s="296"/>
      <c r="L15" s="296"/>
    </row>
    <row r="16" customFormat="false" ht="21.75" hidden="false" customHeight="true" outlineLevel="0" collapsed="false">
      <c r="A16" s="269" t="n">
        <v>1</v>
      </c>
      <c r="B16" s="297" t="s">
        <v>130</v>
      </c>
      <c r="C16" s="297"/>
      <c r="D16" s="297"/>
      <c r="E16" s="297"/>
      <c r="F16" s="290" t="s">
        <v>186</v>
      </c>
      <c r="G16" s="298" t="n">
        <f aca="false">K13</f>
        <v>538.31072</v>
      </c>
    </row>
  </sheetData>
  <mergeCells count="12">
    <mergeCell ref="A1:L1"/>
    <mergeCell ref="A2:B2"/>
    <mergeCell ref="C2:L2"/>
    <mergeCell ref="A3:B3"/>
    <mergeCell ref="C3:L3"/>
    <mergeCell ref="A4:B4"/>
    <mergeCell ref="C4:L4"/>
    <mergeCell ref="A5:B5"/>
    <mergeCell ref="C5:L5"/>
    <mergeCell ref="A7:L7"/>
    <mergeCell ref="A15:L15"/>
    <mergeCell ref="B16:E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9" topLeftCell="C10" activePane="bottomRight" state="frozen"/>
      <selection pane="topLeft" activeCell="A1" activeCellId="0" sqref="A1"/>
      <selection pane="topRight" activeCell="C1" activeCellId="0" sqref="C1"/>
      <selection pane="bottomLeft" activeCell="A10" activeCellId="0" sqref="A10"/>
      <selection pane="bottomRight" activeCell="A1" activeCellId="0" sqref="A1"/>
    </sheetView>
  </sheetViews>
  <sheetFormatPr defaultColWidth="8.73046875" defaultRowHeight="14.25"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11"/>
    <col collapsed="false" customWidth="true" hidden="false" outlineLevel="0" max="5" min="4" style="0" width="10"/>
    <col collapsed="false" customWidth="true" hidden="false" outlineLevel="0" max="8" min="6" style="0" width="9"/>
    <col collapsed="false" customWidth="true" hidden="false" outlineLevel="0" max="9" min="9" style="0" width="11"/>
    <col collapsed="false" customWidth="true" hidden="false" outlineLevel="0" max="20" min="10" style="0" width="9"/>
    <col collapsed="false" customWidth="true" hidden="false" outlineLevel="0" max="21" min="21" style="0" width="11"/>
    <col collapsed="false" customWidth="true" hidden="false" outlineLevel="0" max="22" min="22" style="0" width="44"/>
  </cols>
  <sheetData>
    <row r="1" customFormat="false" ht="27" hidden="false" customHeight="true" outlineLevel="0" collapsed="false">
      <c r="A1" s="263" t="s">
        <v>679</v>
      </c>
      <c r="B1" s="263"/>
      <c r="C1" s="263"/>
      <c r="D1" s="263"/>
      <c r="E1" s="263"/>
      <c r="F1" s="263"/>
      <c r="G1" s="263"/>
      <c r="H1" s="263"/>
      <c r="I1" s="263"/>
      <c r="J1" s="263"/>
      <c r="K1" s="263"/>
      <c r="L1" s="263"/>
      <c r="M1" s="263"/>
      <c r="N1" s="263"/>
      <c r="O1" s="263"/>
      <c r="P1" s="263"/>
      <c r="Q1" s="263"/>
      <c r="R1" s="263"/>
      <c r="S1" s="263"/>
      <c r="T1" s="263"/>
      <c r="U1" s="263"/>
      <c r="V1" s="263"/>
    </row>
    <row r="2" customFormat="false" ht="24.75" hidden="false" customHeight="true" outlineLevel="0" collapsed="false">
      <c r="A2" s="264" t="s">
        <v>1</v>
      </c>
      <c r="B2" s="264"/>
      <c r="C2" s="265" t="str">
        <f aca="false">+RESUMEN!B4</f>
        <v>GERENCIA TERRITORIAL BAJO MAYO - TARAPOTO</v>
      </c>
      <c r="D2" s="265"/>
      <c r="E2" s="265"/>
      <c r="F2" s="265"/>
      <c r="G2" s="265"/>
      <c r="H2" s="265"/>
      <c r="I2" s="265"/>
      <c r="J2" s="265"/>
      <c r="K2" s="265"/>
      <c r="L2" s="265"/>
      <c r="M2" s="265"/>
      <c r="N2" s="265"/>
      <c r="O2" s="265"/>
      <c r="P2" s="265"/>
      <c r="Q2" s="265"/>
      <c r="R2" s="265"/>
      <c r="S2" s="265"/>
      <c r="T2" s="265"/>
      <c r="U2" s="265"/>
      <c r="V2" s="265"/>
    </row>
    <row r="3" customFormat="false" ht="58.5" hidden="false" customHeight="true" outlineLevel="0" collapsed="false">
      <c r="A3" s="264" t="s">
        <v>3</v>
      </c>
      <c r="B3" s="264"/>
      <c r="C3" s="265" t="str">
        <f aca="false">+RESUMEN!B5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265"/>
      <c r="E3" s="265"/>
      <c r="F3" s="265"/>
      <c r="G3" s="265"/>
      <c r="H3" s="265"/>
      <c r="I3" s="265"/>
      <c r="J3" s="265"/>
      <c r="K3" s="265"/>
      <c r="L3" s="265"/>
      <c r="M3" s="265"/>
      <c r="N3" s="265"/>
      <c r="O3" s="265"/>
      <c r="P3" s="265"/>
      <c r="Q3" s="265"/>
      <c r="R3" s="265"/>
      <c r="S3" s="265"/>
      <c r="T3" s="265"/>
      <c r="U3" s="265"/>
      <c r="V3" s="265"/>
    </row>
    <row r="4" customFormat="false" ht="24.75" hidden="false" customHeight="true" outlineLevel="0" collapsed="false">
      <c r="A4" s="264" t="s">
        <v>5</v>
      </c>
      <c r="B4" s="264"/>
      <c r="C4" s="265" t="str">
        <f aca="false">+RESUMEN!B6</f>
        <v>SAN MARTIN - SAN MARTIN - MORALES</v>
      </c>
      <c r="D4" s="265"/>
      <c r="E4" s="265"/>
      <c r="F4" s="265"/>
      <c r="G4" s="265"/>
      <c r="H4" s="265"/>
      <c r="I4" s="265"/>
      <c r="J4" s="265"/>
      <c r="K4" s="265"/>
      <c r="L4" s="265"/>
      <c r="M4" s="265"/>
      <c r="N4" s="265"/>
      <c r="O4" s="265"/>
      <c r="P4" s="265"/>
      <c r="Q4" s="265"/>
      <c r="R4" s="265"/>
      <c r="S4" s="265"/>
      <c r="T4" s="265"/>
      <c r="U4" s="265"/>
      <c r="V4" s="265"/>
    </row>
    <row r="5" customFormat="false" ht="24.75" hidden="false" customHeight="true" outlineLevel="0" collapsed="false">
      <c r="A5" s="264" t="s">
        <v>7</v>
      </c>
      <c r="B5" s="264"/>
      <c r="C5" s="266" t="n">
        <f aca="false">+RESUMEN!B7</f>
        <v>46266</v>
      </c>
      <c r="D5" s="266"/>
      <c r="E5" s="266"/>
      <c r="F5" s="266"/>
      <c r="G5" s="266"/>
      <c r="H5" s="266"/>
      <c r="I5" s="266"/>
      <c r="J5" s="266"/>
      <c r="K5" s="266"/>
      <c r="L5" s="266"/>
      <c r="M5" s="266"/>
      <c r="N5" s="266"/>
      <c r="O5" s="266"/>
      <c r="P5" s="266"/>
      <c r="Q5" s="266"/>
      <c r="R5" s="266"/>
      <c r="S5" s="266"/>
      <c r="T5" s="266"/>
      <c r="U5" s="266"/>
      <c r="V5" s="266"/>
    </row>
    <row r="7" customFormat="false" ht="48" hidden="false" customHeight="true" outlineLevel="0" collapsed="false">
      <c r="A7" s="267" t="s">
        <v>680</v>
      </c>
      <c r="B7" s="267"/>
      <c r="C7" s="267"/>
      <c r="D7" s="267"/>
      <c r="E7" s="267"/>
      <c r="F7" s="267"/>
      <c r="G7" s="267"/>
      <c r="H7" s="267"/>
      <c r="I7" s="267"/>
      <c r="J7" s="267"/>
      <c r="K7" s="267"/>
      <c r="L7" s="267"/>
      <c r="M7" s="267"/>
      <c r="N7" s="267"/>
      <c r="O7" s="267"/>
      <c r="P7" s="267"/>
      <c r="Q7" s="267"/>
      <c r="R7" s="267"/>
      <c r="S7" s="267"/>
      <c r="T7" s="267"/>
      <c r="U7" s="267"/>
      <c r="V7" s="267"/>
    </row>
    <row r="9" customFormat="false" ht="60" hidden="false" customHeight="true" outlineLevel="0" collapsed="false">
      <c r="A9" s="268" t="s">
        <v>309</v>
      </c>
      <c r="B9" s="268" t="s">
        <v>311</v>
      </c>
      <c r="C9" s="268" t="s">
        <v>606</v>
      </c>
      <c r="D9" s="268" t="s">
        <v>266</v>
      </c>
      <c r="E9" s="268" t="s">
        <v>609</v>
      </c>
      <c r="F9" s="268" t="s">
        <v>610</v>
      </c>
      <c r="G9" s="268" t="s">
        <v>640</v>
      </c>
      <c r="H9" s="268" t="s">
        <v>681</v>
      </c>
      <c r="I9" s="268" t="s">
        <v>682</v>
      </c>
      <c r="J9" s="268" t="s">
        <v>683</v>
      </c>
      <c r="K9" s="268" t="s">
        <v>684</v>
      </c>
      <c r="L9" s="268" t="s">
        <v>685</v>
      </c>
      <c r="M9" s="268" t="s">
        <v>686</v>
      </c>
      <c r="N9" s="268" t="s">
        <v>687</v>
      </c>
      <c r="O9" s="268" t="s">
        <v>688</v>
      </c>
      <c r="P9" s="268" t="s">
        <v>689</v>
      </c>
      <c r="Q9" s="268" t="s">
        <v>690</v>
      </c>
      <c r="R9" s="268" t="s">
        <v>691</v>
      </c>
      <c r="S9" s="268" t="s">
        <v>692</v>
      </c>
      <c r="T9" s="268" t="s">
        <v>693</v>
      </c>
      <c r="U9" s="268" t="s">
        <v>694</v>
      </c>
      <c r="V9" s="268" t="s">
        <v>483</v>
      </c>
    </row>
    <row r="10" customFormat="false" ht="30" hidden="false" customHeight="true" outlineLevel="0" collapsed="false">
      <c r="A10" s="269" t="n">
        <v>1</v>
      </c>
      <c r="B10" s="269" t="s">
        <v>620</v>
      </c>
      <c r="C10" s="292" t="s">
        <v>621</v>
      </c>
      <c r="D10" s="271" t="n">
        <f aca="false">'COLECTOR MOV. TIERRAS'!F10</f>
        <v>6.08</v>
      </c>
      <c r="E10" s="291" t="n">
        <f aca="false">'COLECTOR MOV. TIERRAS'!G10</f>
        <v>0.709</v>
      </c>
      <c r="F10" s="271" t="n">
        <f aca="false">'COLECTOR MOV. TIERRAS'!H10</f>
        <v>0.25</v>
      </c>
      <c r="G10" s="271" t="n">
        <f aca="false">'COLECTOR MOV. TIERRAS'!I10</f>
        <v>0.9</v>
      </c>
      <c r="H10" s="271" t="n">
        <f aca="false">'COLECTOR PARAMETROS'!$C$27</f>
        <v>0.15</v>
      </c>
      <c r="I10" s="300" t="n">
        <v>2</v>
      </c>
      <c r="J10" s="292" t="s">
        <v>522</v>
      </c>
      <c r="K10" s="299" t="n">
        <f aca="false">ROUNDUP(D10/H10,0)</f>
        <v>41.0</v>
      </c>
      <c r="L10" s="291" t="n">
        <f aca="false">IF(I10=2,2*(G10-2*'COLECTOR PARAMETROS'!$C$19)+2*('COLECTOR PARAMETROS'!$C$12+E10+F10-2*'COLECTOR PARAMETROS'!$C$19)+'COLECTOR PARAMETROS'!$C$24,2*(G10-'COLECTOR PARAMETROS'!$C$11)+2*('COLECTOR PARAMETROS'!$C$12/2+E10+F10/2)+'COLECTOR PARAMETROS'!$C$24)</f>
        <v>3.998</v>
      </c>
      <c r="M10" s="291" t="n">
        <f aca="false">IF(I10=2,2*('COLECTOR PARAMETROS'!$C$10+2*('COLECTOR PARAMETROS'!$C$11-'COLECTOR PARAMETROS'!$C$19))+2*(E10+2*('COLECTOR PARAMETROS'!$C$11-'COLECTOR PARAMETROS'!$C$19))+'COLECTOR PARAMETROS'!$C$24,0)</f>
        <v>3.798</v>
      </c>
      <c r="N10" s="271" t="n">
        <f aca="false">K10*(L10+M10)</f>
        <v>319.636</v>
      </c>
      <c r="O10" s="291" t="n">
        <f aca="false">IF(J10="1/2""",'COLECTOR PARAMETROS'!$C$21,'COLECTOR PARAMETROS'!$C$20)</f>
        <v>0.994</v>
      </c>
      <c r="P10" s="271" t="n">
        <f aca="false">N10*O10</f>
        <v>317.718184</v>
      </c>
      <c r="Q10" s="271" t="n">
        <f aca="false">'COLECTOR PARAMETROS'!$C$29</f>
        <v>0.2</v>
      </c>
      <c r="R10" s="299" t="n">
        <f aca="false">ROUND(L10/Q10,0)+IF(M10&gt;0,ROUND(M10/Q10,0),0)</f>
        <v>39.0</v>
      </c>
      <c r="S10" s="271" t="n">
        <f aca="false">R10*D10*(1+'COLECTOR PARAMETROS'!$C$22/'COLECTOR PARAMETROS'!$C$23)</f>
        <v>247.658666666667</v>
      </c>
      <c r="T10" s="271" t="n">
        <f aca="false">S10*'COLECTOR PARAMETROS'!$C$20</f>
        <v>138.688853333333</v>
      </c>
      <c r="U10" s="298" t="n">
        <f aca="false">P10+T10</f>
        <v>456.407037333333</v>
      </c>
      <c r="V10" s="272" t="s">
        <v>695</v>
      </c>
    </row>
    <row r="11" customFormat="false" ht="30" hidden="false" customHeight="true" outlineLevel="0" collapsed="false">
      <c r="A11" s="269" t="n">
        <v>2</v>
      </c>
      <c r="B11" s="269" t="s">
        <v>625</v>
      </c>
      <c r="C11" s="292" t="s">
        <v>626</v>
      </c>
      <c r="D11" s="271" t="n">
        <f aca="false">'COLECTOR MOV. TIERRAS'!F11</f>
        <v>94.82</v>
      </c>
      <c r="E11" s="291" t="n">
        <f aca="false">'COLECTOR MOV. TIERRAS'!G11</f>
        <v>1.01</v>
      </c>
      <c r="F11" s="271" t="n">
        <f aca="false">'COLECTOR MOV. TIERRAS'!H11</f>
        <v>0.1</v>
      </c>
      <c r="G11" s="271" t="n">
        <f aca="false">'COLECTOR MOV. TIERRAS'!I11</f>
        <v>0.9</v>
      </c>
      <c r="H11" s="271" t="n">
        <f aca="false">'COLECTOR PARAMETROS'!$C$26</f>
        <v>0.2</v>
      </c>
      <c r="I11" s="300" t="n">
        <v>1</v>
      </c>
      <c r="J11" s="292" t="s">
        <v>347</v>
      </c>
      <c r="K11" s="299" t="n">
        <f aca="false">ROUNDUP(D11/H11,0)</f>
        <v>475.0</v>
      </c>
      <c r="L11" s="291" t="n">
        <f aca="false">IF(I11=2,2*(G11-2*'COLECTOR PARAMETROS'!$C$19)+2*('COLECTOR PARAMETROS'!$C$12+E11+F11-2*'COLECTOR PARAMETROS'!$C$19)+'COLECTOR PARAMETROS'!$C$24,2*(G11-'COLECTOR PARAMETROS'!$C$11)+2*('COLECTOR PARAMETROS'!$C$12/2+E11+F11/2)+'COLECTOR PARAMETROS'!$C$24)</f>
        <v>4.07</v>
      </c>
      <c r="M11" s="291" t="n">
        <f aca="false">IF(I11=2,2*('COLECTOR PARAMETROS'!$C$10+2*('COLECTOR PARAMETROS'!$C$11-'COLECTOR PARAMETROS'!$C$19))+2*(E11+2*('COLECTOR PARAMETROS'!$C$11-'COLECTOR PARAMETROS'!$C$19))+'COLECTOR PARAMETROS'!$C$24,0)</f>
        <v>0.0</v>
      </c>
      <c r="N11" s="271" t="n">
        <f aca="false">K11*(L11+M11)</f>
        <v>1933.25</v>
      </c>
      <c r="O11" s="291" t="n">
        <f aca="false">IF(J11="1/2""",'COLECTOR PARAMETROS'!$C$21,'COLECTOR PARAMETROS'!$C$20)</f>
        <v>0.56</v>
      </c>
      <c r="P11" s="271" t="n">
        <f aca="false">N11*O11</f>
        <v>1082.62</v>
      </c>
      <c r="Q11" s="271" t="n">
        <f aca="false">'COLECTOR PARAMETROS'!$C$28</f>
        <v>0.25</v>
      </c>
      <c r="R11" s="299" t="n">
        <f aca="false">ROUND(L11/Q11,0)+IF(M11&gt;0,ROUND(M11/Q11,0),0)</f>
        <v>16.0</v>
      </c>
      <c r="S11" s="271" t="n">
        <f aca="false">R11*D11*(1+'COLECTOR PARAMETROS'!$C$22/'COLECTOR PARAMETROS'!$C$23)</f>
        <v>1584.54755555556</v>
      </c>
      <c r="T11" s="271" t="n">
        <f aca="false">S11*'COLECTOR PARAMETROS'!$C$20</f>
        <v>887.346631111111</v>
      </c>
      <c r="U11" s="298" t="n">
        <f aca="false">P11+T11</f>
        <v>1969.96663111111</v>
      </c>
      <c r="V11" s="272" t="s">
        <v>696</v>
      </c>
    </row>
    <row r="12" customFormat="false" ht="30" hidden="false" customHeight="true" outlineLevel="0" collapsed="false">
      <c r="A12" s="269" t="n">
        <v>3</v>
      </c>
      <c r="B12" s="269" t="s">
        <v>628</v>
      </c>
      <c r="C12" s="292" t="s">
        <v>626</v>
      </c>
      <c r="D12" s="271" t="n">
        <f aca="false">'COLECTOR MOV. TIERRAS'!F12</f>
        <v>4.39</v>
      </c>
      <c r="E12" s="291" t="n">
        <f aca="false">'COLECTOR MOV. TIERRAS'!G12</f>
        <v>1.159</v>
      </c>
      <c r="F12" s="271" t="n">
        <f aca="false">'COLECTOR MOV. TIERRAS'!H12</f>
        <v>0.1</v>
      </c>
      <c r="G12" s="271" t="n">
        <f aca="false">'COLECTOR MOV. TIERRAS'!I12</f>
        <v>0.9</v>
      </c>
      <c r="H12" s="271" t="n">
        <f aca="false">'COLECTOR PARAMETROS'!$C$26</f>
        <v>0.2</v>
      </c>
      <c r="I12" s="300" t="n">
        <v>1</v>
      </c>
      <c r="J12" s="292" t="s">
        <v>347</v>
      </c>
      <c r="K12" s="299" t="n">
        <f aca="false">ROUNDUP(D12/H12,0)</f>
        <v>22.0</v>
      </c>
      <c r="L12" s="291" t="n">
        <f aca="false">IF(I12=2,2*(G12-2*'COLECTOR PARAMETROS'!$C$19)+2*('COLECTOR PARAMETROS'!$C$12+E12+F12-2*'COLECTOR PARAMETROS'!$C$19)+'COLECTOR PARAMETROS'!$C$24,2*(G12-'COLECTOR PARAMETROS'!$C$11)+2*('COLECTOR PARAMETROS'!$C$12/2+E12+F12/2)+'COLECTOR PARAMETROS'!$C$24)</f>
        <v>4.368</v>
      </c>
      <c r="M12" s="291" t="n">
        <f aca="false">IF(I12=2,2*('COLECTOR PARAMETROS'!$C$10+2*('COLECTOR PARAMETROS'!$C$11-'COLECTOR PARAMETROS'!$C$19))+2*(E12+2*('COLECTOR PARAMETROS'!$C$11-'COLECTOR PARAMETROS'!$C$19))+'COLECTOR PARAMETROS'!$C$24,0)</f>
        <v>0.0</v>
      </c>
      <c r="N12" s="271" t="n">
        <f aca="false">K12*(L12+M12)</f>
        <v>96.096</v>
      </c>
      <c r="O12" s="291" t="n">
        <f aca="false">IF(J12="1/2""",'COLECTOR PARAMETROS'!$C$21,'COLECTOR PARAMETROS'!$C$20)</f>
        <v>0.56</v>
      </c>
      <c r="P12" s="271" t="n">
        <f aca="false">N12*O12</f>
        <v>53.81376</v>
      </c>
      <c r="Q12" s="271" t="n">
        <f aca="false">'COLECTOR PARAMETROS'!$C$28</f>
        <v>0.25</v>
      </c>
      <c r="R12" s="299" t="n">
        <f aca="false">ROUND(L12/Q12,0)+IF(M12&gt;0,ROUND(M12/Q12,0),0)</f>
        <v>17.0</v>
      </c>
      <c r="S12" s="271" t="n">
        <f aca="false">R12*D12*(1+'COLECTOR PARAMETROS'!$C$22/'COLECTOR PARAMETROS'!$C$23)</f>
        <v>77.9468888888889</v>
      </c>
      <c r="T12" s="271" t="n">
        <f aca="false">S12*'COLECTOR PARAMETROS'!$C$20</f>
        <v>43.6502577777778</v>
      </c>
      <c r="U12" s="298" t="n">
        <f aca="false">P12+T12</f>
        <v>97.4640177777778</v>
      </c>
      <c r="V12" s="272" t="s">
        <v>696</v>
      </c>
    </row>
    <row r="13" customFormat="false" ht="21.75" hidden="false" customHeight="true" outlineLevel="0" collapsed="false">
      <c r="A13" s="293" t="s">
        <v>630</v>
      </c>
      <c r="B13" s="294"/>
      <c r="C13" s="294"/>
      <c r="D13" s="295" t="n">
        <f aca="false">SUM(D10:D12)</f>
        <v>105.29</v>
      </c>
      <c r="E13" s="294"/>
      <c r="F13" s="294"/>
      <c r="G13" s="294"/>
      <c r="H13" s="294"/>
      <c r="I13" s="294"/>
      <c r="J13" s="294"/>
      <c r="K13" s="294"/>
      <c r="L13" s="294"/>
      <c r="M13" s="294"/>
      <c r="N13" s="295" t="n">
        <f aca="false">SUM(N10:N12)</f>
        <v>2348.982</v>
      </c>
      <c r="O13" s="294"/>
      <c r="P13" s="295" t="n">
        <f aca="false">SUM(P10:P12)</f>
        <v>1454.151944</v>
      </c>
      <c r="Q13" s="294"/>
      <c r="R13" s="294"/>
      <c r="S13" s="295" t="n">
        <f aca="false">SUM(S10:S12)</f>
        <v>1910.15311111111</v>
      </c>
      <c r="T13" s="295" t="n">
        <f aca="false">SUM(T10:T12)</f>
        <v>1069.68574222222</v>
      </c>
      <c r="U13" s="295" t="n">
        <f aca="false">SUM(U10:U12)</f>
        <v>2523.83768622222</v>
      </c>
      <c r="V13" s="294"/>
    </row>
    <row r="15" customFormat="false" ht="19.5" hidden="false" customHeight="true" outlineLevel="0" collapsed="false">
      <c r="A15" s="296" t="s">
        <v>697</v>
      </c>
      <c r="B15" s="296"/>
      <c r="C15" s="296"/>
      <c r="D15" s="296"/>
      <c r="E15" s="296"/>
      <c r="F15" s="296"/>
      <c r="G15" s="296"/>
      <c r="H15" s="296"/>
      <c r="I15" s="296"/>
      <c r="J15" s="296"/>
      <c r="K15" s="296"/>
      <c r="L15" s="296"/>
      <c r="M15" s="296"/>
      <c r="N15" s="296"/>
      <c r="O15" s="296"/>
      <c r="P15" s="296"/>
      <c r="Q15" s="296"/>
      <c r="R15" s="296"/>
      <c r="S15" s="296"/>
      <c r="T15" s="296"/>
      <c r="U15" s="296"/>
      <c r="V15" s="296"/>
    </row>
    <row r="16" customFormat="false" ht="39.75" hidden="false" customHeight="true" outlineLevel="0" collapsed="false">
      <c r="A16" s="268" t="s">
        <v>309</v>
      </c>
      <c r="B16" s="268" t="s">
        <v>650</v>
      </c>
      <c r="C16" s="268" t="s">
        <v>698</v>
      </c>
      <c r="D16" s="268" t="s">
        <v>699</v>
      </c>
      <c r="E16" s="268" t="s">
        <v>700</v>
      </c>
      <c r="F16" s="268" t="s">
        <v>701</v>
      </c>
      <c r="G16" s="268" t="s">
        <v>702</v>
      </c>
      <c r="H16" s="268" t="s">
        <v>703</v>
      </c>
      <c r="I16" s="268" t="s">
        <v>688</v>
      </c>
      <c r="J16" s="268"/>
      <c r="K16" s="268"/>
      <c r="L16" s="268"/>
      <c r="M16" s="268"/>
      <c r="N16" s="268"/>
      <c r="O16" s="268"/>
      <c r="P16" s="268"/>
      <c r="Q16" s="268"/>
      <c r="R16" s="268"/>
      <c r="S16" s="268"/>
      <c r="T16" s="268"/>
      <c r="U16" s="268" t="s">
        <v>704</v>
      </c>
      <c r="V16" s="268" t="s">
        <v>483</v>
      </c>
    </row>
    <row r="17" customFormat="false" ht="30" hidden="false" customHeight="true" outlineLevel="0" collapsed="false">
      <c r="A17" s="269" t="n">
        <v>1</v>
      </c>
      <c r="B17" s="150" t="s">
        <v>705</v>
      </c>
      <c r="C17" s="292" t="s">
        <v>522</v>
      </c>
      <c r="D17" s="269" t="s">
        <v>706</v>
      </c>
      <c r="E17" s="300" t="n">
        <v>8</v>
      </c>
      <c r="F17" s="299" t="n">
        <f aca="false">'COLECTOR PARAMETROS'!$C$30</f>
        <v>11.0</v>
      </c>
      <c r="G17" s="270" t="n">
        <v>1.4</v>
      </c>
      <c r="H17" s="271" t="n">
        <f aca="false">E17*F17*G17</f>
        <v>123.2</v>
      </c>
      <c r="I17" s="291" t="n">
        <f aca="false">'COLECTOR PARAMETROS'!$C$21</f>
        <v>0.994</v>
      </c>
      <c r="J17" s="22"/>
      <c r="K17" s="22"/>
      <c r="L17" s="22"/>
      <c r="M17" s="22"/>
      <c r="N17" s="22"/>
      <c r="O17" s="22"/>
      <c r="P17" s="22"/>
      <c r="Q17" s="22"/>
      <c r="R17" s="22"/>
      <c r="S17" s="22"/>
      <c r="T17" s="22"/>
      <c r="U17" s="298" t="n">
        <f aca="false">H17*I17</f>
        <v>122.4608</v>
      </c>
      <c r="V17" s="272" t="s">
        <v>707</v>
      </c>
    </row>
    <row r="18" customFormat="false" ht="30" hidden="false" customHeight="true" outlineLevel="0" collapsed="false">
      <c r="A18" s="269" t="n">
        <v>2</v>
      </c>
      <c r="B18" s="150" t="s">
        <v>708</v>
      </c>
      <c r="C18" s="292" t="s">
        <v>347</v>
      </c>
      <c r="D18" s="269" t="s">
        <v>706</v>
      </c>
      <c r="E18" s="300" t="n">
        <v>14</v>
      </c>
      <c r="F18" s="299" t="n">
        <f aca="false">'COLECTOR PARAMETROS'!$C$30</f>
        <v>11.0</v>
      </c>
      <c r="G18" s="270" t="n">
        <v>0.62</v>
      </c>
      <c r="H18" s="271" t="n">
        <f aca="false">E18*F18*G18</f>
        <v>95.48</v>
      </c>
      <c r="I18" s="291" t="n">
        <f aca="false">'COLECTOR PARAMETROS'!$C$20</f>
        <v>0.56</v>
      </c>
      <c r="J18" s="22"/>
      <c r="K18" s="22"/>
      <c r="L18" s="22"/>
      <c r="M18" s="22"/>
      <c r="N18" s="22"/>
      <c r="O18" s="22"/>
      <c r="P18" s="22"/>
      <c r="Q18" s="22"/>
      <c r="R18" s="22"/>
      <c r="S18" s="22"/>
      <c r="T18" s="22"/>
      <c r="U18" s="298" t="n">
        <f aca="false">H18*I18</f>
        <v>53.4688</v>
      </c>
      <c r="V18" s="272" t="s">
        <v>709</v>
      </c>
    </row>
    <row r="19" customFormat="false" ht="30" hidden="false" customHeight="true" outlineLevel="0" collapsed="false">
      <c r="A19" s="269" t="n">
        <v>3</v>
      </c>
      <c r="B19" s="150" t="s">
        <v>710</v>
      </c>
      <c r="C19" s="292" t="s">
        <v>711</v>
      </c>
      <c r="D19" s="269" t="s">
        <v>712</v>
      </c>
      <c r="E19" s="300" t="n">
        <v>2</v>
      </c>
      <c r="F19" s="299" t="n">
        <f aca="false">'COLECTOR PARAMETROS'!$C$30</f>
        <v>11.0</v>
      </c>
      <c r="G19" s="270" t="n">
        <v>0.4</v>
      </c>
      <c r="H19" s="271" t="n">
        <f aca="false">E19*F19*G19</f>
        <v>8.8</v>
      </c>
      <c r="I19" s="291" t="n">
        <f aca="false">'COLECTOR PARAMETROS'!$C$20</f>
        <v>0.56</v>
      </c>
      <c r="J19" s="22"/>
      <c r="K19" s="22"/>
      <c r="L19" s="22"/>
      <c r="M19" s="22"/>
      <c r="N19" s="22"/>
      <c r="O19" s="22"/>
      <c r="P19" s="22"/>
      <c r="Q19" s="22"/>
      <c r="R19" s="22"/>
      <c r="S19" s="22"/>
      <c r="T19" s="22"/>
      <c r="U19" s="298" t="n">
        <f aca="false">H19*I19</f>
        <v>4.928</v>
      </c>
      <c r="V19" s="272" t="s">
        <v>713</v>
      </c>
    </row>
    <row r="20" customFormat="false" ht="30" hidden="false" customHeight="true" outlineLevel="0" collapsed="false">
      <c r="A20" s="269" t="n">
        <v>4</v>
      </c>
      <c r="B20" s="150" t="s">
        <v>714</v>
      </c>
      <c r="C20" s="292" t="s">
        <v>347</v>
      </c>
      <c r="D20" s="269" t="s">
        <v>715</v>
      </c>
      <c r="E20" s="300" t="n">
        <v>8</v>
      </c>
      <c r="F20" s="299" t="n">
        <f aca="false">'COLECTOR PARAMETROS'!$C$30</f>
        <v>11.0</v>
      </c>
      <c r="G20" s="270" t="n">
        <v>0.2</v>
      </c>
      <c r="H20" s="271" t="n">
        <f aca="false">E20*F20*G20</f>
        <v>17.6</v>
      </c>
      <c r="I20" s="291" t="n">
        <f aca="false">'COLECTOR PARAMETROS'!$C$20</f>
        <v>0.56</v>
      </c>
      <c r="J20" s="22"/>
      <c r="K20" s="22"/>
      <c r="L20" s="22"/>
      <c r="M20" s="22"/>
      <c r="N20" s="22"/>
      <c r="O20" s="22"/>
      <c r="P20" s="22"/>
      <c r="Q20" s="22"/>
      <c r="R20" s="22"/>
      <c r="S20" s="22"/>
      <c r="T20" s="22"/>
      <c r="U20" s="298" t="n">
        <f aca="false">H20*I20</f>
        <v>9.856</v>
      </c>
      <c r="V20" s="272" t="s">
        <v>716</v>
      </c>
    </row>
    <row r="21" customFormat="false" ht="21.75" hidden="false" customHeight="true" outlineLevel="0" collapsed="false">
      <c r="A21" s="293" t="s">
        <v>717</v>
      </c>
      <c r="B21" s="294"/>
      <c r="C21" s="294"/>
      <c r="D21" s="294"/>
      <c r="E21" s="294"/>
      <c r="F21" s="294"/>
      <c r="G21" s="294"/>
      <c r="H21" s="294"/>
      <c r="I21" s="294"/>
      <c r="J21" s="294"/>
      <c r="K21" s="294"/>
      <c r="L21" s="294"/>
      <c r="M21" s="294"/>
      <c r="N21" s="294"/>
      <c r="O21" s="294"/>
      <c r="P21" s="294"/>
      <c r="Q21" s="294"/>
      <c r="R21" s="294"/>
      <c r="S21" s="294"/>
      <c r="T21" s="294"/>
      <c r="U21" s="295" t="n">
        <f aca="false">SUM(U17:U20)</f>
        <v>190.7136</v>
      </c>
      <c r="V21" s="294"/>
    </row>
    <row r="23" customFormat="false" ht="19.5" hidden="false" customHeight="true" outlineLevel="0" collapsed="false">
      <c r="A23" s="296" t="s">
        <v>718</v>
      </c>
      <c r="B23" s="296"/>
      <c r="C23" s="296"/>
      <c r="D23" s="296"/>
      <c r="E23" s="296"/>
      <c r="F23" s="296"/>
      <c r="G23" s="296"/>
      <c r="H23" s="296"/>
      <c r="I23" s="296"/>
      <c r="J23" s="296"/>
      <c r="K23" s="296"/>
      <c r="L23" s="296"/>
      <c r="M23" s="296"/>
      <c r="N23" s="296"/>
      <c r="O23" s="296"/>
      <c r="P23" s="296"/>
      <c r="Q23" s="296"/>
      <c r="R23" s="296"/>
      <c r="S23" s="296"/>
      <c r="T23" s="296"/>
      <c r="U23" s="296"/>
      <c r="V23" s="296"/>
    </row>
    <row r="24" customFormat="false" ht="21.75" hidden="false" customHeight="true" outlineLevel="0" collapsed="false">
      <c r="A24" s="269" t="n">
        <v>1</v>
      </c>
      <c r="B24" s="297" t="s">
        <v>719</v>
      </c>
      <c r="C24" s="297"/>
      <c r="D24" s="297"/>
      <c r="E24" s="297"/>
      <c r="F24" s="290" t="s">
        <v>50</v>
      </c>
      <c r="G24" s="271" t="n">
        <f aca="false">SUMIF(J10:J12,"3/8""",P10:P12)+T13</f>
        <v>2206.11950222222</v>
      </c>
      <c r="H24" s="271" t="n">
        <f aca="false">SUMIF(J10:J12,"1/2""",P10:P12)</f>
        <v>317.718184</v>
      </c>
      <c r="I24" s="298" t="n">
        <f aca="false">U13</f>
        <v>2523.83768622222</v>
      </c>
    </row>
    <row r="25" customFormat="false" ht="21.75" hidden="false" customHeight="true" outlineLevel="0" collapsed="false">
      <c r="A25" s="269" t="n">
        <v>2</v>
      </c>
      <c r="B25" s="297" t="s">
        <v>720</v>
      </c>
      <c r="C25" s="297"/>
      <c r="D25" s="297"/>
      <c r="E25" s="297"/>
      <c r="F25" s="290" t="s">
        <v>50</v>
      </c>
      <c r="G25" s="271" t="n">
        <f aca="false">SUMIF(C17:C20,"3/8*",U17:U20)</f>
        <v>68.2528</v>
      </c>
      <c r="H25" s="271" t="n">
        <f aca="false">SUMIF(C17:C20,"1/2*",U17:U20)</f>
        <v>122.4608</v>
      </c>
      <c r="I25" s="298" t="n">
        <f aca="false">U21</f>
        <v>190.7136</v>
      </c>
    </row>
  </sheetData>
  <mergeCells count="14">
    <mergeCell ref="A1:V1"/>
    <mergeCell ref="A2:B2"/>
    <mergeCell ref="C2:V2"/>
    <mergeCell ref="A3:B3"/>
    <mergeCell ref="C3:V3"/>
    <mergeCell ref="A4:B4"/>
    <mergeCell ref="C4:V4"/>
    <mergeCell ref="A5:B5"/>
    <mergeCell ref="C5:V5"/>
    <mergeCell ref="A7:V7"/>
    <mergeCell ref="A15:V15"/>
    <mergeCell ref="A23:V23"/>
    <mergeCell ref="B24:E24"/>
    <mergeCell ref="B25:E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3046875" defaultRowHeight="14.25" zeroHeight="false" outlineLevelRow="0" outlineLevelCol="0"/>
  <cols>
    <col collapsed="false" customWidth="true" hidden="false" outlineLevel="0" max="1" min="1" style="0" width="5"/>
    <col collapsed="false" customWidth="true" hidden="false" outlineLevel="0" max="2" min="2" style="0" width="40"/>
    <col collapsed="false" customWidth="true" hidden="false" outlineLevel="0" max="3" min="3" style="0" width="12"/>
    <col collapsed="false" customWidth="true" hidden="false" outlineLevel="0" max="4" min="4" style="0" width="46"/>
    <col collapsed="false" customWidth="true" hidden="false" outlineLevel="0" max="5" min="5" style="0" width="12"/>
    <col collapsed="false" customWidth="true" hidden="false" outlineLevel="0" max="6" min="6" style="0" width="50"/>
  </cols>
  <sheetData>
    <row r="1" customFormat="false" ht="27" hidden="false" customHeight="true" outlineLevel="0" collapsed="false">
      <c r="A1" s="263" t="s">
        <v>721</v>
      </c>
      <c r="B1" s="263"/>
      <c r="C1" s="263"/>
      <c r="D1" s="263"/>
      <c r="E1" s="263"/>
      <c r="F1" s="263"/>
    </row>
    <row r="2" customFormat="false" ht="24.75" hidden="false" customHeight="true" outlineLevel="0" collapsed="false">
      <c r="A2" s="264" t="s">
        <v>1</v>
      </c>
      <c r="B2" s="264"/>
      <c r="C2" s="265" t="str">
        <f aca="false">+RESUMEN!B4</f>
        <v>GERENCIA TERRITORIAL BAJO MAYO - TARAPOTO</v>
      </c>
      <c r="D2" s="265"/>
      <c r="E2" s="265"/>
      <c r="F2" s="265"/>
    </row>
    <row r="3" customFormat="false" ht="58.5" hidden="false" customHeight="true" outlineLevel="0" collapsed="false">
      <c r="A3" s="264" t="s">
        <v>3</v>
      </c>
      <c r="B3" s="264"/>
      <c r="C3" s="265" t="str">
        <f aca="false">+RESUMEN!B5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265"/>
      <c r="E3" s="265"/>
      <c r="F3" s="265"/>
    </row>
    <row r="4" customFormat="false" ht="24.75" hidden="false" customHeight="true" outlineLevel="0" collapsed="false">
      <c r="A4" s="264" t="s">
        <v>5</v>
      </c>
      <c r="B4" s="264"/>
      <c r="C4" s="265" t="str">
        <f aca="false">+RESUMEN!B6</f>
        <v>SAN MARTIN - SAN MARTIN - MORALES</v>
      </c>
      <c r="D4" s="265"/>
      <c r="E4" s="265"/>
      <c r="F4" s="265"/>
    </row>
    <row r="5" customFormat="false" ht="24.75" hidden="false" customHeight="true" outlineLevel="0" collapsed="false">
      <c r="A5" s="264" t="s">
        <v>7</v>
      </c>
      <c r="B5" s="264"/>
      <c r="C5" s="266" t="n">
        <f aca="false">+RESUMEN!B7</f>
        <v>46266</v>
      </c>
      <c r="D5" s="266"/>
      <c r="E5" s="266"/>
      <c r="F5" s="266"/>
    </row>
    <row r="7" customFormat="false" ht="48" hidden="false" customHeight="true" outlineLevel="0" collapsed="false">
      <c r="A7" s="267" t="s">
        <v>876</v>
      </c>
      <c r="B7" s="267"/>
      <c r="C7" s="267"/>
      <c r="D7" s="267"/>
      <c r="E7" s="267"/>
      <c r="F7" s="267"/>
    </row>
    <row r="9" customFormat="false" ht="30" hidden="false" customHeight="true" outlineLevel="0" collapsed="false">
      <c r="A9" s="268" t="s">
        <v>309</v>
      </c>
      <c r="B9" s="268" t="s">
        <v>723</v>
      </c>
      <c r="C9" s="268" t="s">
        <v>724</v>
      </c>
      <c r="D9" s="268" t="s">
        <v>725</v>
      </c>
      <c r="E9" s="268" t="s">
        <v>726</v>
      </c>
      <c r="F9" s="268" t="s">
        <v>483</v>
      </c>
    </row>
    <row r="10" customFormat="false" ht="24" hidden="false" customHeight="true" outlineLevel="0" collapsed="false">
      <c r="A10" s="269" t="n">
        <v>1</v>
      </c>
      <c r="B10" s="269" t="s">
        <v>727</v>
      </c>
      <c r="C10" s="269" t="s">
        <v>728</v>
      </c>
      <c r="D10" s="150" t="s">
        <v>729</v>
      </c>
      <c r="E10" s="300" t="n">
        <v>1</v>
      </c>
      <c r="F10" s="272" t="s">
        <v>730</v>
      </c>
    </row>
    <row r="11" customFormat="false" ht="24" hidden="false" customHeight="true" outlineLevel="0" collapsed="false">
      <c r="A11" s="269" t="n">
        <v>2</v>
      </c>
      <c r="B11" s="269" t="s">
        <v>731</v>
      </c>
      <c r="C11" s="269" t="s">
        <v>732</v>
      </c>
      <c r="D11" s="150" t="s">
        <v>733</v>
      </c>
      <c r="E11" s="300" t="n">
        <v>1</v>
      </c>
      <c r="F11" s="272" t="s">
        <v>730</v>
      </c>
    </row>
    <row r="12" customFormat="false" ht="24" hidden="false" customHeight="true" outlineLevel="0" collapsed="false">
      <c r="A12" s="269" t="n">
        <v>3</v>
      </c>
      <c r="B12" s="269" t="s">
        <v>734</v>
      </c>
      <c r="C12" s="269" t="s">
        <v>735</v>
      </c>
      <c r="D12" s="150" t="s">
        <v>736</v>
      </c>
      <c r="E12" s="300" t="n">
        <v>1</v>
      </c>
      <c r="F12" s="272" t="s">
        <v>730</v>
      </c>
    </row>
    <row r="13" customFormat="false" ht="24" hidden="false" customHeight="true" outlineLevel="0" collapsed="false">
      <c r="A13" s="269" t="n">
        <v>4</v>
      </c>
      <c r="B13" s="269" t="s">
        <v>737</v>
      </c>
      <c r="C13" s="269" t="s">
        <v>738</v>
      </c>
      <c r="D13" s="150" t="s">
        <v>733</v>
      </c>
      <c r="E13" s="300" t="n">
        <v>1</v>
      </c>
      <c r="F13" s="272" t="s">
        <v>730</v>
      </c>
    </row>
    <row r="14" customFormat="false" ht="24" hidden="false" customHeight="true" outlineLevel="0" collapsed="false">
      <c r="A14" s="269" t="n">
        <v>5</v>
      </c>
      <c r="B14" s="269" t="s">
        <v>739</v>
      </c>
      <c r="C14" s="269" t="s">
        <v>740</v>
      </c>
      <c r="D14" s="150" t="s">
        <v>733</v>
      </c>
      <c r="E14" s="300" t="n">
        <v>1</v>
      </c>
      <c r="F14" s="272" t="s">
        <v>730</v>
      </c>
    </row>
    <row r="15" customFormat="false" ht="24" hidden="false" customHeight="true" outlineLevel="0" collapsed="false">
      <c r="A15" s="269" t="n">
        <v>6</v>
      </c>
      <c r="B15" s="269" t="s">
        <v>741</v>
      </c>
      <c r="C15" s="269" t="s">
        <v>742</v>
      </c>
      <c r="D15" s="150" t="s">
        <v>743</v>
      </c>
      <c r="E15" s="300" t="n">
        <v>1</v>
      </c>
      <c r="F15" s="272" t="s">
        <v>730</v>
      </c>
    </row>
    <row r="16" customFormat="false" ht="24" hidden="false" customHeight="true" outlineLevel="0" collapsed="false">
      <c r="A16" s="269" t="n">
        <v>7</v>
      </c>
      <c r="B16" s="269" t="s">
        <v>744</v>
      </c>
      <c r="C16" s="269" t="s">
        <v>745</v>
      </c>
      <c r="D16" s="150" t="s">
        <v>733</v>
      </c>
      <c r="E16" s="300" t="n">
        <v>1</v>
      </c>
      <c r="F16" s="272" t="s">
        <v>730</v>
      </c>
    </row>
    <row r="17" customFormat="false" ht="24" hidden="false" customHeight="true" outlineLevel="0" collapsed="false">
      <c r="A17" s="269" t="n">
        <v>8</v>
      </c>
      <c r="B17" s="269" t="s">
        <v>746</v>
      </c>
      <c r="C17" s="269" t="s">
        <v>747</v>
      </c>
      <c r="D17" s="150" t="s">
        <v>733</v>
      </c>
      <c r="E17" s="300" t="n">
        <v>1</v>
      </c>
      <c r="F17" s="272" t="s">
        <v>730</v>
      </c>
    </row>
    <row r="18" customFormat="false" ht="24" hidden="false" customHeight="true" outlineLevel="0" collapsed="false">
      <c r="A18" s="269" t="n">
        <v>9</v>
      </c>
      <c r="B18" s="269" t="s">
        <v>748</v>
      </c>
      <c r="C18" s="269" t="s">
        <v>749</v>
      </c>
      <c r="D18" s="150" t="s">
        <v>750</v>
      </c>
      <c r="E18" s="300" t="n">
        <v>1</v>
      </c>
      <c r="F18" s="272" t="s">
        <v>730</v>
      </c>
    </row>
    <row r="19" customFormat="false" ht="24" hidden="false" customHeight="true" outlineLevel="0" collapsed="false">
      <c r="A19" s="269" t="n">
        <v>10</v>
      </c>
      <c r="B19" s="269" t="s">
        <v>751</v>
      </c>
      <c r="C19" s="269" t="s">
        <v>752</v>
      </c>
      <c r="D19" s="150" t="s">
        <v>733</v>
      </c>
      <c r="E19" s="300" t="n">
        <v>1</v>
      </c>
      <c r="F19" s="272" t="s">
        <v>730</v>
      </c>
    </row>
    <row r="20" customFormat="false" ht="24" hidden="false" customHeight="true" outlineLevel="0" collapsed="false">
      <c r="A20" s="269" t="n">
        <v>11</v>
      </c>
      <c r="B20" s="269" t="s">
        <v>753</v>
      </c>
      <c r="C20" s="269" t="s">
        <v>627</v>
      </c>
      <c r="D20" s="150" t="s">
        <v>754</v>
      </c>
      <c r="E20" s="300" t="n">
        <v>1</v>
      </c>
      <c r="F20" s="272" t="s">
        <v>730</v>
      </c>
    </row>
    <row r="21" customFormat="false" ht="21.75" hidden="false" customHeight="true" outlineLevel="0" collapsed="false">
      <c r="A21" s="293" t="s">
        <v>755</v>
      </c>
      <c r="B21" s="294"/>
      <c r="C21" s="294"/>
      <c r="D21" s="294"/>
      <c r="E21" s="301" t="n">
        <f aca="false">SUM(E10:E20)</f>
        <v>11.0</v>
      </c>
      <c r="F21" s="294"/>
    </row>
    <row r="23" customFormat="false" ht="19.5" hidden="false" customHeight="true" outlineLevel="0" collapsed="false">
      <c r="A23" s="296" t="s">
        <v>756</v>
      </c>
      <c r="B23" s="296"/>
      <c r="C23" s="296"/>
      <c r="D23" s="296"/>
      <c r="E23" s="296"/>
      <c r="F23" s="296"/>
    </row>
    <row r="24" customFormat="false" ht="30" hidden="false" customHeight="true" outlineLevel="0" collapsed="false">
      <c r="A24" s="268" t="s">
        <v>309</v>
      </c>
      <c r="B24" s="268" t="s">
        <v>757</v>
      </c>
      <c r="C24" s="268" t="s">
        <v>170</v>
      </c>
      <c r="D24" s="268" t="s">
        <v>758</v>
      </c>
      <c r="E24" s="268" t="s">
        <v>169</v>
      </c>
      <c r="F24" s="268" t="s">
        <v>483</v>
      </c>
    </row>
    <row r="25" customFormat="false" ht="30" hidden="false" customHeight="true" outlineLevel="0" collapsed="false">
      <c r="A25" s="269" t="n">
        <v>1</v>
      </c>
      <c r="B25" s="150" t="s">
        <v>877</v>
      </c>
      <c r="C25" s="290" t="s">
        <v>60</v>
      </c>
      <c r="D25" s="269" t="s">
        <v>759</v>
      </c>
      <c r="E25" s="298" t="n">
        <f aca="false">E21</f>
        <v>11.0</v>
      </c>
      <c r="F25" s="272" t="s">
        <v>760</v>
      </c>
    </row>
    <row r="26" customFormat="false" ht="30" hidden="false" customHeight="true" outlineLevel="0" collapsed="false">
      <c r="A26" s="269" t="n">
        <v>2</v>
      </c>
      <c r="B26" s="150" t="s">
        <v>142</v>
      </c>
      <c r="C26" s="290" t="s">
        <v>60</v>
      </c>
      <c r="D26" s="269" t="s">
        <v>761</v>
      </c>
      <c r="E26" s="298" t="n">
        <f aca="false">E21</f>
        <v>11.0</v>
      </c>
      <c r="F26" s="272" t="s">
        <v>762</v>
      </c>
    </row>
    <row r="27" customFormat="false" ht="30" hidden="false" customHeight="true" outlineLevel="0" collapsed="false">
      <c r="A27" s="269" t="n">
        <v>3</v>
      </c>
      <c r="B27" s="150" t="s">
        <v>763</v>
      </c>
      <c r="C27" s="290" t="s">
        <v>50</v>
      </c>
      <c r="D27" s="269" t="s">
        <v>878</v>
      </c>
      <c r="E27" s="298" t="n">
        <f aca="false">E21*('COLECTOR PARAMETROS'!$C$34*'COLECTOR PARAMETROS'!$C$36+'COLECTOR PARAMETROS'!$C$35*'COLECTOR PARAMETROS'!$C$37)</f>
        <v>111.1176</v>
      </c>
      <c r="F27" s="272" t="s">
        <v>765</v>
      </c>
    </row>
    <row r="28" customFormat="false" ht="30" hidden="false" customHeight="true" outlineLevel="0" collapsed="false">
      <c r="A28" s="269" t="n">
        <v>4</v>
      </c>
      <c r="B28" s="150" t="s">
        <v>766</v>
      </c>
      <c r="C28" s="290" t="s">
        <v>60</v>
      </c>
      <c r="D28" s="269" t="s">
        <v>759</v>
      </c>
      <c r="E28" s="298" t="n">
        <f aca="false">E21</f>
        <v>11.0</v>
      </c>
      <c r="F28" s="272" t="s">
        <v>767</v>
      </c>
    </row>
    <row r="29" customFormat="false" ht="30" hidden="false" customHeight="true" outlineLevel="0" collapsed="false">
      <c r="A29" s="269" t="n">
        <v>5</v>
      </c>
      <c r="B29" s="150" t="s">
        <v>768</v>
      </c>
      <c r="C29" s="290" t="s">
        <v>185</v>
      </c>
      <c r="D29" s="269" t="s">
        <v>769</v>
      </c>
      <c r="E29" s="298" t="n">
        <f aca="false">E21*'COLECTOR PARAMETROS'!$C$31*'COLECTOR PARAMETROS'!$C$31*'COLECTOR PARAMETROS'!$C$32</f>
        <v>0.406912</v>
      </c>
      <c r="F29" s="272" t="s">
        <v>767</v>
      </c>
    </row>
    <row r="30" customFormat="false" ht="30" hidden="false" customHeight="true" outlineLevel="0" collapsed="false">
      <c r="A30" s="269" t="n">
        <v>6</v>
      </c>
      <c r="B30" s="150" t="s">
        <v>152</v>
      </c>
      <c r="C30" s="290" t="s">
        <v>186</v>
      </c>
      <c r="D30" s="269" t="s">
        <v>879</v>
      </c>
      <c r="E30" s="298" t="n">
        <f aca="false">E21*('COLECTOR PARAMETROS'!$C$34*'COLECTOR PARAMETROS'!$C$38+'COLECTOR PARAMETROS'!$C$35*'COLECTOR PARAMETROS'!$C$39)</f>
        <v>9.22944</v>
      </c>
      <c r="F30" s="272" t="s">
        <v>771</v>
      </c>
    </row>
  </sheetData>
  <mergeCells count="11">
    <mergeCell ref="A1:F1"/>
    <mergeCell ref="A2:B2"/>
    <mergeCell ref="C2:F2"/>
    <mergeCell ref="A3:B3"/>
    <mergeCell ref="C3:F3"/>
    <mergeCell ref="A4:B4"/>
    <mergeCell ref="C4:F4"/>
    <mergeCell ref="A5:B5"/>
    <mergeCell ref="C5:F5"/>
    <mergeCell ref="A7:F7"/>
    <mergeCell ref="A23:F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3046875" defaultRowHeight="14.25" zeroHeight="false" outlineLevelRow="0" outlineLevelCol="0"/>
  <cols>
    <col collapsed="false" customWidth="true" hidden="false" outlineLevel="0" max="1" min="1" style="0" width="5"/>
    <col collapsed="false" customWidth="true" hidden="false" outlineLevel="0" max="2" min="2" style="0" width="48"/>
    <col collapsed="false" customWidth="true" hidden="false" outlineLevel="0" max="3" min="3" style="0" width="22"/>
    <col collapsed="false" customWidth="true" hidden="false" outlineLevel="0" max="4" min="4" style="0" width="9"/>
    <col collapsed="false" customWidth="true" hidden="false" outlineLevel="0" max="6" min="5" style="0" width="12"/>
    <col collapsed="false" customWidth="true" hidden="false" outlineLevel="0" max="7" min="7" style="0" width="52"/>
  </cols>
  <sheetData>
    <row r="1" customFormat="false" ht="27" hidden="false" customHeight="true" outlineLevel="0" collapsed="false">
      <c r="A1" s="263" t="s">
        <v>772</v>
      </c>
      <c r="B1" s="263"/>
      <c r="C1" s="263"/>
      <c r="D1" s="263"/>
      <c r="E1" s="263"/>
      <c r="F1" s="263"/>
      <c r="G1" s="263"/>
    </row>
    <row r="2" customFormat="false" ht="24.75" hidden="false" customHeight="true" outlineLevel="0" collapsed="false">
      <c r="A2" s="264" t="s">
        <v>1</v>
      </c>
      <c r="B2" s="264"/>
      <c r="C2" s="265" t="str">
        <f aca="false">+RESUMEN!B4</f>
        <v>GERENCIA TERRITORIAL BAJO MAYO - TARAPOTO</v>
      </c>
      <c r="D2" s="265"/>
      <c r="E2" s="265"/>
      <c r="F2" s="265"/>
      <c r="G2" s="265"/>
    </row>
    <row r="3" customFormat="false" ht="58.5" hidden="false" customHeight="true" outlineLevel="0" collapsed="false">
      <c r="A3" s="264" t="s">
        <v>3</v>
      </c>
      <c r="B3" s="264"/>
      <c r="C3" s="265" t="str">
        <f aca="false">+RESUMEN!B5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265"/>
      <c r="E3" s="265"/>
      <c r="F3" s="265"/>
      <c r="G3" s="265"/>
    </row>
    <row r="4" customFormat="false" ht="24.75" hidden="false" customHeight="true" outlineLevel="0" collapsed="false">
      <c r="A4" s="264" t="s">
        <v>5</v>
      </c>
      <c r="B4" s="264"/>
      <c r="C4" s="265" t="str">
        <f aca="false">+RESUMEN!B6</f>
        <v>SAN MARTIN - SAN MARTIN - MORALES</v>
      </c>
      <c r="D4" s="265"/>
      <c r="E4" s="265"/>
      <c r="F4" s="265"/>
      <c r="G4" s="265"/>
    </row>
    <row r="5" customFormat="false" ht="24.75" hidden="false" customHeight="true" outlineLevel="0" collapsed="false">
      <c r="A5" s="264" t="s">
        <v>7</v>
      </c>
      <c r="B5" s="264"/>
      <c r="C5" s="266" t="n">
        <f aca="false">+RESUMEN!B7</f>
        <v>46266</v>
      </c>
      <c r="D5" s="266"/>
      <c r="E5" s="266"/>
      <c r="F5" s="266"/>
      <c r="G5" s="266"/>
    </row>
    <row r="7" customFormat="false" ht="48" hidden="false" customHeight="true" outlineLevel="0" collapsed="false">
      <c r="A7" s="267" t="s">
        <v>880</v>
      </c>
      <c r="B7" s="267"/>
      <c r="C7" s="267"/>
      <c r="D7" s="267"/>
      <c r="E7" s="267"/>
      <c r="F7" s="267"/>
      <c r="G7" s="267"/>
    </row>
    <row r="9" customFormat="false" ht="30" hidden="false" customHeight="true" outlineLevel="0" collapsed="false">
      <c r="A9" s="268" t="s">
        <v>309</v>
      </c>
      <c r="B9" s="268" t="s">
        <v>650</v>
      </c>
      <c r="C9" s="268" t="s">
        <v>774</v>
      </c>
      <c r="D9" s="268" t="s">
        <v>237</v>
      </c>
      <c r="E9" s="268" t="s">
        <v>266</v>
      </c>
      <c r="F9" s="268" t="s">
        <v>775</v>
      </c>
      <c r="G9" s="268" t="s">
        <v>483</v>
      </c>
    </row>
    <row r="10" customFormat="false" ht="19.5" hidden="false" customHeight="true" outlineLevel="0" collapsed="false">
      <c r="A10" s="296" t="s">
        <v>881</v>
      </c>
      <c r="B10" s="296"/>
      <c r="C10" s="296"/>
      <c r="D10" s="296"/>
      <c r="E10" s="296"/>
      <c r="F10" s="296"/>
      <c r="G10" s="296"/>
    </row>
    <row r="11" customFormat="false" ht="30" hidden="false" customHeight="true" outlineLevel="0" collapsed="false">
      <c r="A11" s="269" t="n">
        <v>1</v>
      </c>
      <c r="B11" s="150" t="s">
        <v>777</v>
      </c>
      <c r="C11" s="302" t="str">
        <f aca="false">"n = ENTERO("&amp;TEXT('COLECTOR PARAMETROS'!$C$46,"0.00")&amp;" / 4.00)"</f>
        <v>n = ENTERO(105.29 / 4.00)</v>
      </c>
      <c r="D11" s="299" t="n">
        <f aca="false">INT('COLECTOR PARAMETROS'!$C$46/'COLECTOR PARAMETROS'!$C$44)</f>
        <v>26.0</v>
      </c>
      <c r="E11" s="271" t="n">
        <f aca="false">2*('COLECTOR PARAMETROS'!$C$10+2*'COLECTOR PARAMETROS'!$C$11)+2*('COLECTOR PARAMETROS'!$C$12+'COLECTOR PARAMETROS'!$C$45+'COLECTOR PARAMETROS'!$C$13)</f>
        <v>4.64</v>
      </c>
      <c r="F11" s="271" t="n">
        <f aca="false">D11*E11</f>
        <v>120.64</v>
      </c>
      <c r="G11" s="272" t="s">
        <v>778</v>
      </c>
    </row>
    <row r="12" customFormat="false" ht="21.75" hidden="false" customHeight="true" outlineLevel="0" collapsed="false">
      <c r="A12" s="293" t="s">
        <v>779</v>
      </c>
      <c r="B12" s="303"/>
      <c r="C12" s="294"/>
      <c r="D12" s="294"/>
      <c r="E12" s="294"/>
      <c r="F12" s="295" t="n">
        <f aca="false">SUM(F11:F11)</f>
        <v>120.64</v>
      </c>
      <c r="G12" s="294"/>
    </row>
    <row r="13" customFormat="false" ht="14.25" hidden="false" customHeight="false" outlineLevel="0" collapsed="false">
      <c r="B13" s="304"/>
    </row>
    <row r="14" customFormat="false" ht="19.5" hidden="false" customHeight="true" outlineLevel="0" collapsed="false">
      <c r="A14" s="296" t="s">
        <v>882</v>
      </c>
      <c r="B14" s="296"/>
      <c r="C14" s="296"/>
      <c r="D14" s="296"/>
      <c r="E14" s="296"/>
      <c r="F14" s="296"/>
      <c r="G14" s="296"/>
    </row>
    <row r="15" customFormat="false" ht="30" hidden="false" customHeight="true" outlineLevel="0" collapsed="false">
      <c r="A15" s="269" t="n">
        <v>1</v>
      </c>
      <c r="B15" s="150" t="s">
        <v>883</v>
      </c>
      <c r="C15" s="302" t="s">
        <v>511</v>
      </c>
      <c r="D15" s="300" t="n">
        <v>0.0</v>
      </c>
      <c r="E15" s="271" t="n">
        <f aca="false">'COLECTOR PARAMETROS'!$C$46</f>
        <v>105.29</v>
      </c>
      <c r="F15" s="271" t="n">
        <f aca="false">D15*E15</f>
        <v>0.0</v>
      </c>
      <c r="G15" s="272" t="s">
        <v>884</v>
      </c>
    </row>
    <row r="16" customFormat="false" ht="30" hidden="false" customHeight="true" outlineLevel="0" collapsed="false">
      <c r="A16" s="269" t="n">
        <v>2</v>
      </c>
      <c r="B16" s="150" t="s">
        <v>783</v>
      </c>
      <c r="C16" s="269" t="s">
        <v>629</v>
      </c>
      <c r="D16" s="300" t="n">
        <v>1</v>
      </c>
      <c r="E16" s="271" t="n">
        <f aca="false">2*('COLECTOR PARAMETROS'!$C$10+2*'COLECTOR PARAMETROS'!$C$11)+2*('COLECTOR PARAMETROS'!$C$12+'COLECTOR PARAMETROS'!$C$45+'COLECTOR PARAMETROS'!$C$13)</f>
        <v>4.64</v>
      </c>
      <c r="F16" s="271" t="n">
        <f aca="false">D16*E16</f>
        <v>4.64</v>
      </c>
      <c r="G16" s="272" t="s">
        <v>885</v>
      </c>
    </row>
    <row r="17" customFormat="false" ht="21.75" hidden="false" customHeight="true" outlineLevel="0" collapsed="false">
      <c r="A17" s="293" t="s">
        <v>886</v>
      </c>
      <c r="B17" s="303"/>
      <c r="C17" s="294"/>
      <c r="D17" s="294"/>
      <c r="E17" s="294"/>
      <c r="F17" s="295" t="n">
        <f aca="false">SUM(F15:F16)</f>
        <v>4.64</v>
      </c>
      <c r="G17" s="294"/>
    </row>
    <row r="18" customFormat="false" ht="14.25" hidden="false" customHeight="false" outlineLevel="0" collapsed="false">
      <c r="B18" s="304"/>
    </row>
    <row r="19" customFormat="false" ht="19.5" hidden="false" customHeight="true" outlineLevel="0" collapsed="false">
      <c r="A19" s="296" t="s">
        <v>786</v>
      </c>
      <c r="B19" s="296"/>
      <c r="C19" s="296"/>
      <c r="D19" s="296"/>
      <c r="E19" s="296"/>
      <c r="F19" s="296"/>
      <c r="G19" s="296"/>
    </row>
    <row r="20" customFormat="false" ht="24" hidden="false" customHeight="true" outlineLevel="0" collapsed="false">
      <c r="A20" s="269" t="n">
        <v>1</v>
      </c>
      <c r="B20" s="150" t="s">
        <v>787</v>
      </c>
      <c r="C20" s="269" t="s">
        <v>728</v>
      </c>
      <c r="D20" s="300" t="n">
        <v>1</v>
      </c>
      <c r="E20" s="22"/>
      <c r="F20" s="299" t="n">
        <f aca="false">D20</f>
        <v>1.0</v>
      </c>
      <c r="G20" s="272" t="s">
        <v>788</v>
      </c>
    </row>
    <row r="21" customFormat="false" ht="24" hidden="false" customHeight="true" outlineLevel="0" collapsed="false">
      <c r="A21" s="269" t="n">
        <v>2</v>
      </c>
      <c r="B21" s="150" t="s">
        <v>789</v>
      </c>
      <c r="C21" s="269" t="s">
        <v>735</v>
      </c>
      <c r="D21" s="300" t="n">
        <v>1</v>
      </c>
      <c r="E21" s="22"/>
      <c r="F21" s="299" t="n">
        <f aca="false">D21</f>
        <v>1.0</v>
      </c>
      <c r="G21" s="272" t="s">
        <v>788</v>
      </c>
    </row>
    <row r="22" customFormat="false" ht="24" hidden="false" customHeight="true" outlineLevel="0" collapsed="false">
      <c r="A22" s="269" t="n">
        <v>3</v>
      </c>
      <c r="B22" s="150" t="s">
        <v>790</v>
      </c>
      <c r="C22" s="269" t="s">
        <v>742</v>
      </c>
      <c r="D22" s="300" t="n">
        <v>1</v>
      </c>
      <c r="E22" s="22"/>
      <c r="F22" s="299" t="n">
        <f aca="false">D22</f>
        <v>1.0</v>
      </c>
      <c r="G22" s="272" t="s">
        <v>788</v>
      </c>
    </row>
    <row r="23" customFormat="false" ht="24" hidden="false" customHeight="true" outlineLevel="0" collapsed="false">
      <c r="A23" s="269" t="n">
        <v>4</v>
      </c>
      <c r="B23" s="150" t="s">
        <v>791</v>
      </c>
      <c r="C23" s="269" t="s">
        <v>749</v>
      </c>
      <c r="D23" s="300" t="n">
        <v>1</v>
      </c>
      <c r="E23" s="22"/>
      <c r="F23" s="299" t="n">
        <f aca="false">D23</f>
        <v>1.0</v>
      </c>
      <c r="G23" s="272" t="s">
        <v>788</v>
      </c>
    </row>
    <row r="24" customFormat="false" ht="21.75" hidden="false" customHeight="true" outlineLevel="0" collapsed="false">
      <c r="A24" s="293" t="s">
        <v>792</v>
      </c>
      <c r="B24" s="303"/>
      <c r="C24" s="294"/>
      <c r="D24" s="294"/>
      <c r="E24" s="294"/>
      <c r="F24" s="301" t="n">
        <f aca="false">SUM(F20:F23)</f>
        <v>4.0</v>
      </c>
      <c r="G24" s="294"/>
    </row>
    <row r="26" customFormat="false" ht="33.75" hidden="false" customHeight="true" outlineLevel="0" collapsed="false">
      <c r="A26" s="273" t="s">
        <v>793</v>
      </c>
      <c r="B26" s="273"/>
      <c r="C26" s="273"/>
      <c r="D26" s="273"/>
      <c r="E26" s="273"/>
      <c r="F26" s="273"/>
      <c r="G26" s="273"/>
    </row>
  </sheetData>
  <mergeCells count="14">
    <mergeCell ref="A1:G1"/>
    <mergeCell ref="A2:B2"/>
    <mergeCell ref="C2:G2"/>
    <mergeCell ref="A3:B3"/>
    <mergeCell ref="C3:G3"/>
    <mergeCell ref="A4:B4"/>
    <mergeCell ref="C4:G4"/>
    <mergeCell ref="A5:B5"/>
    <mergeCell ref="C5:G5"/>
    <mergeCell ref="A7:G7"/>
    <mergeCell ref="A10:G10"/>
    <mergeCell ref="A14:G14"/>
    <mergeCell ref="A19:G19"/>
    <mergeCell ref="A26:G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3"/>
  <sheetViews>
    <sheetView showFormulas="false" showGridLines="true" showRowColHeaders="true" showZeros="true" rightToLeft="false" tabSelected="true" showOutlineSymbols="true" defaultGridColor="true" view="normal" topLeftCell="A6" colorId="64" zoomScale="100" zoomScaleNormal="100" zoomScalePageLayoutView="100" workbookViewId="0">
      <selection pane="topLeft" activeCell="H9" activeCellId="0" sqref="H9"/>
    </sheetView>
  </sheetViews>
  <sheetFormatPr defaultColWidth="8.73046875" defaultRowHeight="14.25" zeroHeight="false" outlineLevelRow="0" outlineLevelCol="0"/>
  <cols>
    <col collapsed="false" customWidth="true" hidden="false" outlineLevel="0" max="1" min="1" style="0" width="5"/>
    <col collapsed="false" customWidth="true" hidden="false" outlineLevel="0" max="2" min="2" style="0" width="44"/>
    <col collapsed="false" customWidth="true" hidden="false" outlineLevel="0" max="3" min="3" style="0" width="8"/>
    <col collapsed="false" customWidth="true" hidden="false" outlineLevel="0" max="4" min="4" style="0" width="12"/>
    <col collapsed="false" customWidth="true" hidden="false" outlineLevel="0" max="5" min="5" style="0" width="44"/>
    <col collapsed="false" customWidth="true" hidden="false" outlineLevel="0" max="6" min="6" style="0" width="10"/>
    <col collapsed="false" customWidth="true" hidden="false" outlineLevel="0" max="7" min="7" style="0" width="17"/>
    <col collapsed="false" customWidth="true" hidden="false" outlineLevel="0" max="8" min="8" style="0" width="14"/>
  </cols>
  <sheetData>
    <row r="1" customFormat="false" ht="27" hidden="false" customHeight="true" outlineLevel="0" collapsed="false">
      <c r="A1" s="263" t="s">
        <v>794</v>
      </c>
      <c r="B1" s="263"/>
      <c r="C1" s="263"/>
      <c r="D1" s="263"/>
      <c r="E1" s="263"/>
      <c r="F1" s="263"/>
      <c r="G1" s="263"/>
      <c r="H1" s="263"/>
    </row>
    <row r="2" customFormat="false" ht="24.75" hidden="false" customHeight="true" outlineLevel="0" collapsed="false">
      <c r="A2" s="264" t="s">
        <v>1</v>
      </c>
      <c r="B2" s="264"/>
      <c r="C2" s="265" t="str">
        <f aca="false">+RESUMEN!B4</f>
        <v>GERENCIA TERRITORIAL BAJO MAYO - TARAPOTO</v>
      </c>
      <c r="D2" s="265"/>
      <c r="E2" s="265"/>
      <c r="F2" s="265"/>
      <c r="G2" s="265"/>
      <c r="H2" s="265"/>
    </row>
    <row r="3" customFormat="false" ht="58.5" hidden="false" customHeight="true" outlineLevel="0" collapsed="false">
      <c r="A3" s="264" t="s">
        <v>3</v>
      </c>
      <c r="B3" s="264"/>
      <c r="C3" s="265" t="str">
        <f aca="false">+RESUMEN!B5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265"/>
      <c r="E3" s="265"/>
      <c r="F3" s="265"/>
      <c r="G3" s="265"/>
      <c r="H3" s="265"/>
    </row>
    <row r="4" customFormat="false" ht="24.75" hidden="false" customHeight="true" outlineLevel="0" collapsed="false">
      <c r="A4" s="264" t="s">
        <v>5</v>
      </c>
      <c r="B4" s="264"/>
      <c r="C4" s="265" t="str">
        <f aca="false">+RESUMEN!B6</f>
        <v>SAN MARTIN - SAN MARTIN - MORALES</v>
      </c>
      <c r="D4" s="265"/>
      <c r="E4" s="265"/>
      <c r="F4" s="265"/>
      <c r="G4" s="265"/>
      <c r="H4" s="265"/>
    </row>
    <row r="5" customFormat="false" ht="24.75" hidden="false" customHeight="true" outlineLevel="0" collapsed="false">
      <c r="A5" s="264" t="s">
        <v>7</v>
      </c>
      <c r="B5" s="264"/>
      <c r="C5" s="266" t="n">
        <f aca="false">+RESUMEN!B7</f>
        <v>46266</v>
      </c>
      <c r="D5" s="266"/>
      <c r="E5" s="266"/>
      <c r="F5" s="266"/>
      <c r="G5" s="266"/>
      <c r="H5" s="266"/>
    </row>
    <row r="7" customFormat="false" ht="48" hidden="false" customHeight="true" outlineLevel="0" collapsed="false">
      <c r="A7" s="267" t="s">
        <v>795</v>
      </c>
      <c r="B7" s="267"/>
      <c r="C7" s="267"/>
      <c r="D7" s="267"/>
      <c r="E7" s="267"/>
      <c r="F7" s="267"/>
      <c r="G7" s="267"/>
      <c r="H7" s="267"/>
    </row>
    <row r="9" customFormat="false" ht="39.75" hidden="false" customHeight="true" outlineLevel="0" collapsed="false">
      <c r="A9" s="268" t="s">
        <v>309</v>
      </c>
      <c r="B9" s="268" t="s">
        <v>757</v>
      </c>
      <c r="C9" s="268" t="s">
        <v>170</v>
      </c>
      <c r="D9" s="268" t="s">
        <v>796</v>
      </c>
      <c r="E9" s="268" t="s">
        <v>797</v>
      </c>
      <c r="F9" s="268" t="s">
        <v>798</v>
      </c>
      <c r="G9" s="268" t="s">
        <v>799</v>
      </c>
      <c r="H9" s="268" t="s">
        <v>800</v>
      </c>
    </row>
    <row r="10" customFormat="false" ht="19.5" hidden="false" customHeight="true" outlineLevel="0" collapsed="false">
      <c r="A10" s="269" t="n">
        <v>1</v>
      </c>
      <c r="B10" s="297" t="s">
        <v>894</v>
      </c>
      <c r="C10" s="290" t="s">
        <v>185</v>
      </c>
      <c r="D10" s="271" t="n">
        <f aca="false">SUM('PLANILLA GENERAL DE METRADOS'!J177:J179)</f>
        <v>14.21415</v>
      </c>
      <c r="E10" s="297" t="s">
        <v>802</v>
      </c>
      <c r="F10" s="290" t="s">
        <v>803</v>
      </c>
      <c r="G10" s="289" t="n">
        <v>9.73</v>
      </c>
      <c r="H10" s="298" t="n">
        <f aca="false">G10*$D$10</f>
        <v>138.3036795</v>
      </c>
    </row>
    <row r="11" customFormat="false" ht="19.5" hidden="false" customHeight="true" outlineLevel="0" collapsed="false">
      <c r="A11" s="22"/>
      <c r="B11" s="305"/>
      <c r="C11" s="22"/>
      <c r="D11" s="22"/>
      <c r="E11" s="297" t="s">
        <v>804</v>
      </c>
      <c r="F11" s="290" t="s">
        <v>185</v>
      </c>
      <c r="G11" s="289" t="n">
        <v>0.52</v>
      </c>
      <c r="H11" s="298" t="n">
        <f aca="false">G11*$D$10</f>
        <v>7.391358</v>
      </c>
    </row>
    <row r="12" customFormat="false" ht="19.5" hidden="false" customHeight="true" outlineLevel="0" collapsed="false">
      <c r="A12" s="22"/>
      <c r="B12" s="305"/>
      <c r="C12" s="22"/>
      <c r="D12" s="22"/>
      <c r="E12" s="297" t="s">
        <v>805</v>
      </c>
      <c r="F12" s="290" t="s">
        <v>185</v>
      </c>
      <c r="G12" s="289" t="n">
        <v>0.53</v>
      </c>
      <c r="H12" s="298" t="n">
        <f aca="false">G12*$D$10</f>
        <v>7.5334995</v>
      </c>
    </row>
    <row r="13" customFormat="false" ht="19.5" hidden="false" customHeight="true" outlineLevel="0" collapsed="false">
      <c r="A13" s="22"/>
      <c r="B13" s="305"/>
      <c r="C13" s="22"/>
      <c r="D13" s="22"/>
      <c r="E13" s="297" t="s">
        <v>806</v>
      </c>
      <c r="F13" s="290" t="s">
        <v>185</v>
      </c>
      <c r="G13" s="289" t="n">
        <v>0.186</v>
      </c>
      <c r="H13" s="298" t="n">
        <f aca="false">G13*$D$10</f>
        <v>2.6438319</v>
      </c>
    </row>
    <row r="14" customFormat="false" ht="19.5" hidden="false" customHeight="true" outlineLevel="0" collapsed="false">
      <c r="A14" s="22"/>
      <c r="B14" s="305"/>
      <c r="C14" s="22"/>
      <c r="D14" s="22"/>
      <c r="E14" s="297" t="s">
        <v>807</v>
      </c>
      <c r="F14" s="290" t="s">
        <v>808</v>
      </c>
      <c r="G14" s="289" t="n">
        <v>0.8</v>
      </c>
      <c r="H14" s="298" t="n">
        <f aca="false">G14*$D$10</f>
        <v>11.37132</v>
      </c>
    </row>
    <row r="15" customFormat="false" ht="19.5" hidden="false" customHeight="true" outlineLevel="0" collapsed="false">
      <c r="A15" s="22"/>
      <c r="B15" s="305"/>
      <c r="C15" s="22"/>
      <c r="D15" s="22"/>
      <c r="E15" s="297" t="s">
        <v>809</v>
      </c>
      <c r="F15" s="290" t="s">
        <v>808</v>
      </c>
      <c r="G15" s="289" t="n">
        <v>0.8</v>
      </c>
      <c r="H15" s="298" t="n">
        <f aca="false">G15*$D$10</f>
        <v>11.37132</v>
      </c>
    </row>
    <row r="16" customFormat="false" ht="19.5" hidden="false" customHeight="true" outlineLevel="0" collapsed="false">
      <c r="A16" s="22"/>
      <c r="B16" s="305"/>
      <c r="C16" s="22"/>
      <c r="D16" s="22"/>
      <c r="E16" s="297" t="s">
        <v>810</v>
      </c>
      <c r="F16" s="290" t="s">
        <v>811</v>
      </c>
      <c r="G16" s="289" t="n">
        <v>0.8</v>
      </c>
      <c r="H16" s="298" t="n">
        <f aca="false">G16*$D$10</f>
        <v>11.37132</v>
      </c>
    </row>
    <row r="17" customFormat="false" ht="19.5" hidden="false" customHeight="true" outlineLevel="0" collapsed="false">
      <c r="A17" s="22"/>
      <c r="B17" s="305"/>
      <c r="C17" s="22"/>
      <c r="D17" s="22"/>
      <c r="E17" s="297" t="s">
        <v>812</v>
      </c>
      <c r="F17" s="290" t="s">
        <v>811</v>
      </c>
      <c r="G17" s="289" t="n">
        <v>0.8</v>
      </c>
      <c r="H17" s="298" t="n">
        <f aca="false">G17*$D$10</f>
        <v>11.37132</v>
      </c>
    </row>
    <row r="18" customFormat="false" ht="19.5" hidden="false" customHeight="true" outlineLevel="0" collapsed="false">
      <c r="A18" s="22"/>
      <c r="B18" s="305"/>
      <c r="C18" s="22"/>
      <c r="D18" s="22"/>
      <c r="E18" s="297" t="s">
        <v>813</v>
      </c>
      <c r="F18" s="290" t="s">
        <v>811</v>
      </c>
      <c r="G18" s="289" t="n">
        <v>6.4</v>
      </c>
      <c r="H18" s="298" t="n">
        <f aca="false">G18*$D$10</f>
        <v>90.97056</v>
      </c>
    </row>
    <row r="19" customFormat="false" ht="19.5" hidden="false" customHeight="true" outlineLevel="0" collapsed="false">
      <c r="A19" s="269" t="n">
        <v>2</v>
      </c>
      <c r="B19" s="297" t="s">
        <v>895</v>
      </c>
      <c r="C19" s="290" t="s">
        <v>185</v>
      </c>
      <c r="D19" s="271" t="n">
        <f aca="false">SUM('PLANILLA GENERAL DE METRADOS'!J181:J183)</f>
        <v>31.550079</v>
      </c>
      <c r="E19" s="297" t="s">
        <v>802</v>
      </c>
      <c r="F19" s="290" t="s">
        <v>803</v>
      </c>
      <c r="G19" s="289" t="n">
        <v>9.73</v>
      </c>
      <c r="H19" s="298" t="n">
        <f aca="false">G19*$D$19</f>
        <v>306.98226867</v>
      </c>
    </row>
    <row r="20" customFormat="false" ht="19.5" hidden="false" customHeight="true" outlineLevel="0" collapsed="false">
      <c r="A20" s="22"/>
      <c r="B20" s="305"/>
      <c r="C20" s="22"/>
      <c r="D20" s="22"/>
      <c r="E20" s="297" t="s">
        <v>804</v>
      </c>
      <c r="F20" s="290" t="s">
        <v>185</v>
      </c>
      <c r="G20" s="289" t="n">
        <v>0.52</v>
      </c>
      <c r="H20" s="298" t="n">
        <f aca="false">G20*$D$19</f>
        <v>16.40604108</v>
      </c>
    </row>
    <row r="21" customFormat="false" ht="19.5" hidden="false" customHeight="true" outlineLevel="0" collapsed="false">
      <c r="A21" s="22"/>
      <c r="B21" s="305"/>
      <c r="C21" s="22"/>
      <c r="D21" s="22"/>
      <c r="E21" s="297" t="s">
        <v>805</v>
      </c>
      <c r="F21" s="290" t="s">
        <v>185</v>
      </c>
      <c r="G21" s="289" t="n">
        <v>0.53</v>
      </c>
      <c r="H21" s="298" t="n">
        <f aca="false">G21*$D$19</f>
        <v>16.72154187</v>
      </c>
    </row>
    <row r="22" customFormat="false" ht="19.5" hidden="false" customHeight="true" outlineLevel="0" collapsed="false">
      <c r="A22" s="22"/>
      <c r="B22" s="305"/>
      <c r="C22" s="22"/>
      <c r="D22" s="22"/>
      <c r="E22" s="297" t="s">
        <v>806</v>
      </c>
      <c r="F22" s="290" t="s">
        <v>185</v>
      </c>
      <c r="G22" s="289" t="n">
        <v>0.186</v>
      </c>
      <c r="H22" s="298" t="n">
        <f aca="false">G22*$D$19</f>
        <v>5.868314694</v>
      </c>
    </row>
    <row r="23" customFormat="false" ht="19.5" hidden="false" customHeight="true" outlineLevel="0" collapsed="false">
      <c r="A23" s="22"/>
      <c r="B23" s="305"/>
      <c r="C23" s="22"/>
      <c r="D23" s="22"/>
      <c r="E23" s="297" t="s">
        <v>807</v>
      </c>
      <c r="F23" s="290" t="s">
        <v>808</v>
      </c>
      <c r="G23" s="289" t="n">
        <v>1</v>
      </c>
      <c r="H23" s="298" t="n">
        <f aca="false">G23*$D$19</f>
        <v>31.550079</v>
      </c>
    </row>
    <row r="24" customFormat="false" ht="19.5" hidden="false" customHeight="true" outlineLevel="0" collapsed="false">
      <c r="A24" s="22"/>
      <c r="B24" s="305"/>
      <c r="C24" s="22"/>
      <c r="D24" s="22"/>
      <c r="E24" s="297" t="s">
        <v>809</v>
      </c>
      <c r="F24" s="290" t="s">
        <v>808</v>
      </c>
      <c r="G24" s="289" t="n">
        <v>1</v>
      </c>
      <c r="H24" s="298" t="n">
        <f aca="false">G24*$D$19</f>
        <v>31.550079</v>
      </c>
    </row>
    <row r="25" customFormat="false" ht="19.5" hidden="false" customHeight="true" outlineLevel="0" collapsed="false">
      <c r="A25" s="22"/>
      <c r="B25" s="305"/>
      <c r="C25" s="22"/>
      <c r="D25" s="22"/>
      <c r="E25" s="297" t="s">
        <v>810</v>
      </c>
      <c r="F25" s="290" t="s">
        <v>811</v>
      </c>
      <c r="G25" s="289" t="n">
        <v>1</v>
      </c>
      <c r="H25" s="298" t="n">
        <f aca="false">G25*$D$19</f>
        <v>31.550079</v>
      </c>
    </row>
    <row r="26" customFormat="false" ht="19.5" hidden="false" customHeight="true" outlineLevel="0" collapsed="false">
      <c r="A26" s="22"/>
      <c r="B26" s="305"/>
      <c r="C26" s="22"/>
      <c r="D26" s="22"/>
      <c r="E26" s="297" t="s">
        <v>812</v>
      </c>
      <c r="F26" s="290" t="s">
        <v>811</v>
      </c>
      <c r="G26" s="289" t="n">
        <v>1</v>
      </c>
      <c r="H26" s="298" t="n">
        <f aca="false">G26*$D$19</f>
        <v>31.550079</v>
      </c>
    </row>
    <row r="27" customFormat="false" ht="19.5" hidden="false" customHeight="true" outlineLevel="0" collapsed="false">
      <c r="A27" s="22"/>
      <c r="B27" s="305"/>
      <c r="C27" s="22"/>
      <c r="D27" s="22"/>
      <c r="E27" s="297" t="s">
        <v>813</v>
      </c>
      <c r="F27" s="290" t="s">
        <v>811</v>
      </c>
      <c r="G27" s="289" t="n">
        <v>8</v>
      </c>
      <c r="H27" s="298" t="n">
        <f aca="false">G27*$D$19</f>
        <v>252.400632</v>
      </c>
    </row>
    <row r="28" customFormat="false" ht="19.5" hidden="false" customHeight="true" outlineLevel="0" collapsed="false">
      <c r="A28" s="269" t="n">
        <v>3</v>
      </c>
      <c r="B28" s="297" t="s">
        <v>896</v>
      </c>
      <c r="C28" s="290" t="s">
        <v>185</v>
      </c>
      <c r="D28" s="271" t="n">
        <f aca="false">SUM('PLANILLA GENERAL DE METRADOS'!J185:J189)</f>
        <v>10.2529</v>
      </c>
      <c r="E28" s="297" t="s">
        <v>802</v>
      </c>
      <c r="F28" s="290" t="s">
        <v>803</v>
      </c>
      <c r="G28" s="289" t="n">
        <v>9.73</v>
      </c>
      <c r="H28" s="298" t="n">
        <f aca="false">G28*$D$28</f>
        <v>99.760717</v>
      </c>
    </row>
    <row r="29" customFormat="false" ht="19.5" hidden="false" customHeight="true" outlineLevel="0" collapsed="false">
      <c r="A29" s="22"/>
      <c r="B29" s="305"/>
      <c r="C29" s="22"/>
      <c r="D29" s="22"/>
      <c r="E29" s="297" t="s">
        <v>804</v>
      </c>
      <c r="F29" s="290" t="s">
        <v>185</v>
      </c>
      <c r="G29" s="289" t="n">
        <v>0.52</v>
      </c>
      <c r="H29" s="298" t="n">
        <f aca="false">G29*$D$28</f>
        <v>5.331508</v>
      </c>
    </row>
    <row r="30" customFormat="false" ht="19.5" hidden="false" customHeight="true" outlineLevel="0" collapsed="false">
      <c r="A30" s="22"/>
      <c r="B30" s="305"/>
      <c r="C30" s="22"/>
      <c r="D30" s="22"/>
      <c r="E30" s="297" t="s">
        <v>805</v>
      </c>
      <c r="F30" s="290" t="s">
        <v>185</v>
      </c>
      <c r="G30" s="289" t="n">
        <v>0.53</v>
      </c>
      <c r="H30" s="298" t="n">
        <f aca="false">G30*$D$28</f>
        <v>5.434037</v>
      </c>
    </row>
    <row r="31" customFormat="false" ht="19.5" hidden="false" customHeight="true" outlineLevel="0" collapsed="false">
      <c r="A31" s="22"/>
      <c r="B31" s="305"/>
      <c r="C31" s="22"/>
      <c r="D31" s="22"/>
      <c r="E31" s="297" t="s">
        <v>806</v>
      </c>
      <c r="F31" s="290" t="s">
        <v>185</v>
      </c>
      <c r="G31" s="289" t="n">
        <v>0.186</v>
      </c>
      <c r="H31" s="298" t="n">
        <f aca="false">G31*$D$28</f>
        <v>1.9070394</v>
      </c>
    </row>
    <row r="32" customFormat="false" ht="19.5" hidden="false" customHeight="true" outlineLevel="0" collapsed="false">
      <c r="A32" s="22"/>
      <c r="B32" s="305"/>
      <c r="C32" s="22"/>
      <c r="D32" s="22"/>
      <c r="E32" s="297" t="s">
        <v>807</v>
      </c>
      <c r="F32" s="290" t="s">
        <v>808</v>
      </c>
      <c r="G32" s="289" t="n">
        <v>0.8</v>
      </c>
      <c r="H32" s="298" t="n">
        <f aca="false">G32*$D$28</f>
        <v>8.20232</v>
      </c>
    </row>
    <row r="33" customFormat="false" ht="19.5" hidden="false" customHeight="true" outlineLevel="0" collapsed="false">
      <c r="A33" s="22"/>
      <c r="B33" s="305"/>
      <c r="C33" s="22"/>
      <c r="D33" s="22"/>
      <c r="E33" s="297" t="s">
        <v>809</v>
      </c>
      <c r="F33" s="290" t="s">
        <v>808</v>
      </c>
      <c r="G33" s="289" t="n">
        <v>0.8</v>
      </c>
      <c r="H33" s="298" t="n">
        <f aca="false">G33*$D$28</f>
        <v>8.20232</v>
      </c>
    </row>
    <row r="34" customFormat="false" ht="19.5" hidden="false" customHeight="true" outlineLevel="0" collapsed="false">
      <c r="A34" s="22"/>
      <c r="B34" s="305"/>
      <c r="C34" s="22"/>
      <c r="D34" s="22"/>
      <c r="E34" s="297" t="s">
        <v>810</v>
      </c>
      <c r="F34" s="290" t="s">
        <v>811</v>
      </c>
      <c r="G34" s="289" t="n">
        <v>0.8</v>
      </c>
      <c r="H34" s="298" t="n">
        <f aca="false">G34*$D$28</f>
        <v>8.20232</v>
      </c>
    </row>
    <row r="35" customFormat="false" ht="19.5" hidden="false" customHeight="true" outlineLevel="0" collapsed="false">
      <c r="A35" s="22"/>
      <c r="B35" s="305"/>
      <c r="C35" s="22"/>
      <c r="D35" s="22"/>
      <c r="E35" s="297" t="s">
        <v>812</v>
      </c>
      <c r="F35" s="290" t="s">
        <v>811</v>
      </c>
      <c r="G35" s="289" t="n">
        <v>0.8</v>
      </c>
      <c r="H35" s="298" t="n">
        <f aca="false">G35*$D$28</f>
        <v>8.20232</v>
      </c>
    </row>
    <row r="36" customFormat="false" ht="19.5" hidden="false" customHeight="true" outlineLevel="0" collapsed="false">
      <c r="A36" s="22"/>
      <c r="B36" s="305"/>
      <c r="C36" s="22"/>
      <c r="D36" s="22"/>
      <c r="E36" s="297" t="s">
        <v>813</v>
      </c>
      <c r="F36" s="290" t="s">
        <v>811</v>
      </c>
      <c r="G36" s="289" t="n">
        <v>6.4</v>
      </c>
      <c r="H36" s="298" t="n">
        <f aca="false">G36*$D$28</f>
        <v>65.61856</v>
      </c>
    </row>
    <row r="37" customFormat="false" ht="19.5" hidden="false" customHeight="true" outlineLevel="0" collapsed="false">
      <c r="A37" s="269" t="n">
        <v>4</v>
      </c>
      <c r="B37" s="297" t="s">
        <v>897</v>
      </c>
      <c r="C37" s="290" t="s">
        <v>186</v>
      </c>
      <c r="D37" s="271" t="n">
        <f aca="false">'PLANILLA GENERAL DE METRADOS'!K190</f>
        <v>538.31072</v>
      </c>
      <c r="E37" s="297" t="s">
        <v>817</v>
      </c>
      <c r="F37" s="290" t="s">
        <v>818</v>
      </c>
      <c r="G37" s="289" t="n">
        <v>4.24</v>
      </c>
      <c r="H37" s="298" t="n">
        <f aca="false">G37*$D$37</f>
        <v>2282.4374528</v>
      </c>
    </row>
    <row r="38" customFormat="false" ht="19.5" hidden="false" customHeight="true" outlineLevel="0" collapsed="false">
      <c r="A38" s="22"/>
      <c r="B38" s="305"/>
      <c r="C38" s="22"/>
      <c r="D38" s="22"/>
      <c r="E38" s="297" t="s">
        <v>819</v>
      </c>
      <c r="F38" s="290" t="s">
        <v>50</v>
      </c>
      <c r="G38" s="289" t="n">
        <v>0.2</v>
      </c>
      <c r="H38" s="298" t="n">
        <f aca="false">G38*$D$37</f>
        <v>107.662144</v>
      </c>
    </row>
    <row r="39" customFormat="false" ht="19.5" hidden="false" customHeight="true" outlineLevel="0" collapsed="false">
      <c r="A39" s="22"/>
      <c r="B39" s="305"/>
      <c r="C39" s="22"/>
      <c r="D39" s="22"/>
      <c r="E39" s="297" t="s">
        <v>820</v>
      </c>
      <c r="F39" s="290" t="s">
        <v>50</v>
      </c>
      <c r="G39" s="289" t="n">
        <v>0.2</v>
      </c>
      <c r="H39" s="298" t="n">
        <f aca="false">G39*$D$37</f>
        <v>107.662144</v>
      </c>
    </row>
    <row r="40" customFormat="false" ht="19.5" hidden="false" customHeight="true" outlineLevel="0" collapsed="false">
      <c r="A40" s="22"/>
      <c r="B40" s="305"/>
      <c r="C40" s="22"/>
      <c r="D40" s="22"/>
      <c r="E40" s="297" t="s">
        <v>810</v>
      </c>
      <c r="F40" s="290" t="s">
        <v>811</v>
      </c>
      <c r="G40" s="289" t="n">
        <v>0.8</v>
      </c>
      <c r="H40" s="298" t="n">
        <f aca="false">G40*$D$37</f>
        <v>430.648576</v>
      </c>
    </row>
    <row r="41" customFormat="false" ht="19.5" hidden="false" customHeight="true" outlineLevel="0" collapsed="false">
      <c r="A41" s="22"/>
      <c r="B41" s="305"/>
      <c r="C41" s="22"/>
      <c r="D41" s="22"/>
      <c r="E41" s="297" t="s">
        <v>812</v>
      </c>
      <c r="F41" s="290" t="s">
        <v>811</v>
      </c>
      <c r="G41" s="289" t="n">
        <v>0.8</v>
      </c>
      <c r="H41" s="298" t="n">
        <f aca="false">G41*$D$37</f>
        <v>430.648576</v>
      </c>
    </row>
    <row r="42" customFormat="false" ht="19.5" hidden="false" customHeight="true" outlineLevel="0" collapsed="false">
      <c r="A42" s="269" t="n">
        <v>5</v>
      </c>
      <c r="B42" s="297" t="s">
        <v>898</v>
      </c>
      <c r="C42" s="290" t="s">
        <v>50</v>
      </c>
      <c r="D42" s="271" t="n">
        <f aca="false">'PLANILLA GENERAL DE METRADOS'!K194</f>
        <v>2523.83768622222</v>
      </c>
      <c r="E42" s="297" t="s">
        <v>822</v>
      </c>
      <c r="F42" s="290" t="s">
        <v>50</v>
      </c>
      <c r="G42" s="289" t="n">
        <v>1.05</v>
      </c>
      <c r="H42" s="298" t="n">
        <f aca="false">G42*$D$42</f>
        <v>2650.02957053333</v>
      </c>
    </row>
    <row r="43" customFormat="false" ht="19.5" hidden="false" customHeight="true" outlineLevel="0" collapsed="false">
      <c r="A43" s="22"/>
      <c r="B43" s="305"/>
      <c r="C43" s="22"/>
      <c r="D43" s="22"/>
      <c r="E43" s="297" t="s">
        <v>823</v>
      </c>
      <c r="F43" s="290" t="s">
        <v>50</v>
      </c>
      <c r="G43" s="289" t="n">
        <v>0.06</v>
      </c>
      <c r="H43" s="298" t="n">
        <f aca="false">G43*$D$42</f>
        <v>151.430261173333</v>
      </c>
    </row>
    <row r="44" customFormat="false" ht="19.5" hidden="false" customHeight="true" outlineLevel="0" collapsed="false">
      <c r="A44" s="22"/>
      <c r="B44" s="305"/>
      <c r="C44" s="22"/>
      <c r="D44" s="22"/>
      <c r="E44" s="297" t="s">
        <v>810</v>
      </c>
      <c r="F44" s="290" t="s">
        <v>811</v>
      </c>
      <c r="G44" s="289" t="n">
        <v>0.032</v>
      </c>
      <c r="H44" s="298" t="n">
        <f aca="false">G44*$D$42</f>
        <v>80.7628059591111</v>
      </c>
    </row>
    <row r="45" customFormat="false" ht="19.5" hidden="false" customHeight="true" outlineLevel="0" collapsed="false">
      <c r="A45" s="22"/>
      <c r="B45" s="305"/>
      <c r="C45" s="22"/>
      <c r="D45" s="22"/>
      <c r="E45" s="297" t="s">
        <v>812</v>
      </c>
      <c r="F45" s="290" t="s">
        <v>811</v>
      </c>
      <c r="G45" s="289" t="n">
        <v>0.032</v>
      </c>
      <c r="H45" s="298" t="n">
        <f aca="false">G45*$D$42</f>
        <v>80.7628059591111</v>
      </c>
    </row>
    <row r="46" customFormat="false" ht="19.5" hidden="false" customHeight="true" outlineLevel="0" collapsed="false">
      <c r="A46" s="269" t="n">
        <v>6</v>
      </c>
      <c r="B46" s="297" t="s">
        <v>824</v>
      </c>
      <c r="C46" s="290" t="s">
        <v>186</v>
      </c>
      <c r="D46" s="271" t="n">
        <f aca="false">'PLANILLA GENERAL DE METRADOS'!K171</f>
        <v>105.29</v>
      </c>
      <c r="E46" s="297" t="s">
        <v>802</v>
      </c>
      <c r="F46" s="290" t="s">
        <v>803</v>
      </c>
      <c r="G46" s="289" t="n">
        <v>0.3</v>
      </c>
      <c r="H46" s="298" t="n">
        <f aca="false">G46*$D$46</f>
        <v>31.587</v>
      </c>
    </row>
    <row r="47" customFormat="false" ht="19.5" hidden="false" customHeight="true" outlineLevel="0" collapsed="false">
      <c r="A47" s="22"/>
      <c r="B47" s="305"/>
      <c r="C47" s="22"/>
      <c r="D47" s="22"/>
      <c r="E47" s="297" t="s">
        <v>825</v>
      </c>
      <c r="F47" s="290" t="s">
        <v>185</v>
      </c>
      <c r="G47" s="289" t="n">
        <v>0.064</v>
      </c>
      <c r="H47" s="298" t="n">
        <f aca="false">G47*$D$46</f>
        <v>6.73856</v>
      </c>
    </row>
    <row r="48" customFormat="false" ht="19.5" hidden="false" customHeight="true" outlineLevel="0" collapsed="false">
      <c r="A48" s="22"/>
      <c r="B48" s="305"/>
      <c r="C48" s="22"/>
      <c r="D48" s="22"/>
      <c r="E48" s="297" t="s">
        <v>806</v>
      </c>
      <c r="F48" s="290" t="s">
        <v>185</v>
      </c>
      <c r="G48" s="289" t="n">
        <v>0.01</v>
      </c>
      <c r="H48" s="298" t="n">
        <f aca="false">G48*$D$46</f>
        <v>1.0529</v>
      </c>
    </row>
    <row r="49" customFormat="false" ht="19.5" hidden="false" customHeight="true" outlineLevel="0" collapsed="false">
      <c r="A49" s="22"/>
      <c r="B49" s="305"/>
      <c r="C49" s="22"/>
      <c r="D49" s="22"/>
      <c r="E49" s="297" t="s">
        <v>810</v>
      </c>
      <c r="F49" s="290" t="s">
        <v>811</v>
      </c>
      <c r="G49" s="289" t="n">
        <v>0.1</v>
      </c>
      <c r="H49" s="298" t="n">
        <f aca="false">G49*$D$46</f>
        <v>10.529</v>
      </c>
    </row>
    <row r="50" customFormat="false" ht="19.5" hidden="false" customHeight="true" outlineLevel="0" collapsed="false">
      <c r="A50" s="22"/>
      <c r="B50" s="305"/>
      <c r="C50" s="22"/>
      <c r="D50" s="22"/>
      <c r="E50" s="297" t="s">
        <v>813</v>
      </c>
      <c r="F50" s="290" t="s">
        <v>811</v>
      </c>
      <c r="G50" s="289" t="n">
        <v>0.4</v>
      </c>
      <c r="H50" s="298" t="n">
        <f aca="false">G50*$D$46</f>
        <v>42.116</v>
      </c>
    </row>
    <row r="51" customFormat="false" ht="19.5" hidden="false" customHeight="true" outlineLevel="0" collapsed="false">
      <c r="A51" s="269" t="n">
        <v>7</v>
      </c>
      <c r="B51" s="297" t="s">
        <v>826</v>
      </c>
      <c r="C51" s="290" t="s">
        <v>185</v>
      </c>
      <c r="D51" s="271" t="n">
        <f aca="false">'PLANILLA GENERAL DE METRADOS'!K152</f>
        <v>130.622324</v>
      </c>
      <c r="E51" s="297" t="s">
        <v>813</v>
      </c>
      <c r="F51" s="290" t="s">
        <v>811</v>
      </c>
      <c r="G51" s="289" t="n">
        <v>2.67</v>
      </c>
      <c r="H51" s="298" t="n">
        <f aca="false">G51*$D$51</f>
        <v>348.76160508</v>
      </c>
    </row>
    <row r="52" customFormat="false" ht="19.5" hidden="false" customHeight="true" outlineLevel="0" collapsed="false">
      <c r="A52" s="22"/>
      <c r="B52" s="305"/>
      <c r="C52" s="22"/>
      <c r="D52" s="22"/>
      <c r="E52" s="297" t="s">
        <v>827</v>
      </c>
      <c r="F52" s="290" t="s">
        <v>828</v>
      </c>
      <c r="G52" s="289" t="n">
        <v>0.03</v>
      </c>
      <c r="H52" s="298" t="n">
        <f aca="false">G52*$D$51</f>
        <v>3.91866972</v>
      </c>
    </row>
    <row r="53" customFormat="false" ht="19.5" hidden="false" customHeight="true" outlineLevel="0" collapsed="false">
      <c r="A53" s="269" t="n">
        <v>8</v>
      </c>
      <c r="B53" s="297" t="s">
        <v>829</v>
      </c>
      <c r="C53" s="290" t="s">
        <v>185</v>
      </c>
      <c r="D53" s="271" t="n">
        <f aca="false">'PLANILLA GENERAL DE METRADOS'!K160</f>
        <v>91.51313</v>
      </c>
      <c r="E53" s="297" t="s">
        <v>806</v>
      </c>
      <c r="F53" s="290" t="s">
        <v>185</v>
      </c>
      <c r="G53" s="289" t="n">
        <v>0.05</v>
      </c>
      <c r="H53" s="298" t="n">
        <f aca="false">G53*$D$53</f>
        <v>4.5756565</v>
      </c>
    </row>
    <row r="54" customFormat="false" ht="19.5" hidden="false" customHeight="true" outlineLevel="0" collapsed="false">
      <c r="A54" s="22"/>
      <c r="B54" s="305"/>
      <c r="C54" s="22"/>
      <c r="D54" s="22"/>
      <c r="E54" s="297" t="s">
        <v>830</v>
      </c>
      <c r="F54" s="290" t="s">
        <v>808</v>
      </c>
      <c r="G54" s="289" t="n">
        <v>0.4</v>
      </c>
      <c r="H54" s="298" t="n">
        <f aca="false">G54*$D$53</f>
        <v>36.605252</v>
      </c>
    </row>
    <row r="55" customFormat="false" ht="19.5" hidden="false" customHeight="true" outlineLevel="0" collapsed="false">
      <c r="A55" s="22"/>
      <c r="B55" s="305"/>
      <c r="C55" s="22"/>
      <c r="D55" s="22"/>
      <c r="E55" s="297" t="s">
        <v>810</v>
      </c>
      <c r="F55" s="290" t="s">
        <v>811</v>
      </c>
      <c r="G55" s="289" t="n">
        <v>0.4</v>
      </c>
      <c r="H55" s="298" t="n">
        <f aca="false">G55*$D$53</f>
        <v>36.605252</v>
      </c>
    </row>
    <row r="56" customFormat="false" ht="19.5" hidden="false" customHeight="true" outlineLevel="0" collapsed="false">
      <c r="A56" s="22"/>
      <c r="B56" s="305"/>
      <c r="C56" s="22"/>
      <c r="D56" s="22"/>
      <c r="E56" s="297" t="s">
        <v>813</v>
      </c>
      <c r="F56" s="290" t="s">
        <v>811</v>
      </c>
      <c r="G56" s="289" t="n">
        <v>1.6</v>
      </c>
      <c r="H56" s="298" t="n">
        <f aca="false">G56*$D$53</f>
        <v>146.421008</v>
      </c>
    </row>
    <row r="57" customFormat="false" ht="19.5" hidden="false" customHeight="true" outlineLevel="0" collapsed="false">
      <c r="A57" s="269" t="n">
        <v>9</v>
      </c>
      <c r="B57" s="297" t="s">
        <v>831</v>
      </c>
      <c r="C57" s="290" t="s">
        <v>185</v>
      </c>
      <c r="D57" s="271" t="n">
        <f aca="false">'PLANILLA GENERAL DE METRADOS'!K167</f>
        <v>46.9310328</v>
      </c>
      <c r="E57" s="297" t="s">
        <v>832</v>
      </c>
      <c r="F57" s="290" t="s">
        <v>808</v>
      </c>
      <c r="G57" s="289" t="n">
        <v>0.133</v>
      </c>
      <c r="H57" s="298" t="n">
        <f aca="false">G57*$D$57</f>
        <v>6.2418273624</v>
      </c>
    </row>
    <row r="58" customFormat="false" ht="19.5" hidden="false" customHeight="true" outlineLevel="0" collapsed="false">
      <c r="A58" s="22"/>
      <c r="B58" s="305"/>
      <c r="C58" s="22"/>
      <c r="D58" s="22"/>
      <c r="E58" s="297" t="s">
        <v>833</v>
      </c>
      <c r="F58" s="290" t="s">
        <v>808</v>
      </c>
      <c r="G58" s="289" t="n">
        <v>0.033</v>
      </c>
      <c r="H58" s="298" t="n">
        <f aca="false">G58*$D$57</f>
        <v>1.5487240824</v>
      </c>
    </row>
    <row r="59" customFormat="false" ht="19.5" hidden="false" customHeight="true" outlineLevel="0" collapsed="false">
      <c r="A59" s="22"/>
      <c r="B59" s="305"/>
      <c r="C59" s="22"/>
      <c r="D59" s="22"/>
      <c r="E59" s="297" t="s">
        <v>813</v>
      </c>
      <c r="F59" s="290" t="s">
        <v>811</v>
      </c>
      <c r="G59" s="289" t="n">
        <v>0.133</v>
      </c>
      <c r="H59" s="298" t="n">
        <f aca="false">G59*$D$57</f>
        <v>6.2418273624</v>
      </c>
    </row>
    <row r="60" customFormat="false" ht="19.5" hidden="false" customHeight="true" outlineLevel="0" collapsed="false">
      <c r="A60" s="269" t="n">
        <v>10</v>
      </c>
      <c r="B60" s="297" t="s">
        <v>899</v>
      </c>
      <c r="C60" s="290" t="s">
        <v>50</v>
      </c>
      <c r="D60" s="271" t="n">
        <f aca="false">'COLECTOR REGISTROS Y TAPAS'!E27</f>
        <v>111.1176</v>
      </c>
      <c r="E60" s="297" t="s">
        <v>901</v>
      </c>
      <c r="F60" s="290" t="s">
        <v>50</v>
      </c>
      <c r="G60" s="289" t="n">
        <v>1.05</v>
      </c>
      <c r="H60" s="298" t="n">
        <f aca="false">G60*$D$60</f>
        <v>116.67348</v>
      </c>
    </row>
    <row r="61" customFormat="false" ht="19.5" hidden="false" customHeight="true" outlineLevel="0" collapsed="false">
      <c r="A61" s="22"/>
      <c r="B61" s="305"/>
      <c r="C61" s="22"/>
      <c r="D61" s="22"/>
      <c r="E61" s="297" t="s">
        <v>836</v>
      </c>
      <c r="F61" s="290" t="s">
        <v>50</v>
      </c>
      <c r="G61" s="289" t="n">
        <v>0.03</v>
      </c>
      <c r="H61" s="298" t="n">
        <f aca="false">G61*$D$60</f>
        <v>3.333528</v>
      </c>
    </row>
    <row r="62" customFormat="false" ht="19.5" hidden="false" customHeight="true" outlineLevel="0" collapsed="false">
      <c r="A62" s="22"/>
      <c r="B62" s="305"/>
      <c r="C62" s="22"/>
      <c r="D62" s="22"/>
      <c r="E62" s="297" t="s">
        <v>810</v>
      </c>
      <c r="F62" s="290" t="s">
        <v>811</v>
      </c>
      <c r="G62" s="289" t="n">
        <v>0.1</v>
      </c>
      <c r="H62" s="298" t="n">
        <f aca="false">G62*$D$60</f>
        <v>11.11176</v>
      </c>
    </row>
    <row r="63" customFormat="false" ht="19.5" hidden="false" customHeight="true" outlineLevel="0" collapsed="false">
      <c r="A63" s="22"/>
      <c r="B63" s="305"/>
      <c r="C63" s="22"/>
      <c r="D63" s="22"/>
      <c r="E63" s="297" t="s">
        <v>812</v>
      </c>
      <c r="F63" s="290" t="s">
        <v>811</v>
      </c>
      <c r="G63" s="289" t="n">
        <v>0.1</v>
      </c>
      <c r="H63" s="298" t="n">
        <f aca="false">G63*$D$60</f>
        <v>11.11176</v>
      </c>
    </row>
    <row r="64" customFormat="false" ht="19.5" hidden="false" customHeight="true" outlineLevel="0" collapsed="false">
      <c r="A64" s="269" t="n">
        <v>11</v>
      </c>
      <c r="B64" s="297" t="s">
        <v>900</v>
      </c>
      <c r="C64" s="290" t="s">
        <v>186</v>
      </c>
      <c r="D64" s="271" t="n">
        <f aca="false">'COLECTOR REGISTROS Y TAPAS'!E30</f>
        <v>9.22944</v>
      </c>
      <c r="E64" s="297" t="s">
        <v>838</v>
      </c>
      <c r="F64" s="290" t="s">
        <v>839</v>
      </c>
      <c r="G64" s="289" t="n">
        <v>0.08</v>
      </c>
      <c r="H64" s="298" t="n">
        <f aca="false">G64*$D$64</f>
        <v>0.7383552</v>
      </c>
    </row>
    <row r="65" customFormat="false" ht="19.5" hidden="false" customHeight="true" outlineLevel="0" collapsed="false">
      <c r="A65" s="22"/>
      <c r="B65" s="305"/>
      <c r="C65" s="22"/>
      <c r="D65" s="22"/>
      <c r="E65" s="297" t="s">
        <v>840</v>
      </c>
      <c r="F65" s="290" t="s">
        <v>839</v>
      </c>
      <c r="G65" s="289" t="n">
        <v>0.08</v>
      </c>
      <c r="H65" s="298" t="n">
        <f aca="false">G65*$D$64</f>
        <v>0.7383552</v>
      </c>
    </row>
    <row r="66" customFormat="false" ht="19.5" hidden="false" customHeight="true" outlineLevel="0" collapsed="false">
      <c r="A66" s="22"/>
      <c r="B66" s="305"/>
      <c r="C66" s="22"/>
      <c r="D66" s="22"/>
      <c r="E66" s="297" t="s">
        <v>902</v>
      </c>
      <c r="F66" s="290" t="s">
        <v>60</v>
      </c>
      <c r="G66" s="289" t="n">
        <v>0.25</v>
      </c>
      <c r="H66" s="298" t="n">
        <f aca="false">G66*$D$64</f>
        <v>2.30736</v>
      </c>
    </row>
    <row r="67" customFormat="false" ht="19.5" hidden="false" customHeight="true" outlineLevel="0" collapsed="false">
      <c r="A67" s="22"/>
      <c r="B67" s="305"/>
      <c r="C67" s="22"/>
      <c r="D67" s="22"/>
      <c r="E67" s="297" t="s">
        <v>903</v>
      </c>
      <c r="F67" s="290" t="s">
        <v>839</v>
      </c>
      <c r="G67" s="289" t="n">
        <v>0.024</v>
      </c>
      <c r="H67" s="298" t="n">
        <f aca="false">G67*$D$64</f>
        <v>0.22150656</v>
      </c>
    </row>
    <row r="68" customFormat="false" ht="19.5" hidden="false" customHeight="true" outlineLevel="0" collapsed="false">
      <c r="A68" s="22"/>
      <c r="B68" s="305"/>
      <c r="C68" s="22"/>
      <c r="D68" s="22"/>
      <c r="E68" s="297" t="s">
        <v>810</v>
      </c>
      <c r="F68" s="290" t="s">
        <v>811</v>
      </c>
      <c r="G68" s="289" t="n">
        <v>0.4</v>
      </c>
      <c r="H68" s="298" t="n">
        <f aca="false">G68*$D$64</f>
        <v>3.691776</v>
      </c>
    </row>
    <row r="69" customFormat="false" ht="19.5" hidden="false" customHeight="true" outlineLevel="0" collapsed="false">
      <c r="A69" s="269" t="n">
        <v>12</v>
      </c>
      <c r="B69" s="297" t="s">
        <v>904</v>
      </c>
      <c r="C69" s="290" t="s">
        <v>71</v>
      </c>
      <c r="D69" s="271" t="n">
        <f aca="false">'PLANILLA GENERAL DE METRADOS'!K215</f>
        <v>120.64</v>
      </c>
      <c r="E69" s="297" t="s">
        <v>844</v>
      </c>
      <c r="F69" s="290" t="s">
        <v>186</v>
      </c>
      <c r="G69" s="289" t="n">
        <f aca="false">'ACU JUNTA DILATACION'!$D$14*(1+'ACU JUNTA DILATACION'!$D$15)</f>
        <v>0.136551724137931</v>
      </c>
      <c r="H69" s="298" t="n">
        <f aca="false">G69*$D$69</f>
        <v>16.4736</v>
      </c>
    </row>
    <row r="70" customFormat="false" ht="19.5" hidden="false" customHeight="true" outlineLevel="0" collapsed="false">
      <c r="A70" s="22"/>
      <c r="B70" s="305"/>
      <c r="C70" s="22"/>
      <c r="D70" s="22"/>
      <c r="E70" s="297" t="s">
        <v>905</v>
      </c>
      <c r="F70" s="290" t="s">
        <v>185</v>
      </c>
      <c r="G70" s="289" t="n">
        <f aca="false">'ACU JUNTA DILATACION'!$D$20</f>
        <v>0.00106785103448276</v>
      </c>
      <c r="H70" s="298" t="n">
        <f aca="false">G70*$D$69</f>
        <v>0.1288255488</v>
      </c>
    </row>
    <row r="71" customFormat="false" ht="19.5" hidden="false" customHeight="true" outlineLevel="0" collapsed="false">
      <c r="A71" s="22"/>
      <c r="B71" s="305"/>
      <c r="C71" s="22"/>
      <c r="D71" s="22"/>
      <c r="E71" s="297" t="s">
        <v>810</v>
      </c>
      <c r="F71" s="290" t="s">
        <v>811</v>
      </c>
      <c r="G71" s="289" t="n">
        <v>0.2</v>
      </c>
      <c r="H71" s="298" t="n">
        <f aca="false">G71*$D$69</f>
        <v>24.128</v>
      </c>
    </row>
    <row r="72" customFormat="false" ht="19.5" hidden="false" customHeight="true" outlineLevel="0" collapsed="false">
      <c r="A72" s="22"/>
      <c r="B72" s="305"/>
      <c r="C72" s="22"/>
      <c r="D72" s="22"/>
      <c r="E72" s="297" t="s">
        <v>813</v>
      </c>
      <c r="F72" s="290" t="s">
        <v>811</v>
      </c>
      <c r="G72" s="289" t="n">
        <v>0.2</v>
      </c>
      <c r="H72" s="298" t="n">
        <f aca="false">G72*$D$69</f>
        <v>24.128</v>
      </c>
    </row>
    <row r="73" customFormat="false" ht="19.5" hidden="false" customHeight="true" outlineLevel="0" collapsed="false">
      <c r="A73" s="269" t="n">
        <v>13</v>
      </c>
      <c r="B73" s="297" t="s">
        <v>906</v>
      </c>
      <c r="C73" s="290" t="s">
        <v>71</v>
      </c>
      <c r="D73" s="271" t="n">
        <f aca="false">'PLANILLA GENERAL DE METRADOS'!K216</f>
        <v>4.64</v>
      </c>
      <c r="E73" s="297" t="s">
        <v>844</v>
      </c>
      <c r="F73" s="290" t="s">
        <v>186</v>
      </c>
      <c r="G73" s="289" t="n">
        <f aca="false">'ACU JUNTA CAJA CL'!$D$14*(1+'ACU JUNTA CAJA CL'!$D$15)</f>
        <v>0.136551724137931</v>
      </c>
      <c r="H73" s="298" t="n">
        <f aca="false">G73*$D$73</f>
        <v>0.6336</v>
      </c>
    </row>
    <row r="74" customFormat="false" ht="19.5" hidden="false" customHeight="true" outlineLevel="0" collapsed="false">
      <c r="A74" s="22"/>
      <c r="B74" s="305"/>
      <c r="C74" s="22"/>
      <c r="D74" s="22"/>
      <c r="E74" s="297" t="s">
        <v>905</v>
      </c>
      <c r="F74" s="290" t="s">
        <v>185</v>
      </c>
      <c r="G74" s="289" t="n">
        <f aca="false">'ACU JUNTA CAJA CL'!$D$20</f>
        <v>0.00106785103448276</v>
      </c>
      <c r="H74" s="298" t="n">
        <f aca="false">G74*$D$73</f>
        <v>0.0049548288</v>
      </c>
    </row>
    <row r="75" customFormat="false" ht="19.5" hidden="false" customHeight="true" outlineLevel="0" collapsed="false">
      <c r="A75" s="22"/>
      <c r="B75" s="305"/>
      <c r="C75" s="22"/>
      <c r="D75" s="22"/>
      <c r="E75" s="297" t="s">
        <v>810</v>
      </c>
      <c r="F75" s="290" t="s">
        <v>811</v>
      </c>
      <c r="G75" s="289" t="n">
        <v>0.2</v>
      </c>
      <c r="H75" s="298" t="n">
        <f aca="false">G75*$D$73</f>
        <v>0.928</v>
      </c>
    </row>
    <row r="76" customFormat="false" ht="19.5" hidden="false" customHeight="true" outlineLevel="0" collapsed="false">
      <c r="A76" s="22"/>
      <c r="B76" s="305"/>
      <c r="C76" s="22"/>
      <c r="D76" s="22"/>
      <c r="E76" s="297" t="s">
        <v>813</v>
      </c>
      <c r="F76" s="290" t="s">
        <v>811</v>
      </c>
      <c r="G76" s="289" t="n">
        <v>0.2</v>
      </c>
      <c r="H76" s="298" t="n">
        <f aca="false">G76*$D$73</f>
        <v>0.928</v>
      </c>
    </row>
  </sheetData>
  <mergeCells count="10">
    <mergeCell ref="A1:H1"/>
    <mergeCell ref="A2:B2"/>
    <mergeCell ref="C2:H2"/>
    <mergeCell ref="A3:B3"/>
    <mergeCell ref="C3:H3"/>
    <mergeCell ref="A4:B4"/>
    <mergeCell ref="C4:H4"/>
    <mergeCell ref="A5:B5"/>
    <mergeCell ref="C5:H5"/>
    <mergeCell ref="A7:H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L26" activeCellId="0" sqref="L26"/>
    </sheetView>
  </sheetViews>
  <sheetFormatPr defaultColWidth="8.73046875" defaultRowHeight="14.25" zeroHeight="false" outlineLevelRow="0" outlineLevelCol="0"/>
  <cols>
    <col collapsed="false" customWidth="true" hidden="false" outlineLevel="0" max="1" min="1" style="318" width="6"/>
    <col collapsed="false" customWidth="true" hidden="false" outlineLevel="0" max="2" min="2" style="318" width="46"/>
    <col collapsed="false" customWidth="true" hidden="false" outlineLevel="0" max="3" min="3" style="318" width="8"/>
    <col collapsed="false" customWidth="true" hidden="false" outlineLevel="0" max="7" min="4" style="318" width="14"/>
    <col collapsed="false" customWidth="true" hidden="false" outlineLevel="0" max="8" min="8" style="318" width="44"/>
  </cols>
  <sheetData>
    <row r="1" customFormat="false" ht="27" hidden="false" customHeight="true" outlineLevel="0" collapsed="false">
      <c r="A1" s="306" t="s">
        <v>907</v>
      </c>
      <c r="B1" s="306"/>
      <c r="C1" s="306"/>
      <c r="D1" s="306"/>
      <c r="E1" s="306"/>
      <c r="F1" s="306"/>
      <c r="G1" s="306"/>
      <c r="H1" s="306"/>
    </row>
    <row r="2" customFormat="false" ht="24.75" hidden="false" customHeight="true" outlineLevel="0" collapsed="false">
      <c r="A2" s="307" t="s">
        <v>1</v>
      </c>
      <c r="B2" s="307"/>
      <c r="C2" s="308" t="str">
        <f aca="false">+RESUMEN!B4</f>
        <v>GERENCIA TERRITORIAL BAJO MAYO - TARAPOTO</v>
      </c>
      <c r="D2" s="308"/>
      <c r="E2" s="308"/>
      <c r="F2" s="308"/>
      <c r="G2" s="308"/>
      <c r="H2" s="308"/>
    </row>
    <row r="3" customFormat="false" ht="58.5" hidden="false" customHeight="true" outlineLevel="0" collapsed="false">
      <c r="A3" s="307" t="s">
        <v>3</v>
      </c>
      <c r="B3" s="307"/>
      <c r="C3" s="308" t="str">
        <f aca="false">+RESUMEN!B5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308"/>
      <c r="E3" s="308"/>
      <c r="F3" s="308"/>
      <c r="G3" s="308"/>
      <c r="H3" s="308"/>
    </row>
    <row r="4" customFormat="false" ht="24.75" hidden="false" customHeight="true" outlineLevel="0" collapsed="false">
      <c r="A4" s="307" t="s">
        <v>5</v>
      </c>
      <c r="B4" s="307"/>
      <c r="C4" s="308" t="str">
        <f aca="false">+RESUMEN!B6</f>
        <v>SAN MARTIN - SAN MARTIN - MORALES</v>
      </c>
      <c r="D4" s="308"/>
      <c r="E4" s="308"/>
      <c r="F4" s="308"/>
      <c r="G4" s="308"/>
      <c r="H4" s="308"/>
    </row>
    <row r="5" customFormat="false" ht="24.75" hidden="false" customHeight="true" outlineLevel="0" collapsed="false">
      <c r="A5" s="307" t="s">
        <v>7</v>
      </c>
      <c r="B5" s="307"/>
      <c r="C5" s="266" t="n">
        <f aca="false">+RESUMEN!B7</f>
        <v>0</v>
      </c>
      <c r="D5" s="266"/>
      <c r="E5" s="266"/>
      <c r="F5" s="266"/>
      <c r="G5" s="266"/>
      <c r="H5" s="266"/>
    </row>
    <row r="7" customFormat="false" ht="66" hidden="false" customHeight="true" outlineLevel="0" collapsed="false">
      <c r="A7" s="309" t="s">
        <v>908</v>
      </c>
      <c r="B7" s="309"/>
      <c r="C7" s="309"/>
      <c r="D7" s="309"/>
      <c r="E7" s="309"/>
      <c r="F7" s="309"/>
      <c r="G7" s="309"/>
      <c r="H7" s="309"/>
    </row>
    <row r="9" customFormat="false" ht="19.5" hidden="false" customHeight="true" outlineLevel="0" collapsed="false">
      <c r="A9" s="310" t="s">
        <v>909</v>
      </c>
      <c r="B9" s="310"/>
      <c r="C9" s="310"/>
      <c r="D9" s="310"/>
      <c r="E9" s="310"/>
      <c r="F9" s="310"/>
      <c r="G9" s="310"/>
      <c r="H9" s="310"/>
    </row>
    <row r="10" customFormat="false" ht="33" hidden="false" customHeight="true" outlineLevel="0" collapsed="false">
      <c r="A10" s="311" t="s">
        <v>309</v>
      </c>
      <c r="B10" s="311" t="s">
        <v>910</v>
      </c>
      <c r="C10" s="311" t="s">
        <v>911</v>
      </c>
      <c r="D10" s="311" t="s">
        <v>912</v>
      </c>
      <c r="E10" s="311"/>
      <c r="F10" s="311"/>
      <c r="G10" s="311" t="s">
        <v>913</v>
      </c>
      <c r="H10" s="311" t="s">
        <v>914</v>
      </c>
    </row>
    <row r="11" customFormat="false" ht="21" hidden="false" customHeight="true" outlineLevel="0" collapsed="false">
      <c r="A11" s="312" t="n">
        <v>1.0</v>
      </c>
      <c r="B11" s="313" t="s">
        <v>810</v>
      </c>
      <c r="C11" s="271" t="n">
        <f aca="false">D17</f>
        <v>89.3</v>
      </c>
      <c r="D11" s="271" t="n">
        <f aca="false">D25</f>
        <v>231.62</v>
      </c>
      <c r="E11" s="314"/>
      <c r="F11" s="314"/>
      <c r="G11" s="298" t="n">
        <f aca="false">D26</f>
        <v>28.95</v>
      </c>
      <c r="H11" s="313" t="s">
        <v>915</v>
      </c>
    </row>
    <row r="12" customFormat="false" ht="21" hidden="false" customHeight="true" outlineLevel="0" collapsed="false">
      <c r="A12" s="312" t="n">
        <v>2.0</v>
      </c>
      <c r="B12" s="313" t="s">
        <v>812</v>
      </c>
      <c r="C12" s="271" t="n">
        <f aca="false">E17</f>
        <v>69.75</v>
      </c>
      <c r="D12" s="271" t="n">
        <f aca="false">E25</f>
        <v>181.46</v>
      </c>
      <c r="E12" s="314"/>
      <c r="F12" s="314"/>
      <c r="G12" s="298" t="n">
        <f aca="false">E26</f>
        <v>22.68</v>
      </c>
      <c r="H12" s="313" t="s">
        <v>915</v>
      </c>
    </row>
    <row r="13" customFormat="false" ht="21" hidden="false" customHeight="true" outlineLevel="0" collapsed="false">
      <c r="A13" s="312" t="n">
        <v>3.0</v>
      </c>
      <c r="B13" s="313" t="s">
        <v>813</v>
      </c>
      <c r="C13" s="271" t="n">
        <f aca="false">F17</f>
        <v>62.8</v>
      </c>
      <c r="D13" s="271" t="n">
        <f aca="false">F25</f>
        <v>164.34</v>
      </c>
      <c r="E13" s="314"/>
      <c r="F13" s="314"/>
      <c r="G13" s="298" t="n">
        <f aca="false">F26</f>
        <v>20.54</v>
      </c>
      <c r="H13" s="313" t="s">
        <v>915</v>
      </c>
    </row>
    <row r="15" customFormat="false" ht="19.5" hidden="false" customHeight="true" outlineLevel="0" collapsed="false">
      <c r="A15" s="310" t="s">
        <v>916</v>
      </c>
      <c r="B15" s="310"/>
      <c r="C15" s="310"/>
      <c r="D15" s="310"/>
      <c r="E15" s="310"/>
      <c r="F15" s="310"/>
      <c r="G15" s="310"/>
      <c r="H15" s="310"/>
    </row>
    <row r="16" customFormat="false" ht="21" hidden="false" customHeight="true" outlineLevel="0" collapsed="false">
      <c r="A16" s="311" t="s">
        <v>309</v>
      </c>
      <c r="B16" s="311" t="s">
        <v>917</v>
      </c>
      <c r="C16" s="311" t="s">
        <v>918</v>
      </c>
      <c r="D16" s="311" t="s">
        <v>919</v>
      </c>
      <c r="E16" s="311" t="s">
        <v>920</v>
      </c>
      <c r="F16" s="311" t="s">
        <v>921</v>
      </c>
      <c r="G16" s="311"/>
      <c r="H16" s="311" t="s">
        <v>483</v>
      </c>
    </row>
    <row r="17" customFormat="false" ht="21" hidden="false" customHeight="true" outlineLevel="0" collapsed="false">
      <c r="A17" s="312" t="n">
        <v>1.0</v>
      </c>
      <c r="B17" s="313" t="s">
        <v>922</v>
      </c>
      <c r="C17" s="315" t="s">
        <v>923</v>
      </c>
      <c r="D17" s="316" t="n">
        <v>89.3</v>
      </c>
      <c r="E17" s="316" t="n">
        <v>69.75</v>
      </c>
      <c r="F17" s="316" t="n">
        <v>62.8</v>
      </c>
      <c r="G17" s="314"/>
      <c r="H17" s="313" t="s">
        <v>924</v>
      </c>
    </row>
    <row r="18" customFormat="false" ht="21" hidden="false" customHeight="true" outlineLevel="0" collapsed="false">
      <c r="A18" s="312" t="n">
        <v>2.0</v>
      </c>
      <c r="B18" s="313" t="s">
        <v>925</v>
      </c>
      <c r="C18" s="271" t="n">
        <f aca="false">$D$50</f>
        <v>112.2</v>
      </c>
      <c r="D18" s="271" t="n">
        <f aca="false">ROUND(D17*$C$18/100,2)</f>
        <v>100.19</v>
      </c>
      <c r="E18" s="271" t="n">
        <f aca="false">ROUND(E17*$C$18/100,2)</f>
        <v>78.26</v>
      </c>
      <c r="F18" s="271" t="n">
        <f aca="false">ROUND(F17*$C$18/100,2)</f>
        <v>70.46</v>
      </c>
      <c r="G18" s="314"/>
      <c r="H18" s="313" t="s">
        <v>926</v>
      </c>
    </row>
    <row r="19" customFormat="false" ht="21" hidden="false" customHeight="true" outlineLevel="0" collapsed="false">
      <c r="A19" s="312" t="n">
        <v>3.0</v>
      </c>
      <c r="B19" s="313" t="s">
        <v>927</v>
      </c>
      <c r="C19" s="315" t="s">
        <v>928</v>
      </c>
      <c r="D19" s="271" t="n">
        <f aca="false">ROUND(D17*0.32,2)</f>
        <v>28.58</v>
      </c>
      <c r="E19" s="271" t="n">
        <f aca="false">ROUND(E17*0.30,2)</f>
        <v>20.93</v>
      </c>
      <c r="F19" s="271" t="n">
        <f aca="false">ROUND(F17*0.30,2)</f>
        <v>18.84</v>
      </c>
      <c r="G19" s="314"/>
      <c r="H19" s="313" t="s">
        <v>929</v>
      </c>
    </row>
    <row r="20" customFormat="false" ht="21" hidden="false" customHeight="true" outlineLevel="0" collapsed="false">
      <c r="A20" s="312" t="n">
        <v>4.0</v>
      </c>
      <c r="B20" s="313" t="s">
        <v>930</v>
      </c>
      <c r="C20" s="271" t="n">
        <f aca="false">$E$50</f>
        <v>12.25</v>
      </c>
      <c r="D20" s="271" t="n">
        <f aca="false">ROUND(D19*$C$20/100,2)</f>
        <v>3.5</v>
      </c>
      <c r="E20" s="271" t="n">
        <f aca="false">ROUND(E19*$C$20/100,2)</f>
        <v>2.56</v>
      </c>
      <c r="F20" s="271" t="n">
        <f aca="false">ROUND(F19*$C$20/100,2)</f>
        <v>2.31</v>
      </c>
      <c r="G20" s="314"/>
      <c r="H20" s="313" t="s">
        <v>931</v>
      </c>
    </row>
    <row r="21" customFormat="false" ht="21" hidden="false" customHeight="true" outlineLevel="0" collapsed="false">
      <c r="A21" s="312" t="n">
        <v>5.0</v>
      </c>
      <c r="B21" s="313" t="s">
        <v>932</v>
      </c>
      <c r="C21" s="315" t="s">
        <v>933</v>
      </c>
      <c r="D21" s="316" t="n">
        <v>0.16</v>
      </c>
      <c r="E21" s="316" t="n">
        <v>0.16</v>
      </c>
      <c r="F21" s="316" t="n">
        <v>0.16</v>
      </c>
      <c r="G21" s="314"/>
      <c r="H21" s="313" t="s">
        <v>934</v>
      </c>
    </row>
    <row r="22" customFormat="false" ht="21" hidden="false" customHeight="true" outlineLevel="0" collapsed="false">
      <c r="A22" s="312" t="n">
        <v>6.0</v>
      </c>
      <c r="B22" s="313" t="s">
        <v>935</v>
      </c>
      <c r="C22" s="315" t="s">
        <v>933</v>
      </c>
      <c r="D22" s="316" t="n">
        <v>0.4</v>
      </c>
      <c r="E22" s="316" t="n">
        <v>0.31</v>
      </c>
      <c r="F22" s="316" t="n">
        <v>0.28</v>
      </c>
      <c r="G22" s="314"/>
      <c r="H22" s="313" t="s">
        <v>934</v>
      </c>
    </row>
    <row r="23" customFormat="false" ht="21" hidden="false" customHeight="true" outlineLevel="0" collapsed="false">
      <c r="A23" s="312" t="n">
        <v>7.0</v>
      </c>
      <c r="B23" s="313" t="s">
        <v>936</v>
      </c>
      <c r="C23" s="315" t="s">
        <v>933</v>
      </c>
      <c r="D23" s="316" t="n">
        <v>8.6</v>
      </c>
      <c r="E23" s="316" t="n">
        <v>8.6</v>
      </c>
      <c r="F23" s="316" t="n">
        <v>8.6</v>
      </c>
      <c r="G23" s="314"/>
      <c r="H23" s="313" t="s">
        <v>937</v>
      </c>
    </row>
    <row r="24" customFormat="false" ht="21" hidden="false" customHeight="true" outlineLevel="0" collapsed="false">
      <c r="A24" s="312" t="n">
        <v>8.0</v>
      </c>
      <c r="B24" s="313" t="s">
        <v>938</v>
      </c>
      <c r="C24" s="315" t="s">
        <v>933</v>
      </c>
      <c r="D24" s="271" t="n">
        <f aca="false">ROUND(2*132.8/300,2)</f>
        <v>0.89</v>
      </c>
      <c r="E24" s="271" t="n">
        <f aca="false">ROUND(2*132.8/300,2)</f>
        <v>0.89</v>
      </c>
      <c r="F24" s="271" t="n">
        <f aca="false">ROUND(2*132.8/300,2)</f>
        <v>0.89</v>
      </c>
      <c r="G24" s="314"/>
      <c r="H24" s="313" t="s">
        <v>934</v>
      </c>
    </row>
    <row r="25" customFormat="false" ht="21" hidden="false" customHeight="true" outlineLevel="0" collapsed="false">
      <c r="A25" s="317"/>
      <c r="B25" s="310" t="s">
        <v>939</v>
      </c>
      <c r="C25" s="314"/>
      <c r="D25" s="298" t="n">
        <f aca="false">SUM(D17:D24)</f>
        <v>231.62</v>
      </c>
      <c r="E25" s="298" t="n">
        <f aca="false">SUM(E17:E24)</f>
        <v>181.46</v>
      </c>
      <c r="F25" s="298" t="n">
        <f aca="false">SUM(F17:F24)</f>
        <v>164.34</v>
      </c>
      <c r="G25" s="314"/>
      <c r="H25" s="314"/>
    </row>
    <row r="26" customFormat="false" ht="21" hidden="false" customHeight="true" outlineLevel="0" collapsed="false">
      <c r="A26" s="317"/>
      <c r="B26" s="310" t="s">
        <v>940</v>
      </c>
      <c r="C26" s="314"/>
      <c r="D26" s="298" t="n">
        <f aca="false">ROUND(D25/8,2)</f>
        <v>28.95</v>
      </c>
      <c r="E26" s="298" t="n">
        <f aca="false">ROUND(E25/8,2)</f>
        <v>22.68</v>
      </c>
      <c r="F26" s="298" t="n">
        <f aca="false">ROUND(F25/8,2)</f>
        <v>20.54</v>
      </c>
      <c r="G26" s="314"/>
      <c r="H26" s="313" t="s">
        <v>941</v>
      </c>
    </row>
    <row r="28" customFormat="false" ht="19.5" hidden="false" customHeight="true" outlineLevel="0" collapsed="false">
      <c r="A28" s="310" t="s">
        <v>942</v>
      </c>
      <c r="B28" s="310"/>
      <c r="C28" s="310"/>
      <c r="D28" s="310"/>
      <c r="E28" s="310"/>
      <c r="F28" s="310"/>
      <c r="G28" s="310"/>
      <c r="H28" s="310"/>
    </row>
    <row r="29" customFormat="false" ht="33" hidden="false" customHeight="true" outlineLevel="0" collapsed="false">
      <c r="A29" s="311" t="s">
        <v>309</v>
      </c>
      <c r="B29" s="311" t="s">
        <v>917</v>
      </c>
      <c r="C29" s="311"/>
      <c r="D29" s="311" t="s">
        <v>943</v>
      </c>
      <c r="E29" s="311" t="s">
        <v>944</v>
      </c>
      <c r="F29" s="311"/>
      <c r="G29" s="311"/>
      <c r="H29" s="311" t="s">
        <v>483</v>
      </c>
    </row>
    <row r="30" customFormat="false" ht="19.5" hidden="false" customHeight="true" outlineLevel="0" collapsed="false">
      <c r="A30" s="312" t="n">
        <v>1.0</v>
      </c>
      <c r="B30" s="313" t="s">
        <v>945</v>
      </c>
      <c r="C30" s="314"/>
      <c r="D30" s="316" t="n">
        <v>12.0</v>
      </c>
      <c r="E30" s="314"/>
      <c r="F30" s="314"/>
      <c r="G30" s="314"/>
      <c r="H30" s="313" t="s">
        <v>934</v>
      </c>
    </row>
    <row r="31" customFormat="false" ht="19.5" hidden="false" customHeight="true" outlineLevel="0" collapsed="false">
      <c r="A31" s="312" t="n">
        <v>2.0</v>
      </c>
      <c r="B31" s="313" t="s">
        <v>946</v>
      </c>
      <c r="C31" s="314"/>
      <c r="D31" s="316" t="n">
        <v>3.0</v>
      </c>
      <c r="E31" s="314"/>
      <c r="F31" s="314"/>
      <c r="G31" s="314"/>
      <c r="H31" s="313" t="s">
        <v>934</v>
      </c>
    </row>
    <row r="32" customFormat="false" ht="19.5" hidden="false" customHeight="true" outlineLevel="0" collapsed="false">
      <c r="A32" s="312" t="n">
        <v>3.0</v>
      </c>
      <c r="B32" s="313" t="s">
        <v>947</v>
      </c>
      <c r="C32" s="314"/>
      <c r="D32" s="316" t="n">
        <v>1.3</v>
      </c>
      <c r="E32" s="316" t="n">
        <v>1.3</v>
      </c>
      <c r="F32" s="314"/>
      <c r="G32" s="314"/>
      <c r="H32" s="313" t="s">
        <v>934</v>
      </c>
    </row>
    <row r="33" customFormat="false" ht="19.5" hidden="false" customHeight="true" outlineLevel="0" collapsed="false">
      <c r="A33" s="312" t="n">
        <v>4.0</v>
      </c>
      <c r="B33" s="313" t="s">
        <v>948</v>
      </c>
      <c r="C33" s="314"/>
      <c r="D33" s="316" t="n">
        <v>1.05</v>
      </c>
      <c r="E33" s="316" t="n">
        <v>1.05</v>
      </c>
      <c r="F33" s="314"/>
      <c r="G33" s="314"/>
      <c r="H33" s="313" t="s">
        <v>934</v>
      </c>
    </row>
    <row r="34" customFormat="false" ht="19.5" hidden="false" customHeight="true" outlineLevel="0" collapsed="false">
      <c r="A34" s="312" t="n">
        <v>5.0</v>
      </c>
      <c r="B34" s="313" t="s">
        <v>949</v>
      </c>
      <c r="C34" s="314"/>
      <c r="D34" s="316" t="n">
        <v>9.0</v>
      </c>
      <c r="E34" s="316" t="n">
        <v>9.0</v>
      </c>
      <c r="F34" s="314"/>
      <c r="G34" s="314"/>
      <c r="H34" s="313" t="s">
        <v>934</v>
      </c>
    </row>
    <row r="35" customFormat="false" ht="19.5" hidden="false" customHeight="true" outlineLevel="0" collapsed="false">
      <c r="A35" s="312" t="n">
        <v>6.0</v>
      </c>
      <c r="B35" s="313" t="s">
        <v>950</v>
      </c>
      <c r="C35" s="314"/>
      <c r="D35" s="316" t="n">
        <v>0.9</v>
      </c>
      <c r="E35" s="316" t="n">
        <v>0.9</v>
      </c>
      <c r="F35" s="314"/>
      <c r="G35" s="314"/>
      <c r="H35" s="313" t="s">
        <v>934</v>
      </c>
    </row>
    <row r="36" customFormat="false" ht="19.5" hidden="false" customHeight="true" outlineLevel="0" collapsed="false">
      <c r="A36" s="312" t="n">
        <v>7.0</v>
      </c>
      <c r="B36" s="313" t="s">
        <v>951</v>
      </c>
      <c r="C36" s="314"/>
      <c r="D36" s="316" t="n">
        <v>17.58</v>
      </c>
      <c r="E36" s="314"/>
      <c r="F36" s="314"/>
      <c r="G36" s="314"/>
      <c r="H36" s="313" t="s">
        <v>934</v>
      </c>
    </row>
    <row r="37" customFormat="false" ht="19.5" hidden="false" customHeight="true" outlineLevel="0" collapsed="false">
      <c r="A37" s="312" t="n">
        <v>8.0</v>
      </c>
      <c r="B37" s="313" t="s">
        <v>952</v>
      </c>
      <c r="C37" s="314"/>
      <c r="D37" s="316" t="n">
        <v>10.0</v>
      </c>
      <c r="E37" s="314"/>
      <c r="F37" s="314"/>
      <c r="G37" s="314"/>
      <c r="H37" s="313" t="s">
        <v>934</v>
      </c>
    </row>
    <row r="38" customFormat="false" ht="19.5" hidden="false" customHeight="true" outlineLevel="0" collapsed="false">
      <c r="A38" s="312" t="n">
        <v>9.0</v>
      </c>
      <c r="B38" s="313" t="s">
        <v>953</v>
      </c>
      <c r="C38" s="314"/>
      <c r="D38" s="316" t="n">
        <v>22.22</v>
      </c>
      <c r="E38" s="314"/>
      <c r="F38" s="314"/>
      <c r="G38" s="314"/>
      <c r="H38" s="313" t="s">
        <v>934</v>
      </c>
    </row>
    <row r="39" customFormat="false" ht="19.5" hidden="false" customHeight="true" outlineLevel="0" collapsed="false">
      <c r="A39" s="312" t="n">
        <v>10.0</v>
      </c>
      <c r="B39" s="313" t="s">
        <v>954</v>
      </c>
      <c r="C39" s="314"/>
      <c r="D39" s="316" t="n">
        <v>4.33</v>
      </c>
      <c r="E39" s="314"/>
      <c r="F39" s="314"/>
      <c r="G39" s="314"/>
      <c r="H39" s="313" t="s">
        <v>934</v>
      </c>
    </row>
    <row r="40" customFormat="false" ht="19.5" hidden="false" customHeight="true" outlineLevel="0" collapsed="false">
      <c r="A40" s="312" t="n">
        <v>11.0</v>
      </c>
      <c r="B40" s="313" t="s">
        <v>955</v>
      </c>
      <c r="C40" s="314"/>
      <c r="D40" s="316" t="n">
        <v>25.0</v>
      </c>
      <c r="E40" s="314"/>
      <c r="F40" s="314"/>
      <c r="G40" s="314"/>
      <c r="H40" s="313" t="s">
        <v>934</v>
      </c>
    </row>
    <row r="41" customFormat="false" ht="19.5" hidden="false" customHeight="true" outlineLevel="0" collapsed="false">
      <c r="A41" s="312" t="n">
        <v>12.0</v>
      </c>
      <c r="B41" s="313" t="s">
        <v>956</v>
      </c>
      <c r="C41" s="314"/>
      <c r="D41" s="316" t="n">
        <v>1.58</v>
      </c>
      <c r="E41" s="314"/>
      <c r="F41" s="314"/>
      <c r="G41" s="314"/>
      <c r="H41" s="313" t="s">
        <v>934</v>
      </c>
    </row>
    <row r="42" customFormat="false" ht="19.5" hidden="false" customHeight="true" outlineLevel="0" collapsed="false">
      <c r="A42" s="312" t="n">
        <v>13.0</v>
      </c>
      <c r="B42" s="313" t="s">
        <v>957</v>
      </c>
      <c r="C42" s="314"/>
      <c r="D42" s="316" t="n">
        <v>0.9</v>
      </c>
      <c r="E42" s="314"/>
      <c r="F42" s="314"/>
      <c r="G42" s="314"/>
      <c r="H42" s="313" t="s">
        <v>934</v>
      </c>
    </row>
    <row r="43" customFormat="false" ht="19.5" hidden="false" customHeight="true" outlineLevel="0" collapsed="false">
      <c r="A43" s="312" t="n">
        <v>14.0</v>
      </c>
      <c r="B43" s="313" t="s">
        <v>958</v>
      </c>
      <c r="C43" s="314"/>
      <c r="D43" s="316" t="n">
        <v>0.39</v>
      </c>
      <c r="E43" s="314"/>
      <c r="F43" s="314"/>
      <c r="G43" s="314"/>
      <c r="H43" s="313" t="s">
        <v>934</v>
      </c>
    </row>
    <row r="44" customFormat="false" ht="19.5" hidden="false" customHeight="true" outlineLevel="0" collapsed="false">
      <c r="A44" s="312" t="n">
        <v>15.0</v>
      </c>
      <c r="B44" s="313" t="s">
        <v>959</v>
      </c>
      <c r="C44" s="314"/>
      <c r="D44" s="316" t="n">
        <v>0.41</v>
      </c>
      <c r="E44" s="314"/>
      <c r="F44" s="314"/>
      <c r="G44" s="314"/>
      <c r="H44" s="313" t="s">
        <v>934</v>
      </c>
    </row>
    <row r="45" customFormat="false" ht="19.5" hidden="false" customHeight="true" outlineLevel="0" collapsed="false">
      <c r="A45" s="312" t="n">
        <v>16.0</v>
      </c>
      <c r="B45" s="313" t="s">
        <v>960</v>
      </c>
      <c r="C45" s="314"/>
      <c r="D45" s="316" t="n">
        <v>0.24</v>
      </c>
      <c r="E45" s="314"/>
      <c r="F45" s="314"/>
      <c r="G45" s="314"/>
      <c r="H45" s="313" t="s">
        <v>934</v>
      </c>
    </row>
    <row r="46" customFormat="false" ht="19.5" hidden="false" customHeight="true" outlineLevel="0" collapsed="false">
      <c r="A46" s="312" t="n">
        <v>17.0</v>
      </c>
      <c r="B46" s="313" t="s">
        <v>961</v>
      </c>
      <c r="C46" s="314"/>
      <c r="D46" s="316" t="n">
        <v>0.1</v>
      </c>
      <c r="E46" s="314"/>
      <c r="F46" s="314"/>
      <c r="G46" s="314"/>
      <c r="H46" s="313" t="s">
        <v>934</v>
      </c>
    </row>
    <row r="47" customFormat="false" ht="19.5" hidden="false" customHeight="true" outlineLevel="0" collapsed="false">
      <c r="A47" s="312" t="n">
        <v>18.0</v>
      </c>
      <c r="B47" s="313" t="s">
        <v>962</v>
      </c>
      <c r="C47" s="314"/>
      <c r="D47" s="316" t="n">
        <v>0.16</v>
      </c>
      <c r="E47" s="314"/>
      <c r="F47" s="314"/>
      <c r="G47" s="314"/>
      <c r="H47" s="313" t="s">
        <v>934</v>
      </c>
    </row>
    <row r="48" customFormat="false" ht="19.5" hidden="false" customHeight="true" outlineLevel="0" collapsed="false">
      <c r="A48" s="312" t="n">
        <v>19.0</v>
      </c>
      <c r="B48" s="313" t="s">
        <v>963</v>
      </c>
      <c r="C48" s="314"/>
      <c r="D48" s="316" t="n">
        <v>0.04</v>
      </c>
      <c r="E48" s="314"/>
      <c r="F48" s="314"/>
      <c r="G48" s="314"/>
      <c r="H48" s="313" t="s">
        <v>934</v>
      </c>
    </row>
    <row r="49" customFormat="false" ht="19.5" hidden="false" customHeight="true" outlineLevel="0" collapsed="false">
      <c r="A49" s="312" t="n">
        <v>20.0</v>
      </c>
      <c r="B49" s="313" t="s">
        <v>964</v>
      </c>
      <c r="C49" s="314"/>
      <c r="D49" s="316" t="n">
        <v>2.0</v>
      </c>
      <c r="E49" s="314"/>
      <c r="F49" s="314"/>
      <c r="G49" s="314"/>
      <c r="H49" s="313" t="s">
        <v>934</v>
      </c>
    </row>
    <row r="50" customFormat="false" ht="21" hidden="false" customHeight="true" outlineLevel="0" collapsed="false">
      <c r="A50" s="317"/>
      <c r="B50" s="310" t="s">
        <v>965</v>
      </c>
      <c r="C50" s="314"/>
      <c r="D50" s="298" t="n">
        <f aca="false">SUM(D30:D49)</f>
        <v>112.2</v>
      </c>
      <c r="E50" s="298" t="n">
        <f aca="false">SUM(E30:E49)</f>
        <v>12.25</v>
      </c>
      <c r="F50" s="314"/>
      <c r="G50" s="314"/>
      <c r="H50" s="313" t="s">
        <v>966</v>
      </c>
    </row>
  </sheetData>
  <mergeCells count="13">
    <mergeCell ref="A1:H1"/>
    <mergeCell ref="A2:B2"/>
    <mergeCell ref="C2:H2"/>
    <mergeCell ref="A3:B3"/>
    <mergeCell ref="C3:H3"/>
    <mergeCell ref="A4:B4"/>
    <mergeCell ref="C4:H4"/>
    <mergeCell ref="A5:B5"/>
    <mergeCell ref="C5:H5"/>
    <mergeCell ref="A7:H7"/>
    <mergeCell ref="A9:H9"/>
    <mergeCell ref="A15:H15"/>
    <mergeCell ref="A28:H28"/>
  </mergeCells>
  <printOptions headings="false" gridLines="false" gridLinesSet="true" horizontalCentered="false" verticalCentered="false"/>
  <pageMargins left="0.5" right="0.5" top="0.75" bottom="0.7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96"/>
  <sheetViews>
    <sheetView showFormulas="false" showGridLines="false" showRowColHeaders="true" showZeros="true" rightToLeft="false" tabSelected="false" showOutlineSymbols="true" defaultGridColor="true" view="normal" topLeftCell="A7" colorId="64" zoomScale="100" zoomScaleNormal="100" zoomScalePageLayoutView="100" workbookViewId="0">
      <selection pane="topLeft" activeCell="L26" activeCellId="0" sqref="L26"/>
    </sheetView>
  </sheetViews>
  <sheetFormatPr defaultColWidth="8.73046875" defaultRowHeight="14.25" zeroHeight="false" outlineLevelRow="0" outlineLevelCol="0"/>
  <cols>
    <col collapsed="false" customWidth="true" hidden="false" outlineLevel="0" max="1" min="1" style="318" width="6"/>
    <col collapsed="false" customWidth="true" hidden="false" outlineLevel="0" max="2" min="2" style="318" width="46"/>
    <col collapsed="false" customWidth="true" hidden="false" outlineLevel="0" max="3" min="3" style="318" width="8"/>
    <col collapsed="false" customWidth="true" hidden="false" outlineLevel="0" max="7" min="4" style="318" width="14"/>
    <col collapsed="false" customWidth="true" hidden="false" outlineLevel="0" max="8" min="8" style="318" width="44"/>
  </cols>
  <sheetData>
    <row r="1" customFormat="false" ht="27" hidden="false" customHeight="true" outlineLevel="0" collapsed="false">
      <c r="A1" s="306" t="s">
        <v>967</v>
      </c>
      <c r="B1" s="306"/>
      <c r="C1" s="306"/>
      <c r="D1" s="306"/>
      <c r="E1" s="306"/>
      <c r="F1" s="306"/>
      <c r="G1" s="306"/>
      <c r="H1" s="306"/>
    </row>
    <row r="2" customFormat="false" ht="24.75" hidden="false" customHeight="true" outlineLevel="0" collapsed="false">
      <c r="A2" s="307" t="s">
        <v>1</v>
      </c>
      <c r="B2" s="307"/>
      <c r="C2" s="308" t="str">
        <f aca="false">+RESUMEN!B4</f>
        <v>GERENCIA TERRITORIAL BAJO MAYO - TARAPOTO</v>
      </c>
      <c r="D2" s="308"/>
      <c r="E2" s="308"/>
      <c r="F2" s="308"/>
      <c r="G2" s="308"/>
      <c r="H2" s="308"/>
    </row>
    <row r="3" customFormat="false" ht="58.5" hidden="false" customHeight="true" outlineLevel="0" collapsed="false">
      <c r="A3" s="307" t="s">
        <v>3</v>
      </c>
      <c r="B3" s="307"/>
      <c r="C3" s="308" t="str">
        <f aca="false">+RESUMEN!B5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308"/>
      <c r="E3" s="308"/>
      <c r="F3" s="308"/>
      <c r="G3" s="308"/>
      <c r="H3" s="308"/>
    </row>
    <row r="4" customFormat="false" ht="24.75" hidden="false" customHeight="true" outlineLevel="0" collapsed="false">
      <c r="A4" s="307" t="s">
        <v>5</v>
      </c>
      <c r="B4" s="307"/>
      <c r="C4" s="308" t="str">
        <f aca="false">+RESUMEN!B6</f>
        <v>SAN MARTIN - SAN MARTIN - MORALES</v>
      </c>
      <c r="D4" s="308"/>
      <c r="E4" s="308"/>
      <c r="F4" s="308"/>
      <c r="G4" s="308"/>
      <c r="H4" s="308"/>
    </row>
    <row r="5" customFormat="false" ht="24.75" hidden="false" customHeight="true" outlineLevel="0" collapsed="false">
      <c r="A5" s="307" t="s">
        <v>7</v>
      </c>
      <c r="B5" s="307"/>
      <c r="C5" s="266" t="n">
        <f aca="false">+RESUMEN!B7</f>
        <v>0</v>
      </c>
      <c r="D5" s="266"/>
      <c r="E5" s="266"/>
      <c r="F5" s="266"/>
      <c r="G5" s="266"/>
      <c r="H5" s="266"/>
    </row>
    <row r="7" customFormat="false" ht="66" hidden="false" customHeight="true" outlineLevel="0" collapsed="false">
      <c r="A7" s="309" t="s">
        <v>968</v>
      </c>
      <c r="B7" s="309"/>
      <c r="C7" s="309"/>
      <c r="D7" s="309"/>
      <c r="E7" s="309"/>
      <c r="F7" s="309"/>
      <c r="G7" s="309"/>
      <c r="H7" s="309"/>
    </row>
    <row r="9" customFormat="false" ht="19.5" hidden="false" customHeight="true" outlineLevel="0" collapsed="false">
      <c r="A9" s="310" t="s">
        <v>969</v>
      </c>
      <c r="B9" s="310"/>
      <c r="C9" s="310"/>
      <c r="D9" s="310"/>
      <c r="E9" s="310"/>
      <c r="F9" s="310"/>
      <c r="G9" s="310"/>
      <c r="H9" s="310"/>
    </row>
    <row r="10" customFormat="false" ht="31.5" hidden="false" customHeight="true" outlineLevel="0" collapsed="false">
      <c r="A10" s="311" t="s">
        <v>309</v>
      </c>
      <c r="B10" s="311" t="s">
        <v>970</v>
      </c>
      <c r="C10" s="311" t="s">
        <v>170</v>
      </c>
      <c r="D10" s="311" t="s">
        <v>971</v>
      </c>
      <c r="E10" s="311" t="s">
        <v>972</v>
      </c>
      <c r="F10" s="311" t="s">
        <v>973</v>
      </c>
      <c r="G10" s="311" t="s">
        <v>970</v>
      </c>
      <c r="H10" s="311" t="s">
        <v>483</v>
      </c>
    </row>
    <row r="11" customFormat="false" ht="31.5" hidden="false" customHeight="true" outlineLevel="0" collapsed="false">
      <c r="A11" s="312" t="n">
        <v>1</v>
      </c>
      <c r="B11" s="313" t="s">
        <v>974</v>
      </c>
      <c r="C11" s="315" t="s">
        <v>60</v>
      </c>
      <c r="D11" s="271" t="n">
        <f aca="false">+'COLECTOR REGISTROS Y TAPAS'!E25</f>
        <v>11.0</v>
      </c>
      <c r="E11" s="319" t="n">
        <f aca="false">+'COLECTOR REGISTROS Y TAPAS'!E21</f>
        <v>11.0</v>
      </c>
      <c r="F11" s="320" t="n">
        <f aca="false">D11/E11</f>
        <v>1.0</v>
      </c>
      <c r="G11" s="312" t="s">
        <v>975</v>
      </c>
      <c r="H11" s="313" t="s">
        <v>976</v>
      </c>
    </row>
    <row r="12" customFormat="false" ht="31.5" hidden="false" customHeight="true" outlineLevel="0" collapsed="false">
      <c r="A12" s="312" t="n">
        <v>2</v>
      </c>
      <c r="B12" s="313" t="s">
        <v>977</v>
      </c>
      <c r="C12" s="315" t="s">
        <v>60</v>
      </c>
      <c r="D12" s="271" t="n">
        <f aca="false">+'COLECTOR REGISTROS Y TAPAS'!E26</f>
        <v>11.0</v>
      </c>
      <c r="E12" s="319" t="n">
        <f aca="false">+'COLECTOR REGISTROS Y TAPAS'!E21</f>
        <v>11.0</v>
      </c>
      <c r="F12" s="320" t="n">
        <f aca="false">D12/E12</f>
        <v>1.0</v>
      </c>
      <c r="G12" s="312" t="s">
        <v>978</v>
      </c>
      <c r="H12" s="313" t="s">
        <v>979</v>
      </c>
    </row>
    <row r="13" customFormat="false" ht="31.5" hidden="false" customHeight="true" outlineLevel="0" collapsed="false">
      <c r="A13" s="312" t="n">
        <v>3</v>
      </c>
      <c r="B13" s="313" t="s">
        <v>980</v>
      </c>
      <c r="C13" s="315" t="s">
        <v>50</v>
      </c>
      <c r="D13" s="271" t="n">
        <f aca="false">+'COLECTOR REGISTROS Y TAPAS'!E27</f>
        <v>111.1176</v>
      </c>
      <c r="E13" s="319" t="n">
        <f aca="false">+'COLECTOR REGISTROS Y TAPAS'!E21</f>
        <v>11.0</v>
      </c>
      <c r="F13" s="320" t="n">
        <f aca="false">D13/E13</f>
        <v>10.1016</v>
      </c>
      <c r="G13" s="312" t="s">
        <v>981</v>
      </c>
      <c r="H13" s="313" t="s">
        <v>982</v>
      </c>
    </row>
    <row r="14" customFormat="false" ht="31.5" hidden="false" customHeight="true" outlineLevel="0" collapsed="false">
      <c r="A14" s="312" t="n">
        <v>4</v>
      </c>
      <c r="B14" s="313" t="s">
        <v>983</v>
      </c>
      <c r="C14" s="315" t="s">
        <v>60</v>
      </c>
      <c r="D14" s="271" t="n">
        <f aca="false">+'COLECTOR REGISTROS Y TAPAS'!E28</f>
        <v>11.0</v>
      </c>
      <c r="E14" s="319" t="n">
        <f aca="false">+'COLECTOR REGISTROS Y TAPAS'!E21</f>
        <v>11.0</v>
      </c>
      <c r="F14" s="320" t="n">
        <f aca="false">D14/E14</f>
        <v>1.0</v>
      </c>
      <c r="G14" s="312" t="s">
        <v>984</v>
      </c>
      <c r="H14" s="313" t="s">
        <v>662</v>
      </c>
    </row>
    <row r="15" customFormat="false" ht="31.5" hidden="false" customHeight="true" outlineLevel="0" collapsed="false">
      <c r="A15" s="312" t="n">
        <v>5</v>
      </c>
      <c r="B15" s="313" t="s">
        <v>985</v>
      </c>
      <c r="C15" s="315" t="s">
        <v>185</v>
      </c>
      <c r="D15" s="320" t="n">
        <f aca="false">+'COLECTOR REGISTROS Y TAPAS'!E29</f>
        <v>0.406912</v>
      </c>
      <c r="E15" s="319" t="n">
        <f aca="false">+'COLECTOR REGISTROS Y TAPAS'!E21</f>
        <v>11.0</v>
      </c>
      <c r="F15" s="320" t="n">
        <f aca="false">D15/E15</f>
        <v>0.036992</v>
      </c>
      <c r="G15" s="312" t="s">
        <v>986</v>
      </c>
      <c r="H15" s="313" t="s">
        <v>987</v>
      </c>
    </row>
    <row r="16" customFormat="false" ht="31.5" hidden="false" customHeight="true" outlineLevel="0" collapsed="false">
      <c r="A16" s="312" t="n">
        <v>6</v>
      </c>
      <c r="B16" s="313" t="s">
        <v>988</v>
      </c>
      <c r="C16" s="315" t="s">
        <v>50</v>
      </c>
      <c r="D16" s="271" t="n">
        <f aca="false">+'COLECTOR ACERO'!I25</f>
        <v>190.7136</v>
      </c>
      <c r="E16" s="319" t="n">
        <f aca="false">+'COLECTOR REGISTROS Y TAPAS'!E21</f>
        <v>11.0</v>
      </c>
      <c r="F16" s="320" t="n">
        <f aca="false">D16/E16</f>
        <v>17.3376</v>
      </c>
      <c r="G16" s="312" t="s">
        <v>989</v>
      </c>
      <c r="H16" s="313" t="s">
        <v>1072</v>
      </c>
    </row>
    <row r="17" customFormat="false" ht="31.5" hidden="false" customHeight="true" outlineLevel="0" collapsed="false">
      <c r="A17" s="312" t="n">
        <v>7</v>
      </c>
      <c r="B17" s="313" t="s">
        <v>991</v>
      </c>
      <c r="C17" s="315" t="s">
        <v>186</v>
      </c>
      <c r="D17" s="271" t="n">
        <f aca="false">+'COLECTOR REGISTROS Y TAPAS'!E30</f>
        <v>9.22944</v>
      </c>
      <c r="E17" s="319" t="n">
        <f aca="false">+'COLECTOR REGISTROS Y TAPAS'!E21</f>
        <v>11.0</v>
      </c>
      <c r="F17" s="320" t="n">
        <f aca="false">D17/E17</f>
        <v>0.83904</v>
      </c>
      <c r="G17" s="312" t="s">
        <v>992</v>
      </c>
      <c r="H17" s="313" t="s">
        <v>993</v>
      </c>
    </row>
    <row r="19" customFormat="false" ht="19.5" hidden="false" customHeight="true" outlineLevel="0" collapsed="false">
      <c r="A19" s="310" t="s">
        <v>994</v>
      </c>
      <c r="B19" s="310"/>
      <c r="C19" s="310"/>
      <c r="D19" s="310"/>
      <c r="E19" s="310"/>
      <c r="F19" s="310"/>
      <c r="G19" s="310"/>
      <c r="H19" s="310"/>
    </row>
    <row r="20" customFormat="false" ht="61.5" hidden="false" customHeight="true" outlineLevel="0" collapsed="false">
      <c r="A20" s="311" t="s">
        <v>309</v>
      </c>
      <c r="B20" s="311" t="s">
        <v>797</v>
      </c>
      <c r="C20" s="311" t="s">
        <v>170</v>
      </c>
      <c r="D20" s="311" t="s">
        <v>995</v>
      </c>
      <c r="E20" s="311" t="s">
        <v>996</v>
      </c>
      <c r="F20" s="311" t="s">
        <v>997</v>
      </c>
      <c r="G20" s="311" t="s">
        <v>998</v>
      </c>
      <c r="H20" s="311" t="s">
        <v>999</v>
      </c>
    </row>
    <row r="21" customFormat="false" ht="31.5" hidden="false" customHeight="true" outlineLevel="0" collapsed="false">
      <c r="A21" s="312" t="s">
        <v>1000</v>
      </c>
      <c r="B21" s="310" t="s">
        <v>1001</v>
      </c>
      <c r="C21" s="310"/>
      <c r="D21" s="310"/>
      <c r="E21" s="310"/>
      <c r="F21" s="310"/>
      <c r="G21" s="310"/>
      <c r="H21" s="310"/>
    </row>
    <row r="22" customFormat="false" ht="31.5" hidden="false" customHeight="true" outlineLevel="0" collapsed="false">
      <c r="A22" s="317"/>
      <c r="B22" s="314" t="s">
        <v>1002</v>
      </c>
      <c r="C22" s="315" t="s">
        <v>50</v>
      </c>
      <c r="D22" s="320" t="n">
        <f aca="false">'COLECTOR PARAMETROS'!C34*'COLECTOR PARAMETROS'!C36</f>
        <v>5.124</v>
      </c>
      <c r="E22" s="320" t="n">
        <f aca="false">+'COLECTOR INSUMOS'!G60</f>
        <v>1.05</v>
      </c>
      <c r="F22" s="320" t="n">
        <f aca="false">D22*E22</f>
        <v>5.3802</v>
      </c>
      <c r="G22" s="271" t="n">
        <f aca="false">F22*SUMIF($B$68:$B$93,B22,$F$68:$F$93)</f>
        <v>16.571016</v>
      </c>
      <c r="H22" s="313" t="s">
        <v>1003</v>
      </c>
    </row>
    <row r="23" customFormat="false" ht="31.5" hidden="false" customHeight="true" outlineLevel="0" collapsed="false">
      <c r="A23" s="317"/>
      <c r="B23" s="314" t="s">
        <v>1002</v>
      </c>
      <c r="C23" s="315" t="s">
        <v>50</v>
      </c>
      <c r="D23" s="320" t="n">
        <f aca="false">'COLECTOR PARAMETROS'!C35*'COLECTOR PARAMETROS'!C37</f>
        <v>4.9776</v>
      </c>
      <c r="E23" s="320" t="n">
        <f aca="false">+'COLECTOR INSUMOS'!G60</f>
        <v>1.05</v>
      </c>
      <c r="F23" s="320" t="n">
        <f aca="false">D23*E23</f>
        <v>5.22648</v>
      </c>
      <c r="G23" s="271" t="n">
        <f aca="false">F23*SUMIF($B$68:$B$93,B23,$F$68:$F$93)</f>
        <v>16.0975584</v>
      </c>
      <c r="H23" s="313" t="s">
        <v>1004</v>
      </c>
    </row>
    <row r="24" customFormat="false" ht="19.5" hidden="false" customHeight="true" outlineLevel="0" collapsed="false">
      <c r="A24" s="317"/>
      <c r="B24" s="314" t="s">
        <v>1005</v>
      </c>
      <c r="C24" s="315" t="s">
        <v>50</v>
      </c>
      <c r="D24" s="320" t="n">
        <f aca="false">F13</f>
        <v>10.1016</v>
      </c>
      <c r="E24" s="320" t="n">
        <f aca="false">+'COLECTOR INSUMOS'!G61</f>
        <v>0.03</v>
      </c>
      <c r="F24" s="320" t="n">
        <f aca="false">D24*E24</f>
        <v>0.303048</v>
      </c>
      <c r="G24" s="271" t="n">
        <f aca="false">F24*SUMIF($B$68:$B$93,B24,$F$68:$F$93)</f>
        <v>5.64578424</v>
      </c>
      <c r="H24" s="313" t="s">
        <v>1006</v>
      </c>
    </row>
    <row r="25" customFormat="false" ht="19.5" hidden="false" customHeight="true" outlineLevel="0" collapsed="false">
      <c r="A25" s="317"/>
      <c r="B25" s="314" t="s">
        <v>810</v>
      </c>
      <c r="C25" s="315" t="s">
        <v>811</v>
      </c>
      <c r="D25" s="320" t="n">
        <f aca="false">F13</f>
        <v>10.1016</v>
      </c>
      <c r="E25" s="320" t="n">
        <f aca="false">+'COLECTOR INSUMOS'!G62</f>
        <v>0.1</v>
      </c>
      <c r="F25" s="320" t="n">
        <f aca="false">D25*E25</f>
        <v>1.01016</v>
      </c>
      <c r="G25" s="271" t="n">
        <f aca="false">F25*SUMIF($B$68:$B$93,B25,$F$68:$F$93)</f>
        <v>29.244132</v>
      </c>
      <c r="H25" s="313" t="s">
        <v>1006</v>
      </c>
    </row>
    <row r="26" customFormat="false" ht="19.5" hidden="false" customHeight="true" outlineLevel="0" collapsed="false">
      <c r="A26" s="317"/>
      <c r="B26" s="314" t="s">
        <v>812</v>
      </c>
      <c r="C26" s="315" t="s">
        <v>811</v>
      </c>
      <c r="D26" s="320" t="n">
        <f aca="false">F13</f>
        <v>10.1016</v>
      </c>
      <c r="E26" s="320" t="n">
        <f aca="false">+'COLECTOR INSUMOS'!G63</f>
        <v>0.1</v>
      </c>
      <c r="F26" s="320" t="n">
        <f aca="false">D26*E26</f>
        <v>1.01016</v>
      </c>
      <c r="G26" s="271" t="n">
        <f aca="false">F26*SUMIF($B$68:$B$93,B26,$F$68:$F$93)</f>
        <v>22.9104288</v>
      </c>
      <c r="H26" s="313" t="s">
        <v>1006</v>
      </c>
    </row>
    <row r="27" customFormat="false" ht="19.5" hidden="false" customHeight="true" outlineLevel="0" collapsed="false">
      <c r="A27" s="317"/>
      <c r="B27" s="314" t="s">
        <v>1007</v>
      </c>
      <c r="C27" s="315" t="s">
        <v>808</v>
      </c>
      <c r="D27" s="320" t="n">
        <f aca="false">F13</f>
        <v>10.1016</v>
      </c>
      <c r="E27" s="320" t="n">
        <f aca="false">+'COLECTOR INSUMOS'!G62</f>
        <v>0.1</v>
      </c>
      <c r="F27" s="320" t="n">
        <f aca="false">D27*E27</f>
        <v>1.01016</v>
      </c>
      <c r="G27" s="271" t="n">
        <f aca="false">F27*SUMIF($B$68:$B$93,B27,$F$68:$F$93)</f>
        <v>8.08128</v>
      </c>
      <c r="H27" s="313" t="s">
        <v>1008</v>
      </c>
    </row>
    <row r="28" customFormat="false" ht="19.5" hidden="false" customHeight="true" outlineLevel="0" collapsed="false">
      <c r="A28" s="317"/>
      <c r="B28" s="310" t="s">
        <v>1009</v>
      </c>
      <c r="C28" s="314"/>
      <c r="D28" s="314"/>
      <c r="E28" s="314"/>
      <c r="F28" s="314"/>
      <c r="G28" s="298" t="n">
        <f aca="false">SUM(G22:G27)</f>
        <v>98.55019944</v>
      </c>
      <c r="H28" s="314"/>
    </row>
    <row r="29" customFormat="false" ht="31.5" hidden="false" customHeight="true" outlineLevel="0" collapsed="false">
      <c r="A29" s="312" t="s">
        <v>1010</v>
      </c>
      <c r="B29" s="310" t="s">
        <v>1011</v>
      </c>
      <c r="C29" s="310"/>
      <c r="D29" s="310"/>
      <c r="E29" s="310"/>
      <c r="F29" s="310"/>
      <c r="G29" s="310"/>
      <c r="H29" s="310"/>
    </row>
    <row r="30" customFormat="false" ht="31.5" hidden="false" customHeight="true" outlineLevel="0" collapsed="false">
      <c r="A30" s="317"/>
      <c r="B30" s="314" t="s">
        <v>802</v>
      </c>
      <c r="C30" s="315" t="s">
        <v>803</v>
      </c>
      <c r="D30" s="320" t="n">
        <f aca="false">F15</f>
        <v>0.036992</v>
      </c>
      <c r="E30" s="320" t="n">
        <f aca="false">+'COLECTOR INSUMOS'!G28</f>
        <v>9.73</v>
      </c>
      <c r="F30" s="320" t="n">
        <f aca="false">D30*E30</f>
        <v>0.35993216</v>
      </c>
      <c r="G30" s="271" t="n">
        <f aca="false">F30*SUMIF($B$68:$B$93,B30,$F$68:$F$93)</f>
        <v>11.1327017088</v>
      </c>
      <c r="H30" s="313" t="s">
        <v>1012</v>
      </c>
    </row>
    <row r="31" customFormat="false" ht="19.5" hidden="false" customHeight="true" outlineLevel="0" collapsed="false">
      <c r="A31" s="317"/>
      <c r="B31" s="314" t="s">
        <v>804</v>
      </c>
      <c r="C31" s="315" t="s">
        <v>185</v>
      </c>
      <c r="D31" s="320" t="n">
        <f aca="false">F15</f>
        <v>0.036992</v>
      </c>
      <c r="E31" s="320" t="n">
        <f aca="false">+'COLECTOR INSUMOS'!G29</f>
        <v>0.52</v>
      </c>
      <c r="F31" s="320" t="n">
        <f aca="false">D31*E31</f>
        <v>0.01923584</v>
      </c>
      <c r="G31" s="271" t="n">
        <f aca="false">F31*SUMIF($B$68:$B$93,B31,$F$68:$F$93)</f>
        <v>0.7825139712</v>
      </c>
      <c r="H31" s="313" t="s">
        <v>1013</v>
      </c>
    </row>
    <row r="32" customFormat="false" ht="19.5" hidden="false" customHeight="true" outlineLevel="0" collapsed="false">
      <c r="A32" s="317"/>
      <c r="B32" s="314" t="s">
        <v>805</v>
      </c>
      <c r="C32" s="315" t="s">
        <v>185</v>
      </c>
      <c r="D32" s="320" t="n">
        <f aca="false">F15</f>
        <v>0.036992</v>
      </c>
      <c r="E32" s="320" t="n">
        <f aca="false">+'COLECTOR INSUMOS'!G30</f>
        <v>0.53</v>
      </c>
      <c r="F32" s="320" t="n">
        <f aca="false">D32*E32</f>
        <v>0.01960576</v>
      </c>
      <c r="G32" s="271" t="n">
        <f aca="false">F32*SUMIF($B$68:$B$93,B32,$F$68:$F$93)</f>
        <v>1.9937097344</v>
      </c>
      <c r="H32" s="313" t="s">
        <v>1013</v>
      </c>
    </row>
    <row r="33" customFormat="false" ht="19.5" hidden="false" customHeight="true" outlineLevel="0" collapsed="false">
      <c r="A33" s="317"/>
      <c r="B33" s="314" t="s">
        <v>806</v>
      </c>
      <c r="C33" s="315" t="s">
        <v>185</v>
      </c>
      <c r="D33" s="320" t="n">
        <f aca="false">F15</f>
        <v>0.036992</v>
      </c>
      <c r="E33" s="320" t="n">
        <f aca="false">+'COLECTOR INSUMOS'!G31</f>
        <v>0.186</v>
      </c>
      <c r="F33" s="320" t="n">
        <f aca="false">D33*E33</f>
        <v>0.006880512</v>
      </c>
      <c r="G33" s="271" t="n">
        <f aca="false">F33*SUMIF($B$68:$B$93,B33,$F$68:$F$93)</f>
        <v>0.05731466496</v>
      </c>
      <c r="H33" s="313" t="s">
        <v>1013</v>
      </c>
    </row>
    <row r="34" customFormat="false" ht="19.5" hidden="false" customHeight="true" outlineLevel="0" collapsed="false">
      <c r="A34" s="317"/>
      <c r="B34" s="314" t="s">
        <v>807</v>
      </c>
      <c r="C34" s="315" t="s">
        <v>808</v>
      </c>
      <c r="D34" s="320" t="n">
        <f aca="false">F15</f>
        <v>0.036992</v>
      </c>
      <c r="E34" s="320" t="n">
        <f aca="false">+'COLECTOR INSUMOS'!G32</f>
        <v>0.8</v>
      </c>
      <c r="F34" s="320" t="n">
        <f aca="false">D34*E34</f>
        <v>0.0295936</v>
      </c>
      <c r="G34" s="271" t="n">
        <f aca="false">F34*SUMIF($B$68:$B$93,B34,$F$68:$F$93)</f>
        <v>0.376134656</v>
      </c>
      <c r="H34" s="313" t="s">
        <v>1013</v>
      </c>
    </row>
    <row r="35" customFormat="false" ht="19.5" hidden="false" customHeight="true" outlineLevel="0" collapsed="false">
      <c r="A35" s="317"/>
      <c r="B35" s="314" t="s">
        <v>809</v>
      </c>
      <c r="C35" s="315" t="s">
        <v>808</v>
      </c>
      <c r="D35" s="320" t="n">
        <f aca="false">F15</f>
        <v>0.036992</v>
      </c>
      <c r="E35" s="320" t="n">
        <f aca="false">+'COLECTOR INSUMOS'!G33</f>
        <v>0.8</v>
      </c>
      <c r="F35" s="320" t="n">
        <f aca="false">D35*E35</f>
        <v>0.0295936</v>
      </c>
      <c r="G35" s="271" t="n">
        <f aca="false">F35*SUMIF($B$68:$B$93,B35,$F$68:$F$93)</f>
        <v>0.326121472</v>
      </c>
      <c r="H35" s="313" t="s">
        <v>1013</v>
      </c>
    </row>
    <row r="36" customFormat="false" ht="19.5" hidden="false" customHeight="true" outlineLevel="0" collapsed="false">
      <c r="A36" s="317"/>
      <c r="B36" s="314" t="s">
        <v>810</v>
      </c>
      <c r="C36" s="315" t="s">
        <v>811</v>
      </c>
      <c r="D36" s="320" t="n">
        <f aca="false">F15</f>
        <v>0.036992</v>
      </c>
      <c r="E36" s="320" t="n">
        <f aca="false">+'COLECTOR INSUMOS'!G34</f>
        <v>0.8</v>
      </c>
      <c r="F36" s="320" t="n">
        <f aca="false">D36*E36</f>
        <v>0.0295936</v>
      </c>
      <c r="G36" s="271" t="n">
        <f aca="false">F36*SUMIF($B$68:$B$93,B36,$F$68:$F$93)</f>
        <v>0.85673472</v>
      </c>
      <c r="H36" s="313" t="s">
        <v>1013</v>
      </c>
    </row>
    <row r="37" customFormat="false" ht="19.5" hidden="false" customHeight="true" outlineLevel="0" collapsed="false">
      <c r="A37" s="317"/>
      <c r="B37" s="314" t="s">
        <v>812</v>
      </c>
      <c r="C37" s="315" t="s">
        <v>811</v>
      </c>
      <c r="D37" s="320" t="n">
        <f aca="false">F15</f>
        <v>0.036992</v>
      </c>
      <c r="E37" s="320" t="n">
        <f aca="false">+'COLECTOR INSUMOS'!G35</f>
        <v>0.8</v>
      </c>
      <c r="F37" s="320" t="n">
        <f aca="false">D37*E37</f>
        <v>0.0295936</v>
      </c>
      <c r="G37" s="271" t="n">
        <f aca="false">F37*SUMIF($B$68:$B$93,B37,$F$68:$F$93)</f>
        <v>0.671182848</v>
      </c>
      <c r="H37" s="313" t="s">
        <v>1013</v>
      </c>
    </row>
    <row r="38" customFormat="false" ht="19.5" hidden="false" customHeight="true" outlineLevel="0" collapsed="false">
      <c r="A38" s="317"/>
      <c r="B38" s="314" t="s">
        <v>813</v>
      </c>
      <c r="C38" s="315" t="s">
        <v>811</v>
      </c>
      <c r="D38" s="320" t="n">
        <f aca="false">F15</f>
        <v>0.036992</v>
      </c>
      <c r="E38" s="320" t="n">
        <f aca="false">+'COLECTOR INSUMOS'!G36</f>
        <v>6.4</v>
      </c>
      <c r="F38" s="320" t="n">
        <f aca="false">D38*E38</f>
        <v>0.2367488</v>
      </c>
      <c r="G38" s="271" t="n">
        <f aca="false">F38*SUMIF($B$68:$B$93,B38,$F$68:$F$93)</f>
        <v>4.862820352</v>
      </c>
      <c r="H38" s="313" t="s">
        <v>1013</v>
      </c>
    </row>
    <row r="39" customFormat="false" ht="19.5" hidden="false" customHeight="true" outlineLevel="0" collapsed="false">
      <c r="A39" s="317"/>
      <c r="B39" s="310" t="s">
        <v>1014</v>
      </c>
      <c r="C39" s="314"/>
      <c r="D39" s="314"/>
      <c r="E39" s="314"/>
      <c r="F39" s="314"/>
      <c r="G39" s="298" t="n">
        <f aca="false">SUM(G30:G38)</f>
        <v>21.05923412736</v>
      </c>
      <c r="H39" s="314"/>
    </row>
    <row r="40" customFormat="false" ht="31.5" hidden="false" customHeight="true" outlineLevel="0" collapsed="false">
      <c r="A40" s="312" t="s">
        <v>1015</v>
      </c>
      <c r="B40" s="310" t="s">
        <v>1016</v>
      </c>
      <c r="C40" s="310"/>
      <c r="D40" s="310"/>
      <c r="E40" s="310"/>
      <c r="F40" s="310"/>
      <c r="G40" s="310"/>
      <c r="H40" s="310"/>
    </row>
    <row r="41" customFormat="false" ht="31.5" hidden="false" customHeight="true" outlineLevel="0" collapsed="false">
      <c r="A41" s="317"/>
      <c r="B41" s="314" t="s">
        <v>817</v>
      </c>
      <c r="C41" s="315" t="s">
        <v>818</v>
      </c>
      <c r="D41" s="320" t="n">
        <f aca="false">F14</f>
        <v>1.0</v>
      </c>
      <c r="E41" s="321" t="n">
        <v>1.15</v>
      </c>
      <c r="F41" s="320" t="n">
        <f aca="false">D41*E41</f>
        <v>1.15</v>
      </c>
      <c r="G41" s="271" t="n">
        <f aca="false">F41*SUMIF($B$68:$B$93,B41,$F$68:$F$93)</f>
        <v>5.0715</v>
      </c>
      <c r="H41" s="313" t="s">
        <v>1017</v>
      </c>
    </row>
    <row r="42" customFormat="false" ht="19.5" hidden="false" customHeight="true" outlineLevel="0" collapsed="false">
      <c r="A42" s="317"/>
      <c r="B42" s="310" t="s">
        <v>1018</v>
      </c>
      <c r="C42" s="314"/>
      <c r="D42" s="314"/>
      <c r="E42" s="314"/>
      <c r="F42" s="314"/>
      <c r="G42" s="298" t="n">
        <f aca="false">SUM(G41:G41)</f>
        <v>5.0715</v>
      </c>
      <c r="H42" s="314"/>
    </row>
    <row r="43" customFormat="false" ht="31.5" hidden="false" customHeight="true" outlineLevel="0" collapsed="false">
      <c r="A43" s="312" t="s">
        <v>1019</v>
      </c>
      <c r="B43" s="310" t="s">
        <v>1020</v>
      </c>
      <c r="C43" s="310"/>
      <c r="D43" s="310"/>
      <c r="E43" s="310"/>
      <c r="F43" s="310"/>
      <c r="G43" s="310"/>
      <c r="H43" s="310"/>
    </row>
    <row r="44" customFormat="false" ht="31.5" hidden="false" customHeight="true" outlineLevel="0" collapsed="false">
      <c r="A44" s="317"/>
      <c r="B44" s="314" t="s">
        <v>1021</v>
      </c>
      <c r="C44" s="315" t="s">
        <v>50</v>
      </c>
      <c r="D44" s="320" t="n">
        <f aca="false">F16</f>
        <v>17.3376</v>
      </c>
      <c r="E44" s="320" t="n">
        <f aca="false">+'COLECTOR INSUMOS'!G42</f>
        <v>1.05</v>
      </c>
      <c r="F44" s="320" t="n">
        <f aca="false">D44*E44</f>
        <v>18.20448</v>
      </c>
      <c r="G44" s="271" t="n">
        <f aca="false">F44*SUMIF($B$68:$B$93,B44,$F$68:$F$93)</f>
        <v>62.6234112</v>
      </c>
      <c r="H44" s="313" t="s">
        <v>1022</v>
      </c>
    </row>
    <row r="45" customFormat="false" ht="19.5" hidden="false" customHeight="true" outlineLevel="0" collapsed="false">
      <c r="A45" s="317"/>
      <c r="B45" s="314" t="s">
        <v>823</v>
      </c>
      <c r="C45" s="315" t="s">
        <v>50</v>
      </c>
      <c r="D45" s="320" t="n">
        <f aca="false">F16</f>
        <v>17.3376</v>
      </c>
      <c r="E45" s="320" t="n">
        <f aca="false">+'COLECTOR INSUMOS'!G43</f>
        <v>0.06</v>
      </c>
      <c r="F45" s="320" t="n">
        <f aca="false">D45*E45</f>
        <v>1.040256</v>
      </c>
      <c r="G45" s="271" t="n">
        <f aca="false">F45*SUMIF($B$68:$B$93,B45,$F$68:$F$93)</f>
        <v>5.28450048</v>
      </c>
      <c r="H45" s="313" t="s">
        <v>1013</v>
      </c>
    </row>
    <row r="46" customFormat="false" ht="19.5" hidden="false" customHeight="true" outlineLevel="0" collapsed="false">
      <c r="A46" s="317"/>
      <c r="B46" s="314" t="s">
        <v>810</v>
      </c>
      <c r="C46" s="315" t="s">
        <v>811</v>
      </c>
      <c r="D46" s="320" t="n">
        <f aca="false">F16</f>
        <v>17.3376</v>
      </c>
      <c r="E46" s="320" t="n">
        <f aca="false">+'COLECTOR INSUMOS'!G44</f>
        <v>0.032</v>
      </c>
      <c r="F46" s="320" t="n">
        <f aca="false">D46*E46</f>
        <v>0.5548032</v>
      </c>
      <c r="G46" s="271" t="n">
        <f aca="false">F46*SUMIF($B$68:$B$93,B46,$F$68:$F$93)</f>
        <v>16.06155264</v>
      </c>
      <c r="H46" s="313" t="s">
        <v>1013</v>
      </c>
    </row>
    <row r="47" customFormat="false" ht="19.5" hidden="false" customHeight="true" outlineLevel="0" collapsed="false">
      <c r="A47" s="317"/>
      <c r="B47" s="314" t="s">
        <v>812</v>
      </c>
      <c r="C47" s="315" t="s">
        <v>811</v>
      </c>
      <c r="D47" s="320" t="n">
        <f aca="false">F16</f>
        <v>17.3376</v>
      </c>
      <c r="E47" s="320" t="n">
        <f aca="false">+'COLECTOR INSUMOS'!G45</f>
        <v>0.032</v>
      </c>
      <c r="F47" s="320" t="n">
        <f aca="false">D47*E47</f>
        <v>0.5548032</v>
      </c>
      <c r="G47" s="271" t="n">
        <f aca="false">F47*SUMIF($B$68:$B$93,B47,$F$68:$F$93)</f>
        <v>12.582936576</v>
      </c>
      <c r="H47" s="313" t="s">
        <v>1013</v>
      </c>
    </row>
    <row r="48" customFormat="false" ht="19.5" hidden="false" customHeight="true" outlineLevel="0" collapsed="false">
      <c r="A48" s="317"/>
      <c r="B48" s="310" t="s">
        <v>1023</v>
      </c>
      <c r="C48" s="314"/>
      <c r="D48" s="314"/>
      <c r="E48" s="314"/>
      <c r="F48" s="314"/>
      <c r="G48" s="298" t="n">
        <f aca="false">SUM(G44:G47)</f>
        <v>96.552400896</v>
      </c>
      <c r="H48" s="314"/>
    </row>
    <row r="49" customFormat="false" ht="31.5" hidden="false" customHeight="true" outlineLevel="0" collapsed="false">
      <c r="A49" s="312" t="s">
        <v>1024</v>
      </c>
      <c r="B49" s="310" t="s">
        <v>1025</v>
      </c>
      <c r="C49" s="310"/>
      <c r="D49" s="310"/>
      <c r="E49" s="310"/>
      <c r="F49" s="310"/>
      <c r="G49" s="310"/>
      <c r="H49" s="310"/>
    </row>
    <row r="50" customFormat="false" ht="19.5" hidden="false" customHeight="true" outlineLevel="0" collapsed="false">
      <c r="A50" s="317"/>
      <c r="B50" s="314" t="s">
        <v>838</v>
      </c>
      <c r="C50" s="315" t="s">
        <v>839</v>
      </c>
      <c r="D50" s="320" t="n">
        <f aca="false">F17</f>
        <v>0.83904</v>
      </c>
      <c r="E50" s="320" t="n">
        <f aca="false">+'COLECTOR INSUMOS'!G64</f>
        <v>0.08</v>
      </c>
      <c r="F50" s="320" t="n">
        <f aca="false">D50*E50</f>
        <v>0.0671232</v>
      </c>
      <c r="G50" s="271" t="n">
        <f aca="false">F50*SUMIF($B$68:$B$93,B50,$F$68:$F$93)</f>
        <v>3.015174144</v>
      </c>
      <c r="H50" s="313" t="s">
        <v>1013</v>
      </c>
    </row>
    <row r="51" customFormat="false" ht="19.5" hidden="false" customHeight="true" outlineLevel="0" collapsed="false">
      <c r="A51" s="317"/>
      <c r="B51" s="314" t="s">
        <v>840</v>
      </c>
      <c r="C51" s="315" t="s">
        <v>839</v>
      </c>
      <c r="D51" s="320" t="n">
        <f aca="false">F17</f>
        <v>0.83904</v>
      </c>
      <c r="E51" s="320" t="n">
        <f aca="false">+'COLECTOR INSUMOS'!G65</f>
        <v>0.08</v>
      </c>
      <c r="F51" s="320" t="n">
        <f aca="false">D51*E51</f>
        <v>0.0671232</v>
      </c>
      <c r="G51" s="271" t="n">
        <f aca="false">F51*SUMIF($B$68:$B$93,B51,$F$68:$F$93)</f>
        <v>3.242721792</v>
      </c>
      <c r="H51" s="313" t="s">
        <v>1013</v>
      </c>
    </row>
    <row r="52" customFormat="false" ht="19.5" hidden="false" customHeight="true" outlineLevel="0" collapsed="false">
      <c r="A52" s="317"/>
      <c r="B52" s="314" t="s">
        <v>902</v>
      </c>
      <c r="C52" s="315" t="s">
        <v>60</v>
      </c>
      <c r="D52" s="320" t="n">
        <f aca="false">F17</f>
        <v>0.83904</v>
      </c>
      <c r="E52" s="320" t="n">
        <f aca="false">+'COLECTOR INSUMOS'!G66</f>
        <v>0.25</v>
      </c>
      <c r="F52" s="320" t="n">
        <f aca="false">D52*E52</f>
        <v>0.20976</v>
      </c>
      <c r="G52" s="271" t="n">
        <f aca="false">F52*SUMIF($B$68:$B$93,B52,$F$68:$F$93)</f>
        <v>0.4446912</v>
      </c>
      <c r="H52" s="313" t="s">
        <v>1026</v>
      </c>
    </row>
    <row r="53" customFormat="false" ht="19.5" hidden="false" customHeight="true" outlineLevel="0" collapsed="false">
      <c r="A53" s="317"/>
      <c r="B53" s="314" t="s">
        <v>903</v>
      </c>
      <c r="C53" s="315" t="s">
        <v>839</v>
      </c>
      <c r="D53" s="320" t="n">
        <f aca="false">F17</f>
        <v>0.83904</v>
      </c>
      <c r="E53" s="320" t="n">
        <f aca="false">+'COLECTOR INSUMOS'!G67</f>
        <v>0.024</v>
      </c>
      <c r="F53" s="320" t="n">
        <f aca="false">D53*E53</f>
        <v>0.02013696</v>
      </c>
      <c r="G53" s="271" t="n">
        <f aca="false">F53*SUMIF($B$68:$B$93,B53,$F$68:$F$93)</f>
        <v>0.717882624</v>
      </c>
      <c r="H53" s="313" t="s">
        <v>1027</v>
      </c>
    </row>
    <row r="54" customFormat="false" ht="19.5" hidden="false" customHeight="true" outlineLevel="0" collapsed="false">
      <c r="A54" s="317"/>
      <c r="B54" s="314" t="s">
        <v>810</v>
      </c>
      <c r="C54" s="315" t="s">
        <v>811</v>
      </c>
      <c r="D54" s="320" t="n">
        <f aca="false">F17</f>
        <v>0.83904</v>
      </c>
      <c r="E54" s="320" t="n">
        <f aca="false">+'COLECTOR INSUMOS'!G68</f>
        <v>0.4</v>
      </c>
      <c r="F54" s="320" t="n">
        <f aca="false">D54*E54</f>
        <v>0.335616</v>
      </c>
      <c r="G54" s="271" t="n">
        <f aca="false">F54*SUMIF($B$68:$B$93,B54,$F$68:$F$93)</f>
        <v>9.7160832</v>
      </c>
      <c r="H54" s="313" t="s">
        <v>1013</v>
      </c>
    </row>
    <row r="55" customFormat="false" ht="19.5" hidden="false" customHeight="true" outlineLevel="0" collapsed="false">
      <c r="A55" s="317"/>
      <c r="B55" s="310" t="s">
        <v>1028</v>
      </c>
      <c r="C55" s="314"/>
      <c r="D55" s="314"/>
      <c r="E55" s="314"/>
      <c r="F55" s="314"/>
      <c r="G55" s="298" t="n">
        <f aca="false">SUM(G50:G54)</f>
        <v>17.13655296</v>
      </c>
      <c r="H55" s="314"/>
    </row>
    <row r="56" customFormat="false" ht="31.5" hidden="false" customHeight="true" outlineLevel="0" collapsed="false">
      <c r="A56" s="312" t="s">
        <v>1029</v>
      </c>
      <c r="B56" s="310" t="s">
        <v>1030</v>
      </c>
      <c r="C56" s="310"/>
      <c r="D56" s="310"/>
      <c r="E56" s="310"/>
      <c r="F56" s="310"/>
      <c r="G56" s="310"/>
      <c r="H56" s="310"/>
    </row>
    <row r="57" customFormat="false" ht="19.5" hidden="false" customHeight="true" outlineLevel="0" collapsed="false">
      <c r="A57" s="317"/>
      <c r="B57" s="314" t="s">
        <v>810</v>
      </c>
      <c r="C57" s="315" t="s">
        <v>811</v>
      </c>
      <c r="D57" s="320" t="n">
        <f aca="false">F14</f>
        <v>1.0</v>
      </c>
      <c r="E57" s="321" t="n">
        <v>1</v>
      </c>
      <c r="F57" s="320" t="n">
        <f aca="false">D57*E57</f>
        <v>1.0</v>
      </c>
      <c r="G57" s="271" t="n">
        <f aca="false">F57*SUMIF($B$68:$B$93,B57,$F$68:$F$93)</f>
        <v>28.95</v>
      </c>
      <c r="H57" s="313" t="s">
        <v>1031</v>
      </c>
    </row>
    <row r="58" customFormat="false" ht="19.5" hidden="false" customHeight="true" outlineLevel="0" collapsed="false">
      <c r="A58" s="317"/>
      <c r="B58" s="314" t="s">
        <v>813</v>
      </c>
      <c r="C58" s="315" t="s">
        <v>811</v>
      </c>
      <c r="D58" s="320" t="n">
        <f aca="false">F14</f>
        <v>1.0</v>
      </c>
      <c r="E58" s="321" t="n">
        <v>1</v>
      </c>
      <c r="F58" s="320" t="n">
        <f aca="false">D58*E58</f>
        <v>1.0</v>
      </c>
      <c r="G58" s="271" t="n">
        <f aca="false">F58*SUMIF($B$68:$B$93,B58,$F$68:$F$93)</f>
        <v>20.54</v>
      </c>
      <c r="H58" s="313" t="s">
        <v>1031</v>
      </c>
    </row>
    <row r="59" customFormat="false" ht="19.5" hidden="false" customHeight="true" outlineLevel="0" collapsed="false">
      <c r="A59" s="317"/>
      <c r="B59" s="310" t="s">
        <v>1032</v>
      </c>
      <c r="C59" s="314"/>
      <c r="D59" s="314"/>
      <c r="E59" s="314"/>
      <c r="F59" s="314"/>
      <c r="G59" s="298" t="n">
        <f aca="false">SUM(G57:G58)</f>
        <v>49.49</v>
      </c>
      <c r="H59" s="314"/>
    </row>
    <row r="60" customFormat="false" ht="19.5" hidden="false" customHeight="true" outlineLevel="0" collapsed="false">
      <c r="A60" s="314"/>
      <c r="B60" s="310" t="s">
        <v>1033</v>
      </c>
      <c r="C60" s="314"/>
      <c r="D60" s="314"/>
      <c r="E60" s="314"/>
      <c r="F60" s="314"/>
      <c r="G60" s="298" t="n">
        <f aca="false">+G28+G39+G42+G48+G55+G59</f>
        <v>287.85988742336</v>
      </c>
      <c r="H60" s="314"/>
    </row>
    <row r="61" customFormat="false" ht="19.5" hidden="false" customHeight="true" outlineLevel="0" collapsed="false">
      <c r="A61" s="310" t="s">
        <v>1034</v>
      </c>
      <c r="B61" s="310"/>
      <c r="C61" s="310"/>
      <c r="D61" s="310"/>
      <c r="E61" s="310"/>
      <c r="F61" s="310"/>
      <c r="G61" s="310"/>
      <c r="H61" s="310"/>
    </row>
    <row r="62" customFormat="false" ht="19.5" hidden="false" customHeight="true" outlineLevel="0" collapsed="false">
      <c r="A62" s="310" t="s">
        <v>1035</v>
      </c>
      <c r="B62" s="310"/>
      <c r="C62" s="314" t="s">
        <v>1036</v>
      </c>
      <c r="D62" s="314"/>
      <c r="E62" s="314"/>
      <c r="F62" s="314"/>
      <c r="G62" s="314"/>
      <c r="H62" s="314"/>
    </row>
    <row r="63" customFormat="false" ht="19.5" hidden="false" customHeight="true" outlineLevel="0" collapsed="false">
      <c r="A63" s="310" t="s">
        <v>1037</v>
      </c>
      <c r="B63" s="310"/>
      <c r="C63" s="314" t="s">
        <v>1073</v>
      </c>
      <c r="D63" s="314"/>
      <c r="E63" s="314"/>
      <c r="F63" s="314"/>
      <c r="G63" s="314"/>
      <c r="H63" s="314"/>
    </row>
    <row r="64" customFormat="false" ht="19.5" hidden="false" customHeight="true" outlineLevel="0" collapsed="false">
      <c r="A64" s="310" t="s">
        <v>490</v>
      </c>
      <c r="B64" s="310"/>
      <c r="C64" s="314" t="s">
        <v>60</v>
      </c>
      <c r="D64" s="314"/>
      <c r="E64" s="314"/>
      <c r="F64" s="314"/>
      <c r="G64" s="314"/>
      <c r="H64" s="314"/>
    </row>
    <row r="65" customFormat="false" ht="19.5" hidden="false" customHeight="true" outlineLevel="0" collapsed="false">
      <c r="A65" s="310" t="s">
        <v>1039</v>
      </c>
      <c r="B65" s="310"/>
      <c r="C65" s="271" t="n">
        <f aca="false">+E11</f>
        <v>11.0</v>
      </c>
      <c r="D65" s="271"/>
      <c r="E65" s="271"/>
      <c r="F65" s="271"/>
      <c r="G65" s="271"/>
      <c r="H65" s="271"/>
    </row>
    <row r="66" customFormat="false" ht="19.5" hidden="false" customHeight="true" outlineLevel="0" collapsed="false">
      <c r="A66" s="310" t="s">
        <v>1040</v>
      </c>
      <c r="B66" s="310"/>
      <c r="C66" s="271" t="n">
        <f aca="false">8/E69</f>
        <v>2.73021440919798</v>
      </c>
      <c r="D66" s="271"/>
      <c r="E66" s="271"/>
      <c r="F66" s="271"/>
      <c r="G66" s="271"/>
      <c r="H66" s="271"/>
    </row>
    <row r="67" customFormat="false" ht="31.5" hidden="false" customHeight="true" outlineLevel="0" collapsed="false">
      <c r="A67" s="311" t="s">
        <v>309</v>
      </c>
      <c r="B67" s="311" t="s">
        <v>1041</v>
      </c>
      <c r="C67" s="311" t="s">
        <v>170</v>
      </c>
      <c r="D67" s="311" t="s">
        <v>1042</v>
      </c>
      <c r="E67" s="311" t="s">
        <v>973</v>
      </c>
      <c r="F67" s="311" t="s">
        <v>1043</v>
      </c>
      <c r="G67" s="311" t="s">
        <v>998</v>
      </c>
      <c r="H67" s="311" t="s">
        <v>1044</v>
      </c>
    </row>
    <row r="68" customFormat="false" ht="19.5" hidden="false" customHeight="true" outlineLevel="0" collapsed="false">
      <c r="A68" s="317"/>
      <c r="B68" s="310" t="s">
        <v>1045</v>
      </c>
      <c r="C68" s="310"/>
      <c r="D68" s="310"/>
      <c r="E68" s="310"/>
      <c r="F68" s="310"/>
      <c r="G68" s="310"/>
      <c r="H68" s="310"/>
    </row>
    <row r="69" customFormat="false" ht="31.5" hidden="false" customHeight="true" outlineLevel="0" collapsed="false">
      <c r="A69" s="312" t="n">
        <v>1</v>
      </c>
      <c r="B69" s="314" t="s">
        <v>810</v>
      </c>
      <c r="C69" s="315" t="s">
        <v>811</v>
      </c>
      <c r="D69" s="320" t="n">
        <f aca="false">E69*$C$66/8</f>
        <v>1.0</v>
      </c>
      <c r="E69" s="320" t="n">
        <f aca="false">SUMIF($B$21:$B$59,B69,$F$21:$F$59)</f>
        <v>2.9301728</v>
      </c>
      <c r="F69" s="316" t="n">
        <f aca="false">'COSTO HORA HOMBRE 2026'!$G$11</f>
        <v>28.95</v>
      </c>
      <c r="G69" s="271" t="n">
        <f aca="false">E69*F69</f>
        <v>84.82850256</v>
      </c>
      <c r="H69" s="313" t="s">
        <v>1046</v>
      </c>
    </row>
    <row r="70" customFormat="false" ht="31.5" hidden="false" customHeight="true" outlineLevel="0" collapsed="false">
      <c r="A70" s="312" t="n">
        <v>2</v>
      </c>
      <c r="B70" s="314" t="s">
        <v>812</v>
      </c>
      <c r="C70" s="315" t="s">
        <v>811</v>
      </c>
      <c r="D70" s="320" t="n">
        <f aca="false">E70*$C$66/8</f>
        <v>0.544185243955578</v>
      </c>
      <c r="E70" s="320" t="n">
        <f aca="false">SUMIF($B$21:$B$59,B70,$F$21:$F$59)</f>
        <v>1.5945568</v>
      </c>
      <c r="F70" s="316" t="n">
        <f aca="false">'COSTO HORA HOMBRE 2026'!$G$12</f>
        <v>22.68</v>
      </c>
      <c r="G70" s="271" t="n">
        <f aca="false">E70*F70</f>
        <v>36.164548224</v>
      </c>
      <c r="H70" s="313" t="s">
        <v>1046</v>
      </c>
    </row>
    <row r="71" customFormat="false" ht="31.5" hidden="false" customHeight="true" outlineLevel="0" collapsed="false">
      <c r="A71" s="312" t="n">
        <v>3</v>
      </c>
      <c r="B71" s="314" t="s">
        <v>813</v>
      </c>
      <c r="C71" s="315" t="s">
        <v>811</v>
      </c>
      <c r="D71" s="320" t="n">
        <f aca="false">E71*$C$66/8</f>
        <v>0.422073674289789</v>
      </c>
      <c r="E71" s="320" t="n">
        <f aca="false">SUMIF($B$21:$B$59,B71,$F$21:$F$59)</f>
        <v>1.2367488</v>
      </c>
      <c r="F71" s="316" t="n">
        <f aca="false">'COSTO HORA HOMBRE 2026'!$G$13</f>
        <v>20.54</v>
      </c>
      <c r="G71" s="271" t="n">
        <f aca="false">E71*F71</f>
        <v>25.402820352</v>
      </c>
      <c r="H71" s="313" t="s">
        <v>1046</v>
      </c>
    </row>
    <row r="72" customFormat="false" ht="19.5" hidden="false" customHeight="true" outlineLevel="0" collapsed="false">
      <c r="A72" s="317"/>
      <c r="B72" s="310" t="s">
        <v>1047</v>
      </c>
      <c r="C72" s="314"/>
      <c r="D72" s="314"/>
      <c r="E72" s="314"/>
      <c r="F72" s="314"/>
      <c r="G72" s="298" t="n">
        <f aca="false">SUM(G69:G71)</f>
        <v>146.395871136</v>
      </c>
      <c r="H72" s="314"/>
    </row>
    <row r="73" customFormat="false" ht="19.5" hidden="false" customHeight="true" outlineLevel="0" collapsed="false">
      <c r="A73" s="317"/>
      <c r="B73" s="310" t="s">
        <v>1048</v>
      </c>
      <c r="C73" s="310"/>
      <c r="D73" s="310"/>
      <c r="E73" s="310"/>
      <c r="F73" s="310"/>
      <c r="G73" s="310"/>
      <c r="H73" s="310"/>
    </row>
    <row r="74" customFormat="false" ht="19.5" hidden="false" customHeight="true" outlineLevel="0" collapsed="false">
      <c r="A74" s="312" t="n">
        <v>4</v>
      </c>
      <c r="B74" s="314" t="s">
        <v>1002</v>
      </c>
      <c r="C74" s="315" t="s">
        <v>50</v>
      </c>
      <c r="D74" s="314"/>
      <c r="E74" s="320" t="n">
        <f aca="false">SUMIF($B$21:$B$59,B74,$F$21:$F$59)</f>
        <v>10.60668</v>
      </c>
      <c r="F74" s="316" t="n">
        <v>3.08</v>
      </c>
      <c r="G74" s="271" t="n">
        <f aca="false">E74*F74</f>
        <v>32.6685744</v>
      </c>
      <c r="H74" s="313" t="s">
        <v>1049</v>
      </c>
    </row>
    <row r="75" customFormat="false" ht="19.5" hidden="false" customHeight="true" outlineLevel="0" collapsed="false">
      <c r="A75" s="312" t="n">
        <v>5</v>
      </c>
      <c r="B75" s="314" t="s">
        <v>1005</v>
      </c>
      <c r="C75" s="315" t="s">
        <v>50</v>
      </c>
      <c r="D75" s="314"/>
      <c r="E75" s="320" t="n">
        <f aca="false">SUMIF($B$21:$B$59,B75,$F$21:$F$59)</f>
        <v>0.303048</v>
      </c>
      <c r="F75" s="316" t="n">
        <v>18.63</v>
      </c>
      <c r="G75" s="271" t="n">
        <f aca="false">E75*F75</f>
        <v>5.64578424</v>
      </c>
      <c r="H75" s="313" t="s">
        <v>1050</v>
      </c>
    </row>
    <row r="76" customFormat="false" ht="19.5" hidden="false" customHeight="true" outlineLevel="0" collapsed="false">
      <c r="A76" s="312" t="n">
        <v>6</v>
      </c>
      <c r="B76" s="314" t="s">
        <v>802</v>
      </c>
      <c r="C76" s="315" t="s">
        <v>803</v>
      </c>
      <c r="D76" s="314"/>
      <c r="E76" s="320" t="n">
        <f aca="false">SUMIF($B$21:$B$59,B76,$F$21:$F$59)</f>
        <v>0.35993216</v>
      </c>
      <c r="F76" s="316" t="n">
        <v>30.93</v>
      </c>
      <c r="G76" s="271" t="n">
        <f aca="false">E76*F76</f>
        <v>11.1327017088</v>
      </c>
      <c r="H76" s="313" t="s">
        <v>1051</v>
      </c>
    </row>
    <row r="77" customFormat="false" ht="19.5" hidden="false" customHeight="true" outlineLevel="0" collapsed="false">
      <c r="A77" s="312" t="n">
        <v>7</v>
      </c>
      <c r="B77" s="314" t="s">
        <v>804</v>
      </c>
      <c r="C77" s="315" t="s">
        <v>185</v>
      </c>
      <c r="D77" s="314"/>
      <c r="E77" s="320" t="n">
        <f aca="false">SUMIF($B$21:$B$59,B77,$F$21:$F$59)</f>
        <v>0.01923584</v>
      </c>
      <c r="F77" s="316" t="n">
        <v>40.68</v>
      </c>
      <c r="G77" s="271" t="n">
        <f aca="false">E77*F77</f>
        <v>0.7825139712</v>
      </c>
      <c r="H77" s="313" t="s">
        <v>1052</v>
      </c>
    </row>
    <row r="78" customFormat="false" ht="19.5" hidden="false" customHeight="true" outlineLevel="0" collapsed="false">
      <c r="A78" s="312" t="n">
        <v>8</v>
      </c>
      <c r="B78" s="314" t="s">
        <v>805</v>
      </c>
      <c r="C78" s="315" t="s">
        <v>185</v>
      </c>
      <c r="D78" s="314"/>
      <c r="E78" s="320" t="n">
        <f aca="false">SUMIF($B$21:$B$59,B78,$F$21:$F$59)</f>
        <v>0.01960576</v>
      </c>
      <c r="F78" s="316" t="n">
        <v>101.69</v>
      </c>
      <c r="G78" s="271" t="n">
        <f aca="false">E78*F78</f>
        <v>1.9937097344</v>
      </c>
      <c r="H78" s="313" t="s">
        <v>1053</v>
      </c>
    </row>
    <row r="79" customFormat="false" ht="19.5" hidden="false" customHeight="true" outlineLevel="0" collapsed="false">
      <c r="A79" s="312" t="n">
        <v>9</v>
      </c>
      <c r="B79" s="314" t="s">
        <v>806</v>
      </c>
      <c r="C79" s="315" t="s">
        <v>185</v>
      </c>
      <c r="D79" s="314"/>
      <c r="E79" s="320" t="n">
        <f aca="false">SUMIF($B$21:$B$59,B79,$F$21:$F$59)</f>
        <v>0.006880512</v>
      </c>
      <c r="F79" s="316" t="n">
        <v>8.33</v>
      </c>
      <c r="G79" s="271" t="n">
        <f aca="false">E79*F79</f>
        <v>0.05731466496</v>
      </c>
      <c r="H79" s="313" t="s">
        <v>1054</v>
      </c>
    </row>
    <row r="80" customFormat="false" ht="19.5" hidden="false" customHeight="true" outlineLevel="0" collapsed="false">
      <c r="A80" s="312" t="n">
        <v>10</v>
      </c>
      <c r="B80" s="314" t="s">
        <v>817</v>
      </c>
      <c r="C80" s="315" t="s">
        <v>818</v>
      </c>
      <c r="D80" s="314"/>
      <c r="E80" s="320" t="n">
        <f aca="false">SUMIF($B$21:$B$59,B80,$F$21:$F$59)</f>
        <v>1.15</v>
      </c>
      <c r="F80" s="316" t="n">
        <v>4.41</v>
      </c>
      <c r="G80" s="271" t="n">
        <f aca="false">E80*F80</f>
        <v>5.0715</v>
      </c>
      <c r="H80" s="313" t="s">
        <v>1055</v>
      </c>
    </row>
    <row r="81" customFormat="false" ht="19.5" hidden="false" customHeight="true" outlineLevel="0" collapsed="false">
      <c r="A81" s="312" t="n">
        <v>11</v>
      </c>
      <c r="B81" s="314" t="s">
        <v>1021</v>
      </c>
      <c r="C81" s="315" t="s">
        <v>50</v>
      </c>
      <c r="D81" s="314"/>
      <c r="E81" s="320" t="n">
        <f aca="false">SUMIF($B$21:$B$59,B81,$F$21:$F$59)</f>
        <v>18.20448</v>
      </c>
      <c r="F81" s="316" t="n">
        <v>3.44</v>
      </c>
      <c r="G81" s="271" t="n">
        <f aca="false">E81*F81</f>
        <v>62.6234112</v>
      </c>
      <c r="H81" s="313" t="s">
        <v>1056</v>
      </c>
    </row>
    <row r="82" customFormat="false" ht="19.5" hidden="false" customHeight="true" outlineLevel="0" collapsed="false">
      <c r="A82" s="312" t="n">
        <v>12</v>
      </c>
      <c r="B82" s="314" t="s">
        <v>823</v>
      </c>
      <c r="C82" s="315" t="s">
        <v>50</v>
      </c>
      <c r="D82" s="314"/>
      <c r="E82" s="320" t="n">
        <f aca="false">SUMIF($B$21:$B$59,B82,$F$21:$F$59)</f>
        <v>1.040256</v>
      </c>
      <c r="F82" s="316" t="n">
        <v>5.08</v>
      </c>
      <c r="G82" s="271" t="n">
        <f aca="false">E82*F82</f>
        <v>5.28450048</v>
      </c>
      <c r="H82" s="313" t="s">
        <v>1057</v>
      </c>
    </row>
    <row r="83" customFormat="false" ht="19.5" hidden="false" customHeight="true" outlineLevel="0" collapsed="false">
      <c r="A83" s="312" t="n">
        <v>13</v>
      </c>
      <c r="B83" s="314" t="s">
        <v>838</v>
      </c>
      <c r="C83" s="315" t="s">
        <v>839</v>
      </c>
      <c r="D83" s="314"/>
      <c r="E83" s="320" t="n">
        <f aca="false">SUMIF($B$21:$B$59,B83,$F$21:$F$59)</f>
        <v>0.0671232</v>
      </c>
      <c r="F83" s="316" t="n">
        <v>44.92</v>
      </c>
      <c r="G83" s="271" t="n">
        <f aca="false">E83*F83</f>
        <v>3.015174144</v>
      </c>
      <c r="H83" s="313" t="s">
        <v>1058</v>
      </c>
    </row>
    <row r="84" customFormat="false" ht="19.5" hidden="false" customHeight="true" outlineLevel="0" collapsed="false">
      <c r="A84" s="312" t="n">
        <v>14</v>
      </c>
      <c r="B84" s="314" t="s">
        <v>840</v>
      </c>
      <c r="C84" s="315" t="s">
        <v>839</v>
      </c>
      <c r="D84" s="314"/>
      <c r="E84" s="320" t="n">
        <f aca="false">SUMIF($B$21:$B$59,B84,$F$21:$F$59)</f>
        <v>0.0671232</v>
      </c>
      <c r="F84" s="316" t="n">
        <v>48.31</v>
      </c>
      <c r="G84" s="271" t="n">
        <f aca="false">E84*F84</f>
        <v>3.242721792</v>
      </c>
      <c r="H84" s="313" t="s">
        <v>1059</v>
      </c>
    </row>
    <row r="85" customFormat="false" ht="19.5" hidden="false" customHeight="true" outlineLevel="0" collapsed="false">
      <c r="A85" s="312" t="n">
        <v>15</v>
      </c>
      <c r="B85" s="314" t="s">
        <v>902</v>
      </c>
      <c r="C85" s="315" t="s">
        <v>60</v>
      </c>
      <c r="D85" s="314"/>
      <c r="E85" s="320" t="n">
        <f aca="false">SUMIF($B$21:$B$59,B85,$F$21:$F$59)</f>
        <v>0.20976</v>
      </c>
      <c r="F85" s="316" t="n">
        <v>2.12</v>
      </c>
      <c r="G85" s="271" t="n">
        <f aca="false">E85*F85</f>
        <v>0.4446912</v>
      </c>
      <c r="H85" s="313" t="s">
        <v>1060</v>
      </c>
    </row>
    <row r="86" customFormat="false" ht="19.5" hidden="false" customHeight="true" outlineLevel="0" collapsed="false">
      <c r="A86" s="312" t="n">
        <v>16</v>
      </c>
      <c r="B86" s="314" t="s">
        <v>903</v>
      </c>
      <c r="C86" s="315" t="s">
        <v>839</v>
      </c>
      <c r="D86" s="314"/>
      <c r="E86" s="320" t="n">
        <f aca="false">SUMIF($B$21:$B$59,B86,$F$21:$F$59)</f>
        <v>0.02013696</v>
      </c>
      <c r="F86" s="316" t="n">
        <v>35.65</v>
      </c>
      <c r="G86" s="271" t="n">
        <f aca="false">E86*F86</f>
        <v>0.717882624</v>
      </c>
      <c r="H86" s="313" t="s">
        <v>1061</v>
      </c>
    </row>
    <row r="87" customFormat="false" ht="19.5" hidden="false" customHeight="true" outlineLevel="0" collapsed="false">
      <c r="A87" s="317"/>
      <c r="B87" s="310" t="s">
        <v>1062</v>
      </c>
      <c r="C87" s="314"/>
      <c r="D87" s="314"/>
      <c r="E87" s="314"/>
      <c r="F87" s="314"/>
      <c r="G87" s="298" t="n">
        <f aca="false">SUM(G74:G86)</f>
        <v>132.68048015936</v>
      </c>
      <c r="H87" s="314"/>
    </row>
    <row r="88" customFormat="false" ht="19.5" hidden="false" customHeight="true" outlineLevel="0" collapsed="false">
      <c r="A88" s="317"/>
      <c r="B88" s="310" t="s">
        <v>1063</v>
      </c>
      <c r="C88" s="310"/>
      <c r="D88" s="310"/>
      <c r="E88" s="310"/>
      <c r="F88" s="310"/>
      <c r="G88" s="310"/>
      <c r="H88" s="310"/>
    </row>
    <row r="89" customFormat="false" ht="19.5" hidden="false" customHeight="true" outlineLevel="0" collapsed="false">
      <c r="A89" s="312" t="n">
        <v>17</v>
      </c>
      <c r="B89" s="314" t="s">
        <v>827</v>
      </c>
      <c r="C89" s="315" t="s">
        <v>828</v>
      </c>
      <c r="D89" s="314"/>
      <c r="E89" s="322" t="n">
        <v>0.03</v>
      </c>
      <c r="F89" s="271" t="n">
        <f aca="false">+G72</f>
        <v>146.395871136</v>
      </c>
      <c r="G89" s="271" t="n">
        <f aca="false">E89*F89</f>
        <v>4.39187613408</v>
      </c>
      <c r="H89" s="313" t="s">
        <v>1064</v>
      </c>
    </row>
    <row r="90" customFormat="false" ht="19.5" hidden="false" customHeight="true" outlineLevel="0" collapsed="false">
      <c r="A90" s="312" t="n">
        <v>18</v>
      </c>
      <c r="B90" s="314" t="s">
        <v>807</v>
      </c>
      <c r="C90" s="315" t="s">
        <v>808</v>
      </c>
      <c r="D90" s="320" t="n">
        <f aca="false">E90*$C$66/8</f>
        <v>0.0100996091425052</v>
      </c>
      <c r="E90" s="320" t="n">
        <f aca="false">SUMIF($B$21:$B$59,B90,$F$21:$F$59)</f>
        <v>0.0295936</v>
      </c>
      <c r="F90" s="316" t="n">
        <v>12.71</v>
      </c>
      <c r="G90" s="271" t="n">
        <f aca="false">E90*F90</f>
        <v>0.376134656</v>
      </c>
      <c r="H90" s="313" t="s">
        <v>1065</v>
      </c>
    </row>
    <row r="91" customFormat="false" ht="19.5" hidden="false" customHeight="true" outlineLevel="0" collapsed="false">
      <c r="A91" s="312" t="n">
        <v>19</v>
      </c>
      <c r="B91" s="314" t="s">
        <v>809</v>
      </c>
      <c r="C91" s="315" t="s">
        <v>808</v>
      </c>
      <c r="D91" s="320" t="n">
        <f aca="false">E91*$C$66/8</f>
        <v>0.0100996091425052</v>
      </c>
      <c r="E91" s="320" t="n">
        <f aca="false">SUMIF($B$21:$B$59,B91,$F$21:$F$59)</f>
        <v>0.0295936</v>
      </c>
      <c r="F91" s="316" t="n">
        <v>11.02</v>
      </c>
      <c r="G91" s="271" t="n">
        <f aca="false">E91*F91</f>
        <v>0.326121472</v>
      </c>
      <c r="H91" s="313" t="s">
        <v>1066</v>
      </c>
    </row>
    <row r="92" customFormat="false" ht="19.5" hidden="false" customHeight="true" outlineLevel="0" collapsed="false">
      <c r="A92" s="312" t="n">
        <v>20</v>
      </c>
      <c r="B92" s="314" t="s">
        <v>1007</v>
      </c>
      <c r="C92" s="315" t="s">
        <v>808</v>
      </c>
      <c r="D92" s="320" t="n">
        <f aca="false">E92*$C$66/8</f>
        <v>0.344744173449429</v>
      </c>
      <c r="E92" s="320" t="n">
        <f aca="false">SUMIF($B$21:$B$59,B92,$F$21:$F$59)</f>
        <v>1.01016</v>
      </c>
      <c r="F92" s="316" t="n">
        <v>8.0</v>
      </c>
      <c r="G92" s="271" t="n">
        <f aca="false">E92*F92</f>
        <v>8.08128</v>
      </c>
      <c r="H92" s="313" t="s">
        <v>1067</v>
      </c>
    </row>
    <row r="93" customFormat="false" ht="19.5" hidden="false" customHeight="true" outlineLevel="0" collapsed="false">
      <c r="A93" s="317"/>
      <c r="B93" s="310" t="s">
        <v>1068</v>
      </c>
      <c r="C93" s="314"/>
      <c r="D93" s="314"/>
      <c r="E93" s="314"/>
      <c r="F93" s="314"/>
      <c r="G93" s="298" t="n">
        <f aca="false">SUM(G89:G92)</f>
        <v>13.17541226208</v>
      </c>
      <c r="H93" s="314"/>
    </row>
    <row r="94" customFormat="false" ht="21.75" hidden="false" customHeight="true" outlineLevel="0" collapsed="false">
      <c r="A94" s="310" t="s">
        <v>1069</v>
      </c>
      <c r="B94" s="310"/>
      <c r="C94" s="310"/>
      <c r="D94" s="310"/>
      <c r="E94" s="310"/>
      <c r="F94" s="310"/>
      <c r="G94" s="298" t="n">
        <f aca="false">+G72+G87+G93</f>
        <v>292.25176355744</v>
      </c>
      <c r="H94" s="314"/>
    </row>
    <row r="95" customFormat="false" ht="21.75" hidden="false" customHeight="true" outlineLevel="0" collapsed="false">
      <c r="A95" s="310" t="s">
        <v>1070</v>
      </c>
      <c r="B95" s="310"/>
      <c r="C95" s="310"/>
      <c r="D95" s="310"/>
      <c r="E95" s="310"/>
      <c r="F95" s="310"/>
      <c r="G95" s="298" t="n">
        <f aca="false">G94*C65</f>
        <v>3214.76939913184</v>
      </c>
      <c r="H95" s="314"/>
    </row>
    <row r="96" customFormat="false" ht="19.5" hidden="false" customHeight="true" outlineLevel="0" collapsed="false">
      <c r="A96" s="314" t="s">
        <v>1071</v>
      </c>
      <c r="B96" s="314"/>
      <c r="C96" s="314"/>
      <c r="D96" s="314"/>
      <c r="E96" s="314"/>
      <c r="F96" s="314"/>
      <c r="G96" s="312" t="str">
        <f aca="false">IF(ABS(G60+G89-G94)&lt;0.005,"CONFORME","REVISAR")</f>
        <v>CONFORME</v>
      </c>
      <c r="H96" s="314"/>
    </row>
  </sheetData>
  <mergeCells count="35">
    <mergeCell ref="A1:H1"/>
    <mergeCell ref="A2:B2"/>
    <mergeCell ref="C2:H2"/>
    <mergeCell ref="A3:B3"/>
    <mergeCell ref="C3:H3"/>
    <mergeCell ref="A4:B4"/>
    <mergeCell ref="C4:H4"/>
    <mergeCell ref="A5:B5"/>
    <mergeCell ref="C5:H5"/>
    <mergeCell ref="A7:H7"/>
    <mergeCell ref="A9:H9"/>
    <mergeCell ref="A19:H19"/>
    <mergeCell ref="B21:H21"/>
    <mergeCell ref="B29:H29"/>
    <mergeCell ref="B40:H40"/>
    <mergeCell ref="B43:H43"/>
    <mergeCell ref="B49:H49"/>
    <mergeCell ref="B56:H56"/>
    <mergeCell ref="A61:H61"/>
    <mergeCell ref="A62:B62"/>
    <mergeCell ref="C62:H62"/>
    <mergeCell ref="A63:B63"/>
    <mergeCell ref="C63:H63"/>
    <mergeCell ref="A64:B64"/>
    <mergeCell ref="C64:H64"/>
    <mergeCell ref="A65:B65"/>
    <mergeCell ref="C65:H65"/>
    <mergeCell ref="A66:B66"/>
    <mergeCell ref="C66:H66"/>
    <mergeCell ref="B68:H68"/>
    <mergeCell ref="B73:H73"/>
    <mergeCell ref="B88:H88"/>
    <mergeCell ref="A94:F94"/>
    <mergeCell ref="A95:F95"/>
    <mergeCell ref="A96:F96"/>
  </mergeCells>
  <printOptions headings="false" gridLines="false" gridLinesSet="true" horizontalCentered="false" verticalCentered="false"/>
  <pageMargins left="0.5" right="0.5" top="0.75" bottom="0.7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11"/>
  <sheetViews>
    <sheetView showFormulas="false" showGridLines="false" showRowColHeaders="true" showZeros="true" rightToLeft="false" tabSelected="false" showOutlineSymbols="true" defaultGridColor="true" view="normal" topLeftCell="A100" colorId="64" zoomScale="100" zoomScaleNormal="100" zoomScalePageLayoutView="100" workbookViewId="0">
      <selection pane="topLeft" activeCell="A1" activeCellId="0" sqref="A1"/>
    </sheetView>
  </sheetViews>
  <sheetFormatPr defaultColWidth="8.73046875" defaultRowHeight="14.25" zeroHeight="false" outlineLevelRow="0" outlineLevelCol="0"/>
  <cols>
    <col collapsed="false" customWidth="true" hidden="false" outlineLevel="0" max="1" min="1" style="318" width="16"/>
    <col collapsed="false" customWidth="true" hidden="false" outlineLevel="0" max="2" min="2" style="318" width="48"/>
    <col collapsed="false" customWidth="true" hidden="false" outlineLevel="0" max="3" min="3" style="318" width="8"/>
    <col collapsed="false" customWidth="true" hidden="false" outlineLevel="0" max="7" min="4" style="318" width="13"/>
    <col collapsed="false" customWidth="true" hidden="false" outlineLevel="0" max="8" min="8" style="318" width="46"/>
  </cols>
  <sheetData>
    <row r="1" customFormat="false" ht="27" hidden="false" customHeight="true" outlineLevel="0" collapsed="false">
      <c r="A1" s="306" t="s">
        <v>1074</v>
      </c>
      <c r="B1" s="306"/>
      <c r="C1" s="306"/>
      <c r="D1" s="306"/>
      <c r="E1" s="306"/>
      <c r="F1" s="306"/>
      <c r="G1" s="306"/>
      <c r="H1" s="306"/>
    </row>
    <row r="2" customFormat="false" ht="24.75" hidden="false" customHeight="true" outlineLevel="0" collapsed="false">
      <c r="A2" s="307" t="s">
        <v>1</v>
      </c>
      <c r="B2" s="307"/>
      <c r="C2" s="308" t="str">
        <f aca="false">+RESUMEN!B4</f>
        <v>GERENCIA TERRITORIAL BAJO MAYO - TARAPOTO</v>
      </c>
      <c r="D2" s="308"/>
      <c r="E2" s="308"/>
      <c r="F2" s="308"/>
      <c r="G2" s="308"/>
      <c r="H2" s="308"/>
    </row>
    <row r="3" customFormat="false" ht="58.5" hidden="false" customHeight="true" outlineLevel="0" collapsed="false">
      <c r="A3" s="307" t="s">
        <v>3</v>
      </c>
      <c r="B3" s="307"/>
      <c r="C3" s="308" t="str">
        <f aca="false">+RESUMEN!B5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308"/>
      <c r="E3" s="308"/>
      <c r="F3" s="308"/>
      <c r="G3" s="308"/>
      <c r="H3" s="308"/>
    </row>
    <row r="4" customFormat="false" ht="24.75" hidden="false" customHeight="true" outlineLevel="0" collapsed="false">
      <c r="A4" s="307" t="s">
        <v>5</v>
      </c>
      <c r="B4" s="307"/>
      <c r="C4" s="308" t="str">
        <f aca="false">+RESUMEN!B6</f>
        <v>SAN MARTIN - SAN MARTIN - MORALES</v>
      </c>
      <c r="D4" s="308"/>
      <c r="E4" s="308"/>
      <c r="F4" s="308"/>
      <c r="G4" s="308"/>
      <c r="H4" s="308"/>
    </row>
    <row r="5" customFormat="false" ht="24.75" hidden="false" customHeight="true" outlineLevel="0" collapsed="false">
      <c r="A5" s="307" t="s">
        <v>7</v>
      </c>
      <c r="B5" s="307"/>
      <c r="C5" s="266" t="n">
        <f aca="false">+RESUMEN!B7</f>
        <v>0</v>
      </c>
      <c r="D5" s="266"/>
      <c r="E5" s="266"/>
      <c r="F5" s="266"/>
      <c r="G5" s="266"/>
      <c r="H5" s="266"/>
    </row>
    <row r="7" customFormat="false" ht="66" hidden="false" customHeight="true" outlineLevel="0" collapsed="false">
      <c r="A7" s="309" t="s">
        <v>1075</v>
      </c>
      <c r="B7" s="309"/>
      <c r="C7" s="309"/>
      <c r="D7" s="309"/>
      <c r="E7" s="309"/>
      <c r="F7" s="309"/>
      <c r="G7" s="309"/>
      <c r="H7" s="309"/>
    </row>
    <row r="9" customFormat="false" ht="19.5" hidden="false" customHeight="true" outlineLevel="0" collapsed="false">
      <c r="A9" s="310" t="s">
        <v>1076</v>
      </c>
      <c r="B9" s="310"/>
      <c r="C9" s="310"/>
      <c r="D9" s="310"/>
      <c r="E9" s="310"/>
      <c r="F9" s="310"/>
      <c r="G9" s="310"/>
      <c r="H9" s="310"/>
    </row>
    <row r="10" customFormat="false" ht="21.75" hidden="false" customHeight="true" outlineLevel="0" collapsed="false">
      <c r="A10" s="311" t="s">
        <v>309</v>
      </c>
      <c r="B10" s="311" t="s">
        <v>1077</v>
      </c>
      <c r="C10" s="311" t="s">
        <v>170</v>
      </c>
      <c r="D10" s="311" t="s">
        <v>271</v>
      </c>
      <c r="E10" s="311"/>
      <c r="F10" s="311"/>
      <c r="G10" s="311"/>
      <c r="H10" s="311" t="s">
        <v>483</v>
      </c>
    </row>
    <row r="11" customFormat="false" ht="19.5" hidden="false" customHeight="true" outlineLevel="0" collapsed="false">
      <c r="A11" s="312" t="n">
        <v>1</v>
      </c>
      <c r="B11" s="314" t="s">
        <v>1078</v>
      </c>
      <c r="C11" s="315" t="s">
        <v>71</v>
      </c>
      <c r="D11" s="320" t="n">
        <f aca="false">+'METRADO CANALETAS'!F48</f>
        <v>0.25</v>
      </c>
      <c r="E11" s="314"/>
      <c r="F11" s="314"/>
      <c r="G11" s="314"/>
      <c r="H11" s="313" t="s">
        <v>1140</v>
      </c>
    </row>
    <row r="12" customFormat="false" ht="19.5" hidden="false" customHeight="true" outlineLevel="0" collapsed="false">
      <c r="A12" s="312" t="n">
        <v>2</v>
      </c>
      <c r="B12" s="314" t="s">
        <v>1080</v>
      </c>
      <c r="C12" s="315" t="s">
        <v>71</v>
      </c>
      <c r="D12" s="320" t="n">
        <f aca="false">+'METRADO CANALETAS'!F49</f>
        <v>0.2</v>
      </c>
      <c r="E12" s="314"/>
      <c r="F12" s="314"/>
      <c r="G12" s="314"/>
      <c r="H12" s="313" t="s">
        <v>1086</v>
      </c>
    </row>
    <row r="13" customFormat="false" ht="19.5" hidden="false" customHeight="true" outlineLevel="0" collapsed="false">
      <c r="A13" s="312" t="n">
        <v>3</v>
      </c>
      <c r="B13" s="314" t="s">
        <v>1082</v>
      </c>
      <c r="C13" s="315" t="s">
        <v>71</v>
      </c>
      <c r="D13" s="320" t="n">
        <f aca="false">+'METRADO CANALETAS'!F50</f>
        <v>0.05</v>
      </c>
      <c r="E13" s="314"/>
      <c r="F13" s="314"/>
      <c r="G13" s="314"/>
      <c r="H13" s="313" t="s">
        <v>1088</v>
      </c>
    </row>
    <row r="14" customFormat="false" ht="19.5" hidden="false" customHeight="true" outlineLevel="0" collapsed="false">
      <c r="A14" s="312" t="n">
        <v>4</v>
      </c>
      <c r="B14" s="314" t="s">
        <v>1084</v>
      </c>
      <c r="C14" s="315" t="s">
        <v>584</v>
      </c>
      <c r="D14" s="320" t="n">
        <f aca="false">+'METRADO CANALETAS'!F51</f>
        <v>0.75</v>
      </c>
      <c r="E14" s="314"/>
      <c r="F14" s="314"/>
      <c r="G14" s="314"/>
      <c r="H14" s="313" t="s">
        <v>1085</v>
      </c>
    </row>
    <row r="15" customFormat="false" ht="19.5" hidden="false" customHeight="true" outlineLevel="0" collapsed="false">
      <c r="A15" s="312" t="n">
        <v>5</v>
      </c>
      <c r="B15" s="314" t="s">
        <v>281</v>
      </c>
      <c r="C15" s="315" t="s">
        <v>282</v>
      </c>
      <c r="D15" s="320" t="n">
        <f aca="false">+'METRADO CANALETAS'!F52</f>
        <v>0.9</v>
      </c>
      <c r="E15" s="314"/>
      <c r="F15" s="314"/>
      <c r="G15" s="314"/>
      <c r="H15" s="313" t="s">
        <v>1141</v>
      </c>
    </row>
    <row r="16" customFormat="false" ht="19.5" hidden="false" customHeight="true" outlineLevel="0" collapsed="false">
      <c r="A16" s="312" t="n">
        <v>6</v>
      </c>
      <c r="B16" s="314" t="s">
        <v>1087</v>
      </c>
      <c r="C16" s="315" t="s">
        <v>71</v>
      </c>
      <c r="D16" s="320" t="n">
        <f aca="false">+'METRADO CANALETAS'!F53</f>
        <v>0.6</v>
      </c>
      <c r="E16" s="314"/>
      <c r="F16" s="314"/>
      <c r="G16" s="314"/>
      <c r="H16" s="313" t="s">
        <v>1142</v>
      </c>
    </row>
    <row r="17" customFormat="false" ht="19.5" hidden="false" customHeight="true" outlineLevel="0" collapsed="false">
      <c r="A17" s="312" t="n">
        <v>7</v>
      </c>
      <c r="B17" s="314" t="s">
        <v>1089</v>
      </c>
      <c r="C17" s="315" t="s">
        <v>1090</v>
      </c>
      <c r="D17" s="320" t="n">
        <f aca="false">D15*7.85+0.3</f>
        <v>7.365</v>
      </c>
      <c r="E17" s="314"/>
      <c r="F17" s="314"/>
      <c r="G17" s="314"/>
      <c r="H17" s="313" t="s">
        <v>1091</v>
      </c>
    </row>
    <row r="18" customFormat="false" ht="19.5" hidden="false" customHeight="true" outlineLevel="0" collapsed="false">
      <c r="A18" s="312" t="n">
        <v>8</v>
      </c>
      <c r="B18" s="314" t="s">
        <v>1092</v>
      </c>
      <c r="C18" s="315" t="s">
        <v>71</v>
      </c>
      <c r="D18" s="321" t="n">
        <v>2.44</v>
      </c>
      <c r="E18" s="314"/>
      <c r="F18" s="314"/>
      <c r="G18" s="314"/>
      <c r="H18" s="313" t="s">
        <v>1093</v>
      </c>
    </row>
    <row r="19" customFormat="false" ht="19.5" hidden="false" customHeight="true" outlineLevel="0" collapsed="false">
      <c r="A19" s="312" t="n">
        <v>9</v>
      </c>
      <c r="B19" s="314" t="s">
        <v>1094</v>
      </c>
      <c r="C19" s="315" t="s">
        <v>71</v>
      </c>
      <c r="D19" s="321" t="n">
        <v>0.05</v>
      </c>
      <c r="E19" s="314"/>
      <c r="F19" s="314"/>
      <c r="G19" s="314"/>
      <c r="H19" s="313" t="s">
        <v>1095</v>
      </c>
    </row>
    <row r="20" customFormat="false" ht="19.5" hidden="false" customHeight="true" outlineLevel="0" collapsed="false">
      <c r="A20" s="312" t="n">
        <v>10</v>
      </c>
      <c r="B20" s="314" t="s">
        <v>1096</v>
      </c>
      <c r="C20" s="315" t="s">
        <v>71</v>
      </c>
      <c r="D20" s="320" t="n">
        <f aca="false">D11+2*D12+2*0.1</f>
        <v>0.85</v>
      </c>
      <c r="E20" s="314"/>
      <c r="F20" s="314"/>
      <c r="G20" s="314"/>
      <c r="H20" s="313" t="s">
        <v>1097</v>
      </c>
    </row>
    <row r="21" customFormat="false" ht="19.5" hidden="false" customHeight="true" outlineLevel="0" collapsed="false">
      <c r="A21" s="312" t="n">
        <v>11</v>
      </c>
      <c r="B21" s="314" t="s">
        <v>1098</v>
      </c>
      <c r="C21" s="315" t="s">
        <v>503</v>
      </c>
      <c r="D21" s="321" t="n">
        <v>0.633</v>
      </c>
      <c r="E21" s="314"/>
      <c r="F21" s="314"/>
      <c r="G21" s="314"/>
      <c r="H21" s="313" t="s">
        <v>1099</v>
      </c>
    </row>
    <row r="22" customFormat="false" ht="19.5" hidden="false" customHeight="true" outlineLevel="0" collapsed="false">
      <c r="A22" s="312" t="n">
        <v>12</v>
      </c>
      <c r="B22" s="314" t="s">
        <v>1100</v>
      </c>
      <c r="C22" s="315" t="s">
        <v>71</v>
      </c>
      <c r="D22" s="321" t="n">
        <v>6</v>
      </c>
      <c r="E22" s="314"/>
      <c r="F22" s="314"/>
      <c r="G22" s="314"/>
      <c r="H22" s="313" t="s">
        <v>1101</v>
      </c>
    </row>
    <row r="25" customFormat="false" ht="21.75" hidden="false" customHeight="true" outlineLevel="0" collapsed="false">
      <c r="A25" s="310" t="s">
        <v>1102</v>
      </c>
      <c r="B25" s="310"/>
      <c r="C25" s="310"/>
      <c r="D25" s="310"/>
      <c r="E25" s="310"/>
      <c r="F25" s="310"/>
      <c r="G25" s="310"/>
      <c r="H25" s="310"/>
    </row>
    <row r="26" customFormat="false" ht="19.5" hidden="false" customHeight="true" outlineLevel="0" collapsed="false">
      <c r="A26" s="310" t="s">
        <v>490</v>
      </c>
      <c r="B26" s="310"/>
      <c r="C26" s="314" t="s">
        <v>71</v>
      </c>
      <c r="D26" s="314"/>
      <c r="E26" s="314"/>
      <c r="F26" s="314"/>
      <c r="G26" s="314"/>
      <c r="H26" s="314"/>
    </row>
    <row r="27" customFormat="false" ht="19.5" hidden="false" customHeight="true" outlineLevel="0" collapsed="false">
      <c r="A27" s="310" t="s">
        <v>1039</v>
      </c>
      <c r="B27" s="310"/>
      <c r="C27" s="271" t="n">
        <f aca="false">+'PLANILLA GENERAL DE METRADOS'!K125</f>
        <v>523.16</v>
      </c>
      <c r="D27" s="314"/>
      <c r="E27" s="314"/>
      <c r="F27" s="314"/>
      <c r="G27" s="314"/>
      <c r="H27" s="314"/>
    </row>
    <row r="28" customFormat="false" ht="19.5" hidden="false" customHeight="true" outlineLevel="0" collapsed="false">
      <c r="A28" s="310" t="s">
        <v>1103</v>
      </c>
      <c r="B28" s="310"/>
      <c r="C28" s="316" t="n">
        <v>25</v>
      </c>
      <c r="D28" s="314"/>
      <c r="E28" s="314" t="s">
        <v>1104</v>
      </c>
      <c r="F28" s="314"/>
      <c r="G28" s="314"/>
      <c r="H28" s="314"/>
    </row>
    <row r="29" customFormat="false" ht="31.5" hidden="false" customHeight="true" outlineLevel="0" collapsed="false">
      <c r="A29" s="311" t="s">
        <v>309</v>
      </c>
      <c r="B29" s="311" t="s">
        <v>1041</v>
      </c>
      <c r="C29" s="311" t="s">
        <v>170</v>
      </c>
      <c r="D29" s="311" t="s">
        <v>1042</v>
      </c>
      <c r="E29" s="311" t="s">
        <v>228</v>
      </c>
      <c r="F29" s="311" t="s">
        <v>1043</v>
      </c>
      <c r="G29" s="311" t="s">
        <v>998</v>
      </c>
      <c r="H29" s="311" t="s">
        <v>1105</v>
      </c>
    </row>
    <row r="30" customFormat="false" ht="19.5" hidden="false" customHeight="true" outlineLevel="0" collapsed="false">
      <c r="A30" s="317"/>
      <c r="B30" s="310" t="s">
        <v>1045</v>
      </c>
      <c r="C30" s="310"/>
      <c r="D30" s="310"/>
      <c r="E30" s="310"/>
      <c r="F30" s="310"/>
      <c r="G30" s="310"/>
      <c r="H30" s="310"/>
    </row>
    <row r="31" customFormat="false" ht="31.5" hidden="false" customHeight="true" outlineLevel="0" collapsed="false">
      <c r="A31" s="312" t="n">
        <v>1</v>
      </c>
      <c r="B31" s="314" t="s">
        <v>1106</v>
      </c>
      <c r="C31" s="315" t="s">
        <v>811</v>
      </c>
      <c r="D31" s="322" t="n">
        <v>1</v>
      </c>
      <c r="E31" s="320" t="n">
        <f aca="false">D31*8/$C$28</f>
        <v>0.32</v>
      </c>
      <c r="F31" s="316" t="n">
        <f aca="false">'COSTO HORA HOMBRE 2026'!$G$11</f>
        <v>28.95</v>
      </c>
      <c r="G31" s="271" t="n">
        <f aca="false">E31*F31</f>
        <v>9.264</v>
      </c>
      <c r="H31" s="313" t="s">
        <v>1046</v>
      </c>
    </row>
    <row r="32" customFormat="false" ht="31.5" hidden="false" customHeight="true" outlineLevel="0" collapsed="false">
      <c r="A32" s="312" t="n">
        <v>2</v>
      </c>
      <c r="B32" s="314" t="s">
        <v>813</v>
      </c>
      <c r="C32" s="315" t="s">
        <v>811</v>
      </c>
      <c r="D32" s="322" t="n">
        <v>1</v>
      </c>
      <c r="E32" s="320" t="n">
        <f aca="false">D32*8/$C$28</f>
        <v>0.32</v>
      </c>
      <c r="F32" s="316" t="n">
        <f aca="false">'COSTO HORA HOMBRE 2026'!$G$13</f>
        <v>20.54</v>
      </c>
      <c r="G32" s="271" t="n">
        <f aca="false">E32*F32</f>
        <v>6.5728</v>
      </c>
      <c r="H32" s="313" t="s">
        <v>1046</v>
      </c>
    </row>
    <row r="33" customFormat="false" ht="19.5" hidden="false" customHeight="true" outlineLevel="0" collapsed="false">
      <c r="A33" s="317"/>
      <c r="B33" s="310" t="s">
        <v>1047</v>
      </c>
      <c r="C33" s="314"/>
      <c r="D33" s="314"/>
      <c r="E33" s="314"/>
      <c r="F33" s="314"/>
      <c r="G33" s="298" t="n">
        <f aca="false">SUM(G31:G32)</f>
        <v>15.8368</v>
      </c>
      <c r="H33" s="314"/>
    </row>
    <row r="34" customFormat="false" ht="19.5" hidden="false" customHeight="true" outlineLevel="0" collapsed="false">
      <c r="A34" s="317"/>
      <c r="B34" s="310" t="s">
        <v>1048</v>
      </c>
      <c r="C34" s="310"/>
      <c r="D34" s="310"/>
      <c r="E34" s="310"/>
      <c r="F34" s="310"/>
      <c r="G34" s="310"/>
      <c r="H34" s="310"/>
    </row>
    <row r="35" customFormat="false" ht="31.5" hidden="false" customHeight="true" outlineLevel="0" collapsed="false">
      <c r="A35" s="312" t="n">
        <v>3</v>
      </c>
      <c r="B35" s="314" t="s">
        <v>1107</v>
      </c>
      <c r="C35" s="315" t="s">
        <v>186</v>
      </c>
      <c r="D35" s="314"/>
      <c r="E35" s="320" t="n">
        <f aca="false">$D$14*(1+$D$19/$D$18)*1.05</f>
        <v>0.803637295081967</v>
      </c>
      <c r="F35" s="316" t="n">
        <v>26.95</v>
      </c>
      <c r="G35" s="271" t="n">
        <f aca="false">E35*F35</f>
        <v>21.658025102459</v>
      </c>
      <c r="H35" s="313" t="s">
        <v>1108</v>
      </c>
    </row>
    <row r="36" customFormat="false" ht="19.5" hidden="false" customHeight="true" outlineLevel="0" collapsed="false">
      <c r="A36" s="312" t="n">
        <v>4</v>
      </c>
      <c r="B36" s="314" t="s">
        <v>1109</v>
      </c>
      <c r="C36" s="315" t="s">
        <v>60</v>
      </c>
      <c r="D36" s="314"/>
      <c r="E36" s="320" t="n">
        <f aca="false">2*($D$11+2*$D$12)/0.05/$D$18</f>
        <v>10.655737704918</v>
      </c>
      <c r="F36" s="316" t="n">
        <v>0.1</v>
      </c>
      <c r="G36" s="271" t="n">
        <f aca="false">E36*F36</f>
        <v>1.0655737704918</v>
      </c>
      <c r="H36" s="313" t="s">
        <v>1110</v>
      </c>
    </row>
    <row r="37" customFormat="false" ht="31.5" hidden="false" customHeight="true" outlineLevel="0" collapsed="false">
      <c r="A37" s="312" t="n">
        <v>5</v>
      </c>
      <c r="B37" s="314" t="s">
        <v>1111</v>
      </c>
      <c r="C37" s="315" t="s">
        <v>60</v>
      </c>
      <c r="D37" s="314"/>
      <c r="E37" s="320" t="n">
        <f aca="false">($D$11+2*$D$12)/$D$18/8</f>
        <v>0.0332991803278689</v>
      </c>
      <c r="F37" s="316" t="n">
        <v>21.19</v>
      </c>
      <c r="G37" s="271" t="n">
        <f aca="false">E37*F37</f>
        <v>0.705609631147541</v>
      </c>
      <c r="H37" s="313" t="s">
        <v>1112</v>
      </c>
    </row>
    <row r="38" customFormat="false" ht="19.5" hidden="false" customHeight="true" outlineLevel="0" collapsed="false">
      <c r="A38" s="317"/>
      <c r="B38" s="310" t="s">
        <v>1062</v>
      </c>
      <c r="C38" s="314"/>
      <c r="D38" s="314"/>
      <c r="E38" s="314"/>
      <c r="F38" s="314"/>
      <c r="G38" s="298" t="n">
        <f aca="false">SUM(G35:G37)</f>
        <v>23.4292085040984</v>
      </c>
      <c r="H38" s="314"/>
    </row>
    <row r="39" customFormat="false" ht="19.5" hidden="false" customHeight="true" outlineLevel="0" collapsed="false">
      <c r="A39" s="317"/>
      <c r="B39" s="310" t="s">
        <v>1063</v>
      </c>
      <c r="C39" s="310"/>
      <c r="D39" s="310"/>
      <c r="E39" s="310"/>
      <c r="F39" s="310"/>
      <c r="G39" s="310"/>
      <c r="H39" s="310"/>
    </row>
    <row r="40" customFormat="false" ht="19.5" hidden="false" customHeight="true" outlineLevel="0" collapsed="false">
      <c r="A40" s="312" t="n">
        <v>6</v>
      </c>
      <c r="B40" s="314" t="s">
        <v>827</v>
      </c>
      <c r="C40" s="315" t="s">
        <v>828</v>
      </c>
      <c r="D40" s="314"/>
      <c r="E40" s="322" t="n">
        <v>0.05</v>
      </c>
      <c r="F40" s="271" t="n">
        <f aca="false">+G33</f>
        <v>15.8368</v>
      </c>
      <c r="G40" s="271" t="n">
        <f aca="false">E40*F40</f>
        <v>0.79184</v>
      </c>
      <c r="H40" s="313" t="s">
        <v>1113</v>
      </c>
    </row>
    <row r="41" customFormat="false" ht="19.5" hidden="false" customHeight="true" outlineLevel="0" collapsed="false">
      <c r="A41" s="317"/>
      <c r="B41" s="310" t="s">
        <v>1068</v>
      </c>
      <c r="C41" s="314"/>
      <c r="D41" s="314"/>
      <c r="E41" s="314"/>
      <c r="F41" s="314"/>
      <c r="G41" s="298" t="n">
        <f aca="false">SUM(G40:G40)</f>
        <v>0.79184</v>
      </c>
      <c r="H41" s="314"/>
    </row>
    <row r="42" customFormat="false" ht="21.75" hidden="false" customHeight="true" outlineLevel="0" collapsed="false">
      <c r="A42" s="310" t="s">
        <v>1114</v>
      </c>
      <c r="B42" s="310"/>
      <c r="C42" s="310"/>
      <c r="D42" s="310"/>
      <c r="E42" s="310"/>
      <c r="F42" s="310"/>
      <c r="G42" s="298" t="n">
        <f aca="false">+G33+G38+G41</f>
        <v>40.0578485040984</v>
      </c>
      <c r="H42" s="314"/>
    </row>
    <row r="43" customFormat="false" ht="21.75" hidden="false" customHeight="true" outlineLevel="0" collapsed="false">
      <c r="A43" s="310" t="s">
        <v>1070</v>
      </c>
      <c r="B43" s="310"/>
      <c r="C43" s="310"/>
      <c r="D43" s="310"/>
      <c r="E43" s="310"/>
      <c r="F43" s="310"/>
      <c r="G43" s="298" t="n">
        <f aca="false">G42*C27</f>
        <v>20956.6640234041</v>
      </c>
      <c r="H43" s="314"/>
    </row>
    <row r="45" customFormat="false" ht="21.75" hidden="false" customHeight="true" outlineLevel="0" collapsed="false">
      <c r="A45" s="310" t="s">
        <v>1115</v>
      </c>
      <c r="B45" s="310"/>
      <c r="C45" s="310"/>
      <c r="D45" s="310"/>
      <c r="E45" s="310"/>
      <c r="F45" s="310"/>
      <c r="G45" s="310"/>
      <c r="H45" s="310"/>
    </row>
    <row r="46" customFormat="false" ht="19.5" hidden="false" customHeight="true" outlineLevel="0" collapsed="false">
      <c r="A46" s="310" t="s">
        <v>490</v>
      </c>
      <c r="B46" s="310"/>
      <c r="C46" s="314" t="s">
        <v>60</v>
      </c>
      <c r="D46" s="314"/>
      <c r="E46" s="314"/>
      <c r="F46" s="314"/>
      <c r="G46" s="314"/>
      <c r="H46" s="314"/>
    </row>
    <row r="47" customFormat="false" ht="19.5" hidden="false" customHeight="true" outlineLevel="0" collapsed="false">
      <c r="A47" s="310" t="s">
        <v>1039</v>
      </c>
      <c r="B47" s="310"/>
      <c r="C47" s="271" t="n">
        <f aca="false">+'PLANILLA GENERAL DE METRADOS'!K126</f>
        <v>906.0</v>
      </c>
      <c r="D47" s="314"/>
      <c r="E47" s="314"/>
      <c r="F47" s="314"/>
      <c r="G47" s="314"/>
      <c r="H47" s="314"/>
    </row>
    <row r="48" customFormat="false" ht="19.5" hidden="false" customHeight="true" outlineLevel="0" collapsed="false">
      <c r="A48" s="310" t="s">
        <v>1116</v>
      </c>
      <c r="B48" s="310"/>
      <c r="C48" s="316" t="n">
        <v>40</v>
      </c>
      <c r="D48" s="314"/>
      <c r="E48" s="314" t="s">
        <v>1117</v>
      </c>
      <c r="F48" s="314"/>
      <c r="G48" s="314"/>
      <c r="H48" s="314"/>
    </row>
    <row r="49" customFormat="false" ht="31.5" hidden="false" customHeight="true" outlineLevel="0" collapsed="false">
      <c r="A49" s="311" t="s">
        <v>309</v>
      </c>
      <c r="B49" s="311" t="s">
        <v>1041</v>
      </c>
      <c r="C49" s="311" t="s">
        <v>170</v>
      </c>
      <c r="D49" s="311" t="s">
        <v>1042</v>
      </c>
      <c r="E49" s="311" t="s">
        <v>228</v>
      </c>
      <c r="F49" s="311" t="s">
        <v>1043</v>
      </c>
      <c r="G49" s="311" t="s">
        <v>998</v>
      </c>
      <c r="H49" s="311" t="s">
        <v>1105</v>
      </c>
    </row>
    <row r="50" customFormat="false" ht="19.5" hidden="false" customHeight="true" outlineLevel="0" collapsed="false">
      <c r="A50" s="317"/>
      <c r="B50" s="310" t="s">
        <v>1045</v>
      </c>
      <c r="C50" s="310"/>
      <c r="D50" s="310"/>
      <c r="E50" s="310"/>
      <c r="F50" s="310"/>
      <c r="G50" s="310"/>
      <c r="H50" s="310"/>
    </row>
    <row r="51" customFormat="false" ht="31.5" hidden="false" customHeight="true" outlineLevel="0" collapsed="false">
      <c r="A51" s="312" t="n">
        <v>1</v>
      </c>
      <c r="B51" s="314" t="s">
        <v>810</v>
      </c>
      <c r="C51" s="315" t="s">
        <v>811</v>
      </c>
      <c r="D51" s="322" t="n">
        <v>1</v>
      </c>
      <c r="E51" s="320" t="n">
        <f aca="false">D51*8/$C$48</f>
        <v>0.2</v>
      </c>
      <c r="F51" s="316" t="n">
        <f aca="false">'COSTO HORA HOMBRE 2026'!$G$11</f>
        <v>28.95</v>
      </c>
      <c r="G51" s="271" t="n">
        <f aca="false">E51*F51</f>
        <v>5.79</v>
      </c>
      <c r="H51" s="313" t="s">
        <v>1046</v>
      </c>
    </row>
    <row r="52" customFormat="false" ht="31.5" hidden="false" customHeight="true" outlineLevel="0" collapsed="false">
      <c r="A52" s="312" t="n">
        <v>2</v>
      </c>
      <c r="B52" s="314" t="s">
        <v>813</v>
      </c>
      <c r="C52" s="315" t="s">
        <v>811</v>
      </c>
      <c r="D52" s="322" t="n">
        <v>0.5</v>
      </c>
      <c r="E52" s="320" t="n">
        <f aca="false">D52*8/$C$48</f>
        <v>0.1</v>
      </c>
      <c r="F52" s="316" t="n">
        <f aca="false">'COSTO HORA HOMBRE 2026'!$G$13</f>
        <v>20.54</v>
      </c>
      <c r="G52" s="271" t="n">
        <f aca="false">E52*F52</f>
        <v>2.054</v>
      </c>
      <c r="H52" s="313" t="s">
        <v>1046</v>
      </c>
    </row>
    <row r="53" customFormat="false" ht="19.5" hidden="false" customHeight="true" outlineLevel="0" collapsed="false">
      <c r="A53" s="317"/>
      <c r="B53" s="310" t="s">
        <v>1047</v>
      </c>
      <c r="C53" s="314"/>
      <c r="D53" s="314"/>
      <c r="E53" s="314"/>
      <c r="F53" s="314"/>
      <c r="G53" s="298" t="n">
        <f aca="false">SUM(G51:G52)</f>
        <v>7.844</v>
      </c>
      <c r="H53" s="314"/>
    </row>
    <row r="54" customFormat="false" ht="19.5" hidden="false" customHeight="true" outlineLevel="0" collapsed="false">
      <c r="A54" s="317"/>
      <c r="B54" s="310" t="s">
        <v>1048</v>
      </c>
      <c r="C54" s="310"/>
      <c r="D54" s="310"/>
      <c r="E54" s="310"/>
      <c r="F54" s="310"/>
      <c r="G54" s="310"/>
      <c r="H54" s="310"/>
    </row>
    <row r="55" customFormat="false" ht="31.5" hidden="false" customHeight="true" outlineLevel="0" collapsed="false">
      <c r="A55" s="312" t="n">
        <v>3</v>
      </c>
      <c r="B55" s="314" t="s">
        <v>1118</v>
      </c>
      <c r="C55" s="315" t="s">
        <v>71</v>
      </c>
      <c r="D55" s="314"/>
      <c r="E55" s="320" t="n">
        <f aca="false">$D$20*1.05</f>
        <v>0.8925</v>
      </c>
      <c r="F55" s="316" t="n">
        <v>6.36</v>
      </c>
      <c r="G55" s="271" t="n">
        <f aca="false">E55*F55</f>
        <v>5.6763</v>
      </c>
      <c r="H55" s="313" t="s">
        <v>1119</v>
      </c>
    </row>
    <row r="56" customFormat="false" ht="19.5" hidden="false" customHeight="true" outlineLevel="0" collapsed="false">
      <c r="A56" s="312" t="n">
        <v>4</v>
      </c>
      <c r="B56" s="314" t="s">
        <v>1120</v>
      </c>
      <c r="C56" s="315" t="s">
        <v>60</v>
      </c>
      <c r="D56" s="314"/>
      <c r="E56" s="321" t="n">
        <v>2</v>
      </c>
      <c r="F56" s="316" t="n">
        <v>1.02</v>
      </c>
      <c r="G56" s="271" t="n">
        <f aca="false">E56*F56</f>
        <v>2.04</v>
      </c>
      <c r="H56" s="313" t="s">
        <v>1121</v>
      </c>
    </row>
    <row r="57" customFormat="false" ht="19.5" hidden="false" customHeight="true" outlineLevel="0" collapsed="false">
      <c r="A57" s="312" t="n">
        <v>5</v>
      </c>
      <c r="B57" s="314" t="s">
        <v>1122</v>
      </c>
      <c r="C57" s="315" t="s">
        <v>60</v>
      </c>
      <c r="D57" s="314"/>
      <c r="E57" s="321" t="n">
        <v>2</v>
      </c>
      <c r="F57" s="316" t="n">
        <v>0.25</v>
      </c>
      <c r="G57" s="271" t="n">
        <f aca="false">E57*F57</f>
        <v>0.5</v>
      </c>
      <c r="H57" s="313" t="s">
        <v>1123</v>
      </c>
    </row>
    <row r="58" customFormat="false" ht="19.5" hidden="false" customHeight="true" outlineLevel="0" collapsed="false">
      <c r="A58" s="317"/>
      <c r="B58" s="310" t="s">
        <v>1062</v>
      </c>
      <c r="C58" s="314"/>
      <c r="D58" s="314"/>
      <c r="E58" s="314"/>
      <c r="F58" s="314"/>
      <c r="G58" s="298" t="n">
        <f aca="false">SUM(G55:G57)</f>
        <v>8.2163</v>
      </c>
      <c r="H58" s="314"/>
    </row>
    <row r="59" customFormat="false" ht="19.5" hidden="false" customHeight="true" outlineLevel="0" collapsed="false">
      <c r="A59" s="317"/>
      <c r="B59" s="310" t="s">
        <v>1063</v>
      </c>
      <c r="C59" s="310"/>
      <c r="D59" s="310"/>
      <c r="E59" s="310"/>
      <c r="F59" s="310"/>
      <c r="G59" s="310"/>
      <c r="H59" s="310"/>
    </row>
    <row r="60" customFormat="false" ht="19.5" hidden="false" customHeight="true" outlineLevel="0" collapsed="false">
      <c r="A60" s="312" t="n">
        <v>6</v>
      </c>
      <c r="B60" s="314" t="s">
        <v>827</v>
      </c>
      <c r="C60" s="315" t="s">
        <v>828</v>
      </c>
      <c r="D60" s="314"/>
      <c r="E60" s="322" t="n">
        <v>0.05</v>
      </c>
      <c r="F60" s="271" t="n">
        <f aca="false">+G53</f>
        <v>7.844</v>
      </c>
      <c r="G60" s="271" t="n">
        <f aca="false">E60*F60</f>
        <v>0.3922</v>
      </c>
      <c r="H60" s="313" t="s">
        <v>1113</v>
      </c>
    </row>
    <row r="61" customFormat="false" ht="19.5" hidden="false" customHeight="true" outlineLevel="0" collapsed="false">
      <c r="A61" s="317"/>
      <c r="B61" s="310" t="s">
        <v>1068</v>
      </c>
      <c r="C61" s="314"/>
      <c r="D61" s="314"/>
      <c r="E61" s="314"/>
      <c r="F61" s="314"/>
      <c r="G61" s="298" t="n">
        <f aca="false">SUM(G60:G60)</f>
        <v>0.3922</v>
      </c>
      <c r="H61" s="314"/>
    </row>
    <row r="62" customFormat="false" ht="21.75" hidden="false" customHeight="true" outlineLevel="0" collapsed="false">
      <c r="A62" s="310" t="s">
        <v>1124</v>
      </c>
      <c r="B62" s="310"/>
      <c r="C62" s="310"/>
      <c r="D62" s="310"/>
      <c r="E62" s="310"/>
      <c r="F62" s="310"/>
      <c r="G62" s="298" t="n">
        <f aca="false">+G53+G58+G61</f>
        <v>16.4525</v>
      </c>
      <c r="H62" s="314"/>
    </row>
    <row r="63" customFormat="false" ht="21.75" hidden="false" customHeight="true" outlineLevel="0" collapsed="false">
      <c r="A63" s="310" t="s">
        <v>1070</v>
      </c>
      <c r="B63" s="310"/>
      <c r="C63" s="310"/>
      <c r="D63" s="310"/>
      <c r="E63" s="310"/>
      <c r="F63" s="310"/>
      <c r="G63" s="298" t="n">
        <f aca="false">G62*C47</f>
        <v>14905.965</v>
      </c>
      <c r="H63" s="314"/>
    </row>
    <row r="65" customFormat="false" ht="21.75" hidden="false" customHeight="true" outlineLevel="0" collapsed="false">
      <c r="A65" s="310" t="s">
        <v>1125</v>
      </c>
      <c r="B65" s="310"/>
      <c r="C65" s="310"/>
      <c r="D65" s="310"/>
      <c r="E65" s="310"/>
      <c r="F65" s="310"/>
      <c r="G65" s="310"/>
      <c r="H65" s="310"/>
    </row>
    <row r="66" customFormat="false" ht="19.5" hidden="false" customHeight="true" outlineLevel="0" collapsed="false">
      <c r="A66" s="310" t="s">
        <v>490</v>
      </c>
      <c r="B66" s="310"/>
      <c r="C66" s="314" t="s">
        <v>60</v>
      </c>
      <c r="D66" s="314"/>
      <c r="E66" s="314"/>
      <c r="F66" s="314"/>
      <c r="G66" s="314"/>
      <c r="H66" s="314"/>
    </row>
    <row r="67" customFormat="false" ht="19.5" hidden="false" customHeight="true" outlineLevel="0" collapsed="false">
      <c r="A67" s="310" t="s">
        <v>1039</v>
      </c>
      <c r="B67" s="310"/>
      <c r="C67" s="271" t="n">
        <f aca="false">+'PLANILLA GENERAL DE METRADOS'!K127</f>
        <v>44.0</v>
      </c>
      <c r="D67" s="314"/>
      <c r="E67" s="314"/>
      <c r="F67" s="314"/>
      <c r="G67" s="314"/>
      <c r="H67" s="314"/>
    </row>
    <row r="68" customFormat="false" ht="19.5" hidden="false" customHeight="true" outlineLevel="0" collapsed="false">
      <c r="A68" s="310" t="s">
        <v>1116</v>
      </c>
      <c r="B68" s="310"/>
      <c r="C68" s="316" t="n">
        <v>30</v>
      </c>
      <c r="D68" s="314"/>
      <c r="E68" s="314" t="s">
        <v>1126</v>
      </c>
      <c r="F68" s="314"/>
      <c r="G68" s="314"/>
      <c r="H68" s="314"/>
    </row>
    <row r="69" customFormat="false" ht="31.5" hidden="false" customHeight="true" outlineLevel="0" collapsed="false">
      <c r="A69" s="311" t="s">
        <v>309</v>
      </c>
      <c r="B69" s="311" t="s">
        <v>1041</v>
      </c>
      <c r="C69" s="311" t="s">
        <v>170</v>
      </c>
      <c r="D69" s="311" t="s">
        <v>1042</v>
      </c>
      <c r="E69" s="311" t="s">
        <v>228</v>
      </c>
      <c r="F69" s="311" t="s">
        <v>1043</v>
      </c>
      <c r="G69" s="311" t="s">
        <v>998</v>
      </c>
      <c r="H69" s="311" t="s">
        <v>1105</v>
      </c>
    </row>
    <row r="70" customFormat="false" ht="19.5" hidden="false" customHeight="true" outlineLevel="0" collapsed="false">
      <c r="A70" s="317"/>
      <c r="B70" s="310" t="s">
        <v>1045</v>
      </c>
      <c r="C70" s="310"/>
      <c r="D70" s="310"/>
      <c r="E70" s="310"/>
      <c r="F70" s="310"/>
      <c r="G70" s="310"/>
      <c r="H70" s="310"/>
    </row>
    <row r="71" customFormat="false" ht="31.5" hidden="false" customHeight="true" outlineLevel="0" collapsed="false">
      <c r="A71" s="312" t="n">
        <v>1</v>
      </c>
      <c r="B71" s="314" t="s">
        <v>1106</v>
      </c>
      <c r="C71" s="315" t="s">
        <v>811</v>
      </c>
      <c r="D71" s="322" t="n">
        <v>1</v>
      </c>
      <c r="E71" s="320" t="n">
        <f aca="false">D71*8/$C$68</f>
        <v>0.266666666666667</v>
      </c>
      <c r="F71" s="316" t="n">
        <f aca="false">'COSTO HORA HOMBRE 2026'!$G$11</f>
        <v>28.95</v>
      </c>
      <c r="G71" s="271" t="n">
        <f aca="false">E71*F71</f>
        <v>7.72</v>
      </c>
      <c r="H71" s="313" t="s">
        <v>1046</v>
      </c>
    </row>
    <row r="72" customFormat="false" ht="31.5" hidden="false" customHeight="true" outlineLevel="0" collapsed="false">
      <c r="A72" s="312" t="n">
        <v>2</v>
      </c>
      <c r="B72" s="314" t="s">
        <v>813</v>
      </c>
      <c r="C72" s="315" t="s">
        <v>811</v>
      </c>
      <c r="D72" s="322" t="n">
        <v>0.5</v>
      </c>
      <c r="E72" s="320" t="n">
        <f aca="false">D72*8/$C$68</f>
        <v>0.133333333333333</v>
      </c>
      <c r="F72" s="316" t="n">
        <f aca="false">'COSTO HORA HOMBRE 2026'!$G$13</f>
        <v>20.54</v>
      </c>
      <c r="G72" s="271" t="n">
        <f aca="false">E72*F72</f>
        <v>2.73866666666667</v>
      </c>
      <c r="H72" s="313" t="s">
        <v>1046</v>
      </c>
    </row>
    <row r="73" customFormat="false" ht="19.5" hidden="false" customHeight="true" outlineLevel="0" collapsed="false">
      <c r="A73" s="317"/>
      <c r="B73" s="310" t="s">
        <v>1047</v>
      </c>
      <c r="C73" s="314"/>
      <c r="D73" s="314"/>
      <c r="E73" s="314"/>
      <c r="F73" s="314"/>
      <c r="G73" s="298" t="n">
        <f aca="false">SUM(G71:G72)</f>
        <v>10.4586666666667</v>
      </c>
      <c r="H73" s="314"/>
    </row>
    <row r="74" customFormat="false" ht="19.5" hidden="false" customHeight="true" outlineLevel="0" collapsed="false">
      <c r="A74" s="317"/>
      <c r="B74" s="310" t="s">
        <v>1048</v>
      </c>
      <c r="C74" s="310"/>
      <c r="D74" s="310"/>
      <c r="E74" s="310"/>
      <c r="F74" s="310"/>
      <c r="G74" s="310"/>
      <c r="H74" s="310"/>
    </row>
    <row r="75" customFormat="false" ht="31.5" hidden="false" customHeight="true" outlineLevel="0" collapsed="false">
      <c r="A75" s="312" t="n">
        <v>3</v>
      </c>
      <c r="B75" s="314" t="s">
        <v>1107</v>
      </c>
      <c r="C75" s="315" t="s">
        <v>186</v>
      </c>
      <c r="D75" s="314"/>
      <c r="E75" s="320" t="n">
        <f aca="false">($D$11*$D$12+2*($D$11+$D$12)*0.03)*1.1</f>
        <v>0.0847</v>
      </c>
      <c r="F75" s="316" t="n">
        <v>26.95</v>
      </c>
      <c r="G75" s="271" t="n">
        <f aca="false">E75*F75</f>
        <v>2.282665</v>
      </c>
      <c r="H75" s="313" t="s">
        <v>1127</v>
      </c>
    </row>
    <row r="76" customFormat="false" ht="19.5" hidden="false" customHeight="true" outlineLevel="0" collapsed="false">
      <c r="A76" s="312" t="n">
        <v>4</v>
      </c>
      <c r="B76" s="314" t="s">
        <v>1109</v>
      </c>
      <c r="C76" s="315" t="s">
        <v>60</v>
      </c>
      <c r="D76" s="314"/>
      <c r="E76" s="321" t="n">
        <v>6</v>
      </c>
      <c r="F76" s="316" t="n">
        <v>0.1</v>
      </c>
      <c r="G76" s="271" t="n">
        <f aca="false">E76*F76</f>
        <v>0.6</v>
      </c>
      <c r="H76" s="313" t="s">
        <v>1128</v>
      </c>
    </row>
    <row r="77" customFormat="false" ht="19.5" hidden="false" customHeight="true" outlineLevel="0" collapsed="false">
      <c r="A77" s="312" t="n">
        <v>5</v>
      </c>
      <c r="B77" s="314" t="s">
        <v>1111</v>
      </c>
      <c r="C77" s="315" t="s">
        <v>60</v>
      </c>
      <c r="D77" s="314"/>
      <c r="E77" s="320" t="n">
        <f aca="false">($D$11+2*$D$12)/8</f>
        <v>0.08125</v>
      </c>
      <c r="F77" s="316" t="n">
        <v>21.19</v>
      </c>
      <c r="G77" s="271" t="n">
        <f aca="false">E77*F77</f>
        <v>1.7216875</v>
      </c>
      <c r="H77" s="313" t="s">
        <v>1129</v>
      </c>
    </row>
    <row r="78" customFormat="false" ht="19.5" hidden="false" customHeight="true" outlineLevel="0" collapsed="false">
      <c r="A78" s="317"/>
      <c r="B78" s="310" t="s">
        <v>1062</v>
      </c>
      <c r="C78" s="314"/>
      <c r="D78" s="314"/>
      <c r="E78" s="314"/>
      <c r="F78" s="314"/>
      <c r="G78" s="298" t="n">
        <f aca="false">SUM(G75:G77)</f>
        <v>4.6043525</v>
      </c>
      <c r="H78" s="314"/>
    </row>
    <row r="79" customFormat="false" ht="19.5" hidden="false" customHeight="true" outlineLevel="0" collapsed="false">
      <c r="A79" s="317"/>
      <c r="B79" s="310" t="s">
        <v>1063</v>
      </c>
      <c r="C79" s="310"/>
      <c r="D79" s="310"/>
      <c r="E79" s="310"/>
      <c r="F79" s="310"/>
      <c r="G79" s="310"/>
      <c r="H79" s="310"/>
    </row>
    <row r="80" customFormat="false" ht="19.5" hidden="false" customHeight="true" outlineLevel="0" collapsed="false">
      <c r="A80" s="312" t="n">
        <v>6</v>
      </c>
      <c r="B80" s="314" t="s">
        <v>827</v>
      </c>
      <c r="C80" s="315" t="s">
        <v>828</v>
      </c>
      <c r="D80" s="314"/>
      <c r="E80" s="322" t="n">
        <v>0.05</v>
      </c>
      <c r="F80" s="271" t="n">
        <f aca="false">+G73</f>
        <v>10.4586666666667</v>
      </c>
      <c r="G80" s="271" t="n">
        <f aca="false">E80*F80</f>
        <v>0.522933333333333</v>
      </c>
      <c r="H80" s="313" t="s">
        <v>1113</v>
      </c>
    </row>
    <row r="81" customFormat="false" ht="19.5" hidden="false" customHeight="true" outlineLevel="0" collapsed="false">
      <c r="A81" s="317"/>
      <c r="B81" s="310" t="s">
        <v>1068</v>
      </c>
      <c r="C81" s="314"/>
      <c r="D81" s="314"/>
      <c r="E81" s="314"/>
      <c r="F81" s="314"/>
      <c r="G81" s="298" t="n">
        <f aca="false">SUM(G80:G80)</f>
        <v>0.522933333333333</v>
      </c>
      <c r="H81" s="314"/>
    </row>
    <row r="82" customFormat="false" ht="21.75" hidden="false" customHeight="true" outlineLevel="0" collapsed="false">
      <c r="A82" s="310" t="s">
        <v>1124</v>
      </c>
      <c r="B82" s="310"/>
      <c r="C82" s="310"/>
      <c r="D82" s="310"/>
      <c r="E82" s="310"/>
      <c r="F82" s="310"/>
      <c r="G82" s="298" t="n">
        <f aca="false">+G73+G78+G81</f>
        <v>15.5859525</v>
      </c>
      <c r="H82" s="314"/>
    </row>
    <row r="83" customFormat="false" ht="21.75" hidden="false" customHeight="true" outlineLevel="0" collapsed="false">
      <c r="A83" s="310" t="s">
        <v>1070</v>
      </c>
      <c r="B83" s="310"/>
      <c r="C83" s="310"/>
      <c r="D83" s="310"/>
      <c r="E83" s="310"/>
      <c r="F83" s="310"/>
      <c r="G83" s="298" t="n">
        <f aca="false">G82*C67</f>
        <v>685.78191</v>
      </c>
      <c r="H83" s="314"/>
    </row>
    <row r="85" customFormat="false" ht="21.75" hidden="false" customHeight="true" outlineLevel="0" collapsed="false">
      <c r="A85" s="310" t="s">
        <v>1130</v>
      </c>
      <c r="B85" s="310"/>
      <c r="C85" s="310"/>
      <c r="D85" s="310"/>
      <c r="E85" s="310"/>
      <c r="F85" s="310"/>
      <c r="G85" s="310"/>
      <c r="H85" s="310"/>
    </row>
    <row r="86" customFormat="false" ht="19.5" hidden="false" customHeight="true" outlineLevel="0" collapsed="false">
      <c r="A86" s="310" t="s">
        <v>490</v>
      </c>
      <c r="B86" s="310"/>
      <c r="C86" s="314" t="s">
        <v>60</v>
      </c>
      <c r="D86" s="314"/>
      <c r="E86" s="314"/>
      <c r="F86" s="314"/>
      <c r="G86" s="314"/>
      <c r="H86" s="314"/>
    </row>
    <row r="87" customFormat="false" ht="19.5" hidden="false" customHeight="true" outlineLevel="0" collapsed="false">
      <c r="A87" s="310" t="s">
        <v>1039</v>
      </c>
      <c r="B87" s="310"/>
      <c r="C87" s="271" t="n">
        <f aca="false">+'PLANILLA GENERAL DE METRADOS'!K128</f>
        <v>52.0</v>
      </c>
      <c r="D87" s="314"/>
      <c r="E87" s="314"/>
      <c r="F87" s="314"/>
      <c r="G87" s="314"/>
      <c r="H87" s="314"/>
    </row>
    <row r="88" customFormat="false" ht="19.5" hidden="false" customHeight="true" outlineLevel="0" collapsed="false">
      <c r="A88" s="310" t="s">
        <v>1116</v>
      </c>
      <c r="B88" s="310"/>
      <c r="C88" s="316" t="n">
        <v>16</v>
      </c>
      <c r="D88" s="314"/>
      <c r="E88" s="314" t="s">
        <v>1131</v>
      </c>
      <c r="F88" s="314"/>
      <c r="G88" s="314"/>
      <c r="H88" s="314"/>
    </row>
    <row r="89" customFormat="false" ht="31.5" hidden="false" customHeight="true" outlineLevel="0" collapsed="false">
      <c r="A89" s="311" t="s">
        <v>309</v>
      </c>
      <c r="B89" s="311" t="s">
        <v>1041</v>
      </c>
      <c r="C89" s="311" t="s">
        <v>170</v>
      </c>
      <c r="D89" s="311" t="s">
        <v>1042</v>
      </c>
      <c r="E89" s="311" t="s">
        <v>228</v>
      </c>
      <c r="F89" s="311" t="s">
        <v>1043</v>
      </c>
      <c r="G89" s="311" t="s">
        <v>998</v>
      </c>
      <c r="H89" s="311" t="s">
        <v>1105</v>
      </c>
    </row>
    <row r="90" customFormat="false" ht="19.5" hidden="false" customHeight="true" outlineLevel="0" collapsed="false">
      <c r="A90" s="317"/>
      <c r="B90" s="310" t="s">
        <v>1045</v>
      </c>
      <c r="C90" s="310"/>
      <c r="D90" s="310"/>
      <c r="E90" s="310"/>
      <c r="F90" s="310"/>
      <c r="G90" s="310"/>
      <c r="H90" s="310"/>
    </row>
    <row r="91" customFormat="false" ht="31.5" hidden="false" customHeight="true" outlineLevel="0" collapsed="false">
      <c r="A91" s="312" t="n">
        <v>1</v>
      </c>
      <c r="B91" s="314" t="s">
        <v>1106</v>
      </c>
      <c r="C91" s="315" t="s">
        <v>811</v>
      </c>
      <c r="D91" s="322" t="n">
        <v>1</v>
      </c>
      <c r="E91" s="320" t="n">
        <f aca="false">D91*8/$C$88</f>
        <v>0.5</v>
      </c>
      <c r="F91" s="316" t="n">
        <f aca="false">'COSTO HORA HOMBRE 2026'!$G$11</f>
        <v>28.95</v>
      </c>
      <c r="G91" s="271" t="n">
        <f aca="false">E91*F91</f>
        <v>14.475</v>
      </c>
      <c r="H91" s="313" t="s">
        <v>1046</v>
      </c>
    </row>
    <row r="92" customFormat="false" ht="31.5" hidden="false" customHeight="true" outlineLevel="0" collapsed="false">
      <c r="A92" s="312" t="n">
        <v>2</v>
      </c>
      <c r="B92" s="314" t="s">
        <v>813</v>
      </c>
      <c r="C92" s="315" t="s">
        <v>811</v>
      </c>
      <c r="D92" s="322" t="n">
        <v>0.5</v>
      </c>
      <c r="E92" s="320" t="n">
        <f aca="false">D92*8/$C$88</f>
        <v>0.25</v>
      </c>
      <c r="F92" s="316" t="n">
        <f aca="false">'COSTO HORA HOMBRE 2026'!$G$13</f>
        <v>20.54</v>
      </c>
      <c r="G92" s="271" t="n">
        <f aca="false">E92*F92</f>
        <v>5.135</v>
      </c>
      <c r="H92" s="313" t="s">
        <v>1046</v>
      </c>
    </row>
    <row r="93" customFormat="false" ht="19.5" hidden="false" customHeight="true" outlineLevel="0" collapsed="false">
      <c r="A93" s="317"/>
      <c r="B93" s="310" t="s">
        <v>1047</v>
      </c>
      <c r="C93" s="314"/>
      <c r="D93" s="314"/>
      <c r="E93" s="314"/>
      <c r="F93" s="314"/>
      <c r="G93" s="298" t="n">
        <f aca="false">SUM(G91:G92)</f>
        <v>19.61</v>
      </c>
      <c r="H93" s="314"/>
    </row>
    <row r="94" customFormat="false" ht="19.5" hidden="false" customHeight="true" outlineLevel="0" collapsed="false">
      <c r="A94" s="317"/>
      <c r="B94" s="310" t="s">
        <v>1048</v>
      </c>
      <c r="C94" s="310"/>
      <c r="D94" s="310"/>
      <c r="E94" s="310"/>
      <c r="F94" s="310"/>
      <c r="G94" s="310"/>
      <c r="H94" s="310"/>
    </row>
    <row r="95" customFormat="false" ht="31.5" hidden="false" customHeight="true" outlineLevel="0" collapsed="false">
      <c r="A95" s="312" t="n">
        <v>3</v>
      </c>
      <c r="B95" s="314" t="s">
        <v>1107</v>
      </c>
      <c r="C95" s="315" t="s">
        <v>186</v>
      </c>
      <c r="D95" s="314"/>
      <c r="E95" s="320" t="n">
        <f aca="false">(PI()*0.1016*0.15+0.2*0.2)*1.15</f>
        <v>0.101059552846815</v>
      </c>
      <c r="F95" s="316" t="n">
        <v>26.95</v>
      </c>
      <c r="G95" s="271" t="n">
        <f aca="false">E95*F95</f>
        <v>2.72355494922166</v>
      </c>
      <c r="H95" s="313" t="s">
        <v>1132</v>
      </c>
    </row>
    <row r="96" customFormat="false" ht="19.5" hidden="false" customHeight="true" outlineLevel="0" collapsed="false">
      <c r="A96" s="312" t="n">
        <v>4</v>
      </c>
      <c r="B96" s="314" t="s">
        <v>1109</v>
      </c>
      <c r="C96" s="315" t="s">
        <v>60</v>
      </c>
      <c r="D96" s="314"/>
      <c r="E96" s="321" t="n">
        <v>8</v>
      </c>
      <c r="F96" s="316" t="n">
        <v>0.1</v>
      </c>
      <c r="G96" s="271" t="n">
        <f aca="false">E96*F96</f>
        <v>0.8</v>
      </c>
      <c r="H96" s="313" t="s">
        <v>1133</v>
      </c>
    </row>
    <row r="97" customFormat="false" ht="31.5" hidden="false" customHeight="true" outlineLevel="0" collapsed="false">
      <c r="A97" s="312" t="n">
        <v>5</v>
      </c>
      <c r="B97" s="314" t="s">
        <v>1111</v>
      </c>
      <c r="C97" s="315" t="s">
        <v>60</v>
      </c>
      <c r="D97" s="314"/>
      <c r="E97" s="320" t="n">
        <f aca="false">(4*0.2+PI()*0.1016)/8</f>
        <v>0.13989822670059</v>
      </c>
      <c r="F97" s="316" t="n">
        <v>21.19</v>
      </c>
      <c r="G97" s="271" t="n">
        <f aca="false">E97*F97</f>
        <v>2.96444342378551</v>
      </c>
      <c r="H97" s="313" t="s">
        <v>1134</v>
      </c>
    </row>
    <row r="98" customFormat="false" ht="19.5" hidden="false" customHeight="true" outlineLevel="0" collapsed="false">
      <c r="A98" s="317"/>
      <c r="B98" s="310" t="s">
        <v>1062</v>
      </c>
      <c r="C98" s="314"/>
      <c r="D98" s="314"/>
      <c r="E98" s="314"/>
      <c r="F98" s="314"/>
      <c r="G98" s="298" t="n">
        <f aca="false">SUM(G95:G97)</f>
        <v>6.48799837300717</v>
      </c>
      <c r="H98" s="314"/>
    </row>
    <row r="99" customFormat="false" ht="19.5" hidden="false" customHeight="true" outlineLevel="0" collapsed="false">
      <c r="A99" s="317"/>
      <c r="B99" s="310" t="s">
        <v>1063</v>
      </c>
      <c r="C99" s="310"/>
      <c r="D99" s="310"/>
      <c r="E99" s="310"/>
      <c r="F99" s="310"/>
      <c r="G99" s="310"/>
      <c r="H99" s="310"/>
    </row>
    <row r="100" customFormat="false" ht="19.5" hidden="false" customHeight="true" outlineLevel="0" collapsed="false">
      <c r="A100" s="312" t="n">
        <v>6</v>
      </c>
      <c r="B100" s="314" t="s">
        <v>827</v>
      </c>
      <c r="C100" s="315" t="s">
        <v>828</v>
      </c>
      <c r="D100" s="314"/>
      <c r="E100" s="322" t="n">
        <v>0.05</v>
      </c>
      <c r="F100" s="271" t="n">
        <f aca="false">+G93</f>
        <v>19.61</v>
      </c>
      <c r="G100" s="271" t="n">
        <f aca="false">E100*F100</f>
        <v>0.9805</v>
      </c>
      <c r="H100" s="313" t="s">
        <v>1113</v>
      </c>
    </row>
    <row r="101" customFormat="false" ht="19.5" hidden="false" customHeight="true" outlineLevel="0" collapsed="false">
      <c r="A101" s="317"/>
      <c r="B101" s="310" t="s">
        <v>1068</v>
      </c>
      <c r="C101" s="314"/>
      <c r="D101" s="314"/>
      <c r="E101" s="314"/>
      <c r="F101" s="314"/>
      <c r="G101" s="298" t="n">
        <f aca="false">SUM(G100:G100)</f>
        <v>0.9805</v>
      </c>
      <c r="H101" s="314"/>
    </row>
    <row r="102" customFormat="false" ht="21.75" hidden="false" customHeight="true" outlineLevel="0" collapsed="false">
      <c r="A102" s="310" t="s">
        <v>1124</v>
      </c>
      <c r="B102" s="310"/>
      <c r="C102" s="310"/>
      <c r="D102" s="310"/>
      <c r="E102" s="310"/>
      <c r="F102" s="310"/>
      <c r="G102" s="298" t="n">
        <f aca="false">+G93+G98+G101</f>
        <v>27.0784983730072</v>
      </c>
      <c r="H102" s="314"/>
    </row>
    <row r="103" customFormat="false" ht="21.75" hidden="false" customHeight="true" outlineLevel="0" collapsed="false">
      <c r="A103" s="310" t="s">
        <v>1070</v>
      </c>
      <c r="B103" s="310"/>
      <c r="C103" s="310"/>
      <c r="D103" s="310"/>
      <c r="E103" s="310"/>
      <c r="F103" s="310"/>
      <c r="G103" s="298" t="n">
        <f aca="false">G102*C87</f>
        <v>1408.08191539637</v>
      </c>
      <c r="H103" s="314"/>
    </row>
    <row r="105" customFormat="false" ht="19.5" hidden="false" customHeight="true" outlineLevel="0" collapsed="false">
      <c r="A105" s="310" t="s">
        <v>1135</v>
      </c>
      <c r="B105" s="310"/>
      <c r="C105" s="310"/>
      <c r="D105" s="310"/>
      <c r="E105" s="310"/>
      <c r="F105" s="310"/>
      <c r="G105" s="310"/>
      <c r="H105" s="310"/>
    </row>
    <row r="106" customFormat="false" ht="19.5" hidden="false" customHeight="true" outlineLevel="0" collapsed="false">
      <c r="A106" s="311"/>
      <c r="B106" s="311" t="s">
        <v>757</v>
      </c>
      <c r="C106" s="311" t="s">
        <v>170</v>
      </c>
      <c r="D106" s="311" t="s">
        <v>796</v>
      </c>
      <c r="E106" s="311" t="s">
        <v>1136</v>
      </c>
      <c r="F106" s="311" t="s">
        <v>998</v>
      </c>
      <c r="G106" s="311"/>
      <c r="H106" s="311"/>
    </row>
    <row r="107" customFormat="false" ht="31.5" hidden="false" customHeight="true" outlineLevel="0" collapsed="false">
      <c r="A107" s="313" t="s">
        <v>80</v>
      </c>
      <c r="B107" s="313" t="s">
        <v>1137</v>
      </c>
      <c r="C107" s="315" t="s">
        <v>71</v>
      </c>
      <c r="D107" s="271" t="n">
        <f aca="false">+C27</f>
        <v>523.16</v>
      </c>
      <c r="E107" s="271" t="n">
        <f aca="false">+G42</f>
        <v>40.0578485040984</v>
      </c>
      <c r="F107" s="271" t="n">
        <f aca="false">+G43</f>
        <v>20956.6640234041</v>
      </c>
      <c r="G107" s="314"/>
      <c r="H107" s="314"/>
    </row>
    <row r="108" customFormat="false" ht="31.5" hidden="false" customHeight="true" outlineLevel="0" collapsed="false">
      <c r="A108" s="313" t="s">
        <v>82</v>
      </c>
      <c r="B108" s="313" t="s">
        <v>83</v>
      </c>
      <c r="C108" s="315" t="s">
        <v>60</v>
      </c>
      <c r="D108" s="271" t="n">
        <f aca="false">+C47</f>
        <v>906.0</v>
      </c>
      <c r="E108" s="271" t="n">
        <f aca="false">+G62</f>
        <v>16.4525</v>
      </c>
      <c r="F108" s="271" t="n">
        <f aca="false">+G63</f>
        <v>14905.965</v>
      </c>
      <c r="G108" s="314"/>
      <c r="H108" s="314"/>
    </row>
    <row r="109" customFormat="false" ht="31.5" hidden="false" customHeight="true" outlineLevel="0" collapsed="false">
      <c r="A109" s="313" t="s">
        <v>84</v>
      </c>
      <c r="B109" s="313" t="s">
        <v>85</v>
      </c>
      <c r="C109" s="315" t="s">
        <v>60</v>
      </c>
      <c r="D109" s="271" t="n">
        <f aca="false">+C67</f>
        <v>44.0</v>
      </c>
      <c r="E109" s="271" t="n">
        <f aca="false">+G82</f>
        <v>15.5859525</v>
      </c>
      <c r="F109" s="271" t="n">
        <f aca="false">+G83</f>
        <v>685.78191</v>
      </c>
      <c r="G109" s="314"/>
      <c r="H109" s="314"/>
    </row>
    <row r="110" customFormat="false" ht="31.5" hidden="false" customHeight="true" outlineLevel="0" collapsed="false">
      <c r="A110" s="313" t="s">
        <v>86</v>
      </c>
      <c r="B110" s="313" t="s">
        <v>1138</v>
      </c>
      <c r="C110" s="315" t="s">
        <v>60</v>
      </c>
      <c r="D110" s="271" t="n">
        <f aca="false">+C87</f>
        <v>52.0</v>
      </c>
      <c r="E110" s="271" t="n">
        <f aca="false">+G102</f>
        <v>27.0784983730072</v>
      </c>
      <c r="F110" s="271" t="n">
        <f aca="false">+G103</f>
        <v>1408.08191539637</v>
      </c>
      <c r="G110" s="314"/>
      <c r="H110" s="314"/>
    </row>
    <row r="111" customFormat="false" ht="19.5" hidden="false" customHeight="true" outlineLevel="0" collapsed="false">
      <c r="A111" s="314"/>
      <c r="B111" s="310" t="s">
        <v>1139</v>
      </c>
      <c r="C111" s="314"/>
      <c r="D111" s="314"/>
      <c r="E111" s="314"/>
      <c r="F111" s="298" t="n">
        <f aca="false">SUM(F107:F110)</f>
        <v>37956.4928488005</v>
      </c>
      <c r="G111" s="314"/>
      <c r="H111" s="314"/>
    </row>
  </sheetData>
  <mergeCells count="52">
    <mergeCell ref="A1:H1"/>
    <mergeCell ref="A2:B2"/>
    <mergeCell ref="C2:H2"/>
    <mergeCell ref="A3:B3"/>
    <mergeCell ref="C3:H3"/>
    <mergeCell ref="A4:B4"/>
    <mergeCell ref="C4:H4"/>
    <mergeCell ref="A5:B5"/>
    <mergeCell ref="C5:H5"/>
    <mergeCell ref="A7:H7"/>
    <mergeCell ref="A9:H9"/>
    <mergeCell ref="A25:H25"/>
    <mergeCell ref="A26:B26"/>
    <mergeCell ref="A27:B27"/>
    <mergeCell ref="A28:B28"/>
    <mergeCell ref="E28:H28"/>
    <mergeCell ref="B30:H30"/>
    <mergeCell ref="B34:H34"/>
    <mergeCell ref="B39:H39"/>
    <mergeCell ref="A42:F42"/>
    <mergeCell ref="A43:F43"/>
    <mergeCell ref="A45:H45"/>
    <mergeCell ref="A46:B46"/>
    <mergeCell ref="A47:B47"/>
    <mergeCell ref="A48:B48"/>
    <mergeCell ref="E48:H48"/>
    <mergeCell ref="B50:H50"/>
    <mergeCell ref="B54:H54"/>
    <mergeCell ref="B59:H59"/>
    <mergeCell ref="A62:F62"/>
    <mergeCell ref="A63:F63"/>
    <mergeCell ref="A65:H65"/>
    <mergeCell ref="A66:B66"/>
    <mergeCell ref="A67:B67"/>
    <mergeCell ref="A68:B68"/>
    <mergeCell ref="E68:H68"/>
    <mergeCell ref="B70:H70"/>
    <mergeCell ref="B74:H74"/>
    <mergeCell ref="B79:H79"/>
    <mergeCell ref="A82:F82"/>
    <mergeCell ref="A83:F83"/>
    <mergeCell ref="A85:H85"/>
    <mergeCell ref="A86:B86"/>
    <mergeCell ref="A87:B87"/>
    <mergeCell ref="A88:B88"/>
    <mergeCell ref="E88:H88"/>
    <mergeCell ref="B90:H90"/>
    <mergeCell ref="B94:H94"/>
    <mergeCell ref="B99:H99"/>
    <mergeCell ref="A102:F102"/>
    <mergeCell ref="A103:F103"/>
    <mergeCell ref="A105:H105"/>
  </mergeCells>
  <printOptions headings="false" gridLines="false" gridLinesSet="true" horizontalCentered="false" verticalCentered="false"/>
  <pageMargins left="0.5" right="0.5" top="0.75" bottom="0.7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6"/>
  <sheetViews>
    <sheetView showFormulas="false" showGridLines="false" showRowColHeaders="true" showZeros="true" rightToLeft="false" tabSelected="false" showOutlineSymbols="true" defaultGridColor="true" view="normal" topLeftCell="A34" colorId="64" zoomScale="100" zoomScaleNormal="100" zoomScalePageLayoutView="100" workbookViewId="0">
      <selection pane="topLeft" activeCell="A1" activeCellId="0" sqref="A1"/>
    </sheetView>
  </sheetViews>
  <sheetFormatPr defaultColWidth="8.73046875" defaultRowHeight="14.25" zeroHeight="false" outlineLevelRow="0" outlineLevelCol="0"/>
  <cols>
    <col collapsed="false" customWidth="true" hidden="false" outlineLevel="0" max="1" min="1" style="318" width="6"/>
    <col collapsed="false" customWidth="true" hidden="false" outlineLevel="0" max="2" min="2" style="318" width="58"/>
    <col collapsed="false" customWidth="true" hidden="false" outlineLevel="0" max="3" min="3" style="318" width="12"/>
    <col collapsed="false" customWidth="true" hidden="false" outlineLevel="0" max="6" min="4" style="318" width="14"/>
    <col collapsed="false" customWidth="true" hidden="false" outlineLevel="0" max="7" min="7" style="318" width="40"/>
  </cols>
  <sheetData>
    <row r="1" customFormat="false" ht="30" hidden="false" customHeight="true" outlineLevel="0" collapsed="false">
      <c r="A1" s="306" t="s">
        <v>1143</v>
      </c>
      <c r="B1" s="306"/>
      <c r="C1" s="306"/>
      <c r="D1" s="306"/>
      <c r="E1" s="306"/>
      <c r="F1" s="306"/>
      <c r="G1" s="306"/>
    </row>
    <row r="2" customFormat="false" ht="24.75" hidden="false" customHeight="true" outlineLevel="0" collapsed="false">
      <c r="A2" s="307" t="s">
        <v>1</v>
      </c>
      <c r="B2" s="307"/>
      <c r="C2" s="308" t="str">
        <f aca="false">+RESUMEN!B4</f>
        <v>GERENCIA TERRITORIAL BAJO MAYO - TARAPOTO</v>
      </c>
      <c r="D2" s="308"/>
      <c r="E2" s="308"/>
      <c r="F2" s="308"/>
      <c r="G2" s="308"/>
    </row>
    <row r="3" customFormat="false" ht="58.5" hidden="false" customHeight="true" outlineLevel="0" collapsed="false">
      <c r="A3" s="307" t="s">
        <v>3</v>
      </c>
      <c r="B3" s="307"/>
      <c r="C3" s="308" t="str">
        <f aca="false">+RESUMEN!B5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308"/>
      <c r="E3" s="308"/>
      <c r="F3" s="308"/>
      <c r="G3" s="308"/>
    </row>
    <row r="4" customFormat="false" ht="24.75" hidden="false" customHeight="true" outlineLevel="0" collapsed="false">
      <c r="A4" s="307" t="s">
        <v>5</v>
      </c>
      <c r="B4" s="307"/>
      <c r="C4" s="308" t="str">
        <f aca="false">+RESUMEN!B6</f>
        <v>SAN MARTIN - SAN MARTIN - MORALES</v>
      </c>
      <c r="D4" s="308"/>
      <c r="E4" s="308"/>
      <c r="F4" s="308"/>
      <c r="G4" s="308"/>
    </row>
    <row r="5" customFormat="false" ht="24.75" hidden="false" customHeight="true" outlineLevel="0" collapsed="false">
      <c r="A5" s="307" t="s">
        <v>7</v>
      </c>
      <c r="B5" s="307"/>
      <c r="C5" s="266" t="n">
        <f aca="false">+RESUMEN!B7</f>
        <v>0</v>
      </c>
      <c r="D5" s="266"/>
      <c r="E5" s="266"/>
      <c r="F5" s="266"/>
      <c r="G5" s="266"/>
    </row>
    <row r="7" customFormat="false" ht="48" hidden="false" customHeight="true" outlineLevel="0" collapsed="false">
      <c r="A7" s="309" t="s">
        <v>1144</v>
      </c>
      <c r="B7" s="309"/>
      <c r="C7" s="309"/>
      <c r="D7" s="309"/>
      <c r="E7" s="309"/>
      <c r="F7" s="309"/>
      <c r="G7" s="309"/>
    </row>
    <row r="9" customFormat="false" ht="19.5" hidden="false" customHeight="true" outlineLevel="0" collapsed="false">
      <c r="A9" s="310" t="s">
        <v>1145</v>
      </c>
      <c r="B9" s="310"/>
      <c r="C9" s="310"/>
      <c r="D9" s="310"/>
      <c r="E9" s="310"/>
      <c r="F9" s="310"/>
      <c r="G9" s="310"/>
    </row>
    <row r="10" customFormat="false" ht="21.75" hidden="false" customHeight="true" outlineLevel="0" collapsed="false">
      <c r="A10" s="311" t="s">
        <v>309</v>
      </c>
      <c r="B10" s="311" t="s">
        <v>723</v>
      </c>
      <c r="C10" s="311" t="s">
        <v>724</v>
      </c>
      <c r="D10" s="311" t="s">
        <v>725</v>
      </c>
      <c r="E10" s="311"/>
      <c r="F10" s="311" t="s">
        <v>1146</v>
      </c>
      <c r="G10" s="311" t="s">
        <v>483</v>
      </c>
    </row>
    <row r="11" customFormat="false" ht="30.75" hidden="false" customHeight="true" outlineLevel="0" collapsed="false">
      <c r="A11" s="312" t="n">
        <v>1.0</v>
      </c>
      <c r="B11" s="312" t="str">
        <f aca="false">+'COLECTOR REGISTROS Y TAPAS'!B10</f>
        <v>RV-01</v>
      </c>
      <c r="C11" s="312" t="str">
        <f aca="false">+'COLECTOR REGISTROS Y TAPAS'!C10</f>
        <v>0+007.01</v>
      </c>
      <c r="D11" s="313" t="str">
        <f aca="false">+'COLECTOR REGISTROS Y TAPAS'!D10</f>
        <v>Registro en la losa del colector; empalme cuneta Eje 09</v>
      </c>
      <c r="E11" s="313"/>
      <c r="F11" s="271" t="n">
        <f aca="false">+'COLECTOR REGISTROS Y TAPAS'!E10</f>
        <v>1.0</v>
      </c>
      <c r="G11" s="312" t="str">
        <f aca="false">+'COLECTOR REGISTROS Y TAPAS'!F10</f>
        <v>DP-01, DP-06B</v>
      </c>
    </row>
    <row r="12" customFormat="false" ht="30.75" hidden="false" customHeight="true" outlineLevel="0" collapsed="false">
      <c r="A12" s="312" t="n">
        <v>2.0</v>
      </c>
      <c r="B12" s="312" t="str">
        <f aca="false">+'COLECTOR REGISTROS Y TAPAS'!B11</f>
        <v>RV-02</v>
      </c>
      <c r="C12" s="312" t="str">
        <f aca="false">+'COLECTOR REGISTROS Y TAPAS'!C11</f>
        <v>0+013.52</v>
      </c>
      <c r="D12" s="313" t="str">
        <f aca="false">+'COLECTOR REGISTROS Y TAPAS'!D11</f>
        <v>Registro en la losa del colector; limpieza</v>
      </c>
      <c r="E12" s="313"/>
      <c r="F12" s="271" t="n">
        <f aca="false">+'COLECTOR REGISTROS Y TAPAS'!E11</f>
        <v>1.0</v>
      </c>
      <c r="G12" s="312" t="str">
        <f aca="false">+'COLECTOR REGISTROS Y TAPAS'!F11</f>
        <v>DP-01, DP-06B</v>
      </c>
    </row>
    <row r="13" customFormat="false" ht="30.75" hidden="false" customHeight="true" outlineLevel="0" collapsed="false">
      <c r="A13" s="312" t="n">
        <v>3.0</v>
      </c>
      <c r="B13" s="312" t="str">
        <f aca="false">+'COLECTOR REGISTROS Y TAPAS'!B12</f>
        <v>RV-03</v>
      </c>
      <c r="C13" s="312" t="str">
        <f aca="false">+'COLECTOR REGISTROS Y TAPAS'!C12</f>
        <v>0+020.02</v>
      </c>
      <c r="D13" s="313" t="str">
        <f aca="false">+'COLECTOR REGISTROS Y TAPAS'!D12</f>
        <v>Registro en la losa del colector; empalme cuneta Eje 08</v>
      </c>
      <c r="E13" s="313"/>
      <c r="F13" s="271" t="n">
        <f aca="false">+'COLECTOR REGISTROS Y TAPAS'!E12</f>
        <v>1.0</v>
      </c>
      <c r="G13" s="312" t="str">
        <f aca="false">+'COLECTOR REGISTROS Y TAPAS'!F12</f>
        <v>DP-01, DP-06B</v>
      </c>
    </row>
    <row r="14" customFormat="false" ht="30.75" hidden="false" customHeight="true" outlineLevel="0" collapsed="false">
      <c r="A14" s="312" t="n">
        <v>4.0</v>
      </c>
      <c r="B14" s="312" t="str">
        <f aca="false">+'COLECTOR REGISTROS Y TAPAS'!B13</f>
        <v>RV-04</v>
      </c>
      <c r="C14" s="312" t="str">
        <f aca="false">+'COLECTOR REGISTROS Y TAPAS'!C13</f>
        <v>0+028.72</v>
      </c>
      <c r="D14" s="313" t="str">
        <f aca="false">+'COLECTOR REGISTROS Y TAPAS'!D13</f>
        <v>Registro en la losa del colector; limpieza</v>
      </c>
      <c r="E14" s="313"/>
      <c r="F14" s="271" t="n">
        <f aca="false">+'COLECTOR REGISTROS Y TAPAS'!E13</f>
        <v>1.0</v>
      </c>
      <c r="G14" s="312" t="str">
        <f aca="false">+'COLECTOR REGISTROS Y TAPAS'!F13</f>
        <v>DP-01, DP-06B</v>
      </c>
    </row>
    <row r="15" customFormat="false" ht="30.75" hidden="false" customHeight="true" outlineLevel="0" collapsed="false">
      <c r="A15" s="312" t="n">
        <v>5.0</v>
      </c>
      <c r="B15" s="312" t="str">
        <f aca="false">+'COLECTOR REGISTROS Y TAPAS'!B14</f>
        <v>RV-05</v>
      </c>
      <c r="C15" s="312" t="str">
        <f aca="false">+'COLECTOR REGISTROS Y TAPAS'!C14</f>
        <v>0+037.41</v>
      </c>
      <c r="D15" s="313" t="str">
        <f aca="false">+'COLECTOR REGISTROS Y TAPAS'!D14</f>
        <v>Registro en la losa del colector; limpieza</v>
      </c>
      <c r="E15" s="313"/>
      <c r="F15" s="271" t="n">
        <f aca="false">+'COLECTOR REGISTROS Y TAPAS'!E14</f>
        <v>1.0</v>
      </c>
      <c r="G15" s="312" t="str">
        <f aca="false">+'COLECTOR REGISTROS Y TAPAS'!F14</f>
        <v>DP-01, DP-06B</v>
      </c>
    </row>
    <row r="16" customFormat="false" ht="30.75" hidden="false" customHeight="true" outlineLevel="0" collapsed="false">
      <c r="A16" s="312" t="n">
        <v>6.0</v>
      </c>
      <c r="B16" s="312" t="str">
        <f aca="false">+'COLECTOR REGISTROS Y TAPAS'!B15</f>
        <v>RV-06</v>
      </c>
      <c r="C16" s="312" t="str">
        <f aca="false">+'COLECTOR REGISTROS Y TAPAS'!C15</f>
        <v>0+046.11</v>
      </c>
      <c r="D16" s="313" t="str">
        <f aca="false">+'COLECTOR REGISTROS Y TAPAS'!D15</f>
        <v>Registro en la losa del colector; empalme cuneta Eje 06</v>
      </c>
      <c r="E16" s="313"/>
      <c r="F16" s="271" t="n">
        <f aca="false">+'COLECTOR REGISTROS Y TAPAS'!E15</f>
        <v>1.0</v>
      </c>
      <c r="G16" s="312" t="str">
        <f aca="false">+'COLECTOR REGISTROS Y TAPAS'!F15</f>
        <v>DP-01, DP-06B</v>
      </c>
    </row>
    <row r="17" customFormat="false" ht="30.75" hidden="false" customHeight="true" outlineLevel="0" collapsed="false">
      <c r="A17" s="312" t="n">
        <v>7.0</v>
      </c>
      <c r="B17" s="312" t="str">
        <f aca="false">+'COLECTOR REGISTROS Y TAPAS'!B16</f>
        <v>RV-07</v>
      </c>
      <c r="C17" s="312" t="str">
        <f aca="false">+'COLECTOR REGISTROS Y TAPAS'!C16</f>
        <v>0+056.47</v>
      </c>
      <c r="D17" s="313" t="str">
        <f aca="false">+'COLECTOR REGISTROS Y TAPAS'!D16</f>
        <v>Registro en la losa del colector; limpieza</v>
      </c>
      <c r="E17" s="313"/>
      <c r="F17" s="271" t="n">
        <f aca="false">+'COLECTOR REGISTROS Y TAPAS'!E16</f>
        <v>1.0</v>
      </c>
      <c r="G17" s="312" t="str">
        <f aca="false">+'COLECTOR REGISTROS Y TAPAS'!F16</f>
        <v>DP-01, DP-06B</v>
      </c>
    </row>
    <row r="18" customFormat="false" ht="30.75" hidden="false" customHeight="true" outlineLevel="0" collapsed="false">
      <c r="A18" s="312" t="n">
        <v>8.0</v>
      </c>
      <c r="B18" s="312" t="str">
        <f aca="false">+'COLECTOR REGISTROS Y TAPAS'!B17</f>
        <v>RV-08</v>
      </c>
      <c r="C18" s="312" t="str">
        <f aca="false">+'COLECTOR REGISTROS Y TAPAS'!C17</f>
        <v>0+066.84</v>
      </c>
      <c r="D18" s="313" t="str">
        <f aca="false">+'COLECTOR REGISTROS Y TAPAS'!D17</f>
        <v>Registro en la losa del colector; limpieza</v>
      </c>
      <c r="E18" s="313"/>
      <c r="F18" s="271" t="n">
        <f aca="false">+'COLECTOR REGISTROS Y TAPAS'!E17</f>
        <v>1.0</v>
      </c>
      <c r="G18" s="312" t="str">
        <f aca="false">+'COLECTOR REGISTROS Y TAPAS'!F17</f>
        <v>DP-01, DP-06B</v>
      </c>
    </row>
    <row r="19" customFormat="false" ht="30.75" hidden="false" customHeight="true" outlineLevel="0" collapsed="false">
      <c r="A19" s="312" t="n">
        <v>9.0</v>
      </c>
      <c r="B19" s="312" t="str">
        <f aca="false">+'COLECTOR REGISTROS Y TAPAS'!B18</f>
        <v>RV-09</v>
      </c>
      <c r="C19" s="312" t="str">
        <f aca="false">+'COLECTOR REGISTROS Y TAPAS'!C18</f>
        <v>0+077.20</v>
      </c>
      <c r="D19" s="313" t="str">
        <f aca="false">+'COLECTOR REGISTROS Y TAPAS'!D18</f>
        <v>Registro en la losa del colector; empalme cuneta Eje 04</v>
      </c>
      <c r="E19" s="313"/>
      <c r="F19" s="271" t="n">
        <f aca="false">+'COLECTOR REGISTROS Y TAPAS'!E18</f>
        <v>1.0</v>
      </c>
      <c r="G19" s="312" t="str">
        <f aca="false">+'COLECTOR REGISTROS Y TAPAS'!F18</f>
        <v>DP-01, DP-06B</v>
      </c>
    </row>
    <row r="20" customFormat="false" ht="30.75" hidden="false" customHeight="true" outlineLevel="0" collapsed="false">
      <c r="A20" s="312" t="n">
        <v>10.0</v>
      </c>
      <c r="B20" s="312" t="str">
        <f aca="false">+'COLECTOR REGISTROS Y TAPAS'!B19</f>
        <v>RV-10</v>
      </c>
      <c r="C20" s="312" t="str">
        <f aca="false">+'COLECTOR REGISTROS Y TAPAS'!C19</f>
        <v>0+089.05</v>
      </c>
      <c r="D20" s="313" t="str">
        <f aca="false">+'COLECTOR REGISTROS Y TAPAS'!D19</f>
        <v>Registro en la losa del colector; limpieza</v>
      </c>
      <c r="E20" s="313"/>
      <c r="F20" s="271" t="n">
        <f aca="false">+'COLECTOR REGISTROS Y TAPAS'!E19</f>
        <v>1.0</v>
      </c>
      <c r="G20" s="312" t="str">
        <f aca="false">+'COLECTOR REGISTROS Y TAPAS'!F19</f>
        <v>DP-01, DP-06B</v>
      </c>
    </row>
    <row r="21" customFormat="false" ht="30.75" hidden="false" customHeight="true" outlineLevel="0" collapsed="false">
      <c r="A21" s="312" t="n">
        <v>11.0</v>
      </c>
      <c r="B21" s="312" t="str">
        <f aca="false">+'COLECTOR REGISTROS Y TAPAS'!B20</f>
        <v>RV-11</v>
      </c>
      <c r="C21" s="312" t="str">
        <f aca="false">+'COLECTOR REGISTROS Y TAPAS'!C20</f>
        <v>0+100.90</v>
      </c>
      <c r="D21" s="313" t="str">
        <f aca="false">+'COLECTOR REGISTROS Y TAPAS'!D20</f>
        <v>Registro en la losa del colector; quiebre; inicio del tramo de empalme con la CL</v>
      </c>
      <c r="E21" s="313"/>
      <c r="F21" s="271" t="n">
        <f aca="false">+'COLECTOR REGISTROS Y TAPAS'!E20</f>
        <v>1.0</v>
      </c>
      <c r="G21" s="312" t="str">
        <f aca="false">+'COLECTOR REGISTROS Y TAPAS'!F20</f>
        <v>DP-01, DP-06B</v>
      </c>
    </row>
    <row r="22" customFormat="false" ht="19.5" hidden="false" customHeight="true" outlineLevel="0" collapsed="false">
      <c r="A22" s="314"/>
      <c r="B22" s="310" t="s">
        <v>1147</v>
      </c>
      <c r="C22" s="314"/>
      <c r="D22" s="314"/>
      <c r="E22" s="314"/>
      <c r="F22" s="298" t="n">
        <f aca="false">SUM(F11:F21)</f>
        <v>11.0</v>
      </c>
      <c r="G22" s="314"/>
    </row>
    <row r="24" customFormat="false" ht="19.5" hidden="false" customHeight="true" outlineLevel="0" collapsed="false">
      <c r="A24" s="310" t="s">
        <v>1148</v>
      </c>
      <c r="B24" s="310"/>
      <c r="C24" s="310"/>
      <c r="D24" s="310"/>
      <c r="E24" s="310"/>
      <c r="F24" s="310"/>
      <c r="G24" s="310"/>
    </row>
    <row r="25" customFormat="false" ht="21.75" hidden="false" customHeight="true" outlineLevel="0" collapsed="false">
      <c r="A25" s="311" t="s">
        <v>309</v>
      </c>
      <c r="B25" s="311" t="s">
        <v>970</v>
      </c>
      <c r="C25" s="311" t="s">
        <v>170</v>
      </c>
      <c r="D25" s="311" t="s">
        <v>1149</v>
      </c>
      <c r="E25" s="311" t="s">
        <v>1150</v>
      </c>
      <c r="F25" s="311" t="s">
        <v>169</v>
      </c>
      <c r="G25" s="311" t="s">
        <v>483</v>
      </c>
    </row>
    <row r="26" customFormat="false" ht="19.5" hidden="false" customHeight="true" outlineLevel="0" collapsed="false">
      <c r="A26" s="317"/>
      <c r="B26" s="310" t="s">
        <v>1151</v>
      </c>
      <c r="C26" s="310"/>
      <c r="D26" s="310"/>
      <c r="E26" s="310"/>
      <c r="F26" s="310"/>
      <c r="G26" s="310"/>
    </row>
    <row r="27" customFormat="false" ht="30.75" hidden="false" customHeight="true" outlineLevel="0" collapsed="false">
      <c r="A27" s="312" t="n">
        <v>1</v>
      </c>
      <c r="B27" s="313" t="s">
        <v>1152</v>
      </c>
      <c r="C27" s="315" t="s">
        <v>50</v>
      </c>
      <c r="D27" s="320" t="n">
        <f aca="false">'COLECTOR PARAMETROS'!C34*'COLECTOR PARAMETROS'!C36</f>
        <v>5.124</v>
      </c>
      <c r="E27" s="302" t="n">
        <f aca="false">+$F$22</f>
        <v>11.0</v>
      </c>
      <c r="F27" s="320" t="n">
        <f aca="false">D27*E27</f>
        <v>56.364</v>
      </c>
      <c r="G27" s="313" t="s">
        <v>1153</v>
      </c>
    </row>
    <row r="28" customFormat="false" ht="30.75" hidden="false" customHeight="true" outlineLevel="0" collapsed="false">
      <c r="A28" s="312" t="n">
        <v>2</v>
      </c>
      <c r="B28" s="313" t="s">
        <v>1154</v>
      </c>
      <c r="C28" s="315" t="s">
        <v>50</v>
      </c>
      <c r="D28" s="320" t="n">
        <f aca="false">'COLECTOR PARAMETROS'!C35*'COLECTOR PARAMETROS'!C37</f>
        <v>4.9776</v>
      </c>
      <c r="E28" s="302" t="n">
        <f aca="false">+$F$22</f>
        <v>11.0</v>
      </c>
      <c r="F28" s="320" t="n">
        <f aca="false">D28*E28</f>
        <v>54.7536</v>
      </c>
      <c r="G28" s="313" t="s">
        <v>1155</v>
      </c>
    </row>
    <row r="29" customFormat="false" ht="19.5" hidden="false" customHeight="true" outlineLevel="0" collapsed="false">
      <c r="A29" s="317"/>
      <c r="B29" s="310" t="s">
        <v>1156</v>
      </c>
      <c r="C29" s="315" t="s">
        <v>50</v>
      </c>
      <c r="D29" s="323" t="n">
        <f aca="false">SUM(D27:D28)</f>
        <v>10.1016</v>
      </c>
      <c r="E29" s="314"/>
      <c r="F29" s="298" t="n">
        <f aca="false">SUM(F27:F28)</f>
        <v>111.1176</v>
      </c>
      <c r="G29" s="314"/>
    </row>
    <row r="30" customFormat="false" ht="19.5" hidden="false" customHeight="true" outlineLevel="0" collapsed="false">
      <c r="A30" s="317"/>
      <c r="B30" s="310" t="s">
        <v>1157</v>
      </c>
      <c r="C30" s="310"/>
      <c r="D30" s="310"/>
      <c r="E30" s="310"/>
      <c r="F30" s="310"/>
      <c r="G30" s="310"/>
    </row>
    <row r="31" customFormat="false" ht="30.75" hidden="false" customHeight="true" outlineLevel="0" collapsed="false">
      <c r="A31" s="312" t="n">
        <v>3</v>
      </c>
      <c r="B31" s="313" t="s">
        <v>1158</v>
      </c>
      <c r="C31" s="315" t="s">
        <v>185</v>
      </c>
      <c r="D31" s="320" t="n">
        <f aca="false">'COLECTOR PARAMETROS'!C31*'COLECTOR PARAMETROS'!C31*'COLECTOR PARAMETROS'!C32</f>
        <v>0.036992</v>
      </c>
      <c r="E31" s="302" t="n">
        <f aca="false">+$F$22</f>
        <v>11.0</v>
      </c>
      <c r="F31" s="320" t="n">
        <f aca="false">D31*E31</f>
        <v>0.406912</v>
      </c>
      <c r="G31" s="313" t="s">
        <v>1159</v>
      </c>
    </row>
    <row r="32" customFormat="false" ht="19.5" hidden="false" customHeight="true" outlineLevel="0" collapsed="false">
      <c r="A32" s="317"/>
      <c r="B32" s="310" t="s">
        <v>1160</v>
      </c>
      <c r="C32" s="315" t="s">
        <v>185</v>
      </c>
      <c r="D32" s="323" t="n">
        <f aca="false">SUM(D31:D31)</f>
        <v>0.036992</v>
      </c>
      <c r="E32" s="314"/>
      <c r="F32" s="298" t="n">
        <f aca="false">SUM(F31:F31)</f>
        <v>0.406912</v>
      </c>
      <c r="G32" s="314"/>
    </row>
    <row r="33" customFormat="false" ht="19.5" hidden="false" customHeight="true" outlineLevel="0" collapsed="false">
      <c r="A33" s="317"/>
      <c r="B33" s="310" t="s">
        <v>1161</v>
      </c>
      <c r="C33" s="310"/>
      <c r="D33" s="310"/>
      <c r="E33" s="310"/>
      <c r="F33" s="310"/>
      <c r="G33" s="310"/>
    </row>
    <row r="34" customFormat="false" ht="30.75" hidden="false" customHeight="true" outlineLevel="0" collapsed="false">
      <c r="A34" s="312" t="n">
        <v>4</v>
      </c>
      <c r="B34" s="313" t="s">
        <v>1162</v>
      </c>
      <c r="C34" s="315" t="s">
        <v>50</v>
      </c>
      <c r="D34" s="320" t="n">
        <f aca="false">'COLECTOR ACERO'!U18/'COLECTOR ACERO'!F18</f>
        <v>4.8608</v>
      </c>
      <c r="E34" s="302" t="n">
        <f aca="false">+$F$22</f>
        <v>11.0</v>
      </c>
      <c r="F34" s="320" t="n">
        <f aca="false">D34*E34</f>
        <v>53.4688</v>
      </c>
      <c r="G34" s="313" t="s">
        <v>1182</v>
      </c>
    </row>
    <row r="35" customFormat="false" ht="30.75" hidden="false" customHeight="true" outlineLevel="0" collapsed="false">
      <c r="A35" s="312" t="n">
        <v>5</v>
      </c>
      <c r="B35" s="313" t="s">
        <v>1164</v>
      </c>
      <c r="C35" s="315" t="s">
        <v>50</v>
      </c>
      <c r="D35" s="320" t="n">
        <f aca="false">'COLECTOR ACERO'!U19/'COLECTOR ACERO'!F19</f>
        <v>0.448</v>
      </c>
      <c r="E35" s="302" t="n">
        <f aca="false">+$F$22</f>
        <v>11.0</v>
      </c>
      <c r="F35" s="320" t="n">
        <f aca="false">D35*E35</f>
        <v>4.928</v>
      </c>
      <c r="G35" s="313" t="s">
        <v>1183</v>
      </c>
    </row>
    <row r="36" customFormat="false" ht="30.75" hidden="false" customHeight="true" outlineLevel="0" collapsed="false">
      <c r="A36" s="312" t="n">
        <v>6</v>
      </c>
      <c r="B36" s="313" t="s">
        <v>1166</v>
      </c>
      <c r="C36" s="315" t="s">
        <v>50</v>
      </c>
      <c r="D36" s="320" t="n">
        <f aca="false">'COLECTOR ACERO'!U20/'COLECTOR ACERO'!F20</f>
        <v>0.896</v>
      </c>
      <c r="E36" s="302" t="n">
        <f aca="false">+$F$22</f>
        <v>11.0</v>
      </c>
      <c r="F36" s="320" t="n">
        <f aca="false">D36*E36</f>
        <v>9.856</v>
      </c>
      <c r="G36" s="313" t="s">
        <v>1184</v>
      </c>
    </row>
    <row r="37" customFormat="false" ht="30.75" hidden="false" customHeight="true" outlineLevel="0" collapsed="false">
      <c r="A37" s="312" t="n">
        <v>7</v>
      </c>
      <c r="B37" s="313" t="s">
        <v>1168</v>
      </c>
      <c r="C37" s="315" t="s">
        <v>50</v>
      </c>
      <c r="D37" s="320" t="n">
        <f aca="false">'COLECTOR ACERO'!U17/'COLECTOR ACERO'!F17</f>
        <v>11.1328</v>
      </c>
      <c r="E37" s="302" t="n">
        <f aca="false">+$F$22</f>
        <v>11.0</v>
      </c>
      <c r="F37" s="320" t="n">
        <f aca="false">D37*E37</f>
        <v>122.4608</v>
      </c>
      <c r="G37" s="313" t="s">
        <v>1185</v>
      </c>
    </row>
    <row r="38" customFormat="false" ht="19.5" hidden="false" customHeight="true" outlineLevel="0" collapsed="false">
      <c r="A38" s="317"/>
      <c r="B38" s="310" t="s">
        <v>1170</v>
      </c>
      <c r="C38" s="315" t="s">
        <v>50</v>
      </c>
      <c r="D38" s="323" t="n">
        <f aca="false">SUM(D34:D37)</f>
        <v>17.3376</v>
      </c>
      <c r="E38" s="314"/>
      <c r="F38" s="298" t="n">
        <f aca="false">SUM(F34:F37)</f>
        <v>190.7136</v>
      </c>
      <c r="G38" s="314"/>
    </row>
    <row r="39" customFormat="false" ht="19.5" hidden="false" customHeight="true" outlineLevel="0" collapsed="false">
      <c r="A39" s="317"/>
      <c r="B39" s="310" t="s">
        <v>1171</v>
      </c>
      <c r="C39" s="310"/>
      <c r="D39" s="310"/>
      <c r="E39" s="310"/>
      <c r="F39" s="310"/>
      <c r="G39" s="310"/>
    </row>
    <row r="40" customFormat="false" ht="30.75" hidden="false" customHeight="true" outlineLevel="0" collapsed="false">
      <c r="A40" s="312" t="n">
        <v>8</v>
      </c>
      <c r="B40" s="313" t="s">
        <v>1172</v>
      </c>
      <c r="C40" s="315" t="s">
        <v>186</v>
      </c>
      <c r="D40" s="320" t="n">
        <f aca="false">'COLECTOR PARAMETROS'!C34*'COLECTOR PARAMETROS'!C38+'COLECTOR PARAMETROS'!C35*'COLECTOR PARAMETROS'!C39</f>
        <v>0.83904</v>
      </c>
      <c r="E40" s="302" t="n">
        <f aca="false">+$F$22</f>
        <v>11.0</v>
      </c>
      <c r="F40" s="320" t="n">
        <f aca="false">D40*E40</f>
        <v>9.22944</v>
      </c>
      <c r="G40" s="313" t="s">
        <v>771</v>
      </c>
    </row>
    <row r="41" customFormat="false" ht="19.5" hidden="false" customHeight="true" outlineLevel="0" collapsed="false">
      <c r="A41" s="317"/>
      <c r="B41" s="310" t="s">
        <v>1173</v>
      </c>
      <c r="C41" s="315" t="s">
        <v>186</v>
      </c>
      <c r="D41" s="323" t="n">
        <f aca="false">SUM(D40:D40)</f>
        <v>0.83904</v>
      </c>
      <c r="E41" s="314"/>
      <c r="F41" s="298" t="n">
        <f aca="false">SUM(F40:F40)</f>
        <v>9.22944</v>
      </c>
      <c r="G41" s="314"/>
    </row>
    <row r="43" customFormat="false" ht="19.5" hidden="false" customHeight="true" outlineLevel="0" collapsed="false">
      <c r="A43" s="310" t="s">
        <v>1174</v>
      </c>
      <c r="B43" s="310"/>
      <c r="C43" s="310"/>
      <c r="D43" s="310"/>
      <c r="E43" s="310"/>
      <c r="F43" s="310"/>
      <c r="G43" s="310"/>
    </row>
    <row r="44" customFormat="false" ht="19.5" hidden="false" customHeight="true" outlineLevel="0" collapsed="false">
      <c r="A44" s="311"/>
      <c r="B44" s="311" t="s">
        <v>970</v>
      </c>
      <c r="C44" s="311" t="s">
        <v>170</v>
      </c>
      <c r="D44" s="311"/>
      <c r="E44" s="311" t="s">
        <v>1175</v>
      </c>
      <c r="F44" s="311" t="s">
        <v>1176</v>
      </c>
      <c r="G44" s="311" t="s">
        <v>1177</v>
      </c>
    </row>
    <row r="45" customFormat="false" ht="19.5" hidden="false" customHeight="true" outlineLevel="0" collapsed="false">
      <c r="A45" s="317"/>
      <c r="B45" s="313" t="s">
        <v>1178</v>
      </c>
      <c r="C45" s="315" t="s">
        <v>50</v>
      </c>
      <c r="D45" s="314"/>
      <c r="E45" s="320" t="n">
        <f aca="false">+F29</f>
        <v>111.1176</v>
      </c>
      <c r="F45" s="320" t="n">
        <f aca="false">+'COLECTOR REGISTROS Y TAPAS'!E27</f>
        <v>111.1176</v>
      </c>
      <c r="G45" s="312" t="str">
        <f aca="false">IF(ABS(E45-F45)&lt;0.001,"CONFORME","REVISAR")</f>
        <v>CONFORME</v>
      </c>
    </row>
    <row r="46" customFormat="false" ht="19.5" hidden="false" customHeight="true" outlineLevel="0" collapsed="false">
      <c r="A46" s="317"/>
      <c r="B46" s="313" t="s">
        <v>1179</v>
      </c>
      <c r="C46" s="315" t="s">
        <v>185</v>
      </c>
      <c r="D46" s="314"/>
      <c r="E46" s="320" t="n">
        <f aca="false">+F32</f>
        <v>0.406912</v>
      </c>
      <c r="F46" s="320" t="n">
        <f aca="false">+'COLECTOR REGISTROS Y TAPAS'!E29</f>
        <v>0.406912</v>
      </c>
      <c r="G46" s="312" t="str">
        <f aca="false">IF(ABS(E46-F46)&lt;0.001,"CONFORME","REVISAR")</f>
        <v>CONFORME</v>
      </c>
    </row>
    <row r="47" customFormat="false" ht="19.5" hidden="false" customHeight="true" outlineLevel="0" collapsed="false">
      <c r="A47" s="317"/>
      <c r="B47" s="313" t="s">
        <v>1180</v>
      </c>
      <c r="C47" s="315" t="s">
        <v>50</v>
      </c>
      <c r="D47" s="314"/>
      <c r="E47" s="320" t="n">
        <f aca="false">+F38</f>
        <v>190.7136</v>
      </c>
      <c r="F47" s="320" t="n">
        <f aca="false">+'COLECTOR ACERO'!I25</f>
        <v>190.7136</v>
      </c>
      <c r="G47" s="312" t="str">
        <f aca="false">IF(ABS(E47-F47)&lt;0.001,"CONFORME","REVISAR")</f>
        <v>CONFORME</v>
      </c>
    </row>
    <row r="48" customFormat="false" ht="19.5" hidden="false" customHeight="true" outlineLevel="0" collapsed="false">
      <c r="A48" s="317"/>
      <c r="B48" s="313" t="s">
        <v>1181</v>
      </c>
      <c r="C48" s="315" t="s">
        <v>186</v>
      </c>
      <c r="D48" s="314"/>
      <c r="E48" s="320" t="n">
        <f aca="false">+F41</f>
        <v>9.22944</v>
      </c>
      <c r="F48" s="320" t="n">
        <f aca="false">+'COLECTOR REGISTROS Y TAPAS'!E30</f>
        <v>9.22944</v>
      </c>
      <c r="G48" s="312" t="str">
        <f aca="false">IF(ABS(E48-F48)&lt;0.001,"CONFORME","REVISAR")</f>
        <v>CONFORME</v>
      </c>
    </row>
  </sheetData>
  <mergeCells count="29">
    <mergeCell ref="A1:G1"/>
    <mergeCell ref="A2:B2"/>
    <mergeCell ref="C2:G2"/>
    <mergeCell ref="A3:B3"/>
    <mergeCell ref="C3:G3"/>
    <mergeCell ref="A4:B4"/>
    <mergeCell ref="C4:G4"/>
    <mergeCell ref="A5:B5"/>
    <mergeCell ref="C5:G5"/>
    <mergeCell ref="A7:G7"/>
    <mergeCell ref="A9:G9"/>
    <mergeCell ref="D10:E10"/>
    <mergeCell ref="D11:E11"/>
    <mergeCell ref="D12:E12"/>
    <mergeCell ref="D13:E13"/>
    <mergeCell ref="D14:E14"/>
    <mergeCell ref="D15:E15"/>
    <mergeCell ref="D16:E16"/>
    <mergeCell ref="D17:E17"/>
    <mergeCell ref="D18:E18"/>
    <mergeCell ref="D19:E19"/>
    <mergeCell ref="A24:G24"/>
    <mergeCell ref="B26:G26"/>
    <mergeCell ref="B30:G30"/>
    <mergeCell ref="B33:G33"/>
    <mergeCell ref="B39:G39"/>
    <mergeCell ref="A43:G43"/>
    <mergeCell ref="D20:E20"/>
    <mergeCell ref="D21:E21"/>
  </mergeCells>
  <printOptions headings="false" gridLines="false" gridLinesSet="true" horizontalCentered="false" verticalCentered="false"/>
  <pageMargins left="0.5" right="0.5" top="0.75" bottom="0.7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L26" activeCellId="0" sqref="L26"/>
    </sheetView>
  </sheetViews>
  <sheetFormatPr defaultColWidth="8.73046875" defaultRowHeight="14.25" zeroHeight="false" outlineLevelRow="0" outlineLevelCol="0"/>
  <cols>
    <col collapsed="false" customWidth="true" hidden="false" outlineLevel="0" max="1" min="1" style="318" width="6"/>
    <col collapsed="false" customWidth="true" hidden="false" outlineLevel="0" max="2" min="2" style="318" width="46"/>
    <col collapsed="false" customWidth="true" hidden="false" outlineLevel="0" max="3" min="3" style="318" width="8"/>
    <col collapsed="false" customWidth="true" hidden="false" outlineLevel="0" max="7" min="4" style="318" width="14"/>
    <col collapsed="false" customWidth="true" hidden="false" outlineLevel="0" max="8" min="8" style="318" width="44"/>
  </cols>
  <sheetData>
    <row r="1" customFormat="false" ht="27" hidden="false" customHeight="true" outlineLevel="0" collapsed="false">
      <c r="A1" s="306" t="s">
        <v>1186</v>
      </c>
      <c r="B1" s="306"/>
      <c r="C1" s="306"/>
      <c r="D1" s="306"/>
      <c r="E1" s="306"/>
      <c r="F1" s="306"/>
      <c r="G1" s="306"/>
      <c r="H1" s="306"/>
    </row>
    <row r="2" customFormat="false" ht="24.75" hidden="false" customHeight="true" outlineLevel="0" collapsed="false">
      <c r="A2" s="307" t="s">
        <v>1</v>
      </c>
      <c r="B2" s="307"/>
      <c r="C2" s="308" t="str">
        <f aca="false">+RESUMEN!B4</f>
        <v>GERENCIA TERRITORIAL BAJO MAYO - TARAPOTO</v>
      </c>
      <c r="D2" s="308"/>
      <c r="E2" s="308"/>
      <c r="F2" s="308"/>
      <c r="G2" s="308"/>
      <c r="H2" s="308"/>
    </row>
    <row r="3" customFormat="false" ht="58.5" hidden="false" customHeight="true" outlineLevel="0" collapsed="false">
      <c r="A3" s="307" t="s">
        <v>3</v>
      </c>
      <c r="B3" s="307"/>
      <c r="C3" s="308" t="str">
        <f aca="false">+RESUMEN!B5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308"/>
      <c r="E3" s="308"/>
      <c r="F3" s="308"/>
      <c r="G3" s="308"/>
      <c r="H3" s="308"/>
    </row>
    <row r="4" customFormat="false" ht="24.75" hidden="false" customHeight="true" outlineLevel="0" collapsed="false">
      <c r="A4" s="307" t="s">
        <v>5</v>
      </c>
      <c r="B4" s="307"/>
      <c r="C4" s="308" t="str">
        <f aca="false">+RESUMEN!B6</f>
        <v>SAN MARTIN - SAN MARTIN - MORALES</v>
      </c>
      <c r="D4" s="308"/>
      <c r="E4" s="308"/>
      <c r="F4" s="308"/>
      <c r="G4" s="308"/>
      <c r="H4" s="308"/>
    </row>
    <row r="5" customFormat="false" ht="24.75" hidden="false" customHeight="true" outlineLevel="0" collapsed="false">
      <c r="A5" s="307" t="s">
        <v>7</v>
      </c>
      <c r="B5" s="307"/>
      <c r="C5" s="266" t="n">
        <f aca="false">+RESUMEN!B7</f>
        <v>0</v>
      </c>
      <c r="D5" s="266"/>
      <c r="E5" s="266"/>
      <c r="F5" s="266"/>
      <c r="G5" s="266"/>
      <c r="H5" s="266"/>
    </row>
    <row r="7" customFormat="false" ht="66" hidden="false" customHeight="true" outlineLevel="0" collapsed="false">
      <c r="A7" s="309" t="s">
        <v>1187</v>
      </c>
      <c r="B7" s="309"/>
      <c r="C7" s="309"/>
      <c r="D7" s="309"/>
      <c r="E7" s="309"/>
      <c r="F7" s="309"/>
      <c r="G7" s="309"/>
      <c r="H7" s="309"/>
    </row>
    <row r="9" customFormat="false" ht="19.5" hidden="false" customHeight="true" outlineLevel="0" collapsed="false">
      <c r="A9" s="310" t="s">
        <v>1188</v>
      </c>
      <c r="B9" s="310"/>
      <c r="C9" s="310"/>
      <c r="D9" s="310"/>
      <c r="E9" s="310"/>
      <c r="F9" s="310"/>
      <c r="G9" s="310"/>
      <c r="H9" s="310"/>
    </row>
    <row r="10" customFormat="false" ht="31.5" hidden="false" customHeight="true" outlineLevel="0" collapsed="false">
      <c r="A10" s="311" t="s">
        <v>309</v>
      </c>
      <c r="B10" s="311" t="s">
        <v>917</v>
      </c>
      <c r="C10" s="311" t="s">
        <v>170</v>
      </c>
      <c r="D10" s="311" t="s">
        <v>271</v>
      </c>
      <c r="E10" s="311"/>
      <c r="F10" s="311"/>
      <c r="G10" s="311"/>
      <c r="H10" s="311" t="s">
        <v>483</v>
      </c>
    </row>
    <row r="11" customFormat="false" ht="31.5" hidden="false" customHeight="true" outlineLevel="0" collapsed="false">
      <c r="A11" s="312" t="n">
        <v>1.0</v>
      </c>
      <c r="B11" s="313" t="s">
        <v>1232</v>
      </c>
      <c r="C11" s="315" t="s">
        <v>71</v>
      </c>
      <c r="D11" s="320" t="n">
        <f aca="false">'COLECTOR JUNTAS Y EMPALMES'!E11</f>
        <v>4.64</v>
      </c>
      <c r="E11" s="314"/>
      <c r="F11" s="314"/>
      <c r="G11" s="314"/>
      <c r="H11" s="313" t="s">
        <v>1190</v>
      </c>
    </row>
    <row r="12" customFormat="false" ht="31.5" hidden="false" customHeight="true" outlineLevel="0" collapsed="false">
      <c r="A12" s="312" t="n">
        <v>2.0</v>
      </c>
      <c r="B12" s="313" t="s">
        <v>1191</v>
      </c>
      <c r="C12" s="315" t="s">
        <v>60</v>
      </c>
      <c r="D12" s="320" t="n">
        <f aca="false">'COLECTOR JUNTAS Y EMPALMES'!D11</f>
        <v>26.0</v>
      </c>
      <c r="E12" s="314"/>
      <c r="F12" s="314"/>
      <c r="G12" s="314"/>
      <c r="H12" s="313" t="s">
        <v>1192</v>
      </c>
    </row>
    <row r="13" customFormat="false" ht="31.5" hidden="false" customHeight="true" outlineLevel="0" collapsed="false">
      <c r="A13" s="312" t="n">
        <v>3.0</v>
      </c>
      <c r="B13" s="313" t="s">
        <v>1233</v>
      </c>
      <c r="C13" s="315" t="s">
        <v>186</v>
      </c>
      <c r="D13" s="320" t="n">
        <f aca="false">0.90*(0.15+1.17+0.10)-0.60*1.17</f>
        <v>0.576</v>
      </c>
      <c r="E13" s="314"/>
      <c r="F13" s="314"/>
      <c r="G13" s="314"/>
      <c r="H13" s="313" t="s">
        <v>1194</v>
      </c>
    </row>
    <row r="14" customFormat="false" ht="31.5" hidden="false" customHeight="true" outlineLevel="0" collapsed="false">
      <c r="A14" s="312" t="n">
        <v>4.0</v>
      </c>
      <c r="B14" s="313" t="s">
        <v>1195</v>
      </c>
      <c r="C14" s="315" t="s">
        <v>584</v>
      </c>
      <c r="D14" s="320" t="n">
        <f aca="false">D13/D11</f>
        <v>0.124137931034483</v>
      </c>
      <c r="E14" s="314"/>
      <c r="F14" s="314"/>
      <c r="G14" s="314"/>
      <c r="H14" s="313" t="s">
        <v>1196</v>
      </c>
    </row>
    <row r="15" customFormat="false" ht="31.5" hidden="false" customHeight="true" outlineLevel="0" collapsed="false">
      <c r="A15" s="312" t="n">
        <v>5.0</v>
      </c>
      <c r="B15" s="313" t="s">
        <v>1197</v>
      </c>
      <c r="C15" s="315" t="s">
        <v>511</v>
      </c>
      <c r="D15" s="321" t="n">
        <v>0.1</v>
      </c>
      <c r="E15" s="314"/>
      <c r="F15" s="314"/>
      <c r="G15" s="314"/>
      <c r="H15" s="313" t="s">
        <v>1198</v>
      </c>
    </row>
    <row r="16" customFormat="false" ht="31.5" hidden="false" customHeight="true" outlineLevel="0" collapsed="false">
      <c r="A16" s="312" t="n">
        <v>6.0</v>
      </c>
      <c r="B16" s="313" t="s">
        <v>1199</v>
      </c>
      <c r="C16" s="315" t="s">
        <v>186</v>
      </c>
      <c r="D16" s="321" t="n">
        <v>2.88</v>
      </c>
      <c r="E16" s="314"/>
      <c r="F16" s="314"/>
      <c r="G16" s="314"/>
      <c r="H16" s="313" t="s">
        <v>1200</v>
      </c>
    </row>
    <row r="17" customFormat="false" ht="31.5" hidden="false" customHeight="true" outlineLevel="0" collapsed="false">
      <c r="A17" s="312" t="n">
        <v>7.0</v>
      </c>
      <c r="B17" s="313" t="s">
        <v>1201</v>
      </c>
      <c r="C17" s="315" t="s">
        <v>1202</v>
      </c>
      <c r="D17" s="320" t="n">
        <f aca="false">D14*(1+D15)/D16</f>
        <v>0.0474137931034483</v>
      </c>
      <c r="E17" s="314"/>
      <c r="F17" s="314"/>
      <c r="G17" s="314"/>
      <c r="H17" s="313" t="s">
        <v>1196</v>
      </c>
    </row>
    <row r="18" customFormat="false" ht="31.5" hidden="false" customHeight="true" outlineLevel="0" collapsed="false">
      <c r="A18" s="312" t="n">
        <v>8.0</v>
      </c>
      <c r="B18" s="313" t="s">
        <v>1234</v>
      </c>
      <c r="C18" s="315" t="s">
        <v>71</v>
      </c>
      <c r="D18" s="320" t="n">
        <f aca="false">2*1.17+0.60+0.90</f>
        <v>3.84</v>
      </c>
      <c r="E18" s="314"/>
      <c r="F18" s="314"/>
      <c r="G18" s="314"/>
      <c r="H18" s="313" t="s">
        <v>1194</v>
      </c>
    </row>
    <row r="19" customFormat="false" ht="31.5" hidden="false" customHeight="true" outlineLevel="0" collapsed="false">
      <c r="A19" s="312" t="n">
        <v>9.0</v>
      </c>
      <c r="B19" s="313" t="s">
        <v>1204</v>
      </c>
      <c r="C19" s="315" t="s">
        <v>186</v>
      </c>
      <c r="D19" s="320" t="n">
        <f aca="false">0.0254*0.0508</f>
        <v>0.00129032</v>
      </c>
      <c r="E19" s="314"/>
      <c r="F19" s="314"/>
      <c r="G19" s="314"/>
      <c r="H19" s="313" t="s">
        <v>1205</v>
      </c>
    </row>
    <row r="20" customFormat="false" ht="31.5" hidden="false" customHeight="true" outlineLevel="0" collapsed="false">
      <c r="A20" s="312" t="n">
        <v>10.0</v>
      </c>
      <c r="B20" s="313" t="s">
        <v>1206</v>
      </c>
      <c r="C20" s="315" t="s">
        <v>1207</v>
      </c>
      <c r="D20" s="320" t="n">
        <f aca="false">D19*D18/D11</f>
        <v>0.00106785103448276</v>
      </c>
      <c r="E20" s="314"/>
      <c r="F20" s="314"/>
      <c r="G20" s="314"/>
      <c r="H20" s="313" t="s">
        <v>1196</v>
      </c>
    </row>
    <row r="21" customFormat="false" ht="31.5" hidden="false" customHeight="true" outlineLevel="0" collapsed="false">
      <c r="A21" s="312" t="n">
        <v>11.0</v>
      </c>
      <c r="B21" s="313" t="s">
        <v>1208</v>
      </c>
      <c r="C21" s="315" t="s">
        <v>1209</v>
      </c>
      <c r="D21" s="321" t="n">
        <v>50.0</v>
      </c>
      <c r="E21" s="314"/>
      <c r="F21" s="314"/>
      <c r="G21" s="314"/>
      <c r="H21" s="313" t="s">
        <v>1210</v>
      </c>
    </row>
    <row r="22" customFormat="false" ht="31.5" hidden="false" customHeight="true" outlineLevel="0" collapsed="false">
      <c r="A22" s="312" t="n">
        <v>12.0</v>
      </c>
      <c r="B22" s="313" t="s">
        <v>1211</v>
      </c>
      <c r="C22" s="315" t="s">
        <v>1212</v>
      </c>
      <c r="D22" s="321" t="n">
        <v>1.05</v>
      </c>
      <c r="E22" s="314"/>
      <c r="F22" s="314"/>
      <c r="G22" s="314"/>
      <c r="H22" s="313" t="s">
        <v>1213</v>
      </c>
    </row>
    <row r="23" customFormat="false" ht="31.5" hidden="false" customHeight="true" outlineLevel="0" collapsed="false">
      <c r="A23" s="312" t="n">
        <v>13.0</v>
      </c>
      <c r="B23" s="313" t="s">
        <v>1214</v>
      </c>
      <c r="C23" s="315" t="s">
        <v>1215</v>
      </c>
      <c r="D23" s="320" t="n">
        <f aca="false">'COLECTOR INSUMOS'!G71</f>
        <v>0.2</v>
      </c>
      <c r="E23" s="314"/>
      <c r="F23" s="314"/>
      <c r="G23" s="314"/>
      <c r="H23" s="313" t="s">
        <v>1216</v>
      </c>
    </row>
    <row r="24" customFormat="false" ht="31.5" hidden="false" customHeight="true" outlineLevel="0" collapsed="false">
      <c r="A24" s="312" t="n">
        <v>14.0</v>
      </c>
      <c r="B24" s="313" t="s">
        <v>1217</v>
      </c>
      <c r="C24" s="315" t="s">
        <v>1215</v>
      </c>
      <c r="D24" s="320" t="n">
        <f aca="false">'COLECTOR INSUMOS'!G72</f>
        <v>0.2</v>
      </c>
      <c r="E24" s="314"/>
      <c r="F24" s="314"/>
      <c r="G24" s="314"/>
      <c r="H24" s="313" t="s">
        <v>1218</v>
      </c>
    </row>
    <row r="26" customFormat="false" ht="19.5" hidden="false" customHeight="true" outlineLevel="0" collapsed="false">
      <c r="A26" s="310" t="s">
        <v>1219</v>
      </c>
      <c r="B26" s="310"/>
      <c r="C26" s="310"/>
      <c r="D26" s="310"/>
      <c r="E26" s="310"/>
      <c r="F26" s="310"/>
      <c r="G26" s="310"/>
      <c r="H26" s="310"/>
    </row>
    <row r="27" customFormat="false" ht="19.5" hidden="false" customHeight="true" outlineLevel="0" collapsed="false">
      <c r="A27" s="310" t="s">
        <v>1035</v>
      </c>
      <c r="B27" s="310"/>
      <c r="C27" s="314" t="s">
        <v>1220</v>
      </c>
      <c r="D27" s="314"/>
      <c r="E27" s="314"/>
      <c r="F27" s="314"/>
      <c r="G27" s="314"/>
      <c r="H27" s="314"/>
    </row>
    <row r="28" customFormat="false" ht="19.5" hidden="false" customHeight="true" outlineLevel="0" collapsed="false">
      <c r="A28" s="310" t="s">
        <v>1037</v>
      </c>
      <c r="B28" s="310"/>
      <c r="C28" s="314" t="s">
        <v>1221</v>
      </c>
      <c r="D28" s="314"/>
      <c r="E28" s="314"/>
      <c r="F28" s="314"/>
      <c r="G28" s="314"/>
      <c r="H28" s="314"/>
    </row>
    <row r="29" customFormat="false" ht="19.5" hidden="false" customHeight="true" outlineLevel="0" collapsed="false">
      <c r="A29" s="310" t="s">
        <v>490</v>
      </c>
      <c r="B29" s="310"/>
      <c r="C29" s="314" t="s">
        <v>71</v>
      </c>
      <c r="D29" s="314"/>
      <c r="E29" s="314"/>
      <c r="F29" s="314"/>
      <c r="G29" s="314"/>
      <c r="H29" s="314"/>
    </row>
    <row r="30" customFormat="false" ht="19.5" hidden="false" customHeight="true" outlineLevel="0" collapsed="false">
      <c r="A30" s="310" t="s">
        <v>1039</v>
      </c>
      <c r="B30" s="310"/>
      <c r="C30" s="271" t="n">
        <f aca="false">'COLECTOR JUNTAS Y EMPALMES'!F12</f>
        <v>120.64</v>
      </c>
      <c r="D30" s="271"/>
      <c r="E30" s="271"/>
      <c r="F30" s="271"/>
      <c r="G30" s="271"/>
      <c r="H30" s="271"/>
    </row>
    <row r="31" customFormat="false" ht="19.5" hidden="false" customHeight="true" outlineLevel="0" collapsed="false">
      <c r="A31" s="310" t="s">
        <v>1222</v>
      </c>
      <c r="B31" s="310"/>
      <c r="C31" s="271" t="n">
        <f aca="false">8/E34</f>
        <v>40.0</v>
      </c>
      <c r="D31" s="271"/>
      <c r="E31" s="271"/>
      <c r="F31" s="271"/>
      <c r="G31" s="271"/>
      <c r="H31" s="271"/>
    </row>
    <row r="32" customFormat="false" ht="31.5" hidden="false" customHeight="true" outlineLevel="0" collapsed="false">
      <c r="A32" s="311" t="s">
        <v>309</v>
      </c>
      <c r="B32" s="311" t="s">
        <v>1041</v>
      </c>
      <c r="C32" s="311" t="s">
        <v>170</v>
      </c>
      <c r="D32" s="311" t="s">
        <v>1042</v>
      </c>
      <c r="E32" s="311" t="s">
        <v>1223</v>
      </c>
      <c r="F32" s="311" t="s">
        <v>1043</v>
      </c>
      <c r="G32" s="311" t="s">
        <v>998</v>
      </c>
      <c r="H32" s="311" t="s">
        <v>1044</v>
      </c>
    </row>
    <row r="33" customFormat="false" ht="19.5" hidden="false" customHeight="true" outlineLevel="0" collapsed="false">
      <c r="A33" s="317"/>
      <c r="B33" s="310" t="s">
        <v>1045</v>
      </c>
      <c r="C33" s="310"/>
      <c r="D33" s="310"/>
      <c r="E33" s="310"/>
      <c r="F33" s="310"/>
      <c r="G33" s="310"/>
      <c r="H33" s="310"/>
    </row>
    <row r="34" customFormat="false" ht="19.5" hidden="false" customHeight="true" outlineLevel="0" collapsed="false">
      <c r="A34" s="312" t="n">
        <v>1.0</v>
      </c>
      <c r="B34" s="314" t="s">
        <v>810</v>
      </c>
      <c r="C34" s="315" t="s">
        <v>811</v>
      </c>
      <c r="D34" s="320" t="n">
        <f aca="false">E34*$C$31/8</f>
        <v>1.0</v>
      </c>
      <c r="E34" s="320" t="n">
        <f aca="false">$D$23</f>
        <v>0.2</v>
      </c>
      <c r="F34" s="271" t="n">
        <f aca="false">'COSTO HORA HOMBRE 2026'!$G$11</f>
        <v>28.95</v>
      </c>
      <c r="G34" s="271" t="n">
        <f aca="false">E34*F34</f>
        <v>5.79</v>
      </c>
      <c r="H34" s="313" t="s">
        <v>1046</v>
      </c>
    </row>
    <row r="35" customFormat="false" ht="19.5" hidden="false" customHeight="true" outlineLevel="0" collapsed="false">
      <c r="A35" s="312" t="n">
        <v>2.0</v>
      </c>
      <c r="B35" s="314" t="s">
        <v>813</v>
      </c>
      <c r="C35" s="315" t="s">
        <v>811</v>
      </c>
      <c r="D35" s="320" t="n">
        <f aca="false">E35*$C$31/8</f>
        <v>1.0</v>
      </c>
      <c r="E35" s="320" t="n">
        <f aca="false">$D$24</f>
        <v>0.2</v>
      </c>
      <c r="F35" s="271" t="n">
        <f aca="false">'COSTO HORA HOMBRE 2026'!$G$13</f>
        <v>20.54</v>
      </c>
      <c r="G35" s="271" t="n">
        <f aca="false">E35*F35</f>
        <v>4.108</v>
      </c>
      <c r="H35" s="313" t="s">
        <v>1046</v>
      </c>
    </row>
    <row r="36" customFormat="false" ht="19.5" hidden="false" customHeight="true" outlineLevel="0" collapsed="false">
      <c r="A36" s="317"/>
      <c r="B36" s="310" t="s">
        <v>1047</v>
      </c>
      <c r="C36" s="314"/>
      <c r="D36" s="314"/>
      <c r="E36" s="314"/>
      <c r="F36" s="314"/>
      <c r="G36" s="298" t="n">
        <f aca="false">SUM(G34:G35)</f>
        <v>9.898</v>
      </c>
      <c r="H36" s="314"/>
    </row>
    <row r="37" customFormat="false" ht="19.5" hidden="false" customHeight="true" outlineLevel="0" collapsed="false">
      <c r="A37" s="317"/>
      <c r="B37" s="310" t="s">
        <v>1048</v>
      </c>
      <c r="C37" s="310"/>
      <c r="D37" s="310"/>
      <c r="E37" s="310"/>
      <c r="F37" s="310"/>
      <c r="G37" s="310"/>
      <c r="H37" s="310"/>
    </row>
    <row r="38" customFormat="false" ht="31.5" hidden="false" customHeight="true" outlineLevel="0" collapsed="false">
      <c r="A38" s="312" t="n">
        <v>3.0</v>
      </c>
      <c r="B38" s="314" t="s">
        <v>1224</v>
      </c>
      <c r="C38" s="315" t="s">
        <v>1225</v>
      </c>
      <c r="D38" s="314"/>
      <c r="E38" s="320" t="n">
        <f aca="false">$D$17</f>
        <v>0.0474137931034483</v>
      </c>
      <c r="F38" s="271" t="n">
        <f aca="false">13.9/1.18</f>
        <v>11.7796610169492</v>
      </c>
      <c r="G38" s="271" t="n">
        <f aca="false">E38*F38</f>
        <v>0.558518410286382</v>
      </c>
      <c r="H38" s="313" t="s">
        <v>1226</v>
      </c>
    </row>
    <row r="39" customFormat="false" ht="31.5" hidden="false" customHeight="true" outlineLevel="0" collapsed="false">
      <c r="A39" s="312" t="n">
        <v>4.0</v>
      </c>
      <c r="B39" s="314" t="s">
        <v>1227</v>
      </c>
      <c r="C39" s="315" t="s">
        <v>839</v>
      </c>
      <c r="D39" s="314"/>
      <c r="E39" s="320" t="n">
        <f aca="false">$D$20*$D$21</f>
        <v>0.0533925517241379</v>
      </c>
      <c r="F39" s="271" t="n">
        <f aca="false">17.7/1.18</f>
        <v>15.0</v>
      </c>
      <c r="G39" s="271" t="n">
        <f aca="false">E39*F39</f>
        <v>0.800888275862069</v>
      </c>
      <c r="H39" s="313" t="s">
        <v>1228</v>
      </c>
    </row>
    <row r="40" customFormat="false" ht="19.5" hidden="false" customHeight="true" outlineLevel="0" collapsed="false">
      <c r="A40" s="312" t="n">
        <v>5.0</v>
      </c>
      <c r="B40" s="314" t="s">
        <v>804</v>
      </c>
      <c r="C40" s="315" t="s">
        <v>185</v>
      </c>
      <c r="D40" s="314"/>
      <c r="E40" s="320" t="n">
        <f aca="false">$D$20*$D$22</f>
        <v>0.0011212435862069</v>
      </c>
      <c r="F40" s="271" t="n">
        <f aca="false">'ACU TAPA REGISTRO'!F77</f>
        <v>40.68</v>
      </c>
      <c r="G40" s="271" t="n">
        <f aca="false">E40*F40</f>
        <v>0.0456121890868966</v>
      </c>
      <c r="H40" s="313" t="s">
        <v>1229</v>
      </c>
    </row>
    <row r="41" customFormat="false" ht="19.5" hidden="false" customHeight="true" outlineLevel="0" collapsed="false">
      <c r="A41" s="317"/>
      <c r="B41" s="310" t="s">
        <v>1062</v>
      </c>
      <c r="C41" s="314"/>
      <c r="D41" s="314"/>
      <c r="E41" s="314"/>
      <c r="F41" s="314"/>
      <c r="G41" s="298" t="n">
        <f aca="false">SUM(G38:G40)</f>
        <v>1.40501887523535</v>
      </c>
      <c r="H41" s="314"/>
    </row>
    <row r="42" customFormat="false" ht="19.5" hidden="false" customHeight="true" outlineLevel="0" collapsed="false">
      <c r="A42" s="317"/>
      <c r="B42" s="310" t="s">
        <v>1063</v>
      </c>
      <c r="C42" s="310"/>
      <c r="D42" s="310"/>
      <c r="E42" s="310"/>
      <c r="F42" s="310"/>
      <c r="G42" s="310"/>
      <c r="H42" s="310"/>
    </row>
    <row r="43" customFormat="false" ht="19.5" hidden="false" customHeight="true" outlineLevel="0" collapsed="false">
      <c r="A43" s="312" t="n">
        <v>6.0</v>
      </c>
      <c r="B43" s="314" t="s">
        <v>827</v>
      </c>
      <c r="C43" s="315" t="s">
        <v>828</v>
      </c>
      <c r="D43" s="314"/>
      <c r="E43" s="322" t="n">
        <v>0.03</v>
      </c>
      <c r="F43" s="271" t="n">
        <f aca="false">+G36</f>
        <v>9.898</v>
      </c>
      <c r="G43" s="271" t="n">
        <f aca="false">E43*F43</f>
        <v>0.29694</v>
      </c>
      <c r="H43" s="313" t="s">
        <v>1230</v>
      </c>
    </row>
    <row r="44" customFormat="false" ht="19.5" hidden="false" customHeight="true" outlineLevel="0" collapsed="false">
      <c r="A44" s="317"/>
      <c r="B44" s="310" t="s">
        <v>1068</v>
      </c>
      <c r="C44" s="314"/>
      <c r="D44" s="314"/>
      <c r="E44" s="314"/>
      <c r="F44" s="314"/>
      <c r="G44" s="298" t="n">
        <f aca="false">SUM(G43:G43)</f>
        <v>0.29694</v>
      </c>
      <c r="H44" s="314"/>
    </row>
    <row r="45" customFormat="false" ht="21.75" hidden="false" customHeight="true" outlineLevel="0" collapsed="false">
      <c r="A45" s="310" t="s">
        <v>1114</v>
      </c>
      <c r="B45" s="310"/>
      <c r="C45" s="310"/>
      <c r="D45" s="310"/>
      <c r="E45" s="310"/>
      <c r="F45" s="310"/>
      <c r="G45" s="298" t="n">
        <f aca="false">+G36+G41+G44</f>
        <v>11.5999588752353</v>
      </c>
      <c r="H45" s="314"/>
    </row>
    <row r="46" customFormat="false" ht="21.75" hidden="false" customHeight="true" outlineLevel="0" collapsed="false">
      <c r="A46" s="310" t="s">
        <v>1231</v>
      </c>
      <c r="B46" s="310"/>
      <c r="C46" s="310"/>
      <c r="D46" s="310"/>
      <c r="E46" s="310"/>
      <c r="F46" s="310"/>
      <c r="G46" s="298" t="n">
        <f aca="false">G45*C30</f>
        <v>1399.41903870839</v>
      </c>
      <c r="H46" s="314"/>
    </row>
  </sheetData>
  <mergeCells count="27">
    <mergeCell ref="A1:H1"/>
    <mergeCell ref="A2:B2"/>
    <mergeCell ref="C2:H2"/>
    <mergeCell ref="A3:B3"/>
    <mergeCell ref="C3:H3"/>
    <mergeCell ref="A4:B4"/>
    <mergeCell ref="C4:H4"/>
    <mergeCell ref="A5:B5"/>
    <mergeCell ref="C5:H5"/>
    <mergeCell ref="A7:H7"/>
    <mergeCell ref="A9:H9"/>
    <mergeCell ref="A26:H26"/>
    <mergeCell ref="A27:B27"/>
    <mergeCell ref="C27:H27"/>
    <mergeCell ref="A28:B28"/>
    <mergeCell ref="C28:H28"/>
    <mergeCell ref="A29:B29"/>
    <mergeCell ref="C29:H29"/>
    <mergeCell ref="A30:B30"/>
    <mergeCell ref="C30:H30"/>
    <mergeCell ref="A31:B31"/>
    <mergeCell ref="C31:H31"/>
    <mergeCell ref="B33:H33"/>
    <mergeCell ref="B37:H37"/>
    <mergeCell ref="B42:H42"/>
    <mergeCell ref="A45:F45"/>
    <mergeCell ref="A46:F46"/>
  </mergeCells>
  <printOptions headings="false" gridLines="false" gridLinesSet="true" horizontalCentered="false" verticalCentered="false"/>
  <pageMargins left="0.5" right="0.5" top="0.75" bottom="0.7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L26" activeCellId="0" sqref="L26"/>
    </sheetView>
  </sheetViews>
  <sheetFormatPr defaultColWidth="8.73046875" defaultRowHeight="14.25" zeroHeight="false" outlineLevelRow="0" outlineLevelCol="0"/>
  <cols>
    <col collapsed="false" customWidth="true" hidden="false" outlineLevel="0" max="1" min="1" style="318" width="6"/>
    <col collapsed="false" customWidth="true" hidden="false" outlineLevel="0" max="2" min="2" style="318" width="46"/>
    <col collapsed="false" customWidth="true" hidden="false" outlineLevel="0" max="3" min="3" style="318" width="8"/>
    <col collapsed="false" customWidth="true" hidden="false" outlineLevel="0" max="7" min="4" style="318" width="14"/>
    <col collapsed="false" customWidth="true" hidden="false" outlineLevel="0" max="8" min="8" style="318" width="44"/>
  </cols>
  <sheetData>
    <row r="1" customFormat="false" ht="27" hidden="false" customHeight="true" outlineLevel="0" collapsed="false">
      <c r="A1" s="306" t="s">
        <v>1235</v>
      </c>
      <c r="B1" s="306"/>
      <c r="C1" s="306"/>
      <c r="D1" s="306"/>
      <c r="E1" s="306"/>
      <c r="F1" s="306"/>
      <c r="G1" s="306"/>
      <c r="H1" s="306"/>
    </row>
    <row r="2" customFormat="false" ht="24.75" hidden="false" customHeight="true" outlineLevel="0" collapsed="false">
      <c r="A2" s="307" t="s">
        <v>1</v>
      </c>
      <c r="B2" s="307"/>
      <c r="C2" s="308" t="str">
        <f aca="false">+RESUMEN!B4</f>
        <v>GERENCIA TERRITORIAL BAJO MAYO - TARAPOTO</v>
      </c>
      <c r="D2" s="308"/>
      <c r="E2" s="308"/>
      <c r="F2" s="308"/>
      <c r="G2" s="308"/>
      <c r="H2" s="308"/>
    </row>
    <row r="3" customFormat="false" ht="58.5" hidden="false" customHeight="true" outlineLevel="0" collapsed="false">
      <c r="A3" s="307" t="s">
        <v>3</v>
      </c>
      <c r="B3" s="307"/>
      <c r="C3" s="308" t="str">
        <f aca="false">+RESUMEN!B5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308"/>
      <c r="E3" s="308"/>
      <c r="F3" s="308"/>
      <c r="G3" s="308"/>
      <c r="H3" s="308"/>
    </row>
    <row r="4" customFormat="false" ht="24.75" hidden="false" customHeight="true" outlineLevel="0" collapsed="false">
      <c r="A4" s="307" t="s">
        <v>5</v>
      </c>
      <c r="B4" s="307"/>
      <c r="C4" s="308" t="str">
        <f aca="false">+RESUMEN!B6</f>
        <v>SAN MARTIN - SAN MARTIN - MORALES</v>
      </c>
      <c r="D4" s="308"/>
      <c r="E4" s="308"/>
      <c r="F4" s="308"/>
      <c r="G4" s="308"/>
      <c r="H4" s="308"/>
    </row>
    <row r="5" customFormat="false" ht="24.75" hidden="false" customHeight="true" outlineLevel="0" collapsed="false">
      <c r="A5" s="307" t="s">
        <v>7</v>
      </c>
      <c r="B5" s="307"/>
      <c r="C5" s="266" t="n">
        <f aca="false">+RESUMEN!B7</f>
        <v>0</v>
      </c>
      <c r="D5" s="266"/>
      <c r="E5" s="266"/>
      <c r="F5" s="266"/>
      <c r="G5" s="266"/>
      <c r="H5" s="266"/>
    </row>
    <row r="7" customFormat="false" ht="66" hidden="false" customHeight="true" outlineLevel="0" collapsed="false">
      <c r="A7" s="309" t="s">
        <v>1236</v>
      </c>
      <c r="B7" s="309"/>
      <c r="C7" s="309"/>
      <c r="D7" s="309"/>
      <c r="E7" s="309"/>
      <c r="F7" s="309"/>
      <c r="G7" s="309"/>
      <c r="H7" s="309"/>
    </row>
    <row r="9" customFormat="false" ht="19.5" hidden="false" customHeight="true" outlineLevel="0" collapsed="false">
      <c r="A9" s="310" t="s">
        <v>1188</v>
      </c>
      <c r="B9" s="310"/>
      <c r="C9" s="310"/>
      <c r="D9" s="310"/>
      <c r="E9" s="310"/>
      <c r="F9" s="310"/>
      <c r="G9" s="310"/>
      <c r="H9" s="310"/>
    </row>
    <row r="10" customFormat="false" ht="31.5" hidden="false" customHeight="true" outlineLevel="0" collapsed="false">
      <c r="A10" s="311" t="s">
        <v>309</v>
      </c>
      <c r="B10" s="311" t="s">
        <v>917</v>
      </c>
      <c r="C10" s="311" t="s">
        <v>170</v>
      </c>
      <c r="D10" s="311" t="s">
        <v>271</v>
      </c>
      <c r="E10" s="311"/>
      <c r="F10" s="311"/>
      <c r="G10" s="311"/>
      <c r="H10" s="311" t="s">
        <v>483</v>
      </c>
    </row>
    <row r="11" customFormat="false" ht="31.5" hidden="false" customHeight="true" outlineLevel="0" collapsed="false">
      <c r="A11" s="312" t="n">
        <v>1.0</v>
      </c>
      <c r="B11" s="313" t="s">
        <v>1237</v>
      </c>
      <c r="C11" s="315" t="s">
        <v>71</v>
      </c>
      <c r="D11" s="320" t="n">
        <f aca="false">+'COLECTOR JUNTAS Y EMPALMES'!E16</f>
        <v>4.64</v>
      </c>
      <c r="E11" s="314"/>
      <c r="F11" s="314"/>
      <c r="G11" s="314"/>
      <c r="H11" s="313" t="s">
        <v>1238</v>
      </c>
    </row>
    <row r="12" customFormat="false" ht="31.5" hidden="false" customHeight="true" outlineLevel="0" collapsed="false">
      <c r="A12" s="312" t="n">
        <v>2.0</v>
      </c>
      <c r="B12" s="313" t="s">
        <v>1239</v>
      </c>
      <c r="C12" s="315" t="s">
        <v>60</v>
      </c>
      <c r="D12" s="320" t="n">
        <f aca="false">+'COLECTOR JUNTAS Y EMPALMES'!D16</f>
        <v>1.0</v>
      </c>
      <c r="E12" s="314"/>
      <c r="F12" s="314"/>
      <c r="G12" s="314"/>
      <c r="H12" s="313" t="s">
        <v>1240</v>
      </c>
    </row>
    <row r="13" customFormat="false" ht="31.5" hidden="false" customHeight="true" outlineLevel="0" collapsed="false">
      <c r="A13" s="312" t="n">
        <v>3.0</v>
      </c>
      <c r="B13" s="313" t="s">
        <v>1241</v>
      </c>
      <c r="C13" s="315" t="s">
        <v>186</v>
      </c>
      <c r="D13" s="320" t="n">
        <f aca="false">0.90*(0.15+1.17+0.10)-0.60*1.17</f>
        <v>0.576</v>
      </c>
      <c r="E13" s="314"/>
      <c r="F13" s="314"/>
      <c r="G13" s="314"/>
      <c r="H13" s="313" t="s">
        <v>1194</v>
      </c>
    </row>
    <row r="14" customFormat="false" ht="31.5" hidden="false" customHeight="true" outlineLevel="0" collapsed="false">
      <c r="A14" s="312" t="n">
        <v>4.0</v>
      </c>
      <c r="B14" s="313" t="s">
        <v>1195</v>
      </c>
      <c r="C14" s="315" t="s">
        <v>584</v>
      </c>
      <c r="D14" s="320" t="n">
        <f aca="false">D13/D11</f>
        <v>0.124137931034483</v>
      </c>
      <c r="E14" s="314"/>
      <c r="F14" s="314"/>
      <c r="G14" s="314"/>
      <c r="H14" s="313" t="s">
        <v>1196</v>
      </c>
    </row>
    <row r="15" customFormat="false" ht="31.5" hidden="false" customHeight="true" outlineLevel="0" collapsed="false">
      <c r="A15" s="312" t="n">
        <v>5.0</v>
      </c>
      <c r="B15" s="313" t="s">
        <v>1197</v>
      </c>
      <c r="C15" s="315" t="s">
        <v>511</v>
      </c>
      <c r="D15" s="321" t="n">
        <v>0.1</v>
      </c>
      <c r="E15" s="314"/>
      <c r="F15" s="314"/>
      <c r="G15" s="314"/>
      <c r="H15" s="313" t="s">
        <v>1198</v>
      </c>
    </row>
    <row r="16" customFormat="false" ht="31.5" hidden="false" customHeight="true" outlineLevel="0" collapsed="false">
      <c r="A16" s="312" t="n">
        <v>6.0</v>
      </c>
      <c r="B16" s="313" t="s">
        <v>1199</v>
      </c>
      <c r="C16" s="315" t="s">
        <v>186</v>
      </c>
      <c r="D16" s="321" t="n">
        <v>2.88</v>
      </c>
      <c r="E16" s="314"/>
      <c r="F16" s="314"/>
      <c r="G16" s="314"/>
      <c r="H16" s="313" t="s">
        <v>1200</v>
      </c>
    </row>
    <row r="17" customFormat="false" ht="31.5" hidden="false" customHeight="true" outlineLevel="0" collapsed="false">
      <c r="A17" s="312" t="n">
        <v>7.0</v>
      </c>
      <c r="B17" s="313" t="s">
        <v>1201</v>
      </c>
      <c r="C17" s="315" t="s">
        <v>1202</v>
      </c>
      <c r="D17" s="320" t="n">
        <f aca="false">D14*(1+D15)/D16</f>
        <v>0.0474137931034483</v>
      </c>
      <c r="E17" s="314"/>
      <c r="F17" s="314"/>
      <c r="G17" s="314"/>
      <c r="H17" s="313" t="s">
        <v>1196</v>
      </c>
    </row>
    <row r="18" customFormat="false" ht="31.5" hidden="false" customHeight="true" outlineLevel="0" collapsed="false">
      <c r="A18" s="312" t="n">
        <v>8.0</v>
      </c>
      <c r="B18" s="313" t="s">
        <v>1242</v>
      </c>
      <c r="C18" s="315" t="s">
        <v>71</v>
      </c>
      <c r="D18" s="320" t="n">
        <f aca="false">2*1.17+0.60+0.90</f>
        <v>3.84</v>
      </c>
      <c r="E18" s="314"/>
      <c r="F18" s="314"/>
      <c r="G18" s="314"/>
      <c r="H18" s="313" t="s">
        <v>1194</v>
      </c>
    </row>
    <row r="19" customFormat="false" ht="31.5" hidden="false" customHeight="true" outlineLevel="0" collapsed="false">
      <c r="A19" s="312" t="n">
        <v>9.0</v>
      </c>
      <c r="B19" s="313" t="s">
        <v>1204</v>
      </c>
      <c r="C19" s="315" t="s">
        <v>186</v>
      </c>
      <c r="D19" s="320" t="n">
        <f aca="false">0.0254*0.0508</f>
        <v>0.00129032</v>
      </c>
      <c r="E19" s="314"/>
      <c r="F19" s="314"/>
      <c r="G19" s="314"/>
      <c r="H19" s="313" t="s">
        <v>1205</v>
      </c>
    </row>
    <row r="20" customFormat="false" ht="31.5" hidden="false" customHeight="true" outlineLevel="0" collapsed="false">
      <c r="A20" s="312" t="n">
        <v>10.0</v>
      </c>
      <c r="B20" s="313" t="s">
        <v>1206</v>
      </c>
      <c r="C20" s="315" t="s">
        <v>1207</v>
      </c>
      <c r="D20" s="320" t="n">
        <f aca="false">D19*D18/D11</f>
        <v>0.00106785103448276</v>
      </c>
      <c r="E20" s="314"/>
      <c r="F20" s="314"/>
      <c r="G20" s="314"/>
      <c r="H20" s="313" t="s">
        <v>1196</v>
      </c>
    </row>
    <row r="21" customFormat="false" ht="31.5" hidden="false" customHeight="true" outlineLevel="0" collapsed="false">
      <c r="A21" s="312" t="n">
        <v>11.0</v>
      </c>
      <c r="B21" s="313" t="s">
        <v>1208</v>
      </c>
      <c r="C21" s="315" t="s">
        <v>1209</v>
      </c>
      <c r="D21" s="321" t="n">
        <v>50.0</v>
      </c>
      <c r="E21" s="314"/>
      <c r="F21" s="314"/>
      <c r="G21" s="314"/>
      <c r="H21" s="313" t="s">
        <v>1210</v>
      </c>
    </row>
    <row r="22" customFormat="false" ht="31.5" hidden="false" customHeight="true" outlineLevel="0" collapsed="false">
      <c r="A22" s="312" t="n">
        <v>12.0</v>
      </c>
      <c r="B22" s="313" t="s">
        <v>1211</v>
      </c>
      <c r="C22" s="315" t="s">
        <v>1212</v>
      </c>
      <c r="D22" s="321" t="n">
        <v>1.05</v>
      </c>
      <c r="E22" s="314"/>
      <c r="F22" s="314"/>
      <c r="G22" s="314"/>
      <c r="H22" s="313" t="s">
        <v>1213</v>
      </c>
    </row>
    <row r="23" customFormat="false" ht="31.5" hidden="false" customHeight="true" outlineLevel="0" collapsed="false">
      <c r="A23" s="312" t="n">
        <v>13.0</v>
      </c>
      <c r="B23" s="313" t="s">
        <v>1214</v>
      </c>
      <c r="C23" s="315" t="s">
        <v>1215</v>
      </c>
      <c r="D23" s="320" t="n">
        <f aca="false">'COLECTOR INSUMOS'!G75</f>
        <v>0.2</v>
      </c>
      <c r="E23" s="314"/>
      <c r="F23" s="314"/>
      <c r="G23" s="314"/>
      <c r="H23" s="313" t="s">
        <v>1243</v>
      </c>
    </row>
    <row r="24" customFormat="false" ht="31.5" hidden="false" customHeight="true" outlineLevel="0" collapsed="false">
      <c r="A24" s="312" t="n">
        <v>14.0</v>
      </c>
      <c r="B24" s="313" t="s">
        <v>1217</v>
      </c>
      <c r="C24" s="315" t="s">
        <v>1215</v>
      </c>
      <c r="D24" s="320" t="n">
        <f aca="false">'COLECTOR INSUMOS'!G76</f>
        <v>0.2</v>
      </c>
      <c r="E24" s="314"/>
      <c r="F24" s="314"/>
      <c r="G24" s="314"/>
      <c r="H24" s="313" t="s">
        <v>1244</v>
      </c>
    </row>
    <row r="26" customFormat="false" ht="19.5" hidden="false" customHeight="true" outlineLevel="0" collapsed="false">
      <c r="A26" s="310" t="s">
        <v>1219</v>
      </c>
      <c r="B26" s="310"/>
      <c r="C26" s="310"/>
      <c r="D26" s="310"/>
      <c r="E26" s="310"/>
      <c r="F26" s="310"/>
      <c r="G26" s="310"/>
      <c r="H26" s="310"/>
    </row>
    <row r="27" customFormat="false" ht="19.5" hidden="false" customHeight="true" outlineLevel="0" collapsed="false">
      <c r="A27" s="310" t="s">
        <v>1035</v>
      </c>
      <c r="B27" s="310"/>
      <c r="C27" s="314" t="s">
        <v>1245</v>
      </c>
      <c r="D27" s="314"/>
      <c r="E27" s="314"/>
      <c r="F27" s="314"/>
      <c r="G27" s="314"/>
      <c r="H27" s="314"/>
    </row>
    <row r="28" customFormat="false" ht="19.5" hidden="false" customHeight="true" outlineLevel="0" collapsed="false">
      <c r="A28" s="310" t="s">
        <v>1037</v>
      </c>
      <c r="B28" s="310"/>
      <c r="C28" s="314" t="s">
        <v>1246</v>
      </c>
      <c r="D28" s="314"/>
      <c r="E28" s="314"/>
      <c r="F28" s="314"/>
      <c r="G28" s="314"/>
      <c r="H28" s="314"/>
    </row>
    <row r="29" customFormat="false" ht="19.5" hidden="false" customHeight="true" outlineLevel="0" collapsed="false">
      <c r="A29" s="310" t="s">
        <v>490</v>
      </c>
      <c r="B29" s="310"/>
      <c r="C29" s="314" t="s">
        <v>71</v>
      </c>
      <c r="D29" s="314"/>
      <c r="E29" s="314"/>
      <c r="F29" s="314"/>
      <c r="G29" s="314"/>
      <c r="H29" s="314"/>
    </row>
    <row r="30" customFormat="false" ht="19.5" hidden="false" customHeight="true" outlineLevel="0" collapsed="false">
      <c r="A30" s="310" t="s">
        <v>1039</v>
      </c>
      <c r="B30" s="310"/>
      <c r="C30" s="271" t="n">
        <f aca="false">+'COLECTOR JUNTAS Y EMPALMES'!F17</f>
        <v>4.64</v>
      </c>
      <c r="D30" s="271"/>
      <c r="E30" s="271"/>
      <c r="F30" s="271"/>
      <c r="G30" s="271"/>
      <c r="H30" s="271"/>
    </row>
    <row r="31" customFormat="false" ht="19.5" hidden="false" customHeight="true" outlineLevel="0" collapsed="false">
      <c r="A31" s="310" t="s">
        <v>1222</v>
      </c>
      <c r="B31" s="310"/>
      <c r="C31" s="271" t="n">
        <f aca="false">8/E34</f>
        <v>40.0</v>
      </c>
      <c r="D31" s="271"/>
      <c r="E31" s="271"/>
      <c r="F31" s="271"/>
      <c r="G31" s="271"/>
      <c r="H31" s="271"/>
    </row>
    <row r="32" customFormat="false" ht="31.5" hidden="false" customHeight="true" outlineLevel="0" collapsed="false">
      <c r="A32" s="311" t="s">
        <v>309</v>
      </c>
      <c r="B32" s="311" t="s">
        <v>1041</v>
      </c>
      <c r="C32" s="311" t="s">
        <v>170</v>
      </c>
      <c r="D32" s="311" t="s">
        <v>1042</v>
      </c>
      <c r="E32" s="311" t="s">
        <v>1223</v>
      </c>
      <c r="F32" s="311" t="s">
        <v>1043</v>
      </c>
      <c r="G32" s="311" t="s">
        <v>998</v>
      </c>
      <c r="H32" s="311" t="s">
        <v>1044</v>
      </c>
    </row>
    <row r="33" customFormat="false" ht="19.5" hidden="false" customHeight="true" outlineLevel="0" collapsed="false">
      <c r="A33" s="317"/>
      <c r="B33" s="310" t="s">
        <v>1045</v>
      </c>
      <c r="C33" s="310"/>
      <c r="D33" s="310"/>
      <c r="E33" s="310"/>
      <c r="F33" s="310"/>
      <c r="G33" s="310"/>
      <c r="H33" s="310"/>
    </row>
    <row r="34" customFormat="false" ht="19.5" hidden="false" customHeight="true" outlineLevel="0" collapsed="false">
      <c r="A34" s="312" t="n">
        <v>1.0</v>
      </c>
      <c r="B34" s="314" t="s">
        <v>810</v>
      </c>
      <c r="C34" s="315" t="s">
        <v>811</v>
      </c>
      <c r="D34" s="320" t="n">
        <f aca="false">E34*$C$31/8</f>
        <v>1.0</v>
      </c>
      <c r="E34" s="320" t="n">
        <f aca="false">$D$23</f>
        <v>0.2</v>
      </c>
      <c r="F34" s="271" t="n">
        <f aca="false">'COSTO HORA HOMBRE 2026'!$G$11</f>
        <v>28.95</v>
      </c>
      <c r="G34" s="271" t="n">
        <f aca="false">E34*F34</f>
        <v>5.79</v>
      </c>
      <c r="H34" s="313" t="s">
        <v>1046</v>
      </c>
    </row>
    <row r="35" customFormat="false" ht="19.5" hidden="false" customHeight="true" outlineLevel="0" collapsed="false">
      <c r="A35" s="312" t="n">
        <v>2.0</v>
      </c>
      <c r="B35" s="314" t="s">
        <v>813</v>
      </c>
      <c r="C35" s="315" t="s">
        <v>811</v>
      </c>
      <c r="D35" s="320" t="n">
        <f aca="false">E35*$C$31/8</f>
        <v>1.0</v>
      </c>
      <c r="E35" s="320" t="n">
        <f aca="false">$D$24</f>
        <v>0.2</v>
      </c>
      <c r="F35" s="271" t="n">
        <f aca="false">'COSTO HORA HOMBRE 2026'!$G$13</f>
        <v>20.54</v>
      </c>
      <c r="G35" s="271" t="n">
        <f aca="false">E35*F35</f>
        <v>4.108</v>
      </c>
      <c r="H35" s="313" t="s">
        <v>1046</v>
      </c>
    </row>
    <row r="36" customFormat="false" ht="19.5" hidden="false" customHeight="true" outlineLevel="0" collapsed="false">
      <c r="A36" s="317"/>
      <c r="B36" s="310" t="s">
        <v>1047</v>
      </c>
      <c r="C36" s="314"/>
      <c r="D36" s="314"/>
      <c r="E36" s="314"/>
      <c r="F36" s="314"/>
      <c r="G36" s="298" t="n">
        <f aca="false">SUM(G34:G35)</f>
        <v>9.898</v>
      </c>
      <c r="H36" s="314"/>
    </row>
    <row r="37" customFormat="false" ht="19.5" hidden="false" customHeight="true" outlineLevel="0" collapsed="false">
      <c r="A37" s="317"/>
      <c r="B37" s="310" t="s">
        <v>1048</v>
      </c>
      <c r="C37" s="310"/>
      <c r="D37" s="310"/>
      <c r="E37" s="310"/>
      <c r="F37" s="310"/>
      <c r="G37" s="310"/>
      <c r="H37" s="310"/>
    </row>
    <row r="38" customFormat="false" ht="31.5" hidden="false" customHeight="true" outlineLevel="0" collapsed="false">
      <c r="A38" s="312" t="n">
        <v>3.0</v>
      </c>
      <c r="B38" s="314" t="s">
        <v>1224</v>
      </c>
      <c r="C38" s="315" t="s">
        <v>1225</v>
      </c>
      <c r="D38" s="314"/>
      <c r="E38" s="320" t="n">
        <f aca="false">$D$17</f>
        <v>0.0474137931034483</v>
      </c>
      <c r="F38" s="271" t="n">
        <f aca="false">13.9/1.18</f>
        <v>11.7796610169492</v>
      </c>
      <c r="G38" s="271" t="n">
        <f aca="false">E38*F38</f>
        <v>0.558518410286382</v>
      </c>
      <c r="H38" s="313" t="s">
        <v>1226</v>
      </c>
    </row>
    <row r="39" customFormat="false" ht="31.5" hidden="false" customHeight="true" outlineLevel="0" collapsed="false">
      <c r="A39" s="312" t="n">
        <v>4.0</v>
      </c>
      <c r="B39" s="314" t="s">
        <v>1227</v>
      </c>
      <c r="C39" s="315" t="s">
        <v>839</v>
      </c>
      <c r="D39" s="314"/>
      <c r="E39" s="320" t="n">
        <f aca="false">$D$20*$D$21</f>
        <v>0.0533925517241379</v>
      </c>
      <c r="F39" s="271" t="n">
        <f aca="false">17.7/1.18</f>
        <v>15.0</v>
      </c>
      <c r="G39" s="271" t="n">
        <f aca="false">E39*F39</f>
        <v>0.800888275862069</v>
      </c>
      <c r="H39" s="313" t="s">
        <v>1228</v>
      </c>
    </row>
    <row r="40" customFormat="false" ht="19.5" hidden="false" customHeight="true" outlineLevel="0" collapsed="false">
      <c r="A40" s="312" t="n">
        <v>5.0</v>
      </c>
      <c r="B40" s="314" t="s">
        <v>804</v>
      </c>
      <c r="C40" s="315" t="s">
        <v>185</v>
      </c>
      <c r="D40" s="314"/>
      <c r="E40" s="320" t="n">
        <f aca="false">$D$20*$D$22</f>
        <v>0.0011212435862069</v>
      </c>
      <c r="F40" s="271" t="n">
        <f aca="false">'ACU TAPA REGISTRO'!F77</f>
        <v>40.68</v>
      </c>
      <c r="G40" s="271" t="n">
        <f aca="false">E40*F40</f>
        <v>0.0456121890868966</v>
      </c>
      <c r="H40" s="313" t="s">
        <v>1229</v>
      </c>
    </row>
    <row r="41" customFormat="false" ht="19.5" hidden="false" customHeight="true" outlineLevel="0" collapsed="false">
      <c r="A41" s="317"/>
      <c r="B41" s="310" t="s">
        <v>1062</v>
      </c>
      <c r="C41" s="314"/>
      <c r="D41" s="314"/>
      <c r="E41" s="314"/>
      <c r="F41" s="314"/>
      <c r="G41" s="298" t="n">
        <f aca="false">SUM(G38:G40)</f>
        <v>1.40501887523535</v>
      </c>
      <c r="H41" s="314"/>
    </row>
    <row r="42" customFormat="false" ht="19.5" hidden="false" customHeight="true" outlineLevel="0" collapsed="false">
      <c r="A42" s="317"/>
      <c r="B42" s="310" t="s">
        <v>1063</v>
      </c>
      <c r="C42" s="310"/>
      <c r="D42" s="310"/>
      <c r="E42" s="310"/>
      <c r="F42" s="310"/>
      <c r="G42" s="310"/>
      <c r="H42" s="310"/>
    </row>
    <row r="43" customFormat="false" ht="19.5" hidden="false" customHeight="true" outlineLevel="0" collapsed="false">
      <c r="A43" s="312" t="n">
        <v>6.0</v>
      </c>
      <c r="B43" s="314" t="s">
        <v>827</v>
      </c>
      <c r="C43" s="315" t="s">
        <v>828</v>
      </c>
      <c r="D43" s="314"/>
      <c r="E43" s="322" t="n">
        <v>0.03</v>
      </c>
      <c r="F43" s="271" t="n">
        <f aca="false">+G36</f>
        <v>9.898</v>
      </c>
      <c r="G43" s="271" t="n">
        <f aca="false">E43*F43</f>
        <v>0.29694</v>
      </c>
      <c r="H43" s="313" t="s">
        <v>1230</v>
      </c>
    </row>
    <row r="44" customFormat="false" ht="19.5" hidden="false" customHeight="true" outlineLevel="0" collapsed="false">
      <c r="A44" s="317"/>
      <c r="B44" s="310" t="s">
        <v>1068</v>
      </c>
      <c r="C44" s="314"/>
      <c r="D44" s="314"/>
      <c r="E44" s="314"/>
      <c r="F44" s="314"/>
      <c r="G44" s="298" t="n">
        <f aca="false">SUM(G43:G43)</f>
        <v>0.29694</v>
      </c>
      <c r="H44" s="314"/>
    </row>
    <row r="45" customFormat="false" ht="21.75" hidden="false" customHeight="true" outlineLevel="0" collapsed="false">
      <c r="A45" s="310" t="s">
        <v>1114</v>
      </c>
      <c r="B45" s="310"/>
      <c r="C45" s="310"/>
      <c r="D45" s="310"/>
      <c r="E45" s="310"/>
      <c r="F45" s="310"/>
      <c r="G45" s="298" t="n">
        <f aca="false">+G36+G41+G44</f>
        <v>11.5999588752353</v>
      </c>
      <c r="H45" s="314"/>
    </row>
    <row r="46" customFormat="false" ht="21.75" hidden="false" customHeight="true" outlineLevel="0" collapsed="false">
      <c r="A46" s="310" t="s">
        <v>1231</v>
      </c>
      <c r="B46" s="310"/>
      <c r="C46" s="310"/>
      <c r="D46" s="310"/>
      <c r="E46" s="310"/>
      <c r="F46" s="310"/>
      <c r="G46" s="298" t="n">
        <f aca="false">G45*C30</f>
        <v>53.823809181092</v>
      </c>
      <c r="H46" s="314"/>
    </row>
  </sheetData>
  <mergeCells count="27">
    <mergeCell ref="A1:H1"/>
    <mergeCell ref="A2:B2"/>
    <mergeCell ref="C2:H2"/>
    <mergeCell ref="A3:B3"/>
    <mergeCell ref="C3:H3"/>
    <mergeCell ref="A4:B4"/>
    <mergeCell ref="C4:H4"/>
    <mergeCell ref="A5:B5"/>
    <mergeCell ref="C5:H5"/>
    <mergeCell ref="A7:H7"/>
    <mergeCell ref="A9:H9"/>
    <mergeCell ref="A26:H26"/>
    <mergeCell ref="A27:B27"/>
    <mergeCell ref="C27:H27"/>
    <mergeCell ref="A28:B28"/>
    <mergeCell ref="C28:H28"/>
    <mergeCell ref="A29:B29"/>
    <mergeCell ref="C29:H29"/>
    <mergeCell ref="A30:B30"/>
    <mergeCell ref="C30:H30"/>
    <mergeCell ref="A31:B31"/>
    <mergeCell ref="C31:H31"/>
    <mergeCell ref="B33:H33"/>
    <mergeCell ref="B37:H37"/>
    <mergeCell ref="B42:H42"/>
    <mergeCell ref="A45:F45"/>
    <mergeCell ref="A46:F46"/>
  </mergeCells>
  <printOptions headings="false" gridLines="false" gridLinesSet="true" horizontalCentered="false" verticalCentered="false"/>
  <pageMargins left="0.5" right="0.5" top="0.75" bottom="0.7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L26" activeCellId="0" sqref="L26"/>
    </sheetView>
  </sheetViews>
  <sheetFormatPr defaultColWidth="8.73046875" defaultRowHeight="14.25" zeroHeight="false" outlineLevelRow="0" outlineLevelCol="0"/>
  <cols>
    <col collapsed="false" customWidth="true" hidden="false" outlineLevel="0" max="1" min="1" style="318" width="6"/>
    <col collapsed="false" customWidth="true" hidden="false" outlineLevel="0" max="2" min="2" style="318" width="46"/>
    <col collapsed="false" customWidth="true" hidden="false" outlineLevel="0" max="3" min="3" style="318" width="8"/>
    <col collapsed="false" customWidth="true" hidden="false" outlineLevel="0" max="7" min="4" style="318" width="14"/>
    <col collapsed="false" customWidth="true" hidden="false" outlineLevel="0" max="8" min="8" style="318" width="44"/>
  </cols>
  <sheetData>
    <row r="1" customFormat="false" ht="27" hidden="false" customHeight="true" outlineLevel="0" collapsed="false">
      <c r="A1" s="306" t="s">
        <v>1247</v>
      </c>
      <c r="B1" s="306"/>
      <c r="C1" s="306"/>
      <c r="D1" s="306"/>
      <c r="E1" s="306"/>
      <c r="F1" s="306"/>
      <c r="G1" s="306"/>
      <c r="H1" s="306"/>
    </row>
    <row r="2" customFormat="false" ht="24.75" hidden="false" customHeight="true" outlineLevel="0" collapsed="false">
      <c r="A2" s="307" t="s">
        <v>1</v>
      </c>
      <c r="B2" s="307"/>
      <c r="C2" s="308" t="str">
        <f aca="false">+RESUMEN!B4</f>
        <v>GERENCIA TERRITORIAL BAJO MAYO - TARAPOTO</v>
      </c>
      <c r="D2" s="308"/>
      <c r="E2" s="308"/>
      <c r="F2" s="308"/>
      <c r="G2" s="308"/>
      <c r="H2" s="308"/>
    </row>
    <row r="3" customFormat="false" ht="58.5" hidden="false" customHeight="true" outlineLevel="0" collapsed="false">
      <c r="A3" s="307" t="s">
        <v>3</v>
      </c>
      <c r="B3" s="307"/>
      <c r="C3" s="308" t="str">
        <f aca="false">+RESUMEN!B5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308"/>
      <c r="E3" s="308"/>
      <c r="F3" s="308"/>
      <c r="G3" s="308"/>
      <c r="H3" s="308"/>
    </row>
    <row r="4" customFormat="false" ht="24.75" hidden="false" customHeight="true" outlineLevel="0" collapsed="false">
      <c r="A4" s="307" t="s">
        <v>5</v>
      </c>
      <c r="B4" s="307"/>
      <c r="C4" s="308" t="str">
        <f aca="false">+RESUMEN!B6</f>
        <v>SAN MARTIN - SAN MARTIN - MORALES</v>
      </c>
      <c r="D4" s="308"/>
      <c r="E4" s="308"/>
      <c r="F4" s="308"/>
      <c r="G4" s="308"/>
      <c r="H4" s="308"/>
    </row>
    <row r="5" customFormat="false" ht="24.75" hidden="false" customHeight="true" outlineLevel="0" collapsed="false">
      <c r="A5" s="307" t="s">
        <v>7</v>
      </c>
      <c r="B5" s="307"/>
      <c r="C5" s="266" t="n">
        <f aca="false">+RESUMEN!B7</f>
        <v>0</v>
      </c>
      <c r="D5" s="266"/>
      <c r="E5" s="266"/>
      <c r="F5" s="266"/>
      <c r="G5" s="266"/>
      <c r="H5" s="266"/>
    </row>
    <row r="7" customFormat="false" ht="66" hidden="false" customHeight="true" outlineLevel="0" collapsed="false">
      <c r="A7" s="309" t="s">
        <v>1248</v>
      </c>
      <c r="B7" s="309"/>
      <c r="C7" s="309"/>
      <c r="D7" s="309"/>
      <c r="E7" s="309"/>
      <c r="F7" s="309"/>
      <c r="G7" s="309"/>
      <c r="H7" s="309"/>
    </row>
    <row r="9" customFormat="false" ht="19.5" hidden="false" customHeight="true" outlineLevel="0" collapsed="false">
      <c r="A9" s="310" t="s">
        <v>1249</v>
      </c>
      <c r="B9" s="310"/>
      <c r="C9" s="310"/>
      <c r="D9" s="310"/>
      <c r="E9" s="310"/>
      <c r="F9" s="310"/>
      <c r="G9" s="310"/>
      <c r="H9" s="310"/>
    </row>
    <row r="10" customFormat="false" ht="31.5" hidden="false" customHeight="true" outlineLevel="0" collapsed="false">
      <c r="A10" s="311" t="s">
        <v>309</v>
      </c>
      <c r="B10" s="311" t="s">
        <v>1250</v>
      </c>
      <c r="C10" s="311" t="s">
        <v>418</v>
      </c>
      <c r="D10" s="311" t="s">
        <v>1251</v>
      </c>
      <c r="E10" s="311" t="s">
        <v>1252</v>
      </c>
      <c r="F10" s="311" t="s">
        <v>421</v>
      </c>
      <c r="G10" s="311"/>
      <c r="H10" s="311" t="s">
        <v>483</v>
      </c>
    </row>
    <row r="11" customFormat="false" ht="19.5" hidden="false" customHeight="true" outlineLevel="0" collapsed="false">
      <c r="A11" s="312" t="n">
        <v>1.0</v>
      </c>
      <c r="B11" s="313" t="str">
        <f aca="false">'METRADO LLORADEROS'!B7&amp;": "&amp;'METRADO LLORADEROS'!C7</f>
        <v>EJE 01: 0+013.50 a 0+019.00</v>
      </c>
      <c r="C11" s="315" t="str">
        <f aca="false">'METRADO LLORADEROS'!D7</f>
        <v>LADO ESTE</v>
      </c>
      <c r="D11" s="271" t="n">
        <f aca="false">'METRADO LLORADEROS'!E7</f>
        <v>5.5</v>
      </c>
      <c r="E11" s="271" t="n">
        <f aca="false">'METRADO LLORADEROS'!F7</f>
        <v>1.5</v>
      </c>
      <c r="F11" s="271" t="n">
        <f aca="false">'METRADO LLORADEROS'!G7</f>
        <v>4.0</v>
      </c>
      <c r="G11" s="314"/>
      <c r="H11" s="313" t="s">
        <v>1253</v>
      </c>
    </row>
    <row r="12" customFormat="false" ht="19.5" hidden="false" customHeight="true" outlineLevel="0" collapsed="false">
      <c r="A12" s="312" t="n">
        <v>2.0</v>
      </c>
      <c r="B12" s="313" t="str">
        <f aca="false">'METRADO LLORADEROS'!B8&amp;": "&amp;'METRADO LLORADEROS'!C8</f>
        <v>EJE 01: 0+054.75 a 0+077.25</v>
      </c>
      <c r="C12" s="315" t="str">
        <f aca="false">'METRADO LLORADEROS'!D8</f>
        <v>LADO ESTE</v>
      </c>
      <c r="D12" s="271" t="n">
        <f aca="false">'METRADO LLORADEROS'!E8</f>
        <v>22.5</v>
      </c>
      <c r="E12" s="271" t="n">
        <f aca="false">'METRADO LLORADEROS'!F8</f>
        <v>1.5</v>
      </c>
      <c r="F12" s="271" t="n">
        <f aca="false">'METRADO LLORADEROS'!G8</f>
        <v>15.0</v>
      </c>
      <c r="G12" s="314"/>
      <c r="H12" s="313" t="s">
        <v>1253</v>
      </c>
    </row>
    <row r="13" customFormat="false" ht="19.5" hidden="false" customHeight="true" outlineLevel="0" collapsed="false">
      <c r="A13" s="312" t="n">
        <v>3.0</v>
      </c>
      <c r="B13" s="313" t="str">
        <f aca="false">'METRADO LLORADEROS'!B9&amp;": "&amp;'METRADO LLORADEROS'!C9</f>
        <v>EJE 01: 0+080.75 a 0+111.53</v>
      </c>
      <c r="C13" s="315" t="str">
        <f aca="false">'METRADO LLORADEROS'!D9</f>
        <v>LADO ESTE</v>
      </c>
      <c r="D13" s="271" t="n">
        <f aca="false">'METRADO LLORADEROS'!E9</f>
        <v>30.78</v>
      </c>
      <c r="E13" s="271" t="n">
        <f aca="false">'METRADO LLORADEROS'!F9</f>
        <v>1.5</v>
      </c>
      <c r="F13" s="271" t="n">
        <f aca="false">'METRADO LLORADEROS'!G9</f>
        <v>21.0</v>
      </c>
      <c r="G13" s="314"/>
      <c r="H13" s="313" t="s">
        <v>1253</v>
      </c>
    </row>
    <row r="14" customFormat="false" ht="19.5" hidden="false" customHeight="true" outlineLevel="0" collapsed="false">
      <c r="A14" s="312" t="n">
        <v>4.0</v>
      </c>
      <c r="B14" s="313" t="str">
        <f aca="false">'METRADO LLORADEROS'!B10&amp;": "&amp;'METRADO LLORADEROS'!C10</f>
        <v>EJE 02: 0+000.00 a 0+013.25</v>
      </c>
      <c r="C14" s="315" t="str">
        <f aca="false">'METRADO LLORADEROS'!D10</f>
        <v>LADO ESTE</v>
      </c>
      <c r="D14" s="271" t="n">
        <f aca="false">'METRADO LLORADEROS'!E10</f>
        <v>13.25</v>
      </c>
      <c r="E14" s="271" t="n">
        <f aca="false">'METRADO LLORADEROS'!F10</f>
        <v>1.5</v>
      </c>
      <c r="F14" s="271" t="n">
        <f aca="false">'METRADO LLORADEROS'!G10</f>
        <v>9.0</v>
      </c>
      <c r="G14" s="314"/>
      <c r="H14" s="313" t="s">
        <v>1253</v>
      </c>
    </row>
    <row r="15" customFormat="false" ht="19.5" hidden="false" customHeight="true" outlineLevel="0" collapsed="false">
      <c r="A15" s="312" t="n">
        <v>5.0</v>
      </c>
      <c r="B15" s="313" t="str">
        <f aca="false">'METRADO LLORADEROS'!B11&amp;": "&amp;'METRADO LLORADEROS'!C11</f>
        <v>EJE 02: 0+021.00 a 0+023.03</v>
      </c>
      <c r="C15" s="315" t="str">
        <f aca="false">'METRADO LLORADEROS'!D11</f>
        <v>LADO OESTE</v>
      </c>
      <c r="D15" s="271" t="n">
        <f aca="false">'METRADO LLORADEROS'!E11</f>
        <v>2.03</v>
      </c>
      <c r="E15" s="271" t="n">
        <f aca="false">'METRADO LLORADEROS'!F11</f>
        <v>1.5</v>
      </c>
      <c r="F15" s="271" t="n">
        <f aca="false">'METRADO LLORADEROS'!G11</f>
        <v>2.0</v>
      </c>
      <c r="G15" s="314"/>
      <c r="H15" s="313" t="s">
        <v>1253</v>
      </c>
    </row>
    <row r="16" customFormat="false" ht="19.5" hidden="false" customHeight="true" outlineLevel="0" collapsed="false">
      <c r="A16" s="312" t="n">
        <v>6.0</v>
      </c>
      <c r="B16" s="313" t="str">
        <f aca="false">'METRADO LLORADEROS'!B12&amp;": "&amp;'METRADO LLORADEROS'!C12</f>
        <v>EJE 02: 0+023.03 a 0+033.78</v>
      </c>
      <c r="C16" s="315" t="str">
        <f aca="false">'METRADO LLORADEROS'!D12</f>
        <v>LADO SUR</v>
      </c>
      <c r="D16" s="271" t="n">
        <f aca="false">'METRADO LLORADEROS'!E12</f>
        <v>10.75</v>
      </c>
      <c r="E16" s="271" t="n">
        <f aca="false">'METRADO LLORADEROS'!F12</f>
        <v>1.5</v>
      </c>
      <c r="F16" s="271" t="n">
        <f aca="false">'METRADO LLORADEROS'!G12</f>
        <v>8.0</v>
      </c>
      <c r="G16" s="314"/>
      <c r="H16" s="313" t="s">
        <v>1253</v>
      </c>
    </row>
    <row r="17" customFormat="false" ht="19.5" hidden="false" customHeight="true" outlineLevel="0" collapsed="false">
      <c r="A17" s="312" t="n">
        <v>7.0</v>
      </c>
      <c r="B17" s="313" t="str">
        <f aca="false">'METRADO LLORADEROS'!B13&amp;": "&amp;'METRADO LLORADEROS'!C13</f>
        <v>EJE 03: 0+000.00 a 0+005.50</v>
      </c>
      <c r="C17" s="315" t="str">
        <f aca="false">'METRADO LLORADEROS'!D13</f>
        <v>LADO OESTE</v>
      </c>
      <c r="D17" s="271" t="n">
        <f aca="false">'METRADO LLORADEROS'!E13</f>
        <v>5.5</v>
      </c>
      <c r="E17" s="271" t="n">
        <f aca="false">'METRADO LLORADEROS'!F13</f>
        <v>1.5</v>
      </c>
      <c r="F17" s="271" t="n">
        <f aca="false">'METRADO LLORADEROS'!G13</f>
        <v>4.0</v>
      </c>
      <c r="G17" s="314"/>
      <c r="H17" s="313" t="s">
        <v>1253</v>
      </c>
    </row>
    <row r="18" customFormat="false" ht="19.5" hidden="false" customHeight="true" outlineLevel="0" collapsed="false">
      <c r="A18" s="312" t="n">
        <v>8.0</v>
      </c>
      <c r="B18" s="313" t="str">
        <f aca="false">'METRADO LLORADEROS'!B14&amp;": "&amp;'METRADO LLORADEROS'!C14</f>
        <v>EJE 03: 0+007.00 a 0+015.48</v>
      </c>
      <c r="C18" s="315" t="str">
        <f aca="false">'METRADO LLORADEROS'!D14</f>
        <v>LADO OESTE</v>
      </c>
      <c r="D18" s="271" t="n">
        <f aca="false">'METRADO LLORADEROS'!E14</f>
        <v>8.48</v>
      </c>
      <c r="E18" s="271" t="n">
        <f aca="false">'METRADO LLORADEROS'!F14</f>
        <v>1.5</v>
      </c>
      <c r="F18" s="271" t="n">
        <f aca="false">'METRADO LLORADEROS'!G14</f>
        <v>6.0</v>
      </c>
      <c r="G18" s="314"/>
      <c r="H18" s="313" t="s">
        <v>1253</v>
      </c>
    </row>
    <row r="19" customFormat="false" ht="19.5" hidden="false" customHeight="true" outlineLevel="0" collapsed="false">
      <c r="A19" s="312" t="n">
        <v>9.0</v>
      </c>
      <c r="B19" s="313" t="str">
        <f aca="false">'METRADO LLORADEROS'!B15&amp;": "&amp;'METRADO LLORADEROS'!C15</f>
        <v>EJE 03: 0+017.73 a 0+021.48</v>
      </c>
      <c r="C19" s="315" t="str">
        <f aca="false">'METRADO LLORADEROS'!D15</f>
        <v>LADO SUR</v>
      </c>
      <c r="D19" s="271" t="n">
        <f aca="false">'METRADO LLORADEROS'!E15</f>
        <v>3.75</v>
      </c>
      <c r="E19" s="271" t="n">
        <f aca="false">'METRADO LLORADEROS'!F15</f>
        <v>1.5</v>
      </c>
      <c r="F19" s="271" t="n">
        <f aca="false">'METRADO LLORADEROS'!G15</f>
        <v>3.0</v>
      </c>
      <c r="G19" s="314"/>
      <c r="H19" s="313" t="s">
        <v>1253</v>
      </c>
    </row>
    <row r="20" customFormat="false" ht="19.5" hidden="false" customHeight="true" outlineLevel="0" collapsed="false">
      <c r="A20" s="312" t="n">
        <v>10.0</v>
      </c>
      <c r="B20" s="313" t="str">
        <f aca="false">'METRADO LLORADEROS'!B16&amp;": "&amp;'METRADO LLORADEROS'!C16</f>
        <v>EJE 04: 0+020.50 a 0+024.25</v>
      </c>
      <c r="C20" s="315" t="str">
        <f aca="false">'METRADO LLORADEROS'!D16</f>
        <v>LADO ESTE</v>
      </c>
      <c r="D20" s="271" t="n">
        <f aca="false">'METRADO LLORADEROS'!E16</f>
        <v>3.75</v>
      </c>
      <c r="E20" s="271" t="n">
        <f aca="false">'METRADO LLORADEROS'!F16</f>
        <v>1.5</v>
      </c>
      <c r="F20" s="271" t="n">
        <f aca="false">'METRADO LLORADEROS'!G16</f>
        <v>3.0</v>
      </c>
      <c r="G20" s="314"/>
      <c r="H20" s="313" t="s">
        <v>1253</v>
      </c>
    </row>
    <row r="21" customFormat="false" ht="19.5" hidden="false" customHeight="true" outlineLevel="0" collapsed="false">
      <c r="A21" s="312" t="n">
        <v>11.0</v>
      </c>
      <c r="B21" s="313" t="str">
        <f aca="false">'METRADO LLORADEROS'!B17&amp;": "&amp;'METRADO LLORADEROS'!C17</f>
        <v>EJE 04: 0+034.75 a 0+038.50</v>
      </c>
      <c r="C21" s="315" t="str">
        <f aca="false">'METRADO LLORADEROS'!D17</f>
        <v>LADO ESTE</v>
      </c>
      <c r="D21" s="271" t="n">
        <f aca="false">'METRADO LLORADEROS'!E17</f>
        <v>3.75</v>
      </c>
      <c r="E21" s="271" t="n">
        <f aca="false">'METRADO LLORADEROS'!F17</f>
        <v>1.5</v>
      </c>
      <c r="F21" s="271" t="n">
        <f aca="false">'METRADO LLORADEROS'!G17</f>
        <v>3.0</v>
      </c>
      <c r="G21" s="314"/>
      <c r="H21" s="313" t="s">
        <v>1253</v>
      </c>
    </row>
    <row r="22" customFormat="false" ht="19.5" hidden="false" customHeight="true" outlineLevel="0" collapsed="false">
      <c r="A22" s="312" t="n">
        <v>12.0</v>
      </c>
      <c r="B22" s="313" t="str">
        <f aca="false">'METRADO LLORADEROS'!B18&amp;": "&amp;'METRADO LLORADEROS'!C18</f>
        <v>EJE 04: 0+045.00 a 0+048.75</v>
      </c>
      <c r="C22" s="315" t="str">
        <f aca="false">'METRADO LLORADEROS'!D18</f>
        <v>LADO ESTE</v>
      </c>
      <c r="D22" s="271" t="n">
        <f aca="false">'METRADO LLORADEROS'!E18</f>
        <v>3.75</v>
      </c>
      <c r="E22" s="271" t="n">
        <f aca="false">'METRADO LLORADEROS'!F18</f>
        <v>1.5</v>
      </c>
      <c r="F22" s="271" t="n">
        <f aca="false">'METRADO LLORADEROS'!G18</f>
        <v>3.0</v>
      </c>
      <c r="G22" s="314"/>
      <c r="H22" s="313" t="s">
        <v>1253</v>
      </c>
    </row>
    <row r="23" customFormat="false" ht="19.5" hidden="false" customHeight="true" outlineLevel="0" collapsed="false">
      <c r="A23" s="312" t="n">
        <v>13.0</v>
      </c>
      <c r="B23" s="313" t="str">
        <f aca="false">'METRADO LLORADEROS'!B19&amp;": "&amp;'METRADO LLORADEROS'!C19</f>
        <v>EJE 04: 0+086.00 a 0+102.31</v>
      </c>
      <c r="C23" s="315" t="str">
        <f aca="false">'METRADO LLORADEROS'!D19</f>
        <v>LADO ESTE</v>
      </c>
      <c r="D23" s="271" t="n">
        <f aca="false">'METRADO LLORADEROS'!E19</f>
        <v>16.31</v>
      </c>
      <c r="E23" s="271" t="n">
        <f aca="false">'METRADO LLORADEROS'!F19</f>
        <v>1.5</v>
      </c>
      <c r="F23" s="271" t="n">
        <f aca="false">'METRADO LLORADEROS'!G19</f>
        <v>11.0</v>
      </c>
      <c r="G23" s="314"/>
      <c r="H23" s="313" t="s">
        <v>1253</v>
      </c>
    </row>
    <row r="24" customFormat="false" ht="19.5" hidden="false" customHeight="true" outlineLevel="0" collapsed="false">
      <c r="A24" s="312" t="n">
        <v>14.0</v>
      </c>
      <c r="B24" s="313" t="str">
        <f aca="false">'METRADO LLORADEROS'!B20&amp;": "&amp;'METRADO LLORADEROS'!C20</f>
        <v>EJE 04: 0+013.50 a 0+019.25</v>
      </c>
      <c r="C24" s="315" t="str">
        <f aca="false">'METRADO LLORADEROS'!D20</f>
        <v>LADO OESTE</v>
      </c>
      <c r="D24" s="271" t="n">
        <f aca="false">'METRADO LLORADEROS'!E20</f>
        <v>5.75</v>
      </c>
      <c r="E24" s="271" t="n">
        <f aca="false">'METRADO LLORADEROS'!F20</f>
        <v>1.5</v>
      </c>
      <c r="F24" s="271" t="n">
        <f aca="false">'METRADO LLORADEROS'!G20</f>
        <v>4.0</v>
      </c>
      <c r="G24" s="314"/>
      <c r="H24" s="313" t="s">
        <v>1253</v>
      </c>
    </row>
    <row r="25" customFormat="false" ht="19.5" hidden="false" customHeight="true" outlineLevel="0" collapsed="false">
      <c r="A25" s="312" t="n">
        <v>15.0</v>
      </c>
      <c r="B25" s="313" t="str">
        <f aca="false">'METRADO LLORADEROS'!B21&amp;": "&amp;'METRADO LLORADEROS'!C21</f>
        <v>EJE 04: 0+032.75 a 0+047.00</v>
      </c>
      <c r="C25" s="315" t="str">
        <f aca="false">'METRADO LLORADEROS'!D21</f>
        <v>LADO OESTE</v>
      </c>
      <c r="D25" s="271" t="n">
        <f aca="false">'METRADO LLORADEROS'!E21</f>
        <v>14.25</v>
      </c>
      <c r="E25" s="271" t="n">
        <f aca="false">'METRADO LLORADEROS'!F21</f>
        <v>1.5</v>
      </c>
      <c r="F25" s="271" t="n">
        <f aca="false">'METRADO LLORADEROS'!G21</f>
        <v>10.0</v>
      </c>
      <c r="G25" s="314"/>
      <c r="H25" s="313" t="s">
        <v>1253</v>
      </c>
    </row>
    <row r="26" customFormat="false" ht="19.5" hidden="false" customHeight="true" outlineLevel="0" collapsed="false">
      <c r="A26" s="312" t="n">
        <v>16.0</v>
      </c>
      <c r="B26" s="313" t="str">
        <f aca="false">'METRADO LLORADEROS'!B22&amp;": "&amp;'METRADO LLORADEROS'!C22</f>
        <v>EJE 04: 0+057.50 a 0+061.00</v>
      </c>
      <c r="C26" s="315" t="str">
        <f aca="false">'METRADO LLORADEROS'!D22</f>
        <v>LADO OESTE</v>
      </c>
      <c r="D26" s="271" t="n">
        <f aca="false">'METRADO LLORADEROS'!E22</f>
        <v>3.5</v>
      </c>
      <c r="E26" s="271" t="n">
        <f aca="false">'METRADO LLORADEROS'!F22</f>
        <v>1.5</v>
      </c>
      <c r="F26" s="271" t="n">
        <f aca="false">'METRADO LLORADEROS'!G22</f>
        <v>3.0</v>
      </c>
      <c r="G26" s="314"/>
      <c r="H26" s="313" t="s">
        <v>1253</v>
      </c>
    </row>
    <row r="27" customFormat="false" ht="19.5" hidden="false" customHeight="true" outlineLevel="0" collapsed="false">
      <c r="A27" s="312" t="n">
        <v>17.0</v>
      </c>
      <c r="B27" s="313" t="str">
        <f aca="false">'METRADO LLORADEROS'!B23&amp;": "&amp;'METRADO LLORADEROS'!C23</f>
        <v>EJE 04: 0+086.00 a 0+102.31</v>
      </c>
      <c r="C27" s="315" t="str">
        <f aca="false">'METRADO LLORADEROS'!D23</f>
        <v>LADO OESTE</v>
      </c>
      <c r="D27" s="271" t="n">
        <f aca="false">'METRADO LLORADEROS'!E23</f>
        <v>16.31</v>
      </c>
      <c r="E27" s="271" t="n">
        <f aca="false">'METRADO LLORADEROS'!F23</f>
        <v>1.5</v>
      </c>
      <c r="F27" s="271" t="n">
        <f aca="false">'METRADO LLORADEROS'!G23</f>
        <v>11.0</v>
      </c>
      <c r="G27" s="314"/>
      <c r="H27" s="313" t="s">
        <v>1253</v>
      </c>
    </row>
    <row r="28" customFormat="false" ht="19.5" hidden="false" customHeight="true" outlineLevel="0" collapsed="false">
      <c r="A28" s="312" t="n">
        <v>18.0</v>
      </c>
      <c r="B28" s="313" t="str">
        <f aca="false">'METRADO LLORADEROS'!B24&amp;": "&amp;'METRADO LLORADEROS'!C24</f>
        <v>EJE 05: 0+013.75 a 0+019.25</v>
      </c>
      <c r="C28" s="315" t="str">
        <f aca="false">'METRADO LLORADEROS'!D24</f>
        <v>LADO ESTE</v>
      </c>
      <c r="D28" s="271" t="n">
        <f aca="false">'METRADO LLORADEROS'!E24</f>
        <v>5.5</v>
      </c>
      <c r="E28" s="271" t="n">
        <f aca="false">'METRADO LLORADEROS'!F24</f>
        <v>1.5</v>
      </c>
      <c r="F28" s="271" t="n">
        <f aca="false">'METRADO LLORADEROS'!G24</f>
        <v>4.0</v>
      </c>
      <c r="G28" s="314"/>
      <c r="H28" s="313" t="s">
        <v>1253</v>
      </c>
    </row>
    <row r="29" customFormat="false" ht="19.5" hidden="false" customHeight="true" outlineLevel="0" collapsed="false">
      <c r="A29" s="312" t="n">
        <v>19.0</v>
      </c>
      <c r="B29" s="313" t="str">
        <f aca="false">'METRADO LLORADEROS'!B25&amp;": "&amp;'METRADO LLORADEROS'!C25</f>
        <v>EJE 05: 0+032.54 a 0+035.04</v>
      </c>
      <c r="C29" s="315" t="str">
        <f aca="false">'METRADO LLORADEROS'!D25</f>
        <v>LADO SUR</v>
      </c>
      <c r="D29" s="271" t="n">
        <f aca="false">'METRADO LLORADEROS'!E25</f>
        <v>2.5</v>
      </c>
      <c r="E29" s="271" t="n">
        <f aca="false">'METRADO LLORADEROS'!F25</f>
        <v>1.5</v>
      </c>
      <c r="F29" s="271" t="n">
        <f aca="false">'METRADO LLORADEROS'!G25</f>
        <v>2.0</v>
      </c>
      <c r="G29" s="314"/>
      <c r="H29" s="313" t="s">
        <v>1253</v>
      </c>
    </row>
    <row r="30" customFormat="false" ht="19.5" hidden="false" customHeight="true" outlineLevel="0" collapsed="false">
      <c r="A30" s="312" t="n">
        <v>20.0</v>
      </c>
      <c r="B30" s="313" t="str">
        <f aca="false">'METRADO LLORADEROS'!B26&amp;": "&amp;'METRADO LLORADEROS'!C26</f>
        <v>EJE 05: 0+020.50 a 0+024.25</v>
      </c>
      <c r="C30" s="315" t="str">
        <f aca="false">'METRADO LLORADEROS'!D26</f>
        <v>LADO OESTE</v>
      </c>
      <c r="D30" s="271" t="n">
        <f aca="false">'METRADO LLORADEROS'!E26</f>
        <v>3.75</v>
      </c>
      <c r="E30" s="271" t="n">
        <f aca="false">'METRADO LLORADEROS'!F26</f>
        <v>1.5</v>
      </c>
      <c r="F30" s="271" t="n">
        <f aca="false">'METRADO LLORADEROS'!G26</f>
        <v>3.0</v>
      </c>
      <c r="G30" s="314"/>
      <c r="H30" s="313" t="s">
        <v>1253</v>
      </c>
    </row>
    <row r="31" customFormat="false" ht="19.5" hidden="false" customHeight="true" outlineLevel="0" collapsed="false">
      <c r="A31" s="312" t="n">
        <v>21.0</v>
      </c>
      <c r="B31" s="313" t="str">
        <f aca="false">'METRADO LLORADEROS'!B27&amp;": "&amp;'METRADO LLORADEROS'!C27</f>
        <v>EJE 05: 0+027.00 a 0+032.54</v>
      </c>
      <c r="C31" s="315" t="str">
        <f aca="false">'METRADO LLORADEROS'!D27</f>
        <v>LADO OESTE</v>
      </c>
      <c r="D31" s="271" t="n">
        <f aca="false">'METRADO LLORADEROS'!E27</f>
        <v>5.54</v>
      </c>
      <c r="E31" s="271" t="n">
        <f aca="false">'METRADO LLORADEROS'!F27</f>
        <v>1.5</v>
      </c>
      <c r="F31" s="271" t="n">
        <f aca="false">'METRADO LLORADEROS'!G27</f>
        <v>4.0</v>
      </c>
      <c r="G31" s="314"/>
      <c r="H31" s="313" t="s">
        <v>1253</v>
      </c>
    </row>
    <row r="32" customFormat="false" ht="19.5" hidden="false" customHeight="true" outlineLevel="0" collapsed="false">
      <c r="A32" s="312" t="n">
        <v>22.0</v>
      </c>
      <c r="B32" s="313" t="str">
        <f aca="false">'METRADO LLORADEROS'!B28&amp;": "&amp;'METRADO LLORADEROS'!C28</f>
        <v>EJE 05: 0+032.54 a 0+035.04</v>
      </c>
      <c r="C32" s="315" t="str">
        <f aca="false">'METRADO LLORADEROS'!D28</f>
        <v>LADO NORTE</v>
      </c>
      <c r="D32" s="271" t="n">
        <f aca="false">'METRADO LLORADEROS'!E28</f>
        <v>2.5</v>
      </c>
      <c r="E32" s="271" t="n">
        <f aca="false">'METRADO LLORADEROS'!F28</f>
        <v>1.5</v>
      </c>
      <c r="F32" s="271" t="n">
        <f aca="false">'METRADO LLORADEROS'!G28</f>
        <v>2.0</v>
      </c>
      <c r="G32" s="314"/>
      <c r="H32" s="313" t="s">
        <v>1253</v>
      </c>
    </row>
    <row r="33" customFormat="false" ht="19.5" hidden="false" customHeight="true" outlineLevel="0" collapsed="false">
      <c r="A33" s="312" t="n">
        <v>23.0</v>
      </c>
      <c r="B33" s="313" t="str">
        <f aca="false">'METRADO LLORADEROS'!B29&amp;": "&amp;'METRADO LLORADEROS'!C29</f>
        <v>EJE 06: 0+000.00 a 0+034.25</v>
      </c>
      <c r="C33" s="315" t="str">
        <f aca="false">'METRADO LLORADEROS'!D29</f>
        <v>LADO ESTE</v>
      </c>
      <c r="D33" s="271" t="n">
        <f aca="false">'METRADO LLORADEROS'!E29</f>
        <v>34.25</v>
      </c>
      <c r="E33" s="271" t="n">
        <f aca="false">'METRADO LLORADEROS'!F29</f>
        <v>1.5</v>
      </c>
      <c r="F33" s="271" t="n">
        <f aca="false">'METRADO LLORADEROS'!G29</f>
        <v>23.0</v>
      </c>
      <c r="G33" s="314"/>
      <c r="H33" s="313" t="s">
        <v>1253</v>
      </c>
    </row>
    <row r="34" customFormat="false" ht="19.5" hidden="false" customHeight="true" outlineLevel="0" collapsed="false">
      <c r="A34" s="312" t="n">
        <v>24.0</v>
      </c>
      <c r="B34" s="313" t="str">
        <f aca="false">'METRADO LLORADEROS'!B30&amp;": "&amp;'METRADO LLORADEROS'!C30</f>
        <v>EJE 06: 0+083.48 a 0+086.23</v>
      </c>
      <c r="C34" s="315" t="str">
        <f aca="false">'METRADO LLORADEROS'!D30</f>
        <v>LADO ESTE</v>
      </c>
      <c r="D34" s="271" t="n">
        <f aca="false">'METRADO LLORADEROS'!E30</f>
        <v>2.75</v>
      </c>
      <c r="E34" s="271" t="n">
        <f aca="false">'METRADO LLORADEROS'!F30</f>
        <v>1.5</v>
      </c>
      <c r="F34" s="271" t="n">
        <f aca="false">'METRADO LLORADEROS'!G30</f>
        <v>2.0</v>
      </c>
      <c r="G34" s="314"/>
      <c r="H34" s="313" t="s">
        <v>1253</v>
      </c>
    </row>
    <row r="35" customFormat="false" ht="19.5" hidden="false" customHeight="true" outlineLevel="0" collapsed="false">
      <c r="A35" s="312" t="n">
        <v>25.0</v>
      </c>
      <c r="B35" s="313" t="str">
        <f aca="false">'METRADO LLORADEROS'!B31&amp;": "&amp;'METRADO LLORADEROS'!C31</f>
        <v>EJE 06: 0+094.48 a 0+098.69</v>
      </c>
      <c r="C35" s="315" t="str">
        <f aca="false">'METRADO LLORADEROS'!D31</f>
        <v>LADO ESTE</v>
      </c>
      <c r="D35" s="271" t="n">
        <f aca="false">'METRADO LLORADEROS'!E31</f>
        <v>4.21</v>
      </c>
      <c r="E35" s="271" t="n">
        <f aca="false">'METRADO LLORADEROS'!F31</f>
        <v>1.5</v>
      </c>
      <c r="F35" s="271" t="n">
        <f aca="false">'METRADO LLORADEROS'!G31</f>
        <v>3.0</v>
      </c>
      <c r="G35" s="314"/>
      <c r="H35" s="313" t="s">
        <v>1253</v>
      </c>
    </row>
    <row r="36" customFormat="false" ht="19.5" hidden="false" customHeight="true" outlineLevel="0" collapsed="false">
      <c r="A36" s="312" t="n">
        <v>26.0</v>
      </c>
      <c r="B36" s="313" t="str">
        <f aca="false">'METRADO LLORADEROS'!B32&amp;": "&amp;'METRADO LLORADEROS'!C32</f>
        <v>EJE 06: 0+013.75 a 0+019.25</v>
      </c>
      <c r="C36" s="315" t="str">
        <f aca="false">'METRADO LLORADEROS'!D32</f>
        <v>LADO OESTE</v>
      </c>
      <c r="D36" s="271" t="n">
        <f aca="false">'METRADO LLORADEROS'!E32</f>
        <v>5.5</v>
      </c>
      <c r="E36" s="271" t="n">
        <f aca="false">'METRADO LLORADEROS'!F32</f>
        <v>1.5</v>
      </c>
      <c r="F36" s="271" t="n">
        <f aca="false">'METRADO LLORADEROS'!G32</f>
        <v>4.0</v>
      </c>
      <c r="G36" s="314"/>
      <c r="H36" s="313" t="s">
        <v>1253</v>
      </c>
    </row>
    <row r="37" customFormat="false" ht="19.5" hidden="false" customHeight="true" outlineLevel="0" collapsed="false">
      <c r="A37" s="312" t="n">
        <v>27.0</v>
      </c>
      <c r="B37" s="313" t="str">
        <f aca="false">'METRADO LLORADEROS'!B33&amp;": "&amp;'METRADO LLORADEROS'!C33</f>
        <v>EJE 06: 0+034.25 a 0+042.73</v>
      </c>
      <c r="C37" s="315" t="str">
        <f aca="false">'METRADO LLORADEROS'!D33</f>
        <v>LADO NORTE</v>
      </c>
      <c r="D37" s="271" t="n">
        <f aca="false">'METRADO LLORADEROS'!E33</f>
        <v>8.48</v>
      </c>
      <c r="E37" s="271" t="n">
        <f aca="false">'METRADO LLORADEROS'!F33</f>
        <v>1.5</v>
      </c>
      <c r="F37" s="271" t="n">
        <f aca="false">'METRADO LLORADEROS'!G33</f>
        <v>6.0</v>
      </c>
      <c r="G37" s="314"/>
      <c r="H37" s="313" t="s">
        <v>1253</v>
      </c>
    </row>
    <row r="38" customFormat="false" ht="19.5" hidden="false" customHeight="true" outlineLevel="0" collapsed="false">
      <c r="A38" s="312" t="n">
        <v>28.0</v>
      </c>
      <c r="B38" s="313" t="str">
        <f aca="false">'METRADO LLORADEROS'!B34&amp;": "&amp;'METRADO LLORADEROS'!C34</f>
        <v>EJE 06: 0+042.73 a 0+061.23</v>
      </c>
      <c r="C38" s="315" t="str">
        <f aca="false">'METRADO LLORADEROS'!D34</f>
        <v>LADO OESTE</v>
      </c>
      <c r="D38" s="271" t="n">
        <f aca="false">'METRADO LLORADEROS'!E34</f>
        <v>18.5</v>
      </c>
      <c r="E38" s="271" t="n">
        <f aca="false">'METRADO LLORADEROS'!F34</f>
        <v>1.5</v>
      </c>
      <c r="F38" s="271" t="n">
        <f aca="false">'METRADO LLORADEROS'!G34</f>
        <v>13.0</v>
      </c>
      <c r="G38" s="314"/>
      <c r="H38" s="313" t="s">
        <v>1253</v>
      </c>
    </row>
    <row r="39" customFormat="false" ht="19.5" hidden="false" customHeight="true" outlineLevel="0" collapsed="false">
      <c r="A39" s="312" t="n">
        <v>29.0</v>
      </c>
      <c r="B39" s="313" t="str">
        <f aca="false">'METRADO LLORADEROS'!B35&amp;": "&amp;'METRADO LLORADEROS'!C35</f>
        <v>EJE 06: 0+072.98 a 0+080.73</v>
      </c>
      <c r="C39" s="315" t="str">
        <f aca="false">'METRADO LLORADEROS'!D35</f>
        <v>LADO OESTE</v>
      </c>
      <c r="D39" s="271" t="n">
        <f aca="false">'METRADO LLORADEROS'!E35</f>
        <v>7.75</v>
      </c>
      <c r="E39" s="271" t="n">
        <f aca="false">'METRADO LLORADEROS'!F35</f>
        <v>1.5</v>
      </c>
      <c r="F39" s="271" t="n">
        <f aca="false">'METRADO LLORADEROS'!G35</f>
        <v>6.0</v>
      </c>
      <c r="G39" s="314"/>
      <c r="H39" s="313" t="s">
        <v>1253</v>
      </c>
    </row>
    <row r="40" customFormat="false" ht="19.5" hidden="false" customHeight="true" outlineLevel="0" collapsed="false">
      <c r="A40" s="312" t="n">
        <v>30.0</v>
      </c>
      <c r="B40" s="313" t="str">
        <f aca="false">'METRADO LLORADEROS'!B36&amp;": "&amp;'METRADO LLORADEROS'!C36</f>
        <v>EJE 06: 0+083.48 a 0+086.23</v>
      </c>
      <c r="C40" s="315" t="str">
        <f aca="false">'METRADO LLORADEROS'!D36</f>
        <v>LADO OESTE</v>
      </c>
      <c r="D40" s="271" t="n">
        <f aca="false">'METRADO LLORADEROS'!E36</f>
        <v>2.75</v>
      </c>
      <c r="E40" s="271" t="n">
        <f aca="false">'METRADO LLORADEROS'!F36</f>
        <v>1.5</v>
      </c>
      <c r="F40" s="271" t="n">
        <f aca="false">'METRADO LLORADEROS'!G36</f>
        <v>2.0</v>
      </c>
      <c r="G40" s="314"/>
      <c r="H40" s="313" t="s">
        <v>1253</v>
      </c>
    </row>
    <row r="41" customFormat="false" ht="19.5" hidden="false" customHeight="true" outlineLevel="0" collapsed="false">
      <c r="A41" s="312" t="n">
        <v>31.0</v>
      </c>
      <c r="B41" s="313" t="str">
        <f aca="false">'METRADO LLORADEROS'!B37&amp;": "&amp;'METRADO LLORADEROS'!C37</f>
        <v>EJE 06: 0+094.48 a 0+098.69</v>
      </c>
      <c r="C41" s="315" t="str">
        <f aca="false">'METRADO LLORADEROS'!D37</f>
        <v>LADO OESTE</v>
      </c>
      <c r="D41" s="271" t="n">
        <f aca="false">'METRADO LLORADEROS'!E37</f>
        <v>4.21</v>
      </c>
      <c r="E41" s="271" t="n">
        <f aca="false">'METRADO LLORADEROS'!F37</f>
        <v>1.5</v>
      </c>
      <c r="F41" s="271" t="n">
        <f aca="false">'METRADO LLORADEROS'!G37</f>
        <v>3.0</v>
      </c>
      <c r="G41" s="314"/>
      <c r="H41" s="313" t="s">
        <v>1253</v>
      </c>
    </row>
    <row r="42" customFormat="false" ht="19.5" hidden="false" customHeight="true" outlineLevel="0" collapsed="false">
      <c r="A42" s="312" t="n">
        <v>32.0</v>
      </c>
      <c r="B42" s="313" t="str">
        <f aca="false">'METRADO LLORADEROS'!B38&amp;": "&amp;'METRADO LLORADEROS'!C38</f>
        <v>EJE 07: 0+000.00 a 0+014.93</v>
      </c>
      <c r="C42" s="315" t="str">
        <f aca="false">'METRADO LLORADEROS'!D38</f>
        <v>LADO OESTE</v>
      </c>
      <c r="D42" s="271" t="n">
        <f aca="false">'METRADO LLORADEROS'!E38</f>
        <v>14.93</v>
      </c>
      <c r="E42" s="271" t="n">
        <f aca="false">'METRADO LLORADEROS'!F38</f>
        <v>1.5</v>
      </c>
      <c r="F42" s="271" t="n">
        <f aca="false">'METRADO LLORADEROS'!G38</f>
        <v>10.0</v>
      </c>
      <c r="G42" s="314"/>
      <c r="H42" s="313" t="s">
        <v>1253</v>
      </c>
    </row>
    <row r="43" customFormat="false" ht="19.5" hidden="false" customHeight="true" outlineLevel="0" collapsed="false">
      <c r="A43" s="312" t="n">
        <v>33.0</v>
      </c>
      <c r="B43" s="313" t="str">
        <f aca="false">'METRADO LLORADEROS'!B39&amp;": "&amp;'METRADO LLORADEROS'!C39</f>
        <v>EJE 08: 0+029.50 a 0+035.50</v>
      </c>
      <c r="C43" s="315" t="str">
        <f aca="false">'METRADO LLORADEROS'!D39</f>
        <v>LADO ESTE</v>
      </c>
      <c r="D43" s="271" t="n">
        <f aca="false">'METRADO LLORADEROS'!E39</f>
        <v>6.0</v>
      </c>
      <c r="E43" s="271" t="n">
        <f aca="false">'METRADO LLORADEROS'!F39</f>
        <v>1.5</v>
      </c>
      <c r="F43" s="271" t="n">
        <f aca="false">'METRADO LLORADEROS'!G39</f>
        <v>4.0</v>
      </c>
      <c r="G43" s="314"/>
      <c r="H43" s="313" t="s">
        <v>1253</v>
      </c>
    </row>
    <row r="44" customFormat="false" ht="19.5" hidden="false" customHeight="true" outlineLevel="0" collapsed="false">
      <c r="A44" s="312" t="n">
        <v>34.0</v>
      </c>
      <c r="B44" s="313" t="str">
        <f aca="false">'METRADO LLORADEROS'!B40&amp;": "&amp;'METRADO LLORADEROS'!C40</f>
        <v>EJE 09: 0+000.25 a 0+021.75</v>
      </c>
      <c r="C44" s="315" t="str">
        <f aca="false">'METRADO LLORADEROS'!D40</f>
        <v>LADO OESTE</v>
      </c>
      <c r="D44" s="271" t="n">
        <f aca="false">'METRADO LLORADEROS'!E40</f>
        <v>21.5</v>
      </c>
      <c r="E44" s="271" t="n">
        <f aca="false">'METRADO LLORADEROS'!F40</f>
        <v>1.5</v>
      </c>
      <c r="F44" s="271" t="n">
        <f aca="false">'METRADO LLORADEROS'!G40</f>
        <v>15.0</v>
      </c>
      <c r="G44" s="314"/>
      <c r="H44" s="313" t="s">
        <v>1253</v>
      </c>
    </row>
    <row r="45" customFormat="false" ht="19.5" hidden="false" customHeight="true" outlineLevel="0" collapsed="false">
      <c r="A45" s="317"/>
      <c r="B45" s="310" t="s">
        <v>1254</v>
      </c>
      <c r="C45" s="314"/>
      <c r="D45" s="298" t="n">
        <f aca="false">SUM(D11:D44)</f>
        <v>320.53</v>
      </c>
      <c r="E45" s="314"/>
      <c r="F45" s="298" t="n">
        <f aca="false">SUM(F11:F44)</f>
        <v>226.0</v>
      </c>
      <c r="G45" s="314"/>
      <c r="H45" s="314"/>
    </row>
    <row r="47" customFormat="false" ht="19.5" hidden="false" customHeight="true" outlineLevel="0" collapsed="false">
      <c r="A47" s="310" t="s">
        <v>1255</v>
      </c>
      <c r="B47" s="310"/>
      <c r="C47" s="310"/>
      <c r="D47" s="310"/>
      <c r="E47" s="310"/>
      <c r="F47" s="310"/>
      <c r="G47" s="310"/>
      <c r="H47" s="310"/>
    </row>
    <row r="48" customFormat="false" ht="31.5" hidden="false" customHeight="true" outlineLevel="0" collapsed="false">
      <c r="A48" s="311" t="s">
        <v>309</v>
      </c>
      <c r="B48" s="311" t="s">
        <v>1077</v>
      </c>
      <c r="C48" s="311" t="s">
        <v>170</v>
      </c>
      <c r="D48" s="311" t="s">
        <v>271</v>
      </c>
      <c r="E48" s="311"/>
      <c r="F48" s="311"/>
      <c r="G48" s="311"/>
      <c r="H48" s="311" t="s">
        <v>483</v>
      </c>
    </row>
    <row r="49" customFormat="false" ht="31.5" hidden="false" customHeight="true" outlineLevel="0" collapsed="false">
      <c r="A49" s="312" t="n">
        <v>1.0</v>
      </c>
      <c r="B49" s="313" t="s">
        <v>1256</v>
      </c>
      <c r="C49" s="315" t="s">
        <v>71</v>
      </c>
      <c r="D49" s="321" t="n">
        <v>0.3</v>
      </c>
      <c r="E49" s="314"/>
      <c r="F49" s="314"/>
      <c r="G49" s="314"/>
      <c r="H49" s="313" t="s">
        <v>1257</v>
      </c>
    </row>
    <row r="50" customFormat="false" ht="31.5" hidden="false" customHeight="true" outlineLevel="0" collapsed="false">
      <c r="A50" s="312" t="n">
        <v>2.0</v>
      </c>
      <c r="B50" s="313" t="s">
        <v>1258</v>
      </c>
      <c r="C50" s="315" t="s">
        <v>71</v>
      </c>
      <c r="D50" s="321" t="n">
        <v>0.3</v>
      </c>
      <c r="E50" s="314"/>
      <c r="F50" s="314"/>
      <c r="G50" s="314"/>
      <c r="H50" s="313" t="s">
        <v>1259</v>
      </c>
    </row>
    <row r="51" customFormat="false" ht="31.5" hidden="false" customHeight="true" outlineLevel="0" collapsed="false">
      <c r="A51" s="312" t="n">
        <v>3.0</v>
      </c>
      <c r="B51" s="313" t="s">
        <v>1260</v>
      </c>
      <c r="C51" s="315" t="s">
        <v>60</v>
      </c>
      <c r="D51" s="321" t="n">
        <v>4.0</v>
      </c>
      <c r="E51" s="314"/>
      <c r="F51" s="314"/>
      <c r="G51" s="314"/>
      <c r="H51" s="313" t="s">
        <v>1261</v>
      </c>
    </row>
    <row r="52" customFormat="false" ht="31.5" hidden="false" customHeight="true" outlineLevel="0" collapsed="false">
      <c r="A52" s="312" t="n">
        <v>4.0</v>
      </c>
      <c r="B52" s="313" t="s">
        <v>1262</v>
      </c>
      <c r="C52" s="315" t="s">
        <v>60</v>
      </c>
      <c r="D52" s="321" t="n">
        <v>2.0</v>
      </c>
      <c r="E52" s="314"/>
      <c r="F52" s="314"/>
      <c r="G52" s="314"/>
      <c r="H52" s="313" t="s">
        <v>1263</v>
      </c>
    </row>
    <row r="53" customFormat="false" ht="31.5" hidden="false" customHeight="true" outlineLevel="0" collapsed="false">
      <c r="A53" s="312" t="n">
        <v>5.0</v>
      </c>
      <c r="B53" s="313" t="s">
        <v>1264</v>
      </c>
      <c r="C53" s="315" t="s">
        <v>511</v>
      </c>
      <c r="D53" s="321" t="n">
        <v>0.1</v>
      </c>
      <c r="E53" s="314"/>
      <c r="F53" s="314"/>
      <c r="G53" s="314"/>
      <c r="H53" s="313" t="s">
        <v>1265</v>
      </c>
    </row>
    <row r="54" customFormat="false" ht="31.5" hidden="false" customHeight="true" outlineLevel="0" collapsed="false">
      <c r="A54" s="312" t="n">
        <v>6.0</v>
      </c>
      <c r="B54" s="313" t="s">
        <v>1266</v>
      </c>
      <c r="C54" s="315" t="s">
        <v>511</v>
      </c>
      <c r="D54" s="321" t="n">
        <v>0.1</v>
      </c>
      <c r="E54" s="314"/>
      <c r="F54" s="314"/>
      <c r="G54" s="314"/>
      <c r="H54" s="313" t="s">
        <v>1267</v>
      </c>
    </row>
    <row r="55" customFormat="false" ht="31.5" hidden="false" customHeight="true" outlineLevel="0" collapsed="false">
      <c r="A55" s="312" t="n">
        <v>7.0</v>
      </c>
      <c r="B55" s="313" t="s">
        <v>1268</v>
      </c>
      <c r="C55" s="315" t="s">
        <v>185</v>
      </c>
      <c r="D55" s="321" t="n">
        <v>0.0005</v>
      </c>
      <c r="E55" s="314"/>
      <c r="F55" s="314"/>
      <c r="G55" s="314"/>
      <c r="H55" s="313" t="s">
        <v>1269</v>
      </c>
    </row>
    <row r="57" customFormat="false" ht="19.5" hidden="false" customHeight="true" outlineLevel="0" collapsed="false">
      <c r="A57" s="310" t="s">
        <v>1270</v>
      </c>
      <c r="B57" s="310"/>
      <c r="C57" s="310"/>
      <c r="D57" s="310"/>
      <c r="E57" s="310"/>
      <c r="F57" s="310"/>
      <c r="G57" s="310"/>
      <c r="H57" s="310"/>
    </row>
    <row r="58" customFormat="false" ht="31.5" hidden="false" customHeight="true" outlineLevel="0" collapsed="false">
      <c r="A58" s="311" t="s">
        <v>309</v>
      </c>
      <c r="B58" s="311" t="s">
        <v>970</v>
      </c>
      <c r="C58" s="311" t="s">
        <v>170</v>
      </c>
      <c r="D58" s="311" t="s">
        <v>1271</v>
      </c>
      <c r="E58" s="311" t="s">
        <v>1272</v>
      </c>
      <c r="F58" s="311" t="s">
        <v>169</v>
      </c>
      <c r="G58" s="311"/>
      <c r="H58" s="311" t="s">
        <v>483</v>
      </c>
    </row>
    <row r="59" customFormat="false" ht="31.5" hidden="false" customHeight="true" outlineLevel="0" collapsed="false">
      <c r="A59" s="312" t="n">
        <v>1.0</v>
      </c>
      <c r="B59" s="313" t="s">
        <v>1273</v>
      </c>
      <c r="C59" s="315" t="s">
        <v>71</v>
      </c>
      <c r="D59" s="320" t="n">
        <f aca="false">$D$50</f>
        <v>0.3</v>
      </c>
      <c r="E59" s="271" t="n">
        <f aca="false">+$F$45</f>
        <v>226.0</v>
      </c>
      <c r="F59" s="320" t="n">
        <f aca="false">D59*E59</f>
        <v>67.8</v>
      </c>
      <c r="G59" s="314"/>
      <c r="H59" s="313" t="s">
        <v>1274</v>
      </c>
    </row>
    <row r="60" customFormat="false" ht="31.5" hidden="false" customHeight="true" outlineLevel="0" collapsed="false">
      <c r="A60" s="312" t="n">
        <v>2.0</v>
      </c>
      <c r="B60" s="313" t="s">
        <v>1275</v>
      </c>
      <c r="C60" s="315" t="s">
        <v>60</v>
      </c>
      <c r="D60" s="320" t="n">
        <f aca="false">$D$51*$D$52</f>
        <v>8.0</v>
      </c>
      <c r="E60" s="271" t="n">
        <f aca="false">+$F$45</f>
        <v>226.0</v>
      </c>
      <c r="F60" s="320" t="n">
        <f aca="false">D60*E60</f>
        <v>1808.0</v>
      </c>
      <c r="G60" s="314"/>
      <c r="H60" s="313" t="s">
        <v>1276</v>
      </c>
    </row>
    <row r="61" customFormat="false" ht="31.5" hidden="false" customHeight="true" outlineLevel="0" collapsed="false">
      <c r="A61" s="312" t="n">
        <v>3.0</v>
      </c>
      <c r="B61" s="313" t="s">
        <v>1277</v>
      </c>
      <c r="C61" s="315" t="s">
        <v>185</v>
      </c>
      <c r="D61" s="320" t="n">
        <f aca="false">$D$49^3</f>
        <v>0.027</v>
      </c>
      <c r="E61" s="271" t="n">
        <f aca="false">+$F$45</f>
        <v>226.0</v>
      </c>
      <c r="F61" s="320" t="n">
        <f aca="false">D61*E61</f>
        <v>6.102</v>
      </c>
      <c r="G61" s="314"/>
      <c r="H61" s="313" t="s">
        <v>1278</v>
      </c>
    </row>
    <row r="62" customFormat="false" ht="31.5" hidden="false" customHeight="true" outlineLevel="0" collapsed="false">
      <c r="A62" s="312" t="n">
        <v>4.0</v>
      </c>
      <c r="B62" s="313" t="s">
        <v>1279</v>
      </c>
      <c r="C62" s="315" t="s">
        <v>185</v>
      </c>
      <c r="D62" s="320" t="n">
        <f aca="false">$D$49^3*(1+$D$53)</f>
        <v>0.0297</v>
      </c>
      <c r="E62" s="271" t="n">
        <f aca="false">+$F$45</f>
        <v>226.0</v>
      </c>
      <c r="F62" s="320" t="n">
        <f aca="false">D62*E62</f>
        <v>6.7122</v>
      </c>
      <c r="G62" s="314"/>
      <c r="H62" s="313" t="s">
        <v>1280</v>
      </c>
    </row>
    <row r="63" customFormat="false" ht="31.5" hidden="false" customHeight="true" outlineLevel="0" collapsed="false">
      <c r="A63" s="312" t="n">
        <v>5.0</v>
      </c>
      <c r="B63" s="313" t="s">
        <v>1281</v>
      </c>
      <c r="C63" s="315" t="s">
        <v>186</v>
      </c>
      <c r="D63" s="320" t="n">
        <f aca="false">6*$D$49^2*(1+$D$54)</f>
        <v>0.594</v>
      </c>
      <c r="E63" s="271" t="n">
        <f aca="false">+$F$45</f>
        <v>226.0</v>
      </c>
      <c r="F63" s="320" t="n">
        <f aca="false">D63*E63</f>
        <v>134.244</v>
      </c>
      <c r="G63" s="314"/>
      <c r="H63" s="313" t="s">
        <v>1282</v>
      </c>
    </row>
    <row r="64" customFormat="false" ht="31.5" hidden="false" customHeight="true" outlineLevel="0" collapsed="false">
      <c r="A64" s="312" t="n">
        <v>6.0</v>
      </c>
      <c r="B64" s="313" t="s">
        <v>1268</v>
      </c>
      <c r="C64" s="315" t="s">
        <v>185</v>
      </c>
      <c r="D64" s="320" t="n">
        <f aca="false">$D$55</f>
        <v>0.0005</v>
      </c>
      <c r="E64" s="271" t="n">
        <f aca="false">+$F$45</f>
        <v>226.0</v>
      </c>
      <c r="F64" s="320" t="n">
        <f aca="false">D64*E64</f>
        <v>0.113</v>
      </c>
      <c r="G64" s="314"/>
      <c r="H64" s="313" t="s">
        <v>1283</v>
      </c>
    </row>
    <row r="66" customFormat="false" ht="19.5" hidden="false" customHeight="true" outlineLevel="0" collapsed="false">
      <c r="A66" s="310" t="s">
        <v>1284</v>
      </c>
      <c r="B66" s="310"/>
      <c r="C66" s="310"/>
      <c r="D66" s="310"/>
      <c r="E66" s="310"/>
      <c r="F66" s="310"/>
      <c r="G66" s="310"/>
      <c r="H66" s="310"/>
    </row>
    <row r="67" customFormat="false" ht="19.5" hidden="false" customHeight="true" outlineLevel="0" collapsed="false">
      <c r="A67" s="311"/>
      <c r="B67" s="311" t="s">
        <v>757</v>
      </c>
      <c r="C67" s="311" t="s">
        <v>170</v>
      </c>
      <c r="D67" s="311"/>
      <c r="E67" s="311" t="s">
        <v>1175</v>
      </c>
      <c r="F67" s="311" t="s">
        <v>1285</v>
      </c>
      <c r="G67" s="311" t="s">
        <v>1177</v>
      </c>
      <c r="H67" s="311"/>
    </row>
    <row r="68" customFormat="false" ht="31.5" hidden="false" customHeight="true" outlineLevel="0" collapsed="false">
      <c r="A68" s="317"/>
      <c r="B68" s="313" t="s">
        <v>1286</v>
      </c>
      <c r="C68" s="315" t="s">
        <v>60</v>
      </c>
      <c r="D68" s="314"/>
      <c r="E68" s="320" t="n">
        <f aca="false">+$F$45</f>
        <v>226.0</v>
      </c>
      <c r="F68" s="320" t="n">
        <f aca="false">+RESUMEN!D32</f>
        <v>226.0</v>
      </c>
      <c r="G68" s="312" t="str">
        <f aca="false">IF(ABS(E68-F68)&lt;0.001,"CONFORME","REVISAR")</f>
        <v>CONFORME</v>
      </c>
      <c r="H68" s="314"/>
    </row>
  </sheetData>
  <mergeCells count="14">
    <mergeCell ref="A1:H1"/>
    <mergeCell ref="A2:B2"/>
    <mergeCell ref="C2:H2"/>
    <mergeCell ref="A3:B3"/>
    <mergeCell ref="C3:H3"/>
    <mergeCell ref="A4:B4"/>
    <mergeCell ref="C4:H4"/>
    <mergeCell ref="A5:B5"/>
    <mergeCell ref="C5:H5"/>
    <mergeCell ref="A7:H7"/>
    <mergeCell ref="A9:H9"/>
    <mergeCell ref="A47:H47"/>
    <mergeCell ref="A57:H57"/>
    <mergeCell ref="A66:H66"/>
  </mergeCells>
  <printOptions headings="false" gridLines="false" gridLinesSet="true" horizontalCentered="false" verticalCentered="false"/>
  <pageMargins left="0.5" right="0.5" top="0.75" bottom="0.7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L26" activeCellId="0" sqref="L26"/>
    </sheetView>
  </sheetViews>
  <sheetFormatPr defaultColWidth="8.73046875" defaultRowHeight="14.25" zeroHeight="false" outlineLevelRow="0" outlineLevelCol="0"/>
  <cols>
    <col collapsed="false" customWidth="true" hidden="false" outlineLevel="0" max="1" min="1" style="318" width="6"/>
    <col collapsed="false" customWidth="true" hidden="false" outlineLevel="0" max="2" min="2" style="318" width="46"/>
    <col collapsed="false" customWidth="true" hidden="false" outlineLevel="0" max="3" min="3" style="318" width="8"/>
    <col collapsed="false" customWidth="true" hidden="false" outlineLevel="0" max="7" min="4" style="318" width="14"/>
    <col collapsed="false" customWidth="true" hidden="false" outlineLevel="0" max="8" min="8" style="318" width="44"/>
  </cols>
  <sheetData>
    <row r="1" customFormat="false" ht="27" hidden="false" customHeight="true" outlineLevel="0" collapsed="false">
      <c r="A1" s="306" t="s">
        <v>1287</v>
      </c>
      <c r="B1" s="306"/>
      <c r="C1" s="306"/>
      <c r="D1" s="306"/>
      <c r="E1" s="306"/>
      <c r="F1" s="306"/>
      <c r="G1" s="306"/>
      <c r="H1" s="306"/>
    </row>
    <row r="2" customFormat="false" ht="24.75" hidden="false" customHeight="true" outlineLevel="0" collapsed="false">
      <c r="A2" s="307" t="s">
        <v>1</v>
      </c>
      <c r="B2" s="307"/>
      <c r="C2" s="308" t="str">
        <f aca="false">+RESUMEN!B4</f>
        <v>GERENCIA TERRITORIAL BAJO MAYO - TARAPOTO</v>
      </c>
      <c r="D2" s="308"/>
      <c r="E2" s="308"/>
      <c r="F2" s="308"/>
      <c r="G2" s="308"/>
      <c r="H2" s="308"/>
    </row>
    <row r="3" customFormat="false" ht="58.5" hidden="false" customHeight="true" outlineLevel="0" collapsed="false">
      <c r="A3" s="307" t="s">
        <v>3</v>
      </c>
      <c r="B3" s="307"/>
      <c r="C3" s="308" t="str">
        <f aca="false">+RESUMEN!B5</f>
        <v>CREACIÓN DEL SERVICIO DE PROTECCIÓN INTEGRAL A NIÑAS, NIÑOS Y ADOLESCENTES SIN CUIDADOS PARENTALES O EN RIESGO DE PERDERLOS EN CENTRO DE ACOGIDA RESIDENCIAL - VARONES DISTRITO DE MORALES DE LA PROVINCIA DE SAN MARTÍN DEL DEPARTAMENTO DE SAN MARTÍN, con CUI N.° 2705619</v>
      </c>
      <c r="D3" s="308"/>
      <c r="E3" s="308"/>
      <c r="F3" s="308"/>
      <c r="G3" s="308"/>
      <c r="H3" s="308"/>
    </row>
    <row r="4" customFormat="false" ht="24.75" hidden="false" customHeight="true" outlineLevel="0" collapsed="false">
      <c r="A4" s="307" t="s">
        <v>5</v>
      </c>
      <c r="B4" s="307"/>
      <c r="C4" s="308" t="str">
        <f aca="false">+RESUMEN!B6</f>
        <v>SAN MARTIN - SAN MARTIN - MORALES</v>
      </c>
      <c r="D4" s="308"/>
      <c r="E4" s="308"/>
      <c r="F4" s="308"/>
      <c r="G4" s="308"/>
      <c r="H4" s="308"/>
    </row>
    <row r="5" customFormat="false" ht="24.75" hidden="false" customHeight="true" outlineLevel="0" collapsed="false">
      <c r="A5" s="307" t="s">
        <v>7</v>
      </c>
      <c r="B5" s="307"/>
      <c r="C5" s="266" t="n">
        <f aca="false">+RESUMEN!B7</f>
        <v>0</v>
      </c>
      <c r="D5" s="266"/>
      <c r="E5" s="266"/>
      <c r="F5" s="266"/>
      <c r="G5" s="266"/>
      <c r="H5" s="266"/>
    </row>
    <row r="7" customFormat="false" ht="66" hidden="false" customHeight="true" outlineLevel="0" collapsed="false">
      <c r="A7" s="309" t="s">
        <v>1288</v>
      </c>
      <c r="B7" s="309"/>
      <c r="C7" s="309"/>
      <c r="D7" s="309"/>
      <c r="E7" s="309"/>
      <c r="F7" s="309"/>
      <c r="G7" s="309"/>
      <c r="H7" s="309"/>
    </row>
    <row r="9" customFormat="false" ht="19.5" hidden="false" customHeight="true" outlineLevel="0" collapsed="false">
      <c r="A9" s="310" t="s">
        <v>1289</v>
      </c>
      <c r="B9" s="310"/>
      <c r="C9" s="310"/>
      <c r="D9" s="310"/>
      <c r="E9" s="310"/>
      <c r="F9" s="310"/>
      <c r="G9" s="310"/>
      <c r="H9" s="310"/>
    </row>
    <row r="10" customFormat="false" ht="31.5" hidden="false" customHeight="true" outlineLevel="0" collapsed="false">
      <c r="A10" s="311" t="s">
        <v>309</v>
      </c>
      <c r="B10" s="311" t="s">
        <v>917</v>
      </c>
      <c r="C10" s="311" t="s">
        <v>170</v>
      </c>
      <c r="D10" s="311" t="s">
        <v>271</v>
      </c>
      <c r="E10" s="311"/>
      <c r="F10" s="311"/>
      <c r="G10" s="311"/>
      <c r="H10" s="311" t="s">
        <v>483</v>
      </c>
    </row>
    <row r="11" customFormat="false" ht="31.5" hidden="false" customHeight="true" outlineLevel="0" collapsed="false">
      <c r="A11" s="312" t="n">
        <v>1.0</v>
      </c>
      <c r="B11" s="313" t="s">
        <v>1290</v>
      </c>
      <c r="C11" s="315" t="s">
        <v>60</v>
      </c>
      <c r="D11" s="320" t="n">
        <f aca="false">'DESAGREGADO LLORADEROS'!F45</f>
        <v>226.0</v>
      </c>
      <c r="E11" s="314"/>
      <c r="F11" s="314"/>
      <c r="G11" s="314"/>
      <c r="H11" s="313" t="s">
        <v>1327</v>
      </c>
    </row>
    <row r="12" customFormat="false" ht="31.5" hidden="false" customHeight="true" outlineLevel="0" collapsed="false">
      <c r="A12" s="312" t="n">
        <v>2.0</v>
      </c>
      <c r="B12" s="313" t="s">
        <v>1292</v>
      </c>
      <c r="C12" s="315" t="s">
        <v>71</v>
      </c>
      <c r="D12" s="320" t="n">
        <f aca="false">'DESAGREGADO LLORADEROS'!D59</f>
        <v>0.3</v>
      </c>
      <c r="E12" s="314"/>
      <c r="F12" s="314"/>
      <c r="G12" s="314"/>
      <c r="H12" s="313" t="s">
        <v>1328</v>
      </c>
    </row>
    <row r="13" customFormat="false" ht="31.5" hidden="false" customHeight="true" outlineLevel="0" collapsed="false">
      <c r="A13" s="312" t="n">
        <v>3.0</v>
      </c>
      <c r="B13" s="313" t="s">
        <v>1294</v>
      </c>
      <c r="C13" s="315" t="s">
        <v>511</v>
      </c>
      <c r="D13" s="321" t="n">
        <v>0.05</v>
      </c>
      <c r="E13" s="314"/>
      <c r="F13" s="314"/>
      <c r="G13" s="314"/>
      <c r="H13" s="313" t="s">
        <v>1265</v>
      </c>
    </row>
    <row r="14" customFormat="false" ht="31.5" hidden="false" customHeight="true" outlineLevel="0" collapsed="false">
      <c r="A14" s="312" t="n">
        <v>4.0</v>
      </c>
      <c r="B14" s="313" t="s">
        <v>1295</v>
      </c>
      <c r="C14" s="315" t="s">
        <v>185</v>
      </c>
      <c r="D14" s="320" t="n">
        <f aca="false">'DESAGREGADO LLORADEROS'!D62</f>
        <v>0.0297</v>
      </c>
      <c r="E14" s="314"/>
      <c r="F14" s="314"/>
      <c r="G14" s="314"/>
      <c r="H14" s="313" t="s">
        <v>1329</v>
      </c>
    </row>
    <row r="15" customFormat="false" ht="31.5" hidden="false" customHeight="true" outlineLevel="0" collapsed="false">
      <c r="A15" s="312" t="n">
        <v>5.0</v>
      </c>
      <c r="B15" s="313" t="s">
        <v>1297</v>
      </c>
      <c r="C15" s="315" t="s">
        <v>186</v>
      </c>
      <c r="D15" s="320" t="n">
        <f aca="false">'DESAGREGADO LLORADEROS'!D63</f>
        <v>0.594</v>
      </c>
      <c r="E15" s="314"/>
      <c r="F15" s="314"/>
      <c r="G15" s="314"/>
      <c r="H15" s="313" t="s">
        <v>1330</v>
      </c>
    </row>
    <row r="16" customFormat="false" ht="31.5" hidden="false" customHeight="true" outlineLevel="0" collapsed="false">
      <c r="A16" s="312" t="n">
        <v>6.0</v>
      </c>
      <c r="B16" s="313" t="s">
        <v>1299</v>
      </c>
      <c r="C16" s="315" t="s">
        <v>511</v>
      </c>
      <c r="D16" s="321" t="n">
        <v>0.05</v>
      </c>
      <c r="E16" s="314"/>
      <c r="F16" s="314"/>
      <c r="G16" s="314"/>
      <c r="H16" s="313" t="s">
        <v>1265</v>
      </c>
    </row>
    <row r="17" customFormat="false" ht="31.5" hidden="false" customHeight="true" outlineLevel="0" collapsed="false">
      <c r="A17" s="312" t="n">
        <v>7.0</v>
      </c>
      <c r="B17" s="313" t="s">
        <v>1268</v>
      </c>
      <c r="C17" s="315" t="s">
        <v>185</v>
      </c>
      <c r="D17" s="320" t="n">
        <f aca="false">'DESAGREGADO LLORADEROS'!D64</f>
        <v>0.0005</v>
      </c>
      <c r="E17" s="314"/>
      <c r="F17" s="314"/>
      <c r="G17" s="314"/>
      <c r="H17" s="313" t="s">
        <v>1331</v>
      </c>
    </row>
    <row r="18" customFormat="false" ht="31.5" hidden="false" customHeight="true" outlineLevel="0" collapsed="false">
      <c r="A18" s="312" t="n">
        <v>8.0</v>
      </c>
      <c r="B18" s="313" t="s">
        <v>1301</v>
      </c>
      <c r="C18" s="315" t="s">
        <v>1302</v>
      </c>
      <c r="D18" s="321" t="n">
        <v>10.5</v>
      </c>
      <c r="E18" s="314"/>
      <c r="F18" s="314"/>
      <c r="G18" s="314"/>
      <c r="H18" s="313" t="s">
        <v>1303</v>
      </c>
    </row>
    <row r="19" customFormat="false" ht="31.5" hidden="false" customHeight="true" outlineLevel="0" collapsed="false">
      <c r="A19" s="312" t="n">
        <v>9.0</v>
      </c>
      <c r="B19" s="313" t="s">
        <v>1304</v>
      </c>
      <c r="C19" s="315" t="s">
        <v>1212</v>
      </c>
      <c r="D19" s="321" t="n">
        <v>1.05</v>
      </c>
      <c r="E19" s="314"/>
      <c r="F19" s="314"/>
      <c r="G19" s="314"/>
      <c r="H19" s="313" t="s">
        <v>1305</v>
      </c>
    </row>
    <row r="20" customFormat="false" ht="31.5" hidden="false" customHeight="true" outlineLevel="0" collapsed="false">
      <c r="A20" s="312" t="n">
        <v>10.0</v>
      </c>
      <c r="B20" s="313" t="s">
        <v>1306</v>
      </c>
      <c r="C20" s="315" t="s">
        <v>1212</v>
      </c>
      <c r="D20" s="321" t="n">
        <v>0.27</v>
      </c>
      <c r="E20" s="314"/>
      <c r="F20" s="314"/>
      <c r="G20" s="314"/>
      <c r="H20" s="313" t="s">
        <v>1303</v>
      </c>
    </row>
    <row r="21" customFormat="false" ht="31.5" hidden="false" customHeight="true" outlineLevel="0" collapsed="false">
      <c r="A21" s="312" t="n">
        <v>11.0</v>
      </c>
      <c r="B21" s="313" t="s">
        <v>1307</v>
      </c>
      <c r="C21" s="315" t="s">
        <v>1308</v>
      </c>
      <c r="D21" s="321" t="n">
        <v>24.0</v>
      </c>
      <c r="E21" s="314"/>
      <c r="F21" s="314"/>
      <c r="G21" s="314"/>
      <c r="H21" s="313" t="s">
        <v>1309</v>
      </c>
    </row>
    <row r="22" customFormat="false" ht="31.5" hidden="false" customHeight="true" outlineLevel="0" collapsed="false">
      <c r="A22" s="312" t="n">
        <v>12.0</v>
      </c>
      <c r="B22" s="313" t="s">
        <v>1310</v>
      </c>
      <c r="C22" s="315" t="s">
        <v>511</v>
      </c>
      <c r="D22" s="321" t="n">
        <v>0.5</v>
      </c>
      <c r="E22" s="314"/>
      <c r="F22" s="314"/>
      <c r="G22" s="314"/>
      <c r="H22" s="313" t="s">
        <v>1311</v>
      </c>
    </row>
    <row r="23" customFormat="false" ht="31.5" hidden="false" customHeight="true" outlineLevel="0" collapsed="false">
      <c r="A23" s="312" t="n">
        <v>13.0</v>
      </c>
      <c r="B23" s="313" t="s">
        <v>1312</v>
      </c>
      <c r="C23" s="315" t="s">
        <v>511</v>
      </c>
      <c r="D23" s="321" t="n">
        <v>1.0</v>
      </c>
      <c r="E23" s="314"/>
      <c r="F23" s="314"/>
      <c r="G23" s="314"/>
      <c r="H23" s="313" t="s">
        <v>1313</v>
      </c>
    </row>
    <row r="25" customFormat="false" ht="19.5" hidden="false" customHeight="true" outlineLevel="0" collapsed="false">
      <c r="A25" s="310" t="s">
        <v>1219</v>
      </c>
      <c r="B25" s="310"/>
      <c r="C25" s="310"/>
      <c r="D25" s="310"/>
      <c r="E25" s="310"/>
      <c r="F25" s="310"/>
      <c r="G25" s="310"/>
      <c r="H25" s="310"/>
    </row>
    <row r="26" customFormat="false" ht="19.5" hidden="false" customHeight="true" outlineLevel="0" collapsed="false">
      <c r="A26" s="310" t="s">
        <v>1035</v>
      </c>
      <c r="B26" s="310"/>
      <c r="C26" s="314" t="s">
        <v>1314</v>
      </c>
      <c r="D26" s="314"/>
      <c r="E26" s="314"/>
      <c r="F26" s="314"/>
      <c r="G26" s="314"/>
      <c r="H26" s="314"/>
    </row>
    <row r="27" customFormat="false" ht="19.5" hidden="false" customHeight="true" outlineLevel="0" collapsed="false">
      <c r="A27" s="310" t="s">
        <v>1037</v>
      </c>
      <c r="B27" s="310"/>
      <c r="C27" s="314" t="s">
        <v>1315</v>
      </c>
      <c r="D27" s="314"/>
      <c r="E27" s="314"/>
      <c r="F27" s="314"/>
      <c r="G27" s="314"/>
      <c r="H27" s="314"/>
    </row>
    <row r="28" customFormat="false" ht="19.5" hidden="false" customHeight="true" outlineLevel="0" collapsed="false">
      <c r="A28" s="310" t="s">
        <v>490</v>
      </c>
      <c r="B28" s="310"/>
      <c r="C28" s="314" t="s">
        <v>60</v>
      </c>
      <c r="D28" s="314"/>
      <c r="E28" s="314"/>
      <c r="F28" s="314"/>
      <c r="G28" s="314"/>
      <c r="H28" s="314"/>
    </row>
    <row r="29" customFormat="false" ht="19.5" hidden="false" customHeight="true" outlineLevel="0" collapsed="false">
      <c r="A29" s="310" t="s">
        <v>1039</v>
      </c>
      <c r="B29" s="310"/>
      <c r="C29" s="271" t="n">
        <f aca="false">'DESAGREGADO LLORADEROS'!F45</f>
        <v>226.0</v>
      </c>
      <c r="D29" s="271"/>
      <c r="E29" s="271"/>
      <c r="F29" s="271"/>
      <c r="G29" s="271"/>
      <c r="H29" s="271"/>
    </row>
    <row r="30" customFormat="false" ht="19.5" hidden="false" customHeight="true" outlineLevel="0" collapsed="false">
      <c r="A30" s="310" t="s">
        <v>1316</v>
      </c>
      <c r="B30" s="310"/>
      <c r="C30" s="271" t="n">
        <f aca="false">$D$21</f>
        <v>24.0</v>
      </c>
      <c r="D30" s="271"/>
      <c r="E30" s="271"/>
      <c r="F30" s="271"/>
      <c r="G30" s="271"/>
      <c r="H30" s="271"/>
    </row>
    <row r="31" customFormat="false" ht="31.5" hidden="false" customHeight="true" outlineLevel="0" collapsed="false">
      <c r="A31" s="311" t="s">
        <v>309</v>
      </c>
      <c r="B31" s="311" t="s">
        <v>1041</v>
      </c>
      <c r="C31" s="311" t="s">
        <v>170</v>
      </c>
      <c r="D31" s="311" t="s">
        <v>1042</v>
      </c>
      <c r="E31" s="311" t="s">
        <v>1317</v>
      </c>
      <c r="F31" s="311" t="s">
        <v>1043</v>
      </c>
      <c r="G31" s="311" t="s">
        <v>998</v>
      </c>
      <c r="H31" s="311" t="s">
        <v>1044</v>
      </c>
    </row>
    <row r="32" customFormat="false" ht="19.5" hidden="false" customHeight="true" outlineLevel="0" collapsed="false">
      <c r="A32" s="317"/>
      <c r="B32" s="310" t="s">
        <v>1045</v>
      </c>
      <c r="C32" s="310"/>
      <c r="D32" s="310"/>
      <c r="E32" s="310"/>
      <c r="F32" s="310"/>
      <c r="G32" s="310"/>
      <c r="H32" s="310"/>
    </row>
    <row r="33" customFormat="false" ht="31.5" hidden="false" customHeight="true" outlineLevel="0" collapsed="false">
      <c r="A33" s="312" t="n">
        <v>1.0</v>
      </c>
      <c r="B33" s="314" t="s">
        <v>810</v>
      </c>
      <c r="C33" s="315" t="s">
        <v>811</v>
      </c>
      <c r="D33" s="320" t="n">
        <f aca="false">E33*$C$30/8</f>
        <v>0.5</v>
      </c>
      <c r="E33" s="320" t="n">
        <f aca="false">$D$22*8/$D$21</f>
        <v>0.166666666666667</v>
      </c>
      <c r="F33" s="271" t="n">
        <f aca="false">'COSTO HORA HOMBRE 2026'!$G$11</f>
        <v>28.95</v>
      </c>
      <c r="G33" s="271" t="n">
        <f aca="false">E33*F33</f>
        <v>4.825</v>
      </c>
      <c r="H33" s="313" t="s">
        <v>1046</v>
      </c>
    </row>
    <row r="34" customFormat="false" ht="31.5" hidden="false" customHeight="true" outlineLevel="0" collapsed="false">
      <c r="A34" s="312" t="n">
        <v>2.0</v>
      </c>
      <c r="B34" s="314" t="s">
        <v>813</v>
      </c>
      <c r="C34" s="315" t="s">
        <v>811</v>
      </c>
      <c r="D34" s="320" t="n">
        <f aca="false">E34*$C$30/8</f>
        <v>1.0</v>
      </c>
      <c r="E34" s="320" t="n">
        <f aca="false">$D$23*8/$D$21</f>
        <v>0.333333333333333</v>
      </c>
      <c r="F34" s="271" t="n">
        <f aca="false">'COSTO HORA HOMBRE 2026'!$G$13</f>
        <v>20.54</v>
      </c>
      <c r="G34" s="271" t="n">
        <f aca="false">E34*F34</f>
        <v>6.84666666666667</v>
      </c>
      <c r="H34" s="313" t="s">
        <v>1046</v>
      </c>
    </row>
    <row r="35" customFormat="false" ht="19.5" hidden="false" customHeight="true" outlineLevel="0" collapsed="false">
      <c r="A35" s="317"/>
      <c r="B35" s="310" t="s">
        <v>1047</v>
      </c>
      <c r="C35" s="314"/>
      <c r="D35" s="314"/>
      <c r="E35" s="314"/>
      <c r="F35" s="314"/>
      <c r="G35" s="298" t="n">
        <f aca="false">SUM(G33:G34)</f>
        <v>11.6716666666667</v>
      </c>
      <c r="H35" s="314"/>
    </row>
    <row r="36" customFormat="false" ht="19.5" hidden="false" customHeight="true" outlineLevel="0" collapsed="false">
      <c r="A36" s="317"/>
      <c r="B36" s="310" t="s">
        <v>1048</v>
      </c>
      <c r="C36" s="310"/>
      <c r="D36" s="310"/>
      <c r="E36" s="310"/>
      <c r="F36" s="310"/>
      <c r="G36" s="310"/>
      <c r="H36" s="310"/>
    </row>
    <row r="37" customFormat="false" ht="31.5" hidden="false" customHeight="true" outlineLevel="0" collapsed="false">
      <c r="A37" s="312" t="n">
        <v>3.0</v>
      </c>
      <c r="B37" s="314" t="s">
        <v>1318</v>
      </c>
      <c r="C37" s="315" t="s">
        <v>71</v>
      </c>
      <c r="D37" s="314"/>
      <c r="E37" s="320" t="n">
        <f aca="false">$D$12*(1+$D$13)</f>
        <v>0.315</v>
      </c>
      <c r="F37" s="271" t="n">
        <f aca="false">39.9/1.18/3</f>
        <v>11.271186440678</v>
      </c>
      <c r="G37" s="271" t="n">
        <f aca="false">E37*F37</f>
        <v>3.55042372881356</v>
      </c>
      <c r="H37" s="313" t="s">
        <v>1319</v>
      </c>
    </row>
    <row r="38" customFormat="false" ht="31.5" hidden="false" customHeight="true" outlineLevel="0" collapsed="false">
      <c r="A38" s="312" t="n">
        <v>4.0</v>
      </c>
      <c r="B38" s="314" t="s">
        <v>1320</v>
      </c>
      <c r="C38" s="315" t="s">
        <v>185</v>
      </c>
      <c r="D38" s="314"/>
      <c r="E38" s="320" t="n">
        <f aca="false">$D$14</f>
        <v>0.0297</v>
      </c>
      <c r="F38" s="271" t="n">
        <f aca="false">70.0/1.18</f>
        <v>59.3220338983051</v>
      </c>
      <c r="G38" s="271" t="n">
        <f aca="false">E38*F38</f>
        <v>1.76186440677966</v>
      </c>
      <c r="H38" s="313" t="s">
        <v>1321</v>
      </c>
    </row>
    <row r="39" customFormat="false" ht="31.5" hidden="false" customHeight="true" outlineLevel="0" collapsed="false">
      <c r="A39" s="312" t="n">
        <v>5.0</v>
      </c>
      <c r="B39" s="314" t="s">
        <v>1322</v>
      </c>
      <c r="C39" s="315" t="s">
        <v>186</v>
      </c>
      <c r="D39" s="314"/>
      <c r="E39" s="320" t="n">
        <f aca="false">$D$15*(1+$D$16)</f>
        <v>0.6237</v>
      </c>
      <c r="F39" s="271" t="n">
        <f aca="false">2300.0/400/1.18</f>
        <v>4.8728813559322</v>
      </c>
      <c r="G39" s="271" t="n">
        <f aca="false">E39*F39</f>
        <v>3.03921610169492</v>
      </c>
      <c r="H39" s="313" t="s">
        <v>1323</v>
      </c>
    </row>
    <row r="40" customFormat="false" ht="31.5" hidden="false" customHeight="true" outlineLevel="0" collapsed="false">
      <c r="A40" s="312" t="n">
        <v>6.0</v>
      </c>
      <c r="B40" s="314" t="s">
        <v>802</v>
      </c>
      <c r="C40" s="315" t="s">
        <v>803</v>
      </c>
      <c r="D40" s="314"/>
      <c r="E40" s="320" t="n">
        <f aca="false">$D$17*$D$18</f>
        <v>0.00525</v>
      </c>
      <c r="F40" s="271" t="n">
        <f aca="false">'ACU TAPA REGISTRO'!F76</f>
        <v>30.93</v>
      </c>
      <c r="G40" s="271" t="n">
        <f aca="false">E40*F40</f>
        <v>0.1623825</v>
      </c>
      <c r="H40" s="313" t="s">
        <v>1324</v>
      </c>
    </row>
    <row r="41" customFormat="false" ht="19.5" hidden="false" customHeight="true" outlineLevel="0" collapsed="false">
      <c r="A41" s="312" t="n">
        <v>7.0</v>
      </c>
      <c r="B41" s="314" t="s">
        <v>804</v>
      </c>
      <c r="C41" s="315" t="s">
        <v>185</v>
      </c>
      <c r="D41" s="314"/>
      <c r="E41" s="320" t="n">
        <f aca="false">$D$17*$D$19</f>
        <v>0.000525</v>
      </c>
      <c r="F41" s="271" t="n">
        <f aca="false">'ACU TAPA REGISTRO'!F77</f>
        <v>40.68</v>
      </c>
      <c r="G41" s="271" t="n">
        <f aca="false">E41*F41</f>
        <v>0.021357</v>
      </c>
      <c r="H41" s="313" t="s">
        <v>1229</v>
      </c>
    </row>
    <row r="42" customFormat="false" ht="19.5" hidden="false" customHeight="true" outlineLevel="0" collapsed="false">
      <c r="A42" s="312" t="n">
        <v>8.0</v>
      </c>
      <c r="B42" s="314" t="s">
        <v>806</v>
      </c>
      <c r="C42" s="315" t="s">
        <v>185</v>
      </c>
      <c r="D42" s="314"/>
      <c r="E42" s="320" t="n">
        <f aca="false">$D$17*$D$20</f>
        <v>0.000135</v>
      </c>
      <c r="F42" s="271" t="n">
        <f aca="false">'ACU TAPA REGISTRO'!F79</f>
        <v>8.33</v>
      </c>
      <c r="G42" s="271" t="n">
        <f aca="false">E42*F42</f>
        <v>0.00112455</v>
      </c>
      <c r="H42" s="313" t="s">
        <v>1325</v>
      </c>
    </row>
    <row r="43" customFormat="false" ht="19.5" hidden="false" customHeight="true" outlineLevel="0" collapsed="false">
      <c r="A43" s="317"/>
      <c r="B43" s="310" t="s">
        <v>1062</v>
      </c>
      <c r="C43" s="314"/>
      <c r="D43" s="314"/>
      <c r="E43" s="314"/>
      <c r="F43" s="314"/>
      <c r="G43" s="298" t="n">
        <f aca="false">SUM(G37:G42)</f>
        <v>8.53636828728814</v>
      </c>
      <c r="H43" s="314"/>
    </row>
    <row r="44" customFormat="false" ht="19.5" hidden="false" customHeight="true" outlineLevel="0" collapsed="false">
      <c r="A44" s="317"/>
      <c r="B44" s="310" t="s">
        <v>1063</v>
      </c>
      <c r="C44" s="310"/>
      <c r="D44" s="310"/>
      <c r="E44" s="310"/>
      <c r="F44" s="310"/>
      <c r="G44" s="310"/>
      <c r="H44" s="310"/>
    </row>
    <row r="45" customFormat="false" ht="19.5" hidden="false" customHeight="true" outlineLevel="0" collapsed="false">
      <c r="A45" s="312" t="n">
        <v>9.0</v>
      </c>
      <c r="B45" s="314" t="s">
        <v>827</v>
      </c>
      <c r="C45" s="315" t="s">
        <v>828</v>
      </c>
      <c r="D45" s="314"/>
      <c r="E45" s="322" t="n">
        <v>0.03</v>
      </c>
      <c r="F45" s="271" t="n">
        <f aca="false">+G35</f>
        <v>11.6716666666667</v>
      </c>
      <c r="G45" s="271" t="n">
        <f aca="false">E45*F45</f>
        <v>0.35015</v>
      </c>
      <c r="H45" s="313" t="s">
        <v>1326</v>
      </c>
    </row>
    <row r="46" customFormat="false" ht="19.5" hidden="false" customHeight="true" outlineLevel="0" collapsed="false">
      <c r="A46" s="317"/>
      <c r="B46" s="310" t="s">
        <v>1068</v>
      </c>
      <c r="C46" s="314"/>
      <c r="D46" s="314"/>
      <c r="E46" s="314"/>
      <c r="F46" s="314"/>
      <c r="G46" s="298" t="n">
        <f aca="false">SUM(G45:G45)</f>
        <v>0.35015</v>
      </c>
      <c r="H46" s="314"/>
    </row>
    <row r="47" customFormat="false" ht="21.75" hidden="false" customHeight="true" outlineLevel="0" collapsed="false">
      <c r="A47" s="310" t="s">
        <v>1124</v>
      </c>
      <c r="B47" s="310"/>
      <c r="C47" s="310"/>
      <c r="D47" s="310"/>
      <c r="E47" s="310"/>
      <c r="F47" s="310"/>
      <c r="G47" s="298" t="n">
        <f aca="false">+G35+G43+G46</f>
        <v>20.5581849539548</v>
      </c>
      <c r="H47" s="314"/>
    </row>
    <row r="48" customFormat="false" ht="21.75" hidden="false" customHeight="true" outlineLevel="0" collapsed="false">
      <c r="A48" s="310" t="s">
        <v>1231</v>
      </c>
      <c r="B48" s="310"/>
      <c r="C48" s="310"/>
      <c r="D48" s="310"/>
      <c r="E48" s="310"/>
      <c r="F48" s="310"/>
      <c r="G48" s="298" t="n">
        <f aca="false">G47*C29</f>
        <v>4646.14979959379</v>
      </c>
      <c r="H48" s="314"/>
    </row>
  </sheetData>
  <mergeCells count="27">
    <mergeCell ref="A1:H1"/>
    <mergeCell ref="A2:B2"/>
    <mergeCell ref="C2:H2"/>
    <mergeCell ref="A3:B3"/>
    <mergeCell ref="C3:H3"/>
    <mergeCell ref="A4:B4"/>
    <mergeCell ref="C4:H4"/>
    <mergeCell ref="A5:B5"/>
    <mergeCell ref="C5:H5"/>
    <mergeCell ref="A7:H7"/>
    <mergeCell ref="A9:H9"/>
    <mergeCell ref="A25:H25"/>
    <mergeCell ref="A26:B26"/>
    <mergeCell ref="C26:H26"/>
    <mergeCell ref="A27:B27"/>
    <mergeCell ref="C27:H27"/>
    <mergeCell ref="A28:B28"/>
    <mergeCell ref="C28:H28"/>
    <mergeCell ref="A29:B29"/>
    <mergeCell ref="C29:H29"/>
    <mergeCell ref="A30:B30"/>
    <mergeCell ref="C30:H30"/>
    <mergeCell ref="B32:H32"/>
    <mergeCell ref="B36:H36"/>
    <mergeCell ref="B44:H44"/>
    <mergeCell ref="A47:F47"/>
    <mergeCell ref="A48:F48"/>
  </mergeCells>
  <printOptions headings="false" gridLines="false" gridLinesSet="true" horizontalCentered="false" verticalCentered="false"/>
  <pageMargins left="0.5" right="0.5" top="0.75" bottom="0.7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2025-06-05T14:29:57Z</dcterms:created>
  <dc:creator>MSI SWORD GAMING</dc:creator>
  <dc:description/>
  <dc:language>en-US</dc:language>
  <cp:lastModifiedBy/>
  <cp:lastPrinted>2026-03-10T13:03:41Z</cp:lastPrinted>
  <dcterms:modified xsi:type="dcterms:W3CDTF">2026-10-08T04:30:41Z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