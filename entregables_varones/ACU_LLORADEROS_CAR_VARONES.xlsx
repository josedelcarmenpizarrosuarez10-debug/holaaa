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CU LLORADEROS" sheetId="1" state="visible" r:id="rId3"/>
  </sheets>
  <definedNames>
    <definedName function="false" hidden="false" localSheetId="0" name="_xlnm.Print_Area" vbProcedure="false">'ACU LLORADEROS'!$A$1:$H$46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<sst xmlns="http://schemas.openxmlformats.org/spreadsheetml/2006/main" count="96" uniqueCount="80">
  <si>
    <t xml:space="preserve">ANALISIS DE COSTOS UNITARIOS - LLORADEROS DE PVC Ø3" EN CUNETAS COLINDANTES CON AREA VERDE</t>
  </si>
  <si>
    <t xml:space="preserve">ENTIDAD</t>
  </si>
  <si>
    <t xml:space="preserve">GERENCIA TERRITORIAL BAJO MAYO - TARAPOTO</t>
  </si>
  <si>
    <t xml:space="preserve">PROYECTO</t>
  </si>
  <si>
    <t xml:space="preserve">CREACIÓN DEL SERVICIO DE PROTECCIÓN INTEGRAL A NIÑAS, NIÑOS Y ADOLESCENTES SIN CUIDADOS PARENTALES O EN RIESGO DE PERDERLOS EN CENTRO DE ACOGIDA RESIDENCIAL - VARONES DISTRITO DE MORALES DE LA PROVINCIA DE SAN MARTÍN DEL DEPARTAMENTO DE SAN MARTÍN, con CUI N.° 2705619</t>
  </si>
  <si>
    <t xml:space="preserve">UBICACIÓN</t>
  </si>
  <si>
    <t xml:space="preserve">SAN MARTIN - SAN MARTIN - MORALES</t>
  </si>
  <si>
    <t xml:space="preserve">FECHA</t>
  </si>
  <si>
    <t xml:space="preserve">Analisis de la partida 01.04.03.04.03.04 LLORADERO DE TUBERIA PVC Ø3" C/FILTRO DE GRAVA Y GEOTEXTIL @1.50 m (CUNETA COLINDANTE CON AREA VERDE). Las cantidades salen del detalle de instalacion de lloraderos en cunetas del plano de drenaje (PVC Ø3" @1.50 m, filtro localizado de 0.30 x 0.30 x 0.30 m de grava envuelta en geotextil no tejido) y de la hoja METRADO LLORADEROS. Celda amarilla = dato (cuadrilla, rendimiento, aporte o precio); verde = formula. Precios sin IGV, referenciales: al pasar a Delphin rigen los de la base de precios del presupuesto.</t>
  </si>
  <si>
    <t xml:space="preserve">DATOS DE CALCULO (del detalle del plano y de la especificacion tecnica)</t>
  </si>
  <si>
    <t xml:space="preserve">N°</t>
  </si>
  <si>
    <t xml:space="preserve">DATO</t>
  </si>
  <si>
    <t xml:space="preserve">UND</t>
  </si>
  <si>
    <t xml:space="preserve">VALOR</t>
  </si>
  <si>
    <t xml:space="preserve">SUSTENTO</t>
  </si>
  <si>
    <t xml:space="preserve">Espaciamiento de lloraderos</t>
  </si>
  <si>
    <t xml:space="preserve">m</t>
  </si>
  <si>
    <t xml:space="preserve">Plano: especificacion tecnica de lloraderos (L = 1.50 m)</t>
  </si>
  <si>
    <t xml:space="preserve">Longitud de tubo PVC por lloradero</t>
  </si>
  <si>
    <t xml:space="preserve">Muro de 0.10 m + 0.20 m dentro del filtro</t>
  </si>
  <si>
    <t xml:space="preserve">Lado del filtro localizado (cubo)</t>
  </si>
  <si>
    <t xml:space="preserve">Plano: filtro localizado 0.30 x 0.30 x 0.30</t>
  </si>
  <si>
    <t xml:space="preserve">Volumen de grava por lloradero</t>
  </si>
  <si>
    <t xml:space="preserve">m3</t>
  </si>
  <si>
    <t xml:space="preserve">lado^3</t>
  </si>
  <si>
    <t xml:space="preserve">Area de geotextil por lloradero</t>
  </si>
  <si>
    <t xml:space="preserve">m2</t>
  </si>
  <si>
    <t xml:space="preserve">6 caras del cubo + 10 % de traslapes</t>
  </si>
  <si>
    <t xml:space="preserve">Volumen de excavacion local por lloradero</t>
  </si>
  <si>
    <t xml:space="preserve">hueco del filtro (incluido en la mano de obra)</t>
  </si>
  <si>
    <t xml:space="preserve">Mortero 1:3 de sellado alrededor del tubo</t>
  </si>
  <si>
    <t xml:space="preserve">anillo de 0.02 m alrededor del tubo en las dos caras del muro</t>
  </si>
  <si>
    <t xml:space="preserve">Cemento por m3 de mortero 1:3</t>
  </si>
  <si>
    <t xml:space="preserve">bol/m3</t>
  </si>
  <si>
    <t xml:space="preserve">dosificacion de mortero 1:3</t>
  </si>
  <si>
    <t xml:space="preserve">Arena por m3 de mortero 1:3</t>
  </si>
  <si>
    <t xml:space="preserve">m3/m3</t>
  </si>
  <si>
    <t xml:space="preserve">Desperdicio de grava (compactacion y perdidas)</t>
  </si>
  <si>
    <t xml:space="preserve">-</t>
  </si>
  <si>
    <t xml:space="preserve">criterio de obra</t>
  </si>
  <si>
    <t xml:space="preserve">ACU: 01.04.03.04.03.04 LLORADERO DE TUBERIA PVC Ø3" C/FILTRO DE GRAVA Y GEOTEXTIL @1.50 m (CUNETA COLINDANTE CON AREA VERDE)</t>
  </si>
  <si>
    <t xml:space="preserve">Unidad</t>
  </si>
  <si>
    <t xml:space="preserve">und</t>
  </si>
  <si>
    <t xml:space="preserve">Metrado</t>
  </si>
  <si>
    <t xml:space="preserve">hoja METRADO LLORADEROS de la planilla (RESUMEN 01.04.03.04.03.04)</t>
  </si>
  <si>
    <t xml:space="preserve">Rendimiento (und/dia)</t>
  </si>
  <si>
    <t xml:space="preserve">colocacion del tubo en el encofrado, destapado, excavacion del hueco, geotextil, grava y cierre; cuadrilla 0.5 op + 1 peon</t>
  </si>
  <si>
    <t xml:space="preserve">RECURSO</t>
  </si>
  <si>
    <t xml:space="preserve">CUADRILLA</t>
  </si>
  <si>
    <t xml:space="preserve">CANTIDAD</t>
  </si>
  <si>
    <t xml:space="preserve">PRECIO S/</t>
  </si>
  <si>
    <t xml:space="preserve">PARCIAL S/</t>
  </si>
  <si>
    <t xml:space="preserve">SUSTENTO / FUENTE</t>
  </si>
  <si>
    <t xml:space="preserve">MANO DE OBRA</t>
  </si>
  <si>
    <t xml:space="preserve">Operario</t>
  </si>
  <si>
    <t xml:space="preserve">hh</t>
  </si>
  <si>
    <t xml:space="preserve">CAPECO: costo hora-hombre 2024-2025 llevado al jornal basico 2025-2026</t>
  </si>
  <si>
    <t xml:space="preserve">Peon</t>
  </si>
  <si>
    <t xml:space="preserve">Subtotal mano de obra</t>
  </si>
  <si>
    <t xml:space="preserve">MATERIALES</t>
  </si>
  <si>
    <t xml:space="preserve">Tuberia PVC-U para desague 3" (NTP 399.003)</t>
  </si>
  <si>
    <t xml:space="preserve">L de tubo x 1.05 desperdicio; precio de mercado del tubo de 3 m (referencial, verificar)</t>
  </si>
  <si>
    <t xml:space="preserve">Grava filtrante (ripio) 20-40 mm</t>
  </si>
  <si>
    <t xml:space="preserve">volumen del filtro x desperdicio; precio de la piedra chancada de la base (Mercado Tarapoto 2026, sin IGV (referencial))</t>
  </si>
  <si>
    <t xml:space="preserve">Geotextil no tejido clase 2 (filtro)</t>
  </si>
  <si>
    <t xml:space="preserve">area con traslapes x 1.05 desperdicio; precio de mercado (referencial, verificar)</t>
  </si>
  <si>
    <t xml:space="preserve">Cemento Portland tipo I</t>
  </si>
  <si>
    <t xml:space="preserve">bol</t>
  </si>
  <si>
    <t xml:space="preserve">mortero de sellado; Mercado Tarapoto 2026, sin IGV (referencial)</t>
  </si>
  <si>
    <t xml:space="preserve">Arena gruesa</t>
  </si>
  <si>
    <t xml:space="preserve">Agua</t>
  </si>
  <si>
    <t xml:space="preserve">Subtotal materiales</t>
  </si>
  <si>
    <t xml:space="preserve">EQUIPOS</t>
  </si>
  <si>
    <t xml:space="preserve">Herramientas manuales</t>
  </si>
  <si>
    <t xml:space="preserve">%mo</t>
  </si>
  <si>
    <t xml:space="preserve">3 % del costo de mano de obra</t>
  </si>
  <si>
    <t xml:space="preserve">Subtotal equipos</t>
  </si>
  <si>
    <t xml:space="preserve">COSTO UNITARIO DIRECTO (S/ por und)</t>
  </si>
  <si>
    <t xml:space="preserve">COSTO DIRECTO DE LA PARTIDA (metrado x costo unitario)</t>
  </si>
  <si>
    <t xml:space="preserve">Notas: 1) La excavacion del hueco del filtro y el relleno a su alrededor estan dentro de la mano de obra de esta partida; no se suman a las partidas de movimiento de tierras. 2) Los precios de tuberia PVC 3" y de geotextil no estan en la base de la planilla: son referenciales de mercado y deben reemplazarse por los de la base de precios del presupuesto.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</si>
</sst>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m\-yy"/>
    <numFmt numFmtId="166" formatCode="0.0000"/>
    <numFmt numFmtId="167" formatCode="0.00"/>
    <numFmt numFmtId="168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 Narrow"/>
      <family val="0"/>
      <charset val="1"/>
    </font>
    <font>
      <b val="true"/>
      <sz val="11"/>
      <name val="Arial Narrow"/>
      <family val="0"/>
      <charset val="1"/>
    </font>
    <font>
      <sz val="11"/>
      <name val="Arial Narrow"/>
      <family val="0"/>
      <charset val="1"/>
    </font>
    <font>
      <b val="true"/>
      <sz val="11"/>
      <color rgb="FFFFFFFF"/>
      <name val="Arial Narrow"/>
      <family val="0"/>
      <charset val="1"/>
    </font>
    <font>
      <b val="true"/>
      <sz val="12"/>
      <name val="Arial Narrow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AF7"/>
        <bgColor rgb="FFF0F7E8"/>
      </patternFill>
    </fill>
    <fill>
      <patternFill patternType="solid">
        <fgColor rgb="FFFFF2CC"/>
        <bgColor rgb="FFF0F7E8"/>
      </patternFill>
    </fill>
    <fill>
      <patternFill patternType="solid">
        <fgColor rgb="FFF0F7E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7E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3" min="3" style="0" width="9"/>
    <col collapsed="false" customWidth="true" hidden="false" outlineLevel="0" max="6" min="4" style="0" width="13"/>
    <col collapsed="false" customWidth="true" hidden="false" outlineLevel="0" max="7" min="7" style="0" width="14"/>
    <col collapsed="false" customWidth="true" hidden="false" outlineLevel="0" max="8" min="8" style="0" width="58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3" t="s">
        <v>2</v>
      </c>
      <c r="D2" s="3"/>
      <c r="E2" s="3"/>
      <c r="F2" s="3"/>
      <c r="G2" s="3"/>
      <c r="H2" s="3"/>
    </row>
    <row r="3" customFormat="false" ht="48" hidden="false" customHeight="true" outlineLevel="0" collapsed="false">
      <c r="A3" s="2" t="s">
        <v>3</v>
      </c>
      <c r="B3" s="2"/>
      <c r="C3" s="3" t="s">
        <v>4</v>
      </c>
      <c r="D3" s="3"/>
      <c r="E3" s="3"/>
      <c r="F3" s="3"/>
      <c r="G3" s="3"/>
      <c r="H3" s="3"/>
    </row>
    <row r="4" customFormat="false" ht="15" hidden="false" customHeight="true" outlineLevel="0" collapsed="false">
      <c r="A4" s="2" t="s">
        <v>5</v>
      </c>
      <c r="B4" s="2"/>
      <c r="C4" s="3" t="s">
        <v>6</v>
      </c>
      <c r="D4" s="3"/>
      <c r="E4" s="3"/>
      <c r="F4" s="3"/>
      <c r="G4" s="3"/>
      <c r="H4" s="3"/>
    </row>
    <row r="5" customFormat="false" ht="15" hidden="false" customHeight="false" outlineLevel="0" collapsed="false">
      <c r="A5" s="2" t="s">
        <v>7</v>
      </c>
      <c r="B5" s="2"/>
      <c r="C5" s="4" t="n">
        <v>46266</v>
      </c>
      <c r="D5" s="4"/>
      <c r="E5" s="4"/>
      <c r="F5" s="4"/>
      <c r="G5" s="4"/>
      <c r="H5" s="4"/>
    </row>
    <row r="7" customFormat="false" ht="66" hidden="false" customHeight="true" outlineLevel="0" collapsed="false">
      <c r="A7" s="5" t="s">
        <v>8</v>
      </c>
      <c r="B7" s="5"/>
      <c r="C7" s="5"/>
      <c r="D7" s="5"/>
      <c r="E7" s="5"/>
      <c r="F7" s="5"/>
      <c r="G7" s="5"/>
      <c r="H7" s="5"/>
    </row>
    <row r="9" customFormat="false" ht="15" hidden="false" customHeight="true" outlineLevel="0" collapsed="false">
      <c r="A9" s="5" t="s">
        <v>9</v>
      </c>
      <c r="B9" s="5"/>
      <c r="C9" s="5"/>
      <c r="D9" s="5"/>
      <c r="E9" s="5"/>
      <c r="F9" s="5"/>
      <c r="G9" s="5"/>
      <c r="H9" s="5"/>
    </row>
    <row r="10" customFormat="false" ht="15" hidden="false" customHeight="false" outlineLevel="0" collapsed="false">
      <c r="A10" s="6" t="s">
        <v>10</v>
      </c>
      <c r="B10" s="6" t="s">
        <v>11</v>
      </c>
      <c r="C10" s="6" t="s">
        <v>12</v>
      </c>
      <c r="D10" s="6" t="s">
        <v>13</v>
      </c>
      <c r="E10" s="7"/>
      <c r="F10" s="7"/>
      <c r="G10" s="7"/>
      <c r="H10" s="6" t="s">
        <v>14</v>
      </c>
    </row>
    <row r="11" customFormat="false" ht="15" hidden="false" customHeight="false" outlineLevel="0" collapsed="false">
      <c r="A11" s="8" t="n">
        <v>1</v>
      </c>
      <c r="B11" s="9" t="s">
        <v>15</v>
      </c>
      <c r="C11" s="8" t="s">
        <v>16</v>
      </c>
      <c r="D11" s="10" t="n">
        <v>1.5</v>
      </c>
      <c r="E11" s="8"/>
      <c r="F11" s="8"/>
      <c r="G11" s="8"/>
      <c r="H11" s="3" t="s">
        <v>17</v>
      </c>
    </row>
    <row r="12" customFormat="false" ht="15" hidden="false" customHeight="false" outlineLevel="0" collapsed="false">
      <c r="A12" s="8" t="n">
        <v>2</v>
      </c>
      <c r="B12" s="9" t="s">
        <v>18</v>
      </c>
      <c r="C12" s="8" t="s">
        <v>16</v>
      </c>
      <c r="D12" s="10" t="n">
        <v>0.3</v>
      </c>
      <c r="E12" s="8"/>
      <c r="F12" s="8"/>
      <c r="G12" s="8"/>
      <c r="H12" s="3" t="s">
        <v>19</v>
      </c>
    </row>
    <row r="13" customFormat="false" ht="15" hidden="false" customHeight="false" outlineLevel="0" collapsed="false">
      <c r="A13" s="8" t="n">
        <v>3</v>
      </c>
      <c r="B13" s="9" t="s">
        <v>20</v>
      </c>
      <c r="C13" s="8" t="s">
        <v>16</v>
      </c>
      <c r="D13" s="10" t="n">
        <v>0.3</v>
      </c>
      <c r="E13" s="8"/>
      <c r="F13" s="8"/>
      <c r="G13" s="8"/>
      <c r="H13" s="3" t="s">
        <v>21</v>
      </c>
    </row>
    <row r="14" customFormat="false" ht="15" hidden="false" customHeight="false" outlineLevel="0" collapsed="false">
      <c r="A14" s="8" t="n">
        <v>4</v>
      </c>
      <c r="B14" s="9" t="s">
        <v>22</v>
      </c>
      <c r="C14" s="8" t="s">
        <v>23</v>
      </c>
      <c r="D14" s="11" t="n">
        <f aca="false">D13^3</f>
        <v>0.027</v>
      </c>
      <c r="E14" s="8"/>
      <c r="F14" s="8"/>
      <c r="G14" s="8"/>
      <c r="H14" s="3" t="s">
        <v>24</v>
      </c>
    </row>
    <row r="15" customFormat="false" ht="15" hidden="false" customHeight="false" outlineLevel="0" collapsed="false">
      <c r="A15" s="8" t="n">
        <v>5</v>
      </c>
      <c r="B15" s="9" t="s">
        <v>25</v>
      </c>
      <c r="C15" s="8" t="s">
        <v>26</v>
      </c>
      <c r="D15" s="11" t="n">
        <f aca="false">6*D13^2*1.1</f>
        <v>0.594</v>
      </c>
      <c r="E15" s="8"/>
      <c r="F15" s="8"/>
      <c r="G15" s="8"/>
      <c r="H15" s="3" t="s">
        <v>27</v>
      </c>
    </row>
    <row r="16" customFormat="false" ht="15" hidden="false" customHeight="false" outlineLevel="0" collapsed="false">
      <c r="A16" s="8" t="n">
        <v>6</v>
      </c>
      <c r="B16" s="9" t="s">
        <v>28</v>
      </c>
      <c r="C16" s="8" t="s">
        <v>23</v>
      </c>
      <c r="D16" s="11" t="n">
        <f aca="false">D13^3</f>
        <v>0.027</v>
      </c>
      <c r="E16" s="8"/>
      <c r="F16" s="8"/>
      <c r="G16" s="8"/>
      <c r="H16" s="3" t="s">
        <v>29</v>
      </c>
    </row>
    <row r="17" customFormat="false" ht="15" hidden="false" customHeight="false" outlineLevel="0" collapsed="false">
      <c r="A17" s="8" t="n">
        <v>7</v>
      </c>
      <c r="B17" s="9" t="s">
        <v>30</v>
      </c>
      <c r="C17" s="8" t="s">
        <v>23</v>
      </c>
      <c r="D17" s="10" t="n">
        <v>0.0005</v>
      </c>
      <c r="E17" s="8"/>
      <c r="F17" s="8"/>
      <c r="G17" s="8"/>
      <c r="H17" s="3" t="s">
        <v>31</v>
      </c>
    </row>
    <row r="18" customFormat="false" ht="15" hidden="false" customHeight="false" outlineLevel="0" collapsed="false">
      <c r="A18" s="8" t="n">
        <v>8</v>
      </c>
      <c r="B18" s="9" t="s">
        <v>32</v>
      </c>
      <c r="C18" s="8" t="s">
        <v>33</v>
      </c>
      <c r="D18" s="10" t="n">
        <v>10.5</v>
      </c>
      <c r="E18" s="8"/>
      <c r="F18" s="8"/>
      <c r="G18" s="8"/>
      <c r="H18" s="3" t="s">
        <v>34</v>
      </c>
    </row>
    <row r="19" customFormat="false" ht="15" hidden="false" customHeight="false" outlineLevel="0" collapsed="false">
      <c r="A19" s="8" t="n">
        <v>9</v>
      </c>
      <c r="B19" s="9" t="s">
        <v>35</v>
      </c>
      <c r="C19" s="8" t="s">
        <v>36</v>
      </c>
      <c r="D19" s="10" t="n">
        <v>1.05</v>
      </c>
      <c r="E19" s="8"/>
      <c r="F19" s="8"/>
      <c r="G19" s="8"/>
      <c r="H19" s="3" t="s">
        <v>34</v>
      </c>
    </row>
    <row r="20" customFormat="false" ht="15" hidden="false" customHeight="false" outlineLevel="0" collapsed="false">
      <c r="A20" s="8" t="n">
        <v>10</v>
      </c>
      <c r="B20" s="9" t="s">
        <v>37</v>
      </c>
      <c r="C20" s="8" t="s">
        <v>38</v>
      </c>
      <c r="D20" s="10" t="n">
        <v>1.1</v>
      </c>
      <c r="E20" s="8"/>
      <c r="F20" s="8"/>
      <c r="G20" s="8"/>
      <c r="H20" s="3" t="s">
        <v>39</v>
      </c>
    </row>
    <row r="23" customFormat="false" ht="31.5" hidden="false" customHeight="true" outlineLevel="0" collapsed="false">
      <c r="A23" s="5" t="s">
        <v>40</v>
      </c>
      <c r="B23" s="5"/>
      <c r="C23" s="5"/>
      <c r="D23" s="5"/>
      <c r="E23" s="5"/>
      <c r="F23" s="5"/>
      <c r="G23" s="5"/>
      <c r="H23" s="5"/>
    </row>
    <row r="24" customFormat="false" ht="15" hidden="false" customHeight="false" outlineLevel="0" collapsed="false">
      <c r="A24" s="12" t="s">
        <v>41</v>
      </c>
      <c r="B24" s="12"/>
      <c r="C24" s="8" t="s">
        <v>42</v>
      </c>
      <c r="D24" s="3"/>
      <c r="E24" s="3"/>
      <c r="F24" s="3"/>
      <c r="G24" s="3"/>
      <c r="H24" s="3"/>
    </row>
    <row r="25" customFormat="false" ht="15" hidden="false" customHeight="true" outlineLevel="0" collapsed="false">
      <c r="A25" s="12" t="s">
        <v>43</v>
      </c>
      <c r="B25" s="12"/>
      <c r="C25" s="13" t="n">
        <v>226</v>
      </c>
      <c r="D25" s="3" t="s">
        <v>44</v>
      </c>
      <c r="E25" s="3"/>
      <c r="F25" s="3"/>
      <c r="G25" s="3"/>
      <c r="H25" s="3"/>
    </row>
    <row r="26" customFormat="false" ht="15" hidden="false" customHeight="true" outlineLevel="0" collapsed="false">
      <c r="A26" s="12" t="s">
        <v>45</v>
      </c>
      <c r="B26" s="12"/>
      <c r="C26" s="14" t="n">
        <v>24</v>
      </c>
      <c r="D26" s="3" t="s">
        <v>46</v>
      </c>
      <c r="E26" s="3"/>
      <c r="F26" s="3"/>
      <c r="G26" s="3"/>
      <c r="H26" s="3"/>
    </row>
    <row r="27" customFormat="false" ht="30" hidden="false" customHeight="true" outlineLevel="0" collapsed="false">
      <c r="A27" s="15" t="s">
        <v>10</v>
      </c>
      <c r="B27" s="15" t="s">
        <v>47</v>
      </c>
      <c r="C27" s="15" t="s">
        <v>12</v>
      </c>
      <c r="D27" s="15" t="s">
        <v>48</v>
      </c>
      <c r="E27" s="15" t="s">
        <v>49</v>
      </c>
      <c r="F27" s="15" t="s">
        <v>50</v>
      </c>
      <c r="G27" s="15" t="s">
        <v>51</v>
      </c>
      <c r="H27" s="15" t="s">
        <v>52</v>
      </c>
    </row>
    <row r="28" customFormat="false" ht="15" hidden="false" customHeight="false" outlineLevel="0" collapsed="false">
      <c r="A28" s="16"/>
      <c r="B28" s="12" t="s">
        <v>53</v>
      </c>
      <c r="C28" s="12"/>
      <c r="D28" s="12"/>
      <c r="E28" s="12"/>
      <c r="F28" s="12"/>
      <c r="G28" s="12"/>
      <c r="H28" s="12"/>
    </row>
    <row r="29" customFormat="false" ht="28.35" hidden="false" customHeight="false" outlineLevel="0" collapsed="false">
      <c r="A29" s="8" t="n">
        <v>1</v>
      </c>
      <c r="B29" s="3" t="s">
        <v>54</v>
      </c>
      <c r="C29" s="8" t="s">
        <v>55</v>
      </c>
      <c r="D29" s="14" t="n">
        <v>0.5</v>
      </c>
      <c r="E29" s="11" t="n">
        <f aca="false">D29*8/$C$26</f>
        <v>0.166666666666667</v>
      </c>
      <c r="F29" s="14" t="n">
        <v>30.42</v>
      </c>
      <c r="G29" s="17" t="n">
        <f aca="false">E29*F29</f>
        <v>5.07</v>
      </c>
      <c r="H29" s="3" t="s">
        <v>56</v>
      </c>
    </row>
    <row r="30" customFormat="false" ht="28.35" hidden="false" customHeight="false" outlineLevel="0" collapsed="false">
      <c r="A30" s="8" t="n">
        <v>2</v>
      </c>
      <c r="B30" s="3" t="s">
        <v>57</v>
      </c>
      <c r="C30" s="8" t="s">
        <v>55</v>
      </c>
      <c r="D30" s="14" t="n">
        <v>1</v>
      </c>
      <c r="E30" s="11" t="n">
        <f aca="false">D30*8/$C$26</f>
        <v>0.333333333333333</v>
      </c>
      <c r="F30" s="14" t="n">
        <v>20.79</v>
      </c>
      <c r="G30" s="17" t="n">
        <f aca="false">E30*F30</f>
        <v>6.93</v>
      </c>
      <c r="H30" s="3" t="s">
        <v>56</v>
      </c>
    </row>
    <row r="31" customFormat="false" ht="15" hidden="false" customHeight="false" outlineLevel="0" collapsed="false">
      <c r="A31" s="16"/>
      <c r="B31" s="12" t="s">
        <v>58</v>
      </c>
      <c r="C31" s="16"/>
      <c r="D31" s="16"/>
      <c r="E31" s="16"/>
      <c r="F31" s="16"/>
      <c r="G31" s="18" t="n">
        <f aca="false">SUM(G29:G30)</f>
        <v>12</v>
      </c>
      <c r="H31" s="16"/>
    </row>
    <row r="32" customFormat="false" ht="15" hidden="false" customHeight="false" outlineLevel="0" collapsed="false">
      <c r="A32" s="16"/>
      <c r="B32" s="12" t="s">
        <v>59</v>
      </c>
      <c r="C32" s="12"/>
      <c r="D32" s="12"/>
      <c r="E32" s="12"/>
      <c r="F32" s="12"/>
      <c r="G32" s="12"/>
      <c r="H32" s="12"/>
    </row>
    <row r="33" customFormat="false" ht="28.35" hidden="false" customHeight="false" outlineLevel="0" collapsed="false">
      <c r="A33" s="8" t="n">
        <v>3</v>
      </c>
      <c r="B33" s="3" t="s">
        <v>60</v>
      </c>
      <c r="C33" s="8" t="s">
        <v>16</v>
      </c>
      <c r="D33" s="13"/>
      <c r="E33" s="11" t="n">
        <f aca="false">$D$12*1.05</f>
        <v>0.315</v>
      </c>
      <c r="F33" s="14" t="n">
        <v>6.1</v>
      </c>
      <c r="G33" s="17" t="n">
        <f aca="false">E33*F33</f>
        <v>1.9215</v>
      </c>
      <c r="H33" s="3" t="s">
        <v>61</v>
      </c>
    </row>
    <row r="34" customFormat="false" ht="28.35" hidden="false" customHeight="false" outlineLevel="0" collapsed="false">
      <c r="A34" s="8" t="n">
        <v>4</v>
      </c>
      <c r="B34" s="3" t="s">
        <v>62</v>
      </c>
      <c r="C34" s="8" t="s">
        <v>23</v>
      </c>
      <c r="D34" s="13"/>
      <c r="E34" s="11" t="n">
        <f aca="false">$D$14*$D$20</f>
        <v>0.0297</v>
      </c>
      <c r="F34" s="14" t="n">
        <v>101.69</v>
      </c>
      <c r="G34" s="17" t="n">
        <f aca="false">E34*F34</f>
        <v>3.020193</v>
      </c>
      <c r="H34" s="3" t="s">
        <v>63</v>
      </c>
    </row>
    <row r="35" customFormat="false" ht="28.35" hidden="false" customHeight="false" outlineLevel="0" collapsed="false">
      <c r="A35" s="8" t="n">
        <v>5</v>
      </c>
      <c r="B35" s="3" t="s">
        <v>64</v>
      </c>
      <c r="C35" s="8" t="s">
        <v>26</v>
      </c>
      <c r="D35" s="13"/>
      <c r="E35" s="11" t="n">
        <f aca="false">$D$15*1.05</f>
        <v>0.6237</v>
      </c>
      <c r="F35" s="14" t="n">
        <v>4.8</v>
      </c>
      <c r="G35" s="17" t="n">
        <f aca="false">E35*F35</f>
        <v>2.99376</v>
      </c>
      <c r="H35" s="3" t="s">
        <v>65</v>
      </c>
    </row>
    <row r="36" customFormat="false" ht="15" hidden="false" customHeight="false" outlineLevel="0" collapsed="false">
      <c r="A36" s="8" t="n">
        <v>6</v>
      </c>
      <c r="B36" s="3" t="s">
        <v>66</v>
      </c>
      <c r="C36" s="8" t="s">
        <v>67</v>
      </c>
      <c r="D36" s="13"/>
      <c r="E36" s="11" t="n">
        <f aca="false">$D$17*$D$18</f>
        <v>0.00525</v>
      </c>
      <c r="F36" s="14" t="n">
        <v>30.51</v>
      </c>
      <c r="G36" s="17" t="n">
        <f aca="false">E36*F36</f>
        <v>0.1601775</v>
      </c>
      <c r="H36" s="3" t="s">
        <v>68</v>
      </c>
    </row>
    <row r="37" customFormat="false" ht="15" hidden="false" customHeight="false" outlineLevel="0" collapsed="false">
      <c r="A37" s="8" t="n">
        <v>7</v>
      </c>
      <c r="B37" s="3" t="s">
        <v>69</v>
      </c>
      <c r="C37" s="8" t="s">
        <v>23</v>
      </c>
      <c r="D37" s="13"/>
      <c r="E37" s="11" t="n">
        <f aca="false">$D$17*$D$19</f>
        <v>0.000525</v>
      </c>
      <c r="F37" s="14" t="n">
        <v>50.85</v>
      </c>
      <c r="G37" s="17" t="n">
        <f aca="false">E37*F37</f>
        <v>0.02669625</v>
      </c>
      <c r="H37" s="3" t="s">
        <v>68</v>
      </c>
    </row>
    <row r="38" customFormat="false" ht="15" hidden="false" customHeight="false" outlineLevel="0" collapsed="false">
      <c r="A38" s="8" t="n">
        <v>8</v>
      </c>
      <c r="B38" s="3" t="s">
        <v>70</v>
      </c>
      <c r="C38" s="8" t="s">
        <v>23</v>
      </c>
      <c r="D38" s="13"/>
      <c r="E38" s="11" t="n">
        <f aca="false">$D$17*0.25</f>
        <v>0.000125</v>
      </c>
      <c r="F38" s="14" t="n">
        <v>5</v>
      </c>
      <c r="G38" s="17" t="n">
        <f aca="false">E38*F38</f>
        <v>0.000625</v>
      </c>
      <c r="H38" s="3" t="s">
        <v>68</v>
      </c>
    </row>
    <row r="39" customFormat="false" ht="15" hidden="false" customHeight="false" outlineLevel="0" collapsed="false">
      <c r="A39" s="16"/>
      <c r="B39" s="12" t="s">
        <v>71</v>
      </c>
      <c r="C39" s="16"/>
      <c r="D39" s="16"/>
      <c r="E39" s="16"/>
      <c r="F39" s="16"/>
      <c r="G39" s="18" t="n">
        <f aca="false">SUM(G33:G38)</f>
        <v>8.12295175</v>
      </c>
      <c r="H39" s="16"/>
    </row>
    <row r="40" customFormat="false" ht="15" hidden="false" customHeight="false" outlineLevel="0" collapsed="false">
      <c r="A40" s="16"/>
      <c r="B40" s="12" t="s">
        <v>72</v>
      </c>
      <c r="C40" s="12"/>
      <c r="D40" s="12"/>
      <c r="E40" s="12"/>
      <c r="F40" s="12"/>
      <c r="G40" s="12"/>
      <c r="H40" s="12"/>
    </row>
    <row r="41" customFormat="false" ht="15" hidden="false" customHeight="false" outlineLevel="0" collapsed="false">
      <c r="A41" s="8" t="n">
        <v>9</v>
      </c>
      <c r="B41" s="9" t="s">
        <v>73</v>
      </c>
      <c r="C41" s="8" t="s">
        <v>74</v>
      </c>
      <c r="D41" s="8"/>
      <c r="E41" s="14" t="n">
        <v>0.03</v>
      </c>
      <c r="F41" s="17" t="n">
        <f aca="false">+G31</f>
        <v>12</v>
      </c>
      <c r="G41" s="17" t="n">
        <f aca="false">E41*F41</f>
        <v>0.36</v>
      </c>
      <c r="H41" s="9" t="s">
        <v>75</v>
      </c>
    </row>
    <row r="42" customFormat="false" ht="15" hidden="false" customHeight="false" outlineLevel="0" collapsed="false">
      <c r="A42" s="16"/>
      <c r="B42" s="12" t="s">
        <v>76</v>
      </c>
      <c r="C42" s="16"/>
      <c r="D42" s="16"/>
      <c r="E42" s="16"/>
      <c r="F42" s="16"/>
      <c r="G42" s="18" t="n">
        <f aca="false">G41</f>
        <v>0.36</v>
      </c>
      <c r="H42" s="16"/>
    </row>
    <row r="43" customFormat="false" ht="15" hidden="false" customHeight="false" outlineLevel="0" collapsed="false">
      <c r="A43" s="19" t="s">
        <v>77</v>
      </c>
      <c r="B43" s="19"/>
      <c r="C43" s="19"/>
      <c r="D43" s="19"/>
      <c r="E43" s="19"/>
      <c r="F43" s="19"/>
      <c r="G43" s="20" t="n">
        <f aca="false">+G31+G39+G42</f>
        <v>20.48295175</v>
      </c>
      <c r="H43" s="16"/>
    </row>
    <row r="44" customFormat="false" ht="15" hidden="false" customHeight="false" outlineLevel="0" collapsed="false">
      <c r="A44" s="19" t="s">
        <v>78</v>
      </c>
      <c r="B44" s="19"/>
      <c r="C44" s="19"/>
      <c r="D44" s="19"/>
      <c r="E44" s="19"/>
      <c r="F44" s="19"/>
      <c r="G44" s="21" t="n">
        <f aca="false">G43*C25</f>
        <v>4629.1470955</v>
      </c>
      <c r="H44" s="16"/>
    </row>
    <row r="46" customFormat="false" ht="48" hidden="false" customHeight="true" outlineLevel="0" collapsed="false">
      <c r="A46" s="3" t="s">
        <v>79</v>
      </c>
      <c r="B46" s="3"/>
      <c r="C46" s="3"/>
      <c r="D46" s="3"/>
      <c r="E46" s="3"/>
      <c r="F46" s="3"/>
      <c r="G46" s="3"/>
      <c r="H46" s="3"/>
    </row>
  </sheetData>
  <mergeCells count="24">
    <mergeCell ref="A1:H1"/>
    <mergeCell ref="A2:B2"/>
    <mergeCell ref="C2:H2"/>
    <mergeCell ref="A3:B3"/>
    <mergeCell ref="C3:H3"/>
    <mergeCell ref="A4:B4"/>
    <mergeCell ref="C4:H4"/>
    <mergeCell ref="A5:B5"/>
    <mergeCell ref="C5:H5"/>
    <mergeCell ref="A7:H7"/>
    <mergeCell ref="A9:H9"/>
    <mergeCell ref="A23:H23"/>
    <mergeCell ref="A24:B24"/>
    <mergeCell ref="D24:H24"/>
    <mergeCell ref="A25:B25"/>
    <mergeCell ref="D25:H25"/>
    <mergeCell ref="A26:B26"/>
    <mergeCell ref="D26:H26"/>
    <mergeCell ref="B28:H28"/>
    <mergeCell ref="B32:H32"/>
    <mergeCell ref="B40:H40"/>
    <mergeCell ref="A43:F43"/>
    <mergeCell ref="A44:F44"/>
    <mergeCell ref="A46:H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2026-10-08T04:37:47Z</dcterms:created>
  <dc:creator>openpyxl</dc:creator>
  <dc:description/>
  <dc:language>en-US</dc:language>
  <cp:lastModifiedBy/>
  <dcterms:modified xsi:type="dcterms:W3CDTF">2026-10-08T04:37:47Z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