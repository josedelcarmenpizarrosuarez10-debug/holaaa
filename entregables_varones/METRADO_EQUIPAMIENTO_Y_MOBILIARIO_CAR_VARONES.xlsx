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TRADO POR AMBIENTE" sheetId="2" state="visible" r:id="rId2"/>
    <sheet xmlns:r="http://schemas.openxmlformats.org/officeDocument/2006/relationships" name="VERIFICACIÓN" sheetId="3" state="visible" r:id="rId3"/>
    <sheet xmlns:r="http://schemas.openxmlformats.org/officeDocument/2006/relationships" name="VERIF. IMPLEMENTOS" sheetId="4" state="visible" r:id="rId4"/>
    <sheet xmlns:r="http://schemas.openxmlformats.org/officeDocument/2006/relationships" name="OBSERVACIONES" sheetId="5" state="visible" r:id="rId5"/>
  </sheets>
  <definedNames>
    <definedName name="_xlnm.Print_Area" localSheetId="0">'RESUMEN'!$A$1:$E$111</definedName>
    <definedName name="_xlnm.Print_Area" localSheetId="1">'METRADO POR AMBIENTE'!$A$1:$J$315</definedName>
    <definedName name="_xlnm.Print_Area" localSheetId="2">'VERIFICACIÓN'!$A$1:$I$68</definedName>
    <definedName name="_xlnm.Print_Area" localSheetId="3">'VERIF. IMPLEMENTOS'!$A$1:$E$63</definedName>
    <definedName name="_xlnm.Print_Area" localSheetId="4">'OBSERVACIONES'!$A$1:$C$31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  <font>
      <name val="Arial"/>
      <sz val="8"/>
    </font>
    <font>
      <name val="Arial"/>
      <color rgb="00FFFFFF"/>
      <sz val="7"/>
    </font>
  </fonts>
  <fills count="5">
    <fill>
      <patternFill/>
    </fill>
    <fill>
      <patternFill patternType="gray125"/>
    </fill>
    <fill>
      <patternFill patternType="solid">
        <fgColor rgb="007B1E2B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0" customWidth="1" min="3" max="3"/>
    <col width="6" customWidth="1" min="4" max="4"/>
    <col width="11" customWidth="1" min="5" max="5"/>
    <col hidden="1" width="4" customWidth="1" min="6" max="6"/>
  </cols>
  <sheetData>
    <row r="1" ht="24" customHeight="1">
      <c r="A1" s="1" t="inlineStr">
        <is>
          <t>HOJA RESUMEN DE METRADOS - ARQUITECTURA: EQUIPAMIENTO Y MOBILIARIO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</row>
    <row r="7">
      <c r="A7" s="2" t="inlineStr">
        <is>
          <t>LÁMINAS</t>
        </is>
      </c>
      <c r="B7" s="5" t="inlineStr">
        <is>
          <t>MB-01 a MB-09 (equipamiento y mobiliario, escala 1/150)</t>
        </is>
      </c>
      <c r="C7" s="4" t="n"/>
      <c r="D7" s="4" t="n"/>
      <c r="E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</row>
    <row r="10">
      <c r="A10" s="6" t="inlineStr">
        <is>
          <t>PART. N.°</t>
        </is>
      </c>
      <c r="B10" s="6" t="inlineStr">
        <is>
          <t>CÓD.</t>
        </is>
      </c>
      <c r="C10" s="6" t="inlineStr">
        <is>
          <t>DESCRIPCIÓN</t>
        </is>
      </c>
      <c r="D10" s="6" t="inlineStr">
        <is>
          <t>UND</t>
        </is>
      </c>
      <c r="E10" s="6" t="inlineStr">
        <is>
          <t>METRADO</t>
        </is>
      </c>
    </row>
    <row r="11">
      <c r="A11" s="7" t="inlineStr">
        <is>
          <t>03</t>
        </is>
      </c>
      <c r="B11" s="8" t="n"/>
      <c r="C11" s="2" t="inlineStr">
        <is>
          <t>ARQUITECTURA</t>
        </is>
      </c>
      <c r="D11" s="8" t="n"/>
      <c r="E11" s="8" t="n"/>
    </row>
    <row r="12">
      <c r="A12" s="7" t="inlineStr">
        <is>
          <t>03.01</t>
        </is>
      </c>
      <c r="B12" s="8" t="n"/>
      <c r="C12" s="2" t="inlineStr">
        <is>
          <t>MOBILIARIO Y EQUIPAMIENTO</t>
        </is>
      </c>
      <c r="D12" s="8" t="n"/>
      <c r="E12" s="8" t="n"/>
    </row>
    <row r="13">
      <c r="A13" s="9" t="inlineStr">
        <is>
          <t>03.01.01</t>
        </is>
      </c>
      <c r="B13" s="10" t="n"/>
      <c r="C13" s="3" t="inlineStr">
        <is>
          <t>EQUIPOS</t>
        </is>
      </c>
      <c r="D13" s="10" t="n"/>
      <c r="E13" s="10" t="n"/>
    </row>
    <row r="14">
      <c r="A14" s="10" t="inlineStr">
        <is>
          <t>03.01.01.01</t>
        </is>
      </c>
      <c r="B14" s="10" t="inlineStr">
        <is>
          <t>E1</t>
        </is>
      </c>
      <c r="C14" s="5" t="inlineStr">
        <is>
          <t>PROYECTOR INTERACTIVO</t>
        </is>
      </c>
      <c r="D14" s="10" t="inlineStr">
        <is>
          <t>und</t>
        </is>
      </c>
      <c r="E14" s="11">
        <f>SUMIF('METRADO POR AMBIENTE'!$I$11:$I$315,F14,'METRADO POR AMBIENTE'!$H$11:$H$315)</f>
        <v/>
      </c>
      <c r="F14" s="12" t="inlineStr">
        <is>
          <t>E1</t>
        </is>
      </c>
    </row>
    <row r="15">
      <c r="A15" s="10" t="inlineStr">
        <is>
          <t>03.01.01.02</t>
        </is>
      </c>
      <c r="B15" s="10" t="inlineStr">
        <is>
          <t>E2</t>
        </is>
      </c>
      <c r="C15" s="5" t="inlineStr">
        <is>
          <t>COMPUTADORA PORTATIL I5</t>
        </is>
      </c>
      <c r="D15" s="10" t="inlineStr">
        <is>
          <t>und</t>
        </is>
      </c>
      <c r="E15" s="11">
        <f>SUMIF('METRADO POR AMBIENTE'!$I$11:$I$315,F15,'METRADO POR AMBIENTE'!$H$11:$H$315)</f>
        <v/>
      </c>
      <c r="F15" s="12" t="inlineStr">
        <is>
          <t>E2</t>
        </is>
      </c>
    </row>
    <row r="16">
      <c r="A16" s="10" t="inlineStr">
        <is>
          <t>03.01.01.03</t>
        </is>
      </c>
      <c r="B16" s="10" t="inlineStr">
        <is>
          <t>E3</t>
        </is>
      </c>
      <c r="C16" s="5" t="inlineStr">
        <is>
          <t>PRESENTADOR INALAMBRICO CON PUNTERO LASER</t>
        </is>
      </c>
      <c r="D16" s="10" t="inlineStr">
        <is>
          <t>und</t>
        </is>
      </c>
      <c r="E16" s="11">
        <f>SUMIF('METRADO POR AMBIENTE'!$I$11:$I$315,F16,'METRADO POR AMBIENTE'!$H$11:$H$315)</f>
        <v/>
      </c>
      <c r="F16" s="12" t="inlineStr">
        <is>
          <t>E3</t>
        </is>
      </c>
    </row>
    <row r="17">
      <c r="A17" s="10" t="inlineStr">
        <is>
          <t>03.01.01.04</t>
        </is>
      </c>
      <c r="B17" s="10" t="inlineStr">
        <is>
          <t>E4</t>
        </is>
      </c>
      <c r="C17" s="5" t="inlineStr">
        <is>
          <t>RELOJ PARA ADOSAR A PARED</t>
        </is>
      </c>
      <c r="D17" s="10" t="inlineStr">
        <is>
          <t>und</t>
        </is>
      </c>
      <c r="E17" s="11">
        <f>SUMIF('METRADO POR AMBIENTE'!$I$11:$I$315,F17,'METRADO POR AMBIENTE'!$H$11:$H$315)</f>
        <v/>
      </c>
      <c r="F17" s="12" t="inlineStr">
        <is>
          <t>E4</t>
        </is>
      </c>
    </row>
    <row r="18">
      <c r="A18" s="10" t="inlineStr">
        <is>
          <t>03.01.01.05</t>
        </is>
      </c>
      <c r="B18" s="10" t="inlineStr">
        <is>
          <t>E5</t>
        </is>
      </c>
      <c r="C18" s="5" t="inlineStr">
        <is>
          <t>LAVADORA DE 20KG DE CARGA SUPERIOR</t>
        </is>
      </c>
      <c r="D18" s="10" t="inlineStr">
        <is>
          <t>und</t>
        </is>
      </c>
      <c r="E18" s="11">
        <f>SUMIF('METRADO POR AMBIENTE'!$I$11:$I$315,F18,'METRADO POR AMBIENTE'!$H$11:$H$315)</f>
        <v/>
      </c>
      <c r="F18" s="12" t="inlineStr">
        <is>
          <t>E5</t>
        </is>
      </c>
    </row>
    <row r="19">
      <c r="A19" s="10" t="inlineStr">
        <is>
          <t>03.01.01.06</t>
        </is>
      </c>
      <c r="B19" s="10" t="inlineStr">
        <is>
          <t>E6</t>
        </is>
      </c>
      <c r="C19" s="5" t="inlineStr">
        <is>
          <t>COMPUTADORA I5 ESTACIONARIA</t>
        </is>
      </c>
      <c r="D19" s="10" t="inlineStr">
        <is>
          <t>und</t>
        </is>
      </c>
      <c r="E19" s="11">
        <f>SUMIF('METRADO POR AMBIENTE'!$I$11:$I$315,F19,'METRADO POR AMBIENTE'!$H$11:$H$315)</f>
        <v/>
      </c>
      <c r="F19" s="12" t="inlineStr">
        <is>
          <t>E6</t>
        </is>
      </c>
    </row>
    <row r="20">
      <c r="A20" s="10" t="inlineStr">
        <is>
          <t>03.01.01.07</t>
        </is>
      </c>
      <c r="B20" s="10" t="inlineStr">
        <is>
          <t>E7</t>
        </is>
      </c>
      <c r="C20" s="5" t="inlineStr">
        <is>
          <t>PROYECTOR MULTIMEDIA</t>
        </is>
      </c>
      <c r="D20" s="10" t="inlineStr">
        <is>
          <t>und</t>
        </is>
      </c>
      <c r="E20" s="11">
        <f>SUMIF('METRADO POR AMBIENTE'!$I$11:$I$315,F20,'METRADO POR AMBIENTE'!$H$11:$H$315)</f>
        <v/>
      </c>
      <c r="F20" s="12" t="inlineStr">
        <is>
          <t>E7</t>
        </is>
      </c>
    </row>
    <row r="21">
      <c r="A21" s="10" t="inlineStr">
        <is>
          <t>03.01.01.08</t>
        </is>
      </c>
      <c r="B21" s="10" t="inlineStr">
        <is>
          <t>E9</t>
        </is>
      </c>
      <c r="C21" s="5" t="inlineStr">
        <is>
          <t>IMPRESORA MULTIFUNCIONAL</t>
        </is>
      </c>
      <c r="D21" s="10" t="inlineStr">
        <is>
          <t>und</t>
        </is>
      </c>
      <c r="E21" s="11">
        <f>SUMIF('METRADO POR AMBIENTE'!$I$11:$I$315,F21,'METRADO POR AMBIENTE'!$H$11:$H$315)</f>
        <v/>
      </c>
      <c r="F21" s="12" t="inlineStr">
        <is>
          <t>E9</t>
        </is>
      </c>
    </row>
    <row r="22">
      <c r="A22" s="10" t="inlineStr">
        <is>
          <t>03.01.01.09</t>
        </is>
      </c>
      <c r="B22" s="10" t="inlineStr">
        <is>
          <t>E13</t>
        </is>
      </c>
      <c r="C22" s="5" t="inlineStr">
        <is>
          <t>COCINA INDUSTRIAL DE 2 HORNILLAS</t>
        </is>
      </c>
      <c r="D22" s="10" t="inlineStr">
        <is>
          <t>und</t>
        </is>
      </c>
      <c r="E22" s="11">
        <f>SUMIF('METRADO POR AMBIENTE'!$I$11:$I$315,F22,'METRADO POR AMBIENTE'!$H$11:$H$315)</f>
        <v/>
      </c>
      <c r="F22" s="12" t="inlineStr">
        <is>
          <t>E13</t>
        </is>
      </c>
    </row>
    <row r="23">
      <c r="A23" s="10" t="inlineStr">
        <is>
          <t>03.01.01.10</t>
        </is>
      </c>
      <c r="B23" s="10" t="inlineStr">
        <is>
          <t>E16</t>
        </is>
      </c>
      <c r="C23" s="5" t="inlineStr">
        <is>
          <t>HORNO MICROONDAS DE 31 LITROS</t>
        </is>
      </c>
      <c r="D23" s="10" t="inlineStr">
        <is>
          <t>und</t>
        </is>
      </c>
      <c r="E23" s="11">
        <f>SUMIF('METRADO POR AMBIENTE'!$I$11:$I$315,F23,'METRADO POR AMBIENTE'!$H$11:$H$315)</f>
        <v/>
      </c>
      <c r="F23" s="12" t="inlineStr">
        <is>
          <t>E16</t>
        </is>
      </c>
    </row>
    <row r="24">
      <c r="A24" s="10" t="inlineStr">
        <is>
          <t>03.01.01.11</t>
        </is>
      </c>
      <c r="B24" s="10" t="inlineStr">
        <is>
          <t>E17</t>
        </is>
      </c>
      <c r="C24" s="5" t="inlineStr">
        <is>
          <t>LICUADORA DE 1.5 LITROS</t>
        </is>
      </c>
      <c r="D24" s="10" t="inlineStr">
        <is>
          <t>und</t>
        </is>
      </c>
      <c r="E24" s="11">
        <f>SUMIF('METRADO POR AMBIENTE'!$I$11:$I$315,F24,'METRADO POR AMBIENTE'!$H$11:$H$315)</f>
        <v/>
      </c>
      <c r="F24" s="12" t="inlineStr">
        <is>
          <t>E17</t>
        </is>
      </c>
    </row>
    <row r="25">
      <c r="A25" s="10" t="inlineStr">
        <is>
          <t>03.01.01.12</t>
        </is>
      </c>
      <c r="B25" s="10" t="inlineStr">
        <is>
          <t>E18</t>
        </is>
      </c>
      <c r="C25" s="5" t="inlineStr">
        <is>
          <t>ECRAN</t>
        </is>
      </c>
      <c r="D25" s="10" t="inlineStr">
        <is>
          <t>und</t>
        </is>
      </c>
      <c r="E25" s="11">
        <f>SUMIF('METRADO POR AMBIENTE'!$I$11:$I$315,F25,'METRADO POR AMBIENTE'!$H$11:$H$315)</f>
        <v/>
      </c>
      <c r="F25" s="12" t="inlineStr">
        <is>
          <t>E18</t>
        </is>
      </c>
    </row>
    <row r="26">
      <c r="A26" s="10" t="inlineStr">
        <is>
          <t>03.01.01.13</t>
        </is>
      </c>
      <c r="B26" s="10" t="inlineStr">
        <is>
          <t>E19</t>
        </is>
      </c>
      <c r="C26" s="5" t="inlineStr">
        <is>
          <t>REFRIGERADORA 315 LITROS</t>
        </is>
      </c>
      <c r="D26" s="10" t="inlineStr">
        <is>
          <t>und</t>
        </is>
      </c>
      <c r="E26" s="11">
        <f>SUMIF('METRADO POR AMBIENTE'!$I$11:$I$315,F26,'METRADO POR AMBIENTE'!$H$11:$H$315)</f>
        <v/>
      </c>
      <c r="F26" s="12" t="inlineStr">
        <is>
          <t>E19</t>
        </is>
      </c>
    </row>
    <row r="27">
      <c r="A27" s="10" t="inlineStr">
        <is>
          <t>03.01.01.14</t>
        </is>
      </c>
      <c r="B27" s="10" t="inlineStr">
        <is>
          <t>E20</t>
        </is>
      </c>
      <c r="C27" s="5" t="inlineStr">
        <is>
          <t>BALON DE GAS</t>
        </is>
      </c>
      <c r="D27" s="10" t="inlineStr">
        <is>
          <t>und</t>
        </is>
      </c>
      <c r="E27" s="11">
        <f>SUMIF('METRADO POR AMBIENTE'!$I$11:$I$315,F27,'METRADO POR AMBIENTE'!$H$11:$H$315)</f>
        <v/>
      </c>
      <c r="F27" s="12" t="inlineStr">
        <is>
          <t>E20</t>
        </is>
      </c>
    </row>
    <row r="28">
      <c r="A28" s="9" t="inlineStr">
        <is>
          <t>03.01.02</t>
        </is>
      </c>
      <c r="B28" s="10" t="n"/>
      <c r="C28" s="3" t="inlineStr">
        <is>
          <t>MOBILIARIO</t>
        </is>
      </c>
      <c r="D28" s="10" t="n"/>
      <c r="E28" s="10" t="n"/>
    </row>
    <row r="29">
      <c r="A29" s="10" t="inlineStr">
        <is>
          <t>03.01.02.01</t>
        </is>
      </c>
      <c r="B29" s="10" t="inlineStr">
        <is>
          <t>M3</t>
        </is>
      </c>
      <c r="C29" s="5" t="inlineStr">
        <is>
          <t>SILLA REGULABLE DE ESTUDIANTE DE MADERA Y METAL 0.30 X 0.27 X 0.32 M.(PRIMARIA)</t>
        </is>
      </c>
      <c r="D29" s="10" t="inlineStr">
        <is>
          <t>und</t>
        </is>
      </c>
      <c r="E29" s="11">
        <f>SUMIF('METRADO POR AMBIENTE'!$I$11:$I$315,F29,'METRADO POR AMBIENTE'!$H$11:$H$315)</f>
        <v/>
      </c>
      <c r="F29" s="12" t="inlineStr">
        <is>
          <t>M3</t>
        </is>
      </c>
    </row>
    <row r="30">
      <c r="A30" s="10" t="inlineStr">
        <is>
          <t>03.01.02.02</t>
        </is>
      </c>
      <c r="B30" s="10" t="inlineStr">
        <is>
          <t>M4</t>
        </is>
      </c>
      <c r="C30" s="5" t="inlineStr">
        <is>
          <t>MESA REGULABLE DE MADERA Y METAL 0.56 X 0.50 X 0.60 M</t>
        </is>
      </c>
      <c r="D30" s="10" t="inlineStr">
        <is>
          <t>und</t>
        </is>
      </c>
      <c r="E30" s="11">
        <f>SUMIF('METRADO POR AMBIENTE'!$I$11:$I$315,F30,'METRADO POR AMBIENTE'!$H$11:$H$315)</f>
        <v/>
      </c>
      <c r="F30" s="12" t="inlineStr">
        <is>
          <t>M4</t>
        </is>
      </c>
    </row>
    <row r="31">
      <c r="A31" s="10" t="inlineStr">
        <is>
          <t>03.01.02.03</t>
        </is>
      </c>
      <c r="B31" s="10" t="inlineStr">
        <is>
          <t>M7</t>
        </is>
      </c>
      <c r="C31" s="5" t="inlineStr">
        <is>
          <t>SILLA DEL PROFESOR DE MADERA Y METAL 0.45 X 0.40 X 0.36 M</t>
        </is>
      </c>
      <c r="D31" s="10" t="inlineStr">
        <is>
          <t>und</t>
        </is>
      </c>
      <c r="E31" s="11">
        <f>SUMIF('METRADO POR AMBIENTE'!$I$11:$I$315,F31,'METRADO POR AMBIENTE'!$H$11:$H$315)</f>
        <v/>
      </c>
      <c r="F31" s="12" t="inlineStr">
        <is>
          <t>M7</t>
        </is>
      </c>
    </row>
    <row r="32">
      <c r="A32" s="10" t="inlineStr">
        <is>
          <t>03.01.02.04</t>
        </is>
      </c>
      <c r="B32" s="10" t="inlineStr">
        <is>
          <t>M8</t>
        </is>
      </c>
      <c r="C32" s="5" t="inlineStr">
        <is>
          <t>MESA PARA EL PROFESOR DE MADERA Y METAL 1.00 X 0.50 X 0.75 M</t>
        </is>
      </c>
      <c r="D32" s="10" t="inlineStr">
        <is>
          <t>und</t>
        </is>
      </c>
      <c r="E32" s="11">
        <f>SUMIF('METRADO POR AMBIENTE'!$I$11:$I$315,F32,'METRADO POR AMBIENTE'!$H$11:$H$315)</f>
        <v/>
      </c>
      <c r="F32" s="12" t="inlineStr">
        <is>
          <t>M8</t>
        </is>
      </c>
    </row>
    <row r="33">
      <c r="A33" s="10" t="inlineStr">
        <is>
          <t>03.01.02.05</t>
        </is>
      </c>
      <c r="B33" s="10" t="inlineStr">
        <is>
          <t>M13</t>
        </is>
      </c>
      <c r="C33" s="5" t="inlineStr">
        <is>
          <t>RACK DE SOPORTE METALICO PARA PROYECTOR EN TECHO</t>
        </is>
      </c>
      <c r="D33" s="10" t="inlineStr">
        <is>
          <t>und</t>
        </is>
      </c>
      <c r="E33" s="11">
        <f>SUMIF('METRADO POR AMBIENTE'!$I$11:$I$315,F33,'METRADO POR AMBIENTE'!$H$11:$H$315)</f>
        <v/>
      </c>
      <c r="F33" s="12" t="inlineStr">
        <is>
          <t>M13</t>
        </is>
      </c>
    </row>
    <row r="34">
      <c r="A34" s="10" t="inlineStr">
        <is>
          <t>03.01.02.06</t>
        </is>
      </c>
      <c r="B34" s="10" t="inlineStr">
        <is>
          <t>M14</t>
        </is>
      </c>
      <c r="C34" s="5" t="inlineStr">
        <is>
          <t>MACETERO 0.32 X 0.32 X 0.56 M</t>
        </is>
      </c>
      <c r="D34" s="10" t="inlineStr">
        <is>
          <t>und</t>
        </is>
      </c>
      <c r="E34" s="11">
        <f>SUMIF('METRADO POR AMBIENTE'!$I$11:$I$315,F34,'METRADO POR AMBIENTE'!$H$11:$H$315)</f>
        <v/>
      </c>
      <c r="F34" s="12" t="inlineStr">
        <is>
          <t>M14</t>
        </is>
      </c>
    </row>
    <row r="35">
      <c r="A35" s="10" t="inlineStr">
        <is>
          <t>03.01.02.07</t>
        </is>
      </c>
      <c r="B35" s="10" t="inlineStr">
        <is>
          <t>M15</t>
        </is>
      </c>
      <c r="C35" s="5" t="inlineStr">
        <is>
          <t>ATRIL DE MESA PARA DIBUJO Y PINTURA</t>
        </is>
      </c>
      <c r="D35" s="10" t="inlineStr">
        <is>
          <t>und</t>
        </is>
      </c>
      <c r="E35" s="11">
        <f>SUMIF('METRADO POR AMBIENTE'!$I$11:$I$315,F35,'METRADO POR AMBIENTE'!$H$11:$H$315)</f>
        <v/>
      </c>
      <c r="F35" s="12" t="inlineStr">
        <is>
          <t>M15</t>
        </is>
      </c>
    </row>
    <row r="36">
      <c r="A36" s="10" t="inlineStr">
        <is>
          <t>03.01.02.08</t>
        </is>
      </c>
      <c r="B36" s="10" t="inlineStr">
        <is>
          <t>M16</t>
        </is>
      </c>
      <c r="C36" s="5" t="inlineStr">
        <is>
          <t>MESA DE TRABAJO DE MADERA PARA ESTUDIANTES 0.90 X 1.80 X 0.56 M</t>
        </is>
      </c>
      <c r="D36" s="10" t="inlineStr">
        <is>
          <t>und</t>
        </is>
      </c>
      <c r="E36" s="11">
        <f>SUMIF('METRADO POR AMBIENTE'!$I$11:$I$315,F36,'METRADO POR AMBIENTE'!$H$11:$H$315)</f>
        <v/>
      </c>
      <c r="F36" s="12" t="inlineStr">
        <is>
          <t>M16</t>
        </is>
      </c>
    </row>
    <row r="37">
      <c r="A37" s="10" t="inlineStr">
        <is>
          <t>03.01.02.09</t>
        </is>
      </c>
      <c r="B37" s="10" t="inlineStr">
        <is>
          <t>M20</t>
        </is>
      </c>
      <c r="C37" s="5" t="inlineStr">
        <is>
          <t>BIOMBO METALICO DE 3 CUERPOS</t>
        </is>
      </c>
      <c r="D37" s="10" t="inlineStr">
        <is>
          <t>und</t>
        </is>
      </c>
      <c r="E37" s="11">
        <f>SUMIF('METRADO POR AMBIENTE'!$I$11:$I$315,F37,'METRADO POR AMBIENTE'!$H$11:$H$315)</f>
        <v/>
      </c>
      <c r="F37" s="12" t="inlineStr">
        <is>
          <t>M20</t>
        </is>
      </c>
    </row>
    <row r="38">
      <c r="A38" s="10" t="inlineStr">
        <is>
          <t>03.01.02.10</t>
        </is>
      </c>
      <c r="B38" s="10" t="inlineStr">
        <is>
          <t>M21</t>
        </is>
      </c>
      <c r="C38" s="5" t="inlineStr">
        <is>
          <t>MESA DE REUNIONES DE MADERA Y MELAMINA 2.40 X 1.00 X 0.75 M</t>
        </is>
      </c>
      <c r="D38" s="10" t="inlineStr">
        <is>
          <t>und</t>
        </is>
      </c>
      <c r="E38" s="11">
        <f>SUMIF('METRADO POR AMBIENTE'!$I$11:$I$315,F38,'METRADO POR AMBIENTE'!$H$11:$H$315)</f>
        <v/>
      </c>
      <c r="F38" s="12" t="inlineStr">
        <is>
          <t>M21</t>
        </is>
      </c>
    </row>
    <row r="39">
      <c r="A39" s="10" t="inlineStr">
        <is>
          <t>03.01.02.11</t>
        </is>
      </c>
      <c r="B39" s="10" t="inlineStr">
        <is>
          <t>M26</t>
        </is>
      </c>
      <c r="C39" s="5" t="inlineStr">
        <is>
          <t>MESA DE TRABAJO DE ACERO INOXIDABLE 0.90 X 0.60 X 0.90 M</t>
        </is>
      </c>
      <c r="D39" s="10" t="inlineStr">
        <is>
          <t>und</t>
        </is>
      </c>
      <c r="E39" s="11">
        <f>SUMIF('METRADO POR AMBIENTE'!$I$11:$I$315,F39,'METRADO POR AMBIENTE'!$H$11:$H$315)</f>
        <v/>
      </c>
      <c r="F39" s="12" t="inlineStr">
        <is>
          <t>M26</t>
        </is>
      </c>
    </row>
    <row r="40">
      <c r="A40" s="10" t="inlineStr">
        <is>
          <t>03.01.02.12</t>
        </is>
      </c>
      <c r="B40" s="10" t="inlineStr">
        <is>
          <t>M27</t>
        </is>
      </c>
      <c r="C40" s="5" t="inlineStr">
        <is>
          <t>SILLA DE RUEDAS</t>
        </is>
      </c>
      <c r="D40" s="10" t="inlineStr">
        <is>
          <t>und</t>
        </is>
      </c>
      <c r="E40" s="11">
        <f>SUMIF('METRADO POR AMBIENTE'!$I$11:$I$315,F40,'METRADO POR AMBIENTE'!$H$11:$H$315)</f>
        <v/>
      </c>
      <c r="F40" s="12" t="inlineStr">
        <is>
          <t>M27</t>
        </is>
      </c>
    </row>
    <row r="41">
      <c r="A41" s="10" t="inlineStr">
        <is>
          <t>03.01.02.13</t>
        </is>
      </c>
      <c r="B41" s="10" t="inlineStr">
        <is>
          <t>M28</t>
        </is>
      </c>
      <c r="C41" s="5" t="inlineStr">
        <is>
          <t>ESCRITORIO DE MELAMINA CON DOS CAJONERAS 1.00 X 0.50 X 0.75 M</t>
        </is>
      </c>
      <c r="D41" s="10" t="inlineStr">
        <is>
          <t>und</t>
        </is>
      </c>
      <c r="E41" s="11">
        <f>SUMIF('METRADO POR AMBIENTE'!$I$11:$I$315,F41,'METRADO POR AMBIENTE'!$H$11:$H$315)</f>
        <v/>
      </c>
      <c r="F41" s="12" t="inlineStr">
        <is>
          <t>M28</t>
        </is>
      </c>
    </row>
    <row r="42">
      <c r="A42" s="10" t="inlineStr">
        <is>
          <t>03.01.02.14</t>
        </is>
      </c>
      <c r="B42" s="10" t="inlineStr">
        <is>
          <t>M30</t>
        </is>
      </c>
      <c r="C42" s="5" t="inlineStr">
        <is>
          <t>ESCRITORIO PARA COMPUTADORA DE MELAMINE 1.00 X 0.60 X 0.75 M</t>
        </is>
      </c>
      <c r="D42" s="10" t="inlineStr">
        <is>
          <t>und</t>
        </is>
      </c>
      <c r="E42" s="11">
        <f>SUMIF('METRADO POR AMBIENTE'!$I$11:$I$315,F42,'METRADO POR AMBIENTE'!$H$11:$H$315)</f>
        <v/>
      </c>
      <c r="F42" s="12" t="inlineStr">
        <is>
          <t>M30</t>
        </is>
      </c>
    </row>
    <row r="43">
      <c r="A43" s="10" t="inlineStr">
        <is>
          <t>03.01.02.15</t>
        </is>
      </c>
      <c r="B43" s="10" t="inlineStr">
        <is>
          <t>M31</t>
        </is>
      </c>
      <c r="C43" s="5" t="inlineStr">
        <is>
          <t>ESCRITORIO DE MELAMINA CON CREDENZA MOVIL 1.50 X 0.80 X 0.75 M</t>
        </is>
      </c>
      <c r="D43" s="10" t="inlineStr">
        <is>
          <t>und</t>
        </is>
      </c>
      <c r="E43" s="11">
        <f>SUMIF('METRADO POR AMBIENTE'!$I$11:$I$315,F43,'METRADO POR AMBIENTE'!$H$11:$H$315)</f>
        <v/>
      </c>
      <c r="F43" s="12" t="inlineStr">
        <is>
          <t>M31</t>
        </is>
      </c>
    </row>
    <row r="44">
      <c r="A44" s="10" t="inlineStr">
        <is>
          <t>03.01.02.16</t>
        </is>
      </c>
      <c r="B44" s="10" t="inlineStr">
        <is>
          <t>M32</t>
        </is>
      </c>
      <c r="C44" s="5" t="inlineStr">
        <is>
          <t>SILLON PARA ACOPLAR 0.44 X 0.55 X 0.60 M</t>
        </is>
      </c>
      <c r="D44" s="10" t="inlineStr">
        <is>
          <t>und</t>
        </is>
      </c>
      <c r="E44" s="11">
        <f>SUMIF('METRADO POR AMBIENTE'!$I$11:$I$315,F44,'METRADO POR AMBIENTE'!$H$11:$H$315)</f>
        <v/>
      </c>
      <c r="F44" s="12" t="inlineStr">
        <is>
          <t>M32</t>
        </is>
      </c>
    </row>
    <row r="45">
      <c r="A45" s="10" t="inlineStr">
        <is>
          <t>03.01.02.17</t>
        </is>
      </c>
      <c r="B45" s="10" t="inlineStr">
        <is>
          <t>M34</t>
        </is>
      </c>
      <c r="C45" s="5" t="inlineStr">
        <is>
          <t>SOFA DE 2 CUERPOS 0.55X1.00X0.44M</t>
        </is>
      </c>
      <c r="D45" s="10" t="inlineStr">
        <is>
          <t>und</t>
        </is>
      </c>
      <c r="E45" s="11">
        <f>SUMIF('METRADO POR AMBIENTE'!$I$11:$I$315,F45,'METRADO POR AMBIENTE'!$H$11:$H$315)</f>
        <v/>
      </c>
      <c r="F45" s="12" t="inlineStr">
        <is>
          <t>M34</t>
        </is>
      </c>
    </row>
    <row r="46">
      <c r="A46" s="10" t="inlineStr">
        <is>
          <t>03.01.02.18</t>
        </is>
      </c>
      <c r="B46" s="10" t="inlineStr">
        <is>
          <t>M36</t>
        </is>
      </c>
      <c r="C46" s="5" t="inlineStr">
        <is>
          <t>ARMARIO PARA DOCENTE DE MELAMINA CON 2 PUERTAS 4 NIVELES 0.90 X 0.45 X 1.80 M</t>
        </is>
      </c>
      <c r="D46" s="10" t="inlineStr">
        <is>
          <t>und</t>
        </is>
      </c>
      <c r="E46" s="11">
        <f>SUMIF('METRADO POR AMBIENTE'!$I$11:$I$315,F46,'METRADO POR AMBIENTE'!$H$11:$H$315)</f>
        <v/>
      </c>
      <c r="F46" s="12" t="inlineStr">
        <is>
          <t>M36</t>
        </is>
      </c>
    </row>
    <row r="47">
      <c r="A47" s="10" t="inlineStr">
        <is>
          <t>03.01.02.19</t>
        </is>
      </c>
      <c r="B47" s="10" t="inlineStr">
        <is>
          <t>M37</t>
        </is>
      </c>
      <c r="C47" s="5" t="inlineStr">
        <is>
          <t>ARMARIO PARA ALMACENAR MATERIAL DE MELAMINA CON 2 PUERTAS Y 5 DIVISIONES 0.90 X 0.60 X 1.80 M</t>
        </is>
      </c>
      <c r="D47" s="10" t="inlineStr">
        <is>
          <t>und</t>
        </is>
      </c>
      <c r="E47" s="11">
        <f>SUMIF('METRADO POR AMBIENTE'!$I$11:$I$315,F47,'METRADO POR AMBIENTE'!$H$11:$H$315)</f>
        <v/>
      </c>
      <c r="F47" s="12" t="inlineStr">
        <is>
          <t>M37</t>
        </is>
      </c>
    </row>
    <row r="48">
      <c r="A48" s="10" t="inlineStr">
        <is>
          <t>03.01.02.20</t>
        </is>
      </c>
      <c r="B48" s="10" t="inlineStr">
        <is>
          <t>M39</t>
        </is>
      </c>
      <c r="C48" s="5" t="inlineStr">
        <is>
          <t>ARCHIVADOR DE MELAMINA CON TRES GAVETAS 0.60 X 0.46 X 1.20 M</t>
        </is>
      </c>
      <c r="D48" s="10" t="inlineStr">
        <is>
          <t>und</t>
        </is>
      </c>
      <c r="E48" s="11">
        <f>SUMIF('METRADO POR AMBIENTE'!$I$11:$I$315,F48,'METRADO POR AMBIENTE'!$H$11:$H$315)</f>
        <v/>
      </c>
      <c r="F48" s="12" t="inlineStr">
        <is>
          <t>M39</t>
        </is>
      </c>
    </row>
    <row r="49">
      <c r="A49" s="10" t="inlineStr">
        <is>
          <t>03.01.02.21</t>
        </is>
      </c>
      <c r="B49" s="10" t="inlineStr">
        <is>
          <t>M42</t>
        </is>
      </c>
      <c r="C49" s="5" t="inlineStr">
        <is>
          <t>CASILLERO DE MELAMINE Y METAL 0.40X0.45X1.60 M. CAP 12 ESPACIOS (4 CASILLEROS POR NIVEL)</t>
        </is>
      </c>
      <c r="D49" s="10" t="inlineStr">
        <is>
          <t>und</t>
        </is>
      </c>
      <c r="E49" s="11">
        <f>SUMIF('METRADO POR AMBIENTE'!$I$11:$I$315,F49,'METRADO POR AMBIENTE'!$H$11:$H$315)</f>
        <v/>
      </c>
      <c r="F49" s="12" t="inlineStr">
        <is>
          <t>M42</t>
        </is>
      </c>
    </row>
    <row r="50">
      <c r="A50" s="10" t="inlineStr">
        <is>
          <t>03.01.02.22</t>
        </is>
      </c>
      <c r="B50" s="10" t="inlineStr">
        <is>
          <t>M44</t>
        </is>
      </c>
      <c r="C50" s="5" t="inlineStr">
        <is>
          <t>CREDENZA DE MELAMINA CON DOS PUERTAS, DOS DIVISIONES Y TRES GAVETAS 0.75 X 0.40 X 1.20 M</t>
        </is>
      </c>
      <c r="D50" s="10" t="inlineStr">
        <is>
          <t>und</t>
        </is>
      </c>
      <c r="E50" s="11">
        <f>SUMIF('METRADO POR AMBIENTE'!$I$11:$I$315,F50,'METRADO POR AMBIENTE'!$H$11:$H$315)</f>
        <v/>
      </c>
      <c r="F50" s="12" t="inlineStr">
        <is>
          <t>M44</t>
        </is>
      </c>
    </row>
    <row r="51">
      <c r="A51" s="10" t="inlineStr">
        <is>
          <t>03.01.02.23</t>
        </is>
      </c>
      <c r="B51" s="10" t="inlineStr">
        <is>
          <t>M51</t>
        </is>
      </c>
      <c r="C51" s="5" t="inlineStr">
        <is>
          <t>ESTANTE METÁLICO RANURADO CON CUATRO DIVISIONES 0.90 X 0.45 X 1.80 M</t>
        </is>
      </c>
      <c r="D51" s="10" t="inlineStr">
        <is>
          <t>und</t>
        </is>
      </c>
      <c r="E51" s="11">
        <f>SUMIF('METRADO POR AMBIENTE'!$I$11:$I$315,F51,'METRADO POR AMBIENTE'!$H$11:$H$315)</f>
        <v/>
      </c>
      <c r="F51" s="12" t="inlineStr">
        <is>
          <t>M51</t>
        </is>
      </c>
    </row>
    <row r="52">
      <c r="A52" s="10" t="inlineStr">
        <is>
          <t>03.01.02.24</t>
        </is>
      </c>
      <c r="B52" s="10" t="inlineStr">
        <is>
          <t>M52</t>
        </is>
      </c>
      <c r="C52" s="5" t="inlineStr">
        <is>
          <t>ESTANTE DE ACERO INOXIDABLE CON CUATRO DIVISIONES CON BANDEJA 0.60 X 0.60 X 1.80 M</t>
        </is>
      </c>
      <c r="D52" s="10" t="inlineStr">
        <is>
          <t>und</t>
        </is>
      </c>
      <c r="E52" s="11">
        <f>SUMIF('METRADO POR AMBIENTE'!$I$11:$I$315,F52,'METRADO POR AMBIENTE'!$H$11:$H$315)</f>
        <v/>
      </c>
      <c r="F52" s="12" t="inlineStr">
        <is>
          <t>M52</t>
        </is>
      </c>
    </row>
    <row r="53">
      <c r="A53" s="10" t="inlineStr">
        <is>
          <t>03.01.02.25</t>
        </is>
      </c>
      <c r="B53" s="10" t="inlineStr">
        <is>
          <t>M54</t>
        </is>
      </c>
      <c r="C53" s="5" t="inlineStr">
        <is>
          <t>EXHIBIDOR DE LIBROS DE MELAMINA CON DIVISIONES ESCALONADAS 0.85 X 0.40 X 1.20 M</t>
        </is>
      </c>
      <c r="D53" s="10" t="inlineStr">
        <is>
          <t>und</t>
        </is>
      </c>
      <c r="E53" s="11">
        <f>SUMIF('METRADO POR AMBIENTE'!$I$11:$I$315,F53,'METRADO POR AMBIENTE'!$H$11:$H$315)</f>
        <v/>
      </c>
      <c r="F53" s="12" t="inlineStr">
        <is>
          <t>M54</t>
        </is>
      </c>
    </row>
    <row r="54">
      <c r="A54" s="10" t="inlineStr">
        <is>
          <t>03.01.02.26</t>
        </is>
      </c>
      <c r="B54" s="10" t="inlineStr">
        <is>
          <t>M55</t>
        </is>
      </c>
      <c r="C54" s="5" t="inlineStr">
        <is>
          <t>CAMA CON CABECERA DE 0.90 X 1.90 M</t>
        </is>
      </c>
      <c r="D54" s="10" t="inlineStr">
        <is>
          <t>und</t>
        </is>
      </c>
      <c r="E54" s="11">
        <f>SUMIF('METRADO POR AMBIENTE'!$I$11:$I$315,F54,'METRADO POR AMBIENTE'!$H$11:$H$315)</f>
        <v/>
      </c>
      <c r="F54" s="12" t="inlineStr">
        <is>
          <t>M55</t>
        </is>
      </c>
    </row>
    <row r="55">
      <c r="A55" s="10" t="inlineStr">
        <is>
          <t>03.01.02.27</t>
        </is>
      </c>
      <c r="B55" s="10" t="inlineStr">
        <is>
          <t>M56</t>
        </is>
      </c>
      <c r="C55" s="5" t="inlineStr">
        <is>
          <t>MUEBLE BAJO DE MELAMINA PARA EL GUARDADO DE MOCHILA CON 2 DIVISIONES 0.60 X 0.40 X 1.00 M</t>
        </is>
      </c>
      <c r="D55" s="10" t="inlineStr">
        <is>
          <t>und</t>
        </is>
      </c>
      <c r="E55" s="11">
        <f>SUMIF('METRADO POR AMBIENTE'!$I$11:$I$315,F55,'METRADO POR AMBIENTE'!$H$11:$H$315)</f>
        <v/>
      </c>
      <c r="F55" s="12" t="inlineStr">
        <is>
          <t>M56</t>
        </is>
      </c>
    </row>
    <row r="56">
      <c r="A56" s="10" t="inlineStr">
        <is>
          <t>03.01.02.28</t>
        </is>
      </c>
      <c r="B56" s="10" t="inlineStr">
        <is>
          <t>M57</t>
        </is>
      </c>
      <c r="C56" s="5" t="inlineStr">
        <is>
          <t>MUEBLE BAJO DE MELAMINA CON 2 PUERTAS DOS DIVISIONES HORIZONTALES 0.60 X 1.20X 1.00 M</t>
        </is>
      </c>
      <c r="D56" s="10" t="inlineStr">
        <is>
          <t>und</t>
        </is>
      </c>
      <c r="E56" s="11">
        <f>SUMIF('METRADO POR AMBIENTE'!$I$11:$I$315,F56,'METRADO POR AMBIENTE'!$H$11:$H$315)</f>
        <v/>
      </c>
      <c r="F56" s="12" t="inlineStr">
        <is>
          <t>M57</t>
        </is>
      </c>
    </row>
    <row r="57">
      <c r="A57" s="10" t="inlineStr">
        <is>
          <t>03.01.02.29</t>
        </is>
      </c>
      <c r="B57" s="10" t="inlineStr">
        <is>
          <t>M60</t>
        </is>
      </c>
      <c r="C57" s="5" t="inlineStr">
        <is>
          <t>PAPELERA DE PLASTICO CON PEDAL</t>
        </is>
      </c>
      <c r="D57" s="10" t="inlineStr">
        <is>
          <t>und</t>
        </is>
      </c>
      <c r="E57" s="11">
        <f>SUMIF('METRADO POR AMBIENTE'!$I$11:$I$315,F57,'METRADO POR AMBIENTE'!$H$11:$H$315)</f>
        <v/>
      </c>
      <c r="F57" s="12" t="inlineStr">
        <is>
          <t>M60</t>
        </is>
      </c>
    </row>
    <row r="58">
      <c r="A58" s="10" t="inlineStr">
        <is>
          <t>03.01.02.30</t>
        </is>
      </c>
      <c r="B58" s="10" t="inlineStr">
        <is>
          <t>M61</t>
        </is>
      </c>
      <c r="C58" s="5" t="inlineStr">
        <is>
          <t>VELADOR DE 1 GAVETA 0.40X0.50X0.60M</t>
        </is>
      </c>
      <c r="D58" s="10" t="inlineStr">
        <is>
          <t>und</t>
        </is>
      </c>
      <c r="E58" s="11">
        <f>SUMIF('METRADO POR AMBIENTE'!$I$11:$I$315,F58,'METRADO POR AMBIENTE'!$H$11:$H$315)</f>
        <v/>
      </c>
      <c r="F58" s="12" t="inlineStr">
        <is>
          <t>M61</t>
        </is>
      </c>
    </row>
    <row r="59">
      <c r="A59" s="10" t="inlineStr">
        <is>
          <t>03.01.02.31</t>
        </is>
      </c>
      <c r="B59" s="10" t="inlineStr">
        <is>
          <t>M62</t>
        </is>
      </c>
      <c r="C59" s="5" t="inlineStr">
        <is>
          <t>CESTO BOTA PAPELES DE ACERO CON PEDAL</t>
        </is>
      </c>
      <c r="D59" s="10" t="inlineStr">
        <is>
          <t>und</t>
        </is>
      </c>
      <c r="E59" s="11">
        <f>SUMIF('METRADO POR AMBIENTE'!$I$11:$I$315,F59,'METRADO POR AMBIENTE'!$H$11:$H$315)</f>
        <v/>
      </c>
      <c r="F59" s="12" t="inlineStr">
        <is>
          <t>M62</t>
        </is>
      </c>
    </row>
    <row r="60">
      <c r="A60" s="10" t="inlineStr">
        <is>
          <t>03.01.02.32</t>
        </is>
      </c>
      <c r="B60" s="10" t="inlineStr">
        <is>
          <t>M63</t>
        </is>
      </c>
      <c r="C60" s="5" t="inlineStr">
        <is>
          <t>SOFÁ DE 3 CUERPOS 0.55 X 1.80 X 0.44 M</t>
        </is>
      </c>
      <c r="D60" s="10" t="inlineStr">
        <is>
          <t>und</t>
        </is>
      </c>
      <c r="E60" s="11">
        <f>SUMIF('METRADO POR AMBIENTE'!$I$11:$I$315,F60,'METRADO POR AMBIENTE'!$H$11:$H$315)</f>
        <v/>
      </c>
      <c r="F60" s="12" t="inlineStr">
        <is>
          <t>M63</t>
        </is>
      </c>
    </row>
    <row r="61">
      <c r="A61" s="10" t="inlineStr">
        <is>
          <t>03.01.02.33</t>
        </is>
      </c>
      <c r="B61" s="10" t="inlineStr">
        <is>
          <t>M64</t>
        </is>
      </c>
      <c r="C61" s="5" t="inlineStr">
        <is>
          <t>CANASTILLA MOVIL CON RUEDAS 1.00 X 0.80 X 1.00</t>
        </is>
      </c>
      <c r="D61" s="10" t="inlineStr">
        <is>
          <t>und</t>
        </is>
      </c>
      <c r="E61" s="11">
        <f>SUMIF('METRADO POR AMBIENTE'!$I$11:$I$315,F61,'METRADO POR AMBIENTE'!$H$11:$H$315)</f>
        <v/>
      </c>
      <c r="F61" s="12" t="inlineStr">
        <is>
          <t>M64</t>
        </is>
      </c>
    </row>
    <row r="62">
      <c r="A62" s="10" t="inlineStr">
        <is>
          <t>03.01.02.34</t>
        </is>
      </c>
      <c r="B62" s="10" t="inlineStr">
        <is>
          <t>M65</t>
        </is>
      </c>
      <c r="C62" s="5" t="inlineStr">
        <is>
          <t>CAMILLA METALICA RECLINABLE CON RESPALDO Y RUEDAS 1.80 X 0.60 X 0.70 M</t>
        </is>
      </c>
      <c r="D62" s="10" t="inlineStr">
        <is>
          <t>und</t>
        </is>
      </c>
      <c r="E62" s="11">
        <f>SUMIF('METRADO POR AMBIENTE'!$I$11:$I$315,F62,'METRADO POR AMBIENTE'!$H$11:$H$315)</f>
        <v/>
      </c>
      <c r="F62" s="12" t="inlineStr">
        <is>
          <t>M65</t>
        </is>
      </c>
    </row>
    <row r="63">
      <c r="A63" s="10" t="inlineStr">
        <is>
          <t>03.01.02.35</t>
        </is>
      </c>
      <c r="B63" s="10" t="inlineStr">
        <is>
          <t>M67</t>
        </is>
      </c>
      <c r="C63" s="5" t="inlineStr">
        <is>
          <t>ESCALERA METÁLICA CON DOS PELDAÑOS 0.40 X 0.40 X 0.36 M</t>
        </is>
      </c>
      <c r="D63" s="10" t="inlineStr">
        <is>
          <t>und</t>
        </is>
      </c>
      <c r="E63" s="11">
        <f>SUMIF('METRADO POR AMBIENTE'!$I$11:$I$315,F63,'METRADO POR AMBIENTE'!$H$11:$H$315)</f>
        <v/>
      </c>
      <c r="F63" s="12" t="inlineStr">
        <is>
          <t>M67</t>
        </is>
      </c>
    </row>
    <row r="64">
      <c r="A64" s="10" t="inlineStr">
        <is>
          <t>03.01.02.36</t>
        </is>
      </c>
      <c r="B64" s="10" t="inlineStr">
        <is>
          <t>M68</t>
        </is>
      </c>
      <c r="C64" s="5" t="inlineStr">
        <is>
          <t>PARIHUELA DE MADERA 0.90 X 0.50 X 0.20 M</t>
        </is>
      </c>
      <c r="D64" s="10" t="inlineStr">
        <is>
          <t>und</t>
        </is>
      </c>
      <c r="E64" s="11">
        <f>SUMIF('METRADO POR AMBIENTE'!$I$11:$I$315,F64,'METRADO POR AMBIENTE'!$H$11:$H$315)</f>
        <v/>
      </c>
      <c r="F64" s="12" t="inlineStr">
        <is>
          <t>M68</t>
        </is>
      </c>
    </row>
    <row r="65">
      <c r="A65" s="10" t="inlineStr">
        <is>
          <t>03.01.02.37</t>
        </is>
      </c>
      <c r="B65" s="10" t="inlineStr">
        <is>
          <t>M69</t>
        </is>
      </c>
      <c r="C65" s="5" t="inlineStr">
        <is>
          <t>PIZARRA ACRILICA 4.20X1.20 INC. ACCESORIOS DE FIJACION</t>
        </is>
      </c>
      <c r="D65" s="10" t="inlineStr">
        <is>
          <t>und</t>
        </is>
      </c>
      <c r="E65" s="11">
        <f>SUMIF('METRADO POR AMBIENTE'!$I$11:$I$315,F65,'METRADO POR AMBIENTE'!$H$11:$H$315)</f>
        <v/>
      </c>
      <c r="F65" s="12" t="inlineStr">
        <is>
          <t>M69</t>
        </is>
      </c>
    </row>
    <row r="66">
      <c r="A66" s="10" t="inlineStr">
        <is>
          <t>03.01.02.38</t>
        </is>
      </c>
      <c r="B66" s="10" t="inlineStr">
        <is>
          <t>M70</t>
        </is>
      </c>
      <c r="C66" s="5" t="inlineStr">
        <is>
          <t>BOTIQUIN DE MADERA CON DOS DIVISIONES UNA PUERTA Y UNA MANIJA DE 0.30 X 0.15 X 0.40 M PARA PRIMEROS AUXILIOS INC. MEDICAMENTOS</t>
        </is>
      </c>
      <c r="D66" s="10" t="inlineStr">
        <is>
          <t>und</t>
        </is>
      </c>
      <c r="E66" s="11">
        <f>SUMIF('METRADO POR AMBIENTE'!$I$11:$I$315,F66,'METRADO POR AMBIENTE'!$H$11:$H$315)</f>
        <v/>
      </c>
      <c r="F66" s="12" t="inlineStr">
        <is>
          <t>M70</t>
        </is>
      </c>
    </row>
    <row r="67">
      <c r="A67" s="10" t="inlineStr">
        <is>
          <t>03.01.02.39</t>
        </is>
      </c>
      <c r="B67" s="10" t="inlineStr">
        <is>
          <t>M71</t>
        </is>
      </c>
      <c r="C67" s="5" t="inlineStr">
        <is>
          <t>COCHE MULTIUSOS MOVIL DE ACERO INOXIDABLE 0.80 X 0.40 X 0.90 M</t>
        </is>
      </c>
      <c r="D67" s="10" t="inlineStr">
        <is>
          <t>und</t>
        </is>
      </c>
      <c r="E67" s="11">
        <f>SUMIF('METRADO POR AMBIENTE'!$I$11:$I$315,F67,'METRADO POR AMBIENTE'!$H$11:$H$315)</f>
        <v/>
      </c>
      <c r="F67" s="12" t="inlineStr">
        <is>
          <t>M71</t>
        </is>
      </c>
    </row>
    <row r="68">
      <c r="A68" s="10" t="inlineStr">
        <is>
          <t>03.01.02.40</t>
        </is>
      </c>
      <c r="B68" s="10" t="inlineStr">
        <is>
          <t>M73</t>
        </is>
      </c>
      <c r="C68" s="5" t="inlineStr">
        <is>
          <t>ESTACIÓN DE SERVIDO CON TRES BANDEJAS, UNA PUERTA Y UNA CUBIERTA 1.20 X 0.70 X 0.90 M</t>
        </is>
      </c>
      <c r="D68" s="10" t="inlineStr">
        <is>
          <t>und</t>
        </is>
      </c>
      <c r="E68" s="11">
        <f>SUMIF('METRADO POR AMBIENTE'!$I$11:$I$315,F68,'METRADO POR AMBIENTE'!$H$11:$H$315)</f>
        <v/>
      </c>
      <c r="F68" s="12" t="inlineStr">
        <is>
          <t>M73</t>
        </is>
      </c>
    </row>
    <row r="69">
      <c r="A69" s="10" t="inlineStr">
        <is>
          <t>03.01.02.41</t>
        </is>
      </c>
      <c r="B69" s="10" t="inlineStr">
        <is>
          <t>M75</t>
        </is>
      </c>
      <c r="C69" s="5" t="inlineStr">
        <is>
          <t>CONTENEDOR CON TAPA PARA RESIDUOS SOLIDOS 0.80X1.00X1.00 M</t>
        </is>
      </c>
      <c r="D69" s="10" t="inlineStr">
        <is>
          <t>und</t>
        </is>
      </c>
      <c r="E69" s="11">
        <f>SUMIF('METRADO POR AMBIENTE'!$I$11:$I$315,F69,'METRADO POR AMBIENTE'!$H$11:$H$315)</f>
        <v/>
      </c>
      <c r="F69" s="12" t="inlineStr">
        <is>
          <t>M75</t>
        </is>
      </c>
    </row>
    <row r="70">
      <c r="A70" s="10" t="inlineStr">
        <is>
          <t>03.01.02.42</t>
        </is>
      </c>
      <c r="B70" s="10" t="inlineStr">
        <is>
          <t>M76</t>
        </is>
      </c>
      <c r="C70" s="5" t="inlineStr">
        <is>
          <t>DISPENSADOR DE PAPEL HIGIÉNICO DE 0.10 X 0.14 X 0.12 M</t>
        </is>
      </c>
      <c r="D70" s="10" t="inlineStr">
        <is>
          <t>und</t>
        </is>
      </c>
      <c r="E70" s="11">
        <f>SUMIF('METRADO POR AMBIENTE'!$I$11:$I$315,F70,'METRADO POR AMBIENTE'!$H$11:$H$315)</f>
        <v/>
      </c>
      <c r="F70" s="12" t="inlineStr">
        <is>
          <t>M76</t>
        </is>
      </c>
    </row>
    <row r="71">
      <c r="A71" s="10" t="inlineStr">
        <is>
          <t>03.01.02.43</t>
        </is>
      </c>
      <c r="B71" s="10" t="inlineStr">
        <is>
          <t>M77</t>
        </is>
      </c>
      <c r="C71" s="5" t="inlineStr">
        <is>
          <t>DISPENSADOR DE PAPEL TOALLA INTERFOLIADO DE 0.26 X 0.28 X 0.10 M</t>
        </is>
      </c>
      <c r="D71" s="10" t="inlineStr">
        <is>
          <t>und</t>
        </is>
      </c>
      <c r="E71" s="11">
        <f>SUMIF('METRADO POR AMBIENTE'!$I$11:$I$315,F71,'METRADO POR AMBIENTE'!$H$11:$H$315)</f>
        <v/>
      </c>
      <c r="F71" s="12" t="inlineStr">
        <is>
          <t>M77</t>
        </is>
      </c>
    </row>
    <row r="72">
      <c r="A72" s="10" t="inlineStr">
        <is>
          <t>03.01.02.44</t>
        </is>
      </c>
      <c r="B72" s="10" t="inlineStr">
        <is>
          <t>M78</t>
        </is>
      </c>
      <c r="C72" s="5" t="inlineStr">
        <is>
          <t>CAMA DE DOS PLAZAS (INCLUYE TARIMA)</t>
        </is>
      </c>
      <c r="D72" s="10" t="inlineStr">
        <is>
          <t>und</t>
        </is>
      </c>
      <c r="E72" s="11">
        <f>SUMIF('METRADO POR AMBIENTE'!$I$11:$I$315,F72,'METRADO POR AMBIENTE'!$H$11:$H$315)</f>
        <v/>
      </c>
      <c r="F72" s="12" t="inlineStr">
        <is>
          <t>M78</t>
        </is>
      </c>
    </row>
    <row r="73">
      <c r="A73" s="9" t="inlineStr">
        <is>
          <t>03.01.03</t>
        </is>
      </c>
      <c r="B73" s="10" t="n"/>
      <c r="C73" s="3" t="inlineStr">
        <is>
          <t>IMPLEMENTOS</t>
        </is>
      </c>
      <c r="D73" s="10" t="n"/>
      <c r="E73" s="10" t="n"/>
    </row>
    <row r="74">
      <c r="A74" s="9" t="inlineStr">
        <is>
          <t>03.01.03.01</t>
        </is>
      </c>
      <c r="B74" s="10" t="n"/>
      <c r="C74" s="3" t="inlineStr">
        <is>
          <t>TOPICO - E-01</t>
        </is>
      </c>
      <c r="D74" s="10" t="n"/>
      <c r="E74" s="10" t="n"/>
    </row>
    <row r="75">
      <c r="A75" s="10" t="inlineStr">
        <is>
          <t>03.01.03.01.01</t>
        </is>
      </c>
      <c r="B75" s="10" t="inlineStr"/>
      <c r="C75" s="5" t="inlineStr">
        <is>
          <t>BIDON DE OXIGENO MEDICINAL</t>
        </is>
      </c>
      <c r="D75" s="10" t="inlineStr">
        <is>
          <t>und</t>
        </is>
      </c>
      <c r="E75" s="11">
        <f>SUMIF('METRADO POR AMBIENTE'!$I$11:$I$315,F75,'METRADO POR AMBIENTE'!$H$11:$H$315)</f>
        <v/>
      </c>
      <c r="F75" s="12" t="inlineStr">
        <is>
          <t>K:TOPICO:BIDON DE OXIGENO MEDICINAL</t>
        </is>
      </c>
    </row>
    <row r="76">
      <c r="A76" s="10" t="inlineStr">
        <is>
          <t>03.01.03.01.02</t>
        </is>
      </c>
      <c r="B76" s="10" t="inlineStr"/>
      <c r="C76" s="5" t="inlineStr">
        <is>
          <t>ESTETOSCOPIO</t>
        </is>
      </c>
      <c r="D76" s="10" t="inlineStr">
        <is>
          <t>und</t>
        </is>
      </c>
      <c r="E76" s="11">
        <f>SUMIF('METRADO POR AMBIENTE'!$I$11:$I$315,F76,'METRADO POR AMBIENTE'!$H$11:$H$315)</f>
        <v/>
      </c>
      <c r="F76" s="12" t="inlineStr">
        <is>
          <t>K:TOPICO:ESTETOSCOPIO</t>
        </is>
      </c>
    </row>
    <row r="77">
      <c r="A77" s="10" t="inlineStr">
        <is>
          <t>03.01.03.01.03</t>
        </is>
      </c>
      <c r="B77" s="10" t="inlineStr"/>
      <c r="C77" s="5" t="inlineStr">
        <is>
          <t>TENSIOMETRO</t>
        </is>
      </c>
      <c r="D77" s="10" t="inlineStr">
        <is>
          <t>und</t>
        </is>
      </c>
      <c r="E77" s="11">
        <f>SUMIF('METRADO POR AMBIENTE'!$I$11:$I$315,F77,'METRADO POR AMBIENTE'!$H$11:$H$315)</f>
        <v/>
      </c>
      <c r="F77" s="12" t="inlineStr">
        <is>
          <t>K:TOPICO:TENSIOMETRO</t>
        </is>
      </c>
    </row>
    <row r="78">
      <c r="A78" s="10" t="inlineStr">
        <is>
          <t>03.01.03.01.04</t>
        </is>
      </c>
      <c r="B78" s="10" t="inlineStr"/>
      <c r="C78" s="5" t="inlineStr">
        <is>
          <t>TERMOMETRO DIGITAL</t>
        </is>
      </c>
      <c r="D78" s="10" t="inlineStr">
        <is>
          <t>und</t>
        </is>
      </c>
      <c r="E78" s="11">
        <f>SUMIF('METRADO POR AMBIENTE'!$I$11:$I$315,F78,'METRADO POR AMBIENTE'!$H$11:$H$315)</f>
        <v/>
      </c>
      <c r="F78" s="12" t="inlineStr">
        <is>
          <t>K:TOPICO:TERMOMETRO DIGITAL</t>
        </is>
      </c>
    </row>
    <row r="79">
      <c r="A79" s="9" t="inlineStr">
        <is>
          <t>03.01.03.02</t>
        </is>
      </c>
      <c r="B79" s="10" t="n"/>
      <c r="C79" s="3" t="inlineStr">
        <is>
          <t>ALMACÉN DE IMPLEMENTOS DEPORTIVOS - E-02</t>
        </is>
      </c>
      <c r="D79" s="10" t="n"/>
      <c r="E79" s="10" t="n"/>
    </row>
    <row r="80">
      <c r="A80" s="10" t="inlineStr">
        <is>
          <t>03.01.03.02.01</t>
        </is>
      </c>
      <c r="B80" s="10" t="inlineStr"/>
      <c r="C80" s="5" t="inlineStr">
        <is>
          <t>AROS DE ALUMINIO</t>
        </is>
      </c>
      <c r="D80" s="10" t="inlineStr">
        <is>
          <t>und</t>
        </is>
      </c>
      <c r="E80" s="11">
        <f>SUMIF('METRADO POR AMBIENTE'!$I$11:$I$315,F80,'METRADO POR AMBIENTE'!$H$11:$H$315)</f>
        <v/>
      </c>
      <c r="F80" s="12" t="inlineStr">
        <is>
          <t>K:ALMACÉN DE IMPLEMENTOS DEPORTIVOS:AROS DE ALUMINIO</t>
        </is>
      </c>
    </row>
    <row r="81">
      <c r="A81" s="10" t="inlineStr">
        <is>
          <t>03.01.03.02.02</t>
        </is>
      </c>
      <c r="B81" s="10" t="inlineStr"/>
      <c r="C81" s="5" t="inlineStr">
        <is>
          <t>BALA DE 1KG</t>
        </is>
      </c>
      <c r="D81" s="10" t="inlineStr">
        <is>
          <t>und</t>
        </is>
      </c>
      <c r="E81" s="11">
        <f>SUMIF('METRADO POR AMBIENTE'!$I$11:$I$315,F81,'METRADO POR AMBIENTE'!$H$11:$H$315)</f>
        <v/>
      </c>
      <c r="F81" s="12" t="inlineStr">
        <is>
          <t>K:ALMACÉN DE IMPLEMENTOS DEPORTIVOS:BALA DE 1KG</t>
        </is>
      </c>
    </row>
    <row r="82">
      <c r="A82" s="10" t="inlineStr">
        <is>
          <t>03.01.03.02.03</t>
        </is>
      </c>
      <c r="B82" s="10" t="inlineStr"/>
      <c r="C82" s="5" t="inlineStr">
        <is>
          <t>CODERA ESPUMA ERGONOMETRICA</t>
        </is>
      </c>
      <c r="D82" s="10" t="inlineStr">
        <is>
          <t>und</t>
        </is>
      </c>
      <c r="E82" s="11">
        <f>SUMIF('METRADO POR AMBIENTE'!$I$11:$I$315,F82,'METRADO POR AMBIENTE'!$H$11:$H$315)</f>
        <v/>
      </c>
      <c r="F82" s="12" t="inlineStr">
        <is>
          <t>K:ALMACÉN DE IMPLEMENTOS DEPORTIVOS:CODERA ESPUMA ERGONOMETRICA</t>
        </is>
      </c>
    </row>
    <row r="83">
      <c r="A83" s="10" t="inlineStr">
        <is>
          <t>03.01.03.02.04</t>
        </is>
      </c>
      <c r="B83" s="10" t="inlineStr"/>
      <c r="C83" s="5" t="inlineStr">
        <is>
          <t>COLCHONETAS SIMPLES FORRADO CON CUERO 1.50X0.50</t>
        </is>
      </c>
      <c r="D83" s="10" t="inlineStr">
        <is>
          <t>und</t>
        </is>
      </c>
      <c r="E83" s="11">
        <f>SUMIF('METRADO POR AMBIENTE'!$I$11:$I$315,F83,'METRADO POR AMBIENTE'!$H$11:$H$315)</f>
        <v/>
      </c>
      <c r="F83" s="12" t="inlineStr">
        <is>
          <t>K:ALMACÉN DE IMPLEMENTOS DEPORTIVOS:COLCHONETAS SIMPLES FORRADO CON CUERO 1.50X0.50</t>
        </is>
      </c>
    </row>
    <row r="84">
      <c r="A84" s="10" t="inlineStr">
        <is>
          <t>03.01.03.02.05</t>
        </is>
      </c>
      <c r="B84" s="10" t="inlineStr"/>
      <c r="C84" s="5" t="inlineStr">
        <is>
          <t>DISCO DE GOMA DE 1 KG</t>
        </is>
      </c>
      <c r="D84" s="10" t="inlineStr">
        <is>
          <t>und</t>
        </is>
      </c>
      <c r="E84" s="11">
        <f>SUMIF('METRADO POR AMBIENTE'!$I$11:$I$315,F84,'METRADO POR AMBIENTE'!$H$11:$H$315)</f>
        <v/>
      </c>
      <c r="F84" s="12" t="inlineStr">
        <is>
          <t>K:ALMACÉN DE IMPLEMENTOS DEPORTIVOS:DISCO DE GOMA DE 1 KG</t>
        </is>
      </c>
    </row>
    <row r="85">
      <c r="A85" s="10" t="inlineStr">
        <is>
          <t>03.01.03.02.06</t>
        </is>
      </c>
      <c r="B85" s="10" t="inlineStr"/>
      <c r="C85" s="5" t="inlineStr">
        <is>
          <t>GUANTES DE ENTRENAMIENTO</t>
        </is>
      </c>
      <c r="D85" s="10" t="inlineStr">
        <is>
          <t>und</t>
        </is>
      </c>
      <c r="E85" s="11">
        <f>SUMIF('METRADO POR AMBIENTE'!$I$11:$I$315,F85,'METRADO POR AMBIENTE'!$H$11:$H$315)</f>
        <v/>
      </c>
      <c r="F85" s="12" t="inlineStr">
        <is>
          <t>K:ALMACÉN DE IMPLEMENTOS DEPORTIVOS:GUANTES DE ENTRENAMIENTO</t>
        </is>
      </c>
    </row>
    <row r="86">
      <c r="A86" s="10" t="inlineStr">
        <is>
          <t>03.01.03.02.07</t>
        </is>
      </c>
      <c r="B86" s="10" t="inlineStr"/>
      <c r="C86" s="5" t="inlineStr">
        <is>
          <t>GUANTES DE ESPUMA DE ALTO IMPACTO</t>
        </is>
      </c>
      <c r="D86" s="10" t="inlineStr">
        <is>
          <t>und</t>
        </is>
      </c>
      <c r="E86" s="11">
        <f>SUMIF('METRADO POR AMBIENTE'!$I$11:$I$315,F86,'METRADO POR AMBIENTE'!$H$11:$H$315)</f>
        <v/>
      </c>
      <c r="F86" s="12" t="inlineStr">
        <is>
          <t>K:ALMACÉN DE IMPLEMENTOS DEPORTIVOS:GUANTES DE ESPUMA DE ALTO IMPACTO</t>
        </is>
      </c>
    </row>
    <row r="87">
      <c r="A87" s="10" t="inlineStr">
        <is>
          <t>03.01.03.02.08</t>
        </is>
      </c>
      <c r="B87" s="10" t="inlineStr"/>
      <c r="C87" s="5" t="inlineStr">
        <is>
          <t>INFLADOR DE PIE PARA PELOTAS</t>
        </is>
      </c>
      <c r="D87" s="10" t="inlineStr">
        <is>
          <t>und</t>
        </is>
      </c>
      <c r="E87" s="11">
        <f>SUMIF('METRADO POR AMBIENTE'!$I$11:$I$315,F87,'METRADO POR AMBIENTE'!$H$11:$H$315)</f>
        <v/>
      </c>
      <c r="F87" s="12" t="inlineStr">
        <is>
          <t>K:ALMACÉN DE IMPLEMENTOS DEPORTIVOS:INFLADOR DE PIE PARA PELOTAS</t>
        </is>
      </c>
    </row>
    <row r="88">
      <c r="A88" s="10" t="inlineStr">
        <is>
          <t>03.01.03.02.09</t>
        </is>
      </c>
      <c r="B88" s="10" t="inlineStr"/>
      <c r="C88" s="5" t="inlineStr">
        <is>
          <t>JABALINA DE 600 GR</t>
        </is>
      </c>
      <c r="D88" s="10" t="inlineStr">
        <is>
          <t>und</t>
        </is>
      </c>
      <c r="E88" s="11">
        <f>SUMIF('METRADO POR AMBIENTE'!$I$11:$I$315,F88,'METRADO POR AMBIENTE'!$H$11:$H$315)</f>
        <v/>
      </c>
      <c r="F88" s="12" t="inlineStr">
        <is>
          <t>K:ALMACÉN DE IMPLEMENTOS DEPORTIVOS:JABALINA DE 600 GR</t>
        </is>
      </c>
    </row>
    <row r="89">
      <c r="A89" s="10" t="inlineStr">
        <is>
          <t>03.01.03.02.10</t>
        </is>
      </c>
      <c r="B89" s="10" t="inlineStr"/>
      <c r="C89" s="5" t="inlineStr">
        <is>
          <t>JABALINA DE 700 GR</t>
        </is>
      </c>
      <c r="D89" s="10" t="inlineStr">
        <is>
          <t>und</t>
        </is>
      </c>
      <c r="E89" s="11">
        <f>SUMIF('METRADO POR AMBIENTE'!$I$11:$I$315,F89,'METRADO POR AMBIENTE'!$H$11:$H$315)</f>
        <v/>
      </c>
      <c r="F89" s="12" t="inlineStr">
        <is>
          <t>K:ALMACÉN DE IMPLEMENTOS DEPORTIVOS:JABALINA DE 700 GR</t>
        </is>
      </c>
    </row>
    <row r="90">
      <c r="A90" s="10" t="inlineStr">
        <is>
          <t>03.01.03.02.11</t>
        </is>
      </c>
      <c r="B90" s="10" t="inlineStr"/>
      <c r="C90" s="5" t="inlineStr">
        <is>
          <t>KIT DE VOLEY INC/ NET Y PARANTES TELESCOPICOS</t>
        </is>
      </c>
      <c r="D90" s="10" t="inlineStr">
        <is>
          <t>und</t>
        </is>
      </c>
      <c r="E90" s="11">
        <f>SUMIF('METRADO POR AMBIENTE'!$I$11:$I$315,F90,'METRADO POR AMBIENTE'!$H$11:$H$315)</f>
        <v/>
      </c>
      <c r="F90" s="12" t="inlineStr">
        <is>
          <t>K:ALMACÉN DE IMPLEMENTOS DEPORTIVOS:KIT DE VOLEY INC/ NET Y PARANTES TELESCOPICOS</t>
        </is>
      </c>
    </row>
    <row r="91">
      <c r="A91" s="10" t="inlineStr">
        <is>
          <t>03.01.03.02.12</t>
        </is>
      </c>
      <c r="B91" s="10" t="inlineStr"/>
      <c r="C91" s="5" t="inlineStr">
        <is>
          <t>MICA PROTECTORA EN POLICARBONATO</t>
        </is>
      </c>
      <c r="D91" s="10" t="inlineStr">
        <is>
          <t>und</t>
        </is>
      </c>
      <c r="E91" s="11">
        <f>SUMIF('METRADO POR AMBIENTE'!$I$11:$I$315,F91,'METRADO POR AMBIENTE'!$H$11:$H$315)</f>
        <v/>
      </c>
      <c r="F91" s="12" t="inlineStr">
        <is>
          <t>K:ALMACÉN DE IMPLEMENTOS DEPORTIVOS:MICA PROTECTORA EN POLICARBONATO</t>
        </is>
      </c>
    </row>
    <row r="92">
      <c r="A92" s="10" t="inlineStr">
        <is>
          <t>03.01.03.02.13</t>
        </is>
      </c>
      <c r="B92" s="10" t="inlineStr"/>
      <c r="C92" s="5" t="inlineStr">
        <is>
          <t>PELOTAS DE BASKET #6</t>
        </is>
      </c>
      <c r="D92" s="10" t="inlineStr">
        <is>
          <t>und</t>
        </is>
      </c>
      <c r="E92" s="11">
        <f>SUMIF('METRADO POR AMBIENTE'!$I$11:$I$315,F92,'METRADO POR AMBIENTE'!$H$11:$H$315)</f>
        <v/>
      </c>
      <c r="F92" s="12" t="inlineStr">
        <is>
          <t>K:ALMACÉN DE IMPLEMENTOS DEPORTIVOS:PELOTAS DE BASKET #6</t>
        </is>
      </c>
    </row>
    <row r="93">
      <c r="A93" s="10" t="inlineStr">
        <is>
          <t>03.01.03.02.14</t>
        </is>
      </c>
      <c r="B93" s="10" t="inlineStr"/>
      <c r="C93" s="5" t="inlineStr">
        <is>
          <t>PELOTAS DE BASKET #7</t>
        </is>
      </c>
      <c r="D93" s="10" t="inlineStr">
        <is>
          <t>und</t>
        </is>
      </c>
      <c r="E93" s="11">
        <f>SUMIF('METRADO POR AMBIENTE'!$I$11:$I$315,F93,'METRADO POR AMBIENTE'!$H$11:$H$315)</f>
        <v/>
      </c>
      <c r="F93" s="12" t="inlineStr">
        <is>
          <t>K:ALMACÉN DE IMPLEMENTOS DEPORTIVOS:PELOTAS DE BASKET #7</t>
        </is>
      </c>
    </row>
    <row r="94">
      <c r="A94" s="10" t="inlineStr">
        <is>
          <t>03.01.03.02.15</t>
        </is>
      </c>
      <c r="B94" s="10" t="inlineStr"/>
      <c r="C94" s="5" t="inlineStr">
        <is>
          <t>PELOTAS DE FUTBOL #5</t>
        </is>
      </c>
      <c r="D94" s="10" t="inlineStr">
        <is>
          <t>und</t>
        </is>
      </c>
      <c r="E94" s="11">
        <f>SUMIF('METRADO POR AMBIENTE'!$I$11:$I$315,F94,'METRADO POR AMBIENTE'!$H$11:$H$315)</f>
        <v/>
      </c>
      <c r="F94" s="12" t="inlineStr">
        <is>
          <t>K:ALMACÉN DE IMPLEMENTOS DEPORTIVOS:PELOTAS DE FUTBOL #5</t>
        </is>
      </c>
    </row>
    <row r="95">
      <c r="A95" s="10" t="inlineStr">
        <is>
          <t>03.01.03.02.16</t>
        </is>
      </c>
      <c r="B95" s="10" t="inlineStr"/>
      <c r="C95" s="5" t="inlineStr">
        <is>
          <t>PELOTAS DE VOLEY #4</t>
        </is>
      </c>
      <c r="D95" s="10" t="inlineStr">
        <is>
          <t>und</t>
        </is>
      </c>
      <c r="E95" s="11">
        <f>SUMIF('METRADO POR AMBIENTE'!$I$11:$I$315,F95,'METRADO POR AMBIENTE'!$H$11:$H$315)</f>
        <v/>
      </c>
      <c r="F95" s="12" t="inlineStr">
        <is>
          <t>K:ALMACÉN DE IMPLEMENTOS DEPORTIVOS:PELOTAS DE VOLEY #4</t>
        </is>
      </c>
    </row>
    <row r="96">
      <c r="A96" s="10" t="inlineStr">
        <is>
          <t>03.01.03.02.17</t>
        </is>
      </c>
      <c r="B96" s="10" t="inlineStr"/>
      <c r="C96" s="5" t="inlineStr">
        <is>
          <t>PERA DE BOX</t>
        </is>
      </c>
      <c r="D96" s="10" t="inlineStr">
        <is>
          <t>und</t>
        </is>
      </c>
      <c r="E96" s="11">
        <f>SUMIF('METRADO POR AMBIENTE'!$I$11:$I$315,F96,'METRADO POR AMBIENTE'!$H$11:$H$315)</f>
        <v/>
      </c>
      <c r="F96" s="12" t="inlineStr">
        <is>
          <t>K:ALMACÉN DE IMPLEMENTOS DEPORTIVOS:PERA DE BOX</t>
        </is>
      </c>
    </row>
    <row r="97">
      <c r="A97" s="10" t="inlineStr">
        <is>
          <t>03.01.03.02.18</t>
        </is>
      </c>
      <c r="B97" s="10" t="inlineStr"/>
      <c r="C97" s="5" t="inlineStr">
        <is>
          <t>PISO ENCASTRABLE DE GOMA 25 MM</t>
        </is>
      </c>
      <c r="D97" s="10" t="inlineStr">
        <is>
          <t>und</t>
        </is>
      </c>
      <c r="E97" s="11">
        <f>SUMIF('METRADO POR AMBIENTE'!$I$11:$I$315,F97,'METRADO POR AMBIENTE'!$H$11:$H$315)</f>
        <v/>
      </c>
      <c r="F97" s="12" t="inlineStr">
        <is>
          <t>K:ALMACÉN DE IMPLEMENTOS DEPORTIVOS:PISO ENCASTRABLE DE GOMA 25 MM</t>
        </is>
      </c>
    </row>
    <row r="98">
      <c r="A98" s="10" t="inlineStr">
        <is>
          <t>03.01.03.02.19</t>
        </is>
      </c>
      <c r="B98" s="10" t="inlineStr"/>
      <c r="C98" s="5" t="inlineStr">
        <is>
          <t>RIEL DE EQUILIBRIO</t>
        </is>
      </c>
      <c r="D98" s="10" t="inlineStr">
        <is>
          <t>und</t>
        </is>
      </c>
      <c r="E98" s="11">
        <f>SUMIF('METRADO POR AMBIENTE'!$I$11:$I$315,F98,'METRADO POR AMBIENTE'!$H$11:$H$315)</f>
        <v/>
      </c>
      <c r="F98" s="12" t="inlineStr">
        <is>
          <t>K:ALMACÉN DE IMPLEMENTOS DEPORTIVOS:RIEL DE EQUILIBRIO</t>
        </is>
      </c>
    </row>
    <row r="99">
      <c r="A99" s="10" t="inlineStr">
        <is>
          <t>03.01.03.02.20</t>
        </is>
      </c>
      <c r="B99" s="10" t="inlineStr"/>
      <c r="C99" s="5" t="inlineStr">
        <is>
          <t>SACO DE BOXEO, RELLENO DE TELA PRENSADA</t>
        </is>
      </c>
      <c r="D99" s="10" t="inlineStr">
        <is>
          <t>und</t>
        </is>
      </c>
      <c r="E99" s="11">
        <f>SUMIF('METRADO POR AMBIENTE'!$I$11:$I$315,F99,'METRADO POR AMBIENTE'!$H$11:$H$315)</f>
        <v/>
      </c>
      <c r="F99" s="12" t="inlineStr">
        <is>
          <t>K:ALMACÉN DE IMPLEMENTOS DEPORTIVOS:SACO DE BOXEO, RELLENO DE TELA PRENSADA</t>
        </is>
      </c>
    </row>
    <row r="100">
      <c r="A100" s="10" t="inlineStr">
        <is>
          <t>03.01.03.02.21</t>
        </is>
      </c>
      <c r="B100" s="10" t="inlineStr"/>
      <c r="C100" s="5" t="inlineStr">
        <is>
          <t>SOPORTE METALICO PARA PERA</t>
        </is>
      </c>
      <c r="D100" s="10" t="inlineStr">
        <is>
          <t>und</t>
        </is>
      </c>
      <c r="E100" s="11">
        <f>SUMIF('METRADO POR AMBIENTE'!$I$11:$I$315,F100,'METRADO POR AMBIENTE'!$H$11:$H$315)</f>
        <v/>
      </c>
      <c r="F100" s="12" t="inlineStr">
        <is>
          <t>K:ALMACÉN DE IMPLEMENTOS DEPORTIVOS:SOPORTE METALICO PARA PERA</t>
        </is>
      </c>
    </row>
    <row r="101">
      <c r="A101" s="10" t="inlineStr">
        <is>
          <t>03.01.03.02.22</t>
        </is>
      </c>
      <c r="B101" s="10" t="inlineStr"/>
      <c r="C101" s="5" t="inlineStr">
        <is>
          <t>TABURETE DE MADERA PARA GIMNASIA</t>
        </is>
      </c>
      <c r="D101" s="10" t="inlineStr">
        <is>
          <t>und</t>
        </is>
      </c>
      <c r="E101" s="11">
        <f>SUMIF('METRADO POR AMBIENTE'!$I$11:$I$315,F101,'METRADO POR AMBIENTE'!$H$11:$H$315)</f>
        <v/>
      </c>
      <c r="F101" s="12" t="inlineStr">
        <is>
          <t>K:ALMACÉN DE IMPLEMENTOS DEPORTIVOS:TABURETE DE MADERA PARA GIMNASIA</t>
        </is>
      </c>
    </row>
    <row r="102">
      <c r="A102" s="10" t="inlineStr">
        <is>
          <t>03.01.03.02.23</t>
        </is>
      </c>
      <c r="B102" s="10" t="inlineStr"/>
      <c r="C102" s="5" t="inlineStr">
        <is>
          <t>TESTIMONIO DE RELEVO DE PVC</t>
        </is>
      </c>
      <c r="D102" s="10" t="inlineStr">
        <is>
          <t>und</t>
        </is>
      </c>
      <c r="E102" s="11">
        <f>SUMIF('METRADO POR AMBIENTE'!$I$11:$I$315,F102,'METRADO POR AMBIENTE'!$H$11:$H$315)</f>
        <v/>
      </c>
      <c r="F102" s="12" t="inlineStr">
        <is>
          <t>K:ALMACÉN DE IMPLEMENTOS DEPORTIVOS:TESTIMONIO DE RELEVO DE PVC</t>
        </is>
      </c>
    </row>
    <row r="103">
      <c r="A103" s="10" t="inlineStr">
        <is>
          <t>03.01.03.02.24</t>
        </is>
      </c>
      <c r="B103" s="10" t="inlineStr"/>
      <c r="C103" s="5" t="inlineStr">
        <is>
          <t>VALLAS DE OBSTACULO REGULABLE</t>
        </is>
      </c>
      <c r="D103" s="10" t="inlineStr">
        <is>
          <t>und</t>
        </is>
      </c>
      <c r="E103" s="11">
        <f>SUMIF('METRADO POR AMBIENTE'!$I$11:$I$315,F103,'METRADO POR AMBIENTE'!$H$11:$H$315)</f>
        <v/>
      </c>
      <c r="F103" s="12" t="inlineStr">
        <is>
          <t>K:ALMACÉN DE IMPLEMENTOS DEPORTIVOS:VALLAS DE OBSTACULO REGULABLE</t>
        </is>
      </c>
    </row>
    <row r="104">
      <c r="A104" s="9" t="inlineStr">
        <is>
          <t>03.01.03.03</t>
        </is>
      </c>
      <c r="B104" s="10" t="n"/>
      <c r="C104" s="3" t="inlineStr">
        <is>
          <t>SALON DE PSICOMOTRICIDAD - E-06</t>
        </is>
      </c>
      <c r="D104" s="10" t="n"/>
      <c r="E104" s="10" t="n"/>
    </row>
    <row r="105">
      <c r="A105" s="10" t="inlineStr">
        <is>
          <t>03.01.03.03.01</t>
        </is>
      </c>
      <c r="B105" s="10" t="inlineStr"/>
      <c r="C105" s="5" t="inlineStr">
        <is>
          <t>COJINES</t>
        </is>
      </c>
      <c r="D105" s="10" t="inlineStr">
        <is>
          <t>und</t>
        </is>
      </c>
      <c r="E105" s="11">
        <f>SUMIF('METRADO POR AMBIENTE'!$I$11:$I$315,F105,'METRADO POR AMBIENTE'!$H$11:$H$315)</f>
        <v/>
      </c>
      <c r="F105" s="12" t="inlineStr">
        <is>
          <t>K:SALON DE PSICOMOTRICIDAD:COJINES</t>
        </is>
      </c>
    </row>
    <row r="106">
      <c r="A106" s="10" t="inlineStr">
        <is>
          <t>03.01.03.03.02</t>
        </is>
      </c>
      <c r="B106" s="10" t="inlineStr"/>
      <c r="C106" s="5" t="inlineStr">
        <is>
          <t>COJINES CUADRADOS</t>
        </is>
      </c>
      <c r="D106" s="10" t="inlineStr">
        <is>
          <t>und</t>
        </is>
      </c>
      <c r="E106" s="11">
        <f>SUMIF('METRADO POR AMBIENTE'!$I$11:$I$315,F106,'METRADO POR AMBIENTE'!$H$11:$H$315)</f>
        <v/>
      </c>
      <c r="F106" s="12" t="inlineStr">
        <is>
          <t>K:SALON DE PSICOMOTRICIDAD:COJINES CUADRADOS</t>
        </is>
      </c>
    </row>
    <row r="107">
      <c r="A107" s="10" t="inlineStr">
        <is>
          <t>03.01.03.03.03</t>
        </is>
      </c>
      <c r="B107" s="10" t="inlineStr"/>
      <c r="C107" s="5" t="inlineStr">
        <is>
          <t>JUEGO DE COCINA</t>
        </is>
      </c>
      <c r="D107" s="10" t="inlineStr">
        <is>
          <t>und</t>
        </is>
      </c>
      <c r="E107" s="11">
        <f>SUMIF('METRADO POR AMBIENTE'!$I$11:$I$315,F107,'METRADO POR AMBIENTE'!$H$11:$H$315)</f>
        <v/>
      </c>
      <c r="F107" s="12" t="inlineStr">
        <is>
          <t>K:SALON DE PSICOMOTRICIDAD:JUEGO DE COCINA</t>
        </is>
      </c>
    </row>
    <row r="108">
      <c r="A108" s="10" t="inlineStr">
        <is>
          <t>03.01.03.03.04</t>
        </is>
      </c>
      <c r="B108" s="10" t="inlineStr"/>
      <c r="C108" s="5" t="inlineStr">
        <is>
          <t>JUEGO DE LAVANDERIA</t>
        </is>
      </c>
      <c r="D108" s="10" t="inlineStr">
        <is>
          <t>und</t>
        </is>
      </c>
      <c r="E108" s="11">
        <f>SUMIF('METRADO POR AMBIENTE'!$I$11:$I$315,F108,'METRADO POR AMBIENTE'!$H$11:$H$315)</f>
        <v/>
      </c>
      <c r="F108" s="12" t="inlineStr">
        <is>
          <t>K:SALON DE PSICOMOTRICIDAD:JUEGO DE LAVANDERIA</t>
        </is>
      </c>
    </row>
    <row r="109">
      <c r="A109" s="10" t="inlineStr">
        <is>
          <t>03.01.03.03.05</t>
        </is>
      </c>
      <c r="B109" s="10" t="inlineStr"/>
      <c r="C109" s="5" t="inlineStr">
        <is>
          <t>JUEGO DE TEATRO PARA NIÑOS</t>
        </is>
      </c>
      <c r="D109" s="10" t="inlineStr">
        <is>
          <t>und</t>
        </is>
      </c>
      <c r="E109" s="11">
        <f>SUMIF('METRADO POR AMBIENTE'!$I$11:$I$315,F109,'METRADO POR AMBIENTE'!$H$11:$H$315)</f>
        <v/>
      </c>
      <c r="F109" s="12" t="inlineStr">
        <is>
          <t>K:SALON DE PSICOMOTRICIDAD:JUEGO DE TEATRO PARA NIÑOS</t>
        </is>
      </c>
    </row>
    <row r="110">
      <c r="A110" s="10" t="inlineStr">
        <is>
          <t>03.01.03.03.06</t>
        </is>
      </c>
      <c r="B110" s="10" t="inlineStr"/>
      <c r="C110" s="5" t="inlineStr">
        <is>
          <t>PISCINA DE PELOTAS 150X33CM</t>
        </is>
      </c>
      <c r="D110" s="10" t="inlineStr">
        <is>
          <t>und</t>
        </is>
      </c>
      <c r="E110" s="11">
        <f>SUMIF('METRADO POR AMBIENTE'!$I$11:$I$315,F110,'METRADO POR AMBIENTE'!$H$11:$H$315)</f>
        <v/>
      </c>
      <c r="F110" s="12" t="inlineStr">
        <is>
          <t>K:SALON DE PSICOMOTRICIDAD:PISCINA DE PELOTAS 150X33CM</t>
        </is>
      </c>
    </row>
    <row r="111">
      <c r="A111" s="10" t="inlineStr">
        <is>
          <t>03.01.03.03.07</t>
        </is>
      </c>
      <c r="B111" s="10" t="inlineStr"/>
      <c r="C111" s="5" t="inlineStr">
        <is>
          <t>TOBOGAN CON ESCALADOR</t>
        </is>
      </c>
      <c r="D111" s="10" t="inlineStr">
        <is>
          <t>und</t>
        </is>
      </c>
      <c r="E111" s="11">
        <f>SUMIF('METRADO POR AMBIENTE'!$I$11:$I$315,F111,'METRADO POR AMBIENTE'!$H$11:$H$315)</f>
        <v/>
      </c>
      <c r="F111" s="12" t="inlineStr">
        <is>
          <t>K:SALON DE PSICOMOTRICIDAD:TOBOGAN CON ESCALADOR</t>
        </is>
      </c>
    </row>
  </sheetData>
  <mergeCells count="8">
    <mergeCell ref="B8:E8"/>
    <mergeCell ref="B4:E4"/>
    <mergeCell ref="B6:E6"/>
    <mergeCell ref="B7:E7"/>
    <mergeCell ref="A1:E1"/>
    <mergeCell ref="B3:E3"/>
    <mergeCell ref="B5:E5"/>
    <mergeCell ref="B2:E2"/>
  </mergeCells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" customWidth="1" min="3" max="3"/>
    <col width="6" customWidth="1" min="4" max="4"/>
    <col width="52" customWidth="1" min="5" max="5"/>
    <col width="5" customWidth="1" min="6" max="6"/>
    <col width="8" customWidth="1" min="7" max="7"/>
    <col width="9" customWidth="1" min="8" max="8"/>
    <col width="22" customWidth="1" min="9" max="9"/>
    <col width="48" customWidth="1" min="10" max="10"/>
  </cols>
  <sheetData>
    <row r="1" ht="24" customHeight="1">
      <c r="A1" s="1" t="inlineStr">
        <is>
          <t>METRADO DE EQUIPAMIENTO Y MOBILIARIO POR AMBIENTE (CUADROS DE LAS LÁMINAS MB-01 A MB-09)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2" t="inlineStr">
        <is>
          <t>LÁMINAS</t>
        </is>
      </c>
      <c r="B7" s="5" t="inlineStr">
        <is>
          <t>MB-01 a MB-09 (equipamiento y mobiliario, escala 1/150)</t>
        </is>
      </c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EDIF.</t>
        </is>
      </c>
      <c r="B10" s="6" t="inlineStr">
        <is>
          <t>AMBIENTE</t>
        </is>
      </c>
      <c r="C10" s="6" t="inlineStr">
        <is>
          <t>LÁMINA</t>
        </is>
      </c>
      <c r="D10" s="6" t="inlineStr">
        <is>
          <t>CÓD.</t>
        </is>
      </c>
      <c r="E10" s="6" t="inlineStr">
        <is>
          <t>DESCRIPCIÓN</t>
        </is>
      </c>
      <c r="F10" s="6" t="inlineStr">
        <is>
          <t>UND</t>
        </is>
      </c>
      <c r="G10" s="6" t="inlineStr">
        <is>
          <t>CANT. CUADRO</t>
        </is>
      </c>
      <c r="H10" s="6" t="inlineStr">
        <is>
          <t>CANT. ADOPTADA</t>
        </is>
      </c>
      <c r="I10" s="6" t="inlineStr">
        <is>
          <t>CLAVE</t>
        </is>
      </c>
      <c r="J10" s="6" t="inlineStr">
        <is>
          <t>NOTA</t>
        </is>
      </c>
    </row>
    <row r="11">
      <c r="A11" s="2" t="inlineStr">
        <is>
          <t>E-01  Administración - ASESORIA LEGAL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10" t="inlineStr">
        <is>
          <t>E-01</t>
        </is>
      </c>
      <c r="B12" s="5" t="inlineStr">
        <is>
          <t>ASESORIA LEGAL</t>
        </is>
      </c>
      <c r="C12" s="10" t="inlineStr">
        <is>
          <t>MB-01</t>
        </is>
      </c>
      <c r="D12" s="10" t="inlineStr">
        <is>
          <t>E6</t>
        </is>
      </c>
      <c r="E12" s="5" t="inlineStr">
        <is>
          <t>COMPUTADORA I5 ESTACIONARIA</t>
        </is>
      </c>
      <c r="F12" s="10" t="inlineStr">
        <is>
          <t>und</t>
        </is>
      </c>
      <c r="G12" s="13" t="n">
        <v>1</v>
      </c>
      <c r="H12" s="13" t="n">
        <v>1</v>
      </c>
      <c r="I12" s="14" t="inlineStr">
        <is>
          <t>E6</t>
        </is>
      </c>
      <c r="J12" s="14" t="inlineStr"/>
    </row>
    <row r="13">
      <c r="A13" s="10" t="inlineStr">
        <is>
          <t>E-01</t>
        </is>
      </c>
      <c r="B13" s="5" t="inlineStr">
        <is>
          <t>ASESORIA LEGAL</t>
        </is>
      </c>
      <c r="C13" s="10" t="inlineStr">
        <is>
          <t>MB-01</t>
        </is>
      </c>
      <c r="D13" s="10" t="inlineStr">
        <is>
          <t>E9</t>
        </is>
      </c>
      <c r="E13" s="5" t="inlineStr">
        <is>
          <t>IMPRESORA MULTIFUNCIONAL</t>
        </is>
      </c>
      <c r="F13" s="10" t="inlineStr">
        <is>
          <t>und</t>
        </is>
      </c>
      <c r="G13" s="13" t="n">
        <v>1</v>
      </c>
      <c r="H13" s="13" t="n">
        <v>1</v>
      </c>
      <c r="I13" s="14" t="inlineStr">
        <is>
          <t>E9</t>
        </is>
      </c>
      <c r="J13" s="14" t="inlineStr"/>
    </row>
    <row r="14">
      <c r="A14" s="10" t="inlineStr">
        <is>
          <t>E-01</t>
        </is>
      </c>
      <c r="B14" s="5" t="inlineStr">
        <is>
          <t>ASESORIA LEGAL</t>
        </is>
      </c>
      <c r="C14" s="10" t="inlineStr">
        <is>
          <t>MB-01</t>
        </is>
      </c>
      <c r="D14" s="10" t="inlineStr">
        <is>
          <t>M7</t>
        </is>
      </c>
      <c r="E14" s="5" t="inlineStr">
        <is>
          <t>SILLA DEL PROFESOR DE MADERA Y METAL 0.45 x 0.40 x 0.36 m.</t>
        </is>
      </c>
      <c r="F14" s="10" t="inlineStr">
        <is>
          <t>und</t>
        </is>
      </c>
      <c r="G14" s="13" t="n">
        <v>3</v>
      </c>
      <c r="H14" s="13" t="n">
        <v>3</v>
      </c>
      <c r="I14" s="14" t="inlineStr">
        <is>
          <t>M7</t>
        </is>
      </c>
      <c r="J14" s="14" t="inlineStr"/>
    </row>
    <row r="15">
      <c r="A15" s="10" t="inlineStr">
        <is>
          <t>E-01</t>
        </is>
      </c>
      <c r="B15" s="5" t="inlineStr">
        <is>
          <t>ASESORIA LEGAL</t>
        </is>
      </c>
      <c r="C15" s="10" t="inlineStr">
        <is>
          <t>MB-01</t>
        </is>
      </c>
      <c r="D15" s="10" t="inlineStr">
        <is>
          <t>M31</t>
        </is>
      </c>
      <c r="E15" s="5" t="inlineStr">
        <is>
          <t>ESCRITORIO DE MELAMINA CON CREDENZA MOVIL 1.50 x 0.80 x 0.75 m.</t>
        </is>
      </c>
      <c r="F15" s="10" t="inlineStr">
        <is>
          <t>und</t>
        </is>
      </c>
      <c r="G15" s="13" t="n">
        <v>1</v>
      </c>
      <c r="H15" s="13" t="n">
        <v>1</v>
      </c>
      <c r="I15" s="14" t="inlineStr">
        <is>
          <t>M31</t>
        </is>
      </c>
      <c r="J15" s="14" t="inlineStr"/>
    </row>
    <row r="16">
      <c r="A16" s="10" t="inlineStr">
        <is>
          <t>E-01</t>
        </is>
      </c>
      <c r="B16" s="5" t="inlineStr">
        <is>
          <t>ASESORIA LEGAL</t>
        </is>
      </c>
      <c r="C16" s="10" t="inlineStr">
        <is>
          <t>MB-01</t>
        </is>
      </c>
      <c r="D16" s="10" t="inlineStr">
        <is>
          <t>M34</t>
        </is>
      </c>
      <c r="E16" s="5" t="inlineStr">
        <is>
          <t>SOFA DE 2 CUERPOS 0.55X1.00X0.44M</t>
        </is>
      </c>
      <c r="F16" s="10" t="inlineStr">
        <is>
          <t>und</t>
        </is>
      </c>
      <c r="G16" s="13" t="n">
        <v>1</v>
      </c>
      <c r="H16" s="13" t="n">
        <v>1</v>
      </c>
      <c r="I16" s="14" t="inlineStr">
        <is>
          <t>M34</t>
        </is>
      </c>
      <c r="J16" s="14" t="inlineStr"/>
    </row>
    <row r="17">
      <c r="A17" s="10" t="inlineStr">
        <is>
          <t>E-01</t>
        </is>
      </c>
      <c r="B17" s="5" t="inlineStr">
        <is>
          <t>ASESORIA LEGAL</t>
        </is>
      </c>
      <c r="C17" s="10" t="inlineStr">
        <is>
          <t>MB-01</t>
        </is>
      </c>
      <c r="D17" s="10" t="inlineStr">
        <is>
          <t>M39</t>
        </is>
      </c>
      <c r="E17" s="5" t="inlineStr">
        <is>
          <t>ARCHIVADOR DE MELAMINA CON TRES GAVETAS 0.60 X 0.46 X 1.20 M.</t>
        </is>
      </c>
      <c r="F17" s="10" t="inlineStr">
        <is>
          <t>und</t>
        </is>
      </c>
      <c r="G17" s="13" t="n">
        <v>1</v>
      </c>
      <c r="H17" s="13" t="n">
        <v>1</v>
      </c>
      <c r="I17" s="14" t="inlineStr">
        <is>
          <t>M39</t>
        </is>
      </c>
      <c r="J17" s="14" t="inlineStr"/>
    </row>
    <row r="18">
      <c r="A18" s="10" t="inlineStr">
        <is>
          <t>E-01</t>
        </is>
      </c>
      <c r="B18" s="5" t="inlineStr">
        <is>
          <t>ASESORIA LEGAL</t>
        </is>
      </c>
      <c r="C18" s="10" t="inlineStr">
        <is>
          <t>MB-01</t>
        </is>
      </c>
      <c r="D18" s="10" t="inlineStr">
        <is>
          <t>M62</t>
        </is>
      </c>
      <c r="E18" s="5" t="inlineStr">
        <is>
          <t>CESTO BOTA PAPELES DE ACERO CON PEDAL</t>
        </is>
      </c>
      <c r="F18" s="10" t="inlineStr">
        <is>
          <t>und</t>
        </is>
      </c>
      <c r="G18" s="13" t="n">
        <v>1</v>
      </c>
      <c r="H18" s="13" t="n">
        <v>1</v>
      </c>
      <c r="I18" s="14" t="inlineStr">
        <is>
          <t>M62</t>
        </is>
      </c>
      <c r="J18" s="14" t="inlineStr"/>
    </row>
    <row r="19">
      <c r="A19" s="2" t="inlineStr">
        <is>
          <t>E-01  Administración - CONSULTORIO DE NUTRICION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10" t="inlineStr">
        <is>
          <t>E-01</t>
        </is>
      </c>
      <c r="B20" s="5" t="inlineStr">
        <is>
          <t>CONSULTORIO DE NUTRICION</t>
        </is>
      </c>
      <c r="C20" s="10" t="inlineStr">
        <is>
          <t>MB-01</t>
        </is>
      </c>
      <c r="D20" s="10" t="inlineStr">
        <is>
          <t>E7</t>
        </is>
      </c>
      <c r="E20" s="5" t="inlineStr">
        <is>
          <t>PROYECTOR MULTIMEDIA</t>
        </is>
      </c>
      <c r="F20" s="10" t="inlineStr">
        <is>
          <t>und</t>
        </is>
      </c>
      <c r="G20" s="13" t="n">
        <v>1</v>
      </c>
      <c r="H20" s="13" t="n">
        <v>1</v>
      </c>
      <c r="I20" s="14" t="inlineStr">
        <is>
          <t>E7</t>
        </is>
      </c>
      <c r="J20" s="14" t="inlineStr"/>
    </row>
    <row r="21">
      <c r="A21" s="10" t="inlineStr">
        <is>
          <t>E-01</t>
        </is>
      </c>
      <c r="B21" s="5" t="inlineStr">
        <is>
          <t>CONSULTORIO DE NUTRICION</t>
        </is>
      </c>
      <c r="C21" s="10" t="inlineStr">
        <is>
          <t>MB-01</t>
        </is>
      </c>
      <c r="D21" s="10" t="inlineStr">
        <is>
          <t>M7</t>
        </is>
      </c>
      <c r="E21" s="5" t="inlineStr">
        <is>
          <t>SILLA DEL PROFESOR DE MADERA Y METAL 0.45 x 0.40 x 0.36 m.</t>
        </is>
      </c>
      <c r="F21" s="10" t="inlineStr">
        <is>
          <t>und</t>
        </is>
      </c>
      <c r="G21" s="13" t="n">
        <v>3</v>
      </c>
      <c r="H21" s="13" t="n">
        <v>3</v>
      </c>
      <c r="I21" s="14" t="inlineStr">
        <is>
          <t>M7</t>
        </is>
      </c>
      <c r="J21" s="14" t="inlineStr"/>
    </row>
    <row r="22">
      <c r="A22" s="10" t="inlineStr">
        <is>
          <t>E-01</t>
        </is>
      </c>
      <c r="B22" s="5" t="inlineStr">
        <is>
          <t>CONSULTORIO DE NUTRICION</t>
        </is>
      </c>
      <c r="C22" s="10" t="inlineStr">
        <is>
          <t>MB-01</t>
        </is>
      </c>
      <c r="D22" s="10" t="inlineStr">
        <is>
          <t>M28</t>
        </is>
      </c>
      <c r="E22" s="5" t="inlineStr">
        <is>
          <t>ESCRITORIO DE MELAMINA CON DOS CAJONERAS 1.00 x 0.50 x 0.75 m</t>
        </is>
      </c>
      <c r="F22" s="10" t="inlineStr">
        <is>
          <t>und</t>
        </is>
      </c>
      <c r="G22" s="13" t="n">
        <v>1</v>
      </c>
      <c r="H22" s="13" t="n">
        <v>1</v>
      </c>
      <c r="I22" s="14" t="inlineStr">
        <is>
          <t>M28</t>
        </is>
      </c>
      <c r="J22" s="14" t="inlineStr"/>
    </row>
    <row r="23">
      <c r="A23" s="10" t="inlineStr">
        <is>
          <t>E-01</t>
        </is>
      </c>
      <c r="B23" s="5" t="inlineStr">
        <is>
          <t>CONSULTORIO DE NUTRICION</t>
        </is>
      </c>
      <c r="C23" s="10" t="inlineStr">
        <is>
          <t>MB-01</t>
        </is>
      </c>
      <c r="D23" s="10" t="inlineStr">
        <is>
          <t>M62</t>
        </is>
      </c>
      <c r="E23" s="5" t="inlineStr">
        <is>
          <t>CESTO BOTA PAPELES DE ACERO CON PEDAL</t>
        </is>
      </c>
      <c r="F23" s="10" t="inlineStr">
        <is>
          <t>und</t>
        </is>
      </c>
      <c r="G23" s="13" t="n">
        <v>1</v>
      </c>
      <c r="H23" s="13" t="n">
        <v>1</v>
      </c>
      <c r="I23" s="14" t="inlineStr">
        <is>
          <t>M62</t>
        </is>
      </c>
      <c r="J23" s="14" t="inlineStr"/>
    </row>
    <row r="24">
      <c r="A24" s="10" t="inlineStr">
        <is>
          <t>E-01</t>
        </is>
      </c>
      <c r="B24" s="5" t="inlineStr">
        <is>
          <t>CONSULTORIO DE NUTRICION</t>
        </is>
      </c>
      <c r="C24" s="10" t="inlineStr">
        <is>
          <t>MB-01</t>
        </is>
      </c>
      <c r="D24" s="10" t="inlineStr">
        <is>
          <t>M65</t>
        </is>
      </c>
      <c r="E24" s="5" t="inlineStr">
        <is>
          <t>CAMILLA METALICA RECLINABLE CON RESPALDO Y RUEDAS 1.80 X 0.60 X 0.70 M.</t>
        </is>
      </c>
      <c r="F24" s="10" t="inlineStr">
        <is>
          <t>und</t>
        </is>
      </c>
      <c r="G24" s="13" t="n">
        <v>1</v>
      </c>
      <c r="H24" s="13" t="n">
        <v>1</v>
      </c>
      <c r="I24" s="14" t="inlineStr">
        <is>
          <t>M65</t>
        </is>
      </c>
      <c r="J24" s="14" t="inlineStr"/>
    </row>
    <row r="25">
      <c r="A25" s="10" t="inlineStr">
        <is>
          <t>E-01</t>
        </is>
      </c>
      <c r="B25" s="5" t="inlineStr">
        <is>
          <t>CONSULTORIO DE NUTRICION</t>
        </is>
      </c>
      <c r="C25" s="10" t="inlineStr">
        <is>
          <t>MB-01</t>
        </is>
      </c>
      <c r="D25" s="10" t="inlineStr">
        <is>
          <t>M67</t>
        </is>
      </c>
      <c r="E25" s="5" t="inlineStr">
        <is>
          <t>ESCALERA METÁLICA CON DOS PELDAÑOS 0.40 X 0.40 X 0.36 M.</t>
        </is>
      </c>
      <c r="F25" s="10" t="inlineStr">
        <is>
          <t>und</t>
        </is>
      </c>
      <c r="G25" s="13" t="n">
        <v>1</v>
      </c>
      <c r="H25" s="13" t="n">
        <v>1</v>
      </c>
      <c r="I25" s="14" t="inlineStr">
        <is>
          <t>M67</t>
        </is>
      </c>
      <c r="J25" s="14" t="inlineStr"/>
    </row>
    <row r="26">
      <c r="A26" s="2" t="inlineStr">
        <is>
          <t>E-01  Administración - DIRECCIÓN GENERAL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10" t="inlineStr">
        <is>
          <t>E-01</t>
        </is>
      </c>
      <c r="B27" s="5" t="inlineStr">
        <is>
          <t>DIRECCIÓN GENERAL</t>
        </is>
      </c>
      <c r="C27" s="10" t="inlineStr">
        <is>
          <t>MB-01</t>
        </is>
      </c>
      <c r="D27" s="10" t="inlineStr">
        <is>
          <t>E6</t>
        </is>
      </c>
      <c r="E27" s="5" t="inlineStr">
        <is>
          <t>COMPUTADORA I5 ESTACIONARIA</t>
        </is>
      </c>
      <c r="F27" s="10" t="inlineStr">
        <is>
          <t>und</t>
        </is>
      </c>
      <c r="G27" s="13" t="n">
        <v>1</v>
      </c>
      <c r="H27" s="13" t="n">
        <v>1</v>
      </c>
      <c r="I27" s="14" t="inlineStr">
        <is>
          <t>E6</t>
        </is>
      </c>
      <c r="J27" s="14" t="inlineStr"/>
    </row>
    <row r="28">
      <c r="A28" s="10" t="inlineStr">
        <is>
          <t>E-01</t>
        </is>
      </c>
      <c r="B28" s="5" t="inlineStr">
        <is>
          <t>DIRECCIÓN GENERAL</t>
        </is>
      </c>
      <c r="C28" s="10" t="inlineStr">
        <is>
          <t>MB-01</t>
        </is>
      </c>
      <c r="D28" s="10" t="inlineStr">
        <is>
          <t>E9</t>
        </is>
      </c>
      <c r="E28" s="5" t="inlineStr">
        <is>
          <t>IMPRESORA MULTIFUNCIONAL</t>
        </is>
      </c>
      <c r="F28" s="10" t="inlineStr">
        <is>
          <t>und</t>
        </is>
      </c>
      <c r="G28" s="13" t="n">
        <v>1</v>
      </c>
      <c r="H28" s="13" t="n">
        <v>1</v>
      </c>
      <c r="I28" s="14" t="inlineStr">
        <is>
          <t>E9</t>
        </is>
      </c>
      <c r="J28" s="14" t="inlineStr"/>
    </row>
    <row r="29">
      <c r="A29" s="10" t="inlineStr">
        <is>
          <t>E-01</t>
        </is>
      </c>
      <c r="B29" s="5" t="inlineStr">
        <is>
          <t>DIRECCIÓN GENERAL</t>
        </is>
      </c>
      <c r="C29" s="10" t="inlineStr">
        <is>
          <t>MB-01</t>
        </is>
      </c>
      <c r="D29" s="10" t="inlineStr">
        <is>
          <t>M7</t>
        </is>
      </c>
      <c r="E29" s="5" t="inlineStr">
        <is>
          <t>SILLA DEL PROFESOR DE MADERA Y METAL 0.45 x 0.40 x 0.36 m.</t>
        </is>
      </c>
      <c r="F29" s="10" t="inlineStr">
        <is>
          <t>und</t>
        </is>
      </c>
      <c r="G29" s="13" t="n">
        <v>3</v>
      </c>
      <c r="H29" s="13" t="n">
        <v>3</v>
      </c>
      <c r="I29" s="14" t="inlineStr">
        <is>
          <t>M7</t>
        </is>
      </c>
      <c r="J29" s="14" t="inlineStr"/>
    </row>
    <row r="30">
      <c r="A30" s="10" t="inlineStr">
        <is>
          <t>E-01</t>
        </is>
      </c>
      <c r="B30" s="5" t="inlineStr">
        <is>
          <t>DIRECCIÓN GENERAL</t>
        </is>
      </c>
      <c r="C30" s="10" t="inlineStr">
        <is>
          <t>MB-01</t>
        </is>
      </c>
      <c r="D30" s="10" t="inlineStr">
        <is>
          <t>M31</t>
        </is>
      </c>
      <c r="E30" s="5" t="inlineStr">
        <is>
          <t>ESCRITORIO DE MELAMINA CON CREDENZA MOVIL 1.50 x 0.80 x 0.75 m.</t>
        </is>
      </c>
      <c r="F30" s="10" t="inlineStr">
        <is>
          <t>und</t>
        </is>
      </c>
      <c r="G30" s="13" t="n">
        <v>1</v>
      </c>
      <c r="H30" s="13" t="n">
        <v>1</v>
      </c>
      <c r="I30" s="14" t="inlineStr">
        <is>
          <t>M31</t>
        </is>
      </c>
      <c r="J30" s="14" t="inlineStr"/>
    </row>
    <row r="31">
      <c r="A31" s="10" t="inlineStr">
        <is>
          <t>E-01</t>
        </is>
      </c>
      <c r="B31" s="5" t="inlineStr">
        <is>
          <t>DIRECCIÓN GENERAL</t>
        </is>
      </c>
      <c r="C31" s="10" t="inlineStr">
        <is>
          <t>MB-01</t>
        </is>
      </c>
      <c r="D31" s="10" t="inlineStr">
        <is>
          <t>M34</t>
        </is>
      </c>
      <c r="E31" s="5" t="inlineStr">
        <is>
          <t>SOFA DE 2 CUERPOS 0.55X1.00X0.44M</t>
        </is>
      </c>
      <c r="F31" s="10" t="inlineStr">
        <is>
          <t>und</t>
        </is>
      </c>
      <c r="G31" s="13" t="n">
        <v>1</v>
      </c>
      <c r="H31" s="13" t="n">
        <v>1</v>
      </c>
      <c r="I31" s="14" t="inlineStr">
        <is>
          <t>M34</t>
        </is>
      </c>
      <c r="J31" s="14" t="inlineStr"/>
    </row>
    <row r="32">
      <c r="A32" s="10" t="inlineStr">
        <is>
          <t>E-01</t>
        </is>
      </c>
      <c r="B32" s="5" t="inlineStr">
        <is>
          <t>DIRECCIÓN GENERAL</t>
        </is>
      </c>
      <c r="C32" s="10" t="inlineStr">
        <is>
          <t>MB-01</t>
        </is>
      </c>
      <c r="D32" s="10" t="inlineStr">
        <is>
          <t>M39</t>
        </is>
      </c>
      <c r="E32" s="5" t="inlineStr">
        <is>
          <t>ARCHIVADOR DE MELAMINA CON TRES GAVETAS 0.60 X 0.46 X 1.20 M.</t>
        </is>
      </c>
      <c r="F32" s="10" t="inlineStr">
        <is>
          <t>und</t>
        </is>
      </c>
      <c r="G32" s="13" t="n">
        <v>1</v>
      </c>
      <c r="H32" s="13" t="n">
        <v>1</v>
      </c>
      <c r="I32" s="14" t="inlineStr">
        <is>
          <t>M39</t>
        </is>
      </c>
      <c r="J32" s="14" t="inlineStr"/>
    </row>
    <row r="33">
      <c r="A33" s="10" t="inlineStr">
        <is>
          <t>E-01</t>
        </is>
      </c>
      <c r="B33" s="5" t="inlineStr">
        <is>
          <t>DIRECCIÓN GENERAL</t>
        </is>
      </c>
      <c r="C33" s="10" t="inlineStr">
        <is>
          <t>MB-01</t>
        </is>
      </c>
      <c r="D33" s="10" t="inlineStr">
        <is>
          <t>M62</t>
        </is>
      </c>
      <c r="E33" s="5" t="inlineStr">
        <is>
          <t>CESTO BOTA PAPELES DE ACERO CON PEDAL</t>
        </is>
      </c>
      <c r="F33" s="10" t="inlineStr">
        <is>
          <t>und</t>
        </is>
      </c>
      <c r="G33" s="13" t="n">
        <v>1</v>
      </c>
      <c r="H33" s="13" t="n">
        <v>1</v>
      </c>
      <c r="I33" s="14" t="inlineStr">
        <is>
          <t>M62</t>
        </is>
      </c>
      <c r="J33" s="14" t="inlineStr"/>
    </row>
    <row r="34">
      <c r="A34" s="2" t="inlineStr">
        <is>
          <t>E-01  Administración - EDUCADOR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10" t="inlineStr">
        <is>
          <t>E-01</t>
        </is>
      </c>
      <c r="B35" s="5" t="inlineStr">
        <is>
          <t>EDUCADOR</t>
        </is>
      </c>
      <c r="C35" s="10" t="inlineStr">
        <is>
          <t>MB-01</t>
        </is>
      </c>
      <c r="D35" s="10" t="inlineStr">
        <is>
          <t>E6</t>
        </is>
      </c>
      <c r="E35" s="5" t="inlineStr">
        <is>
          <t>COMPUTADORA I5 ESTACIONARIA</t>
        </is>
      </c>
      <c r="F35" s="10" t="inlineStr">
        <is>
          <t>und</t>
        </is>
      </c>
      <c r="G35" s="13" t="n">
        <v>1</v>
      </c>
      <c r="H35" s="13" t="n">
        <v>1</v>
      </c>
      <c r="I35" s="14" t="inlineStr">
        <is>
          <t>E6</t>
        </is>
      </c>
      <c r="J35" s="14" t="inlineStr"/>
    </row>
    <row r="36">
      <c r="A36" s="10" t="inlineStr">
        <is>
          <t>E-01</t>
        </is>
      </c>
      <c r="B36" s="5" t="inlineStr">
        <is>
          <t>EDUCADOR</t>
        </is>
      </c>
      <c r="C36" s="10" t="inlineStr">
        <is>
          <t>MB-01</t>
        </is>
      </c>
      <c r="D36" s="10" t="inlineStr">
        <is>
          <t>E9</t>
        </is>
      </c>
      <c r="E36" s="5" t="inlineStr">
        <is>
          <t>IMPRESORA MULTIFUNCIONAL</t>
        </is>
      </c>
      <c r="F36" s="10" t="inlineStr">
        <is>
          <t>und</t>
        </is>
      </c>
      <c r="G36" s="13" t="n">
        <v>1</v>
      </c>
      <c r="H36" s="13" t="n">
        <v>1</v>
      </c>
      <c r="I36" s="14" t="inlineStr">
        <is>
          <t>E9</t>
        </is>
      </c>
      <c r="J36" s="14" t="inlineStr"/>
    </row>
    <row r="37">
      <c r="A37" s="10" t="inlineStr">
        <is>
          <t>E-01</t>
        </is>
      </c>
      <c r="B37" s="5" t="inlineStr">
        <is>
          <t>EDUCADOR</t>
        </is>
      </c>
      <c r="C37" s="10" t="inlineStr">
        <is>
          <t>MB-01</t>
        </is>
      </c>
      <c r="D37" s="10" t="inlineStr">
        <is>
          <t>M7</t>
        </is>
      </c>
      <c r="E37" s="5" t="inlineStr">
        <is>
          <t>SILLA DEL PROFESOR DE MADERA Y METAL 0.45 x 0.40 x 0.36 m.</t>
        </is>
      </c>
      <c r="F37" s="10" t="inlineStr">
        <is>
          <t>und</t>
        </is>
      </c>
      <c r="G37" s="13" t="n">
        <v>3</v>
      </c>
      <c r="H37" s="13" t="n">
        <v>3</v>
      </c>
      <c r="I37" s="14" t="inlineStr">
        <is>
          <t>M7</t>
        </is>
      </c>
      <c r="J37" s="14" t="inlineStr"/>
    </row>
    <row r="38">
      <c r="A38" s="10" t="inlineStr">
        <is>
          <t>E-01</t>
        </is>
      </c>
      <c r="B38" s="5" t="inlineStr">
        <is>
          <t>EDUCADOR</t>
        </is>
      </c>
      <c r="C38" s="10" t="inlineStr">
        <is>
          <t>MB-01</t>
        </is>
      </c>
      <c r="D38" s="10" t="inlineStr">
        <is>
          <t>M31</t>
        </is>
      </c>
      <c r="E38" s="5" t="inlineStr">
        <is>
          <t>ESCRITORIO DE MELAMINA CON CREDENZA MOVIL 1.50 x 0.80 x 0.75 m.</t>
        </is>
      </c>
      <c r="F38" s="10" t="inlineStr">
        <is>
          <t>und</t>
        </is>
      </c>
      <c r="G38" s="13" t="n">
        <v>1</v>
      </c>
      <c r="H38" s="13" t="n">
        <v>1</v>
      </c>
      <c r="I38" s="14" t="inlineStr">
        <is>
          <t>M31</t>
        </is>
      </c>
      <c r="J38" s="14" t="inlineStr"/>
    </row>
    <row r="39">
      <c r="A39" s="10" t="inlineStr">
        <is>
          <t>E-01</t>
        </is>
      </c>
      <c r="B39" s="5" t="inlineStr">
        <is>
          <t>EDUCADOR</t>
        </is>
      </c>
      <c r="C39" s="10" t="inlineStr">
        <is>
          <t>MB-01</t>
        </is>
      </c>
      <c r="D39" s="10" t="inlineStr">
        <is>
          <t>M36</t>
        </is>
      </c>
      <c r="E39" s="5" t="inlineStr">
        <is>
          <t>ARMARIO PARA DOCENTE DE MELAMINA CON 2 PUERTAS 4 NIVELES 0.90 X 0.45 X 1.80 M.</t>
        </is>
      </c>
      <c r="F39" s="10" t="inlineStr">
        <is>
          <t>und</t>
        </is>
      </c>
      <c r="G39" s="13" t="n">
        <v>1</v>
      </c>
      <c r="H39" s="13" t="n">
        <v>1</v>
      </c>
      <c r="I39" s="14" t="inlineStr">
        <is>
          <t>M36</t>
        </is>
      </c>
      <c r="J39" s="14" t="inlineStr"/>
    </row>
    <row r="40">
      <c r="A40" s="10" t="inlineStr">
        <is>
          <t>E-01</t>
        </is>
      </c>
      <c r="B40" s="5" t="inlineStr">
        <is>
          <t>EDUCADOR</t>
        </is>
      </c>
      <c r="C40" s="10" t="inlineStr">
        <is>
          <t>MB-01</t>
        </is>
      </c>
      <c r="D40" s="10" t="inlineStr">
        <is>
          <t>M39</t>
        </is>
      </c>
      <c r="E40" s="5" t="inlineStr">
        <is>
          <t>ARCHIVADOR DE MELAMINA CON TRES GAVETAS 0.60 X 0.46 X 1.20 M.</t>
        </is>
      </c>
      <c r="F40" s="10" t="inlineStr">
        <is>
          <t>und</t>
        </is>
      </c>
      <c r="G40" s="13" t="n">
        <v>1</v>
      </c>
      <c r="H40" s="13" t="n">
        <v>1</v>
      </c>
      <c r="I40" s="14" t="inlineStr">
        <is>
          <t>M39</t>
        </is>
      </c>
      <c r="J40" s="14" t="inlineStr"/>
    </row>
    <row r="41">
      <c r="A41" s="10" t="inlineStr">
        <is>
          <t>E-01</t>
        </is>
      </c>
      <c r="B41" s="5" t="inlineStr">
        <is>
          <t>EDUCADOR</t>
        </is>
      </c>
      <c r="C41" s="10" t="inlineStr">
        <is>
          <t>MB-01</t>
        </is>
      </c>
      <c r="D41" s="10" t="inlineStr">
        <is>
          <t>M62</t>
        </is>
      </c>
      <c r="E41" s="5" t="inlineStr">
        <is>
          <t>CESTO BOTA PAPELES DE ACERO CON PEDAL</t>
        </is>
      </c>
      <c r="F41" s="10" t="inlineStr">
        <is>
          <t>und</t>
        </is>
      </c>
      <c r="G41" s="13" t="n">
        <v>1</v>
      </c>
      <c r="H41" s="13" t="n">
        <v>1</v>
      </c>
      <c r="I41" s="14" t="inlineStr">
        <is>
          <t>M62</t>
        </is>
      </c>
      <c r="J41" s="14" t="inlineStr"/>
    </row>
    <row r="42">
      <c r="A42" s="2" t="inlineStr">
        <is>
          <t>E-01  Administración - MONITOREO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10" t="inlineStr">
        <is>
          <t>E-01</t>
        </is>
      </c>
      <c r="B43" s="5" t="inlineStr">
        <is>
          <t>MONITOREO</t>
        </is>
      </c>
      <c r="C43" s="10" t="inlineStr">
        <is>
          <t>MB-01</t>
        </is>
      </c>
      <c r="D43" s="10" t="inlineStr">
        <is>
          <t>E6</t>
        </is>
      </c>
      <c r="E43" s="5" t="inlineStr">
        <is>
          <t>COMPUTADORA I5 ESTACIONARIA</t>
        </is>
      </c>
      <c r="F43" s="10" t="inlineStr">
        <is>
          <t>und</t>
        </is>
      </c>
      <c r="G43" s="13" t="n">
        <v>2</v>
      </c>
      <c r="H43" s="13" t="n">
        <v>2</v>
      </c>
      <c r="I43" s="14" t="inlineStr">
        <is>
          <t>E6</t>
        </is>
      </c>
      <c r="J43" s="14" t="inlineStr"/>
    </row>
    <row r="44">
      <c r="A44" s="10" t="inlineStr">
        <is>
          <t>E-01</t>
        </is>
      </c>
      <c r="B44" s="5" t="inlineStr">
        <is>
          <t>MONITOREO</t>
        </is>
      </c>
      <c r="C44" s="10" t="inlineStr">
        <is>
          <t>MB-01</t>
        </is>
      </c>
      <c r="D44" s="10" t="inlineStr">
        <is>
          <t>M7</t>
        </is>
      </c>
      <c r="E44" s="5" t="inlineStr">
        <is>
          <t>SILLA DEL PROFESOR DE MADERA Y METAL 0.45 x 0.40 x 0.36 m.</t>
        </is>
      </c>
      <c r="F44" s="10" t="inlineStr">
        <is>
          <t>und</t>
        </is>
      </c>
      <c r="G44" s="13" t="n">
        <v>2</v>
      </c>
      <c r="H44" s="13" t="n">
        <v>2</v>
      </c>
      <c r="I44" s="14" t="inlineStr">
        <is>
          <t>M7</t>
        </is>
      </c>
      <c r="J44" s="14" t="inlineStr"/>
    </row>
    <row r="45">
      <c r="A45" s="10" t="inlineStr">
        <is>
          <t>E-01</t>
        </is>
      </c>
      <c r="B45" s="5" t="inlineStr">
        <is>
          <t>MONITOREO</t>
        </is>
      </c>
      <c r="C45" s="10" t="inlineStr">
        <is>
          <t>MB-01</t>
        </is>
      </c>
      <c r="D45" s="10" t="inlineStr">
        <is>
          <t>M31</t>
        </is>
      </c>
      <c r="E45" s="5" t="inlineStr">
        <is>
          <t>ESCRITORIO DE MELAMINA CON CREDENZA MOVIL 1.50 x 0.80 x 0.75 m.</t>
        </is>
      </c>
      <c r="F45" s="10" t="inlineStr">
        <is>
          <t>und</t>
        </is>
      </c>
      <c r="G45" s="13" t="n">
        <v>2</v>
      </c>
      <c r="H45" s="13" t="n">
        <v>2</v>
      </c>
      <c r="I45" s="14" t="inlineStr">
        <is>
          <t>M31</t>
        </is>
      </c>
      <c r="J45" s="14" t="inlineStr"/>
    </row>
    <row r="46">
      <c r="A46" s="10" t="inlineStr">
        <is>
          <t>E-01</t>
        </is>
      </c>
      <c r="B46" s="5" t="inlineStr">
        <is>
          <t>MONITOREO</t>
        </is>
      </c>
      <c r="C46" s="10" t="inlineStr">
        <is>
          <t>MB-01</t>
        </is>
      </c>
      <c r="D46" s="10" t="inlineStr">
        <is>
          <t>M36</t>
        </is>
      </c>
      <c r="E46" s="5" t="inlineStr">
        <is>
          <t>ARMARIO PARA DOCENTE DE MELAMINA CON 2 PUERTAS 4 NIVELES 0.90 X 0.45 X 1.80 M.</t>
        </is>
      </c>
      <c r="F46" s="10" t="inlineStr">
        <is>
          <t>und</t>
        </is>
      </c>
      <c r="G46" s="13" t="n">
        <v>1</v>
      </c>
      <c r="H46" s="13" t="n">
        <v>1</v>
      </c>
      <c r="I46" s="14" t="inlineStr">
        <is>
          <t>M36</t>
        </is>
      </c>
      <c r="J46" s="14" t="inlineStr"/>
    </row>
    <row r="47">
      <c r="A47" s="10" t="inlineStr">
        <is>
          <t>E-01</t>
        </is>
      </c>
      <c r="B47" s="5" t="inlineStr">
        <is>
          <t>MONITOREO</t>
        </is>
      </c>
      <c r="C47" s="10" t="inlineStr">
        <is>
          <t>MB-01</t>
        </is>
      </c>
      <c r="D47" s="10" t="inlineStr">
        <is>
          <t>M62</t>
        </is>
      </c>
      <c r="E47" s="5" t="inlineStr">
        <is>
          <t>CESTO BOTA PAPELES DE ACERO CON PEDAL</t>
        </is>
      </c>
      <c r="F47" s="10" t="inlineStr">
        <is>
          <t>und</t>
        </is>
      </c>
      <c r="G47" s="13" t="n">
        <v>2</v>
      </c>
      <c r="H47" s="13" t="n">
        <v>2</v>
      </c>
      <c r="I47" s="14" t="inlineStr">
        <is>
          <t>M62</t>
        </is>
      </c>
      <c r="J47" s="14" t="inlineStr"/>
    </row>
    <row r="48">
      <c r="A48" s="2" t="inlineStr">
        <is>
          <t>E-01  Administración - SALA DE PSICOLOGIA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10" t="inlineStr">
        <is>
          <t>E-01</t>
        </is>
      </c>
      <c r="B49" s="5" t="inlineStr">
        <is>
          <t>SALA DE PSICOLOGIA</t>
        </is>
      </c>
      <c r="C49" s="10" t="inlineStr">
        <is>
          <t>MB-01</t>
        </is>
      </c>
      <c r="D49" s="10" t="inlineStr">
        <is>
          <t>E6</t>
        </is>
      </c>
      <c r="E49" s="5" t="inlineStr">
        <is>
          <t>COMPUTADORA I5 ESTACIONARIA</t>
        </is>
      </c>
      <c r="F49" s="10" t="inlineStr">
        <is>
          <t>und</t>
        </is>
      </c>
      <c r="G49" s="13" t="n">
        <v>1</v>
      </c>
      <c r="H49" s="13" t="n">
        <v>1</v>
      </c>
      <c r="I49" s="14" t="inlineStr">
        <is>
          <t>E6</t>
        </is>
      </c>
      <c r="J49" s="14" t="inlineStr"/>
    </row>
    <row r="50">
      <c r="A50" s="10" t="inlineStr">
        <is>
          <t>E-01</t>
        </is>
      </c>
      <c r="B50" s="5" t="inlineStr">
        <is>
          <t>SALA DE PSICOLOGIA</t>
        </is>
      </c>
      <c r="C50" s="10" t="inlineStr">
        <is>
          <t>MB-01</t>
        </is>
      </c>
      <c r="D50" s="10" t="inlineStr">
        <is>
          <t>M7</t>
        </is>
      </c>
      <c r="E50" s="5" t="inlineStr">
        <is>
          <t>SILLA DEL PROFESOR DE MADERA Y METAL 0.45 x 0.40 x 0.36 m.</t>
        </is>
      </c>
      <c r="F50" s="10" t="inlineStr">
        <is>
          <t>und</t>
        </is>
      </c>
      <c r="G50" s="13" t="n">
        <v>1</v>
      </c>
      <c r="H50" s="13" t="n">
        <v>1</v>
      </c>
      <c r="I50" s="14" t="inlineStr">
        <is>
          <t>M7</t>
        </is>
      </c>
      <c r="J50" s="14" t="inlineStr"/>
    </row>
    <row r="51">
      <c r="A51" s="10" t="inlineStr">
        <is>
          <t>E-01</t>
        </is>
      </c>
      <c r="B51" s="5" t="inlineStr">
        <is>
          <t>SALA DE PSICOLOGIA</t>
        </is>
      </c>
      <c r="C51" s="10" t="inlineStr">
        <is>
          <t>MB-01</t>
        </is>
      </c>
      <c r="D51" s="10" t="inlineStr">
        <is>
          <t>M31</t>
        </is>
      </c>
      <c r="E51" s="5" t="inlineStr">
        <is>
          <t>ESCRITORIO DE MELAMINA CON CREDENZA MOVIL 1.50 x 0.80 x 0.75 m.</t>
        </is>
      </c>
      <c r="F51" s="10" t="inlineStr">
        <is>
          <t>und</t>
        </is>
      </c>
      <c r="G51" s="13" t="n">
        <v>1</v>
      </c>
      <c r="H51" s="13" t="n">
        <v>1</v>
      </c>
      <c r="I51" s="14" t="inlineStr">
        <is>
          <t>M31</t>
        </is>
      </c>
      <c r="J51" s="14" t="inlineStr"/>
    </row>
    <row r="52">
      <c r="A52" s="10" t="inlineStr">
        <is>
          <t>E-01</t>
        </is>
      </c>
      <c r="B52" s="5" t="inlineStr">
        <is>
          <t>SALA DE PSICOLOGIA</t>
        </is>
      </c>
      <c r="C52" s="10" t="inlineStr">
        <is>
          <t>MB-01</t>
        </is>
      </c>
      <c r="D52" s="10" t="inlineStr">
        <is>
          <t>M36</t>
        </is>
      </c>
      <c r="E52" s="5" t="inlineStr">
        <is>
          <t>ARMARIO PARA DOCENTE DE MELAMINA CON 2 PUERTAS 4 NIVELES 0.90 X 0.45 X 1.80 M.</t>
        </is>
      </c>
      <c r="F52" s="10" t="inlineStr">
        <is>
          <t>und</t>
        </is>
      </c>
      <c r="G52" s="13" t="n">
        <v>1</v>
      </c>
      <c r="H52" s="13" t="n">
        <v>1</v>
      </c>
      <c r="I52" s="14" t="inlineStr">
        <is>
          <t>M36</t>
        </is>
      </c>
      <c r="J52" s="14" t="inlineStr"/>
    </row>
    <row r="53">
      <c r="A53" s="10" t="inlineStr">
        <is>
          <t>E-01</t>
        </is>
      </c>
      <c r="B53" s="5" t="inlineStr">
        <is>
          <t>SALA DE PSICOLOGIA</t>
        </is>
      </c>
      <c r="C53" s="10" t="inlineStr">
        <is>
          <t>MB-01</t>
        </is>
      </c>
      <c r="D53" s="10" t="inlineStr">
        <is>
          <t>M62</t>
        </is>
      </c>
      <c r="E53" s="5" t="inlineStr">
        <is>
          <t>CESTO BOTA PAPELES DE ACERO CON PEDAL</t>
        </is>
      </c>
      <c r="F53" s="10" t="inlineStr">
        <is>
          <t>und</t>
        </is>
      </c>
      <c r="G53" s="13" t="n">
        <v>1</v>
      </c>
      <c r="H53" s="13" t="n">
        <v>1</v>
      </c>
      <c r="I53" s="14" t="inlineStr">
        <is>
          <t>M62</t>
        </is>
      </c>
      <c r="J53" s="14" t="inlineStr"/>
    </row>
    <row r="54">
      <c r="A54" s="2" t="inlineStr">
        <is>
          <t>E-01  Administración - SALA DE REUNIONES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>
      <c r="A55" s="10" t="inlineStr">
        <is>
          <t>E-01</t>
        </is>
      </c>
      <c r="B55" s="5" t="inlineStr">
        <is>
          <t>SALA DE REUNIONES</t>
        </is>
      </c>
      <c r="C55" s="10" t="inlineStr">
        <is>
          <t>MB-01</t>
        </is>
      </c>
      <c r="D55" s="10" t="inlineStr">
        <is>
          <t>E7</t>
        </is>
      </c>
      <c r="E55" s="5" t="inlineStr">
        <is>
          <t>PROYECTOR MULTIMEDIA</t>
        </is>
      </c>
      <c r="F55" s="10" t="inlineStr">
        <is>
          <t>und</t>
        </is>
      </c>
      <c r="G55" s="13" t="n">
        <v>1</v>
      </c>
      <c r="H55" s="13" t="n">
        <v>1</v>
      </c>
      <c r="I55" s="14" t="inlineStr">
        <is>
          <t>E7</t>
        </is>
      </c>
      <c r="J55" s="14" t="inlineStr"/>
    </row>
    <row r="56">
      <c r="A56" s="10" t="inlineStr">
        <is>
          <t>E-01</t>
        </is>
      </c>
      <c r="B56" s="5" t="inlineStr">
        <is>
          <t>SALA DE REUNIONES</t>
        </is>
      </c>
      <c r="C56" s="10" t="inlineStr">
        <is>
          <t>MB-01</t>
        </is>
      </c>
      <c r="D56" s="10" t="inlineStr">
        <is>
          <t>M7</t>
        </is>
      </c>
      <c r="E56" s="5" t="inlineStr">
        <is>
          <t>SILLA DEL PROFESOR DE MADERA Y METAL 0.45 x 0.40 x 0.36 m.</t>
        </is>
      </c>
      <c r="F56" s="10" t="inlineStr">
        <is>
          <t>und</t>
        </is>
      </c>
      <c r="G56" s="13" t="n">
        <v>10</v>
      </c>
      <c r="H56" s="13" t="n">
        <v>10</v>
      </c>
      <c r="I56" s="14" t="inlineStr">
        <is>
          <t>M7</t>
        </is>
      </c>
      <c r="J56" s="14" t="inlineStr"/>
    </row>
    <row r="57">
      <c r="A57" s="10" t="inlineStr">
        <is>
          <t>E-01</t>
        </is>
      </c>
      <c r="B57" s="5" t="inlineStr">
        <is>
          <t>SALA DE REUNIONES</t>
        </is>
      </c>
      <c r="C57" s="10" t="inlineStr">
        <is>
          <t>MB-01</t>
        </is>
      </c>
      <c r="D57" s="10" t="inlineStr">
        <is>
          <t>M13</t>
        </is>
      </c>
      <c r="E57" s="5" t="inlineStr">
        <is>
          <t>RACK DE SOPORTE METALICO PARA PROYECTOR EN TECHO</t>
        </is>
      </c>
      <c r="F57" s="10" t="inlineStr">
        <is>
          <t>und</t>
        </is>
      </c>
      <c r="G57" s="13" t="n">
        <v>1</v>
      </c>
      <c r="H57" s="13" t="n">
        <v>1</v>
      </c>
      <c r="I57" s="14" t="inlineStr">
        <is>
          <t>M13</t>
        </is>
      </c>
      <c r="J57" s="14" t="inlineStr"/>
    </row>
    <row r="58">
      <c r="A58" s="10" t="inlineStr">
        <is>
          <t>E-01</t>
        </is>
      </c>
      <c r="B58" s="5" t="inlineStr">
        <is>
          <t>SALA DE REUNIONES</t>
        </is>
      </c>
      <c r="C58" s="10" t="inlineStr">
        <is>
          <t>MB-01</t>
        </is>
      </c>
      <c r="D58" s="10" t="inlineStr">
        <is>
          <t>M21</t>
        </is>
      </c>
      <c r="E58" s="5" t="inlineStr">
        <is>
          <t>MESA DE REUNIONES DE MADERA Y MELAMINA 2.40 X 1.00 X 0.75 M.</t>
        </is>
      </c>
      <c r="F58" s="10" t="inlineStr">
        <is>
          <t>und</t>
        </is>
      </c>
      <c r="G58" s="13" t="n">
        <v>1</v>
      </c>
      <c r="H58" s="13" t="n">
        <v>1</v>
      </c>
      <c r="I58" s="14" t="inlineStr">
        <is>
          <t>M21</t>
        </is>
      </c>
      <c r="J58" s="14" t="inlineStr"/>
    </row>
    <row r="59">
      <c r="A59" s="10" t="inlineStr">
        <is>
          <t>E-01</t>
        </is>
      </c>
      <c r="B59" s="5" t="inlineStr">
        <is>
          <t>SALA DE REUNIONES</t>
        </is>
      </c>
      <c r="C59" s="10" t="inlineStr">
        <is>
          <t>MB-01</t>
        </is>
      </c>
      <c r="D59" s="10" t="inlineStr">
        <is>
          <t>M62</t>
        </is>
      </c>
      <c r="E59" s="5" t="inlineStr">
        <is>
          <t>CESTO BOTA PAPELES DE ACERO CON PEDAL</t>
        </is>
      </c>
      <c r="F59" s="10" t="inlineStr">
        <is>
          <t>und</t>
        </is>
      </c>
      <c r="G59" s="13" t="n">
        <v>1</v>
      </c>
      <c r="H59" s="13" t="n">
        <v>1</v>
      </c>
      <c r="I59" s="14" t="inlineStr">
        <is>
          <t>M62</t>
        </is>
      </c>
      <c r="J59" s="14" t="inlineStr"/>
    </row>
    <row r="60">
      <c r="A60" s="10" t="inlineStr">
        <is>
          <t>E-01</t>
        </is>
      </c>
      <c r="B60" s="5" t="inlineStr">
        <is>
          <t>SALA DE REUNIONES</t>
        </is>
      </c>
      <c r="C60" s="10" t="inlineStr">
        <is>
          <t>MB-01</t>
        </is>
      </c>
      <c r="D60" s="10" t="inlineStr">
        <is>
          <t>M69</t>
        </is>
      </c>
      <c r="E60" s="5" t="inlineStr">
        <is>
          <t>PIZARRA ACRILICA 4.20X1.20 INC. ACCESORIOS DE FIJACION</t>
        </is>
      </c>
      <c r="F60" s="10" t="inlineStr">
        <is>
          <t>und</t>
        </is>
      </c>
      <c r="G60" s="13" t="n">
        <v>1</v>
      </c>
      <c r="H60" s="13" t="n">
        <v>1</v>
      </c>
      <c r="I60" s="14" t="inlineStr">
        <is>
          <t>M69</t>
        </is>
      </c>
      <c r="J60" s="14" t="inlineStr"/>
    </row>
    <row r="61">
      <c r="A61" s="2" t="inlineStr">
        <is>
          <t>E-01  Administración - SECRETARIA/SALA DE ESPERA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>
      <c r="A62" s="10" t="inlineStr">
        <is>
          <t>E-01</t>
        </is>
      </c>
      <c r="B62" s="5" t="inlineStr">
        <is>
          <t>SECRETARIA/SALA DE ESPERA</t>
        </is>
      </c>
      <c r="C62" s="10" t="inlineStr">
        <is>
          <t>MB-01</t>
        </is>
      </c>
      <c r="D62" s="10" t="inlineStr">
        <is>
          <t>E6</t>
        </is>
      </c>
      <c r="E62" s="5" t="inlineStr">
        <is>
          <t>COMPUTADORA I5 ESTACIONARIA</t>
        </is>
      </c>
      <c r="F62" s="10" t="inlineStr">
        <is>
          <t>und</t>
        </is>
      </c>
      <c r="G62" s="13" t="n">
        <v>1</v>
      </c>
      <c r="H62" s="13" t="n">
        <v>1</v>
      </c>
      <c r="I62" s="14" t="inlineStr">
        <is>
          <t>E6</t>
        </is>
      </c>
      <c r="J62" s="14" t="inlineStr"/>
    </row>
    <row r="63">
      <c r="A63" s="10" t="inlineStr">
        <is>
          <t>E-01</t>
        </is>
      </c>
      <c r="B63" s="5" t="inlineStr">
        <is>
          <t>SECRETARIA/SALA DE ESPERA</t>
        </is>
      </c>
      <c r="C63" s="10" t="inlineStr">
        <is>
          <t>MB-01</t>
        </is>
      </c>
      <c r="D63" s="10" t="inlineStr">
        <is>
          <t>M7</t>
        </is>
      </c>
      <c r="E63" s="5" t="inlineStr">
        <is>
          <t>SILLA DEL PROFESOR DE MADERA Y METAL 0.45 x 0.40 x 0.36 m.</t>
        </is>
      </c>
      <c r="F63" s="10" t="inlineStr">
        <is>
          <t>und</t>
        </is>
      </c>
      <c r="G63" s="13" t="n">
        <v>3</v>
      </c>
      <c r="H63" s="13" t="n">
        <v>3</v>
      </c>
      <c r="I63" s="14" t="inlineStr">
        <is>
          <t>M7</t>
        </is>
      </c>
      <c r="J63" s="14" t="inlineStr"/>
    </row>
    <row r="64">
      <c r="A64" s="10" t="inlineStr">
        <is>
          <t>E-01</t>
        </is>
      </c>
      <c r="B64" s="5" t="inlineStr">
        <is>
          <t>SECRETARIA/SALA DE ESPERA</t>
        </is>
      </c>
      <c r="C64" s="10" t="inlineStr">
        <is>
          <t>MB-01</t>
        </is>
      </c>
      <c r="D64" s="10" t="inlineStr">
        <is>
          <t>M14</t>
        </is>
      </c>
      <c r="E64" s="5" t="inlineStr">
        <is>
          <t>MACETERO 0.32 x 0.32 x 0.56 m</t>
        </is>
      </c>
      <c r="F64" s="10" t="inlineStr">
        <is>
          <t>und</t>
        </is>
      </c>
      <c r="G64" s="13" t="n">
        <v>2</v>
      </c>
      <c r="H64" s="13" t="n">
        <v>2</v>
      </c>
      <c r="I64" s="14" t="inlineStr">
        <is>
          <t>M14</t>
        </is>
      </c>
      <c r="J64" s="14" t="inlineStr"/>
    </row>
    <row r="65">
      <c r="A65" s="10" t="inlineStr">
        <is>
          <t>E-01</t>
        </is>
      </c>
      <c r="B65" s="5" t="inlineStr">
        <is>
          <t>SECRETARIA/SALA DE ESPERA</t>
        </is>
      </c>
      <c r="C65" s="10" t="inlineStr">
        <is>
          <t>MB-01</t>
        </is>
      </c>
      <c r="D65" s="10" t="inlineStr">
        <is>
          <t>M31</t>
        </is>
      </c>
      <c r="E65" s="5" t="inlineStr">
        <is>
          <t>ESCRITORIO DE MELAMINA CON CREDENZA MOVIL 1.50 x 0.80 x 0.75 m.</t>
        </is>
      </c>
      <c r="F65" s="10" t="inlineStr">
        <is>
          <t>und</t>
        </is>
      </c>
      <c r="G65" s="13" t="n">
        <v>1</v>
      </c>
      <c r="H65" s="13" t="n">
        <v>1</v>
      </c>
      <c r="I65" s="14" t="inlineStr">
        <is>
          <t>M31</t>
        </is>
      </c>
      <c r="J65" s="14" t="inlineStr"/>
    </row>
    <row r="66">
      <c r="A66" s="10" t="inlineStr">
        <is>
          <t>E-01</t>
        </is>
      </c>
      <c r="B66" s="5" t="inlineStr">
        <is>
          <t>SECRETARIA/SALA DE ESPERA</t>
        </is>
      </c>
      <c r="C66" s="10" t="inlineStr">
        <is>
          <t>MB-01</t>
        </is>
      </c>
      <c r="D66" s="10" t="inlineStr">
        <is>
          <t>M32</t>
        </is>
      </c>
      <c r="E66" s="5" t="inlineStr">
        <is>
          <t>SILLON PARA ACOPLAR 0.44 X 0.55 X 0.60 M.</t>
        </is>
      </c>
      <c r="F66" s="10" t="inlineStr">
        <is>
          <t>und</t>
        </is>
      </c>
      <c r="G66" s="13" t="n">
        <v>3</v>
      </c>
      <c r="H66" s="13" t="n">
        <v>3</v>
      </c>
      <c r="I66" s="14" t="inlineStr">
        <is>
          <t>M32</t>
        </is>
      </c>
      <c r="J66" s="14" t="inlineStr"/>
    </row>
    <row r="67">
      <c r="A67" s="10" t="inlineStr">
        <is>
          <t>E-01</t>
        </is>
      </c>
      <c r="B67" s="5" t="inlineStr">
        <is>
          <t>SECRETARIA/SALA DE ESPERA</t>
        </is>
      </c>
      <c r="C67" s="10" t="inlineStr">
        <is>
          <t>MB-01</t>
        </is>
      </c>
      <c r="D67" s="10" t="inlineStr">
        <is>
          <t>M62</t>
        </is>
      </c>
      <c r="E67" s="5" t="inlineStr">
        <is>
          <t>M62</t>
        </is>
      </c>
      <c r="F67" s="10" t="inlineStr">
        <is>
          <t>und</t>
        </is>
      </c>
      <c r="G67" s="15" t="n">
        <v>0</v>
      </c>
      <c r="H67" s="15" t="n">
        <v>1</v>
      </c>
      <c r="I67" s="14" t="inlineStr">
        <is>
          <t>M62</t>
        </is>
      </c>
      <c r="J67" s="16" t="inlineStr">
        <is>
          <t>La planta de E-01 tiene 11 cestos M62 rotulados y los cuadros suman 10; el cuadro de secretaría y sala de espera no trae cesto.</t>
        </is>
      </c>
    </row>
    <row r="68">
      <c r="A68" s="2" t="inlineStr">
        <is>
          <t>E-01  Administración - SS.HH. VARONES Y SS.HH. MUJERES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>
      <c r="A69" s="10" t="inlineStr">
        <is>
          <t>E-01</t>
        </is>
      </c>
      <c r="B69" s="5" t="inlineStr">
        <is>
          <t>SS.HH. VARONES Y SS.HH. MUJERES</t>
        </is>
      </c>
      <c r="C69" s="10" t="inlineStr">
        <is>
          <t>MB-01</t>
        </is>
      </c>
      <c r="D69" s="10" t="inlineStr">
        <is>
          <t>M60</t>
        </is>
      </c>
      <c r="E69" s="5" t="inlineStr">
        <is>
          <t>PAPELERA DE PLASTICO CON PEDAL</t>
        </is>
      </c>
      <c r="F69" s="10" t="inlineStr">
        <is>
          <t>und</t>
        </is>
      </c>
      <c r="G69" s="13" t="n">
        <v>2</v>
      </c>
      <c r="H69" s="13" t="n">
        <v>2</v>
      </c>
      <c r="I69" s="14" t="inlineStr">
        <is>
          <t>M60</t>
        </is>
      </c>
      <c r="J69" s="14" t="inlineStr"/>
    </row>
    <row r="70">
      <c r="A70" s="10" t="inlineStr">
        <is>
          <t>E-01</t>
        </is>
      </c>
      <c r="B70" s="5" t="inlineStr">
        <is>
          <t>SS.HH. VARONES Y SS.HH. MUJERES</t>
        </is>
      </c>
      <c r="C70" s="10" t="inlineStr">
        <is>
          <t>MB-01</t>
        </is>
      </c>
      <c r="D70" s="10" t="inlineStr">
        <is>
          <t>M76</t>
        </is>
      </c>
      <c r="E70" s="5" t="inlineStr">
        <is>
          <t>DISPENSADOR DE PAPEL HIGIÉNICO DE 0.10 X 0.14 X 0.12 M</t>
        </is>
      </c>
      <c r="F70" s="10" t="inlineStr">
        <is>
          <t>und</t>
        </is>
      </c>
      <c r="G70" s="13" t="n">
        <v>2</v>
      </c>
      <c r="H70" s="13" t="n">
        <v>2</v>
      </c>
      <c r="I70" s="14" t="inlineStr">
        <is>
          <t>M76</t>
        </is>
      </c>
      <c r="J70" s="14" t="inlineStr"/>
    </row>
    <row r="71">
      <c r="A71" s="10" t="inlineStr">
        <is>
          <t>E-01</t>
        </is>
      </c>
      <c r="B71" s="5" t="inlineStr">
        <is>
          <t>SS.HH. VARONES Y SS.HH. MUJERES</t>
        </is>
      </c>
      <c r="C71" s="10" t="inlineStr">
        <is>
          <t>MB-01</t>
        </is>
      </c>
      <c r="D71" s="10" t="inlineStr">
        <is>
          <t>M77</t>
        </is>
      </c>
      <c r="E71" s="5" t="inlineStr">
        <is>
          <t>DISPENSADOR DE PAPEL TOALLA INTERFOLIADO DE 0.26 X 0.28 X 0.10 M</t>
        </is>
      </c>
      <c r="F71" s="10" t="inlineStr">
        <is>
          <t>und</t>
        </is>
      </c>
      <c r="G71" s="13" t="n">
        <v>2</v>
      </c>
      <c r="H71" s="13" t="n">
        <v>2</v>
      </c>
      <c r="I71" s="14" t="inlineStr">
        <is>
          <t>M77</t>
        </is>
      </c>
      <c r="J71" s="14" t="inlineStr"/>
    </row>
    <row r="72">
      <c r="A72" s="2" t="inlineStr">
        <is>
          <t>E-01  Administración - TOPICO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>
      <c r="A73" s="10" t="inlineStr">
        <is>
          <t>E-01</t>
        </is>
      </c>
      <c r="B73" s="5" t="inlineStr">
        <is>
          <t>TOPICO</t>
        </is>
      </c>
      <c r="C73" s="10" t="inlineStr">
        <is>
          <t>MB-01</t>
        </is>
      </c>
      <c r="D73" s="10" t="inlineStr">
        <is>
          <t>E7</t>
        </is>
      </c>
      <c r="E73" s="5" t="inlineStr">
        <is>
          <t>PROYECTOR MULTIMEDIA</t>
        </is>
      </c>
      <c r="F73" s="10" t="inlineStr">
        <is>
          <t>und</t>
        </is>
      </c>
      <c r="G73" s="13" t="n">
        <v>1</v>
      </c>
      <c r="H73" s="13" t="n">
        <v>1</v>
      </c>
      <c r="I73" s="14" t="inlineStr">
        <is>
          <t>E7</t>
        </is>
      </c>
      <c r="J73" s="14" t="inlineStr"/>
    </row>
    <row r="74">
      <c r="A74" s="10" t="inlineStr">
        <is>
          <t>E-01</t>
        </is>
      </c>
      <c r="B74" s="5" t="inlineStr">
        <is>
          <t>TOPICO</t>
        </is>
      </c>
      <c r="C74" s="10" t="inlineStr">
        <is>
          <t>MB-01</t>
        </is>
      </c>
      <c r="D74" s="10" t="inlineStr">
        <is>
          <t>M7</t>
        </is>
      </c>
      <c r="E74" s="5" t="inlineStr">
        <is>
          <t>SILLA DEL PROFESOR DE MADERA Y METAL 0.45 x 0.40 x 0.36 m.</t>
        </is>
      </c>
      <c r="F74" s="10" t="inlineStr">
        <is>
          <t>und</t>
        </is>
      </c>
      <c r="G74" s="15" t="n">
        <v>10</v>
      </c>
      <c r="H74" s="15" t="n">
        <v>7</v>
      </c>
      <c r="I74" s="14" t="inlineStr">
        <is>
          <t>M7</t>
        </is>
      </c>
      <c r="J74" s="16" t="inlineStr">
        <is>
          <t>El cuadro del tópico repite las 10 sillas de la sala de reuniones; se ajusta para que E-01 sume las 38 sillas M07 rotuladas en la planta, no 41. El proyector E7 del tópico sí está rotulado.</t>
        </is>
      </c>
    </row>
    <row r="75">
      <c r="A75" s="10" t="inlineStr">
        <is>
          <t>E-01</t>
        </is>
      </c>
      <c r="B75" s="5" t="inlineStr">
        <is>
          <t>TOPICO</t>
        </is>
      </c>
      <c r="C75" s="10" t="inlineStr">
        <is>
          <t>MB-01</t>
        </is>
      </c>
      <c r="D75" s="10" t="inlineStr">
        <is>
          <t>M20</t>
        </is>
      </c>
      <c r="E75" s="5" t="inlineStr">
        <is>
          <t>BIOMBO METALICO DE 3 CUERPOS</t>
        </is>
      </c>
      <c r="F75" s="10" t="inlineStr">
        <is>
          <t>und</t>
        </is>
      </c>
      <c r="G75" s="13" t="n">
        <v>1</v>
      </c>
      <c r="H75" s="13" t="n">
        <v>1</v>
      </c>
      <c r="I75" s="14" t="inlineStr">
        <is>
          <t>M20</t>
        </is>
      </c>
      <c r="J75" s="14" t="inlineStr"/>
    </row>
    <row r="76">
      <c r="A76" s="10" t="inlineStr">
        <is>
          <t>E-01</t>
        </is>
      </c>
      <c r="B76" s="5" t="inlineStr">
        <is>
          <t>TOPICO</t>
        </is>
      </c>
      <c r="C76" s="10" t="inlineStr">
        <is>
          <t>MB-01</t>
        </is>
      </c>
      <c r="D76" s="10" t="inlineStr">
        <is>
          <t>M27</t>
        </is>
      </c>
      <c r="E76" s="5" t="inlineStr">
        <is>
          <t>SILLA DE RUEDAS</t>
        </is>
      </c>
      <c r="F76" s="10" t="inlineStr">
        <is>
          <t>und</t>
        </is>
      </c>
      <c r="G76" s="13" t="n">
        <v>1</v>
      </c>
      <c r="H76" s="13" t="n">
        <v>1</v>
      </c>
      <c r="I76" s="14" t="inlineStr">
        <is>
          <t>M27</t>
        </is>
      </c>
      <c r="J76" s="14" t="inlineStr"/>
    </row>
    <row r="77">
      <c r="A77" s="10" t="inlineStr">
        <is>
          <t>E-01</t>
        </is>
      </c>
      <c r="B77" s="5" t="inlineStr">
        <is>
          <t>TOPICO</t>
        </is>
      </c>
      <c r="C77" s="10" t="inlineStr">
        <is>
          <t>MB-01</t>
        </is>
      </c>
      <c r="D77" s="10" t="inlineStr">
        <is>
          <t>M28</t>
        </is>
      </c>
      <c r="E77" s="5" t="inlineStr">
        <is>
          <t>ESCRITORIO DE MELAMINA CON DOS CAJONERAS 1.00 x 0.50 x 0.75 m</t>
        </is>
      </c>
      <c r="F77" s="10" t="inlineStr">
        <is>
          <t>und</t>
        </is>
      </c>
      <c r="G77" s="13" t="n">
        <v>1</v>
      </c>
      <c r="H77" s="13" t="n">
        <v>1</v>
      </c>
      <c r="I77" s="14" t="inlineStr">
        <is>
          <t>M28</t>
        </is>
      </c>
      <c r="J77" s="14" t="inlineStr"/>
    </row>
    <row r="78">
      <c r="A78" s="10" t="inlineStr">
        <is>
          <t>E-01</t>
        </is>
      </c>
      <c r="B78" s="5" t="inlineStr">
        <is>
          <t>TOPICO</t>
        </is>
      </c>
      <c r="C78" s="10" t="inlineStr">
        <is>
          <t>MB-01</t>
        </is>
      </c>
      <c r="D78" s="10" t="inlineStr">
        <is>
          <t>M62</t>
        </is>
      </c>
      <c r="E78" s="5" t="inlineStr">
        <is>
          <t>CESTO BOTA PAPELES DE ACERO CON PEDAL</t>
        </is>
      </c>
      <c r="F78" s="10" t="inlineStr">
        <is>
          <t>und</t>
        </is>
      </c>
      <c r="G78" s="13" t="n">
        <v>1</v>
      </c>
      <c r="H78" s="13" t="n">
        <v>1</v>
      </c>
      <c r="I78" s="14" t="inlineStr">
        <is>
          <t>M62</t>
        </is>
      </c>
      <c r="J78" s="14" t="inlineStr"/>
    </row>
    <row r="79">
      <c r="A79" s="10" t="inlineStr">
        <is>
          <t>E-01</t>
        </is>
      </c>
      <c r="B79" s="5" t="inlineStr">
        <is>
          <t>TOPICO</t>
        </is>
      </c>
      <c r="C79" s="10" t="inlineStr">
        <is>
          <t>MB-01</t>
        </is>
      </c>
      <c r="D79" s="10" t="inlineStr">
        <is>
          <t>M65</t>
        </is>
      </c>
      <c r="E79" s="5" t="inlineStr">
        <is>
          <t>CAMILLA METALICA RECLINABLE CON RESPALDO Y RUEDAS 1.80 X 0.60 X 0.70 M.</t>
        </is>
      </c>
      <c r="F79" s="10" t="inlineStr">
        <is>
          <t>und</t>
        </is>
      </c>
      <c r="G79" s="13" t="n">
        <v>1</v>
      </c>
      <c r="H79" s="13" t="n">
        <v>1</v>
      </c>
      <c r="I79" s="14" t="inlineStr">
        <is>
          <t>M65</t>
        </is>
      </c>
      <c r="J79" s="14" t="inlineStr"/>
    </row>
    <row r="80">
      <c r="A80" s="10" t="inlineStr">
        <is>
          <t>E-01</t>
        </is>
      </c>
      <c r="B80" s="5" t="inlineStr">
        <is>
          <t>TOPICO</t>
        </is>
      </c>
      <c r="C80" s="10" t="inlineStr">
        <is>
          <t>MB-01</t>
        </is>
      </c>
      <c r="D80" s="10" t="inlineStr">
        <is>
          <t>M67</t>
        </is>
      </c>
      <c r="E80" s="5" t="inlineStr">
        <is>
          <t>ESCALERA METÁLICA CON DOS PELDAÑOS 0.40 X 0.40 X 0.36 M.</t>
        </is>
      </c>
      <c r="F80" s="10" t="inlineStr">
        <is>
          <t>und</t>
        </is>
      </c>
      <c r="G80" s="13" t="n">
        <v>1</v>
      </c>
      <c r="H80" s="13" t="n">
        <v>1</v>
      </c>
      <c r="I80" s="14" t="inlineStr">
        <is>
          <t>M67</t>
        </is>
      </c>
      <c r="J80" s="14" t="inlineStr"/>
    </row>
    <row r="81">
      <c r="A81" s="10" t="inlineStr">
        <is>
          <t>E-01</t>
        </is>
      </c>
      <c r="B81" s="5" t="inlineStr">
        <is>
          <t>TOPICO</t>
        </is>
      </c>
      <c r="C81" s="10" t="inlineStr">
        <is>
          <t>MB-01</t>
        </is>
      </c>
      <c r="D81" s="10" t="inlineStr">
        <is>
          <t>M68</t>
        </is>
      </c>
      <c r="E81" s="5" t="inlineStr">
        <is>
          <t>PARIHUELA DE MADERA 0.90 X 0.50 X 0.20 M.</t>
        </is>
      </c>
      <c r="F81" s="10" t="inlineStr">
        <is>
          <t>und</t>
        </is>
      </c>
      <c r="G81" s="13" t="n">
        <v>1</v>
      </c>
      <c r="H81" s="13" t="n">
        <v>1</v>
      </c>
      <c r="I81" s="14" t="inlineStr">
        <is>
          <t>M68</t>
        </is>
      </c>
      <c r="J81" s="14" t="inlineStr"/>
    </row>
    <row r="82">
      <c r="A82" s="10" t="inlineStr">
        <is>
          <t>E-01</t>
        </is>
      </c>
      <c r="B82" s="5" t="inlineStr">
        <is>
          <t>TOPICO</t>
        </is>
      </c>
      <c r="C82" s="10" t="inlineStr">
        <is>
          <t>MB-01</t>
        </is>
      </c>
      <c r="D82" s="10" t="inlineStr">
        <is>
          <t>M70</t>
        </is>
      </c>
      <c r="E82" s="5" t="inlineStr">
        <is>
          <t>BOTIQUIN DE MADERA CON DOS DIVISIONES UNA PUERTA Y UNA MANIJA DE 0.30 X 0.15 X 0.40 M PARA PRIMEROS AUXILIOS INC. MEDICAMENTOS</t>
        </is>
      </c>
      <c r="F82" s="10" t="inlineStr">
        <is>
          <t>und</t>
        </is>
      </c>
      <c r="G82" s="13" t="n">
        <v>1</v>
      </c>
      <c r="H82" s="13" t="n">
        <v>1</v>
      </c>
      <c r="I82" s="14" t="inlineStr">
        <is>
          <t>M70</t>
        </is>
      </c>
      <c r="J82" s="14" t="inlineStr"/>
    </row>
    <row r="83">
      <c r="A83" s="10" t="inlineStr">
        <is>
          <t>E-01</t>
        </is>
      </c>
      <c r="B83" s="5" t="inlineStr">
        <is>
          <t>TOPICO</t>
        </is>
      </c>
      <c r="C83" s="10" t="inlineStr">
        <is>
          <t>MB-01</t>
        </is>
      </c>
      <c r="D83" s="10" t="inlineStr">
        <is>
          <t>M71</t>
        </is>
      </c>
      <c r="E83" s="5" t="inlineStr">
        <is>
          <t>COCHE MULTIUSOS MOVIL DE ACERO INOXIDABLE 0.80 X 0.40 X 0.90 M.</t>
        </is>
      </c>
      <c r="F83" s="10" t="inlineStr">
        <is>
          <t>und</t>
        </is>
      </c>
      <c r="G83" s="13" t="n">
        <v>1</v>
      </c>
      <c r="H83" s="13" t="n">
        <v>1</v>
      </c>
      <c r="I83" s="14" t="inlineStr">
        <is>
          <t>M71</t>
        </is>
      </c>
      <c r="J83" s="14" t="inlineStr"/>
    </row>
    <row r="84">
      <c r="A84" s="10" t="inlineStr">
        <is>
          <t>E-01</t>
        </is>
      </c>
      <c r="B84" s="5" t="inlineStr">
        <is>
          <t>TOPICO</t>
        </is>
      </c>
      <c r="C84" s="10" t="inlineStr">
        <is>
          <t>MB-01</t>
        </is>
      </c>
      <c r="D84" s="10" t="inlineStr"/>
      <c r="E84" s="5" t="inlineStr">
        <is>
          <t>BIDON DE OXIGENO MEDICINAL</t>
        </is>
      </c>
      <c r="F84" s="10" t="inlineStr">
        <is>
          <t>und</t>
        </is>
      </c>
      <c r="G84" s="13" t="n">
        <v>1</v>
      </c>
      <c r="H84" s="13" t="n">
        <v>1</v>
      </c>
      <c r="I84" s="14" t="inlineStr">
        <is>
          <t>K:TOPICO:BIDON DE OXIGENO MEDICINAL</t>
        </is>
      </c>
      <c r="J84" s="14" t="inlineStr"/>
    </row>
    <row r="85">
      <c r="A85" s="10" t="inlineStr">
        <is>
          <t>E-01</t>
        </is>
      </c>
      <c r="B85" s="5" t="inlineStr">
        <is>
          <t>TOPICO</t>
        </is>
      </c>
      <c r="C85" s="10" t="inlineStr">
        <is>
          <t>MB-01</t>
        </is>
      </c>
      <c r="D85" s="10" t="inlineStr"/>
      <c r="E85" s="5" t="inlineStr">
        <is>
          <t>TENSIOMETRO</t>
        </is>
      </c>
      <c r="F85" s="10" t="inlineStr">
        <is>
          <t>und</t>
        </is>
      </c>
      <c r="G85" s="13" t="n">
        <v>1</v>
      </c>
      <c r="H85" s="13" t="n">
        <v>1</v>
      </c>
      <c r="I85" s="14" t="inlineStr">
        <is>
          <t>K:TOPICO:TENSIOMETRO</t>
        </is>
      </c>
      <c r="J85" s="14" t="inlineStr"/>
    </row>
    <row r="86">
      <c r="A86" s="10" t="inlineStr">
        <is>
          <t>E-01</t>
        </is>
      </c>
      <c r="B86" s="5" t="inlineStr">
        <is>
          <t>TOPICO</t>
        </is>
      </c>
      <c r="C86" s="10" t="inlineStr">
        <is>
          <t>MB-01</t>
        </is>
      </c>
      <c r="D86" s="10" t="inlineStr"/>
      <c r="E86" s="5" t="inlineStr">
        <is>
          <t>TERMOMETRO DIGITAL</t>
        </is>
      </c>
      <c r="F86" s="10" t="inlineStr">
        <is>
          <t>und</t>
        </is>
      </c>
      <c r="G86" s="13" t="n">
        <v>1</v>
      </c>
      <c r="H86" s="13" t="n">
        <v>1</v>
      </c>
      <c r="I86" s="14" t="inlineStr">
        <is>
          <t>K:TOPICO:TERMOMETRO DIGITAL</t>
        </is>
      </c>
      <c r="J86" s="14" t="inlineStr"/>
    </row>
    <row r="87">
      <c r="A87" s="10" t="inlineStr">
        <is>
          <t>E-01</t>
        </is>
      </c>
      <c r="B87" s="5" t="inlineStr">
        <is>
          <t>TOPICO</t>
        </is>
      </c>
      <c r="C87" s="10" t="inlineStr">
        <is>
          <t>MB-01</t>
        </is>
      </c>
      <c r="D87" s="10" t="inlineStr"/>
      <c r="E87" s="5" t="inlineStr">
        <is>
          <t>ESTETOSCOPIO</t>
        </is>
      </c>
      <c r="F87" s="10" t="inlineStr">
        <is>
          <t>und</t>
        </is>
      </c>
      <c r="G87" s="13" t="n">
        <v>1</v>
      </c>
      <c r="H87" s="13" t="n">
        <v>1</v>
      </c>
      <c r="I87" s="14" t="inlineStr">
        <is>
          <t>K:TOPICO:ESTETOSCOPIO</t>
        </is>
      </c>
      <c r="J87" s="14" t="inlineStr"/>
    </row>
    <row r="88">
      <c r="A88" s="2" t="inlineStr">
        <is>
          <t>E-01  Administración - TRABAJADOR SOCIAL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>
      <c r="A89" s="10" t="inlineStr">
        <is>
          <t>E-01</t>
        </is>
      </c>
      <c r="B89" s="5" t="inlineStr">
        <is>
          <t>TRABAJADOR SOCIAL</t>
        </is>
      </c>
      <c r="C89" s="10" t="inlineStr">
        <is>
          <t>MB-01</t>
        </is>
      </c>
      <c r="D89" s="10" t="inlineStr">
        <is>
          <t>E6</t>
        </is>
      </c>
      <c r="E89" s="5" t="inlineStr">
        <is>
          <t>COMPUTADORA I5 ESTACIONARIA</t>
        </is>
      </c>
      <c r="F89" s="10" t="inlineStr">
        <is>
          <t>und</t>
        </is>
      </c>
      <c r="G89" s="13" t="n">
        <v>1</v>
      </c>
      <c r="H89" s="13" t="n">
        <v>1</v>
      </c>
      <c r="I89" s="14" t="inlineStr">
        <is>
          <t>E6</t>
        </is>
      </c>
      <c r="J89" s="14" t="inlineStr"/>
    </row>
    <row r="90">
      <c r="A90" s="10" t="inlineStr">
        <is>
          <t>E-01</t>
        </is>
      </c>
      <c r="B90" s="5" t="inlineStr">
        <is>
          <t>TRABAJADOR SOCIAL</t>
        </is>
      </c>
      <c r="C90" s="10" t="inlineStr">
        <is>
          <t>MB-01</t>
        </is>
      </c>
      <c r="D90" s="10" t="inlineStr">
        <is>
          <t>E9</t>
        </is>
      </c>
      <c r="E90" s="5" t="inlineStr">
        <is>
          <t>IMPRESORA MULTIFUNCIONAL</t>
        </is>
      </c>
      <c r="F90" s="10" t="inlineStr">
        <is>
          <t>und</t>
        </is>
      </c>
      <c r="G90" s="13" t="n">
        <v>1</v>
      </c>
      <c r="H90" s="13" t="n">
        <v>1</v>
      </c>
      <c r="I90" s="14" t="inlineStr">
        <is>
          <t>E9</t>
        </is>
      </c>
      <c r="J90" s="14" t="inlineStr"/>
    </row>
    <row r="91">
      <c r="A91" s="10" t="inlineStr">
        <is>
          <t>E-01</t>
        </is>
      </c>
      <c r="B91" s="5" t="inlineStr">
        <is>
          <t>TRABAJADOR SOCIAL</t>
        </is>
      </c>
      <c r="C91" s="10" t="inlineStr">
        <is>
          <t>MB-01</t>
        </is>
      </c>
      <c r="D91" s="10" t="inlineStr">
        <is>
          <t>M7</t>
        </is>
      </c>
      <c r="E91" s="5" t="inlineStr">
        <is>
          <t>SILLA DEL PROFESOR DE MADERA Y METAL 0.45 x 0.40 x 0.36 m.</t>
        </is>
      </c>
      <c r="F91" s="10" t="inlineStr">
        <is>
          <t>und</t>
        </is>
      </c>
      <c r="G91" s="13" t="n">
        <v>3</v>
      </c>
      <c r="H91" s="13" t="n">
        <v>3</v>
      </c>
      <c r="I91" s="14" t="inlineStr">
        <is>
          <t>M7</t>
        </is>
      </c>
      <c r="J91" s="14" t="inlineStr"/>
    </row>
    <row r="92">
      <c r="A92" s="10" t="inlineStr">
        <is>
          <t>E-01</t>
        </is>
      </c>
      <c r="B92" s="5" t="inlineStr">
        <is>
          <t>TRABAJADOR SOCIAL</t>
        </is>
      </c>
      <c r="C92" s="10" t="inlineStr">
        <is>
          <t>MB-01</t>
        </is>
      </c>
      <c r="D92" s="10" t="inlineStr">
        <is>
          <t>M31</t>
        </is>
      </c>
      <c r="E92" s="5" t="inlineStr">
        <is>
          <t>ESCRITORIO DE MELAMINA CON CREDENZA MOVIL 1.50 x 0.80 x 0.75 m.</t>
        </is>
      </c>
      <c r="F92" s="10" t="inlineStr">
        <is>
          <t>und</t>
        </is>
      </c>
      <c r="G92" s="13" t="n">
        <v>1</v>
      </c>
      <c r="H92" s="13" t="n">
        <v>1</v>
      </c>
      <c r="I92" s="14" t="inlineStr">
        <is>
          <t>M31</t>
        </is>
      </c>
      <c r="J92" s="14" t="inlineStr"/>
    </row>
    <row r="93">
      <c r="A93" s="10" t="inlineStr">
        <is>
          <t>E-01</t>
        </is>
      </c>
      <c r="B93" s="5" t="inlineStr">
        <is>
          <t>TRABAJADOR SOCIAL</t>
        </is>
      </c>
      <c r="C93" s="10" t="inlineStr">
        <is>
          <t>MB-01</t>
        </is>
      </c>
      <c r="D93" s="10" t="inlineStr">
        <is>
          <t>M34</t>
        </is>
      </c>
      <c r="E93" s="5" t="inlineStr">
        <is>
          <t>SOFA DE 2 CUERPOS 0.55X1.00X0.44M</t>
        </is>
      </c>
      <c r="F93" s="10" t="inlineStr">
        <is>
          <t>und</t>
        </is>
      </c>
      <c r="G93" s="13" t="n">
        <v>1</v>
      </c>
      <c r="H93" s="13" t="n">
        <v>1</v>
      </c>
      <c r="I93" s="14" t="inlineStr">
        <is>
          <t>M34</t>
        </is>
      </c>
      <c r="J93" s="14" t="inlineStr"/>
    </row>
    <row r="94">
      <c r="A94" s="10" t="inlineStr">
        <is>
          <t>E-01</t>
        </is>
      </c>
      <c r="B94" s="5" t="inlineStr">
        <is>
          <t>TRABAJADOR SOCIAL</t>
        </is>
      </c>
      <c r="C94" s="10" t="inlineStr">
        <is>
          <t>MB-01</t>
        </is>
      </c>
      <c r="D94" s="10" t="inlineStr">
        <is>
          <t>M39</t>
        </is>
      </c>
      <c r="E94" s="5" t="inlineStr">
        <is>
          <t>ARCHIVADOR DE MELAMINA CON TRES GAVETAS 0.60 X 0.46 X 1.20 M.</t>
        </is>
      </c>
      <c r="F94" s="10" t="inlineStr">
        <is>
          <t>und</t>
        </is>
      </c>
      <c r="G94" s="13" t="n">
        <v>1</v>
      </c>
      <c r="H94" s="13" t="n">
        <v>1</v>
      </c>
      <c r="I94" s="14" t="inlineStr">
        <is>
          <t>M39</t>
        </is>
      </c>
      <c r="J94" s="14" t="inlineStr"/>
    </row>
    <row r="95">
      <c r="A95" s="10" t="inlineStr">
        <is>
          <t>E-01</t>
        </is>
      </c>
      <c r="B95" s="5" t="inlineStr">
        <is>
          <t>TRABAJADOR SOCIAL</t>
        </is>
      </c>
      <c r="C95" s="10" t="inlineStr">
        <is>
          <t>MB-01</t>
        </is>
      </c>
      <c r="D95" s="10" t="inlineStr">
        <is>
          <t>M62</t>
        </is>
      </c>
      <c r="E95" s="5" t="inlineStr">
        <is>
          <t>CESTO BOTA PAPELES DE ACERO CON PEDAL</t>
        </is>
      </c>
      <c r="F95" s="10" t="inlineStr">
        <is>
          <t>und</t>
        </is>
      </c>
      <c r="G95" s="13" t="n">
        <v>1</v>
      </c>
      <c r="H95" s="13" t="n">
        <v>1</v>
      </c>
      <c r="I95" s="14" t="inlineStr">
        <is>
          <t>M62</t>
        </is>
      </c>
      <c r="J95" s="14" t="inlineStr"/>
    </row>
    <row r="96">
      <c r="A96" s="2" t="inlineStr">
        <is>
          <t>E-02  Vestidores y almacén de implementos deportivos - ALMACÉN DE IMPLEMENTOS DEPORTIVOS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>
      <c r="A97" s="10" t="inlineStr">
        <is>
          <t>E-02</t>
        </is>
      </c>
      <c r="B97" s="5" t="inlineStr">
        <is>
          <t>ALMACÉN DE IMPLEMENTOS DEPORTIVOS</t>
        </is>
      </c>
      <c r="C97" s="10" t="inlineStr">
        <is>
          <t>MB-02</t>
        </is>
      </c>
      <c r="D97" s="10" t="inlineStr">
        <is>
          <t>M51</t>
        </is>
      </c>
      <c r="E97" s="5" t="inlineStr">
        <is>
          <t>ESTANTE METÁLICO RANURADO CON CUATRO DIVISIONES 0.90 x 0.45 x 1.80 m</t>
        </is>
      </c>
      <c r="F97" s="10" t="inlineStr">
        <is>
          <t>und</t>
        </is>
      </c>
      <c r="G97" s="13" t="n">
        <v>3</v>
      </c>
      <c r="H97" s="13" t="n">
        <v>3</v>
      </c>
      <c r="I97" s="14" t="inlineStr">
        <is>
          <t>M51</t>
        </is>
      </c>
      <c r="J97" s="14" t="inlineStr"/>
    </row>
    <row r="98">
      <c r="A98" s="10" t="inlineStr">
        <is>
          <t>E-02</t>
        </is>
      </c>
      <c r="B98" s="5" t="inlineStr">
        <is>
          <t>ALMACÉN DE IMPLEMENTOS DEPORTIVOS</t>
        </is>
      </c>
      <c r="C98" s="10" t="inlineStr">
        <is>
          <t>MB-02</t>
        </is>
      </c>
      <c r="D98" s="10" t="inlineStr">
        <is>
          <t>M64</t>
        </is>
      </c>
      <c r="E98" s="5" t="inlineStr">
        <is>
          <t>CANASTILLA MOVIL CON RUEDAS 1.00 X 0.80 X 1.00</t>
        </is>
      </c>
      <c r="F98" s="10" t="inlineStr">
        <is>
          <t>und</t>
        </is>
      </c>
      <c r="G98" s="13" t="n">
        <v>1</v>
      </c>
      <c r="H98" s="13" t="n">
        <v>1</v>
      </c>
      <c r="I98" s="14" t="inlineStr">
        <is>
          <t>M64</t>
        </is>
      </c>
      <c r="J98" s="14" t="inlineStr"/>
    </row>
    <row r="99">
      <c r="A99" s="10" t="inlineStr">
        <is>
          <t>E-02</t>
        </is>
      </c>
      <c r="B99" s="5" t="inlineStr">
        <is>
          <t>ALMACÉN DE IMPLEMENTOS DEPORTIVOS</t>
        </is>
      </c>
      <c r="C99" s="10" t="inlineStr">
        <is>
          <t>MB-02</t>
        </is>
      </c>
      <c r="D99" s="10" t="inlineStr"/>
      <c r="E99" s="5" t="inlineStr">
        <is>
          <t>PELOTAS DE BASKET #6</t>
        </is>
      </c>
      <c r="F99" s="10" t="inlineStr">
        <is>
          <t>und</t>
        </is>
      </c>
      <c r="G99" s="13" t="n">
        <v>4</v>
      </c>
      <c r="H99" s="13" t="n">
        <v>4</v>
      </c>
      <c r="I99" s="14" t="inlineStr">
        <is>
          <t>K:ALMACÉN DE IMPLEMENTOS DEPORTIVOS:PELOTAS DE BASKET #6</t>
        </is>
      </c>
      <c r="J99" s="14" t="inlineStr"/>
    </row>
    <row r="100">
      <c r="A100" s="10" t="inlineStr">
        <is>
          <t>E-02</t>
        </is>
      </c>
      <c r="B100" s="5" t="inlineStr">
        <is>
          <t>ALMACÉN DE IMPLEMENTOS DEPORTIVOS</t>
        </is>
      </c>
      <c r="C100" s="10" t="inlineStr">
        <is>
          <t>MB-02</t>
        </is>
      </c>
      <c r="D100" s="10" t="inlineStr"/>
      <c r="E100" s="5" t="inlineStr">
        <is>
          <t>PELOTAS DE BASKET #7</t>
        </is>
      </c>
      <c r="F100" s="10" t="inlineStr">
        <is>
          <t>und</t>
        </is>
      </c>
      <c r="G100" s="13" t="n">
        <v>4</v>
      </c>
      <c r="H100" s="13" t="n">
        <v>4</v>
      </c>
      <c r="I100" s="14" t="inlineStr">
        <is>
          <t>K:ALMACÉN DE IMPLEMENTOS DEPORTIVOS:PELOTAS DE BASKET #7</t>
        </is>
      </c>
      <c r="J100" s="14" t="inlineStr"/>
    </row>
    <row r="101">
      <c r="A101" s="10" t="inlineStr">
        <is>
          <t>E-02</t>
        </is>
      </c>
      <c r="B101" s="5" t="inlineStr">
        <is>
          <t>ALMACÉN DE IMPLEMENTOS DEPORTIVOS</t>
        </is>
      </c>
      <c r="C101" s="10" t="inlineStr">
        <is>
          <t>MB-02</t>
        </is>
      </c>
      <c r="D101" s="10" t="inlineStr"/>
      <c r="E101" s="5" t="inlineStr">
        <is>
          <t>PELOTAS DE FUTBOL #5</t>
        </is>
      </c>
      <c r="F101" s="10" t="inlineStr">
        <is>
          <t>und</t>
        </is>
      </c>
      <c r="G101" s="13" t="n">
        <v>4</v>
      </c>
      <c r="H101" s="13" t="n">
        <v>4</v>
      </c>
      <c r="I101" s="14" t="inlineStr">
        <is>
          <t>K:ALMACÉN DE IMPLEMENTOS DEPORTIVOS:PELOTAS DE FUTBOL #5</t>
        </is>
      </c>
      <c r="J101" s="14" t="inlineStr"/>
    </row>
    <row r="102">
      <c r="A102" s="10" t="inlineStr">
        <is>
          <t>E-02</t>
        </is>
      </c>
      <c r="B102" s="5" t="inlineStr">
        <is>
          <t>ALMACÉN DE IMPLEMENTOS DEPORTIVOS</t>
        </is>
      </c>
      <c r="C102" s="10" t="inlineStr">
        <is>
          <t>MB-02</t>
        </is>
      </c>
      <c r="D102" s="10" t="inlineStr"/>
      <c r="E102" s="5" t="inlineStr">
        <is>
          <t>PELOTAS DE VOLEY #4</t>
        </is>
      </c>
      <c r="F102" s="10" t="inlineStr">
        <is>
          <t>und</t>
        </is>
      </c>
      <c r="G102" s="13" t="n">
        <v>4</v>
      </c>
      <c r="H102" s="13" t="n">
        <v>4</v>
      </c>
      <c r="I102" s="14" t="inlineStr">
        <is>
          <t>K:ALMACÉN DE IMPLEMENTOS DEPORTIVOS:PELOTAS DE VOLEY #4</t>
        </is>
      </c>
      <c r="J102" s="14" t="inlineStr"/>
    </row>
    <row r="103">
      <c r="A103" s="10" t="inlineStr">
        <is>
          <t>E-02</t>
        </is>
      </c>
      <c r="B103" s="5" t="inlineStr">
        <is>
          <t>ALMACÉN DE IMPLEMENTOS DEPORTIVOS</t>
        </is>
      </c>
      <c r="C103" s="10" t="inlineStr">
        <is>
          <t>MB-02</t>
        </is>
      </c>
      <c r="D103" s="10" t="inlineStr"/>
      <c r="E103" s="5" t="inlineStr">
        <is>
          <t>TABURETE DE MADERA PARA GIMNASIA</t>
        </is>
      </c>
      <c r="F103" s="10" t="inlineStr">
        <is>
          <t>und</t>
        </is>
      </c>
      <c r="G103" s="13" t="n">
        <v>4</v>
      </c>
      <c r="H103" s="13" t="n">
        <v>4</v>
      </c>
      <c r="I103" s="14" t="inlineStr">
        <is>
          <t>K:ALMACÉN DE IMPLEMENTOS DEPORTIVOS:TABURETE DE MADERA PARA GIMNASIA</t>
        </is>
      </c>
      <c r="J103" s="14" t="inlineStr"/>
    </row>
    <row r="104">
      <c r="A104" s="10" t="inlineStr">
        <is>
          <t>E-02</t>
        </is>
      </c>
      <c r="B104" s="5" t="inlineStr">
        <is>
          <t>ALMACÉN DE IMPLEMENTOS DEPORTIVOS</t>
        </is>
      </c>
      <c r="C104" s="10" t="inlineStr">
        <is>
          <t>MB-02</t>
        </is>
      </c>
      <c r="D104" s="10" t="inlineStr"/>
      <c r="E104" s="5" t="inlineStr">
        <is>
          <t>INFLADOR DE PIE PARA PELOTAS</t>
        </is>
      </c>
      <c r="F104" s="10" t="inlineStr">
        <is>
          <t>und</t>
        </is>
      </c>
      <c r="G104" s="13" t="n">
        <v>2</v>
      </c>
      <c r="H104" s="13" t="n">
        <v>2</v>
      </c>
      <c r="I104" s="14" t="inlineStr">
        <is>
          <t>K:ALMACÉN DE IMPLEMENTOS DEPORTIVOS:INFLADOR DE PIE PARA PELOTAS</t>
        </is>
      </c>
      <c r="J104" s="14" t="inlineStr"/>
    </row>
    <row r="105">
      <c r="A105" s="10" t="inlineStr">
        <is>
          <t>E-02</t>
        </is>
      </c>
      <c r="B105" s="5" t="inlineStr">
        <is>
          <t>ALMACÉN DE IMPLEMENTOS DEPORTIVOS</t>
        </is>
      </c>
      <c r="C105" s="10" t="inlineStr">
        <is>
          <t>MB-02</t>
        </is>
      </c>
      <c r="D105" s="10" t="inlineStr"/>
      <c r="E105" s="5" t="inlineStr">
        <is>
          <t>RIEL DE EQUILIBRIO</t>
        </is>
      </c>
      <c r="F105" s="10" t="inlineStr">
        <is>
          <t>und</t>
        </is>
      </c>
      <c r="G105" s="13" t="n">
        <v>2</v>
      </c>
      <c r="H105" s="13" t="n">
        <v>2</v>
      </c>
      <c r="I105" s="14" t="inlineStr">
        <is>
          <t>K:ALMACÉN DE IMPLEMENTOS DEPORTIVOS:RIEL DE EQUILIBRIO</t>
        </is>
      </c>
      <c r="J105" s="14" t="inlineStr"/>
    </row>
    <row r="106">
      <c r="A106" s="10" t="inlineStr">
        <is>
          <t>E-02</t>
        </is>
      </c>
      <c r="B106" s="5" t="inlineStr">
        <is>
          <t>ALMACÉN DE IMPLEMENTOS DEPORTIVOS</t>
        </is>
      </c>
      <c r="C106" s="10" t="inlineStr">
        <is>
          <t>MB-02</t>
        </is>
      </c>
      <c r="D106" s="10" t="inlineStr"/>
      <c r="E106" s="5" t="inlineStr">
        <is>
          <t>AROS DE ALUMINIO</t>
        </is>
      </c>
      <c r="F106" s="10" t="inlineStr">
        <is>
          <t>und</t>
        </is>
      </c>
      <c r="G106" s="13" t="n">
        <v>30</v>
      </c>
      <c r="H106" s="13" t="n">
        <v>30</v>
      </c>
      <c r="I106" s="14" t="inlineStr">
        <is>
          <t>K:ALMACÉN DE IMPLEMENTOS DEPORTIVOS:AROS DE ALUMINIO</t>
        </is>
      </c>
      <c r="J106" s="14" t="inlineStr"/>
    </row>
    <row r="107">
      <c r="A107" s="10" t="inlineStr">
        <is>
          <t>E-02</t>
        </is>
      </c>
      <c r="B107" s="5" t="inlineStr">
        <is>
          <t>ALMACÉN DE IMPLEMENTOS DEPORTIVOS</t>
        </is>
      </c>
      <c r="C107" s="10" t="inlineStr">
        <is>
          <t>MB-02</t>
        </is>
      </c>
      <c r="D107" s="10" t="inlineStr"/>
      <c r="E107" s="5" t="inlineStr">
        <is>
          <t>DISCO DE GOMA DE 1 KG</t>
        </is>
      </c>
      <c r="F107" s="10" t="inlineStr">
        <is>
          <t>und</t>
        </is>
      </c>
      <c r="G107" s="13" t="n">
        <v>4</v>
      </c>
      <c r="H107" s="13" t="n">
        <v>4</v>
      </c>
      <c r="I107" s="14" t="inlineStr">
        <is>
          <t>K:ALMACÉN DE IMPLEMENTOS DEPORTIVOS:DISCO DE GOMA DE 1 KG</t>
        </is>
      </c>
      <c r="J107" s="14" t="inlineStr"/>
    </row>
    <row r="108">
      <c r="A108" s="10" t="inlineStr">
        <is>
          <t>E-02</t>
        </is>
      </c>
      <c r="B108" s="5" t="inlineStr">
        <is>
          <t>ALMACÉN DE IMPLEMENTOS DEPORTIVOS</t>
        </is>
      </c>
      <c r="C108" s="10" t="inlineStr">
        <is>
          <t>MB-02</t>
        </is>
      </c>
      <c r="D108" s="10" t="inlineStr"/>
      <c r="E108" s="5" t="inlineStr">
        <is>
          <t>BALA DE 1KG</t>
        </is>
      </c>
      <c r="F108" s="10" t="inlineStr">
        <is>
          <t>und</t>
        </is>
      </c>
      <c r="G108" s="13" t="n">
        <v>4</v>
      </c>
      <c r="H108" s="13" t="n">
        <v>4</v>
      </c>
      <c r="I108" s="14" t="inlineStr">
        <is>
          <t>K:ALMACÉN DE IMPLEMENTOS DEPORTIVOS:BALA DE 1KG</t>
        </is>
      </c>
      <c r="J108" s="14" t="inlineStr"/>
    </row>
    <row r="109">
      <c r="A109" s="10" t="inlineStr">
        <is>
          <t>E-02</t>
        </is>
      </c>
      <c r="B109" s="5" t="inlineStr">
        <is>
          <t>ALMACÉN DE IMPLEMENTOS DEPORTIVOS</t>
        </is>
      </c>
      <c r="C109" s="10" t="inlineStr">
        <is>
          <t>MB-02</t>
        </is>
      </c>
      <c r="D109" s="10" t="inlineStr"/>
      <c r="E109" s="5" t="inlineStr">
        <is>
          <t>JABALINA DE 600 GR</t>
        </is>
      </c>
      <c r="F109" s="10" t="inlineStr">
        <is>
          <t>und</t>
        </is>
      </c>
      <c r="G109" s="13" t="n">
        <v>4</v>
      </c>
      <c r="H109" s="13" t="n">
        <v>4</v>
      </c>
      <c r="I109" s="14" t="inlineStr">
        <is>
          <t>K:ALMACÉN DE IMPLEMENTOS DEPORTIVOS:JABALINA DE 600 GR</t>
        </is>
      </c>
      <c r="J109" s="14" t="inlineStr"/>
    </row>
    <row r="110">
      <c r="A110" s="10" t="inlineStr">
        <is>
          <t>E-02</t>
        </is>
      </c>
      <c r="B110" s="5" t="inlineStr">
        <is>
          <t>ALMACÉN DE IMPLEMENTOS DEPORTIVOS</t>
        </is>
      </c>
      <c r="C110" s="10" t="inlineStr">
        <is>
          <t>MB-02</t>
        </is>
      </c>
      <c r="D110" s="10" t="inlineStr"/>
      <c r="E110" s="5" t="inlineStr">
        <is>
          <t>JABALINA DE 700 GR</t>
        </is>
      </c>
      <c r="F110" s="10" t="inlineStr">
        <is>
          <t>und</t>
        </is>
      </c>
      <c r="G110" s="13" t="n">
        <v>4</v>
      </c>
      <c r="H110" s="13" t="n">
        <v>4</v>
      </c>
      <c r="I110" s="14" t="inlineStr">
        <is>
          <t>K:ALMACÉN DE IMPLEMENTOS DEPORTIVOS:JABALINA DE 700 GR</t>
        </is>
      </c>
      <c r="J110" s="14" t="inlineStr"/>
    </row>
    <row r="111">
      <c r="A111" s="10" t="inlineStr">
        <is>
          <t>E-02</t>
        </is>
      </c>
      <c r="B111" s="5" t="inlineStr">
        <is>
          <t>ALMACÉN DE IMPLEMENTOS DEPORTIVOS</t>
        </is>
      </c>
      <c r="C111" s="10" t="inlineStr">
        <is>
          <t>MB-02</t>
        </is>
      </c>
      <c r="D111" s="10" t="inlineStr"/>
      <c r="E111" s="5" t="inlineStr">
        <is>
          <t>VALLAS DE OBSTACULO REGULABLE</t>
        </is>
      </c>
      <c r="F111" s="10" t="inlineStr">
        <is>
          <t>und</t>
        </is>
      </c>
      <c r="G111" s="13" t="n">
        <v>5</v>
      </c>
      <c r="H111" s="13" t="n">
        <v>5</v>
      </c>
      <c r="I111" s="14" t="inlineStr">
        <is>
          <t>K:ALMACÉN DE IMPLEMENTOS DEPORTIVOS:VALLAS DE OBSTACULO REGULABLE</t>
        </is>
      </c>
      <c r="J111" s="14" t="inlineStr"/>
    </row>
    <row r="112">
      <c r="A112" s="10" t="inlineStr">
        <is>
          <t>E-02</t>
        </is>
      </c>
      <c r="B112" s="5" t="inlineStr">
        <is>
          <t>ALMACÉN DE IMPLEMENTOS DEPORTIVOS</t>
        </is>
      </c>
      <c r="C112" s="10" t="inlineStr">
        <is>
          <t>MB-02</t>
        </is>
      </c>
      <c r="D112" s="10" t="inlineStr"/>
      <c r="E112" s="5" t="inlineStr">
        <is>
          <t>TESTIMONIO DE RELEVO DE PVC</t>
        </is>
      </c>
      <c r="F112" s="10" t="inlineStr">
        <is>
          <t>und</t>
        </is>
      </c>
      <c r="G112" s="13" t="n">
        <v>5</v>
      </c>
      <c r="H112" s="13" t="n">
        <v>5</v>
      </c>
      <c r="I112" s="14" t="inlineStr">
        <is>
          <t>K:ALMACÉN DE IMPLEMENTOS DEPORTIVOS:TESTIMONIO DE RELEVO DE PVC</t>
        </is>
      </c>
      <c r="J112" s="14" t="inlineStr"/>
    </row>
    <row r="113">
      <c r="A113" s="10" t="inlineStr">
        <is>
          <t>E-02</t>
        </is>
      </c>
      <c r="B113" s="5" t="inlineStr">
        <is>
          <t>ALMACÉN DE IMPLEMENTOS DEPORTIVOS</t>
        </is>
      </c>
      <c r="C113" s="10" t="inlineStr">
        <is>
          <t>MB-02</t>
        </is>
      </c>
      <c r="D113" s="10" t="inlineStr"/>
      <c r="E113" s="5" t="inlineStr">
        <is>
          <t>COLCHONETAS SIMPLES FORRADO CON CUERO 1.50X0.50</t>
        </is>
      </c>
      <c r="F113" s="10" t="inlineStr">
        <is>
          <t>und</t>
        </is>
      </c>
      <c r="G113" s="13" t="n">
        <v>30</v>
      </c>
      <c r="H113" s="13" t="n">
        <v>30</v>
      </c>
      <c r="I113" s="14" t="inlineStr">
        <is>
          <t>K:ALMACÉN DE IMPLEMENTOS DEPORTIVOS:COLCHONETAS SIMPLES FORRADO CON CUERO 1.50X0.50</t>
        </is>
      </c>
      <c r="J113" s="14" t="inlineStr"/>
    </row>
    <row r="114">
      <c r="A114" s="10" t="inlineStr">
        <is>
          <t>E-02</t>
        </is>
      </c>
      <c r="B114" s="5" t="inlineStr">
        <is>
          <t>ALMACÉN DE IMPLEMENTOS DEPORTIVOS</t>
        </is>
      </c>
      <c r="C114" s="10" t="inlineStr">
        <is>
          <t>MB-02</t>
        </is>
      </c>
      <c r="D114" s="10" t="inlineStr"/>
      <c r="E114" s="5" t="inlineStr">
        <is>
          <t>KIT DE VOLEY INC/ NET Y PARANTES TELESCOPICOS</t>
        </is>
      </c>
      <c r="F114" s="10" t="inlineStr">
        <is>
          <t>und</t>
        </is>
      </c>
      <c r="G114" s="13" t="n">
        <v>1</v>
      </c>
      <c r="H114" s="13" t="n">
        <v>1</v>
      </c>
      <c r="I114" s="14" t="inlineStr">
        <is>
          <t>K:ALMACÉN DE IMPLEMENTOS DEPORTIVOS:KIT DE VOLEY INC/ NET Y PARANTES TELESCOPICOS</t>
        </is>
      </c>
      <c r="J114" s="14" t="inlineStr"/>
    </row>
    <row r="115">
      <c r="A115" s="10" t="inlineStr">
        <is>
          <t>E-02</t>
        </is>
      </c>
      <c r="B115" s="5" t="inlineStr">
        <is>
          <t>ALMACÉN DE IMPLEMENTOS DEPORTIVOS</t>
        </is>
      </c>
      <c r="C115" s="10" t="inlineStr">
        <is>
          <t>MB-02</t>
        </is>
      </c>
      <c r="D115" s="10" t="inlineStr"/>
      <c r="E115" s="5" t="inlineStr">
        <is>
          <t>GUANTES DE ENTRENAMIENTO</t>
        </is>
      </c>
      <c r="F115" s="10" t="inlineStr">
        <is>
          <t>und</t>
        </is>
      </c>
      <c r="G115" s="13" t="n">
        <v>6</v>
      </c>
      <c r="H115" s="13" t="n">
        <v>6</v>
      </c>
      <c r="I115" s="14" t="inlineStr">
        <is>
          <t>K:ALMACÉN DE IMPLEMENTOS DEPORTIVOS:GUANTES DE ENTRENAMIENTO</t>
        </is>
      </c>
      <c r="J115" s="14" t="inlineStr"/>
    </row>
    <row r="116">
      <c r="A116" s="10" t="inlineStr">
        <is>
          <t>E-02</t>
        </is>
      </c>
      <c r="B116" s="5" t="inlineStr">
        <is>
          <t>ALMACÉN DE IMPLEMENTOS DEPORTIVOS</t>
        </is>
      </c>
      <c r="C116" s="10" t="inlineStr">
        <is>
          <t>MB-02</t>
        </is>
      </c>
      <c r="D116" s="10" t="inlineStr"/>
      <c r="E116" s="5" t="inlineStr">
        <is>
          <t>SACO DE BOXEO, RELLENO DE TELA PRENSADA</t>
        </is>
      </c>
      <c r="F116" s="10" t="inlineStr">
        <is>
          <t>und</t>
        </is>
      </c>
      <c r="G116" s="13" t="n">
        <v>1</v>
      </c>
      <c r="H116" s="13" t="n">
        <v>1</v>
      </c>
      <c r="I116" s="14" t="inlineStr">
        <is>
          <t>K:ALMACÉN DE IMPLEMENTOS DEPORTIVOS:SACO DE BOXEO, RELLENO DE TELA PRENSADA</t>
        </is>
      </c>
      <c r="J116" s="14" t="inlineStr"/>
    </row>
    <row r="117">
      <c r="A117" s="10" t="inlineStr">
        <is>
          <t>E-02</t>
        </is>
      </c>
      <c r="B117" s="5" t="inlineStr">
        <is>
          <t>ALMACÉN DE IMPLEMENTOS DEPORTIVOS</t>
        </is>
      </c>
      <c r="C117" s="10" t="inlineStr">
        <is>
          <t>MB-02</t>
        </is>
      </c>
      <c r="D117" s="10" t="inlineStr"/>
      <c r="E117" s="5" t="inlineStr">
        <is>
          <t>PERA DE BOX</t>
        </is>
      </c>
      <c r="F117" s="10" t="inlineStr">
        <is>
          <t>und</t>
        </is>
      </c>
      <c r="G117" s="13" t="n">
        <v>1</v>
      </c>
      <c r="H117" s="13" t="n">
        <v>1</v>
      </c>
      <c r="I117" s="14" t="inlineStr">
        <is>
          <t>K:ALMACÉN DE IMPLEMENTOS DEPORTIVOS:PERA DE BOX</t>
        </is>
      </c>
      <c r="J117" s="14" t="inlineStr"/>
    </row>
    <row r="118">
      <c r="A118" s="10" t="inlineStr">
        <is>
          <t>E-02</t>
        </is>
      </c>
      <c r="B118" s="5" t="inlineStr">
        <is>
          <t>ALMACÉN DE IMPLEMENTOS DEPORTIVOS</t>
        </is>
      </c>
      <c r="C118" s="10" t="inlineStr">
        <is>
          <t>MB-02</t>
        </is>
      </c>
      <c r="D118" s="10" t="inlineStr"/>
      <c r="E118" s="5" t="inlineStr">
        <is>
          <t>SOPORTE METALICO PARA PERA</t>
        </is>
      </c>
      <c r="F118" s="10" t="inlineStr">
        <is>
          <t>und</t>
        </is>
      </c>
      <c r="G118" s="13" t="n">
        <v>1</v>
      </c>
      <c r="H118" s="13" t="n">
        <v>1</v>
      </c>
      <c r="I118" s="14" t="inlineStr">
        <is>
          <t>K:ALMACÉN DE IMPLEMENTOS DEPORTIVOS:SOPORTE METALICO PARA PERA</t>
        </is>
      </c>
      <c r="J118" s="14" t="inlineStr"/>
    </row>
    <row r="119">
      <c r="A119" s="10" t="inlineStr">
        <is>
          <t>E-02</t>
        </is>
      </c>
      <c r="B119" s="5" t="inlineStr">
        <is>
          <t>ALMACÉN DE IMPLEMENTOS DEPORTIVOS</t>
        </is>
      </c>
      <c r="C119" s="10" t="inlineStr">
        <is>
          <t>MB-02</t>
        </is>
      </c>
      <c r="D119" s="10" t="inlineStr"/>
      <c r="E119" s="5" t="inlineStr">
        <is>
          <t>PISO ENCASTRABLE DE GOMA 25 MM</t>
        </is>
      </c>
      <c r="F119" s="10" t="inlineStr">
        <is>
          <t>und</t>
        </is>
      </c>
      <c r="G119" s="13" t="n">
        <v>50</v>
      </c>
      <c r="H119" s="13" t="n">
        <v>50</v>
      </c>
      <c r="I119" s="14" t="inlineStr">
        <is>
          <t>K:ALMACÉN DE IMPLEMENTOS DEPORTIVOS:PISO ENCASTRABLE DE GOMA 25 MM</t>
        </is>
      </c>
      <c r="J119" s="14" t="inlineStr"/>
    </row>
    <row r="120">
      <c r="A120" s="10" t="inlineStr">
        <is>
          <t>E-02</t>
        </is>
      </c>
      <c r="B120" s="5" t="inlineStr">
        <is>
          <t>ALMACÉN DE IMPLEMENTOS DEPORTIVOS</t>
        </is>
      </c>
      <c r="C120" s="10" t="inlineStr">
        <is>
          <t>MB-02</t>
        </is>
      </c>
      <c r="D120" s="10" t="inlineStr"/>
      <c r="E120" s="5" t="inlineStr">
        <is>
          <t>MICA PROTECTORA EN POLICARBONATO</t>
        </is>
      </c>
      <c r="F120" s="10" t="inlineStr">
        <is>
          <t>und</t>
        </is>
      </c>
      <c r="G120" s="13" t="n">
        <v>12</v>
      </c>
      <c r="H120" s="13" t="n">
        <v>12</v>
      </c>
      <c r="I120" s="14" t="inlineStr">
        <is>
          <t>K:ALMACÉN DE IMPLEMENTOS DEPORTIVOS:MICA PROTECTORA EN POLICARBONATO</t>
        </is>
      </c>
      <c r="J120" s="14" t="inlineStr"/>
    </row>
    <row r="121">
      <c r="A121" s="10" t="inlineStr">
        <is>
          <t>E-02</t>
        </is>
      </c>
      <c r="B121" s="5" t="inlineStr">
        <is>
          <t>ALMACÉN DE IMPLEMENTOS DEPORTIVOS</t>
        </is>
      </c>
      <c r="C121" s="10" t="inlineStr">
        <is>
          <t>MB-02</t>
        </is>
      </c>
      <c r="D121" s="10" t="inlineStr"/>
      <c r="E121" s="5" t="inlineStr">
        <is>
          <t>CODERA ESPUMA ERGONOMETRICA</t>
        </is>
      </c>
      <c r="F121" s="10" t="inlineStr">
        <is>
          <t>und</t>
        </is>
      </c>
      <c r="G121" s="13" t="n">
        <v>30</v>
      </c>
      <c r="H121" s="13" t="n">
        <v>30</v>
      </c>
      <c r="I121" s="14" t="inlineStr">
        <is>
          <t>K:ALMACÉN DE IMPLEMENTOS DEPORTIVOS:CODERA ESPUMA ERGONOMETRICA</t>
        </is>
      </c>
      <c r="J121" s="14" t="inlineStr"/>
    </row>
    <row r="122">
      <c r="A122" s="10" t="inlineStr">
        <is>
          <t>E-02</t>
        </is>
      </c>
      <c r="B122" s="5" t="inlineStr">
        <is>
          <t>ALMACÉN DE IMPLEMENTOS DEPORTIVOS</t>
        </is>
      </c>
      <c r="C122" s="10" t="inlineStr">
        <is>
          <t>MB-02</t>
        </is>
      </c>
      <c r="D122" s="10" t="inlineStr"/>
      <c r="E122" s="5" t="inlineStr">
        <is>
          <t>GUANTES DE ESPUMA DE ALTO IMPACTO</t>
        </is>
      </c>
      <c r="F122" s="10" t="inlineStr">
        <is>
          <t>und</t>
        </is>
      </c>
      <c r="G122" s="13" t="n">
        <v>30</v>
      </c>
      <c r="H122" s="13" t="n">
        <v>30</v>
      </c>
      <c r="I122" s="14" t="inlineStr">
        <is>
          <t>K:ALMACÉN DE IMPLEMENTOS DEPORTIVOS:GUANTES DE ESPUMA DE ALTO IMPACTO</t>
        </is>
      </c>
      <c r="J122" s="14" t="inlineStr"/>
    </row>
    <row r="123">
      <c r="A123" s="2" t="inlineStr">
        <is>
          <t>E-02  Vestidores y almacén de implementos deportivos - VESTIDORES VARONES Y MUJERES</t>
        </is>
      </c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>
      <c r="A124" s="10" t="inlineStr">
        <is>
          <t>E-02</t>
        </is>
      </c>
      <c r="B124" s="5" t="inlineStr">
        <is>
          <t>VESTIDORES VARONES Y MUJERES</t>
        </is>
      </c>
      <c r="C124" s="10" t="inlineStr">
        <is>
          <t>MB-02</t>
        </is>
      </c>
      <c r="D124" s="10" t="inlineStr">
        <is>
          <t>M60</t>
        </is>
      </c>
      <c r="E124" s="5" t="inlineStr">
        <is>
          <t>PAPELERA DE PLASTICO CON PEDAL</t>
        </is>
      </c>
      <c r="F124" s="10" t="inlineStr">
        <is>
          <t>und</t>
        </is>
      </c>
      <c r="G124" s="13" t="n">
        <v>2</v>
      </c>
      <c r="H124" s="13" t="n">
        <v>2</v>
      </c>
      <c r="I124" s="14" t="inlineStr">
        <is>
          <t>M60</t>
        </is>
      </c>
      <c r="J124" s="14" t="inlineStr"/>
    </row>
    <row r="125">
      <c r="A125" s="10" t="inlineStr">
        <is>
          <t>E-02</t>
        </is>
      </c>
      <c r="B125" s="5" t="inlineStr">
        <is>
          <t>VESTIDORES VARONES Y MUJERES</t>
        </is>
      </c>
      <c r="C125" s="10" t="inlineStr">
        <is>
          <t>MB-02</t>
        </is>
      </c>
      <c r="D125" s="10" t="inlineStr">
        <is>
          <t>M76</t>
        </is>
      </c>
      <c r="E125" s="5" t="inlineStr">
        <is>
          <t>DISPENSADOR DE PAPEL HIGIÉNICO DE 0.10 X 0.14 X 0.12 M</t>
        </is>
      </c>
      <c r="F125" s="10" t="inlineStr">
        <is>
          <t>und</t>
        </is>
      </c>
      <c r="G125" s="13" t="n">
        <v>2</v>
      </c>
      <c r="H125" s="13" t="n">
        <v>2</v>
      </c>
      <c r="I125" s="14" t="inlineStr">
        <is>
          <t>M76</t>
        </is>
      </c>
      <c r="J125" s="14" t="inlineStr"/>
    </row>
    <row r="126">
      <c r="A126" s="10" t="inlineStr">
        <is>
          <t>E-02</t>
        </is>
      </c>
      <c r="B126" s="5" t="inlineStr">
        <is>
          <t>VESTIDORES VARONES Y MUJERES</t>
        </is>
      </c>
      <c r="C126" s="10" t="inlineStr">
        <is>
          <t>MB-02</t>
        </is>
      </c>
      <c r="D126" s="10" t="inlineStr">
        <is>
          <t>M77</t>
        </is>
      </c>
      <c r="E126" s="5" t="inlineStr">
        <is>
          <t>DISPENSADOR DE PAPEL TOALLA INTERFOLIADO DE 0.26 X 0.28 X 0.10 M</t>
        </is>
      </c>
      <c r="F126" s="10" t="inlineStr">
        <is>
          <t>und</t>
        </is>
      </c>
      <c r="G126" s="13" t="n">
        <v>6</v>
      </c>
      <c r="H126" s="13" t="n">
        <v>6</v>
      </c>
      <c r="I126" s="14" t="inlineStr">
        <is>
          <t>M77</t>
        </is>
      </c>
      <c r="J126" s="14" t="inlineStr"/>
    </row>
    <row r="127">
      <c r="A127" s="2" t="inlineStr">
        <is>
          <t>E-03  Módulo de madres sustitutas - DORMITORIO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>
      <c r="A128" s="10" t="inlineStr">
        <is>
          <t>E-03</t>
        </is>
      </c>
      <c r="B128" s="5" t="inlineStr">
        <is>
          <t>DORMITORIO</t>
        </is>
      </c>
      <c r="C128" s="10" t="inlineStr">
        <is>
          <t>MB-03</t>
        </is>
      </c>
      <c r="D128" s="10" t="inlineStr">
        <is>
          <t>M37</t>
        </is>
      </c>
      <c r="E128" s="5" t="inlineStr">
        <is>
          <t>ARMARIO PARA ALMACENAR MATERIAL DE MELAMINA CON 2 PUERTAS Y 5 DIVISIONES 0.90 X 0.60 X 1.80 M.</t>
        </is>
      </c>
      <c r="F128" s="10" t="inlineStr">
        <is>
          <t>und</t>
        </is>
      </c>
      <c r="G128" s="13" t="n">
        <v>5</v>
      </c>
      <c r="H128" s="13" t="n">
        <v>5</v>
      </c>
      <c r="I128" s="14" t="inlineStr">
        <is>
          <t>M37</t>
        </is>
      </c>
      <c r="J128" s="14" t="inlineStr"/>
    </row>
    <row r="129">
      <c r="A129" s="10" t="inlineStr">
        <is>
          <t>E-03</t>
        </is>
      </c>
      <c r="B129" s="5" t="inlineStr">
        <is>
          <t>DORMITORIO</t>
        </is>
      </c>
      <c r="C129" s="10" t="inlineStr">
        <is>
          <t>MB-03</t>
        </is>
      </c>
      <c r="D129" s="10" t="inlineStr">
        <is>
          <t>M55</t>
        </is>
      </c>
      <c r="E129" s="5" t="inlineStr">
        <is>
          <t>CAMA CON CABECERA DE 0.90 x 1.90 m</t>
        </is>
      </c>
      <c r="F129" s="10" t="inlineStr">
        <is>
          <t>und</t>
        </is>
      </c>
      <c r="G129" s="13" t="n">
        <v>5</v>
      </c>
      <c r="H129" s="13" t="n">
        <v>5</v>
      </c>
      <c r="I129" s="14" t="inlineStr">
        <is>
          <t>M55</t>
        </is>
      </c>
      <c r="J129" s="14" t="inlineStr"/>
    </row>
    <row r="130">
      <c r="A130" s="2" t="inlineStr">
        <is>
          <t>E-03  Módulo de madres sustitutas - LAVANDERIA Y DEPOSITO</t>
        </is>
      </c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>
      <c r="A131" s="10" t="inlineStr">
        <is>
          <t>E-03</t>
        </is>
      </c>
      <c r="B131" s="5" t="inlineStr">
        <is>
          <t>LAVANDERIA Y DEPOSITO</t>
        </is>
      </c>
      <c r="C131" s="10" t="inlineStr">
        <is>
          <t>MB-03</t>
        </is>
      </c>
      <c r="D131" s="10" t="inlineStr">
        <is>
          <t>E5</t>
        </is>
      </c>
      <c r="E131" s="5" t="inlineStr">
        <is>
          <t>LAVADORA DE 20KG DE CARGA SUPERIOR</t>
        </is>
      </c>
      <c r="F131" s="10" t="inlineStr">
        <is>
          <t>und</t>
        </is>
      </c>
      <c r="G131" s="13" t="n">
        <v>2</v>
      </c>
      <c r="H131" s="13" t="n">
        <v>2</v>
      </c>
      <c r="I131" s="14" t="inlineStr">
        <is>
          <t>E5</t>
        </is>
      </c>
      <c r="J131" s="14" t="inlineStr"/>
    </row>
    <row r="132">
      <c r="A132" s="10" t="inlineStr">
        <is>
          <t>E-03</t>
        </is>
      </c>
      <c r="B132" s="5" t="inlineStr">
        <is>
          <t>LAVANDERIA Y DEPOSITO</t>
        </is>
      </c>
      <c r="C132" s="10" t="inlineStr">
        <is>
          <t>MB-03</t>
        </is>
      </c>
      <c r="D132" s="10" t="inlineStr">
        <is>
          <t>M51</t>
        </is>
      </c>
      <c r="E132" s="5" t="inlineStr">
        <is>
          <t>ESTANTE METÁLICO RANURADO CON CUATRO DIVISIONES 0.90 x 0.45 x 1.80 m</t>
        </is>
      </c>
      <c r="F132" s="10" t="inlineStr">
        <is>
          <t>und</t>
        </is>
      </c>
      <c r="G132" s="13" t="n">
        <v>5</v>
      </c>
      <c r="H132" s="13" t="n">
        <v>5</v>
      </c>
      <c r="I132" s="14" t="inlineStr">
        <is>
          <t>M51</t>
        </is>
      </c>
      <c r="J132" s="14" t="inlineStr"/>
    </row>
    <row r="133">
      <c r="A133" s="2" t="inlineStr">
        <is>
          <t>E-03  Módulo de madres sustitutas - SS.HH.</t>
        </is>
      </c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>
      <c r="A134" s="10" t="inlineStr">
        <is>
          <t>E-03</t>
        </is>
      </c>
      <c r="B134" s="5" t="inlineStr">
        <is>
          <t>SS.HH.</t>
        </is>
      </c>
      <c r="C134" s="10" t="inlineStr">
        <is>
          <t>MB-03</t>
        </is>
      </c>
      <c r="D134" s="10" t="inlineStr">
        <is>
          <t>M60</t>
        </is>
      </c>
      <c r="E134" s="5" t="inlineStr">
        <is>
          <t>PAPELERA DE PLASTICO CON PEDAL</t>
        </is>
      </c>
      <c r="F134" s="10" t="inlineStr">
        <is>
          <t>und</t>
        </is>
      </c>
      <c r="G134" s="13" t="n">
        <v>2</v>
      </c>
      <c r="H134" s="13" t="n">
        <v>2</v>
      </c>
      <c r="I134" s="14" t="inlineStr">
        <is>
          <t>M60</t>
        </is>
      </c>
      <c r="J134" s="14" t="inlineStr"/>
    </row>
    <row r="135">
      <c r="A135" s="10" t="inlineStr">
        <is>
          <t>E-03</t>
        </is>
      </c>
      <c r="B135" s="5" t="inlineStr">
        <is>
          <t>SS.HH.</t>
        </is>
      </c>
      <c r="C135" s="10" t="inlineStr">
        <is>
          <t>MB-03</t>
        </is>
      </c>
      <c r="D135" s="10" t="inlineStr">
        <is>
          <t>M76</t>
        </is>
      </c>
      <c r="E135" s="5" t="inlineStr">
        <is>
          <t>DISPENSADOR DE PAPEL HIGIÉNICO DE 0.10 X 0.14 X 0.12 M</t>
        </is>
      </c>
      <c r="F135" s="10" t="inlineStr">
        <is>
          <t>und</t>
        </is>
      </c>
      <c r="G135" s="13" t="n">
        <v>2</v>
      </c>
      <c r="H135" s="13" t="n">
        <v>2</v>
      </c>
      <c r="I135" s="14" t="inlineStr">
        <is>
          <t>M76</t>
        </is>
      </c>
      <c r="J135" s="14" t="inlineStr"/>
    </row>
    <row r="136">
      <c r="A136" s="10" t="inlineStr">
        <is>
          <t>E-03</t>
        </is>
      </c>
      <c r="B136" s="5" t="inlineStr">
        <is>
          <t>SS.HH.</t>
        </is>
      </c>
      <c r="C136" s="10" t="inlineStr">
        <is>
          <t>MB-03</t>
        </is>
      </c>
      <c r="D136" s="10" t="inlineStr">
        <is>
          <t>M77</t>
        </is>
      </c>
      <c r="E136" s="5" t="inlineStr">
        <is>
          <t>DISPENSADOR DE PAPEL TOALLA INTERFOLIADO DE 0.26 X 0.28 X 0.10 M</t>
        </is>
      </c>
      <c r="F136" s="10" t="inlineStr">
        <is>
          <t>und</t>
        </is>
      </c>
      <c r="G136" s="13" t="n">
        <v>2</v>
      </c>
      <c r="H136" s="13" t="n">
        <v>2</v>
      </c>
      <c r="I136" s="14" t="inlineStr">
        <is>
          <t>M77</t>
        </is>
      </c>
      <c r="J136" s="14" t="inlineStr"/>
    </row>
    <row r="137">
      <c r="A137" s="2" t="inlineStr">
        <is>
          <t>E-04  Vivienda de niños de 12 a 17 años (1) - DORMITORIO</t>
        </is>
      </c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>
      <c r="A138" s="10" t="inlineStr">
        <is>
          <t>E-04</t>
        </is>
      </c>
      <c r="B138" s="5" t="inlineStr">
        <is>
          <t>DORMITORIO</t>
        </is>
      </c>
      <c r="C138" s="10" t="inlineStr">
        <is>
          <t>MB-04</t>
        </is>
      </c>
      <c r="D138" s="10" t="inlineStr">
        <is>
          <t>M37</t>
        </is>
      </c>
      <c r="E138" s="5" t="inlineStr">
        <is>
          <t>ARMARIO PARA ALMACENAR MATERIAL DE MELAMINA CON 2 PUERTAS Y 5 DIVISIONES 0.90 X 0.60 X 1.80 M.</t>
        </is>
      </c>
      <c r="F138" s="10" t="inlineStr">
        <is>
          <t>und</t>
        </is>
      </c>
      <c r="G138" s="13" t="n">
        <v>10</v>
      </c>
      <c r="H138" s="13" t="n">
        <v>10</v>
      </c>
      <c r="I138" s="14" t="inlineStr">
        <is>
          <t>M37</t>
        </is>
      </c>
      <c r="J138" s="14" t="inlineStr"/>
    </row>
    <row r="139">
      <c r="A139" s="10" t="inlineStr">
        <is>
          <t>E-04</t>
        </is>
      </c>
      <c r="B139" s="5" t="inlineStr">
        <is>
          <t>DORMITORIO</t>
        </is>
      </c>
      <c r="C139" s="10" t="inlineStr">
        <is>
          <t>MB-04</t>
        </is>
      </c>
      <c r="D139" s="10" t="inlineStr">
        <is>
          <t>M55</t>
        </is>
      </c>
      <c r="E139" s="5" t="inlineStr">
        <is>
          <t>CAMA CON CABECERA DE 0.90 x 1.90 m</t>
        </is>
      </c>
      <c r="F139" s="10" t="inlineStr">
        <is>
          <t>und</t>
        </is>
      </c>
      <c r="G139" s="13" t="n">
        <v>10</v>
      </c>
      <c r="H139" s="13" t="n">
        <v>10</v>
      </c>
      <c r="I139" s="14" t="inlineStr">
        <is>
          <t>M55</t>
        </is>
      </c>
      <c r="J139" s="14" t="inlineStr"/>
    </row>
    <row r="140">
      <c r="A140" s="2" t="inlineStr">
        <is>
          <t>E-04  Vivienda de niños de 12 a 17 años (1) - DORMITORIO MADRE Y SS.HH.</t>
        </is>
      </c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>
      <c r="A141" s="10" t="inlineStr">
        <is>
          <t>E-04</t>
        </is>
      </c>
      <c r="B141" s="5" t="inlineStr">
        <is>
          <t>DORMITORIO MADRE Y SS.HH.</t>
        </is>
      </c>
      <c r="C141" s="10" t="inlineStr">
        <is>
          <t>MB-04</t>
        </is>
      </c>
      <c r="D141" s="10" t="inlineStr">
        <is>
          <t>E6</t>
        </is>
      </c>
      <c r="E141" s="5" t="inlineStr">
        <is>
          <t>COMPUTADORA I5 ESTACIONARIA</t>
        </is>
      </c>
      <c r="F141" s="10" t="inlineStr">
        <is>
          <t>und</t>
        </is>
      </c>
      <c r="G141" s="15" t="n">
        <v>5</v>
      </c>
      <c r="H141" s="15" t="n">
        <v>1</v>
      </c>
      <c r="I141" s="14" t="inlineStr">
        <is>
          <t>E6</t>
        </is>
      </c>
      <c r="J141" s="16" t="inlineStr">
        <is>
          <t>El cuadro repite las 5 computadoras del salón de estudios; en la planta hay 1 (escritorio de la madre).</t>
        </is>
      </c>
    </row>
    <row r="142">
      <c r="A142" s="10" t="inlineStr">
        <is>
          <t>E-04</t>
        </is>
      </c>
      <c r="B142" s="5" t="inlineStr">
        <is>
          <t>DORMITORIO MADRE Y SS.HH.</t>
        </is>
      </c>
      <c r="C142" s="10" t="inlineStr">
        <is>
          <t>MB-04</t>
        </is>
      </c>
      <c r="D142" s="10" t="inlineStr">
        <is>
          <t>M7</t>
        </is>
      </c>
      <c r="E142" s="5" t="inlineStr">
        <is>
          <t>SILLA DEL PROFESOR DE MADERA Y METAL 0.45 x 0.40 x 0.36 m.</t>
        </is>
      </c>
      <c r="F142" s="10" t="inlineStr">
        <is>
          <t>und</t>
        </is>
      </c>
      <c r="G142" s="13" t="n">
        <v>1</v>
      </c>
      <c r="H142" s="13" t="n">
        <v>1</v>
      </c>
      <c r="I142" s="14" t="inlineStr">
        <is>
          <t>M7</t>
        </is>
      </c>
      <c r="J142" s="14" t="inlineStr"/>
    </row>
    <row r="143">
      <c r="A143" s="10" t="inlineStr">
        <is>
          <t>E-04</t>
        </is>
      </c>
      <c r="B143" s="5" t="inlineStr">
        <is>
          <t>DORMITORIO MADRE Y SS.HH.</t>
        </is>
      </c>
      <c r="C143" s="10" t="inlineStr">
        <is>
          <t>MB-04</t>
        </is>
      </c>
      <c r="D143" s="10" t="inlineStr">
        <is>
          <t>M31</t>
        </is>
      </c>
      <c r="E143" s="5" t="inlineStr">
        <is>
          <t>ESCRITORIO DE MELAMINA CON CREDENZA MOVIL 1.50 x 0.80 x 0.75 m.</t>
        </is>
      </c>
      <c r="F143" s="10" t="inlineStr">
        <is>
          <t>und</t>
        </is>
      </c>
      <c r="G143" s="13" t="n">
        <v>1</v>
      </c>
      <c r="H143" s="13" t="n">
        <v>1</v>
      </c>
      <c r="I143" s="14" t="inlineStr">
        <is>
          <t>M31</t>
        </is>
      </c>
      <c r="J143" s="14" t="inlineStr"/>
    </row>
    <row r="144">
      <c r="A144" s="10" t="inlineStr">
        <is>
          <t>E-04</t>
        </is>
      </c>
      <c r="B144" s="5" t="inlineStr">
        <is>
          <t>DORMITORIO MADRE Y SS.HH.</t>
        </is>
      </c>
      <c r="C144" s="10" t="inlineStr">
        <is>
          <t>MB-04</t>
        </is>
      </c>
      <c r="D144" s="10" t="inlineStr">
        <is>
          <t>M60</t>
        </is>
      </c>
      <c r="E144" s="5" t="inlineStr">
        <is>
          <t>PAPELERA DE PLASTICO CON PEDAL</t>
        </is>
      </c>
      <c r="F144" s="10" t="inlineStr">
        <is>
          <t>und</t>
        </is>
      </c>
      <c r="G144" s="13" t="n">
        <v>1</v>
      </c>
      <c r="H144" s="13" t="n">
        <v>1</v>
      </c>
      <c r="I144" s="14" t="inlineStr">
        <is>
          <t>M60</t>
        </is>
      </c>
      <c r="J144" s="14" t="inlineStr"/>
    </row>
    <row r="145">
      <c r="A145" s="10" t="inlineStr">
        <is>
          <t>E-04</t>
        </is>
      </c>
      <c r="B145" s="5" t="inlineStr">
        <is>
          <t>DORMITORIO MADRE Y SS.HH.</t>
        </is>
      </c>
      <c r="C145" s="10" t="inlineStr">
        <is>
          <t>MB-04</t>
        </is>
      </c>
      <c r="D145" s="10" t="inlineStr">
        <is>
          <t>M61</t>
        </is>
      </c>
      <c r="E145" s="5" t="inlineStr">
        <is>
          <t>VELADOR DE 1 GAVETA 0.40x0.50x0.60m.</t>
        </is>
      </c>
      <c r="F145" s="10" t="inlineStr">
        <is>
          <t>und</t>
        </is>
      </c>
      <c r="G145" s="13" t="n">
        <v>2</v>
      </c>
      <c r="H145" s="13" t="n">
        <v>2</v>
      </c>
      <c r="I145" s="14" t="inlineStr">
        <is>
          <t>M61</t>
        </is>
      </c>
      <c r="J145" s="14" t="inlineStr"/>
    </row>
    <row r="146">
      <c r="A146" s="10" t="inlineStr">
        <is>
          <t>E-04</t>
        </is>
      </c>
      <c r="B146" s="5" t="inlineStr">
        <is>
          <t>DORMITORIO MADRE Y SS.HH.</t>
        </is>
      </c>
      <c r="C146" s="10" t="inlineStr">
        <is>
          <t>MB-04</t>
        </is>
      </c>
      <c r="D146" s="10" t="inlineStr">
        <is>
          <t>M76</t>
        </is>
      </c>
      <c r="E146" s="5" t="inlineStr">
        <is>
          <t>DISPENSADOR DE PAPEL HIGIÉNICO DE 0.10 X 0.14 X 0.12 M</t>
        </is>
      </c>
      <c r="F146" s="10" t="inlineStr">
        <is>
          <t>und</t>
        </is>
      </c>
      <c r="G146" s="13" t="n">
        <v>1</v>
      </c>
      <c r="H146" s="13" t="n">
        <v>1</v>
      </c>
      <c r="I146" s="14" t="inlineStr">
        <is>
          <t>M76</t>
        </is>
      </c>
      <c r="J146" s="14" t="inlineStr"/>
    </row>
    <row r="147">
      <c r="A147" s="10" t="inlineStr">
        <is>
          <t>E-04</t>
        </is>
      </c>
      <c r="B147" s="5" t="inlineStr">
        <is>
          <t>DORMITORIO MADRE Y SS.HH.</t>
        </is>
      </c>
      <c r="C147" s="10" t="inlineStr">
        <is>
          <t>MB-04</t>
        </is>
      </c>
      <c r="D147" s="10" t="inlineStr">
        <is>
          <t>M77</t>
        </is>
      </c>
      <c r="E147" s="5" t="inlineStr">
        <is>
          <t>DISPENSADOR DE PAPEL TOALLA INTERFOLIADO DE 0.26 X 0.28 X 0.10 M</t>
        </is>
      </c>
      <c r="F147" s="10" t="inlineStr">
        <is>
          <t>und</t>
        </is>
      </c>
      <c r="G147" s="13" t="n">
        <v>1</v>
      </c>
      <c r="H147" s="13" t="n">
        <v>1</v>
      </c>
      <c r="I147" s="14" t="inlineStr">
        <is>
          <t>M77</t>
        </is>
      </c>
      <c r="J147" s="14" t="inlineStr"/>
    </row>
    <row r="148">
      <c r="A148" s="10" t="inlineStr">
        <is>
          <t>E-04</t>
        </is>
      </c>
      <c r="B148" s="5" t="inlineStr">
        <is>
          <t>DORMITORIO MADRE Y SS.HH.</t>
        </is>
      </c>
      <c r="C148" s="10" t="inlineStr">
        <is>
          <t>MB-04</t>
        </is>
      </c>
      <c r="D148" s="10" t="inlineStr">
        <is>
          <t>M78</t>
        </is>
      </c>
      <c r="E148" s="5" t="inlineStr">
        <is>
          <t>CAMA DE DOS PLAZAS (INCLUYE TARIMA)</t>
        </is>
      </c>
      <c r="F148" s="10" t="inlineStr">
        <is>
          <t>und</t>
        </is>
      </c>
      <c r="G148" s="13" t="n">
        <v>1</v>
      </c>
      <c r="H148" s="13" t="n">
        <v>1</v>
      </c>
      <c r="I148" s="14" t="inlineStr">
        <is>
          <t>M78</t>
        </is>
      </c>
      <c r="J148" s="14" t="inlineStr"/>
    </row>
    <row r="149">
      <c r="A149" s="2" t="inlineStr">
        <is>
          <t>E-04  Vivienda de niños de 12 a 17 años (1) - LAVANDERIA Y DEPOSITO</t>
        </is>
      </c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>
      <c r="A150" s="10" t="inlineStr">
        <is>
          <t>E-04</t>
        </is>
      </c>
      <c r="B150" s="5" t="inlineStr">
        <is>
          <t>LAVANDERIA Y DEPOSITO</t>
        </is>
      </c>
      <c r="C150" s="10" t="inlineStr">
        <is>
          <t>MB-04</t>
        </is>
      </c>
      <c r="D150" s="10" t="inlineStr">
        <is>
          <t>E5</t>
        </is>
      </c>
      <c r="E150" s="5" t="inlineStr">
        <is>
          <t>LAVADORA DE 20KG DE CARGA SUPERIOR</t>
        </is>
      </c>
      <c r="F150" s="10" t="inlineStr">
        <is>
          <t>und</t>
        </is>
      </c>
      <c r="G150" s="13" t="n">
        <v>2</v>
      </c>
      <c r="H150" s="13" t="n">
        <v>2</v>
      </c>
      <c r="I150" s="14" t="inlineStr">
        <is>
          <t>E5</t>
        </is>
      </c>
      <c r="J150" s="14" t="inlineStr"/>
    </row>
    <row r="151">
      <c r="A151" s="10" t="inlineStr">
        <is>
          <t>E-04</t>
        </is>
      </c>
      <c r="B151" s="5" t="inlineStr">
        <is>
          <t>LAVANDERIA Y DEPOSITO</t>
        </is>
      </c>
      <c r="C151" s="10" t="inlineStr">
        <is>
          <t>MB-04</t>
        </is>
      </c>
      <c r="D151" s="10" t="inlineStr">
        <is>
          <t>M51</t>
        </is>
      </c>
      <c r="E151" s="5" t="inlineStr">
        <is>
          <t>ESTANTE METÁLICO RANURADO CON CUATRO DIVISIONES 0.90 x 0.45 x 1.80 m</t>
        </is>
      </c>
      <c r="F151" s="10" t="inlineStr">
        <is>
          <t>und</t>
        </is>
      </c>
      <c r="G151" s="13" t="n">
        <v>5</v>
      </c>
      <c r="H151" s="13" t="n">
        <v>5</v>
      </c>
      <c r="I151" s="14" t="inlineStr">
        <is>
          <t>M51</t>
        </is>
      </c>
      <c r="J151" s="14" t="inlineStr"/>
    </row>
    <row r="152">
      <c r="A152" s="2" t="inlineStr">
        <is>
          <t>E-04  Vivienda de niños de 12 a 17 años (1) - OFICINA DE ENTREVISTA Y ESTAR</t>
        </is>
      </c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>
      <c r="A153" s="10" t="inlineStr">
        <is>
          <t>E-04</t>
        </is>
      </c>
      <c r="B153" s="5" t="inlineStr">
        <is>
          <t>OFICINA DE ENTREVISTA Y ESTAR</t>
        </is>
      </c>
      <c r="C153" s="10" t="inlineStr">
        <is>
          <t>MB-04</t>
        </is>
      </c>
      <c r="D153" s="10" t="inlineStr">
        <is>
          <t>E6</t>
        </is>
      </c>
      <c r="E153" s="5" t="inlineStr">
        <is>
          <t>COMPUTADORA I5 ESTACIONARIA</t>
        </is>
      </c>
      <c r="F153" s="10" t="inlineStr">
        <is>
          <t>und</t>
        </is>
      </c>
      <c r="G153" s="13" t="n">
        <v>1</v>
      </c>
      <c r="H153" s="13" t="n">
        <v>1</v>
      </c>
      <c r="I153" s="14" t="inlineStr">
        <is>
          <t>E6</t>
        </is>
      </c>
      <c r="J153" s="14" t="inlineStr"/>
    </row>
    <row r="154">
      <c r="A154" s="10" t="inlineStr">
        <is>
          <t>E-04</t>
        </is>
      </c>
      <c r="B154" s="5" t="inlineStr">
        <is>
          <t>OFICINA DE ENTREVISTA Y ESTAR</t>
        </is>
      </c>
      <c r="C154" s="10" t="inlineStr">
        <is>
          <t>MB-04</t>
        </is>
      </c>
      <c r="D154" s="10" t="inlineStr">
        <is>
          <t>M7</t>
        </is>
      </c>
      <c r="E154" s="5" t="inlineStr">
        <is>
          <t>SILLA DEL PROFESOR DE MADERA Y METAL 0.45 x 0.40 x 0.36 m.</t>
        </is>
      </c>
      <c r="F154" s="10" t="inlineStr">
        <is>
          <t>und</t>
        </is>
      </c>
      <c r="G154" s="13" t="n">
        <v>1</v>
      </c>
      <c r="H154" s="13" t="n">
        <v>1</v>
      </c>
      <c r="I154" s="14" t="inlineStr">
        <is>
          <t>M7</t>
        </is>
      </c>
      <c r="J154" s="14" t="inlineStr"/>
    </row>
    <row r="155">
      <c r="A155" s="10" t="inlineStr">
        <is>
          <t>E-04</t>
        </is>
      </c>
      <c r="B155" s="5" t="inlineStr">
        <is>
          <t>OFICINA DE ENTREVISTA Y ESTAR</t>
        </is>
      </c>
      <c r="C155" s="10" t="inlineStr">
        <is>
          <t>MB-04</t>
        </is>
      </c>
      <c r="D155" s="10" t="inlineStr">
        <is>
          <t>M31</t>
        </is>
      </c>
      <c r="E155" s="5" t="inlineStr">
        <is>
          <t>ESCRITORIO DE MELAMINA CON CREDENZA MOVIL 1.50 x 0.80 x 0.75 m.</t>
        </is>
      </c>
      <c r="F155" s="10" t="inlineStr">
        <is>
          <t>und</t>
        </is>
      </c>
      <c r="G155" s="13" t="n">
        <v>1</v>
      </c>
      <c r="H155" s="13" t="n">
        <v>1</v>
      </c>
      <c r="I155" s="14" t="inlineStr">
        <is>
          <t>M31</t>
        </is>
      </c>
      <c r="J155" s="14" t="inlineStr"/>
    </row>
    <row r="156">
      <c r="A156" s="10" t="inlineStr">
        <is>
          <t>E-04</t>
        </is>
      </c>
      <c r="B156" s="5" t="inlineStr">
        <is>
          <t>OFICINA DE ENTREVISTA Y ESTAR</t>
        </is>
      </c>
      <c r="C156" s="10" t="inlineStr">
        <is>
          <t>MB-04</t>
        </is>
      </c>
      <c r="D156" s="10" t="inlineStr">
        <is>
          <t>M32</t>
        </is>
      </c>
      <c r="E156" s="5" t="inlineStr">
        <is>
          <t>SILLON PARA ACOPLAR 0.44 X 0.55 X 0.60 M.</t>
        </is>
      </c>
      <c r="F156" s="10" t="inlineStr">
        <is>
          <t>und</t>
        </is>
      </c>
      <c r="G156" s="13" t="n">
        <v>1</v>
      </c>
      <c r="H156" s="13" t="n">
        <v>1</v>
      </c>
      <c r="I156" s="14" t="inlineStr">
        <is>
          <t>M32</t>
        </is>
      </c>
      <c r="J156" s="14" t="inlineStr"/>
    </row>
    <row r="157">
      <c r="A157" s="10" t="inlineStr">
        <is>
          <t>E-04</t>
        </is>
      </c>
      <c r="B157" s="5" t="inlineStr">
        <is>
          <t>OFICINA DE ENTREVISTA Y ESTAR</t>
        </is>
      </c>
      <c r="C157" s="10" t="inlineStr">
        <is>
          <t>MB-04</t>
        </is>
      </c>
      <c r="D157" s="10" t="inlineStr">
        <is>
          <t>M34</t>
        </is>
      </c>
      <c r="E157" s="5" t="inlineStr">
        <is>
          <t>SOFA DE 2 CUERPOS 0.55X1.00X0.44M</t>
        </is>
      </c>
      <c r="F157" s="10" t="inlineStr">
        <is>
          <t>und</t>
        </is>
      </c>
      <c r="G157" s="15" t="n">
        <v>1</v>
      </c>
      <c r="H157" s="15" t="n">
        <v>2</v>
      </c>
      <c r="I157" s="14" t="inlineStr">
        <is>
          <t>M34</t>
        </is>
      </c>
      <c r="J157" s="16" t="inlineStr">
        <is>
          <t>En la planta hay 2 sofás de 2 cuerpos (M34) en la oficina de entrevista y estar; el cuadro dice 1.</t>
        </is>
      </c>
    </row>
    <row r="158">
      <c r="A158" s="10" t="inlineStr">
        <is>
          <t>E-04</t>
        </is>
      </c>
      <c r="B158" s="5" t="inlineStr">
        <is>
          <t>OFICINA DE ENTREVISTA Y ESTAR</t>
        </is>
      </c>
      <c r="C158" s="10" t="inlineStr">
        <is>
          <t>MB-04</t>
        </is>
      </c>
      <c r="D158" s="10" t="inlineStr">
        <is>
          <t>M63</t>
        </is>
      </c>
      <c r="E158" s="5" t="inlineStr">
        <is>
          <t>SOFÁ DE 3 CUERPOS 0.55 x 1.80 x 0.44 m</t>
        </is>
      </c>
      <c r="F158" s="10" t="inlineStr">
        <is>
          <t>und</t>
        </is>
      </c>
      <c r="G158" s="13" t="n">
        <v>1</v>
      </c>
      <c r="H158" s="13" t="n">
        <v>1</v>
      </c>
      <c r="I158" s="14" t="inlineStr">
        <is>
          <t>M63</t>
        </is>
      </c>
      <c r="J158" s="14" t="inlineStr"/>
    </row>
    <row r="159">
      <c r="A159" s="2" t="inlineStr">
        <is>
          <t>E-04  Vivienda de niños de 12 a 17 años (1) - SALON DE ESTUDIOS</t>
        </is>
      </c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10" t="inlineStr">
        <is>
          <t>E-04</t>
        </is>
      </c>
      <c r="B160" s="5" t="inlineStr">
        <is>
          <t>SALON DE ESTUDIOS</t>
        </is>
      </c>
      <c r="C160" s="10" t="inlineStr">
        <is>
          <t>MB-04</t>
        </is>
      </c>
      <c r="D160" s="10" t="inlineStr">
        <is>
          <t>E6</t>
        </is>
      </c>
      <c r="E160" s="5" t="inlineStr">
        <is>
          <t>COMPUTADORA I5 ESTACIONARIA</t>
        </is>
      </c>
      <c r="F160" s="10" t="inlineStr">
        <is>
          <t>und</t>
        </is>
      </c>
      <c r="G160" s="13" t="n">
        <v>5</v>
      </c>
      <c r="H160" s="13" t="n">
        <v>5</v>
      </c>
      <c r="I160" s="14" t="inlineStr">
        <is>
          <t>E6</t>
        </is>
      </c>
      <c r="J160" s="14" t="inlineStr"/>
    </row>
    <row r="161">
      <c r="A161" s="10" t="inlineStr">
        <is>
          <t>E-04</t>
        </is>
      </c>
      <c r="B161" s="5" t="inlineStr">
        <is>
          <t>SALON DE ESTUDIOS</t>
        </is>
      </c>
      <c r="C161" s="10" t="inlineStr">
        <is>
          <t>MB-04</t>
        </is>
      </c>
      <c r="D161" s="10" t="inlineStr">
        <is>
          <t>M7</t>
        </is>
      </c>
      <c r="E161" s="5" t="inlineStr">
        <is>
          <t>SILLA DEL PROFESOR DE MADERA Y METAL 0.45 x 0.40 x 0.36 m.</t>
        </is>
      </c>
      <c r="F161" s="10" t="inlineStr">
        <is>
          <t>und</t>
        </is>
      </c>
      <c r="G161" s="13" t="n">
        <v>13</v>
      </c>
      <c r="H161" s="13" t="n">
        <v>13</v>
      </c>
      <c r="I161" s="14" t="inlineStr">
        <is>
          <t>M7</t>
        </is>
      </c>
      <c r="J161" s="14" t="inlineStr"/>
    </row>
    <row r="162">
      <c r="A162" s="10" t="inlineStr">
        <is>
          <t>E-04</t>
        </is>
      </c>
      <c r="B162" s="5" t="inlineStr">
        <is>
          <t>SALON DE ESTUDIOS</t>
        </is>
      </c>
      <c r="C162" s="10" t="inlineStr">
        <is>
          <t>MB-04</t>
        </is>
      </c>
      <c r="D162" s="10" t="inlineStr">
        <is>
          <t>M28</t>
        </is>
      </c>
      <c r="E162" s="5" t="inlineStr">
        <is>
          <t>ESCRITORIO DE MELAMINA CON DOS CAJONERAS 1.00 x 0.50 x 0.75 m</t>
        </is>
      </c>
      <c r="F162" s="10" t="inlineStr">
        <is>
          <t>und</t>
        </is>
      </c>
      <c r="G162" s="13" t="n">
        <v>13</v>
      </c>
      <c r="H162" s="13" t="n">
        <v>13</v>
      </c>
      <c r="I162" s="14" t="inlineStr">
        <is>
          <t>M28</t>
        </is>
      </c>
      <c r="J162" s="14" t="inlineStr"/>
    </row>
    <row r="163">
      <c r="A163" s="2" t="inlineStr">
        <is>
          <t>E-04  Vivienda de niños de 12 a 17 años (1) - SS.HH.</t>
        </is>
      </c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>
      <c r="A164" s="10" t="inlineStr">
        <is>
          <t>E-04</t>
        </is>
      </c>
      <c r="B164" s="5" t="inlineStr">
        <is>
          <t>SS.HH.</t>
        </is>
      </c>
      <c r="C164" s="10" t="inlineStr">
        <is>
          <t>MB-04</t>
        </is>
      </c>
      <c r="D164" s="10" t="inlineStr">
        <is>
          <t>M60</t>
        </is>
      </c>
      <c r="E164" s="5" t="inlineStr">
        <is>
          <t>PAPELERA DE PLASTICO CON PEDAL</t>
        </is>
      </c>
      <c r="F164" s="10" t="inlineStr">
        <is>
          <t>und</t>
        </is>
      </c>
      <c r="G164" s="13" t="n">
        <v>4</v>
      </c>
      <c r="H164" s="13" t="n">
        <v>4</v>
      </c>
      <c r="I164" s="14" t="inlineStr">
        <is>
          <t>M60</t>
        </is>
      </c>
      <c r="J164" s="14" t="inlineStr"/>
    </row>
    <row r="165">
      <c r="A165" s="10" t="inlineStr">
        <is>
          <t>E-04</t>
        </is>
      </c>
      <c r="B165" s="5" t="inlineStr">
        <is>
          <t>SS.HH.</t>
        </is>
      </c>
      <c r="C165" s="10" t="inlineStr">
        <is>
          <t>MB-04</t>
        </is>
      </c>
      <c r="D165" s="10" t="inlineStr">
        <is>
          <t>M76</t>
        </is>
      </c>
      <c r="E165" s="5" t="inlineStr">
        <is>
          <t>DISPENSADOR DE PAPEL HIGIÉNICO DE 0.10 X 0.14 X 0.12 M</t>
        </is>
      </c>
      <c r="F165" s="10" t="inlineStr">
        <is>
          <t>und</t>
        </is>
      </c>
      <c r="G165" s="13" t="n">
        <v>4</v>
      </c>
      <c r="H165" s="13" t="n">
        <v>4</v>
      </c>
      <c r="I165" s="14" t="inlineStr">
        <is>
          <t>M76</t>
        </is>
      </c>
      <c r="J165" s="14" t="inlineStr"/>
    </row>
    <row r="166">
      <c r="A166" s="10" t="inlineStr">
        <is>
          <t>E-04</t>
        </is>
      </c>
      <c r="B166" s="5" t="inlineStr">
        <is>
          <t>SS.HH.</t>
        </is>
      </c>
      <c r="C166" s="10" t="inlineStr">
        <is>
          <t>MB-04</t>
        </is>
      </c>
      <c r="D166" s="10" t="inlineStr">
        <is>
          <t>M77</t>
        </is>
      </c>
      <c r="E166" s="5" t="inlineStr">
        <is>
          <t>DISPENSADOR DE PAPEL TOALLA INTERFOLIADO DE 0.26 X 0.28 X 0.10 M</t>
        </is>
      </c>
      <c r="F166" s="10" t="inlineStr">
        <is>
          <t>und</t>
        </is>
      </c>
      <c r="G166" s="13" t="n">
        <v>4</v>
      </c>
      <c r="H166" s="13" t="n">
        <v>4</v>
      </c>
      <c r="I166" s="14" t="inlineStr">
        <is>
          <t>M77</t>
        </is>
      </c>
      <c r="J166" s="14" t="inlineStr"/>
    </row>
    <row r="167">
      <c r="A167" s="2" t="inlineStr">
        <is>
          <t>E-05  Vivienda de niños de 12 a 17 años (2) - DORMITORIO</t>
        </is>
      </c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>
      <c r="A168" s="10" t="inlineStr">
        <is>
          <t>E-05</t>
        </is>
      </c>
      <c r="B168" s="5" t="inlineStr">
        <is>
          <t>DORMITORIO</t>
        </is>
      </c>
      <c r="C168" s="10" t="inlineStr">
        <is>
          <t>MB-05</t>
        </is>
      </c>
      <c r="D168" s="10" t="inlineStr">
        <is>
          <t>M37</t>
        </is>
      </c>
      <c r="E168" s="5" t="inlineStr">
        <is>
          <t>ARMARIO PARA ALMACENAR MATERIAL DE MELAMINA CON 2 PUERTAS Y 5 DIVISIONES 0.90 X 0.60 X 1.80 M.</t>
        </is>
      </c>
      <c r="F168" s="10" t="inlineStr">
        <is>
          <t>und</t>
        </is>
      </c>
      <c r="G168" s="13" t="n">
        <v>10</v>
      </c>
      <c r="H168" s="13" t="n">
        <v>10</v>
      </c>
      <c r="I168" s="14" t="inlineStr">
        <is>
          <t>M37</t>
        </is>
      </c>
      <c r="J168" s="14" t="inlineStr"/>
    </row>
    <row r="169">
      <c r="A169" s="10" t="inlineStr">
        <is>
          <t>E-05</t>
        </is>
      </c>
      <c r="B169" s="5" t="inlineStr">
        <is>
          <t>DORMITORIO</t>
        </is>
      </c>
      <c r="C169" s="10" t="inlineStr">
        <is>
          <t>MB-05</t>
        </is>
      </c>
      <c r="D169" s="10" t="inlineStr">
        <is>
          <t>M55</t>
        </is>
      </c>
      <c r="E169" s="5" t="inlineStr">
        <is>
          <t>CAMA CON CABECERA DE 0.90 x 1.90 m</t>
        </is>
      </c>
      <c r="F169" s="10" t="inlineStr">
        <is>
          <t>und</t>
        </is>
      </c>
      <c r="G169" s="13" t="n">
        <v>10</v>
      </c>
      <c r="H169" s="13" t="n">
        <v>10</v>
      </c>
      <c r="I169" s="14" t="inlineStr">
        <is>
          <t>M55</t>
        </is>
      </c>
      <c r="J169" s="14" t="inlineStr"/>
    </row>
    <row r="170">
      <c r="A170" s="2" t="inlineStr">
        <is>
          <t>E-05  Vivienda de niños de 12 a 17 años (2) - DORMITORIO MADRE Y SS.HH.</t>
        </is>
      </c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>
      <c r="A171" s="10" t="inlineStr">
        <is>
          <t>E-05</t>
        </is>
      </c>
      <c r="B171" s="5" t="inlineStr">
        <is>
          <t>DORMITORIO MADRE Y SS.HH.</t>
        </is>
      </c>
      <c r="C171" s="10" t="inlineStr">
        <is>
          <t>MB-05</t>
        </is>
      </c>
      <c r="D171" s="10" t="inlineStr">
        <is>
          <t>E6</t>
        </is>
      </c>
      <c r="E171" s="5" t="inlineStr">
        <is>
          <t>COMPUTADORA I5 ESTACIONARIA</t>
        </is>
      </c>
      <c r="F171" s="10" t="inlineStr">
        <is>
          <t>und</t>
        </is>
      </c>
      <c r="G171" s="15" t="n">
        <v>5</v>
      </c>
      <c r="H171" s="15" t="n">
        <v>1</v>
      </c>
      <c r="I171" s="14" t="inlineStr">
        <is>
          <t>E6</t>
        </is>
      </c>
      <c r="J171" s="16" t="inlineStr">
        <is>
          <t>Ídem E-04.</t>
        </is>
      </c>
    </row>
    <row r="172">
      <c r="A172" s="10" t="inlineStr">
        <is>
          <t>E-05</t>
        </is>
      </c>
      <c r="B172" s="5" t="inlineStr">
        <is>
          <t>DORMITORIO MADRE Y SS.HH.</t>
        </is>
      </c>
      <c r="C172" s="10" t="inlineStr">
        <is>
          <t>MB-05</t>
        </is>
      </c>
      <c r="D172" s="10" t="inlineStr">
        <is>
          <t>M7</t>
        </is>
      </c>
      <c r="E172" s="5" t="inlineStr">
        <is>
          <t>SILLA DEL PROFESOR DE MADERA Y METAL 0.45 x 0.40 x 0.36 m.</t>
        </is>
      </c>
      <c r="F172" s="10" t="inlineStr">
        <is>
          <t>und</t>
        </is>
      </c>
      <c r="G172" s="13" t="n">
        <v>1</v>
      </c>
      <c r="H172" s="13" t="n">
        <v>1</v>
      </c>
      <c r="I172" s="14" t="inlineStr">
        <is>
          <t>M7</t>
        </is>
      </c>
      <c r="J172" s="14" t="inlineStr"/>
    </row>
    <row r="173">
      <c r="A173" s="10" t="inlineStr">
        <is>
          <t>E-05</t>
        </is>
      </c>
      <c r="B173" s="5" t="inlineStr">
        <is>
          <t>DORMITORIO MADRE Y SS.HH.</t>
        </is>
      </c>
      <c r="C173" s="10" t="inlineStr">
        <is>
          <t>MB-05</t>
        </is>
      </c>
      <c r="D173" s="10" t="inlineStr">
        <is>
          <t>M31</t>
        </is>
      </c>
      <c r="E173" s="5" t="inlineStr">
        <is>
          <t>ESCRITORIO DE MELAMINA CON CREDENZA MOVIL 1.50 x 0.80 x 0.75 m.</t>
        </is>
      </c>
      <c r="F173" s="10" t="inlineStr">
        <is>
          <t>und</t>
        </is>
      </c>
      <c r="G173" s="13" t="n">
        <v>1</v>
      </c>
      <c r="H173" s="13" t="n">
        <v>1</v>
      </c>
      <c r="I173" s="14" t="inlineStr">
        <is>
          <t>M31</t>
        </is>
      </c>
      <c r="J173" s="14" t="inlineStr"/>
    </row>
    <row r="174">
      <c r="A174" s="10" t="inlineStr">
        <is>
          <t>E-05</t>
        </is>
      </c>
      <c r="B174" s="5" t="inlineStr">
        <is>
          <t>DORMITORIO MADRE Y SS.HH.</t>
        </is>
      </c>
      <c r="C174" s="10" t="inlineStr">
        <is>
          <t>MB-05</t>
        </is>
      </c>
      <c r="D174" s="10" t="inlineStr">
        <is>
          <t>M60</t>
        </is>
      </c>
      <c r="E174" s="5" t="inlineStr">
        <is>
          <t>PAPELERA DE PLASTICO CON PEDAL</t>
        </is>
      </c>
      <c r="F174" s="10" t="inlineStr">
        <is>
          <t>und</t>
        </is>
      </c>
      <c r="G174" s="13" t="n">
        <v>1</v>
      </c>
      <c r="H174" s="13" t="n">
        <v>1</v>
      </c>
      <c r="I174" s="14" t="inlineStr">
        <is>
          <t>M60</t>
        </is>
      </c>
      <c r="J174" s="14" t="inlineStr"/>
    </row>
    <row r="175">
      <c r="A175" s="10" t="inlineStr">
        <is>
          <t>E-05</t>
        </is>
      </c>
      <c r="B175" s="5" t="inlineStr">
        <is>
          <t>DORMITORIO MADRE Y SS.HH.</t>
        </is>
      </c>
      <c r="C175" s="10" t="inlineStr">
        <is>
          <t>MB-05</t>
        </is>
      </c>
      <c r="D175" s="10" t="inlineStr">
        <is>
          <t>M61</t>
        </is>
      </c>
      <c r="E175" s="5" t="inlineStr">
        <is>
          <t>VELADOR DE 1 GAVETA 0.40x0.50x0.60m.</t>
        </is>
      </c>
      <c r="F175" s="10" t="inlineStr">
        <is>
          <t>und</t>
        </is>
      </c>
      <c r="G175" s="13" t="n">
        <v>2</v>
      </c>
      <c r="H175" s="13" t="n">
        <v>2</v>
      </c>
      <c r="I175" s="14" t="inlineStr">
        <is>
          <t>M61</t>
        </is>
      </c>
      <c r="J175" s="14" t="inlineStr"/>
    </row>
    <row r="176">
      <c r="A176" s="10" t="inlineStr">
        <is>
          <t>E-05</t>
        </is>
      </c>
      <c r="B176" s="5" t="inlineStr">
        <is>
          <t>DORMITORIO MADRE Y SS.HH.</t>
        </is>
      </c>
      <c r="C176" s="10" t="inlineStr">
        <is>
          <t>MB-05</t>
        </is>
      </c>
      <c r="D176" s="10" t="inlineStr">
        <is>
          <t>M76</t>
        </is>
      </c>
      <c r="E176" s="5" t="inlineStr">
        <is>
          <t>DISPENSADOR DE PAPEL HIGIÉNICO DE 0.10 X 0.14 X 0.12 M</t>
        </is>
      </c>
      <c r="F176" s="10" t="inlineStr">
        <is>
          <t>und</t>
        </is>
      </c>
      <c r="G176" s="13" t="n">
        <v>1</v>
      </c>
      <c r="H176" s="13" t="n">
        <v>1</v>
      </c>
      <c r="I176" s="14" t="inlineStr">
        <is>
          <t>M76</t>
        </is>
      </c>
      <c r="J176" s="14" t="inlineStr"/>
    </row>
    <row r="177">
      <c r="A177" s="10" t="inlineStr">
        <is>
          <t>E-05</t>
        </is>
      </c>
      <c r="B177" s="5" t="inlineStr">
        <is>
          <t>DORMITORIO MADRE Y SS.HH.</t>
        </is>
      </c>
      <c r="C177" s="10" t="inlineStr">
        <is>
          <t>MB-05</t>
        </is>
      </c>
      <c r="D177" s="10" t="inlineStr">
        <is>
          <t>M77</t>
        </is>
      </c>
      <c r="E177" s="5" t="inlineStr">
        <is>
          <t>DISPENSADOR DE PAPEL TOALLA INTERFOLIADO DE 0.26 X 0.28 X 0.10 M</t>
        </is>
      </c>
      <c r="F177" s="10" t="inlineStr">
        <is>
          <t>und</t>
        </is>
      </c>
      <c r="G177" s="13" t="n">
        <v>1</v>
      </c>
      <c r="H177" s="13" t="n">
        <v>1</v>
      </c>
      <c r="I177" s="14" t="inlineStr">
        <is>
          <t>M77</t>
        </is>
      </c>
      <c r="J177" s="14" t="inlineStr"/>
    </row>
    <row r="178">
      <c r="A178" s="10" t="inlineStr">
        <is>
          <t>E-05</t>
        </is>
      </c>
      <c r="B178" s="5" t="inlineStr">
        <is>
          <t>DORMITORIO MADRE Y SS.HH.</t>
        </is>
      </c>
      <c r="C178" s="10" t="inlineStr">
        <is>
          <t>MB-05</t>
        </is>
      </c>
      <c r="D178" s="10" t="inlineStr">
        <is>
          <t>M78</t>
        </is>
      </c>
      <c r="E178" s="5" t="inlineStr">
        <is>
          <t>CAMA DE DOS PLAZAS (INCLUYE TARIMA)</t>
        </is>
      </c>
      <c r="F178" s="10" t="inlineStr">
        <is>
          <t>und</t>
        </is>
      </c>
      <c r="G178" s="13" t="n">
        <v>1</v>
      </c>
      <c r="H178" s="13" t="n">
        <v>1</v>
      </c>
      <c r="I178" s="14" t="inlineStr">
        <is>
          <t>M78</t>
        </is>
      </c>
      <c r="J178" s="14" t="inlineStr"/>
    </row>
    <row r="179">
      <c r="A179" s="2" t="inlineStr">
        <is>
          <t>E-05  Vivienda de niños de 12 a 17 años (2) - LAVANDERIA Y DEPOSITO</t>
        </is>
      </c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>
      <c r="A180" s="10" t="inlineStr">
        <is>
          <t>E-05</t>
        </is>
      </c>
      <c r="B180" s="5" t="inlineStr">
        <is>
          <t>LAVANDERIA Y DEPOSITO</t>
        </is>
      </c>
      <c r="C180" s="10" t="inlineStr">
        <is>
          <t>MB-05</t>
        </is>
      </c>
      <c r="D180" s="10" t="inlineStr">
        <is>
          <t>E5</t>
        </is>
      </c>
      <c r="E180" s="5" t="inlineStr">
        <is>
          <t>LAVADORA DE 20KG DE CARGA SUPERIOR</t>
        </is>
      </c>
      <c r="F180" s="10" t="inlineStr">
        <is>
          <t>und</t>
        </is>
      </c>
      <c r="G180" s="13" t="n">
        <v>2</v>
      </c>
      <c r="H180" s="13" t="n">
        <v>2</v>
      </c>
      <c r="I180" s="14" t="inlineStr">
        <is>
          <t>E5</t>
        </is>
      </c>
      <c r="J180" s="14" t="inlineStr"/>
    </row>
    <row r="181">
      <c r="A181" s="10" t="inlineStr">
        <is>
          <t>E-05</t>
        </is>
      </c>
      <c r="B181" s="5" t="inlineStr">
        <is>
          <t>LAVANDERIA Y DEPOSITO</t>
        </is>
      </c>
      <c r="C181" s="10" t="inlineStr">
        <is>
          <t>MB-05</t>
        </is>
      </c>
      <c r="D181" s="10" t="inlineStr">
        <is>
          <t>M51</t>
        </is>
      </c>
      <c r="E181" s="5" t="inlineStr">
        <is>
          <t>ESTANTE METÁLICO RANURADO CON CUATRO DIVISIONES 0.90 x 0.45 x 1.80 m</t>
        </is>
      </c>
      <c r="F181" s="10" t="inlineStr">
        <is>
          <t>und</t>
        </is>
      </c>
      <c r="G181" s="13" t="n">
        <v>5</v>
      </c>
      <c r="H181" s="13" t="n">
        <v>5</v>
      </c>
      <c r="I181" s="14" t="inlineStr">
        <is>
          <t>M51</t>
        </is>
      </c>
      <c r="J181" s="14" t="inlineStr"/>
    </row>
    <row r="182">
      <c r="A182" s="2" t="inlineStr">
        <is>
          <t>E-05  Vivienda de niños de 12 a 17 años (2) - OFICINA DE ENTREVISTA Y ESTAR</t>
        </is>
      </c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>
      <c r="A183" s="10" t="inlineStr">
        <is>
          <t>E-05</t>
        </is>
      </c>
      <c r="B183" s="5" t="inlineStr">
        <is>
          <t>OFICINA DE ENTREVISTA Y ESTAR</t>
        </is>
      </c>
      <c r="C183" s="10" t="inlineStr">
        <is>
          <t>MB-05</t>
        </is>
      </c>
      <c r="D183" s="10" t="inlineStr">
        <is>
          <t>E6</t>
        </is>
      </c>
      <c r="E183" s="5" t="inlineStr">
        <is>
          <t>COMPUTADORA I5 ESTACIONARIA</t>
        </is>
      </c>
      <c r="F183" s="10" t="inlineStr">
        <is>
          <t>und</t>
        </is>
      </c>
      <c r="G183" s="13" t="n">
        <v>1</v>
      </c>
      <c r="H183" s="13" t="n">
        <v>1</v>
      </c>
      <c r="I183" s="14" t="inlineStr">
        <is>
          <t>E6</t>
        </is>
      </c>
      <c r="J183" s="14" t="inlineStr"/>
    </row>
    <row r="184">
      <c r="A184" s="10" t="inlineStr">
        <is>
          <t>E-05</t>
        </is>
      </c>
      <c r="B184" s="5" t="inlineStr">
        <is>
          <t>OFICINA DE ENTREVISTA Y ESTAR</t>
        </is>
      </c>
      <c r="C184" s="10" t="inlineStr">
        <is>
          <t>MB-05</t>
        </is>
      </c>
      <c r="D184" s="10" t="inlineStr">
        <is>
          <t>M7</t>
        </is>
      </c>
      <c r="E184" s="5" t="inlineStr">
        <is>
          <t>SILLA DEL PROFESOR DE MADERA Y METAL 0.45 x 0.40 x 0.36 m.</t>
        </is>
      </c>
      <c r="F184" s="10" t="inlineStr">
        <is>
          <t>und</t>
        </is>
      </c>
      <c r="G184" s="13" t="n">
        <v>1</v>
      </c>
      <c r="H184" s="13" t="n">
        <v>1</v>
      </c>
      <c r="I184" s="14" t="inlineStr">
        <is>
          <t>M7</t>
        </is>
      </c>
      <c r="J184" s="14" t="inlineStr"/>
    </row>
    <row r="185">
      <c r="A185" s="10" t="inlineStr">
        <is>
          <t>E-05</t>
        </is>
      </c>
      <c r="B185" s="5" t="inlineStr">
        <is>
          <t>OFICINA DE ENTREVISTA Y ESTAR</t>
        </is>
      </c>
      <c r="C185" s="10" t="inlineStr">
        <is>
          <t>MB-05</t>
        </is>
      </c>
      <c r="D185" s="10" t="inlineStr">
        <is>
          <t>M31</t>
        </is>
      </c>
      <c r="E185" s="5" t="inlineStr">
        <is>
          <t>ESCRITORIO DE MELAMINA CON CREDENZA MOVIL 1.50 x 0.80 x 0.75 m.</t>
        </is>
      </c>
      <c r="F185" s="10" t="inlineStr">
        <is>
          <t>und</t>
        </is>
      </c>
      <c r="G185" s="13" t="n">
        <v>1</v>
      </c>
      <c r="H185" s="13" t="n">
        <v>1</v>
      </c>
      <c r="I185" s="14" t="inlineStr">
        <is>
          <t>M31</t>
        </is>
      </c>
      <c r="J185" s="14" t="inlineStr"/>
    </row>
    <row r="186">
      <c r="A186" s="10" t="inlineStr">
        <is>
          <t>E-05</t>
        </is>
      </c>
      <c r="B186" s="5" t="inlineStr">
        <is>
          <t>OFICINA DE ENTREVISTA Y ESTAR</t>
        </is>
      </c>
      <c r="C186" s="10" t="inlineStr">
        <is>
          <t>MB-05</t>
        </is>
      </c>
      <c r="D186" s="10" t="inlineStr">
        <is>
          <t>M32</t>
        </is>
      </c>
      <c r="E186" s="5" t="inlineStr">
        <is>
          <t>SILLON PARA ACOPLAR 0.44 X 0.55 X 0.60 M.</t>
        </is>
      </c>
      <c r="F186" s="10" t="inlineStr">
        <is>
          <t>und</t>
        </is>
      </c>
      <c r="G186" s="13" t="n">
        <v>1</v>
      </c>
      <c r="H186" s="13" t="n">
        <v>1</v>
      </c>
      <c r="I186" s="14" t="inlineStr">
        <is>
          <t>M32</t>
        </is>
      </c>
      <c r="J186" s="14" t="inlineStr"/>
    </row>
    <row r="187">
      <c r="A187" s="10" t="inlineStr">
        <is>
          <t>E-05</t>
        </is>
      </c>
      <c r="B187" s="5" t="inlineStr">
        <is>
          <t>OFICINA DE ENTREVISTA Y ESTAR</t>
        </is>
      </c>
      <c r="C187" s="10" t="inlineStr">
        <is>
          <t>MB-05</t>
        </is>
      </c>
      <c r="D187" s="10" t="inlineStr">
        <is>
          <t>M34</t>
        </is>
      </c>
      <c r="E187" s="5" t="inlineStr">
        <is>
          <t>SOFA DE 2 CUERPOS 0.55X1.00X0.44M</t>
        </is>
      </c>
      <c r="F187" s="10" t="inlineStr">
        <is>
          <t>und</t>
        </is>
      </c>
      <c r="G187" s="15" t="n">
        <v>1</v>
      </c>
      <c r="H187" s="15" t="n">
        <v>2</v>
      </c>
      <c r="I187" s="14" t="inlineStr">
        <is>
          <t>M34</t>
        </is>
      </c>
      <c r="J187" s="16" t="inlineStr">
        <is>
          <t>Ídem E-04.</t>
        </is>
      </c>
    </row>
    <row r="188">
      <c r="A188" s="10" t="inlineStr">
        <is>
          <t>E-05</t>
        </is>
      </c>
      <c r="B188" s="5" t="inlineStr">
        <is>
          <t>OFICINA DE ENTREVISTA Y ESTAR</t>
        </is>
      </c>
      <c r="C188" s="10" t="inlineStr">
        <is>
          <t>MB-05</t>
        </is>
      </c>
      <c r="D188" s="10" t="inlineStr">
        <is>
          <t>M63</t>
        </is>
      </c>
      <c r="E188" s="5" t="inlineStr">
        <is>
          <t>SOFÁ DE 3 CUERPOS 0.55 x 1.80 x 0.44 m</t>
        </is>
      </c>
      <c r="F188" s="10" t="inlineStr">
        <is>
          <t>und</t>
        </is>
      </c>
      <c r="G188" s="13" t="n">
        <v>1</v>
      </c>
      <c r="H188" s="13" t="n">
        <v>1</v>
      </c>
      <c r="I188" s="14" t="inlineStr">
        <is>
          <t>M63</t>
        </is>
      </c>
      <c r="J188" s="14" t="inlineStr"/>
    </row>
    <row r="189">
      <c r="A189" s="2" t="inlineStr">
        <is>
          <t>E-05  Vivienda de niños de 12 a 17 años (2) - SALON DE ESTUDIOS</t>
        </is>
      </c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>
      <c r="A190" s="10" t="inlineStr">
        <is>
          <t>E-05</t>
        </is>
      </c>
      <c r="B190" s="5" t="inlineStr">
        <is>
          <t>SALON DE ESTUDIOS</t>
        </is>
      </c>
      <c r="C190" s="10" t="inlineStr">
        <is>
          <t>MB-05</t>
        </is>
      </c>
      <c r="D190" s="10" t="inlineStr">
        <is>
          <t>E6</t>
        </is>
      </c>
      <c r="E190" s="5" t="inlineStr">
        <is>
          <t>COMPUTADORA I5 ESTACIONARIA</t>
        </is>
      </c>
      <c r="F190" s="10" t="inlineStr">
        <is>
          <t>und</t>
        </is>
      </c>
      <c r="G190" s="13" t="n">
        <v>5</v>
      </c>
      <c r="H190" s="13" t="n">
        <v>5</v>
      </c>
      <c r="I190" s="14" t="inlineStr">
        <is>
          <t>E6</t>
        </is>
      </c>
      <c r="J190" s="14" t="inlineStr"/>
    </row>
    <row r="191">
      <c r="A191" s="10" t="inlineStr">
        <is>
          <t>E-05</t>
        </is>
      </c>
      <c r="B191" s="5" t="inlineStr">
        <is>
          <t>SALON DE ESTUDIOS</t>
        </is>
      </c>
      <c r="C191" s="10" t="inlineStr">
        <is>
          <t>MB-05</t>
        </is>
      </c>
      <c r="D191" s="10" t="inlineStr">
        <is>
          <t>M7</t>
        </is>
      </c>
      <c r="E191" s="5" t="inlineStr">
        <is>
          <t>SILLA DEL PROFESOR DE MADERA Y METAL 0.45 x 0.40 x 0.36 m.</t>
        </is>
      </c>
      <c r="F191" s="10" t="inlineStr">
        <is>
          <t>und</t>
        </is>
      </c>
      <c r="G191" s="13" t="n">
        <v>13</v>
      </c>
      <c r="H191" s="13" t="n">
        <v>13</v>
      </c>
      <c r="I191" s="14" t="inlineStr">
        <is>
          <t>M7</t>
        </is>
      </c>
      <c r="J191" s="14" t="inlineStr"/>
    </row>
    <row r="192">
      <c r="A192" s="10" t="inlineStr">
        <is>
          <t>E-05</t>
        </is>
      </c>
      <c r="B192" s="5" t="inlineStr">
        <is>
          <t>SALON DE ESTUDIOS</t>
        </is>
      </c>
      <c r="C192" s="10" t="inlineStr">
        <is>
          <t>MB-05</t>
        </is>
      </c>
      <c r="D192" s="10" t="inlineStr">
        <is>
          <t>M28</t>
        </is>
      </c>
      <c r="E192" s="5" t="inlineStr">
        <is>
          <t>ESCRITORIO DE MELAMINA CON DOS CAJONERAS 1.00 x 0.50 x 0.75 m</t>
        </is>
      </c>
      <c r="F192" s="10" t="inlineStr">
        <is>
          <t>und</t>
        </is>
      </c>
      <c r="G192" s="13" t="n">
        <v>13</v>
      </c>
      <c r="H192" s="13" t="n">
        <v>13</v>
      </c>
      <c r="I192" s="14" t="inlineStr">
        <is>
          <t>M28</t>
        </is>
      </c>
      <c r="J192" s="14" t="inlineStr"/>
    </row>
    <row r="193">
      <c r="A193" s="2" t="inlineStr">
        <is>
          <t>E-05  Vivienda de niños de 12 a 17 años (2) - SS.HH.</t>
        </is>
      </c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>
      <c r="A194" s="10" t="inlineStr">
        <is>
          <t>E-05</t>
        </is>
      </c>
      <c r="B194" s="5" t="inlineStr">
        <is>
          <t>SS.HH.</t>
        </is>
      </c>
      <c r="C194" s="10" t="inlineStr">
        <is>
          <t>MB-05</t>
        </is>
      </c>
      <c r="D194" s="10" t="inlineStr">
        <is>
          <t>M60</t>
        </is>
      </c>
      <c r="E194" s="5" t="inlineStr">
        <is>
          <t>PAPELERA DE PLASTICO CON PEDAL</t>
        </is>
      </c>
      <c r="F194" s="10" t="inlineStr">
        <is>
          <t>und</t>
        </is>
      </c>
      <c r="G194" s="13" t="n">
        <v>4</v>
      </c>
      <c r="H194" s="13" t="n">
        <v>4</v>
      </c>
      <c r="I194" s="14" t="inlineStr">
        <is>
          <t>M60</t>
        </is>
      </c>
      <c r="J194" s="14" t="inlineStr"/>
    </row>
    <row r="195">
      <c r="A195" s="10" t="inlineStr">
        <is>
          <t>E-05</t>
        </is>
      </c>
      <c r="B195" s="5" t="inlineStr">
        <is>
          <t>SS.HH.</t>
        </is>
      </c>
      <c r="C195" s="10" t="inlineStr">
        <is>
          <t>MB-05</t>
        </is>
      </c>
      <c r="D195" s="10" t="inlineStr">
        <is>
          <t>M76</t>
        </is>
      </c>
      <c r="E195" s="5" t="inlineStr">
        <is>
          <t>DISPENSADOR DE PAPEL HIGIÉNICO DE 0.10 X 0.14 X 0.12 M</t>
        </is>
      </c>
      <c r="F195" s="10" t="inlineStr">
        <is>
          <t>und</t>
        </is>
      </c>
      <c r="G195" s="13" t="n">
        <v>4</v>
      </c>
      <c r="H195" s="13" t="n">
        <v>4</v>
      </c>
      <c r="I195" s="14" t="inlineStr">
        <is>
          <t>M76</t>
        </is>
      </c>
      <c r="J195" s="14" t="inlineStr"/>
    </row>
    <row r="196">
      <c r="A196" s="10" t="inlineStr">
        <is>
          <t>E-05</t>
        </is>
      </c>
      <c r="B196" s="5" t="inlineStr">
        <is>
          <t>SS.HH.</t>
        </is>
      </c>
      <c r="C196" s="10" t="inlineStr">
        <is>
          <t>MB-05</t>
        </is>
      </c>
      <c r="D196" s="10" t="inlineStr">
        <is>
          <t>M77</t>
        </is>
      </c>
      <c r="E196" s="5" t="inlineStr">
        <is>
          <t>DISPENSADOR DE PAPEL TOALLA INTERFOLIADO DE 0.26 X 0.28 X 0.10 M</t>
        </is>
      </c>
      <c r="F196" s="10" t="inlineStr">
        <is>
          <t>und</t>
        </is>
      </c>
      <c r="G196" s="13" t="n">
        <v>4</v>
      </c>
      <c r="H196" s="13" t="n">
        <v>4</v>
      </c>
      <c r="I196" s="14" t="inlineStr">
        <is>
          <t>M77</t>
        </is>
      </c>
      <c r="J196" s="14" t="inlineStr"/>
    </row>
    <row r="197">
      <c r="A197" s="2" t="inlineStr">
        <is>
          <t>E-06  Vivienda de niños de 3 a 5 años - DORMITORIO</t>
        </is>
      </c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>
      <c r="A198" s="10" t="inlineStr">
        <is>
          <t>E-06</t>
        </is>
      </c>
      <c r="B198" s="5" t="inlineStr">
        <is>
          <t>DORMITORIO</t>
        </is>
      </c>
      <c r="C198" s="10" t="inlineStr">
        <is>
          <t>MB-06</t>
        </is>
      </c>
      <c r="D198" s="10" t="inlineStr">
        <is>
          <t>M37</t>
        </is>
      </c>
      <c r="E198" s="5" t="inlineStr">
        <is>
          <t>ARMARIO PARA ALMACENAR MATERIAL DE MELAMINA CON 2 PUERTAS Y 5 DIVISIONES 0.90 X 0.60 X 1.80 M.</t>
        </is>
      </c>
      <c r="F198" s="10" t="inlineStr">
        <is>
          <t>und</t>
        </is>
      </c>
      <c r="G198" s="13" t="n">
        <v>10</v>
      </c>
      <c r="H198" s="13" t="n">
        <v>10</v>
      </c>
      <c r="I198" s="14" t="inlineStr">
        <is>
          <t>M37</t>
        </is>
      </c>
      <c r="J198" s="14" t="inlineStr"/>
    </row>
    <row r="199">
      <c r="A199" s="10" t="inlineStr">
        <is>
          <t>E-06</t>
        </is>
      </c>
      <c r="B199" s="5" t="inlineStr">
        <is>
          <t>DORMITORIO</t>
        </is>
      </c>
      <c r="C199" s="10" t="inlineStr">
        <is>
          <t>MB-06</t>
        </is>
      </c>
      <c r="D199" s="10" t="inlineStr">
        <is>
          <t>M55</t>
        </is>
      </c>
      <c r="E199" s="5" t="inlineStr">
        <is>
          <t>CAMA CON CABECERA DE 0.90 x 1.90 m</t>
        </is>
      </c>
      <c r="F199" s="10" t="inlineStr">
        <is>
          <t>und</t>
        </is>
      </c>
      <c r="G199" s="13" t="n">
        <v>10</v>
      </c>
      <c r="H199" s="13" t="n">
        <v>10</v>
      </c>
      <c r="I199" s="14" t="inlineStr">
        <is>
          <t>M55</t>
        </is>
      </c>
      <c r="J199" s="14" t="inlineStr"/>
    </row>
    <row r="200">
      <c r="A200" s="2" t="inlineStr">
        <is>
          <t>E-06  Vivienda de niños de 3 a 5 años - DORMITORIO MADRE Y SS.HH.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>
      <c r="A201" s="10" t="inlineStr">
        <is>
          <t>E-06</t>
        </is>
      </c>
      <c r="B201" s="5" t="inlineStr">
        <is>
          <t>DORMITORIO MADRE Y SS.HH.</t>
        </is>
      </c>
      <c r="C201" s="10" t="inlineStr">
        <is>
          <t>MB-06</t>
        </is>
      </c>
      <c r="D201" s="10" t="inlineStr">
        <is>
          <t>E6</t>
        </is>
      </c>
      <c r="E201" s="5" t="inlineStr">
        <is>
          <t>COMPUTADORA I5 ESTACIONARIA</t>
        </is>
      </c>
      <c r="F201" s="10" t="inlineStr">
        <is>
          <t>und</t>
        </is>
      </c>
      <c r="G201" s="15" t="n">
        <v>5</v>
      </c>
      <c r="H201" s="15" t="n">
        <v>1</v>
      </c>
      <c r="I201" s="14" t="inlineStr">
        <is>
          <t>E6</t>
        </is>
      </c>
      <c r="J201" s="16" t="inlineStr">
        <is>
          <t>Ídem E-04.</t>
        </is>
      </c>
    </row>
    <row r="202">
      <c r="A202" s="10" t="inlineStr">
        <is>
          <t>E-06</t>
        </is>
      </c>
      <c r="B202" s="5" t="inlineStr">
        <is>
          <t>DORMITORIO MADRE Y SS.HH.</t>
        </is>
      </c>
      <c r="C202" s="10" t="inlineStr">
        <is>
          <t>MB-06</t>
        </is>
      </c>
      <c r="D202" s="10" t="inlineStr">
        <is>
          <t>M7</t>
        </is>
      </c>
      <c r="E202" s="5" t="inlineStr">
        <is>
          <t>SILLA DEL PROFESOR DE MADERA Y METAL 0.45 x 0.40 x 0.36 m.</t>
        </is>
      </c>
      <c r="F202" s="10" t="inlineStr">
        <is>
          <t>und</t>
        </is>
      </c>
      <c r="G202" s="13" t="n">
        <v>1</v>
      </c>
      <c r="H202" s="13" t="n">
        <v>1</v>
      </c>
      <c r="I202" s="14" t="inlineStr">
        <is>
          <t>M7</t>
        </is>
      </c>
      <c r="J202" s="14" t="inlineStr"/>
    </row>
    <row r="203">
      <c r="A203" s="10" t="inlineStr">
        <is>
          <t>E-06</t>
        </is>
      </c>
      <c r="B203" s="5" t="inlineStr">
        <is>
          <t>DORMITORIO MADRE Y SS.HH.</t>
        </is>
      </c>
      <c r="C203" s="10" t="inlineStr">
        <is>
          <t>MB-06</t>
        </is>
      </c>
      <c r="D203" s="10" t="inlineStr">
        <is>
          <t>M31</t>
        </is>
      </c>
      <c r="E203" s="5" t="inlineStr">
        <is>
          <t>ESCRITORIO DE MELAMINA CON CREDENZA MOVIL 1.50 x 0.80 x 0.75 m.</t>
        </is>
      </c>
      <c r="F203" s="10" t="inlineStr">
        <is>
          <t>und</t>
        </is>
      </c>
      <c r="G203" s="13" t="n">
        <v>1</v>
      </c>
      <c r="H203" s="13" t="n">
        <v>1</v>
      </c>
      <c r="I203" s="14" t="inlineStr">
        <is>
          <t>M31</t>
        </is>
      </c>
      <c r="J203" s="14" t="inlineStr"/>
    </row>
    <row r="204">
      <c r="A204" s="10" t="inlineStr">
        <is>
          <t>E-06</t>
        </is>
      </c>
      <c r="B204" s="5" t="inlineStr">
        <is>
          <t>DORMITORIO MADRE Y SS.HH.</t>
        </is>
      </c>
      <c r="C204" s="10" t="inlineStr">
        <is>
          <t>MB-06</t>
        </is>
      </c>
      <c r="D204" s="10" t="inlineStr">
        <is>
          <t>M60</t>
        </is>
      </c>
      <c r="E204" s="5" t="inlineStr">
        <is>
          <t>PAPELERA DE PLASTICO CON PEDAL</t>
        </is>
      </c>
      <c r="F204" s="10" t="inlineStr">
        <is>
          <t>und</t>
        </is>
      </c>
      <c r="G204" s="13" t="n">
        <v>1</v>
      </c>
      <c r="H204" s="13" t="n">
        <v>1</v>
      </c>
      <c r="I204" s="14" t="inlineStr">
        <is>
          <t>M60</t>
        </is>
      </c>
      <c r="J204" s="14" t="inlineStr"/>
    </row>
    <row r="205">
      <c r="A205" s="10" t="inlineStr">
        <is>
          <t>E-06</t>
        </is>
      </c>
      <c r="B205" s="5" t="inlineStr">
        <is>
          <t>DORMITORIO MADRE Y SS.HH.</t>
        </is>
      </c>
      <c r="C205" s="10" t="inlineStr">
        <is>
          <t>MB-06</t>
        </is>
      </c>
      <c r="D205" s="10" t="inlineStr">
        <is>
          <t>M61</t>
        </is>
      </c>
      <c r="E205" s="5" t="inlineStr">
        <is>
          <t>VELADOR DE 1 GAVETA 0.40x0.50x0.60m.</t>
        </is>
      </c>
      <c r="F205" s="10" t="inlineStr">
        <is>
          <t>und</t>
        </is>
      </c>
      <c r="G205" s="13" t="n">
        <v>2</v>
      </c>
      <c r="H205" s="13" t="n">
        <v>2</v>
      </c>
      <c r="I205" s="14" t="inlineStr">
        <is>
          <t>M61</t>
        </is>
      </c>
      <c r="J205" s="14" t="inlineStr"/>
    </row>
    <row r="206">
      <c r="A206" s="10" t="inlineStr">
        <is>
          <t>E-06</t>
        </is>
      </c>
      <c r="B206" s="5" t="inlineStr">
        <is>
          <t>DORMITORIO MADRE Y SS.HH.</t>
        </is>
      </c>
      <c r="C206" s="10" t="inlineStr">
        <is>
          <t>MB-06</t>
        </is>
      </c>
      <c r="D206" s="10" t="inlineStr">
        <is>
          <t>M76</t>
        </is>
      </c>
      <c r="E206" s="5" t="inlineStr">
        <is>
          <t>DISPENSADOR DE PAPEL HIGIÉNICO DE 0.10 X 0.14 X 0.12 M</t>
        </is>
      </c>
      <c r="F206" s="10" t="inlineStr">
        <is>
          <t>und</t>
        </is>
      </c>
      <c r="G206" s="13" t="n">
        <v>1</v>
      </c>
      <c r="H206" s="13" t="n">
        <v>1</v>
      </c>
      <c r="I206" s="14" t="inlineStr">
        <is>
          <t>M76</t>
        </is>
      </c>
      <c r="J206" s="14" t="inlineStr"/>
    </row>
    <row r="207">
      <c r="A207" s="10" t="inlineStr">
        <is>
          <t>E-06</t>
        </is>
      </c>
      <c r="B207" s="5" t="inlineStr">
        <is>
          <t>DORMITORIO MADRE Y SS.HH.</t>
        </is>
      </c>
      <c r="C207" s="10" t="inlineStr">
        <is>
          <t>MB-06</t>
        </is>
      </c>
      <c r="D207" s="10" t="inlineStr">
        <is>
          <t>M77</t>
        </is>
      </c>
      <c r="E207" s="5" t="inlineStr">
        <is>
          <t>DISPENSADOR DE PAPEL TOALLA INTERFOLIADO DE 0.26 X 0.28 X 0.10 M</t>
        </is>
      </c>
      <c r="F207" s="10" t="inlineStr">
        <is>
          <t>und</t>
        </is>
      </c>
      <c r="G207" s="13" t="n">
        <v>1</v>
      </c>
      <c r="H207" s="13" t="n">
        <v>1</v>
      </c>
      <c r="I207" s="14" t="inlineStr">
        <is>
          <t>M77</t>
        </is>
      </c>
      <c r="J207" s="14" t="inlineStr"/>
    </row>
    <row r="208">
      <c r="A208" s="10" t="inlineStr">
        <is>
          <t>E-06</t>
        </is>
      </c>
      <c r="B208" s="5" t="inlineStr">
        <is>
          <t>DORMITORIO MADRE Y SS.HH.</t>
        </is>
      </c>
      <c r="C208" s="10" t="inlineStr">
        <is>
          <t>MB-06</t>
        </is>
      </c>
      <c r="D208" s="10" t="inlineStr">
        <is>
          <t>M78</t>
        </is>
      </c>
      <c r="E208" s="5" t="inlineStr">
        <is>
          <t>CAMA DE DOS PLAZAS (INCLUYE TARIMA)</t>
        </is>
      </c>
      <c r="F208" s="10" t="inlineStr">
        <is>
          <t>und</t>
        </is>
      </c>
      <c r="G208" s="13" t="n">
        <v>1</v>
      </c>
      <c r="H208" s="13" t="n">
        <v>1</v>
      </c>
      <c r="I208" s="14" t="inlineStr">
        <is>
          <t>M78</t>
        </is>
      </c>
      <c r="J208" s="14" t="inlineStr"/>
    </row>
    <row r="209">
      <c r="A209" s="2" t="inlineStr">
        <is>
          <t>E-06  Vivienda de niños de 3 a 5 años - LAVANDERIA Y DEPOSITO</t>
        </is>
      </c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>
      <c r="A210" s="10" t="inlineStr">
        <is>
          <t>E-06</t>
        </is>
      </c>
      <c r="B210" s="5" t="inlineStr">
        <is>
          <t>LAVANDERIA Y DEPOSITO</t>
        </is>
      </c>
      <c r="C210" s="10" t="inlineStr">
        <is>
          <t>MB-06</t>
        </is>
      </c>
      <c r="D210" s="10" t="inlineStr">
        <is>
          <t>E5</t>
        </is>
      </c>
      <c r="E210" s="5" t="inlineStr">
        <is>
          <t>LAVADORA DE 20KG DE CARGA SUPERIOR</t>
        </is>
      </c>
      <c r="F210" s="10" t="inlineStr">
        <is>
          <t>und</t>
        </is>
      </c>
      <c r="G210" s="13" t="n">
        <v>2</v>
      </c>
      <c r="H210" s="13" t="n">
        <v>2</v>
      </c>
      <c r="I210" s="14" t="inlineStr">
        <is>
          <t>E5</t>
        </is>
      </c>
      <c r="J210" s="14" t="inlineStr"/>
    </row>
    <row r="211">
      <c r="A211" s="10" t="inlineStr">
        <is>
          <t>E-06</t>
        </is>
      </c>
      <c r="B211" s="5" t="inlineStr">
        <is>
          <t>LAVANDERIA Y DEPOSITO</t>
        </is>
      </c>
      <c r="C211" s="10" t="inlineStr">
        <is>
          <t>MB-06</t>
        </is>
      </c>
      <c r="D211" s="10" t="inlineStr">
        <is>
          <t>M51</t>
        </is>
      </c>
      <c r="E211" s="5" t="inlineStr">
        <is>
          <t>ESTANTE METÁLICO RANURADO CON CUATRO DIVISIONES 0.90 x 0.45 x 1.80 m</t>
        </is>
      </c>
      <c r="F211" s="10" t="inlineStr">
        <is>
          <t>und</t>
        </is>
      </c>
      <c r="G211" s="13" t="n">
        <v>5</v>
      </c>
      <c r="H211" s="13" t="n">
        <v>5</v>
      </c>
      <c r="I211" s="14" t="inlineStr">
        <is>
          <t>M51</t>
        </is>
      </c>
      <c r="J211" s="14" t="inlineStr"/>
    </row>
    <row r="212">
      <c r="A212" s="2" t="inlineStr">
        <is>
          <t>E-06  Vivienda de niños de 3 a 5 años - OFICINA DE ENTREVISTA Y ESTAR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>
      <c r="A213" s="10" t="inlineStr">
        <is>
          <t>E-06</t>
        </is>
      </c>
      <c r="B213" s="5" t="inlineStr">
        <is>
          <t>OFICINA DE ENTREVISTA Y ESTAR</t>
        </is>
      </c>
      <c r="C213" s="10" t="inlineStr">
        <is>
          <t>MB-06</t>
        </is>
      </c>
      <c r="D213" s="10" t="inlineStr">
        <is>
          <t>E6</t>
        </is>
      </c>
      <c r="E213" s="5" t="inlineStr">
        <is>
          <t>COMPUTADORA I5 ESTACIONARIA</t>
        </is>
      </c>
      <c r="F213" s="10" t="inlineStr">
        <is>
          <t>und</t>
        </is>
      </c>
      <c r="G213" s="13" t="n">
        <v>1</v>
      </c>
      <c r="H213" s="13" t="n">
        <v>1</v>
      </c>
      <c r="I213" s="14" t="inlineStr">
        <is>
          <t>E6</t>
        </is>
      </c>
      <c r="J213" s="14" t="inlineStr"/>
    </row>
    <row r="214">
      <c r="A214" s="10" t="inlineStr">
        <is>
          <t>E-06</t>
        </is>
      </c>
      <c r="B214" s="5" t="inlineStr">
        <is>
          <t>OFICINA DE ENTREVISTA Y ESTAR</t>
        </is>
      </c>
      <c r="C214" s="10" t="inlineStr">
        <is>
          <t>MB-06</t>
        </is>
      </c>
      <c r="D214" s="10" t="inlineStr">
        <is>
          <t>M7</t>
        </is>
      </c>
      <c r="E214" s="5" t="inlineStr">
        <is>
          <t>SILLA DEL PROFESOR DE MADERA Y METAL 0.45 x 0.40 x 0.36 m.</t>
        </is>
      </c>
      <c r="F214" s="10" t="inlineStr">
        <is>
          <t>und</t>
        </is>
      </c>
      <c r="G214" s="13" t="n">
        <v>3</v>
      </c>
      <c r="H214" s="13" t="n">
        <v>3</v>
      </c>
      <c r="I214" s="14" t="inlineStr">
        <is>
          <t>M7</t>
        </is>
      </c>
      <c r="J214" s="14" t="inlineStr"/>
    </row>
    <row r="215">
      <c r="A215" s="10" t="inlineStr">
        <is>
          <t>E-06</t>
        </is>
      </c>
      <c r="B215" s="5" t="inlineStr">
        <is>
          <t>OFICINA DE ENTREVISTA Y ESTAR</t>
        </is>
      </c>
      <c r="C215" s="10" t="inlineStr">
        <is>
          <t>MB-06</t>
        </is>
      </c>
      <c r="D215" s="10" t="inlineStr">
        <is>
          <t>M28</t>
        </is>
      </c>
      <c r="E215" s="5" t="inlineStr">
        <is>
          <t>ESCRITORIO DE MELAMINA CON DOS CAJONERAS 1.00 x 0.50 x 0.75 m</t>
        </is>
      </c>
      <c r="F215" s="10" t="inlineStr">
        <is>
          <t>und</t>
        </is>
      </c>
      <c r="G215" s="13" t="n">
        <v>2</v>
      </c>
      <c r="H215" s="13" t="n">
        <v>2</v>
      </c>
      <c r="I215" s="14" t="inlineStr">
        <is>
          <t>M28</t>
        </is>
      </c>
      <c r="J215" s="14" t="inlineStr"/>
    </row>
    <row r="216">
      <c r="A216" s="10" t="inlineStr">
        <is>
          <t>E-06</t>
        </is>
      </c>
      <c r="B216" s="5" t="inlineStr">
        <is>
          <t>OFICINA DE ENTREVISTA Y ESTAR</t>
        </is>
      </c>
      <c r="C216" s="10" t="inlineStr">
        <is>
          <t>MB-06</t>
        </is>
      </c>
      <c r="D216" s="10" t="inlineStr">
        <is>
          <t>M31</t>
        </is>
      </c>
      <c r="E216" s="5" t="inlineStr">
        <is>
          <t>ESCRITORIO DE MELAMINA CON CREDENZA MOVIL 1.50 x 0.80 x 0.75 m.</t>
        </is>
      </c>
      <c r="F216" s="10" t="inlineStr">
        <is>
          <t>und</t>
        </is>
      </c>
      <c r="G216" s="13" t="n">
        <v>1</v>
      </c>
      <c r="H216" s="13" t="n">
        <v>1</v>
      </c>
      <c r="I216" s="14" t="inlineStr">
        <is>
          <t>M31</t>
        </is>
      </c>
      <c r="J216" s="14" t="inlineStr"/>
    </row>
    <row r="217">
      <c r="A217" s="10" t="inlineStr">
        <is>
          <t>E-06</t>
        </is>
      </c>
      <c r="B217" s="5" t="inlineStr">
        <is>
          <t>OFICINA DE ENTREVISTA Y ESTAR</t>
        </is>
      </c>
      <c r="C217" s="10" t="inlineStr">
        <is>
          <t>MB-06</t>
        </is>
      </c>
      <c r="D217" s="10" t="inlineStr">
        <is>
          <t>M32</t>
        </is>
      </c>
      <c r="E217" s="5" t="inlineStr">
        <is>
          <t>SILLON PARA ACOPLAR 0.44 X 0.55 X 0.60 M.</t>
        </is>
      </c>
      <c r="F217" s="10" t="inlineStr">
        <is>
          <t>und</t>
        </is>
      </c>
      <c r="G217" s="13" t="n">
        <v>1</v>
      </c>
      <c r="H217" s="13" t="n">
        <v>1</v>
      </c>
      <c r="I217" s="14" t="inlineStr">
        <is>
          <t>M32</t>
        </is>
      </c>
      <c r="J217" s="14" t="inlineStr"/>
    </row>
    <row r="218">
      <c r="A218" s="10" t="inlineStr">
        <is>
          <t>E-06</t>
        </is>
      </c>
      <c r="B218" s="5" t="inlineStr">
        <is>
          <t>OFICINA DE ENTREVISTA Y ESTAR</t>
        </is>
      </c>
      <c r="C218" s="10" t="inlineStr">
        <is>
          <t>MB-06</t>
        </is>
      </c>
      <c r="D218" s="10" t="inlineStr">
        <is>
          <t>M34</t>
        </is>
      </c>
      <c r="E218" s="5" t="inlineStr">
        <is>
          <t>SOFA DE 2 CUERPOS 0.55X1.00X0.44M</t>
        </is>
      </c>
      <c r="F218" s="10" t="inlineStr">
        <is>
          <t>und</t>
        </is>
      </c>
      <c r="G218" s="15" t="n">
        <v>1</v>
      </c>
      <c r="H218" s="15" t="n">
        <v>2</v>
      </c>
      <c r="I218" s="14" t="inlineStr">
        <is>
          <t>M34</t>
        </is>
      </c>
      <c r="J218" s="16" t="inlineStr">
        <is>
          <t>Ídem E-04.</t>
        </is>
      </c>
    </row>
    <row r="219">
      <c r="A219" s="10" t="inlineStr">
        <is>
          <t>E-06</t>
        </is>
      </c>
      <c r="B219" s="5" t="inlineStr">
        <is>
          <t>OFICINA DE ENTREVISTA Y ESTAR</t>
        </is>
      </c>
      <c r="C219" s="10" t="inlineStr">
        <is>
          <t>MB-06</t>
        </is>
      </c>
      <c r="D219" s="10" t="inlineStr">
        <is>
          <t>M63</t>
        </is>
      </c>
      <c r="E219" s="5" t="inlineStr">
        <is>
          <t>SOFÁ DE 3 CUERPOS 0.55 x 1.80 x 0.44 m</t>
        </is>
      </c>
      <c r="F219" s="10" t="inlineStr">
        <is>
          <t>und</t>
        </is>
      </c>
      <c r="G219" s="13" t="n">
        <v>1</v>
      </c>
      <c r="H219" s="13" t="n">
        <v>1</v>
      </c>
      <c r="I219" s="14" t="inlineStr">
        <is>
          <t>M63</t>
        </is>
      </c>
      <c r="J219" s="14" t="inlineStr"/>
    </row>
    <row r="220">
      <c r="A220" s="2" t="inlineStr">
        <is>
          <t>E-06  Vivienda de niños de 3 a 5 años - SALON DE PSICOMOTRICIDAD</t>
        </is>
      </c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>
      <c r="A221" s="10" t="inlineStr">
        <is>
          <t>E-06</t>
        </is>
      </c>
      <c r="B221" s="5" t="inlineStr">
        <is>
          <t>SALON DE PSICOMOTRICIDAD</t>
        </is>
      </c>
      <c r="C221" s="10" t="inlineStr">
        <is>
          <t>MB-06</t>
        </is>
      </c>
      <c r="D221" s="10" t="inlineStr">
        <is>
          <t>M15</t>
        </is>
      </c>
      <c r="E221" s="5" t="inlineStr">
        <is>
          <t>ATRIL DE MESA PARA DIBUJO Y PINTURA</t>
        </is>
      </c>
      <c r="F221" s="10" t="inlineStr">
        <is>
          <t>und</t>
        </is>
      </c>
      <c r="G221" s="13" t="n">
        <v>1</v>
      </c>
      <c r="H221" s="13" t="n">
        <v>1</v>
      </c>
      <c r="I221" s="14" t="inlineStr">
        <is>
          <t>M15</t>
        </is>
      </c>
      <c r="J221" s="14" t="inlineStr"/>
    </row>
    <row r="222">
      <c r="A222" s="10" t="inlineStr">
        <is>
          <t>E-06</t>
        </is>
      </c>
      <c r="B222" s="5" t="inlineStr">
        <is>
          <t>SALON DE PSICOMOTRICIDAD</t>
        </is>
      </c>
      <c r="C222" s="10" t="inlineStr">
        <is>
          <t>MB-06</t>
        </is>
      </c>
      <c r="D222" s="10" t="inlineStr">
        <is>
          <t>M54</t>
        </is>
      </c>
      <c r="E222" s="5" t="inlineStr">
        <is>
          <t>EXHIBIDOR DE LIBROS DE MELAMINA CON DIVISIONES ESCALONADAS 0.85 X 0.40 X 1.20 M.</t>
        </is>
      </c>
      <c r="F222" s="10" t="inlineStr">
        <is>
          <t>und</t>
        </is>
      </c>
      <c r="G222" s="13" t="n">
        <v>1</v>
      </c>
      <c r="H222" s="13" t="n">
        <v>1</v>
      </c>
      <c r="I222" s="14" t="inlineStr">
        <is>
          <t>M54</t>
        </is>
      </c>
      <c r="J222" s="14" t="inlineStr"/>
    </row>
    <row r="223">
      <c r="A223" s="10" t="inlineStr">
        <is>
          <t>E-06</t>
        </is>
      </c>
      <c r="B223" s="5" t="inlineStr">
        <is>
          <t>SALON DE PSICOMOTRICIDAD</t>
        </is>
      </c>
      <c r="C223" s="10" t="inlineStr">
        <is>
          <t>MB-06</t>
        </is>
      </c>
      <c r="D223" s="10" t="inlineStr">
        <is>
          <t>M57</t>
        </is>
      </c>
      <c r="E223" s="5" t="inlineStr">
        <is>
          <t>MUEBLE BAJO DE MELAMINA CON 2 PUERTAS DOS DIVISIONES HORIZONTALES 0.60 X 1.20X 1.00 M.</t>
        </is>
      </c>
      <c r="F223" s="10" t="inlineStr">
        <is>
          <t>und</t>
        </is>
      </c>
      <c r="G223" s="13" t="n">
        <v>1</v>
      </c>
      <c r="H223" s="13" t="n">
        <v>1</v>
      </c>
      <c r="I223" s="14" t="inlineStr">
        <is>
          <t>M57</t>
        </is>
      </c>
      <c r="J223" s="14" t="inlineStr"/>
    </row>
    <row r="224">
      <c r="A224" s="10" t="inlineStr">
        <is>
          <t>E-06</t>
        </is>
      </c>
      <c r="B224" s="5" t="inlineStr">
        <is>
          <t>SALON DE PSICOMOTRICIDAD</t>
        </is>
      </c>
      <c r="C224" s="10" t="inlineStr">
        <is>
          <t>MB-06</t>
        </is>
      </c>
      <c r="D224" s="10" t="inlineStr"/>
      <c r="E224" s="5" t="inlineStr">
        <is>
          <t>COJINES</t>
        </is>
      </c>
      <c r="F224" s="10" t="inlineStr">
        <is>
          <t>und</t>
        </is>
      </c>
      <c r="G224" s="13" t="n">
        <v>4</v>
      </c>
      <c r="H224" s="13" t="n">
        <v>4</v>
      </c>
      <c r="I224" s="14" t="inlineStr">
        <is>
          <t>K:SALON DE PSICOMOTRICIDAD:COJINES</t>
        </is>
      </c>
      <c r="J224" s="14" t="inlineStr"/>
    </row>
    <row r="225">
      <c r="A225" s="10" t="inlineStr">
        <is>
          <t>E-06</t>
        </is>
      </c>
      <c r="B225" s="5" t="inlineStr">
        <is>
          <t>SALON DE PSICOMOTRICIDAD</t>
        </is>
      </c>
      <c r="C225" s="10" t="inlineStr">
        <is>
          <t>MB-06</t>
        </is>
      </c>
      <c r="D225" s="10" t="inlineStr"/>
      <c r="E225" s="5" t="inlineStr">
        <is>
          <t>JUEGO DE LAVANDERIA</t>
        </is>
      </c>
      <c r="F225" s="10" t="inlineStr">
        <is>
          <t>und</t>
        </is>
      </c>
      <c r="G225" s="13" t="n">
        <v>1</v>
      </c>
      <c r="H225" s="13" t="n">
        <v>1</v>
      </c>
      <c r="I225" s="14" t="inlineStr">
        <is>
          <t>K:SALON DE PSICOMOTRICIDAD:JUEGO DE LAVANDERIA</t>
        </is>
      </c>
      <c r="J225" s="14" t="inlineStr"/>
    </row>
    <row r="226">
      <c r="A226" s="10" t="inlineStr">
        <is>
          <t>E-06</t>
        </is>
      </c>
      <c r="B226" s="5" t="inlineStr">
        <is>
          <t>SALON DE PSICOMOTRICIDAD</t>
        </is>
      </c>
      <c r="C226" s="10" t="inlineStr">
        <is>
          <t>MB-06</t>
        </is>
      </c>
      <c r="D226" s="10" t="inlineStr"/>
      <c r="E226" s="5" t="inlineStr">
        <is>
          <t>JUEGO DE COCINA</t>
        </is>
      </c>
      <c r="F226" s="10" t="inlineStr">
        <is>
          <t>und</t>
        </is>
      </c>
      <c r="G226" s="13" t="n">
        <v>1</v>
      </c>
      <c r="H226" s="13" t="n">
        <v>1</v>
      </c>
      <c r="I226" s="14" t="inlineStr">
        <is>
          <t>K:SALON DE PSICOMOTRICIDAD:JUEGO DE COCINA</t>
        </is>
      </c>
      <c r="J226" s="14" t="inlineStr"/>
    </row>
    <row r="227">
      <c r="A227" s="10" t="inlineStr">
        <is>
          <t>E-06</t>
        </is>
      </c>
      <c r="B227" s="5" t="inlineStr">
        <is>
          <t>SALON DE PSICOMOTRICIDAD</t>
        </is>
      </c>
      <c r="C227" s="10" t="inlineStr">
        <is>
          <t>MB-06</t>
        </is>
      </c>
      <c r="D227" s="10" t="inlineStr"/>
      <c r="E227" s="5" t="inlineStr">
        <is>
          <t>TOBOGAN CON ESCALADOR</t>
        </is>
      </c>
      <c r="F227" s="10" t="inlineStr">
        <is>
          <t>und</t>
        </is>
      </c>
      <c r="G227" s="13" t="n">
        <v>1</v>
      </c>
      <c r="H227" s="13" t="n">
        <v>1</v>
      </c>
      <c r="I227" s="14" t="inlineStr">
        <is>
          <t>K:SALON DE PSICOMOTRICIDAD:TOBOGAN CON ESCALADOR</t>
        </is>
      </c>
      <c r="J227" s="14" t="inlineStr"/>
    </row>
    <row r="228">
      <c r="A228" s="10" t="inlineStr">
        <is>
          <t>E-06</t>
        </is>
      </c>
      <c r="B228" s="5" t="inlineStr">
        <is>
          <t>SALON DE PSICOMOTRICIDAD</t>
        </is>
      </c>
      <c r="C228" s="10" t="inlineStr">
        <is>
          <t>MB-06</t>
        </is>
      </c>
      <c r="D228" s="10" t="inlineStr"/>
      <c r="E228" s="5" t="inlineStr">
        <is>
          <t>PISCINA DE PELOTAS 150X33CM</t>
        </is>
      </c>
      <c r="F228" s="10" t="inlineStr">
        <is>
          <t>und</t>
        </is>
      </c>
      <c r="G228" s="13" t="n">
        <v>1</v>
      </c>
      <c r="H228" s="13" t="n">
        <v>1</v>
      </c>
      <c r="I228" s="14" t="inlineStr">
        <is>
          <t>K:SALON DE PSICOMOTRICIDAD:PISCINA DE PELOTAS 150X33CM</t>
        </is>
      </c>
      <c r="J228" s="14" t="inlineStr"/>
    </row>
    <row r="229">
      <c r="A229" s="10" t="inlineStr">
        <is>
          <t>E-06</t>
        </is>
      </c>
      <c r="B229" s="5" t="inlineStr">
        <is>
          <t>SALON DE PSICOMOTRICIDAD</t>
        </is>
      </c>
      <c r="C229" s="10" t="inlineStr">
        <is>
          <t>MB-06</t>
        </is>
      </c>
      <c r="D229" s="10" t="inlineStr"/>
      <c r="E229" s="5" t="inlineStr">
        <is>
          <t>JUEGO DE TEATRO PARA NIÑOS</t>
        </is>
      </c>
      <c r="F229" s="10" t="inlineStr">
        <is>
          <t>und</t>
        </is>
      </c>
      <c r="G229" s="13" t="n">
        <v>1</v>
      </c>
      <c r="H229" s="13" t="n">
        <v>1</v>
      </c>
      <c r="I229" s="14" t="inlineStr">
        <is>
          <t>K:SALON DE PSICOMOTRICIDAD:JUEGO DE TEATRO PARA NIÑOS</t>
        </is>
      </c>
      <c r="J229" s="14" t="inlineStr"/>
    </row>
    <row r="230">
      <c r="A230" s="10" t="inlineStr">
        <is>
          <t>E-06</t>
        </is>
      </c>
      <c r="B230" s="5" t="inlineStr">
        <is>
          <t>SALON DE PSICOMOTRICIDAD</t>
        </is>
      </c>
      <c r="C230" s="10" t="inlineStr">
        <is>
          <t>MB-06</t>
        </is>
      </c>
      <c r="D230" s="10" t="inlineStr"/>
      <c r="E230" s="5" t="inlineStr">
        <is>
          <t>COJINES CUADRADOS</t>
        </is>
      </c>
      <c r="F230" s="10" t="inlineStr">
        <is>
          <t>und</t>
        </is>
      </c>
      <c r="G230" s="13" t="n">
        <v>10</v>
      </c>
      <c r="H230" s="13" t="n">
        <v>10</v>
      </c>
      <c r="I230" s="14" t="inlineStr">
        <is>
          <t>K:SALON DE PSICOMOTRICIDAD:COJINES CUADRADOS</t>
        </is>
      </c>
      <c r="J230" s="14" t="inlineStr"/>
    </row>
    <row r="231">
      <c r="A231" s="2" t="inlineStr">
        <is>
          <t>E-06  Vivienda de niños de 3 a 5 años - SS.HH.</t>
        </is>
      </c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>
      <c r="A232" s="10" t="inlineStr">
        <is>
          <t>E-06</t>
        </is>
      </c>
      <c r="B232" s="5" t="inlineStr">
        <is>
          <t>SS.HH.</t>
        </is>
      </c>
      <c r="C232" s="10" t="inlineStr">
        <is>
          <t>MB-06</t>
        </is>
      </c>
      <c r="D232" s="10" t="inlineStr">
        <is>
          <t>M60</t>
        </is>
      </c>
      <c r="E232" s="5" t="inlineStr">
        <is>
          <t>PAPELERA DE PLASTICO CON PEDAL</t>
        </is>
      </c>
      <c r="F232" s="10" t="inlineStr">
        <is>
          <t>und</t>
        </is>
      </c>
      <c r="G232" s="13" t="n">
        <v>4</v>
      </c>
      <c r="H232" s="13" t="n">
        <v>4</v>
      </c>
      <c r="I232" s="14" t="inlineStr">
        <is>
          <t>M60</t>
        </is>
      </c>
      <c r="J232" s="14" t="inlineStr"/>
    </row>
    <row r="233">
      <c r="A233" s="10" t="inlineStr">
        <is>
          <t>E-06</t>
        </is>
      </c>
      <c r="B233" s="5" t="inlineStr">
        <is>
          <t>SS.HH.</t>
        </is>
      </c>
      <c r="C233" s="10" t="inlineStr">
        <is>
          <t>MB-06</t>
        </is>
      </c>
      <c r="D233" s="10" t="inlineStr">
        <is>
          <t>M76</t>
        </is>
      </c>
      <c r="E233" s="5" t="inlineStr">
        <is>
          <t>DISPENSADOR DE PAPEL HIGIÉNICO DE 0.10 X 0.14 X 0.12 M</t>
        </is>
      </c>
      <c r="F233" s="10" t="inlineStr">
        <is>
          <t>und</t>
        </is>
      </c>
      <c r="G233" s="13" t="n">
        <v>4</v>
      </c>
      <c r="H233" s="13" t="n">
        <v>4</v>
      </c>
      <c r="I233" s="14" t="inlineStr">
        <is>
          <t>M76</t>
        </is>
      </c>
      <c r="J233" s="14" t="inlineStr"/>
    </row>
    <row r="234">
      <c r="A234" s="10" t="inlineStr">
        <is>
          <t>E-06</t>
        </is>
      </c>
      <c r="B234" s="5" t="inlineStr">
        <is>
          <t>SS.HH.</t>
        </is>
      </c>
      <c r="C234" s="10" t="inlineStr">
        <is>
          <t>MB-06</t>
        </is>
      </c>
      <c r="D234" s="10" t="inlineStr">
        <is>
          <t>M77</t>
        </is>
      </c>
      <c r="E234" s="5" t="inlineStr">
        <is>
          <t>DISPENSADOR DE PAPEL TOALLA INTERFOLIADO DE 0.26 X 0.28 X 0.10 M</t>
        </is>
      </c>
      <c r="F234" s="10" t="inlineStr">
        <is>
          <t>und</t>
        </is>
      </c>
      <c r="G234" s="13" t="n">
        <v>4</v>
      </c>
      <c r="H234" s="13" t="n">
        <v>4</v>
      </c>
      <c r="I234" s="14" t="inlineStr">
        <is>
          <t>M77</t>
        </is>
      </c>
      <c r="J234" s="14" t="inlineStr"/>
    </row>
    <row r="235">
      <c r="A235" s="2" t="inlineStr">
        <is>
          <t>E-07  Vivienda de niños de 6 a 11 años - DORMITORIO</t>
        </is>
      </c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>
      <c r="A236" s="10" t="inlineStr">
        <is>
          <t>E-07</t>
        </is>
      </c>
      <c r="B236" s="5" t="inlineStr">
        <is>
          <t>DORMITORIO</t>
        </is>
      </c>
      <c r="C236" s="10" t="inlineStr">
        <is>
          <t>MB-07</t>
        </is>
      </c>
      <c r="D236" s="10" t="inlineStr">
        <is>
          <t>M37</t>
        </is>
      </c>
      <c r="E236" s="5" t="inlineStr">
        <is>
          <t>ARMARIO PARA ALMACENAR MATERIAL DE MELAMINA CON 2 PUERTAS Y 5 DIVISIONES 0.90 X 0.60 X 1.80 M.</t>
        </is>
      </c>
      <c r="F236" s="10" t="inlineStr">
        <is>
          <t>und</t>
        </is>
      </c>
      <c r="G236" s="15" t="n">
        <v>10</v>
      </c>
      <c r="H236" s="15" t="n">
        <v>0</v>
      </c>
      <c r="I236" s="14" t="inlineStr">
        <is>
          <t>M37</t>
        </is>
      </c>
      <c r="J236" s="16" t="inlineStr">
        <is>
          <t>En la planta del dormitorio de E-07 los muebles junto a cada cama están rotulados M44 (credenza), 10 en total; el cuadro dice 10 armarios M37. Se cuenta lo rotulado en planta.</t>
        </is>
      </c>
    </row>
    <row r="237">
      <c r="A237" s="10" t="inlineStr">
        <is>
          <t>E-07</t>
        </is>
      </c>
      <c r="B237" s="5" t="inlineStr">
        <is>
          <t>DORMITORIO</t>
        </is>
      </c>
      <c r="C237" s="10" t="inlineStr">
        <is>
          <t>MB-07</t>
        </is>
      </c>
      <c r="D237" s="10" t="inlineStr">
        <is>
          <t>M55</t>
        </is>
      </c>
      <c r="E237" s="5" t="inlineStr">
        <is>
          <t>CAMA CON CABECERA DE 0.90 x 1.90 m</t>
        </is>
      </c>
      <c r="F237" s="10" t="inlineStr">
        <is>
          <t>und</t>
        </is>
      </c>
      <c r="G237" s="13" t="n">
        <v>10</v>
      </c>
      <c r="H237" s="13" t="n">
        <v>10</v>
      </c>
      <c r="I237" s="14" t="inlineStr">
        <is>
          <t>M55</t>
        </is>
      </c>
      <c r="J237" s="14" t="inlineStr"/>
    </row>
    <row r="238">
      <c r="A238" s="10" t="inlineStr">
        <is>
          <t>E-07</t>
        </is>
      </c>
      <c r="B238" s="5" t="inlineStr">
        <is>
          <t>DORMITORIO</t>
        </is>
      </c>
      <c r="C238" s="10" t="inlineStr">
        <is>
          <t>MB-07</t>
        </is>
      </c>
      <c r="D238" s="10" t="inlineStr">
        <is>
          <t>M44</t>
        </is>
      </c>
      <c r="E238" s="5" t="inlineStr">
        <is>
          <t>CREDENZA DE MELAMINA CON DOS PUERTAS, DOS DIVISIONES Y TRES GAVETAS 0.75 x 0.40 x 1.20 m</t>
        </is>
      </c>
      <c r="F238" s="10" t="inlineStr">
        <is>
          <t>und</t>
        </is>
      </c>
      <c r="G238" s="15" t="n">
        <v>0</v>
      </c>
      <c r="H238" s="15" t="n">
        <v>10</v>
      </c>
      <c r="I238" s="14" t="inlineStr">
        <is>
          <t>M44</t>
        </is>
      </c>
      <c r="J238" s="16" t="inlineStr">
        <is>
          <t>Credenzas M44 rotuladas en la planta del dormitorio de E-07 (una junto a cada cama); no figuran en el cuadro, que pone armarios M37.</t>
        </is>
      </c>
    </row>
    <row r="239">
      <c r="A239" s="2" t="inlineStr">
        <is>
          <t>E-07  Vivienda de niños de 6 a 11 años - DORMITORIO MADRE Y SS.HH.</t>
        </is>
      </c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>
      <c r="A240" s="10" t="inlineStr">
        <is>
          <t>E-07</t>
        </is>
      </c>
      <c r="B240" s="5" t="inlineStr">
        <is>
          <t>DORMITORIO MADRE Y SS.HH.</t>
        </is>
      </c>
      <c r="C240" s="10" t="inlineStr">
        <is>
          <t>MB-07</t>
        </is>
      </c>
      <c r="D240" s="10" t="inlineStr">
        <is>
          <t>E6</t>
        </is>
      </c>
      <c r="E240" s="5" t="inlineStr">
        <is>
          <t>COMPUTADORA I5 ESTACIONARIA</t>
        </is>
      </c>
      <c r="F240" s="10" t="inlineStr">
        <is>
          <t>und</t>
        </is>
      </c>
      <c r="G240" s="15" t="n">
        <v>5</v>
      </c>
      <c r="H240" s="15" t="n">
        <v>1</v>
      </c>
      <c r="I240" s="14" t="inlineStr">
        <is>
          <t>E6</t>
        </is>
      </c>
      <c r="J240" s="16" t="inlineStr">
        <is>
          <t>Ídem E-04.</t>
        </is>
      </c>
    </row>
    <row r="241">
      <c r="A241" s="10" t="inlineStr">
        <is>
          <t>E-07</t>
        </is>
      </c>
      <c r="B241" s="5" t="inlineStr">
        <is>
          <t>DORMITORIO MADRE Y SS.HH.</t>
        </is>
      </c>
      <c r="C241" s="10" t="inlineStr">
        <is>
          <t>MB-07</t>
        </is>
      </c>
      <c r="D241" s="10" t="inlineStr">
        <is>
          <t>M7</t>
        </is>
      </c>
      <c r="E241" s="5" t="inlineStr">
        <is>
          <t>SILLA DEL PROFESOR DE MADERA Y METAL 0.45 x 0.40 x 0.36 m.</t>
        </is>
      </c>
      <c r="F241" s="10" t="inlineStr">
        <is>
          <t>und</t>
        </is>
      </c>
      <c r="G241" s="13" t="n">
        <v>1</v>
      </c>
      <c r="H241" s="13" t="n">
        <v>1</v>
      </c>
      <c r="I241" s="14" t="inlineStr">
        <is>
          <t>M7</t>
        </is>
      </c>
      <c r="J241" s="14" t="inlineStr"/>
    </row>
    <row r="242">
      <c r="A242" s="10" t="inlineStr">
        <is>
          <t>E-07</t>
        </is>
      </c>
      <c r="B242" s="5" t="inlineStr">
        <is>
          <t>DORMITORIO MADRE Y SS.HH.</t>
        </is>
      </c>
      <c r="C242" s="10" t="inlineStr">
        <is>
          <t>MB-07</t>
        </is>
      </c>
      <c r="D242" s="10" t="inlineStr">
        <is>
          <t>M31</t>
        </is>
      </c>
      <c r="E242" s="5" t="inlineStr">
        <is>
          <t>ESCRITORIO DE MELAMINA CON CREDENZA MOVIL 1.50 x 0.80 x 0.75 m.</t>
        </is>
      </c>
      <c r="F242" s="10" t="inlineStr">
        <is>
          <t>und</t>
        </is>
      </c>
      <c r="G242" s="13" t="n">
        <v>1</v>
      </c>
      <c r="H242" s="13" t="n">
        <v>1</v>
      </c>
      <c r="I242" s="14" t="inlineStr">
        <is>
          <t>M31</t>
        </is>
      </c>
      <c r="J242" s="14" t="inlineStr"/>
    </row>
    <row r="243">
      <c r="A243" s="10" t="inlineStr">
        <is>
          <t>E-07</t>
        </is>
      </c>
      <c r="B243" s="5" t="inlineStr">
        <is>
          <t>DORMITORIO MADRE Y SS.HH.</t>
        </is>
      </c>
      <c r="C243" s="10" t="inlineStr">
        <is>
          <t>MB-07</t>
        </is>
      </c>
      <c r="D243" s="10" t="inlineStr">
        <is>
          <t>M60</t>
        </is>
      </c>
      <c r="E243" s="5" t="inlineStr">
        <is>
          <t>PAPELERA DE PLASTICO CON PEDAL</t>
        </is>
      </c>
      <c r="F243" s="10" t="inlineStr">
        <is>
          <t>und</t>
        </is>
      </c>
      <c r="G243" s="13" t="n">
        <v>1</v>
      </c>
      <c r="H243" s="13" t="n">
        <v>1</v>
      </c>
      <c r="I243" s="14" t="inlineStr">
        <is>
          <t>M60</t>
        </is>
      </c>
      <c r="J243" s="14" t="inlineStr"/>
    </row>
    <row r="244">
      <c r="A244" s="10" t="inlineStr">
        <is>
          <t>E-07</t>
        </is>
      </c>
      <c r="B244" s="5" t="inlineStr">
        <is>
          <t>DORMITORIO MADRE Y SS.HH.</t>
        </is>
      </c>
      <c r="C244" s="10" t="inlineStr">
        <is>
          <t>MB-07</t>
        </is>
      </c>
      <c r="D244" s="10" t="inlineStr">
        <is>
          <t>M61</t>
        </is>
      </c>
      <c r="E244" s="5" t="inlineStr">
        <is>
          <t>VELADOR DE 1 GAVETA 0.40x0.50x0.60m.</t>
        </is>
      </c>
      <c r="F244" s="10" t="inlineStr">
        <is>
          <t>und</t>
        </is>
      </c>
      <c r="G244" s="13" t="n">
        <v>2</v>
      </c>
      <c r="H244" s="13" t="n">
        <v>2</v>
      </c>
      <c r="I244" s="14" t="inlineStr">
        <is>
          <t>M61</t>
        </is>
      </c>
      <c r="J244" s="14" t="inlineStr"/>
    </row>
    <row r="245">
      <c r="A245" s="10" t="inlineStr">
        <is>
          <t>E-07</t>
        </is>
      </c>
      <c r="B245" s="5" t="inlineStr">
        <is>
          <t>DORMITORIO MADRE Y SS.HH.</t>
        </is>
      </c>
      <c r="C245" s="10" t="inlineStr">
        <is>
          <t>MB-07</t>
        </is>
      </c>
      <c r="D245" s="10" t="inlineStr">
        <is>
          <t>M76</t>
        </is>
      </c>
      <c r="E245" s="5" t="inlineStr">
        <is>
          <t>DISPENSADOR DE PAPEL HIGIÉNICO DE 0.10 X 0.14 X 0.12 M</t>
        </is>
      </c>
      <c r="F245" s="10" t="inlineStr">
        <is>
          <t>und</t>
        </is>
      </c>
      <c r="G245" s="13" t="n">
        <v>1</v>
      </c>
      <c r="H245" s="13" t="n">
        <v>1</v>
      </c>
      <c r="I245" s="14" t="inlineStr">
        <is>
          <t>M76</t>
        </is>
      </c>
      <c r="J245" s="14" t="inlineStr"/>
    </row>
    <row r="246">
      <c r="A246" s="10" t="inlineStr">
        <is>
          <t>E-07</t>
        </is>
      </c>
      <c r="B246" s="5" t="inlineStr">
        <is>
          <t>DORMITORIO MADRE Y SS.HH.</t>
        </is>
      </c>
      <c r="C246" s="10" t="inlineStr">
        <is>
          <t>MB-07</t>
        </is>
      </c>
      <c r="D246" s="10" t="inlineStr">
        <is>
          <t>M77</t>
        </is>
      </c>
      <c r="E246" s="5" t="inlineStr">
        <is>
          <t>DISPENSADOR DE PAPEL TOALLA INTERFOLIADO DE 0.26 X 0.28 X 0.10 M</t>
        </is>
      </c>
      <c r="F246" s="10" t="inlineStr">
        <is>
          <t>und</t>
        </is>
      </c>
      <c r="G246" s="13" t="n">
        <v>1</v>
      </c>
      <c r="H246" s="13" t="n">
        <v>1</v>
      </c>
      <c r="I246" s="14" t="inlineStr">
        <is>
          <t>M77</t>
        </is>
      </c>
      <c r="J246" s="14" t="inlineStr"/>
    </row>
    <row r="247">
      <c r="A247" s="10" t="inlineStr">
        <is>
          <t>E-07</t>
        </is>
      </c>
      <c r="B247" s="5" t="inlineStr">
        <is>
          <t>DORMITORIO MADRE Y SS.HH.</t>
        </is>
      </c>
      <c r="C247" s="10" t="inlineStr">
        <is>
          <t>MB-07</t>
        </is>
      </c>
      <c r="D247" s="10" t="inlineStr">
        <is>
          <t>M78</t>
        </is>
      </c>
      <c r="E247" s="5" t="inlineStr">
        <is>
          <t>CAMA DE DOS PLAZAS (INCLUYE TARIMA)</t>
        </is>
      </c>
      <c r="F247" s="10" t="inlineStr">
        <is>
          <t>und</t>
        </is>
      </c>
      <c r="G247" s="13" t="n">
        <v>1</v>
      </c>
      <c r="H247" s="13" t="n">
        <v>1</v>
      </c>
      <c r="I247" s="14" t="inlineStr">
        <is>
          <t>M78</t>
        </is>
      </c>
      <c r="J247" s="14" t="inlineStr"/>
    </row>
    <row r="248">
      <c r="A248" s="2" t="inlineStr">
        <is>
          <t>E-07  Vivienda de niños de 6 a 11 años - LAVANDERIA Y DEPOSITO</t>
        </is>
      </c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>
      <c r="A249" s="10" t="inlineStr">
        <is>
          <t>E-07</t>
        </is>
      </c>
      <c r="B249" s="5" t="inlineStr">
        <is>
          <t>LAVANDERIA Y DEPOSITO</t>
        </is>
      </c>
      <c r="C249" s="10" t="inlineStr">
        <is>
          <t>MB-07</t>
        </is>
      </c>
      <c r="D249" s="10" t="inlineStr">
        <is>
          <t>E5</t>
        </is>
      </c>
      <c r="E249" s="5" t="inlineStr">
        <is>
          <t>LAVADORA DE 20KG DE CARGA SUPERIOR</t>
        </is>
      </c>
      <c r="F249" s="10" t="inlineStr">
        <is>
          <t>und</t>
        </is>
      </c>
      <c r="G249" s="13" t="n">
        <v>2</v>
      </c>
      <c r="H249" s="13" t="n">
        <v>2</v>
      </c>
      <c r="I249" s="14" t="inlineStr">
        <is>
          <t>E5</t>
        </is>
      </c>
      <c r="J249" s="14" t="inlineStr"/>
    </row>
    <row r="250">
      <c r="A250" s="10" t="inlineStr">
        <is>
          <t>E-07</t>
        </is>
      </c>
      <c r="B250" s="5" t="inlineStr">
        <is>
          <t>LAVANDERIA Y DEPOSITO</t>
        </is>
      </c>
      <c r="C250" s="10" t="inlineStr">
        <is>
          <t>MB-07</t>
        </is>
      </c>
      <c r="D250" s="10" t="inlineStr">
        <is>
          <t>M51</t>
        </is>
      </c>
      <c r="E250" s="5" t="inlineStr">
        <is>
          <t>ESTANTE METÁLICO RANURADO CON CUATRO DIVISIONES 0.90 x 0.45 x 1.80 m</t>
        </is>
      </c>
      <c r="F250" s="10" t="inlineStr">
        <is>
          <t>und</t>
        </is>
      </c>
      <c r="G250" s="13" t="n">
        <v>5</v>
      </c>
      <c r="H250" s="13" t="n">
        <v>5</v>
      </c>
      <c r="I250" s="14" t="inlineStr">
        <is>
          <t>M51</t>
        </is>
      </c>
      <c r="J250" s="14" t="inlineStr"/>
    </row>
    <row r="251">
      <c r="A251" s="2" t="inlineStr">
        <is>
          <t>E-07  Vivienda de niños de 6 a 11 años - OFICINA DE ENTREVISTA Y ESTAR</t>
        </is>
      </c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>
      <c r="A252" s="10" t="inlineStr">
        <is>
          <t>E-07</t>
        </is>
      </c>
      <c r="B252" s="5" t="inlineStr">
        <is>
          <t>OFICINA DE ENTREVISTA Y ESTAR</t>
        </is>
      </c>
      <c r="C252" s="10" t="inlineStr">
        <is>
          <t>MB-07</t>
        </is>
      </c>
      <c r="D252" s="10" t="inlineStr">
        <is>
          <t>E6</t>
        </is>
      </c>
      <c r="E252" s="5" t="inlineStr">
        <is>
          <t>COMPUTADORA I5 ESTACIONARIA</t>
        </is>
      </c>
      <c r="F252" s="10" t="inlineStr">
        <is>
          <t>und</t>
        </is>
      </c>
      <c r="G252" s="13" t="n">
        <v>1</v>
      </c>
      <c r="H252" s="13" t="n">
        <v>1</v>
      </c>
      <c r="I252" s="14" t="inlineStr">
        <is>
          <t>E6</t>
        </is>
      </c>
      <c r="J252" s="14" t="inlineStr"/>
    </row>
    <row r="253">
      <c r="A253" s="10" t="inlineStr">
        <is>
          <t>E-07</t>
        </is>
      </c>
      <c r="B253" s="5" t="inlineStr">
        <is>
          <t>OFICINA DE ENTREVISTA Y ESTAR</t>
        </is>
      </c>
      <c r="C253" s="10" t="inlineStr">
        <is>
          <t>MB-07</t>
        </is>
      </c>
      <c r="D253" s="10" t="inlineStr">
        <is>
          <t>M7</t>
        </is>
      </c>
      <c r="E253" s="5" t="inlineStr">
        <is>
          <t>SILLA DEL PROFESOR DE MADERA Y METAL 0.45 x 0.40 x 0.36 m.</t>
        </is>
      </c>
      <c r="F253" s="10" t="inlineStr">
        <is>
          <t>und</t>
        </is>
      </c>
      <c r="G253" s="13" t="n">
        <v>3</v>
      </c>
      <c r="H253" s="13" t="n">
        <v>3</v>
      </c>
      <c r="I253" s="14" t="inlineStr">
        <is>
          <t>M7</t>
        </is>
      </c>
      <c r="J253" s="14" t="inlineStr"/>
    </row>
    <row r="254">
      <c r="A254" s="10" t="inlineStr">
        <is>
          <t>E-07</t>
        </is>
      </c>
      <c r="B254" s="5" t="inlineStr">
        <is>
          <t>OFICINA DE ENTREVISTA Y ESTAR</t>
        </is>
      </c>
      <c r="C254" s="10" t="inlineStr">
        <is>
          <t>MB-07</t>
        </is>
      </c>
      <c r="D254" s="10" t="inlineStr">
        <is>
          <t>M28</t>
        </is>
      </c>
      <c r="E254" s="5" t="inlineStr">
        <is>
          <t>ESCRITORIO DE MELAMINA CON DOS CAJONERAS 1.00 x 0.50 x 0.75 m</t>
        </is>
      </c>
      <c r="F254" s="10" t="inlineStr">
        <is>
          <t>und</t>
        </is>
      </c>
      <c r="G254" s="13" t="n">
        <v>2</v>
      </c>
      <c r="H254" s="13" t="n">
        <v>2</v>
      </c>
      <c r="I254" s="14" t="inlineStr">
        <is>
          <t>M28</t>
        </is>
      </c>
      <c r="J254" s="14" t="inlineStr"/>
    </row>
    <row r="255">
      <c r="A255" s="10" t="inlineStr">
        <is>
          <t>E-07</t>
        </is>
      </c>
      <c r="B255" s="5" t="inlineStr">
        <is>
          <t>OFICINA DE ENTREVISTA Y ESTAR</t>
        </is>
      </c>
      <c r="C255" s="10" t="inlineStr">
        <is>
          <t>MB-07</t>
        </is>
      </c>
      <c r="D255" s="10" t="inlineStr">
        <is>
          <t>M31</t>
        </is>
      </c>
      <c r="E255" s="5" t="inlineStr">
        <is>
          <t>ESCRITORIO DE MELAMINA CON CREDENZA MOVIL 1.50 x 0.80 x 0.75 m.</t>
        </is>
      </c>
      <c r="F255" s="10" t="inlineStr">
        <is>
          <t>und</t>
        </is>
      </c>
      <c r="G255" s="13" t="n">
        <v>1</v>
      </c>
      <c r="H255" s="13" t="n">
        <v>1</v>
      </c>
      <c r="I255" s="14" t="inlineStr">
        <is>
          <t>M31</t>
        </is>
      </c>
      <c r="J255" s="14" t="inlineStr"/>
    </row>
    <row r="256">
      <c r="A256" s="10" t="inlineStr">
        <is>
          <t>E-07</t>
        </is>
      </c>
      <c r="B256" s="5" t="inlineStr">
        <is>
          <t>OFICINA DE ENTREVISTA Y ESTAR</t>
        </is>
      </c>
      <c r="C256" s="10" t="inlineStr">
        <is>
          <t>MB-07</t>
        </is>
      </c>
      <c r="D256" s="10" t="inlineStr">
        <is>
          <t>M32</t>
        </is>
      </c>
      <c r="E256" s="5" t="inlineStr">
        <is>
          <t>SILLON PARA ACOPLAR 0.44 X 0.55 X 0.60 M.</t>
        </is>
      </c>
      <c r="F256" s="10" t="inlineStr">
        <is>
          <t>und</t>
        </is>
      </c>
      <c r="G256" s="13" t="n">
        <v>1</v>
      </c>
      <c r="H256" s="13" t="n">
        <v>1</v>
      </c>
      <c r="I256" s="14" t="inlineStr">
        <is>
          <t>M32</t>
        </is>
      </c>
      <c r="J256" s="14" t="inlineStr"/>
    </row>
    <row r="257">
      <c r="A257" s="10" t="inlineStr">
        <is>
          <t>E-07</t>
        </is>
      </c>
      <c r="B257" s="5" t="inlineStr">
        <is>
          <t>OFICINA DE ENTREVISTA Y ESTAR</t>
        </is>
      </c>
      <c r="C257" s="10" t="inlineStr">
        <is>
          <t>MB-07</t>
        </is>
      </c>
      <c r="D257" s="10" t="inlineStr">
        <is>
          <t>M34</t>
        </is>
      </c>
      <c r="E257" s="5" t="inlineStr">
        <is>
          <t>SOFA DE 2 CUERPOS 0.55X1.00X0.44M</t>
        </is>
      </c>
      <c r="F257" s="10" t="inlineStr">
        <is>
          <t>und</t>
        </is>
      </c>
      <c r="G257" s="15" t="n">
        <v>1</v>
      </c>
      <c r="H257" s="15" t="n">
        <v>2</v>
      </c>
      <c r="I257" s="14" t="inlineStr">
        <is>
          <t>M34</t>
        </is>
      </c>
      <c r="J257" s="16" t="inlineStr">
        <is>
          <t>Ídem E-04.</t>
        </is>
      </c>
    </row>
    <row r="258">
      <c r="A258" s="10" t="inlineStr">
        <is>
          <t>E-07</t>
        </is>
      </c>
      <c r="B258" s="5" t="inlineStr">
        <is>
          <t>OFICINA DE ENTREVISTA Y ESTAR</t>
        </is>
      </c>
      <c r="C258" s="10" t="inlineStr">
        <is>
          <t>MB-07</t>
        </is>
      </c>
      <c r="D258" s="10" t="inlineStr">
        <is>
          <t>M63</t>
        </is>
      </c>
      <c r="E258" s="5" t="inlineStr">
        <is>
          <t>SOFÁ DE 3 CUERPOS 0.55 x 1.80 x 0.44 m</t>
        </is>
      </c>
      <c r="F258" s="10" t="inlineStr">
        <is>
          <t>und</t>
        </is>
      </c>
      <c r="G258" s="13" t="n">
        <v>1</v>
      </c>
      <c r="H258" s="13" t="n">
        <v>1</v>
      </c>
      <c r="I258" s="14" t="inlineStr">
        <is>
          <t>M63</t>
        </is>
      </c>
      <c r="J258" s="14" t="inlineStr"/>
    </row>
    <row r="259">
      <c r="A259" s="2" t="inlineStr">
        <is>
          <t>E-07  Vivienda de niños de 6 a 11 años - SS.HH.</t>
        </is>
      </c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>
      <c r="A260" s="10" t="inlineStr">
        <is>
          <t>E-07</t>
        </is>
      </c>
      <c r="B260" s="5" t="inlineStr">
        <is>
          <t>SS.HH.</t>
        </is>
      </c>
      <c r="C260" s="10" t="inlineStr">
        <is>
          <t>MB-07</t>
        </is>
      </c>
      <c r="D260" s="10" t="inlineStr">
        <is>
          <t>M60</t>
        </is>
      </c>
      <c r="E260" s="5" t="inlineStr">
        <is>
          <t>PAPELERA DE PLASTICO CON PEDAL</t>
        </is>
      </c>
      <c r="F260" s="10" t="inlineStr">
        <is>
          <t>und</t>
        </is>
      </c>
      <c r="G260" s="13" t="n">
        <v>4</v>
      </c>
      <c r="H260" s="13" t="n">
        <v>4</v>
      </c>
      <c r="I260" s="14" t="inlineStr">
        <is>
          <t>M60</t>
        </is>
      </c>
      <c r="J260" s="14" t="inlineStr"/>
    </row>
    <row r="261">
      <c r="A261" s="10" t="inlineStr">
        <is>
          <t>E-07</t>
        </is>
      </c>
      <c r="B261" s="5" t="inlineStr">
        <is>
          <t>SS.HH.</t>
        </is>
      </c>
      <c r="C261" s="10" t="inlineStr">
        <is>
          <t>MB-07</t>
        </is>
      </c>
      <c r="D261" s="10" t="inlineStr">
        <is>
          <t>M76</t>
        </is>
      </c>
      <c r="E261" s="5" t="inlineStr">
        <is>
          <t>DISPENSADOR DE PAPEL HIGIÉNICO DE 0.10 X 0.14 X 0.12 M</t>
        </is>
      </c>
      <c r="F261" s="10" t="inlineStr">
        <is>
          <t>und</t>
        </is>
      </c>
      <c r="G261" s="13" t="n">
        <v>4</v>
      </c>
      <c r="H261" s="13" t="n">
        <v>4</v>
      </c>
      <c r="I261" s="14" t="inlineStr">
        <is>
          <t>M76</t>
        </is>
      </c>
      <c r="J261" s="14" t="inlineStr"/>
    </row>
    <row r="262">
      <c r="A262" s="10" t="inlineStr">
        <is>
          <t>E-07</t>
        </is>
      </c>
      <c r="B262" s="5" t="inlineStr">
        <is>
          <t>SS.HH.</t>
        </is>
      </c>
      <c r="C262" s="10" t="inlineStr">
        <is>
          <t>MB-07</t>
        </is>
      </c>
      <c r="D262" s="10" t="inlineStr">
        <is>
          <t>M77</t>
        </is>
      </c>
      <c r="E262" s="5" t="inlineStr">
        <is>
          <t>DISPENSADOR DE PAPEL TOALLA INTERFOLIADO DE 0.26 X 0.28 X 0.10 M</t>
        </is>
      </c>
      <c r="F262" s="10" t="inlineStr">
        <is>
          <t>und</t>
        </is>
      </c>
      <c r="G262" s="13" t="n">
        <v>4</v>
      </c>
      <c r="H262" s="13" t="n">
        <v>4</v>
      </c>
      <c r="I262" s="14" t="inlineStr">
        <is>
          <t>M77</t>
        </is>
      </c>
      <c r="J262" s="14" t="inlineStr"/>
    </row>
    <row r="263">
      <c r="A263" s="2" t="inlineStr">
        <is>
          <t>E-07  Vivienda de niños de 6 a 11 años - TALLER DE ARTE</t>
        </is>
      </c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>
      <c r="A264" s="10" t="inlineStr">
        <is>
          <t>E-07</t>
        </is>
      </c>
      <c r="B264" s="5" t="inlineStr">
        <is>
          <t>TALLER DE ARTE</t>
        </is>
      </c>
      <c r="C264" s="10" t="inlineStr">
        <is>
          <t>MB-07</t>
        </is>
      </c>
      <c r="D264" s="10" t="inlineStr">
        <is>
          <t>E1</t>
        </is>
      </c>
      <c r="E264" s="5" t="inlineStr">
        <is>
          <t>PROYECTOR INTERACTIVO</t>
        </is>
      </c>
      <c r="F264" s="10" t="inlineStr">
        <is>
          <t>und</t>
        </is>
      </c>
      <c r="G264" s="13" t="n">
        <v>1</v>
      </c>
      <c r="H264" s="13" t="n">
        <v>1</v>
      </c>
      <c r="I264" s="14" t="inlineStr">
        <is>
          <t>E1</t>
        </is>
      </c>
      <c r="J264" s="14" t="inlineStr"/>
    </row>
    <row r="265">
      <c r="A265" s="10" t="inlineStr">
        <is>
          <t>E-07</t>
        </is>
      </c>
      <c r="B265" s="5" t="inlineStr">
        <is>
          <t>TALLER DE ARTE</t>
        </is>
      </c>
      <c r="C265" s="10" t="inlineStr">
        <is>
          <t>MB-07</t>
        </is>
      </c>
      <c r="D265" s="10" t="inlineStr">
        <is>
          <t>E2</t>
        </is>
      </c>
      <c r="E265" s="5" t="inlineStr">
        <is>
          <t>COMPUTADORA PORTATIL I5</t>
        </is>
      </c>
      <c r="F265" s="10" t="inlineStr">
        <is>
          <t>und</t>
        </is>
      </c>
      <c r="G265" s="13" t="n">
        <v>1</v>
      </c>
      <c r="H265" s="13" t="n">
        <v>1</v>
      </c>
      <c r="I265" s="14" t="inlineStr">
        <is>
          <t>E2</t>
        </is>
      </c>
      <c r="J265" s="14" t="inlineStr"/>
    </row>
    <row r="266">
      <c r="A266" s="10" t="inlineStr">
        <is>
          <t>E-07</t>
        </is>
      </c>
      <c r="B266" s="5" t="inlineStr">
        <is>
          <t>TALLER DE ARTE</t>
        </is>
      </c>
      <c r="C266" s="10" t="inlineStr">
        <is>
          <t>MB-07</t>
        </is>
      </c>
      <c r="D266" s="10" t="inlineStr">
        <is>
          <t>E3</t>
        </is>
      </c>
      <c r="E266" s="5" t="inlineStr">
        <is>
          <t>PRESENTADOR INALAMBRICO CON PUNTERO LASER</t>
        </is>
      </c>
      <c r="F266" s="10" t="inlineStr">
        <is>
          <t>und</t>
        </is>
      </c>
      <c r="G266" s="13" t="n">
        <v>1</v>
      </c>
      <c r="H266" s="13" t="n">
        <v>1</v>
      </c>
      <c r="I266" s="14" t="inlineStr">
        <is>
          <t>E3</t>
        </is>
      </c>
      <c r="J266" s="14" t="inlineStr"/>
    </row>
    <row r="267">
      <c r="A267" s="10" t="inlineStr">
        <is>
          <t>E-07</t>
        </is>
      </c>
      <c r="B267" s="5" t="inlineStr">
        <is>
          <t>TALLER DE ARTE</t>
        </is>
      </c>
      <c r="C267" s="10" t="inlineStr">
        <is>
          <t>MB-07</t>
        </is>
      </c>
      <c r="D267" s="10" t="inlineStr">
        <is>
          <t>M3</t>
        </is>
      </c>
      <c r="E267" s="5" t="inlineStr">
        <is>
          <t>SILLA REGULABLE DE ESTUDIANTE DE MADERA Y METAL 0.30 x 0.27 x 0.32 m.</t>
        </is>
      </c>
      <c r="F267" s="10" t="inlineStr">
        <is>
          <t>und</t>
        </is>
      </c>
      <c r="G267" s="13" t="n">
        <v>16</v>
      </c>
      <c r="H267" s="13" t="n">
        <v>16</v>
      </c>
      <c r="I267" s="14" t="inlineStr">
        <is>
          <t>M3</t>
        </is>
      </c>
      <c r="J267" s="14" t="inlineStr"/>
    </row>
    <row r="268">
      <c r="A268" s="10" t="inlineStr">
        <is>
          <t>E-07</t>
        </is>
      </c>
      <c r="B268" s="5" t="inlineStr">
        <is>
          <t>TALLER DE ARTE</t>
        </is>
      </c>
      <c r="C268" s="10" t="inlineStr">
        <is>
          <t>MB-07</t>
        </is>
      </c>
      <c r="D268" s="10" t="inlineStr">
        <is>
          <t>M4</t>
        </is>
      </c>
      <c r="E268" s="5" t="inlineStr">
        <is>
          <t>MESA REGULABLE DE MADERA Y METAL 0.56 x 0.50 x 0.60 m.</t>
        </is>
      </c>
      <c r="F268" s="10" t="inlineStr">
        <is>
          <t>und</t>
        </is>
      </c>
      <c r="G268" s="13" t="n">
        <v>16</v>
      </c>
      <c r="H268" s="13" t="n">
        <v>16</v>
      </c>
      <c r="I268" s="14" t="inlineStr">
        <is>
          <t>M4</t>
        </is>
      </c>
      <c r="J268" s="14" t="inlineStr"/>
    </row>
    <row r="269">
      <c r="A269" s="10" t="inlineStr">
        <is>
          <t>E-07</t>
        </is>
      </c>
      <c r="B269" s="5" t="inlineStr">
        <is>
          <t>TALLER DE ARTE</t>
        </is>
      </c>
      <c r="C269" s="10" t="inlineStr">
        <is>
          <t>MB-07</t>
        </is>
      </c>
      <c r="D269" s="10" t="inlineStr">
        <is>
          <t>M7</t>
        </is>
      </c>
      <c r="E269" s="5" t="inlineStr">
        <is>
          <t>SILLA DEL PROFESOR DE MADERA Y METAL 0.45 x 0.40 x 0.36 m.</t>
        </is>
      </c>
      <c r="F269" s="10" t="inlineStr">
        <is>
          <t>und</t>
        </is>
      </c>
      <c r="G269" s="13" t="n">
        <v>1</v>
      </c>
      <c r="H269" s="13" t="n">
        <v>1</v>
      </c>
      <c r="I269" s="14" t="inlineStr">
        <is>
          <t>M7</t>
        </is>
      </c>
      <c r="J269" s="14" t="inlineStr"/>
    </row>
    <row r="270">
      <c r="A270" s="10" t="inlineStr">
        <is>
          <t>E-07</t>
        </is>
      </c>
      <c r="B270" s="5" t="inlineStr">
        <is>
          <t>TALLER DE ARTE</t>
        </is>
      </c>
      <c r="C270" s="10" t="inlineStr">
        <is>
          <t>MB-07</t>
        </is>
      </c>
      <c r="D270" s="10" t="inlineStr">
        <is>
          <t>M8</t>
        </is>
      </c>
      <c r="E270" s="5" t="inlineStr">
        <is>
          <t>MESA PARA EL PROFESOR DE MADERA Y METAL 1.00 X 0.50 X 0.75 M.</t>
        </is>
      </c>
      <c r="F270" s="10" t="inlineStr">
        <is>
          <t>und</t>
        </is>
      </c>
      <c r="G270" s="13" t="n">
        <v>1</v>
      </c>
      <c r="H270" s="13" t="n">
        <v>1</v>
      </c>
      <c r="I270" s="14" t="inlineStr">
        <is>
          <t>M8</t>
        </is>
      </c>
      <c r="J270" s="14" t="inlineStr"/>
    </row>
    <row r="271">
      <c r="A271" s="10" t="inlineStr">
        <is>
          <t>E-07</t>
        </is>
      </c>
      <c r="B271" s="5" t="inlineStr">
        <is>
          <t>TALLER DE ARTE</t>
        </is>
      </c>
      <c r="C271" s="10" t="inlineStr">
        <is>
          <t>MB-07</t>
        </is>
      </c>
      <c r="D271" s="10" t="inlineStr">
        <is>
          <t>M36</t>
        </is>
      </c>
      <c r="E271" s="5" t="inlineStr">
        <is>
          <t>ARMARIO PARA DOCENTE DE MELAMINA CON 2 PUERTAS 4 NIVELES 0.90 X 0.45 X 1.80 M.</t>
        </is>
      </c>
      <c r="F271" s="10" t="inlineStr">
        <is>
          <t>und</t>
        </is>
      </c>
      <c r="G271" s="13" t="n">
        <v>1</v>
      </c>
      <c r="H271" s="13" t="n">
        <v>1</v>
      </c>
      <c r="I271" s="14" t="inlineStr">
        <is>
          <t>M36</t>
        </is>
      </c>
      <c r="J271" s="14" t="inlineStr"/>
    </row>
    <row r="272">
      <c r="A272" s="10" t="inlineStr">
        <is>
          <t>E-07</t>
        </is>
      </c>
      <c r="B272" s="5" t="inlineStr">
        <is>
          <t>TALLER DE ARTE</t>
        </is>
      </c>
      <c r="C272" s="10" t="inlineStr">
        <is>
          <t>MB-07</t>
        </is>
      </c>
      <c r="D272" s="10" t="inlineStr">
        <is>
          <t>M56</t>
        </is>
      </c>
      <c r="E272" s="5" t="inlineStr">
        <is>
          <t>MUEBLE BAJO DE MELAMINA PARA EL GUARDADO DE MOCHILA CON 2 DIVISIONES 0.60 X 0.40 X 1.00 M.</t>
        </is>
      </c>
      <c r="F272" s="10" t="inlineStr">
        <is>
          <t>und</t>
        </is>
      </c>
      <c r="G272" s="15" t="n">
        <v>1</v>
      </c>
      <c r="H272" s="15" t="n">
        <v>5</v>
      </c>
      <c r="I272" s="14" t="inlineStr">
        <is>
          <t>M56</t>
        </is>
      </c>
      <c r="J272" s="16" t="inlineStr">
        <is>
          <t>En la planta hay 5 muebles para mochilas (M56); el cuadro dice 1.</t>
        </is>
      </c>
    </row>
    <row r="273">
      <c r="A273" s="10" t="inlineStr">
        <is>
          <t>E-07</t>
        </is>
      </c>
      <c r="B273" s="5" t="inlineStr">
        <is>
          <t>TALLER DE ARTE</t>
        </is>
      </c>
      <c r="C273" s="10" t="inlineStr">
        <is>
          <t>MB-07</t>
        </is>
      </c>
      <c r="D273" s="10" t="inlineStr">
        <is>
          <t>M62</t>
        </is>
      </c>
      <c r="E273" s="5" t="inlineStr">
        <is>
          <t>CESTO BOTA PAPELES DE ACERO CON PEDAL</t>
        </is>
      </c>
      <c r="F273" s="10" t="inlineStr">
        <is>
          <t>und</t>
        </is>
      </c>
      <c r="G273" s="13" t="n">
        <v>1</v>
      </c>
      <c r="H273" s="13" t="n">
        <v>1</v>
      </c>
      <c r="I273" s="14" t="inlineStr">
        <is>
          <t>M62</t>
        </is>
      </c>
      <c r="J273" s="14" t="inlineStr"/>
    </row>
    <row r="274">
      <c r="A274" s="10" t="inlineStr">
        <is>
          <t>E-07</t>
        </is>
      </c>
      <c r="B274" s="5" t="inlineStr">
        <is>
          <t>TALLER DE ARTE</t>
        </is>
      </c>
      <c r="C274" s="10" t="inlineStr">
        <is>
          <t>MB-07</t>
        </is>
      </c>
      <c r="D274" s="10" t="inlineStr">
        <is>
          <t>M69</t>
        </is>
      </c>
      <c r="E274" s="5" t="inlineStr">
        <is>
          <t>PIZARRA ACRILICA 4.20X1.20 INC. ACCESORIOS DE FIJACION</t>
        </is>
      </c>
      <c r="F274" s="10" t="inlineStr">
        <is>
          <t>und</t>
        </is>
      </c>
      <c r="G274" s="13" t="n">
        <v>1</v>
      </c>
      <c r="H274" s="13" t="n">
        <v>1</v>
      </c>
      <c r="I274" s="14" t="inlineStr">
        <is>
          <t>M69</t>
        </is>
      </c>
      <c r="J274" s="14" t="inlineStr"/>
    </row>
    <row r="275">
      <c r="A275" s="2" t="inlineStr">
        <is>
          <t>E-08  Sala de usos múltiples, comedor y cocina - ALMACÉN DE COCINA Y CUARTO DE GAS</t>
        </is>
      </c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>
      <c r="A276" s="10" t="inlineStr">
        <is>
          <t>E-08</t>
        </is>
      </c>
      <c r="B276" s="5" t="inlineStr">
        <is>
          <t>ALMACÉN DE COCINA Y CUARTO DE GAS</t>
        </is>
      </c>
      <c r="C276" s="10" t="inlineStr">
        <is>
          <t>MB-08</t>
        </is>
      </c>
      <c r="D276" s="10" t="inlineStr">
        <is>
          <t>E20</t>
        </is>
      </c>
      <c r="E276" s="5" t="inlineStr">
        <is>
          <t>BALON DE GAS</t>
        </is>
      </c>
      <c r="F276" s="10" t="inlineStr">
        <is>
          <t>und</t>
        </is>
      </c>
      <c r="G276" s="13" t="n">
        <v>2</v>
      </c>
      <c r="H276" s="13" t="n">
        <v>2</v>
      </c>
      <c r="I276" s="14" t="inlineStr">
        <is>
          <t>E20</t>
        </is>
      </c>
      <c r="J276" s="14" t="inlineStr"/>
    </row>
    <row r="277">
      <c r="A277" s="10" t="inlineStr">
        <is>
          <t>E-08</t>
        </is>
      </c>
      <c r="B277" s="5" t="inlineStr">
        <is>
          <t>ALMACÉN DE COCINA Y CUARTO DE GAS</t>
        </is>
      </c>
      <c r="C277" s="10" t="inlineStr">
        <is>
          <t>MB-08</t>
        </is>
      </c>
      <c r="D277" s="10" t="inlineStr">
        <is>
          <t>M68</t>
        </is>
      </c>
      <c r="E277" s="5" t="inlineStr">
        <is>
          <t>PARIHUELA DE MADERA 0.90 X 0.50 X 0.20 M.</t>
        </is>
      </c>
      <c r="F277" s="10" t="inlineStr">
        <is>
          <t>und</t>
        </is>
      </c>
      <c r="G277" s="13" t="n">
        <v>9</v>
      </c>
      <c r="H277" s="13" t="n">
        <v>9</v>
      </c>
      <c r="I277" s="14" t="inlineStr">
        <is>
          <t>M68</t>
        </is>
      </c>
      <c r="J277" s="14" t="inlineStr"/>
    </row>
    <row r="278">
      <c r="A278" s="2" t="inlineStr">
        <is>
          <t>E-08  Sala de usos múltiples, comedor y cocina - DEPÓSITO Y ALMACEN GENERAL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>
      <c r="A279" s="10" t="inlineStr">
        <is>
          <t>E-08</t>
        </is>
      </c>
      <c r="B279" s="5" t="inlineStr">
        <is>
          <t>DEPÓSITO Y ALMACEN GENERAL</t>
        </is>
      </c>
      <c r="C279" s="10" t="inlineStr">
        <is>
          <t>MB-08</t>
        </is>
      </c>
      <c r="D279" s="10" t="inlineStr">
        <is>
          <t>M51</t>
        </is>
      </c>
      <c r="E279" s="5" t="inlineStr">
        <is>
          <t>ESTANTE METÁLICO RANURADO CON CUATRO DIVISIONES 0.90 x 0.45 x 1.80 m</t>
        </is>
      </c>
      <c r="F279" s="10" t="inlineStr">
        <is>
          <t>und</t>
        </is>
      </c>
      <c r="G279" s="13" t="n">
        <v>4</v>
      </c>
      <c r="H279" s="13" t="n">
        <v>4</v>
      </c>
      <c r="I279" s="14" t="inlineStr">
        <is>
          <t>M51</t>
        </is>
      </c>
      <c r="J279" s="14" t="inlineStr"/>
    </row>
    <row r="280">
      <c r="A280" s="2" t="inlineStr">
        <is>
          <t>E-08  Sala de usos múltiples, comedor y cocina - LAVANDERÍA DE COCINA Y COCINA</t>
        </is>
      </c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>
      <c r="A281" s="10" t="inlineStr">
        <is>
          <t>E-08</t>
        </is>
      </c>
      <c r="B281" s="5" t="inlineStr">
        <is>
          <t>LAVANDERÍA DE COCINA Y COCINA</t>
        </is>
      </c>
      <c r="C281" s="10" t="inlineStr">
        <is>
          <t>MB-08</t>
        </is>
      </c>
      <c r="D281" s="10" t="inlineStr">
        <is>
          <t>E13</t>
        </is>
      </c>
      <c r="E281" s="5" t="inlineStr">
        <is>
          <t>COCINA INDUSTRIAL DE 2 HORNILLAS</t>
        </is>
      </c>
      <c r="F281" s="10" t="inlineStr">
        <is>
          <t>und</t>
        </is>
      </c>
      <c r="G281" s="13" t="n">
        <v>2</v>
      </c>
      <c r="H281" s="13" t="n">
        <v>2</v>
      </c>
      <c r="I281" s="14" t="inlineStr">
        <is>
          <t>E13</t>
        </is>
      </c>
      <c r="J281" s="14" t="inlineStr"/>
    </row>
    <row r="282">
      <c r="A282" s="10" t="inlineStr">
        <is>
          <t>E-08</t>
        </is>
      </c>
      <c r="B282" s="5" t="inlineStr">
        <is>
          <t>LAVANDERÍA DE COCINA Y COCINA</t>
        </is>
      </c>
      <c r="C282" s="10" t="inlineStr">
        <is>
          <t>MB-08</t>
        </is>
      </c>
      <c r="D282" s="10" t="inlineStr">
        <is>
          <t>E16</t>
        </is>
      </c>
      <c r="E282" s="5" t="inlineStr">
        <is>
          <t>HORNO MICROONDAS DE 31 LITROS</t>
        </is>
      </c>
      <c r="F282" s="10" t="inlineStr">
        <is>
          <t>und</t>
        </is>
      </c>
      <c r="G282" s="13" t="n">
        <v>1</v>
      </c>
      <c r="H282" s="13" t="n">
        <v>1</v>
      </c>
      <c r="I282" s="14" t="inlineStr">
        <is>
          <t>E16</t>
        </is>
      </c>
      <c r="J282" s="14" t="inlineStr"/>
    </row>
    <row r="283">
      <c r="A283" s="10" t="inlineStr">
        <is>
          <t>E-08</t>
        </is>
      </c>
      <c r="B283" s="5" t="inlineStr">
        <is>
          <t>LAVANDERÍA DE COCINA Y COCINA</t>
        </is>
      </c>
      <c r="C283" s="10" t="inlineStr">
        <is>
          <t>MB-08</t>
        </is>
      </c>
      <c r="D283" s="10" t="inlineStr">
        <is>
          <t>E17</t>
        </is>
      </c>
      <c r="E283" s="5" t="inlineStr">
        <is>
          <t>LICUADORA DE 1.5 LITROS</t>
        </is>
      </c>
      <c r="F283" s="10" t="inlineStr">
        <is>
          <t>und</t>
        </is>
      </c>
      <c r="G283" s="13" t="n">
        <v>1</v>
      </c>
      <c r="H283" s="13" t="n">
        <v>1</v>
      </c>
      <c r="I283" s="14" t="inlineStr">
        <is>
          <t>E17</t>
        </is>
      </c>
      <c r="J283" s="14" t="inlineStr"/>
    </row>
    <row r="284">
      <c r="A284" s="10" t="inlineStr">
        <is>
          <t>E-08</t>
        </is>
      </c>
      <c r="B284" s="5" t="inlineStr">
        <is>
          <t>LAVANDERÍA DE COCINA Y COCINA</t>
        </is>
      </c>
      <c r="C284" s="10" t="inlineStr">
        <is>
          <t>MB-08</t>
        </is>
      </c>
      <c r="D284" s="10" t="inlineStr">
        <is>
          <t>E19</t>
        </is>
      </c>
      <c r="E284" s="5" t="inlineStr">
        <is>
          <t>REFRIGERADORA 315 LITROS</t>
        </is>
      </c>
      <c r="F284" s="10" t="inlineStr">
        <is>
          <t>und</t>
        </is>
      </c>
      <c r="G284" s="13" t="n">
        <v>1</v>
      </c>
      <c r="H284" s="13" t="n">
        <v>1</v>
      </c>
      <c r="I284" s="14" t="inlineStr">
        <is>
          <t>E19</t>
        </is>
      </c>
      <c r="J284" s="14" t="inlineStr"/>
    </row>
    <row r="285">
      <c r="A285" s="10" t="inlineStr">
        <is>
          <t>E-08</t>
        </is>
      </c>
      <c r="B285" s="5" t="inlineStr">
        <is>
          <t>LAVANDERÍA DE COCINA Y COCINA</t>
        </is>
      </c>
      <c r="C285" s="10" t="inlineStr">
        <is>
          <t>MB-08</t>
        </is>
      </c>
      <c r="D285" s="10" t="inlineStr">
        <is>
          <t>M26</t>
        </is>
      </c>
      <c r="E285" s="5" t="inlineStr">
        <is>
          <t>MESA DE TRABAJO DE ACERO INOXIDABLE 0.90 X 0.60 X 0.90 M.</t>
        </is>
      </c>
      <c r="F285" s="10" t="inlineStr">
        <is>
          <t>und</t>
        </is>
      </c>
      <c r="G285" s="13" t="n">
        <v>3</v>
      </c>
      <c r="H285" s="13" t="n">
        <v>3</v>
      </c>
      <c r="I285" s="14" t="inlineStr">
        <is>
          <t>M26</t>
        </is>
      </c>
      <c r="J285" s="14" t="inlineStr"/>
    </row>
    <row r="286">
      <c r="A286" s="10" t="inlineStr">
        <is>
          <t>E-08</t>
        </is>
      </c>
      <c r="B286" s="5" t="inlineStr">
        <is>
          <t>LAVANDERÍA DE COCINA Y COCINA</t>
        </is>
      </c>
      <c r="C286" s="10" t="inlineStr">
        <is>
          <t>MB-08</t>
        </is>
      </c>
      <c r="D286" s="10" t="inlineStr">
        <is>
          <t>M42</t>
        </is>
      </c>
      <c r="E286" s="5" t="inlineStr">
        <is>
          <t>CASILLERO DE MELAMINE Y METAL 0.40X0.45X1.60 M. CAP 12 ESPACIOS (4 casilleros por nivel)</t>
        </is>
      </c>
      <c r="F286" s="10" t="inlineStr">
        <is>
          <t>und</t>
        </is>
      </c>
      <c r="G286" s="15" t="n">
        <v>7</v>
      </c>
      <c r="H286" s="15" t="n">
        <v>4</v>
      </c>
      <c r="I286" s="14" t="inlineStr">
        <is>
          <t>M42</t>
        </is>
      </c>
      <c r="J286" s="16" t="inlineStr">
        <is>
          <t>En la planta hay 4 casilleros (M42); el cuadro dice 7.</t>
        </is>
      </c>
    </row>
    <row r="287">
      <c r="A287" s="10" t="inlineStr">
        <is>
          <t>E-08</t>
        </is>
      </c>
      <c r="B287" s="5" t="inlineStr">
        <is>
          <t>LAVANDERÍA DE COCINA Y COCINA</t>
        </is>
      </c>
      <c r="C287" s="10" t="inlineStr">
        <is>
          <t>MB-08</t>
        </is>
      </c>
      <c r="D287" s="10" t="inlineStr">
        <is>
          <t>M52</t>
        </is>
      </c>
      <c r="E287" s="5" t="inlineStr">
        <is>
          <t>ESTANTE DE ACERO INOXIDABLE CON CUATRO DIVISIONES CON BANDEJA 0.60 X 0.60 X 1.80 M.</t>
        </is>
      </c>
      <c r="F287" s="10" t="inlineStr">
        <is>
          <t>und</t>
        </is>
      </c>
      <c r="G287" s="13" t="n">
        <v>4</v>
      </c>
      <c r="H287" s="13" t="n">
        <v>4</v>
      </c>
      <c r="I287" s="14" t="inlineStr">
        <is>
          <t>M52</t>
        </is>
      </c>
      <c r="J287" s="14" t="inlineStr"/>
    </row>
    <row r="288">
      <c r="A288" s="2" t="inlineStr">
        <is>
          <t>E-08  Sala de usos múltiples, comedor y cocina - RESIDUOS SOLIDOS</t>
        </is>
      </c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>
      <c r="A289" s="10" t="inlineStr">
        <is>
          <t>E-08</t>
        </is>
      </c>
      <c r="B289" s="5" t="inlineStr">
        <is>
          <t>RESIDUOS SOLIDOS</t>
        </is>
      </c>
      <c r="C289" s="10" t="inlineStr">
        <is>
          <t>MB-08</t>
        </is>
      </c>
      <c r="D289" s="10" t="inlineStr">
        <is>
          <t>M75</t>
        </is>
      </c>
      <c r="E289" s="5" t="inlineStr">
        <is>
          <t>CONTENEDOR CON TAPA PARA RESIDUOS SOLIDOS 0.80X1.00X1.00 M.</t>
        </is>
      </c>
      <c r="F289" s="10" t="inlineStr">
        <is>
          <t>und</t>
        </is>
      </c>
      <c r="G289" s="13" t="n">
        <v>3</v>
      </c>
      <c r="H289" s="13" t="n">
        <v>3</v>
      </c>
      <c r="I289" s="14" t="inlineStr">
        <is>
          <t>M75</t>
        </is>
      </c>
      <c r="J289" s="14" t="inlineStr"/>
    </row>
    <row r="290">
      <c r="A290" s="2" t="inlineStr">
        <is>
          <t>E-08  Sala de usos múltiples, comedor y cocina - SS.HH. PERSONAL</t>
        </is>
      </c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>
      <c r="A291" s="10" t="inlineStr">
        <is>
          <t>E-08</t>
        </is>
      </c>
      <c r="B291" s="5" t="inlineStr">
        <is>
          <t>SS.HH. PERSONAL</t>
        </is>
      </c>
      <c r="C291" s="10" t="inlineStr">
        <is>
          <t>MB-08</t>
        </is>
      </c>
      <c r="D291" s="10" t="inlineStr">
        <is>
          <t>M60</t>
        </is>
      </c>
      <c r="E291" s="5" t="inlineStr">
        <is>
          <t>PAPELERA DE PLASTICO CON PEDAL</t>
        </is>
      </c>
      <c r="F291" s="10" t="inlineStr">
        <is>
          <t>und</t>
        </is>
      </c>
      <c r="G291" s="13" t="n">
        <v>1</v>
      </c>
      <c r="H291" s="13" t="n">
        <v>1</v>
      </c>
      <c r="I291" s="14" t="inlineStr">
        <is>
          <t>M60</t>
        </is>
      </c>
      <c r="J291" s="14" t="inlineStr"/>
    </row>
    <row r="292">
      <c r="A292" s="10" t="inlineStr">
        <is>
          <t>E-08</t>
        </is>
      </c>
      <c r="B292" s="5" t="inlineStr">
        <is>
          <t>SS.HH. PERSONAL</t>
        </is>
      </c>
      <c r="C292" s="10" t="inlineStr">
        <is>
          <t>MB-08</t>
        </is>
      </c>
      <c r="D292" s="10" t="inlineStr">
        <is>
          <t>M76</t>
        </is>
      </c>
      <c r="E292" s="5" t="inlineStr">
        <is>
          <t>DISPENSADOR DE PAPEL HIGIÉNICO DE 0.10 X 0.14 X 0.12 M</t>
        </is>
      </c>
      <c r="F292" s="10" t="inlineStr">
        <is>
          <t>und</t>
        </is>
      </c>
      <c r="G292" s="13" t="n">
        <v>1</v>
      </c>
      <c r="H292" s="13" t="n">
        <v>1</v>
      </c>
      <c r="I292" s="14" t="inlineStr">
        <is>
          <t>M76</t>
        </is>
      </c>
      <c r="J292" s="14" t="inlineStr"/>
    </row>
    <row r="293">
      <c r="A293" s="10" t="inlineStr">
        <is>
          <t>E-08</t>
        </is>
      </c>
      <c r="B293" s="5" t="inlineStr">
        <is>
          <t>SS.HH. PERSONAL</t>
        </is>
      </c>
      <c r="C293" s="10" t="inlineStr">
        <is>
          <t>MB-08</t>
        </is>
      </c>
      <c r="D293" s="10" t="inlineStr">
        <is>
          <t>M77</t>
        </is>
      </c>
      <c r="E293" s="5" t="inlineStr">
        <is>
          <t>DISPENSADOR DE PAPEL TOALLA INTERFOLIADO DE 0.26 X 0.28 X 0.10 M</t>
        </is>
      </c>
      <c r="F293" s="10" t="inlineStr">
        <is>
          <t>und</t>
        </is>
      </c>
      <c r="G293" s="13" t="n">
        <v>1</v>
      </c>
      <c r="H293" s="13" t="n">
        <v>1</v>
      </c>
      <c r="I293" s="14" t="inlineStr">
        <is>
          <t>M77</t>
        </is>
      </c>
      <c r="J293" s="14" t="inlineStr"/>
    </row>
    <row r="294">
      <c r="A294" s="2" t="inlineStr">
        <is>
          <t>E-08  Sala de usos múltiples, comedor y cocina - SUM/COMEDOR - DEPÓSITO</t>
        </is>
      </c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>
      <c r="A295" s="10" t="inlineStr">
        <is>
          <t>E-08</t>
        </is>
      </c>
      <c r="B295" s="5" t="inlineStr">
        <is>
          <t>SUM/COMEDOR - DEPÓSITO</t>
        </is>
      </c>
      <c r="C295" s="10" t="inlineStr">
        <is>
          <t>MB-08</t>
        </is>
      </c>
      <c r="D295" s="10" t="inlineStr">
        <is>
          <t>E3</t>
        </is>
      </c>
      <c r="E295" s="5" t="inlineStr">
        <is>
          <t>PRESENTADOR INALAMBRICO CON PUNTERO LASER</t>
        </is>
      </c>
      <c r="F295" s="10" t="inlineStr">
        <is>
          <t>und</t>
        </is>
      </c>
      <c r="G295" s="13" t="n">
        <v>1</v>
      </c>
      <c r="H295" s="13" t="n">
        <v>1</v>
      </c>
      <c r="I295" s="14" t="inlineStr">
        <is>
          <t>E3</t>
        </is>
      </c>
      <c r="J295" s="14" t="inlineStr"/>
    </row>
    <row r="296">
      <c r="A296" s="10" t="inlineStr">
        <is>
          <t>E-08</t>
        </is>
      </c>
      <c r="B296" s="5" t="inlineStr">
        <is>
          <t>SUM/COMEDOR - DEPÓSITO</t>
        </is>
      </c>
      <c r="C296" s="10" t="inlineStr">
        <is>
          <t>MB-08</t>
        </is>
      </c>
      <c r="D296" s="10" t="inlineStr">
        <is>
          <t>E4</t>
        </is>
      </c>
      <c r="E296" s="5" t="inlineStr">
        <is>
          <t>RELOJ PARA ADOSAR A PARED</t>
        </is>
      </c>
      <c r="F296" s="10" t="inlineStr">
        <is>
          <t>und</t>
        </is>
      </c>
      <c r="G296" s="13" t="n">
        <v>1</v>
      </c>
      <c r="H296" s="13" t="n">
        <v>1</v>
      </c>
      <c r="I296" s="14" t="inlineStr">
        <is>
          <t>E4</t>
        </is>
      </c>
      <c r="J296" s="14" t="inlineStr"/>
    </row>
    <row r="297">
      <c r="A297" s="10" t="inlineStr">
        <is>
          <t>E-08</t>
        </is>
      </c>
      <c r="B297" s="5" t="inlineStr">
        <is>
          <t>SUM/COMEDOR - DEPÓSITO</t>
        </is>
      </c>
      <c r="C297" s="10" t="inlineStr">
        <is>
          <t>MB-08</t>
        </is>
      </c>
      <c r="D297" s="10" t="inlineStr">
        <is>
          <t>E6</t>
        </is>
      </c>
      <c r="E297" s="5" t="inlineStr">
        <is>
          <t>COMPUTADORA I5 ESTACIONARIA</t>
        </is>
      </c>
      <c r="F297" s="10" t="inlineStr">
        <is>
          <t>und</t>
        </is>
      </c>
      <c r="G297" s="13" t="n">
        <v>1</v>
      </c>
      <c r="H297" s="13" t="n">
        <v>1</v>
      </c>
      <c r="I297" s="14" t="inlineStr">
        <is>
          <t>E6</t>
        </is>
      </c>
      <c r="J297" s="14" t="inlineStr"/>
    </row>
    <row r="298">
      <c r="A298" s="10" t="inlineStr">
        <is>
          <t>E-08</t>
        </is>
      </c>
      <c r="B298" s="5" t="inlineStr">
        <is>
          <t>SUM/COMEDOR - DEPÓSITO</t>
        </is>
      </c>
      <c r="C298" s="10" t="inlineStr">
        <is>
          <t>MB-08</t>
        </is>
      </c>
      <c r="D298" s="10" t="inlineStr">
        <is>
          <t>E7</t>
        </is>
      </c>
      <c r="E298" s="5" t="inlineStr">
        <is>
          <t>PROYECTOR MULTIMEDIA</t>
        </is>
      </c>
      <c r="F298" s="10" t="inlineStr">
        <is>
          <t>und</t>
        </is>
      </c>
      <c r="G298" s="13" t="n">
        <v>1</v>
      </c>
      <c r="H298" s="13" t="n">
        <v>1</v>
      </c>
      <c r="I298" s="14" t="inlineStr">
        <is>
          <t>E7</t>
        </is>
      </c>
      <c r="J298" s="14" t="inlineStr"/>
    </row>
    <row r="299">
      <c r="A299" s="10" t="inlineStr">
        <is>
          <t>E-08</t>
        </is>
      </c>
      <c r="B299" s="5" t="inlineStr">
        <is>
          <t>SUM/COMEDOR - DEPÓSITO</t>
        </is>
      </c>
      <c r="C299" s="10" t="inlineStr">
        <is>
          <t>MB-08</t>
        </is>
      </c>
      <c r="D299" s="10" t="inlineStr">
        <is>
          <t>E18</t>
        </is>
      </c>
      <c r="E299" s="5" t="inlineStr">
        <is>
          <t>ECRAN</t>
        </is>
      </c>
      <c r="F299" s="10" t="inlineStr">
        <is>
          <t>und</t>
        </is>
      </c>
      <c r="G299" s="13" t="n">
        <v>1</v>
      </c>
      <c r="H299" s="13" t="n">
        <v>1</v>
      </c>
      <c r="I299" s="14" t="inlineStr">
        <is>
          <t>E18</t>
        </is>
      </c>
      <c r="J299" s="14" t="inlineStr"/>
    </row>
    <row r="300">
      <c r="A300" s="10" t="inlineStr">
        <is>
          <t>E-08</t>
        </is>
      </c>
      <c r="B300" s="5" t="inlineStr">
        <is>
          <t>SUM/COMEDOR - DEPÓSITO</t>
        </is>
      </c>
      <c r="C300" s="10" t="inlineStr">
        <is>
          <t>MB-08</t>
        </is>
      </c>
      <c r="D300" s="10" t="inlineStr">
        <is>
          <t>M3</t>
        </is>
      </c>
      <c r="E300" s="5" t="inlineStr">
        <is>
          <t>SILLA REGULABLE DE ESTUDIANTE DE MADERA Y METAL 0.30 x 0.27 x 0.32 m.(primaria)</t>
        </is>
      </c>
      <c r="F300" s="10" t="inlineStr">
        <is>
          <t>und</t>
        </is>
      </c>
      <c r="G300" s="13" t="n">
        <v>72</v>
      </c>
      <c r="H300" s="13" t="n">
        <v>72</v>
      </c>
      <c r="I300" s="14" t="inlineStr">
        <is>
          <t>M3</t>
        </is>
      </c>
      <c r="J300" s="14" t="inlineStr"/>
    </row>
    <row r="301">
      <c r="A301" s="10" t="inlineStr">
        <is>
          <t>E-08</t>
        </is>
      </c>
      <c r="B301" s="5" t="inlineStr">
        <is>
          <t>SUM/COMEDOR - DEPÓSITO</t>
        </is>
      </c>
      <c r="C301" s="10" t="inlineStr">
        <is>
          <t>MB-08</t>
        </is>
      </c>
      <c r="D301" s="10" t="inlineStr">
        <is>
          <t>M7</t>
        </is>
      </c>
      <c r="E301" s="5" t="inlineStr">
        <is>
          <t>SILLA DEL PROFESOR DE MADERA Y METAL 0.45 x 0.40 x 0.36 m.</t>
        </is>
      </c>
      <c r="F301" s="10" t="inlineStr">
        <is>
          <t>und</t>
        </is>
      </c>
      <c r="G301" s="13" t="n">
        <v>3</v>
      </c>
      <c r="H301" s="13" t="n">
        <v>3</v>
      </c>
      <c r="I301" s="14" t="inlineStr">
        <is>
          <t>M7</t>
        </is>
      </c>
      <c r="J301" s="14" t="inlineStr"/>
    </row>
    <row r="302">
      <c r="A302" s="10" t="inlineStr">
        <is>
          <t>E-08</t>
        </is>
      </c>
      <c r="B302" s="5" t="inlineStr">
        <is>
          <t>SUM/COMEDOR - DEPÓSITO</t>
        </is>
      </c>
      <c r="C302" s="10" t="inlineStr">
        <is>
          <t>MB-08</t>
        </is>
      </c>
      <c r="D302" s="10" t="inlineStr">
        <is>
          <t>M13</t>
        </is>
      </c>
      <c r="E302" s="5" t="inlineStr">
        <is>
          <t>RACK DE SOPORTE METALICO PARA PROYECTOR EN TECHO</t>
        </is>
      </c>
      <c r="F302" s="10" t="inlineStr">
        <is>
          <t>und</t>
        </is>
      </c>
      <c r="G302" s="13" t="n">
        <v>1</v>
      </c>
      <c r="H302" s="13" t="n">
        <v>1</v>
      </c>
      <c r="I302" s="14" t="inlineStr">
        <is>
          <t>M13</t>
        </is>
      </c>
      <c r="J302" s="14" t="inlineStr"/>
    </row>
    <row r="303">
      <c r="A303" s="10" t="inlineStr">
        <is>
          <t>E-08</t>
        </is>
      </c>
      <c r="B303" s="5" t="inlineStr">
        <is>
          <t>SUM/COMEDOR - DEPÓSITO</t>
        </is>
      </c>
      <c r="C303" s="10" t="inlineStr">
        <is>
          <t>MB-08</t>
        </is>
      </c>
      <c r="D303" s="10" t="inlineStr">
        <is>
          <t>M16</t>
        </is>
      </c>
      <c r="E303" s="5" t="inlineStr">
        <is>
          <t>MESA DE TRABAJO DE MADERA PARA ESTUDIANTES 0.90 x 1.80 x 0.56 m</t>
        </is>
      </c>
      <c r="F303" s="10" t="inlineStr">
        <is>
          <t>und</t>
        </is>
      </c>
      <c r="G303" s="13" t="n">
        <v>12</v>
      </c>
      <c r="H303" s="13" t="n">
        <v>12</v>
      </c>
      <c r="I303" s="14" t="inlineStr">
        <is>
          <t>M16</t>
        </is>
      </c>
      <c r="J303" s="14" t="inlineStr"/>
    </row>
    <row r="304">
      <c r="A304" s="10" t="inlineStr">
        <is>
          <t>E-08</t>
        </is>
      </c>
      <c r="B304" s="5" t="inlineStr">
        <is>
          <t>SUM/COMEDOR - DEPÓSITO</t>
        </is>
      </c>
      <c r="C304" s="10" t="inlineStr">
        <is>
          <t>MB-08</t>
        </is>
      </c>
      <c r="D304" s="10" t="inlineStr">
        <is>
          <t>M30</t>
        </is>
      </c>
      <c r="E304" s="5" t="inlineStr">
        <is>
          <t>ESCRITORIO PARA COMPUTADORA DE MELAMINE 1.00 X 0.60 X 0.75 M.</t>
        </is>
      </c>
      <c r="F304" s="10" t="inlineStr">
        <is>
          <t>und</t>
        </is>
      </c>
      <c r="G304" s="13" t="n">
        <v>1</v>
      </c>
      <c r="H304" s="13" t="n">
        <v>1</v>
      </c>
      <c r="I304" s="14" t="inlineStr">
        <is>
          <t>M30</t>
        </is>
      </c>
      <c r="J304" s="14" t="inlineStr"/>
    </row>
    <row r="305">
      <c r="A305" s="10" t="inlineStr">
        <is>
          <t>E-08</t>
        </is>
      </c>
      <c r="B305" s="5" t="inlineStr">
        <is>
          <t>SUM/COMEDOR - DEPÓSITO</t>
        </is>
      </c>
      <c r="C305" s="10" t="inlineStr">
        <is>
          <t>MB-08</t>
        </is>
      </c>
      <c r="D305" s="10" t="inlineStr">
        <is>
          <t>M36</t>
        </is>
      </c>
      <c r="E305" s="5" t="inlineStr">
        <is>
          <t>ARMARIO PARA DOCENTE DE MELAMINA CON 2 PUERTAS 4 NIVELES 0.90 X 0.45 X 1.80 M.</t>
        </is>
      </c>
      <c r="F305" s="10" t="inlineStr">
        <is>
          <t>und</t>
        </is>
      </c>
      <c r="G305" s="13" t="n">
        <v>2</v>
      </c>
      <c r="H305" s="13" t="n">
        <v>2</v>
      </c>
      <c r="I305" s="14" t="inlineStr">
        <is>
          <t>M36</t>
        </is>
      </c>
      <c r="J305" s="14" t="inlineStr"/>
    </row>
    <row r="306">
      <c r="A306" s="10" t="inlineStr">
        <is>
          <t>E-08</t>
        </is>
      </c>
      <c r="B306" s="5" t="inlineStr">
        <is>
          <t>SUM/COMEDOR - DEPÓSITO</t>
        </is>
      </c>
      <c r="C306" s="10" t="inlineStr">
        <is>
          <t>MB-08</t>
        </is>
      </c>
      <c r="D306" s="10" t="inlineStr">
        <is>
          <t>M51</t>
        </is>
      </c>
      <c r="E306" s="5" t="inlineStr">
        <is>
          <t>ESTANTE METÁLICO RANURADO CON CUATRO DIVISIONES 0.90 x 0.45 x 1.80 m</t>
        </is>
      </c>
      <c r="F306" s="10" t="inlineStr">
        <is>
          <t>und</t>
        </is>
      </c>
      <c r="G306" s="13" t="n">
        <v>3</v>
      </c>
      <c r="H306" s="13" t="n">
        <v>3</v>
      </c>
      <c r="I306" s="14" t="inlineStr">
        <is>
          <t>M51</t>
        </is>
      </c>
      <c r="J306" s="14" t="inlineStr"/>
    </row>
    <row r="307">
      <c r="A307" s="10" t="inlineStr">
        <is>
          <t>E-08</t>
        </is>
      </c>
      <c r="B307" s="5" t="inlineStr">
        <is>
          <t>SUM/COMEDOR - DEPÓSITO</t>
        </is>
      </c>
      <c r="C307" s="10" t="inlineStr">
        <is>
          <t>MB-08</t>
        </is>
      </c>
      <c r="D307" s="10" t="inlineStr">
        <is>
          <t>M62</t>
        </is>
      </c>
      <c r="E307" s="5" t="inlineStr">
        <is>
          <t>CESTO BOTA PAPELES DE ACERO CON PEDAL</t>
        </is>
      </c>
      <c r="F307" s="10" t="inlineStr">
        <is>
          <t>und</t>
        </is>
      </c>
      <c r="G307" s="13" t="n">
        <v>2</v>
      </c>
      <c r="H307" s="13" t="n">
        <v>2</v>
      </c>
      <c r="I307" s="14" t="inlineStr">
        <is>
          <t>M62</t>
        </is>
      </c>
      <c r="J307" s="14" t="inlineStr"/>
    </row>
    <row r="308">
      <c r="A308" s="10" t="inlineStr">
        <is>
          <t>E-08</t>
        </is>
      </c>
      <c r="B308" s="5" t="inlineStr">
        <is>
          <t>SUM/COMEDOR - DEPÓSITO</t>
        </is>
      </c>
      <c r="C308" s="10" t="inlineStr">
        <is>
          <t>MB-08</t>
        </is>
      </c>
      <c r="D308" s="10" t="inlineStr">
        <is>
          <t>M70</t>
        </is>
      </c>
      <c r="E308" s="5" t="inlineStr">
        <is>
          <t>BOTIQUIN DE MADERA CON DOS DIVISIONES UNA PUERTA Y UNA MANIJA DE 0.30 X 0.15 X 0.40 M PARA PRIMEROS AUXILIOS INC. MEDICAMENTOS</t>
        </is>
      </c>
      <c r="F308" s="10" t="inlineStr">
        <is>
          <t>und</t>
        </is>
      </c>
      <c r="G308" s="13" t="n">
        <v>1</v>
      </c>
      <c r="H308" s="13" t="n">
        <v>1</v>
      </c>
      <c r="I308" s="14" t="inlineStr">
        <is>
          <t>M70</t>
        </is>
      </c>
      <c r="J308" s="14" t="inlineStr"/>
    </row>
    <row r="309">
      <c r="A309" s="10" t="inlineStr">
        <is>
          <t>E-08</t>
        </is>
      </c>
      <c r="B309" s="5" t="inlineStr">
        <is>
          <t>SUM/COMEDOR - DEPÓSITO</t>
        </is>
      </c>
      <c r="C309" s="10" t="inlineStr">
        <is>
          <t>MB-08</t>
        </is>
      </c>
      <c r="D309" s="10" t="inlineStr">
        <is>
          <t>M73</t>
        </is>
      </c>
      <c r="E309" s="5" t="inlineStr">
        <is>
          <t>ESTACIÓN DE SERVIDO CON TRES BANDEJAS, UNA PUERTA Y UNA CUBIERTA 1.20 x 0.70 x 0.90 m</t>
        </is>
      </c>
      <c r="F309" s="10" t="inlineStr">
        <is>
          <t>und</t>
        </is>
      </c>
      <c r="G309" s="15" t="n">
        <v>0</v>
      </c>
      <c r="H309" s="15" t="n">
        <v>1</v>
      </c>
      <c r="I309" s="14" t="inlineStr">
        <is>
          <t>M73</t>
        </is>
      </c>
      <c r="J309" s="16" t="inlineStr">
        <is>
          <t>La estación de servido (M73) está dibujada en el comedor y no figura en su cuadro.</t>
        </is>
      </c>
    </row>
    <row r="310">
      <c r="A310" s="2" t="inlineStr">
        <is>
          <t>E-09  Servicios higiénicos públicos - SS.HH. PUBLICOS</t>
        </is>
      </c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>
      <c r="A311" s="10" t="inlineStr">
        <is>
          <t>E-09</t>
        </is>
      </c>
      <c r="B311" s="5" t="inlineStr">
        <is>
          <t>SS.HH. PUBLICOS</t>
        </is>
      </c>
      <c r="C311" s="10" t="inlineStr">
        <is>
          <t>MB-09</t>
        </is>
      </c>
      <c r="D311" s="10" t="inlineStr">
        <is>
          <t>M62</t>
        </is>
      </c>
      <c r="E311" s="5" t="inlineStr">
        <is>
          <t>CESTO BOTA PAPELES DE ACERO CON PEDAL</t>
        </is>
      </c>
      <c r="F311" s="10" t="inlineStr">
        <is>
          <t>und</t>
        </is>
      </c>
      <c r="G311" s="13" t="n">
        <v>8</v>
      </c>
      <c r="H311" s="13" t="n">
        <v>8</v>
      </c>
      <c r="I311" s="14" t="inlineStr">
        <is>
          <t>M62</t>
        </is>
      </c>
      <c r="J311" s="14" t="inlineStr"/>
    </row>
    <row r="312">
      <c r="A312" s="10" t="inlineStr">
        <is>
          <t>E-09</t>
        </is>
      </c>
      <c r="B312" s="5" t="inlineStr">
        <is>
          <t>SS.HH. PUBLICOS</t>
        </is>
      </c>
      <c r="C312" s="10" t="inlineStr">
        <is>
          <t>MB-09</t>
        </is>
      </c>
      <c r="D312" s="10" t="inlineStr">
        <is>
          <t>M76</t>
        </is>
      </c>
      <c r="E312" s="5" t="inlineStr">
        <is>
          <t>DISPENSADOR DE PAPEL HIGIÉNICO DE 0.10 X 0.14 X 0.12 M</t>
        </is>
      </c>
      <c r="F312" s="10" t="inlineStr">
        <is>
          <t>und</t>
        </is>
      </c>
      <c r="G312" s="13" t="n">
        <v>6</v>
      </c>
      <c r="H312" s="13" t="n">
        <v>6</v>
      </c>
      <c r="I312" s="14" t="inlineStr">
        <is>
          <t>M76</t>
        </is>
      </c>
      <c r="J312" s="14" t="inlineStr"/>
    </row>
    <row r="313">
      <c r="A313" s="10" t="inlineStr">
        <is>
          <t>E-09</t>
        </is>
      </c>
      <c r="B313" s="5" t="inlineStr">
        <is>
          <t>SS.HH. PUBLICOS</t>
        </is>
      </c>
      <c r="C313" s="10" t="inlineStr">
        <is>
          <t>MB-09</t>
        </is>
      </c>
      <c r="D313" s="10" t="inlineStr">
        <is>
          <t>M77</t>
        </is>
      </c>
      <c r="E313" s="5" t="inlineStr">
        <is>
          <t>DISPENSADOR DE PAPEL TOALLA INTERFOLIADO DE 0.26 X 0.28 X 0.10 M</t>
        </is>
      </c>
      <c r="F313" s="10" t="inlineStr">
        <is>
          <t>und</t>
        </is>
      </c>
      <c r="G313" s="13" t="n">
        <v>4</v>
      </c>
      <c r="H313" s="13" t="n">
        <v>4</v>
      </c>
      <c r="I313" s="14" t="inlineStr">
        <is>
          <t>M77</t>
        </is>
      </c>
      <c r="J313" s="14" t="inlineStr"/>
    </row>
    <row r="314">
      <c r="A314" s="2" t="inlineStr">
        <is>
          <t>E-10  Servicios generales - MAESTRANZA</t>
        </is>
      </c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>
      <c r="A315" s="10" t="inlineStr">
        <is>
          <t>E-10</t>
        </is>
      </c>
      <c r="B315" s="5" t="inlineStr">
        <is>
          <t>MAESTRANZA</t>
        </is>
      </c>
      <c r="C315" s="10" t="inlineStr">
        <is>
          <t>MB-02</t>
        </is>
      </c>
      <c r="D315" s="10" t="inlineStr">
        <is>
          <t>M75</t>
        </is>
      </c>
      <c r="E315" s="5" t="inlineStr">
        <is>
          <t>CONTENEDOR CON TAPA PARA RESIDUOS SOLIDOS 0.80X1.00X1.00 M.</t>
        </is>
      </c>
      <c r="F315" s="10" t="inlineStr">
        <is>
          <t>und</t>
        </is>
      </c>
      <c r="G315" s="15" t="n">
        <v>4</v>
      </c>
      <c r="H315" s="15" t="n">
        <v>2</v>
      </c>
      <c r="I315" s="14" t="inlineStr">
        <is>
          <t>M75</t>
        </is>
      </c>
      <c r="J315" s="16" t="inlineStr">
        <is>
          <t>En la planta hay 2 contenedores (M75); el cuadro dice 4.</t>
        </is>
      </c>
    </row>
  </sheetData>
  <mergeCells count="56">
    <mergeCell ref="A263:J263"/>
    <mergeCell ref="A159:J159"/>
    <mergeCell ref="A290:J290"/>
    <mergeCell ref="A259:J259"/>
    <mergeCell ref="A140:J140"/>
    <mergeCell ref="A231:J231"/>
    <mergeCell ref="A200:J200"/>
    <mergeCell ref="B8:J8"/>
    <mergeCell ref="A96:J96"/>
    <mergeCell ref="A209:J209"/>
    <mergeCell ref="A72:J72"/>
    <mergeCell ref="A280:J280"/>
    <mergeCell ref="A19:J19"/>
    <mergeCell ref="A68:J68"/>
    <mergeCell ref="A152:J152"/>
    <mergeCell ref="A170:J170"/>
    <mergeCell ref="A288:J288"/>
    <mergeCell ref="A220:J220"/>
    <mergeCell ref="A127:J127"/>
    <mergeCell ref="A167:J167"/>
    <mergeCell ref="A130:J130"/>
    <mergeCell ref="A314:J314"/>
    <mergeCell ref="A34:J34"/>
    <mergeCell ref="A310:J310"/>
    <mergeCell ref="A48:J48"/>
    <mergeCell ref="A182:J182"/>
    <mergeCell ref="B6:J6"/>
    <mergeCell ref="A275:J275"/>
    <mergeCell ref="A11:J11"/>
    <mergeCell ref="A1:J1"/>
    <mergeCell ref="B5:J5"/>
    <mergeCell ref="A123:J123"/>
    <mergeCell ref="A61:J61"/>
    <mergeCell ref="A88:J88"/>
    <mergeCell ref="A197:J197"/>
    <mergeCell ref="B4:J4"/>
    <mergeCell ref="A54:J54"/>
    <mergeCell ref="A212:J212"/>
    <mergeCell ref="A137:J137"/>
    <mergeCell ref="A193:J193"/>
    <mergeCell ref="B7:J7"/>
    <mergeCell ref="A133:J133"/>
    <mergeCell ref="B3:J3"/>
    <mergeCell ref="A251:J251"/>
    <mergeCell ref="A149:J149"/>
    <mergeCell ref="A189:J189"/>
    <mergeCell ref="A294:J294"/>
    <mergeCell ref="A163:J163"/>
    <mergeCell ref="A239:J239"/>
    <mergeCell ref="A26:J26"/>
    <mergeCell ref="A235:J235"/>
    <mergeCell ref="A248:J248"/>
    <mergeCell ref="A179:J179"/>
    <mergeCell ref="A42:J42"/>
    <mergeCell ref="A278:J278"/>
    <mergeCell ref="B2:J2"/>
  </mergeCells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showGridLines="0"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70" customWidth="1" min="9" max="9"/>
  </cols>
  <sheetData>
    <row r="1" ht="24" customHeight="1">
      <c r="A1" s="1" t="inlineStr">
        <is>
          <t>VERIFICACIÓN DEL METRADO ORIGINAL CON EL PLANO (CUADROS DE EQUIPAMIENTO Y ETIQUETAS DE LA PLANTA)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  <c r="F2" s="4" t="n"/>
      <c r="G2" s="4" t="n"/>
      <c r="H2" s="4" t="n"/>
      <c r="I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  <c r="F3" s="4" t="n"/>
      <c r="G3" s="4" t="n"/>
      <c r="H3" s="4" t="n"/>
      <c r="I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  <c r="F4" s="4" t="n"/>
      <c r="G4" s="4" t="n"/>
      <c r="H4" s="4" t="n"/>
      <c r="I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  <c r="F5" s="4" t="n"/>
      <c r="G5" s="4" t="n"/>
      <c r="H5" s="4" t="n"/>
      <c r="I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  <c r="F6" s="4" t="n"/>
      <c r="G6" s="4" t="n"/>
      <c r="H6" s="4" t="n"/>
      <c r="I6" s="4" t="n"/>
    </row>
    <row r="7">
      <c r="A7" s="2" t="inlineStr">
        <is>
          <t>LÁMINAS</t>
        </is>
      </c>
      <c r="B7" s="5" t="inlineStr">
        <is>
          <t>MB-01 a MB-09 (equipamiento y mobiliario, escala 1/150)</t>
        </is>
      </c>
      <c r="C7" s="4" t="n"/>
      <c r="D7" s="4" t="n"/>
      <c r="E7" s="4" t="n"/>
      <c r="F7" s="4" t="n"/>
      <c r="G7" s="4" t="n"/>
      <c r="H7" s="4" t="n"/>
      <c r="I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  <c r="F8" s="4" t="n"/>
      <c r="G8" s="4" t="n"/>
      <c r="H8" s="4" t="n"/>
      <c r="I8" s="4" t="n"/>
    </row>
    <row r="10">
      <c r="A10" s="6" t="inlineStr">
        <is>
          <t>CÓD.</t>
        </is>
      </c>
      <c r="B10" s="6" t="inlineStr">
        <is>
          <t>DESCRIPCIÓN</t>
        </is>
      </c>
      <c r="C10" s="6" t="inlineStr">
        <is>
          <t>METRADO ORIGINAL</t>
        </is>
      </c>
      <c r="D10" s="6" t="inlineStr">
        <is>
          <t>SUMA DE CUADROS</t>
        </is>
      </c>
      <c r="E10" s="6" t="inlineStr">
        <is>
          <t>ETIQUETAS EN PLANTA</t>
        </is>
      </c>
      <c r="F10" s="6" t="inlineStr">
        <is>
          <t>ADOPTADO</t>
        </is>
      </c>
      <c r="G10" s="6" t="inlineStr">
        <is>
          <t>DIFERENCIA (ADOPTADO - ORIGINAL)</t>
        </is>
      </c>
      <c r="H10" s="6" t="inlineStr">
        <is>
          <t>ESTADO</t>
        </is>
      </c>
      <c r="I10" s="6" t="inlineStr">
        <is>
          <t>OBSERVACIÓN</t>
        </is>
      </c>
    </row>
    <row r="11">
      <c r="A11" s="10" t="inlineStr">
        <is>
          <t>E1</t>
        </is>
      </c>
      <c r="B11" s="5" t="inlineStr">
        <is>
          <t>PROYECTOR INTERACTIVO</t>
        </is>
      </c>
      <c r="C11" s="13" t="n">
        <v>1</v>
      </c>
      <c r="D11" s="13" t="n">
        <v>1</v>
      </c>
      <c r="E11" s="13" t="n">
        <v>1</v>
      </c>
      <c r="F11" s="13">
        <f>'RESUMEN'!E14</f>
        <v/>
      </c>
      <c r="G11" s="13">
        <f>IF(ISNUMBER(C11),F11-C11,F11)</f>
        <v/>
      </c>
      <c r="H11" s="10">
        <f>IF(G11=0,"conforme","corregir")</f>
        <v/>
      </c>
      <c r="I11" s="14" t="inlineStr"/>
    </row>
    <row r="12">
      <c r="A12" s="10" t="inlineStr">
        <is>
          <t>E2</t>
        </is>
      </c>
      <c r="B12" s="5" t="inlineStr">
        <is>
          <t>COMPUTADORA PORTATIL I5</t>
        </is>
      </c>
      <c r="C12" s="13" t="n">
        <v>1</v>
      </c>
      <c r="D12" s="13" t="n">
        <v>1</v>
      </c>
      <c r="E12" s="13" t="n">
        <v>1</v>
      </c>
      <c r="F12" s="13">
        <f>'RESUMEN'!E15</f>
        <v/>
      </c>
      <c r="G12" s="13">
        <f>IF(ISNUMBER(C12),F12-C12,F12)</f>
        <v/>
      </c>
      <c r="H12" s="10">
        <f>IF(G12=0,"conforme","corregir")</f>
        <v/>
      </c>
      <c r="I12" s="14" t="inlineStr"/>
    </row>
    <row r="13">
      <c r="A13" s="10" t="inlineStr">
        <is>
          <t>E3</t>
        </is>
      </c>
      <c r="B13" s="5" t="inlineStr">
        <is>
          <t>PRESENTADOR INALAMBRICO CON PUNTERO LASER</t>
        </is>
      </c>
      <c r="C13" s="13" t="n">
        <v>2</v>
      </c>
      <c r="D13" s="13" t="n">
        <v>2</v>
      </c>
      <c r="E13" s="13" t="n">
        <v>2</v>
      </c>
      <c r="F13" s="13">
        <f>'RESUMEN'!E16</f>
        <v/>
      </c>
      <c r="G13" s="13">
        <f>IF(ISNUMBER(C13),F13-C13,F13)</f>
        <v/>
      </c>
      <c r="H13" s="10">
        <f>IF(G13=0,"conforme","corregir")</f>
        <v/>
      </c>
      <c r="I13" s="14" t="inlineStr"/>
    </row>
    <row r="14">
      <c r="A14" s="10" t="inlineStr">
        <is>
          <t>E4</t>
        </is>
      </c>
      <c r="B14" s="5" t="inlineStr">
        <is>
          <t>RELOJ PARA ADOSAR A PARED</t>
        </is>
      </c>
      <c r="C14" s="13" t="n">
        <v>1</v>
      </c>
      <c r="D14" s="13" t="n">
        <v>1</v>
      </c>
      <c r="E14" s="13" t="n">
        <v>1</v>
      </c>
      <c r="F14" s="13">
        <f>'RESUMEN'!E17</f>
        <v/>
      </c>
      <c r="G14" s="13">
        <f>IF(ISNUMBER(C14),F14-C14,F14)</f>
        <v/>
      </c>
      <c r="H14" s="10">
        <f>IF(G14=0,"conforme","corregir")</f>
        <v/>
      </c>
      <c r="I14" s="14" t="inlineStr"/>
    </row>
    <row r="15">
      <c r="A15" s="10" t="inlineStr">
        <is>
          <t>E5</t>
        </is>
      </c>
      <c r="B15" s="5" t="inlineStr">
        <is>
          <t>LAVADORA DE 20KG DE CARGA SUPERIOR</t>
        </is>
      </c>
      <c r="C15" s="13" t="n">
        <v>10</v>
      </c>
      <c r="D15" s="13" t="n">
        <v>10</v>
      </c>
      <c r="E15" s="13" t="n">
        <v>10</v>
      </c>
      <c r="F15" s="13">
        <f>'RESUMEN'!E18</f>
        <v/>
      </c>
      <c r="G15" s="13">
        <f>IF(ISNUMBER(C15),F15-C15,F15)</f>
        <v/>
      </c>
      <c r="H15" s="10">
        <f>IF(G15=0,"conforme","corregir")</f>
        <v/>
      </c>
      <c r="I15" s="14" t="inlineStr"/>
    </row>
    <row r="16">
      <c r="A16" s="10" t="inlineStr">
        <is>
          <t>E6</t>
        </is>
      </c>
      <c r="B16" s="5" t="inlineStr">
        <is>
          <t>COMPUTADORA I5 ESTACIONARIA</t>
        </is>
      </c>
      <c r="C16" s="15" t="n">
        <v>18</v>
      </c>
      <c r="D16" s="13" t="n">
        <v>43</v>
      </c>
      <c r="E16" s="13" t="n">
        <v>27</v>
      </c>
      <c r="F16" s="15">
        <f>'RESUMEN'!E19</f>
        <v/>
      </c>
      <c r="G16" s="15">
        <f>IF(ISNUMBER(C16),F16-C16,F16)</f>
        <v/>
      </c>
      <c r="H16" s="17">
        <f>IF(G16=0,"conforme","corregir")</f>
        <v/>
      </c>
      <c r="I16" s="14" t="inlineStr">
        <is>
          <t>El metrado original dice 18; el plano da 27. El cuadro repite las 5 computadoras del salón de estudios; en la planta hay 1 (escritorio de la madre). Ídem E-04.</t>
        </is>
      </c>
    </row>
    <row r="17">
      <c r="A17" s="10" t="inlineStr">
        <is>
          <t>E7</t>
        </is>
      </c>
      <c r="B17" s="5" t="inlineStr">
        <is>
          <t>PROYECTOR MULTIMEDIA</t>
        </is>
      </c>
      <c r="C17" s="13" t="n">
        <v>4</v>
      </c>
      <c r="D17" s="13" t="n">
        <v>4</v>
      </c>
      <c r="E17" s="13" t="n">
        <v>4</v>
      </c>
      <c r="F17" s="13">
        <f>'RESUMEN'!E20</f>
        <v/>
      </c>
      <c r="G17" s="13">
        <f>IF(ISNUMBER(C17),F17-C17,F17)</f>
        <v/>
      </c>
      <c r="H17" s="10">
        <f>IF(G17=0,"conforme","corregir")</f>
        <v/>
      </c>
      <c r="I17" s="14" t="inlineStr"/>
    </row>
    <row r="18">
      <c r="A18" s="10" t="inlineStr">
        <is>
          <t>E9</t>
        </is>
      </c>
      <c r="B18" s="5" t="inlineStr">
        <is>
          <t>IMPRESORA MULTIFUNCIONAL</t>
        </is>
      </c>
      <c r="C18" s="13" t="n">
        <v>4</v>
      </c>
      <c r="D18" s="13" t="n">
        <v>4</v>
      </c>
      <c r="E18" s="13" t="n">
        <v>4</v>
      </c>
      <c r="F18" s="13">
        <f>'RESUMEN'!E21</f>
        <v/>
      </c>
      <c r="G18" s="13">
        <f>IF(ISNUMBER(C18),F18-C18,F18)</f>
        <v/>
      </c>
      <c r="H18" s="10">
        <f>IF(G18=0,"conforme","corregir")</f>
        <v/>
      </c>
      <c r="I18" s="14" t="inlineStr"/>
    </row>
    <row r="19">
      <c r="A19" s="10" t="inlineStr">
        <is>
          <t>E13</t>
        </is>
      </c>
      <c r="B19" s="5" t="inlineStr">
        <is>
          <t>COCINA INDUSTRIAL DE 2 HORNILLAS</t>
        </is>
      </c>
      <c r="C19" s="13" t="n">
        <v>2</v>
      </c>
      <c r="D19" s="13" t="n">
        <v>2</v>
      </c>
      <c r="E19" s="13" t="n">
        <v>2</v>
      </c>
      <c r="F19" s="13">
        <f>'RESUMEN'!E22</f>
        <v/>
      </c>
      <c r="G19" s="13">
        <f>IF(ISNUMBER(C19),F19-C19,F19)</f>
        <v/>
      </c>
      <c r="H19" s="10">
        <f>IF(G19=0,"conforme","corregir")</f>
        <v/>
      </c>
      <c r="I19" s="14" t="inlineStr">
        <is>
          <t>Descripción del original: "Cocina de 2 hornillas".</t>
        </is>
      </c>
    </row>
    <row r="20">
      <c r="A20" s="10" t="inlineStr">
        <is>
          <t>E16</t>
        </is>
      </c>
      <c r="B20" s="5" t="inlineStr">
        <is>
          <t>HORNO MICROONDAS DE 31 LITROS</t>
        </is>
      </c>
      <c r="C20" s="13" t="n">
        <v>1</v>
      </c>
      <c r="D20" s="13" t="n">
        <v>1</v>
      </c>
      <c r="E20" s="13" t="n">
        <v>1</v>
      </c>
      <c r="F20" s="13">
        <f>'RESUMEN'!E23</f>
        <v/>
      </c>
      <c r="G20" s="13">
        <f>IF(ISNUMBER(C20),F20-C20,F20)</f>
        <v/>
      </c>
      <c r="H20" s="10">
        <f>IF(G20=0,"conforme","corregir")</f>
        <v/>
      </c>
      <c r="I20" s="14" t="inlineStr"/>
    </row>
    <row r="21">
      <c r="A21" s="10" t="inlineStr">
        <is>
          <t>E17</t>
        </is>
      </c>
      <c r="B21" s="5" t="inlineStr">
        <is>
          <t>LICUADORA DE 1.5 LITROS</t>
        </is>
      </c>
      <c r="C21" s="13" t="n">
        <v>1</v>
      </c>
      <c r="D21" s="13" t="n">
        <v>1</v>
      </c>
      <c r="E21" s="13" t="n">
        <v>1</v>
      </c>
      <c r="F21" s="13">
        <f>'RESUMEN'!E24</f>
        <v/>
      </c>
      <c r="G21" s="13">
        <f>IF(ISNUMBER(C21),F21-C21,F21)</f>
        <v/>
      </c>
      <c r="H21" s="10">
        <f>IF(G21=0,"conforme","corregir")</f>
        <v/>
      </c>
      <c r="I21" s="14" t="inlineStr"/>
    </row>
    <row r="22">
      <c r="A22" s="10" t="inlineStr">
        <is>
          <t>E18</t>
        </is>
      </c>
      <c r="B22" s="5" t="inlineStr">
        <is>
          <t>ECRAN</t>
        </is>
      </c>
      <c r="C22" s="13" t="n">
        <v>1</v>
      </c>
      <c r="D22" s="13" t="n">
        <v>1</v>
      </c>
      <c r="E22" s="13" t="n">
        <v>1</v>
      </c>
      <c r="F22" s="13">
        <f>'RESUMEN'!E25</f>
        <v/>
      </c>
      <c r="G22" s="13">
        <f>IF(ISNUMBER(C22),F22-C22,F22)</f>
        <v/>
      </c>
      <c r="H22" s="10">
        <f>IF(G22=0,"conforme","corregir")</f>
        <v/>
      </c>
      <c r="I22" s="14" t="inlineStr"/>
    </row>
    <row r="23">
      <c r="A23" s="10" t="inlineStr">
        <is>
          <t>E19</t>
        </is>
      </c>
      <c r="B23" s="5" t="inlineStr">
        <is>
          <t>REFRIGERADORA 315 LITROS</t>
        </is>
      </c>
      <c r="C23" s="13" t="n">
        <v>1</v>
      </c>
      <c r="D23" s="13" t="n">
        <v>1</v>
      </c>
      <c r="E23" s="13" t="n">
        <v>1</v>
      </c>
      <c r="F23" s="13">
        <f>'RESUMEN'!E26</f>
        <v/>
      </c>
      <c r="G23" s="13">
        <f>IF(ISNUMBER(C23),F23-C23,F23)</f>
        <v/>
      </c>
      <c r="H23" s="10">
        <f>IF(G23=0,"conforme","corregir")</f>
        <v/>
      </c>
      <c r="I23" s="14" t="inlineStr"/>
    </row>
    <row r="24">
      <c r="A24" s="10" t="inlineStr">
        <is>
          <t>E20</t>
        </is>
      </c>
      <c r="B24" s="5" t="inlineStr">
        <is>
          <t>BALON DE GAS</t>
        </is>
      </c>
      <c r="C24" s="13" t="n">
        <v>2</v>
      </c>
      <c r="D24" s="13" t="n">
        <v>2</v>
      </c>
      <c r="E24" s="13" t="n">
        <v>2</v>
      </c>
      <c r="F24" s="13">
        <f>'RESUMEN'!E27</f>
        <v/>
      </c>
      <c r="G24" s="13">
        <f>IF(ISNUMBER(C24),F24-C24,F24)</f>
        <v/>
      </c>
      <c r="H24" s="10">
        <f>IF(G24=0,"conforme","corregir")</f>
        <v/>
      </c>
      <c r="I24" s="14" t="inlineStr"/>
    </row>
    <row r="25">
      <c r="A25" s="10" t="inlineStr">
        <is>
          <t>M3</t>
        </is>
      </c>
      <c r="B25" s="5" t="inlineStr">
        <is>
          <t>SILLA REGULABLE DE ESTUDIANTE DE MADERA Y METAL 0.30 X 0.27 X 0.32 M.(PRIMARIA)</t>
        </is>
      </c>
      <c r="C25" s="15" t="inlineStr">
        <is>
          <t>—</t>
        </is>
      </c>
      <c r="D25" s="13" t="n">
        <v>88</v>
      </c>
      <c r="E25" s="13" t="n">
        <v>88</v>
      </c>
      <c r="F25" s="15">
        <f>'RESUMEN'!E29</f>
        <v/>
      </c>
      <c r="G25" s="15">
        <f>IF(ISNUMBER(C25),F25-C25,F25)</f>
        <v/>
      </c>
      <c r="H25" s="17">
        <f>IF(G25=0,"conforme","corregir")</f>
        <v/>
      </c>
      <c r="I25" s="14" t="inlineStr">
        <is>
          <t>No figura en el metrado original.</t>
        </is>
      </c>
    </row>
    <row r="26">
      <c r="A26" s="10" t="inlineStr">
        <is>
          <t>M4</t>
        </is>
      </c>
      <c r="B26" s="5" t="inlineStr">
        <is>
          <t>MESA REGULABLE DE MADERA Y METAL 0.56 X 0.50 X 0.60 M</t>
        </is>
      </c>
      <c r="C26" s="15" t="inlineStr">
        <is>
          <t>—</t>
        </is>
      </c>
      <c r="D26" s="13" t="n">
        <v>16</v>
      </c>
      <c r="E26" s="13" t="n">
        <v>16</v>
      </c>
      <c r="F26" s="15">
        <f>'RESUMEN'!E30</f>
        <v/>
      </c>
      <c r="G26" s="15">
        <f>IF(ISNUMBER(C26),F26-C26,F26)</f>
        <v/>
      </c>
      <c r="H26" s="17">
        <f>IF(G26=0,"conforme","corregir")</f>
        <v/>
      </c>
      <c r="I26" s="14" t="inlineStr">
        <is>
          <t>No figura en el metrado original.</t>
        </is>
      </c>
    </row>
    <row r="27">
      <c r="A27" s="10" t="inlineStr">
        <is>
          <t>M7</t>
        </is>
      </c>
      <c r="B27" s="5" t="inlineStr">
        <is>
          <t>SILLA DEL PROFESOR DE MADERA Y METAL 0.45 X 0.40 X 0.36 M</t>
        </is>
      </c>
      <c r="C27" s="15" t="n">
        <v>52</v>
      </c>
      <c r="D27" s="13" t="n">
        <v>83</v>
      </c>
      <c r="E27" s="13" t="n">
        <v>80</v>
      </c>
      <c r="F27" s="15">
        <f>'RESUMEN'!E31</f>
        <v/>
      </c>
      <c r="G27" s="15">
        <f>IF(ISNUMBER(C27),F27-C27,F27)</f>
        <v/>
      </c>
      <c r="H27" s="17">
        <f>IF(G27=0,"conforme","corregir")</f>
        <v/>
      </c>
      <c r="I27" s="14" t="inlineStr">
        <is>
          <t>El metrado original dice 52; el plano da 80. El cuadro del tópico repite las 10 sillas de la sala de reuniones; se ajusta para que E-01 sume las 38 sillas M07 rotuladas en la planta, no 41. El proyector E7 del tópico sí está rotulado.</t>
        </is>
      </c>
    </row>
    <row r="28">
      <c r="A28" s="10" t="inlineStr">
        <is>
          <t>M8</t>
        </is>
      </c>
      <c r="B28" s="5" t="inlineStr">
        <is>
          <t>MESA PARA EL PROFESOR DE MADERA Y METAL 1.00 X 0.50 X 0.75 M</t>
        </is>
      </c>
      <c r="C28" s="13" t="n">
        <v>1</v>
      </c>
      <c r="D28" s="13" t="n">
        <v>1</v>
      </c>
      <c r="E28" s="13" t="n">
        <v>1</v>
      </c>
      <c r="F28" s="13">
        <f>'RESUMEN'!E32</f>
        <v/>
      </c>
      <c r="G28" s="13">
        <f>IF(ISNUMBER(C28),F28-C28,F28)</f>
        <v/>
      </c>
      <c r="H28" s="10">
        <f>IF(G28=0,"conforme","corregir")</f>
        <v/>
      </c>
      <c r="I28" s="14" t="inlineStr"/>
    </row>
    <row r="29">
      <c r="A29" s="10" t="inlineStr">
        <is>
          <t>M13</t>
        </is>
      </c>
      <c r="B29" s="5" t="inlineStr">
        <is>
          <t>RACK DE SOPORTE METALICO PARA PROYECTOR EN TECHO</t>
        </is>
      </c>
      <c r="C29" s="13" t="n">
        <v>2</v>
      </c>
      <c r="D29" s="13" t="n">
        <v>2</v>
      </c>
      <c r="E29" s="13" t="n">
        <v>2</v>
      </c>
      <c r="F29" s="13">
        <f>'RESUMEN'!E33</f>
        <v/>
      </c>
      <c r="G29" s="13">
        <f>IF(ISNUMBER(C29),F29-C29,F29)</f>
        <v/>
      </c>
      <c r="H29" s="10">
        <f>IF(G29=0,"conforme","corregir")</f>
        <v/>
      </c>
      <c r="I29" s="14" t="inlineStr"/>
    </row>
    <row r="30">
      <c r="A30" s="10" t="inlineStr">
        <is>
          <t>M14</t>
        </is>
      </c>
      <c r="B30" s="5" t="inlineStr">
        <is>
          <t>MACETERO 0.32 X 0.32 X 0.56 M</t>
        </is>
      </c>
      <c r="C30" s="15" t="inlineStr">
        <is>
          <t>—</t>
        </is>
      </c>
      <c r="D30" s="13" t="n">
        <v>2</v>
      </c>
      <c r="E30" s="13" t="n">
        <v>2</v>
      </c>
      <c r="F30" s="15">
        <f>'RESUMEN'!E34</f>
        <v/>
      </c>
      <c r="G30" s="15">
        <f>IF(ISNUMBER(C30),F30-C30,F30)</f>
        <v/>
      </c>
      <c r="H30" s="17">
        <f>IF(G30=0,"conforme","corregir")</f>
        <v/>
      </c>
      <c r="I30" s="14" t="inlineStr">
        <is>
          <t>No figura en el metrado original.</t>
        </is>
      </c>
    </row>
    <row r="31">
      <c r="A31" s="10" t="inlineStr">
        <is>
          <t>M15</t>
        </is>
      </c>
      <c r="B31" s="5" t="inlineStr">
        <is>
          <t>ATRIL DE MESA PARA DIBUJO Y PINTURA</t>
        </is>
      </c>
      <c r="C31" s="13" t="n">
        <v>1</v>
      </c>
      <c r="D31" s="13" t="n">
        <v>1</v>
      </c>
      <c r="E31" s="13" t="n">
        <v>1</v>
      </c>
      <c r="F31" s="13">
        <f>'RESUMEN'!E35</f>
        <v/>
      </c>
      <c r="G31" s="13">
        <f>IF(ISNUMBER(C31),F31-C31,F31)</f>
        <v/>
      </c>
      <c r="H31" s="10">
        <f>IF(G31=0,"conforme","corregir")</f>
        <v/>
      </c>
      <c r="I31" s="14" t="inlineStr"/>
    </row>
    <row r="32">
      <c r="A32" s="10" t="inlineStr">
        <is>
          <t>M16</t>
        </is>
      </c>
      <c r="B32" s="5" t="inlineStr">
        <is>
          <t>MESA DE TRABAJO DE MADERA PARA ESTUDIANTES 0.90 X 1.80 X 0.56 M</t>
        </is>
      </c>
      <c r="C32" s="13" t="n">
        <v>12</v>
      </c>
      <c r="D32" s="13" t="n">
        <v>12</v>
      </c>
      <c r="E32" s="13" t="n">
        <v>12</v>
      </c>
      <c r="F32" s="13">
        <f>'RESUMEN'!E36</f>
        <v/>
      </c>
      <c r="G32" s="13">
        <f>IF(ISNUMBER(C32),F32-C32,F32)</f>
        <v/>
      </c>
      <c r="H32" s="10">
        <f>IF(G32=0,"conforme","corregir")</f>
        <v/>
      </c>
      <c r="I32" s="14" t="inlineStr"/>
    </row>
    <row r="33">
      <c r="A33" s="10" t="inlineStr">
        <is>
          <t>M20</t>
        </is>
      </c>
      <c r="B33" s="5" t="inlineStr">
        <is>
          <t>BIOMBO METALICO DE 3 CUERPOS</t>
        </is>
      </c>
      <c r="C33" s="13" t="n">
        <v>1</v>
      </c>
      <c r="D33" s="13" t="n">
        <v>1</v>
      </c>
      <c r="E33" s="13" t="n">
        <v>1</v>
      </c>
      <c r="F33" s="13">
        <f>'RESUMEN'!E37</f>
        <v/>
      </c>
      <c r="G33" s="13">
        <f>IF(ISNUMBER(C33),F33-C33,F33)</f>
        <v/>
      </c>
      <c r="H33" s="10">
        <f>IF(G33=0,"conforme","corregir")</f>
        <v/>
      </c>
      <c r="I33" s="14" t="inlineStr"/>
    </row>
    <row r="34">
      <c r="A34" s="10" t="inlineStr">
        <is>
          <t>M21</t>
        </is>
      </c>
      <c r="B34" s="5" t="inlineStr">
        <is>
          <t>MESA DE REUNIONES DE MADERA Y MELAMINA 2.40 X 1.00 X 0.75 M</t>
        </is>
      </c>
      <c r="C34" s="13" t="n">
        <v>1</v>
      </c>
      <c r="D34" s="13" t="n">
        <v>1</v>
      </c>
      <c r="E34" s="13" t="n">
        <v>1</v>
      </c>
      <c r="F34" s="13">
        <f>'RESUMEN'!E38</f>
        <v/>
      </c>
      <c r="G34" s="13">
        <f>IF(ISNUMBER(C34),F34-C34,F34)</f>
        <v/>
      </c>
      <c r="H34" s="10">
        <f>IF(G34=0,"conforme","corregir")</f>
        <v/>
      </c>
      <c r="I34" s="14" t="inlineStr"/>
    </row>
    <row r="35">
      <c r="A35" s="10" t="inlineStr">
        <is>
          <t>M26</t>
        </is>
      </c>
      <c r="B35" s="5" t="inlineStr">
        <is>
          <t>MESA DE TRABAJO DE ACERO INOXIDABLE 0.90 X 0.60 X 0.90 M</t>
        </is>
      </c>
      <c r="C35" s="13" t="n">
        <v>3</v>
      </c>
      <c r="D35" s="13" t="n">
        <v>3</v>
      </c>
      <c r="E35" s="13" t="n">
        <v>3</v>
      </c>
      <c r="F35" s="13">
        <f>'RESUMEN'!E39</f>
        <v/>
      </c>
      <c r="G35" s="13">
        <f>IF(ISNUMBER(C35),F35-C35,F35)</f>
        <v/>
      </c>
      <c r="H35" s="10">
        <f>IF(G35=0,"conforme","corregir")</f>
        <v/>
      </c>
      <c r="I35" s="14" t="inlineStr"/>
    </row>
    <row r="36">
      <c r="A36" s="10" t="inlineStr">
        <is>
          <t>M27</t>
        </is>
      </c>
      <c r="B36" s="5" t="inlineStr">
        <is>
          <t>SILLA DE RUEDAS</t>
        </is>
      </c>
      <c r="C36" s="13" t="n">
        <v>1</v>
      </c>
      <c r="D36" s="13" t="n">
        <v>1</v>
      </c>
      <c r="E36" s="13" t="n">
        <v>1</v>
      </c>
      <c r="F36" s="13">
        <f>'RESUMEN'!E40</f>
        <v/>
      </c>
      <c r="G36" s="13">
        <f>IF(ISNUMBER(C36),F36-C36,F36)</f>
        <v/>
      </c>
      <c r="H36" s="10">
        <f>IF(G36=0,"conforme","corregir")</f>
        <v/>
      </c>
      <c r="I36" s="14" t="inlineStr"/>
    </row>
    <row r="37">
      <c r="A37" s="10" t="inlineStr">
        <is>
          <t>M28</t>
        </is>
      </c>
      <c r="B37" s="5" t="inlineStr">
        <is>
          <t>ESCRITORIO DE MELAMINA CON DOS CAJONERAS 1.00 X 0.50 X 0.75 M</t>
        </is>
      </c>
      <c r="C37" s="15" t="n">
        <v>4</v>
      </c>
      <c r="D37" s="13" t="n">
        <v>32</v>
      </c>
      <c r="E37" s="13" t="n">
        <v>32</v>
      </c>
      <c r="F37" s="15">
        <f>'RESUMEN'!E41</f>
        <v/>
      </c>
      <c r="G37" s="15">
        <f>IF(ISNUMBER(C37),F37-C37,F37)</f>
        <v/>
      </c>
      <c r="H37" s="17">
        <f>IF(G37=0,"conforme","corregir")</f>
        <v/>
      </c>
      <c r="I37" s="14" t="inlineStr">
        <is>
          <t>El metrado original dice 4; el plano da 32.</t>
        </is>
      </c>
    </row>
    <row r="38">
      <c r="A38" s="10" t="inlineStr">
        <is>
          <t>M30</t>
        </is>
      </c>
      <c r="B38" s="5" t="inlineStr">
        <is>
          <t>ESCRITORIO PARA COMPUTADORA DE MELAMINE 1.00 X 0.60 X 0.75 M</t>
        </is>
      </c>
      <c r="C38" s="13" t="n">
        <v>1</v>
      </c>
      <c r="D38" s="13" t="n">
        <v>1</v>
      </c>
      <c r="E38" s="13" t="n">
        <v>1</v>
      </c>
      <c r="F38" s="13">
        <f>'RESUMEN'!E42</f>
        <v/>
      </c>
      <c r="G38" s="13">
        <f>IF(ISNUMBER(C38),F38-C38,F38)</f>
        <v/>
      </c>
      <c r="H38" s="10">
        <f>IF(G38=0,"conforme","corregir")</f>
        <v/>
      </c>
      <c r="I38" s="14" t="inlineStr"/>
    </row>
    <row r="39">
      <c r="A39" s="10" t="inlineStr">
        <is>
          <t>M31</t>
        </is>
      </c>
      <c r="B39" s="5" t="inlineStr">
        <is>
          <t>ESCRITORIO DE MELAMINA CON CREDENZA MOVIL 1.50 X 0.80 X 0.75 M</t>
        </is>
      </c>
      <c r="C39" s="13" t="n">
        <v>16</v>
      </c>
      <c r="D39" s="13" t="n">
        <v>16</v>
      </c>
      <c r="E39" s="13" t="n">
        <v>16</v>
      </c>
      <c r="F39" s="13">
        <f>'RESUMEN'!E43</f>
        <v/>
      </c>
      <c r="G39" s="13">
        <f>IF(ISNUMBER(C39),F39-C39,F39)</f>
        <v/>
      </c>
      <c r="H39" s="10">
        <f>IF(G39=0,"conforme","corregir")</f>
        <v/>
      </c>
      <c r="I39" s="14" t="inlineStr"/>
    </row>
    <row r="40">
      <c r="A40" s="10" t="inlineStr">
        <is>
          <t>M32</t>
        </is>
      </c>
      <c r="B40" s="5" t="inlineStr">
        <is>
          <t>SILLON PARA ACOPLAR 0.44 X 0.55 X 0.60 M</t>
        </is>
      </c>
      <c r="C40" s="15" t="inlineStr">
        <is>
          <t>—</t>
        </is>
      </c>
      <c r="D40" s="13" t="n">
        <v>7</v>
      </c>
      <c r="E40" s="13" t="n">
        <v>7</v>
      </c>
      <c r="F40" s="15">
        <f>'RESUMEN'!E44</f>
        <v/>
      </c>
      <c r="G40" s="15">
        <f>IF(ISNUMBER(C40),F40-C40,F40)</f>
        <v/>
      </c>
      <c r="H40" s="17">
        <f>IF(G40=0,"conforme","corregir")</f>
        <v/>
      </c>
      <c r="I40" s="14" t="inlineStr">
        <is>
          <t>No figura en el metrado original.</t>
        </is>
      </c>
    </row>
    <row r="41">
      <c r="A41" s="10" t="inlineStr">
        <is>
          <t>M34</t>
        </is>
      </c>
      <c r="B41" s="5" t="inlineStr">
        <is>
          <t>SOFA DE 2 CUERPOS 0.55X1.00X0.44M</t>
        </is>
      </c>
      <c r="C41" s="13" t="n">
        <v>11</v>
      </c>
      <c r="D41" s="13" t="n">
        <v>7</v>
      </c>
      <c r="E41" s="13" t="n">
        <v>11</v>
      </c>
      <c r="F41" s="13">
        <f>'RESUMEN'!E45</f>
        <v/>
      </c>
      <c r="G41" s="13">
        <f>IF(ISNUMBER(C41),F41-C41,F41)</f>
        <v/>
      </c>
      <c r="H41" s="10">
        <f>IF(G41=0,"conforme","corregir")</f>
        <v/>
      </c>
      <c r="I41" s="14" t="inlineStr">
        <is>
          <t>En la planta hay 2 sofás de 2 cuerpos (M34) en la oficina de entrevista y estar; el cuadro dice 1. Ídem E-04.</t>
        </is>
      </c>
    </row>
    <row r="42">
      <c r="A42" s="10" t="inlineStr">
        <is>
          <t>M36</t>
        </is>
      </c>
      <c r="B42" s="5" t="inlineStr">
        <is>
          <t>ARMARIO PARA DOCENTE DE MELAMINA CON 2 PUERTAS 4 NIVELES 0.90 X 0.45 X 1.80 M</t>
        </is>
      </c>
      <c r="C42" s="13" t="n">
        <v>6</v>
      </c>
      <c r="D42" s="13" t="n">
        <v>6</v>
      </c>
      <c r="E42" s="13" t="n">
        <v>6</v>
      </c>
      <c r="F42" s="13">
        <f>'RESUMEN'!E46</f>
        <v/>
      </c>
      <c r="G42" s="13">
        <f>IF(ISNUMBER(C42),F42-C42,F42)</f>
        <v/>
      </c>
      <c r="H42" s="10">
        <f>IF(G42=0,"conforme","corregir")</f>
        <v/>
      </c>
      <c r="I42" s="14" t="inlineStr"/>
    </row>
    <row r="43">
      <c r="A43" s="10" t="inlineStr">
        <is>
          <t>M37</t>
        </is>
      </c>
      <c r="B43" s="5" t="inlineStr">
        <is>
          <t>ARMARIO PARA ALMACENAR MATERIAL DE MELAMINA CON 2 PUERTAS Y 5 DIVISIONES 0.90 X 0.60 X 1.80 M</t>
        </is>
      </c>
      <c r="C43" s="15" t="n">
        <v>25</v>
      </c>
      <c r="D43" s="13" t="n">
        <v>45</v>
      </c>
      <c r="E43" s="13" t="n">
        <v>35</v>
      </c>
      <c r="F43" s="15">
        <f>'RESUMEN'!E47</f>
        <v/>
      </c>
      <c r="G43" s="15">
        <f>IF(ISNUMBER(C43),F43-C43,F43)</f>
        <v/>
      </c>
      <c r="H43" s="17">
        <f>IF(G43=0,"conforme","corregir")</f>
        <v/>
      </c>
      <c r="I43" s="14" t="inlineStr">
        <is>
          <t>El metrado original dice 25; el plano da 35. En la planta del dormitorio de E-07 los muebles junto a cada cama están rotulados M44 (credenza), 10 en total; el cuadro dice 10 armarios M37. Se cuenta lo rotulado en planta.</t>
        </is>
      </c>
    </row>
    <row r="44">
      <c r="A44" s="10" t="inlineStr">
        <is>
          <t>M39</t>
        </is>
      </c>
      <c r="B44" s="5" t="inlineStr">
        <is>
          <t>ARCHIVADOR DE MELAMINA CON TRES GAVETAS 0.60 X 0.46 X 1.20 M</t>
        </is>
      </c>
      <c r="C44" s="13" t="n">
        <v>4</v>
      </c>
      <c r="D44" s="13" t="n">
        <v>4</v>
      </c>
      <c r="E44" s="13" t="n">
        <v>4</v>
      </c>
      <c r="F44" s="13">
        <f>'RESUMEN'!E48</f>
        <v/>
      </c>
      <c r="G44" s="13">
        <f>IF(ISNUMBER(C44),F44-C44,F44)</f>
        <v/>
      </c>
      <c r="H44" s="10">
        <f>IF(G44=0,"conforme","corregir")</f>
        <v/>
      </c>
      <c r="I44" s="14" t="inlineStr"/>
    </row>
    <row r="45">
      <c r="A45" s="10" t="inlineStr">
        <is>
          <t>M42</t>
        </is>
      </c>
      <c r="B45" s="5" t="inlineStr">
        <is>
          <t>CASILLERO DE MELAMINE Y METAL 0.40X0.45X1.60 M. CAP 12 ESPACIOS (4 CASILLEROS POR NIVEL)</t>
        </is>
      </c>
      <c r="C45" s="13" t="n">
        <v>4</v>
      </c>
      <c r="D45" s="13" t="n">
        <v>7</v>
      </c>
      <c r="E45" s="13" t="n">
        <v>4</v>
      </c>
      <c r="F45" s="13">
        <f>'RESUMEN'!E49</f>
        <v/>
      </c>
      <c r="G45" s="13">
        <f>IF(ISNUMBER(C45),F45-C45,F45)</f>
        <v/>
      </c>
      <c r="H45" s="10">
        <f>IF(G45=0,"conforme","corregir")</f>
        <v/>
      </c>
      <c r="I45" s="14" t="inlineStr">
        <is>
          <t>En la planta hay 4 casilleros (M42); el cuadro dice 7.</t>
        </is>
      </c>
    </row>
    <row r="46">
      <c r="A46" s="10" t="inlineStr">
        <is>
          <t>M44</t>
        </is>
      </c>
      <c r="B46" s="5" t="inlineStr">
        <is>
          <t>CREDENZA DE MELAMINA CON DOS PUERTAS, DOS DIVISIONES Y TRES GAVETAS 0.75 X 0.40 X 1.20 M</t>
        </is>
      </c>
      <c r="C46" s="15" t="n">
        <v>20</v>
      </c>
      <c r="D46" s="13" t="n">
        <v>0</v>
      </c>
      <c r="E46" s="13" t="n">
        <v>10</v>
      </c>
      <c r="F46" s="15">
        <f>'RESUMEN'!E50</f>
        <v/>
      </c>
      <c r="G46" s="15">
        <f>IF(ISNUMBER(C46),F46-C46,F46)</f>
        <v/>
      </c>
      <c r="H46" s="17">
        <f>IF(G46=0,"conforme","corregir")</f>
        <v/>
      </c>
      <c r="I46" s="14" t="inlineStr">
        <is>
          <t>El metrado original dice 20; el plano da 10. Credenzas M44 rotuladas en la planta del dormitorio de E-07 (una junto a cada cama); no figuran en el cuadro, que pone armarios M37.</t>
        </is>
      </c>
    </row>
    <row r="47">
      <c r="A47" s="10" t="inlineStr">
        <is>
          <t>M51</t>
        </is>
      </c>
      <c r="B47" s="5" t="inlineStr">
        <is>
          <t>ESTANTE METÁLICO RANURADO CON CUATRO DIVISIONES 0.90 X 0.45 X 1.80 M</t>
        </is>
      </c>
      <c r="C47" s="13" t="n">
        <v>35</v>
      </c>
      <c r="D47" s="13" t="n">
        <v>35</v>
      </c>
      <c r="E47" s="13" t="n">
        <v>35</v>
      </c>
      <c r="F47" s="13">
        <f>'RESUMEN'!E51</f>
        <v/>
      </c>
      <c r="G47" s="13">
        <f>IF(ISNUMBER(C47),F47-C47,F47)</f>
        <v/>
      </c>
      <c r="H47" s="10">
        <f>IF(G47=0,"conforme","corregir")</f>
        <v/>
      </c>
      <c r="I47" s="14" t="inlineStr"/>
    </row>
    <row r="48">
      <c r="A48" s="10" t="inlineStr">
        <is>
          <t>M52</t>
        </is>
      </c>
      <c r="B48" s="5" t="inlineStr">
        <is>
          <t>ESTANTE DE ACERO INOXIDABLE CON CUATRO DIVISIONES CON BANDEJA 0.60 X 0.60 X 1.80 M</t>
        </is>
      </c>
      <c r="C48" s="13" t="n">
        <v>4</v>
      </c>
      <c r="D48" s="13" t="n">
        <v>4</v>
      </c>
      <c r="E48" s="13" t="n">
        <v>4</v>
      </c>
      <c r="F48" s="13">
        <f>'RESUMEN'!E52</f>
        <v/>
      </c>
      <c r="G48" s="13">
        <f>IF(ISNUMBER(C48),F48-C48,F48)</f>
        <v/>
      </c>
      <c r="H48" s="10">
        <f>IF(G48=0,"conforme","corregir")</f>
        <v/>
      </c>
      <c r="I48" s="14" t="inlineStr"/>
    </row>
    <row r="49">
      <c r="A49" s="10" t="inlineStr">
        <is>
          <t>M54</t>
        </is>
      </c>
      <c r="B49" s="5" t="inlineStr">
        <is>
          <t>EXHIBIDOR DE LIBROS DE MELAMINA CON DIVISIONES ESCALONADAS 0.85 X 0.40 X 1.20 M</t>
        </is>
      </c>
      <c r="C49" s="13" t="n">
        <v>1</v>
      </c>
      <c r="D49" s="13" t="n">
        <v>1</v>
      </c>
      <c r="E49" s="13" t="n">
        <v>1</v>
      </c>
      <c r="F49" s="13">
        <f>'RESUMEN'!E53</f>
        <v/>
      </c>
      <c r="G49" s="13">
        <f>IF(ISNUMBER(C49),F49-C49,F49)</f>
        <v/>
      </c>
      <c r="H49" s="10">
        <f>IF(G49=0,"conforme","corregir")</f>
        <v/>
      </c>
      <c r="I49" s="14" t="inlineStr"/>
    </row>
    <row r="50">
      <c r="A50" s="10" t="inlineStr">
        <is>
          <t>M55</t>
        </is>
      </c>
      <c r="B50" s="5" t="inlineStr">
        <is>
          <t>CAMA CON CABECERA DE 0.90 X 1.90 M</t>
        </is>
      </c>
      <c r="C50" s="13" t="n">
        <v>45</v>
      </c>
      <c r="D50" s="13" t="n">
        <v>45</v>
      </c>
      <c r="E50" s="13" t="n">
        <v>45</v>
      </c>
      <c r="F50" s="13">
        <f>'RESUMEN'!E54</f>
        <v/>
      </c>
      <c r="G50" s="13">
        <f>IF(ISNUMBER(C50),F50-C50,F50)</f>
        <v/>
      </c>
      <c r="H50" s="10">
        <f>IF(G50=0,"conforme","corregir")</f>
        <v/>
      </c>
      <c r="I50" s="14" t="inlineStr"/>
    </row>
    <row r="51">
      <c r="A51" s="10" t="inlineStr">
        <is>
          <t>M56</t>
        </is>
      </c>
      <c r="B51" s="5" t="inlineStr">
        <is>
          <t>MUEBLE BAJO DE MELAMINA PARA EL GUARDADO DE MOCHILA CON 2 DIVISIONES 0.60 X 0.40 X 1.00 M</t>
        </is>
      </c>
      <c r="C51" s="13" t="n">
        <v>5</v>
      </c>
      <c r="D51" s="13" t="n">
        <v>1</v>
      </c>
      <c r="E51" s="13" t="n">
        <v>5</v>
      </c>
      <c r="F51" s="13">
        <f>'RESUMEN'!E55</f>
        <v/>
      </c>
      <c r="G51" s="13">
        <f>IF(ISNUMBER(C51),F51-C51,F51)</f>
        <v/>
      </c>
      <c r="H51" s="10">
        <f>IF(G51=0,"conforme","corregir")</f>
        <v/>
      </c>
      <c r="I51" s="14" t="inlineStr">
        <is>
          <t>En la planta hay 5 muebles para mochilas (M56); el cuadro dice 1.</t>
        </is>
      </c>
    </row>
    <row r="52">
      <c r="A52" s="10" t="inlineStr">
        <is>
          <t>M57</t>
        </is>
      </c>
      <c r="B52" s="5" t="inlineStr">
        <is>
          <t>MUEBLE BAJO DE MELAMINA CON 2 PUERTAS DOS DIVISIONES HORIZONTALES 0.60 X 1.20X 1.00 M</t>
        </is>
      </c>
      <c r="C52" s="13" t="n">
        <v>1</v>
      </c>
      <c r="D52" s="13" t="n">
        <v>1</v>
      </c>
      <c r="E52" s="13" t="n">
        <v>1</v>
      </c>
      <c r="F52" s="13">
        <f>'RESUMEN'!E56</f>
        <v/>
      </c>
      <c r="G52" s="13">
        <f>IF(ISNUMBER(C52),F52-C52,F52)</f>
        <v/>
      </c>
      <c r="H52" s="10">
        <f>IF(G52=0,"conforme","corregir")</f>
        <v/>
      </c>
      <c r="I52" s="14" t="inlineStr"/>
    </row>
    <row r="53">
      <c r="A53" s="10" t="inlineStr">
        <is>
          <t>M60</t>
        </is>
      </c>
      <c r="B53" s="5" t="inlineStr">
        <is>
          <t>PAPELERA DE PLASTICO CON PEDAL</t>
        </is>
      </c>
      <c r="C53" s="13" t="n">
        <v>27</v>
      </c>
      <c r="D53" s="13" t="n">
        <v>27</v>
      </c>
      <c r="E53" s="13" t="n">
        <v>27</v>
      </c>
      <c r="F53" s="13">
        <f>'RESUMEN'!E57</f>
        <v/>
      </c>
      <c r="G53" s="13">
        <f>IF(ISNUMBER(C53),F53-C53,F53)</f>
        <v/>
      </c>
      <c r="H53" s="10">
        <f>IF(G53=0,"conforme","corregir")</f>
        <v/>
      </c>
      <c r="I53" s="14" t="inlineStr"/>
    </row>
    <row r="54">
      <c r="A54" s="10" t="inlineStr">
        <is>
          <t>M61</t>
        </is>
      </c>
      <c r="B54" s="5" t="inlineStr">
        <is>
          <t>VELADOR DE 1 GAVETA 0.40X0.50X0.60M</t>
        </is>
      </c>
      <c r="C54" s="13" t="n">
        <v>8</v>
      </c>
      <c r="D54" s="13" t="n">
        <v>8</v>
      </c>
      <c r="E54" s="13" t="n">
        <v>8</v>
      </c>
      <c r="F54" s="13">
        <f>'RESUMEN'!E58</f>
        <v/>
      </c>
      <c r="G54" s="13">
        <f>IF(ISNUMBER(C54),F54-C54,F54)</f>
        <v/>
      </c>
      <c r="H54" s="10">
        <f>IF(G54=0,"conforme","corregir")</f>
        <v/>
      </c>
      <c r="I54" s="14" t="inlineStr"/>
    </row>
    <row r="55">
      <c r="A55" s="10" t="inlineStr">
        <is>
          <t>M62</t>
        </is>
      </c>
      <c r="B55" s="5" t="inlineStr">
        <is>
          <t>CESTO BOTA PAPELES DE ACERO CON PEDAL</t>
        </is>
      </c>
      <c r="C55" s="15" t="n">
        <v>21</v>
      </c>
      <c r="D55" s="13" t="n">
        <v>21</v>
      </c>
      <c r="E55" s="13" t="n">
        <v>22</v>
      </c>
      <c r="F55" s="15">
        <f>'RESUMEN'!E59</f>
        <v/>
      </c>
      <c r="G55" s="15">
        <f>IF(ISNUMBER(C55),F55-C55,F55)</f>
        <v/>
      </c>
      <c r="H55" s="17">
        <f>IF(G55=0,"conforme","corregir")</f>
        <v/>
      </c>
      <c r="I55" s="14" t="inlineStr">
        <is>
          <t>El metrado original dice 21; el plano da 22. La planta de E-01 tiene 11 cestos M62 rotulados y los cuadros suman 10; el cuadro de secretaría y sala de espera no trae cesto.</t>
        </is>
      </c>
    </row>
    <row r="56">
      <c r="A56" s="10" t="inlineStr">
        <is>
          <t>M63</t>
        </is>
      </c>
      <c r="B56" s="5" t="inlineStr">
        <is>
          <t>SOFÁ DE 3 CUERPOS 0.55 X 1.80 X 0.44 M</t>
        </is>
      </c>
      <c r="C56" s="15" t="n">
        <v>6</v>
      </c>
      <c r="D56" s="13" t="n">
        <v>4</v>
      </c>
      <c r="E56" s="13" t="n">
        <v>4</v>
      </c>
      <c r="F56" s="15">
        <f>'RESUMEN'!E60</f>
        <v/>
      </c>
      <c r="G56" s="15">
        <f>IF(ISNUMBER(C56),F56-C56,F56)</f>
        <v/>
      </c>
      <c r="H56" s="17">
        <f>IF(G56=0,"conforme","corregir")</f>
        <v/>
      </c>
      <c r="I56" s="14" t="inlineStr">
        <is>
          <t>El metrado original dice 6; el plano da 4. Descripción del original: "CAMILLA METALICA RECLINABLE CON RESPALDO Y RUEDAS 1.80 X 0.60 X 0.70 M.".</t>
        </is>
      </c>
    </row>
    <row r="57">
      <c r="A57" s="10" t="inlineStr">
        <is>
          <t>M64</t>
        </is>
      </c>
      <c r="B57" s="5" t="inlineStr">
        <is>
          <t>CANASTILLA MOVIL CON RUEDAS 1.00 X 0.80 X 1.00</t>
        </is>
      </c>
      <c r="C57" s="13" t="n">
        <v>1</v>
      </c>
      <c r="D57" s="13" t="n">
        <v>1</v>
      </c>
      <c r="E57" s="13" t="n">
        <v>1</v>
      </c>
      <c r="F57" s="13">
        <f>'RESUMEN'!E61</f>
        <v/>
      </c>
      <c r="G57" s="13">
        <f>IF(ISNUMBER(C57),F57-C57,F57)</f>
        <v/>
      </c>
      <c r="H57" s="10">
        <f>IF(G57=0,"conforme","corregir")</f>
        <v/>
      </c>
      <c r="I57" s="14" t="inlineStr"/>
    </row>
    <row r="58">
      <c r="A58" s="10" t="inlineStr">
        <is>
          <t>M65</t>
        </is>
      </c>
      <c r="B58" s="5" t="inlineStr">
        <is>
          <t>CAMILLA METALICA RECLINABLE CON RESPALDO Y RUEDAS 1.80 X 0.60 X 0.70 M</t>
        </is>
      </c>
      <c r="C58" s="15" t="inlineStr">
        <is>
          <t>—</t>
        </is>
      </c>
      <c r="D58" s="13" t="n">
        <v>2</v>
      </c>
      <c r="E58" s="13" t="n">
        <v>2</v>
      </c>
      <c r="F58" s="15">
        <f>'RESUMEN'!E62</f>
        <v/>
      </c>
      <c r="G58" s="15">
        <f>IF(ISNUMBER(C58),F58-C58,F58)</f>
        <v/>
      </c>
      <c r="H58" s="17">
        <f>IF(G58=0,"conforme","corregir")</f>
        <v/>
      </c>
      <c r="I58" s="14" t="inlineStr">
        <is>
          <t>No figura en el metrado original.</t>
        </is>
      </c>
    </row>
    <row r="59">
      <c r="A59" s="10" t="inlineStr">
        <is>
          <t>M67</t>
        </is>
      </c>
      <c r="B59" s="5" t="inlineStr">
        <is>
          <t>ESCALERA METÁLICA CON DOS PELDAÑOS 0.40 X 0.40 X 0.36 M</t>
        </is>
      </c>
      <c r="C59" s="13" t="n">
        <v>2</v>
      </c>
      <c r="D59" s="13" t="n">
        <v>2</v>
      </c>
      <c r="E59" s="13" t="n">
        <v>2</v>
      </c>
      <c r="F59" s="13">
        <f>'RESUMEN'!E63</f>
        <v/>
      </c>
      <c r="G59" s="13">
        <f>IF(ISNUMBER(C59),F59-C59,F59)</f>
        <v/>
      </c>
      <c r="H59" s="10">
        <f>IF(G59=0,"conforme","corregir")</f>
        <v/>
      </c>
      <c r="I59" s="14" t="inlineStr"/>
    </row>
    <row r="60">
      <c r="A60" s="10" t="inlineStr">
        <is>
          <t>M68</t>
        </is>
      </c>
      <c r="B60" s="5" t="inlineStr">
        <is>
          <t>PARIHUELA DE MADERA 0.90 X 0.50 X 0.20 M</t>
        </is>
      </c>
      <c r="C60" s="13" t="n">
        <v>10</v>
      </c>
      <c r="D60" s="13" t="n">
        <v>10</v>
      </c>
      <c r="E60" s="13" t="n">
        <v>10</v>
      </c>
      <c r="F60" s="13">
        <f>'RESUMEN'!E64</f>
        <v/>
      </c>
      <c r="G60" s="13">
        <f>IF(ISNUMBER(C60),F60-C60,F60)</f>
        <v/>
      </c>
      <c r="H60" s="10">
        <f>IF(G60=0,"conforme","corregir")</f>
        <v/>
      </c>
      <c r="I60" s="14" t="inlineStr"/>
    </row>
    <row r="61">
      <c r="A61" s="10" t="inlineStr">
        <is>
          <t>M69</t>
        </is>
      </c>
      <c r="B61" s="5" t="inlineStr">
        <is>
          <t>PIZARRA ACRILICA 4.20X1.20 INC. ACCESORIOS DE FIJACION</t>
        </is>
      </c>
      <c r="C61" s="13" t="n">
        <v>2</v>
      </c>
      <c r="D61" s="13" t="n">
        <v>2</v>
      </c>
      <c r="E61" s="13" t="n">
        <v>2</v>
      </c>
      <c r="F61" s="13">
        <f>'RESUMEN'!E65</f>
        <v/>
      </c>
      <c r="G61" s="13">
        <f>IF(ISNUMBER(C61),F61-C61,F61)</f>
        <v/>
      </c>
      <c r="H61" s="10">
        <f>IF(G61=0,"conforme","corregir")</f>
        <v/>
      </c>
      <c r="I61" s="14" t="inlineStr"/>
    </row>
    <row r="62">
      <c r="A62" s="10" t="inlineStr">
        <is>
          <t>M70</t>
        </is>
      </c>
      <c r="B62" s="5" t="inlineStr">
        <is>
          <t>BOTIQUIN DE MADERA CON DOS DIVISIONES UNA PUERTA Y UNA MANIJA DE 0.30 X 0.15 X 0.40 M PARA PRIMEROS AUXILIOS INC. MEDICAMENTOS</t>
        </is>
      </c>
      <c r="C62" s="13" t="n">
        <v>2</v>
      </c>
      <c r="D62" s="13" t="n">
        <v>2</v>
      </c>
      <c r="E62" s="13" t="n">
        <v>2</v>
      </c>
      <c r="F62" s="13">
        <f>'RESUMEN'!E66</f>
        <v/>
      </c>
      <c r="G62" s="13">
        <f>IF(ISNUMBER(C62),F62-C62,F62)</f>
        <v/>
      </c>
      <c r="H62" s="10">
        <f>IF(G62=0,"conforme","corregir")</f>
        <v/>
      </c>
      <c r="I62" s="14" t="inlineStr"/>
    </row>
    <row r="63">
      <c r="A63" s="10" t="inlineStr">
        <is>
          <t>M71</t>
        </is>
      </c>
      <c r="B63" s="5" t="inlineStr">
        <is>
          <t>COCHE MULTIUSOS MOVIL DE ACERO INOXIDABLE 0.80 X 0.40 X 0.90 M</t>
        </is>
      </c>
      <c r="C63" s="13" t="n">
        <v>1</v>
      </c>
      <c r="D63" s="13" t="n">
        <v>1</v>
      </c>
      <c r="E63" s="13" t="n">
        <v>1</v>
      </c>
      <c r="F63" s="13">
        <f>'RESUMEN'!E67</f>
        <v/>
      </c>
      <c r="G63" s="13">
        <f>IF(ISNUMBER(C63),F63-C63,F63)</f>
        <v/>
      </c>
      <c r="H63" s="10">
        <f>IF(G63=0,"conforme","corregir")</f>
        <v/>
      </c>
      <c r="I63" s="14" t="inlineStr"/>
    </row>
    <row r="64">
      <c r="A64" s="10" t="inlineStr">
        <is>
          <t>M73</t>
        </is>
      </c>
      <c r="B64" s="5" t="inlineStr">
        <is>
          <t>ESTACIÓN DE SERVIDO CON TRES BANDEJAS, UNA PUERTA Y UNA CUBIERTA 1.20 X 0.70 X 0.90 M</t>
        </is>
      </c>
      <c r="C64" s="13" t="n">
        <v>1</v>
      </c>
      <c r="D64" s="13" t="n">
        <v>0</v>
      </c>
      <c r="E64" s="13" t="n">
        <v>1</v>
      </c>
      <c r="F64" s="13">
        <f>'RESUMEN'!E68</f>
        <v/>
      </c>
      <c r="G64" s="13">
        <f>IF(ISNUMBER(C64),F64-C64,F64)</f>
        <v/>
      </c>
      <c r="H64" s="10">
        <f>IF(G64=0,"conforme","corregir")</f>
        <v/>
      </c>
      <c r="I64" s="14" t="inlineStr">
        <is>
          <t>La estación de servido (M73) está dibujada en el comedor y no figura en su cuadro.</t>
        </is>
      </c>
    </row>
    <row r="65">
      <c r="A65" s="10" t="inlineStr">
        <is>
          <t>M75</t>
        </is>
      </c>
      <c r="B65" s="5" t="inlineStr">
        <is>
          <t>CONTENEDOR CON TAPA PARA RESIDUOS SOLIDOS 0.80X1.00X1.00 M</t>
        </is>
      </c>
      <c r="C65" s="13" t="n">
        <v>5</v>
      </c>
      <c r="D65" s="13" t="n">
        <v>7</v>
      </c>
      <c r="E65" s="13" t="n">
        <v>5</v>
      </c>
      <c r="F65" s="13">
        <f>'RESUMEN'!E69</f>
        <v/>
      </c>
      <c r="G65" s="13">
        <f>IF(ISNUMBER(C65),F65-C65,F65)</f>
        <v/>
      </c>
      <c r="H65" s="10">
        <f>IF(G65=0,"conforme","corregir")</f>
        <v/>
      </c>
      <c r="I65" s="14" t="inlineStr">
        <is>
          <t>En la planta hay 2 contenedores (M75); el cuadro dice 4.</t>
        </is>
      </c>
    </row>
    <row r="66">
      <c r="A66" s="10" t="inlineStr">
        <is>
          <t>M76</t>
        </is>
      </c>
      <c r="B66" s="5" t="inlineStr">
        <is>
          <t>DISPENSADOR DE PAPEL HIGIÉNICO DE 0.10 X 0.14 X 0.12 M</t>
        </is>
      </c>
      <c r="C66" s="13" t="n">
        <v>33</v>
      </c>
      <c r="D66" s="13" t="n">
        <v>33</v>
      </c>
      <c r="E66" s="13" t="n">
        <v>33</v>
      </c>
      <c r="F66" s="13">
        <f>'RESUMEN'!E70</f>
        <v/>
      </c>
      <c r="G66" s="13">
        <f>IF(ISNUMBER(C66),F66-C66,F66)</f>
        <v/>
      </c>
      <c r="H66" s="10">
        <f>IF(G66=0,"conforme","corregir")</f>
        <v/>
      </c>
      <c r="I66" s="14" t="inlineStr"/>
    </row>
    <row r="67">
      <c r="A67" s="10" t="inlineStr">
        <is>
          <t>M77</t>
        </is>
      </c>
      <c r="B67" s="5" t="inlineStr">
        <is>
          <t>DISPENSADOR DE PAPEL TOALLA INTERFOLIADO DE 0.26 X 0.28 X 0.10 M</t>
        </is>
      </c>
      <c r="C67" s="13" t="n">
        <v>35</v>
      </c>
      <c r="D67" s="13" t="n">
        <v>35</v>
      </c>
      <c r="E67" s="13" t="n">
        <v>35</v>
      </c>
      <c r="F67" s="13">
        <f>'RESUMEN'!E71</f>
        <v/>
      </c>
      <c r="G67" s="13">
        <f>IF(ISNUMBER(C67),F67-C67,F67)</f>
        <v/>
      </c>
      <c r="H67" s="10">
        <f>IF(G67=0,"conforme","corregir")</f>
        <v/>
      </c>
      <c r="I67" s="14" t="inlineStr"/>
    </row>
    <row r="68">
      <c r="A68" s="10" t="inlineStr">
        <is>
          <t>M78</t>
        </is>
      </c>
      <c r="B68" s="5" t="inlineStr">
        <is>
          <t>CAMA DE DOS PLAZAS (INCLUYE TARIMA)</t>
        </is>
      </c>
      <c r="C68" s="13" t="n">
        <v>4</v>
      </c>
      <c r="D68" s="13" t="n">
        <v>4</v>
      </c>
      <c r="E68" s="13" t="n">
        <v>4</v>
      </c>
      <c r="F68" s="13">
        <f>'RESUMEN'!E72</f>
        <v/>
      </c>
      <c r="G68" s="13">
        <f>IF(ISNUMBER(C68),F68-C68,F68)</f>
        <v/>
      </c>
      <c r="H68" s="10">
        <f>IF(G68=0,"conforme","corregir")</f>
        <v/>
      </c>
      <c r="I68" s="14" t="inlineStr"/>
    </row>
  </sheetData>
  <mergeCells count="8">
    <mergeCell ref="B7:I7"/>
    <mergeCell ref="B6:I6"/>
    <mergeCell ref="B2:I2"/>
    <mergeCell ref="A1:I1"/>
    <mergeCell ref="B3:I3"/>
    <mergeCell ref="B5:I5"/>
    <mergeCell ref="B8:I8"/>
    <mergeCell ref="B4:I4"/>
  </mergeCells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0" customWidth="1" min="4" max="4"/>
    <col width="52" customWidth="1" min="5" max="5"/>
  </cols>
  <sheetData>
    <row r="1" ht="24" customHeight="1">
      <c r="A1" s="1" t="inlineStr">
        <is>
          <t>VERIFICACIÓN DE IMPLEMENTOS: METRADO ORIGINAL FRENTE A LOS CUADROS DEL PLANO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  <c r="D2" s="4" t="n"/>
      <c r="E2" s="4" t="n"/>
    </row>
    <row r="3">
      <c r="A3" s="2" t="inlineStr">
        <is>
          <t>CUI</t>
        </is>
      </c>
      <c r="B3" s="5" t="inlineStr">
        <is>
          <t>N.° 2705619</t>
        </is>
      </c>
      <c r="C3" s="4" t="n"/>
      <c r="D3" s="4" t="n"/>
      <c r="E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  <c r="D4" s="4" t="n"/>
      <c r="E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  <c r="D5" s="4" t="n"/>
      <c r="E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  <c r="D6" s="4" t="n"/>
      <c r="E6" s="4" t="n"/>
    </row>
    <row r="7">
      <c r="A7" s="2" t="inlineStr">
        <is>
          <t>LÁMINAS</t>
        </is>
      </c>
      <c r="B7" s="5" t="inlineStr">
        <is>
          <t>MB-01 a MB-09 (equipamiento y mobiliario, escala 1/150)</t>
        </is>
      </c>
      <c r="C7" s="4" t="n"/>
      <c r="D7" s="4" t="n"/>
      <c r="E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  <c r="D8" s="4" t="n"/>
      <c r="E8" s="4" t="n"/>
    </row>
    <row r="10">
      <c r="A10" s="6" t="inlineStr">
        <is>
          <t>IMPLEMENTO</t>
        </is>
      </c>
      <c r="B10" s="6" t="inlineStr">
        <is>
          <t>METRADO ORIGINAL</t>
        </is>
      </c>
      <c r="C10" s="6" t="inlineStr">
        <is>
          <t>CUADROS DEL PLANO (ADOPTADO)</t>
        </is>
      </c>
      <c r="D10" s="6" t="inlineStr">
        <is>
          <t>ESTADO</t>
        </is>
      </c>
      <c r="E10" s="6" t="inlineStr">
        <is>
          <t>OBSERVACIÓN</t>
        </is>
      </c>
    </row>
    <row r="11">
      <c r="A11" s="5" t="inlineStr">
        <is>
          <t>BIDÓN DE OXIGENO MEDICINAL</t>
        </is>
      </c>
      <c r="B11" s="10" t="n">
        <v>1</v>
      </c>
      <c r="C11" s="10" t="n">
        <v>1</v>
      </c>
      <c r="D11" s="10" t="inlineStr">
        <is>
          <t>conforme</t>
        </is>
      </c>
      <c r="E11" s="5" t="inlineStr"/>
    </row>
    <row r="12">
      <c r="A12" s="5" t="inlineStr">
        <is>
          <t>TENSIOMETRO</t>
        </is>
      </c>
      <c r="B12" s="10" t="n">
        <v>1</v>
      </c>
      <c r="C12" s="10" t="n">
        <v>1</v>
      </c>
      <c r="D12" s="10" t="inlineStr">
        <is>
          <t>conforme</t>
        </is>
      </c>
      <c r="E12" s="5" t="inlineStr"/>
    </row>
    <row r="13">
      <c r="A13" s="5" t="inlineStr">
        <is>
          <t>TERMOMETRO DIGITAL</t>
        </is>
      </c>
      <c r="B13" s="10" t="n">
        <v>1</v>
      </c>
      <c r="C13" s="10" t="n">
        <v>1</v>
      </c>
      <c r="D13" s="10" t="inlineStr">
        <is>
          <t>conforme</t>
        </is>
      </c>
      <c r="E13" s="5" t="inlineStr"/>
    </row>
    <row r="14">
      <c r="A14" s="5" t="inlineStr">
        <is>
          <t>ESTETOSCOPIO</t>
        </is>
      </c>
      <c r="B14" s="10" t="n">
        <v>1</v>
      </c>
      <c r="C14" s="10" t="n">
        <v>1</v>
      </c>
      <c r="D14" s="10" t="inlineStr">
        <is>
          <t>conforme</t>
        </is>
      </c>
      <c r="E14" s="5" t="inlineStr"/>
    </row>
    <row r="15">
      <c r="A15" s="5" t="inlineStr">
        <is>
          <t>PISO ENCASTRABLE DE GOMA DE 25MM</t>
        </is>
      </c>
      <c r="B15" s="17" t="n">
        <v>10</v>
      </c>
      <c r="C15" s="17" t="n">
        <v>50</v>
      </c>
      <c r="D15" s="17" t="inlineStr">
        <is>
          <t>corregir</t>
        </is>
      </c>
      <c r="E15" s="5" t="inlineStr">
        <is>
          <t>El metrado original dice 10; el cuadro del plano, 50.</t>
        </is>
      </c>
    </row>
    <row r="16">
      <c r="A16" s="5" t="inlineStr">
        <is>
          <t>JUEGO DE COCINA</t>
        </is>
      </c>
      <c r="B16" s="10" t="n">
        <v>1</v>
      </c>
      <c r="C16" s="10" t="n">
        <v>1</v>
      </c>
      <c r="D16" s="10" t="inlineStr">
        <is>
          <t>conforme</t>
        </is>
      </c>
      <c r="E16" s="5" t="inlineStr"/>
    </row>
    <row r="17">
      <c r="A17" s="5" t="inlineStr">
        <is>
          <t>JUEGO DE LAVANDERIA</t>
        </is>
      </c>
      <c r="B17" s="10" t="n">
        <v>1</v>
      </c>
      <c r="C17" s="10" t="n">
        <v>1</v>
      </c>
      <c r="D17" s="10" t="inlineStr">
        <is>
          <t>conforme</t>
        </is>
      </c>
      <c r="E17" s="5" t="inlineStr"/>
    </row>
    <row r="18">
      <c r="A18" s="5" t="inlineStr">
        <is>
          <t>TOBOGAN CON ESCALADOR</t>
        </is>
      </c>
      <c r="B18" s="10" t="n">
        <v>1</v>
      </c>
      <c r="C18" s="10" t="n">
        <v>1</v>
      </c>
      <c r="D18" s="10" t="inlineStr">
        <is>
          <t>conforme</t>
        </is>
      </c>
      <c r="E18" s="5" t="inlineStr"/>
    </row>
    <row r="19">
      <c r="A19" s="5" t="inlineStr">
        <is>
          <t>PISCINA DE PELOTAS 150X33CM</t>
        </is>
      </c>
      <c r="B19" s="10" t="n">
        <v>1</v>
      </c>
      <c r="C19" s="10" t="n">
        <v>1</v>
      </c>
      <c r="D19" s="10" t="inlineStr">
        <is>
          <t>conforme</t>
        </is>
      </c>
      <c r="E19" s="5" t="inlineStr"/>
    </row>
    <row r="20">
      <c r="A20" s="5" t="inlineStr">
        <is>
          <t>JUEGO DE TEATRO PARA NIÑOS</t>
        </is>
      </c>
      <c r="B20" s="10" t="n">
        <v>1</v>
      </c>
      <c r="C20" s="10" t="n">
        <v>1</v>
      </c>
      <c r="D20" s="10" t="inlineStr">
        <is>
          <t>conforme</t>
        </is>
      </c>
      <c r="E20" s="5" t="inlineStr"/>
    </row>
    <row r="21">
      <c r="A21" s="5" t="inlineStr">
        <is>
          <t>COJINES CUADRADOS</t>
        </is>
      </c>
      <c r="B21" s="17" t="n">
        <v>4</v>
      </c>
      <c r="C21" s="17" t="n">
        <v>10</v>
      </c>
      <c r="D21" s="17" t="inlineStr">
        <is>
          <t>corregir</t>
        </is>
      </c>
      <c r="E21" s="5" t="inlineStr">
        <is>
          <t>El metrado original dice 4; el cuadro del plano, 10.</t>
        </is>
      </c>
    </row>
    <row r="22">
      <c r="A22" s="5" t="inlineStr">
        <is>
          <t>PELOTAS DE BASQUETBOL #7</t>
        </is>
      </c>
      <c r="B22" s="17" t="n">
        <v>24</v>
      </c>
      <c r="C22" s="17" t="n">
        <v>0</v>
      </c>
      <c r="D22" s="17" t="inlineStr">
        <is>
          <t>corregir</t>
        </is>
      </c>
      <c r="E22" s="5" t="inlineStr">
        <is>
          <t>No figura en los cuadros del plano.</t>
        </is>
      </c>
    </row>
    <row r="23">
      <c r="A23" s="5" t="inlineStr">
        <is>
          <t>PELOTAS DE BASQUETBOL #5</t>
        </is>
      </c>
      <c r="B23" s="17" t="n">
        <v>24</v>
      </c>
      <c r="C23" s="17" t="n">
        <v>0</v>
      </c>
      <c r="D23" s="17" t="inlineStr">
        <is>
          <t>corregir</t>
        </is>
      </c>
      <c r="E23" s="5" t="inlineStr">
        <is>
          <t>No figura en los cuadros del plano.</t>
        </is>
      </c>
    </row>
    <row r="24">
      <c r="A24" s="5" t="inlineStr">
        <is>
          <t>TORRE DE BASQUETBOL Y ARCO DE FUTSAL, INCLUYE TABLERO Y REDES</t>
        </is>
      </c>
      <c r="B24" s="17" t="n">
        <v>8</v>
      </c>
      <c r="C24" s="17" t="n">
        <v>0</v>
      </c>
      <c r="D24" s="17" t="inlineStr">
        <is>
          <t>corregir</t>
        </is>
      </c>
      <c r="E24" s="5" t="inlineStr">
        <is>
          <t>No figura en los cuadros del plano.</t>
        </is>
      </c>
    </row>
    <row r="25">
      <c r="A25" s="5" t="inlineStr">
        <is>
          <t>PELOTAS DE FUTSAL #5</t>
        </is>
      </c>
      <c r="B25" s="17" t="n">
        <v>6</v>
      </c>
      <c r="C25" s="17" t="n">
        <v>0</v>
      </c>
      <c r="D25" s="17" t="inlineStr">
        <is>
          <t>corregir</t>
        </is>
      </c>
      <c r="E25" s="5" t="inlineStr">
        <is>
          <t>No figura en los cuadros del plano.</t>
        </is>
      </c>
    </row>
    <row r="26">
      <c r="A26" s="5" t="inlineStr">
        <is>
          <t>PELOTAS DE FUTSAL #4</t>
        </is>
      </c>
      <c r="B26" s="17" t="n">
        <v>6</v>
      </c>
      <c r="C26" s="17" t="n">
        <v>0</v>
      </c>
      <c r="D26" s="17" t="inlineStr">
        <is>
          <t>corregir</t>
        </is>
      </c>
      <c r="E26" s="5" t="inlineStr">
        <is>
          <t>No figura en los cuadros del plano.</t>
        </is>
      </c>
    </row>
    <row r="27">
      <c r="A27" s="5" t="inlineStr">
        <is>
          <t>CONOS DE ENTRENAMIENTO</t>
        </is>
      </c>
      <c r="B27" s="17" t="n">
        <v>20</v>
      </c>
      <c r="C27" s="17" t="n">
        <v>0</v>
      </c>
      <c r="D27" s="17" t="inlineStr">
        <is>
          <t>corregir</t>
        </is>
      </c>
      <c r="E27" s="5" t="inlineStr">
        <is>
          <t>No figura en los cuadros del plano.</t>
        </is>
      </c>
    </row>
    <row r="28">
      <c r="A28" s="5" t="inlineStr">
        <is>
          <t>PELOTAS DE VÓLEY #5</t>
        </is>
      </c>
      <c r="B28" s="17" t="n">
        <v>6</v>
      </c>
      <c r="C28" s="17" t="n">
        <v>0</v>
      </c>
      <c r="D28" s="17" t="inlineStr">
        <is>
          <t>corregir</t>
        </is>
      </c>
      <c r="E28" s="5" t="inlineStr">
        <is>
          <t>No figura en los cuadros del plano.</t>
        </is>
      </c>
    </row>
    <row r="29">
      <c r="A29" s="5" t="inlineStr">
        <is>
          <t>KIT DE VÓLEY INCL/ NET Y PARANTES TELESCÓPICOS</t>
        </is>
      </c>
      <c r="B29" s="10" t="n">
        <v>1</v>
      </c>
      <c r="C29" s="10" t="n">
        <v>1</v>
      </c>
      <c r="D29" s="10" t="inlineStr">
        <is>
          <t>conforme</t>
        </is>
      </c>
      <c r="E29" s="5" t="inlineStr"/>
    </row>
    <row r="30">
      <c r="A30" s="5" t="inlineStr">
        <is>
          <t>TABURETE DE MADERA PARA GIMNASIA</t>
        </is>
      </c>
      <c r="B30" s="17" t="n">
        <v>2</v>
      </c>
      <c r="C30" s="17" t="n">
        <v>4</v>
      </c>
      <c r="D30" s="17" t="inlineStr">
        <is>
          <t>corregir</t>
        </is>
      </c>
      <c r="E30" s="5" t="inlineStr">
        <is>
          <t>El metrado original dice 2; el cuadro del plano, 4.</t>
        </is>
      </c>
    </row>
    <row r="31">
      <c r="A31" s="5" t="inlineStr">
        <is>
          <t>BARRA DE EQUILIBRIO</t>
        </is>
      </c>
      <c r="B31" s="17" t="n">
        <v>2</v>
      </c>
      <c r="C31" s="17" t="n">
        <v>0</v>
      </c>
      <c r="D31" s="17" t="inlineStr">
        <is>
          <t>corregir</t>
        </is>
      </c>
      <c r="E31" s="5" t="inlineStr">
        <is>
          <t>No figura en los cuadros del plano.</t>
        </is>
      </c>
    </row>
    <row r="32">
      <c r="A32" s="5" t="inlineStr">
        <is>
          <t>ULA ULA</t>
        </is>
      </c>
      <c r="B32" s="17" t="n">
        <v>15</v>
      </c>
      <c r="C32" s="17" t="n">
        <v>0</v>
      </c>
      <c r="D32" s="17" t="inlineStr">
        <is>
          <t>corregir</t>
        </is>
      </c>
      <c r="E32" s="5" t="inlineStr">
        <is>
          <t>No figura en los cuadros del plano.</t>
        </is>
      </c>
    </row>
    <row r="33">
      <c r="A33" s="5" t="inlineStr">
        <is>
          <t>PELOTA DE REBOTE</t>
        </is>
      </c>
      <c r="B33" s="17" t="n">
        <v>5</v>
      </c>
      <c r="C33" s="17" t="n">
        <v>0</v>
      </c>
      <c r="D33" s="17" t="inlineStr">
        <is>
          <t>corregir</t>
        </is>
      </c>
      <c r="E33" s="5" t="inlineStr">
        <is>
          <t>No figura en los cuadros del plano.</t>
        </is>
      </c>
    </row>
    <row r="34">
      <c r="A34" s="5" t="inlineStr">
        <is>
          <t>CINTA MÉTRICA</t>
        </is>
      </c>
      <c r="B34" s="17" t="n">
        <v>2</v>
      </c>
      <c r="C34" s="17" t="n">
        <v>0</v>
      </c>
      <c r="D34" s="17" t="inlineStr">
        <is>
          <t>corregir</t>
        </is>
      </c>
      <c r="E34" s="5" t="inlineStr">
        <is>
          <t>No figura en los cuadros del plano.</t>
        </is>
      </c>
    </row>
    <row r="35">
      <c r="A35" s="5" t="inlineStr">
        <is>
          <t>BALANZA ELECTRÓNICA</t>
        </is>
      </c>
      <c r="B35" s="17" t="n">
        <v>1</v>
      </c>
      <c r="C35" s="17" t="n">
        <v>0</v>
      </c>
      <c r="D35" s="17" t="inlineStr">
        <is>
          <t>corregir</t>
        </is>
      </c>
      <c r="E35" s="5" t="inlineStr">
        <is>
          <t>No figura en los cuadros del plano.</t>
        </is>
      </c>
    </row>
    <row r="36">
      <c r="A36" s="5" t="inlineStr">
        <is>
          <t>INFLADOR DE PIE PARA PELOTAS</t>
        </is>
      </c>
      <c r="B36" s="10" t="n">
        <v>2</v>
      </c>
      <c r="C36" s="10" t="n">
        <v>2</v>
      </c>
      <c r="D36" s="10" t="inlineStr">
        <is>
          <t>conforme</t>
        </is>
      </c>
      <c r="E36" s="5" t="inlineStr"/>
    </row>
    <row r="37">
      <c r="A37" s="5" t="inlineStr">
        <is>
          <t>COLCHONETAS SIMPLES FORRADO CON CUERO 1.50X0.50</t>
        </is>
      </c>
      <c r="B37" s="10" t="n">
        <v>30</v>
      </c>
      <c r="C37" s="10" t="n">
        <v>30</v>
      </c>
      <c r="D37" s="10" t="inlineStr">
        <is>
          <t>conforme</t>
        </is>
      </c>
      <c r="E37" s="5" t="inlineStr"/>
    </row>
    <row r="38">
      <c r="A38" s="5" t="inlineStr">
        <is>
          <t>FLEXABAND</t>
        </is>
      </c>
      <c r="B38" s="17" t="n">
        <v>10</v>
      </c>
      <c r="C38" s="17" t="n">
        <v>0</v>
      </c>
      <c r="D38" s="17" t="inlineStr">
        <is>
          <t>corregir</t>
        </is>
      </c>
      <c r="E38" s="5" t="inlineStr">
        <is>
          <t>No figura en los cuadros del plano.</t>
        </is>
      </c>
    </row>
    <row r="39">
      <c r="A39" s="5" t="inlineStr">
        <is>
          <t>TESTIMONIO DE RELEVO DE PVC</t>
        </is>
      </c>
      <c r="B39" s="17" t="n">
        <v>15</v>
      </c>
      <c r="C39" s="17" t="n">
        <v>5</v>
      </c>
      <c r="D39" s="17" t="inlineStr">
        <is>
          <t>corregir</t>
        </is>
      </c>
      <c r="E39" s="5" t="inlineStr">
        <is>
          <t>El metrado original dice 15; el cuadro del plano, 5.</t>
        </is>
      </c>
    </row>
    <row r="40">
      <c r="A40" s="5" t="inlineStr">
        <is>
          <t>CRONÓMETRO DIGITAL A PILAS</t>
        </is>
      </c>
      <c r="B40" s="17" t="n">
        <v>1</v>
      </c>
      <c r="C40" s="17" t="n">
        <v>0</v>
      </c>
      <c r="D40" s="17" t="inlineStr">
        <is>
          <t>corregir</t>
        </is>
      </c>
      <c r="E40" s="5" t="inlineStr">
        <is>
          <t>No figura en los cuadros del plano.</t>
        </is>
      </c>
    </row>
    <row r="41">
      <c r="A41" s="5" t="inlineStr">
        <is>
          <t>JUEGO DE AJEDREZ</t>
        </is>
      </c>
      <c r="B41" s="17" t="n">
        <v>6</v>
      </c>
      <c r="C41" s="17" t="n">
        <v>0</v>
      </c>
      <c r="D41" s="17" t="inlineStr">
        <is>
          <t>corregir</t>
        </is>
      </c>
      <c r="E41" s="5" t="inlineStr">
        <is>
          <t>No figura en los cuadros del plano.</t>
        </is>
      </c>
    </row>
    <row r="42">
      <c r="A42" s="5" t="inlineStr">
        <is>
          <t>LINTERNA DE LARGO ALCANCE</t>
        </is>
      </c>
      <c r="B42" s="17" t="n">
        <v>1</v>
      </c>
      <c r="C42" s="17" t="n">
        <v>0</v>
      </c>
      <c r="D42" s="17" t="inlineStr">
        <is>
          <t>corregir</t>
        </is>
      </c>
      <c r="E42" s="5" t="inlineStr">
        <is>
          <t>No figura en los cuadros del plano.</t>
        </is>
      </c>
    </row>
    <row r="43">
      <c r="A43" s="5" t="inlineStr">
        <is>
          <t>MEGÁFONO</t>
        </is>
      </c>
      <c r="B43" s="17" t="n">
        <v>1</v>
      </c>
      <c r="C43" s="17" t="n">
        <v>0</v>
      </c>
      <c r="D43" s="17" t="inlineStr">
        <is>
          <t>corregir</t>
        </is>
      </c>
      <c r="E43" s="5" t="inlineStr">
        <is>
          <t>No figura en los cuadros del plano.</t>
        </is>
      </c>
    </row>
    <row r="44">
      <c r="A44" s="5" t="inlineStr">
        <is>
          <t>CHALECO REFLECTIVO DE SEGURIDAD</t>
        </is>
      </c>
      <c r="B44" s="17" t="n">
        <v>1</v>
      </c>
      <c r="C44" s="17" t="n">
        <v>0</v>
      </c>
      <c r="D44" s="17" t="inlineStr">
        <is>
          <t>corregir</t>
        </is>
      </c>
      <c r="E44" s="5" t="inlineStr">
        <is>
          <t>No figura en los cuadros del plano.</t>
        </is>
      </c>
    </row>
    <row r="45">
      <c r="A45" s="5" t="inlineStr">
        <is>
          <t>AROS DE ALUMINIO</t>
        </is>
      </c>
      <c r="B45" s="17" t="inlineStr">
        <is>
          <t>—</t>
        </is>
      </c>
      <c r="C45" s="17" t="n">
        <v>30</v>
      </c>
      <c r="D45" s="17" t="inlineStr">
        <is>
          <t>corregir</t>
        </is>
      </c>
      <c r="E45" s="5" t="inlineStr">
        <is>
          <t>No figura en el metrado original.</t>
        </is>
      </c>
    </row>
    <row r="46">
      <c r="A46" s="5" t="inlineStr">
        <is>
          <t>BALA DE 1KG</t>
        </is>
      </c>
      <c r="B46" s="17" t="inlineStr">
        <is>
          <t>—</t>
        </is>
      </c>
      <c r="C46" s="17" t="n">
        <v>4</v>
      </c>
      <c r="D46" s="17" t="inlineStr">
        <is>
          <t>corregir</t>
        </is>
      </c>
      <c r="E46" s="5" t="inlineStr">
        <is>
          <t>No figura en el metrado original.</t>
        </is>
      </c>
    </row>
    <row r="47">
      <c r="A47" s="5" t="inlineStr">
        <is>
          <t>CODERA ESPUMA ERGONOMETRICA</t>
        </is>
      </c>
      <c r="B47" s="17" t="inlineStr">
        <is>
          <t>—</t>
        </is>
      </c>
      <c r="C47" s="17" t="n">
        <v>30</v>
      </c>
      <c r="D47" s="17" t="inlineStr">
        <is>
          <t>corregir</t>
        </is>
      </c>
      <c r="E47" s="5" t="inlineStr">
        <is>
          <t>No figura en el metrado original.</t>
        </is>
      </c>
    </row>
    <row r="48">
      <c r="A48" s="5" t="inlineStr">
        <is>
          <t>DISCO DE GOMA DE 1 KG</t>
        </is>
      </c>
      <c r="B48" s="17" t="inlineStr">
        <is>
          <t>—</t>
        </is>
      </c>
      <c r="C48" s="17" t="n">
        <v>4</v>
      </c>
      <c r="D48" s="17" t="inlineStr">
        <is>
          <t>corregir</t>
        </is>
      </c>
      <c r="E48" s="5" t="inlineStr">
        <is>
          <t>No figura en el metrado original.</t>
        </is>
      </c>
    </row>
    <row r="49">
      <c r="A49" s="5" t="inlineStr">
        <is>
          <t>GUANTES DE ENTRENAMIENTO</t>
        </is>
      </c>
      <c r="B49" s="17" t="inlineStr">
        <is>
          <t>—</t>
        </is>
      </c>
      <c r="C49" s="17" t="n">
        <v>6</v>
      </c>
      <c r="D49" s="17" t="inlineStr">
        <is>
          <t>corregir</t>
        </is>
      </c>
      <c r="E49" s="5" t="inlineStr">
        <is>
          <t>No figura en el metrado original.</t>
        </is>
      </c>
    </row>
    <row r="50">
      <c r="A50" s="5" t="inlineStr">
        <is>
          <t>GUANTES DE ESPUMA DE ALTO IMPACTO</t>
        </is>
      </c>
      <c r="B50" s="17" t="inlineStr">
        <is>
          <t>—</t>
        </is>
      </c>
      <c r="C50" s="17" t="n">
        <v>30</v>
      </c>
      <c r="D50" s="17" t="inlineStr">
        <is>
          <t>corregir</t>
        </is>
      </c>
      <c r="E50" s="5" t="inlineStr">
        <is>
          <t>No figura en el metrado original.</t>
        </is>
      </c>
    </row>
    <row r="51">
      <c r="A51" s="5" t="inlineStr">
        <is>
          <t>JABALINA DE 600 GR</t>
        </is>
      </c>
      <c r="B51" s="17" t="inlineStr">
        <is>
          <t>—</t>
        </is>
      </c>
      <c r="C51" s="17" t="n">
        <v>4</v>
      </c>
      <c r="D51" s="17" t="inlineStr">
        <is>
          <t>corregir</t>
        </is>
      </c>
      <c r="E51" s="5" t="inlineStr">
        <is>
          <t>No figura en el metrado original.</t>
        </is>
      </c>
    </row>
    <row r="52">
      <c r="A52" s="5" t="inlineStr">
        <is>
          <t>JABALINA DE 700 GR</t>
        </is>
      </c>
      <c r="B52" s="17" t="inlineStr">
        <is>
          <t>—</t>
        </is>
      </c>
      <c r="C52" s="17" t="n">
        <v>4</v>
      </c>
      <c r="D52" s="17" t="inlineStr">
        <is>
          <t>corregir</t>
        </is>
      </c>
      <c r="E52" s="5" t="inlineStr">
        <is>
          <t>No figura en el metrado original.</t>
        </is>
      </c>
    </row>
    <row r="53">
      <c r="A53" s="5" t="inlineStr">
        <is>
          <t>MICA PROTECTORA EN POLICARBONATO</t>
        </is>
      </c>
      <c r="B53" s="17" t="inlineStr">
        <is>
          <t>—</t>
        </is>
      </c>
      <c r="C53" s="17" t="n">
        <v>12</v>
      </c>
      <c r="D53" s="17" t="inlineStr">
        <is>
          <t>corregir</t>
        </is>
      </c>
      <c r="E53" s="5" t="inlineStr">
        <is>
          <t>No figura en el metrado original.</t>
        </is>
      </c>
    </row>
    <row r="54">
      <c r="A54" s="5" t="inlineStr">
        <is>
          <t>PELOTAS DE BASKET #6</t>
        </is>
      </c>
      <c r="B54" s="17" t="inlineStr">
        <is>
          <t>—</t>
        </is>
      </c>
      <c r="C54" s="17" t="n">
        <v>4</v>
      </c>
      <c r="D54" s="17" t="inlineStr">
        <is>
          <t>corregir</t>
        </is>
      </c>
      <c r="E54" s="5" t="inlineStr">
        <is>
          <t>No figura en el metrado original.</t>
        </is>
      </c>
    </row>
    <row r="55">
      <c r="A55" s="5" t="inlineStr">
        <is>
          <t>PELOTAS DE BASKET #7</t>
        </is>
      </c>
      <c r="B55" s="17" t="inlineStr">
        <is>
          <t>—</t>
        </is>
      </c>
      <c r="C55" s="17" t="n">
        <v>4</v>
      </c>
      <c r="D55" s="17" t="inlineStr">
        <is>
          <t>corregir</t>
        </is>
      </c>
      <c r="E55" s="5" t="inlineStr">
        <is>
          <t>No figura en el metrado original.</t>
        </is>
      </c>
    </row>
    <row r="56">
      <c r="A56" s="5" t="inlineStr">
        <is>
          <t>PELOTAS DE FUTBOL #5</t>
        </is>
      </c>
      <c r="B56" s="17" t="inlineStr">
        <is>
          <t>—</t>
        </is>
      </c>
      <c r="C56" s="17" t="n">
        <v>4</v>
      </c>
      <c r="D56" s="17" t="inlineStr">
        <is>
          <t>corregir</t>
        </is>
      </c>
      <c r="E56" s="5" t="inlineStr">
        <is>
          <t>No figura en el metrado original.</t>
        </is>
      </c>
    </row>
    <row r="57">
      <c r="A57" s="5" t="inlineStr">
        <is>
          <t>PELOTAS DE VOLEY #4</t>
        </is>
      </c>
      <c r="B57" s="17" t="inlineStr">
        <is>
          <t>—</t>
        </is>
      </c>
      <c r="C57" s="17" t="n">
        <v>4</v>
      </c>
      <c r="D57" s="17" t="inlineStr">
        <is>
          <t>corregir</t>
        </is>
      </c>
      <c r="E57" s="5" t="inlineStr">
        <is>
          <t>No figura en el metrado original.</t>
        </is>
      </c>
    </row>
    <row r="58">
      <c r="A58" s="5" t="inlineStr">
        <is>
          <t>PERA DE BOX</t>
        </is>
      </c>
      <c r="B58" s="17" t="inlineStr">
        <is>
          <t>—</t>
        </is>
      </c>
      <c r="C58" s="17" t="n">
        <v>1</v>
      </c>
      <c r="D58" s="17" t="inlineStr">
        <is>
          <t>corregir</t>
        </is>
      </c>
      <c r="E58" s="5" t="inlineStr">
        <is>
          <t>No figura en el metrado original.</t>
        </is>
      </c>
    </row>
    <row r="59">
      <c r="A59" s="5" t="inlineStr">
        <is>
          <t>RIEL DE EQUILIBRIO</t>
        </is>
      </c>
      <c r="B59" s="17" t="inlineStr">
        <is>
          <t>—</t>
        </is>
      </c>
      <c r="C59" s="17" t="n">
        <v>2</v>
      </c>
      <c r="D59" s="17" t="inlineStr">
        <is>
          <t>corregir</t>
        </is>
      </c>
      <c r="E59" s="5" t="inlineStr">
        <is>
          <t>No figura en el metrado original.</t>
        </is>
      </c>
    </row>
    <row r="60">
      <c r="A60" s="5" t="inlineStr">
        <is>
          <t>SACO DE BOXEO, RELLENO DE TELA PRENSADA</t>
        </is>
      </c>
      <c r="B60" s="17" t="inlineStr">
        <is>
          <t>—</t>
        </is>
      </c>
      <c r="C60" s="17" t="n">
        <v>1</v>
      </c>
      <c r="D60" s="17" t="inlineStr">
        <is>
          <t>corregir</t>
        </is>
      </c>
      <c r="E60" s="5" t="inlineStr">
        <is>
          <t>No figura en el metrado original.</t>
        </is>
      </c>
    </row>
    <row r="61">
      <c r="A61" s="5" t="inlineStr">
        <is>
          <t>SOPORTE METALICO PARA PERA</t>
        </is>
      </c>
      <c r="B61" s="17" t="inlineStr">
        <is>
          <t>—</t>
        </is>
      </c>
      <c r="C61" s="17" t="n">
        <v>1</v>
      </c>
      <c r="D61" s="17" t="inlineStr">
        <is>
          <t>corregir</t>
        </is>
      </c>
      <c r="E61" s="5" t="inlineStr">
        <is>
          <t>No figura en el metrado original.</t>
        </is>
      </c>
    </row>
    <row r="62">
      <c r="A62" s="5" t="inlineStr">
        <is>
          <t>VALLAS DE OBSTACULO REGULABLE</t>
        </is>
      </c>
      <c r="B62" s="17" t="inlineStr">
        <is>
          <t>—</t>
        </is>
      </c>
      <c r="C62" s="17" t="n">
        <v>5</v>
      </c>
      <c r="D62" s="17" t="inlineStr">
        <is>
          <t>corregir</t>
        </is>
      </c>
      <c r="E62" s="5" t="inlineStr">
        <is>
          <t>No figura en el metrado original.</t>
        </is>
      </c>
    </row>
    <row r="63">
      <c r="A63" s="5" t="inlineStr">
        <is>
          <t>COJINES</t>
        </is>
      </c>
      <c r="B63" s="17" t="inlineStr">
        <is>
          <t>—</t>
        </is>
      </c>
      <c r="C63" s="17" t="n">
        <v>4</v>
      </c>
      <c r="D63" s="17" t="inlineStr">
        <is>
          <t>corregir</t>
        </is>
      </c>
      <c r="E63" s="5" t="inlineStr">
        <is>
          <t>No figura en el metrado original.</t>
        </is>
      </c>
    </row>
  </sheetData>
  <mergeCells count="8">
    <mergeCell ref="B8:E8"/>
    <mergeCell ref="B4:E4"/>
    <mergeCell ref="B6:E6"/>
    <mergeCell ref="B7:E7"/>
    <mergeCell ref="A1:E1"/>
    <mergeCell ref="B3:E3"/>
    <mergeCell ref="B5:E5"/>
    <mergeCell ref="B2:E2"/>
  </mergeCells>
  <pageMargins left="0.4" right="0.4" top="0.5" bottom="0.5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0" customWidth="1" min="3" max="3"/>
  </cols>
  <sheetData>
    <row r="1" ht="24" customHeight="1">
      <c r="A1" s="1" t="inlineStr">
        <is>
          <t>OBSERVACIONES AL PLANO Y AL METRADO ORIGINAL</t>
        </is>
      </c>
    </row>
    <row r="2" ht="36" customHeight="1">
      <c r="A2" s="2" t="inlineStr">
        <is>
          <t>PROYECTO</t>
        </is>
      </c>
      <c r="B2" s="3" t="inlineStr">
        <is>
          <t>“CREACIÓN DEL SERVICIO DE PROTECCIÓN INTEGRAL A NIÑAS, NIÑOS Y ADOLESCENTES SIN CUIDADOS PARENTALES O EN RIESGO DE PERDERLOS EN CENTRO DE ACOGIDA RESIDENCIAL - VARONES DISTRITO DE MORALES DE LA PROVINCIA DE SAN MARTÍN DEL DEPARTAMENTO DE SAN MARTÍN”</t>
        </is>
      </c>
      <c r="C2" s="4" t="n"/>
    </row>
    <row r="3">
      <c r="A3" s="2" t="inlineStr">
        <is>
          <t>CUI</t>
        </is>
      </c>
      <c r="B3" s="5" t="inlineStr">
        <is>
          <t>N.° 2705619</t>
        </is>
      </c>
      <c r="C3" s="4" t="n"/>
    </row>
    <row r="4">
      <c r="A4" s="2" t="inlineStr">
        <is>
          <t>PROPIETARIO</t>
        </is>
      </c>
      <c r="B4" s="5" t="inlineStr">
        <is>
          <t>Gobierno Regional San Martín - Gerencia Territorial Bajo Mayo</t>
        </is>
      </c>
      <c r="C4" s="4" t="n"/>
    </row>
    <row r="5">
      <c r="A5" s="2" t="inlineStr">
        <is>
          <t>UBICACIÓN</t>
        </is>
      </c>
      <c r="B5" s="5" t="inlineStr">
        <is>
          <t>Morales / San Martín / San Martín</t>
        </is>
      </c>
      <c r="C5" s="4" t="n"/>
    </row>
    <row r="6">
      <c r="A6" s="2" t="inlineStr">
        <is>
          <t>ESPECIALIDAD</t>
        </is>
      </c>
      <c r="B6" s="5" t="inlineStr">
        <is>
          <t>ARQUITECTURA - EQUIPAMIENTO Y MOBILIARIO</t>
        </is>
      </c>
      <c r="C6" s="4" t="n"/>
    </row>
    <row r="7">
      <c r="A7" s="2" t="inlineStr">
        <is>
          <t>LÁMINAS</t>
        </is>
      </c>
      <c r="B7" s="5" t="inlineStr">
        <is>
          <t>MB-01 a MB-09 (equipamiento y mobiliario, escala 1/150)</t>
        </is>
      </c>
      <c r="C7" s="4" t="n"/>
    </row>
    <row r="8">
      <c r="A8" s="2" t="inlineStr">
        <is>
          <t>FECHA</t>
        </is>
      </c>
      <c r="B8" s="5" t="inlineStr">
        <is>
          <t>SETIEMBRE 2026</t>
        </is>
      </c>
      <c r="C8" s="4" t="n"/>
    </row>
    <row r="10">
      <c r="A10" s="6" t="inlineStr">
        <is>
          <t>N.°</t>
        </is>
      </c>
      <c r="B10" s="6" t="inlineStr">
        <is>
          <t>DOCUMENTO</t>
        </is>
      </c>
      <c r="C10" s="6" t="inlineStr">
        <is>
          <t>OBSERVACIÓN</t>
        </is>
      </c>
    </row>
    <row r="11">
      <c r="A11" s="10" t="n">
        <v>1</v>
      </c>
      <c r="B11" s="5" t="inlineStr">
        <is>
          <t>Lámina MB-02</t>
        </is>
      </c>
      <c r="C11" s="5" t="inlineStr">
        <is>
          <t>El cuadro del almacén de implementos deportivos de E-02 está titulado "TÓPICO - EDIFICACIÓN 2".</t>
        </is>
      </c>
    </row>
    <row r="12">
      <c r="A12" s="10" t="n">
        <v>2</v>
      </c>
      <c r="B12" s="5" t="inlineStr">
        <is>
          <t>Lámina MB-08</t>
        </is>
      </c>
      <c r="C12" s="5" t="inlineStr">
        <is>
          <t>El cuadro del almacén de cocina y cuarto de gas (balones de gas y parihuelas) está titulado "OFICINA DE ENTREVISTA Y ESTAR - EDIFICACIÓN 6".</t>
        </is>
      </c>
    </row>
    <row r="13">
      <c r="A13" s="10" t="n">
        <v>3</v>
      </c>
      <c r="B13" s="5" t="inlineStr">
        <is>
          <t>Lámina MB-01</t>
        </is>
      </c>
      <c r="C13" s="5" t="inlineStr">
        <is>
          <t>El cuadro del tópico repite las 10 sillas de la sala de reuniones; la planta de E-01 rotula 38 sillas M07 en total, no 41.</t>
        </is>
      </c>
    </row>
    <row r="14">
      <c r="A14" s="10" t="n">
        <v>4</v>
      </c>
      <c r="B14" s="5" t="inlineStr">
        <is>
          <t>Lámina MB-04 a MB-07</t>
        </is>
      </c>
      <c r="C14" s="5" t="inlineStr">
        <is>
          <t>El cuadro del dormitorio de la madre repite las 5 computadoras del salón de estudios (en planta hay 1).</t>
        </is>
      </c>
    </row>
    <row r="15">
      <c r="A15" s="10" t="n">
        <v>5</v>
      </c>
      <c r="B15" s="5" t="inlineStr">
        <is>
          <t>Lámina MB-04 a MB-07</t>
        </is>
      </c>
      <c r="C15" s="5" t="inlineStr">
        <is>
          <t>El cuadro de la oficina de entrevista y estar pone 1 sofá de 2 cuerpos (M34); en planta hay 2.</t>
        </is>
      </c>
    </row>
    <row r="16">
      <c r="A16" s="10" t="n">
        <v>6</v>
      </c>
      <c r="B16" s="5" t="inlineStr">
        <is>
          <t>Lámina MB-04 a MB-07</t>
        </is>
      </c>
      <c r="C16" s="5" t="inlineStr">
        <is>
          <t>Los cuadros de dormitorio describen el código M55 como "mueble alto de melamina"; M55 es la cama con cabecera (dibujada).</t>
        </is>
      </c>
    </row>
    <row r="17">
      <c r="A17" s="10" t="n">
        <v>7</v>
      </c>
      <c r="B17" s="5" t="inlineStr">
        <is>
          <t>Lámina MB-04, MB-05</t>
        </is>
      </c>
      <c r="C17" s="5" t="inlineStr">
        <is>
          <t>El salón de estudios describe el código M28 como "escritorio con credenza móvil 1.50 x 0.80"; M28 es el escritorio con dos cajoneras 1.00 x 0.50 (dibujado).</t>
        </is>
      </c>
    </row>
    <row r="18">
      <c r="A18" s="10" t="n">
        <v>8</v>
      </c>
      <c r="B18" s="5" t="inlineStr">
        <is>
          <t>Lámina MB-07</t>
        </is>
      </c>
      <c r="C18" s="5" t="inlineStr">
        <is>
          <t>En el dormitorio de E-07 la planta rotula 10 credenzas M44 (una junto a cada cama) y el cuadro pone 10 armarios M37; se cuenta lo rotulado. Corregir el cuadro.</t>
        </is>
      </c>
    </row>
    <row r="19">
      <c r="A19" s="10" t="n">
        <v>9</v>
      </c>
      <c r="B19" s="5" t="inlineStr">
        <is>
          <t>Lámina MB-07</t>
        </is>
      </c>
      <c r="C19" s="5" t="inlineStr">
        <is>
          <t>El cuadro del taller de arte pone 1 mueble para mochilas (M56); en planta hay 5.</t>
        </is>
      </c>
    </row>
    <row r="20">
      <c r="A20" s="10" t="n">
        <v>10</v>
      </c>
      <c r="B20" s="5" t="inlineStr">
        <is>
          <t>Lámina MB-06</t>
        </is>
      </c>
      <c r="C20" s="5" t="inlineStr">
        <is>
          <t>En el salón de psicomotricidad de E-06 hay 10 cojines cuadrados (K78) dibujados y solo 7 rotulados; se metran los 10 del cuadro.</t>
        </is>
      </c>
    </row>
    <row r="21">
      <c r="A21" s="10" t="n">
        <v>11</v>
      </c>
      <c r="B21" s="5" t="inlineStr">
        <is>
          <t>Lámina MB-02</t>
        </is>
      </c>
      <c r="C21" s="5" t="inlineStr">
        <is>
          <t>El cuadro del almacén deportivo describe M51 como "exhibidor de libros"; M51 es el estante metálico ranurado.</t>
        </is>
      </c>
    </row>
    <row r="22">
      <c r="A22" s="10" t="n">
        <v>12</v>
      </c>
      <c r="B22" s="5" t="inlineStr">
        <is>
          <t>Lámina MB-01, MB-06</t>
        </is>
      </c>
      <c r="C22" s="5" t="inlineStr">
        <is>
          <t>Los códigos de implementos K32 y K33 se usan para dos cosas distintas (tópico: bidón de oxígeno y tensiómetro; psicomotricidad: piscina de pelotas y juego de teatro) y K78 para cojines cuadrados y piso encastrable.</t>
        </is>
      </c>
    </row>
    <row r="23">
      <c r="A23" s="10" t="n">
        <v>13</v>
      </c>
      <c r="B23" s="5" t="inlineStr">
        <is>
          <t>Lámina MB-08</t>
        </is>
      </c>
      <c r="C23" s="5" t="inlineStr">
        <is>
          <t>El SUM y la cocina tienen 6 extintores de 9 kg en sus cuadros; la lámina de señalización SE-S-01 tiene 4 en E-08 (2 PQS y 2 CO2). Los extintores se metran en evacuación y señalización.</t>
        </is>
      </c>
    </row>
    <row r="24">
      <c r="A24" s="10" t="n">
        <v>14</v>
      </c>
      <c r="B24" s="5" t="inlineStr">
        <is>
          <t>Lámina MB-08</t>
        </is>
      </c>
      <c r="C24" s="5" t="inlineStr">
        <is>
          <t>Cocina: el cuadro pone 7 casilleros (M42) y en planta hay 4. Comedor: la estación de servido (M73) está dibujada y no figura en el cuadro.</t>
        </is>
      </c>
    </row>
    <row r="25">
      <c r="A25" s="10" t="n">
        <v>15</v>
      </c>
      <c r="B25" s="5" t="inlineStr">
        <is>
          <t>Lámina MB-02</t>
        </is>
      </c>
      <c r="C25" s="5" t="inlineStr">
        <is>
          <t>Maestranza (E-10): el cuadro pone 4 contenedores (M75) y en planta hay 2.</t>
        </is>
      </c>
    </row>
    <row r="26">
      <c r="A26" s="10" t="n">
        <v>16</v>
      </c>
      <c r="B26" s="5" t="inlineStr">
        <is>
          <t>Metrado original</t>
        </is>
      </c>
      <c r="C26" s="5" t="inlineStr">
        <is>
          <t>La hoja "Hoja1" es el cuadro de equipamiento de otro proyecto (institución educativa de cuatro niveles con aulas 01 a 55, laboratorios y talleres); no corresponde al CAR Varones y no se usa.</t>
        </is>
      </c>
    </row>
    <row r="27">
      <c r="A27" s="10" t="n">
        <v>17</v>
      </c>
      <c r="B27" s="5" t="inlineStr">
        <is>
          <t>Metrado original</t>
        </is>
      </c>
      <c r="C27" s="5" t="inlineStr">
        <is>
          <t>Las cantidades de la hoja HR están escritas a mano, sin vínculo con los cuadros del plano.</t>
        </is>
      </c>
    </row>
    <row r="28">
      <c r="A28" s="10" t="n">
        <v>18</v>
      </c>
      <c r="B28" s="5" t="inlineStr">
        <is>
          <t>Metrado original</t>
        </is>
      </c>
      <c r="C28" s="5" t="inlineStr">
        <is>
          <t>Numeración: EQUIPOS y MOBILIARIO llevan el mismo código 03.01.02; se repite 03.01.02.04; M54 y M55 no tienen número; los ítems de la sala de psicomotricidad muestran #REF!; falta el 03.01.02.08 de equipos.</t>
        </is>
      </c>
    </row>
    <row r="29">
      <c r="A29" s="10" t="n">
        <v>19</v>
      </c>
      <c r="B29" s="5" t="inlineStr">
        <is>
          <t>Metrado original</t>
        </is>
      </c>
      <c r="C29" s="5" t="inlineStr">
        <is>
          <t>Faltan las sillas regulables M03 (88), las mesas regulables M04 (16), los sillones M32 (7), los maceteros M14 (2) y las camillas M65 (2); M63 figura como camilla (6) y en el plano es el sofá de 3 cuerpos (4).</t>
        </is>
      </c>
    </row>
    <row r="30">
      <c r="A30" s="10" t="n">
        <v>20</v>
      </c>
      <c r="B30" s="5" t="inlineStr">
        <is>
          <t>Metrado original</t>
        </is>
      </c>
      <c r="C30" s="5" t="inlineStr">
        <is>
          <t>Los implementos deportivos del original (pelotas de básquet #5 y #7 por 24, torres de básquet, futsal, ajedrez, etc.) no son los del cuadro del almacén deportivo de E-02; se adoptan los del plano.</t>
        </is>
      </c>
    </row>
    <row r="31">
      <c r="A31" s="10" t="n">
        <v>21</v>
      </c>
      <c r="B31" s="5" t="inlineStr">
        <is>
          <t>Metrado original</t>
        </is>
      </c>
      <c r="C31" s="5" t="inlineStr">
        <is>
          <t>Los implementos de la caseta de vigilancia (linterna, megáfono, chaleco) no tienen cuadro en el plano; si se requieren, deben agregarse al plano.</t>
        </is>
      </c>
    </row>
  </sheetData>
  <mergeCells count="8">
    <mergeCell ref="B6:C6"/>
    <mergeCell ref="B2:C2"/>
    <mergeCell ref="B7:C7"/>
    <mergeCell ref="A1:C1"/>
    <mergeCell ref="B3:C3"/>
    <mergeCell ref="B5:C5"/>
    <mergeCell ref="B8:C8"/>
    <mergeCell ref="B4:C4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Metrado de equipamiento y mobiliario - CAR Varones</dc:title>
  <dcterms:created xmlns:dcterms="http://purl.org/dc/terms/" xmlns:xsi="http://www.w3.org/2001/XMLSchema-instance" xsi:type="dcterms:W3CDTF">2026-10-27T17:38:44Z</dcterms:created>
  <dcterms:modified xmlns:dcterms="http://purl.org/dc/terms/" xmlns:xsi="http://www.w3.org/2001/XMLSchema-instance" xsi:type="dcterms:W3CDTF">2026-10-27T17:38:45Z</dcterms:modified>
</cp:coreProperties>
</file>