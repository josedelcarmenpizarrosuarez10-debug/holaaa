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RIZ" sheetId="1" state="visible" r:id="rId3"/>
    <sheet name="AREA DE INFLUENCIA" sheetId="2" state="visible" r:id="rId4"/>
    <sheet name="CONDICIONES CAR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<sst xmlns="http://schemas.openxmlformats.org/spreadsheetml/2006/main" count="153" uniqueCount="121">
  <si>
    <t xml:space="preserve">MATRIZ DE INCOMPATIBILIDADES DE UBICACIÓN (CUADRO DE LA R.V.M. N.° 068-2025-MINEDU)</t>
  </si>
  <si>
    <t xml:space="preserve">Proyecto: “CREACIÓN DEL SERVICIO DE PROTECCIÓN INTEGRAL A NIÑAS, NIÑOS Y ADOLESCENTES SIN CUIDADOS PARENTALES O EN RIESGO DE PERDERLOS EN CENTRO DE ACOGIDA RESIDENCIAL - VARONES DISTRITO DE MORALES DE LA PROVINCIA DE SAN MARTÍN DEL DEPARTAMENTO DE SAN MARTÍN”, CUI N.° 2705619</t>
  </si>
  <si>
    <t xml:space="preserve">N.°</t>
  </si>
  <si>
    <t xml:space="preserve">INCOMPATIBILIDAD POR CERCANÍA</t>
  </si>
  <si>
    <t xml:space="preserve">DISPOSITIVO LEGAL</t>
  </si>
  <si>
    <t xml:space="preserve">DISTANCIA MÍNIMA (m)</t>
  </si>
  <si>
    <t xml:space="preserve">CRITERIO (SIN DISTANCIA FIJA)</t>
  </si>
  <si>
    <t xml:space="preserve">¿EXISTE DENTRO DEL ÁREA DE INFLUENCIA?</t>
  </si>
  <si>
    <t xml:space="preserve">CONDICIÓN DEL PREDIO</t>
  </si>
  <si>
    <t xml:space="preserve">ESTADO</t>
  </si>
  <si>
    <t xml:space="preserve">Velatorios y cementerios</t>
  </si>
  <si>
    <t xml:space="preserve">D.S. N.° 003-94-SA, Reglamento de la Ley de Cementerios y Servicios Funerarios</t>
  </si>
  <si>
    <t xml:space="preserve">NO</t>
  </si>
  <si>
    <t xml:space="preserve">No existen velatorios ni cementerios a menos de 150 m del predio.</t>
  </si>
  <si>
    <t xml:space="preserve">Establecimientos de salud</t>
  </si>
  <si>
    <t xml:space="preserve">R.M. N.° 045-2015/MINSA, NTS N.° 113-MINSA/DGIEM-V.01 "Infraestructura y equipamiento de los establecimientos de salud del Primer Nivel de Atención", y R.M. N.° 862-2015/MINSA, NTS N.° 119-MINSA/DGIEM-V.01 "Infraestructura y equipamiento de los establecimientos de salud del Tercer Nivel de Atención"</t>
  </si>
  <si>
    <t xml:space="preserve">El establecimiento de salud de la localidad se encuentra a más de 100 m del predio y forma parte de los servicios de apoyo cercanos que requiere el CAR.</t>
  </si>
  <si>
    <t xml:space="preserve">Plantas envasadoras de gas licuado de petróleo (GLP)</t>
  </si>
  <si>
    <t xml:space="preserve">D.S. N.° 027-94-EM, Reglamento de Seguridad para Instalaciones y Transporte de Gas Licuado de Petróleo</t>
  </si>
  <si>
    <t xml:space="preserve">No existen plantas envasadoras de GLP en el entorno del predio.</t>
  </si>
  <si>
    <t xml:space="preserve">Estaciones de servicio, puestos de venta de combustibles (grifos), gasocentros y establecimientos de venta al público de GNV</t>
  </si>
  <si>
    <t xml:space="preserve">D.S. N.° 054-93-EM (modificado por el D.S. N.° 037-2007-EM), Reglamento de Seguridad para Establecimientos de Venta al Público de Combustibles Derivados de Hidrocarburos</t>
  </si>
  <si>
    <t xml:space="preserve">No existen estaciones de servicio, grifos ni gasocentros a menos de 50 m del predio.</t>
  </si>
  <si>
    <t xml:space="preserve">Locales de comercialización y consumo de bebidas alcohólicas</t>
  </si>
  <si>
    <t xml:space="preserve">Ley N.° 28681, Ley que regula la comercialización, consumo y publicidad de bebidas alcohólicas, y su Reglamento (D.S. N.° 012-2009-SA)</t>
  </si>
  <si>
    <t xml:space="preserve">No existen locales de venta y consumo de bebidas alcohólicas a menos de 100 m del predio, lo que favorece la tranquilidad y la seguridad de los niños y adolescentes residentes.</t>
  </si>
  <si>
    <t xml:space="preserve">Plantas de abastecimiento de combustibles líquidos y otros productos derivados de los hidrocarburos</t>
  </si>
  <si>
    <t xml:space="preserve">D.S. N.° 045-2001-EM, Reglamento para la Comercialización de Combustibles Líquidos y otros Productos Derivados de los Hidrocarburos</t>
  </si>
  <si>
    <t xml:space="preserve">No existen plantas de abastecimiento de combustibles ni de derivados de hidrocarburos.</t>
  </si>
  <si>
    <t xml:space="preserve">Fajas marginales de las fuentes de agua, naturales o artificiales</t>
  </si>
  <si>
    <t xml:space="preserve">D.S. N.° 001-2010-AG, Reglamento de la Ley N.° 29338, Ley de Recursos Hídricos</t>
  </si>
  <si>
    <t xml:space="preserve">Faja marginal de cada fuente de agua</t>
  </si>
  <si>
    <t xml:space="preserve">No existen fuentes de agua naturales ni artificiales colindantes; el predio no ocupa fajas marginales.</t>
  </si>
  <si>
    <t xml:space="preserve">Sistema de transporte de hidrocarburos por ductos</t>
  </si>
  <si>
    <t xml:space="preserve">D.S. N.° 081-2007-EM (modificado por el D.S. N.° 007-2012-EM), Reglamento de Transporte de Hidrocarburos por Ductos</t>
  </si>
  <si>
    <t xml:space="preserve">No existe sistema de transporte de hidrocarburos por ductos.</t>
  </si>
  <si>
    <t xml:space="preserve">Pozos para la exploración y explotación de hidrocarburos</t>
  </si>
  <si>
    <t xml:space="preserve">D.S. N.° 032-2004-EM, Reglamento de las Actividades de Exploración y Explotación de Hidrocarburos</t>
  </si>
  <si>
    <t xml:space="preserve">Área de las instalaciones de exploración y explotación</t>
  </si>
  <si>
    <t xml:space="preserve">No existen actividades de exploración ni de explotación de hidrocarburos.</t>
  </si>
  <si>
    <t xml:space="preserve">Aeródromos</t>
  </si>
  <si>
    <t xml:space="preserve">D.S. N.° 050-2001-MTC, Reglamento de la Ley de Aeronáutica Civil, y sus modificatorias</t>
  </si>
  <si>
    <t xml:space="preserve">Superficies limitadoras de obstáculos</t>
  </si>
  <si>
    <t xml:space="preserve">El aeropuerto de Tarapoto está a unos 3.5 km, al costado del eje de la pista 17/35 (unos 2.4 km al oeste), fuera de las superficies de aproximación y despegue; las edificaciones del CAR son de baja altura.</t>
  </si>
  <si>
    <t xml:space="preserve">Servidumbre de líneas aéreas de instalaciones eléctricas</t>
  </si>
  <si>
    <t xml:space="preserve">R.M. N.° 214-2011-MEM/DM, Código Nacional de Electricidad (Suministro 2011)</t>
  </si>
  <si>
    <t xml:space="preserve">Faja de servidumbre según la tensión de la línea</t>
  </si>
  <si>
    <t xml:space="preserve">No existen líneas aéreas cuya faja de servidumbre ocupe el predio.</t>
  </si>
  <si>
    <t xml:space="preserve">Servidumbre de electroductos</t>
  </si>
  <si>
    <t xml:space="preserve">Decreto Ley N.° 25844, Ley de Concesiones Eléctricas, y sus modificatorias</t>
  </si>
  <si>
    <t xml:space="preserve">Servidumbre impuesta sobre el predio</t>
  </si>
  <si>
    <t xml:space="preserve">No existen electroductos ni servidumbres eléctricas impuestas sobre el predio.</t>
  </si>
  <si>
    <t xml:space="preserve">Restricciones radioeléctricas en áreas de uso público próximas a una estación radioeléctrica</t>
  </si>
  <si>
    <t xml:space="preserve">R.M. N.° 120-2005-MTC/03, Norma Técnica sobre Restricciones Radioeléctricas en Áreas de Uso Público</t>
  </si>
  <si>
    <t xml:space="preserve">Límites de exposición de la norma</t>
  </si>
  <si>
    <t xml:space="preserve">No existen estaciones radioeléctricas que afecten el predio; se cumple la R.M. N.° 120-2005-MTC/03.</t>
  </si>
  <si>
    <t xml:space="preserve">Plantas de tratamiento de aguas residuales</t>
  </si>
  <si>
    <t xml:space="preserve">D.S. N.° 011-2006-VIVIENDA, Norma OS.090 "Plantas de tratamiento de aguas residuales" del RNE</t>
  </si>
  <si>
    <t xml:space="preserve">Distancia de la planta a la zona habitada</t>
  </si>
  <si>
    <t xml:space="preserve">No existen plantas de tratamiento de aguas residuales de terceros en el entorno del predio.</t>
  </si>
  <si>
    <t xml:space="preserve">Faja de terreno lateral y colindante al derecho de vía</t>
  </si>
  <si>
    <t xml:space="preserve">D.S. N.° 034-2008-MTC, Reglamento Nacional de Gestión de Infraestructura Vial</t>
  </si>
  <si>
    <t xml:space="preserve">Derecho de vía y faja de propiedad restringida</t>
  </si>
  <si>
    <t xml:space="preserve">El CAR no está en área restringida: su frente da a la carretera Oasis a través del área libre del predio matriz, y el cerco y las obras, incluido el colector pluvial frontal, quedan dentro del lindero.</t>
  </si>
  <si>
    <t xml:space="preserve">Zonas restringidas colindantes a las vías ferroviarias</t>
  </si>
  <si>
    <t xml:space="preserve">D.S. N.° 032-2005-MTC, Reglamento Nacional de Ferrocarriles</t>
  </si>
  <si>
    <t xml:space="preserve">Zona restringida de la vía férrea</t>
  </si>
  <si>
    <t xml:space="preserve">No existe vía ferroviaria en la zona.</t>
  </si>
  <si>
    <t xml:space="preserve">Casinos y máquinas tragamonedas</t>
  </si>
  <si>
    <t xml:space="preserve">Ley N.° 27153, Ley que regula la explotación de los juegos de casino y máquinas tragamonedas, y sus modificatorias</t>
  </si>
  <si>
    <t xml:space="preserve">Distancia de la ley y de la ordenanza municipal</t>
  </si>
  <si>
    <t xml:space="preserve">No existen casinos ni salas de máquinas tragamonedas en el entorno del predio.</t>
  </si>
  <si>
    <t xml:space="preserve">Hostales, peñas, discotecas, video-pubs, bingos y salas de billar</t>
  </si>
  <si>
    <t xml:space="preserve">Ley N.° 27972, Ley Orgánica de Municipalidades, art. 79 (organización del espacio físico y uso del suelo)</t>
  </si>
  <si>
    <t xml:space="preserve">Zonificación y licencias municipales</t>
  </si>
  <si>
    <t xml:space="preserve">No existen hostales, peñas, discotecas, video-pubs, bingos ni salas de billar en el entorno del predio; el entorno es tranquilo, como lo requiere un centro de acogida residencial.</t>
  </si>
  <si>
    <t xml:space="preserve">ÁREA DE INFLUENCIA MEDIDA DESDE EL LINDERO</t>
  </si>
  <si>
    <t xml:space="preserve">DISTANCIA (m)</t>
  </si>
  <si>
    <t xml:space="preserve">N.° DE INCOMPATIBILIDADES</t>
  </si>
  <si>
    <t xml:space="preserve">INCOMPATIBILIDADES</t>
  </si>
  <si>
    <t xml:space="preserve">Establecimientos de salud; Plantas envasadoras de gas licuado de petróleo (GLP); Locales de comercialización y consumo de bebidas alcohólicas; Plantas de abastecimiento de combustibles líquidos y otros productos derivados de los hidrocarburos</t>
  </si>
  <si>
    <t xml:space="preserve">Sin distancia fija</t>
  </si>
  <si>
    <t xml:space="preserve">Fajas marginales de las fuentes de agua, naturales o artificiales; Pozos para la exploración y explotación de hidrocarburos; Aeródromos; Servidumbre de líneas aéreas de instalaciones eléctricas; Servidumbre de electroductos; Restricciones radioeléctricas en áreas de uso público próximas a una estación radioeléctrica; Plantas de tratamiento de aguas residuales; Faja de terreno lateral y colindante al derecho de vía; Zonas restringidas colindantes a las vías ferroviarias; Casinos y máquinas tragamonedas; Hostales, peñas, discotecas, video-pubs, bingos y salas de billar</t>
  </si>
  <si>
    <t xml:space="preserve">CONDICIONES DE UBICACIÓN PROPIAS DEL CAR VARONES</t>
  </si>
  <si>
    <t xml:space="preserve">CONDICIÓN DE UBICACIÓN</t>
  </si>
  <si>
    <t xml:space="preserve">FUENTE</t>
  </si>
  <si>
    <t xml:space="preserve">¿EL PREDIO O EL PROYECTO LA SATISFACE?</t>
  </si>
  <si>
    <t xml:space="preserve">CÓMO LA CUMPLE</t>
  </si>
  <si>
    <t xml:space="preserve">Ubicación en zona compatible con la zonificación y los instrumentos de desarrollo urbano</t>
  </si>
  <si>
    <t xml:space="preserve">RNE A.090, art. 3; A.040, art. 7 a)</t>
  </si>
  <si>
    <t xml:space="preserve">SÍ</t>
  </si>
  <si>
    <t xml:space="preserve">Predio rural Los Mangos (partida registral N.° 05003469), de propiedad del Gobierno Regional de San Martín, destinado a la sede del CAR Varones, el CAR Mujeres y el Hogar de Refugio Temporal.</t>
  </si>
  <si>
    <t xml:space="preserve">Ubicación sin incompatibilidades de uso</t>
  </si>
  <si>
    <t xml:space="preserve">RNE A.040, art. 7 b)</t>
  </si>
  <si>
    <t xml:space="preserve">Cumple las 18 condiciones del Cuadro N.° 1.</t>
  </si>
  <si>
    <t xml:space="preserve">Vías de acceso con ingreso de vehículos de emergencia</t>
  </si>
  <si>
    <t xml:space="preserve">RNE A.040, art. 7 c)</t>
  </si>
  <si>
    <t xml:space="preserve">Acceso por la carretera Oasis, interconectada con la Av. Evitamiento y la carretera Polvorico, con portada de ingreso principal e ingreso vehicular al predio.</t>
  </si>
  <si>
    <t xml:space="preserve">Servicios básicos</t>
  </si>
  <si>
    <t xml:space="preserve">RNE A.040, art. 7 d)</t>
  </si>
  <si>
    <t xml:space="preserve">El proyecto contempla cisterna y tanque elevado, pozo séptico, subestación eléctrica, grupo electrógeno y drenaje pluvial.</t>
  </si>
  <si>
    <t xml:space="preserve">Sin estudio de impacto vial</t>
  </si>
  <si>
    <t xml:space="preserve">RNE A.090, art. 4</t>
  </si>
  <si>
    <t xml:space="preserve">La población del CAR (niños y adolescentes residentes y personal) es menor de 500 personas, por lo que no se exige estudio de impacto vial.</t>
  </si>
  <si>
    <t xml:space="preserve">Forma y pendiente del terreno</t>
  </si>
  <si>
    <t xml:space="preserve">R.V.M. N.° 208-2019, art. 8 a) y b)</t>
  </si>
  <si>
    <t xml:space="preserve">Terreno rectangular de 93.90 x 74.55 m (6,999.98 m²), de relieve relativamente plano (pendiente longitudinal del orden de 1 %).</t>
  </si>
  <si>
    <t xml:space="preserve">Programa completo dentro de los linderos y zona de seguridad interna</t>
  </si>
  <si>
    <t xml:space="preserve">R.V.M. N.° 208-2019, art. 8.1.1 y cuadro 2 (terreno tipo II)</t>
  </si>
  <si>
    <t xml:space="preserve">El terreno alberga dentro de sus linderos todo el programa arquitectónico del CAR, con la zona de seguridad dentro del lindero.</t>
  </si>
  <si>
    <t xml:space="preserve">Protección frente a lluvias intensas</t>
  </si>
  <si>
    <t xml:space="preserve">RNE OS.060 (drenaje pluvial urbano)</t>
  </si>
  <si>
    <t xml:space="preserve">Drenaje pluvial con canaletas, montantes, cunetas y colector frontal (láminas DPLV), dimensionado con la hidrología del expediente.</t>
  </si>
  <si>
    <t xml:space="preserve">RESUMEN DEL ANÁLISIS DE UBICACIÓN</t>
  </si>
  <si>
    <t xml:space="preserve">CONCEPTO</t>
  </si>
  <si>
    <t xml:space="preserve">EVALUADOS</t>
  </si>
  <si>
    <t xml:space="preserve">CUMPLE</t>
  </si>
  <si>
    <t xml:space="preserve">NO CUMPLE</t>
  </si>
  <si>
    <t xml:space="preserve">Cuadro N.° 1: incompatibilidades por cercanía</t>
  </si>
  <si>
    <t xml:space="preserve">Cuadro N.° 2: condiciones de ubicación del CAR</t>
  </si>
  <si>
    <t xml:space="preserve">RESULTADO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</si>
</sst>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7B1E2B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B1E2B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7B1E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2.35" hidden="false" customHeight="false" outlineLevel="0" collapsed="false">
      <c r="A5" s="4" t="n">
        <v>1</v>
      </c>
      <c r="B5" s="5" t="s">
        <v>10</v>
      </c>
      <c r="C5" s="5" t="s">
        <v>11</v>
      </c>
      <c r="D5" s="4" t="n">
        <v>150</v>
      </c>
      <c r="E5" s="5"/>
      <c r="F5" s="4" t="s">
        <v>12</v>
      </c>
      <c r="G5" s="5" t="s">
        <v>13</v>
      </c>
      <c r="H5" s="6" t="str">
        <f aca="false">IF(F5="NO","CUMPLE","NO CUMPLE")</f>
        <v>CUMPLE</v>
      </c>
    </row>
    <row r="6" customFormat="false" ht="43.25" hidden="false" customHeight="false" outlineLevel="0" collapsed="false">
      <c r="A6" s="4" t="n">
        <v>2</v>
      </c>
      <c r="B6" s="5" t="s">
        <v>14</v>
      </c>
      <c r="C6" s="5" t="s">
        <v>15</v>
      </c>
      <c r="D6" s="4" t="n">
        <v>100</v>
      </c>
      <c r="E6" s="5"/>
      <c r="F6" s="4" t="s">
        <v>12</v>
      </c>
      <c r="G6" s="5" t="s">
        <v>16</v>
      </c>
      <c r="H6" s="6" t="str">
        <f aca="false">IF(F6="NO","CUMPLE","NO CUMPLE")</f>
        <v>CUMPLE</v>
      </c>
    </row>
    <row r="7" customFormat="false" ht="22.35" hidden="false" customHeight="false" outlineLevel="0" collapsed="false">
      <c r="A7" s="4" t="n">
        <v>3</v>
      </c>
      <c r="B7" s="5" t="s">
        <v>17</v>
      </c>
      <c r="C7" s="5" t="s">
        <v>18</v>
      </c>
      <c r="D7" s="4" t="n">
        <v>100</v>
      </c>
      <c r="E7" s="5"/>
      <c r="F7" s="4" t="s">
        <v>12</v>
      </c>
      <c r="G7" s="5" t="s">
        <v>19</v>
      </c>
      <c r="H7" s="6" t="str">
        <f aca="false">IF(F7="NO","CUMPLE","NO CUMPLE")</f>
        <v>CUMPLE</v>
      </c>
    </row>
    <row r="8" customFormat="false" ht="32.8" hidden="false" customHeight="false" outlineLevel="0" collapsed="false">
      <c r="A8" s="4" t="n">
        <v>4</v>
      </c>
      <c r="B8" s="5" t="s">
        <v>20</v>
      </c>
      <c r="C8" s="5" t="s">
        <v>21</v>
      </c>
      <c r="D8" s="4" t="n">
        <v>50</v>
      </c>
      <c r="E8" s="5"/>
      <c r="F8" s="4" t="s">
        <v>12</v>
      </c>
      <c r="G8" s="5" t="s">
        <v>22</v>
      </c>
      <c r="H8" s="6" t="str">
        <f aca="false">IF(F8="NO","CUMPLE","NO CUMPLE")</f>
        <v>CUMPLE</v>
      </c>
    </row>
    <row r="9" customFormat="false" ht="32.8" hidden="false" customHeight="false" outlineLevel="0" collapsed="false">
      <c r="A9" s="4" t="n">
        <v>5</v>
      </c>
      <c r="B9" s="5" t="s">
        <v>23</v>
      </c>
      <c r="C9" s="5" t="s">
        <v>24</v>
      </c>
      <c r="D9" s="4" t="n">
        <v>100</v>
      </c>
      <c r="E9" s="5"/>
      <c r="F9" s="4" t="s">
        <v>12</v>
      </c>
      <c r="G9" s="5" t="s">
        <v>25</v>
      </c>
      <c r="H9" s="6" t="str">
        <f aca="false">IF(F9="NO","CUMPLE","NO CUMPLE")</f>
        <v>CUMPLE</v>
      </c>
    </row>
    <row r="10" customFormat="false" ht="22.35" hidden="false" customHeight="false" outlineLevel="0" collapsed="false">
      <c r="A10" s="4" t="n">
        <v>6</v>
      </c>
      <c r="B10" s="5" t="s">
        <v>26</v>
      </c>
      <c r="C10" s="5" t="s">
        <v>27</v>
      </c>
      <c r="D10" s="4" t="n">
        <v>100</v>
      </c>
      <c r="E10" s="5"/>
      <c r="F10" s="4" t="s">
        <v>12</v>
      </c>
      <c r="G10" s="5" t="s">
        <v>28</v>
      </c>
      <c r="H10" s="6" t="str">
        <f aca="false">IF(F10="NO","CUMPLE","NO CUMPLE")</f>
        <v>CUMPLE</v>
      </c>
    </row>
    <row r="11" customFormat="false" ht="22.35" hidden="false" customHeight="false" outlineLevel="0" collapsed="false">
      <c r="A11" s="4" t="n">
        <v>7</v>
      </c>
      <c r="B11" s="5" t="s">
        <v>29</v>
      </c>
      <c r="C11" s="5" t="s">
        <v>30</v>
      </c>
      <c r="D11" s="4"/>
      <c r="E11" s="5" t="s">
        <v>31</v>
      </c>
      <c r="F11" s="4" t="s">
        <v>12</v>
      </c>
      <c r="G11" s="5" t="s">
        <v>32</v>
      </c>
      <c r="H11" s="6" t="str">
        <f aca="false">IF(F11="NO","CUMPLE","NO CUMPLE")</f>
        <v>CUMPLE</v>
      </c>
    </row>
    <row r="12" customFormat="false" ht="22.35" hidden="false" customHeight="false" outlineLevel="0" collapsed="false">
      <c r="A12" s="4" t="n">
        <v>8</v>
      </c>
      <c r="B12" s="5" t="s">
        <v>33</v>
      </c>
      <c r="C12" s="5" t="s">
        <v>34</v>
      </c>
      <c r="D12" s="4" t="n">
        <v>200</v>
      </c>
      <c r="E12" s="5"/>
      <c r="F12" s="4" t="s">
        <v>12</v>
      </c>
      <c r="G12" s="5" t="s">
        <v>35</v>
      </c>
      <c r="H12" s="6" t="str">
        <f aca="false">IF(F12="NO","CUMPLE","NO CUMPLE")</f>
        <v>CUMPLE</v>
      </c>
    </row>
    <row r="13" customFormat="false" ht="22.35" hidden="false" customHeight="false" outlineLevel="0" collapsed="false">
      <c r="A13" s="4" t="n">
        <v>9</v>
      </c>
      <c r="B13" s="5" t="s">
        <v>36</v>
      </c>
      <c r="C13" s="5" t="s">
        <v>37</v>
      </c>
      <c r="D13" s="4"/>
      <c r="E13" s="5" t="s">
        <v>38</v>
      </c>
      <c r="F13" s="4" t="s">
        <v>12</v>
      </c>
      <c r="G13" s="5" t="s">
        <v>39</v>
      </c>
      <c r="H13" s="6" t="str">
        <f aca="false">IF(F13="NO","CUMPLE","NO CUMPLE")</f>
        <v>CUMPLE</v>
      </c>
    </row>
    <row r="14" customFormat="false" ht="32.8" hidden="false" customHeight="false" outlineLevel="0" collapsed="false">
      <c r="A14" s="4" t="n">
        <v>10</v>
      </c>
      <c r="B14" s="5" t="s">
        <v>40</v>
      </c>
      <c r="C14" s="5" t="s">
        <v>41</v>
      </c>
      <c r="D14" s="4"/>
      <c r="E14" s="5" t="s">
        <v>42</v>
      </c>
      <c r="F14" s="4" t="s">
        <v>12</v>
      </c>
      <c r="G14" s="5" t="s">
        <v>43</v>
      </c>
      <c r="H14" s="6" t="str">
        <f aca="false">IF(F14="NO","CUMPLE","NO CUMPLE")</f>
        <v>CUMPLE</v>
      </c>
    </row>
    <row r="15" customFormat="false" ht="22.35" hidden="false" customHeight="false" outlineLevel="0" collapsed="false">
      <c r="A15" s="4" t="n">
        <v>11</v>
      </c>
      <c r="B15" s="5" t="s">
        <v>44</v>
      </c>
      <c r="C15" s="5" t="s">
        <v>45</v>
      </c>
      <c r="D15" s="4"/>
      <c r="E15" s="5" t="s">
        <v>46</v>
      </c>
      <c r="F15" s="4" t="s">
        <v>12</v>
      </c>
      <c r="G15" s="5" t="s">
        <v>47</v>
      </c>
      <c r="H15" s="6" t="str">
        <f aca="false">IF(F15="NO","CUMPLE","NO CUMPLE")</f>
        <v>CUMPLE</v>
      </c>
    </row>
    <row r="16" customFormat="false" ht="15" hidden="false" customHeight="false" outlineLevel="0" collapsed="false">
      <c r="A16" s="4" t="n">
        <v>12</v>
      </c>
      <c r="B16" s="5" t="s">
        <v>48</v>
      </c>
      <c r="C16" s="5" t="s">
        <v>49</v>
      </c>
      <c r="D16" s="4"/>
      <c r="E16" s="5" t="s">
        <v>50</v>
      </c>
      <c r="F16" s="4" t="s">
        <v>12</v>
      </c>
      <c r="G16" s="5" t="s">
        <v>51</v>
      </c>
      <c r="H16" s="6" t="str">
        <f aca="false">IF(F16="NO","CUMPLE","NO CUMPLE")</f>
        <v>CUMPLE</v>
      </c>
    </row>
    <row r="17" customFormat="false" ht="22.35" hidden="false" customHeight="false" outlineLevel="0" collapsed="false">
      <c r="A17" s="4" t="n">
        <v>13</v>
      </c>
      <c r="B17" s="5" t="s">
        <v>52</v>
      </c>
      <c r="C17" s="5" t="s">
        <v>53</v>
      </c>
      <c r="D17" s="4"/>
      <c r="E17" s="5" t="s">
        <v>54</v>
      </c>
      <c r="F17" s="4" t="s">
        <v>12</v>
      </c>
      <c r="G17" s="5" t="s">
        <v>55</v>
      </c>
      <c r="H17" s="6" t="str">
        <f aca="false">IF(F17="NO","CUMPLE","NO CUMPLE")</f>
        <v>CUMPLE</v>
      </c>
    </row>
    <row r="18" customFormat="false" ht="22.35" hidden="false" customHeight="false" outlineLevel="0" collapsed="false">
      <c r="A18" s="4" t="n">
        <v>14</v>
      </c>
      <c r="B18" s="5" t="s">
        <v>56</v>
      </c>
      <c r="C18" s="5" t="s">
        <v>57</v>
      </c>
      <c r="D18" s="4"/>
      <c r="E18" s="5" t="s">
        <v>58</v>
      </c>
      <c r="F18" s="4" t="s">
        <v>12</v>
      </c>
      <c r="G18" s="5" t="s">
        <v>59</v>
      </c>
      <c r="H18" s="6" t="str">
        <f aca="false">IF(F18="NO","CUMPLE","NO CUMPLE")</f>
        <v>CUMPLE</v>
      </c>
    </row>
    <row r="19" customFormat="false" ht="32.8" hidden="false" customHeight="false" outlineLevel="0" collapsed="false">
      <c r="A19" s="4" t="n">
        <v>15</v>
      </c>
      <c r="B19" s="5" t="s">
        <v>60</v>
      </c>
      <c r="C19" s="5" t="s">
        <v>61</v>
      </c>
      <c r="D19" s="4"/>
      <c r="E19" s="5" t="s">
        <v>62</v>
      </c>
      <c r="F19" s="4" t="s">
        <v>12</v>
      </c>
      <c r="G19" s="5" t="s">
        <v>63</v>
      </c>
      <c r="H19" s="6" t="str">
        <f aca="false">IF(F19="NO","CUMPLE","NO CUMPLE")</f>
        <v>CUMPLE</v>
      </c>
    </row>
    <row r="20" customFormat="false" ht="15" hidden="false" customHeight="false" outlineLevel="0" collapsed="false">
      <c r="A20" s="4" t="n">
        <v>16</v>
      </c>
      <c r="B20" s="5" t="s">
        <v>64</v>
      </c>
      <c r="C20" s="5" t="s">
        <v>65</v>
      </c>
      <c r="D20" s="4"/>
      <c r="E20" s="5" t="s">
        <v>66</v>
      </c>
      <c r="F20" s="4" t="s">
        <v>12</v>
      </c>
      <c r="G20" s="5" t="s">
        <v>67</v>
      </c>
      <c r="H20" s="6" t="str">
        <f aca="false">IF(F20="NO","CUMPLE","NO CUMPLE")</f>
        <v>CUMPLE</v>
      </c>
    </row>
    <row r="21" customFormat="false" ht="22.35" hidden="false" customHeight="false" outlineLevel="0" collapsed="false">
      <c r="A21" s="4" t="n">
        <v>17</v>
      </c>
      <c r="B21" s="5" t="s">
        <v>68</v>
      </c>
      <c r="C21" s="5" t="s">
        <v>69</v>
      </c>
      <c r="D21" s="4"/>
      <c r="E21" s="5" t="s">
        <v>70</v>
      </c>
      <c r="F21" s="4" t="s">
        <v>12</v>
      </c>
      <c r="G21" s="5" t="s">
        <v>71</v>
      </c>
      <c r="H21" s="6" t="str">
        <f aca="false">IF(F21="NO","CUMPLE","NO CUMPLE")</f>
        <v>CUMPLE</v>
      </c>
    </row>
    <row r="22" customFormat="false" ht="32.8" hidden="false" customHeight="false" outlineLevel="0" collapsed="false">
      <c r="A22" s="4" t="n">
        <v>18</v>
      </c>
      <c r="B22" s="5" t="s">
        <v>72</v>
      </c>
      <c r="C22" s="5" t="s">
        <v>73</v>
      </c>
      <c r="D22" s="4"/>
      <c r="E22" s="5" t="s">
        <v>74</v>
      </c>
      <c r="F22" s="4" t="s">
        <v>12</v>
      </c>
      <c r="G22" s="5" t="s">
        <v>75</v>
      </c>
      <c r="H22" s="6" t="str">
        <f aca="false">IF(F22="NO","CUMPLE","NO CUMPLE")</f>
        <v>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77</v>
      </c>
      <c r="B4" s="3" t="s">
        <v>78</v>
      </c>
      <c r="C4" s="3" t="s">
        <v>79</v>
      </c>
    </row>
    <row r="5" customFormat="false" ht="15" hidden="false" customHeight="false" outlineLevel="0" collapsed="false">
      <c r="A5" s="4" t="n">
        <v>50</v>
      </c>
      <c r="B5" s="4" t="n">
        <f aca="false">COUNTIF(MATRIZ!D5:D22,A5)</f>
        <v>1</v>
      </c>
      <c r="C5" s="5" t="s">
        <v>20</v>
      </c>
    </row>
    <row r="6" customFormat="false" ht="22.35" hidden="false" customHeight="false" outlineLevel="0" collapsed="false">
      <c r="A6" s="4" t="n">
        <v>100</v>
      </c>
      <c r="B6" s="4" t="n">
        <f aca="false">COUNTIF(MATRIZ!D5:D22,A6)</f>
        <v>4</v>
      </c>
      <c r="C6" s="5" t="s">
        <v>80</v>
      </c>
    </row>
    <row r="7" customFormat="false" ht="15" hidden="false" customHeight="false" outlineLevel="0" collapsed="false">
      <c r="A7" s="4" t="n">
        <v>150</v>
      </c>
      <c r="B7" s="4" t="n">
        <f aca="false">COUNTIF(MATRIZ!D5:D22,A7)</f>
        <v>1</v>
      </c>
      <c r="C7" s="5" t="s">
        <v>10</v>
      </c>
    </row>
    <row r="8" customFormat="false" ht="15" hidden="false" customHeight="false" outlineLevel="0" collapsed="false">
      <c r="A8" s="4" t="n">
        <v>200</v>
      </c>
      <c r="B8" s="4" t="n">
        <f aca="false">COUNTIF(MATRIZ!D5:D22,A8)</f>
        <v>1</v>
      </c>
      <c r="C8" s="5" t="s">
        <v>33</v>
      </c>
    </row>
    <row r="9" customFormat="false" ht="43.25" hidden="false" customHeight="false" outlineLevel="0" collapsed="false">
      <c r="A9" s="4" t="s">
        <v>81</v>
      </c>
      <c r="B9" s="4" t="n">
        <f aca="false">COUNTBLANK(MATRIZ!D5:D22)</f>
        <v>11</v>
      </c>
      <c r="C9" s="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70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9</v>
      </c>
    </row>
    <row r="5" customFormat="false" ht="22.35" hidden="false" customHeight="false" outlineLevel="0" collapsed="false">
      <c r="A5" s="4" t="n">
        <v>1</v>
      </c>
      <c r="B5" s="5" t="s">
        <v>88</v>
      </c>
      <c r="C5" s="5" t="s">
        <v>89</v>
      </c>
      <c r="D5" s="4" t="s">
        <v>90</v>
      </c>
      <c r="E5" s="5" t="s">
        <v>91</v>
      </c>
      <c r="F5" s="6" t="str">
        <f aca="false">IF(D5="SÍ","CUMPLE","NO CUMPLE")</f>
        <v>CUMPLE</v>
      </c>
    </row>
    <row r="6" customFormat="false" ht="15" hidden="false" customHeight="false" outlineLevel="0" collapsed="false">
      <c r="A6" s="4" t="n">
        <v>2</v>
      </c>
      <c r="B6" s="5" t="s">
        <v>92</v>
      </c>
      <c r="C6" s="5" t="s">
        <v>93</v>
      </c>
      <c r="D6" s="4" t="s">
        <v>90</v>
      </c>
      <c r="E6" s="5" t="s">
        <v>94</v>
      </c>
      <c r="F6" s="6" t="str">
        <f aca="false">IF(D6="SÍ","CUMPLE","NO CUMPLE")</f>
        <v>CUMPLE</v>
      </c>
    </row>
    <row r="7" customFormat="false" ht="22.35" hidden="false" customHeight="false" outlineLevel="0" collapsed="false">
      <c r="A7" s="4" t="n">
        <v>3</v>
      </c>
      <c r="B7" s="5" t="s">
        <v>95</v>
      </c>
      <c r="C7" s="5" t="s">
        <v>96</v>
      </c>
      <c r="D7" s="4" t="s">
        <v>90</v>
      </c>
      <c r="E7" s="5" t="s">
        <v>97</v>
      </c>
      <c r="F7" s="6" t="str">
        <f aca="false">IF(D7="SÍ","CUMPLE","NO CUMPLE")</f>
        <v>CUMPLE</v>
      </c>
    </row>
    <row r="8" customFormat="false" ht="22.35" hidden="false" customHeight="false" outlineLevel="0" collapsed="false">
      <c r="A8" s="4" t="n">
        <v>4</v>
      </c>
      <c r="B8" s="5" t="s">
        <v>98</v>
      </c>
      <c r="C8" s="5" t="s">
        <v>99</v>
      </c>
      <c r="D8" s="4" t="s">
        <v>90</v>
      </c>
      <c r="E8" s="5" t="s">
        <v>100</v>
      </c>
      <c r="F8" s="6" t="str">
        <f aca="false">IF(D8="SÍ","CUMPLE","NO CUMPLE")</f>
        <v>CUMPLE</v>
      </c>
    </row>
    <row r="9" customFormat="false" ht="22.35" hidden="false" customHeight="false" outlineLevel="0" collapsed="false">
      <c r="A9" s="4" t="n">
        <v>5</v>
      </c>
      <c r="B9" s="5" t="s">
        <v>101</v>
      </c>
      <c r="C9" s="5" t="s">
        <v>102</v>
      </c>
      <c r="D9" s="4" t="s">
        <v>90</v>
      </c>
      <c r="E9" s="5" t="s">
        <v>103</v>
      </c>
      <c r="F9" s="6" t="str">
        <f aca="false">IF(D9="SÍ","CUMPLE","NO CUMPLE")</f>
        <v>CUMPLE</v>
      </c>
    </row>
    <row r="10" customFormat="false" ht="22.35" hidden="false" customHeight="false" outlineLevel="0" collapsed="false">
      <c r="A10" s="4" t="n">
        <v>6</v>
      </c>
      <c r="B10" s="5" t="s">
        <v>104</v>
      </c>
      <c r="C10" s="5" t="s">
        <v>105</v>
      </c>
      <c r="D10" s="4" t="s">
        <v>90</v>
      </c>
      <c r="E10" s="5" t="s">
        <v>106</v>
      </c>
      <c r="F10" s="6" t="str">
        <f aca="false">IF(D10="SÍ","CUMPLE","NO CUMPLE")</f>
        <v>CUMPLE</v>
      </c>
    </row>
    <row r="11" customFormat="false" ht="22.35" hidden="false" customHeight="false" outlineLevel="0" collapsed="false">
      <c r="A11" s="4" t="n">
        <v>7</v>
      </c>
      <c r="B11" s="5" t="s">
        <v>107</v>
      </c>
      <c r="C11" s="5" t="s">
        <v>108</v>
      </c>
      <c r="D11" s="4" t="s">
        <v>90</v>
      </c>
      <c r="E11" s="5" t="s">
        <v>109</v>
      </c>
      <c r="F11" s="6" t="str">
        <f aca="false">IF(D11="SÍ","CUMPLE","NO CUMPLE")</f>
        <v>CUMPLE</v>
      </c>
    </row>
    <row r="12" customFormat="false" ht="22.35" hidden="false" customHeight="false" outlineLevel="0" collapsed="false">
      <c r="A12" s="4" t="n">
        <v>8</v>
      </c>
      <c r="B12" s="5" t="s">
        <v>110</v>
      </c>
      <c r="C12" s="5" t="s">
        <v>111</v>
      </c>
      <c r="D12" s="4" t="s">
        <v>90</v>
      </c>
      <c r="E12" s="5" t="s">
        <v>112</v>
      </c>
      <c r="F12" s="6" t="str">
        <f aca="false">IF(D12="SÍ","CUMPLE","NO CUMPLE")</f>
        <v>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114</v>
      </c>
      <c r="B4" s="3" t="s">
        <v>115</v>
      </c>
      <c r="C4" s="3" t="s">
        <v>116</v>
      </c>
      <c r="D4" s="3" t="s">
        <v>117</v>
      </c>
    </row>
    <row r="5" customFormat="false" ht="15" hidden="false" customHeight="false" outlineLevel="0" collapsed="false">
      <c r="A5" s="7" t="s">
        <v>118</v>
      </c>
      <c r="B5" s="6" t="n">
        <f aca="false">COUNTA(MATRIZ!B5:B22)</f>
        <v>18</v>
      </c>
      <c r="C5" s="6" t="n">
        <f aca="false">COUNTIF(MATRIZ!H5:H22,"CUMPLE")</f>
        <v>18</v>
      </c>
      <c r="D5" s="6" t="n">
        <f aca="false">COUNTIF(MATRIZ!H5:H22,"NO CUMPLE")</f>
        <v>0</v>
      </c>
    </row>
    <row r="6" customFormat="false" ht="15" hidden="false" customHeight="false" outlineLevel="0" collapsed="false">
      <c r="A6" s="7" t="s">
        <v>119</v>
      </c>
      <c r="B6" s="6" t="n">
        <f aca="false">COUNTA('CONDICIONES CAR'!B5:B12)</f>
        <v>8</v>
      </c>
      <c r="C6" s="6" t="n">
        <f aca="false">COUNTIF('CONDICIONES CAR'!F5:F12,"CUMPLE")</f>
        <v>8</v>
      </c>
      <c r="D6" s="6" t="n">
        <f aca="false">COUNTIF('CONDICIONES CAR'!F5:F12,"NO CUMPLE")</f>
        <v>0</v>
      </c>
    </row>
    <row r="8" customFormat="false" ht="15" hidden="false" customHeight="false" outlineLevel="0" collapsed="false">
      <c r="A8" s="8" t="s">
        <v>120</v>
      </c>
      <c r="B8" s="9" t="str">
        <f aca="false">IF(SUM(D5:D6)=0,"TERRENO APTO PARA EL CAR VARONES","REVISAR")</f>
        <v>TERRENO APTO PARA EL CAR VARONES</v>
      </c>
      <c r="C8" s="9"/>
      <c r="D8" s="9"/>
    </row>
  </sheetData>
  <mergeCells count="1"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2026-10-28T21:03:12Z</dcterms:created>
  <dc:creator/>
  <dc:description/>
  <dc:language>en-US</dc:language>
  <cp:lastModifiedBy/>
  <dcterms:modified xsi:type="dcterms:W3CDTF">2026-10-28T21:03:12Z</dcterms:modified>
  <cp:revision>0</cp:revision>
  <dc:subject/>
  <dc:title>Matriz de incompatibilidades de ubicación - Car varones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