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ILLA GENERAL DE METRADOS" sheetId="2" state="visible" r:id="rId2"/>
    <sheet xmlns:r="http://schemas.openxmlformats.org/officeDocument/2006/relationships" name="METRADO ACERO" sheetId="3" state="visible" r:id="rId3"/>
    <sheet xmlns:r="http://schemas.openxmlformats.org/officeDocument/2006/relationships"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0" pivotButton="0" quotePrefix="0" xfId="0"/>
    <xf numFmtId="0" fontId="0" fillId="4" borderId="0" pivotButton="0" quotePrefix="0" xfId="0"/>
    <xf numFmtId="2" fontId="2" fillId="0" borderId="1" pivotButton="0" quotePrefix="0" xfId="0"/>
    <xf numFmtId="49" fontId="3" fillId="0" borderId="0" pivotButton="0" quotePrefix="0" xfId="0"/>
    <xf numFmtId="2" fontId="3" fillId="0" borderId="0" pivotButton="0" quotePrefix="0" xfId="0"/>
    <xf numFmtId="0" fontId="2" fillId="3" borderId="1" applyAlignment="1" pivotButton="0" quotePrefix="0" xfId="0">
      <alignment horizontal="center" wrapText="1"/>
    </xf>
    <xf numFmtId="2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2" fontId="2" fillId="2" borderId="1" applyAlignment="1" pivotButton="0" quotePrefix="0" xfId="0">
      <alignment vertical="top" wrapText="1"/>
    </xf>
    <xf numFmtId="2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3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2" customWidth="1" min="2" max="2"/>
    <col width="7" customWidth="1" min="3" max="3"/>
    <col width="13" customWidth="1" min="4" max="4"/>
  </cols>
  <sheetData>
    <row r="2">
      <c r="A2" s="1" t="inlineStr">
        <is>
          <t>RESUMEN METRADOS DE DRENAJE PLUVIAL</t>
        </is>
      </c>
    </row>
    <row r="3">
      <c r="A3" s="2" t="inlineStr">
        <is>
          <t>ENTIDAD</t>
        </is>
      </c>
      <c r="B3" s="3" t="inlineStr">
        <is>
          <t>GOBIERNO REGIONAL SAN MARTIN - GERENCIA TERRITORIAL BAJO MAYO - TARAPOTO</t>
        </is>
      </c>
    </row>
    <row r="4" ht="36" customHeight="1">
      <c r="A4" s="2" t="inlineStr">
        <is>
          <t>PROYECTO</t>
        </is>
      </c>
      <c r="B4" s="3" t="inlineStr">
        <is>
          <t>“MEJORAMIENTO Y AMPLIACIÓN DEL SERVICIO DE EDUCACIÓN PRIMARIA EN I.E. N° 0590 DISTRITO DE BARRANQUITA DE LA PROVINCIA DE LAMAS DEL DEPARTAMENTO DE SAN MARTÍN” - C.I. N° 468901</t>
        </is>
      </c>
    </row>
    <row r="5">
      <c r="A5" s="2" t="inlineStr">
        <is>
          <t>UBICACIÓN</t>
        </is>
      </c>
      <c r="B5" s="3" t="inlineStr">
        <is>
          <t>SAN MARTIN - LAMAS - BARRANQUITA</t>
        </is>
      </c>
    </row>
    <row r="6">
      <c r="A6" s="2" t="inlineStr">
        <is>
          <t>FECHA</t>
        </is>
      </c>
      <c r="B6" s="3" t="inlineStr">
        <is>
          <t>OCTUBRE 2026</t>
        </is>
      </c>
    </row>
    <row r="8">
      <c r="A8" s="4" t="inlineStr">
        <is>
          <t>Item</t>
        </is>
      </c>
      <c r="B8" s="4" t="inlineStr">
        <is>
          <t>Descripción</t>
        </is>
      </c>
      <c r="C8" s="4" t="inlineStr">
        <is>
          <t>Unid.</t>
        </is>
      </c>
      <c r="D8" s="4" t="inlineStr">
        <is>
          <t>Total.</t>
        </is>
      </c>
    </row>
    <row r="9">
      <c r="A9" s="5" t="inlineStr">
        <is>
          <t>01</t>
        </is>
      </c>
      <c r="B9" s="5" t="inlineStr">
        <is>
          <t>SISTEMA DE DRENAJE PLUVIAL - RED DE CUNETAS</t>
        </is>
      </c>
      <c r="C9" s="5" t="n"/>
      <c r="D9" s="6" t="n"/>
    </row>
    <row r="10">
      <c r="A10" s="5" t="inlineStr">
        <is>
          <t>01.01</t>
        </is>
      </c>
      <c r="B10" s="5" t="inlineStr">
        <is>
          <t>TRABAJOS PRELIMINARES</t>
        </is>
      </c>
      <c r="C10" s="5" t="n"/>
      <c r="D10" s="6" t="n"/>
    </row>
    <row r="11">
      <c r="A11" s="7" t="inlineStr">
        <is>
          <t>01.01.01</t>
        </is>
      </c>
      <c r="B11" s="7" t="inlineStr">
        <is>
          <t>LIMPIEZA MANUAL DE TERRENO</t>
        </is>
      </c>
      <c r="C11" s="7" t="inlineStr">
        <is>
          <t>m²</t>
        </is>
      </c>
      <c r="D11" s="8">
        <f>'PLANILLA GENERAL DE METRADOS'!K11</f>
        <v/>
      </c>
    </row>
    <row r="12">
      <c r="A12" s="7" t="inlineStr">
        <is>
          <t>01.01.02</t>
        </is>
      </c>
      <c r="B12" s="7" t="inlineStr">
        <is>
          <t>TRAZO, NIVELES Y REPLANTEO PRELIMINAR</t>
        </is>
      </c>
      <c r="C12" s="7" t="inlineStr">
        <is>
          <t>m²</t>
        </is>
      </c>
      <c r="D12" s="8">
        <f>'PLANILLA GENERAL DE METRADOS'!K31</f>
        <v/>
      </c>
    </row>
    <row r="13">
      <c r="A13" s="5" t="inlineStr">
        <is>
          <t>01.02</t>
        </is>
      </c>
      <c r="B13" s="5" t="inlineStr">
        <is>
          <t>MOVIMIENTO DE TIERRAS</t>
        </is>
      </c>
      <c r="C13" s="5" t="n"/>
      <c r="D13" s="6" t="n"/>
    </row>
    <row r="14">
      <c r="A14" s="7" t="inlineStr">
        <is>
          <t>01.02.01</t>
        </is>
      </c>
      <c r="B14" s="7" t="inlineStr">
        <is>
          <t>EXCAVACIÓN MANUAL DE ZANJAS P/CUNETAS</t>
        </is>
      </c>
      <c r="C14" s="7" t="inlineStr">
        <is>
          <t>m³</t>
        </is>
      </c>
      <c r="D14" s="8">
        <f>'PLANILLA GENERAL DE METRADOS'!K52</f>
        <v/>
      </c>
    </row>
    <row r="15">
      <c r="A15" s="7" t="inlineStr">
        <is>
          <t>01.02.02</t>
        </is>
      </c>
      <c r="B15" s="7" t="inlineStr">
        <is>
          <t>REFINE, NIVELACIÓN Y COMPACTACIÓN EN TERRENO NORMAL</t>
        </is>
      </c>
      <c r="C15" s="7" t="inlineStr">
        <is>
          <t>m²</t>
        </is>
      </c>
      <c r="D15" s="8">
        <f>'PLANILLA GENERAL DE METRADOS'!K72</f>
        <v/>
      </c>
    </row>
    <row r="16">
      <c r="A16" s="7" t="inlineStr">
        <is>
          <t>01.02.03</t>
        </is>
      </c>
      <c r="B16" s="7" t="inlineStr">
        <is>
          <t>RELLENO COMPACTADO C/MATERIAL PROPIO SELECCIONADO</t>
        </is>
      </c>
      <c r="C16" s="7" t="inlineStr">
        <is>
          <t>m³</t>
        </is>
      </c>
      <c r="D16" s="8">
        <f>'PLANILLA GENERAL DE METRADOS'!K92</f>
        <v/>
      </c>
    </row>
    <row r="17">
      <c r="A17" s="7" t="inlineStr">
        <is>
          <t>01.02.04</t>
        </is>
      </c>
      <c r="B17" s="7" t="inlineStr">
        <is>
          <t>ELIMINACIÓN DE MATERIAL EXCEDENTE D&lt;1Km</t>
        </is>
      </c>
      <c r="C17" s="7" t="inlineStr">
        <is>
          <t>m³</t>
        </is>
      </c>
      <c r="D17" s="8">
        <f>'PLANILLA GENERAL DE METRADOS'!K112</f>
        <v/>
      </c>
    </row>
    <row r="18">
      <c r="A18" s="7" t="inlineStr">
        <is>
          <t>01.02.05</t>
        </is>
      </c>
      <c r="B18" s="7" t="inlineStr">
        <is>
          <t>PERFILADO MANUAL DE TERRENO EN DESCARGAS</t>
        </is>
      </c>
      <c r="C18" s="7" t="inlineStr">
        <is>
          <t>m²</t>
        </is>
      </c>
      <c r="D18" s="8">
        <f>'PLANILLA GENERAL DE METRADOS'!K114</f>
        <v/>
      </c>
    </row>
    <row r="19">
      <c r="A19" s="5" t="inlineStr">
        <is>
          <t>01.03</t>
        </is>
      </c>
      <c r="B19" s="5" t="inlineStr">
        <is>
          <t>OBRAS DE CONCRETO SIMPLE</t>
        </is>
      </c>
      <c r="C19" s="5" t="n"/>
      <c r="D19" s="6" t="n"/>
    </row>
    <row r="20">
      <c r="A20" s="7" t="inlineStr">
        <is>
          <t>01.03.01</t>
        </is>
      </c>
      <c r="B20" s="7" t="inlineStr">
        <is>
          <t>CONCRETO f'c=100 kg/cm2 PARA SOLADO E=4''</t>
        </is>
      </c>
      <c r="C20" s="7" t="inlineStr">
        <is>
          <t>m²</t>
        </is>
      </c>
      <c r="D20" s="8">
        <f>'PLANILLA GENERAL DE METRADOS'!K120</f>
        <v/>
      </c>
    </row>
    <row r="21">
      <c r="A21" s="5" t="inlineStr">
        <is>
          <t>01.04</t>
        </is>
      </c>
      <c r="B21" s="5" t="inlineStr">
        <is>
          <t>OBRAS DE CONCRETO ARMADO</t>
        </is>
      </c>
      <c r="C21" s="5" t="n"/>
      <c r="D21" s="6" t="n"/>
    </row>
    <row r="22">
      <c r="A22" s="5" t="inlineStr">
        <is>
          <t>01.04.01</t>
        </is>
      </c>
      <c r="B22" s="5" t="inlineStr">
        <is>
          <t>CUNETAS</t>
        </is>
      </c>
      <c r="C22" s="5" t="n"/>
      <c r="D22" s="6" t="n"/>
    </row>
    <row r="23">
      <c r="A23" s="7" t="inlineStr">
        <is>
          <t>01.04.01.01</t>
        </is>
      </c>
      <c r="B23" s="7" t="inlineStr">
        <is>
          <t>CONCRETO f'c=175 kg/cm2 PARA CUNETAS</t>
        </is>
      </c>
      <c r="C23" s="7" t="inlineStr">
        <is>
          <t>m³</t>
        </is>
      </c>
      <c r="D23" s="8">
        <f>'PLANILLA GENERAL DE METRADOS'!K142</f>
        <v/>
      </c>
    </row>
    <row r="24">
      <c r="A24" s="7" t="inlineStr">
        <is>
          <t>01.04.01.02</t>
        </is>
      </c>
      <c r="B24" s="7" t="inlineStr">
        <is>
          <t>ENCOFRADO Y DESENCOFRADO DE CUNETAS</t>
        </is>
      </c>
      <c r="C24" s="7" t="inlineStr">
        <is>
          <t>m²</t>
        </is>
      </c>
      <c r="D24" s="8">
        <f>'PLANILLA GENERAL DE METRADOS'!K190</f>
        <v/>
      </c>
    </row>
    <row r="25">
      <c r="A25" s="7" t="inlineStr">
        <is>
          <t>01.04.01.03</t>
        </is>
      </c>
      <c r="B25" s="7" t="inlineStr">
        <is>
          <t>ACERO f'y=4200 kg/cm2 PARA CUNETA</t>
        </is>
      </c>
      <c r="C25" s="7" t="inlineStr">
        <is>
          <t>kg</t>
        </is>
      </c>
      <c r="D25" s="8">
        <f>'PLANILLA GENERAL DE METRADOS'!K234</f>
        <v/>
      </c>
    </row>
    <row r="26">
      <c r="A26" s="7" t="inlineStr">
        <is>
          <t>01.04.01.04</t>
        </is>
      </c>
      <c r="B26" s="7" t="inlineStr">
        <is>
          <t>CURADO DE CONCRETO EN CUNETA</t>
        </is>
      </c>
      <c r="C26" s="7" t="inlineStr">
        <is>
          <t>m²</t>
        </is>
      </c>
      <c r="D26" s="8">
        <f>'PLANILLA GENERAL DE METRADOS'!K254</f>
        <v/>
      </c>
    </row>
    <row r="27">
      <c r="A27" s="5" t="inlineStr">
        <is>
          <t>01.04.02</t>
        </is>
      </c>
      <c r="B27" s="5" t="inlineStr">
        <is>
          <t>VARIOS</t>
        </is>
      </c>
      <c r="C27" s="5" t="n"/>
      <c r="D27" s="6" t="n"/>
    </row>
    <row r="28">
      <c r="A28" s="7" t="inlineStr">
        <is>
          <t>01.04.02.01</t>
        </is>
      </c>
      <c r="B28" s="7" t="inlineStr">
        <is>
          <t>REJILLA METALICA P/CUNETA C/PL 1''x 3/16'' Y ANGULO 1'' x 1'' x 3/16''</t>
        </is>
      </c>
      <c r="C28" s="7" t="inlineStr">
        <is>
          <t>m</t>
        </is>
      </c>
      <c r="D28" s="8">
        <f>'PLANILLA GENERAL DE METRADOS'!K318</f>
        <v/>
      </c>
    </row>
    <row r="29">
      <c r="A29" s="7" t="inlineStr">
        <is>
          <t>01.04.02.02</t>
        </is>
      </c>
      <c r="B29" s="7" t="inlineStr">
        <is>
          <t>TAPA DE INSPECCION 0.60m x 0.60m</t>
        </is>
      </c>
      <c r="C29" s="7" t="inlineStr">
        <is>
          <t>und</t>
        </is>
      </c>
      <c r="D29" s="8">
        <f>'PLANILLA GENERAL DE METRADOS'!K338</f>
        <v/>
      </c>
    </row>
    <row r="30">
      <c r="A30" s="7" t="inlineStr">
        <is>
          <t>01.04.02.03</t>
        </is>
      </c>
      <c r="B30" s="7" t="inlineStr">
        <is>
          <t>JUNTA DE DILATACION E=1" CON SELLADOR ASFALTO</t>
        </is>
      </c>
      <c r="C30" s="7" t="inlineStr">
        <is>
          <t>m</t>
        </is>
      </c>
      <c r="D30" s="8">
        <f>'PLANILLA GENERAL DE METRADOS'!K343</f>
        <v/>
      </c>
    </row>
    <row r="31">
      <c r="A31" s="7" t="inlineStr">
        <is>
          <t>01.04.02.04</t>
        </is>
      </c>
      <c r="B31" s="7" t="inlineStr">
        <is>
          <t>JUNTA E=1" CON SELLADOR ASFALTICO ENTRE CUNETA Y PISO ADYACENTE</t>
        </is>
      </c>
      <c r="C31" s="7" t="inlineStr">
        <is>
          <t>m</t>
        </is>
      </c>
      <c r="D31" s="8">
        <f>'PLANILLA GENERAL DE METRADOS'!K363</f>
        <v/>
      </c>
    </row>
  </sheetData>
  <mergeCells count="4">
    <mergeCell ref="B6:D6"/>
    <mergeCell ref="B3:D3"/>
    <mergeCell ref="B5:D5"/>
    <mergeCell ref="B4:D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L37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1" customWidth="1" min="10" max="10"/>
    <col width="12" customWidth="1" min="11" max="11"/>
    <col width="6" customWidth="1" min="12" max="12"/>
  </cols>
  <sheetData>
    <row r="2">
      <c r="A2" s="1" t="inlineStr">
        <is>
          <t>PLANILLA GENERAL DE METRADOS - DRENAJE PLUVIAL</t>
        </is>
      </c>
    </row>
    <row r="3">
      <c r="A3" s="2" t="inlineStr">
        <is>
          <t>ENTIDAD</t>
        </is>
      </c>
      <c r="B3" s="3" t="inlineStr">
        <is>
          <t>GOBIERNO REGIONAL SAN MARTIN - GERENCIA TERRITORIAL BAJO MAYO - TARAPOTO</t>
        </is>
      </c>
    </row>
    <row r="4" ht="36" customHeight="1">
      <c r="A4" s="2" t="inlineStr">
        <is>
          <t>PROYECTO</t>
        </is>
      </c>
      <c r="B4" s="3" t="inlineStr">
        <is>
          <t>“MEJORAMIENTO Y AMPLIACIÓN DEL SERVICIO DE EDUCACIÓN PRIMARIA EN I.E. N° 0590 DISTRITO DE BARRANQUITA DE LA PROVINCIA DE LAMAS DEL DEPARTAMENTO DE SAN MARTÍN” - C.I. N° 468901</t>
        </is>
      </c>
    </row>
    <row r="5">
      <c r="A5" s="2" t="inlineStr">
        <is>
          <t>UBICACIÓN</t>
        </is>
      </c>
      <c r="B5" s="3" t="inlineStr">
        <is>
          <t>SAN MARTIN - LAMAS - BARRANQUITA</t>
        </is>
      </c>
    </row>
    <row r="6">
      <c r="A6" s="2" t="inlineStr">
        <is>
          <t>FECHA</t>
        </is>
      </c>
      <c r="B6" s="3" t="inlineStr">
        <is>
          <t>OCTUBRE 2026</t>
        </is>
      </c>
    </row>
    <row r="8">
      <c r="A8" s="9" t="inlineStr">
        <is>
          <t>ITEM</t>
        </is>
      </c>
      <c r="B8" s="9" t="inlineStr">
        <is>
          <t>DESCRIPCION</t>
        </is>
      </c>
      <c r="C8" s="9" t="inlineStr">
        <is>
          <t>Nº DE VECES</t>
        </is>
      </c>
      <c r="D8" s="9" t="inlineStr">
        <is>
          <t>LARGO</t>
        </is>
      </c>
      <c r="E8" s="9" t="inlineStr">
        <is>
          <t>ANCHO</t>
        </is>
      </c>
      <c r="F8" s="9" t="inlineStr">
        <is>
          <t>ALTURA</t>
        </is>
      </c>
      <c r="G8" s="9" t="inlineStr">
        <is>
          <t>FACT.</t>
        </is>
      </c>
      <c r="H8" s="9" t="inlineStr">
        <is>
          <t>AREA</t>
        </is>
      </c>
      <c r="I8" s="9" t="inlineStr">
        <is>
          <t>VOLUMEN</t>
        </is>
      </c>
      <c r="J8" s="9" t="inlineStr">
        <is>
          <t>PARCIAL</t>
        </is>
      </c>
      <c r="K8" s="9" t="inlineStr">
        <is>
          <t>TOTAL</t>
        </is>
      </c>
      <c r="L8" s="9" t="inlineStr">
        <is>
          <t>UND</t>
        </is>
      </c>
    </row>
    <row r="9">
      <c r="A9" s="10" t="inlineStr">
        <is>
          <t>01</t>
        </is>
      </c>
      <c r="B9" s="10" t="inlineStr">
        <is>
          <t>SISTEMA DE DRENAJE PLUVIAL - RED DE CUNETAS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0" t="inlineStr">
        <is>
          <t>01.01</t>
        </is>
      </c>
      <c r="B10" s="10" t="inlineStr">
        <is>
          <t>TRABAJOS PRELIMINARES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2" t="inlineStr">
        <is>
          <t>01.01.01</t>
        </is>
      </c>
      <c r="B11" s="2" t="inlineStr">
        <is>
          <t>LIMPIEZA MANUAL DE TERRENO</t>
        </is>
      </c>
      <c r="K11" s="12">
        <f>SUM(J12:J30)</f>
        <v/>
      </c>
      <c r="L11" s="2" t="inlineStr">
        <is>
          <t>m²</t>
        </is>
      </c>
    </row>
    <row r="12">
      <c r="B12" s="13" t="inlineStr">
        <is>
          <t>EJE-01</t>
        </is>
      </c>
      <c r="C12" s="14" t="n">
        <v>1</v>
      </c>
      <c r="D12" s="14" t="n">
        <v>34.34</v>
      </c>
      <c r="E12" s="14">
        <f>PARAMETROS!$B$12</f>
        <v/>
      </c>
      <c r="J12" s="14">
        <f>C12*D12*E12</f>
        <v/>
      </c>
    </row>
    <row r="13">
      <c r="B13" s="13" t="inlineStr">
        <is>
          <t>EJE-02</t>
        </is>
      </c>
      <c r="C13" s="14" t="n">
        <v>1</v>
      </c>
      <c r="D13" s="14" t="n">
        <v>76.04000000000001</v>
      </c>
      <c r="E13" s="14">
        <f>PARAMETROS!$B$12</f>
        <v/>
      </c>
      <c r="J13" s="14">
        <f>C13*D13*E13</f>
        <v/>
      </c>
    </row>
    <row r="14">
      <c r="B14" s="13" t="inlineStr">
        <is>
          <t>EJE-03</t>
        </is>
      </c>
      <c r="C14" s="14" t="n">
        <v>1</v>
      </c>
      <c r="D14" s="14" t="n">
        <v>32.31</v>
      </c>
      <c r="E14" s="14">
        <f>PARAMETROS!$B$12</f>
        <v/>
      </c>
      <c r="J14" s="14">
        <f>C14*D14*E14</f>
        <v/>
      </c>
    </row>
    <row r="15">
      <c r="B15" s="13" t="inlineStr">
        <is>
          <t>EJE-04</t>
        </is>
      </c>
      <c r="C15" s="14" t="n">
        <v>1</v>
      </c>
      <c r="D15" s="14" t="n">
        <v>94.34</v>
      </c>
      <c r="E15" s="14">
        <f>PARAMETROS!$B$12</f>
        <v/>
      </c>
      <c r="J15" s="14">
        <f>C15*D15*E15</f>
        <v/>
      </c>
    </row>
    <row r="16">
      <c r="B16" s="13" t="inlineStr">
        <is>
          <t>EJE-05</t>
        </is>
      </c>
      <c r="C16" s="14" t="n">
        <v>1</v>
      </c>
      <c r="D16" s="14" t="n">
        <v>90.56</v>
      </c>
      <c r="E16" s="14">
        <f>PARAMETROS!$B$12</f>
        <v/>
      </c>
      <c r="J16" s="14">
        <f>C16*D16*E16</f>
        <v/>
      </c>
    </row>
    <row r="17">
      <c r="B17" s="13" t="inlineStr">
        <is>
          <t>EJE-06</t>
        </is>
      </c>
      <c r="C17" s="14" t="n">
        <v>1</v>
      </c>
      <c r="D17" s="14" t="n">
        <v>12.3</v>
      </c>
      <c r="E17" s="14">
        <f>PARAMETROS!$B$12</f>
        <v/>
      </c>
      <c r="J17" s="14">
        <f>C17*D17*E17</f>
        <v/>
      </c>
    </row>
    <row r="18">
      <c r="B18" s="13" t="inlineStr">
        <is>
          <t>EJE-07</t>
        </is>
      </c>
      <c r="C18" s="14" t="n">
        <v>1</v>
      </c>
      <c r="D18" s="14" t="n">
        <v>94.69</v>
      </c>
      <c r="E18" s="14">
        <f>PARAMETROS!$B$12</f>
        <v/>
      </c>
      <c r="J18" s="14">
        <f>C18*D18*E18</f>
        <v/>
      </c>
    </row>
    <row r="19">
      <c r="B19" s="13" t="inlineStr">
        <is>
          <t>EJE-08</t>
        </is>
      </c>
      <c r="C19" s="14" t="n">
        <v>1</v>
      </c>
      <c r="D19" s="14" t="n">
        <v>39.68</v>
      </c>
      <c r="E19" s="14">
        <f>PARAMETROS!$B$12</f>
        <v/>
      </c>
      <c r="J19" s="14">
        <f>C19*D19*E19</f>
        <v/>
      </c>
    </row>
    <row r="20">
      <c r="B20" s="13" t="inlineStr">
        <is>
          <t>EJE-09</t>
        </is>
      </c>
      <c r="C20" s="14" t="n">
        <v>1</v>
      </c>
      <c r="D20" s="14" t="n">
        <v>35.8</v>
      </c>
      <c r="E20" s="14">
        <f>PARAMETROS!$B$12</f>
        <v/>
      </c>
      <c r="J20" s="14">
        <f>C20*D20*E20</f>
        <v/>
      </c>
    </row>
    <row r="21">
      <c r="B21" s="13" t="inlineStr">
        <is>
          <t>EJE-10</t>
        </is>
      </c>
      <c r="C21" s="14" t="n">
        <v>1</v>
      </c>
      <c r="D21" s="14" t="n">
        <v>36.9</v>
      </c>
      <c r="E21" s="14">
        <f>PARAMETROS!$B$12</f>
        <v/>
      </c>
      <c r="J21" s="14">
        <f>C21*D21*E21</f>
        <v/>
      </c>
    </row>
    <row r="22">
      <c r="B22" s="13" t="inlineStr">
        <is>
          <t>EJE-11</t>
        </is>
      </c>
      <c r="C22" s="14" t="n">
        <v>1</v>
      </c>
      <c r="D22" s="14" t="n">
        <v>30.36</v>
      </c>
      <c r="E22" s="14">
        <f>PARAMETROS!$B$12</f>
        <v/>
      </c>
      <c r="J22" s="14">
        <f>C22*D22*E22</f>
        <v/>
      </c>
    </row>
    <row r="23">
      <c r="B23" s="13" t="inlineStr">
        <is>
          <t>EJE-12</t>
        </is>
      </c>
      <c r="C23" s="14" t="n">
        <v>1</v>
      </c>
      <c r="D23" s="14" t="n">
        <v>118.38</v>
      </c>
      <c r="E23" s="14">
        <f>PARAMETROS!$B$12</f>
        <v/>
      </c>
      <c r="J23" s="14">
        <f>C23*D23*E23</f>
        <v/>
      </c>
    </row>
    <row r="24">
      <c r="B24" s="13" t="inlineStr">
        <is>
          <t>EJE-13</t>
        </is>
      </c>
      <c r="C24" s="14" t="n">
        <v>1</v>
      </c>
      <c r="D24" s="14" t="n">
        <v>24.38</v>
      </c>
      <c r="E24" s="14">
        <f>PARAMETROS!$B$12</f>
        <v/>
      </c>
      <c r="J24" s="14">
        <f>C24*D24*E24</f>
        <v/>
      </c>
    </row>
    <row r="25">
      <c r="B25" s="13" t="inlineStr">
        <is>
          <t>EJE-14</t>
        </is>
      </c>
      <c r="C25" s="14" t="n">
        <v>1</v>
      </c>
      <c r="D25" s="14" t="n">
        <v>64.93000000000001</v>
      </c>
      <c r="E25" s="14">
        <f>PARAMETROS!$B$12</f>
        <v/>
      </c>
      <c r="J25" s="14">
        <f>C25*D25*E25</f>
        <v/>
      </c>
    </row>
    <row r="26">
      <c r="B26" s="13" t="inlineStr">
        <is>
          <t>EJE-15</t>
        </is>
      </c>
      <c r="C26" s="14" t="n">
        <v>1</v>
      </c>
      <c r="D26" s="14" t="n">
        <v>41.47</v>
      </c>
      <c r="E26" s="14">
        <f>PARAMETROS!$B$12</f>
        <v/>
      </c>
      <c r="J26" s="14">
        <f>C26*D26*E26</f>
        <v/>
      </c>
    </row>
    <row r="27">
      <c r="B27" s="13" t="inlineStr">
        <is>
          <t>EJE-16</t>
        </is>
      </c>
      <c r="C27" s="14" t="n">
        <v>1</v>
      </c>
      <c r="D27" s="14" t="n">
        <v>49.55</v>
      </c>
      <c r="E27" s="14">
        <f>PARAMETROS!$B$12</f>
        <v/>
      </c>
      <c r="J27" s="14">
        <f>C27*D27*E27</f>
        <v/>
      </c>
    </row>
    <row r="28">
      <c r="B28" s="13" t="inlineStr">
        <is>
          <t>EJE-17</t>
        </is>
      </c>
      <c r="C28" s="14" t="n">
        <v>1</v>
      </c>
      <c r="D28" s="14" t="n">
        <v>39.98</v>
      </c>
      <c r="E28" s="14">
        <f>PARAMETROS!$B$12</f>
        <v/>
      </c>
      <c r="J28" s="14">
        <f>C28*D28*E28</f>
        <v/>
      </c>
    </row>
    <row r="29">
      <c r="B29" s="13" t="inlineStr">
        <is>
          <t>EJE-18</t>
        </is>
      </c>
      <c r="C29" s="14" t="n">
        <v>1</v>
      </c>
      <c r="D29" s="14" t="n">
        <v>38.68</v>
      </c>
      <c r="E29" s="14">
        <f>PARAMETROS!$B$12</f>
        <v/>
      </c>
      <c r="J29" s="14">
        <f>C29*D29*E29</f>
        <v/>
      </c>
    </row>
    <row r="30">
      <c r="B30" s="13" t="inlineStr">
        <is>
          <t>EJE-19</t>
        </is>
      </c>
      <c r="C30" s="14" t="n">
        <v>1</v>
      </c>
      <c r="D30" s="14" t="n">
        <v>14.09</v>
      </c>
      <c r="E30" s="14">
        <f>PARAMETROS!$B$12</f>
        <v/>
      </c>
      <c r="J30" s="14">
        <f>C30*D30*E30</f>
        <v/>
      </c>
    </row>
    <row r="31">
      <c r="A31" s="2" t="inlineStr">
        <is>
          <t>01.01.02</t>
        </is>
      </c>
      <c r="B31" s="2" t="inlineStr">
        <is>
          <t>TRAZO, NIVELES Y REPLANTEO PRELIMINAR</t>
        </is>
      </c>
      <c r="K31" s="12">
        <f>SUM(J32:J50)</f>
        <v/>
      </c>
      <c r="L31" s="2" t="inlineStr">
        <is>
          <t>m²</t>
        </is>
      </c>
    </row>
    <row r="32">
      <c r="B32" s="13" t="inlineStr">
        <is>
          <t>EJE-01</t>
        </is>
      </c>
      <c r="C32" s="14" t="n">
        <v>1</v>
      </c>
      <c r="D32" s="14" t="n">
        <v>34.34</v>
      </c>
      <c r="E32" s="14">
        <f>PARAMETROS!$B$12</f>
        <v/>
      </c>
      <c r="J32" s="14">
        <f>C32*D32*E32</f>
        <v/>
      </c>
    </row>
    <row r="33">
      <c r="B33" s="13" t="inlineStr">
        <is>
          <t>EJE-02</t>
        </is>
      </c>
      <c r="C33" s="14" t="n">
        <v>1</v>
      </c>
      <c r="D33" s="14" t="n">
        <v>76.04000000000001</v>
      </c>
      <c r="E33" s="14">
        <f>PARAMETROS!$B$12</f>
        <v/>
      </c>
      <c r="J33" s="14">
        <f>C33*D33*E33</f>
        <v/>
      </c>
    </row>
    <row r="34">
      <c r="B34" s="13" t="inlineStr">
        <is>
          <t>EJE-03</t>
        </is>
      </c>
      <c r="C34" s="14" t="n">
        <v>1</v>
      </c>
      <c r="D34" s="14" t="n">
        <v>32.31</v>
      </c>
      <c r="E34" s="14">
        <f>PARAMETROS!$B$12</f>
        <v/>
      </c>
      <c r="J34" s="14">
        <f>C34*D34*E34</f>
        <v/>
      </c>
    </row>
    <row r="35">
      <c r="B35" s="13" t="inlineStr">
        <is>
          <t>EJE-04</t>
        </is>
      </c>
      <c r="C35" s="14" t="n">
        <v>1</v>
      </c>
      <c r="D35" s="14" t="n">
        <v>94.34</v>
      </c>
      <c r="E35" s="14">
        <f>PARAMETROS!$B$12</f>
        <v/>
      </c>
      <c r="J35" s="14">
        <f>C35*D35*E35</f>
        <v/>
      </c>
    </row>
    <row r="36">
      <c r="B36" s="13" t="inlineStr">
        <is>
          <t>EJE-05</t>
        </is>
      </c>
      <c r="C36" s="14" t="n">
        <v>1</v>
      </c>
      <c r="D36" s="14" t="n">
        <v>90.56</v>
      </c>
      <c r="E36" s="14">
        <f>PARAMETROS!$B$12</f>
        <v/>
      </c>
      <c r="J36" s="14">
        <f>C36*D36*E36</f>
        <v/>
      </c>
    </row>
    <row r="37">
      <c r="B37" s="13" t="inlineStr">
        <is>
          <t>EJE-06</t>
        </is>
      </c>
      <c r="C37" s="14" t="n">
        <v>1</v>
      </c>
      <c r="D37" s="14" t="n">
        <v>12.3</v>
      </c>
      <c r="E37" s="14">
        <f>PARAMETROS!$B$12</f>
        <v/>
      </c>
      <c r="J37" s="14">
        <f>C37*D37*E37</f>
        <v/>
      </c>
    </row>
    <row r="38">
      <c r="B38" s="13" t="inlineStr">
        <is>
          <t>EJE-07</t>
        </is>
      </c>
      <c r="C38" s="14" t="n">
        <v>1</v>
      </c>
      <c r="D38" s="14" t="n">
        <v>94.69</v>
      </c>
      <c r="E38" s="14">
        <f>PARAMETROS!$B$12</f>
        <v/>
      </c>
      <c r="J38" s="14">
        <f>C38*D38*E38</f>
        <v/>
      </c>
    </row>
    <row r="39">
      <c r="B39" s="13" t="inlineStr">
        <is>
          <t>EJE-08</t>
        </is>
      </c>
      <c r="C39" s="14" t="n">
        <v>1</v>
      </c>
      <c r="D39" s="14" t="n">
        <v>39.68</v>
      </c>
      <c r="E39" s="14">
        <f>PARAMETROS!$B$12</f>
        <v/>
      </c>
      <c r="J39" s="14">
        <f>C39*D39*E39</f>
        <v/>
      </c>
    </row>
    <row r="40">
      <c r="B40" s="13" t="inlineStr">
        <is>
          <t>EJE-09</t>
        </is>
      </c>
      <c r="C40" s="14" t="n">
        <v>1</v>
      </c>
      <c r="D40" s="14" t="n">
        <v>35.8</v>
      </c>
      <c r="E40" s="14">
        <f>PARAMETROS!$B$12</f>
        <v/>
      </c>
      <c r="J40" s="14">
        <f>C40*D40*E40</f>
        <v/>
      </c>
    </row>
    <row r="41">
      <c r="B41" s="13" t="inlineStr">
        <is>
          <t>EJE-10</t>
        </is>
      </c>
      <c r="C41" s="14" t="n">
        <v>1</v>
      </c>
      <c r="D41" s="14" t="n">
        <v>36.9</v>
      </c>
      <c r="E41" s="14">
        <f>PARAMETROS!$B$12</f>
        <v/>
      </c>
      <c r="J41" s="14">
        <f>C41*D41*E41</f>
        <v/>
      </c>
    </row>
    <row r="42">
      <c r="B42" s="13" t="inlineStr">
        <is>
          <t>EJE-11</t>
        </is>
      </c>
      <c r="C42" s="14" t="n">
        <v>1</v>
      </c>
      <c r="D42" s="14" t="n">
        <v>30.36</v>
      </c>
      <c r="E42" s="14">
        <f>PARAMETROS!$B$12</f>
        <v/>
      </c>
      <c r="J42" s="14">
        <f>C42*D42*E42</f>
        <v/>
      </c>
    </row>
    <row r="43">
      <c r="B43" s="13" t="inlineStr">
        <is>
          <t>EJE-12</t>
        </is>
      </c>
      <c r="C43" s="14" t="n">
        <v>1</v>
      </c>
      <c r="D43" s="14" t="n">
        <v>118.38</v>
      </c>
      <c r="E43" s="14">
        <f>PARAMETROS!$B$12</f>
        <v/>
      </c>
      <c r="J43" s="14">
        <f>C43*D43*E43</f>
        <v/>
      </c>
    </row>
    <row r="44">
      <c r="B44" s="13" t="inlineStr">
        <is>
          <t>EJE-13</t>
        </is>
      </c>
      <c r="C44" s="14" t="n">
        <v>1</v>
      </c>
      <c r="D44" s="14" t="n">
        <v>24.38</v>
      </c>
      <c r="E44" s="14">
        <f>PARAMETROS!$B$12</f>
        <v/>
      </c>
      <c r="J44" s="14">
        <f>C44*D44*E44</f>
        <v/>
      </c>
    </row>
    <row r="45">
      <c r="B45" s="13" t="inlineStr">
        <is>
          <t>EJE-14</t>
        </is>
      </c>
      <c r="C45" s="14" t="n">
        <v>1</v>
      </c>
      <c r="D45" s="14" t="n">
        <v>64.93000000000001</v>
      </c>
      <c r="E45" s="14">
        <f>PARAMETROS!$B$12</f>
        <v/>
      </c>
      <c r="J45" s="14">
        <f>C45*D45*E45</f>
        <v/>
      </c>
    </row>
    <row r="46">
      <c r="B46" s="13" t="inlineStr">
        <is>
          <t>EJE-15</t>
        </is>
      </c>
      <c r="C46" s="14" t="n">
        <v>1</v>
      </c>
      <c r="D46" s="14" t="n">
        <v>41.47</v>
      </c>
      <c r="E46" s="14">
        <f>PARAMETROS!$B$12</f>
        <v/>
      </c>
      <c r="J46" s="14">
        <f>C46*D46*E46</f>
        <v/>
      </c>
    </row>
    <row r="47">
      <c r="B47" s="13" t="inlineStr">
        <is>
          <t>EJE-16</t>
        </is>
      </c>
      <c r="C47" s="14" t="n">
        <v>1</v>
      </c>
      <c r="D47" s="14" t="n">
        <v>49.55</v>
      </c>
      <c r="E47" s="14">
        <f>PARAMETROS!$B$12</f>
        <v/>
      </c>
      <c r="J47" s="14">
        <f>C47*D47*E47</f>
        <v/>
      </c>
    </row>
    <row r="48">
      <c r="B48" s="13" t="inlineStr">
        <is>
          <t>EJE-17</t>
        </is>
      </c>
      <c r="C48" s="14" t="n">
        <v>1</v>
      </c>
      <c r="D48" s="14" t="n">
        <v>39.98</v>
      </c>
      <c r="E48" s="14">
        <f>PARAMETROS!$B$12</f>
        <v/>
      </c>
      <c r="J48" s="14">
        <f>C48*D48*E48</f>
        <v/>
      </c>
    </row>
    <row r="49">
      <c r="B49" s="13" t="inlineStr">
        <is>
          <t>EJE-18</t>
        </is>
      </c>
      <c r="C49" s="14" t="n">
        <v>1</v>
      </c>
      <c r="D49" s="14" t="n">
        <v>38.68</v>
      </c>
      <c r="E49" s="14">
        <f>PARAMETROS!$B$12</f>
        <v/>
      </c>
      <c r="J49" s="14">
        <f>C49*D49*E49</f>
        <v/>
      </c>
    </row>
    <row r="50">
      <c r="B50" s="13" t="inlineStr">
        <is>
          <t>EJE-19</t>
        </is>
      </c>
      <c r="C50" s="14" t="n">
        <v>1</v>
      </c>
      <c r="D50" s="14" t="n">
        <v>14.09</v>
      </c>
      <c r="E50" s="14">
        <f>PARAMETROS!$B$12</f>
        <v/>
      </c>
      <c r="J50" s="14">
        <f>C50*D50*E50</f>
        <v/>
      </c>
    </row>
    <row r="51">
      <c r="A51" s="10" t="inlineStr">
        <is>
          <t>01.02</t>
        </is>
      </c>
      <c r="B51" s="10" t="inlineStr">
        <is>
          <t>MOVIMIENTO DE TIERRAS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>
      <c r="A52" s="2" t="inlineStr">
        <is>
          <t>01.02.01</t>
        </is>
      </c>
      <c r="B52" s="2" t="inlineStr">
        <is>
          <t>EXCAVACIÓN MANUAL DE ZANJAS P/CUNETAS</t>
        </is>
      </c>
      <c r="K52" s="12">
        <f>SUM(J53:J71)</f>
        <v/>
      </c>
      <c r="L52" s="2" t="inlineStr">
        <is>
          <t>m³</t>
        </is>
      </c>
    </row>
    <row r="53">
      <c r="B53" s="13" t="inlineStr">
        <is>
          <t>EJE-01 (h prom. 0.386 m)</t>
        </is>
      </c>
      <c r="C53" s="14" t="n">
        <v>1</v>
      </c>
      <c r="D53" s="14" t="n">
        <v>34.34</v>
      </c>
      <c r="E53" s="14">
        <f>PARAMETROS!$B$12</f>
        <v/>
      </c>
      <c r="F53" s="14" t="n">
        <v>0.386</v>
      </c>
      <c r="J53" s="14">
        <f>C53*D53*E53*(F53+PARAMETROS!$B$8+PARAMETROS!$B$10)</f>
        <v/>
      </c>
    </row>
    <row r="54">
      <c r="B54" s="13" t="inlineStr">
        <is>
          <t>EJE-02 (h prom. 0.568 m)</t>
        </is>
      </c>
      <c r="C54" s="14" t="n">
        <v>1</v>
      </c>
      <c r="D54" s="14" t="n">
        <v>76.04000000000001</v>
      </c>
      <c r="E54" s="14">
        <f>PARAMETROS!$B$12</f>
        <v/>
      </c>
      <c r="F54" s="14" t="n">
        <v>0.5679999999999999</v>
      </c>
      <c r="J54" s="14">
        <f>C54*D54*E54*(F54+PARAMETROS!$B$8+PARAMETROS!$B$10)</f>
        <v/>
      </c>
    </row>
    <row r="55">
      <c r="B55" s="13" t="inlineStr">
        <is>
          <t>EJE-03 (h prom. 0.381 m)</t>
        </is>
      </c>
      <c r="C55" s="14" t="n">
        <v>1</v>
      </c>
      <c r="D55" s="14" t="n">
        <v>32.31</v>
      </c>
      <c r="E55" s="14">
        <f>PARAMETROS!$B$12</f>
        <v/>
      </c>
      <c r="F55" s="14" t="n">
        <v>0.381</v>
      </c>
      <c r="J55" s="14">
        <f>C55*D55*E55*(F55+PARAMETROS!$B$8+PARAMETROS!$B$10)</f>
        <v/>
      </c>
    </row>
    <row r="56">
      <c r="B56" s="13" t="inlineStr">
        <is>
          <t>EJE-04 (h prom. 0.536 m)</t>
        </is>
      </c>
      <c r="C56" s="14" t="n">
        <v>1</v>
      </c>
      <c r="D56" s="14" t="n">
        <v>94.34</v>
      </c>
      <c r="E56" s="14">
        <f>PARAMETROS!$B$12</f>
        <v/>
      </c>
      <c r="F56" s="14" t="n">
        <v>0.536</v>
      </c>
      <c r="J56" s="14">
        <f>C56*D56*E56*(F56+PARAMETROS!$B$8+PARAMETROS!$B$10)</f>
        <v/>
      </c>
    </row>
    <row r="57">
      <c r="B57" s="13" t="inlineStr">
        <is>
          <t>EJE-05 (h prom. 0.526 m)</t>
        </is>
      </c>
      <c r="C57" s="14" t="n">
        <v>1</v>
      </c>
      <c r="D57" s="14" t="n">
        <v>90.56</v>
      </c>
      <c r="E57" s="14">
        <f>PARAMETROS!$B$12</f>
        <v/>
      </c>
      <c r="F57" s="14" t="n">
        <v>0.526</v>
      </c>
      <c r="J57" s="14">
        <f>C57*D57*E57*(F57+PARAMETROS!$B$8+PARAMETROS!$B$10)</f>
        <v/>
      </c>
    </row>
    <row r="58">
      <c r="B58" s="13" t="inlineStr">
        <is>
          <t>EJE-06 (h prom. 0.331 m)</t>
        </is>
      </c>
      <c r="C58" s="14" t="n">
        <v>1</v>
      </c>
      <c r="D58" s="14" t="n">
        <v>12.3</v>
      </c>
      <c r="E58" s="14">
        <f>PARAMETROS!$B$12</f>
        <v/>
      </c>
      <c r="F58" s="14" t="n">
        <v>0.331</v>
      </c>
      <c r="J58" s="14">
        <f>C58*D58*E58*(F58+PARAMETROS!$B$8+PARAMETROS!$B$10)</f>
        <v/>
      </c>
    </row>
    <row r="59">
      <c r="B59" s="13" t="inlineStr">
        <is>
          <t>EJE-07 (h prom. 0.669 m)</t>
        </is>
      </c>
      <c r="C59" s="14" t="n">
        <v>1</v>
      </c>
      <c r="D59" s="14" t="n">
        <v>94.69</v>
      </c>
      <c r="E59" s="14">
        <f>PARAMETROS!$B$12</f>
        <v/>
      </c>
      <c r="F59" s="14" t="n">
        <v>0.669</v>
      </c>
      <c r="J59" s="14">
        <f>C59*D59*E59*(F59+PARAMETROS!$B$8+PARAMETROS!$B$10)</f>
        <v/>
      </c>
    </row>
    <row r="60">
      <c r="B60" s="13" t="inlineStr">
        <is>
          <t>EJE-08 (h prom. 0.399 m)</t>
        </is>
      </c>
      <c r="C60" s="14" t="n">
        <v>1</v>
      </c>
      <c r="D60" s="14" t="n">
        <v>39.68</v>
      </c>
      <c r="E60" s="14">
        <f>PARAMETROS!$B$12</f>
        <v/>
      </c>
      <c r="F60" s="14" t="n">
        <v>0.399</v>
      </c>
      <c r="J60" s="14">
        <f>C60*D60*E60*(F60+PARAMETROS!$B$8+PARAMETROS!$B$10)</f>
        <v/>
      </c>
    </row>
    <row r="61">
      <c r="B61" s="13" t="inlineStr">
        <is>
          <t>EJE-09 (h prom. 0.390 m)</t>
        </is>
      </c>
      <c r="C61" s="14" t="n">
        <v>1</v>
      </c>
      <c r="D61" s="14" t="n">
        <v>35.8</v>
      </c>
      <c r="E61" s="14">
        <f>PARAMETROS!$B$12</f>
        <v/>
      </c>
      <c r="F61" s="14" t="n">
        <v>0.39</v>
      </c>
      <c r="J61" s="14">
        <f>C61*D61*E61*(F61+PARAMETROS!$B$8+PARAMETROS!$B$10)</f>
        <v/>
      </c>
    </row>
    <row r="62">
      <c r="B62" s="13" t="inlineStr">
        <is>
          <t>EJE-10 (h prom. 0.392 m)</t>
        </is>
      </c>
      <c r="C62" s="14" t="n">
        <v>1</v>
      </c>
      <c r="D62" s="14" t="n">
        <v>36.9</v>
      </c>
      <c r="E62" s="14">
        <f>PARAMETROS!$B$12</f>
        <v/>
      </c>
      <c r="F62" s="14" t="n">
        <v>0.392</v>
      </c>
      <c r="J62" s="14">
        <f>C62*D62*E62*(F62+PARAMETROS!$B$8+PARAMETROS!$B$10)</f>
        <v/>
      </c>
    </row>
    <row r="63">
      <c r="B63" s="13" t="inlineStr">
        <is>
          <t>EJE-11 (h prom. 0.376 m)</t>
        </is>
      </c>
      <c r="C63" s="14" t="n">
        <v>1</v>
      </c>
      <c r="D63" s="14" t="n">
        <v>30.36</v>
      </c>
      <c r="E63" s="14">
        <f>PARAMETROS!$B$12</f>
        <v/>
      </c>
      <c r="F63" s="14" t="n">
        <v>0.376</v>
      </c>
      <c r="J63" s="14">
        <f>C63*D63*E63*(F63+PARAMETROS!$B$8+PARAMETROS!$B$10)</f>
        <v/>
      </c>
    </row>
    <row r="64">
      <c r="B64" s="13" t="inlineStr">
        <is>
          <t>EJE-12 (h prom. 0.539 m)</t>
        </is>
      </c>
      <c r="C64" s="14" t="n">
        <v>1</v>
      </c>
      <c r="D64" s="14" t="n">
        <v>118.38</v>
      </c>
      <c r="E64" s="14">
        <f>PARAMETROS!$B$12</f>
        <v/>
      </c>
      <c r="F64" s="14" t="n">
        <v>0.539</v>
      </c>
      <c r="J64" s="14">
        <f>C64*D64*E64*(F64+PARAMETROS!$B$8+PARAMETROS!$B$10)</f>
        <v/>
      </c>
    </row>
    <row r="65">
      <c r="B65" s="13" t="inlineStr">
        <is>
          <t>EJE-13 (h prom. 0.361 m)</t>
        </is>
      </c>
      <c r="C65" s="14" t="n">
        <v>1</v>
      </c>
      <c r="D65" s="14" t="n">
        <v>24.38</v>
      </c>
      <c r="E65" s="14">
        <f>PARAMETROS!$B$12</f>
        <v/>
      </c>
      <c r="F65" s="14" t="n">
        <v>0.361</v>
      </c>
      <c r="J65" s="14">
        <f>C65*D65*E65*(F65+PARAMETROS!$B$8+PARAMETROS!$B$10)</f>
        <v/>
      </c>
    </row>
    <row r="66">
      <c r="B66" s="13" t="inlineStr">
        <is>
          <t>EJE-14 (h prom. 0.385 m)</t>
        </is>
      </c>
      <c r="C66" s="14" t="n">
        <v>1</v>
      </c>
      <c r="D66" s="14" t="n">
        <v>64.93000000000001</v>
      </c>
      <c r="E66" s="14">
        <f>PARAMETROS!$B$12</f>
        <v/>
      </c>
      <c r="F66" s="14" t="n">
        <v>0.385</v>
      </c>
      <c r="J66" s="14">
        <f>C66*D66*E66*(F66+PARAMETROS!$B$8+PARAMETROS!$B$10)</f>
        <v/>
      </c>
    </row>
    <row r="67">
      <c r="B67" s="13" t="inlineStr">
        <is>
          <t>EJE-15 (h prom. 0.323 m)</t>
        </is>
      </c>
      <c r="C67" s="14" t="n">
        <v>1</v>
      </c>
      <c r="D67" s="14" t="n">
        <v>41.47</v>
      </c>
      <c r="E67" s="14">
        <f>PARAMETROS!$B$12</f>
        <v/>
      </c>
      <c r="F67" s="14" t="n">
        <v>0.323</v>
      </c>
      <c r="J67" s="14">
        <f>C67*D67*E67*(F67+PARAMETROS!$B$8+PARAMETROS!$B$10)</f>
        <v/>
      </c>
    </row>
    <row r="68">
      <c r="B68" s="13" t="inlineStr">
        <is>
          <t>EJE-16 (h prom. 0.381 m)</t>
        </is>
      </c>
      <c r="C68" s="14" t="n">
        <v>1</v>
      </c>
      <c r="D68" s="14" t="n">
        <v>49.55</v>
      </c>
      <c r="E68" s="14">
        <f>PARAMETROS!$B$12</f>
        <v/>
      </c>
      <c r="F68" s="14" t="n">
        <v>0.381</v>
      </c>
      <c r="J68" s="14">
        <f>C68*D68*E68*(F68+PARAMETROS!$B$8+PARAMETROS!$B$10)</f>
        <v/>
      </c>
    </row>
    <row r="69">
      <c r="B69" s="13" t="inlineStr">
        <is>
          <t>EJE-17 (h prom. 0.404 m)</t>
        </is>
      </c>
      <c r="C69" s="14" t="n">
        <v>1</v>
      </c>
      <c r="D69" s="14" t="n">
        <v>39.98</v>
      </c>
      <c r="E69" s="14">
        <f>PARAMETROS!$B$12</f>
        <v/>
      </c>
      <c r="F69" s="14" t="n">
        <v>0.404</v>
      </c>
      <c r="J69" s="14">
        <f>C69*D69*E69*(F69+PARAMETROS!$B$8+PARAMETROS!$B$10)</f>
        <v/>
      </c>
    </row>
    <row r="70">
      <c r="B70" s="13" t="inlineStr">
        <is>
          <t>EJE-18 (h prom. 0.397 m)</t>
        </is>
      </c>
      <c r="C70" s="14" t="n">
        <v>1</v>
      </c>
      <c r="D70" s="14" t="n">
        <v>38.68</v>
      </c>
      <c r="E70" s="14">
        <f>PARAMETROS!$B$12</f>
        <v/>
      </c>
      <c r="F70" s="14" t="n">
        <v>0.397</v>
      </c>
      <c r="J70" s="14">
        <f>C70*D70*E70*(F70+PARAMETROS!$B$8+PARAMETROS!$B$10)</f>
        <v/>
      </c>
    </row>
    <row r="71">
      <c r="B71" s="13" t="inlineStr">
        <is>
          <t>EJE-19 (h prom. 0.335 m)</t>
        </is>
      </c>
      <c r="C71" s="14" t="n">
        <v>1</v>
      </c>
      <c r="D71" s="14" t="n">
        <v>14.09</v>
      </c>
      <c r="E71" s="14">
        <f>PARAMETROS!$B$12</f>
        <v/>
      </c>
      <c r="F71" s="14" t="n">
        <v>0.335</v>
      </c>
      <c r="J71" s="14">
        <f>C71*D71*E71*(F71+PARAMETROS!$B$8+PARAMETROS!$B$10)</f>
        <v/>
      </c>
    </row>
    <row r="72">
      <c r="A72" s="2" t="inlineStr">
        <is>
          <t>01.02.02</t>
        </is>
      </c>
      <c r="B72" s="2" t="inlineStr">
        <is>
          <t>REFINE, NIVELACIÓN Y COMPACTACIÓN EN TERRENO NORMAL</t>
        </is>
      </c>
      <c r="K72" s="12">
        <f>SUM(J73:J91)</f>
        <v/>
      </c>
      <c r="L72" s="2" t="inlineStr">
        <is>
          <t>m²</t>
        </is>
      </c>
    </row>
    <row r="73">
      <c r="B73" s="13" t="inlineStr">
        <is>
          <t>EJE-01</t>
        </is>
      </c>
      <c r="C73" s="14" t="n">
        <v>1</v>
      </c>
      <c r="D73" s="14" t="n">
        <v>34.34</v>
      </c>
      <c r="E73" s="14">
        <f>PARAMETROS!$B$5</f>
        <v/>
      </c>
      <c r="J73" s="14">
        <f>C73*D73*E73</f>
        <v/>
      </c>
    </row>
    <row r="74">
      <c r="B74" s="13" t="inlineStr">
        <is>
          <t>EJE-02</t>
        </is>
      </c>
      <c r="C74" s="14" t="n">
        <v>1</v>
      </c>
      <c r="D74" s="14" t="n">
        <v>76.04000000000001</v>
      </c>
      <c r="E74" s="14">
        <f>PARAMETROS!$B$5</f>
        <v/>
      </c>
      <c r="J74" s="14">
        <f>C74*D74*E74</f>
        <v/>
      </c>
    </row>
    <row r="75">
      <c r="B75" s="13" t="inlineStr">
        <is>
          <t>EJE-03</t>
        </is>
      </c>
      <c r="C75" s="14" t="n">
        <v>1</v>
      </c>
      <c r="D75" s="14" t="n">
        <v>32.31</v>
      </c>
      <c r="E75" s="14">
        <f>PARAMETROS!$B$5</f>
        <v/>
      </c>
      <c r="J75" s="14">
        <f>C75*D75*E75</f>
        <v/>
      </c>
    </row>
    <row r="76">
      <c r="B76" s="13" t="inlineStr">
        <is>
          <t>EJE-04</t>
        </is>
      </c>
      <c r="C76" s="14" t="n">
        <v>1</v>
      </c>
      <c r="D76" s="14" t="n">
        <v>94.34</v>
      </c>
      <c r="E76" s="14">
        <f>PARAMETROS!$B$5</f>
        <v/>
      </c>
      <c r="J76" s="14">
        <f>C76*D76*E76</f>
        <v/>
      </c>
    </row>
    <row r="77">
      <c r="B77" s="13" t="inlineStr">
        <is>
          <t>EJE-05</t>
        </is>
      </c>
      <c r="C77" s="14" t="n">
        <v>1</v>
      </c>
      <c r="D77" s="14" t="n">
        <v>90.56</v>
      </c>
      <c r="E77" s="14">
        <f>PARAMETROS!$B$5</f>
        <v/>
      </c>
      <c r="J77" s="14">
        <f>C77*D77*E77</f>
        <v/>
      </c>
    </row>
    <row r="78">
      <c r="B78" s="13" t="inlineStr">
        <is>
          <t>EJE-06</t>
        </is>
      </c>
      <c r="C78" s="14" t="n">
        <v>1</v>
      </c>
      <c r="D78" s="14" t="n">
        <v>12.3</v>
      </c>
      <c r="E78" s="14">
        <f>PARAMETROS!$B$5</f>
        <v/>
      </c>
      <c r="J78" s="14">
        <f>C78*D78*E78</f>
        <v/>
      </c>
    </row>
    <row r="79">
      <c r="B79" s="13" t="inlineStr">
        <is>
          <t>EJE-07</t>
        </is>
      </c>
      <c r="C79" s="14" t="n">
        <v>1</v>
      </c>
      <c r="D79" s="14" t="n">
        <v>94.69</v>
      </c>
      <c r="E79" s="14">
        <f>PARAMETROS!$B$5</f>
        <v/>
      </c>
      <c r="J79" s="14">
        <f>C79*D79*E79</f>
        <v/>
      </c>
    </row>
    <row r="80">
      <c r="B80" s="13" t="inlineStr">
        <is>
          <t>EJE-08</t>
        </is>
      </c>
      <c r="C80" s="14" t="n">
        <v>1</v>
      </c>
      <c r="D80" s="14" t="n">
        <v>39.68</v>
      </c>
      <c r="E80" s="14">
        <f>PARAMETROS!$B$5</f>
        <v/>
      </c>
      <c r="J80" s="14">
        <f>C80*D80*E80</f>
        <v/>
      </c>
    </row>
    <row r="81">
      <c r="B81" s="13" t="inlineStr">
        <is>
          <t>EJE-09</t>
        </is>
      </c>
      <c r="C81" s="14" t="n">
        <v>1</v>
      </c>
      <c r="D81" s="14" t="n">
        <v>35.8</v>
      </c>
      <c r="E81" s="14">
        <f>PARAMETROS!$B$5</f>
        <v/>
      </c>
      <c r="J81" s="14">
        <f>C81*D81*E81</f>
        <v/>
      </c>
    </row>
    <row r="82">
      <c r="B82" s="13" t="inlineStr">
        <is>
          <t>EJE-10</t>
        </is>
      </c>
      <c r="C82" s="14" t="n">
        <v>1</v>
      </c>
      <c r="D82" s="14" t="n">
        <v>36.9</v>
      </c>
      <c r="E82" s="14">
        <f>PARAMETROS!$B$5</f>
        <v/>
      </c>
      <c r="J82" s="14">
        <f>C82*D82*E82</f>
        <v/>
      </c>
    </row>
    <row r="83">
      <c r="B83" s="13" t="inlineStr">
        <is>
          <t>EJE-11</t>
        </is>
      </c>
      <c r="C83" s="14" t="n">
        <v>1</v>
      </c>
      <c r="D83" s="14" t="n">
        <v>30.36</v>
      </c>
      <c r="E83" s="14">
        <f>PARAMETROS!$B$5</f>
        <v/>
      </c>
      <c r="J83" s="14">
        <f>C83*D83*E83</f>
        <v/>
      </c>
    </row>
    <row r="84">
      <c r="B84" s="13" t="inlineStr">
        <is>
          <t>EJE-12</t>
        </is>
      </c>
      <c r="C84" s="14" t="n">
        <v>1</v>
      </c>
      <c r="D84" s="14" t="n">
        <v>118.38</v>
      </c>
      <c r="E84" s="14">
        <f>PARAMETROS!$B$5</f>
        <v/>
      </c>
      <c r="J84" s="14">
        <f>C84*D84*E84</f>
        <v/>
      </c>
    </row>
    <row r="85">
      <c r="B85" s="13" t="inlineStr">
        <is>
          <t>EJE-13</t>
        </is>
      </c>
      <c r="C85" s="14" t="n">
        <v>1</v>
      </c>
      <c r="D85" s="14" t="n">
        <v>24.38</v>
      </c>
      <c r="E85" s="14">
        <f>PARAMETROS!$B$5</f>
        <v/>
      </c>
      <c r="J85" s="14">
        <f>C85*D85*E85</f>
        <v/>
      </c>
    </row>
    <row r="86">
      <c r="B86" s="13" t="inlineStr">
        <is>
          <t>EJE-14</t>
        </is>
      </c>
      <c r="C86" s="14" t="n">
        <v>1</v>
      </c>
      <c r="D86" s="14" t="n">
        <v>64.93000000000001</v>
      </c>
      <c r="E86" s="14">
        <f>PARAMETROS!$B$5</f>
        <v/>
      </c>
      <c r="J86" s="14">
        <f>C86*D86*E86</f>
        <v/>
      </c>
    </row>
    <row r="87">
      <c r="B87" s="13" t="inlineStr">
        <is>
          <t>EJE-15</t>
        </is>
      </c>
      <c r="C87" s="14" t="n">
        <v>1</v>
      </c>
      <c r="D87" s="14" t="n">
        <v>41.47</v>
      </c>
      <c r="E87" s="14">
        <f>PARAMETROS!$B$5</f>
        <v/>
      </c>
      <c r="J87" s="14">
        <f>C87*D87*E87</f>
        <v/>
      </c>
    </row>
    <row r="88">
      <c r="B88" s="13" t="inlineStr">
        <is>
          <t>EJE-16</t>
        </is>
      </c>
      <c r="C88" s="14" t="n">
        <v>1</v>
      </c>
      <c r="D88" s="14" t="n">
        <v>49.55</v>
      </c>
      <c r="E88" s="14">
        <f>PARAMETROS!$B$5</f>
        <v/>
      </c>
      <c r="J88" s="14">
        <f>C88*D88*E88</f>
        <v/>
      </c>
    </row>
    <row r="89">
      <c r="B89" s="13" t="inlineStr">
        <is>
          <t>EJE-17</t>
        </is>
      </c>
      <c r="C89" s="14" t="n">
        <v>1</v>
      </c>
      <c r="D89" s="14" t="n">
        <v>39.98</v>
      </c>
      <c r="E89" s="14">
        <f>PARAMETROS!$B$5</f>
        <v/>
      </c>
      <c r="J89" s="14">
        <f>C89*D89*E89</f>
        <v/>
      </c>
    </row>
    <row r="90">
      <c r="B90" s="13" t="inlineStr">
        <is>
          <t>EJE-18</t>
        </is>
      </c>
      <c r="C90" s="14" t="n">
        <v>1</v>
      </c>
      <c r="D90" s="14" t="n">
        <v>38.68</v>
      </c>
      <c r="E90" s="14">
        <f>PARAMETROS!$B$5</f>
        <v/>
      </c>
      <c r="J90" s="14">
        <f>C90*D90*E90</f>
        <v/>
      </c>
    </row>
    <row r="91">
      <c r="B91" s="13" t="inlineStr">
        <is>
          <t>EJE-19</t>
        </is>
      </c>
      <c r="C91" s="14" t="n">
        <v>1</v>
      </c>
      <c r="D91" s="14" t="n">
        <v>14.09</v>
      </c>
      <c r="E91" s="14">
        <f>PARAMETROS!$B$5</f>
        <v/>
      </c>
      <c r="J91" s="14">
        <f>C91*D91*E91</f>
        <v/>
      </c>
    </row>
    <row r="92">
      <c r="A92" s="2" t="inlineStr">
        <is>
          <t>01.02.03</t>
        </is>
      </c>
      <c r="B92" s="2" t="inlineStr">
        <is>
          <t>RELLENO COMPACTADO C/MATERIAL PROPIO SELECCIONADO</t>
        </is>
      </c>
      <c r="K92" s="12">
        <f>SUM(J93:J111)</f>
        <v/>
      </c>
      <c r="L92" s="2" t="inlineStr">
        <is>
          <t>m³</t>
        </is>
      </c>
    </row>
    <row r="93">
      <c r="B93" s="13" t="inlineStr">
        <is>
          <t>EJE-01 (a los lados de la cuneta)</t>
        </is>
      </c>
      <c r="C93" s="14" t="n">
        <v>1</v>
      </c>
      <c r="D93" s="14" t="n">
        <v>34.34</v>
      </c>
      <c r="E93" s="14">
        <f>PARAMETROS!$B$12-PARAMETROS!$B$5</f>
        <v/>
      </c>
      <c r="F93" s="14" t="n">
        <v>0.386</v>
      </c>
      <c r="J93" s="14">
        <f>C93*D93*E93*(F93+PARAMETROS!$B$8+PARAMETROS!$B$10)</f>
        <v/>
      </c>
    </row>
    <row r="94">
      <c r="B94" s="13" t="inlineStr">
        <is>
          <t>EJE-02 (a los lados de la cuneta)</t>
        </is>
      </c>
      <c r="C94" s="14" t="n">
        <v>1</v>
      </c>
      <c r="D94" s="14" t="n">
        <v>76.04000000000001</v>
      </c>
      <c r="E94" s="14">
        <f>PARAMETROS!$B$12-PARAMETROS!$B$5</f>
        <v/>
      </c>
      <c r="F94" s="14" t="n">
        <v>0.5679999999999999</v>
      </c>
      <c r="J94" s="14">
        <f>C94*D94*E94*(F94+PARAMETROS!$B$8+PARAMETROS!$B$10)</f>
        <v/>
      </c>
    </row>
    <row r="95">
      <c r="B95" s="13" t="inlineStr">
        <is>
          <t>EJE-03 (a los lados de la cuneta)</t>
        </is>
      </c>
      <c r="C95" s="14" t="n">
        <v>1</v>
      </c>
      <c r="D95" s="14" t="n">
        <v>32.31</v>
      </c>
      <c r="E95" s="14">
        <f>PARAMETROS!$B$12-PARAMETROS!$B$5</f>
        <v/>
      </c>
      <c r="F95" s="14" t="n">
        <v>0.381</v>
      </c>
      <c r="J95" s="14">
        <f>C95*D95*E95*(F95+PARAMETROS!$B$8+PARAMETROS!$B$10)</f>
        <v/>
      </c>
    </row>
    <row r="96">
      <c r="B96" s="13" t="inlineStr">
        <is>
          <t>EJE-04 (a los lados de la cuneta)</t>
        </is>
      </c>
      <c r="C96" s="14" t="n">
        <v>1</v>
      </c>
      <c r="D96" s="14" t="n">
        <v>94.34</v>
      </c>
      <c r="E96" s="14">
        <f>PARAMETROS!$B$12-PARAMETROS!$B$5</f>
        <v/>
      </c>
      <c r="F96" s="14" t="n">
        <v>0.536</v>
      </c>
      <c r="J96" s="14">
        <f>C96*D96*E96*(F96+PARAMETROS!$B$8+PARAMETROS!$B$10)</f>
        <v/>
      </c>
    </row>
    <row r="97">
      <c r="B97" s="13" t="inlineStr">
        <is>
          <t>EJE-05 (a los lados de la cuneta)</t>
        </is>
      </c>
      <c r="C97" s="14" t="n">
        <v>1</v>
      </c>
      <c r="D97" s="14" t="n">
        <v>90.56</v>
      </c>
      <c r="E97" s="14">
        <f>PARAMETROS!$B$12-PARAMETROS!$B$5</f>
        <v/>
      </c>
      <c r="F97" s="14" t="n">
        <v>0.526</v>
      </c>
      <c r="J97" s="14">
        <f>C97*D97*E97*(F97+PARAMETROS!$B$8+PARAMETROS!$B$10)</f>
        <v/>
      </c>
    </row>
    <row r="98">
      <c r="B98" s="13" t="inlineStr">
        <is>
          <t>EJE-06 (a los lados de la cuneta)</t>
        </is>
      </c>
      <c r="C98" s="14" t="n">
        <v>1</v>
      </c>
      <c r="D98" s="14" t="n">
        <v>12.3</v>
      </c>
      <c r="E98" s="14">
        <f>PARAMETROS!$B$12-PARAMETROS!$B$5</f>
        <v/>
      </c>
      <c r="F98" s="14" t="n">
        <v>0.331</v>
      </c>
      <c r="J98" s="14">
        <f>C98*D98*E98*(F98+PARAMETROS!$B$8+PARAMETROS!$B$10)</f>
        <v/>
      </c>
    </row>
    <row r="99">
      <c r="B99" s="13" t="inlineStr">
        <is>
          <t>EJE-07 (a los lados de la cuneta)</t>
        </is>
      </c>
      <c r="C99" s="14" t="n">
        <v>1</v>
      </c>
      <c r="D99" s="14" t="n">
        <v>94.69</v>
      </c>
      <c r="E99" s="14">
        <f>PARAMETROS!$B$12-PARAMETROS!$B$5</f>
        <v/>
      </c>
      <c r="F99" s="14" t="n">
        <v>0.669</v>
      </c>
      <c r="J99" s="14">
        <f>C99*D99*E99*(F99+PARAMETROS!$B$8+PARAMETROS!$B$10)</f>
        <v/>
      </c>
    </row>
    <row r="100">
      <c r="B100" s="13" t="inlineStr">
        <is>
          <t>EJE-08 (a los lados de la cuneta)</t>
        </is>
      </c>
      <c r="C100" s="14" t="n">
        <v>1</v>
      </c>
      <c r="D100" s="14" t="n">
        <v>39.68</v>
      </c>
      <c r="E100" s="14">
        <f>PARAMETROS!$B$12-PARAMETROS!$B$5</f>
        <v/>
      </c>
      <c r="F100" s="14" t="n">
        <v>0.399</v>
      </c>
      <c r="J100" s="14">
        <f>C100*D100*E100*(F100+PARAMETROS!$B$8+PARAMETROS!$B$10)</f>
        <v/>
      </c>
    </row>
    <row r="101">
      <c r="B101" s="13" t="inlineStr">
        <is>
          <t>EJE-09 (a los lados de la cuneta)</t>
        </is>
      </c>
      <c r="C101" s="14" t="n">
        <v>1</v>
      </c>
      <c r="D101" s="14" t="n">
        <v>35.8</v>
      </c>
      <c r="E101" s="14">
        <f>PARAMETROS!$B$12-PARAMETROS!$B$5</f>
        <v/>
      </c>
      <c r="F101" s="14" t="n">
        <v>0.39</v>
      </c>
      <c r="J101" s="14">
        <f>C101*D101*E101*(F101+PARAMETROS!$B$8+PARAMETROS!$B$10)</f>
        <v/>
      </c>
    </row>
    <row r="102">
      <c r="B102" s="13" t="inlineStr">
        <is>
          <t>EJE-10 (a los lados de la cuneta)</t>
        </is>
      </c>
      <c r="C102" s="14" t="n">
        <v>1</v>
      </c>
      <c r="D102" s="14" t="n">
        <v>36.9</v>
      </c>
      <c r="E102" s="14">
        <f>PARAMETROS!$B$12-PARAMETROS!$B$5</f>
        <v/>
      </c>
      <c r="F102" s="14" t="n">
        <v>0.392</v>
      </c>
      <c r="J102" s="14">
        <f>C102*D102*E102*(F102+PARAMETROS!$B$8+PARAMETROS!$B$10)</f>
        <v/>
      </c>
    </row>
    <row r="103">
      <c r="B103" s="13" t="inlineStr">
        <is>
          <t>EJE-11 (a los lados de la cuneta)</t>
        </is>
      </c>
      <c r="C103" s="14" t="n">
        <v>1</v>
      </c>
      <c r="D103" s="14" t="n">
        <v>30.36</v>
      </c>
      <c r="E103" s="14">
        <f>PARAMETROS!$B$12-PARAMETROS!$B$5</f>
        <v/>
      </c>
      <c r="F103" s="14" t="n">
        <v>0.376</v>
      </c>
      <c r="J103" s="14">
        <f>C103*D103*E103*(F103+PARAMETROS!$B$8+PARAMETROS!$B$10)</f>
        <v/>
      </c>
    </row>
    <row r="104">
      <c r="B104" s="13" t="inlineStr">
        <is>
          <t>EJE-12 (a los lados de la cuneta)</t>
        </is>
      </c>
      <c r="C104" s="14" t="n">
        <v>1</v>
      </c>
      <c r="D104" s="14" t="n">
        <v>118.38</v>
      </c>
      <c r="E104" s="14">
        <f>PARAMETROS!$B$12-PARAMETROS!$B$5</f>
        <v/>
      </c>
      <c r="F104" s="14" t="n">
        <v>0.539</v>
      </c>
      <c r="J104" s="14">
        <f>C104*D104*E104*(F104+PARAMETROS!$B$8+PARAMETROS!$B$10)</f>
        <v/>
      </c>
    </row>
    <row r="105">
      <c r="B105" s="13" t="inlineStr">
        <is>
          <t>EJE-13 (a los lados de la cuneta)</t>
        </is>
      </c>
      <c r="C105" s="14" t="n">
        <v>1</v>
      </c>
      <c r="D105" s="14" t="n">
        <v>24.38</v>
      </c>
      <c r="E105" s="14">
        <f>PARAMETROS!$B$12-PARAMETROS!$B$5</f>
        <v/>
      </c>
      <c r="F105" s="14" t="n">
        <v>0.361</v>
      </c>
      <c r="J105" s="14">
        <f>C105*D105*E105*(F105+PARAMETROS!$B$8+PARAMETROS!$B$10)</f>
        <v/>
      </c>
    </row>
    <row r="106">
      <c r="B106" s="13" t="inlineStr">
        <is>
          <t>EJE-14 (a los lados de la cuneta)</t>
        </is>
      </c>
      <c r="C106" s="14" t="n">
        <v>1</v>
      </c>
      <c r="D106" s="14" t="n">
        <v>64.93000000000001</v>
      </c>
      <c r="E106" s="14">
        <f>PARAMETROS!$B$12-PARAMETROS!$B$5</f>
        <v/>
      </c>
      <c r="F106" s="14" t="n">
        <v>0.385</v>
      </c>
      <c r="J106" s="14">
        <f>C106*D106*E106*(F106+PARAMETROS!$B$8+PARAMETROS!$B$10)</f>
        <v/>
      </c>
    </row>
    <row r="107">
      <c r="B107" s="13" t="inlineStr">
        <is>
          <t>EJE-15 (a los lados de la cuneta)</t>
        </is>
      </c>
      <c r="C107" s="14" t="n">
        <v>1</v>
      </c>
      <c r="D107" s="14" t="n">
        <v>41.47</v>
      </c>
      <c r="E107" s="14">
        <f>PARAMETROS!$B$12-PARAMETROS!$B$5</f>
        <v/>
      </c>
      <c r="F107" s="14" t="n">
        <v>0.323</v>
      </c>
      <c r="J107" s="14">
        <f>C107*D107*E107*(F107+PARAMETROS!$B$8+PARAMETROS!$B$10)</f>
        <v/>
      </c>
    </row>
    <row r="108">
      <c r="B108" s="13" t="inlineStr">
        <is>
          <t>EJE-16 (a los lados de la cuneta)</t>
        </is>
      </c>
      <c r="C108" s="14" t="n">
        <v>1</v>
      </c>
      <c r="D108" s="14" t="n">
        <v>49.55</v>
      </c>
      <c r="E108" s="14">
        <f>PARAMETROS!$B$12-PARAMETROS!$B$5</f>
        <v/>
      </c>
      <c r="F108" s="14" t="n">
        <v>0.381</v>
      </c>
      <c r="J108" s="14">
        <f>C108*D108*E108*(F108+PARAMETROS!$B$8+PARAMETROS!$B$10)</f>
        <v/>
      </c>
    </row>
    <row r="109">
      <c r="B109" s="13" t="inlineStr">
        <is>
          <t>EJE-17 (a los lados de la cuneta)</t>
        </is>
      </c>
      <c r="C109" s="14" t="n">
        <v>1</v>
      </c>
      <c r="D109" s="14" t="n">
        <v>39.98</v>
      </c>
      <c r="E109" s="14">
        <f>PARAMETROS!$B$12-PARAMETROS!$B$5</f>
        <v/>
      </c>
      <c r="F109" s="14" t="n">
        <v>0.404</v>
      </c>
      <c r="J109" s="14">
        <f>C109*D109*E109*(F109+PARAMETROS!$B$8+PARAMETROS!$B$10)</f>
        <v/>
      </c>
    </row>
    <row r="110">
      <c r="B110" s="13" t="inlineStr">
        <is>
          <t>EJE-18 (a los lados de la cuneta)</t>
        </is>
      </c>
      <c r="C110" s="14" t="n">
        <v>1</v>
      </c>
      <c r="D110" s="14" t="n">
        <v>38.68</v>
      </c>
      <c r="E110" s="14">
        <f>PARAMETROS!$B$12-PARAMETROS!$B$5</f>
        <v/>
      </c>
      <c r="F110" s="14" t="n">
        <v>0.397</v>
      </c>
      <c r="J110" s="14">
        <f>C110*D110*E110*(F110+PARAMETROS!$B$8+PARAMETROS!$B$10)</f>
        <v/>
      </c>
    </row>
    <row r="111">
      <c r="B111" s="13" t="inlineStr">
        <is>
          <t>EJE-19 (a los lados de la cuneta)</t>
        </is>
      </c>
      <c r="C111" s="14" t="n">
        <v>1</v>
      </c>
      <c r="D111" s="14" t="n">
        <v>14.09</v>
      </c>
      <c r="E111" s="14">
        <f>PARAMETROS!$B$12-PARAMETROS!$B$5</f>
        <v/>
      </c>
      <c r="F111" s="14" t="n">
        <v>0.335</v>
      </c>
      <c r="J111" s="14">
        <f>C111*D111*E111*(F111+PARAMETROS!$B$8+PARAMETROS!$B$10)</f>
        <v/>
      </c>
    </row>
    <row r="112">
      <c r="A112" s="2" t="inlineStr">
        <is>
          <t>01.02.04</t>
        </is>
      </c>
      <c r="B112" s="2" t="inlineStr">
        <is>
          <t>ELIMINACIÓN DE MATERIAL EXCEDENTE D&lt;1Km</t>
        </is>
      </c>
      <c r="K112" s="12">
        <f>SUM(J113:J113)</f>
        <v/>
      </c>
      <c r="L112" s="2" t="inlineStr">
        <is>
          <t>m³</t>
        </is>
      </c>
    </row>
    <row r="113">
      <c r="B113" s="13" t="inlineStr">
        <is>
          <t>(Excavacion - relleno) x esponjamiento</t>
        </is>
      </c>
      <c r="G113" s="14">
        <f>PARAMETROS!$B$14</f>
        <v/>
      </c>
      <c r="J113" s="14">
        <f>(K52-K92)*G113</f>
        <v/>
      </c>
    </row>
    <row r="114">
      <c r="A114" s="2" t="inlineStr">
        <is>
          <t>01.02.05</t>
        </is>
      </c>
      <c r="B114" s="2" t="inlineStr">
        <is>
          <t>PERFILADO MANUAL DE TERRENO EN DESCARGAS</t>
        </is>
      </c>
      <c r="K114" s="12">
        <f>SUM(J115:J118)</f>
        <v/>
      </c>
      <c r="L114" s="2" t="inlineStr">
        <is>
          <t>m²</t>
        </is>
      </c>
    </row>
    <row r="115">
      <c r="B115" s="13" t="inlineStr">
        <is>
          <t>Descarga D1 (C.F. 183.759)</t>
        </is>
      </c>
      <c r="C115" s="14" t="n">
        <v>1</v>
      </c>
      <c r="D115" s="14" t="n">
        <v>0.5</v>
      </c>
      <c r="E115" s="14">
        <f>PARAMETROS!$B$5</f>
        <v/>
      </c>
      <c r="J115" s="14">
        <f>C115*D115*E115</f>
        <v/>
      </c>
    </row>
    <row r="116">
      <c r="B116" s="13" t="inlineStr">
        <is>
          <t>Descarga D2 (C.F. 183.758)</t>
        </is>
      </c>
      <c r="C116" s="14" t="n">
        <v>1</v>
      </c>
      <c r="D116" s="14" t="n">
        <v>0.25</v>
      </c>
      <c r="E116" s="14">
        <f>PARAMETROS!$B$5</f>
        <v/>
      </c>
      <c r="J116" s="14">
        <f>C116*D116*E116</f>
        <v/>
      </c>
    </row>
    <row r="117">
      <c r="B117" s="13" t="inlineStr">
        <is>
          <t>Descarga D3 (C.F. 183.736)</t>
        </is>
      </c>
      <c r="C117" s="14" t="n">
        <v>1</v>
      </c>
      <c r="D117" s="14" t="n">
        <v>0.5</v>
      </c>
      <c r="E117" s="14">
        <f>PARAMETROS!$B$5</f>
        <v/>
      </c>
      <c r="J117" s="14">
        <f>C117*D117*E117</f>
        <v/>
      </c>
    </row>
    <row r="118">
      <c r="B118" s="13" t="inlineStr">
        <is>
          <t>Descarga D4 (C.F. 184.145)</t>
        </is>
      </c>
      <c r="C118" s="14" t="n">
        <v>1</v>
      </c>
      <c r="D118" s="14" t="n">
        <v>0.5</v>
      </c>
      <c r="E118" s="14">
        <f>PARAMETROS!$B$5</f>
        <v/>
      </c>
      <c r="J118" s="14">
        <f>C118*D118*E118</f>
        <v/>
      </c>
    </row>
    <row r="119">
      <c r="A119" s="10" t="inlineStr">
        <is>
          <t>01.03</t>
        </is>
      </c>
      <c r="B119" s="10" t="inlineStr">
        <is>
          <t>OBRAS DE CONCRETO SIMPLE</t>
        </is>
      </c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</row>
    <row r="120">
      <c r="A120" s="2" t="inlineStr">
        <is>
          <t>01.03.01</t>
        </is>
      </c>
      <c r="B120" s="2" t="inlineStr">
        <is>
          <t>CONCRETO f'c=100 kg/cm2 PARA SOLADO E=4''</t>
        </is>
      </c>
      <c r="K120" s="12">
        <f>SUM(J121:J139)</f>
        <v/>
      </c>
      <c r="L120" s="2" t="inlineStr">
        <is>
          <t>m²</t>
        </is>
      </c>
    </row>
    <row r="121">
      <c r="B121" s="13" t="inlineStr">
        <is>
          <t>EJE-01</t>
        </is>
      </c>
      <c r="C121" s="14" t="n">
        <v>1</v>
      </c>
      <c r="D121" s="14" t="n">
        <v>34.34</v>
      </c>
      <c r="E121" s="14">
        <f>PARAMETROS!$B$5</f>
        <v/>
      </c>
      <c r="J121" s="14">
        <f>C121*D121*E121</f>
        <v/>
      </c>
    </row>
    <row r="122">
      <c r="B122" s="13" t="inlineStr">
        <is>
          <t>EJE-02</t>
        </is>
      </c>
      <c r="C122" s="14" t="n">
        <v>1</v>
      </c>
      <c r="D122" s="14" t="n">
        <v>76.04000000000001</v>
      </c>
      <c r="E122" s="14">
        <f>PARAMETROS!$B$5</f>
        <v/>
      </c>
      <c r="J122" s="14">
        <f>C122*D122*E122</f>
        <v/>
      </c>
    </row>
    <row r="123">
      <c r="B123" s="13" t="inlineStr">
        <is>
          <t>EJE-03</t>
        </is>
      </c>
      <c r="C123" s="14" t="n">
        <v>1</v>
      </c>
      <c r="D123" s="14" t="n">
        <v>32.31</v>
      </c>
      <c r="E123" s="14">
        <f>PARAMETROS!$B$5</f>
        <v/>
      </c>
      <c r="J123" s="14">
        <f>C123*D123*E123</f>
        <v/>
      </c>
    </row>
    <row r="124">
      <c r="B124" s="13" t="inlineStr">
        <is>
          <t>EJE-04</t>
        </is>
      </c>
      <c r="C124" s="14" t="n">
        <v>1</v>
      </c>
      <c r="D124" s="14" t="n">
        <v>94.34</v>
      </c>
      <c r="E124" s="14">
        <f>PARAMETROS!$B$5</f>
        <v/>
      </c>
      <c r="J124" s="14">
        <f>C124*D124*E124</f>
        <v/>
      </c>
    </row>
    <row r="125">
      <c r="B125" s="13" t="inlineStr">
        <is>
          <t>EJE-05</t>
        </is>
      </c>
      <c r="C125" s="14" t="n">
        <v>1</v>
      </c>
      <c r="D125" s="14" t="n">
        <v>90.56</v>
      </c>
      <c r="E125" s="14">
        <f>PARAMETROS!$B$5</f>
        <v/>
      </c>
      <c r="J125" s="14">
        <f>C125*D125*E125</f>
        <v/>
      </c>
    </row>
    <row r="126">
      <c r="B126" s="13" t="inlineStr">
        <is>
          <t>EJE-06</t>
        </is>
      </c>
      <c r="C126" s="14" t="n">
        <v>1</v>
      </c>
      <c r="D126" s="14" t="n">
        <v>12.3</v>
      </c>
      <c r="E126" s="14">
        <f>PARAMETROS!$B$5</f>
        <v/>
      </c>
      <c r="J126" s="14">
        <f>C126*D126*E126</f>
        <v/>
      </c>
    </row>
    <row r="127">
      <c r="B127" s="13" t="inlineStr">
        <is>
          <t>EJE-07</t>
        </is>
      </c>
      <c r="C127" s="14" t="n">
        <v>1</v>
      </c>
      <c r="D127" s="14" t="n">
        <v>94.69</v>
      </c>
      <c r="E127" s="14">
        <f>PARAMETROS!$B$5</f>
        <v/>
      </c>
      <c r="J127" s="14">
        <f>C127*D127*E127</f>
        <v/>
      </c>
    </row>
    <row r="128">
      <c r="B128" s="13" t="inlineStr">
        <is>
          <t>EJE-08</t>
        </is>
      </c>
      <c r="C128" s="14" t="n">
        <v>1</v>
      </c>
      <c r="D128" s="14" t="n">
        <v>39.68</v>
      </c>
      <c r="E128" s="14">
        <f>PARAMETROS!$B$5</f>
        <v/>
      </c>
      <c r="J128" s="14">
        <f>C128*D128*E128</f>
        <v/>
      </c>
    </row>
    <row r="129">
      <c r="B129" s="13" t="inlineStr">
        <is>
          <t>EJE-09</t>
        </is>
      </c>
      <c r="C129" s="14" t="n">
        <v>1</v>
      </c>
      <c r="D129" s="14" t="n">
        <v>35.8</v>
      </c>
      <c r="E129" s="14">
        <f>PARAMETROS!$B$5</f>
        <v/>
      </c>
      <c r="J129" s="14">
        <f>C129*D129*E129</f>
        <v/>
      </c>
    </row>
    <row r="130">
      <c r="B130" s="13" t="inlineStr">
        <is>
          <t>EJE-10</t>
        </is>
      </c>
      <c r="C130" s="14" t="n">
        <v>1</v>
      </c>
      <c r="D130" s="14" t="n">
        <v>36.9</v>
      </c>
      <c r="E130" s="14">
        <f>PARAMETROS!$B$5</f>
        <v/>
      </c>
      <c r="J130" s="14">
        <f>C130*D130*E130</f>
        <v/>
      </c>
    </row>
    <row r="131">
      <c r="B131" s="13" t="inlineStr">
        <is>
          <t>EJE-11</t>
        </is>
      </c>
      <c r="C131" s="14" t="n">
        <v>1</v>
      </c>
      <c r="D131" s="14" t="n">
        <v>30.36</v>
      </c>
      <c r="E131" s="14">
        <f>PARAMETROS!$B$5</f>
        <v/>
      </c>
      <c r="J131" s="14">
        <f>C131*D131*E131</f>
        <v/>
      </c>
    </row>
    <row r="132">
      <c r="B132" s="13" t="inlineStr">
        <is>
          <t>EJE-12</t>
        </is>
      </c>
      <c r="C132" s="14" t="n">
        <v>1</v>
      </c>
      <c r="D132" s="14" t="n">
        <v>118.38</v>
      </c>
      <c r="E132" s="14">
        <f>PARAMETROS!$B$5</f>
        <v/>
      </c>
      <c r="J132" s="14">
        <f>C132*D132*E132</f>
        <v/>
      </c>
    </row>
    <row r="133">
      <c r="B133" s="13" t="inlineStr">
        <is>
          <t>EJE-13</t>
        </is>
      </c>
      <c r="C133" s="14" t="n">
        <v>1</v>
      </c>
      <c r="D133" s="14" t="n">
        <v>24.38</v>
      </c>
      <c r="E133" s="14">
        <f>PARAMETROS!$B$5</f>
        <v/>
      </c>
      <c r="J133" s="14">
        <f>C133*D133*E133</f>
        <v/>
      </c>
    </row>
    <row r="134">
      <c r="B134" s="13" t="inlineStr">
        <is>
          <t>EJE-14</t>
        </is>
      </c>
      <c r="C134" s="14" t="n">
        <v>1</v>
      </c>
      <c r="D134" s="14" t="n">
        <v>64.93000000000001</v>
      </c>
      <c r="E134" s="14">
        <f>PARAMETROS!$B$5</f>
        <v/>
      </c>
      <c r="J134" s="14">
        <f>C134*D134*E134</f>
        <v/>
      </c>
    </row>
    <row r="135">
      <c r="B135" s="13" t="inlineStr">
        <is>
          <t>EJE-15</t>
        </is>
      </c>
      <c r="C135" s="14" t="n">
        <v>1</v>
      </c>
      <c r="D135" s="14" t="n">
        <v>41.47</v>
      </c>
      <c r="E135" s="14">
        <f>PARAMETROS!$B$5</f>
        <v/>
      </c>
      <c r="J135" s="14">
        <f>C135*D135*E135</f>
        <v/>
      </c>
    </row>
    <row r="136">
      <c r="B136" s="13" t="inlineStr">
        <is>
          <t>EJE-16</t>
        </is>
      </c>
      <c r="C136" s="14" t="n">
        <v>1</v>
      </c>
      <c r="D136" s="14" t="n">
        <v>49.55</v>
      </c>
      <c r="E136" s="14">
        <f>PARAMETROS!$B$5</f>
        <v/>
      </c>
      <c r="J136" s="14">
        <f>C136*D136*E136</f>
        <v/>
      </c>
    </row>
    <row r="137">
      <c r="B137" s="13" t="inlineStr">
        <is>
          <t>EJE-17</t>
        </is>
      </c>
      <c r="C137" s="14" t="n">
        <v>1</v>
      </c>
      <c r="D137" s="14" t="n">
        <v>39.98</v>
      </c>
      <c r="E137" s="14">
        <f>PARAMETROS!$B$5</f>
        <v/>
      </c>
      <c r="J137" s="14">
        <f>C137*D137*E137</f>
        <v/>
      </c>
    </row>
    <row r="138">
      <c r="B138" s="13" t="inlineStr">
        <is>
          <t>EJE-18</t>
        </is>
      </c>
      <c r="C138" s="14" t="n">
        <v>1</v>
      </c>
      <c r="D138" s="14" t="n">
        <v>38.68</v>
      </c>
      <c r="E138" s="14">
        <f>PARAMETROS!$B$5</f>
        <v/>
      </c>
      <c r="J138" s="14">
        <f>C138*D138*E138</f>
        <v/>
      </c>
    </row>
    <row r="139">
      <c r="B139" s="13" t="inlineStr">
        <is>
          <t>EJE-19</t>
        </is>
      </c>
      <c r="C139" s="14" t="n">
        <v>1</v>
      </c>
      <c r="D139" s="14" t="n">
        <v>14.09</v>
      </c>
      <c r="E139" s="14">
        <f>PARAMETROS!$B$5</f>
        <v/>
      </c>
      <c r="J139" s="14">
        <f>C139*D139*E139</f>
        <v/>
      </c>
    </row>
    <row r="140">
      <c r="A140" s="10" t="inlineStr">
        <is>
          <t>01.04</t>
        </is>
      </c>
      <c r="B140" s="10" t="inlineStr">
        <is>
          <t>OBRAS DE CONCRETO ARMADO</t>
        </is>
      </c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</row>
    <row r="141">
      <c r="A141" s="10" t="inlineStr">
        <is>
          <t>01.04.01</t>
        </is>
      </c>
      <c r="B141" s="10" t="inlineStr">
        <is>
          <t>CUNETAS</t>
        </is>
      </c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</row>
    <row r="142">
      <c r="A142" s="2" t="inlineStr">
        <is>
          <t>01.04.01.01</t>
        </is>
      </c>
      <c r="B142" s="2" t="inlineStr">
        <is>
          <t>CONCRETO f'c=175 kg/cm2 PARA CUNETAS</t>
        </is>
      </c>
      <c r="K142" s="12">
        <f>SUM(J143:J189)</f>
        <v/>
      </c>
      <c r="L142" s="2" t="inlineStr">
        <is>
          <t>m³</t>
        </is>
      </c>
    </row>
    <row r="143">
      <c r="B143" s="13" t="inlineStr">
        <is>
          <t>EJE-01 muros (h libre prom. 0.386 m)</t>
        </is>
      </c>
      <c r="C143" s="14" t="n">
        <v>2</v>
      </c>
      <c r="D143" s="14" t="n">
        <v>34.34</v>
      </c>
      <c r="E143" s="14">
        <f>PARAMETROS!$B$7</f>
        <v/>
      </c>
      <c r="F143" s="14" t="n">
        <v>0.386</v>
      </c>
      <c r="J143" s="14">
        <f>C143*D143*E143*F143</f>
        <v/>
      </c>
    </row>
    <row r="144">
      <c r="B144" s="13" t="inlineStr">
        <is>
          <t>EJE-01 losa de fondo</t>
        </is>
      </c>
      <c r="C144" s="14" t="n">
        <v>1</v>
      </c>
      <c r="D144" s="14" t="n">
        <v>34.34</v>
      </c>
      <c r="E144" s="14">
        <f>PARAMETROS!$B$5</f>
        <v/>
      </c>
      <c r="F144" s="14">
        <f>PARAMETROS!$B$8</f>
        <v/>
      </c>
      <c r="J144" s="14">
        <f>C144*D144*E144*F144</f>
        <v/>
      </c>
    </row>
    <row r="145">
      <c r="B145" s="13" t="inlineStr">
        <is>
          <t>EJE-02 muros (h libre prom. 0.567 m)</t>
        </is>
      </c>
      <c r="C145" s="14" t="n">
        <v>2</v>
      </c>
      <c r="D145" s="14" t="n">
        <v>76.04000000000001</v>
      </c>
      <c r="E145" s="14">
        <f>PARAMETROS!$B$7</f>
        <v/>
      </c>
      <c r="F145" s="14" t="n">
        <v>0.5669999999999999</v>
      </c>
      <c r="J145" s="14">
        <f>C145*D145*E145*F145</f>
        <v/>
      </c>
    </row>
    <row r="146">
      <c r="B146" s="13" t="inlineStr">
        <is>
          <t>EJE-02 losa de fondo</t>
        </is>
      </c>
      <c r="C146" s="14" t="n">
        <v>1</v>
      </c>
      <c r="D146" s="14" t="n">
        <v>76.04000000000001</v>
      </c>
      <c r="E146" s="14">
        <f>PARAMETROS!$B$5</f>
        <v/>
      </c>
      <c r="F146" s="14">
        <f>PARAMETROS!$B$8</f>
        <v/>
      </c>
      <c r="J146" s="14">
        <f>C146*D146*E146*F146</f>
        <v/>
      </c>
    </row>
    <row r="147">
      <c r="B147" s="13" t="inlineStr">
        <is>
          <t>EJE-02 losa tapa (tramo tapado)</t>
        </is>
      </c>
      <c r="C147" s="14" t="n">
        <v>1</v>
      </c>
      <c r="D147" s="14" t="n">
        <v>0.76</v>
      </c>
      <c r="E147" s="14">
        <f>PARAMETROS!$B$5</f>
        <v/>
      </c>
      <c r="F147" s="14">
        <f>PARAMETROS!$B$9</f>
        <v/>
      </c>
      <c r="J147" s="14">
        <f>C147*D147*E147*F147</f>
        <v/>
      </c>
    </row>
    <row r="148">
      <c r="B148" s="13" t="inlineStr">
        <is>
          <t>EJE-02 descuento tapas de inspeccion</t>
        </is>
      </c>
      <c r="C148" s="14" t="n">
        <v>-1</v>
      </c>
      <c r="D148" s="14">
        <f>PARAMETROS!$B$21</f>
        <v/>
      </c>
      <c r="E148" s="14">
        <f>PARAMETROS!$B$21</f>
        <v/>
      </c>
      <c r="F148" s="14">
        <f>PARAMETROS!$B$22</f>
        <v/>
      </c>
      <c r="J148" s="14">
        <f>C148*D148*E148*F148</f>
        <v/>
      </c>
    </row>
    <row r="149">
      <c r="B149" s="13" t="inlineStr">
        <is>
          <t>EJE-03 muros (h libre prom. 0.381 m)</t>
        </is>
      </c>
      <c r="C149" s="14" t="n">
        <v>2</v>
      </c>
      <c r="D149" s="14" t="n">
        <v>32.31</v>
      </c>
      <c r="E149" s="14">
        <f>PARAMETROS!$B$7</f>
        <v/>
      </c>
      <c r="F149" s="14" t="n">
        <v>0.381</v>
      </c>
      <c r="J149" s="14">
        <f>C149*D149*E149*F149</f>
        <v/>
      </c>
    </row>
    <row r="150">
      <c r="B150" s="13" t="inlineStr">
        <is>
          <t>EJE-03 losa de fondo</t>
        </is>
      </c>
      <c r="C150" s="14" t="n">
        <v>1</v>
      </c>
      <c r="D150" s="14" t="n">
        <v>32.31</v>
      </c>
      <c r="E150" s="14">
        <f>PARAMETROS!$B$5</f>
        <v/>
      </c>
      <c r="F150" s="14">
        <f>PARAMETROS!$B$8</f>
        <v/>
      </c>
      <c r="J150" s="14">
        <f>C150*D150*E150*F150</f>
        <v/>
      </c>
    </row>
    <row r="151">
      <c r="B151" s="13" t="inlineStr">
        <is>
          <t>EJE-04 muros (h libre prom. 0.536 m)</t>
        </is>
      </c>
      <c r="C151" s="14" t="n">
        <v>2</v>
      </c>
      <c r="D151" s="14" t="n">
        <v>94.34</v>
      </c>
      <c r="E151" s="14">
        <f>PARAMETROS!$B$7</f>
        <v/>
      </c>
      <c r="F151" s="14" t="n">
        <v>0.536</v>
      </c>
      <c r="J151" s="14">
        <f>C151*D151*E151*F151</f>
        <v/>
      </c>
    </row>
    <row r="152">
      <c r="B152" s="13" t="inlineStr">
        <is>
          <t>EJE-04 losa de fondo</t>
        </is>
      </c>
      <c r="C152" s="14" t="n">
        <v>1</v>
      </c>
      <c r="D152" s="14" t="n">
        <v>94.34</v>
      </c>
      <c r="E152" s="14">
        <f>PARAMETROS!$B$5</f>
        <v/>
      </c>
      <c r="F152" s="14">
        <f>PARAMETROS!$B$8</f>
        <v/>
      </c>
      <c r="J152" s="14">
        <f>C152*D152*E152*F152</f>
        <v/>
      </c>
    </row>
    <row r="153">
      <c r="B153" s="13" t="inlineStr">
        <is>
          <t>EJE-05 muros (h libre prom. 0.526 m)</t>
        </is>
      </c>
      <c r="C153" s="14" t="n">
        <v>2</v>
      </c>
      <c r="D153" s="14" t="n">
        <v>90.56</v>
      </c>
      <c r="E153" s="14">
        <f>PARAMETROS!$B$7</f>
        <v/>
      </c>
      <c r="F153" s="14" t="n">
        <v>0.526</v>
      </c>
      <c r="J153" s="14">
        <f>C153*D153*E153*F153</f>
        <v/>
      </c>
    </row>
    <row r="154">
      <c r="B154" s="13" t="inlineStr">
        <is>
          <t>EJE-05 losa de fondo</t>
        </is>
      </c>
      <c r="C154" s="14" t="n">
        <v>1</v>
      </c>
      <c r="D154" s="14" t="n">
        <v>90.56</v>
      </c>
      <c r="E154" s="14">
        <f>PARAMETROS!$B$5</f>
        <v/>
      </c>
      <c r="F154" s="14">
        <f>PARAMETROS!$B$8</f>
        <v/>
      </c>
      <c r="J154" s="14">
        <f>C154*D154*E154*F154</f>
        <v/>
      </c>
    </row>
    <row r="155">
      <c r="B155" s="13" t="inlineStr">
        <is>
          <t>EJE-06 muros (h libre prom. 0.331 m)</t>
        </is>
      </c>
      <c r="C155" s="14" t="n">
        <v>2</v>
      </c>
      <c r="D155" s="14" t="n">
        <v>12.3</v>
      </c>
      <c r="E155" s="14">
        <f>PARAMETROS!$B$7</f>
        <v/>
      </c>
      <c r="F155" s="14" t="n">
        <v>0.331</v>
      </c>
      <c r="J155" s="14">
        <f>C155*D155*E155*F155</f>
        <v/>
      </c>
    </row>
    <row r="156">
      <c r="B156" s="13" t="inlineStr">
        <is>
          <t>EJE-06 losa de fondo</t>
        </is>
      </c>
      <c r="C156" s="14" t="n">
        <v>1</v>
      </c>
      <c r="D156" s="14" t="n">
        <v>12.3</v>
      </c>
      <c r="E156" s="14">
        <f>PARAMETROS!$B$5</f>
        <v/>
      </c>
      <c r="F156" s="14">
        <f>PARAMETROS!$B$8</f>
        <v/>
      </c>
      <c r="J156" s="14">
        <f>C156*D156*E156*F156</f>
        <v/>
      </c>
    </row>
    <row r="157">
      <c r="B157" s="13" t="inlineStr">
        <is>
          <t>EJE-07 muros (h libre prom. 0.645 m)</t>
        </is>
      </c>
      <c r="C157" s="14" t="n">
        <v>2</v>
      </c>
      <c r="D157" s="14" t="n">
        <v>94.69</v>
      </c>
      <c r="E157" s="14">
        <f>PARAMETROS!$B$7</f>
        <v/>
      </c>
      <c r="F157" s="14" t="n">
        <v>0.645</v>
      </c>
      <c r="J157" s="14">
        <f>C157*D157*E157*F157</f>
        <v/>
      </c>
    </row>
    <row r="158">
      <c r="B158" s="13" t="inlineStr">
        <is>
          <t>EJE-07 losa de fondo</t>
        </is>
      </c>
      <c r="C158" s="14" t="n">
        <v>1</v>
      </c>
      <c r="D158" s="14" t="n">
        <v>94.69</v>
      </c>
      <c r="E158" s="14">
        <f>PARAMETROS!$B$5</f>
        <v/>
      </c>
      <c r="F158" s="14">
        <f>PARAMETROS!$B$8</f>
        <v/>
      </c>
      <c r="J158" s="14">
        <f>C158*D158*E158*F158</f>
        <v/>
      </c>
    </row>
    <row r="159">
      <c r="B159" s="13" t="inlineStr">
        <is>
          <t>EJE-07 losa tapa (tramo tapado)</t>
        </is>
      </c>
      <c r="C159" s="14" t="n">
        <v>1</v>
      </c>
      <c r="D159" s="14" t="n">
        <v>22.9</v>
      </c>
      <c r="E159" s="14">
        <f>PARAMETROS!$B$5</f>
        <v/>
      </c>
      <c r="F159" s="14">
        <f>PARAMETROS!$B$9</f>
        <v/>
      </c>
      <c r="J159" s="14">
        <f>C159*D159*E159*F159</f>
        <v/>
      </c>
    </row>
    <row r="160">
      <c r="B160" s="13" t="inlineStr">
        <is>
          <t>EJE-07 descuento tapas de inspeccion</t>
        </is>
      </c>
      <c r="C160" s="14" t="n">
        <v>-4</v>
      </c>
      <c r="D160" s="14">
        <f>PARAMETROS!$B$21</f>
        <v/>
      </c>
      <c r="E160" s="14">
        <f>PARAMETROS!$B$21</f>
        <v/>
      </c>
      <c r="F160" s="14">
        <f>PARAMETROS!$B$22</f>
        <v/>
      </c>
      <c r="J160" s="14">
        <f>C160*D160*E160*F160</f>
        <v/>
      </c>
    </row>
    <row r="161">
      <c r="B161" s="13" t="inlineStr">
        <is>
          <t>EJE-08 muros (h libre prom. 0.399 m)</t>
        </is>
      </c>
      <c r="C161" s="14" t="n">
        <v>2</v>
      </c>
      <c r="D161" s="14" t="n">
        <v>39.68</v>
      </c>
      <c r="E161" s="14">
        <f>PARAMETROS!$B$7</f>
        <v/>
      </c>
      <c r="F161" s="14" t="n">
        <v>0.399</v>
      </c>
      <c r="J161" s="14">
        <f>C161*D161*E161*F161</f>
        <v/>
      </c>
    </row>
    <row r="162">
      <c r="B162" s="13" t="inlineStr">
        <is>
          <t>EJE-08 losa de fondo</t>
        </is>
      </c>
      <c r="C162" s="14" t="n">
        <v>1</v>
      </c>
      <c r="D162" s="14" t="n">
        <v>39.68</v>
      </c>
      <c r="E162" s="14">
        <f>PARAMETROS!$B$5</f>
        <v/>
      </c>
      <c r="F162" s="14">
        <f>PARAMETROS!$B$8</f>
        <v/>
      </c>
      <c r="J162" s="14">
        <f>C162*D162*E162*F162</f>
        <v/>
      </c>
    </row>
    <row r="163">
      <c r="B163" s="13" t="inlineStr">
        <is>
          <t>EJE-09 muros (h libre prom. 0.389 m)</t>
        </is>
      </c>
      <c r="C163" s="14" t="n">
        <v>2</v>
      </c>
      <c r="D163" s="14" t="n">
        <v>35.8</v>
      </c>
      <c r="E163" s="14">
        <f>PARAMETROS!$B$7</f>
        <v/>
      </c>
      <c r="F163" s="14" t="n">
        <v>0.389</v>
      </c>
      <c r="J163" s="14">
        <f>C163*D163*E163*F163</f>
        <v/>
      </c>
    </row>
    <row r="164">
      <c r="B164" s="13" t="inlineStr">
        <is>
          <t>EJE-09 losa de fondo</t>
        </is>
      </c>
      <c r="C164" s="14" t="n">
        <v>1</v>
      </c>
      <c r="D164" s="14" t="n">
        <v>35.8</v>
      </c>
      <c r="E164" s="14">
        <f>PARAMETROS!$B$5</f>
        <v/>
      </c>
      <c r="F164" s="14">
        <f>PARAMETROS!$B$8</f>
        <v/>
      </c>
      <c r="J164" s="14">
        <f>C164*D164*E164*F164</f>
        <v/>
      </c>
    </row>
    <row r="165">
      <c r="B165" s="13" t="inlineStr">
        <is>
          <t>EJE-10 muros (h libre prom. 0.392 m)</t>
        </is>
      </c>
      <c r="C165" s="14" t="n">
        <v>2</v>
      </c>
      <c r="D165" s="14" t="n">
        <v>36.9</v>
      </c>
      <c r="E165" s="14">
        <f>PARAMETROS!$B$7</f>
        <v/>
      </c>
      <c r="F165" s="14" t="n">
        <v>0.392</v>
      </c>
      <c r="J165" s="14">
        <f>C165*D165*E165*F165</f>
        <v/>
      </c>
    </row>
    <row r="166">
      <c r="B166" s="13" t="inlineStr">
        <is>
          <t>EJE-10 losa de fondo</t>
        </is>
      </c>
      <c r="C166" s="14" t="n">
        <v>1</v>
      </c>
      <c r="D166" s="14" t="n">
        <v>36.9</v>
      </c>
      <c r="E166" s="14">
        <f>PARAMETROS!$B$5</f>
        <v/>
      </c>
      <c r="F166" s="14">
        <f>PARAMETROS!$B$8</f>
        <v/>
      </c>
      <c r="J166" s="14">
        <f>C166*D166*E166*F166</f>
        <v/>
      </c>
    </row>
    <row r="167">
      <c r="B167" s="13" t="inlineStr">
        <is>
          <t>EJE-11 muros (h libre prom. 0.374 m)</t>
        </is>
      </c>
      <c r="C167" s="14" t="n">
        <v>2</v>
      </c>
      <c r="D167" s="14" t="n">
        <v>30.36</v>
      </c>
      <c r="E167" s="14">
        <f>PARAMETROS!$B$7</f>
        <v/>
      </c>
      <c r="F167" s="14" t="n">
        <v>0.374</v>
      </c>
      <c r="J167" s="14">
        <f>C167*D167*E167*F167</f>
        <v/>
      </c>
    </row>
    <row r="168">
      <c r="B168" s="13" t="inlineStr">
        <is>
          <t>EJE-11 losa de fondo</t>
        </is>
      </c>
      <c r="C168" s="14" t="n">
        <v>1</v>
      </c>
      <c r="D168" s="14" t="n">
        <v>30.36</v>
      </c>
      <c r="E168" s="14">
        <f>PARAMETROS!$B$5</f>
        <v/>
      </c>
      <c r="F168" s="14">
        <f>PARAMETROS!$B$8</f>
        <v/>
      </c>
      <c r="J168" s="14">
        <f>C168*D168*E168*F168</f>
        <v/>
      </c>
    </row>
    <row r="169">
      <c r="B169" s="13" t="inlineStr">
        <is>
          <t>EJE-11 losa tapa (tramo tapado)</t>
        </is>
      </c>
      <c r="C169" s="14" t="n">
        <v>1</v>
      </c>
      <c r="D169" s="14" t="n">
        <v>0.5</v>
      </c>
      <c r="E169" s="14">
        <f>PARAMETROS!$B$5</f>
        <v/>
      </c>
      <c r="F169" s="14">
        <f>PARAMETROS!$B$9</f>
        <v/>
      </c>
      <c r="J169" s="14">
        <f>C169*D169*E169*F169</f>
        <v/>
      </c>
    </row>
    <row r="170">
      <c r="B170" s="13" t="inlineStr">
        <is>
          <t>EJE-12 muros (h libre prom. 0.526 m)</t>
        </is>
      </c>
      <c r="C170" s="14" t="n">
        <v>2</v>
      </c>
      <c r="D170" s="14" t="n">
        <v>118.38</v>
      </c>
      <c r="E170" s="14">
        <f>PARAMETROS!$B$7</f>
        <v/>
      </c>
      <c r="F170" s="14" t="n">
        <v>0.526</v>
      </c>
      <c r="J170" s="14">
        <f>C170*D170*E170*F170</f>
        <v/>
      </c>
    </row>
    <row r="171">
      <c r="B171" s="13" t="inlineStr">
        <is>
          <t>EJE-12 losa de fondo</t>
        </is>
      </c>
      <c r="C171" s="14" t="n">
        <v>1</v>
      </c>
      <c r="D171" s="14" t="n">
        <v>118.38</v>
      </c>
      <c r="E171" s="14">
        <f>PARAMETROS!$B$5</f>
        <v/>
      </c>
      <c r="F171" s="14">
        <f>PARAMETROS!$B$8</f>
        <v/>
      </c>
      <c r="J171" s="14">
        <f>C171*D171*E171*F171</f>
        <v/>
      </c>
    </row>
    <row r="172">
      <c r="B172" s="13" t="inlineStr">
        <is>
          <t>EJE-12 losa tapa (tramo tapado)</t>
        </is>
      </c>
      <c r="C172" s="14" t="n">
        <v>1</v>
      </c>
      <c r="D172" s="14" t="n">
        <v>15.22</v>
      </c>
      <c r="E172" s="14">
        <f>PARAMETROS!$B$5</f>
        <v/>
      </c>
      <c r="F172" s="14">
        <f>PARAMETROS!$B$9</f>
        <v/>
      </c>
      <c r="J172" s="14">
        <f>C172*D172*E172*F172</f>
        <v/>
      </c>
    </row>
    <row r="173">
      <c r="B173" s="13" t="inlineStr">
        <is>
          <t>EJE-12 descuento tapas de inspeccion</t>
        </is>
      </c>
      <c r="C173" s="14" t="n">
        <v>-3</v>
      </c>
      <c r="D173" s="14">
        <f>PARAMETROS!$B$21</f>
        <v/>
      </c>
      <c r="E173" s="14">
        <f>PARAMETROS!$B$21</f>
        <v/>
      </c>
      <c r="F173" s="14">
        <f>PARAMETROS!$B$22</f>
        <v/>
      </c>
      <c r="J173" s="14">
        <f>C173*D173*E173*F173</f>
        <v/>
      </c>
    </row>
    <row r="174">
      <c r="B174" s="13" t="inlineStr">
        <is>
          <t>EJE-13 muros (h libre prom. 0.361 m)</t>
        </is>
      </c>
      <c r="C174" s="14" t="n">
        <v>2</v>
      </c>
      <c r="D174" s="14" t="n">
        <v>24.38</v>
      </c>
      <c r="E174" s="14">
        <f>PARAMETROS!$B$7</f>
        <v/>
      </c>
      <c r="F174" s="14" t="n">
        <v>0.361</v>
      </c>
      <c r="J174" s="14">
        <f>C174*D174*E174*F174</f>
        <v/>
      </c>
    </row>
    <row r="175">
      <c r="B175" s="13" t="inlineStr">
        <is>
          <t>EJE-13 losa de fondo</t>
        </is>
      </c>
      <c r="C175" s="14" t="n">
        <v>1</v>
      </c>
      <c r="D175" s="14" t="n">
        <v>24.38</v>
      </c>
      <c r="E175" s="14">
        <f>PARAMETROS!$B$5</f>
        <v/>
      </c>
      <c r="F175" s="14">
        <f>PARAMETROS!$B$8</f>
        <v/>
      </c>
      <c r="J175" s="14">
        <f>C175*D175*E175*F175</f>
        <v/>
      </c>
    </row>
    <row r="176">
      <c r="B176" s="13" t="inlineStr">
        <is>
          <t>EJE-14 muros (h libre prom. 0.385 m)</t>
        </is>
      </c>
      <c r="C176" s="14" t="n">
        <v>2</v>
      </c>
      <c r="D176" s="14" t="n">
        <v>64.93000000000001</v>
      </c>
      <c r="E176" s="14">
        <f>PARAMETROS!$B$7</f>
        <v/>
      </c>
      <c r="F176" s="14" t="n">
        <v>0.385</v>
      </c>
      <c r="J176" s="14">
        <f>C176*D176*E176*F176</f>
        <v/>
      </c>
    </row>
    <row r="177">
      <c r="B177" s="13" t="inlineStr">
        <is>
          <t>EJE-14 losa de fondo</t>
        </is>
      </c>
      <c r="C177" s="14" t="n">
        <v>1</v>
      </c>
      <c r="D177" s="14" t="n">
        <v>64.93000000000001</v>
      </c>
      <c r="E177" s="14">
        <f>PARAMETROS!$B$5</f>
        <v/>
      </c>
      <c r="F177" s="14">
        <f>PARAMETROS!$B$8</f>
        <v/>
      </c>
      <c r="J177" s="14">
        <f>C177*D177*E177*F177</f>
        <v/>
      </c>
    </row>
    <row r="178">
      <c r="B178" s="13" t="inlineStr">
        <is>
          <t>EJE-15 muros (h libre prom. 0.323 m)</t>
        </is>
      </c>
      <c r="C178" s="14" t="n">
        <v>2</v>
      </c>
      <c r="D178" s="14" t="n">
        <v>41.47</v>
      </c>
      <c r="E178" s="14">
        <f>PARAMETROS!$B$7</f>
        <v/>
      </c>
      <c r="F178" s="14" t="n">
        <v>0.323</v>
      </c>
      <c r="J178" s="14">
        <f>C178*D178*E178*F178</f>
        <v/>
      </c>
    </row>
    <row r="179">
      <c r="B179" s="13" t="inlineStr">
        <is>
          <t>EJE-15 losa de fondo</t>
        </is>
      </c>
      <c r="C179" s="14" t="n">
        <v>1</v>
      </c>
      <c r="D179" s="14" t="n">
        <v>41.47</v>
      </c>
      <c r="E179" s="14">
        <f>PARAMETROS!$B$5</f>
        <v/>
      </c>
      <c r="F179" s="14">
        <f>PARAMETROS!$B$8</f>
        <v/>
      </c>
      <c r="J179" s="14">
        <f>C179*D179*E179*F179</f>
        <v/>
      </c>
    </row>
    <row r="180">
      <c r="B180" s="13" t="inlineStr">
        <is>
          <t>EJE-16 muros (h libre prom. 0.381 m)</t>
        </is>
      </c>
      <c r="C180" s="14" t="n">
        <v>2</v>
      </c>
      <c r="D180" s="14" t="n">
        <v>49.55</v>
      </c>
      <c r="E180" s="14">
        <f>PARAMETROS!$B$7</f>
        <v/>
      </c>
      <c r="F180" s="14" t="n">
        <v>0.381</v>
      </c>
      <c r="J180" s="14">
        <f>C180*D180*E180*F180</f>
        <v/>
      </c>
    </row>
    <row r="181">
      <c r="B181" s="13" t="inlineStr">
        <is>
          <t>EJE-16 losa de fondo</t>
        </is>
      </c>
      <c r="C181" s="14" t="n">
        <v>1</v>
      </c>
      <c r="D181" s="14" t="n">
        <v>49.55</v>
      </c>
      <c r="E181" s="14">
        <f>PARAMETROS!$B$5</f>
        <v/>
      </c>
      <c r="F181" s="14">
        <f>PARAMETROS!$B$8</f>
        <v/>
      </c>
      <c r="J181" s="14">
        <f>C181*D181*E181*F181</f>
        <v/>
      </c>
    </row>
    <row r="182">
      <c r="B182" s="13" t="inlineStr">
        <is>
          <t>EJE-17 muros (h libre prom. 0.392 m)</t>
        </is>
      </c>
      <c r="C182" s="14" t="n">
        <v>2</v>
      </c>
      <c r="D182" s="14" t="n">
        <v>39.98</v>
      </c>
      <c r="E182" s="14">
        <f>PARAMETROS!$B$7</f>
        <v/>
      </c>
      <c r="F182" s="14" t="n">
        <v>0.392</v>
      </c>
      <c r="J182" s="14">
        <f>C182*D182*E182*F182</f>
        <v/>
      </c>
    </row>
    <row r="183">
      <c r="B183" s="13" t="inlineStr">
        <is>
          <t>EJE-17 losa de fondo</t>
        </is>
      </c>
      <c r="C183" s="14" t="n">
        <v>1</v>
      </c>
      <c r="D183" s="14" t="n">
        <v>39.98</v>
      </c>
      <c r="E183" s="14">
        <f>PARAMETROS!$B$5</f>
        <v/>
      </c>
      <c r="F183" s="14">
        <f>PARAMETROS!$B$8</f>
        <v/>
      </c>
      <c r="J183" s="14">
        <f>C183*D183*E183*F183</f>
        <v/>
      </c>
    </row>
    <row r="184">
      <c r="B184" s="13" t="inlineStr">
        <is>
          <t>EJE-17 losa tapa (tramo tapado)</t>
        </is>
      </c>
      <c r="C184" s="14" t="n">
        <v>1</v>
      </c>
      <c r="D184" s="14" t="n">
        <v>4.58</v>
      </c>
      <c r="E184" s="14">
        <f>PARAMETROS!$B$5</f>
        <v/>
      </c>
      <c r="F184" s="14">
        <f>PARAMETROS!$B$9</f>
        <v/>
      </c>
      <c r="J184" s="14">
        <f>C184*D184*E184*F184</f>
        <v/>
      </c>
    </row>
    <row r="185">
      <c r="B185" s="13" t="inlineStr">
        <is>
          <t>EJE-17 descuento tapas de inspeccion</t>
        </is>
      </c>
      <c r="C185" s="14" t="n">
        <v>-2</v>
      </c>
      <c r="D185" s="14">
        <f>PARAMETROS!$B$21</f>
        <v/>
      </c>
      <c r="E185" s="14">
        <f>PARAMETROS!$B$21</f>
        <v/>
      </c>
      <c r="F185" s="14">
        <f>PARAMETROS!$B$22</f>
        <v/>
      </c>
      <c r="J185" s="14">
        <f>C185*D185*E185*F185</f>
        <v/>
      </c>
    </row>
    <row r="186">
      <c r="B186" s="13" t="inlineStr">
        <is>
          <t>EJE-18 muros (h libre prom. 0.397 m)</t>
        </is>
      </c>
      <c r="C186" s="14" t="n">
        <v>2</v>
      </c>
      <c r="D186" s="14" t="n">
        <v>38.68</v>
      </c>
      <c r="E186" s="14">
        <f>PARAMETROS!$B$7</f>
        <v/>
      </c>
      <c r="F186" s="14" t="n">
        <v>0.397</v>
      </c>
      <c r="J186" s="14">
        <f>C186*D186*E186*F186</f>
        <v/>
      </c>
    </row>
    <row r="187">
      <c r="B187" s="13" t="inlineStr">
        <is>
          <t>EJE-18 losa de fondo</t>
        </is>
      </c>
      <c r="C187" s="14" t="n">
        <v>1</v>
      </c>
      <c r="D187" s="14" t="n">
        <v>38.68</v>
      </c>
      <c r="E187" s="14">
        <f>PARAMETROS!$B$5</f>
        <v/>
      </c>
      <c r="F187" s="14">
        <f>PARAMETROS!$B$8</f>
        <v/>
      </c>
      <c r="J187" s="14">
        <f>C187*D187*E187*F187</f>
        <v/>
      </c>
    </row>
    <row r="188">
      <c r="B188" s="13" t="inlineStr">
        <is>
          <t>EJE-19 muros (h libre prom. 0.335 m)</t>
        </is>
      </c>
      <c r="C188" s="14" t="n">
        <v>2</v>
      </c>
      <c r="D188" s="14" t="n">
        <v>14.09</v>
      </c>
      <c r="E188" s="14">
        <f>PARAMETROS!$B$7</f>
        <v/>
      </c>
      <c r="F188" s="14" t="n">
        <v>0.335</v>
      </c>
      <c r="J188" s="14">
        <f>C188*D188*E188*F188</f>
        <v/>
      </c>
    </row>
    <row r="189">
      <c r="B189" s="13" t="inlineStr">
        <is>
          <t>EJE-19 losa de fondo</t>
        </is>
      </c>
      <c r="C189" s="14" t="n">
        <v>1</v>
      </c>
      <c r="D189" s="14" t="n">
        <v>14.09</v>
      </c>
      <c r="E189" s="14">
        <f>PARAMETROS!$B$5</f>
        <v/>
      </c>
      <c r="F189" s="14">
        <f>PARAMETROS!$B$8</f>
        <v/>
      </c>
      <c r="J189" s="14">
        <f>C189*D189*E189*F189</f>
        <v/>
      </c>
    </row>
    <row r="190">
      <c r="A190" s="2" t="inlineStr">
        <is>
          <t>01.04.01.02</t>
        </is>
      </c>
      <c r="B190" s="2" t="inlineStr">
        <is>
          <t>ENCOFRADO Y DESENCOFRADO DE CUNETAS</t>
        </is>
      </c>
      <c r="K190" s="12">
        <f>SUM(J191:J233)</f>
        <v/>
      </c>
      <c r="L190" s="2" t="inlineStr">
        <is>
          <t>m²</t>
        </is>
      </c>
    </row>
    <row r="191">
      <c r="B191" s="13" t="inlineStr">
        <is>
          <t>EJE-01 caras interiores de muros</t>
        </is>
      </c>
      <c r="C191" s="14" t="n">
        <v>2</v>
      </c>
      <c r="D191" s="14" t="n">
        <v>34.34</v>
      </c>
      <c r="F191" s="14" t="n">
        <v>0.386</v>
      </c>
      <c r="J191" s="14">
        <f>C191*D191*F191</f>
        <v/>
      </c>
    </row>
    <row r="192">
      <c r="B192" s="13" t="inlineStr">
        <is>
          <t>EJE-01 caras exteriores de muros</t>
        </is>
      </c>
      <c r="C192" s="14" t="n">
        <v>2</v>
      </c>
      <c r="D192" s="14" t="n">
        <v>34.34</v>
      </c>
      <c r="F192" s="14">
        <f>0.386+PARAMETROS!$B$8</f>
        <v/>
      </c>
      <c r="J192" s="14">
        <f>C192*D192*F192</f>
        <v/>
      </c>
    </row>
    <row r="193">
      <c r="B193" s="13" t="inlineStr">
        <is>
          <t>EJE-02 caras interiores de muros</t>
        </is>
      </c>
      <c r="C193" s="14" t="n">
        <v>2</v>
      </c>
      <c r="D193" s="14" t="n">
        <v>76.04000000000001</v>
      </c>
      <c r="F193" s="14" t="n">
        <v>0.5669999999999999</v>
      </c>
      <c r="J193" s="14">
        <f>C193*D193*F193</f>
        <v/>
      </c>
    </row>
    <row r="194">
      <c r="B194" s="13" t="inlineStr">
        <is>
          <t>EJE-02 caras exteriores de muros</t>
        </is>
      </c>
      <c r="C194" s="14" t="n">
        <v>2</v>
      </c>
      <c r="D194" s="14" t="n">
        <v>76.04000000000001</v>
      </c>
      <c r="F194" s="14">
        <f>0.567+PARAMETROS!$B$8</f>
        <v/>
      </c>
      <c r="J194" s="14">
        <f>C194*D194*F194</f>
        <v/>
      </c>
    </row>
    <row r="195">
      <c r="B195" s="13" t="inlineStr">
        <is>
          <t>EJE-02 fondo y cantos de losa tapa</t>
        </is>
      </c>
      <c r="C195" s="14" t="n">
        <v>1</v>
      </c>
      <c r="D195" s="14" t="n">
        <v>0.76</v>
      </c>
      <c r="E195" s="14">
        <f>PARAMETROS!$B$6+2*PARAMETROS!$B$9</f>
        <v/>
      </c>
      <c r="J195" s="14">
        <f>C195*D195*E195</f>
        <v/>
      </c>
    </row>
    <row r="196">
      <c r="B196" s="13" t="inlineStr">
        <is>
          <t>EJE-03 caras interiores de muros</t>
        </is>
      </c>
      <c r="C196" s="14" t="n">
        <v>2</v>
      </c>
      <c r="D196" s="14" t="n">
        <v>32.31</v>
      </c>
      <c r="F196" s="14" t="n">
        <v>0.381</v>
      </c>
      <c r="J196" s="14">
        <f>C196*D196*F196</f>
        <v/>
      </c>
    </row>
    <row r="197">
      <c r="B197" s="13" t="inlineStr">
        <is>
          <t>EJE-03 caras exteriores de muros</t>
        </is>
      </c>
      <c r="C197" s="14" t="n">
        <v>2</v>
      </c>
      <c r="D197" s="14" t="n">
        <v>32.31</v>
      </c>
      <c r="F197" s="14">
        <f>0.381+PARAMETROS!$B$8</f>
        <v/>
      </c>
      <c r="J197" s="14">
        <f>C197*D197*F197</f>
        <v/>
      </c>
    </row>
    <row r="198">
      <c r="B198" s="13" t="inlineStr">
        <is>
          <t>EJE-04 caras interiores de muros</t>
        </is>
      </c>
      <c r="C198" s="14" t="n">
        <v>2</v>
      </c>
      <c r="D198" s="14" t="n">
        <v>94.34</v>
      </c>
      <c r="F198" s="14" t="n">
        <v>0.536</v>
      </c>
      <c r="J198" s="14">
        <f>C198*D198*F198</f>
        <v/>
      </c>
    </row>
    <row r="199">
      <c r="B199" s="13" t="inlineStr">
        <is>
          <t>EJE-04 caras exteriores de muros</t>
        </is>
      </c>
      <c r="C199" s="14" t="n">
        <v>2</v>
      </c>
      <c r="D199" s="14" t="n">
        <v>94.34</v>
      </c>
      <c r="F199" s="14">
        <f>0.536+PARAMETROS!$B$8</f>
        <v/>
      </c>
      <c r="J199" s="14">
        <f>C199*D199*F199</f>
        <v/>
      </c>
    </row>
    <row r="200">
      <c r="B200" s="13" t="inlineStr">
        <is>
          <t>EJE-05 caras interiores de muros</t>
        </is>
      </c>
      <c r="C200" s="14" t="n">
        <v>2</v>
      </c>
      <c r="D200" s="14" t="n">
        <v>90.56</v>
      </c>
      <c r="F200" s="14" t="n">
        <v>0.526</v>
      </c>
      <c r="J200" s="14">
        <f>C200*D200*F200</f>
        <v/>
      </c>
    </row>
    <row r="201">
      <c r="B201" s="13" t="inlineStr">
        <is>
          <t>EJE-05 caras exteriores de muros</t>
        </is>
      </c>
      <c r="C201" s="14" t="n">
        <v>2</v>
      </c>
      <c r="D201" s="14" t="n">
        <v>90.56</v>
      </c>
      <c r="F201" s="14">
        <f>0.526+PARAMETROS!$B$8</f>
        <v/>
      </c>
      <c r="J201" s="14">
        <f>C201*D201*F201</f>
        <v/>
      </c>
    </row>
    <row r="202">
      <c r="B202" s="13" t="inlineStr">
        <is>
          <t>EJE-06 caras interiores de muros</t>
        </is>
      </c>
      <c r="C202" s="14" t="n">
        <v>2</v>
      </c>
      <c r="D202" s="14" t="n">
        <v>12.3</v>
      </c>
      <c r="F202" s="14" t="n">
        <v>0.331</v>
      </c>
      <c r="J202" s="14">
        <f>C202*D202*F202</f>
        <v/>
      </c>
    </row>
    <row r="203">
      <c r="B203" s="13" t="inlineStr">
        <is>
          <t>EJE-06 caras exteriores de muros</t>
        </is>
      </c>
      <c r="C203" s="14" t="n">
        <v>2</v>
      </c>
      <c r="D203" s="14" t="n">
        <v>12.3</v>
      </c>
      <c r="F203" s="14">
        <f>0.331+PARAMETROS!$B$8</f>
        <v/>
      </c>
      <c r="J203" s="14">
        <f>C203*D203*F203</f>
        <v/>
      </c>
    </row>
    <row r="204">
      <c r="B204" s="13" t="inlineStr">
        <is>
          <t>EJE-07 caras interiores de muros</t>
        </is>
      </c>
      <c r="C204" s="14" t="n">
        <v>2</v>
      </c>
      <c r="D204" s="14" t="n">
        <v>94.69</v>
      </c>
      <c r="F204" s="14" t="n">
        <v>0.645</v>
      </c>
      <c r="J204" s="14">
        <f>C204*D204*F204</f>
        <v/>
      </c>
    </row>
    <row r="205">
      <c r="B205" s="13" t="inlineStr">
        <is>
          <t>EJE-07 caras exteriores de muros</t>
        </is>
      </c>
      <c r="C205" s="14" t="n">
        <v>2</v>
      </c>
      <c r="D205" s="14" t="n">
        <v>94.69</v>
      </c>
      <c r="F205" s="14">
        <f>0.645+PARAMETROS!$B$8</f>
        <v/>
      </c>
      <c r="J205" s="14">
        <f>C205*D205*F205</f>
        <v/>
      </c>
    </row>
    <row r="206">
      <c r="B206" s="13" t="inlineStr">
        <is>
          <t>EJE-07 fondo y cantos de losa tapa</t>
        </is>
      </c>
      <c r="C206" s="14" t="n">
        <v>1</v>
      </c>
      <c r="D206" s="14" t="n">
        <v>22.9</v>
      </c>
      <c r="E206" s="14">
        <f>PARAMETROS!$B$6+2*PARAMETROS!$B$9</f>
        <v/>
      </c>
      <c r="J206" s="14">
        <f>C206*D206*E206</f>
        <v/>
      </c>
    </row>
    <row r="207">
      <c r="B207" s="13" t="inlineStr">
        <is>
          <t>EJE-08 caras interiores de muros</t>
        </is>
      </c>
      <c r="C207" s="14" t="n">
        <v>2</v>
      </c>
      <c r="D207" s="14" t="n">
        <v>39.68</v>
      </c>
      <c r="F207" s="14" t="n">
        <v>0.399</v>
      </c>
      <c r="J207" s="14">
        <f>C207*D207*F207</f>
        <v/>
      </c>
    </row>
    <row r="208">
      <c r="B208" s="13" t="inlineStr">
        <is>
          <t>EJE-08 caras exteriores de muros</t>
        </is>
      </c>
      <c r="C208" s="14" t="n">
        <v>2</v>
      </c>
      <c r="D208" s="14" t="n">
        <v>39.68</v>
      </c>
      <c r="F208" s="14">
        <f>0.399+PARAMETROS!$B$8</f>
        <v/>
      </c>
      <c r="J208" s="14">
        <f>C208*D208*F208</f>
        <v/>
      </c>
    </row>
    <row r="209">
      <c r="B209" s="13" t="inlineStr">
        <is>
          <t>EJE-09 caras interiores de muros</t>
        </is>
      </c>
      <c r="C209" s="14" t="n">
        <v>2</v>
      </c>
      <c r="D209" s="14" t="n">
        <v>35.8</v>
      </c>
      <c r="F209" s="14" t="n">
        <v>0.389</v>
      </c>
      <c r="J209" s="14">
        <f>C209*D209*F209</f>
        <v/>
      </c>
    </row>
    <row r="210">
      <c r="B210" s="13" t="inlineStr">
        <is>
          <t>EJE-09 caras exteriores de muros</t>
        </is>
      </c>
      <c r="C210" s="14" t="n">
        <v>2</v>
      </c>
      <c r="D210" s="14" t="n">
        <v>35.8</v>
      </c>
      <c r="F210" s="14">
        <f>0.389+PARAMETROS!$B$8</f>
        <v/>
      </c>
      <c r="J210" s="14">
        <f>C210*D210*F210</f>
        <v/>
      </c>
    </row>
    <row r="211">
      <c r="B211" s="13" t="inlineStr">
        <is>
          <t>EJE-10 caras interiores de muros</t>
        </is>
      </c>
      <c r="C211" s="14" t="n">
        <v>2</v>
      </c>
      <c r="D211" s="14" t="n">
        <v>36.9</v>
      </c>
      <c r="F211" s="14" t="n">
        <v>0.392</v>
      </c>
      <c r="J211" s="14">
        <f>C211*D211*F211</f>
        <v/>
      </c>
    </row>
    <row r="212">
      <c r="B212" s="13" t="inlineStr">
        <is>
          <t>EJE-10 caras exteriores de muros</t>
        </is>
      </c>
      <c r="C212" s="14" t="n">
        <v>2</v>
      </c>
      <c r="D212" s="14" t="n">
        <v>36.9</v>
      </c>
      <c r="F212" s="14">
        <f>0.392+PARAMETROS!$B$8</f>
        <v/>
      </c>
      <c r="J212" s="14">
        <f>C212*D212*F212</f>
        <v/>
      </c>
    </row>
    <row r="213">
      <c r="B213" s="13" t="inlineStr">
        <is>
          <t>EJE-11 caras interiores de muros</t>
        </is>
      </c>
      <c r="C213" s="14" t="n">
        <v>2</v>
      </c>
      <c r="D213" s="14" t="n">
        <v>30.36</v>
      </c>
      <c r="F213" s="14" t="n">
        <v>0.374</v>
      </c>
      <c r="J213" s="14">
        <f>C213*D213*F213</f>
        <v/>
      </c>
    </row>
    <row r="214">
      <c r="B214" s="13" t="inlineStr">
        <is>
          <t>EJE-11 caras exteriores de muros</t>
        </is>
      </c>
      <c r="C214" s="14" t="n">
        <v>2</v>
      </c>
      <c r="D214" s="14" t="n">
        <v>30.36</v>
      </c>
      <c r="F214" s="14">
        <f>0.374+PARAMETROS!$B$8</f>
        <v/>
      </c>
      <c r="J214" s="14">
        <f>C214*D214*F214</f>
        <v/>
      </c>
    </row>
    <row r="215">
      <c r="B215" s="13" t="inlineStr">
        <is>
          <t>EJE-11 fondo y cantos de losa tapa</t>
        </is>
      </c>
      <c r="C215" s="14" t="n">
        <v>1</v>
      </c>
      <c r="D215" s="14" t="n">
        <v>0.5</v>
      </c>
      <c r="E215" s="14">
        <f>PARAMETROS!$B$6+2*PARAMETROS!$B$9</f>
        <v/>
      </c>
      <c r="J215" s="14">
        <f>C215*D215*E215</f>
        <v/>
      </c>
    </row>
    <row r="216">
      <c r="B216" s="13" t="inlineStr">
        <is>
          <t>EJE-12 caras interiores de muros</t>
        </is>
      </c>
      <c r="C216" s="14" t="n">
        <v>2</v>
      </c>
      <c r="D216" s="14" t="n">
        <v>118.38</v>
      </c>
      <c r="F216" s="14" t="n">
        <v>0.526</v>
      </c>
      <c r="J216" s="14">
        <f>C216*D216*F216</f>
        <v/>
      </c>
    </row>
    <row r="217">
      <c r="B217" s="13" t="inlineStr">
        <is>
          <t>EJE-12 caras exteriores de muros</t>
        </is>
      </c>
      <c r="C217" s="14" t="n">
        <v>2</v>
      </c>
      <c r="D217" s="14" t="n">
        <v>118.38</v>
      </c>
      <c r="F217" s="14">
        <f>0.526+PARAMETROS!$B$8</f>
        <v/>
      </c>
      <c r="J217" s="14">
        <f>C217*D217*F217</f>
        <v/>
      </c>
    </row>
    <row r="218">
      <c r="B218" s="13" t="inlineStr">
        <is>
          <t>EJE-12 fondo y cantos de losa tapa</t>
        </is>
      </c>
      <c r="C218" s="14" t="n">
        <v>1</v>
      </c>
      <c r="D218" s="14" t="n">
        <v>15.22</v>
      </c>
      <c r="E218" s="14">
        <f>PARAMETROS!$B$6+2*PARAMETROS!$B$9</f>
        <v/>
      </c>
      <c r="J218" s="14">
        <f>C218*D218*E218</f>
        <v/>
      </c>
    </row>
    <row r="219">
      <c r="B219" s="13" t="inlineStr">
        <is>
          <t>EJE-13 caras interiores de muros</t>
        </is>
      </c>
      <c r="C219" s="14" t="n">
        <v>2</v>
      </c>
      <c r="D219" s="14" t="n">
        <v>24.38</v>
      </c>
      <c r="F219" s="14" t="n">
        <v>0.361</v>
      </c>
      <c r="J219" s="14">
        <f>C219*D219*F219</f>
        <v/>
      </c>
    </row>
    <row r="220">
      <c r="B220" s="13" t="inlineStr">
        <is>
          <t>EJE-13 caras exteriores de muros</t>
        </is>
      </c>
      <c r="C220" s="14" t="n">
        <v>2</v>
      </c>
      <c r="D220" s="14" t="n">
        <v>24.38</v>
      </c>
      <c r="F220" s="14">
        <f>0.361+PARAMETROS!$B$8</f>
        <v/>
      </c>
      <c r="J220" s="14">
        <f>C220*D220*F220</f>
        <v/>
      </c>
    </row>
    <row r="221">
      <c r="B221" s="13" t="inlineStr">
        <is>
          <t>EJE-14 caras interiores de muros</t>
        </is>
      </c>
      <c r="C221" s="14" t="n">
        <v>2</v>
      </c>
      <c r="D221" s="14" t="n">
        <v>64.93000000000001</v>
      </c>
      <c r="F221" s="14" t="n">
        <v>0.385</v>
      </c>
      <c r="J221" s="14">
        <f>C221*D221*F221</f>
        <v/>
      </c>
    </row>
    <row r="222">
      <c r="B222" s="13" t="inlineStr">
        <is>
          <t>EJE-14 caras exteriores de muros</t>
        </is>
      </c>
      <c r="C222" s="14" t="n">
        <v>2</v>
      </c>
      <c r="D222" s="14" t="n">
        <v>64.93000000000001</v>
      </c>
      <c r="F222" s="14">
        <f>0.385+PARAMETROS!$B$8</f>
        <v/>
      </c>
      <c r="J222" s="14">
        <f>C222*D222*F222</f>
        <v/>
      </c>
    </row>
    <row r="223">
      <c r="B223" s="13" t="inlineStr">
        <is>
          <t>EJE-15 caras interiores de muros</t>
        </is>
      </c>
      <c r="C223" s="14" t="n">
        <v>2</v>
      </c>
      <c r="D223" s="14" t="n">
        <v>41.47</v>
      </c>
      <c r="F223" s="14" t="n">
        <v>0.323</v>
      </c>
      <c r="J223" s="14">
        <f>C223*D223*F223</f>
        <v/>
      </c>
    </row>
    <row r="224">
      <c r="B224" s="13" t="inlineStr">
        <is>
          <t>EJE-15 caras exteriores de muros</t>
        </is>
      </c>
      <c r="C224" s="14" t="n">
        <v>2</v>
      </c>
      <c r="D224" s="14" t="n">
        <v>41.47</v>
      </c>
      <c r="F224" s="14">
        <f>0.323+PARAMETROS!$B$8</f>
        <v/>
      </c>
      <c r="J224" s="14">
        <f>C224*D224*F224</f>
        <v/>
      </c>
    </row>
    <row r="225">
      <c r="B225" s="13" t="inlineStr">
        <is>
          <t>EJE-16 caras interiores de muros</t>
        </is>
      </c>
      <c r="C225" s="14" t="n">
        <v>2</v>
      </c>
      <c r="D225" s="14" t="n">
        <v>49.55</v>
      </c>
      <c r="F225" s="14" t="n">
        <v>0.381</v>
      </c>
      <c r="J225" s="14">
        <f>C225*D225*F225</f>
        <v/>
      </c>
    </row>
    <row r="226">
      <c r="B226" s="13" t="inlineStr">
        <is>
          <t>EJE-16 caras exteriores de muros</t>
        </is>
      </c>
      <c r="C226" s="14" t="n">
        <v>2</v>
      </c>
      <c r="D226" s="14" t="n">
        <v>49.55</v>
      </c>
      <c r="F226" s="14">
        <f>0.381+PARAMETROS!$B$8</f>
        <v/>
      </c>
      <c r="J226" s="14">
        <f>C226*D226*F226</f>
        <v/>
      </c>
    </row>
    <row r="227">
      <c r="B227" s="13" t="inlineStr">
        <is>
          <t>EJE-17 caras interiores de muros</t>
        </is>
      </c>
      <c r="C227" s="14" t="n">
        <v>2</v>
      </c>
      <c r="D227" s="14" t="n">
        <v>39.98</v>
      </c>
      <c r="F227" s="14" t="n">
        <v>0.392</v>
      </c>
      <c r="J227" s="14">
        <f>C227*D227*F227</f>
        <v/>
      </c>
    </row>
    <row r="228">
      <c r="B228" s="13" t="inlineStr">
        <is>
          <t>EJE-17 caras exteriores de muros</t>
        </is>
      </c>
      <c r="C228" s="14" t="n">
        <v>2</v>
      </c>
      <c r="D228" s="14" t="n">
        <v>39.98</v>
      </c>
      <c r="F228" s="14">
        <f>0.392+PARAMETROS!$B$8</f>
        <v/>
      </c>
      <c r="J228" s="14">
        <f>C228*D228*F228</f>
        <v/>
      </c>
    </row>
    <row r="229">
      <c r="B229" s="13" t="inlineStr">
        <is>
          <t>EJE-17 fondo y cantos de losa tapa</t>
        </is>
      </c>
      <c r="C229" s="14" t="n">
        <v>1</v>
      </c>
      <c r="D229" s="14" t="n">
        <v>4.58</v>
      </c>
      <c r="E229" s="14">
        <f>PARAMETROS!$B$6+2*PARAMETROS!$B$9</f>
        <v/>
      </c>
      <c r="J229" s="14">
        <f>C229*D229*E229</f>
        <v/>
      </c>
    </row>
    <row r="230">
      <c r="B230" s="13" t="inlineStr">
        <is>
          <t>EJE-18 caras interiores de muros</t>
        </is>
      </c>
      <c r="C230" s="14" t="n">
        <v>2</v>
      </c>
      <c r="D230" s="14" t="n">
        <v>38.68</v>
      </c>
      <c r="F230" s="14" t="n">
        <v>0.397</v>
      </c>
      <c r="J230" s="14">
        <f>C230*D230*F230</f>
        <v/>
      </c>
    </row>
    <row r="231">
      <c r="B231" s="13" t="inlineStr">
        <is>
          <t>EJE-18 caras exteriores de muros</t>
        </is>
      </c>
      <c r="C231" s="14" t="n">
        <v>2</v>
      </c>
      <c r="D231" s="14" t="n">
        <v>38.68</v>
      </c>
      <c r="F231" s="14">
        <f>0.397+PARAMETROS!$B$8</f>
        <v/>
      </c>
      <c r="J231" s="14">
        <f>C231*D231*F231</f>
        <v/>
      </c>
    </row>
    <row r="232">
      <c r="B232" s="13" t="inlineStr">
        <is>
          <t>EJE-19 caras interiores de muros</t>
        </is>
      </c>
      <c r="C232" s="14" t="n">
        <v>2</v>
      </c>
      <c r="D232" s="14" t="n">
        <v>14.09</v>
      </c>
      <c r="F232" s="14" t="n">
        <v>0.335</v>
      </c>
      <c r="J232" s="14">
        <f>C232*D232*F232</f>
        <v/>
      </c>
    </row>
    <row r="233">
      <c r="B233" s="13" t="inlineStr">
        <is>
          <t>EJE-19 caras exteriores de muros</t>
        </is>
      </c>
      <c r="C233" s="14" t="n">
        <v>2</v>
      </c>
      <c r="D233" s="14" t="n">
        <v>14.09</v>
      </c>
      <c r="F233" s="14">
        <f>0.335+PARAMETROS!$B$8</f>
        <v/>
      </c>
      <c r="J233" s="14">
        <f>C233*D233*F233</f>
        <v/>
      </c>
    </row>
    <row r="234">
      <c r="A234" s="2" t="inlineStr">
        <is>
          <t>01.04.01.03</t>
        </is>
      </c>
      <c r="B234" s="2" t="inlineStr">
        <is>
          <t>ACERO f'y=4200 kg/cm2 PARA CUNETA</t>
        </is>
      </c>
      <c r="K234" s="12">
        <f>SUM(J235:J253)</f>
        <v/>
      </c>
      <c r="L234" s="2" t="inlineStr">
        <is>
          <t>kg</t>
        </is>
      </c>
    </row>
    <row r="235">
      <c r="B235" s="13" t="inlineStr">
        <is>
          <t>EJE-01 (hoja METRADO ACERO)</t>
        </is>
      </c>
      <c r="J235" s="14">
        <f>'METRADO ACERO'!K9</f>
        <v/>
      </c>
    </row>
    <row r="236">
      <c r="B236" s="13" t="inlineStr">
        <is>
          <t>EJE-02 (hoja METRADO ACERO)</t>
        </is>
      </c>
      <c r="J236" s="14">
        <f>'METRADO ACERO'!K10</f>
        <v/>
      </c>
    </row>
    <row r="237">
      <c r="B237" s="13" t="inlineStr">
        <is>
          <t>EJE-03 (hoja METRADO ACERO)</t>
        </is>
      </c>
      <c r="J237" s="14">
        <f>'METRADO ACERO'!K11</f>
        <v/>
      </c>
    </row>
    <row r="238">
      <c r="B238" s="13" t="inlineStr">
        <is>
          <t>EJE-04 (hoja METRADO ACERO)</t>
        </is>
      </c>
      <c r="J238" s="14">
        <f>'METRADO ACERO'!K12</f>
        <v/>
      </c>
    </row>
    <row r="239">
      <c r="B239" s="13" t="inlineStr">
        <is>
          <t>EJE-05 (hoja METRADO ACERO)</t>
        </is>
      </c>
      <c r="J239" s="14">
        <f>'METRADO ACERO'!K13</f>
        <v/>
      </c>
    </row>
    <row r="240">
      <c r="B240" s="13" t="inlineStr">
        <is>
          <t>EJE-06 (hoja METRADO ACERO)</t>
        </is>
      </c>
      <c r="J240" s="14">
        <f>'METRADO ACERO'!K14</f>
        <v/>
      </c>
    </row>
    <row r="241">
      <c r="B241" s="13" t="inlineStr">
        <is>
          <t>EJE-07 (hoja METRADO ACERO)</t>
        </is>
      </c>
      <c r="J241" s="14">
        <f>'METRADO ACERO'!K15</f>
        <v/>
      </c>
    </row>
    <row r="242">
      <c r="B242" s="13" t="inlineStr">
        <is>
          <t>EJE-08 (hoja METRADO ACERO)</t>
        </is>
      </c>
      <c r="J242" s="14">
        <f>'METRADO ACERO'!K16</f>
        <v/>
      </c>
    </row>
    <row r="243">
      <c r="B243" s="13" t="inlineStr">
        <is>
          <t>EJE-09 (hoja METRADO ACERO)</t>
        </is>
      </c>
      <c r="J243" s="14">
        <f>'METRADO ACERO'!K17</f>
        <v/>
      </c>
    </row>
    <row r="244">
      <c r="B244" s="13" t="inlineStr">
        <is>
          <t>EJE-10 (hoja METRADO ACERO)</t>
        </is>
      </c>
      <c r="J244" s="14">
        <f>'METRADO ACERO'!K18</f>
        <v/>
      </c>
    </row>
    <row r="245">
      <c r="B245" s="13" t="inlineStr">
        <is>
          <t>EJE-11 (hoja METRADO ACERO)</t>
        </is>
      </c>
      <c r="J245" s="14">
        <f>'METRADO ACERO'!K19</f>
        <v/>
      </c>
    </row>
    <row r="246">
      <c r="B246" s="13" t="inlineStr">
        <is>
          <t>EJE-12 (hoja METRADO ACERO)</t>
        </is>
      </c>
      <c r="J246" s="14">
        <f>'METRADO ACERO'!K20</f>
        <v/>
      </c>
    </row>
    <row r="247">
      <c r="B247" s="13" t="inlineStr">
        <is>
          <t>EJE-13 (hoja METRADO ACERO)</t>
        </is>
      </c>
      <c r="J247" s="14">
        <f>'METRADO ACERO'!K21</f>
        <v/>
      </c>
    </row>
    <row r="248">
      <c r="B248" s="13" t="inlineStr">
        <is>
          <t>EJE-14 (hoja METRADO ACERO)</t>
        </is>
      </c>
      <c r="J248" s="14">
        <f>'METRADO ACERO'!K22</f>
        <v/>
      </c>
    </row>
    <row r="249">
      <c r="B249" s="13" t="inlineStr">
        <is>
          <t>EJE-15 (hoja METRADO ACERO)</t>
        </is>
      </c>
      <c r="J249" s="14">
        <f>'METRADO ACERO'!K23</f>
        <v/>
      </c>
    </row>
    <row r="250">
      <c r="B250" s="13" t="inlineStr">
        <is>
          <t>EJE-16 (hoja METRADO ACERO)</t>
        </is>
      </c>
      <c r="J250" s="14">
        <f>'METRADO ACERO'!K24</f>
        <v/>
      </c>
    </row>
    <row r="251">
      <c r="B251" s="13" t="inlineStr">
        <is>
          <t>EJE-17 (hoja METRADO ACERO)</t>
        </is>
      </c>
      <c r="J251" s="14">
        <f>'METRADO ACERO'!K25</f>
        <v/>
      </c>
    </row>
    <row r="252">
      <c r="B252" s="13" t="inlineStr">
        <is>
          <t>EJE-18 (hoja METRADO ACERO)</t>
        </is>
      </c>
      <c r="J252" s="14">
        <f>'METRADO ACERO'!K26</f>
        <v/>
      </c>
    </row>
    <row r="253">
      <c r="B253" s="13" t="inlineStr">
        <is>
          <t>EJE-19 (hoja METRADO ACERO)</t>
        </is>
      </c>
      <c r="J253" s="14">
        <f>'METRADO ACERO'!K27</f>
        <v/>
      </c>
    </row>
    <row r="254">
      <c r="A254" s="2" t="inlineStr">
        <is>
          <t>01.04.01.04</t>
        </is>
      </c>
      <c r="B254" s="2" t="inlineStr">
        <is>
          <t>CURADO DE CONCRETO EN CUNETA</t>
        </is>
      </c>
      <c r="K254" s="12">
        <f>SUM(J255:J316)</f>
        <v/>
      </c>
      <c r="L254" s="2" t="inlineStr">
        <is>
          <t>m²</t>
        </is>
      </c>
    </row>
    <row r="255">
      <c r="B255" s="13" t="inlineStr">
        <is>
          <t>EJE-01 caras interiores de muros</t>
        </is>
      </c>
      <c r="C255" s="14" t="n">
        <v>2</v>
      </c>
      <c r="D255" s="14" t="n">
        <v>34.34</v>
      </c>
      <c r="F255" s="14" t="n">
        <v>0.386</v>
      </c>
      <c r="J255" s="14">
        <f>C255*D255*F255</f>
        <v/>
      </c>
    </row>
    <row r="256">
      <c r="B256" s="13" t="inlineStr">
        <is>
          <t>EJE-01 fondo interior</t>
        </is>
      </c>
      <c r="C256" s="14" t="n">
        <v>1</v>
      </c>
      <c r="D256" s="14" t="n">
        <v>34.34</v>
      </c>
      <c r="E256" s="14">
        <f>PARAMETROS!$B$6</f>
        <v/>
      </c>
      <c r="J256" s="14">
        <f>C256*D256*E256</f>
        <v/>
      </c>
    </row>
    <row r="257">
      <c r="B257" s="13" t="inlineStr">
        <is>
          <t>EJE-01 coronas de muro (tramo con rejilla)</t>
        </is>
      </c>
      <c r="C257" s="14" t="n">
        <v>2</v>
      </c>
      <c r="D257" s="14" t="n">
        <v>34.34</v>
      </c>
      <c r="E257" s="14">
        <f>PARAMETROS!$B$7</f>
        <v/>
      </c>
      <c r="J257" s="14">
        <f>C257*D257*E257</f>
        <v/>
      </c>
    </row>
    <row r="258">
      <c r="B258" s="13" t="inlineStr">
        <is>
          <t>EJE-02 caras interiores de muros</t>
        </is>
      </c>
      <c r="C258" s="14" t="n">
        <v>2</v>
      </c>
      <c r="D258" s="14" t="n">
        <v>76.04000000000001</v>
      </c>
      <c r="F258" s="14" t="n">
        <v>0.5669999999999999</v>
      </c>
      <c r="J258" s="14">
        <f>C258*D258*F258</f>
        <v/>
      </c>
    </row>
    <row r="259">
      <c r="B259" s="13" t="inlineStr">
        <is>
          <t>EJE-02 fondo interior</t>
        </is>
      </c>
      <c r="C259" s="14" t="n">
        <v>1</v>
      </c>
      <c r="D259" s="14" t="n">
        <v>76.04000000000001</v>
      </c>
      <c r="E259" s="14">
        <f>PARAMETROS!$B$6</f>
        <v/>
      </c>
      <c r="J259" s="14">
        <f>C259*D259*E259</f>
        <v/>
      </c>
    </row>
    <row r="260">
      <c r="B260" s="13" t="inlineStr">
        <is>
          <t>EJE-02 coronas de muro (tramo con rejilla)</t>
        </is>
      </c>
      <c r="C260" s="14" t="n">
        <v>2</v>
      </c>
      <c r="D260" s="14" t="n">
        <v>75.28</v>
      </c>
      <c r="E260" s="14">
        <f>PARAMETROS!$B$7</f>
        <v/>
      </c>
      <c r="J260" s="14">
        <f>C260*D260*E260</f>
        <v/>
      </c>
    </row>
    <row r="261">
      <c r="B261" s="13" t="inlineStr">
        <is>
          <t>EJE-02 losa tapa</t>
        </is>
      </c>
      <c r="C261" s="14" t="n">
        <v>1</v>
      </c>
      <c r="D261" s="14" t="n">
        <v>0.76</v>
      </c>
      <c r="E261" s="14">
        <f>PARAMETROS!$B$5</f>
        <v/>
      </c>
      <c r="J261" s="14">
        <f>C261*D261*E261</f>
        <v/>
      </c>
    </row>
    <row r="262">
      <c r="B262" s="13" t="inlineStr">
        <is>
          <t>EJE-03 caras interiores de muros</t>
        </is>
      </c>
      <c r="C262" s="14" t="n">
        <v>2</v>
      </c>
      <c r="D262" s="14" t="n">
        <v>32.31</v>
      </c>
      <c r="F262" s="14" t="n">
        <v>0.381</v>
      </c>
      <c r="J262" s="14">
        <f>C262*D262*F262</f>
        <v/>
      </c>
    </row>
    <row r="263">
      <c r="B263" s="13" t="inlineStr">
        <is>
          <t>EJE-03 fondo interior</t>
        </is>
      </c>
      <c r="C263" s="14" t="n">
        <v>1</v>
      </c>
      <c r="D263" s="14" t="n">
        <v>32.31</v>
      </c>
      <c r="E263" s="14">
        <f>PARAMETROS!$B$6</f>
        <v/>
      </c>
      <c r="J263" s="14">
        <f>C263*D263*E263</f>
        <v/>
      </c>
    </row>
    <row r="264">
      <c r="B264" s="13" t="inlineStr">
        <is>
          <t>EJE-03 coronas de muro (tramo con rejilla)</t>
        </is>
      </c>
      <c r="C264" s="14" t="n">
        <v>2</v>
      </c>
      <c r="D264" s="14" t="n">
        <v>32.31</v>
      </c>
      <c r="E264" s="14">
        <f>PARAMETROS!$B$7</f>
        <v/>
      </c>
      <c r="J264" s="14">
        <f>C264*D264*E264</f>
        <v/>
      </c>
    </row>
    <row r="265">
      <c r="B265" s="13" t="inlineStr">
        <is>
          <t>EJE-04 caras interiores de muros</t>
        </is>
      </c>
      <c r="C265" s="14" t="n">
        <v>2</v>
      </c>
      <c r="D265" s="14" t="n">
        <v>94.34</v>
      </c>
      <c r="F265" s="14" t="n">
        <v>0.536</v>
      </c>
      <c r="J265" s="14">
        <f>C265*D265*F265</f>
        <v/>
      </c>
    </row>
    <row r="266">
      <c r="B266" s="13" t="inlineStr">
        <is>
          <t>EJE-04 fondo interior</t>
        </is>
      </c>
      <c r="C266" s="14" t="n">
        <v>1</v>
      </c>
      <c r="D266" s="14" t="n">
        <v>94.34</v>
      </c>
      <c r="E266" s="14">
        <f>PARAMETROS!$B$6</f>
        <v/>
      </c>
      <c r="J266" s="14">
        <f>C266*D266*E266</f>
        <v/>
      </c>
    </row>
    <row r="267">
      <c r="B267" s="13" t="inlineStr">
        <is>
          <t>EJE-04 coronas de muro (tramo con rejilla)</t>
        </is>
      </c>
      <c r="C267" s="14" t="n">
        <v>2</v>
      </c>
      <c r="D267" s="14" t="n">
        <v>94.34</v>
      </c>
      <c r="E267" s="14">
        <f>PARAMETROS!$B$7</f>
        <v/>
      </c>
      <c r="J267" s="14">
        <f>C267*D267*E267</f>
        <v/>
      </c>
    </row>
    <row r="268">
      <c r="B268" s="13" t="inlineStr">
        <is>
          <t>EJE-05 caras interiores de muros</t>
        </is>
      </c>
      <c r="C268" s="14" t="n">
        <v>2</v>
      </c>
      <c r="D268" s="14" t="n">
        <v>90.56</v>
      </c>
      <c r="F268" s="14" t="n">
        <v>0.526</v>
      </c>
      <c r="J268" s="14">
        <f>C268*D268*F268</f>
        <v/>
      </c>
    </row>
    <row r="269">
      <c r="B269" s="13" t="inlineStr">
        <is>
          <t>EJE-05 fondo interior</t>
        </is>
      </c>
      <c r="C269" s="14" t="n">
        <v>1</v>
      </c>
      <c r="D269" s="14" t="n">
        <v>90.56</v>
      </c>
      <c r="E269" s="14">
        <f>PARAMETROS!$B$6</f>
        <v/>
      </c>
      <c r="J269" s="14">
        <f>C269*D269*E269</f>
        <v/>
      </c>
    </row>
    <row r="270">
      <c r="B270" s="13" t="inlineStr">
        <is>
          <t>EJE-05 coronas de muro (tramo con rejilla)</t>
        </is>
      </c>
      <c r="C270" s="14" t="n">
        <v>2</v>
      </c>
      <c r="D270" s="14" t="n">
        <v>90.56</v>
      </c>
      <c r="E270" s="14">
        <f>PARAMETROS!$B$7</f>
        <v/>
      </c>
      <c r="J270" s="14">
        <f>C270*D270*E270</f>
        <v/>
      </c>
    </row>
    <row r="271">
      <c r="B271" s="13" t="inlineStr">
        <is>
          <t>EJE-06 caras interiores de muros</t>
        </is>
      </c>
      <c r="C271" s="14" t="n">
        <v>2</v>
      </c>
      <c r="D271" s="14" t="n">
        <v>12.3</v>
      </c>
      <c r="F271" s="14" t="n">
        <v>0.331</v>
      </c>
      <c r="J271" s="14">
        <f>C271*D271*F271</f>
        <v/>
      </c>
    </row>
    <row r="272">
      <c r="B272" s="13" t="inlineStr">
        <is>
          <t>EJE-06 fondo interior</t>
        </is>
      </c>
      <c r="C272" s="14" t="n">
        <v>1</v>
      </c>
      <c r="D272" s="14" t="n">
        <v>12.3</v>
      </c>
      <c r="E272" s="14">
        <f>PARAMETROS!$B$6</f>
        <v/>
      </c>
      <c r="J272" s="14">
        <f>C272*D272*E272</f>
        <v/>
      </c>
    </row>
    <row r="273">
      <c r="B273" s="13" t="inlineStr">
        <is>
          <t>EJE-06 coronas de muro (tramo con rejilla)</t>
        </is>
      </c>
      <c r="C273" s="14" t="n">
        <v>2</v>
      </c>
      <c r="D273" s="14" t="n">
        <v>12.3</v>
      </c>
      <c r="E273" s="14">
        <f>PARAMETROS!$B$7</f>
        <v/>
      </c>
      <c r="J273" s="14">
        <f>C273*D273*E273</f>
        <v/>
      </c>
    </row>
    <row r="274">
      <c r="B274" s="13" t="inlineStr">
        <is>
          <t>EJE-07 caras interiores de muros</t>
        </is>
      </c>
      <c r="C274" s="14" t="n">
        <v>2</v>
      </c>
      <c r="D274" s="14" t="n">
        <v>94.69</v>
      </c>
      <c r="F274" s="14" t="n">
        <v>0.645</v>
      </c>
      <c r="J274" s="14">
        <f>C274*D274*F274</f>
        <v/>
      </c>
    </row>
    <row r="275">
      <c r="B275" s="13" t="inlineStr">
        <is>
          <t>EJE-07 fondo interior</t>
        </is>
      </c>
      <c r="C275" s="14" t="n">
        <v>1</v>
      </c>
      <c r="D275" s="14" t="n">
        <v>94.69</v>
      </c>
      <c r="E275" s="14">
        <f>PARAMETROS!$B$6</f>
        <v/>
      </c>
      <c r="J275" s="14">
        <f>C275*D275*E275</f>
        <v/>
      </c>
    </row>
    <row r="276">
      <c r="B276" s="13" t="inlineStr">
        <is>
          <t>EJE-07 coronas de muro (tramo con rejilla)</t>
        </is>
      </c>
      <c r="C276" s="14" t="n">
        <v>2</v>
      </c>
      <c r="D276" s="14" t="n">
        <v>71.79000000000001</v>
      </c>
      <c r="E276" s="14">
        <f>PARAMETROS!$B$7</f>
        <v/>
      </c>
      <c r="J276" s="14">
        <f>C276*D276*E276</f>
        <v/>
      </c>
    </row>
    <row r="277">
      <c r="B277" s="13" t="inlineStr">
        <is>
          <t>EJE-07 losa tapa</t>
        </is>
      </c>
      <c r="C277" s="14" t="n">
        <v>1</v>
      </c>
      <c r="D277" s="14" t="n">
        <v>22.9</v>
      </c>
      <c r="E277" s="14">
        <f>PARAMETROS!$B$5</f>
        <v/>
      </c>
      <c r="J277" s="14">
        <f>C277*D277*E277</f>
        <v/>
      </c>
    </row>
    <row r="278">
      <c r="B278" s="13" t="inlineStr">
        <is>
          <t>EJE-08 caras interiores de muros</t>
        </is>
      </c>
      <c r="C278" s="14" t="n">
        <v>2</v>
      </c>
      <c r="D278" s="14" t="n">
        <v>39.68</v>
      </c>
      <c r="F278" s="14" t="n">
        <v>0.399</v>
      </c>
      <c r="J278" s="14">
        <f>C278*D278*F278</f>
        <v/>
      </c>
    </row>
    <row r="279">
      <c r="B279" s="13" t="inlineStr">
        <is>
          <t>EJE-08 fondo interior</t>
        </is>
      </c>
      <c r="C279" s="14" t="n">
        <v>1</v>
      </c>
      <c r="D279" s="14" t="n">
        <v>39.68</v>
      </c>
      <c r="E279" s="14">
        <f>PARAMETROS!$B$6</f>
        <v/>
      </c>
      <c r="J279" s="14">
        <f>C279*D279*E279</f>
        <v/>
      </c>
    </row>
    <row r="280">
      <c r="B280" s="13" t="inlineStr">
        <is>
          <t>EJE-08 coronas de muro (tramo con rejilla)</t>
        </is>
      </c>
      <c r="C280" s="14" t="n">
        <v>2</v>
      </c>
      <c r="D280" s="14" t="n">
        <v>39.68</v>
      </c>
      <c r="E280" s="14">
        <f>PARAMETROS!$B$7</f>
        <v/>
      </c>
      <c r="J280" s="14">
        <f>C280*D280*E280</f>
        <v/>
      </c>
    </row>
    <row r="281">
      <c r="B281" s="13" t="inlineStr">
        <is>
          <t>EJE-09 caras interiores de muros</t>
        </is>
      </c>
      <c r="C281" s="14" t="n">
        <v>2</v>
      </c>
      <c r="D281" s="14" t="n">
        <v>35.8</v>
      </c>
      <c r="F281" s="14" t="n">
        <v>0.389</v>
      </c>
      <c r="J281" s="14">
        <f>C281*D281*F281</f>
        <v/>
      </c>
    </row>
    <row r="282">
      <c r="B282" s="13" t="inlineStr">
        <is>
          <t>EJE-09 fondo interior</t>
        </is>
      </c>
      <c r="C282" s="14" t="n">
        <v>1</v>
      </c>
      <c r="D282" s="14" t="n">
        <v>35.8</v>
      </c>
      <c r="E282" s="14">
        <f>PARAMETROS!$B$6</f>
        <v/>
      </c>
      <c r="J282" s="14">
        <f>C282*D282*E282</f>
        <v/>
      </c>
    </row>
    <row r="283">
      <c r="B283" s="13" t="inlineStr">
        <is>
          <t>EJE-09 coronas de muro (tramo con rejilla)</t>
        </is>
      </c>
      <c r="C283" s="14" t="n">
        <v>2</v>
      </c>
      <c r="D283" s="14" t="n">
        <v>35.8</v>
      </c>
      <c r="E283" s="14">
        <f>PARAMETROS!$B$7</f>
        <v/>
      </c>
      <c r="J283" s="14">
        <f>C283*D283*E283</f>
        <v/>
      </c>
    </row>
    <row r="284">
      <c r="B284" s="13" t="inlineStr">
        <is>
          <t>EJE-10 caras interiores de muros</t>
        </is>
      </c>
      <c r="C284" s="14" t="n">
        <v>2</v>
      </c>
      <c r="D284" s="14" t="n">
        <v>36.9</v>
      </c>
      <c r="F284" s="14" t="n">
        <v>0.392</v>
      </c>
      <c r="J284" s="14">
        <f>C284*D284*F284</f>
        <v/>
      </c>
    </row>
    <row r="285">
      <c r="B285" s="13" t="inlineStr">
        <is>
          <t>EJE-10 fondo interior</t>
        </is>
      </c>
      <c r="C285" s="14" t="n">
        <v>1</v>
      </c>
      <c r="D285" s="14" t="n">
        <v>36.9</v>
      </c>
      <c r="E285" s="14">
        <f>PARAMETROS!$B$6</f>
        <v/>
      </c>
      <c r="J285" s="14">
        <f>C285*D285*E285</f>
        <v/>
      </c>
    </row>
    <row r="286">
      <c r="B286" s="13" t="inlineStr">
        <is>
          <t>EJE-10 coronas de muro (tramo con rejilla)</t>
        </is>
      </c>
      <c r="C286" s="14" t="n">
        <v>2</v>
      </c>
      <c r="D286" s="14" t="n">
        <v>36.9</v>
      </c>
      <c r="E286" s="14">
        <f>PARAMETROS!$B$7</f>
        <v/>
      </c>
      <c r="J286" s="14">
        <f>C286*D286*E286</f>
        <v/>
      </c>
    </row>
    <row r="287">
      <c r="B287" s="13" t="inlineStr">
        <is>
          <t>EJE-11 caras interiores de muros</t>
        </is>
      </c>
      <c r="C287" s="14" t="n">
        <v>2</v>
      </c>
      <c r="D287" s="14" t="n">
        <v>30.36</v>
      </c>
      <c r="F287" s="14" t="n">
        <v>0.374</v>
      </c>
      <c r="J287" s="14">
        <f>C287*D287*F287</f>
        <v/>
      </c>
    </row>
    <row r="288">
      <c r="B288" s="13" t="inlineStr">
        <is>
          <t>EJE-11 fondo interior</t>
        </is>
      </c>
      <c r="C288" s="14" t="n">
        <v>1</v>
      </c>
      <c r="D288" s="14" t="n">
        <v>30.36</v>
      </c>
      <c r="E288" s="14">
        <f>PARAMETROS!$B$6</f>
        <v/>
      </c>
      <c r="J288" s="14">
        <f>C288*D288*E288</f>
        <v/>
      </c>
    </row>
    <row r="289">
      <c r="B289" s="13" t="inlineStr">
        <is>
          <t>EJE-11 coronas de muro (tramo con rejilla)</t>
        </is>
      </c>
      <c r="C289" s="14" t="n">
        <v>2</v>
      </c>
      <c r="D289" s="14" t="n">
        <v>29.86</v>
      </c>
      <c r="E289" s="14">
        <f>PARAMETROS!$B$7</f>
        <v/>
      </c>
      <c r="J289" s="14">
        <f>C289*D289*E289</f>
        <v/>
      </c>
    </row>
    <row r="290">
      <c r="B290" s="13" t="inlineStr">
        <is>
          <t>EJE-11 losa tapa</t>
        </is>
      </c>
      <c r="C290" s="14" t="n">
        <v>1</v>
      </c>
      <c r="D290" s="14" t="n">
        <v>0.5</v>
      </c>
      <c r="E290" s="14">
        <f>PARAMETROS!$B$5</f>
        <v/>
      </c>
      <c r="J290" s="14">
        <f>C290*D290*E290</f>
        <v/>
      </c>
    </row>
    <row r="291">
      <c r="B291" s="13" t="inlineStr">
        <is>
          <t>EJE-12 caras interiores de muros</t>
        </is>
      </c>
      <c r="C291" s="14" t="n">
        <v>2</v>
      </c>
      <c r="D291" s="14" t="n">
        <v>118.38</v>
      </c>
      <c r="F291" s="14" t="n">
        <v>0.526</v>
      </c>
      <c r="J291" s="14">
        <f>C291*D291*F291</f>
        <v/>
      </c>
    </row>
    <row r="292">
      <c r="B292" s="13" t="inlineStr">
        <is>
          <t>EJE-12 fondo interior</t>
        </is>
      </c>
      <c r="C292" s="14" t="n">
        <v>1</v>
      </c>
      <c r="D292" s="14" t="n">
        <v>118.38</v>
      </c>
      <c r="E292" s="14">
        <f>PARAMETROS!$B$6</f>
        <v/>
      </c>
      <c r="J292" s="14">
        <f>C292*D292*E292</f>
        <v/>
      </c>
    </row>
    <row r="293">
      <c r="B293" s="13" t="inlineStr">
        <is>
          <t>EJE-12 coronas de muro (tramo con rejilla)</t>
        </is>
      </c>
      <c r="C293" s="14" t="n">
        <v>2</v>
      </c>
      <c r="D293" s="14" t="n">
        <v>103.16</v>
      </c>
      <c r="E293" s="14">
        <f>PARAMETROS!$B$7</f>
        <v/>
      </c>
      <c r="J293" s="14">
        <f>C293*D293*E293</f>
        <v/>
      </c>
    </row>
    <row r="294">
      <c r="B294" s="13" t="inlineStr">
        <is>
          <t>EJE-12 losa tapa</t>
        </is>
      </c>
      <c r="C294" s="14" t="n">
        <v>1</v>
      </c>
      <c r="D294" s="14" t="n">
        <v>15.22</v>
      </c>
      <c r="E294" s="14">
        <f>PARAMETROS!$B$5</f>
        <v/>
      </c>
      <c r="J294" s="14">
        <f>C294*D294*E294</f>
        <v/>
      </c>
    </row>
    <row r="295">
      <c r="B295" s="13" t="inlineStr">
        <is>
          <t>EJE-13 caras interiores de muros</t>
        </is>
      </c>
      <c r="C295" s="14" t="n">
        <v>2</v>
      </c>
      <c r="D295" s="14" t="n">
        <v>24.38</v>
      </c>
      <c r="F295" s="14" t="n">
        <v>0.361</v>
      </c>
      <c r="J295" s="14">
        <f>C295*D295*F295</f>
        <v/>
      </c>
    </row>
    <row r="296">
      <c r="B296" s="13" t="inlineStr">
        <is>
          <t>EJE-13 fondo interior</t>
        </is>
      </c>
      <c r="C296" s="14" t="n">
        <v>1</v>
      </c>
      <c r="D296" s="14" t="n">
        <v>24.38</v>
      </c>
      <c r="E296" s="14">
        <f>PARAMETROS!$B$6</f>
        <v/>
      </c>
      <c r="J296" s="14">
        <f>C296*D296*E296</f>
        <v/>
      </c>
    </row>
    <row r="297">
      <c r="B297" s="13" t="inlineStr">
        <is>
          <t>EJE-13 coronas de muro (tramo con rejilla)</t>
        </is>
      </c>
      <c r="C297" s="14" t="n">
        <v>2</v>
      </c>
      <c r="D297" s="14" t="n">
        <v>24.38</v>
      </c>
      <c r="E297" s="14">
        <f>PARAMETROS!$B$7</f>
        <v/>
      </c>
      <c r="J297" s="14">
        <f>C297*D297*E297</f>
        <v/>
      </c>
    </row>
    <row r="298">
      <c r="B298" s="13" t="inlineStr">
        <is>
          <t>EJE-14 caras interiores de muros</t>
        </is>
      </c>
      <c r="C298" s="14" t="n">
        <v>2</v>
      </c>
      <c r="D298" s="14" t="n">
        <v>64.93000000000001</v>
      </c>
      <c r="F298" s="14" t="n">
        <v>0.385</v>
      </c>
      <c r="J298" s="14">
        <f>C298*D298*F298</f>
        <v/>
      </c>
    </row>
    <row r="299">
      <c r="B299" s="13" t="inlineStr">
        <is>
          <t>EJE-14 fondo interior</t>
        </is>
      </c>
      <c r="C299" s="14" t="n">
        <v>1</v>
      </c>
      <c r="D299" s="14" t="n">
        <v>64.93000000000001</v>
      </c>
      <c r="E299" s="14">
        <f>PARAMETROS!$B$6</f>
        <v/>
      </c>
      <c r="J299" s="14">
        <f>C299*D299*E299</f>
        <v/>
      </c>
    </row>
    <row r="300">
      <c r="B300" s="13" t="inlineStr">
        <is>
          <t>EJE-14 coronas de muro (tramo con rejilla)</t>
        </is>
      </c>
      <c r="C300" s="14" t="n">
        <v>2</v>
      </c>
      <c r="D300" s="14" t="n">
        <v>64.93000000000001</v>
      </c>
      <c r="E300" s="14">
        <f>PARAMETROS!$B$7</f>
        <v/>
      </c>
      <c r="J300" s="14">
        <f>C300*D300*E300</f>
        <v/>
      </c>
    </row>
    <row r="301">
      <c r="B301" s="13" t="inlineStr">
        <is>
          <t>EJE-15 caras interiores de muros</t>
        </is>
      </c>
      <c r="C301" s="14" t="n">
        <v>2</v>
      </c>
      <c r="D301" s="14" t="n">
        <v>41.47</v>
      </c>
      <c r="F301" s="14" t="n">
        <v>0.323</v>
      </c>
      <c r="J301" s="14">
        <f>C301*D301*F301</f>
        <v/>
      </c>
    </row>
    <row r="302">
      <c r="B302" s="13" t="inlineStr">
        <is>
          <t>EJE-15 fondo interior</t>
        </is>
      </c>
      <c r="C302" s="14" t="n">
        <v>1</v>
      </c>
      <c r="D302" s="14" t="n">
        <v>41.47</v>
      </c>
      <c r="E302" s="14">
        <f>PARAMETROS!$B$6</f>
        <v/>
      </c>
      <c r="J302" s="14">
        <f>C302*D302*E302</f>
        <v/>
      </c>
    </row>
    <row r="303">
      <c r="B303" s="13" t="inlineStr">
        <is>
          <t>EJE-15 coronas de muro (tramo con rejilla)</t>
        </is>
      </c>
      <c r="C303" s="14" t="n">
        <v>2</v>
      </c>
      <c r="D303" s="14" t="n">
        <v>41.47</v>
      </c>
      <c r="E303" s="14">
        <f>PARAMETROS!$B$7</f>
        <v/>
      </c>
      <c r="J303" s="14">
        <f>C303*D303*E303</f>
        <v/>
      </c>
    </row>
    <row r="304">
      <c r="B304" s="13" t="inlineStr">
        <is>
          <t>EJE-16 caras interiores de muros</t>
        </is>
      </c>
      <c r="C304" s="14" t="n">
        <v>2</v>
      </c>
      <c r="D304" s="14" t="n">
        <v>49.55</v>
      </c>
      <c r="F304" s="14" t="n">
        <v>0.381</v>
      </c>
      <c r="J304" s="14">
        <f>C304*D304*F304</f>
        <v/>
      </c>
    </row>
    <row r="305">
      <c r="B305" s="13" t="inlineStr">
        <is>
          <t>EJE-16 fondo interior</t>
        </is>
      </c>
      <c r="C305" s="14" t="n">
        <v>1</v>
      </c>
      <c r="D305" s="14" t="n">
        <v>49.55</v>
      </c>
      <c r="E305" s="14">
        <f>PARAMETROS!$B$6</f>
        <v/>
      </c>
      <c r="J305" s="14">
        <f>C305*D305*E305</f>
        <v/>
      </c>
    </row>
    <row r="306">
      <c r="B306" s="13" t="inlineStr">
        <is>
          <t>EJE-16 coronas de muro (tramo con rejilla)</t>
        </is>
      </c>
      <c r="C306" s="14" t="n">
        <v>2</v>
      </c>
      <c r="D306" s="14" t="n">
        <v>49.55</v>
      </c>
      <c r="E306" s="14">
        <f>PARAMETROS!$B$7</f>
        <v/>
      </c>
      <c r="J306" s="14">
        <f>C306*D306*E306</f>
        <v/>
      </c>
    </row>
    <row r="307">
      <c r="B307" s="13" t="inlineStr">
        <is>
          <t>EJE-17 caras interiores de muros</t>
        </is>
      </c>
      <c r="C307" s="14" t="n">
        <v>2</v>
      </c>
      <c r="D307" s="14" t="n">
        <v>39.98</v>
      </c>
      <c r="F307" s="14" t="n">
        <v>0.392</v>
      </c>
      <c r="J307" s="14">
        <f>C307*D307*F307</f>
        <v/>
      </c>
    </row>
    <row r="308">
      <c r="B308" s="13" t="inlineStr">
        <is>
          <t>EJE-17 fondo interior</t>
        </is>
      </c>
      <c r="C308" s="14" t="n">
        <v>1</v>
      </c>
      <c r="D308" s="14" t="n">
        <v>39.98</v>
      </c>
      <c r="E308" s="14">
        <f>PARAMETROS!$B$6</f>
        <v/>
      </c>
      <c r="J308" s="14">
        <f>C308*D308*E308</f>
        <v/>
      </c>
    </row>
    <row r="309">
      <c r="B309" s="13" t="inlineStr">
        <is>
          <t>EJE-17 coronas de muro (tramo con rejilla)</t>
        </is>
      </c>
      <c r="C309" s="14" t="n">
        <v>2</v>
      </c>
      <c r="D309" s="14" t="n">
        <v>35.4</v>
      </c>
      <c r="E309" s="14">
        <f>PARAMETROS!$B$7</f>
        <v/>
      </c>
      <c r="J309" s="14">
        <f>C309*D309*E309</f>
        <v/>
      </c>
    </row>
    <row r="310">
      <c r="B310" s="13" t="inlineStr">
        <is>
          <t>EJE-17 losa tapa</t>
        </is>
      </c>
      <c r="C310" s="14" t="n">
        <v>1</v>
      </c>
      <c r="D310" s="14" t="n">
        <v>4.58</v>
      </c>
      <c r="E310" s="14">
        <f>PARAMETROS!$B$5</f>
        <v/>
      </c>
      <c r="J310" s="14">
        <f>C310*D310*E310</f>
        <v/>
      </c>
    </row>
    <row r="311">
      <c r="B311" s="13" t="inlineStr">
        <is>
          <t>EJE-18 caras interiores de muros</t>
        </is>
      </c>
      <c r="C311" s="14" t="n">
        <v>2</v>
      </c>
      <c r="D311" s="14" t="n">
        <v>38.68</v>
      </c>
      <c r="F311" s="14" t="n">
        <v>0.397</v>
      </c>
      <c r="J311" s="14">
        <f>C311*D311*F311</f>
        <v/>
      </c>
    </row>
    <row r="312">
      <c r="B312" s="13" t="inlineStr">
        <is>
          <t>EJE-18 fondo interior</t>
        </is>
      </c>
      <c r="C312" s="14" t="n">
        <v>1</v>
      </c>
      <c r="D312" s="14" t="n">
        <v>38.68</v>
      </c>
      <c r="E312" s="14">
        <f>PARAMETROS!$B$6</f>
        <v/>
      </c>
      <c r="J312" s="14">
        <f>C312*D312*E312</f>
        <v/>
      </c>
    </row>
    <row r="313">
      <c r="B313" s="13" t="inlineStr">
        <is>
          <t>EJE-18 coronas de muro (tramo con rejilla)</t>
        </is>
      </c>
      <c r="C313" s="14" t="n">
        <v>2</v>
      </c>
      <c r="D313" s="14" t="n">
        <v>38.68</v>
      </c>
      <c r="E313" s="14">
        <f>PARAMETROS!$B$7</f>
        <v/>
      </c>
      <c r="J313" s="14">
        <f>C313*D313*E313</f>
        <v/>
      </c>
    </row>
    <row r="314">
      <c r="B314" s="13" t="inlineStr">
        <is>
          <t>EJE-19 caras interiores de muros</t>
        </is>
      </c>
      <c r="C314" s="14" t="n">
        <v>2</v>
      </c>
      <c r="D314" s="14" t="n">
        <v>14.09</v>
      </c>
      <c r="F314" s="14" t="n">
        <v>0.335</v>
      </c>
      <c r="J314" s="14">
        <f>C314*D314*F314</f>
        <v/>
      </c>
    </row>
    <row r="315">
      <c r="B315" s="13" t="inlineStr">
        <is>
          <t>EJE-19 fondo interior</t>
        </is>
      </c>
      <c r="C315" s="14" t="n">
        <v>1</v>
      </c>
      <c r="D315" s="14" t="n">
        <v>14.09</v>
      </c>
      <c r="E315" s="14">
        <f>PARAMETROS!$B$6</f>
        <v/>
      </c>
      <c r="J315" s="14">
        <f>C315*D315*E315</f>
        <v/>
      </c>
    </row>
    <row r="316">
      <c r="B316" s="13" t="inlineStr">
        <is>
          <t>EJE-19 coronas de muro (tramo con rejilla)</t>
        </is>
      </c>
      <c r="C316" s="14" t="n">
        <v>2</v>
      </c>
      <c r="D316" s="14" t="n">
        <v>14.09</v>
      </c>
      <c r="E316" s="14">
        <f>PARAMETROS!$B$7</f>
        <v/>
      </c>
      <c r="J316" s="14">
        <f>C316*D316*E316</f>
        <v/>
      </c>
    </row>
    <row r="317">
      <c r="A317" s="10" t="inlineStr">
        <is>
          <t>01.04.02</t>
        </is>
      </c>
      <c r="B317" s="10" t="inlineStr">
        <is>
          <t>VARIOS</t>
        </is>
      </c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</row>
    <row r="318">
      <c r="A318" s="2" t="inlineStr">
        <is>
          <t>01.04.02.01</t>
        </is>
      </c>
      <c r="B318" s="2" t="inlineStr">
        <is>
          <t>REJILLA METALICA P/CUNETA C/PL 1''x 3/16'' Y ANGULO 1'' x 1'' x 3/16''</t>
        </is>
      </c>
      <c r="K318" s="12">
        <f>SUM(J319:J337)</f>
        <v/>
      </c>
      <c r="L318" s="2" t="inlineStr">
        <is>
          <t>m</t>
        </is>
      </c>
    </row>
    <row r="319">
      <c r="B319" s="13" t="inlineStr">
        <is>
          <t>EJE-01 (tramos abiertos)</t>
        </is>
      </c>
      <c r="C319" s="14" t="n">
        <v>1</v>
      </c>
      <c r="D319" s="14" t="n">
        <v>34.34</v>
      </c>
      <c r="J319" s="14">
        <f>C319*D319</f>
        <v/>
      </c>
    </row>
    <row r="320">
      <c r="B320" s="13" t="inlineStr">
        <is>
          <t>EJE-02 (tramos abiertos)</t>
        </is>
      </c>
      <c r="C320" s="14" t="n">
        <v>1</v>
      </c>
      <c r="D320" s="14" t="n">
        <v>75.28</v>
      </c>
      <c r="J320" s="14">
        <f>C320*D320</f>
        <v/>
      </c>
    </row>
    <row r="321">
      <c r="B321" s="13" t="inlineStr">
        <is>
          <t>EJE-03 (tramos abiertos)</t>
        </is>
      </c>
      <c r="C321" s="14" t="n">
        <v>1</v>
      </c>
      <c r="D321" s="14" t="n">
        <v>32.31</v>
      </c>
      <c r="J321" s="14">
        <f>C321*D321</f>
        <v/>
      </c>
    </row>
    <row r="322">
      <c r="B322" s="13" t="inlineStr">
        <is>
          <t>EJE-04 (tramos abiertos)</t>
        </is>
      </c>
      <c r="C322" s="14" t="n">
        <v>1</v>
      </c>
      <c r="D322" s="14" t="n">
        <v>94.34</v>
      </c>
      <c r="J322" s="14">
        <f>C322*D322</f>
        <v/>
      </c>
    </row>
    <row r="323">
      <c r="B323" s="13" t="inlineStr">
        <is>
          <t>EJE-05 (tramos abiertos)</t>
        </is>
      </c>
      <c r="C323" s="14" t="n">
        <v>1</v>
      </c>
      <c r="D323" s="14" t="n">
        <v>90.56</v>
      </c>
      <c r="J323" s="14">
        <f>C323*D323</f>
        <v/>
      </c>
    </row>
    <row r="324">
      <c r="B324" s="13" t="inlineStr">
        <is>
          <t>EJE-06 (tramos abiertos)</t>
        </is>
      </c>
      <c r="C324" s="14" t="n">
        <v>1</v>
      </c>
      <c r="D324" s="14" t="n">
        <v>12.3</v>
      </c>
      <c r="J324" s="14">
        <f>C324*D324</f>
        <v/>
      </c>
    </row>
    <row r="325">
      <c r="B325" s="13" t="inlineStr">
        <is>
          <t>EJE-07 (tramos abiertos)</t>
        </is>
      </c>
      <c r="C325" s="14" t="n">
        <v>1</v>
      </c>
      <c r="D325" s="14" t="n">
        <v>71.79000000000001</v>
      </c>
      <c r="J325" s="14">
        <f>C325*D325</f>
        <v/>
      </c>
    </row>
    <row r="326">
      <c r="B326" s="13" t="inlineStr">
        <is>
          <t>EJE-08 (tramos abiertos)</t>
        </is>
      </c>
      <c r="C326" s="14" t="n">
        <v>1</v>
      </c>
      <c r="D326" s="14" t="n">
        <v>39.68</v>
      </c>
      <c r="J326" s="14">
        <f>C326*D326</f>
        <v/>
      </c>
    </row>
    <row r="327">
      <c r="B327" s="13" t="inlineStr">
        <is>
          <t>EJE-09 (tramos abiertos)</t>
        </is>
      </c>
      <c r="C327" s="14" t="n">
        <v>1</v>
      </c>
      <c r="D327" s="14" t="n">
        <v>35.8</v>
      </c>
      <c r="J327" s="14">
        <f>C327*D327</f>
        <v/>
      </c>
    </row>
    <row r="328">
      <c r="B328" s="13" t="inlineStr">
        <is>
          <t>EJE-10 (tramos abiertos)</t>
        </is>
      </c>
      <c r="C328" s="14" t="n">
        <v>1</v>
      </c>
      <c r="D328" s="14" t="n">
        <v>36.9</v>
      </c>
      <c r="J328" s="14">
        <f>C328*D328</f>
        <v/>
      </c>
    </row>
    <row r="329">
      <c r="B329" s="13" t="inlineStr">
        <is>
          <t>EJE-11 (tramos abiertos)</t>
        </is>
      </c>
      <c r="C329" s="14" t="n">
        <v>1</v>
      </c>
      <c r="D329" s="14" t="n">
        <v>29.86</v>
      </c>
      <c r="J329" s="14">
        <f>C329*D329</f>
        <v/>
      </c>
    </row>
    <row r="330">
      <c r="B330" s="13" t="inlineStr">
        <is>
          <t>EJE-12 (tramos abiertos)</t>
        </is>
      </c>
      <c r="C330" s="14" t="n">
        <v>1</v>
      </c>
      <c r="D330" s="14" t="n">
        <v>103.16</v>
      </c>
      <c r="J330" s="14">
        <f>C330*D330</f>
        <v/>
      </c>
    </row>
    <row r="331">
      <c r="B331" s="13" t="inlineStr">
        <is>
          <t>EJE-13 (tramos abiertos)</t>
        </is>
      </c>
      <c r="C331" s="14" t="n">
        <v>1</v>
      </c>
      <c r="D331" s="14" t="n">
        <v>24.38</v>
      </c>
      <c r="J331" s="14">
        <f>C331*D331</f>
        <v/>
      </c>
    </row>
    <row r="332">
      <c r="B332" s="13" t="inlineStr">
        <is>
          <t>EJE-14 (tramos abiertos)</t>
        </is>
      </c>
      <c r="C332" s="14" t="n">
        <v>1</v>
      </c>
      <c r="D332" s="14" t="n">
        <v>64.93000000000001</v>
      </c>
      <c r="J332" s="14">
        <f>C332*D332</f>
        <v/>
      </c>
    </row>
    <row r="333">
      <c r="B333" s="13" t="inlineStr">
        <is>
          <t>EJE-15 (tramos abiertos)</t>
        </is>
      </c>
      <c r="C333" s="14" t="n">
        <v>1</v>
      </c>
      <c r="D333" s="14" t="n">
        <v>41.47</v>
      </c>
      <c r="J333" s="14">
        <f>C333*D333</f>
        <v/>
      </c>
    </row>
    <row r="334">
      <c r="B334" s="13" t="inlineStr">
        <is>
          <t>EJE-16 (tramos abiertos)</t>
        </is>
      </c>
      <c r="C334" s="14" t="n">
        <v>1</v>
      </c>
      <c r="D334" s="14" t="n">
        <v>49.55</v>
      </c>
      <c r="J334" s="14">
        <f>C334*D334</f>
        <v/>
      </c>
    </row>
    <row r="335">
      <c r="B335" s="13" t="inlineStr">
        <is>
          <t>EJE-17 (tramos abiertos)</t>
        </is>
      </c>
      <c r="C335" s="14" t="n">
        <v>1</v>
      </c>
      <c r="D335" s="14" t="n">
        <v>35.4</v>
      </c>
      <c r="J335" s="14">
        <f>C335*D335</f>
        <v/>
      </c>
    </row>
    <row r="336">
      <c r="B336" s="13" t="inlineStr">
        <is>
          <t>EJE-18 (tramos abiertos)</t>
        </is>
      </c>
      <c r="C336" s="14" t="n">
        <v>1</v>
      </c>
      <c r="D336" s="14" t="n">
        <v>38.68</v>
      </c>
      <c r="J336" s="14">
        <f>C336*D336</f>
        <v/>
      </c>
    </row>
    <row r="337">
      <c r="B337" s="13" t="inlineStr">
        <is>
          <t>EJE-19 (tramos abiertos)</t>
        </is>
      </c>
      <c r="C337" s="14" t="n">
        <v>1</v>
      </c>
      <c r="D337" s="14" t="n">
        <v>14.09</v>
      </c>
      <c r="J337" s="14">
        <f>C337*D337</f>
        <v/>
      </c>
    </row>
    <row r="338">
      <c r="A338" s="2" t="inlineStr">
        <is>
          <t>01.04.02.02</t>
        </is>
      </c>
      <c r="B338" s="2" t="inlineStr">
        <is>
          <t>TAPA DE INSPECCION 0.60m x 0.60m</t>
        </is>
      </c>
      <c r="K338" s="12">
        <f>SUM(J339:J342)</f>
        <v/>
      </c>
      <c r="L338" s="2" t="inlineStr">
        <is>
          <t>und</t>
        </is>
      </c>
    </row>
    <row r="339">
      <c r="B339" s="13" t="inlineStr">
        <is>
          <t>EJE-02 (tramos tapados)</t>
        </is>
      </c>
      <c r="C339" s="14" t="n">
        <v>1</v>
      </c>
      <c r="J339" s="14">
        <f>C339</f>
        <v/>
      </c>
    </row>
    <row r="340">
      <c r="B340" s="13" t="inlineStr">
        <is>
          <t>EJE-07 (tramos tapados)</t>
        </is>
      </c>
      <c r="C340" s="14" t="n">
        <v>4</v>
      </c>
      <c r="J340" s="14">
        <f>C340</f>
        <v/>
      </c>
    </row>
    <row r="341">
      <c r="B341" s="13" t="inlineStr">
        <is>
          <t>EJE-12 (tramos tapados)</t>
        </is>
      </c>
      <c r="C341" s="14" t="n">
        <v>3</v>
      </c>
      <c r="J341" s="14">
        <f>C341</f>
        <v/>
      </c>
    </row>
    <row r="342">
      <c r="B342" s="13" t="inlineStr">
        <is>
          <t>EJE-17 (tramos tapados)</t>
        </is>
      </c>
      <c r="C342" s="14" t="n">
        <v>2</v>
      </c>
      <c r="J342" s="14">
        <f>C342</f>
        <v/>
      </c>
    </row>
    <row r="343">
      <c r="A343" s="2" t="inlineStr">
        <is>
          <t>01.04.02.03</t>
        </is>
      </c>
      <c r="B343" s="2" t="inlineStr">
        <is>
          <t>JUNTA DE DILATACION E=1" CON SELLADOR ASFALTO</t>
        </is>
      </c>
      <c r="K343" s="12">
        <f>SUM(J344:J362)</f>
        <v/>
      </c>
      <c r="L343" s="2" t="inlineStr">
        <is>
          <t>m</t>
        </is>
      </c>
    </row>
    <row r="344">
      <c r="B344" s="13" t="inlineStr">
        <is>
          <t>EJE-01 (seccion en U cada 3.00 m)</t>
        </is>
      </c>
      <c r="C344" s="14" t="n">
        <v>11</v>
      </c>
      <c r="D344" s="14">
        <f>2*(0.386+PARAMETROS!$B$8)+PARAMETROS!$B$5</f>
        <v/>
      </c>
      <c r="J344" s="14">
        <f>C344*D344</f>
        <v/>
      </c>
    </row>
    <row r="345">
      <c r="B345" s="13" t="inlineStr">
        <is>
          <t>EJE-02 (seccion en U cada 3.00 m)</t>
        </is>
      </c>
      <c r="C345" s="14" t="n">
        <v>25</v>
      </c>
      <c r="D345" s="14">
        <f>2*(0.568+PARAMETROS!$B$8)+PARAMETROS!$B$5</f>
        <v/>
      </c>
      <c r="J345" s="14">
        <f>C345*D345</f>
        <v/>
      </c>
    </row>
    <row r="346">
      <c r="B346" s="13" t="inlineStr">
        <is>
          <t>EJE-03 (seccion en U cada 3.00 m)</t>
        </is>
      </c>
      <c r="C346" s="14" t="n">
        <v>10</v>
      </c>
      <c r="D346" s="14">
        <f>2*(0.381+PARAMETROS!$B$8)+PARAMETROS!$B$5</f>
        <v/>
      </c>
      <c r="J346" s="14">
        <f>C346*D346</f>
        <v/>
      </c>
    </row>
    <row r="347">
      <c r="B347" s="13" t="inlineStr">
        <is>
          <t>EJE-04 (seccion en U cada 3.00 m)</t>
        </is>
      </c>
      <c r="C347" s="14" t="n">
        <v>31</v>
      </c>
      <c r="D347" s="14">
        <f>2*(0.536+PARAMETROS!$B$8)+PARAMETROS!$B$5</f>
        <v/>
      </c>
      <c r="J347" s="14">
        <f>C347*D347</f>
        <v/>
      </c>
    </row>
    <row r="348">
      <c r="B348" s="13" t="inlineStr">
        <is>
          <t>EJE-05 (seccion en U cada 3.00 m)</t>
        </is>
      </c>
      <c r="C348" s="14" t="n">
        <v>30</v>
      </c>
      <c r="D348" s="14">
        <f>2*(0.526+PARAMETROS!$B$8)+PARAMETROS!$B$5</f>
        <v/>
      </c>
      <c r="J348" s="14">
        <f>C348*D348</f>
        <v/>
      </c>
    </row>
    <row r="349">
      <c r="B349" s="13" t="inlineStr">
        <is>
          <t>EJE-06 (seccion en U cada 3.00 m)</t>
        </is>
      </c>
      <c r="C349" s="14" t="n">
        <v>4</v>
      </c>
      <c r="D349" s="14">
        <f>2*(0.331+PARAMETROS!$B$8)+PARAMETROS!$B$5</f>
        <v/>
      </c>
      <c r="J349" s="14">
        <f>C349*D349</f>
        <v/>
      </c>
    </row>
    <row r="350">
      <c r="B350" s="13" t="inlineStr">
        <is>
          <t>EJE-07 (seccion en U cada 3.00 m)</t>
        </is>
      </c>
      <c r="C350" s="14" t="n">
        <v>31</v>
      </c>
      <c r="D350" s="14">
        <f>2*(0.669+PARAMETROS!$B$8)+PARAMETROS!$B$5</f>
        <v/>
      </c>
      <c r="J350" s="14">
        <f>C350*D350</f>
        <v/>
      </c>
    </row>
    <row r="351">
      <c r="B351" s="13" t="inlineStr">
        <is>
          <t>EJE-08 (seccion en U cada 3.00 m)</t>
        </is>
      </c>
      <c r="C351" s="14" t="n">
        <v>13</v>
      </c>
      <c r="D351" s="14">
        <f>2*(0.399+PARAMETROS!$B$8)+PARAMETROS!$B$5</f>
        <v/>
      </c>
      <c r="J351" s="14">
        <f>C351*D351</f>
        <v/>
      </c>
    </row>
    <row r="352">
      <c r="B352" s="13" t="inlineStr">
        <is>
          <t>EJE-09 (seccion en U cada 3.00 m)</t>
        </is>
      </c>
      <c r="C352" s="14" t="n">
        <v>11</v>
      </c>
      <c r="D352" s="14">
        <f>2*(0.39+PARAMETROS!$B$8)+PARAMETROS!$B$5</f>
        <v/>
      </c>
      <c r="J352" s="14">
        <f>C352*D352</f>
        <v/>
      </c>
    </row>
    <row r="353">
      <c r="B353" s="13" t="inlineStr">
        <is>
          <t>EJE-10 (seccion en U cada 3.00 m)</t>
        </is>
      </c>
      <c r="C353" s="14" t="n">
        <v>12</v>
      </c>
      <c r="D353" s="14">
        <f>2*(0.392+PARAMETROS!$B$8)+PARAMETROS!$B$5</f>
        <v/>
      </c>
      <c r="J353" s="14">
        <f>C353*D353</f>
        <v/>
      </c>
    </row>
    <row r="354">
      <c r="B354" s="13" t="inlineStr">
        <is>
          <t>EJE-11 (seccion en U cada 3.00 m)</t>
        </is>
      </c>
      <c r="C354" s="14" t="n">
        <v>10</v>
      </c>
      <c r="D354" s="14">
        <f>2*(0.376+PARAMETROS!$B$8)+PARAMETROS!$B$5</f>
        <v/>
      </c>
      <c r="J354" s="14">
        <f>C354*D354</f>
        <v/>
      </c>
    </row>
    <row r="355">
      <c r="B355" s="13" t="inlineStr">
        <is>
          <t>EJE-12 (seccion en U cada 3.00 m)</t>
        </is>
      </c>
      <c r="C355" s="14" t="n">
        <v>39</v>
      </c>
      <c r="D355" s="14">
        <f>2*(0.539+PARAMETROS!$B$8)+PARAMETROS!$B$5</f>
        <v/>
      </c>
      <c r="J355" s="14">
        <f>C355*D355</f>
        <v/>
      </c>
    </row>
    <row r="356">
      <c r="B356" s="13" t="inlineStr">
        <is>
          <t>EJE-13 (seccion en U cada 3.00 m)</t>
        </is>
      </c>
      <c r="C356" s="14" t="n">
        <v>8</v>
      </c>
      <c r="D356" s="14">
        <f>2*(0.361+PARAMETROS!$B$8)+PARAMETROS!$B$5</f>
        <v/>
      </c>
      <c r="J356" s="14">
        <f>C356*D356</f>
        <v/>
      </c>
    </row>
    <row r="357">
      <c r="B357" s="13" t="inlineStr">
        <is>
          <t>EJE-14 (seccion en U cada 3.00 m)</t>
        </is>
      </c>
      <c r="C357" s="14" t="n">
        <v>21</v>
      </c>
      <c r="D357" s="14">
        <f>2*(0.385+PARAMETROS!$B$8)+PARAMETROS!$B$5</f>
        <v/>
      </c>
      <c r="J357" s="14">
        <f>C357*D357</f>
        <v/>
      </c>
    </row>
    <row r="358">
      <c r="B358" s="13" t="inlineStr">
        <is>
          <t>EJE-15 (seccion en U cada 3.00 m)</t>
        </is>
      </c>
      <c r="C358" s="14" t="n">
        <v>13</v>
      </c>
      <c r="D358" s="14">
        <f>2*(0.323+PARAMETROS!$B$8)+PARAMETROS!$B$5</f>
        <v/>
      </c>
      <c r="J358" s="14">
        <f>C358*D358</f>
        <v/>
      </c>
    </row>
    <row r="359">
      <c r="B359" s="13" t="inlineStr">
        <is>
          <t>EJE-16 (seccion en U cada 3.00 m)</t>
        </is>
      </c>
      <c r="C359" s="14" t="n">
        <v>16</v>
      </c>
      <c r="D359" s="14">
        <f>2*(0.381+PARAMETROS!$B$8)+PARAMETROS!$B$5</f>
        <v/>
      </c>
      <c r="J359" s="14">
        <f>C359*D359</f>
        <v/>
      </c>
    </row>
    <row r="360">
      <c r="B360" s="13" t="inlineStr">
        <is>
          <t>EJE-17 (seccion en U cada 3.00 m)</t>
        </is>
      </c>
      <c r="C360" s="14" t="n">
        <v>13</v>
      </c>
      <c r="D360" s="14">
        <f>2*(0.404+PARAMETROS!$B$8)+PARAMETROS!$B$5</f>
        <v/>
      </c>
      <c r="J360" s="14">
        <f>C360*D360</f>
        <v/>
      </c>
    </row>
    <row r="361">
      <c r="B361" s="13" t="inlineStr">
        <is>
          <t>EJE-18 (seccion en U cada 3.00 m)</t>
        </is>
      </c>
      <c r="C361" s="14" t="n">
        <v>12</v>
      </c>
      <c r="D361" s="14">
        <f>2*(0.397+PARAMETROS!$B$8)+PARAMETROS!$B$5</f>
        <v/>
      </c>
      <c r="J361" s="14">
        <f>C361*D361</f>
        <v/>
      </c>
    </row>
    <row r="362">
      <c r="B362" s="13" t="inlineStr">
        <is>
          <t>EJE-19 (seccion en U cada 3.00 m)</t>
        </is>
      </c>
      <c r="C362" s="14" t="n">
        <v>4</v>
      </c>
      <c r="D362" s="14">
        <f>2*(0.335+PARAMETROS!$B$8)+PARAMETROS!$B$5</f>
        <v/>
      </c>
      <c r="J362" s="14">
        <f>C362*D362</f>
        <v/>
      </c>
    </row>
    <row r="363">
      <c r="A363" s="2" t="inlineStr">
        <is>
          <t>01.04.02.04</t>
        </is>
      </c>
      <c r="B363" s="2" t="inlineStr">
        <is>
          <t>JUNTA E=1" CON SELLADOR ASFALTICO ENTRE CUNETA Y PISO ADYACENTE</t>
        </is>
      </c>
      <c r="K363" s="12">
        <f>SUM(J364:J378)</f>
        <v/>
      </c>
      <c r="L363" s="2" t="inlineStr">
        <is>
          <t>m</t>
        </is>
      </c>
    </row>
    <row r="364">
      <c r="B364" s="13" t="inlineStr">
        <is>
          <t>EJE-04 (bordes junto a piso o vereda)</t>
        </is>
      </c>
      <c r="C364" s="14" t="n">
        <v>1</v>
      </c>
      <c r="D364" s="14" t="n">
        <v>24</v>
      </c>
      <c r="J364" s="14">
        <f>C364*D364</f>
        <v/>
      </c>
    </row>
    <row r="365">
      <c r="B365" s="13" t="inlineStr">
        <is>
          <t>EJE-05 (bordes junto a piso o vereda)</t>
        </is>
      </c>
      <c r="C365" s="14" t="n">
        <v>1</v>
      </c>
      <c r="D365" s="14" t="n">
        <v>22</v>
      </c>
      <c r="J365" s="14">
        <f>C365*D365</f>
        <v/>
      </c>
    </row>
    <row r="366">
      <c r="B366" s="13" t="inlineStr">
        <is>
          <t>EJE-06 (bordes junto a piso o vereda)</t>
        </is>
      </c>
      <c r="C366" s="14" t="n">
        <v>1</v>
      </c>
      <c r="D366" s="14" t="n">
        <v>11</v>
      </c>
      <c r="J366" s="14">
        <f>C366*D366</f>
        <v/>
      </c>
    </row>
    <row r="367">
      <c r="B367" s="13" t="inlineStr">
        <is>
          <t>EJE-07 (bordes junto a piso o vereda)</t>
        </is>
      </c>
      <c r="C367" s="14" t="n">
        <v>1</v>
      </c>
      <c r="D367" s="14" t="n">
        <v>105</v>
      </c>
      <c r="J367" s="14">
        <f>C367*D367</f>
        <v/>
      </c>
    </row>
    <row r="368">
      <c r="B368" s="13" t="inlineStr">
        <is>
          <t>EJE-08 (bordes junto a piso o vereda)</t>
        </is>
      </c>
      <c r="C368" s="14" t="n">
        <v>1</v>
      </c>
      <c r="D368" s="14" t="n">
        <v>8</v>
      </c>
      <c r="J368" s="14">
        <f>C368*D368</f>
        <v/>
      </c>
    </row>
    <row r="369">
      <c r="B369" s="13" t="inlineStr">
        <is>
          <t>EJE-09 (bordes junto a piso o vereda)</t>
        </is>
      </c>
      <c r="C369" s="14" t="n">
        <v>1</v>
      </c>
      <c r="D369" s="14" t="n">
        <v>39</v>
      </c>
      <c r="J369" s="14">
        <f>C369*D369</f>
        <v/>
      </c>
    </row>
    <row r="370">
      <c r="B370" s="13" t="inlineStr">
        <is>
          <t>EJE-10 (bordes junto a piso o vereda)</t>
        </is>
      </c>
      <c r="C370" s="14" t="n">
        <v>1</v>
      </c>
      <c r="D370" s="14" t="n">
        <v>52.5</v>
      </c>
      <c r="J370" s="14">
        <f>C370*D370</f>
        <v/>
      </c>
    </row>
    <row r="371">
      <c r="B371" s="13" t="inlineStr">
        <is>
          <t>EJE-11 (bordes junto a piso o vereda)</t>
        </is>
      </c>
      <c r="C371" s="14" t="n">
        <v>1</v>
      </c>
      <c r="D371" s="14" t="n">
        <v>31.5</v>
      </c>
      <c r="J371" s="14">
        <f>C371*D371</f>
        <v/>
      </c>
    </row>
    <row r="372">
      <c r="B372" s="13" t="inlineStr">
        <is>
          <t>EJE-12 (bordes junto a piso o vereda)</t>
        </is>
      </c>
      <c r="C372" s="14" t="n">
        <v>1</v>
      </c>
      <c r="D372" s="14" t="n">
        <v>107.5</v>
      </c>
      <c r="J372" s="14">
        <f>C372*D372</f>
        <v/>
      </c>
    </row>
    <row r="373">
      <c r="B373" s="13" t="inlineStr">
        <is>
          <t>EJE-13 (bordes junto a piso o vereda)</t>
        </is>
      </c>
      <c r="C373" s="14" t="n">
        <v>1</v>
      </c>
      <c r="D373" s="14" t="n">
        <v>48.76</v>
      </c>
      <c r="J373" s="14">
        <f>C373*D373</f>
        <v/>
      </c>
    </row>
    <row r="374">
      <c r="B374" s="13" t="inlineStr">
        <is>
          <t>EJE-14 (bordes junto a piso o vereda)</t>
        </is>
      </c>
      <c r="C374" s="14" t="n">
        <v>1</v>
      </c>
      <c r="D374" s="14" t="n">
        <v>115</v>
      </c>
      <c r="J374" s="14">
        <f>C374*D374</f>
        <v/>
      </c>
    </row>
    <row r="375">
      <c r="B375" s="13" t="inlineStr">
        <is>
          <t>EJE-15 (bordes junto a piso o vereda)</t>
        </is>
      </c>
      <c r="C375" s="14" t="n">
        <v>1</v>
      </c>
      <c r="D375" s="14" t="n">
        <v>78</v>
      </c>
      <c r="J375" s="14">
        <f>C375*D375</f>
        <v/>
      </c>
    </row>
    <row r="376">
      <c r="B376" s="13" t="inlineStr">
        <is>
          <t>EJE-16 (bordes junto a piso o vereda)</t>
        </is>
      </c>
      <c r="C376" s="14" t="n">
        <v>1</v>
      </c>
      <c r="D376" s="14" t="n">
        <v>59.5</v>
      </c>
      <c r="J376" s="14">
        <f>C376*D376</f>
        <v/>
      </c>
    </row>
    <row r="377">
      <c r="B377" s="13" t="inlineStr">
        <is>
          <t>EJE-17 (bordes junto a piso o vereda)</t>
        </is>
      </c>
      <c r="C377" s="14" t="n">
        <v>1</v>
      </c>
      <c r="D377" s="14" t="n">
        <v>36</v>
      </c>
      <c r="J377" s="14">
        <f>C377*D377</f>
        <v/>
      </c>
    </row>
    <row r="378">
      <c r="B378" s="13" t="inlineStr">
        <is>
          <t>EJE-18 (bordes junto a piso o vereda)</t>
        </is>
      </c>
      <c r="C378" s="14" t="n">
        <v>1</v>
      </c>
      <c r="D378" s="14" t="n">
        <v>11</v>
      </c>
      <c r="J378" s="14">
        <f>C378*D378</f>
        <v/>
      </c>
    </row>
  </sheetData>
  <mergeCells count="4">
    <mergeCell ref="B5:L5"/>
    <mergeCell ref="B4:L4"/>
    <mergeCell ref="B6:L6"/>
    <mergeCell ref="B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L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2">
      <c r="A2" s="1" t="inlineStr">
        <is>
          <t>ACERO f'y = 4200 kg/cm2 PARA CUNETAS - BARRAS DE 3/8"</t>
        </is>
      </c>
    </row>
    <row r="3">
      <c r="A3" s="2" t="inlineStr">
        <is>
          <t>ENTIDAD</t>
        </is>
      </c>
      <c r="B3" s="3" t="inlineStr">
        <is>
          <t>GOBIERNO REGIONAL SAN MARTIN - GERENCIA TERRITORIAL BAJO MAYO - TARAPOTO</t>
        </is>
      </c>
    </row>
    <row r="4" ht="36" customHeight="1">
      <c r="A4" s="2" t="inlineStr">
        <is>
          <t>PROYECTO</t>
        </is>
      </c>
      <c r="B4" s="3" t="inlineStr">
        <is>
          <t>“MEJORAMIENTO Y AMPLIACIÓN DEL SERVICIO DE EDUCACIÓN PRIMARIA EN I.E. N° 0590 DISTRITO DE BARRANQUITA DE LA PROVINCIA DE LAMAS DEL DEPARTAMENTO DE SAN MARTÍN” - C.I. N° 468901</t>
        </is>
      </c>
    </row>
    <row r="5">
      <c r="A5" s="2" t="inlineStr">
        <is>
          <t>UBICACIÓN</t>
        </is>
      </c>
      <c r="B5" s="3" t="inlineStr">
        <is>
          <t>SAN MARTIN - LAMAS - BARRANQUITA</t>
        </is>
      </c>
    </row>
    <row r="6">
      <c r="A6" s="2" t="inlineStr">
        <is>
          <t>FECHA</t>
        </is>
      </c>
      <c r="B6" s="3" t="inlineStr">
        <is>
          <t>OCTUBRE 2026</t>
        </is>
      </c>
    </row>
    <row r="8">
      <c r="A8" s="15" t="inlineStr">
        <is>
          <t>EJE</t>
        </is>
      </c>
      <c r="B8" s="15" t="inlineStr">
        <is>
          <t>LONG. CON ACERO (m)</t>
        </is>
      </c>
      <c r="C8" s="15" t="inlineStr">
        <is>
          <t>h PROM. CON ACERO (m)</t>
        </is>
      </c>
      <c r="D8" s="15" t="inlineStr">
        <is>
          <t>LONG. TAPADA (m)</t>
        </is>
      </c>
      <c r="E8" s="15" t="inlineStr">
        <is>
          <t>LONG. U (m)</t>
        </is>
      </c>
      <c r="F8" s="15" t="inlineStr">
        <is>
          <t>N° DE U</t>
        </is>
      </c>
      <c r="G8" s="15" t="inlineStr">
        <is>
          <t>N° BARRAS LONG.</t>
        </is>
      </c>
      <c r="H8" s="15" t="inlineStr">
        <is>
          <t>kg U</t>
        </is>
      </c>
      <c r="I8" s="15" t="inlineStr">
        <is>
          <t>kg LONGIT.</t>
        </is>
      </c>
      <c r="J8" s="15" t="inlineStr">
        <is>
          <t>kg LOSA TAPA</t>
        </is>
      </c>
      <c r="K8" s="15" t="inlineStr">
        <is>
          <t>TOTAL (kg)</t>
        </is>
      </c>
    </row>
    <row r="9">
      <c r="A9" s="7" t="inlineStr">
        <is>
          <t>EJE-01</t>
        </is>
      </c>
      <c r="B9" s="16" t="n">
        <v>14.4</v>
      </c>
      <c r="C9" s="16" t="n">
        <v>0.436</v>
      </c>
      <c r="D9" s="16" t="n">
        <v>0</v>
      </c>
      <c r="E9" s="16">
        <f>IF(B9&gt;0,2*(C9+PARAMETROS!$B$8-2*PARAMETROS!$B$16)+(PARAMETROS!$B$5-2*PARAMETROS!$B$16)+0.2,0)</f>
        <v/>
      </c>
      <c r="F9" s="16">
        <f>IF(B9&gt;0,B9/PARAMETROS!$B$18,0)</f>
        <v/>
      </c>
      <c r="G9" s="16">
        <f>IF(B9&gt;0,2*(CEILING(ROUND(C9/PARAMETROS!$B$19,6),1)+1)+(CEILING(ROUND((PARAMETROS!$B$5-2*PARAMETROS!$B$16)/PARAMETROS!$B$19,6),1)+1),0)</f>
        <v/>
      </c>
      <c r="H9" s="16">
        <f>F9*E9*PARAMETROS!$B$17</f>
        <v/>
      </c>
      <c r="I9" s="16">
        <f>G9*B9*PARAMETROS!$B$17</f>
        <v/>
      </c>
      <c r="J9" s="16">
        <f>IF(B9&gt;0,(D9/PARAMETROS!$B$19)*(PARAMETROS!$B$5-2*PARAMETROS!$B$16+0.2)*PARAMETROS!$B$17+3*D9*PARAMETROS!$B$17,0)</f>
        <v/>
      </c>
      <c r="K9" s="16">
        <f>H9+I9+J9</f>
        <v/>
      </c>
    </row>
    <row r="10">
      <c r="A10" s="7" t="inlineStr">
        <is>
          <t>EJE-02</t>
        </is>
      </c>
      <c r="B10" s="16" t="n">
        <v>56.15</v>
      </c>
      <c r="C10" s="16" t="n">
        <v>0.645</v>
      </c>
      <c r="D10" s="16" t="n">
        <v>0.76</v>
      </c>
      <c r="E10" s="16">
        <f>IF(B10&gt;0,2*(C10+PARAMETROS!$B$8-2*PARAMETROS!$B$16)+(PARAMETROS!$B$5-2*PARAMETROS!$B$16)+0.2,0)</f>
        <v/>
      </c>
      <c r="F10" s="16">
        <f>IF(B10&gt;0,B10/PARAMETROS!$B$18,0)</f>
        <v/>
      </c>
      <c r="G10" s="16">
        <f>IF(B10&gt;0,2*(CEILING(ROUND(C10/PARAMETROS!$B$19,6),1)+1)+(CEILING(ROUND((PARAMETROS!$B$5-2*PARAMETROS!$B$16)/PARAMETROS!$B$19,6),1)+1),0)</f>
        <v/>
      </c>
      <c r="H10" s="16">
        <f>F10*E10*PARAMETROS!$B$17</f>
        <v/>
      </c>
      <c r="I10" s="16">
        <f>G10*B10*PARAMETROS!$B$17</f>
        <v/>
      </c>
      <c r="J10" s="16">
        <f>IF(B10&gt;0,(D10/PARAMETROS!$B$19)*(PARAMETROS!$B$5-2*PARAMETROS!$B$16+0.2)*PARAMETROS!$B$17+3*D10*PARAMETROS!$B$17,0)</f>
        <v/>
      </c>
      <c r="K10" s="16">
        <f>H10+I10+J10</f>
        <v/>
      </c>
    </row>
    <row r="11">
      <c r="A11" s="7" t="inlineStr">
        <is>
          <t>EJE-03</t>
        </is>
      </c>
      <c r="B11" s="16" t="n">
        <v>12.42</v>
      </c>
      <c r="C11" s="16" t="n">
        <v>0.431</v>
      </c>
      <c r="D11" s="16" t="n">
        <v>0</v>
      </c>
      <c r="E11" s="16">
        <f>IF(B11&gt;0,2*(C11+PARAMETROS!$B$8-2*PARAMETROS!$B$16)+(PARAMETROS!$B$5-2*PARAMETROS!$B$16)+0.2,0)</f>
        <v/>
      </c>
      <c r="F11" s="16">
        <f>IF(B11&gt;0,B11/PARAMETROS!$B$18,0)</f>
        <v/>
      </c>
      <c r="G11" s="16">
        <f>IF(B11&gt;0,2*(CEILING(ROUND(C11/PARAMETROS!$B$19,6),1)+1)+(CEILING(ROUND((PARAMETROS!$B$5-2*PARAMETROS!$B$16)/PARAMETROS!$B$19,6),1)+1),0)</f>
        <v/>
      </c>
      <c r="H11" s="16">
        <f>F11*E11*PARAMETROS!$B$17</f>
        <v/>
      </c>
      <c r="I11" s="16">
        <f>G11*B11*PARAMETROS!$B$17</f>
        <v/>
      </c>
      <c r="J11" s="16">
        <f>IF(B11&gt;0,(D11/PARAMETROS!$B$19)*(PARAMETROS!$B$5-2*PARAMETROS!$B$16+0.2)*PARAMETROS!$B$17+3*D11*PARAMETROS!$B$17,0)</f>
        <v/>
      </c>
      <c r="K11" s="16">
        <f>H11+I11+J11</f>
        <v/>
      </c>
    </row>
    <row r="12">
      <c r="A12" s="7" t="inlineStr">
        <is>
          <t>EJE-04</t>
        </is>
      </c>
      <c r="B12" s="16" t="n">
        <v>74.15000000000001</v>
      </c>
      <c r="C12" s="16" t="n">
        <v>0.586</v>
      </c>
      <c r="D12" s="16" t="n">
        <v>0</v>
      </c>
      <c r="E12" s="16">
        <f>IF(B12&gt;0,2*(C12+PARAMETROS!$B$8-2*PARAMETROS!$B$16)+(PARAMETROS!$B$5-2*PARAMETROS!$B$16)+0.2,0)</f>
        <v/>
      </c>
      <c r="F12" s="16">
        <f>IF(B12&gt;0,B12/PARAMETROS!$B$18,0)</f>
        <v/>
      </c>
      <c r="G12" s="16">
        <f>IF(B12&gt;0,2*(CEILING(ROUND(C12/PARAMETROS!$B$19,6),1)+1)+(CEILING(ROUND((PARAMETROS!$B$5-2*PARAMETROS!$B$16)/PARAMETROS!$B$19,6),1)+1),0)</f>
        <v/>
      </c>
      <c r="H12" s="16">
        <f>F12*E12*PARAMETROS!$B$17</f>
        <v/>
      </c>
      <c r="I12" s="16">
        <f>G12*B12*PARAMETROS!$B$17</f>
        <v/>
      </c>
      <c r="J12" s="16">
        <f>IF(B12&gt;0,(D12/PARAMETROS!$B$19)*(PARAMETROS!$B$5-2*PARAMETROS!$B$16+0.2)*PARAMETROS!$B$17+3*D12*PARAMETROS!$B$17,0)</f>
        <v/>
      </c>
      <c r="K12" s="16">
        <f>H12+I12+J12</f>
        <v/>
      </c>
    </row>
    <row r="13">
      <c r="A13" s="7" t="inlineStr">
        <is>
          <t>EJE-05</t>
        </is>
      </c>
      <c r="B13" s="16" t="n">
        <v>70.73</v>
      </c>
      <c r="C13" s="16" t="n">
        <v>0.576</v>
      </c>
      <c r="D13" s="16" t="n">
        <v>0</v>
      </c>
      <c r="E13" s="16">
        <f>IF(B13&gt;0,2*(C13+PARAMETROS!$B$8-2*PARAMETROS!$B$16)+(PARAMETROS!$B$5-2*PARAMETROS!$B$16)+0.2,0)</f>
        <v/>
      </c>
      <c r="F13" s="16">
        <f>IF(B13&gt;0,B13/PARAMETROS!$B$18,0)</f>
        <v/>
      </c>
      <c r="G13" s="16">
        <f>IF(B13&gt;0,2*(CEILING(ROUND(C13/PARAMETROS!$B$19,6),1)+1)+(CEILING(ROUND((PARAMETROS!$B$5-2*PARAMETROS!$B$16)/PARAMETROS!$B$19,6),1)+1),0)</f>
        <v/>
      </c>
      <c r="H13" s="16">
        <f>F13*E13*PARAMETROS!$B$17</f>
        <v/>
      </c>
      <c r="I13" s="16">
        <f>G13*B13*PARAMETROS!$B$17</f>
        <v/>
      </c>
      <c r="J13" s="16">
        <f>IF(B13&gt;0,(D13/PARAMETROS!$B$19)*(PARAMETROS!$B$5-2*PARAMETROS!$B$16+0.2)*PARAMETROS!$B$17+3*D13*PARAMETROS!$B$17,0)</f>
        <v/>
      </c>
      <c r="K13" s="16">
        <f>H13+I13+J13</f>
        <v/>
      </c>
    </row>
    <row r="14">
      <c r="A14" s="7" t="inlineStr">
        <is>
          <t>EJE-06</t>
        </is>
      </c>
      <c r="B14" s="16" t="n">
        <v>0</v>
      </c>
      <c r="C14" s="16" t="n">
        <v>0</v>
      </c>
      <c r="D14" s="16" t="n">
        <v>0</v>
      </c>
      <c r="E14" s="16">
        <f>IF(B14&gt;0,2*(C14+PARAMETROS!$B$8-2*PARAMETROS!$B$16)+(PARAMETROS!$B$5-2*PARAMETROS!$B$16)+0.2,0)</f>
        <v/>
      </c>
      <c r="F14" s="16">
        <f>IF(B14&gt;0,B14/PARAMETROS!$B$18,0)</f>
        <v/>
      </c>
      <c r="G14" s="16">
        <f>IF(B14&gt;0,2*(CEILING(ROUND(C14/PARAMETROS!$B$19,6),1)+1)+(CEILING(ROUND((PARAMETROS!$B$5-2*PARAMETROS!$B$16)/PARAMETROS!$B$19,6),1)+1),0)</f>
        <v/>
      </c>
      <c r="H14" s="16">
        <f>F14*E14*PARAMETROS!$B$17</f>
        <v/>
      </c>
      <c r="I14" s="16">
        <f>G14*B14*PARAMETROS!$B$17</f>
        <v/>
      </c>
      <c r="J14" s="16">
        <f>IF(B14&gt;0,(D14/PARAMETROS!$B$19)*(PARAMETROS!$B$5-2*PARAMETROS!$B$16+0.2)*PARAMETROS!$B$17+3*D14*PARAMETROS!$B$17,0)</f>
        <v/>
      </c>
      <c r="K14" s="16">
        <f>H14+I14+J14</f>
        <v/>
      </c>
    </row>
    <row r="15">
      <c r="A15" s="7" t="inlineStr">
        <is>
          <t>EJE-07</t>
        </is>
      </c>
      <c r="B15" s="16" t="n">
        <v>88.94</v>
      </c>
      <c r="C15" s="16" t="n">
        <v>0.6899999999999999</v>
      </c>
      <c r="D15" s="16" t="n">
        <v>22.9</v>
      </c>
      <c r="E15" s="16">
        <f>IF(B15&gt;0,2*(C15+PARAMETROS!$B$8-2*PARAMETROS!$B$16)+(PARAMETROS!$B$5-2*PARAMETROS!$B$16)+0.2,0)</f>
        <v/>
      </c>
      <c r="F15" s="16">
        <f>IF(B15&gt;0,B15/PARAMETROS!$B$18,0)</f>
        <v/>
      </c>
      <c r="G15" s="16">
        <f>IF(B15&gt;0,2*(CEILING(ROUND(C15/PARAMETROS!$B$19,6),1)+1)+(CEILING(ROUND((PARAMETROS!$B$5-2*PARAMETROS!$B$16)/PARAMETROS!$B$19,6),1)+1),0)</f>
        <v/>
      </c>
      <c r="H15" s="16">
        <f>F15*E15*PARAMETROS!$B$17</f>
        <v/>
      </c>
      <c r="I15" s="16">
        <f>G15*B15*PARAMETROS!$B$17</f>
        <v/>
      </c>
      <c r="J15" s="16">
        <f>IF(B15&gt;0,(D15/PARAMETROS!$B$19)*(PARAMETROS!$B$5-2*PARAMETROS!$B$16+0.2)*PARAMETROS!$B$17+3*D15*PARAMETROS!$B$17,0)</f>
        <v/>
      </c>
      <c r="K15" s="16">
        <f>H15+I15+J15</f>
        <v/>
      </c>
    </row>
    <row r="16">
      <c r="A16" s="7" t="inlineStr">
        <is>
          <t>EJE-08</t>
        </is>
      </c>
      <c r="B16" s="16" t="n">
        <v>19.89</v>
      </c>
      <c r="C16" s="16" t="n">
        <v>0.449</v>
      </c>
      <c r="D16" s="16" t="n">
        <v>0</v>
      </c>
      <c r="E16" s="16">
        <f>IF(B16&gt;0,2*(C16+PARAMETROS!$B$8-2*PARAMETROS!$B$16)+(PARAMETROS!$B$5-2*PARAMETROS!$B$16)+0.2,0)</f>
        <v/>
      </c>
      <c r="F16" s="16">
        <f>IF(B16&gt;0,B16/PARAMETROS!$B$18,0)</f>
        <v/>
      </c>
      <c r="G16" s="16">
        <f>IF(B16&gt;0,2*(CEILING(ROUND(C16/PARAMETROS!$B$19,6),1)+1)+(CEILING(ROUND((PARAMETROS!$B$5-2*PARAMETROS!$B$16)/PARAMETROS!$B$19,6),1)+1),0)</f>
        <v/>
      </c>
      <c r="H16" s="16">
        <f>F16*E16*PARAMETROS!$B$17</f>
        <v/>
      </c>
      <c r="I16" s="16">
        <f>G16*B16*PARAMETROS!$B$17</f>
        <v/>
      </c>
      <c r="J16" s="16">
        <f>IF(B16&gt;0,(D16/PARAMETROS!$B$19)*(PARAMETROS!$B$5-2*PARAMETROS!$B$16+0.2)*PARAMETROS!$B$17+3*D16*PARAMETROS!$B$17,0)</f>
        <v/>
      </c>
      <c r="K16" s="16">
        <f>H16+I16+J16</f>
        <v/>
      </c>
    </row>
    <row r="17">
      <c r="A17" s="7" t="inlineStr">
        <is>
          <t>EJE-09</t>
        </is>
      </c>
      <c r="B17" s="16" t="n">
        <v>15.91</v>
      </c>
      <c r="C17" s="16" t="n">
        <v>0.439</v>
      </c>
      <c r="D17" s="16" t="n">
        <v>0</v>
      </c>
      <c r="E17" s="16">
        <f>IF(B17&gt;0,2*(C17+PARAMETROS!$B$8-2*PARAMETROS!$B$16)+(PARAMETROS!$B$5-2*PARAMETROS!$B$16)+0.2,0)</f>
        <v/>
      </c>
      <c r="F17" s="16">
        <f>IF(B17&gt;0,B17/PARAMETROS!$B$18,0)</f>
        <v/>
      </c>
      <c r="G17" s="16">
        <f>IF(B17&gt;0,2*(CEILING(ROUND(C17/PARAMETROS!$B$19,6),1)+1)+(CEILING(ROUND((PARAMETROS!$B$5-2*PARAMETROS!$B$16)/PARAMETROS!$B$19,6),1)+1),0)</f>
        <v/>
      </c>
      <c r="H17" s="16">
        <f>F17*E17*PARAMETROS!$B$17</f>
        <v/>
      </c>
      <c r="I17" s="16">
        <f>G17*B17*PARAMETROS!$B$17</f>
        <v/>
      </c>
      <c r="J17" s="16">
        <f>IF(B17&gt;0,(D17/PARAMETROS!$B$19)*(PARAMETROS!$B$5-2*PARAMETROS!$B$16+0.2)*PARAMETROS!$B$17+3*D17*PARAMETROS!$B$17,0)</f>
        <v/>
      </c>
      <c r="K17" s="16">
        <f>H17+I17+J17</f>
        <v/>
      </c>
    </row>
    <row r="18">
      <c r="A18" s="7" t="inlineStr">
        <is>
          <t>EJE-10</t>
        </is>
      </c>
      <c r="B18" s="16" t="n">
        <v>16.75</v>
      </c>
      <c r="C18" s="16" t="n">
        <v>0.443</v>
      </c>
      <c r="D18" s="16" t="n">
        <v>0</v>
      </c>
      <c r="E18" s="16">
        <f>IF(B18&gt;0,2*(C18+PARAMETROS!$B$8-2*PARAMETROS!$B$16)+(PARAMETROS!$B$5-2*PARAMETROS!$B$16)+0.2,0)</f>
        <v/>
      </c>
      <c r="F18" s="16">
        <f>IF(B18&gt;0,B18/PARAMETROS!$B$18,0)</f>
        <v/>
      </c>
      <c r="G18" s="16">
        <f>IF(B18&gt;0,2*(CEILING(ROUND(C18/PARAMETROS!$B$19,6),1)+1)+(CEILING(ROUND((PARAMETROS!$B$5-2*PARAMETROS!$B$16)/PARAMETROS!$B$19,6),1)+1),0)</f>
        <v/>
      </c>
      <c r="H18" s="16">
        <f>F18*E18*PARAMETROS!$B$17</f>
        <v/>
      </c>
      <c r="I18" s="16">
        <f>G18*B18*PARAMETROS!$B$17</f>
        <v/>
      </c>
      <c r="J18" s="16">
        <f>IF(B18&gt;0,(D18/PARAMETROS!$B$19)*(PARAMETROS!$B$5-2*PARAMETROS!$B$16+0.2)*PARAMETROS!$B$17+3*D18*PARAMETROS!$B$17,0)</f>
        <v/>
      </c>
      <c r="K18" s="16">
        <f>H18+I18+J18</f>
        <v/>
      </c>
    </row>
    <row r="19">
      <c r="A19" s="7" t="inlineStr">
        <is>
          <t>EJE-11</t>
        </is>
      </c>
      <c r="B19" s="16" t="n">
        <v>10.95</v>
      </c>
      <c r="C19" s="16" t="n">
        <v>0.424</v>
      </c>
      <c r="D19" s="16" t="n">
        <v>0.5</v>
      </c>
      <c r="E19" s="16">
        <f>IF(B19&gt;0,2*(C19+PARAMETROS!$B$8-2*PARAMETROS!$B$16)+(PARAMETROS!$B$5-2*PARAMETROS!$B$16)+0.2,0)</f>
        <v/>
      </c>
      <c r="F19" s="16">
        <f>IF(B19&gt;0,B19/PARAMETROS!$B$18,0)</f>
        <v/>
      </c>
      <c r="G19" s="16">
        <f>IF(B19&gt;0,2*(CEILING(ROUND(C19/PARAMETROS!$B$19,6),1)+1)+(CEILING(ROUND((PARAMETROS!$B$5-2*PARAMETROS!$B$16)/PARAMETROS!$B$19,6),1)+1),0)</f>
        <v/>
      </c>
      <c r="H19" s="16">
        <f>F19*E19*PARAMETROS!$B$17</f>
        <v/>
      </c>
      <c r="I19" s="16">
        <f>G19*B19*PARAMETROS!$B$17</f>
        <v/>
      </c>
      <c r="J19" s="16">
        <f>IF(B19&gt;0,(D19/PARAMETROS!$B$19)*(PARAMETROS!$B$5-2*PARAMETROS!$B$16+0.2)*PARAMETROS!$B$17+3*D19*PARAMETROS!$B$17,0)</f>
        <v/>
      </c>
      <c r="K19" s="16">
        <f>H19+I19+J19</f>
        <v/>
      </c>
    </row>
    <row r="20">
      <c r="A20" s="7" t="inlineStr">
        <is>
          <t>EJE-12</t>
        </is>
      </c>
      <c r="B20" s="16" t="n">
        <v>98.55</v>
      </c>
      <c r="C20" s="16" t="n">
        <v>0.577</v>
      </c>
      <c r="D20" s="16" t="n">
        <v>15.22</v>
      </c>
      <c r="E20" s="16">
        <f>IF(B20&gt;0,2*(C20+PARAMETROS!$B$8-2*PARAMETROS!$B$16)+(PARAMETROS!$B$5-2*PARAMETROS!$B$16)+0.2,0)</f>
        <v/>
      </c>
      <c r="F20" s="16">
        <f>IF(B20&gt;0,B20/PARAMETROS!$B$18,0)</f>
        <v/>
      </c>
      <c r="G20" s="16">
        <f>IF(B20&gt;0,2*(CEILING(ROUND(C20/PARAMETROS!$B$19,6),1)+1)+(CEILING(ROUND((PARAMETROS!$B$5-2*PARAMETROS!$B$16)/PARAMETROS!$B$19,6),1)+1),0)</f>
        <v/>
      </c>
      <c r="H20" s="16">
        <f>F20*E20*PARAMETROS!$B$17</f>
        <v/>
      </c>
      <c r="I20" s="16">
        <f>G20*B20*PARAMETROS!$B$17</f>
        <v/>
      </c>
      <c r="J20" s="16">
        <f>IF(B20&gt;0,(D20/PARAMETROS!$B$19)*(PARAMETROS!$B$5-2*PARAMETROS!$B$16+0.2)*PARAMETROS!$B$17+3*D20*PARAMETROS!$B$17,0)</f>
        <v/>
      </c>
      <c r="K20" s="16">
        <f>H20+I20+J20</f>
        <v/>
      </c>
    </row>
    <row r="21">
      <c r="A21" s="7" t="inlineStr">
        <is>
          <t>EJE-13</t>
        </is>
      </c>
      <c r="B21" s="16" t="n">
        <v>4.48</v>
      </c>
      <c r="C21" s="16" t="n">
        <v>0.411</v>
      </c>
      <c r="D21" s="16" t="n">
        <v>0</v>
      </c>
      <c r="E21" s="16">
        <f>IF(B21&gt;0,2*(C21+PARAMETROS!$B$8-2*PARAMETROS!$B$16)+(PARAMETROS!$B$5-2*PARAMETROS!$B$16)+0.2,0)</f>
        <v/>
      </c>
      <c r="F21" s="16">
        <f>IF(B21&gt;0,B21/PARAMETROS!$B$18,0)</f>
        <v/>
      </c>
      <c r="G21" s="16">
        <f>IF(B21&gt;0,2*(CEILING(ROUND(C21/PARAMETROS!$B$19,6),1)+1)+(CEILING(ROUND((PARAMETROS!$B$5-2*PARAMETROS!$B$16)/PARAMETROS!$B$19,6),1)+1),0)</f>
        <v/>
      </c>
      <c r="H21" s="16">
        <f>F21*E21*PARAMETROS!$B$17</f>
        <v/>
      </c>
      <c r="I21" s="16">
        <f>G21*B21*PARAMETROS!$B$17</f>
        <v/>
      </c>
      <c r="J21" s="16">
        <f>IF(B21&gt;0,(D21/PARAMETROS!$B$19)*(PARAMETROS!$B$5-2*PARAMETROS!$B$16+0.2)*PARAMETROS!$B$17+3*D21*PARAMETROS!$B$17,0)</f>
        <v/>
      </c>
      <c r="K21" s="16">
        <f>H21+I21+J21</f>
        <v/>
      </c>
    </row>
    <row r="22">
      <c r="A22" s="7" t="inlineStr">
        <is>
          <t>EJE-14</t>
        </is>
      </c>
      <c r="B22" s="16" t="n">
        <v>26.47</v>
      </c>
      <c r="C22" s="16" t="n">
        <v>0.433</v>
      </c>
      <c r="D22" s="16" t="n">
        <v>0</v>
      </c>
      <c r="E22" s="16">
        <f>IF(B22&gt;0,2*(C22+PARAMETROS!$B$8-2*PARAMETROS!$B$16)+(PARAMETROS!$B$5-2*PARAMETROS!$B$16)+0.2,0)</f>
        <v/>
      </c>
      <c r="F22" s="16">
        <f>IF(B22&gt;0,B22/PARAMETROS!$B$18,0)</f>
        <v/>
      </c>
      <c r="G22" s="16">
        <f>IF(B22&gt;0,2*(CEILING(ROUND(C22/PARAMETROS!$B$19,6),1)+1)+(CEILING(ROUND((PARAMETROS!$B$5-2*PARAMETROS!$B$16)/PARAMETROS!$B$19,6),1)+1),0)</f>
        <v/>
      </c>
      <c r="H22" s="16">
        <f>F22*E22*PARAMETROS!$B$17</f>
        <v/>
      </c>
      <c r="I22" s="16">
        <f>G22*B22*PARAMETROS!$B$17</f>
        <v/>
      </c>
      <c r="J22" s="16">
        <f>IF(B22&gt;0,(D22/PARAMETROS!$B$19)*(PARAMETROS!$B$5-2*PARAMETROS!$B$16+0.2)*PARAMETROS!$B$17+3*D22*PARAMETROS!$B$17,0)</f>
        <v/>
      </c>
      <c r="K22" s="16">
        <f>H22+I22+J22</f>
        <v/>
      </c>
    </row>
    <row r="23">
      <c r="A23" s="7" t="inlineStr">
        <is>
          <t>EJE-15</t>
        </is>
      </c>
      <c r="B23" s="16" t="n">
        <v>0</v>
      </c>
      <c r="C23" s="16" t="n">
        <v>0</v>
      </c>
      <c r="D23" s="16" t="n">
        <v>0</v>
      </c>
      <c r="E23" s="16">
        <f>IF(B23&gt;0,2*(C23+PARAMETROS!$B$8-2*PARAMETROS!$B$16)+(PARAMETROS!$B$5-2*PARAMETROS!$B$16)+0.2,0)</f>
        <v/>
      </c>
      <c r="F23" s="16">
        <f>IF(B23&gt;0,B23/PARAMETROS!$B$18,0)</f>
        <v/>
      </c>
      <c r="G23" s="16">
        <f>IF(B23&gt;0,2*(CEILING(ROUND(C23/PARAMETROS!$B$19,6),1)+1)+(CEILING(ROUND((PARAMETROS!$B$5-2*PARAMETROS!$B$16)/PARAMETROS!$B$19,6),1)+1),0)</f>
        <v/>
      </c>
      <c r="H23" s="16">
        <f>F23*E23*PARAMETROS!$B$17</f>
        <v/>
      </c>
      <c r="I23" s="16">
        <f>G23*B23*PARAMETROS!$B$17</f>
        <v/>
      </c>
      <c r="J23" s="16">
        <f>IF(B23&gt;0,(D23/PARAMETROS!$B$19)*(PARAMETROS!$B$5-2*PARAMETROS!$B$16+0.2)*PARAMETROS!$B$17+3*D23*PARAMETROS!$B$17,0)</f>
        <v/>
      </c>
      <c r="K23" s="16">
        <f>H23+I23+J23</f>
        <v/>
      </c>
    </row>
    <row r="24">
      <c r="A24" s="7" t="inlineStr">
        <is>
          <t>EJE-16</t>
        </is>
      </c>
      <c r="B24" s="16" t="n">
        <v>15.87</v>
      </c>
      <c r="C24" s="16" t="n">
        <v>0.436</v>
      </c>
      <c r="D24" s="16" t="n">
        <v>0</v>
      </c>
      <c r="E24" s="16">
        <f>IF(B24&gt;0,2*(C24+PARAMETROS!$B$8-2*PARAMETROS!$B$16)+(PARAMETROS!$B$5-2*PARAMETROS!$B$16)+0.2,0)</f>
        <v/>
      </c>
      <c r="F24" s="16">
        <f>IF(B24&gt;0,B24/PARAMETROS!$B$18,0)</f>
        <v/>
      </c>
      <c r="G24" s="16">
        <f>IF(B24&gt;0,2*(CEILING(ROUND(C24/PARAMETROS!$B$19,6),1)+1)+(CEILING(ROUND((PARAMETROS!$B$5-2*PARAMETROS!$B$16)/PARAMETROS!$B$19,6),1)+1),0)</f>
        <v/>
      </c>
      <c r="H24" s="16">
        <f>F24*E24*PARAMETROS!$B$17</f>
        <v/>
      </c>
      <c r="I24" s="16">
        <f>G24*B24*PARAMETROS!$B$17</f>
        <v/>
      </c>
      <c r="J24" s="16">
        <f>IF(B24&gt;0,(D24/PARAMETROS!$B$19)*(PARAMETROS!$B$5-2*PARAMETROS!$B$16+0.2)*PARAMETROS!$B$17+3*D24*PARAMETROS!$B$17,0)</f>
        <v/>
      </c>
      <c r="K24" s="16">
        <f>H24+I24+J24</f>
        <v/>
      </c>
    </row>
    <row r="25">
      <c r="A25" s="7" t="inlineStr">
        <is>
          <t>EJE-17</t>
        </is>
      </c>
      <c r="B25" s="16" t="n">
        <v>25.07</v>
      </c>
      <c r="C25" s="16" t="n">
        <v>0.438</v>
      </c>
      <c r="D25" s="16" t="n">
        <v>4.58</v>
      </c>
      <c r="E25" s="16">
        <f>IF(B25&gt;0,2*(C25+PARAMETROS!$B$8-2*PARAMETROS!$B$16)+(PARAMETROS!$B$5-2*PARAMETROS!$B$16)+0.2,0)</f>
        <v/>
      </c>
      <c r="F25" s="16">
        <f>IF(B25&gt;0,B25/PARAMETROS!$B$18,0)</f>
        <v/>
      </c>
      <c r="G25" s="16">
        <f>IF(B25&gt;0,2*(CEILING(ROUND(C25/PARAMETROS!$B$19,6),1)+1)+(CEILING(ROUND((PARAMETROS!$B$5-2*PARAMETROS!$B$16)/PARAMETROS!$B$19,6),1)+1),0)</f>
        <v/>
      </c>
      <c r="H25" s="16">
        <f>F25*E25*PARAMETROS!$B$17</f>
        <v/>
      </c>
      <c r="I25" s="16">
        <f>G25*B25*PARAMETROS!$B$17</f>
        <v/>
      </c>
      <c r="J25" s="16">
        <f>IF(B25&gt;0,(D25/PARAMETROS!$B$19)*(PARAMETROS!$B$5-2*PARAMETROS!$B$16+0.2)*PARAMETROS!$B$17+3*D25*PARAMETROS!$B$17,0)</f>
        <v/>
      </c>
      <c r="K25" s="16">
        <f>H25+I25+J25</f>
        <v/>
      </c>
    </row>
    <row r="26">
      <c r="A26" s="7" t="inlineStr">
        <is>
          <t>EJE-18</t>
        </is>
      </c>
      <c r="B26" s="16" t="n">
        <v>18.75</v>
      </c>
      <c r="C26" s="16" t="n">
        <v>0.446</v>
      </c>
      <c r="D26" s="16" t="n">
        <v>0</v>
      </c>
      <c r="E26" s="16">
        <f>IF(B26&gt;0,2*(C26+PARAMETROS!$B$8-2*PARAMETROS!$B$16)+(PARAMETROS!$B$5-2*PARAMETROS!$B$16)+0.2,0)</f>
        <v/>
      </c>
      <c r="F26" s="16">
        <f>IF(B26&gt;0,B26/PARAMETROS!$B$18,0)</f>
        <v/>
      </c>
      <c r="G26" s="16">
        <f>IF(B26&gt;0,2*(CEILING(ROUND(C26/PARAMETROS!$B$19,6),1)+1)+(CEILING(ROUND((PARAMETROS!$B$5-2*PARAMETROS!$B$16)/PARAMETROS!$B$19,6),1)+1),0)</f>
        <v/>
      </c>
      <c r="H26" s="16">
        <f>F26*E26*PARAMETROS!$B$17</f>
        <v/>
      </c>
      <c r="I26" s="16">
        <f>G26*B26*PARAMETROS!$B$17</f>
        <v/>
      </c>
      <c r="J26" s="16">
        <f>IF(B26&gt;0,(D26/PARAMETROS!$B$19)*(PARAMETROS!$B$5-2*PARAMETROS!$B$16+0.2)*PARAMETROS!$B$17+3*D26*PARAMETROS!$B$17,0)</f>
        <v/>
      </c>
      <c r="K26" s="16">
        <f>H26+I26+J26</f>
        <v/>
      </c>
    </row>
    <row r="27">
      <c r="A27" s="7" t="inlineStr">
        <is>
          <t>EJE-19</t>
        </is>
      </c>
      <c r="B27" s="16" t="n">
        <v>0</v>
      </c>
      <c r="C27" s="16" t="n">
        <v>0</v>
      </c>
      <c r="D27" s="16" t="n">
        <v>0</v>
      </c>
      <c r="E27" s="16">
        <f>IF(B27&gt;0,2*(C27+PARAMETROS!$B$8-2*PARAMETROS!$B$16)+(PARAMETROS!$B$5-2*PARAMETROS!$B$16)+0.2,0)</f>
        <v/>
      </c>
      <c r="F27" s="16">
        <f>IF(B27&gt;0,B27/PARAMETROS!$B$18,0)</f>
        <v/>
      </c>
      <c r="G27" s="16">
        <f>IF(B27&gt;0,2*(CEILING(ROUND(C27/PARAMETROS!$B$19,6),1)+1)+(CEILING(ROUND((PARAMETROS!$B$5-2*PARAMETROS!$B$16)/PARAMETROS!$B$19,6),1)+1),0)</f>
        <v/>
      </c>
      <c r="H27" s="16">
        <f>F27*E27*PARAMETROS!$B$17</f>
        <v/>
      </c>
      <c r="I27" s="16">
        <f>G27*B27*PARAMETROS!$B$17</f>
        <v/>
      </c>
      <c r="J27" s="16">
        <f>IF(B27&gt;0,(D27/PARAMETROS!$B$19)*(PARAMETROS!$B$5-2*PARAMETROS!$B$16+0.2)*PARAMETROS!$B$17+3*D27*PARAMETROS!$B$17,0)</f>
        <v/>
      </c>
      <c r="K27" s="16">
        <f>H27+I27+J27</f>
        <v/>
      </c>
    </row>
    <row r="28">
      <c r="A28" s="2" t="inlineStr">
        <is>
          <t>TOTAL</t>
        </is>
      </c>
      <c r="K28" s="12">
        <f>SUM(K9:K27)</f>
        <v/>
      </c>
    </row>
    <row r="30">
      <c r="A30" s="17" t="inlineStr">
        <is>
          <t>Acero solo donde h &gt;= 0.40 m (de la rejilla al fondo) o en tramo tapado; con h &lt; 0.40 m la cuneta es de concreto simple. U de 3/8" @0.25 m con ganchos de 0.10 m; longitudinales de 3/8" @0.20 m en muros y losa de fondo; losa tapa: 3/8" @0.20 m transversal y 3 barras longitudinales.</t>
        </is>
      </c>
    </row>
  </sheetData>
  <mergeCells count="4">
    <mergeCell ref="B5:L5"/>
    <mergeCell ref="B4:L4"/>
    <mergeCell ref="B6:L6"/>
    <mergeCell ref="B3:L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C2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2">
      <c r="A2" s="1" t="inlineStr">
        <is>
          <t>PARAMETROS DEL METRADO - RED DE CUNETAS</t>
        </is>
      </c>
    </row>
    <row r="3">
      <c r="A3" s="2" t="inlineStr">
        <is>
          <t>ENTIDAD</t>
        </is>
      </c>
      <c r="B3" s="3" t="inlineStr">
        <is>
          <t>GOBIERNO REGIONAL SAN MARTIN - GERENCIA TERRITORIAL BAJO MAYO - TARAPOTO</t>
        </is>
      </c>
    </row>
    <row r="4" ht="36" customHeight="1">
      <c r="A4" s="2" t="inlineStr">
        <is>
          <t>PROYECTO</t>
        </is>
      </c>
      <c r="B4" s="3" t="inlineStr">
        <is>
          <t>“MEJORAMIENTO Y AMPLIACIÓN DEL SERVICIO DE EDUCACIÓN PRIMARIA EN I.E. N° 0590 DISTRITO DE BARRANQUITA DE LA PROVINCIA DE LAMAS DEL DEPARTAMENTO DE SAN MARTÍN” - C.I. N° 468901</t>
        </is>
      </c>
    </row>
    <row r="5">
      <c r="A5" s="18" t="inlineStr">
        <is>
          <t>Ancho exterior de la cuneta (m)</t>
        </is>
      </c>
      <c r="B5" s="19" t="n">
        <v>0.6000000000000001</v>
      </c>
    </row>
    <row r="6">
      <c r="A6" s="18" t="inlineStr">
        <is>
          <t>Luz libre interior (m)</t>
        </is>
      </c>
      <c r="B6" s="19" t="n">
        <v>0.4</v>
      </c>
    </row>
    <row r="7">
      <c r="A7" s="18" t="inlineStr">
        <is>
          <t>Espesor de muros (m)</t>
        </is>
      </c>
      <c r="B7" s="20" t="n">
        <v>0.1</v>
      </c>
    </row>
    <row r="8">
      <c r="A8" s="18" t="inlineStr">
        <is>
          <t>Espesor de losa de fondo (m)</t>
        </is>
      </c>
      <c r="B8" s="20" t="n">
        <v>0.1</v>
      </c>
    </row>
    <row r="9">
      <c r="A9" s="18" t="inlineStr">
        <is>
          <t>Espesor de losa tapa en tramos tapados (m)</t>
        </is>
      </c>
      <c r="B9" s="20" t="n">
        <v>0.1</v>
      </c>
    </row>
    <row r="10">
      <c r="A10" s="18" t="inlineStr">
        <is>
          <t>Espesor de solado f'c = 100 kg/cm2 (m)</t>
        </is>
      </c>
      <c r="B10" s="20" t="n">
        <v>0.1</v>
      </c>
    </row>
    <row r="11">
      <c r="A11" s="18" t="inlineStr">
        <is>
          <t>Sobreancho de excavacion a cada lado (m)</t>
        </is>
      </c>
      <c r="B11" s="20" t="n">
        <v>0.15</v>
      </c>
    </row>
    <row r="12">
      <c r="A12" s="18" t="inlineStr">
        <is>
          <t>Ancho de excavacion (m)</t>
        </is>
      </c>
      <c r="B12" s="20">
        <f>B5+2*B11</f>
        <v/>
      </c>
    </row>
    <row r="13">
      <c r="A13" s="18" t="inlineStr">
        <is>
          <t>Profundidad adicional bajo la cota de fondo: losa + solado (m)</t>
        </is>
      </c>
      <c r="B13" s="20">
        <f>B8+B10</f>
        <v/>
      </c>
    </row>
    <row r="14">
      <c r="A14" s="18" t="inlineStr">
        <is>
          <t>Factor de esponjamiento para eliminacion</t>
        </is>
      </c>
      <c r="B14" s="20" t="n">
        <v>1.25</v>
      </c>
    </row>
    <row r="15">
      <c r="A15" s="18" t="inlineStr">
        <is>
          <t>Junta de dilatacion en la seccion en U cada (m)</t>
        </is>
      </c>
      <c r="B15" s="20" t="n">
        <v>3</v>
      </c>
    </row>
    <row r="16">
      <c r="A16" s="18" t="inlineStr">
        <is>
          <t>Recubrimiento del acero (m)</t>
        </is>
      </c>
      <c r="B16" s="20" t="n">
        <v>0.04</v>
      </c>
    </row>
    <row r="17">
      <c r="A17" s="18" t="inlineStr">
        <is>
          <t>Peso de la barra de 3/8" (kg/m)</t>
        </is>
      </c>
      <c r="B17" s="20" t="n">
        <v>0.5600000000000001</v>
      </c>
    </row>
    <row r="18">
      <c r="A18" s="18" t="inlineStr">
        <is>
          <t>Separacion de las U de 3/8" (m)</t>
        </is>
      </c>
      <c r="B18" s="20" t="n">
        <v>0.25</v>
      </c>
    </row>
    <row r="19">
      <c r="A19" s="18" t="inlineStr">
        <is>
          <t>Separacion de barras longitudinales de 3/8" (m)</t>
        </is>
      </c>
      <c r="B19" s="20" t="n">
        <v>0.2</v>
      </c>
    </row>
    <row r="20">
      <c r="A20" s="18" t="inlineStr">
        <is>
          <t>Profundidad minima con acero (m): h &gt;= 0.40 o tramo tapado</t>
        </is>
      </c>
      <c r="B20" s="20" t="n">
        <v>0.4</v>
      </c>
    </row>
    <row r="21">
      <c r="A21" s="18" t="inlineStr">
        <is>
          <t>Tapa de inspeccion: lado (m)</t>
        </is>
      </c>
      <c r="B21" s="20" t="n">
        <v>0.6</v>
      </c>
    </row>
    <row r="22">
      <c r="A22" s="18" t="inlineStr">
        <is>
          <t>Tapa de inspeccion: espesor (m)</t>
        </is>
      </c>
      <c r="B22" s="20" t="n">
        <v>0.1</v>
      </c>
    </row>
    <row r="24">
      <c r="A24" s="17" t="inlineStr">
        <is>
          <t>Fuente: planos DC-01 a DC-19 (secciones tipicas DC-02, perfiles DC-03 a DC-11, secciones DC-12 a DC-14, descargas DC-16 a DC-19).</t>
        </is>
      </c>
    </row>
  </sheetData>
  <mergeCells count="4">
    <mergeCell ref="B6:C6"/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2026-10-21T13:28:41Z</dcterms:created>
  <dcterms:modified xmlns:dcterms="http://purl.org/dc/terms/" xmlns:xsi="http://www.w3.org/2001/XMLSchema-instance" xsi:type="dcterms:W3CDTF">2026-10-21T13:28:42Z</dcterms:modified>
</cp:coreProperties>
</file>