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ÁTULA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PLANILLA GENERAL DE METRADOS" sheetId="3" state="visible" r:id="rId3"/>
    <sheet xmlns:r="http://schemas.openxmlformats.org/officeDocument/2006/relationships" name="CONCRETO EN CUNETAS" sheetId="4" state="visible" r:id="rId4"/>
    <sheet xmlns:r="http://schemas.openxmlformats.org/officeDocument/2006/relationships" name="ENCOFRADO Y DESENCOFRADO" sheetId="5" state="visible" r:id="rId5"/>
    <sheet xmlns:r="http://schemas.openxmlformats.org/officeDocument/2006/relationships" name="METRADO ACERO" sheetId="6" state="visible" r:id="rId6"/>
    <sheet xmlns:r="http://schemas.openxmlformats.org/officeDocument/2006/relationships" name="METRADO JUNTA DE DILATACION" sheetId="7" state="visible" r:id="rId7"/>
    <sheet xmlns:r="http://schemas.openxmlformats.org/officeDocument/2006/relationships" name="METRADO DE CURADO" sheetId="8" state="visible" r:id="rId8"/>
    <sheet xmlns:r="http://schemas.openxmlformats.org/officeDocument/2006/relationships" name="METRADO DE REJILLAS" sheetId="9" state="visible" r:id="rId9"/>
    <sheet xmlns:r="http://schemas.openxmlformats.org/officeDocument/2006/relationships" name="PLANILLA TAPAS INSPECCION" sheetId="10" state="visible" r:id="rId10"/>
    <sheet xmlns:r="http://schemas.openxmlformats.org/officeDocument/2006/relationships" name="PARAMETROS" sheetId="11" state="visible" r:id="rId11"/>
    <sheet xmlns:r="http://schemas.openxmlformats.org/officeDocument/2006/relationships" name="Listas" sheetId="12" state="visible" r:id="rId12"/>
  </sheets>
  <definedNames>
    <definedName name="_xlnm.Print_Area" localSheetId="0">'CARÁTULA'!$A$1:$H$17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7">
    <font>
      <name val="Calibri"/>
      <family val="2"/>
      <color theme="1"/>
      <sz val="11"/>
      <scheme val="minor"/>
    </font>
    <font>
      <name val="Arial Narrow"/>
      <b val="1"/>
      <sz val="14"/>
    </font>
    <font>
      <name val="Arial Narrow"/>
      <sz val="11"/>
    </font>
    <font>
      <name val="Arial Narrow"/>
      <b val="1"/>
      <color rgb="00FFFFFF"/>
      <sz val="11"/>
    </font>
    <font>
      <name val="Arial Narrow"/>
      <b val="1"/>
      <sz val="11"/>
    </font>
    <font>
      <name val="Arial Narrow"/>
      <b val="1"/>
      <color rgb="00FFFFFF"/>
      <sz val="14"/>
    </font>
    <font>
      <name val="Arial"/>
      <b val="1"/>
      <color rgb="001F3A68"/>
      <sz val="15"/>
    </font>
    <font>
      <name val="Arial"/>
      <b val="1"/>
      <color rgb="00595959"/>
      <sz val="11"/>
    </font>
    <font>
      <name val="Arial"/>
      <color rgb="00000000"/>
      <sz val="6"/>
    </font>
    <font>
      <name val="Arial"/>
      <b val="1"/>
      <color rgb="001F3A68"/>
      <sz val="12"/>
    </font>
    <font>
      <name val="Arial"/>
      <b val="1"/>
      <color rgb="00000000"/>
      <sz val="11"/>
    </font>
    <font>
      <name val="Arial"/>
      <b val="1"/>
      <color rgb="001F3A68"/>
      <sz val="11"/>
    </font>
    <font>
      <name val="Arial"/>
      <i val="1"/>
      <color rgb="00595959"/>
      <sz val="8"/>
    </font>
    <font>
      <name val="Arial"/>
      <b val="1"/>
      <color rgb="00FFFFFF"/>
      <sz val="20"/>
    </font>
    <font>
      <name val="Arial"/>
      <b val="1"/>
      <color rgb="00FFFFFF"/>
      <sz val="11"/>
    </font>
    <font>
      <name val="Arial"/>
      <b val="1"/>
      <color rgb="00000000"/>
      <sz val="10.5"/>
    </font>
    <font>
      <name val="Arial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0070C0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5B9BD5"/>
      </patternFill>
    </fill>
    <fill>
      <patternFill patternType="solid">
        <fgColor rgb="00F0F7E8"/>
      </patternFill>
    </fill>
    <fill>
      <patternFill patternType="solid">
        <fgColor rgb="00D9EAF7"/>
      </patternFill>
    </fill>
    <fill>
      <patternFill patternType="solid">
        <fgColor rgb="001F3A68"/>
      </patternFill>
    </fill>
  </fills>
  <borders count="10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bottom style="medium">
        <color rgb="001F3A68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center" vertical="center" wrapText="1"/>
    </xf>
    <xf numFmtId="0" fontId="0" fillId="0" borderId="9" pivotButton="0" quotePrefix="0" xfId="0"/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3" fillId="12" borderId="0" applyAlignment="1" pivotButton="0" quotePrefix="0" xfId="0">
      <alignment horizontal="center" vertical="center" wrapText="1"/>
    </xf>
    <xf numFmtId="0" fontId="0" fillId="12" borderId="0" pivotButton="0" quotePrefix="0" xfId="0"/>
    <xf numFmtId="0" fontId="14" fillId="12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" fillId="2" borderId="1" applyAlignment="1" pivotButton="0" quotePrefix="0" xfId="0">
      <alignment horizontal="center" vertical="center" wrapText="1"/>
    </xf>
    <xf numFmtId="49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center" vertical="center"/>
    </xf>
    <xf numFmtId="4" fontId="2" fillId="11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1" fontId="2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2" fontId="4" fillId="1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" fontId="4" fillId="3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7</row>
      <rowOff>0</rowOff>
    </from>
    <to>
      <col>8</col>
      <colOff>0</colOff>
      <row>8</row>
      <rowOff>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7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1" ht="24" customHeight="1">
      <c r="A1" s="1" t="inlineStr">
        <is>
          <t>GOBIERNO REGIONAL SAN MARTÍN</t>
        </is>
      </c>
    </row>
    <row r="2" ht="18" customHeight="1">
      <c r="A2" s="2" t="inlineStr">
        <is>
          <t>GERENCIA TERRITORIAL BAJO MAYO - TARAPOTO</t>
        </is>
      </c>
      <c r="B2" s="3" t="n"/>
      <c r="C2" s="3" t="n"/>
      <c r="D2" s="3" t="n"/>
      <c r="E2" s="3" t="n"/>
      <c r="F2" s="3" t="n"/>
      <c r="G2" s="3" t="n"/>
      <c r="H2" s="3" t="n"/>
    </row>
    <row r="3" ht="8" customHeight="1">
      <c r="A3" s="4" t="inlineStr"/>
    </row>
    <row r="4" ht="20" customHeight="1">
      <c r="A4" s="5" t="inlineStr">
        <is>
          <t>SERVICIO DE DISEÑO - DRENAJE PLUVIAL</t>
        </is>
      </c>
    </row>
    <row r="5" ht="46" customHeight="1">
      <c r="A5" s="6" t="inlineStr">
        <is>
          <t>“MEJORAMIENTO Y AMPLIACIÓN DEL SERVICIO DE EDUCACIÓN PRIMARIA EN I.E. N° 0590 DISTRITO DE BARRANQUITA DE LA PROVINCIA DE LAMAS DEL DEPARTAMENTO DE SAN MARTÍN”</t>
        </is>
      </c>
    </row>
    <row r="6" ht="20" customHeight="1">
      <c r="A6" s="7" t="inlineStr">
        <is>
          <t>C.I. N° 468901</t>
        </is>
      </c>
    </row>
    <row r="7" ht="6" customHeight="1">
      <c r="A7" s="4" t="inlineStr"/>
    </row>
    <row r="8" ht="380.5" customHeight="1"/>
    <row r="9" ht="14" customHeight="1">
      <c r="A9" s="8" t="inlineStr">
        <is>
          <t>Vista aérea del local de la I.E. N° 0590 - Barranquita</t>
        </is>
      </c>
    </row>
    <row r="10" ht="6" customHeight="1">
      <c r="A10" s="4" t="inlineStr"/>
    </row>
    <row r="11" ht="34" customHeight="1">
      <c r="A11" s="9" t="inlineStr">
        <is>
          <t>METRADO</t>
        </is>
      </c>
      <c r="B11" s="10" t="n"/>
      <c r="C11" s="10" t="n"/>
      <c r="D11" s="10" t="n"/>
      <c r="E11" s="10" t="n"/>
      <c r="F11" s="10" t="n"/>
      <c r="G11" s="10" t="n"/>
      <c r="H11" s="10" t="n"/>
    </row>
    <row r="12" ht="22" customHeight="1">
      <c r="A12" s="11" t="inlineStr">
        <is>
          <t>DRENAJE PLUVIAL - RED DE CUNETAS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 ht="10" customHeight="1">
      <c r="A13" s="4" t="inlineStr"/>
    </row>
    <row r="14" ht="18" customHeight="1">
      <c r="A14" s="12" t="inlineStr">
        <is>
          <t>ESPECIALIDAD: INSTALACIONES SANITARIAS - DRENAJE PLUVIAL</t>
        </is>
      </c>
    </row>
    <row r="15" ht="16" customHeight="1">
      <c r="A15" s="13" t="inlineStr">
        <is>
          <t>Distrito de Barranquita  -  Provincia de Lamas  -  Departamento de San Martín</t>
        </is>
      </c>
    </row>
    <row r="16" ht="8" customHeight="1">
      <c r="A16" s="4" t="inlineStr"/>
    </row>
    <row r="17" ht="20" customHeight="1">
      <c r="A17" s="5" t="inlineStr">
        <is>
          <t>OCTUBRE 2026</t>
        </is>
      </c>
    </row>
  </sheetData>
  <mergeCells count="17">
    <mergeCell ref="A1:H1"/>
    <mergeCell ref="A4:H4"/>
    <mergeCell ref="A9:H9"/>
    <mergeCell ref="A3:H3"/>
    <mergeCell ref="A12:H12"/>
    <mergeCell ref="A15:H15"/>
    <mergeCell ref="A7:H7"/>
    <mergeCell ref="A2:H2"/>
    <mergeCell ref="A16:H16"/>
    <mergeCell ref="A10:H10"/>
    <mergeCell ref="A13:H13"/>
    <mergeCell ref="A11:H11"/>
    <mergeCell ref="A14:H14"/>
    <mergeCell ref="A5:H5"/>
    <mergeCell ref="A8:H8"/>
    <mergeCell ref="A6:H6"/>
    <mergeCell ref="A17:H17"/>
  </mergeCells>
  <printOptions horizontalCentered="1" verticalCentered="1"/>
  <pageMargins left="0.75" right="0.75" top="0.8" bottom="0.6" header="0.5" footer="0.5"/>
  <pageSetup orientation="portrait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D3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  <col width="9" customWidth="1" min="3" max="3"/>
    <col width="15" customWidth="1" min="4" max="4"/>
  </cols>
  <sheetData>
    <row r="2">
      <c r="A2" s="14" t="inlineStr">
        <is>
          <t>RESUMEN METRADOS DE DRENAJE PLUVIAL</t>
        </is>
      </c>
    </row>
    <row r="4">
      <c r="A4" s="15" t="inlineStr">
        <is>
          <t>ENTIDAD</t>
        </is>
      </c>
      <c r="B4" s="16" t="inlineStr">
        <is>
          <t>GOBIERNO REGIONAL SAN MARTIN - GERENCIA TERRITORIAL BAJO MAYO - TARAPOTO</t>
        </is>
      </c>
      <c r="C4" s="17" t="n"/>
      <c r="D4" s="18" t="n"/>
    </row>
    <row r="5" ht="48" customHeight="1">
      <c r="A5" s="15" t="inlineStr">
        <is>
          <t>PROYECTO</t>
        </is>
      </c>
      <c r="B5" s="16" t="inlineStr">
        <is>
          <t>“MEJORAMIENTO Y AMPLIACIÓN DEL SERVICIO DE EDUCACIÓN PRIMARIA EN I.E. N° 0590 DISTRITO DE BARRANQUITA DE LA PROVINCIA DE LAMAS DEL DEPARTAMENTO DE SAN MARTÍN” - C.I. N° 468901</t>
        </is>
      </c>
      <c r="C5" s="17" t="n"/>
      <c r="D5" s="18" t="n"/>
    </row>
    <row r="6">
      <c r="A6" s="15" t="inlineStr">
        <is>
          <t>UBICACIÓN</t>
        </is>
      </c>
      <c r="B6" s="16" t="inlineStr">
        <is>
          <t>SAN MARTIN - LAMAS - BARRANQUITA</t>
        </is>
      </c>
      <c r="C6" s="17" t="n"/>
      <c r="D6" s="18" t="n"/>
    </row>
    <row r="7">
      <c r="A7" s="15" t="inlineStr">
        <is>
          <t>FECHA</t>
        </is>
      </c>
      <c r="B7" s="16" t="inlineStr">
        <is>
          <t>OCTUBRE 2026</t>
        </is>
      </c>
      <c r="C7" s="17" t="n"/>
      <c r="D7" s="18" t="n"/>
    </row>
    <row r="8" ht="20" customHeight="1">
      <c r="A8" s="19" t="inlineStr">
        <is>
          <t>Item</t>
        </is>
      </c>
      <c r="B8" s="19" t="inlineStr">
        <is>
          <t>Descripción</t>
        </is>
      </c>
      <c r="C8" s="19" t="inlineStr">
        <is>
          <t>Unid.</t>
        </is>
      </c>
      <c r="D8" s="19" t="inlineStr">
        <is>
          <t>Total.</t>
        </is>
      </c>
    </row>
    <row r="9">
      <c r="A9" s="20" t="inlineStr">
        <is>
          <t>01</t>
        </is>
      </c>
      <c r="B9" s="21" t="inlineStr">
        <is>
          <t>SISTEMA DE DRENAJE PLUVIAL - RED DE CUNETAS</t>
        </is>
      </c>
      <c r="C9" s="22" t="n"/>
      <c r="D9" s="23" t="n"/>
    </row>
    <row r="10">
      <c r="A10" s="20" t="inlineStr">
        <is>
          <t>01.01</t>
        </is>
      </c>
      <c r="B10" s="21" t="inlineStr">
        <is>
          <t>TRABAJOS PRELIMINARES</t>
        </is>
      </c>
      <c r="C10" s="22" t="n"/>
      <c r="D10" s="23" t="n"/>
    </row>
    <row r="11">
      <c r="A11" s="24" t="inlineStr">
        <is>
          <t>01.01.01</t>
        </is>
      </c>
      <c r="B11" s="16" t="inlineStr">
        <is>
          <t>LIMPIEZA MANUAL DE TERRENO</t>
        </is>
      </c>
      <c r="C11" s="25" t="inlineStr">
        <is>
          <t>m²</t>
        </is>
      </c>
      <c r="D11" s="26">
        <f>+'PLANILLA GENERAL DE METRADOS'!K11</f>
        <v/>
      </c>
    </row>
    <row r="12">
      <c r="A12" s="24" t="inlineStr">
        <is>
          <t>01.01.02</t>
        </is>
      </c>
      <c r="B12" s="16" t="inlineStr">
        <is>
          <t>TRAZO, NIVELES Y REPLANTEO PRELIMINAR</t>
        </is>
      </c>
      <c r="C12" s="25" t="inlineStr">
        <is>
          <t>m²</t>
        </is>
      </c>
      <c r="D12" s="26">
        <f>+'PLANILLA GENERAL DE METRADOS'!K31</f>
        <v/>
      </c>
    </row>
    <row r="13">
      <c r="A13" s="20" t="inlineStr">
        <is>
          <t>01.02</t>
        </is>
      </c>
      <c r="B13" s="21" t="inlineStr">
        <is>
          <t>MOVIMIENTO DE TIERRAS</t>
        </is>
      </c>
      <c r="C13" s="22" t="n"/>
      <c r="D13" s="23" t="n"/>
    </row>
    <row r="14">
      <c r="A14" s="24" t="inlineStr">
        <is>
          <t>01.02.01</t>
        </is>
      </c>
      <c r="B14" s="16" t="inlineStr">
        <is>
          <t>EXCAVACIÓN MANUAL DE ZANJAS P/CUNETAS</t>
        </is>
      </c>
      <c r="C14" s="25" t="inlineStr">
        <is>
          <t>m³</t>
        </is>
      </c>
      <c r="D14" s="26">
        <f>+'PLANILLA GENERAL DE METRADOS'!K52</f>
        <v/>
      </c>
    </row>
    <row r="15">
      <c r="A15" s="24" t="inlineStr">
        <is>
          <t>01.02.02</t>
        </is>
      </c>
      <c r="B15" s="16" t="inlineStr">
        <is>
          <t>REFINE, NIVELACIÓN Y COMPACTACIÓN EN TERRENO NORMAL</t>
        </is>
      </c>
      <c r="C15" s="25" t="inlineStr">
        <is>
          <t>m²</t>
        </is>
      </c>
      <c r="D15" s="26">
        <f>+'PLANILLA GENERAL DE METRADOS'!K72</f>
        <v/>
      </c>
    </row>
    <row r="16">
      <c r="A16" s="24" t="inlineStr">
        <is>
          <t>01.02.03</t>
        </is>
      </c>
      <c r="B16" s="16" t="inlineStr">
        <is>
          <t>RELLENO COMPACTADO C/MATERIAL PROPIO SELECCIONADO</t>
        </is>
      </c>
      <c r="C16" s="25" t="inlineStr">
        <is>
          <t>m³</t>
        </is>
      </c>
      <c r="D16" s="26">
        <f>+'PLANILLA GENERAL DE METRADOS'!K92</f>
        <v/>
      </c>
    </row>
    <row r="17">
      <c r="A17" s="24" t="inlineStr">
        <is>
          <t>01.02.04</t>
        </is>
      </c>
      <c r="B17" s="16" t="inlineStr">
        <is>
          <t>ELIMINACIÓN DE MATERIAL EXCEDENTE D&lt;1Km</t>
        </is>
      </c>
      <c r="C17" s="25" t="inlineStr">
        <is>
          <t>m³</t>
        </is>
      </c>
      <c r="D17" s="26">
        <f>+'PLANILLA GENERAL DE METRADOS'!K112</f>
        <v/>
      </c>
    </row>
    <row r="18">
      <c r="A18" s="24" t="inlineStr">
        <is>
          <t>01.02.05</t>
        </is>
      </c>
      <c r="B18" s="16" t="inlineStr">
        <is>
          <t>PERFILADO MANUAL DE TERRENO EN DESCARGAS</t>
        </is>
      </c>
      <c r="C18" s="25" t="inlineStr">
        <is>
          <t>m²</t>
        </is>
      </c>
      <c r="D18" s="26">
        <f>+'PLANILLA GENERAL DE METRADOS'!K114</f>
        <v/>
      </c>
    </row>
    <row r="19">
      <c r="A19" s="20" t="inlineStr">
        <is>
          <t>01.03</t>
        </is>
      </c>
      <c r="B19" s="21" t="inlineStr">
        <is>
          <t>OBRAS DE CONCRETO SIMPLE</t>
        </is>
      </c>
      <c r="C19" s="22" t="n"/>
      <c r="D19" s="23" t="n"/>
    </row>
    <row r="20">
      <c r="A20" s="24" t="inlineStr">
        <is>
          <t>01.03.01</t>
        </is>
      </c>
      <c r="B20" s="16" t="inlineStr">
        <is>
          <t>CONCRETO f'c=100 kg/cm2 PARA SOLADO E=4''</t>
        </is>
      </c>
      <c r="C20" s="25" t="inlineStr">
        <is>
          <t>m²</t>
        </is>
      </c>
      <c r="D20" s="26">
        <f>+'PLANILLA GENERAL DE METRADOS'!K120</f>
        <v/>
      </c>
    </row>
    <row r="21">
      <c r="A21" s="20" t="inlineStr">
        <is>
          <t>01.04</t>
        </is>
      </c>
      <c r="B21" s="21" t="inlineStr">
        <is>
          <t>OBRAS DE CONCRETO ARMADO</t>
        </is>
      </c>
      <c r="C21" s="22" t="n"/>
      <c r="D21" s="23" t="n"/>
    </row>
    <row r="22">
      <c r="A22" s="20" t="inlineStr">
        <is>
          <t>01.04.01</t>
        </is>
      </c>
      <c r="B22" s="21" t="inlineStr">
        <is>
          <t>CUNETAS</t>
        </is>
      </c>
      <c r="C22" s="22" t="n"/>
      <c r="D22" s="23" t="n"/>
    </row>
    <row r="23">
      <c r="A23" s="24" t="inlineStr">
        <is>
          <t>01.04.01.01</t>
        </is>
      </c>
      <c r="B23" s="16" t="inlineStr">
        <is>
          <t>CONCRETO f'c=175 kg/cm2 PARA CUNETAS</t>
        </is>
      </c>
      <c r="C23" s="25" t="inlineStr">
        <is>
          <t>m³</t>
        </is>
      </c>
      <c r="D23" s="26">
        <f>+'PLANILLA GENERAL DE METRADOS'!K142</f>
        <v/>
      </c>
    </row>
    <row r="24">
      <c r="A24" s="24" t="inlineStr">
        <is>
          <t>01.04.01.02</t>
        </is>
      </c>
      <c r="B24" s="16" t="inlineStr">
        <is>
          <t>ENCOFRADO Y DESENCOFRADO DE CUNETAS</t>
        </is>
      </c>
      <c r="C24" s="25" t="inlineStr">
        <is>
          <t>m²</t>
        </is>
      </c>
      <c r="D24" s="26">
        <f>+'PLANILLA GENERAL DE METRADOS'!K162</f>
        <v/>
      </c>
    </row>
    <row r="25">
      <c r="A25" s="24" t="inlineStr">
        <is>
          <t>01.04.01.03</t>
        </is>
      </c>
      <c r="B25" s="16" t="inlineStr">
        <is>
          <t>ACERO f'y=4200 kg/cm2 PARA CUNETA</t>
        </is>
      </c>
      <c r="C25" s="25" t="inlineStr">
        <is>
          <t>kg</t>
        </is>
      </c>
      <c r="D25" s="26">
        <f>+'PLANILLA GENERAL DE METRADOS'!K182</f>
        <v/>
      </c>
    </row>
    <row r="26">
      <c r="A26" s="24" t="inlineStr">
        <is>
          <t>01.04.01.04</t>
        </is>
      </c>
      <c r="B26" s="16" t="inlineStr">
        <is>
          <t>CURADO DE CONCRETO EN CUNETA</t>
        </is>
      </c>
      <c r="C26" s="25" t="inlineStr">
        <is>
          <t>m²</t>
        </is>
      </c>
      <c r="D26" s="26">
        <f>+'PLANILLA GENERAL DE METRADOS'!K202</f>
        <v/>
      </c>
    </row>
    <row r="27">
      <c r="A27" s="20" t="inlineStr">
        <is>
          <t>01.04.02</t>
        </is>
      </c>
      <c r="B27" s="21" t="inlineStr">
        <is>
          <t>VARIOS</t>
        </is>
      </c>
      <c r="C27" s="22" t="n"/>
      <c r="D27" s="23" t="n"/>
    </row>
    <row r="28">
      <c r="A28" s="24" t="inlineStr">
        <is>
          <t>01.04.02.01</t>
        </is>
      </c>
      <c r="B28" s="16" t="inlineStr">
        <is>
          <t>REJILLA METALICA P/CUNETA C/PL 1''x 3/16'' Y ANGULO 1'' x 1'' x 3/16''</t>
        </is>
      </c>
      <c r="C28" s="25" t="inlineStr">
        <is>
          <t>m</t>
        </is>
      </c>
      <c r="D28" s="26">
        <f>+'PLANILLA GENERAL DE METRADOS'!K223</f>
        <v/>
      </c>
    </row>
    <row r="29">
      <c r="A29" s="24" t="inlineStr">
        <is>
          <t>01.04.02.02</t>
        </is>
      </c>
      <c r="B29" s="16" t="inlineStr">
        <is>
          <t>TAPA DE INSPECCION 0.60m x 0.60m</t>
        </is>
      </c>
      <c r="C29" s="25" t="inlineStr">
        <is>
          <t>und</t>
        </is>
      </c>
      <c r="D29" s="26">
        <f>+'PLANILLA GENERAL DE METRADOS'!K243</f>
        <v/>
      </c>
    </row>
    <row r="30">
      <c r="A30" s="24" t="inlineStr">
        <is>
          <t>01.04.02.03</t>
        </is>
      </c>
      <c r="B30" s="16" t="inlineStr">
        <is>
          <t>JUNTA DE DILATACION E=1" CON SELLADOR ASFALTO</t>
        </is>
      </c>
      <c r="C30" s="25" t="inlineStr">
        <is>
          <t>m</t>
        </is>
      </c>
      <c r="D30" s="26">
        <f>+'PLANILLA GENERAL DE METRADOS'!K245</f>
        <v/>
      </c>
    </row>
    <row r="31">
      <c r="A31" s="24" t="inlineStr">
        <is>
          <t>01.04.02.04</t>
        </is>
      </c>
      <c r="B31" s="16" t="inlineStr">
        <is>
          <t>JUNTA E=1" CON SELLADOR ASFALTICO ENTRE CUNETA Y PISO ADYACENTE</t>
        </is>
      </c>
      <c r="C31" s="25" t="inlineStr">
        <is>
          <t>m</t>
        </is>
      </c>
      <c r="D31" s="26">
        <f>+'PLANILLA GENERAL DE METRADOS'!K265</f>
        <v/>
      </c>
    </row>
  </sheetData>
  <mergeCells count="5">
    <mergeCell ref="B5:D5"/>
    <mergeCell ref="B4:D4"/>
    <mergeCell ref="A2:D2"/>
    <mergeCell ref="B7:D7"/>
    <mergeCell ref="B6:D6"/>
  </mergeCell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L28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2" customWidth="1" min="2" max="2"/>
    <col width="10" customWidth="1" min="3" max="3"/>
    <col width="10" customWidth="1" min="4" max="4"/>
    <col width="10" customWidth="1" min="5" max="5"/>
    <col width="10" customWidth="1" min="6" max="6"/>
    <col width="8" customWidth="1" min="7" max="7"/>
    <col width="10" customWidth="1" min="8" max="8"/>
    <col width="10" customWidth="1" min="9" max="9"/>
    <col width="12" customWidth="1" min="10" max="10"/>
    <col width="13" customWidth="1" min="11" max="11"/>
    <col width="7" customWidth="1" min="12" max="12"/>
  </cols>
  <sheetData>
    <row r="2">
      <c r="A2" s="14" t="inlineStr">
        <is>
          <t>PLANILLA GENERAL DE METRADOS - DRENAJE PLUVIAL</t>
        </is>
      </c>
    </row>
    <row r="3">
      <c r="A3" s="27" t="inlineStr">
        <is>
          <t>ENTIDAD</t>
        </is>
      </c>
      <c r="B3" s="16">
        <f>+RESUMEN!B4</f>
        <v/>
      </c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8" t="n"/>
    </row>
    <row r="4" ht="33" customHeight="1">
      <c r="A4" s="27" t="inlineStr">
        <is>
          <t>PROYECTO</t>
        </is>
      </c>
      <c r="B4" s="16">
        <f>+RESUMEN!B5</f>
        <v/>
      </c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8" t="n"/>
    </row>
    <row r="5">
      <c r="A5" s="27" t="inlineStr">
        <is>
          <t>UBICACIÓN</t>
        </is>
      </c>
      <c r="B5" s="16">
        <f>+RESUMEN!B6</f>
        <v/>
      </c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8" t="n"/>
    </row>
    <row r="6">
      <c r="A6" s="27" t="inlineStr">
        <is>
          <t>FECHA</t>
        </is>
      </c>
      <c r="B6" s="16">
        <f>+RESUMEN!B7</f>
        <v/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8" t="n"/>
    </row>
    <row r="8" ht="32" customHeight="1">
      <c r="A8" s="19" t="inlineStr">
        <is>
          <t>ITEM</t>
        </is>
      </c>
      <c r="B8" s="19" t="inlineStr">
        <is>
          <t>DESCRIPCION</t>
        </is>
      </c>
      <c r="C8" s="19" t="inlineStr">
        <is>
          <t>Nº DE VECES</t>
        </is>
      </c>
      <c r="D8" s="19" t="inlineStr">
        <is>
          <t>LARGO</t>
        </is>
      </c>
      <c r="E8" s="19" t="inlineStr">
        <is>
          <t>ANCHO</t>
        </is>
      </c>
      <c r="F8" s="19" t="inlineStr">
        <is>
          <t>ALTURA</t>
        </is>
      </c>
      <c r="G8" s="19" t="inlineStr">
        <is>
          <t>FACT.</t>
        </is>
      </c>
      <c r="H8" s="19" t="inlineStr">
        <is>
          <t>AREA</t>
        </is>
      </c>
      <c r="I8" s="19" t="inlineStr">
        <is>
          <t>VOLUMEN</t>
        </is>
      </c>
      <c r="J8" s="19" t="inlineStr">
        <is>
          <t>PARCIAL</t>
        </is>
      </c>
      <c r="K8" s="19" t="inlineStr">
        <is>
          <t>TOTAL</t>
        </is>
      </c>
      <c r="L8" s="19" t="inlineStr">
        <is>
          <t>UND</t>
        </is>
      </c>
    </row>
    <row r="9">
      <c r="A9" s="28" t="inlineStr">
        <is>
          <t>01</t>
        </is>
      </c>
      <c r="B9" s="28" t="inlineStr">
        <is>
          <t>SISTEMA DE DRENAJE PLUVIAL - RED DE CUNETAS</t>
        </is>
      </c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</row>
    <row r="10">
      <c r="A10" s="28" t="inlineStr">
        <is>
          <t>01.01</t>
        </is>
      </c>
      <c r="B10" s="28" t="inlineStr">
        <is>
          <t>TRABAJOS PRELIMINARES</t>
        </is>
      </c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</row>
    <row r="11">
      <c r="A11" s="29" t="inlineStr">
        <is>
          <t>01.01.01</t>
        </is>
      </c>
      <c r="B11" s="30" t="inlineStr">
        <is>
          <t>LIMPIEZA MANUAL DE TERRENO</t>
        </is>
      </c>
      <c r="C11" s="31" t="n"/>
      <c r="D11" s="31" t="n"/>
      <c r="E11" s="31" t="n"/>
      <c r="F11" s="31" t="n"/>
      <c r="G11" s="31" t="n"/>
      <c r="H11" s="31" t="n"/>
      <c r="I11" s="31" t="n"/>
      <c r="J11" s="31" t="n"/>
      <c r="K11" s="32">
        <f>SUM(J12:J30)</f>
        <v/>
      </c>
      <c r="L11" s="33" t="inlineStr">
        <is>
          <t>m²</t>
        </is>
      </c>
    </row>
    <row r="12">
      <c r="A12" s="25" t="n"/>
      <c r="B12" s="34" t="inlineStr">
        <is>
          <t>EJE-01</t>
        </is>
      </c>
      <c r="C12" s="35" t="n">
        <v>1</v>
      </c>
      <c r="D12" s="35" t="n">
        <v>34.34</v>
      </c>
      <c r="E12" s="35">
        <f>PARAMETROS!$B$12</f>
        <v/>
      </c>
      <c r="F12" s="35" t="n"/>
      <c r="G12" s="35" t="n"/>
      <c r="H12" s="25" t="n"/>
      <c r="I12" s="25" t="n"/>
      <c r="J12" s="35">
        <f>C12*D12*E12</f>
        <v/>
      </c>
      <c r="K12" s="25" t="n"/>
      <c r="L12" s="25" t="n"/>
    </row>
    <row r="13">
      <c r="A13" s="25" t="n"/>
      <c r="B13" s="34" t="inlineStr">
        <is>
          <t>EJE-02</t>
        </is>
      </c>
      <c r="C13" s="35" t="n">
        <v>1</v>
      </c>
      <c r="D13" s="35" t="n">
        <v>76.04000000000001</v>
      </c>
      <c r="E13" s="35">
        <f>PARAMETROS!$B$12</f>
        <v/>
      </c>
      <c r="F13" s="35" t="n"/>
      <c r="G13" s="35" t="n"/>
      <c r="H13" s="25" t="n"/>
      <c r="I13" s="25" t="n"/>
      <c r="J13" s="35">
        <f>C13*D13*E13</f>
        <v/>
      </c>
      <c r="K13" s="25" t="n"/>
      <c r="L13" s="25" t="n"/>
    </row>
    <row r="14">
      <c r="A14" s="25" t="n"/>
      <c r="B14" s="34" t="inlineStr">
        <is>
          <t>EJE-03</t>
        </is>
      </c>
      <c r="C14" s="35" t="n">
        <v>1</v>
      </c>
      <c r="D14" s="35" t="n">
        <v>32.31</v>
      </c>
      <c r="E14" s="35">
        <f>PARAMETROS!$B$12</f>
        <v/>
      </c>
      <c r="F14" s="35" t="n"/>
      <c r="G14" s="35" t="n"/>
      <c r="H14" s="25" t="n"/>
      <c r="I14" s="25" t="n"/>
      <c r="J14" s="35">
        <f>C14*D14*E14</f>
        <v/>
      </c>
      <c r="K14" s="25" t="n"/>
      <c r="L14" s="25" t="n"/>
    </row>
    <row r="15">
      <c r="A15" s="25" t="n"/>
      <c r="B15" s="34" t="inlineStr">
        <is>
          <t>EJE-04</t>
        </is>
      </c>
      <c r="C15" s="35" t="n">
        <v>1</v>
      </c>
      <c r="D15" s="35" t="n">
        <v>94.34</v>
      </c>
      <c r="E15" s="35">
        <f>PARAMETROS!$B$12</f>
        <v/>
      </c>
      <c r="F15" s="35" t="n"/>
      <c r="G15" s="35" t="n"/>
      <c r="H15" s="25" t="n"/>
      <c r="I15" s="25" t="n"/>
      <c r="J15" s="35">
        <f>C15*D15*E15</f>
        <v/>
      </c>
      <c r="K15" s="25" t="n"/>
      <c r="L15" s="25" t="n"/>
    </row>
    <row r="16">
      <c r="A16" s="25" t="n"/>
      <c r="B16" s="34" t="inlineStr">
        <is>
          <t>EJE-05</t>
        </is>
      </c>
      <c r="C16" s="35" t="n">
        <v>1</v>
      </c>
      <c r="D16" s="35" t="n">
        <v>90.56</v>
      </c>
      <c r="E16" s="35">
        <f>PARAMETROS!$B$12</f>
        <v/>
      </c>
      <c r="F16" s="35" t="n"/>
      <c r="G16" s="35" t="n"/>
      <c r="H16" s="25" t="n"/>
      <c r="I16" s="25" t="n"/>
      <c r="J16" s="35">
        <f>C16*D16*E16</f>
        <v/>
      </c>
      <c r="K16" s="25" t="n"/>
      <c r="L16" s="25" t="n"/>
    </row>
    <row r="17">
      <c r="A17" s="25" t="n"/>
      <c r="B17" s="34" t="inlineStr">
        <is>
          <t>EJE-06</t>
        </is>
      </c>
      <c r="C17" s="35" t="n">
        <v>1</v>
      </c>
      <c r="D17" s="35" t="n">
        <v>12.3</v>
      </c>
      <c r="E17" s="35">
        <f>PARAMETROS!$B$12</f>
        <v/>
      </c>
      <c r="F17" s="35" t="n"/>
      <c r="G17" s="35" t="n"/>
      <c r="H17" s="25" t="n"/>
      <c r="I17" s="25" t="n"/>
      <c r="J17" s="35">
        <f>C17*D17*E17</f>
        <v/>
      </c>
      <c r="K17" s="25" t="n"/>
      <c r="L17" s="25" t="n"/>
    </row>
    <row r="18">
      <c r="A18" s="25" t="n"/>
      <c r="B18" s="34" t="inlineStr">
        <is>
          <t>EJE-07</t>
        </is>
      </c>
      <c r="C18" s="35" t="n">
        <v>1</v>
      </c>
      <c r="D18" s="35" t="n">
        <v>94.69</v>
      </c>
      <c r="E18" s="35">
        <f>PARAMETROS!$B$12</f>
        <v/>
      </c>
      <c r="F18" s="35" t="n"/>
      <c r="G18" s="35" t="n"/>
      <c r="H18" s="25" t="n"/>
      <c r="I18" s="25" t="n"/>
      <c r="J18" s="35">
        <f>C18*D18*E18</f>
        <v/>
      </c>
      <c r="K18" s="25" t="n"/>
      <c r="L18" s="25" t="n"/>
    </row>
    <row r="19">
      <c r="A19" s="25" t="n"/>
      <c r="B19" s="34" t="inlineStr">
        <is>
          <t>EJE-08</t>
        </is>
      </c>
      <c r="C19" s="35" t="n">
        <v>1</v>
      </c>
      <c r="D19" s="35" t="n">
        <v>39.68</v>
      </c>
      <c r="E19" s="35">
        <f>PARAMETROS!$B$12</f>
        <v/>
      </c>
      <c r="F19" s="35" t="n"/>
      <c r="G19" s="35" t="n"/>
      <c r="H19" s="25" t="n"/>
      <c r="I19" s="25" t="n"/>
      <c r="J19" s="35">
        <f>C19*D19*E19</f>
        <v/>
      </c>
      <c r="K19" s="25" t="n"/>
      <c r="L19" s="25" t="n"/>
    </row>
    <row r="20">
      <c r="A20" s="25" t="n"/>
      <c r="B20" s="34" t="inlineStr">
        <is>
          <t>EJE-09</t>
        </is>
      </c>
      <c r="C20" s="35" t="n">
        <v>1</v>
      </c>
      <c r="D20" s="35" t="n">
        <v>35.8</v>
      </c>
      <c r="E20" s="35">
        <f>PARAMETROS!$B$12</f>
        <v/>
      </c>
      <c r="F20" s="35" t="n"/>
      <c r="G20" s="35" t="n"/>
      <c r="H20" s="25" t="n"/>
      <c r="I20" s="25" t="n"/>
      <c r="J20" s="35">
        <f>C20*D20*E20</f>
        <v/>
      </c>
      <c r="K20" s="25" t="n"/>
      <c r="L20" s="25" t="n"/>
    </row>
    <row r="21">
      <c r="A21" s="25" t="n"/>
      <c r="B21" s="34" t="inlineStr">
        <is>
          <t>EJE-10</t>
        </is>
      </c>
      <c r="C21" s="35" t="n">
        <v>1</v>
      </c>
      <c r="D21" s="35" t="n">
        <v>36.9</v>
      </c>
      <c r="E21" s="35">
        <f>PARAMETROS!$B$12</f>
        <v/>
      </c>
      <c r="F21" s="35" t="n"/>
      <c r="G21" s="35" t="n"/>
      <c r="H21" s="25" t="n"/>
      <c r="I21" s="25" t="n"/>
      <c r="J21" s="35">
        <f>C21*D21*E21</f>
        <v/>
      </c>
      <c r="K21" s="25" t="n"/>
      <c r="L21" s="25" t="n"/>
    </row>
    <row r="22">
      <c r="A22" s="25" t="n"/>
      <c r="B22" s="34" t="inlineStr">
        <is>
          <t>EJE-11</t>
        </is>
      </c>
      <c r="C22" s="35" t="n">
        <v>1</v>
      </c>
      <c r="D22" s="35" t="n">
        <v>30.36</v>
      </c>
      <c r="E22" s="35">
        <f>PARAMETROS!$B$12</f>
        <v/>
      </c>
      <c r="F22" s="35" t="n"/>
      <c r="G22" s="35" t="n"/>
      <c r="H22" s="25" t="n"/>
      <c r="I22" s="25" t="n"/>
      <c r="J22" s="35">
        <f>C22*D22*E22</f>
        <v/>
      </c>
      <c r="K22" s="25" t="n"/>
      <c r="L22" s="25" t="n"/>
    </row>
    <row r="23">
      <c r="A23" s="25" t="n"/>
      <c r="B23" s="34" t="inlineStr">
        <is>
          <t>EJE-12</t>
        </is>
      </c>
      <c r="C23" s="35" t="n">
        <v>1</v>
      </c>
      <c r="D23" s="35" t="n">
        <v>118.38</v>
      </c>
      <c r="E23" s="35">
        <f>PARAMETROS!$B$12</f>
        <v/>
      </c>
      <c r="F23" s="35" t="n"/>
      <c r="G23" s="35" t="n"/>
      <c r="H23" s="25" t="n"/>
      <c r="I23" s="25" t="n"/>
      <c r="J23" s="35">
        <f>C23*D23*E23</f>
        <v/>
      </c>
      <c r="K23" s="25" t="n"/>
      <c r="L23" s="25" t="n"/>
    </row>
    <row r="24">
      <c r="A24" s="25" t="n"/>
      <c r="B24" s="34" t="inlineStr">
        <is>
          <t>EJE-13</t>
        </is>
      </c>
      <c r="C24" s="35" t="n">
        <v>1</v>
      </c>
      <c r="D24" s="35" t="n">
        <v>24.38</v>
      </c>
      <c r="E24" s="35">
        <f>PARAMETROS!$B$12</f>
        <v/>
      </c>
      <c r="F24" s="35" t="n"/>
      <c r="G24" s="35" t="n"/>
      <c r="H24" s="25" t="n"/>
      <c r="I24" s="25" t="n"/>
      <c r="J24" s="35">
        <f>C24*D24*E24</f>
        <v/>
      </c>
      <c r="K24" s="25" t="n"/>
      <c r="L24" s="25" t="n"/>
    </row>
    <row r="25">
      <c r="A25" s="25" t="n"/>
      <c r="B25" s="34" t="inlineStr">
        <is>
          <t>EJE-14</t>
        </is>
      </c>
      <c r="C25" s="35" t="n">
        <v>1</v>
      </c>
      <c r="D25" s="35" t="n">
        <v>64.93000000000001</v>
      </c>
      <c r="E25" s="35">
        <f>PARAMETROS!$B$12</f>
        <v/>
      </c>
      <c r="F25" s="35" t="n"/>
      <c r="G25" s="35" t="n"/>
      <c r="H25" s="25" t="n"/>
      <c r="I25" s="25" t="n"/>
      <c r="J25" s="35">
        <f>C25*D25*E25</f>
        <v/>
      </c>
      <c r="K25" s="25" t="n"/>
      <c r="L25" s="25" t="n"/>
    </row>
    <row r="26">
      <c r="A26" s="25" t="n"/>
      <c r="B26" s="34" t="inlineStr">
        <is>
          <t>EJE-15</t>
        </is>
      </c>
      <c r="C26" s="35" t="n">
        <v>1</v>
      </c>
      <c r="D26" s="35" t="n">
        <v>41.47</v>
      </c>
      <c r="E26" s="35">
        <f>PARAMETROS!$B$12</f>
        <v/>
      </c>
      <c r="F26" s="35" t="n"/>
      <c r="G26" s="35" t="n"/>
      <c r="H26" s="25" t="n"/>
      <c r="I26" s="25" t="n"/>
      <c r="J26" s="35">
        <f>C26*D26*E26</f>
        <v/>
      </c>
      <c r="K26" s="25" t="n"/>
      <c r="L26" s="25" t="n"/>
    </row>
    <row r="27">
      <c r="A27" s="25" t="n"/>
      <c r="B27" s="34" t="inlineStr">
        <is>
          <t>EJE-16</t>
        </is>
      </c>
      <c r="C27" s="35" t="n">
        <v>1</v>
      </c>
      <c r="D27" s="35" t="n">
        <v>49.55</v>
      </c>
      <c r="E27" s="35">
        <f>PARAMETROS!$B$12</f>
        <v/>
      </c>
      <c r="F27" s="35" t="n"/>
      <c r="G27" s="35" t="n"/>
      <c r="H27" s="25" t="n"/>
      <c r="I27" s="25" t="n"/>
      <c r="J27" s="35">
        <f>C27*D27*E27</f>
        <v/>
      </c>
      <c r="K27" s="25" t="n"/>
      <c r="L27" s="25" t="n"/>
    </row>
    <row r="28">
      <c r="A28" s="25" t="n"/>
      <c r="B28" s="34" t="inlineStr">
        <is>
          <t>EJE-17</t>
        </is>
      </c>
      <c r="C28" s="35" t="n">
        <v>1</v>
      </c>
      <c r="D28" s="35" t="n">
        <v>39.98</v>
      </c>
      <c r="E28" s="35">
        <f>PARAMETROS!$B$12</f>
        <v/>
      </c>
      <c r="F28" s="35" t="n"/>
      <c r="G28" s="35" t="n"/>
      <c r="H28" s="25" t="n"/>
      <c r="I28" s="25" t="n"/>
      <c r="J28" s="35">
        <f>C28*D28*E28</f>
        <v/>
      </c>
      <c r="K28" s="25" t="n"/>
      <c r="L28" s="25" t="n"/>
    </row>
    <row r="29">
      <c r="A29" s="25" t="n"/>
      <c r="B29" s="34" t="inlineStr">
        <is>
          <t>EJE-18</t>
        </is>
      </c>
      <c r="C29" s="35" t="n">
        <v>1</v>
      </c>
      <c r="D29" s="35" t="n">
        <v>38.68</v>
      </c>
      <c r="E29" s="35">
        <f>PARAMETROS!$B$12</f>
        <v/>
      </c>
      <c r="F29" s="35" t="n"/>
      <c r="G29" s="35" t="n"/>
      <c r="H29" s="25" t="n"/>
      <c r="I29" s="25" t="n"/>
      <c r="J29" s="35">
        <f>C29*D29*E29</f>
        <v/>
      </c>
      <c r="K29" s="25" t="n"/>
      <c r="L29" s="25" t="n"/>
    </row>
    <row r="30">
      <c r="A30" s="25" t="n"/>
      <c r="B30" s="34" t="inlineStr">
        <is>
          <t>EJE-19</t>
        </is>
      </c>
      <c r="C30" s="35" t="n">
        <v>1</v>
      </c>
      <c r="D30" s="35" t="n">
        <v>14.09</v>
      </c>
      <c r="E30" s="35">
        <f>PARAMETROS!$B$12</f>
        <v/>
      </c>
      <c r="F30" s="35" t="n"/>
      <c r="G30" s="35" t="n"/>
      <c r="H30" s="25" t="n"/>
      <c r="I30" s="25" t="n"/>
      <c r="J30" s="35">
        <f>C30*D30*E30</f>
        <v/>
      </c>
      <c r="K30" s="25" t="n"/>
      <c r="L30" s="25" t="n"/>
    </row>
    <row r="31">
      <c r="A31" s="29" t="inlineStr">
        <is>
          <t>01.01.02</t>
        </is>
      </c>
      <c r="B31" s="30" t="inlineStr">
        <is>
          <t>TRAZO, NIVELES Y REPLANTEO PRELIMINAR</t>
        </is>
      </c>
      <c r="C31" s="31" t="n"/>
      <c r="D31" s="31" t="n"/>
      <c r="E31" s="31" t="n"/>
      <c r="F31" s="31" t="n"/>
      <c r="G31" s="31" t="n"/>
      <c r="H31" s="31" t="n"/>
      <c r="I31" s="31" t="n"/>
      <c r="J31" s="31" t="n"/>
      <c r="K31" s="32">
        <f>SUM(J32:J50)</f>
        <v/>
      </c>
      <c r="L31" s="33" t="inlineStr">
        <is>
          <t>m²</t>
        </is>
      </c>
    </row>
    <row r="32">
      <c r="A32" s="25" t="n"/>
      <c r="B32" s="34" t="inlineStr">
        <is>
          <t>EJE-01</t>
        </is>
      </c>
      <c r="C32" s="35" t="n">
        <v>1</v>
      </c>
      <c r="D32" s="35" t="n">
        <v>34.34</v>
      </c>
      <c r="E32" s="35">
        <f>PARAMETROS!$B$12</f>
        <v/>
      </c>
      <c r="F32" s="35" t="n"/>
      <c r="G32" s="35" t="n"/>
      <c r="H32" s="25" t="n"/>
      <c r="I32" s="25" t="n"/>
      <c r="J32" s="35">
        <f>C32*D32*E32</f>
        <v/>
      </c>
      <c r="K32" s="25" t="n"/>
      <c r="L32" s="25" t="n"/>
    </row>
    <row r="33">
      <c r="A33" s="25" t="n"/>
      <c r="B33" s="34" t="inlineStr">
        <is>
          <t>EJE-02</t>
        </is>
      </c>
      <c r="C33" s="35" t="n">
        <v>1</v>
      </c>
      <c r="D33" s="35" t="n">
        <v>76.04000000000001</v>
      </c>
      <c r="E33" s="35">
        <f>PARAMETROS!$B$12</f>
        <v/>
      </c>
      <c r="F33" s="35" t="n"/>
      <c r="G33" s="35" t="n"/>
      <c r="H33" s="25" t="n"/>
      <c r="I33" s="25" t="n"/>
      <c r="J33" s="35">
        <f>C33*D33*E33</f>
        <v/>
      </c>
      <c r="K33" s="25" t="n"/>
      <c r="L33" s="25" t="n"/>
    </row>
    <row r="34">
      <c r="A34" s="25" t="n"/>
      <c r="B34" s="34" t="inlineStr">
        <is>
          <t>EJE-03</t>
        </is>
      </c>
      <c r="C34" s="35" t="n">
        <v>1</v>
      </c>
      <c r="D34" s="35" t="n">
        <v>32.31</v>
      </c>
      <c r="E34" s="35">
        <f>PARAMETROS!$B$12</f>
        <v/>
      </c>
      <c r="F34" s="35" t="n"/>
      <c r="G34" s="35" t="n"/>
      <c r="H34" s="25" t="n"/>
      <c r="I34" s="25" t="n"/>
      <c r="J34" s="35">
        <f>C34*D34*E34</f>
        <v/>
      </c>
      <c r="K34" s="25" t="n"/>
      <c r="L34" s="25" t="n"/>
    </row>
    <row r="35">
      <c r="A35" s="25" t="n"/>
      <c r="B35" s="34" t="inlineStr">
        <is>
          <t>EJE-04</t>
        </is>
      </c>
      <c r="C35" s="35" t="n">
        <v>1</v>
      </c>
      <c r="D35" s="35" t="n">
        <v>94.34</v>
      </c>
      <c r="E35" s="35">
        <f>PARAMETROS!$B$12</f>
        <v/>
      </c>
      <c r="F35" s="35" t="n"/>
      <c r="G35" s="35" t="n"/>
      <c r="H35" s="25" t="n"/>
      <c r="I35" s="25" t="n"/>
      <c r="J35" s="35">
        <f>C35*D35*E35</f>
        <v/>
      </c>
      <c r="K35" s="25" t="n"/>
      <c r="L35" s="25" t="n"/>
    </row>
    <row r="36">
      <c r="A36" s="25" t="n"/>
      <c r="B36" s="34" t="inlineStr">
        <is>
          <t>EJE-05</t>
        </is>
      </c>
      <c r="C36" s="35" t="n">
        <v>1</v>
      </c>
      <c r="D36" s="35" t="n">
        <v>90.56</v>
      </c>
      <c r="E36" s="35">
        <f>PARAMETROS!$B$12</f>
        <v/>
      </c>
      <c r="F36" s="35" t="n"/>
      <c r="G36" s="35" t="n"/>
      <c r="H36" s="25" t="n"/>
      <c r="I36" s="25" t="n"/>
      <c r="J36" s="35">
        <f>C36*D36*E36</f>
        <v/>
      </c>
      <c r="K36" s="25" t="n"/>
      <c r="L36" s="25" t="n"/>
    </row>
    <row r="37">
      <c r="A37" s="25" t="n"/>
      <c r="B37" s="34" t="inlineStr">
        <is>
          <t>EJE-06</t>
        </is>
      </c>
      <c r="C37" s="35" t="n">
        <v>1</v>
      </c>
      <c r="D37" s="35" t="n">
        <v>12.3</v>
      </c>
      <c r="E37" s="35">
        <f>PARAMETROS!$B$12</f>
        <v/>
      </c>
      <c r="F37" s="35" t="n"/>
      <c r="G37" s="35" t="n"/>
      <c r="H37" s="25" t="n"/>
      <c r="I37" s="25" t="n"/>
      <c r="J37" s="35">
        <f>C37*D37*E37</f>
        <v/>
      </c>
      <c r="K37" s="25" t="n"/>
      <c r="L37" s="25" t="n"/>
    </row>
    <row r="38">
      <c r="A38" s="25" t="n"/>
      <c r="B38" s="34" t="inlineStr">
        <is>
          <t>EJE-07</t>
        </is>
      </c>
      <c r="C38" s="35" t="n">
        <v>1</v>
      </c>
      <c r="D38" s="35" t="n">
        <v>94.69</v>
      </c>
      <c r="E38" s="35">
        <f>PARAMETROS!$B$12</f>
        <v/>
      </c>
      <c r="F38" s="35" t="n"/>
      <c r="G38" s="35" t="n"/>
      <c r="H38" s="25" t="n"/>
      <c r="I38" s="25" t="n"/>
      <c r="J38" s="35">
        <f>C38*D38*E38</f>
        <v/>
      </c>
      <c r="K38" s="25" t="n"/>
      <c r="L38" s="25" t="n"/>
    </row>
    <row r="39">
      <c r="A39" s="25" t="n"/>
      <c r="B39" s="34" t="inlineStr">
        <is>
          <t>EJE-08</t>
        </is>
      </c>
      <c r="C39" s="35" t="n">
        <v>1</v>
      </c>
      <c r="D39" s="35" t="n">
        <v>39.68</v>
      </c>
      <c r="E39" s="35">
        <f>PARAMETROS!$B$12</f>
        <v/>
      </c>
      <c r="F39" s="35" t="n"/>
      <c r="G39" s="35" t="n"/>
      <c r="H39" s="25" t="n"/>
      <c r="I39" s="25" t="n"/>
      <c r="J39" s="35">
        <f>C39*D39*E39</f>
        <v/>
      </c>
      <c r="K39" s="25" t="n"/>
      <c r="L39" s="25" t="n"/>
    </row>
    <row r="40">
      <c r="A40" s="25" t="n"/>
      <c r="B40" s="34" t="inlineStr">
        <is>
          <t>EJE-09</t>
        </is>
      </c>
      <c r="C40" s="35" t="n">
        <v>1</v>
      </c>
      <c r="D40" s="35" t="n">
        <v>35.8</v>
      </c>
      <c r="E40" s="35">
        <f>PARAMETROS!$B$12</f>
        <v/>
      </c>
      <c r="F40" s="35" t="n"/>
      <c r="G40" s="35" t="n"/>
      <c r="H40" s="25" t="n"/>
      <c r="I40" s="25" t="n"/>
      <c r="J40" s="35">
        <f>C40*D40*E40</f>
        <v/>
      </c>
      <c r="K40" s="25" t="n"/>
      <c r="L40" s="25" t="n"/>
    </row>
    <row r="41">
      <c r="A41" s="25" t="n"/>
      <c r="B41" s="34" t="inlineStr">
        <is>
          <t>EJE-10</t>
        </is>
      </c>
      <c r="C41" s="35" t="n">
        <v>1</v>
      </c>
      <c r="D41" s="35" t="n">
        <v>36.9</v>
      </c>
      <c r="E41" s="35">
        <f>PARAMETROS!$B$12</f>
        <v/>
      </c>
      <c r="F41" s="35" t="n"/>
      <c r="G41" s="35" t="n"/>
      <c r="H41" s="25" t="n"/>
      <c r="I41" s="25" t="n"/>
      <c r="J41" s="35">
        <f>C41*D41*E41</f>
        <v/>
      </c>
      <c r="K41" s="25" t="n"/>
      <c r="L41" s="25" t="n"/>
    </row>
    <row r="42">
      <c r="A42" s="25" t="n"/>
      <c r="B42" s="34" t="inlineStr">
        <is>
          <t>EJE-11</t>
        </is>
      </c>
      <c r="C42" s="35" t="n">
        <v>1</v>
      </c>
      <c r="D42" s="35" t="n">
        <v>30.36</v>
      </c>
      <c r="E42" s="35">
        <f>PARAMETROS!$B$12</f>
        <v/>
      </c>
      <c r="F42" s="35" t="n"/>
      <c r="G42" s="35" t="n"/>
      <c r="H42" s="25" t="n"/>
      <c r="I42" s="25" t="n"/>
      <c r="J42" s="35">
        <f>C42*D42*E42</f>
        <v/>
      </c>
      <c r="K42" s="25" t="n"/>
      <c r="L42" s="25" t="n"/>
    </row>
    <row r="43">
      <c r="A43" s="25" t="n"/>
      <c r="B43" s="34" t="inlineStr">
        <is>
          <t>EJE-12</t>
        </is>
      </c>
      <c r="C43" s="35" t="n">
        <v>1</v>
      </c>
      <c r="D43" s="35" t="n">
        <v>118.38</v>
      </c>
      <c r="E43" s="35">
        <f>PARAMETROS!$B$12</f>
        <v/>
      </c>
      <c r="F43" s="35" t="n"/>
      <c r="G43" s="35" t="n"/>
      <c r="H43" s="25" t="n"/>
      <c r="I43" s="25" t="n"/>
      <c r="J43" s="35">
        <f>C43*D43*E43</f>
        <v/>
      </c>
      <c r="K43" s="25" t="n"/>
      <c r="L43" s="25" t="n"/>
    </row>
    <row r="44">
      <c r="A44" s="25" t="n"/>
      <c r="B44" s="34" t="inlineStr">
        <is>
          <t>EJE-13</t>
        </is>
      </c>
      <c r="C44" s="35" t="n">
        <v>1</v>
      </c>
      <c r="D44" s="35" t="n">
        <v>24.38</v>
      </c>
      <c r="E44" s="35">
        <f>PARAMETROS!$B$12</f>
        <v/>
      </c>
      <c r="F44" s="35" t="n"/>
      <c r="G44" s="35" t="n"/>
      <c r="H44" s="25" t="n"/>
      <c r="I44" s="25" t="n"/>
      <c r="J44" s="35">
        <f>C44*D44*E44</f>
        <v/>
      </c>
      <c r="K44" s="25" t="n"/>
      <c r="L44" s="25" t="n"/>
    </row>
    <row r="45">
      <c r="A45" s="25" t="n"/>
      <c r="B45" s="34" t="inlineStr">
        <is>
          <t>EJE-14</t>
        </is>
      </c>
      <c r="C45" s="35" t="n">
        <v>1</v>
      </c>
      <c r="D45" s="35" t="n">
        <v>64.93000000000001</v>
      </c>
      <c r="E45" s="35">
        <f>PARAMETROS!$B$12</f>
        <v/>
      </c>
      <c r="F45" s="35" t="n"/>
      <c r="G45" s="35" t="n"/>
      <c r="H45" s="25" t="n"/>
      <c r="I45" s="25" t="n"/>
      <c r="J45" s="35">
        <f>C45*D45*E45</f>
        <v/>
      </c>
      <c r="K45" s="25" t="n"/>
      <c r="L45" s="25" t="n"/>
    </row>
    <row r="46">
      <c r="A46" s="25" t="n"/>
      <c r="B46" s="34" t="inlineStr">
        <is>
          <t>EJE-15</t>
        </is>
      </c>
      <c r="C46" s="35" t="n">
        <v>1</v>
      </c>
      <c r="D46" s="35" t="n">
        <v>41.47</v>
      </c>
      <c r="E46" s="35">
        <f>PARAMETROS!$B$12</f>
        <v/>
      </c>
      <c r="F46" s="35" t="n"/>
      <c r="G46" s="35" t="n"/>
      <c r="H46" s="25" t="n"/>
      <c r="I46" s="25" t="n"/>
      <c r="J46" s="35">
        <f>C46*D46*E46</f>
        <v/>
      </c>
      <c r="K46" s="25" t="n"/>
      <c r="L46" s="25" t="n"/>
    </row>
    <row r="47">
      <c r="A47" s="25" t="n"/>
      <c r="B47" s="34" t="inlineStr">
        <is>
          <t>EJE-16</t>
        </is>
      </c>
      <c r="C47" s="35" t="n">
        <v>1</v>
      </c>
      <c r="D47" s="35" t="n">
        <v>49.55</v>
      </c>
      <c r="E47" s="35">
        <f>PARAMETROS!$B$12</f>
        <v/>
      </c>
      <c r="F47" s="35" t="n"/>
      <c r="G47" s="35" t="n"/>
      <c r="H47" s="25" t="n"/>
      <c r="I47" s="25" t="n"/>
      <c r="J47" s="35">
        <f>C47*D47*E47</f>
        <v/>
      </c>
      <c r="K47" s="25" t="n"/>
      <c r="L47" s="25" t="n"/>
    </row>
    <row r="48">
      <c r="A48" s="25" t="n"/>
      <c r="B48" s="34" t="inlineStr">
        <is>
          <t>EJE-17</t>
        </is>
      </c>
      <c r="C48" s="35" t="n">
        <v>1</v>
      </c>
      <c r="D48" s="35" t="n">
        <v>39.98</v>
      </c>
      <c r="E48" s="35">
        <f>PARAMETROS!$B$12</f>
        <v/>
      </c>
      <c r="F48" s="35" t="n"/>
      <c r="G48" s="35" t="n"/>
      <c r="H48" s="25" t="n"/>
      <c r="I48" s="25" t="n"/>
      <c r="J48" s="35">
        <f>C48*D48*E48</f>
        <v/>
      </c>
      <c r="K48" s="25" t="n"/>
      <c r="L48" s="25" t="n"/>
    </row>
    <row r="49">
      <c r="A49" s="25" t="n"/>
      <c r="B49" s="34" t="inlineStr">
        <is>
          <t>EJE-18</t>
        </is>
      </c>
      <c r="C49" s="35" t="n">
        <v>1</v>
      </c>
      <c r="D49" s="35" t="n">
        <v>38.68</v>
      </c>
      <c r="E49" s="35">
        <f>PARAMETROS!$B$12</f>
        <v/>
      </c>
      <c r="F49" s="35" t="n"/>
      <c r="G49" s="35" t="n"/>
      <c r="H49" s="25" t="n"/>
      <c r="I49" s="25" t="n"/>
      <c r="J49" s="35">
        <f>C49*D49*E49</f>
        <v/>
      </c>
      <c r="K49" s="25" t="n"/>
      <c r="L49" s="25" t="n"/>
    </row>
    <row r="50">
      <c r="A50" s="25" t="n"/>
      <c r="B50" s="34" t="inlineStr">
        <is>
          <t>EJE-19</t>
        </is>
      </c>
      <c r="C50" s="35" t="n">
        <v>1</v>
      </c>
      <c r="D50" s="35" t="n">
        <v>14.09</v>
      </c>
      <c r="E50" s="35">
        <f>PARAMETROS!$B$12</f>
        <v/>
      </c>
      <c r="F50" s="35" t="n"/>
      <c r="G50" s="35" t="n"/>
      <c r="H50" s="25" t="n"/>
      <c r="I50" s="25" t="n"/>
      <c r="J50" s="35">
        <f>C50*D50*E50</f>
        <v/>
      </c>
      <c r="K50" s="25" t="n"/>
      <c r="L50" s="25" t="n"/>
    </row>
    <row r="51">
      <c r="A51" s="28" t="inlineStr">
        <is>
          <t>01.02</t>
        </is>
      </c>
      <c r="B51" s="28" t="inlineStr">
        <is>
          <t>MOVIMIENTO DE TIERRAS</t>
        </is>
      </c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</row>
    <row r="52">
      <c r="A52" s="29" t="inlineStr">
        <is>
          <t>01.02.01</t>
        </is>
      </c>
      <c r="B52" s="30" t="inlineStr">
        <is>
          <t>EXCAVACIÓN MANUAL DE ZANJAS P/CUNETAS</t>
        </is>
      </c>
      <c r="C52" s="31" t="n"/>
      <c r="D52" s="31" t="n"/>
      <c r="E52" s="31" t="n"/>
      <c r="F52" s="31" t="n"/>
      <c r="G52" s="31" t="n"/>
      <c r="H52" s="31" t="n"/>
      <c r="I52" s="31" t="n"/>
      <c r="J52" s="31" t="n"/>
      <c r="K52" s="32">
        <f>SUM(J53:J71)</f>
        <v/>
      </c>
      <c r="L52" s="33" t="inlineStr">
        <is>
          <t>m³</t>
        </is>
      </c>
    </row>
    <row r="53">
      <c r="A53" s="25" t="n"/>
      <c r="B53" s="34" t="inlineStr">
        <is>
          <t>EJE-01 (h prom. 0.386 m)</t>
        </is>
      </c>
      <c r="C53" s="35" t="n">
        <v>1</v>
      </c>
      <c r="D53" s="35" t="n">
        <v>34.34</v>
      </c>
      <c r="E53" s="35">
        <f>PARAMETROS!$B$12</f>
        <v/>
      </c>
      <c r="F53" s="35" t="n">
        <v>0.386</v>
      </c>
      <c r="G53" s="35" t="n"/>
      <c r="H53" s="25" t="n"/>
      <c r="I53" s="25" t="n"/>
      <c r="J53" s="35">
        <f>C53*D53*E53*(F53+PARAMETROS!$B$8+PARAMETROS!$B$10)</f>
        <v/>
      </c>
      <c r="K53" s="25" t="n"/>
      <c r="L53" s="25" t="n"/>
    </row>
    <row r="54">
      <c r="A54" s="25" t="n"/>
      <c r="B54" s="34" t="inlineStr">
        <is>
          <t>EJE-02 (h prom. 0.568 m)</t>
        </is>
      </c>
      <c r="C54" s="35" t="n">
        <v>1</v>
      </c>
      <c r="D54" s="35" t="n">
        <v>76.04000000000001</v>
      </c>
      <c r="E54" s="35">
        <f>PARAMETROS!$B$12</f>
        <v/>
      </c>
      <c r="F54" s="35" t="n">
        <v>0.5679999999999999</v>
      </c>
      <c r="G54" s="35" t="n"/>
      <c r="H54" s="25" t="n"/>
      <c r="I54" s="25" t="n"/>
      <c r="J54" s="35">
        <f>C54*D54*E54*(F54+PARAMETROS!$B$8+PARAMETROS!$B$10)</f>
        <v/>
      </c>
      <c r="K54" s="25" t="n"/>
      <c r="L54" s="25" t="n"/>
    </row>
    <row r="55">
      <c r="A55" s="25" t="n"/>
      <c r="B55" s="34" t="inlineStr">
        <is>
          <t>EJE-03 (h prom. 0.381 m)</t>
        </is>
      </c>
      <c r="C55" s="35" t="n">
        <v>1</v>
      </c>
      <c r="D55" s="35" t="n">
        <v>32.31</v>
      </c>
      <c r="E55" s="35">
        <f>PARAMETROS!$B$12</f>
        <v/>
      </c>
      <c r="F55" s="35" t="n">
        <v>0.381</v>
      </c>
      <c r="G55" s="35" t="n"/>
      <c r="H55" s="25" t="n"/>
      <c r="I55" s="25" t="n"/>
      <c r="J55" s="35">
        <f>C55*D55*E55*(F55+PARAMETROS!$B$8+PARAMETROS!$B$10)</f>
        <v/>
      </c>
      <c r="K55" s="25" t="n"/>
      <c r="L55" s="25" t="n"/>
    </row>
    <row r="56">
      <c r="A56" s="25" t="n"/>
      <c r="B56" s="34" t="inlineStr">
        <is>
          <t>EJE-04 (h prom. 0.536 m)</t>
        </is>
      </c>
      <c r="C56" s="35" t="n">
        <v>1</v>
      </c>
      <c r="D56" s="35" t="n">
        <v>94.34</v>
      </c>
      <c r="E56" s="35">
        <f>PARAMETROS!$B$12</f>
        <v/>
      </c>
      <c r="F56" s="35" t="n">
        <v>0.536</v>
      </c>
      <c r="G56" s="35" t="n"/>
      <c r="H56" s="25" t="n"/>
      <c r="I56" s="25" t="n"/>
      <c r="J56" s="35">
        <f>C56*D56*E56*(F56+PARAMETROS!$B$8+PARAMETROS!$B$10)</f>
        <v/>
      </c>
      <c r="K56" s="25" t="n"/>
      <c r="L56" s="25" t="n"/>
    </row>
    <row r="57">
      <c r="A57" s="25" t="n"/>
      <c r="B57" s="34" t="inlineStr">
        <is>
          <t>EJE-05 (h prom. 0.526 m)</t>
        </is>
      </c>
      <c r="C57" s="35" t="n">
        <v>1</v>
      </c>
      <c r="D57" s="35" t="n">
        <v>90.56</v>
      </c>
      <c r="E57" s="35">
        <f>PARAMETROS!$B$12</f>
        <v/>
      </c>
      <c r="F57" s="35" t="n">
        <v>0.526</v>
      </c>
      <c r="G57" s="35" t="n"/>
      <c r="H57" s="25" t="n"/>
      <c r="I57" s="25" t="n"/>
      <c r="J57" s="35">
        <f>C57*D57*E57*(F57+PARAMETROS!$B$8+PARAMETROS!$B$10)</f>
        <v/>
      </c>
      <c r="K57" s="25" t="n"/>
      <c r="L57" s="25" t="n"/>
    </row>
    <row r="58">
      <c r="A58" s="25" t="n"/>
      <c r="B58" s="34" t="inlineStr">
        <is>
          <t>EJE-06 (h prom. 0.331 m)</t>
        </is>
      </c>
      <c r="C58" s="35" t="n">
        <v>1</v>
      </c>
      <c r="D58" s="35" t="n">
        <v>12.3</v>
      </c>
      <c r="E58" s="35">
        <f>PARAMETROS!$B$12</f>
        <v/>
      </c>
      <c r="F58" s="35" t="n">
        <v>0.331</v>
      </c>
      <c r="G58" s="35" t="n"/>
      <c r="H58" s="25" t="n"/>
      <c r="I58" s="25" t="n"/>
      <c r="J58" s="35">
        <f>C58*D58*E58*(F58+PARAMETROS!$B$8+PARAMETROS!$B$10)</f>
        <v/>
      </c>
      <c r="K58" s="25" t="n"/>
      <c r="L58" s="25" t="n"/>
    </row>
    <row r="59">
      <c r="A59" s="25" t="n"/>
      <c r="B59" s="34" t="inlineStr">
        <is>
          <t>EJE-07 (h prom. 0.669 m)</t>
        </is>
      </c>
      <c r="C59" s="35" t="n">
        <v>1</v>
      </c>
      <c r="D59" s="35" t="n">
        <v>94.69</v>
      </c>
      <c r="E59" s="35">
        <f>PARAMETROS!$B$12</f>
        <v/>
      </c>
      <c r="F59" s="35" t="n">
        <v>0.669</v>
      </c>
      <c r="G59" s="35" t="n"/>
      <c r="H59" s="25" t="n"/>
      <c r="I59" s="25" t="n"/>
      <c r="J59" s="35">
        <f>C59*D59*E59*(F59+PARAMETROS!$B$8+PARAMETROS!$B$10)</f>
        <v/>
      </c>
      <c r="K59" s="25" t="n"/>
      <c r="L59" s="25" t="n"/>
    </row>
    <row r="60">
      <c r="A60" s="25" t="n"/>
      <c r="B60" s="34" t="inlineStr">
        <is>
          <t>EJE-08 (h prom. 0.399 m)</t>
        </is>
      </c>
      <c r="C60" s="35" t="n">
        <v>1</v>
      </c>
      <c r="D60" s="35" t="n">
        <v>39.68</v>
      </c>
      <c r="E60" s="35">
        <f>PARAMETROS!$B$12</f>
        <v/>
      </c>
      <c r="F60" s="35" t="n">
        <v>0.399</v>
      </c>
      <c r="G60" s="35" t="n"/>
      <c r="H60" s="25" t="n"/>
      <c r="I60" s="25" t="n"/>
      <c r="J60" s="35">
        <f>C60*D60*E60*(F60+PARAMETROS!$B$8+PARAMETROS!$B$10)</f>
        <v/>
      </c>
      <c r="K60" s="25" t="n"/>
      <c r="L60" s="25" t="n"/>
    </row>
    <row r="61">
      <c r="A61" s="25" t="n"/>
      <c r="B61" s="34" t="inlineStr">
        <is>
          <t>EJE-09 (h prom. 0.390 m)</t>
        </is>
      </c>
      <c r="C61" s="35" t="n">
        <v>1</v>
      </c>
      <c r="D61" s="35" t="n">
        <v>35.8</v>
      </c>
      <c r="E61" s="35">
        <f>PARAMETROS!$B$12</f>
        <v/>
      </c>
      <c r="F61" s="35" t="n">
        <v>0.39</v>
      </c>
      <c r="G61" s="35" t="n"/>
      <c r="H61" s="25" t="n"/>
      <c r="I61" s="25" t="n"/>
      <c r="J61" s="35">
        <f>C61*D61*E61*(F61+PARAMETROS!$B$8+PARAMETROS!$B$10)</f>
        <v/>
      </c>
      <c r="K61" s="25" t="n"/>
      <c r="L61" s="25" t="n"/>
    </row>
    <row r="62">
      <c r="A62" s="25" t="n"/>
      <c r="B62" s="34" t="inlineStr">
        <is>
          <t>EJE-10 (h prom. 0.392 m)</t>
        </is>
      </c>
      <c r="C62" s="35" t="n">
        <v>1</v>
      </c>
      <c r="D62" s="35" t="n">
        <v>36.9</v>
      </c>
      <c r="E62" s="35">
        <f>PARAMETROS!$B$12</f>
        <v/>
      </c>
      <c r="F62" s="35" t="n">
        <v>0.392</v>
      </c>
      <c r="G62" s="35" t="n"/>
      <c r="H62" s="25" t="n"/>
      <c r="I62" s="25" t="n"/>
      <c r="J62" s="35">
        <f>C62*D62*E62*(F62+PARAMETROS!$B$8+PARAMETROS!$B$10)</f>
        <v/>
      </c>
      <c r="K62" s="25" t="n"/>
      <c r="L62" s="25" t="n"/>
    </row>
    <row r="63">
      <c r="A63" s="25" t="n"/>
      <c r="B63" s="34" t="inlineStr">
        <is>
          <t>EJE-11 (h prom. 0.376 m)</t>
        </is>
      </c>
      <c r="C63" s="35" t="n">
        <v>1</v>
      </c>
      <c r="D63" s="35" t="n">
        <v>30.36</v>
      </c>
      <c r="E63" s="35">
        <f>PARAMETROS!$B$12</f>
        <v/>
      </c>
      <c r="F63" s="35" t="n">
        <v>0.376</v>
      </c>
      <c r="G63" s="35" t="n"/>
      <c r="H63" s="25" t="n"/>
      <c r="I63" s="25" t="n"/>
      <c r="J63" s="35">
        <f>C63*D63*E63*(F63+PARAMETROS!$B$8+PARAMETROS!$B$10)</f>
        <v/>
      </c>
      <c r="K63" s="25" t="n"/>
      <c r="L63" s="25" t="n"/>
    </row>
    <row r="64">
      <c r="A64" s="25" t="n"/>
      <c r="B64" s="34" t="inlineStr">
        <is>
          <t>EJE-12 (h prom. 0.539 m)</t>
        </is>
      </c>
      <c r="C64" s="35" t="n">
        <v>1</v>
      </c>
      <c r="D64" s="35" t="n">
        <v>118.38</v>
      </c>
      <c r="E64" s="35">
        <f>PARAMETROS!$B$12</f>
        <v/>
      </c>
      <c r="F64" s="35" t="n">
        <v>0.539</v>
      </c>
      <c r="G64" s="35" t="n"/>
      <c r="H64" s="25" t="n"/>
      <c r="I64" s="25" t="n"/>
      <c r="J64" s="35">
        <f>C64*D64*E64*(F64+PARAMETROS!$B$8+PARAMETROS!$B$10)</f>
        <v/>
      </c>
      <c r="K64" s="25" t="n"/>
      <c r="L64" s="25" t="n"/>
    </row>
    <row r="65">
      <c r="A65" s="25" t="n"/>
      <c r="B65" s="34" t="inlineStr">
        <is>
          <t>EJE-13 (h prom. 0.361 m)</t>
        </is>
      </c>
      <c r="C65" s="35" t="n">
        <v>1</v>
      </c>
      <c r="D65" s="35" t="n">
        <v>24.38</v>
      </c>
      <c r="E65" s="35">
        <f>PARAMETROS!$B$12</f>
        <v/>
      </c>
      <c r="F65" s="35" t="n">
        <v>0.361</v>
      </c>
      <c r="G65" s="35" t="n"/>
      <c r="H65" s="25" t="n"/>
      <c r="I65" s="25" t="n"/>
      <c r="J65" s="35">
        <f>C65*D65*E65*(F65+PARAMETROS!$B$8+PARAMETROS!$B$10)</f>
        <v/>
      </c>
      <c r="K65" s="25" t="n"/>
      <c r="L65" s="25" t="n"/>
    </row>
    <row r="66">
      <c r="A66" s="25" t="n"/>
      <c r="B66" s="34" t="inlineStr">
        <is>
          <t>EJE-14 (h prom. 0.385 m)</t>
        </is>
      </c>
      <c r="C66" s="35" t="n">
        <v>1</v>
      </c>
      <c r="D66" s="35" t="n">
        <v>64.93000000000001</v>
      </c>
      <c r="E66" s="35">
        <f>PARAMETROS!$B$12</f>
        <v/>
      </c>
      <c r="F66" s="35" t="n">
        <v>0.385</v>
      </c>
      <c r="G66" s="35" t="n"/>
      <c r="H66" s="25" t="n"/>
      <c r="I66" s="25" t="n"/>
      <c r="J66" s="35">
        <f>C66*D66*E66*(F66+PARAMETROS!$B$8+PARAMETROS!$B$10)</f>
        <v/>
      </c>
      <c r="K66" s="25" t="n"/>
      <c r="L66" s="25" t="n"/>
    </row>
    <row r="67">
      <c r="A67" s="25" t="n"/>
      <c r="B67" s="34" t="inlineStr">
        <is>
          <t>EJE-15 (h prom. 0.323 m)</t>
        </is>
      </c>
      <c r="C67" s="35" t="n">
        <v>1</v>
      </c>
      <c r="D67" s="35" t="n">
        <v>41.47</v>
      </c>
      <c r="E67" s="35">
        <f>PARAMETROS!$B$12</f>
        <v/>
      </c>
      <c r="F67" s="35" t="n">
        <v>0.323</v>
      </c>
      <c r="G67" s="35" t="n"/>
      <c r="H67" s="25" t="n"/>
      <c r="I67" s="25" t="n"/>
      <c r="J67" s="35">
        <f>C67*D67*E67*(F67+PARAMETROS!$B$8+PARAMETROS!$B$10)</f>
        <v/>
      </c>
      <c r="K67" s="25" t="n"/>
      <c r="L67" s="25" t="n"/>
    </row>
    <row r="68">
      <c r="A68" s="25" t="n"/>
      <c r="B68" s="34" t="inlineStr">
        <is>
          <t>EJE-16 (h prom. 0.381 m)</t>
        </is>
      </c>
      <c r="C68" s="35" t="n">
        <v>1</v>
      </c>
      <c r="D68" s="35" t="n">
        <v>49.55</v>
      </c>
      <c r="E68" s="35">
        <f>PARAMETROS!$B$12</f>
        <v/>
      </c>
      <c r="F68" s="35" t="n">
        <v>0.381</v>
      </c>
      <c r="G68" s="35" t="n"/>
      <c r="H68" s="25" t="n"/>
      <c r="I68" s="25" t="n"/>
      <c r="J68" s="35">
        <f>C68*D68*E68*(F68+PARAMETROS!$B$8+PARAMETROS!$B$10)</f>
        <v/>
      </c>
      <c r="K68" s="25" t="n"/>
      <c r="L68" s="25" t="n"/>
    </row>
    <row r="69">
      <c r="A69" s="25" t="n"/>
      <c r="B69" s="34" t="inlineStr">
        <is>
          <t>EJE-17 (h prom. 0.404 m)</t>
        </is>
      </c>
      <c r="C69" s="35" t="n">
        <v>1</v>
      </c>
      <c r="D69" s="35" t="n">
        <v>39.98</v>
      </c>
      <c r="E69" s="35">
        <f>PARAMETROS!$B$12</f>
        <v/>
      </c>
      <c r="F69" s="35" t="n">
        <v>0.404</v>
      </c>
      <c r="G69" s="35" t="n"/>
      <c r="H69" s="25" t="n"/>
      <c r="I69" s="25" t="n"/>
      <c r="J69" s="35">
        <f>C69*D69*E69*(F69+PARAMETROS!$B$8+PARAMETROS!$B$10)</f>
        <v/>
      </c>
      <c r="K69" s="25" t="n"/>
      <c r="L69" s="25" t="n"/>
    </row>
    <row r="70">
      <c r="A70" s="25" t="n"/>
      <c r="B70" s="34" t="inlineStr">
        <is>
          <t>EJE-18 (h prom. 0.397 m)</t>
        </is>
      </c>
      <c r="C70" s="35" t="n">
        <v>1</v>
      </c>
      <c r="D70" s="35" t="n">
        <v>38.68</v>
      </c>
      <c r="E70" s="35">
        <f>PARAMETROS!$B$12</f>
        <v/>
      </c>
      <c r="F70" s="35" t="n">
        <v>0.397</v>
      </c>
      <c r="G70" s="35" t="n"/>
      <c r="H70" s="25" t="n"/>
      <c r="I70" s="25" t="n"/>
      <c r="J70" s="35">
        <f>C70*D70*E70*(F70+PARAMETROS!$B$8+PARAMETROS!$B$10)</f>
        <v/>
      </c>
      <c r="K70" s="25" t="n"/>
      <c r="L70" s="25" t="n"/>
    </row>
    <row r="71">
      <c r="A71" s="25" t="n"/>
      <c r="B71" s="34" t="inlineStr">
        <is>
          <t>EJE-19 (h prom. 0.335 m)</t>
        </is>
      </c>
      <c r="C71" s="35" t="n">
        <v>1</v>
      </c>
      <c r="D71" s="35" t="n">
        <v>14.09</v>
      </c>
      <c r="E71" s="35">
        <f>PARAMETROS!$B$12</f>
        <v/>
      </c>
      <c r="F71" s="35" t="n">
        <v>0.335</v>
      </c>
      <c r="G71" s="35" t="n"/>
      <c r="H71" s="25" t="n"/>
      <c r="I71" s="25" t="n"/>
      <c r="J71" s="35">
        <f>C71*D71*E71*(F71+PARAMETROS!$B$8+PARAMETROS!$B$10)</f>
        <v/>
      </c>
      <c r="K71" s="25" t="n"/>
      <c r="L71" s="25" t="n"/>
    </row>
    <row r="72">
      <c r="A72" s="29" t="inlineStr">
        <is>
          <t>01.02.02</t>
        </is>
      </c>
      <c r="B72" s="30" t="inlineStr">
        <is>
          <t>REFINE, NIVELACIÓN Y COMPACTACIÓN EN TERRENO NORMAL</t>
        </is>
      </c>
      <c r="C72" s="31" t="n"/>
      <c r="D72" s="31" t="n"/>
      <c r="E72" s="31" t="n"/>
      <c r="F72" s="31" t="n"/>
      <c r="G72" s="31" t="n"/>
      <c r="H72" s="31" t="n"/>
      <c r="I72" s="31" t="n"/>
      <c r="J72" s="31" t="n"/>
      <c r="K72" s="32">
        <f>SUM(J73:J91)</f>
        <v/>
      </c>
      <c r="L72" s="33" t="inlineStr">
        <is>
          <t>m²</t>
        </is>
      </c>
    </row>
    <row r="73">
      <c r="A73" s="25" t="n"/>
      <c r="B73" s="34" t="inlineStr">
        <is>
          <t>EJE-01</t>
        </is>
      </c>
      <c r="C73" s="35" t="n">
        <v>1</v>
      </c>
      <c r="D73" s="35" t="n">
        <v>34.34</v>
      </c>
      <c r="E73" s="35">
        <f>PARAMETROS!$B$5</f>
        <v/>
      </c>
      <c r="F73" s="35" t="n"/>
      <c r="G73" s="35" t="n"/>
      <c r="H73" s="25" t="n"/>
      <c r="I73" s="25" t="n"/>
      <c r="J73" s="35">
        <f>C73*D73*E73</f>
        <v/>
      </c>
      <c r="K73" s="25" t="n"/>
      <c r="L73" s="25" t="n"/>
    </row>
    <row r="74">
      <c r="A74" s="25" t="n"/>
      <c r="B74" s="34" t="inlineStr">
        <is>
          <t>EJE-02</t>
        </is>
      </c>
      <c r="C74" s="35" t="n">
        <v>1</v>
      </c>
      <c r="D74" s="35" t="n">
        <v>76.04000000000001</v>
      </c>
      <c r="E74" s="35">
        <f>PARAMETROS!$B$5</f>
        <v/>
      </c>
      <c r="F74" s="35" t="n"/>
      <c r="G74" s="35" t="n"/>
      <c r="H74" s="25" t="n"/>
      <c r="I74" s="25" t="n"/>
      <c r="J74" s="35">
        <f>C74*D74*E74</f>
        <v/>
      </c>
      <c r="K74" s="25" t="n"/>
      <c r="L74" s="25" t="n"/>
    </row>
    <row r="75">
      <c r="A75" s="25" t="n"/>
      <c r="B75" s="34" t="inlineStr">
        <is>
          <t>EJE-03</t>
        </is>
      </c>
      <c r="C75" s="35" t="n">
        <v>1</v>
      </c>
      <c r="D75" s="35" t="n">
        <v>32.31</v>
      </c>
      <c r="E75" s="35">
        <f>PARAMETROS!$B$5</f>
        <v/>
      </c>
      <c r="F75" s="35" t="n"/>
      <c r="G75" s="35" t="n"/>
      <c r="H75" s="25" t="n"/>
      <c r="I75" s="25" t="n"/>
      <c r="J75" s="35">
        <f>C75*D75*E75</f>
        <v/>
      </c>
      <c r="K75" s="25" t="n"/>
      <c r="L75" s="25" t="n"/>
    </row>
    <row r="76">
      <c r="A76" s="25" t="n"/>
      <c r="B76" s="34" t="inlineStr">
        <is>
          <t>EJE-04</t>
        </is>
      </c>
      <c r="C76" s="35" t="n">
        <v>1</v>
      </c>
      <c r="D76" s="35" t="n">
        <v>94.34</v>
      </c>
      <c r="E76" s="35">
        <f>PARAMETROS!$B$5</f>
        <v/>
      </c>
      <c r="F76" s="35" t="n"/>
      <c r="G76" s="35" t="n"/>
      <c r="H76" s="25" t="n"/>
      <c r="I76" s="25" t="n"/>
      <c r="J76" s="35">
        <f>C76*D76*E76</f>
        <v/>
      </c>
      <c r="K76" s="25" t="n"/>
      <c r="L76" s="25" t="n"/>
    </row>
    <row r="77">
      <c r="A77" s="25" t="n"/>
      <c r="B77" s="34" t="inlineStr">
        <is>
          <t>EJE-05</t>
        </is>
      </c>
      <c r="C77" s="35" t="n">
        <v>1</v>
      </c>
      <c r="D77" s="35" t="n">
        <v>90.56</v>
      </c>
      <c r="E77" s="35">
        <f>PARAMETROS!$B$5</f>
        <v/>
      </c>
      <c r="F77" s="35" t="n"/>
      <c r="G77" s="35" t="n"/>
      <c r="H77" s="25" t="n"/>
      <c r="I77" s="25" t="n"/>
      <c r="J77" s="35">
        <f>C77*D77*E77</f>
        <v/>
      </c>
      <c r="K77" s="25" t="n"/>
      <c r="L77" s="25" t="n"/>
    </row>
    <row r="78">
      <c r="A78" s="25" t="n"/>
      <c r="B78" s="34" t="inlineStr">
        <is>
          <t>EJE-06</t>
        </is>
      </c>
      <c r="C78" s="35" t="n">
        <v>1</v>
      </c>
      <c r="D78" s="35" t="n">
        <v>12.3</v>
      </c>
      <c r="E78" s="35">
        <f>PARAMETROS!$B$5</f>
        <v/>
      </c>
      <c r="F78" s="35" t="n"/>
      <c r="G78" s="35" t="n"/>
      <c r="H78" s="25" t="n"/>
      <c r="I78" s="25" t="n"/>
      <c r="J78" s="35">
        <f>C78*D78*E78</f>
        <v/>
      </c>
      <c r="K78" s="25" t="n"/>
      <c r="L78" s="25" t="n"/>
    </row>
    <row r="79">
      <c r="A79" s="25" t="n"/>
      <c r="B79" s="34" t="inlineStr">
        <is>
          <t>EJE-07</t>
        </is>
      </c>
      <c r="C79" s="35" t="n">
        <v>1</v>
      </c>
      <c r="D79" s="35" t="n">
        <v>94.69</v>
      </c>
      <c r="E79" s="35">
        <f>PARAMETROS!$B$5</f>
        <v/>
      </c>
      <c r="F79" s="35" t="n"/>
      <c r="G79" s="35" t="n"/>
      <c r="H79" s="25" t="n"/>
      <c r="I79" s="25" t="n"/>
      <c r="J79" s="35">
        <f>C79*D79*E79</f>
        <v/>
      </c>
      <c r="K79" s="25" t="n"/>
      <c r="L79" s="25" t="n"/>
    </row>
    <row r="80">
      <c r="A80" s="25" t="n"/>
      <c r="B80" s="34" t="inlineStr">
        <is>
          <t>EJE-08</t>
        </is>
      </c>
      <c r="C80" s="35" t="n">
        <v>1</v>
      </c>
      <c r="D80" s="35" t="n">
        <v>39.68</v>
      </c>
      <c r="E80" s="35">
        <f>PARAMETROS!$B$5</f>
        <v/>
      </c>
      <c r="F80" s="35" t="n"/>
      <c r="G80" s="35" t="n"/>
      <c r="H80" s="25" t="n"/>
      <c r="I80" s="25" t="n"/>
      <c r="J80" s="35">
        <f>C80*D80*E80</f>
        <v/>
      </c>
      <c r="K80" s="25" t="n"/>
      <c r="L80" s="25" t="n"/>
    </row>
    <row r="81">
      <c r="A81" s="25" t="n"/>
      <c r="B81" s="34" t="inlineStr">
        <is>
          <t>EJE-09</t>
        </is>
      </c>
      <c r="C81" s="35" t="n">
        <v>1</v>
      </c>
      <c r="D81" s="35" t="n">
        <v>35.8</v>
      </c>
      <c r="E81" s="35">
        <f>PARAMETROS!$B$5</f>
        <v/>
      </c>
      <c r="F81" s="35" t="n"/>
      <c r="G81" s="35" t="n"/>
      <c r="H81" s="25" t="n"/>
      <c r="I81" s="25" t="n"/>
      <c r="J81" s="35">
        <f>C81*D81*E81</f>
        <v/>
      </c>
      <c r="K81" s="25" t="n"/>
      <c r="L81" s="25" t="n"/>
    </row>
    <row r="82">
      <c r="A82" s="25" t="n"/>
      <c r="B82" s="34" t="inlineStr">
        <is>
          <t>EJE-10</t>
        </is>
      </c>
      <c r="C82" s="35" t="n">
        <v>1</v>
      </c>
      <c r="D82" s="35" t="n">
        <v>36.9</v>
      </c>
      <c r="E82" s="35">
        <f>PARAMETROS!$B$5</f>
        <v/>
      </c>
      <c r="F82" s="35" t="n"/>
      <c r="G82" s="35" t="n"/>
      <c r="H82" s="25" t="n"/>
      <c r="I82" s="25" t="n"/>
      <c r="J82" s="35">
        <f>C82*D82*E82</f>
        <v/>
      </c>
      <c r="K82" s="25" t="n"/>
      <c r="L82" s="25" t="n"/>
    </row>
    <row r="83">
      <c r="A83" s="25" t="n"/>
      <c r="B83" s="34" t="inlineStr">
        <is>
          <t>EJE-11</t>
        </is>
      </c>
      <c r="C83" s="35" t="n">
        <v>1</v>
      </c>
      <c r="D83" s="35" t="n">
        <v>30.36</v>
      </c>
      <c r="E83" s="35">
        <f>PARAMETROS!$B$5</f>
        <v/>
      </c>
      <c r="F83" s="35" t="n"/>
      <c r="G83" s="35" t="n"/>
      <c r="H83" s="25" t="n"/>
      <c r="I83" s="25" t="n"/>
      <c r="J83" s="35">
        <f>C83*D83*E83</f>
        <v/>
      </c>
      <c r="K83" s="25" t="n"/>
      <c r="L83" s="25" t="n"/>
    </row>
    <row r="84">
      <c r="A84" s="25" t="n"/>
      <c r="B84" s="34" t="inlineStr">
        <is>
          <t>EJE-12</t>
        </is>
      </c>
      <c r="C84" s="35" t="n">
        <v>1</v>
      </c>
      <c r="D84" s="35" t="n">
        <v>118.38</v>
      </c>
      <c r="E84" s="35">
        <f>PARAMETROS!$B$5</f>
        <v/>
      </c>
      <c r="F84" s="35" t="n"/>
      <c r="G84" s="35" t="n"/>
      <c r="H84" s="25" t="n"/>
      <c r="I84" s="25" t="n"/>
      <c r="J84" s="35">
        <f>C84*D84*E84</f>
        <v/>
      </c>
      <c r="K84" s="25" t="n"/>
      <c r="L84" s="25" t="n"/>
    </row>
    <row r="85">
      <c r="A85" s="25" t="n"/>
      <c r="B85" s="34" t="inlineStr">
        <is>
          <t>EJE-13</t>
        </is>
      </c>
      <c r="C85" s="35" t="n">
        <v>1</v>
      </c>
      <c r="D85" s="35" t="n">
        <v>24.38</v>
      </c>
      <c r="E85" s="35">
        <f>PARAMETROS!$B$5</f>
        <v/>
      </c>
      <c r="F85" s="35" t="n"/>
      <c r="G85" s="35" t="n"/>
      <c r="H85" s="25" t="n"/>
      <c r="I85" s="25" t="n"/>
      <c r="J85" s="35">
        <f>C85*D85*E85</f>
        <v/>
      </c>
      <c r="K85" s="25" t="n"/>
      <c r="L85" s="25" t="n"/>
    </row>
    <row r="86">
      <c r="A86" s="25" t="n"/>
      <c r="B86" s="34" t="inlineStr">
        <is>
          <t>EJE-14</t>
        </is>
      </c>
      <c r="C86" s="35" t="n">
        <v>1</v>
      </c>
      <c r="D86" s="35" t="n">
        <v>64.93000000000001</v>
      </c>
      <c r="E86" s="35">
        <f>PARAMETROS!$B$5</f>
        <v/>
      </c>
      <c r="F86" s="35" t="n"/>
      <c r="G86" s="35" t="n"/>
      <c r="H86" s="25" t="n"/>
      <c r="I86" s="25" t="n"/>
      <c r="J86" s="35">
        <f>C86*D86*E86</f>
        <v/>
      </c>
      <c r="K86" s="25" t="n"/>
      <c r="L86" s="25" t="n"/>
    </row>
    <row r="87">
      <c r="A87" s="25" t="n"/>
      <c r="B87" s="34" t="inlineStr">
        <is>
          <t>EJE-15</t>
        </is>
      </c>
      <c r="C87" s="35" t="n">
        <v>1</v>
      </c>
      <c r="D87" s="35" t="n">
        <v>41.47</v>
      </c>
      <c r="E87" s="35">
        <f>PARAMETROS!$B$5</f>
        <v/>
      </c>
      <c r="F87" s="35" t="n"/>
      <c r="G87" s="35" t="n"/>
      <c r="H87" s="25" t="n"/>
      <c r="I87" s="25" t="n"/>
      <c r="J87" s="35">
        <f>C87*D87*E87</f>
        <v/>
      </c>
      <c r="K87" s="25" t="n"/>
      <c r="L87" s="25" t="n"/>
    </row>
    <row r="88">
      <c r="A88" s="25" t="n"/>
      <c r="B88" s="34" t="inlineStr">
        <is>
          <t>EJE-16</t>
        </is>
      </c>
      <c r="C88" s="35" t="n">
        <v>1</v>
      </c>
      <c r="D88" s="35" t="n">
        <v>49.55</v>
      </c>
      <c r="E88" s="35">
        <f>PARAMETROS!$B$5</f>
        <v/>
      </c>
      <c r="F88" s="35" t="n"/>
      <c r="G88" s="35" t="n"/>
      <c r="H88" s="25" t="n"/>
      <c r="I88" s="25" t="n"/>
      <c r="J88" s="35">
        <f>C88*D88*E88</f>
        <v/>
      </c>
      <c r="K88" s="25" t="n"/>
      <c r="L88" s="25" t="n"/>
    </row>
    <row r="89">
      <c r="A89" s="25" t="n"/>
      <c r="B89" s="34" t="inlineStr">
        <is>
          <t>EJE-17</t>
        </is>
      </c>
      <c r="C89" s="35" t="n">
        <v>1</v>
      </c>
      <c r="D89" s="35" t="n">
        <v>39.98</v>
      </c>
      <c r="E89" s="35">
        <f>PARAMETROS!$B$5</f>
        <v/>
      </c>
      <c r="F89" s="35" t="n"/>
      <c r="G89" s="35" t="n"/>
      <c r="H89" s="25" t="n"/>
      <c r="I89" s="25" t="n"/>
      <c r="J89" s="35">
        <f>C89*D89*E89</f>
        <v/>
      </c>
      <c r="K89" s="25" t="n"/>
      <c r="L89" s="25" t="n"/>
    </row>
    <row r="90">
      <c r="A90" s="25" t="n"/>
      <c r="B90" s="34" t="inlineStr">
        <is>
          <t>EJE-18</t>
        </is>
      </c>
      <c r="C90" s="35" t="n">
        <v>1</v>
      </c>
      <c r="D90" s="35" t="n">
        <v>38.68</v>
      </c>
      <c r="E90" s="35">
        <f>PARAMETROS!$B$5</f>
        <v/>
      </c>
      <c r="F90" s="35" t="n"/>
      <c r="G90" s="35" t="n"/>
      <c r="H90" s="25" t="n"/>
      <c r="I90" s="25" t="n"/>
      <c r="J90" s="35">
        <f>C90*D90*E90</f>
        <v/>
      </c>
      <c r="K90" s="25" t="n"/>
      <c r="L90" s="25" t="n"/>
    </row>
    <row r="91">
      <c r="A91" s="25" t="n"/>
      <c r="B91" s="34" t="inlineStr">
        <is>
          <t>EJE-19</t>
        </is>
      </c>
      <c r="C91" s="35" t="n">
        <v>1</v>
      </c>
      <c r="D91" s="35" t="n">
        <v>14.09</v>
      </c>
      <c r="E91" s="35">
        <f>PARAMETROS!$B$5</f>
        <v/>
      </c>
      <c r="F91" s="35" t="n"/>
      <c r="G91" s="35" t="n"/>
      <c r="H91" s="25" t="n"/>
      <c r="I91" s="25" t="n"/>
      <c r="J91" s="35">
        <f>C91*D91*E91</f>
        <v/>
      </c>
      <c r="K91" s="25" t="n"/>
      <c r="L91" s="25" t="n"/>
    </row>
    <row r="92">
      <c r="A92" s="29" t="inlineStr">
        <is>
          <t>01.02.03</t>
        </is>
      </c>
      <c r="B92" s="30" t="inlineStr">
        <is>
          <t>RELLENO COMPACTADO C/MATERIAL PROPIO SELECCIONADO</t>
        </is>
      </c>
      <c r="C92" s="31" t="n"/>
      <c r="D92" s="31" t="n"/>
      <c r="E92" s="31" t="n"/>
      <c r="F92" s="31" t="n"/>
      <c r="G92" s="31" t="n"/>
      <c r="H92" s="31" t="n"/>
      <c r="I92" s="31" t="n"/>
      <c r="J92" s="31" t="n"/>
      <c r="K92" s="32">
        <f>SUM(J93:J111)</f>
        <v/>
      </c>
      <c r="L92" s="33" t="inlineStr">
        <is>
          <t>m³</t>
        </is>
      </c>
    </row>
    <row r="93">
      <c r="A93" s="25" t="n"/>
      <c r="B93" s="34" t="inlineStr">
        <is>
          <t>EJE-01 (a los lados de la cuneta)</t>
        </is>
      </c>
      <c r="C93" s="35" t="n">
        <v>1</v>
      </c>
      <c r="D93" s="35" t="n">
        <v>34.34</v>
      </c>
      <c r="E93" s="35">
        <f>PARAMETROS!$B$12-PARAMETROS!$B$5</f>
        <v/>
      </c>
      <c r="F93" s="35" t="n">
        <v>0.386</v>
      </c>
      <c r="G93" s="35" t="n"/>
      <c r="H93" s="25" t="n"/>
      <c r="I93" s="25" t="n"/>
      <c r="J93" s="35">
        <f>C93*D93*E93*(F93+PARAMETROS!$B$8+PARAMETROS!$B$10)</f>
        <v/>
      </c>
      <c r="K93" s="25" t="n"/>
      <c r="L93" s="25" t="n"/>
    </row>
    <row r="94">
      <c r="A94" s="25" t="n"/>
      <c r="B94" s="34" t="inlineStr">
        <is>
          <t>EJE-02 (a los lados de la cuneta)</t>
        </is>
      </c>
      <c r="C94" s="35" t="n">
        <v>1</v>
      </c>
      <c r="D94" s="35" t="n">
        <v>76.04000000000001</v>
      </c>
      <c r="E94" s="35">
        <f>PARAMETROS!$B$12-PARAMETROS!$B$5</f>
        <v/>
      </c>
      <c r="F94" s="35" t="n">
        <v>0.5679999999999999</v>
      </c>
      <c r="G94" s="35" t="n"/>
      <c r="H94" s="25" t="n"/>
      <c r="I94" s="25" t="n"/>
      <c r="J94" s="35">
        <f>C94*D94*E94*(F94+PARAMETROS!$B$8+PARAMETROS!$B$10)</f>
        <v/>
      </c>
      <c r="K94" s="25" t="n"/>
      <c r="L94" s="25" t="n"/>
    </row>
    <row r="95">
      <c r="A95" s="25" t="n"/>
      <c r="B95" s="34" t="inlineStr">
        <is>
          <t>EJE-03 (a los lados de la cuneta)</t>
        </is>
      </c>
      <c r="C95" s="35" t="n">
        <v>1</v>
      </c>
      <c r="D95" s="35" t="n">
        <v>32.31</v>
      </c>
      <c r="E95" s="35">
        <f>PARAMETROS!$B$12-PARAMETROS!$B$5</f>
        <v/>
      </c>
      <c r="F95" s="35" t="n">
        <v>0.381</v>
      </c>
      <c r="G95" s="35" t="n"/>
      <c r="H95" s="25" t="n"/>
      <c r="I95" s="25" t="n"/>
      <c r="J95" s="35">
        <f>C95*D95*E95*(F95+PARAMETROS!$B$8+PARAMETROS!$B$10)</f>
        <v/>
      </c>
      <c r="K95" s="25" t="n"/>
      <c r="L95" s="25" t="n"/>
    </row>
    <row r="96">
      <c r="A96" s="25" t="n"/>
      <c r="B96" s="34" t="inlineStr">
        <is>
          <t>EJE-04 (a los lados de la cuneta)</t>
        </is>
      </c>
      <c r="C96" s="35" t="n">
        <v>1</v>
      </c>
      <c r="D96" s="35" t="n">
        <v>94.34</v>
      </c>
      <c r="E96" s="35">
        <f>PARAMETROS!$B$12-PARAMETROS!$B$5</f>
        <v/>
      </c>
      <c r="F96" s="35" t="n">
        <v>0.536</v>
      </c>
      <c r="G96" s="35" t="n"/>
      <c r="H96" s="25" t="n"/>
      <c r="I96" s="25" t="n"/>
      <c r="J96" s="35">
        <f>C96*D96*E96*(F96+PARAMETROS!$B$8+PARAMETROS!$B$10)</f>
        <v/>
      </c>
      <c r="K96" s="25" t="n"/>
      <c r="L96" s="25" t="n"/>
    </row>
    <row r="97">
      <c r="A97" s="25" t="n"/>
      <c r="B97" s="34" t="inlineStr">
        <is>
          <t>EJE-05 (a los lados de la cuneta)</t>
        </is>
      </c>
      <c r="C97" s="35" t="n">
        <v>1</v>
      </c>
      <c r="D97" s="35" t="n">
        <v>90.56</v>
      </c>
      <c r="E97" s="35">
        <f>PARAMETROS!$B$12-PARAMETROS!$B$5</f>
        <v/>
      </c>
      <c r="F97" s="35" t="n">
        <v>0.526</v>
      </c>
      <c r="G97" s="35" t="n"/>
      <c r="H97" s="25" t="n"/>
      <c r="I97" s="25" t="n"/>
      <c r="J97" s="35">
        <f>C97*D97*E97*(F97+PARAMETROS!$B$8+PARAMETROS!$B$10)</f>
        <v/>
      </c>
      <c r="K97" s="25" t="n"/>
      <c r="L97" s="25" t="n"/>
    </row>
    <row r="98">
      <c r="A98" s="25" t="n"/>
      <c r="B98" s="34" t="inlineStr">
        <is>
          <t>EJE-06 (a los lados de la cuneta)</t>
        </is>
      </c>
      <c r="C98" s="35" t="n">
        <v>1</v>
      </c>
      <c r="D98" s="35" t="n">
        <v>12.3</v>
      </c>
      <c r="E98" s="35">
        <f>PARAMETROS!$B$12-PARAMETROS!$B$5</f>
        <v/>
      </c>
      <c r="F98" s="35" t="n">
        <v>0.331</v>
      </c>
      <c r="G98" s="35" t="n"/>
      <c r="H98" s="25" t="n"/>
      <c r="I98" s="25" t="n"/>
      <c r="J98" s="35">
        <f>C98*D98*E98*(F98+PARAMETROS!$B$8+PARAMETROS!$B$10)</f>
        <v/>
      </c>
      <c r="K98" s="25" t="n"/>
      <c r="L98" s="25" t="n"/>
    </row>
    <row r="99">
      <c r="A99" s="25" t="n"/>
      <c r="B99" s="34" t="inlineStr">
        <is>
          <t>EJE-07 (a los lados de la cuneta)</t>
        </is>
      </c>
      <c r="C99" s="35" t="n">
        <v>1</v>
      </c>
      <c r="D99" s="35" t="n">
        <v>94.69</v>
      </c>
      <c r="E99" s="35">
        <f>PARAMETROS!$B$12-PARAMETROS!$B$5</f>
        <v/>
      </c>
      <c r="F99" s="35" t="n">
        <v>0.669</v>
      </c>
      <c r="G99" s="35" t="n"/>
      <c r="H99" s="25" t="n"/>
      <c r="I99" s="25" t="n"/>
      <c r="J99" s="35">
        <f>C99*D99*E99*(F99+PARAMETROS!$B$8+PARAMETROS!$B$10)</f>
        <v/>
      </c>
      <c r="K99" s="25" t="n"/>
      <c r="L99" s="25" t="n"/>
    </row>
    <row r="100">
      <c r="A100" s="25" t="n"/>
      <c r="B100" s="34" t="inlineStr">
        <is>
          <t>EJE-08 (a los lados de la cuneta)</t>
        </is>
      </c>
      <c r="C100" s="35" t="n">
        <v>1</v>
      </c>
      <c r="D100" s="35" t="n">
        <v>39.68</v>
      </c>
      <c r="E100" s="35">
        <f>PARAMETROS!$B$12-PARAMETROS!$B$5</f>
        <v/>
      </c>
      <c r="F100" s="35" t="n">
        <v>0.399</v>
      </c>
      <c r="G100" s="35" t="n"/>
      <c r="H100" s="25" t="n"/>
      <c r="I100" s="25" t="n"/>
      <c r="J100" s="35">
        <f>C100*D100*E100*(F100+PARAMETROS!$B$8+PARAMETROS!$B$10)</f>
        <v/>
      </c>
      <c r="K100" s="25" t="n"/>
      <c r="L100" s="25" t="n"/>
    </row>
    <row r="101">
      <c r="A101" s="25" t="n"/>
      <c r="B101" s="34" t="inlineStr">
        <is>
          <t>EJE-09 (a los lados de la cuneta)</t>
        </is>
      </c>
      <c r="C101" s="35" t="n">
        <v>1</v>
      </c>
      <c r="D101" s="35" t="n">
        <v>35.8</v>
      </c>
      <c r="E101" s="35">
        <f>PARAMETROS!$B$12-PARAMETROS!$B$5</f>
        <v/>
      </c>
      <c r="F101" s="35" t="n">
        <v>0.39</v>
      </c>
      <c r="G101" s="35" t="n"/>
      <c r="H101" s="25" t="n"/>
      <c r="I101" s="25" t="n"/>
      <c r="J101" s="35">
        <f>C101*D101*E101*(F101+PARAMETROS!$B$8+PARAMETROS!$B$10)</f>
        <v/>
      </c>
      <c r="K101" s="25" t="n"/>
      <c r="L101" s="25" t="n"/>
    </row>
    <row r="102">
      <c r="A102" s="25" t="n"/>
      <c r="B102" s="34" t="inlineStr">
        <is>
          <t>EJE-10 (a los lados de la cuneta)</t>
        </is>
      </c>
      <c r="C102" s="35" t="n">
        <v>1</v>
      </c>
      <c r="D102" s="35" t="n">
        <v>36.9</v>
      </c>
      <c r="E102" s="35">
        <f>PARAMETROS!$B$12-PARAMETROS!$B$5</f>
        <v/>
      </c>
      <c r="F102" s="35" t="n">
        <v>0.392</v>
      </c>
      <c r="G102" s="35" t="n"/>
      <c r="H102" s="25" t="n"/>
      <c r="I102" s="25" t="n"/>
      <c r="J102" s="35">
        <f>C102*D102*E102*(F102+PARAMETROS!$B$8+PARAMETROS!$B$10)</f>
        <v/>
      </c>
      <c r="K102" s="25" t="n"/>
      <c r="L102" s="25" t="n"/>
    </row>
    <row r="103">
      <c r="A103" s="25" t="n"/>
      <c r="B103" s="34" t="inlineStr">
        <is>
          <t>EJE-11 (a los lados de la cuneta)</t>
        </is>
      </c>
      <c r="C103" s="35" t="n">
        <v>1</v>
      </c>
      <c r="D103" s="35" t="n">
        <v>30.36</v>
      </c>
      <c r="E103" s="35">
        <f>PARAMETROS!$B$12-PARAMETROS!$B$5</f>
        <v/>
      </c>
      <c r="F103" s="35" t="n">
        <v>0.376</v>
      </c>
      <c r="G103" s="35" t="n"/>
      <c r="H103" s="25" t="n"/>
      <c r="I103" s="25" t="n"/>
      <c r="J103" s="35">
        <f>C103*D103*E103*(F103+PARAMETROS!$B$8+PARAMETROS!$B$10)</f>
        <v/>
      </c>
      <c r="K103" s="25" t="n"/>
      <c r="L103" s="25" t="n"/>
    </row>
    <row r="104">
      <c r="A104" s="25" t="n"/>
      <c r="B104" s="34" t="inlineStr">
        <is>
          <t>EJE-12 (a los lados de la cuneta)</t>
        </is>
      </c>
      <c r="C104" s="35" t="n">
        <v>1</v>
      </c>
      <c r="D104" s="35" t="n">
        <v>118.38</v>
      </c>
      <c r="E104" s="35">
        <f>PARAMETROS!$B$12-PARAMETROS!$B$5</f>
        <v/>
      </c>
      <c r="F104" s="35" t="n">
        <v>0.539</v>
      </c>
      <c r="G104" s="35" t="n"/>
      <c r="H104" s="25" t="n"/>
      <c r="I104" s="25" t="n"/>
      <c r="J104" s="35">
        <f>C104*D104*E104*(F104+PARAMETROS!$B$8+PARAMETROS!$B$10)</f>
        <v/>
      </c>
      <c r="K104" s="25" t="n"/>
      <c r="L104" s="25" t="n"/>
    </row>
    <row r="105">
      <c r="A105" s="25" t="n"/>
      <c r="B105" s="34" t="inlineStr">
        <is>
          <t>EJE-13 (a los lados de la cuneta)</t>
        </is>
      </c>
      <c r="C105" s="35" t="n">
        <v>1</v>
      </c>
      <c r="D105" s="35" t="n">
        <v>24.38</v>
      </c>
      <c r="E105" s="35">
        <f>PARAMETROS!$B$12-PARAMETROS!$B$5</f>
        <v/>
      </c>
      <c r="F105" s="35" t="n">
        <v>0.361</v>
      </c>
      <c r="G105" s="35" t="n"/>
      <c r="H105" s="25" t="n"/>
      <c r="I105" s="25" t="n"/>
      <c r="J105" s="35">
        <f>C105*D105*E105*(F105+PARAMETROS!$B$8+PARAMETROS!$B$10)</f>
        <v/>
      </c>
      <c r="K105" s="25" t="n"/>
      <c r="L105" s="25" t="n"/>
    </row>
    <row r="106">
      <c r="A106" s="25" t="n"/>
      <c r="B106" s="34" t="inlineStr">
        <is>
          <t>EJE-14 (a los lados de la cuneta)</t>
        </is>
      </c>
      <c r="C106" s="35" t="n">
        <v>1</v>
      </c>
      <c r="D106" s="35" t="n">
        <v>64.93000000000001</v>
      </c>
      <c r="E106" s="35">
        <f>PARAMETROS!$B$12-PARAMETROS!$B$5</f>
        <v/>
      </c>
      <c r="F106" s="35" t="n">
        <v>0.385</v>
      </c>
      <c r="G106" s="35" t="n"/>
      <c r="H106" s="25" t="n"/>
      <c r="I106" s="25" t="n"/>
      <c r="J106" s="35">
        <f>C106*D106*E106*(F106+PARAMETROS!$B$8+PARAMETROS!$B$10)</f>
        <v/>
      </c>
      <c r="K106" s="25" t="n"/>
      <c r="L106" s="25" t="n"/>
    </row>
    <row r="107">
      <c r="A107" s="25" t="n"/>
      <c r="B107" s="34" t="inlineStr">
        <is>
          <t>EJE-15 (a los lados de la cuneta)</t>
        </is>
      </c>
      <c r="C107" s="35" t="n">
        <v>1</v>
      </c>
      <c r="D107" s="35" t="n">
        <v>41.47</v>
      </c>
      <c r="E107" s="35">
        <f>PARAMETROS!$B$12-PARAMETROS!$B$5</f>
        <v/>
      </c>
      <c r="F107" s="35" t="n">
        <v>0.323</v>
      </c>
      <c r="G107" s="35" t="n"/>
      <c r="H107" s="25" t="n"/>
      <c r="I107" s="25" t="n"/>
      <c r="J107" s="35">
        <f>C107*D107*E107*(F107+PARAMETROS!$B$8+PARAMETROS!$B$10)</f>
        <v/>
      </c>
      <c r="K107" s="25" t="n"/>
      <c r="L107" s="25" t="n"/>
    </row>
    <row r="108">
      <c r="A108" s="25" t="n"/>
      <c r="B108" s="34" t="inlineStr">
        <is>
          <t>EJE-16 (a los lados de la cuneta)</t>
        </is>
      </c>
      <c r="C108" s="35" t="n">
        <v>1</v>
      </c>
      <c r="D108" s="35" t="n">
        <v>49.55</v>
      </c>
      <c r="E108" s="35">
        <f>PARAMETROS!$B$12-PARAMETROS!$B$5</f>
        <v/>
      </c>
      <c r="F108" s="35" t="n">
        <v>0.381</v>
      </c>
      <c r="G108" s="35" t="n"/>
      <c r="H108" s="25" t="n"/>
      <c r="I108" s="25" t="n"/>
      <c r="J108" s="35">
        <f>C108*D108*E108*(F108+PARAMETROS!$B$8+PARAMETROS!$B$10)</f>
        <v/>
      </c>
      <c r="K108" s="25" t="n"/>
      <c r="L108" s="25" t="n"/>
    </row>
    <row r="109">
      <c r="A109" s="25" t="n"/>
      <c r="B109" s="34" t="inlineStr">
        <is>
          <t>EJE-17 (a los lados de la cuneta)</t>
        </is>
      </c>
      <c r="C109" s="35" t="n">
        <v>1</v>
      </c>
      <c r="D109" s="35" t="n">
        <v>39.98</v>
      </c>
      <c r="E109" s="35">
        <f>PARAMETROS!$B$12-PARAMETROS!$B$5</f>
        <v/>
      </c>
      <c r="F109" s="35" t="n">
        <v>0.404</v>
      </c>
      <c r="G109" s="35" t="n"/>
      <c r="H109" s="25" t="n"/>
      <c r="I109" s="25" t="n"/>
      <c r="J109" s="35">
        <f>C109*D109*E109*(F109+PARAMETROS!$B$8+PARAMETROS!$B$10)</f>
        <v/>
      </c>
      <c r="K109" s="25" t="n"/>
      <c r="L109" s="25" t="n"/>
    </row>
    <row r="110">
      <c r="A110" s="25" t="n"/>
      <c r="B110" s="34" t="inlineStr">
        <is>
          <t>EJE-18 (a los lados de la cuneta)</t>
        </is>
      </c>
      <c r="C110" s="35" t="n">
        <v>1</v>
      </c>
      <c r="D110" s="35" t="n">
        <v>38.68</v>
      </c>
      <c r="E110" s="35">
        <f>PARAMETROS!$B$12-PARAMETROS!$B$5</f>
        <v/>
      </c>
      <c r="F110" s="35" t="n">
        <v>0.397</v>
      </c>
      <c r="G110" s="35" t="n"/>
      <c r="H110" s="25" t="n"/>
      <c r="I110" s="25" t="n"/>
      <c r="J110" s="35">
        <f>C110*D110*E110*(F110+PARAMETROS!$B$8+PARAMETROS!$B$10)</f>
        <v/>
      </c>
      <c r="K110" s="25" t="n"/>
      <c r="L110" s="25" t="n"/>
    </row>
    <row r="111">
      <c r="A111" s="25" t="n"/>
      <c r="B111" s="34" t="inlineStr">
        <is>
          <t>EJE-19 (a los lados de la cuneta)</t>
        </is>
      </c>
      <c r="C111" s="35" t="n">
        <v>1</v>
      </c>
      <c r="D111" s="35" t="n">
        <v>14.09</v>
      </c>
      <c r="E111" s="35">
        <f>PARAMETROS!$B$12-PARAMETROS!$B$5</f>
        <v/>
      </c>
      <c r="F111" s="35" t="n">
        <v>0.335</v>
      </c>
      <c r="G111" s="35" t="n"/>
      <c r="H111" s="25" t="n"/>
      <c r="I111" s="25" t="n"/>
      <c r="J111" s="35">
        <f>C111*D111*E111*(F111+PARAMETROS!$B$8+PARAMETROS!$B$10)</f>
        <v/>
      </c>
      <c r="K111" s="25" t="n"/>
      <c r="L111" s="25" t="n"/>
    </row>
    <row r="112">
      <c r="A112" s="29" t="inlineStr">
        <is>
          <t>01.02.04</t>
        </is>
      </c>
      <c r="B112" s="30" t="inlineStr">
        <is>
          <t>ELIMINACIÓN DE MATERIAL EXCEDENTE D&lt;1Km</t>
        </is>
      </c>
      <c r="C112" s="31" t="n"/>
      <c r="D112" s="31" t="n"/>
      <c r="E112" s="31" t="n"/>
      <c r="F112" s="31" t="n"/>
      <c r="G112" s="31" t="n"/>
      <c r="H112" s="31" t="n"/>
      <c r="I112" s="31" t="n"/>
      <c r="J112" s="31" t="n"/>
      <c r="K112" s="32">
        <f>SUM(J113:J113)</f>
        <v/>
      </c>
      <c r="L112" s="33" t="inlineStr">
        <is>
          <t>m³</t>
        </is>
      </c>
    </row>
    <row r="113">
      <c r="A113" s="25" t="n"/>
      <c r="B113" s="34" t="inlineStr">
        <is>
          <t>(Excavacion - relleno) x esponjamiento</t>
        </is>
      </c>
      <c r="C113" s="35" t="n"/>
      <c r="D113" s="35" t="n"/>
      <c r="E113" s="35" t="n"/>
      <c r="F113" s="35" t="n"/>
      <c r="G113" s="35">
        <f>PARAMETROS!$B$14</f>
        <v/>
      </c>
      <c r="H113" s="25" t="n"/>
      <c r="I113" s="25" t="n"/>
      <c r="J113" s="35">
        <f>(K52-K92)*G113</f>
        <v/>
      </c>
      <c r="K113" s="25" t="n"/>
      <c r="L113" s="25" t="n"/>
    </row>
    <row r="114">
      <c r="A114" s="29" t="inlineStr">
        <is>
          <t>01.02.05</t>
        </is>
      </c>
      <c r="B114" s="30" t="inlineStr">
        <is>
          <t>PERFILADO MANUAL DE TERRENO EN DESCARGAS</t>
        </is>
      </c>
      <c r="C114" s="31" t="n"/>
      <c r="D114" s="31" t="n"/>
      <c r="E114" s="31" t="n"/>
      <c r="F114" s="31" t="n"/>
      <c r="G114" s="31" t="n"/>
      <c r="H114" s="31" t="n"/>
      <c r="I114" s="31" t="n"/>
      <c r="J114" s="31" t="n"/>
      <c r="K114" s="32">
        <f>SUM(J115:J118)</f>
        <v/>
      </c>
      <c r="L114" s="33" t="inlineStr">
        <is>
          <t>m²</t>
        </is>
      </c>
    </row>
    <row r="115">
      <c r="A115" s="25" t="n"/>
      <c r="B115" s="34" t="inlineStr">
        <is>
          <t>Descarga D1 (C.F. 183.759)</t>
        </is>
      </c>
      <c r="C115" s="35" t="n">
        <v>1</v>
      </c>
      <c r="D115" s="35" t="n">
        <v>0.5</v>
      </c>
      <c r="E115" s="35">
        <f>PARAMETROS!$B$5</f>
        <v/>
      </c>
      <c r="F115" s="35" t="n"/>
      <c r="G115" s="35" t="n"/>
      <c r="H115" s="25" t="n"/>
      <c r="I115" s="25" t="n"/>
      <c r="J115" s="35">
        <f>C115*D115*E115</f>
        <v/>
      </c>
      <c r="K115" s="25" t="n"/>
      <c r="L115" s="25" t="n"/>
    </row>
    <row r="116">
      <c r="A116" s="25" t="n"/>
      <c r="B116" s="34" t="inlineStr">
        <is>
          <t>Descarga D2 (C.F. 183.758)</t>
        </is>
      </c>
      <c r="C116" s="35" t="n">
        <v>1</v>
      </c>
      <c r="D116" s="35" t="n">
        <v>0.25</v>
      </c>
      <c r="E116" s="35">
        <f>PARAMETROS!$B$5</f>
        <v/>
      </c>
      <c r="F116" s="35" t="n"/>
      <c r="G116" s="35" t="n"/>
      <c r="H116" s="25" t="n"/>
      <c r="I116" s="25" t="n"/>
      <c r="J116" s="35">
        <f>C116*D116*E116</f>
        <v/>
      </c>
      <c r="K116" s="25" t="n"/>
      <c r="L116" s="25" t="n"/>
    </row>
    <row r="117">
      <c r="A117" s="25" t="n"/>
      <c r="B117" s="34" t="inlineStr">
        <is>
          <t>Descarga D3 (C.F. 183.736)</t>
        </is>
      </c>
      <c r="C117" s="35" t="n">
        <v>1</v>
      </c>
      <c r="D117" s="35" t="n">
        <v>0.5</v>
      </c>
      <c r="E117" s="35">
        <f>PARAMETROS!$B$5</f>
        <v/>
      </c>
      <c r="F117" s="35" t="n"/>
      <c r="G117" s="35" t="n"/>
      <c r="H117" s="25" t="n"/>
      <c r="I117" s="25" t="n"/>
      <c r="J117" s="35">
        <f>C117*D117*E117</f>
        <v/>
      </c>
      <c r="K117" s="25" t="n"/>
      <c r="L117" s="25" t="n"/>
    </row>
    <row r="118">
      <c r="A118" s="25" t="n"/>
      <c r="B118" s="34" t="inlineStr">
        <is>
          <t>Descarga D4 (C.F. 184.145)</t>
        </is>
      </c>
      <c r="C118" s="35" t="n">
        <v>1</v>
      </c>
      <c r="D118" s="35" t="n">
        <v>0.5</v>
      </c>
      <c r="E118" s="35">
        <f>PARAMETROS!$B$5</f>
        <v/>
      </c>
      <c r="F118" s="35" t="n"/>
      <c r="G118" s="35" t="n"/>
      <c r="H118" s="25" t="n"/>
      <c r="I118" s="25" t="n"/>
      <c r="J118" s="35">
        <f>C118*D118*E118</f>
        <v/>
      </c>
      <c r="K118" s="25" t="n"/>
      <c r="L118" s="25" t="n"/>
    </row>
    <row r="119">
      <c r="A119" s="28" t="inlineStr">
        <is>
          <t>01.03</t>
        </is>
      </c>
      <c r="B119" s="28" t="inlineStr">
        <is>
          <t>OBRAS DE CONCRETO SIMPLE</t>
        </is>
      </c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</row>
    <row r="120">
      <c r="A120" s="29" t="inlineStr">
        <is>
          <t>01.03.01</t>
        </is>
      </c>
      <c r="B120" s="30" t="inlineStr">
        <is>
          <t>CONCRETO f'c=100 kg/cm2 PARA SOLADO E=4''</t>
        </is>
      </c>
      <c r="C120" s="31" t="n"/>
      <c r="D120" s="31" t="n"/>
      <c r="E120" s="31" t="n"/>
      <c r="F120" s="31" t="n"/>
      <c r="G120" s="31" t="n"/>
      <c r="H120" s="31" t="n"/>
      <c r="I120" s="31" t="n"/>
      <c r="J120" s="31" t="n"/>
      <c r="K120" s="32">
        <f>SUM(J121:J139)</f>
        <v/>
      </c>
      <c r="L120" s="33" t="inlineStr">
        <is>
          <t>m²</t>
        </is>
      </c>
    </row>
    <row r="121">
      <c r="A121" s="25" t="n"/>
      <c r="B121" s="34" t="inlineStr">
        <is>
          <t>EJE-01</t>
        </is>
      </c>
      <c r="C121" s="35" t="n">
        <v>1</v>
      </c>
      <c r="D121" s="35" t="n">
        <v>34.34</v>
      </c>
      <c r="E121" s="35">
        <f>PARAMETROS!$B$5</f>
        <v/>
      </c>
      <c r="F121" s="35" t="n"/>
      <c r="G121" s="35" t="n"/>
      <c r="H121" s="25" t="n"/>
      <c r="I121" s="25" t="n"/>
      <c r="J121" s="35">
        <f>C121*D121*E121</f>
        <v/>
      </c>
      <c r="K121" s="25" t="n"/>
      <c r="L121" s="25" t="n"/>
    </row>
    <row r="122">
      <c r="A122" s="25" t="n"/>
      <c r="B122" s="34" t="inlineStr">
        <is>
          <t>EJE-02</t>
        </is>
      </c>
      <c r="C122" s="35" t="n">
        <v>1</v>
      </c>
      <c r="D122" s="35" t="n">
        <v>76.04000000000001</v>
      </c>
      <c r="E122" s="35">
        <f>PARAMETROS!$B$5</f>
        <v/>
      </c>
      <c r="F122" s="35" t="n"/>
      <c r="G122" s="35" t="n"/>
      <c r="H122" s="25" t="n"/>
      <c r="I122" s="25" t="n"/>
      <c r="J122" s="35">
        <f>C122*D122*E122</f>
        <v/>
      </c>
      <c r="K122" s="25" t="n"/>
      <c r="L122" s="25" t="n"/>
    </row>
    <row r="123">
      <c r="A123" s="25" t="n"/>
      <c r="B123" s="34" t="inlineStr">
        <is>
          <t>EJE-03</t>
        </is>
      </c>
      <c r="C123" s="35" t="n">
        <v>1</v>
      </c>
      <c r="D123" s="35" t="n">
        <v>32.31</v>
      </c>
      <c r="E123" s="35">
        <f>PARAMETROS!$B$5</f>
        <v/>
      </c>
      <c r="F123" s="35" t="n"/>
      <c r="G123" s="35" t="n"/>
      <c r="H123" s="25" t="n"/>
      <c r="I123" s="25" t="n"/>
      <c r="J123" s="35">
        <f>C123*D123*E123</f>
        <v/>
      </c>
      <c r="K123" s="25" t="n"/>
      <c r="L123" s="25" t="n"/>
    </row>
    <row r="124">
      <c r="A124" s="25" t="n"/>
      <c r="B124" s="34" t="inlineStr">
        <is>
          <t>EJE-04</t>
        </is>
      </c>
      <c r="C124" s="35" t="n">
        <v>1</v>
      </c>
      <c r="D124" s="35" t="n">
        <v>94.34</v>
      </c>
      <c r="E124" s="35">
        <f>PARAMETROS!$B$5</f>
        <v/>
      </c>
      <c r="F124" s="35" t="n"/>
      <c r="G124" s="35" t="n"/>
      <c r="H124" s="25" t="n"/>
      <c r="I124" s="25" t="n"/>
      <c r="J124" s="35">
        <f>C124*D124*E124</f>
        <v/>
      </c>
      <c r="K124" s="25" t="n"/>
      <c r="L124" s="25" t="n"/>
    </row>
    <row r="125">
      <c r="A125" s="25" t="n"/>
      <c r="B125" s="34" t="inlineStr">
        <is>
          <t>EJE-05</t>
        </is>
      </c>
      <c r="C125" s="35" t="n">
        <v>1</v>
      </c>
      <c r="D125" s="35" t="n">
        <v>90.56</v>
      </c>
      <c r="E125" s="35">
        <f>PARAMETROS!$B$5</f>
        <v/>
      </c>
      <c r="F125" s="35" t="n"/>
      <c r="G125" s="35" t="n"/>
      <c r="H125" s="25" t="n"/>
      <c r="I125" s="25" t="n"/>
      <c r="J125" s="35">
        <f>C125*D125*E125</f>
        <v/>
      </c>
      <c r="K125" s="25" t="n"/>
      <c r="L125" s="25" t="n"/>
    </row>
    <row r="126">
      <c r="A126" s="25" t="n"/>
      <c r="B126" s="34" t="inlineStr">
        <is>
          <t>EJE-06</t>
        </is>
      </c>
      <c r="C126" s="35" t="n">
        <v>1</v>
      </c>
      <c r="D126" s="35" t="n">
        <v>12.3</v>
      </c>
      <c r="E126" s="35">
        <f>PARAMETROS!$B$5</f>
        <v/>
      </c>
      <c r="F126" s="35" t="n"/>
      <c r="G126" s="35" t="n"/>
      <c r="H126" s="25" t="n"/>
      <c r="I126" s="25" t="n"/>
      <c r="J126" s="35">
        <f>C126*D126*E126</f>
        <v/>
      </c>
      <c r="K126" s="25" t="n"/>
      <c r="L126" s="25" t="n"/>
    </row>
    <row r="127">
      <c r="A127" s="25" t="n"/>
      <c r="B127" s="34" t="inlineStr">
        <is>
          <t>EJE-07</t>
        </is>
      </c>
      <c r="C127" s="35" t="n">
        <v>1</v>
      </c>
      <c r="D127" s="35" t="n">
        <v>94.69</v>
      </c>
      <c r="E127" s="35">
        <f>PARAMETROS!$B$5</f>
        <v/>
      </c>
      <c r="F127" s="35" t="n"/>
      <c r="G127" s="35" t="n"/>
      <c r="H127" s="25" t="n"/>
      <c r="I127" s="25" t="n"/>
      <c r="J127" s="35">
        <f>C127*D127*E127</f>
        <v/>
      </c>
      <c r="K127" s="25" t="n"/>
      <c r="L127" s="25" t="n"/>
    </row>
    <row r="128">
      <c r="A128" s="25" t="n"/>
      <c r="B128" s="34" t="inlineStr">
        <is>
          <t>EJE-08</t>
        </is>
      </c>
      <c r="C128" s="35" t="n">
        <v>1</v>
      </c>
      <c r="D128" s="35" t="n">
        <v>39.68</v>
      </c>
      <c r="E128" s="35">
        <f>PARAMETROS!$B$5</f>
        <v/>
      </c>
      <c r="F128" s="35" t="n"/>
      <c r="G128" s="35" t="n"/>
      <c r="H128" s="25" t="n"/>
      <c r="I128" s="25" t="n"/>
      <c r="J128" s="35">
        <f>C128*D128*E128</f>
        <v/>
      </c>
      <c r="K128" s="25" t="n"/>
      <c r="L128" s="25" t="n"/>
    </row>
    <row r="129">
      <c r="A129" s="25" t="n"/>
      <c r="B129" s="34" t="inlineStr">
        <is>
          <t>EJE-09</t>
        </is>
      </c>
      <c r="C129" s="35" t="n">
        <v>1</v>
      </c>
      <c r="D129" s="35" t="n">
        <v>35.8</v>
      </c>
      <c r="E129" s="35">
        <f>PARAMETROS!$B$5</f>
        <v/>
      </c>
      <c r="F129" s="35" t="n"/>
      <c r="G129" s="35" t="n"/>
      <c r="H129" s="25" t="n"/>
      <c r="I129" s="25" t="n"/>
      <c r="J129" s="35">
        <f>C129*D129*E129</f>
        <v/>
      </c>
      <c r="K129" s="25" t="n"/>
      <c r="L129" s="25" t="n"/>
    </row>
    <row r="130">
      <c r="A130" s="25" t="n"/>
      <c r="B130" s="34" t="inlineStr">
        <is>
          <t>EJE-10</t>
        </is>
      </c>
      <c r="C130" s="35" t="n">
        <v>1</v>
      </c>
      <c r="D130" s="35" t="n">
        <v>36.9</v>
      </c>
      <c r="E130" s="35">
        <f>PARAMETROS!$B$5</f>
        <v/>
      </c>
      <c r="F130" s="35" t="n"/>
      <c r="G130" s="35" t="n"/>
      <c r="H130" s="25" t="n"/>
      <c r="I130" s="25" t="n"/>
      <c r="J130" s="35">
        <f>C130*D130*E130</f>
        <v/>
      </c>
      <c r="K130" s="25" t="n"/>
      <c r="L130" s="25" t="n"/>
    </row>
    <row r="131">
      <c r="A131" s="25" t="n"/>
      <c r="B131" s="34" t="inlineStr">
        <is>
          <t>EJE-11</t>
        </is>
      </c>
      <c r="C131" s="35" t="n">
        <v>1</v>
      </c>
      <c r="D131" s="35" t="n">
        <v>30.36</v>
      </c>
      <c r="E131" s="35">
        <f>PARAMETROS!$B$5</f>
        <v/>
      </c>
      <c r="F131" s="35" t="n"/>
      <c r="G131" s="35" t="n"/>
      <c r="H131" s="25" t="n"/>
      <c r="I131" s="25" t="n"/>
      <c r="J131" s="35">
        <f>C131*D131*E131</f>
        <v/>
      </c>
      <c r="K131" s="25" t="n"/>
      <c r="L131" s="25" t="n"/>
    </row>
    <row r="132">
      <c r="A132" s="25" t="n"/>
      <c r="B132" s="34" t="inlineStr">
        <is>
          <t>EJE-12</t>
        </is>
      </c>
      <c r="C132" s="35" t="n">
        <v>1</v>
      </c>
      <c r="D132" s="35" t="n">
        <v>118.38</v>
      </c>
      <c r="E132" s="35">
        <f>PARAMETROS!$B$5</f>
        <v/>
      </c>
      <c r="F132" s="35" t="n"/>
      <c r="G132" s="35" t="n"/>
      <c r="H132" s="25" t="n"/>
      <c r="I132" s="25" t="n"/>
      <c r="J132" s="35">
        <f>C132*D132*E132</f>
        <v/>
      </c>
      <c r="K132" s="25" t="n"/>
      <c r="L132" s="25" t="n"/>
    </row>
    <row r="133">
      <c r="A133" s="25" t="n"/>
      <c r="B133" s="34" t="inlineStr">
        <is>
          <t>EJE-13</t>
        </is>
      </c>
      <c r="C133" s="35" t="n">
        <v>1</v>
      </c>
      <c r="D133" s="35" t="n">
        <v>24.38</v>
      </c>
      <c r="E133" s="35">
        <f>PARAMETROS!$B$5</f>
        <v/>
      </c>
      <c r="F133" s="35" t="n"/>
      <c r="G133" s="35" t="n"/>
      <c r="H133" s="25" t="n"/>
      <c r="I133" s="25" t="n"/>
      <c r="J133" s="35">
        <f>C133*D133*E133</f>
        <v/>
      </c>
      <c r="K133" s="25" t="n"/>
      <c r="L133" s="25" t="n"/>
    </row>
    <row r="134">
      <c r="A134" s="25" t="n"/>
      <c r="B134" s="34" t="inlineStr">
        <is>
          <t>EJE-14</t>
        </is>
      </c>
      <c r="C134" s="35" t="n">
        <v>1</v>
      </c>
      <c r="D134" s="35" t="n">
        <v>64.93000000000001</v>
      </c>
      <c r="E134" s="35">
        <f>PARAMETROS!$B$5</f>
        <v/>
      </c>
      <c r="F134" s="35" t="n"/>
      <c r="G134" s="35" t="n"/>
      <c r="H134" s="25" t="n"/>
      <c r="I134" s="25" t="n"/>
      <c r="J134" s="35">
        <f>C134*D134*E134</f>
        <v/>
      </c>
      <c r="K134" s="25" t="n"/>
      <c r="L134" s="25" t="n"/>
    </row>
    <row r="135">
      <c r="A135" s="25" t="n"/>
      <c r="B135" s="34" t="inlineStr">
        <is>
          <t>EJE-15</t>
        </is>
      </c>
      <c r="C135" s="35" t="n">
        <v>1</v>
      </c>
      <c r="D135" s="35" t="n">
        <v>41.47</v>
      </c>
      <c r="E135" s="35">
        <f>PARAMETROS!$B$5</f>
        <v/>
      </c>
      <c r="F135" s="35" t="n"/>
      <c r="G135" s="35" t="n"/>
      <c r="H135" s="25" t="n"/>
      <c r="I135" s="25" t="n"/>
      <c r="J135" s="35">
        <f>C135*D135*E135</f>
        <v/>
      </c>
      <c r="K135" s="25" t="n"/>
      <c r="L135" s="25" t="n"/>
    </row>
    <row r="136">
      <c r="A136" s="25" t="n"/>
      <c r="B136" s="34" t="inlineStr">
        <is>
          <t>EJE-16</t>
        </is>
      </c>
      <c r="C136" s="35" t="n">
        <v>1</v>
      </c>
      <c r="D136" s="35" t="n">
        <v>49.55</v>
      </c>
      <c r="E136" s="35">
        <f>PARAMETROS!$B$5</f>
        <v/>
      </c>
      <c r="F136" s="35" t="n"/>
      <c r="G136" s="35" t="n"/>
      <c r="H136" s="25" t="n"/>
      <c r="I136" s="25" t="n"/>
      <c r="J136" s="35">
        <f>C136*D136*E136</f>
        <v/>
      </c>
      <c r="K136" s="25" t="n"/>
      <c r="L136" s="25" t="n"/>
    </row>
    <row r="137">
      <c r="A137" s="25" t="n"/>
      <c r="B137" s="34" t="inlineStr">
        <is>
          <t>EJE-17</t>
        </is>
      </c>
      <c r="C137" s="35" t="n">
        <v>1</v>
      </c>
      <c r="D137" s="35" t="n">
        <v>39.98</v>
      </c>
      <c r="E137" s="35">
        <f>PARAMETROS!$B$5</f>
        <v/>
      </c>
      <c r="F137" s="35" t="n"/>
      <c r="G137" s="35" t="n"/>
      <c r="H137" s="25" t="n"/>
      <c r="I137" s="25" t="n"/>
      <c r="J137" s="35">
        <f>C137*D137*E137</f>
        <v/>
      </c>
      <c r="K137" s="25" t="n"/>
      <c r="L137" s="25" t="n"/>
    </row>
    <row r="138">
      <c r="A138" s="25" t="n"/>
      <c r="B138" s="34" t="inlineStr">
        <is>
          <t>EJE-18</t>
        </is>
      </c>
      <c r="C138" s="35" t="n">
        <v>1</v>
      </c>
      <c r="D138" s="35" t="n">
        <v>38.68</v>
      </c>
      <c r="E138" s="35">
        <f>PARAMETROS!$B$5</f>
        <v/>
      </c>
      <c r="F138" s="35" t="n"/>
      <c r="G138" s="35" t="n"/>
      <c r="H138" s="25" t="n"/>
      <c r="I138" s="25" t="n"/>
      <c r="J138" s="35">
        <f>C138*D138*E138</f>
        <v/>
      </c>
      <c r="K138" s="25" t="n"/>
      <c r="L138" s="25" t="n"/>
    </row>
    <row r="139">
      <c r="A139" s="25" t="n"/>
      <c r="B139" s="34" t="inlineStr">
        <is>
          <t>EJE-19</t>
        </is>
      </c>
      <c r="C139" s="35" t="n">
        <v>1</v>
      </c>
      <c r="D139" s="35" t="n">
        <v>14.09</v>
      </c>
      <c r="E139" s="35">
        <f>PARAMETROS!$B$5</f>
        <v/>
      </c>
      <c r="F139" s="35" t="n"/>
      <c r="G139" s="35" t="n"/>
      <c r="H139" s="25" t="n"/>
      <c r="I139" s="25" t="n"/>
      <c r="J139" s="35">
        <f>C139*D139*E139</f>
        <v/>
      </c>
      <c r="K139" s="25" t="n"/>
      <c r="L139" s="25" t="n"/>
    </row>
    <row r="140">
      <c r="A140" s="28" t="inlineStr">
        <is>
          <t>01.04</t>
        </is>
      </c>
      <c r="B140" s="28" t="inlineStr">
        <is>
          <t>OBRAS DE CONCRETO ARMADO</t>
        </is>
      </c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</row>
    <row r="141">
      <c r="A141" s="28" t="inlineStr">
        <is>
          <t>01.04.01</t>
        </is>
      </c>
      <c r="B141" s="28" t="inlineStr">
        <is>
          <t>CUNETAS</t>
        </is>
      </c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</row>
    <row r="142">
      <c r="A142" s="29" t="inlineStr">
        <is>
          <t>01.04.01.01</t>
        </is>
      </c>
      <c r="B142" s="30" t="inlineStr">
        <is>
          <t>CONCRETO f'c=175 kg/cm2 PARA CUNETAS</t>
        </is>
      </c>
      <c r="C142" s="31" t="n"/>
      <c r="D142" s="31" t="n"/>
      <c r="E142" s="31" t="n"/>
      <c r="F142" s="31" t="n"/>
      <c r="G142" s="31" t="n"/>
      <c r="H142" s="31" t="n"/>
      <c r="I142" s="31" t="n"/>
      <c r="J142" s="31" t="n"/>
      <c r="K142" s="32">
        <f>SUM(J143:J161)</f>
        <v/>
      </c>
      <c r="L142" s="33" t="inlineStr">
        <is>
          <t>m³</t>
        </is>
      </c>
    </row>
    <row r="143">
      <c r="A143" s="25" t="n"/>
      <c r="B143" s="34" t="inlineStr">
        <is>
          <t>EJE-01 (hoja CONCRETO EN CUNETAS)</t>
        </is>
      </c>
      <c r="C143" s="35" t="n"/>
      <c r="D143" s="35" t="n"/>
      <c r="E143" s="35" t="n"/>
      <c r="F143" s="35" t="n"/>
      <c r="G143" s="35" t="n"/>
      <c r="H143" s="25" t="n"/>
      <c r="I143" s="25" t="n"/>
      <c r="J143" s="35">
        <f>+'CONCRETO EN CUNETAS'!G10</f>
        <v/>
      </c>
      <c r="K143" s="25" t="n"/>
      <c r="L143" s="25" t="n"/>
    </row>
    <row r="144">
      <c r="A144" s="25" t="n"/>
      <c r="B144" s="34" t="inlineStr">
        <is>
          <t>EJE-02 (hoja CONCRETO EN CUNETAS)</t>
        </is>
      </c>
      <c r="C144" s="35" t="n"/>
      <c r="D144" s="35" t="n"/>
      <c r="E144" s="35" t="n"/>
      <c r="F144" s="35" t="n"/>
      <c r="G144" s="35" t="n"/>
      <c r="H144" s="25" t="n"/>
      <c r="I144" s="25" t="n"/>
      <c r="J144" s="35">
        <f>+'CONCRETO EN CUNETAS'!O10</f>
        <v/>
      </c>
      <c r="K144" s="25" t="n"/>
      <c r="L144" s="25" t="n"/>
    </row>
    <row r="145">
      <c r="A145" s="25" t="n"/>
      <c r="B145" s="34" t="inlineStr">
        <is>
          <t>EJE-03 (hoja CONCRETO EN CUNETAS)</t>
        </is>
      </c>
      <c r="C145" s="35" t="n"/>
      <c r="D145" s="35" t="n"/>
      <c r="E145" s="35" t="n"/>
      <c r="F145" s="35" t="n"/>
      <c r="G145" s="35" t="n"/>
      <c r="H145" s="25" t="n"/>
      <c r="I145" s="25" t="n"/>
      <c r="J145" s="35">
        <f>+'CONCRETO EN CUNETAS'!G26</f>
        <v/>
      </c>
      <c r="K145" s="25" t="n"/>
      <c r="L145" s="25" t="n"/>
    </row>
    <row r="146">
      <c r="A146" s="25" t="n"/>
      <c r="B146" s="34" t="inlineStr">
        <is>
          <t>EJE-04 (hoja CONCRETO EN CUNETAS)</t>
        </is>
      </c>
      <c r="C146" s="35" t="n"/>
      <c r="D146" s="35" t="n"/>
      <c r="E146" s="35" t="n"/>
      <c r="F146" s="35" t="n"/>
      <c r="G146" s="35" t="n"/>
      <c r="H146" s="25" t="n"/>
      <c r="I146" s="25" t="n"/>
      <c r="J146" s="35">
        <f>+'CONCRETO EN CUNETAS'!O26</f>
        <v/>
      </c>
      <c r="K146" s="25" t="n"/>
      <c r="L146" s="25" t="n"/>
    </row>
    <row r="147">
      <c r="A147" s="25" t="n"/>
      <c r="B147" s="34" t="inlineStr">
        <is>
          <t>EJE-05 (hoja CONCRETO EN CUNETAS)</t>
        </is>
      </c>
      <c r="C147" s="35" t="n"/>
      <c r="D147" s="35" t="n"/>
      <c r="E147" s="35" t="n"/>
      <c r="F147" s="35" t="n"/>
      <c r="G147" s="35" t="n"/>
      <c r="H147" s="25" t="n"/>
      <c r="I147" s="25" t="n"/>
      <c r="J147" s="35">
        <f>+'CONCRETO EN CUNETAS'!G42</f>
        <v/>
      </c>
      <c r="K147" s="25" t="n"/>
      <c r="L147" s="25" t="n"/>
    </row>
    <row r="148">
      <c r="A148" s="25" t="n"/>
      <c r="B148" s="34" t="inlineStr">
        <is>
          <t>EJE-06 (hoja CONCRETO EN CUNETAS)</t>
        </is>
      </c>
      <c r="C148" s="35" t="n"/>
      <c r="D148" s="35" t="n"/>
      <c r="E148" s="35" t="n"/>
      <c r="F148" s="35" t="n"/>
      <c r="G148" s="35" t="n"/>
      <c r="H148" s="25" t="n"/>
      <c r="I148" s="25" t="n"/>
      <c r="J148" s="35">
        <f>+'CONCRETO EN CUNETAS'!O42</f>
        <v/>
      </c>
      <c r="K148" s="25" t="n"/>
      <c r="L148" s="25" t="n"/>
    </row>
    <row r="149">
      <c r="A149" s="25" t="n"/>
      <c r="B149" s="34" t="inlineStr">
        <is>
          <t>EJE-07 (hoja CONCRETO EN CUNETAS)</t>
        </is>
      </c>
      <c r="C149" s="35" t="n"/>
      <c r="D149" s="35" t="n"/>
      <c r="E149" s="35" t="n"/>
      <c r="F149" s="35" t="n"/>
      <c r="G149" s="35" t="n"/>
      <c r="H149" s="25" t="n"/>
      <c r="I149" s="25" t="n"/>
      <c r="J149" s="35">
        <f>+'CONCRETO EN CUNETAS'!G58</f>
        <v/>
      </c>
      <c r="K149" s="25" t="n"/>
      <c r="L149" s="25" t="n"/>
    </row>
    <row r="150">
      <c r="A150" s="25" t="n"/>
      <c r="B150" s="34" t="inlineStr">
        <is>
          <t>EJE-08 (hoja CONCRETO EN CUNETAS)</t>
        </is>
      </c>
      <c r="C150" s="35" t="n"/>
      <c r="D150" s="35" t="n"/>
      <c r="E150" s="35" t="n"/>
      <c r="F150" s="35" t="n"/>
      <c r="G150" s="35" t="n"/>
      <c r="H150" s="25" t="n"/>
      <c r="I150" s="25" t="n"/>
      <c r="J150" s="35">
        <f>+'CONCRETO EN CUNETAS'!O58</f>
        <v/>
      </c>
      <c r="K150" s="25" t="n"/>
      <c r="L150" s="25" t="n"/>
    </row>
    <row r="151">
      <c r="A151" s="25" t="n"/>
      <c r="B151" s="34" t="inlineStr">
        <is>
          <t>EJE-09 (hoja CONCRETO EN CUNETAS)</t>
        </is>
      </c>
      <c r="C151" s="35" t="n"/>
      <c r="D151" s="35" t="n"/>
      <c r="E151" s="35" t="n"/>
      <c r="F151" s="35" t="n"/>
      <c r="G151" s="35" t="n"/>
      <c r="H151" s="25" t="n"/>
      <c r="I151" s="25" t="n"/>
      <c r="J151" s="35">
        <f>+'CONCRETO EN CUNETAS'!G74</f>
        <v/>
      </c>
      <c r="K151" s="25" t="n"/>
      <c r="L151" s="25" t="n"/>
    </row>
    <row r="152">
      <c r="A152" s="25" t="n"/>
      <c r="B152" s="34" t="inlineStr">
        <is>
          <t>EJE-10 (hoja CONCRETO EN CUNETAS)</t>
        </is>
      </c>
      <c r="C152" s="35" t="n"/>
      <c r="D152" s="35" t="n"/>
      <c r="E152" s="35" t="n"/>
      <c r="F152" s="35" t="n"/>
      <c r="G152" s="35" t="n"/>
      <c r="H152" s="25" t="n"/>
      <c r="I152" s="25" t="n"/>
      <c r="J152" s="35">
        <f>+'CONCRETO EN CUNETAS'!O74</f>
        <v/>
      </c>
      <c r="K152" s="25" t="n"/>
      <c r="L152" s="25" t="n"/>
    </row>
    <row r="153">
      <c r="A153" s="25" t="n"/>
      <c r="B153" s="34" t="inlineStr">
        <is>
          <t>EJE-11 (hoja CONCRETO EN CUNETAS)</t>
        </is>
      </c>
      <c r="C153" s="35" t="n"/>
      <c r="D153" s="35" t="n"/>
      <c r="E153" s="35" t="n"/>
      <c r="F153" s="35" t="n"/>
      <c r="G153" s="35" t="n"/>
      <c r="H153" s="25" t="n"/>
      <c r="I153" s="25" t="n"/>
      <c r="J153" s="35">
        <f>+'CONCRETO EN CUNETAS'!G90</f>
        <v/>
      </c>
      <c r="K153" s="25" t="n"/>
      <c r="L153" s="25" t="n"/>
    </row>
    <row r="154">
      <c r="A154" s="25" t="n"/>
      <c r="B154" s="34" t="inlineStr">
        <is>
          <t>EJE-12 (hoja CONCRETO EN CUNETAS)</t>
        </is>
      </c>
      <c r="C154" s="35" t="n"/>
      <c r="D154" s="35" t="n"/>
      <c r="E154" s="35" t="n"/>
      <c r="F154" s="35" t="n"/>
      <c r="G154" s="35" t="n"/>
      <c r="H154" s="25" t="n"/>
      <c r="I154" s="25" t="n"/>
      <c r="J154" s="35">
        <f>+'CONCRETO EN CUNETAS'!O90</f>
        <v/>
      </c>
      <c r="K154" s="25" t="n"/>
      <c r="L154" s="25" t="n"/>
    </row>
    <row r="155">
      <c r="A155" s="25" t="n"/>
      <c r="B155" s="34" t="inlineStr">
        <is>
          <t>EJE-13 (hoja CONCRETO EN CUNETAS)</t>
        </is>
      </c>
      <c r="C155" s="35" t="n"/>
      <c r="D155" s="35" t="n"/>
      <c r="E155" s="35" t="n"/>
      <c r="F155" s="35" t="n"/>
      <c r="G155" s="35" t="n"/>
      <c r="H155" s="25" t="n"/>
      <c r="I155" s="25" t="n"/>
      <c r="J155" s="35">
        <f>+'CONCRETO EN CUNETAS'!G106</f>
        <v/>
      </c>
      <c r="K155" s="25" t="n"/>
      <c r="L155" s="25" t="n"/>
    </row>
    <row r="156">
      <c r="A156" s="25" t="n"/>
      <c r="B156" s="34" t="inlineStr">
        <is>
          <t>EJE-14 (hoja CONCRETO EN CUNETAS)</t>
        </is>
      </c>
      <c r="C156" s="35" t="n"/>
      <c r="D156" s="35" t="n"/>
      <c r="E156" s="35" t="n"/>
      <c r="F156" s="35" t="n"/>
      <c r="G156" s="35" t="n"/>
      <c r="H156" s="25" t="n"/>
      <c r="I156" s="25" t="n"/>
      <c r="J156" s="35">
        <f>+'CONCRETO EN CUNETAS'!O106</f>
        <v/>
      </c>
      <c r="K156" s="25" t="n"/>
      <c r="L156" s="25" t="n"/>
    </row>
    <row r="157">
      <c r="A157" s="25" t="n"/>
      <c r="B157" s="34" t="inlineStr">
        <is>
          <t>EJE-15 (hoja CONCRETO EN CUNETAS)</t>
        </is>
      </c>
      <c r="C157" s="35" t="n"/>
      <c r="D157" s="35" t="n"/>
      <c r="E157" s="35" t="n"/>
      <c r="F157" s="35" t="n"/>
      <c r="G157" s="35" t="n"/>
      <c r="H157" s="25" t="n"/>
      <c r="I157" s="25" t="n"/>
      <c r="J157" s="35">
        <f>+'CONCRETO EN CUNETAS'!G122</f>
        <v/>
      </c>
      <c r="K157" s="25" t="n"/>
      <c r="L157" s="25" t="n"/>
    </row>
    <row r="158">
      <c r="A158" s="25" t="n"/>
      <c r="B158" s="34" t="inlineStr">
        <is>
          <t>EJE-16 (hoja CONCRETO EN CUNETAS)</t>
        </is>
      </c>
      <c r="C158" s="35" t="n"/>
      <c r="D158" s="35" t="n"/>
      <c r="E158" s="35" t="n"/>
      <c r="F158" s="35" t="n"/>
      <c r="G158" s="35" t="n"/>
      <c r="H158" s="25" t="n"/>
      <c r="I158" s="25" t="n"/>
      <c r="J158" s="35">
        <f>+'CONCRETO EN CUNETAS'!O122</f>
        <v/>
      </c>
      <c r="K158" s="25" t="n"/>
      <c r="L158" s="25" t="n"/>
    </row>
    <row r="159">
      <c r="A159" s="25" t="n"/>
      <c r="B159" s="34" t="inlineStr">
        <is>
          <t>EJE-17 (hoja CONCRETO EN CUNETAS)</t>
        </is>
      </c>
      <c r="C159" s="35" t="n"/>
      <c r="D159" s="35" t="n"/>
      <c r="E159" s="35" t="n"/>
      <c r="F159" s="35" t="n"/>
      <c r="G159" s="35" t="n"/>
      <c r="H159" s="25" t="n"/>
      <c r="I159" s="25" t="n"/>
      <c r="J159" s="35">
        <f>+'CONCRETO EN CUNETAS'!G138</f>
        <v/>
      </c>
      <c r="K159" s="25" t="n"/>
      <c r="L159" s="25" t="n"/>
    </row>
    <row r="160">
      <c r="A160" s="25" t="n"/>
      <c r="B160" s="34" t="inlineStr">
        <is>
          <t>EJE-18 (hoja CONCRETO EN CUNETAS)</t>
        </is>
      </c>
      <c r="C160" s="35" t="n"/>
      <c r="D160" s="35" t="n"/>
      <c r="E160" s="35" t="n"/>
      <c r="F160" s="35" t="n"/>
      <c r="G160" s="35" t="n"/>
      <c r="H160" s="25" t="n"/>
      <c r="I160" s="25" t="n"/>
      <c r="J160" s="35">
        <f>+'CONCRETO EN CUNETAS'!O138</f>
        <v/>
      </c>
      <c r="K160" s="25" t="n"/>
      <c r="L160" s="25" t="n"/>
    </row>
    <row r="161">
      <c r="A161" s="25" t="n"/>
      <c r="B161" s="34" t="inlineStr">
        <is>
          <t>EJE-19 (hoja CONCRETO EN CUNETAS)</t>
        </is>
      </c>
      <c r="C161" s="35" t="n"/>
      <c r="D161" s="35" t="n"/>
      <c r="E161" s="35" t="n"/>
      <c r="F161" s="35" t="n"/>
      <c r="G161" s="35" t="n"/>
      <c r="H161" s="25" t="n"/>
      <c r="I161" s="25" t="n"/>
      <c r="J161" s="35">
        <f>+'CONCRETO EN CUNETAS'!G154</f>
        <v/>
      </c>
      <c r="K161" s="25" t="n"/>
      <c r="L161" s="25" t="n"/>
    </row>
    <row r="162">
      <c r="A162" s="29" t="inlineStr">
        <is>
          <t>01.04.01.02</t>
        </is>
      </c>
      <c r="B162" s="30" t="inlineStr">
        <is>
          <t>ENCOFRADO Y DESENCOFRADO DE CUNETAS</t>
        </is>
      </c>
      <c r="C162" s="31" t="n"/>
      <c r="D162" s="31" t="n"/>
      <c r="E162" s="31" t="n"/>
      <c r="F162" s="31" t="n"/>
      <c r="G162" s="31" t="n"/>
      <c r="H162" s="31" t="n"/>
      <c r="I162" s="31" t="n"/>
      <c r="J162" s="31" t="n"/>
      <c r="K162" s="32">
        <f>SUM(J163:J181)</f>
        <v/>
      </c>
      <c r="L162" s="33" t="inlineStr">
        <is>
          <t>m²</t>
        </is>
      </c>
    </row>
    <row r="163">
      <c r="A163" s="25" t="n"/>
      <c r="B163" s="34" t="inlineStr">
        <is>
          <t>EJE-01 (hoja ENCOFRADO Y DESENCOFRADO)</t>
        </is>
      </c>
      <c r="C163" s="35" t="n"/>
      <c r="D163" s="35" t="n"/>
      <c r="E163" s="35" t="n"/>
      <c r="F163" s="35" t="n"/>
      <c r="G163" s="35" t="n"/>
      <c r="H163" s="25" t="n"/>
      <c r="I163" s="25" t="n"/>
      <c r="J163" s="35">
        <f>+'ENCOFRADO Y DESENCOFRADO'!H12</f>
        <v/>
      </c>
      <c r="K163" s="25" t="n"/>
      <c r="L163" s="25" t="n"/>
    </row>
    <row r="164">
      <c r="A164" s="25" t="n"/>
      <c r="B164" s="34" t="inlineStr">
        <is>
          <t>EJE-02 (hoja ENCOFRADO Y DESENCOFRADO)</t>
        </is>
      </c>
      <c r="C164" s="35" t="n"/>
      <c r="D164" s="35" t="n"/>
      <c r="E164" s="35" t="n"/>
      <c r="F164" s="35" t="n"/>
      <c r="G164" s="35" t="n"/>
      <c r="H164" s="25" t="n"/>
      <c r="I164" s="25" t="n"/>
      <c r="J164" s="35">
        <f>+'ENCOFRADO Y DESENCOFRADO'!P12</f>
        <v/>
      </c>
      <c r="K164" s="25" t="n"/>
      <c r="L164" s="25" t="n"/>
    </row>
    <row r="165">
      <c r="A165" s="25" t="n"/>
      <c r="B165" s="34" t="inlineStr">
        <is>
          <t>EJE-03 (hoja ENCOFRADO Y DESENCOFRADO)</t>
        </is>
      </c>
      <c r="C165" s="35" t="n"/>
      <c r="D165" s="35" t="n"/>
      <c r="E165" s="35" t="n"/>
      <c r="F165" s="35" t="n"/>
      <c r="G165" s="35" t="n"/>
      <c r="H165" s="25" t="n"/>
      <c r="I165" s="25" t="n"/>
      <c r="J165" s="35">
        <f>+'ENCOFRADO Y DESENCOFRADO'!H23</f>
        <v/>
      </c>
      <c r="K165" s="25" t="n"/>
      <c r="L165" s="25" t="n"/>
    </row>
    <row r="166">
      <c r="A166" s="25" t="n"/>
      <c r="B166" s="34" t="inlineStr">
        <is>
          <t>EJE-04 (hoja ENCOFRADO Y DESENCOFRADO)</t>
        </is>
      </c>
      <c r="C166" s="35" t="n"/>
      <c r="D166" s="35" t="n"/>
      <c r="E166" s="35" t="n"/>
      <c r="F166" s="35" t="n"/>
      <c r="G166" s="35" t="n"/>
      <c r="H166" s="25" t="n"/>
      <c r="I166" s="25" t="n"/>
      <c r="J166" s="35">
        <f>+'ENCOFRADO Y DESENCOFRADO'!P23</f>
        <v/>
      </c>
      <c r="K166" s="25" t="n"/>
      <c r="L166" s="25" t="n"/>
    </row>
    <row r="167">
      <c r="A167" s="25" t="n"/>
      <c r="B167" s="34" t="inlineStr">
        <is>
          <t>EJE-05 (hoja ENCOFRADO Y DESENCOFRADO)</t>
        </is>
      </c>
      <c r="C167" s="35" t="n"/>
      <c r="D167" s="35" t="n"/>
      <c r="E167" s="35" t="n"/>
      <c r="F167" s="35" t="n"/>
      <c r="G167" s="35" t="n"/>
      <c r="H167" s="25" t="n"/>
      <c r="I167" s="25" t="n"/>
      <c r="J167" s="35">
        <f>+'ENCOFRADO Y DESENCOFRADO'!H34</f>
        <v/>
      </c>
      <c r="K167" s="25" t="n"/>
      <c r="L167" s="25" t="n"/>
    </row>
    <row r="168">
      <c r="A168" s="25" t="n"/>
      <c r="B168" s="34" t="inlineStr">
        <is>
          <t>EJE-06 (hoja ENCOFRADO Y DESENCOFRADO)</t>
        </is>
      </c>
      <c r="C168" s="35" t="n"/>
      <c r="D168" s="35" t="n"/>
      <c r="E168" s="35" t="n"/>
      <c r="F168" s="35" t="n"/>
      <c r="G168" s="35" t="n"/>
      <c r="H168" s="25" t="n"/>
      <c r="I168" s="25" t="n"/>
      <c r="J168" s="35">
        <f>+'ENCOFRADO Y DESENCOFRADO'!P34</f>
        <v/>
      </c>
      <c r="K168" s="25" t="n"/>
      <c r="L168" s="25" t="n"/>
    </row>
    <row r="169">
      <c r="A169" s="25" t="n"/>
      <c r="B169" s="34" t="inlineStr">
        <is>
          <t>EJE-07 (hoja ENCOFRADO Y DESENCOFRADO)</t>
        </is>
      </c>
      <c r="C169" s="35" t="n"/>
      <c r="D169" s="35" t="n"/>
      <c r="E169" s="35" t="n"/>
      <c r="F169" s="35" t="n"/>
      <c r="G169" s="35" t="n"/>
      <c r="H169" s="25" t="n"/>
      <c r="I169" s="25" t="n"/>
      <c r="J169" s="35">
        <f>+'ENCOFRADO Y DESENCOFRADO'!H45</f>
        <v/>
      </c>
      <c r="K169" s="25" t="n"/>
      <c r="L169" s="25" t="n"/>
    </row>
    <row r="170">
      <c r="A170" s="25" t="n"/>
      <c r="B170" s="34" t="inlineStr">
        <is>
          <t>EJE-08 (hoja ENCOFRADO Y DESENCOFRADO)</t>
        </is>
      </c>
      <c r="C170" s="35" t="n"/>
      <c r="D170" s="35" t="n"/>
      <c r="E170" s="35" t="n"/>
      <c r="F170" s="35" t="n"/>
      <c r="G170" s="35" t="n"/>
      <c r="H170" s="25" t="n"/>
      <c r="I170" s="25" t="n"/>
      <c r="J170" s="35">
        <f>+'ENCOFRADO Y DESENCOFRADO'!P45</f>
        <v/>
      </c>
      <c r="K170" s="25" t="n"/>
      <c r="L170" s="25" t="n"/>
    </row>
    <row r="171">
      <c r="A171" s="25" t="n"/>
      <c r="B171" s="34" t="inlineStr">
        <is>
          <t>EJE-09 (hoja ENCOFRADO Y DESENCOFRADO)</t>
        </is>
      </c>
      <c r="C171" s="35" t="n"/>
      <c r="D171" s="35" t="n"/>
      <c r="E171" s="35" t="n"/>
      <c r="F171" s="35" t="n"/>
      <c r="G171" s="35" t="n"/>
      <c r="H171" s="25" t="n"/>
      <c r="I171" s="25" t="n"/>
      <c r="J171" s="35">
        <f>+'ENCOFRADO Y DESENCOFRADO'!H56</f>
        <v/>
      </c>
      <c r="K171" s="25" t="n"/>
      <c r="L171" s="25" t="n"/>
    </row>
    <row r="172">
      <c r="A172" s="25" t="n"/>
      <c r="B172" s="34" t="inlineStr">
        <is>
          <t>EJE-10 (hoja ENCOFRADO Y DESENCOFRADO)</t>
        </is>
      </c>
      <c r="C172" s="35" t="n"/>
      <c r="D172" s="35" t="n"/>
      <c r="E172" s="35" t="n"/>
      <c r="F172" s="35" t="n"/>
      <c r="G172" s="35" t="n"/>
      <c r="H172" s="25" t="n"/>
      <c r="I172" s="25" t="n"/>
      <c r="J172" s="35">
        <f>+'ENCOFRADO Y DESENCOFRADO'!P56</f>
        <v/>
      </c>
      <c r="K172" s="25" t="n"/>
      <c r="L172" s="25" t="n"/>
    </row>
    <row r="173">
      <c r="A173" s="25" t="n"/>
      <c r="B173" s="34" t="inlineStr">
        <is>
          <t>EJE-11 (hoja ENCOFRADO Y DESENCOFRADO)</t>
        </is>
      </c>
      <c r="C173" s="35" t="n"/>
      <c r="D173" s="35" t="n"/>
      <c r="E173" s="35" t="n"/>
      <c r="F173" s="35" t="n"/>
      <c r="G173" s="35" t="n"/>
      <c r="H173" s="25" t="n"/>
      <c r="I173" s="25" t="n"/>
      <c r="J173" s="35">
        <f>+'ENCOFRADO Y DESENCOFRADO'!H67</f>
        <v/>
      </c>
      <c r="K173" s="25" t="n"/>
      <c r="L173" s="25" t="n"/>
    </row>
    <row r="174">
      <c r="A174" s="25" t="n"/>
      <c r="B174" s="34" t="inlineStr">
        <is>
          <t>EJE-12 (hoja ENCOFRADO Y DESENCOFRADO)</t>
        </is>
      </c>
      <c r="C174" s="35" t="n"/>
      <c r="D174" s="35" t="n"/>
      <c r="E174" s="35" t="n"/>
      <c r="F174" s="35" t="n"/>
      <c r="G174" s="35" t="n"/>
      <c r="H174" s="25" t="n"/>
      <c r="I174" s="25" t="n"/>
      <c r="J174" s="35">
        <f>+'ENCOFRADO Y DESENCOFRADO'!P67</f>
        <v/>
      </c>
      <c r="K174" s="25" t="n"/>
      <c r="L174" s="25" t="n"/>
    </row>
    <row r="175">
      <c r="A175" s="25" t="n"/>
      <c r="B175" s="34" t="inlineStr">
        <is>
          <t>EJE-13 (hoja ENCOFRADO Y DESENCOFRADO)</t>
        </is>
      </c>
      <c r="C175" s="35" t="n"/>
      <c r="D175" s="35" t="n"/>
      <c r="E175" s="35" t="n"/>
      <c r="F175" s="35" t="n"/>
      <c r="G175" s="35" t="n"/>
      <c r="H175" s="25" t="n"/>
      <c r="I175" s="25" t="n"/>
      <c r="J175" s="35">
        <f>+'ENCOFRADO Y DESENCOFRADO'!H78</f>
        <v/>
      </c>
      <c r="K175" s="25" t="n"/>
      <c r="L175" s="25" t="n"/>
    </row>
    <row r="176">
      <c r="A176" s="25" t="n"/>
      <c r="B176" s="34" t="inlineStr">
        <is>
          <t>EJE-14 (hoja ENCOFRADO Y DESENCOFRADO)</t>
        </is>
      </c>
      <c r="C176" s="35" t="n"/>
      <c r="D176" s="35" t="n"/>
      <c r="E176" s="35" t="n"/>
      <c r="F176" s="35" t="n"/>
      <c r="G176" s="35" t="n"/>
      <c r="H176" s="25" t="n"/>
      <c r="I176" s="25" t="n"/>
      <c r="J176" s="35">
        <f>+'ENCOFRADO Y DESENCOFRADO'!P78</f>
        <v/>
      </c>
      <c r="K176" s="25" t="n"/>
      <c r="L176" s="25" t="n"/>
    </row>
    <row r="177">
      <c r="A177" s="25" t="n"/>
      <c r="B177" s="34" t="inlineStr">
        <is>
          <t>EJE-15 (hoja ENCOFRADO Y DESENCOFRADO)</t>
        </is>
      </c>
      <c r="C177" s="35" t="n"/>
      <c r="D177" s="35" t="n"/>
      <c r="E177" s="35" t="n"/>
      <c r="F177" s="35" t="n"/>
      <c r="G177" s="35" t="n"/>
      <c r="H177" s="25" t="n"/>
      <c r="I177" s="25" t="n"/>
      <c r="J177" s="35">
        <f>+'ENCOFRADO Y DESENCOFRADO'!H89</f>
        <v/>
      </c>
      <c r="K177" s="25" t="n"/>
      <c r="L177" s="25" t="n"/>
    </row>
    <row r="178">
      <c r="A178" s="25" t="n"/>
      <c r="B178" s="34" t="inlineStr">
        <is>
          <t>EJE-16 (hoja ENCOFRADO Y DESENCOFRADO)</t>
        </is>
      </c>
      <c r="C178" s="35" t="n"/>
      <c r="D178" s="35" t="n"/>
      <c r="E178" s="35" t="n"/>
      <c r="F178" s="35" t="n"/>
      <c r="G178" s="35" t="n"/>
      <c r="H178" s="25" t="n"/>
      <c r="I178" s="25" t="n"/>
      <c r="J178" s="35">
        <f>+'ENCOFRADO Y DESENCOFRADO'!P89</f>
        <v/>
      </c>
      <c r="K178" s="25" t="n"/>
      <c r="L178" s="25" t="n"/>
    </row>
    <row r="179">
      <c r="A179" s="25" t="n"/>
      <c r="B179" s="34" t="inlineStr">
        <is>
          <t>EJE-17 (hoja ENCOFRADO Y DESENCOFRADO)</t>
        </is>
      </c>
      <c r="C179" s="35" t="n"/>
      <c r="D179" s="35" t="n"/>
      <c r="E179" s="35" t="n"/>
      <c r="F179" s="35" t="n"/>
      <c r="G179" s="35" t="n"/>
      <c r="H179" s="25" t="n"/>
      <c r="I179" s="25" t="n"/>
      <c r="J179" s="35">
        <f>+'ENCOFRADO Y DESENCOFRADO'!H100</f>
        <v/>
      </c>
      <c r="K179" s="25" t="n"/>
      <c r="L179" s="25" t="n"/>
    </row>
    <row r="180">
      <c r="A180" s="25" t="n"/>
      <c r="B180" s="34" t="inlineStr">
        <is>
          <t>EJE-18 (hoja ENCOFRADO Y DESENCOFRADO)</t>
        </is>
      </c>
      <c r="C180" s="35" t="n"/>
      <c r="D180" s="35" t="n"/>
      <c r="E180" s="35" t="n"/>
      <c r="F180" s="35" t="n"/>
      <c r="G180" s="35" t="n"/>
      <c r="H180" s="25" t="n"/>
      <c r="I180" s="25" t="n"/>
      <c r="J180" s="35">
        <f>+'ENCOFRADO Y DESENCOFRADO'!P100</f>
        <v/>
      </c>
      <c r="K180" s="25" t="n"/>
      <c r="L180" s="25" t="n"/>
    </row>
    <row r="181">
      <c r="A181" s="25" t="n"/>
      <c r="B181" s="34" t="inlineStr">
        <is>
          <t>EJE-19 (hoja ENCOFRADO Y DESENCOFRADO)</t>
        </is>
      </c>
      <c r="C181" s="35" t="n"/>
      <c r="D181" s="35" t="n"/>
      <c r="E181" s="35" t="n"/>
      <c r="F181" s="35" t="n"/>
      <c r="G181" s="35" t="n"/>
      <c r="H181" s="25" t="n"/>
      <c r="I181" s="25" t="n"/>
      <c r="J181" s="35">
        <f>+'ENCOFRADO Y DESENCOFRADO'!H111</f>
        <v/>
      </c>
      <c r="K181" s="25" t="n"/>
      <c r="L181" s="25" t="n"/>
    </row>
    <row r="182">
      <c r="A182" s="29" t="inlineStr">
        <is>
          <t>01.04.01.03</t>
        </is>
      </c>
      <c r="B182" s="30" t="inlineStr">
        <is>
          <t>ACERO f'y=4200 kg/cm2 PARA CUNETA</t>
        </is>
      </c>
      <c r="C182" s="31" t="n"/>
      <c r="D182" s="31" t="n"/>
      <c r="E182" s="31" t="n"/>
      <c r="F182" s="31" t="n"/>
      <c r="G182" s="31" t="n"/>
      <c r="H182" s="31" t="n"/>
      <c r="I182" s="31" t="n"/>
      <c r="J182" s="31" t="n"/>
      <c r="K182" s="32">
        <f>SUM(J183:J201)</f>
        <v/>
      </c>
      <c r="L182" s="33" t="inlineStr">
        <is>
          <t>kg</t>
        </is>
      </c>
    </row>
    <row r="183">
      <c r="A183" s="25" t="n"/>
      <c r="B183" s="34" t="inlineStr">
        <is>
          <t>EJE-01 (hoja METRADO ACERO)</t>
        </is>
      </c>
      <c r="C183" s="35" t="n"/>
      <c r="D183" s="35" t="n"/>
      <c r="E183" s="35" t="n"/>
      <c r="F183" s="35" t="n"/>
      <c r="G183" s="35" t="n"/>
      <c r="H183" s="25" t="n"/>
      <c r="I183" s="25" t="n"/>
      <c r="J183" s="35">
        <f>+'METRADO ACERO'!W11</f>
        <v/>
      </c>
      <c r="K183" s="25" t="n"/>
      <c r="L183" s="25" t="n"/>
    </row>
    <row r="184">
      <c r="A184" s="25" t="n"/>
      <c r="B184" s="34" t="inlineStr">
        <is>
          <t>EJE-02 (hoja METRADO ACERO)</t>
        </is>
      </c>
      <c r="C184" s="35" t="n"/>
      <c r="D184" s="35" t="n"/>
      <c r="E184" s="35" t="n"/>
      <c r="F184" s="35" t="n"/>
      <c r="G184" s="35" t="n"/>
      <c r="H184" s="25" t="n"/>
      <c r="I184" s="25" t="n"/>
      <c r="J184" s="35">
        <f>+'METRADO ACERO'!W12</f>
        <v/>
      </c>
      <c r="K184" s="25" t="n"/>
      <c r="L184" s="25" t="n"/>
    </row>
    <row r="185">
      <c r="A185" s="25" t="n"/>
      <c r="B185" s="34" t="inlineStr">
        <is>
          <t>EJE-03 (hoja METRADO ACERO)</t>
        </is>
      </c>
      <c r="C185" s="35" t="n"/>
      <c r="D185" s="35" t="n"/>
      <c r="E185" s="35" t="n"/>
      <c r="F185" s="35" t="n"/>
      <c r="G185" s="35" t="n"/>
      <c r="H185" s="25" t="n"/>
      <c r="I185" s="25" t="n"/>
      <c r="J185" s="35">
        <f>+'METRADO ACERO'!W13</f>
        <v/>
      </c>
      <c r="K185" s="25" t="n"/>
      <c r="L185" s="25" t="n"/>
    </row>
    <row r="186">
      <c r="A186" s="25" t="n"/>
      <c r="B186" s="34" t="inlineStr">
        <is>
          <t>EJE-04 (hoja METRADO ACERO)</t>
        </is>
      </c>
      <c r="C186" s="35" t="n"/>
      <c r="D186" s="35" t="n"/>
      <c r="E186" s="35" t="n"/>
      <c r="F186" s="35" t="n"/>
      <c r="G186" s="35" t="n"/>
      <c r="H186" s="25" t="n"/>
      <c r="I186" s="25" t="n"/>
      <c r="J186" s="35">
        <f>+'METRADO ACERO'!W14</f>
        <v/>
      </c>
      <c r="K186" s="25" t="n"/>
      <c r="L186" s="25" t="n"/>
    </row>
    <row r="187">
      <c r="A187" s="25" t="n"/>
      <c r="B187" s="34" t="inlineStr">
        <is>
          <t>EJE-05 (hoja METRADO ACERO)</t>
        </is>
      </c>
      <c r="C187" s="35" t="n"/>
      <c r="D187" s="35" t="n"/>
      <c r="E187" s="35" t="n"/>
      <c r="F187" s="35" t="n"/>
      <c r="G187" s="35" t="n"/>
      <c r="H187" s="25" t="n"/>
      <c r="I187" s="25" t="n"/>
      <c r="J187" s="35">
        <f>+'METRADO ACERO'!W15</f>
        <v/>
      </c>
      <c r="K187" s="25" t="n"/>
      <c r="L187" s="25" t="n"/>
    </row>
    <row r="188">
      <c r="A188" s="25" t="n"/>
      <c r="B188" s="34" t="inlineStr">
        <is>
          <t>EJE-06 (hoja METRADO ACERO)</t>
        </is>
      </c>
      <c r="C188" s="35" t="n"/>
      <c r="D188" s="35" t="n"/>
      <c r="E188" s="35" t="n"/>
      <c r="F188" s="35" t="n"/>
      <c r="G188" s="35" t="n"/>
      <c r="H188" s="25" t="n"/>
      <c r="I188" s="25" t="n"/>
      <c r="J188" s="35">
        <f>+'METRADO ACERO'!W16</f>
        <v/>
      </c>
      <c r="K188" s="25" t="n"/>
      <c r="L188" s="25" t="n"/>
    </row>
    <row r="189">
      <c r="A189" s="25" t="n"/>
      <c r="B189" s="34" t="inlineStr">
        <is>
          <t>EJE-07 (hoja METRADO ACERO)</t>
        </is>
      </c>
      <c r="C189" s="35" t="n"/>
      <c r="D189" s="35" t="n"/>
      <c r="E189" s="35" t="n"/>
      <c r="F189" s="35" t="n"/>
      <c r="G189" s="35" t="n"/>
      <c r="H189" s="25" t="n"/>
      <c r="I189" s="25" t="n"/>
      <c r="J189" s="35">
        <f>+'METRADO ACERO'!W17</f>
        <v/>
      </c>
      <c r="K189" s="25" t="n"/>
      <c r="L189" s="25" t="n"/>
    </row>
    <row r="190">
      <c r="A190" s="25" t="n"/>
      <c r="B190" s="34" t="inlineStr">
        <is>
          <t>EJE-08 (hoja METRADO ACERO)</t>
        </is>
      </c>
      <c r="C190" s="35" t="n"/>
      <c r="D190" s="35" t="n"/>
      <c r="E190" s="35" t="n"/>
      <c r="F190" s="35" t="n"/>
      <c r="G190" s="35" t="n"/>
      <c r="H190" s="25" t="n"/>
      <c r="I190" s="25" t="n"/>
      <c r="J190" s="35">
        <f>+'METRADO ACERO'!W18</f>
        <v/>
      </c>
      <c r="K190" s="25" t="n"/>
      <c r="L190" s="25" t="n"/>
    </row>
    <row r="191">
      <c r="A191" s="25" t="n"/>
      <c r="B191" s="34" t="inlineStr">
        <is>
          <t>EJE-09 (hoja METRADO ACERO)</t>
        </is>
      </c>
      <c r="C191" s="35" t="n"/>
      <c r="D191" s="35" t="n"/>
      <c r="E191" s="35" t="n"/>
      <c r="F191" s="35" t="n"/>
      <c r="G191" s="35" t="n"/>
      <c r="H191" s="25" t="n"/>
      <c r="I191" s="25" t="n"/>
      <c r="J191" s="35">
        <f>+'METRADO ACERO'!W19</f>
        <v/>
      </c>
      <c r="K191" s="25" t="n"/>
      <c r="L191" s="25" t="n"/>
    </row>
    <row r="192">
      <c r="A192" s="25" t="n"/>
      <c r="B192" s="34" t="inlineStr">
        <is>
          <t>EJE-10 (hoja METRADO ACERO)</t>
        </is>
      </c>
      <c r="C192" s="35" t="n"/>
      <c r="D192" s="35" t="n"/>
      <c r="E192" s="35" t="n"/>
      <c r="F192" s="35" t="n"/>
      <c r="G192" s="35" t="n"/>
      <c r="H192" s="25" t="n"/>
      <c r="I192" s="25" t="n"/>
      <c r="J192" s="35">
        <f>+'METRADO ACERO'!W20</f>
        <v/>
      </c>
      <c r="K192" s="25" t="n"/>
      <c r="L192" s="25" t="n"/>
    </row>
    <row r="193">
      <c r="A193" s="25" t="n"/>
      <c r="B193" s="34" t="inlineStr">
        <is>
          <t>EJE-11 (hoja METRADO ACERO)</t>
        </is>
      </c>
      <c r="C193" s="35" t="n"/>
      <c r="D193" s="35" t="n"/>
      <c r="E193" s="35" t="n"/>
      <c r="F193" s="35" t="n"/>
      <c r="G193" s="35" t="n"/>
      <c r="H193" s="25" t="n"/>
      <c r="I193" s="25" t="n"/>
      <c r="J193" s="35">
        <f>+'METRADO ACERO'!W21</f>
        <v/>
      </c>
      <c r="K193" s="25" t="n"/>
      <c r="L193" s="25" t="n"/>
    </row>
    <row r="194">
      <c r="A194" s="25" t="n"/>
      <c r="B194" s="34" t="inlineStr">
        <is>
          <t>EJE-12 (hoja METRADO ACERO)</t>
        </is>
      </c>
      <c r="C194" s="35" t="n"/>
      <c r="D194" s="35" t="n"/>
      <c r="E194" s="35" t="n"/>
      <c r="F194" s="35" t="n"/>
      <c r="G194" s="35" t="n"/>
      <c r="H194" s="25" t="n"/>
      <c r="I194" s="25" t="n"/>
      <c r="J194" s="35">
        <f>+'METRADO ACERO'!W22</f>
        <v/>
      </c>
      <c r="K194" s="25" t="n"/>
      <c r="L194" s="25" t="n"/>
    </row>
    <row r="195">
      <c r="A195" s="25" t="n"/>
      <c r="B195" s="34" t="inlineStr">
        <is>
          <t>EJE-13 (hoja METRADO ACERO)</t>
        </is>
      </c>
      <c r="C195" s="35" t="n"/>
      <c r="D195" s="35" t="n"/>
      <c r="E195" s="35" t="n"/>
      <c r="F195" s="35" t="n"/>
      <c r="G195" s="35" t="n"/>
      <c r="H195" s="25" t="n"/>
      <c r="I195" s="25" t="n"/>
      <c r="J195" s="35">
        <f>+'METRADO ACERO'!W23</f>
        <v/>
      </c>
      <c r="K195" s="25" t="n"/>
      <c r="L195" s="25" t="n"/>
    </row>
    <row r="196">
      <c r="A196" s="25" t="n"/>
      <c r="B196" s="34" t="inlineStr">
        <is>
          <t>EJE-14 (hoja METRADO ACERO)</t>
        </is>
      </c>
      <c r="C196" s="35" t="n"/>
      <c r="D196" s="35" t="n"/>
      <c r="E196" s="35" t="n"/>
      <c r="F196" s="35" t="n"/>
      <c r="G196" s="35" t="n"/>
      <c r="H196" s="25" t="n"/>
      <c r="I196" s="25" t="n"/>
      <c r="J196" s="35">
        <f>+'METRADO ACERO'!W24</f>
        <v/>
      </c>
      <c r="K196" s="25" t="n"/>
      <c r="L196" s="25" t="n"/>
    </row>
    <row r="197">
      <c r="A197" s="25" t="n"/>
      <c r="B197" s="34" t="inlineStr">
        <is>
          <t>EJE-15 (hoja METRADO ACERO)</t>
        </is>
      </c>
      <c r="C197" s="35" t="n"/>
      <c r="D197" s="35" t="n"/>
      <c r="E197" s="35" t="n"/>
      <c r="F197" s="35" t="n"/>
      <c r="G197" s="35" t="n"/>
      <c r="H197" s="25" t="n"/>
      <c r="I197" s="25" t="n"/>
      <c r="J197" s="35">
        <f>+'METRADO ACERO'!W25</f>
        <v/>
      </c>
      <c r="K197" s="25" t="n"/>
      <c r="L197" s="25" t="n"/>
    </row>
    <row r="198">
      <c r="A198" s="25" t="n"/>
      <c r="B198" s="34" t="inlineStr">
        <is>
          <t>EJE-16 (hoja METRADO ACERO)</t>
        </is>
      </c>
      <c r="C198" s="35" t="n"/>
      <c r="D198" s="35" t="n"/>
      <c r="E198" s="35" t="n"/>
      <c r="F198" s="35" t="n"/>
      <c r="G198" s="35" t="n"/>
      <c r="H198" s="25" t="n"/>
      <c r="I198" s="25" t="n"/>
      <c r="J198" s="35">
        <f>+'METRADO ACERO'!W26</f>
        <v/>
      </c>
      <c r="K198" s="25" t="n"/>
      <c r="L198" s="25" t="n"/>
    </row>
    <row r="199">
      <c r="A199" s="25" t="n"/>
      <c r="B199" s="34" t="inlineStr">
        <is>
          <t>EJE-17 (hoja METRADO ACERO)</t>
        </is>
      </c>
      <c r="C199" s="35" t="n"/>
      <c r="D199" s="35" t="n"/>
      <c r="E199" s="35" t="n"/>
      <c r="F199" s="35" t="n"/>
      <c r="G199" s="35" t="n"/>
      <c r="H199" s="25" t="n"/>
      <c r="I199" s="25" t="n"/>
      <c r="J199" s="35">
        <f>+'METRADO ACERO'!W27</f>
        <v/>
      </c>
      <c r="K199" s="25" t="n"/>
      <c r="L199" s="25" t="n"/>
    </row>
    <row r="200">
      <c r="A200" s="25" t="n"/>
      <c r="B200" s="34" t="inlineStr">
        <is>
          <t>EJE-18 (hoja METRADO ACERO)</t>
        </is>
      </c>
      <c r="C200" s="35" t="n"/>
      <c r="D200" s="35" t="n"/>
      <c r="E200" s="35" t="n"/>
      <c r="F200" s="35" t="n"/>
      <c r="G200" s="35" t="n"/>
      <c r="H200" s="25" t="n"/>
      <c r="I200" s="25" t="n"/>
      <c r="J200" s="35">
        <f>+'METRADO ACERO'!W28</f>
        <v/>
      </c>
      <c r="K200" s="25" t="n"/>
      <c r="L200" s="25" t="n"/>
    </row>
    <row r="201">
      <c r="A201" s="25" t="n"/>
      <c r="B201" s="34" t="inlineStr">
        <is>
          <t>EJE-19 (hoja METRADO ACERO)</t>
        </is>
      </c>
      <c r="C201" s="35" t="n"/>
      <c r="D201" s="35" t="n"/>
      <c r="E201" s="35" t="n"/>
      <c r="F201" s="35" t="n"/>
      <c r="G201" s="35" t="n"/>
      <c r="H201" s="25" t="n"/>
      <c r="I201" s="25" t="n"/>
      <c r="J201" s="35">
        <f>+'METRADO ACERO'!W29</f>
        <v/>
      </c>
      <c r="K201" s="25" t="n"/>
      <c r="L201" s="25" t="n"/>
    </row>
    <row r="202">
      <c r="A202" s="29" t="inlineStr">
        <is>
          <t>01.04.01.04</t>
        </is>
      </c>
      <c r="B202" s="30" t="inlineStr">
        <is>
          <t>CURADO DE CONCRETO EN CUNETA</t>
        </is>
      </c>
      <c r="C202" s="31" t="n"/>
      <c r="D202" s="31" t="n"/>
      <c r="E202" s="31" t="n"/>
      <c r="F202" s="31" t="n"/>
      <c r="G202" s="31" t="n"/>
      <c r="H202" s="31" t="n"/>
      <c r="I202" s="31" t="n"/>
      <c r="J202" s="31" t="n"/>
      <c r="K202" s="32">
        <f>SUM(J203:J221)</f>
        <v/>
      </c>
      <c r="L202" s="33" t="inlineStr">
        <is>
          <t>m²</t>
        </is>
      </c>
    </row>
    <row r="203">
      <c r="A203" s="25" t="n"/>
      <c r="B203" s="34" t="inlineStr">
        <is>
          <t>EJE-01 (hoja METRADO DE CURADO)</t>
        </is>
      </c>
      <c r="C203" s="35" t="n"/>
      <c r="D203" s="35" t="n"/>
      <c r="E203" s="35" t="n"/>
      <c r="F203" s="35" t="n"/>
      <c r="G203" s="35" t="n"/>
      <c r="H203" s="25" t="n"/>
      <c r="I203" s="25" t="n"/>
      <c r="J203" s="35">
        <f>+'METRADO DE CURADO'!M7</f>
        <v/>
      </c>
      <c r="K203" s="25" t="n"/>
      <c r="L203" s="25" t="n"/>
    </row>
    <row r="204">
      <c r="A204" s="25" t="n"/>
      <c r="B204" s="34" t="inlineStr">
        <is>
          <t>EJE-02 (hoja METRADO DE CURADO)</t>
        </is>
      </c>
      <c r="C204" s="35" t="n"/>
      <c r="D204" s="35" t="n"/>
      <c r="E204" s="35" t="n"/>
      <c r="F204" s="35" t="n"/>
      <c r="G204" s="35" t="n"/>
      <c r="H204" s="25" t="n"/>
      <c r="I204" s="25" t="n"/>
      <c r="J204" s="35">
        <f>+'METRADO DE CURADO'!M8</f>
        <v/>
      </c>
      <c r="K204" s="25" t="n"/>
      <c r="L204" s="25" t="n"/>
    </row>
    <row r="205">
      <c r="A205" s="25" t="n"/>
      <c r="B205" s="34" t="inlineStr">
        <is>
          <t>EJE-03 (hoja METRADO DE CURADO)</t>
        </is>
      </c>
      <c r="C205" s="35" t="n"/>
      <c r="D205" s="35" t="n"/>
      <c r="E205" s="35" t="n"/>
      <c r="F205" s="35" t="n"/>
      <c r="G205" s="35" t="n"/>
      <c r="H205" s="25" t="n"/>
      <c r="I205" s="25" t="n"/>
      <c r="J205" s="35">
        <f>+'METRADO DE CURADO'!M9</f>
        <v/>
      </c>
      <c r="K205" s="25" t="n"/>
      <c r="L205" s="25" t="n"/>
    </row>
    <row r="206">
      <c r="A206" s="25" t="n"/>
      <c r="B206" s="34" t="inlineStr">
        <is>
          <t>EJE-04 (hoja METRADO DE CURADO)</t>
        </is>
      </c>
      <c r="C206" s="35" t="n"/>
      <c r="D206" s="35" t="n"/>
      <c r="E206" s="35" t="n"/>
      <c r="F206" s="35" t="n"/>
      <c r="G206" s="35" t="n"/>
      <c r="H206" s="25" t="n"/>
      <c r="I206" s="25" t="n"/>
      <c r="J206" s="35">
        <f>+'METRADO DE CURADO'!M10</f>
        <v/>
      </c>
      <c r="K206" s="25" t="n"/>
      <c r="L206" s="25" t="n"/>
    </row>
    <row r="207">
      <c r="A207" s="25" t="n"/>
      <c r="B207" s="34" t="inlineStr">
        <is>
          <t>EJE-05 (hoja METRADO DE CURADO)</t>
        </is>
      </c>
      <c r="C207" s="35" t="n"/>
      <c r="D207" s="35" t="n"/>
      <c r="E207" s="35" t="n"/>
      <c r="F207" s="35" t="n"/>
      <c r="G207" s="35" t="n"/>
      <c r="H207" s="25" t="n"/>
      <c r="I207" s="25" t="n"/>
      <c r="J207" s="35">
        <f>+'METRADO DE CURADO'!M11</f>
        <v/>
      </c>
      <c r="K207" s="25" t="n"/>
      <c r="L207" s="25" t="n"/>
    </row>
    <row r="208">
      <c r="A208" s="25" t="n"/>
      <c r="B208" s="34" t="inlineStr">
        <is>
          <t>EJE-06 (hoja METRADO DE CURADO)</t>
        </is>
      </c>
      <c r="C208" s="35" t="n"/>
      <c r="D208" s="35" t="n"/>
      <c r="E208" s="35" t="n"/>
      <c r="F208" s="35" t="n"/>
      <c r="G208" s="35" t="n"/>
      <c r="H208" s="25" t="n"/>
      <c r="I208" s="25" t="n"/>
      <c r="J208" s="35">
        <f>+'METRADO DE CURADO'!M12</f>
        <v/>
      </c>
      <c r="K208" s="25" t="n"/>
      <c r="L208" s="25" t="n"/>
    </row>
    <row r="209">
      <c r="A209" s="25" t="n"/>
      <c r="B209" s="34" t="inlineStr">
        <is>
          <t>EJE-07 (hoja METRADO DE CURADO)</t>
        </is>
      </c>
      <c r="C209" s="35" t="n"/>
      <c r="D209" s="35" t="n"/>
      <c r="E209" s="35" t="n"/>
      <c r="F209" s="35" t="n"/>
      <c r="G209" s="35" t="n"/>
      <c r="H209" s="25" t="n"/>
      <c r="I209" s="25" t="n"/>
      <c r="J209" s="35">
        <f>+'METRADO DE CURADO'!M13</f>
        <v/>
      </c>
      <c r="K209" s="25" t="n"/>
      <c r="L209" s="25" t="n"/>
    </row>
    <row r="210">
      <c r="A210" s="25" t="n"/>
      <c r="B210" s="34" t="inlineStr">
        <is>
          <t>EJE-08 (hoja METRADO DE CURADO)</t>
        </is>
      </c>
      <c r="C210" s="35" t="n"/>
      <c r="D210" s="35" t="n"/>
      <c r="E210" s="35" t="n"/>
      <c r="F210" s="35" t="n"/>
      <c r="G210" s="35" t="n"/>
      <c r="H210" s="25" t="n"/>
      <c r="I210" s="25" t="n"/>
      <c r="J210" s="35">
        <f>+'METRADO DE CURADO'!M14</f>
        <v/>
      </c>
      <c r="K210" s="25" t="n"/>
      <c r="L210" s="25" t="n"/>
    </row>
    <row r="211">
      <c r="A211" s="25" t="n"/>
      <c r="B211" s="34" t="inlineStr">
        <is>
          <t>EJE-09 (hoja METRADO DE CURADO)</t>
        </is>
      </c>
      <c r="C211" s="35" t="n"/>
      <c r="D211" s="35" t="n"/>
      <c r="E211" s="35" t="n"/>
      <c r="F211" s="35" t="n"/>
      <c r="G211" s="35" t="n"/>
      <c r="H211" s="25" t="n"/>
      <c r="I211" s="25" t="n"/>
      <c r="J211" s="35">
        <f>+'METRADO DE CURADO'!M15</f>
        <v/>
      </c>
      <c r="K211" s="25" t="n"/>
      <c r="L211" s="25" t="n"/>
    </row>
    <row r="212">
      <c r="A212" s="25" t="n"/>
      <c r="B212" s="34" t="inlineStr">
        <is>
          <t>EJE-10 (hoja METRADO DE CURADO)</t>
        </is>
      </c>
      <c r="C212" s="35" t="n"/>
      <c r="D212" s="35" t="n"/>
      <c r="E212" s="35" t="n"/>
      <c r="F212" s="35" t="n"/>
      <c r="G212" s="35" t="n"/>
      <c r="H212" s="25" t="n"/>
      <c r="I212" s="25" t="n"/>
      <c r="J212" s="35">
        <f>+'METRADO DE CURADO'!M16</f>
        <v/>
      </c>
      <c r="K212" s="25" t="n"/>
      <c r="L212" s="25" t="n"/>
    </row>
    <row r="213">
      <c r="A213" s="25" t="n"/>
      <c r="B213" s="34" t="inlineStr">
        <is>
          <t>EJE-11 (hoja METRADO DE CURADO)</t>
        </is>
      </c>
      <c r="C213" s="35" t="n"/>
      <c r="D213" s="35" t="n"/>
      <c r="E213" s="35" t="n"/>
      <c r="F213" s="35" t="n"/>
      <c r="G213" s="35" t="n"/>
      <c r="H213" s="25" t="n"/>
      <c r="I213" s="25" t="n"/>
      <c r="J213" s="35">
        <f>+'METRADO DE CURADO'!M17</f>
        <v/>
      </c>
      <c r="K213" s="25" t="n"/>
      <c r="L213" s="25" t="n"/>
    </row>
    <row r="214">
      <c r="A214" s="25" t="n"/>
      <c r="B214" s="34" t="inlineStr">
        <is>
          <t>EJE-12 (hoja METRADO DE CURADO)</t>
        </is>
      </c>
      <c r="C214" s="35" t="n"/>
      <c r="D214" s="35" t="n"/>
      <c r="E214" s="35" t="n"/>
      <c r="F214" s="35" t="n"/>
      <c r="G214" s="35" t="n"/>
      <c r="H214" s="25" t="n"/>
      <c r="I214" s="25" t="n"/>
      <c r="J214" s="35">
        <f>+'METRADO DE CURADO'!M18</f>
        <v/>
      </c>
      <c r="K214" s="25" t="n"/>
      <c r="L214" s="25" t="n"/>
    </row>
    <row r="215">
      <c r="A215" s="25" t="n"/>
      <c r="B215" s="34" t="inlineStr">
        <is>
          <t>EJE-13 (hoja METRADO DE CURADO)</t>
        </is>
      </c>
      <c r="C215" s="35" t="n"/>
      <c r="D215" s="35" t="n"/>
      <c r="E215" s="35" t="n"/>
      <c r="F215" s="35" t="n"/>
      <c r="G215" s="35" t="n"/>
      <c r="H215" s="25" t="n"/>
      <c r="I215" s="25" t="n"/>
      <c r="J215" s="35">
        <f>+'METRADO DE CURADO'!M19</f>
        <v/>
      </c>
      <c r="K215" s="25" t="n"/>
      <c r="L215" s="25" t="n"/>
    </row>
    <row r="216">
      <c r="A216" s="25" t="n"/>
      <c r="B216" s="34" t="inlineStr">
        <is>
          <t>EJE-14 (hoja METRADO DE CURADO)</t>
        </is>
      </c>
      <c r="C216" s="35" t="n"/>
      <c r="D216" s="35" t="n"/>
      <c r="E216" s="35" t="n"/>
      <c r="F216" s="35" t="n"/>
      <c r="G216" s="35" t="n"/>
      <c r="H216" s="25" t="n"/>
      <c r="I216" s="25" t="n"/>
      <c r="J216" s="35">
        <f>+'METRADO DE CURADO'!M20</f>
        <v/>
      </c>
      <c r="K216" s="25" t="n"/>
      <c r="L216" s="25" t="n"/>
    </row>
    <row r="217">
      <c r="A217" s="25" t="n"/>
      <c r="B217" s="34" t="inlineStr">
        <is>
          <t>EJE-15 (hoja METRADO DE CURADO)</t>
        </is>
      </c>
      <c r="C217" s="35" t="n"/>
      <c r="D217" s="35" t="n"/>
      <c r="E217" s="35" t="n"/>
      <c r="F217" s="35" t="n"/>
      <c r="G217" s="35" t="n"/>
      <c r="H217" s="25" t="n"/>
      <c r="I217" s="25" t="n"/>
      <c r="J217" s="35">
        <f>+'METRADO DE CURADO'!M21</f>
        <v/>
      </c>
      <c r="K217" s="25" t="n"/>
      <c r="L217" s="25" t="n"/>
    </row>
    <row r="218">
      <c r="A218" s="25" t="n"/>
      <c r="B218" s="34" t="inlineStr">
        <is>
          <t>EJE-16 (hoja METRADO DE CURADO)</t>
        </is>
      </c>
      <c r="C218" s="35" t="n"/>
      <c r="D218" s="35" t="n"/>
      <c r="E218" s="35" t="n"/>
      <c r="F218" s="35" t="n"/>
      <c r="G218" s="35" t="n"/>
      <c r="H218" s="25" t="n"/>
      <c r="I218" s="25" t="n"/>
      <c r="J218" s="35">
        <f>+'METRADO DE CURADO'!M22</f>
        <v/>
      </c>
      <c r="K218" s="25" t="n"/>
      <c r="L218" s="25" t="n"/>
    </row>
    <row r="219">
      <c r="A219" s="25" t="n"/>
      <c r="B219" s="34" t="inlineStr">
        <is>
          <t>EJE-17 (hoja METRADO DE CURADO)</t>
        </is>
      </c>
      <c r="C219" s="35" t="n"/>
      <c r="D219" s="35" t="n"/>
      <c r="E219" s="35" t="n"/>
      <c r="F219" s="35" t="n"/>
      <c r="G219" s="35" t="n"/>
      <c r="H219" s="25" t="n"/>
      <c r="I219" s="25" t="n"/>
      <c r="J219" s="35">
        <f>+'METRADO DE CURADO'!M23</f>
        <v/>
      </c>
      <c r="K219" s="25" t="n"/>
      <c r="L219" s="25" t="n"/>
    </row>
    <row r="220">
      <c r="A220" s="25" t="n"/>
      <c r="B220" s="34" t="inlineStr">
        <is>
          <t>EJE-18 (hoja METRADO DE CURADO)</t>
        </is>
      </c>
      <c r="C220" s="35" t="n"/>
      <c r="D220" s="35" t="n"/>
      <c r="E220" s="35" t="n"/>
      <c r="F220" s="35" t="n"/>
      <c r="G220" s="35" t="n"/>
      <c r="H220" s="25" t="n"/>
      <c r="I220" s="25" t="n"/>
      <c r="J220" s="35">
        <f>+'METRADO DE CURADO'!M24</f>
        <v/>
      </c>
      <c r="K220" s="25" t="n"/>
      <c r="L220" s="25" t="n"/>
    </row>
    <row r="221">
      <c r="A221" s="25" t="n"/>
      <c r="B221" s="34" t="inlineStr">
        <is>
          <t>EJE-19 (hoja METRADO DE CURADO)</t>
        </is>
      </c>
      <c r="C221" s="35" t="n"/>
      <c r="D221" s="35" t="n"/>
      <c r="E221" s="35" t="n"/>
      <c r="F221" s="35" t="n"/>
      <c r="G221" s="35" t="n"/>
      <c r="H221" s="25" t="n"/>
      <c r="I221" s="25" t="n"/>
      <c r="J221" s="35">
        <f>+'METRADO DE CURADO'!M25</f>
        <v/>
      </c>
      <c r="K221" s="25" t="n"/>
      <c r="L221" s="25" t="n"/>
    </row>
    <row r="222">
      <c r="A222" s="28" t="inlineStr">
        <is>
          <t>01.04.02</t>
        </is>
      </c>
      <c r="B222" s="28" t="inlineStr">
        <is>
          <t>VARIOS</t>
        </is>
      </c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</row>
    <row r="223">
      <c r="A223" s="29" t="inlineStr">
        <is>
          <t>01.04.02.01</t>
        </is>
      </c>
      <c r="B223" s="30" t="inlineStr">
        <is>
          <t>REJILLA METALICA P/CUNETA C/PL 1''x 3/16'' Y ANGULO 1'' x 1'' x 3/16''</t>
        </is>
      </c>
      <c r="C223" s="31" t="n"/>
      <c r="D223" s="31" t="n"/>
      <c r="E223" s="31" t="n"/>
      <c r="F223" s="31" t="n"/>
      <c r="G223" s="31" t="n"/>
      <c r="H223" s="31" t="n"/>
      <c r="I223" s="31" t="n"/>
      <c r="J223" s="31" t="n"/>
      <c r="K223" s="32">
        <f>SUM(J224:J242)</f>
        <v/>
      </c>
      <c r="L223" s="33" t="inlineStr">
        <is>
          <t>m</t>
        </is>
      </c>
    </row>
    <row r="224">
      <c r="A224" s="25" t="n"/>
      <c r="B224" s="34" t="inlineStr">
        <is>
          <t>EJE-01 (hoja METRADO DE REJILLAS)</t>
        </is>
      </c>
      <c r="C224" s="35" t="n"/>
      <c r="D224" s="35" t="n"/>
      <c r="E224" s="35" t="n"/>
      <c r="F224" s="35" t="n"/>
      <c r="G224" s="35" t="n"/>
      <c r="H224" s="25" t="n"/>
      <c r="I224" s="25" t="n"/>
      <c r="J224" s="35">
        <f>+'METRADO DE REJILLAS'!F7</f>
        <v/>
      </c>
      <c r="K224" s="25" t="n"/>
      <c r="L224" s="25" t="n"/>
    </row>
    <row r="225">
      <c r="A225" s="25" t="n"/>
      <c r="B225" s="34" t="inlineStr">
        <is>
          <t>EJE-02 (hoja METRADO DE REJILLAS)</t>
        </is>
      </c>
      <c r="C225" s="35" t="n"/>
      <c r="D225" s="35" t="n"/>
      <c r="E225" s="35" t="n"/>
      <c r="F225" s="35" t="n"/>
      <c r="G225" s="35" t="n"/>
      <c r="H225" s="25" t="n"/>
      <c r="I225" s="25" t="n"/>
      <c r="J225" s="35">
        <f>+'METRADO DE REJILLAS'!F8</f>
        <v/>
      </c>
      <c r="K225" s="25" t="n"/>
      <c r="L225" s="25" t="n"/>
    </row>
    <row r="226">
      <c r="A226" s="25" t="n"/>
      <c r="B226" s="34" t="inlineStr">
        <is>
          <t>EJE-03 (hoja METRADO DE REJILLAS)</t>
        </is>
      </c>
      <c r="C226" s="35" t="n"/>
      <c r="D226" s="35" t="n"/>
      <c r="E226" s="35" t="n"/>
      <c r="F226" s="35" t="n"/>
      <c r="G226" s="35" t="n"/>
      <c r="H226" s="25" t="n"/>
      <c r="I226" s="25" t="n"/>
      <c r="J226" s="35">
        <f>+'METRADO DE REJILLAS'!F9</f>
        <v/>
      </c>
      <c r="K226" s="25" t="n"/>
      <c r="L226" s="25" t="n"/>
    </row>
    <row r="227">
      <c r="A227" s="25" t="n"/>
      <c r="B227" s="34" t="inlineStr">
        <is>
          <t>EJE-04 (hoja METRADO DE REJILLAS)</t>
        </is>
      </c>
      <c r="C227" s="35" t="n"/>
      <c r="D227" s="35" t="n"/>
      <c r="E227" s="35" t="n"/>
      <c r="F227" s="35" t="n"/>
      <c r="G227" s="35" t="n"/>
      <c r="H227" s="25" t="n"/>
      <c r="I227" s="25" t="n"/>
      <c r="J227" s="35">
        <f>+'METRADO DE REJILLAS'!F10</f>
        <v/>
      </c>
      <c r="K227" s="25" t="n"/>
      <c r="L227" s="25" t="n"/>
    </row>
    <row r="228">
      <c r="A228" s="25" t="n"/>
      <c r="B228" s="34" t="inlineStr">
        <is>
          <t>EJE-05 (hoja METRADO DE REJILLAS)</t>
        </is>
      </c>
      <c r="C228" s="35" t="n"/>
      <c r="D228" s="35" t="n"/>
      <c r="E228" s="35" t="n"/>
      <c r="F228" s="35" t="n"/>
      <c r="G228" s="35" t="n"/>
      <c r="H228" s="25" t="n"/>
      <c r="I228" s="25" t="n"/>
      <c r="J228" s="35">
        <f>+'METRADO DE REJILLAS'!F11</f>
        <v/>
      </c>
      <c r="K228" s="25" t="n"/>
      <c r="L228" s="25" t="n"/>
    </row>
    <row r="229">
      <c r="A229" s="25" t="n"/>
      <c r="B229" s="34" t="inlineStr">
        <is>
          <t>EJE-06 (hoja METRADO DE REJILLAS)</t>
        </is>
      </c>
      <c r="C229" s="35" t="n"/>
      <c r="D229" s="35" t="n"/>
      <c r="E229" s="35" t="n"/>
      <c r="F229" s="35" t="n"/>
      <c r="G229" s="35" t="n"/>
      <c r="H229" s="25" t="n"/>
      <c r="I229" s="25" t="n"/>
      <c r="J229" s="35">
        <f>+'METRADO DE REJILLAS'!F12</f>
        <v/>
      </c>
      <c r="K229" s="25" t="n"/>
      <c r="L229" s="25" t="n"/>
    </row>
    <row r="230">
      <c r="A230" s="25" t="n"/>
      <c r="B230" s="34" t="inlineStr">
        <is>
          <t>EJE-07 (hoja METRADO DE REJILLAS)</t>
        </is>
      </c>
      <c r="C230" s="35" t="n"/>
      <c r="D230" s="35" t="n"/>
      <c r="E230" s="35" t="n"/>
      <c r="F230" s="35" t="n"/>
      <c r="G230" s="35" t="n"/>
      <c r="H230" s="25" t="n"/>
      <c r="I230" s="25" t="n"/>
      <c r="J230" s="35">
        <f>+'METRADO DE REJILLAS'!F13</f>
        <v/>
      </c>
      <c r="K230" s="25" t="n"/>
      <c r="L230" s="25" t="n"/>
    </row>
    <row r="231">
      <c r="A231" s="25" t="n"/>
      <c r="B231" s="34" t="inlineStr">
        <is>
          <t>EJE-08 (hoja METRADO DE REJILLAS)</t>
        </is>
      </c>
      <c r="C231" s="35" t="n"/>
      <c r="D231" s="35" t="n"/>
      <c r="E231" s="35" t="n"/>
      <c r="F231" s="35" t="n"/>
      <c r="G231" s="35" t="n"/>
      <c r="H231" s="25" t="n"/>
      <c r="I231" s="25" t="n"/>
      <c r="J231" s="35">
        <f>+'METRADO DE REJILLAS'!F14</f>
        <v/>
      </c>
      <c r="K231" s="25" t="n"/>
      <c r="L231" s="25" t="n"/>
    </row>
    <row r="232">
      <c r="A232" s="25" t="n"/>
      <c r="B232" s="34" t="inlineStr">
        <is>
          <t>EJE-09 (hoja METRADO DE REJILLAS)</t>
        </is>
      </c>
      <c r="C232" s="35" t="n"/>
      <c r="D232" s="35" t="n"/>
      <c r="E232" s="35" t="n"/>
      <c r="F232" s="35" t="n"/>
      <c r="G232" s="35" t="n"/>
      <c r="H232" s="25" t="n"/>
      <c r="I232" s="25" t="n"/>
      <c r="J232" s="35">
        <f>+'METRADO DE REJILLAS'!F15</f>
        <v/>
      </c>
      <c r="K232" s="25" t="n"/>
      <c r="L232" s="25" t="n"/>
    </row>
    <row r="233">
      <c r="A233" s="25" t="n"/>
      <c r="B233" s="34" t="inlineStr">
        <is>
          <t>EJE-10 (hoja METRADO DE REJILLAS)</t>
        </is>
      </c>
      <c r="C233" s="35" t="n"/>
      <c r="D233" s="35" t="n"/>
      <c r="E233" s="35" t="n"/>
      <c r="F233" s="35" t="n"/>
      <c r="G233" s="35" t="n"/>
      <c r="H233" s="25" t="n"/>
      <c r="I233" s="25" t="n"/>
      <c r="J233" s="35">
        <f>+'METRADO DE REJILLAS'!F16</f>
        <v/>
      </c>
      <c r="K233" s="25" t="n"/>
      <c r="L233" s="25" t="n"/>
    </row>
    <row r="234">
      <c r="A234" s="25" t="n"/>
      <c r="B234" s="34" t="inlineStr">
        <is>
          <t>EJE-11 (hoja METRADO DE REJILLAS)</t>
        </is>
      </c>
      <c r="C234" s="35" t="n"/>
      <c r="D234" s="35" t="n"/>
      <c r="E234" s="35" t="n"/>
      <c r="F234" s="35" t="n"/>
      <c r="G234" s="35" t="n"/>
      <c r="H234" s="25" t="n"/>
      <c r="I234" s="25" t="n"/>
      <c r="J234" s="35">
        <f>+'METRADO DE REJILLAS'!F17</f>
        <v/>
      </c>
      <c r="K234" s="25" t="n"/>
      <c r="L234" s="25" t="n"/>
    </row>
    <row r="235">
      <c r="A235" s="25" t="n"/>
      <c r="B235" s="34" t="inlineStr">
        <is>
          <t>EJE-12 (hoja METRADO DE REJILLAS)</t>
        </is>
      </c>
      <c r="C235" s="35" t="n"/>
      <c r="D235" s="35" t="n"/>
      <c r="E235" s="35" t="n"/>
      <c r="F235" s="35" t="n"/>
      <c r="G235" s="35" t="n"/>
      <c r="H235" s="25" t="n"/>
      <c r="I235" s="25" t="n"/>
      <c r="J235" s="35">
        <f>+'METRADO DE REJILLAS'!F18</f>
        <v/>
      </c>
      <c r="K235" s="25" t="n"/>
      <c r="L235" s="25" t="n"/>
    </row>
    <row r="236">
      <c r="A236" s="25" t="n"/>
      <c r="B236" s="34" t="inlineStr">
        <is>
          <t>EJE-13 (hoja METRADO DE REJILLAS)</t>
        </is>
      </c>
      <c r="C236" s="35" t="n"/>
      <c r="D236" s="35" t="n"/>
      <c r="E236" s="35" t="n"/>
      <c r="F236" s="35" t="n"/>
      <c r="G236" s="35" t="n"/>
      <c r="H236" s="25" t="n"/>
      <c r="I236" s="25" t="n"/>
      <c r="J236" s="35">
        <f>+'METRADO DE REJILLAS'!F19</f>
        <v/>
      </c>
      <c r="K236" s="25" t="n"/>
      <c r="L236" s="25" t="n"/>
    </row>
    <row r="237">
      <c r="A237" s="25" t="n"/>
      <c r="B237" s="34" t="inlineStr">
        <is>
          <t>EJE-14 (hoja METRADO DE REJILLAS)</t>
        </is>
      </c>
      <c r="C237" s="35" t="n"/>
      <c r="D237" s="35" t="n"/>
      <c r="E237" s="35" t="n"/>
      <c r="F237" s="35" t="n"/>
      <c r="G237" s="35" t="n"/>
      <c r="H237" s="25" t="n"/>
      <c r="I237" s="25" t="n"/>
      <c r="J237" s="35">
        <f>+'METRADO DE REJILLAS'!F20</f>
        <v/>
      </c>
      <c r="K237" s="25" t="n"/>
      <c r="L237" s="25" t="n"/>
    </row>
    <row r="238">
      <c r="A238" s="25" t="n"/>
      <c r="B238" s="34" t="inlineStr">
        <is>
          <t>EJE-15 (hoja METRADO DE REJILLAS)</t>
        </is>
      </c>
      <c r="C238" s="35" t="n"/>
      <c r="D238" s="35" t="n"/>
      <c r="E238" s="35" t="n"/>
      <c r="F238" s="35" t="n"/>
      <c r="G238" s="35" t="n"/>
      <c r="H238" s="25" t="n"/>
      <c r="I238" s="25" t="n"/>
      <c r="J238" s="35">
        <f>+'METRADO DE REJILLAS'!F21</f>
        <v/>
      </c>
      <c r="K238" s="25" t="n"/>
      <c r="L238" s="25" t="n"/>
    </row>
    <row r="239">
      <c r="A239" s="25" t="n"/>
      <c r="B239" s="34" t="inlineStr">
        <is>
          <t>EJE-16 (hoja METRADO DE REJILLAS)</t>
        </is>
      </c>
      <c r="C239" s="35" t="n"/>
      <c r="D239" s="35" t="n"/>
      <c r="E239" s="35" t="n"/>
      <c r="F239" s="35" t="n"/>
      <c r="G239" s="35" t="n"/>
      <c r="H239" s="25" t="n"/>
      <c r="I239" s="25" t="n"/>
      <c r="J239" s="35">
        <f>+'METRADO DE REJILLAS'!F22</f>
        <v/>
      </c>
      <c r="K239" s="25" t="n"/>
      <c r="L239" s="25" t="n"/>
    </row>
    <row r="240">
      <c r="A240" s="25" t="n"/>
      <c r="B240" s="34" t="inlineStr">
        <is>
          <t>EJE-17 (hoja METRADO DE REJILLAS)</t>
        </is>
      </c>
      <c r="C240" s="35" t="n"/>
      <c r="D240" s="35" t="n"/>
      <c r="E240" s="35" t="n"/>
      <c r="F240" s="35" t="n"/>
      <c r="G240" s="35" t="n"/>
      <c r="H240" s="25" t="n"/>
      <c r="I240" s="25" t="n"/>
      <c r="J240" s="35">
        <f>+'METRADO DE REJILLAS'!F23</f>
        <v/>
      </c>
      <c r="K240" s="25" t="n"/>
      <c r="L240" s="25" t="n"/>
    </row>
    <row r="241">
      <c r="A241" s="25" t="n"/>
      <c r="B241" s="34" t="inlineStr">
        <is>
          <t>EJE-18 (hoja METRADO DE REJILLAS)</t>
        </is>
      </c>
      <c r="C241" s="35" t="n"/>
      <c r="D241" s="35" t="n"/>
      <c r="E241" s="35" t="n"/>
      <c r="F241" s="35" t="n"/>
      <c r="G241" s="35" t="n"/>
      <c r="H241" s="25" t="n"/>
      <c r="I241" s="25" t="n"/>
      <c r="J241" s="35">
        <f>+'METRADO DE REJILLAS'!F24</f>
        <v/>
      </c>
      <c r="K241" s="25" t="n"/>
      <c r="L241" s="25" t="n"/>
    </row>
    <row r="242">
      <c r="A242" s="25" t="n"/>
      <c r="B242" s="34" t="inlineStr">
        <is>
          <t>EJE-19 (hoja METRADO DE REJILLAS)</t>
        </is>
      </c>
      <c r="C242" s="35" t="n"/>
      <c r="D242" s="35" t="n"/>
      <c r="E242" s="35" t="n"/>
      <c r="F242" s="35" t="n"/>
      <c r="G242" s="35" t="n"/>
      <c r="H242" s="25" t="n"/>
      <c r="I242" s="25" t="n"/>
      <c r="J242" s="35">
        <f>+'METRADO DE REJILLAS'!F25</f>
        <v/>
      </c>
      <c r="K242" s="25" t="n"/>
      <c r="L242" s="25" t="n"/>
    </row>
    <row r="243">
      <c r="A243" s="29" t="inlineStr">
        <is>
          <t>01.04.02.02</t>
        </is>
      </c>
      <c r="B243" s="30" t="inlineStr">
        <is>
          <t>TAPA DE INSPECCION 0.60m x 0.60m</t>
        </is>
      </c>
      <c r="C243" s="31" t="n"/>
      <c r="D243" s="31" t="n"/>
      <c r="E243" s="31" t="n"/>
      <c r="F243" s="31" t="n"/>
      <c r="G243" s="31" t="n"/>
      <c r="H243" s="31" t="n"/>
      <c r="I243" s="31" t="n"/>
      <c r="J243" s="31" t="n"/>
      <c r="K243" s="32">
        <f>SUM(J244:J244)</f>
        <v/>
      </c>
      <c r="L243" s="33" t="inlineStr">
        <is>
          <t>und</t>
        </is>
      </c>
    </row>
    <row r="244">
      <c r="A244" s="25" t="n"/>
      <c r="B244" s="34" t="inlineStr">
        <is>
          <t>Tapas de inspeccion (hoja PLANILLA TAPAS INSPECCION)</t>
        </is>
      </c>
      <c r="C244" s="35" t="n"/>
      <c r="D244" s="35" t="n"/>
      <c r="E244" s="35" t="n"/>
      <c r="F244" s="35" t="n"/>
      <c r="G244" s="35" t="n"/>
      <c r="H244" s="25" t="n"/>
      <c r="I244" s="25" t="n"/>
      <c r="J244" s="35">
        <f>+'PLANILLA TAPAS INSPECCION'!J8</f>
        <v/>
      </c>
      <c r="K244" s="25" t="n"/>
      <c r="L244" s="25" t="n"/>
    </row>
    <row r="245">
      <c r="A245" s="29" t="inlineStr">
        <is>
          <t>01.04.02.03</t>
        </is>
      </c>
      <c r="B245" s="30" t="inlineStr">
        <is>
          <t>JUNTA DE DILATACION E=1" CON SELLADOR ASFALTO</t>
        </is>
      </c>
      <c r="C245" s="31" t="n"/>
      <c r="D245" s="31" t="n"/>
      <c r="E245" s="31" t="n"/>
      <c r="F245" s="31" t="n"/>
      <c r="G245" s="31" t="n"/>
      <c r="H245" s="31" t="n"/>
      <c r="I245" s="31" t="n"/>
      <c r="J245" s="31" t="n"/>
      <c r="K245" s="32">
        <f>SUM(J246:J264)</f>
        <v/>
      </c>
      <c r="L245" s="33" t="inlineStr">
        <is>
          <t>m</t>
        </is>
      </c>
    </row>
    <row r="246">
      <c r="A246" s="25" t="n"/>
      <c r="B246" s="34" t="inlineStr">
        <is>
          <t>EJE-01 (hoja METRADO JUNTA DE DILATACION)</t>
        </is>
      </c>
      <c r="C246" s="35" t="n"/>
      <c r="D246" s="35" t="n"/>
      <c r="E246" s="35" t="n"/>
      <c r="F246" s="35" t="n"/>
      <c r="G246" s="35" t="n"/>
      <c r="H246" s="25" t="n"/>
      <c r="I246" s="25" t="n"/>
      <c r="J246" s="35">
        <f>+'METRADO JUNTA DE DILATACION'!J14</f>
        <v/>
      </c>
      <c r="K246" s="25" t="n"/>
      <c r="L246" s="25" t="n"/>
    </row>
    <row r="247">
      <c r="A247" s="25" t="n"/>
      <c r="B247" s="34" t="inlineStr">
        <is>
          <t>EJE-02 (hoja METRADO JUNTA DE DILATACION)</t>
        </is>
      </c>
      <c r="C247" s="35" t="n"/>
      <c r="D247" s="35" t="n"/>
      <c r="E247" s="35" t="n"/>
      <c r="F247" s="35" t="n"/>
      <c r="G247" s="35" t="n"/>
      <c r="H247" s="25" t="n"/>
      <c r="I247" s="25" t="n"/>
      <c r="J247" s="35">
        <f>+'METRADO JUNTA DE DILATACION'!J15</f>
        <v/>
      </c>
      <c r="K247" s="25" t="n"/>
      <c r="L247" s="25" t="n"/>
    </row>
    <row r="248">
      <c r="A248" s="25" t="n"/>
      <c r="B248" s="34" t="inlineStr">
        <is>
          <t>EJE-03 (hoja METRADO JUNTA DE DILATACION)</t>
        </is>
      </c>
      <c r="C248" s="35" t="n"/>
      <c r="D248" s="35" t="n"/>
      <c r="E248" s="35" t="n"/>
      <c r="F248" s="35" t="n"/>
      <c r="G248" s="35" t="n"/>
      <c r="H248" s="25" t="n"/>
      <c r="I248" s="25" t="n"/>
      <c r="J248" s="35">
        <f>+'METRADO JUNTA DE DILATACION'!J16</f>
        <v/>
      </c>
      <c r="K248" s="25" t="n"/>
      <c r="L248" s="25" t="n"/>
    </row>
    <row r="249">
      <c r="A249" s="25" t="n"/>
      <c r="B249" s="34" t="inlineStr">
        <is>
          <t>EJE-04 (hoja METRADO JUNTA DE DILATACION)</t>
        </is>
      </c>
      <c r="C249" s="35" t="n"/>
      <c r="D249" s="35" t="n"/>
      <c r="E249" s="35" t="n"/>
      <c r="F249" s="35" t="n"/>
      <c r="G249" s="35" t="n"/>
      <c r="H249" s="25" t="n"/>
      <c r="I249" s="25" t="n"/>
      <c r="J249" s="35">
        <f>+'METRADO JUNTA DE DILATACION'!J17</f>
        <v/>
      </c>
      <c r="K249" s="25" t="n"/>
      <c r="L249" s="25" t="n"/>
    </row>
    <row r="250">
      <c r="A250" s="25" t="n"/>
      <c r="B250" s="34" t="inlineStr">
        <is>
          <t>EJE-05 (hoja METRADO JUNTA DE DILATACION)</t>
        </is>
      </c>
      <c r="C250" s="35" t="n"/>
      <c r="D250" s="35" t="n"/>
      <c r="E250" s="35" t="n"/>
      <c r="F250" s="35" t="n"/>
      <c r="G250" s="35" t="n"/>
      <c r="H250" s="25" t="n"/>
      <c r="I250" s="25" t="n"/>
      <c r="J250" s="35">
        <f>+'METRADO JUNTA DE DILATACION'!J18</f>
        <v/>
      </c>
      <c r="K250" s="25" t="n"/>
      <c r="L250" s="25" t="n"/>
    </row>
    <row r="251">
      <c r="A251" s="25" t="n"/>
      <c r="B251" s="34" t="inlineStr">
        <is>
          <t>EJE-06 (hoja METRADO JUNTA DE DILATACION)</t>
        </is>
      </c>
      <c r="C251" s="35" t="n"/>
      <c r="D251" s="35" t="n"/>
      <c r="E251" s="35" t="n"/>
      <c r="F251" s="35" t="n"/>
      <c r="G251" s="35" t="n"/>
      <c r="H251" s="25" t="n"/>
      <c r="I251" s="25" t="n"/>
      <c r="J251" s="35">
        <f>+'METRADO JUNTA DE DILATACION'!J19</f>
        <v/>
      </c>
      <c r="K251" s="25" t="n"/>
      <c r="L251" s="25" t="n"/>
    </row>
    <row r="252">
      <c r="A252" s="25" t="n"/>
      <c r="B252" s="34" t="inlineStr">
        <is>
          <t>EJE-07 (hoja METRADO JUNTA DE DILATACION)</t>
        </is>
      </c>
      <c r="C252" s="35" t="n"/>
      <c r="D252" s="35" t="n"/>
      <c r="E252" s="35" t="n"/>
      <c r="F252" s="35" t="n"/>
      <c r="G252" s="35" t="n"/>
      <c r="H252" s="25" t="n"/>
      <c r="I252" s="25" t="n"/>
      <c r="J252" s="35">
        <f>+'METRADO JUNTA DE DILATACION'!J20</f>
        <v/>
      </c>
      <c r="K252" s="25" t="n"/>
      <c r="L252" s="25" t="n"/>
    </row>
    <row r="253">
      <c r="A253" s="25" t="n"/>
      <c r="B253" s="34" t="inlineStr">
        <is>
          <t>EJE-08 (hoja METRADO JUNTA DE DILATACION)</t>
        </is>
      </c>
      <c r="C253" s="35" t="n"/>
      <c r="D253" s="35" t="n"/>
      <c r="E253" s="35" t="n"/>
      <c r="F253" s="35" t="n"/>
      <c r="G253" s="35" t="n"/>
      <c r="H253" s="25" t="n"/>
      <c r="I253" s="25" t="n"/>
      <c r="J253" s="35">
        <f>+'METRADO JUNTA DE DILATACION'!J21</f>
        <v/>
      </c>
      <c r="K253" s="25" t="n"/>
      <c r="L253" s="25" t="n"/>
    </row>
    <row r="254">
      <c r="A254" s="25" t="n"/>
      <c r="B254" s="34" t="inlineStr">
        <is>
          <t>EJE-09 (hoja METRADO JUNTA DE DILATACION)</t>
        </is>
      </c>
      <c r="C254" s="35" t="n"/>
      <c r="D254" s="35" t="n"/>
      <c r="E254" s="35" t="n"/>
      <c r="F254" s="35" t="n"/>
      <c r="G254" s="35" t="n"/>
      <c r="H254" s="25" t="n"/>
      <c r="I254" s="25" t="n"/>
      <c r="J254" s="35">
        <f>+'METRADO JUNTA DE DILATACION'!J22</f>
        <v/>
      </c>
      <c r="K254" s="25" t="n"/>
      <c r="L254" s="25" t="n"/>
    </row>
    <row r="255">
      <c r="A255" s="25" t="n"/>
      <c r="B255" s="34" t="inlineStr">
        <is>
          <t>EJE-10 (hoja METRADO JUNTA DE DILATACION)</t>
        </is>
      </c>
      <c r="C255" s="35" t="n"/>
      <c r="D255" s="35" t="n"/>
      <c r="E255" s="35" t="n"/>
      <c r="F255" s="35" t="n"/>
      <c r="G255" s="35" t="n"/>
      <c r="H255" s="25" t="n"/>
      <c r="I255" s="25" t="n"/>
      <c r="J255" s="35">
        <f>+'METRADO JUNTA DE DILATACION'!J23</f>
        <v/>
      </c>
      <c r="K255" s="25" t="n"/>
      <c r="L255" s="25" t="n"/>
    </row>
    <row r="256">
      <c r="A256" s="25" t="n"/>
      <c r="B256" s="34" t="inlineStr">
        <is>
          <t>EJE-11 (hoja METRADO JUNTA DE DILATACION)</t>
        </is>
      </c>
      <c r="C256" s="35" t="n"/>
      <c r="D256" s="35" t="n"/>
      <c r="E256" s="35" t="n"/>
      <c r="F256" s="35" t="n"/>
      <c r="G256" s="35" t="n"/>
      <c r="H256" s="25" t="n"/>
      <c r="I256" s="25" t="n"/>
      <c r="J256" s="35">
        <f>+'METRADO JUNTA DE DILATACION'!J24</f>
        <v/>
      </c>
      <c r="K256" s="25" t="n"/>
      <c r="L256" s="25" t="n"/>
    </row>
    <row r="257">
      <c r="A257" s="25" t="n"/>
      <c r="B257" s="34" t="inlineStr">
        <is>
          <t>EJE-12 (hoja METRADO JUNTA DE DILATACION)</t>
        </is>
      </c>
      <c r="C257" s="35" t="n"/>
      <c r="D257" s="35" t="n"/>
      <c r="E257" s="35" t="n"/>
      <c r="F257" s="35" t="n"/>
      <c r="G257" s="35" t="n"/>
      <c r="H257" s="25" t="n"/>
      <c r="I257" s="25" t="n"/>
      <c r="J257" s="35">
        <f>+'METRADO JUNTA DE DILATACION'!J25</f>
        <v/>
      </c>
      <c r="K257" s="25" t="n"/>
      <c r="L257" s="25" t="n"/>
    </row>
    <row r="258">
      <c r="A258" s="25" t="n"/>
      <c r="B258" s="34" t="inlineStr">
        <is>
          <t>EJE-13 (hoja METRADO JUNTA DE DILATACION)</t>
        </is>
      </c>
      <c r="C258" s="35" t="n"/>
      <c r="D258" s="35" t="n"/>
      <c r="E258" s="35" t="n"/>
      <c r="F258" s="35" t="n"/>
      <c r="G258" s="35" t="n"/>
      <c r="H258" s="25" t="n"/>
      <c r="I258" s="25" t="n"/>
      <c r="J258" s="35">
        <f>+'METRADO JUNTA DE DILATACION'!J26</f>
        <v/>
      </c>
      <c r="K258" s="25" t="n"/>
      <c r="L258" s="25" t="n"/>
    </row>
    <row r="259">
      <c r="A259" s="25" t="n"/>
      <c r="B259" s="34" t="inlineStr">
        <is>
          <t>EJE-14 (hoja METRADO JUNTA DE DILATACION)</t>
        </is>
      </c>
      <c r="C259" s="35" t="n"/>
      <c r="D259" s="35" t="n"/>
      <c r="E259" s="35" t="n"/>
      <c r="F259" s="35" t="n"/>
      <c r="G259" s="35" t="n"/>
      <c r="H259" s="25" t="n"/>
      <c r="I259" s="25" t="n"/>
      <c r="J259" s="35">
        <f>+'METRADO JUNTA DE DILATACION'!J27</f>
        <v/>
      </c>
      <c r="K259" s="25" t="n"/>
      <c r="L259" s="25" t="n"/>
    </row>
    <row r="260">
      <c r="A260" s="25" t="n"/>
      <c r="B260" s="34" t="inlineStr">
        <is>
          <t>EJE-15 (hoja METRADO JUNTA DE DILATACION)</t>
        </is>
      </c>
      <c r="C260" s="35" t="n"/>
      <c r="D260" s="35" t="n"/>
      <c r="E260" s="35" t="n"/>
      <c r="F260" s="35" t="n"/>
      <c r="G260" s="35" t="n"/>
      <c r="H260" s="25" t="n"/>
      <c r="I260" s="25" t="n"/>
      <c r="J260" s="35">
        <f>+'METRADO JUNTA DE DILATACION'!J28</f>
        <v/>
      </c>
      <c r="K260" s="25" t="n"/>
      <c r="L260" s="25" t="n"/>
    </row>
    <row r="261">
      <c r="A261" s="25" t="n"/>
      <c r="B261" s="34" t="inlineStr">
        <is>
          <t>EJE-16 (hoja METRADO JUNTA DE DILATACION)</t>
        </is>
      </c>
      <c r="C261" s="35" t="n"/>
      <c r="D261" s="35" t="n"/>
      <c r="E261" s="35" t="n"/>
      <c r="F261" s="35" t="n"/>
      <c r="G261" s="35" t="n"/>
      <c r="H261" s="25" t="n"/>
      <c r="I261" s="25" t="n"/>
      <c r="J261" s="35">
        <f>+'METRADO JUNTA DE DILATACION'!J29</f>
        <v/>
      </c>
      <c r="K261" s="25" t="n"/>
      <c r="L261" s="25" t="n"/>
    </row>
    <row r="262">
      <c r="A262" s="25" t="n"/>
      <c r="B262" s="34" t="inlineStr">
        <is>
          <t>EJE-17 (hoja METRADO JUNTA DE DILATACION)</t>
        </is>
      </c>
      <c r="C262" s="35" t="n"/>
      <c r="D262" s="35" t="n"/>
      <c r="E262" s="35" t="n"/>
      <c r="F262" s="35" t="n"/>
      <c r="G262" s="35" t="n"/>
      <c r="H262" s="25" t="n"/>
      <c r="I262" s="25" t="n"/>
      <c r="J262" s="35">
        <f>+'METRADO JUNTA DE DILATACION'!J30</f>
        <v/>
      </c>
      <c r="K262" s="25" t="n"/>
      <c r="L262" s="25" t="n"/>
    </row>
    <row r="263">
      <c r="A263" s="25" t="n"/>
      <c r="B263" s="34" t="inlineStr">
        <is>
          <t>EJE-18 (hoja METRADO JUNTA DE DILATACION)</t>
        </is>
      </c>
      <c r="C263" s="35" t="n"/>
      <c r="D263" s="35" t="n"/>
      <c r="E263" s="35" t="n"/>
      <c r="F263" s="35" t="n"/>
      <c r="G263" s="35" t="n"/>
      <c r="H263" s="25" t="n"/>
      <c r="I263" s="25" t="n"/>
      <c r="J263" s="35">
        <f>+'METRADO JUNTA DE DILATACION'!J31</f>
        <v/>
      </c>
      <c r="K263" s="25" t="n"/>
      <c r="L263" s="25" t="n"/>
    </row>
    <row r="264">
      <c r="A264" s="25" t="n"/>
      <c r="B264" s="34" t="inlineStr">
        <is>
          <t>EJE-19 (hoja METRADO JUNTA DE DILATACION)</t>
        </is>
      </c>
      <c r="C264" s="35" t="n"/>
      <c r="D264" s="35" t="n"/>
      <c r="E264" s="35" t="n"/>
      <c r="F264" s="35" t="n"/>
      <c r="G264" s="35" t="n"/>
      <c r="H264" s="25" t="n"/>
      <c r="I264" s="25" t="n"/>
      <c r="J264" s="35">
        <f>+'METRADO JUNTA DE DILATACION'!J32</f>
        <v/>
      </c>
      <c r="K264" s="25" t="n"/>
      <c r="L264" s="25" t="n"/>
    </row>
    <row r="265">
      <c r="A265" s="29" t="inlineStr">
        <is>
          <t>01.04.02.04</t>
        </is>
      </c>
      <c r="B265" s="30" t="inlineStr">
        <is>
          <t>JUNTA E=1" CON SELLADOR ASFALTICO ENTRE CUNETA Y PISO ADYACENTE</t>
        </is>
      </c>
      <c r="C265" s="31" t="n"/>
      <c r="D265" s="31" t="n"/>
      <c r="E265" s="31" t="n"/>
      <c r="F265" s="31" t="n"/>
      <c r="G265" s="31" t="n"/>
      <c r="H265" s="31" t="n"/>
      <c r="I265" s="31" t="n"/>
      <c r="J265" s="31" t="n"/>
      <c r="K265" s="32">
        <f>SUM(J266:J280)</f>
        <v/>
      </c>
      <c r="L265" s="33" t="inlineStr">
        <is>
          <t>m</t>
        </is>
      </c>
    </row>
    <row r="266">
      <c r="A266" s="25" t="n"/>
      <c r="B266" s="34" t="inlineStr">
        <is>
          <t>EJE-04 (hoja METRADO JUNTA DE DILATACION)</t>
        </is>
      </c>
      <c r="C266" s="35" t="n"/>
      <c r="D266" s="35" t="n"/>
      <c r="E266" s="35" t="n"/>
      <c r="F266" s="35" t="n"/>
      <c r="G266" s="35" t="n"/>
      <c r="H266" s="25" t="n"/>
      <c r="I266" s="25" t="n"/>
      <c r="J266" s="35">
        <f>+'METRADO JUNTA DE DILATACION'!J37</f>
        <v/>
      </c>
      <c r="K266" s="25" t="n"/>
      <c r="L266" s="25" t="n"/>
    </row>
    <row r="267">
      <c r="A267" s="25" t="n"/>
      <c r="B267" s="34" t="inlineStr">
        <is>
          <t>EJE-05 (hoja METRADO JUNTA DE DILATACION)</t>
        </is>
      </c>
      <c r="C267" s="35" t="n"/>
      <c r="D267" s="35" t="n"/>
      <c r="E267" s="35" t="n"/>
      <c r="F267" s="35" t="n"/>
      <c r="G267" s="35" t="n"/>
      <c r="H267" s="25" t="n"/>
      <c r="I267" s="25" t="n"/>
      <c r="J267" s="35">
        <f>+'METRADO JUNTA DE DILATACION'!J38</f>
        <v/>
      </c>
      <c r="K267" s="25" t="n"/>
      <c r="L267" s="25" t="n"/>
    </row>
    <row r="268">
      <c r="A268" s="25" t="n"/>
      <c r="B268" s="34" t="inlineStr">
        <is>
          <t>EJE-06 (hoja METRADO JUNTA DE DILATACION)</t>
        </is>
      </c>
      <c r="C268" s="35" t="n"/>
      <c r="D268" s="35" t="n"/>
      <c r="E268" s="35" t="n"/>
      <c r="F268" s="35" t="n"/>
      <c r="G268" s="35" t="n"/>
      <c r="H268" s="25" t="n"/>
      <c r="I268" s="25" t="n"/>
      <c r="J268" s="35">
        <f>+'METRADO JUNTA DE DILATACION'!J39</f>
        <v/>
      </c>
      <c r="K268" s="25" t="n"/>
      <c r="L268" s="25" t="n"/>
    </row>
    <row r="269">
      <c r="A269" s="25" t="n"/>
      <c r="B269" s="34" t="inlineStr">
        <is>
          <t>EJE-07 (hoja METRADO JUNTA DE DILATACION)</t>
        </is>
      </c>
      <c r="C269" s="35" t="n"/>
      <c r="D269" s="35" t="n"/>
      <c r="E269" s="35" t="n"/>
      <c r="F269" s="35" t="n"/>
      <c r="G269" s="35" t="n"/>
      <c r="H269" s="25" t="n"/>
      <c r="I269" s="25" t="n"/>
      <c r="J269" s="35">
        <f>+'METRADO JUNTA DE DILATACION'!J40</f>
        <v/>
      </c>
      <c r="K269" s="25" t="n"/>
      <c r="L269" s="25" t="n"/>
    </row>
    <row r="270">
      <c r="A270" s="25" t="n"/>
      <c r="B270" s="34" t="inlineStr">
        <is>
          <t>EJE-08 (hoja METRADO JUNTA DE DILATACION)</t>
        </is>
      </c>
      <c r="C270" s="35" t="n"/>
      <c r="D270" s="35" t="n"/>
      <c r="E270" s="35" t="n"/>
      <c r="F270" s="35" t="n"/>
      <c r="G270" s="35" t="n"/>
      <c r="H270" s="25" t="n"/>
      <c r="I270" s="25" t="n"/>
      <c r="J270" s="35">
        <f>+'METRADO JUNTA DE DILATACION'!J41</f>
        <v/>
      </c>
      <c r="K270" s="25" t="n"/>
      <c r="L270" s="25" t="n"/>
    </row>
    <row r="271">
      <c r="A271" s="25" t="n"/>
      <c r="B271" s="34" t="inlineStr">
        <is>
          <t>EJE-09 (hoja METRADO JUNTA DE DILATACION)</t>
        </is>
      </c>
      <c r="C271" s="35" t="n"/>
      <c r="D271" s="35" t="n"/>
      <c r="E271" s="35" t="n"/>
      <c r="F271" s="35" t="n"/>
      <c r="G271" s="35" t="n"/>
      <c r="H271" s="25" t="n"/>
      <c r="I271" s="25" t="n"/>
      <c r="J271" s="35">
        <f>+'METRADO JUNTA DE DILATACION'!J42</f>
        <v/>
      </c>
      <c r="K271" s="25" t="n"/>
      <c r="L271" s="25" t="n"/>
    </row>
    <row r="272">
      <c r="A272" s="25" t="n"/>
      <c r="B272" s="34" t="inlineStr">
        <is>
          <t>EJE-10 (hoja METRADO JUNTA DE DILATACION)</t>
        </is>
      </c>
      <c r="C272" s="35" t="n"/>
      <c r="D272" s="35" t="n"/>
      <c r="E272" s="35" t="n"/>
      <c r="F272" s="35" t="n"/>
      <c r="G272" s="35" t="n"/>
      <c r="H272" s="25" t="n"/>
      <c r="I272" s="25" t="n"/>
      <c r="J272" s="35">
        <f>+'METRADO JUNTA DE DILATACION'!J43</f>
        <v/>
      </c>
      <c r="K272" s="25" t="n"/>
      <c r="L272" s="25" t="n"/>
    </row>
    <row r="273">
      <c r="A273" s="25" t="n"/>
      <c r="B273" s="34" t="inlineStr">
        <is>
          <t>EJE-11 (hoja METRADO JUNTA DE DILATACION)</t>
        </is>
      </c>
      <c r="C273" s="35" t="n"/>
      <c r="D273" s="35" t="n"/>
      <c r="E273" s="35" t="n"/>
      <c r="F273" s="35" t="n"/>
      <c r="G273" s="35" t="n"/>
      <c r="H273" s="25" t="n"/>
      <c r="I273" s="25" t="n"/>
      <c r="J273" s="35">
        <f>+'METRADO JUNTA DE DILATACION'!J44</f>
        <v/>
      </c>
      <c r="K273" s="25" t="n"/>
      <c r="L273" s="25" t="n"/>
    </row>
    <row r="274">
      <c r="A274" s="25" t="n"/>
      <c r="B274" s="34" t="inlineStr">
        <is>
          <t>EJE-12 (hoja METRADO JUNTA DE DILATACION)</t>
        </is>
      </c>
      <c r="C274" s="35" t="n"/>
      <c r="D274" s="35" t="n"/>
      <c r="E274" s="35" t="n"/>
      <c r="F274" s="35" t="n"/>
      <c r="G274" s="35" t="n"/>
      <c r="H274" s="25" t="n"/>
      <c r="I274" s="25" t="n"/>
      <c r="J274" s="35">
        <f>+'METRADO JUNTA DE DILATACION'!J45</f>
        <v/>
      </c>
      <c r="K274" s="25" t="n"/>
      <c r="L274" s="25" t="n"/>
    </row>
    <row r="275">
      <c r="A275" s="25" t="n"/>
      <c r="B275" s="34" t="inlineStr">
        <is>
          <t>EJE-13 (hoja METRADO JUNTA DE DILATACION)</t>
        </is>
      </c>
      <c r="C275" s="35" t="n"/>
      <c r="D275" s="35" t="n"/>
      <c r="E275" s="35" t="n"/>
      <c r="F275" s="35" t="n"/>
      <c r="G275" s="35" t="n"/>
      <c r="H275" s="25" t="n"/>
      <c r="I275" s="25" t="n"/>
      <c r="J275" s="35">
        <f>+'METRADO JUNTA DE DILATACION'!J46</f>
        <v/>
      </c>
      <c r="K275" s="25" t="n"/>
      <c r="L275" s="25" t="n"/>
    </row>
    <row r="276">
      <c r="A276" s="25" t="n"/>
      <c r="B276" s="34" t="inlineStr">
        <is>
          <t>EJE-14 (hoja METRADO JUNTA DE DILATACION)</t>
        </is>
      </c>
      <c r="C276" s="35" t="n"/>
      <c r="D276" s="35" t="n"/>
      <c r="E276" s="35" t="n"/>
      <c r="F276" s="35" t="n"/>
      <c r="G276" s="35" t="n"/>
      <c r="H276" s="25" t="n"/>
      <c r="I276" s="25" t="n"/>
      <c r="J276" s="35">
        <f>+'METRADO JUNTA DE DILATACION'!J47</f>
        <v/>
      </c>
      <c r="K276" s="25" t="n"/>
      <c r="L276" s="25" t="n"/>
    </row>
    <row r="277">
      <c r="A277" s="25" t="n"/>
      <c r="B277" s="34" t="inlineStr">
        <is>
          <t>EJE-15 (hoja METRADO JUNTA DE DILATACION)</t>
        </is>
      </c>
      <c r="C277" s="35" t="n"/>
      <c r="D277" s="35" t="n"/>
      <c r="E277" s="35" t="n"/>
      <c r="F277" s="35" t="n"/>
      <c r="G277" s="35" t="n"/>
      <c r="H277" s="25" t="n"/>
      <c r="I277" s="25" t="n"/>
      <c r="J277" s="35">
        <f>+'METRADO JUNTA DE DILATACION'!J48</f>
        <v/>
      </c>
      <c r="K277" s="25" t="n"/>
      <c r="L277" s="25" t="n"/>
    </row>
    <row r="278">
      <c r="A278" s="25" t="n"/>
      <c r="B278" s="34" t="inlineStr">
        <is>
          <t>EJE-16 (hoja METRADO JUNTA DE DILATACION)</t>
        </is>
      </c>
      <c r="C278" s="35" t="n"/>
      <c r="D278" s="35" t="n"/>
      <c r="E278" s="35" t="n"/>
      <c r="F278" s="35" t="n"/>
      <c r="G278" s="35" t="n"/>
      <c r="H278" s="25" t="n"/>
      <c r="I278" s="25" t="n"/>
      <c r="J278" s="35">
        <f>+'METRADO JUNTA DE DILATACION'!J49</f>
        <v/>
      </c>
      <c r="K278" s="25" t="n"/>
      <c r="L278" s="25" t="n"/>
    </row>
    <row r="279">
      <c r="A279" s="25" t="n"/>
      <c r="B279" s="34" t="inlineStr">
        <is>
          <t>EJE-17 (hoja METRADO JUNTA DE DILATACION)</t>
        </is>
      </c>
      <c r="C279" s="35" t="n"/>
      <c r="D279" s="35" t="n"/>
      <c r="E279" s="35" t="n"/>
      <c r="F279" s="35" t="n"/>
      <c r="G279" s="35" t="n"/>
      <c r="H279" s="25" t="n"/>
      <c r="I279" s="25" t="n"/>
      <c r="J279" s="35">
        <f>+'METRADO JUNTA DE DILATACION'!J50</f>
        <v/>
      </c>
      <c r="K279" s="25" t="n"/>
      <c r="L279" s="25" t="n"/>
    </row>
    <row r="280">
      <c r="A280" s="25" t="n"/>
      <c r="B280" s="34" t="inlineStr">
        <is>
          <t>EJE-18 (hoja METRADO JUNTA DE DILATACION)</t>
        </is>
      </c>
      <c r="C280" s="35" t="n"/>
      <c r="D280" s="35" t="n"/>
      <c r="E280" s="35" t="n"/>
      <c r="F280" s="35" t="n"/>
      <c r="G280" s="35" t="n"/>
      <c r="H280" s="25" t="n"/>
      <c r="I280" s="25" t="n"/>
      <c r="J280" s="35">
        <f>+'METRADO JUNTA DE DILATACION'!J51</f>
        <v/>
      </c>
      <c r="K280" s="25" t="n"/>
      <c r="L280" s="25" t="n"/>
    </row>
  </sheetData>
  <mergeCells count="5">
    <mergeCell ref="B4:L4"/>
    <mergeCell ref="A2:L2"/>
    <mergeCell ref="B6:L6"/>
    <mergeCell ref="B3:L3"/>
    <mergeCell ref="B5:L5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O16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7" customWidth="1" min="3" max="3"/>
    <col width="12" customWidth="1" min="4" max="4"/>
    <col width="11" customWidth="1" min="5" max="5"/>
    <col width="11" customWidth="1" min="6" max="6"/>
    <col width="13" customWidth="1" min="7" max="7"/>
    <col width="4" customWidth="1" min="8" max="8"/>
    <col width="4" customWidth="1" min="9" max="9"/>
    <col width="14" customWidth="1" min="10" max="10"/>
    <col width="17" customWidth="1" min="11" max="11"/>
    <col width="12" customWidth="1" min="12" max="12"/>
    <col width="11" customWidth="1" min="13" max="13"/>
    <col width="11" customWidth="1" min="14" max="14"/>
    <col width="13" customWidth="1" min="15" max="15"/>
  </cols>
  <sheetData>
    <row r="2">
      <c r="B2" s="14" t="inlineStr">
        <is>
          <t>CONCRETO F´C=175 KG/CM2 PARA CUNETAS - DRENAJE PLUVIAL</t>
        </is>
      </c>
    </row>
    <row r="3">
      <c r="B3" s="27" t="inlineStr">
        <is>
          <t>ENTIDAD</t>
        </is>
      </c>
      <c r="C3" s="16">
        <f>+RESUMEN!B4</f>
        <v/>
      </c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8" t="n"/>
    </row>
    <row r="4" ht="33" customHeight="1">
      <c r="B4" s="27" t="inlineStr">
        <is>
          <t>PROYECTO</t>
        </is>
      </c>
      <c r="C4" s="16">
        <f>+RESUMEN!B5</f>
        <v/>
      </c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8" t="n"/>
    </row>
    <row r="5">
      <c r="B5" s="27" t="inlineStr">
        <is>
          <t>UBICACIÓN</t>
        </is>
      </c>
      <c r="C5" s="16">
        <f>+RESUMEN!B6</f>
        <v/>
      </c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8" t="n"/>
    </row>
    <row r="6">
      <c r="B6" s="27" t="inlineStr">
        <is>
          <t>FECHA</t>
        </is>
      </c>
      <c r="C6" s="16">
        <f>+RESUMEN!B7</f>
        <v/>
      </c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8" t="n"/>
    </row>
    <row r="7">
      <c r="B7" s="36" t="inlineStr">
        <is>
          <t>OBRAS DE CONCRETO ARMADO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8" t="n"/>
    </row>
    <row r="9">
      <c r="B9" s="36" t="inlineStr">
        <is>
          <t>LONGITUDES Y AREAS</t>
        </is>
      </c>
      <c r="C9" s="17" t="n"/>
      <c r="D9" s="18" t="n"/>
      <c r="E9" s="36" t="inlineStr">
        <is>
          <t>m3</t>
        </is>
      </c>
      <c r="F9" s="36" t="inlineStr">
        <is>
          <t>Sub.TOTAL</t>
        </is>
      </c>
      <c r="G9" s="36" t="inlineStr">
        <is>
          <t>TOTAL (m3)</t>
        </is>
      </c>
      <c r="J9" s="36" t="inlineStr">
        <is>
          <t>LONGITUDES Y AREAS</t>
        </is>
      </c>
      <c r="K9" s="17" t="n"/>
      <c r="L9" s="18" t="n"/>
      <c r="M9" s="36" t="inlineStr">
        <is>
          <t>m3</t>
        </is>
      </c>
      <c r="N9" s="36" t="inlineStr">
        <is>
          <t>Sub.TOTAL</t>
        </is>
      </c>
      <c r="O9" s="36" t="inlineStr">
        <is>
          <t>TOTAL (m3)</t>
        </is>
      </c>
    </row>
    <row r="10">
      <c r="B10" s="37" t="inlineStr">
        <is>
          <t>CUNETA EJE-01</t>
        </is>
      </c>
      <c r="C10" s="15" t="inlineStr">
        <is>
          <t>MUROS</t>
        </is>
      </c>
      <c r="D10" s="25" t="inlineStr">
        <is>
          <t>AREA</t>
        </is>
      </c>
      <c r="E10" s="35">
        <f>34.34*0.386</f>
        <v/>
      </c>
      <c r="F10" s="38">
        <f>E10*E11*E12</f>
        <v/>
      </c>
      <c r="G10" s="39">
        <f>SUM(F10:F21)</f>
        <v/>
      </c>
      <c r="J10" s="37" t="inlineStr">
        <is>
          <t>CUNETA EJE-02</t>
        </is>
      </c>
      <c r="K10" s="15" t="inlineStr">
        <is>
          <t>MUROS</t>
        </is>
      </c>
      <c r="L10" s="25" t="inlineStr">
        <is>
          <t>AREA</t>
        </is>
      </c>
      <c r="M10" s="35">
        <f>76.04*0.567</f>
        <v/>
      </c>
      <c r="N10" s="38">
        <f>M10*M11*M12</f>
        <v/>
      </c>
      <c r="O10" s="39">
        <f>SUM(N10:N21)</f>
        <v/>
      </c>
    </row>
    <row r="11">
      <c r="B11" s="40" t="n"/>
      <c r="C11" s="40" t="n"/>
      <c r="D11" s="25" t="inlineStr">
        <is>
          <t>ESPESOR</t>
        </is>
      </c>
      <c r="E11" s="35">
        <f>PARAMETROS!$B$7</f>
        <v/>
      </c>
      <c r="F11" s="25" t="n"/>
      <c r="G11" s="40" t="n"/>
      <c r="J11" s="40" t="n"/>
      <c r="K11" s="40" t="n"/>
      <c r="L11" s="25" t="inlineStr">
        <is>
          <t>ESPESOR</t>
        </is>
      </c>
      <c r="M11" s="35">
        <f>PARAMETROS!$B$7</f>
        <v/>
      </c>
      <c r="N11" s="25" t="n"/>
      <c r="O11" s="40" t="n"/>
    </row>
    <row r="12">
      <c r="B12" s="40" t="n"/>
      <c r="C12" s="41" t="n"/>
      <c r="D12" s="25" t="inlineStr">
        <is>
          <t>CANT.</t>
        </is>
      </c>
      <c r="E12" s="42" t="n">
        <v>2</v>
      </c>
      <c r="F12" s="25" t="n"/>
      <c r="G12" s="40" t="n"/>
      <c r="J12" s="40" t="n"/>
      <c r="K12" s="41" t="n"/>
      <c r="L12" s="25" t="inlineStr">
        <is>
          <t>CANT.</t>
        </is>
      </c>
      <c r="M12" s="42" t="n">
        <v>2</v>
      </c>
      <c r="N12" s="25" t="n"/>
      <c r="O12" s="40" t="n"/>
    </row>
    <row r="13">
      <c r="B13" s="40" t="n"/>
      <c r="C13" s="15" t="inlineStr">
        <is>
          <t>LOSA</t>
        </is>
      </c>
      <c r="D13" s="25" t="inlineStr">
        <is>
          <t>ESPESOR</t>
        </is>
      </c>
      <c r="E13" s="35">
        <f>PARAMETROS!$B$8</f>
        <v/>
      </c>
      <c r="F13" s="38">
        <f>E13*E14*E15</f>
        <v/>
      </c>
      <c r="G13" s="40" t="n"/>
      <c r="J13" s="40" t="n"/>
      <c r="K13" s="15" t="inlineStr">
        <is>
          <t>LOSA</t>
        </is>
      </c>
      <c r="L13" s="25" t="inlineStr">
        <is>
          <t>ESPESOR</t>
        </is>
      </c>
      <c r="M13" s="35">
        <f>PARAMETROS!$B$8</f>
        <v/>
      </c>
      <c r="N13" s="38">
        <f>M13*M14*M15</f>
        <v/>
      </c>
      <c r="O13" s="40" t="n"/>
    </row>
    <row r="14">
      <c r="B14" s="40" t="n"/>
      <c r="C14" s="40" t="n"/>
      <c r="D14" s="25" t="inlineStr">
        <is>
          <t>LONGITUD</t>
        </is>
      </c>
      <c r="E14" s="35" t="n">
        <v>34.34</v>
      </c>
      <c r="F14" s="25" t="n"/>
      <c r="G14" s="40" t="n"/>
      <c r="J14" s="40" t="n"/>
      <c r="K14" s="40" t="n"/>
      <c r="L14" s="25" t="inlineStr">
        <is>
          <t>LONGITUD</t>
        </is>
      </c>
      <c r="M14" s="35" t="n">
        <v>76.04000000000001</v>
      </c>
      <c r="N14" s="25" t="n"/>
      <c r="O14" s="40" t="n"/>
    </row>
    <row r="15">
      <c r="B15" s="40" t="n"/>
      <c r="C15" s="41" t="n"/>
      <c r="D15" s="25" t="inlineStr">
        <is>
          <t>ANCHO</t>
        </is>
      </c>
      <c r="E15" s="35">
        <f>PARAMETROS!$B$5</f>
        <v/>
      </c>
      <c r="F15" s="25" t="n"/>
      <c r="G15" s="40" t="n"/>
      <c r="J15" s="40" t="n"/>
      <c r="K15" s="41" t="n"/>
      <c r="L15" s="25" t="inlineStr">
        <is>
          <t>ANCHO</t>
        </is>
      </c>
      <c r="M15" s="35">
        <f>PARAMETROS!$B$5</f>
        <v/>
      </c>
      <c r="N15" s="25" t="n"/>
      <c r="O15" s="40" t="n"/>
    </row>
    <row r="16">
      <c r="B16" s="40" t="n"/>
      <c r="C16" s="15" t="inlineStr">
        <is>
          <t>TAPA</t>
        </is>
      </c>
      <c r="D16" s="25" t="inlineStr">
        <is>
          <t>LONGITUD</t>
        </is>
      </c>
      <c r="E16" s="35" t="n">
        <v>0</v>
      </c>
      <c r="F16" s="38">
        <f>E16*E17*E18</f>
        <v/>
      </c>
      <c r="G16" s="40" t="n"/>
      <c r="J16" s="40" t="n"/>
      <c r="K16" s="15" t="inlineStr">
        <is>
          <t>TAPA</t>
        </is>
      </c>
      <c r="L16" s="25" t="inlineStr">
        <is>
          <t>LONGITUD</t>
        </is>
      </c>
      <c r="M16" s="35" t="n">
        <v>0.76</v>
      </c>
      <c r="N16" s="38">
        <f>M16*M17*M18</f>
        <v/>
      </c>
      <c r="O16" s="40" t="n"/>
    </row>
    <row r="17">
      <c r="B17" s="40" t="n"/>
      <c r="C17" s="40" t="n"/>
      <c r="D17" s="25" t="inlineStr">
        <is>
          <t>ESPESOR</t>
        </is>
      </c>
      <c r="E17" s="35">
        <f>PARAMETROS!$B$9</f>
        <v/>
      </c>
      <c r="F17" s="25" t="n"/>
      <c r="G17" s="40" t="n"/>
      <c r="J17" s="40" t="n"/>
      <c r="K17" s="40" t="n"/>
      <c r="L17" s="25" t="inlineStr">
        <is>
          <t>ESPESOR</t>
        </is>
      </c>
      <c r="M17" s="35">
        <f>PARAMETROS!$B$9</f>
        <v/>
      </c>
      <c r="N17" s="25" t="n"/>
      <c r="O17" s="40" t="n"/>
    </row>
    <row r="18">
      <c r="B18" s="40" t="n"/>
      <c r="C18" s="41" t="n"/>
      <c r="D18" s="25" t="inlineStr">
        <is>
          <t>ANCHO</t>
        </is>
      </c>
      <c r="E18" s="35">
        <f>PARAMETROS!$B$5</f>
        <v/>
      </c>
      <c r="F18" s="25" t="n"/>
      <c r="G18" s="40" t="n"/>
      <c r="J18" s="40" t="n"/>
      <c r="K18" s="41" t="n"/>
      <c r="L18" s="25" t="inlineStr">
        <is>
          <t>ANCHO</t>
        </is>
      </c>
      <c r="M18" s="35">
        <f>PARAMETROS!$B$5</f>
        <v/>
      </c>
      <c r="N18" s="25" t="n"/>
      <c r="O18" s="40" t="n"/>
    </row>
    <row r="19">
      <c r="B19" s="40" t="n"/>
      <c r="C19" s="15" t="inlineStr">
        <is>
          <t>DESC. TAPAS</t>
        </is>
      </c>
      <c r="D19" s="25" t="inlineStr">
        <is>
          <t>CANT.</t>
        </is>
      </c>
      <c r="E19" s="42" t="n">
        <v>0</v>
      </c>
      <c r="F19" s="38">
        <f>E19*E20*E20*E21</f>
        <v/>
      </c>
      <c r="G19" s="40" t="n"/>
      <c r="J19" s="40" t="n"/>
      <c r="K19" s="15" t="inlineStr">
        <is>
          <t>DESC. TAPAS</t>
        </is>
      </c>
      <c r="L19" s="25" t="inlineStr">
        <is>
          <t>CANT.</t>
        </is>
      </c>
      <c r="M19" s="42" t="n">
        <v>-1</v>
      </c>
      <c r="N19" s="38">
        <f>M19*M20*M20*M21</f>
        <v/>
      </c>
      <c r="O19" s="40" t="n"/>
    </row>
    <row r="20">
      <c r="B20" s="40" t="n"/>
      <c r="C20" s="40" t="n"/>
      <c r="D20" s="25" t="inlineStr">
        <is>
          <t>LADO</t>
        </is>
      </c>
      <c r="E20" s="35">
        <f>PARAMETROS!$B$21</f>
        <v/>
      </c>
      <c r="F20" s="25" t="n"/>
      <c r="G20" s="40" t="n"/>
      <c r="J20" s="40" t="n"/>
      <c r="K20" s="40" t="n"/>
      <c r="L20" s="25" t="inlineStr">
        <is>
          <t>LADO</t>
        </is>
      </c>
      <c r="M20" s="35">
        <f>PARAMETROS!$B$21</f>
        <v/>
      </c>
      <c r="N20" s="25" t="n"/>
      <c r="O20" s="40" t="n"/>
    </row>
    <row r="21">
      <c r="B21" s="41" t="n"/>
      <c r="C21" s="41" t="n"/>
      <c r="D21" s="25" t="inlineStr">
        <is>
          <t>ESPESOR</t>
        </is>
      </c>
      <c r="E21" s="35">
        <f>PARAMETROS!$B$22</f>
        <v/>
      </c>
      <c r="F21" s="25" t="n"/>
      <c r="G21" s="41" t="n"/>
      <c r="J21" s="41" t="n"/>
      <c r="K21" s="41" t="n"/>
      <c r="L21" s="25" t="inlineStr">
        <is>
          <t>ESPESOR</t>
        </is>
      </c>
      <c r="M21" s="35">
        <f>PARAMETROS!$B$22</f>
        <v/>
      </c>
      <c r="N21" s="25" t="n"/>
      <c r="O21" s="41" t="n"/>
    </row>
    <row r="25">
      <c r="B25" s="36" t="inlineStr">
        <is>
          <t>LONGITUDES Y AREAS</t>
        </is>
      </c>
      <c r="C25" s="17" t="n"/>
      <c r="D25" s="18" t="n"/>
      <c r="E25" s="36" t="inlineStr">
        <is>
          <t>m3</t>
        </is>
      </c>
      <c r="F25" s="36" t="inlineStr">
        <is>
          <t>Sub.TOTAL</t>
        </is>
      </c>
      <c r="G25" s="36" t="inlineStr">
        <is>
          <t>TOTAL (m3)</t>
        </is>
      </c>
      <c r="J25" s="36" t="inlineStr">
        <is>
          <t>LONGITUDES Y AREAS</t>
        </is>
      </c>
      <c r="K25" s="17" t="n"/>
      <c r="L25" s="18" t="n"/>
      <c r="M25" s="36" t="inlineStr">
        <is>
          <t>m3</t>
        </is>
      </c>
      <c r="N25" s="36" t="inlineStr">
        <is>
          <t>Sub.TOTAL</t>
        </is>
      </c>
      <c r="O25" s="36" t="inlineStr">
        <is>
          <t>TOTAL (m3)</t>
        </is>
      </c>
    </row>
    <row r="26">
      <c r="B26" s="37" t="inlineStr">
        <is>
          <t>CUNETA EJE-03</t>
        </is>
      </c>
      <c r="C26" s="15" t="inlineStr">
        <is>
          <t>MUROS</t>
        </is>
      </c>
      <c r="D26" s="25" t="inlineStr">
        <is>
          <t>AREA</t>
        </is>
      </c>
      <c r="E26" s="35">
        <f>32.31*0.381</f>
        <v/>
      </c>
      <c r="F26" s="38">
        <f>E26*E27*E28</f>
        <v/>
      </c>
      <c r="G26" s="39">
        <f>SUM(F26:F37)</f>
        <v/>
      </c>
      <c r="J26" s="37" t="inlineStr">
        <is>
          <t>CUNETA EJE-04</t>
        </is>
      </c>
      <c r="K26" s="15" t="inlineStr">
        <is>
          <t>MUROS</t>
        </is>
      </c>
      <c r="L26" s="25" t="inlineStr">
        <is>
          <t>AREA</t>
        </is>
      </c>
      <c r="M26" s="35">
        <f>94.34*0.536</f>
        <v/>
      </c>
      <c r="N26" s="38">
        <f>M26*M27*M28</f>
        <v/>
      </c>
      <c r="O26" s="39">
        <f>SUM(N26:N37)</f>
        <v/>
      </c>
    </row>
    <row r="27">
      <c r="B27" s="40" t="n"/>
      <c r="C27" s="40" t="n"/>
      <c r="D27" s="25" t="inlineStr">
        <is>
          <t>ESPESOR</t>
        </is>
      </c>
      <c r="E27" s="35">
        <f>PARAMETROS!$B$7</f>
        <v/>
      </c>
      <c r="F27" s="25" t="n"/>
      <c r="G27" s="40" t="n"/>
      <c r="J27" s="40" t="n"/>
      <c r="K27" s="40" t="n"/>
      <c r="L27" s="25" t="inlineStr">
        <is>
          <t>ESPESOR</t>
        </is>
      </c>
      <c r="M27" s="35">
        <f>PARAMETROS!$B$7</f>
        <v/>
      </c>
      <c r="N27" s="25" t="n"/>
      <c r="O27" s="40" t="n"/>
    </row>
    <row r="28">
      <c r="B28" s="40" t="n"/>
      <c r="C28" s="41" t="n"/>
      <c r="D28" s="25" t="inlineStr">
        <is>
          <t>CANT.</t>
        </is>
      </c>
      <c r="E28" s="42" t="n">
        <v>2</v>
      </c>
      <c r="F28" s="25" t="n"/>
      <c r="G28" s="40" t="n"/>
      <c r="J28" s="40" t="n"/>
      <c r="K28" s="41" t="n"/>
      <c r="L28" s="25" t="inlineStr">
        <is>
          <t>CANT.</t>
        </is>
      </c>
      <c r="M28" s="42" t="n">
        <v>2</v>
      </c>
      <c r="N28" s="25" t="n"/>
      <c r="O28" s="40" t="n"/>
    </row>
    <row r="29">
      <c r="B29" s="40" t="n"/>
      <c r="C29" s="15" t="inlineStr">
        <is>
          <t>LOSA</t>
        </is>
      </c>
      <c r="D29" s="25" t="inlineStr">
        <is>
          <t>ESPESOR</t>
        </is>
      </c>
      <c r="E29" s="35">
        <f>PARAMETROS!$B$8</f>
        <v/>
      </c>
      <c r="F29" s="38">
        <f>E29*E30*E31</f>
        <v/>
      </c>
      <c r="G29" s="40" t="n"/>
      <c r="J29" s="40" t="n"/>
      <c r="K29" s="15" t="inlineStr">
        <is>
          <t>LOSA</t>
        </is>
      </c>
      <c r="L29" s="25" t="inlineStr">
        <is>
          <t>ESPESOR</t>
        </is>
      </c>
      <c r="M29" s="35">
        <f>PARAMETROS!$B$8</f>
        <v/>
      </c>
      <c r="N29" s="38">
        <f>M29*M30*M31</f>
        <v/>
      </c>
      <c r="O29" s="40" t="n"/>
    </row>
    <row r="30">
      <c r="B30" s="40" t="n"/>
      <c r="C30" s="40" t="n"/>
      <c r="D30" s="25" t="inlineStr">
        <is>
          <t>LONGITUD</t>
        </is>
      </c>
      <c r="E30" s="35" t="n">
        <v>32.31</v>
      </c>
      <c r="F30" s="25" t="n"/>
      <c r="G30" s="40" t="n"/>
      <c r="J30" s="40" t="n"/>
      <c r="K30" s="40" t="n"/>
      <c r="L30" s="25" t="inlineStr">
        <is>
          <t>LONGITUD</t>
        </is>
      </c>
      <c r="M30" s="35" t="n">
        <v>94.34</v>
      </c>
      <c r="N30" s="25" t="n"/>
      <c r="O30" s="40" t="n"/>
    </row>
    <row r="31">
      <c r="B31" s="40" t="n"/>
      <c r="C31" s="41" t="n"/>
      <c r="D31" s="25" t="inlineStr">
        <is>
          <t>ANCHO</t>
        </is>
      </c>
      <c r="E31" s="35">
        <f>PARAMETROS!$B$5</f>
        <v/>
      </c>
      <c r="F31" s="25" t="n"/>
      <c r="G31" s="40" t="n"/>
      <c r="J31" s="40" t="n"/>
      <c r="K31" s="41" t="n"/>
      <c r="L31" s="25" t="inlineStr">
        <is>
          <t>ANCHO</t>
        </is>
      </c>
      <c r="M31" s="35">
        <f>PARAMETROS!$B$5</f>
        <v/>
      </c>
      <c r="N31" s="25" t="n"/>
      <c r="O31" s="40" t="n"/>
    </row>
    <row r="32">
      <c r="B32" s="40" t="n"/>
      <c r="C32" s="15" t="inlineStr">
        <is>
          <t>TAPA</t>
        </is>
      </c>
      <c r="D32" s="25" t="inlineStr">
        <is>
          <t>LONGITUD</t>
        </is>
      </c>
      <c r="E32" s="35" t="n">
        <v>0</v>
      </c>
      <c r="F32" s="38">
        <f>E32*E33*E34</f>
        <v/>
      </c>
      <c r="G32" s="40" t="n"/>
      <c r="J32" s="40" t="n"/>
      <c r="K32" s="15" t="inlineStr">
        <is>
          <t>TAPA</t>
        </is>
      </c>
      <c r="L32" s="25" t="inlineStr">
        <is>
          <t>LONGITUD</t>
        </is>
      </c>
      <c r="M32" s="35" t="n">
        <v>0</v>
      </c>
      <c r="N32" s="38">
        <f>M32*M33*M34</f>
        <v/>
      </c>
      <c r="O32" s="40" t="n"/>
    </row>
    <row r="33">
      <c r="B33" s="40" t="n"/>
      <c r="C33" s="40" t="n"/>
      <c r="D33" s="25" t="inlineStr">
        <is>
          <t>ESPESOR</t>
        </is>
      </c>
      <c r="E33" s="35">
        <f>PARAMETROS!$B$9</f>
        <v/>
      </c>
      <c r="F33" s="25" t="n"/>
      <c r="G33" s="40" t="n"/>
      <c r="J33" s="40" t="n"/>
      <c r="K33" s="40" t="n"/>
      <c r="L33" s="25" t="inlineStr">
        <is>
          <t>ESPESOR</t>
        </is>
      </c>
      <c r="M33" s="35">
        <f>PARAMETROS!$B$9</f>
        <v/>
      </c>
      <c r="N33" s="25" t="n"/>
      <c r="O33" s="40" t="n"/>
    </row>
    <row r="34">
      <c r="B34" s="40" t="n"/>
      <c r="C34" s="41" t="n"/>
      <c r="D34" s="25" t="inlineStr">
        <is>
          <t>ANCHO</t>
        </is>
      </c>
      <c r="E34" s="35">
        <f>PARAMETROS!$B$5</f>
        <v/>
      </c>
      <c r="F34" s="25" t="n"/>
      <c r="G34" s="40" t="n"/>
      <c r="J34" s="40" t="n"/>
      <c r="K34" s="41" t="n"/>
      <c r="L34" s="25" t="inlineStr">
        <is>
          <t>ANCHO</t>
        </is>
      </c>
      <c r="M34" s="35">
        <f>PARAMETROS!$B$5</f>
        <v/>
      </c>
      <c r="N34" s="25" t="n"/>
      <c r="O34" s="40" t="n"/>
    </row>
    <row r="35">
      <c r="B35" s="40" t="n"/>
      <c r="C35" s="15" t="inlineStr">
        <is>
          <t>DESC. TAPAS</t>
        </is>
      </c>
      <c r="D35" s="25" t="inlineStr">
        <is>
          <t>CANT.</t>
        </is>
      </c>
      <c r="E35" s="42" t="n">
        <v>0</v>
      </c>
      <c r="F35" s="38">
        <f>E35*E36*E36*E37</f>
        <v/>
      </c>
      <c r="G35" s="40" t="n"/>
      <c r="J35" s="40" t="n"/>
      <c r="K35" s="15" t="inlineStr">
        <is>
          <t>DESC. TAPAS</t>
        </is>
      </c>
      <c r="L35" s="25" t="inlineStr">
        <is>
          <t>CANT.</t>
        </is>
      </c>
      <c r="M35" s="42" t="n">
        <v>0</v>
      </c>
      <c r="N35" s="38">
        <f>M35*M36*M36*M37</f>
        <v/>
      </c>
      <c r="O35" s="40" t="n"/>
    </row>
    <row r="36">
      <c r="B36" s="40" t="n"/>
      <c r="C36" s="40" t="n"/>
      <c r="D36" s="25" t="inlineStr">
        <is>
          <t>LADO</t>
        </is>
      </c>
      <c r="E36" s="35">
        <f>PARAMETROS!$B$21</f>
        <v/>
      </c>
      <c r="F36" s="25" t="n"/>
      <c r="G36" s="40" t="n"/>
      <c r="J36" s="40" t="n"/>
      <c r="K36" s="40" t="n"/>
      <c r="L36" s="25" t="inlineStr">
        <is>
          <t>LADO</t>
        </is>
      </c>
      <c r="M36" s="35">
        <f>PARAMETROS!$B$21</f>
        <v/>
      </c>
      <c r="N36" s="25" t="n"/>
      <c r="O36" s="40" t="n"/>
    </row>
    <row r="37">
      <c r="B37" s="41" t="n"/>
      <c r="C37" s="41" t="n"/>
      <c r="D37" s="25" t="inlineStr">
        <is>
          <t>ESPESOR</t>
        </is>
      </c>
      <c r="E37" s="35">
        <f>PARAMETROS!$B$22</f>
        <v/>
      </c>
      <c r="F37" s="25" t="n"/>
      <c r="G37" s="41" t="n"/>
      <c r="J37" s="41" t="n"/>
      <c r="K37" s="41" t="n"/>
      <c r="L37" s="25" t="inlineStr">
        <is>
          <t>ESPESOR</t>
        </is>
      </c>
      <c r="M37" s="35">
        <f>PARAMETROS!$B$22</f>
        <v/>
      </c>
      <c r="N37" s="25" t="n"/>
      <c r="O37" s="41" t="n"/>
    </row>
    <row r="41">
      <c r="B41" s="36" t="inlineStr">
        <is>
          <t>LONGITUDES Y AREAS</t>
        </is>
      </c>
      <c r="C41" s="17" t="n"/>
      <c r="D41" s="18" t="n"/>
      <c r="E41" s="36" t="inlineStr">
        <is>
          <t>m3</t>
        </is>
      </c>
      <c r="F41" s="36" t="inlineStr">
        <is>
          <t>Sub.TOTAL</t>
        </is>
      </c>
      <c r="G41" s="36" t="inlineStr">
        <is>
          <t>TOTAL (m3)</t>
        </is>
      </c>
      <c r="J41" s="36" t="inlineStr">
        <is>
          <t>LONGITUDES Y AREAS</t>
        </is>
      </c>
      <c r="K41" s="17" t="n"/>
      <c r="L41" s="18" t="n"/>
      <c r="M41" s="36" t="inlineStr">
        <is>
          <t>m3</t>
        </is>
      </c>
      <c r="N41" s="36" t="inlineStr">
        <is>
          <t>Sub.TOTAL</t>
        </is>
      </c>
      <c r="O41" s="36" t="inlineStr">
        <is>
          <t>TOTAL (m3)</t>
        </is>
      </c>
    </row>
    <row r="42">
      <c r="B42" s="37" t="inlineStr">
        <is>
          <t>CUNETA EJE-05</t>
        </is>
      </c>
      <c r="C42" s="15" t="inlineStr">
        <is>
          <t>MUROS</t>
        </is>
      </c>
      <c r="D42" s="25" t="inlineStr">
        <is>
          <t>AREA</t>
        </is>
      </c>
      <c r="E42" s="35">
        <f>90.56*0.526</f>
        <v/>
      </c>
      <c r="F42" s="38">
        <f>E42*E43*E44</f>
        <v/>
      </c>
      <c r="G42" s="39">
        <f>SUM(F42:F53)</f>
        <v/>
      </c>
      <c r="J42" s="37" t="inlineStr">
        <is>
          <t>CUNETA EJE-06</t>
        </is>
      </c>
      <c r="K42" s="15" t="inlineStr">
        <is>
          <t>MUROS</t>
        </is>
      </c>
      <c r="L42" s="25" t="inlineStr">
        <is>
          <t>AREA</t>
        </is>
      </c>
      <c r="M42" s="35">
        <f>12.30*0.331</f>
        <v/>
      </c>
      <c r="N42" s="38">
        <f>M42*M43*M44</f>
        <v/>
      </c>
      <c r="O42" s="39">
        <f>SUM(N42:N53)</f>
        <v/>
      </c>
    </row>
    <row r="43">
      <c r="B43" s="40" t="n"/>
      <c r="C43" s="40" t="n"/>
      <c r="D43" s="25" t="inlineStr">
        <is>
          <t>ESPESOR</t>
        </is>
      </c>
      <c r="E43" s="35">
        <f>PARAMETROS!$B$7</f>
        <v/>
      </c>
      <c r="F43" s="25" t="n"/>
      <c r="G43" s="40" t="n"/>
      <c r="J43" s="40" t="n"/>
      <c r="K43" s="40" t="n"/>
      <c r="L43" s="25" t="inlineStr">
        <is>
          <t>ESPESOR</t>
        </is>
      </c>
      <c r="M43" s="35">
        <f>PARAMETROS!$B$7</f>
        <v/>
      </c>
      <c r="N43" s="25" t="n"/>
      <c r="O43" s="40" t="n"/>
    </row>
    <row r="44">
      <c r="B44" s="40" t="n"/>
      <c r="C44" s="41" t="n"/>
      <c r="D44" s="25" t="inlineStr">
        <is>
          <t>CANT.</t>
        </is>
      </c>
      <c r="E44" s="42" t="n">
        <v>2</v>
      </c>
      <c r="F44" s="25" t="n"/>
      <c r="G44" s="40" t="n"/>
      <c r="J44" s="40" t="n"/>
      <c r="K44" s="41" t="n"/>
      <c r="L44" s="25" t="inlineStr">
        <is>
          <t>CANT.</t>
        </is>
      </c>
      <c r="M44" s="42" t="n">
        <v>2</v>
      </c>
      <c r="N44" s="25" t="n"/>
      <c r="O44" s="40" t="n"/>
    </row>
    <row r="45">
      <c r="B45" s="40" t="n"/>
      <c r="C45" s="15" t="inlineStr">
        <is>
          <t>LOSA</t>
        </is>
      </c>
      <c r="D45" s="25" t="inlineStr">
        <is>
          <t>ESPESOR</t>
        </is>
      </c>
      <c r="E45" s="35">
        <f>PARAMETROS!$B$8</f>
        <v/>
      </c>
      <c r="F45" s="38">
        <f>E45*E46*E47</f>
        <v/>
      </c>
      <c r="G45" s="40" t="n"/>
      <c r="J45" s="40" t="n"/>
      <c r="K45" s="15" t="inlineStr">
        <is>
          <t>LOSA</t>
        </is>
      </c>
      <c r="L45" s="25" t="inlineStr">
        <is>
          <t>ESPESOR</t>
        </is>
      </c>
      <c r="M45" s="35">
        <f>PARAMETROS!$B$8</f>
        <v/>
      </c>
      <c r="N45" s="38">
        <f>M45*M46*M47</f>
        <v/>
      </c>
      <c r="O45" s="40" t="n"/>
    </row>
    <row r="46">
      <c r="B46" s="40" t="n"/>
      <c r="C46" s="40" t="n"/>
      <c r="D46" s="25" t="inlineStr">
        <is>
          <t>LONGITUD</t>
        </is>
      </c>
      <c r="E46" s="35" t="n">
        <v>90.56</v>
      </c>
      <c r="F46" s="25" t="n"/>
      <c r="G46" s="40" t="n"/>
      <c r="J46" s="40" t="n"/>
      <c r="K46" s="40" t="n"/>
      <c r="L46" s="25" t="inlineStr">
        <is>
          <t>LONGITUD</t>
        </is>
      </c>
      <c r="M46" s="35" t="n">
        <v>12.3</v>
      </c>
      <c r="N46" s="25" t="n"/>
      <c r="O46" s="40" t="n"/>
    </row>
    <row r="47">
      <c r="B47" s="40" t="n"/>
      <c r="C47" s="41" t="n"/>
      <c r="D47" s="25" t="inlineStr">
        <is>
          <t>ANCHO</t>
        </is>
      </c>
      <c r="E47" s="35">
        <f>PARAMETROS!$B$5</f>
        <v/>
      </c>
      <c r="F47" s="25" t="n"/>
      <c r="G47" s="40" t="n"/>
      <c r="J47" s="40" t="n"/>
      <c r="K47" s="41" t="n"/>
      <c r="L47" s="25" t="inlineStr">
        <is>
          <t>ANCHO</t>
        </is>
      </c>
      <c r="M47" s="35">
        <f>PARAMETROS!$B$5</f>
        <v/>
      </c>
      <c r="N47" s="25" t="n"/>
      <c r="O47" s="40" t="n"/>
    </row>
    <row r="48">
      <c r="B48" s="40" t="n"/>
      <c r="C48" s="15" t="inlineStr">
        <is>
          <t>TAPA</t>
        </is>
      </c>
      <c r="D48" s="25" t="inlineStr">
        <is>
          <t>LONGITUD</t>
        </is>
      </c>
      <c r="E48" s="35" t="n">
        <v>0</v>
      </c>
      <c r="F48" s="38">
        <f>E48*E49*E50</f>
        <v/>
      </c>
      <c r="G48" s="40" t="n"/>
      <c r="J48" s="40" t="n"/>
      <c r="K48" s="15" t="inlineStr">
        <is>
          <t>TAPA</t>
        </is>
      </c>
      <c r="L48" s="25" t="inlineStr">
        <is>
          <t>LONGITUD</t>
        </is>
      </c>
      <c r="M48" s="35" t="n">
        <v>0</v>
      </c>
      <c r="N48" s="38">
        <f>M48*M49*M50</f>
        <v/>
      </c>
      <c r="O48" s="40" t="n"/>
    </row>
    <row r="49">
      <c r="B49" s="40" t="n"/>
      <c r="C49" s="40" t="n"/>
      <c r="D49" s="25" t="inlineStr">
        <is>
          <t>ESPESOR</t>
        </is>
      </c>
      <c r="E49" s="35">
        <f>PARAMETROS!$B$9</f>
        <v/>
      </c>
      <c r="F49" s="25" t="n"/>
      <c r="G49" s="40" t="n"/>
      <c r="J49" s="40" t="n"/>
      <c r="K49" s="40" t="n"/>
      <c r="L49" s="25" t="inlineStr">
        <is>
          <t>ESPESOR</t>
        </is>
      </c>
      <c r="M49" s="35">
        <f>PARAMETROS!$B$9</f>
        <v/>
      </c>
      <c r="N49" s="25" t="n"/>
      <c r="O49" s="40" t="n"/>
    </row>
    <row r="50">
      <c r="B50" s="40" t="n"/>
      <c r="C50" s="41" t="n"/>
      <c r="D50" s="25" t="inlineStr">
        <is>
          <t>ANCHO</t>
        </is>
      </c>
      <c r="E50" s="35">
        <f>PARAMETROS!$B$5</f>
        <v/>
      </c>
      <c r="F50" s="25" t="n"/>
      <c r="G50" s="40" t="n"/>
      <c r="J50" s="40" t="n"/>
      <c r="K50" s="41" t="n"/>
      <c r="L50" s="25" t="inlineStr">
        <is>
          <t>ANCHO</t>
        </is>
      </c>
      <c r="M50" s="35">
        <f>PARAMETROS!$B$5</f>
        <v/>
      </c>
      <c r="N50" s="25" t="n"/>
      <c r="O50" s="40" t="n"/>
    </row>
    <row r="51">
      <c r="B51" s="40" t="n"/>
      <c r="C51" s="15" t="inlineStr">
        <is>
          <t>DESC. TAPAS</t>
        </is>
      </c>
      <c r="D51" s="25" t="inlineStr">
        <is>
          <t>CANT.</t>
        </is>
      </c>
      <c r="E51" s="42" t="n">
        <v>0</v>
      </c>
      <c r="F51" s="38">
        <f>E51*E52*E52*E53</f>
        <v/>
      </c>
      <c r="G51" s="40" t="n"/>
      <c r="J51" s="40" t="n"/>
      <c r="K51" s="15" t="inlineStr">
        <is>
          <t>DESC. TAPAS</t>
        </is>
      </c>
      <c r="L51" s="25" t="inlineStr">
        <is>
          <t>CANT.</t>
        </is>
      </c>
      <c r="M51" s="42" t="n">
        <v>0</v>
      </c>
      <c r="N51" s="38">
        <f>M51*M52*M52*M53</f>
        <v/>
      </c>
      <c r="O51" s="40" t="n"/>
    </row>
    <row r="52">
      <c r="B52" s="40" t="n"/>
      <c r="C52" s="40" t="n"/>
      <c r="D52" s="25" t="inlineStr">
        <is>
          <t>LADO</t>
        </is>
      </c>
      <c r="E52" s="35">
        <f>PARAMETROS!$B$21</f>
        <v/>
      </c>
      <c r="F52" s="25" t="n"/>
      <c r="G52" s="40" t="n"/>
      <c r="J52" s="40" t="n"/>
      <c r="K52" s="40" t="n"/>
      <c r="L52" s="25" t="inlineStr">
        <is>
          <t>LADO</t>
        </is>
      </c>
      <c r="M52" s="35">
        <f>PARAMETROS!$B$21</f>
        <v/>
      </c>
      <c r="N52" s="25" t="n"/>
      <c r="O52" s="40" t="n"/>
    </row>
    <row r="53">
      <c r="B53" s="41" t="n"/>
      <c r="C53" s="41" t="n"/>
      <c r="D53" s="25" t="inlineStr">
        <is>
          <t>ESPESOR</t>
        </is>
      </c>
      <c r="E53" s="35">
        <f>PARAMETROS!$B$22</f>
        <v/>
      </c>
      <c r="F53" s="25" t="n"/>
      <c r="G53" s="41" t="n"/>
      <c r="J53" s="41" t="n"/>
      <c r="K53" s="41" t="n"/>
      <c r="L53" s="25" t="inlineStr">
        <is>
          <t>ESPESOR</t>
        </is>
      </c>
      <c r="M53" s="35">
        <f>PARAMETROS!$B$22</f>
        <v/>
      </c>
      <c r="N53" s="25" t="n"/>
      <c r="O53" s="41" t="n"/>
    </row>
    <row r="57">
      <c r="B57" s="36" t="inlineStr">
        <is>
          <t>LONGITUDES Y AREAS</t>
        </is>
      </c>
      <c r="C57" s="17" t="n"/>
      <c r="D57" s="18" t="n"/>
      <c r="E57" s="36" t="inlineStr">
        <is>
          <t>m3</t>
        </is>
      </c>
      <c r="F57" s="36" t="inlineStr">
        <is>
          <t>Sub.TOTAL</t>
        </is>
      </c>
      <c r="G57" s="36" t="inlineStr">
        <is>
          <t>TOTAL (m3)</t>
        </is>
      </c>
      <c r="J57" s="36" t="inlineStr">
        <is>
          <t>LONGITUDES Y AREAS</t>
        </is>
      </c>
      <c r="K57" s="17" t="n"/>
      <c r="L57" s="18" t="n"/>
      <c r="M57" s="36" t="inlineStr">
        <is>
          <t>m3</t>
        </is>
      </c>
      <c r="N57" s="36" t="inlineStr">
        <is>
          <t>Sub.TOTAL</t>
        </is>
      </c>
      <c r="O57" s="36" t="inlineStr">
        <is>
          <t>TOTAL (m3)</t>
        </is>
      </c>
    </row>
    <row r="58">
      <c r="B58" s="37" t="inlineStr">
        <is>
          <t>CUNETA EJE-07</t>
        </is>
      </c>
      <c r="C58" s="15" t="inlineStr">
        <is>
          <t>MUROS</t>
        </is>
      </c>
      <c r="D58" s="25" t="inlineStr">
        <is>
          <t>AREA</t>
        </is>
      </c>
      <c r="E58" s="35">
        <f>94.69*0.645</f>
        <v/>
      </c>
      <c r="F58" s="38">
        <f>E58*E59*E60</f>
        <v/>
      </c>
      <c r="G58" s="39">
        <f>SUM(F58:F69)</f>
        <v/>
      </c>
      <c r="J58" s="37" t="inlineStr">
        <is>
          <t>CUNETA EJE-08</t>
        </is>
      </c>
      <c r="K58" s="15" t="inlineStr">
        <is>
          <t>MUROS</t>
        </is>
      </c>
      <c r="L58" s="25" t="inlineStr">
        <is>
          <t>AREA</t>
        </is>
      </c>
      <c r="M58" s="35">
        <f>39.68*0.399</f>
        <v/>
      </c>
      <c r="N58" s="38">
        <f>M58*M59*M60</f>
        <v/>
      </c>
      <c r="O58" s="39">
        <f>SUM(N58:N69)</f>
        <v/>
      </c>
    </row>
    <row r="59">
      <c r="B59" s="40" t="n"/>
      <c r="C59" s="40" t="n"/>
      <c r="D59" s="25" t="inlineStr">
        <is>
          <t>ESPESOR</t>
        </is>
      </c>
      <c r="E59" s="35">
        <f>PARAMETROS!$B$7</f>
        <v/>
      </c>
      <c r="F59" s="25" t="n"/>
      <c r="G59" s="40" t="n"/>
      <c r="J59" s="40" t="n"/>
      <c r="K59" s="40" t="n"/>
      <c r="L59" s="25" t="inlineStr">
        <is>
          <t>ESPESOR</t>
        </is>
      </c>
      <c r="M59" s="35">
        <f>PARAMETROS!$B$7</f>
        <v/>
      </c>
      <c r="N59" s="25" t="n"/>
      <c r="O59" s="40" t="n"/>
    </row>
    <row r="60">
      <c r="B60" s="40" t="n"/>
      <c r="C60" s="41" t="n"/>
      <c r="D60" s="25" t="inlineStr">
        <is>
          <t>CANT.</t>
        </is>
      </c>
      <c r="E60" s="42" t="n">
        <v>2</v>
      </c>
      <c r="F60" s="25" t="n"/>
      <c r="G60" s="40" t="n"/>
      <c r="J60" s="40" t="n"/>
      <c r="K60" s="41" t="n"/>
      <c r="L60" s="25" t="inlineStr">
        <is>
          <t>CANT.</t>
        </is>
      </c>
      <c r="M60" s="42" t="n">
        <v>2</v>
      </c>
      <c r="N60" s="25" t="n"/>
      <c r="O60" s="40" t="n"/>
    </row>
    <row r="61">
      <c r="B61" s="40" t="n"/>
      <c r="C61" s="15" t="inlineStr">
        <is>
          <t>LOSA</t>
        </is>
      </c>
      <c r="D61" s="25" t="inlineStr">
        <is>
          <t>ESPESOR</t>
        </is>
      </c>
      <c r="E61" s="35">
        <f>PARAMETROS!$B$8</f>
        <v/>
      </c>
      <c r="F61" s="38">
        <f>E61*E62*E63</f>
        <v/>
      </c>
      <c r="G61" s="40" t="n"/>
      <c r="J61" s="40" t="n"/>
      <c r="K61" s="15" t="inlineStr">
        <is>
          <t>LOSA</t>
        </is>
      </c>
      <c r="L61" s="25" t="inlineStr">
        <is>
          <t>ESPESOR</t>
        </is>
      </c>
      <c r="M61" s="35">
        <f>PARAMETROS!$B$8</f>
        <v/>
      </c>
      <c r="N61" s="38">
        <f>M61*M62*M63</f>
        <v/>
      </c>
      <c r="O61" s="40" t="n"/>
    </row>
    <row r="62">
      <c r="B62" s="40" t="n"/>
      <c r="C62" s="40" t="n"/>
      <c r="D62" s="25" t="inlineStr">
        <is>
          <t>LONGITUD</t>
        </is>
      </c>
      <c r="E62" s="35" t="n">
        <v>94.69</v>
      </c>
      <c r="F62" s="25" t="n"/>
      <c r="G62" s="40" t="n"/>
      <c r="J62" s="40" t="n"/>
      <c r="K62" s="40" t="n"/>
      <c r="L62" s="25" t="inlineStr">
        <is>
          <t>LONGITUD</t>
        </is>
      </c>
      <c r="M62" s="35" t="n">
        <v>39.68</v>
      </c>
      <c r="N62" s="25" t="n"/>
      <c r="O62" s="40" t="n"/>
    </row>
    <row r="63">
      <c r="B63" s="40" t="n"/>
      <c r="C63" s="41" t="n"/>
      <c r="D63" s="25" t="inlineStr">
        <is>
          <t>ANCHO</t>
        </is>
      </c>
      <c r="E63" s="35">
        <f>PARAMETROS!$B$5</f>
        <v/>
      </c>
      <c r="F63" s="25" t="n"/>
      <c r="G63" s="40" t="n"/>
      <c r="J63" s="40" t="n"/>
      <c r="K63" s="41" t="n"/>
      <c r="L63" s="25" t="inlineStr">
        <is>
          <t>ANCHO</t>
        </is>
      </c>
      <c r="M63" s="35">
        <f>PARAMETROS!$B$5</f>
        <v/>
      </c>
      <c r="N63" s="25" t="n"/>
      <c r="O63" s="40" t="n"/>
    </row>
    <row r="64">
      <c r="B64" s="40" t="n"/>
      <c r="C64" s="15" t="inlineStr">
        <is>
          <t>TAPA</t>
        </is>
      </c>
      <c r="D64" s="25" t="inlineStr">
        <is>
          <t>LONGITUD</t>
        </is>
      </c>
      <c r="E64" s="35" t="n">
        <v>22.9</v>
      </c>
      <c r="F64" s="38">
        <f>E64*E65*E66</f>
        <v/>
      </c>
      <c r="G64" s="40" t="n"/>
      <c r="J64" s="40" t="n"/>
      <c r="K64" s="15" t="inlineStr">
        <is>
          <t>TAPA</t>
        </is>
      </c>
      <c r="L64" s="25" t="inlineStr">
        <is>
          <t>LONGITUD</t>
        </is>
      </c>
      <c r="M64" s="35" t="n">
        <v>0</v>
      </c>
      <c r="N64" s="38">
        <f>M64*M65*M66</f>
        <v/>
      </c>
      <c r="O64" s="40" t="n"/>
    </row>
    <row r="65">
      <c r="B65" s="40" t="n"/>
      <c r="C65" s="40" t="n"/>
      <c r="D65" s="25" t="inlineStr">
        <is>
          <t>ESPESOR</t>
        </is>
      </c>
      <c r="E65" s="35">
        <f>PARAMETROS!$B$9</f>
        <v/>
      </c>
      <c r="F65" s="25" t="n"/>
      <c r="G65" s="40" t="n"/>
      <c r="J65" s="40" t="n"/>
      <c r="K65" s="40" t="n"/>
      <c r="L65" s="25" t="inlineStr">
        <is>
          <t>ESPESOR</t>
        </is>
      </c>
      <c r="M65" s="35">
        <f>PARAMETROS!$B$9</f>
        <v/>
      </c>
      <c r="N65" s="25" t="n"/>
      <c r="O65" s="40" t="n"/>
    </row>
    <row r="66">
      <c r="B66" s="40" t="n"/>
      <c r="C66" s="41" t="n"/>
      <c r="D66" s="25" t="inlineStr">
        <is>
          <t>ANCHO</t>
        </is>
      </c>
      <c r="E66" s="35">
        <f>PARAMETROS!$B$5</f>
        <v/>
      </c>
      <c r="F66" s="25" t="n"/>
      <c r="G66" s="40" t="n"/>
      <c r="J66" s="40" t="n"/>
      <c r="K66" s="41" t="n"/>
      <c r="L66" s="25" t="inlineStr">
        <is>
          <t>ANCHO</t>
        </is>
      </c>
      <c r="M66" s="35">
        <f>PARAMETROS!$B$5</f>
        <v/>
      </c>
      <c r="N66" s="25" t="n"/>
      <c r="O66" s="40" t="n"/>
    </row>
    <row r="67">
      <c r="B67" s="40" t="n"/>
      <c r="C67" s="15" t="inlineStr">
        <is>
          <t>DESC. TAPAS</t>
        </is>
      </c>
      <c r="D67" s="25" t="inlineStr">
        <is>
          <t>CANT.</t>
        </is>
      </c>
      <c r="E67" s="42" t="n">
        <v>-4</v>
      </c>
      <c r="F67" s="38">
        <f>E67*E68*E68*E69</f>
        <v/>
      </c>
      <c r="G67" s="40" t="n"/>
      <c r="J67" s="40" t="n"/>
      <c r="K67" s="15" t="inlineStr">
        <is>
          <t>DESC. TAPAS</t>
        </is>
      </c>
      <c r="L67" s="25" t="inlineStr">
        <is>
          <t>CANT.</t>
        </is>
      </c>
      <c r="M67" s="42" t="n">
        <v>0</v>
      </c>
      <c r="N67" s="38">
        <f>M67*M68*M68*M69</f>
        <v/>
      </c>
      <c r="O67" s="40" t="n"/>
    </row>
    <row r="68">
      <c r="B68" s="40" t="n"/>
      <c r="C68" s="40" t="n"/>
      <c r="D68" s="25" t="inlineStr">
        <is>
          <t>LADO</t>
        </is>
      </c>
      <c r="E68" s="35">
        <f>PARAMETROS!$B$21</f>
        <v/>
      </c>
      <c r="F68" s="25" t="n"/>
      <c r="G68" s="40" t="n"/>
      <c r="J68" s="40" t="n"/>
      <c r="K68" s="40" t="n"/>
      <c r="L68" s="25" t="inlineStr">
        <is>
          <t>LADO</t>
        </is>
      </c>
      <c r="M68" s="35">
        <f>PARAMETROS!$B$21</f>
        <v/>
      </c>
      <c r="N68" s="25" t="n"/>
      <c r="O68" s="40" t="n"/>
    </row>
    <row r="69">
      <c r="B69" s="41" t="n"/>
      <c r="C69" s="41" t="n"/>
      <c r="D69" s="25" t="inlineStr">
        <is>
          <t>ESPESOR</t>
        </is>
      </c>
      <c r="E69" s="35">
        <f>PARAMETROS!$B$22</f>
        <v/>
      </c>
      <c r="F69" s="25" t="n"/>
      <c r="G69" s="41" t="n"/>
      <c r="J69" s="41" t="n"/>
      <c r="K69" s="41" t="n"/>
      <c r="L69" s="25" t="inlineStr">
        <is>
          <t>ESPESOR</t>
        </is>
      </c>
      <c r="M69" s="35">
        <f>PARAMETROS!$B$22</f>
        <v/>
      </c>
      <c r="N69" s="25" t="n"/>
      <c r="O69" s="41" t="n"/>
    </row>
    <row r="73">
      <c r="B73" s="36" t="inlineStr">
        <is>
          <t>LONGITUDES Y AREAS</t>
        </is>
      </c>
      <c r="C73" s="17" t="n"/>
      <c r="D73" s="18" t="n"/>
      <c r="E73" s="36" t="inlineStr">
        <is>
          <t>m3</t>
        </is>
      </c>
      <c r="F73" s="36" t="inlineStr">
        <is>
          <t>Sub.TOTAL</t>
        </is>
      </c>
      <c r="G73" s="36" t="inlineStr">
        <is>
          <t>TOTAL (m3)</t>
        </is>
      </c>
      <c r="J73" s="36" t="inlineStr">
        <is>
          <t>LONGITUDES Y AREAS</t>
        </is>
      </c>
      <c r="K73" s="17" t="n"/>
      <c r="L73" s="18" t="n"/>
      <c r="M73" s="36" t="inlineStr">
        <is>
          <t>m3</t>
        </is>
      </c>
      <c r="N73" s="36" t="inlineStr">
        <is>
          <t>Sub.TOTAL</t>
        </is>
      </c>
      <c r="O73" s="36" t="inlineStr">
        <is>
          <t>TOTAL (m3)</t>
        </is>
      </c>
    </row>
    <row r="74">
      <c r="B74" s="37" t="inlineStr">
        <is>
          <t>CUNETA EJE-09</t>
        </is>
      </c>
      <c r="C74" s="15" t="inlineStr">
        <is>
          <t>MUROS</t>
        </is>
      </c>
      <c r="D74" s="25" t="inlineStr">
        <is>
          <t>AREA</t>
        </is>
      </c>
      <c r="E74" s="35">
        <f>35.80*0.389</f>
        <v/>
      </c>
      <c r="F74" s="38">
        <f>E74*E75*E76</f>
        <v/>
      </c>
      <c r="G74" s="39">
        <f>SUM(F74:F85)</f>
        <v/>
      </c>
      <c r="J74" s="37" t="inlineStr">
        <is>
          <t>CUNETA EJE-10</t>
        </is>
      </c>
      <c r="K74" s="15" t="inlineStr">
        <is>
          <t>MUROS</t>
        </is>
      </c>
      <c r="L74" s="25" t="inlineStr">
        <is>
          <t>AREA</t>
        </is>
      </c>
      <c r="M74" s="35">
        <f>36.90*0.392</f>
        <v/>
      </c>
      <c r="N74" s="38">
        <f>M74*M75*M76</f>
        <v/>
      </c>
      <c r="O74" s="39">
        <f>SUM(N74:N85)</f>
        <v/>
      </c>
    </row>
    <row r="75">
      <c r="B75" s="40" t="n"/>
      <c r="C75" s="40" t="n"/>
      <c r="D75" s="25" t="inlineStr">
        <is>
          <t>ESPESOR</t>
        </is>
      </c>
      <c r="E75" s="35">
        <f>PARAMETROS!$B$7</f>
        <v/>
      </c>
      <c r="F75" s="25" t="n"/>
      <c r="G75" s="40" t="n"/>
      <c r="J75" s="40" t="n"/>
      <c r="K75" s="40" t="n"/>
      <c r="L75" s="25" t="inlineStr">
        <is>
          <t>ESPESOR</t>
        </is>
      </c>
      <c r="M75" s="35">
        <f>PARAMETROS!$B$7</f>
        <v/>
      </c>
      <c r="N75" s="25" t="n"/>
      <c r="O75" s="40" t="n"/>
    </row>
    <row r="76">
      <c r="B76" s="40" t="n"/>
      <c r="C76" s="41" t="n"/>
      <c r="D76" s="25" t="inlineStr">
        <is>
          <t>CANT.</t>
        </is>
      </c>
      <c r="E76" s="42" t="n">
        <v>2</v>
      </c>
      <c r="F76" s="25" t="n"/>
      <c r="G76" s="40" t="n"/>
      <c r="J76" s="40" t="n"/>
      <c r="K76" s="41" t="n"/>
      <c r="L76" s="25" t="inlineStr">
        <is>
          <t>CANT.</t>
        </is>
      </c>
      <c r="M76" s="42" t="n">
        <v>2</v>
      </c>
      <c r="N76" s="25" t="n"/>
      <c r="O76" s="40" t="n"/>
    </row>
    <row r="77">
      <c r="B77" s="40" t="n"/>
      <c r="C77" s="15" t="inlineStr">
        <is>
          <t>LOSA</t>
        </is>
      </c>
      <c r="D77" s="25" t="inlineStr">
        <is>
          <t>ESPESOR</t>
        </is>
      </c>
      <c r="E77" s="35">
        <f>PARAMETROS!$B$8</f>
        <v/>
      </c>
      <c r="F77" s="38">
        <f>E77*E78*E79</f>
        <v/>
      </c>
      <c r="G77" s="40" t="n"/>
      <c r="J77" s="40" t="n"/>
      <c r="K77" s="15" t="inlineStr">
        <is>
          <t>LOSA</t>
        </is>
      </c>
      <c r="L77" s="25" t="inlineStr">
        <is>
          <t>ESPESOR</t>
        </is>
      </c>
      <c r="M77" s="35">
        <f>PARAMETROS!$B$8</f>
        <v/>
      </c>
      <c r="N77" s="38">
        <f>M77*M78*M79</f>
        <v/>
      </c>
      <c r="O77" s="40" t="n"/>
    </row>
    <row r="78">
      <c r="B78" s="40" t="n"/>
      <c r="C78" s="40" t="n"/>
      <c r="D78" s="25" t="inlineStr">
        <is>
          <t>LONGITUD</t>
        </is>
      </c>
      <c r="E78" s="35" t="n">
        <v>35.8</v>
      </c>
      <c r="F78" s="25" t="n"/>
      <c r="G78" s="40" t="n"/>
      <c r="J78" s="40" t="n"/>
      <c r="K78" s="40" t="n"/>
      <c r="L78" s="25" t="inlineStr">
        <is>
          <t>LONGITUD</t>
        </is>
      </c>
      <c r="M78" s="35" t="n">
        <v>36.9</v>
      </c>
      <c r="N78" s="25" t="n"/>
      <c r="O78" s="40" t="n"/>
    </row>
    <row r="79">
      <c r="B79" s="40" t="n"/>
      <c r="C79" s="41" t="n"/>
      <c r="D79" s="25" t="inlineStr">
        <is>
          <t>ANCHO</t>
        </is>
      </c>
      <c r="E79" s="35">
        <f>PARAMETROS!$B$5</f>
        <v/>
      </c>
      <c r="F79" s="25" t="n"/>
      <c r="G79" s="40" t="n"/>
      <c r="J79" s="40" t="n"/>
      <c r="K79" s="41" t="n"/>
      <c r="L79" s="25" t="inlineStr">
        <is>
          <t>ANCHO</t>
        </is>
      </c>
      <c r="M79" s="35">
        <f>PARAMETROS!$B$5</f>
        <v/>
      </c>
      <c r="N79" s="25" t="n"/>
      <c r="O79" s="40" t="n"/>
    </row>
    <row r="80">
      <c r="B80" s="40" t="n"/>
      <c r="C80" s="15" t="inlineStr">
        <is>
          <t>TAPA</t>
        </is>
      </c>
      <c r="D80" s="25" t="inlineStr">
        <is>
          <t>LONGITUD</t>
        </is>
      </c>
      <c r="E80" s="35" t="n">
        <v>0</v>
      </c>
      <c r="F80" s="38">
        <f>E80*E81*E82</f>
        <v/>
      </c>
      <c r="G80" s="40" t="n"/>
      <c r="J80" s="40" t="n"/>
      <c r="K80" s="15" t="inlineStr">
        <is>
          <t>TAPA</t>
        </is>
      </c>
      <c r="L80" s="25" t="inlineStr">
        <is>
          <t>LONGITUD</t>
        </is>
      </c>
      <c r="M80" s="35" t="n">
        <v>0</v>
      </c>
      <c r="N80" s="38">
        <f>M80*M81*M82</f>
        <v/>
      </c>
      <c r="O80" s="40" t="n"/>
    </row>
    <row r="81">
      <c r="B81" s="40" t="n"/>
      <c r="C81" s="40" t="n"/>
      <c r="D81" s="25" t="inlineStr">
        <is>
          <t>ESPESOR</t>
        </is>
      </c>
      <c r="E81" s="35">
        <f>PARAMETROS!$B$9</f>
        <v/>
      </c>
      <c r="F81" s="25" t="n"/>
      <c r="G81" s="40" t="n"/>
      <c r="J81" s="40" t="n"/>
      <c r="K81" s="40" t="n"/>
      <c r="L81" s="25" t="inlineStr">
        <is>
          <t>ESPESOR</t>
        </is>
      </c>
      <c r="M81" s="35">
        <f>PARAMETROS!$B$9</f>
        <v/>
      </c>
      <c r="N81" s="25" t="n"/>
      <c r="O81" s="40" t="n"/>
    </row>
    <row r="82">
      <c r="B82" s="40" t="n"/>
      <c r="C82" s="41" t="n"/>
      <c r="D82" s="25" t="inlineStr">
        <is>
          <t>ANCHO</t>
        </is>
      </c>
      <c r="E82" s="35">
        <f>PARAMETROS!$B$5</f>
        <v/>
      </c>
      <c r="F82" s="25" t="n"/>
      <c r="G82" s="40" t="n"/>
      <c r="J82" s="40" t="n"/>
      <c r="K82" s="41" t="n"/>
      <c r="L82" s="25" t="inlineStr">
        <is>
          <t>ANCHO</t>
        </is>
      </c>
      <c r="M82" s="35">
        <f>PARAMETROS!$B$5</f>
        <v/>
      </c>
      <c r="N82" s="25" t="n"/>
      <c r="O82" s="40" t="n"/>
    </row>
    <row r="83">
      <c r="B83" s="40" t="n"/>
      <c r="C83" s="15" t="inlineStr">
        <is>
          <t>DESC. TAPAS</t>
        </is>
      </c>
      <c r="D83" s="25" t="inlineStr">
        <is>
          <t>CANT.</t>
        </is>
      </c>
      <c r="E83" s="42" t="n">
        <v>0</v>
      </c>
      <c r="F83" s="38">
        <f>E83*E84*E84*E85</f>
        <v/>
      </c>
      <c r="G83" s="40" t="n"/>
      <c r="J83" s="40" t="n"/>
      <c r="K83" s="15" t="inlineStr">
        <is>
          <t>DESC. TAPAS</t>
        </is>
      </c>
      <c r="L83" s="25" t="inlineStr">
        <is>
          <t>CANT.</t>
        </is>
      </c>
      <c r="M83" s="42" t="n">
        <v>0</v>
      </c>
      <c r="N83" s="38">
        <f>M83*M84*M84*M85</f>
        <v/>
      </c>
      <c r="O83" s="40" t="n"/>
    </row>
    <row r="84">
      <c r="B84" s="40" t="n"/>
      <c r="C84" s="40" t="n"/>
      <c r="D84" s="25" t="inlineStr">
        <is>
          <t>LADO</t>
        </is>
      </c>
      <c r="E84" s="35">
        <f>PARAMETROS!$B$21</f>
        <v/>
      </c>
      <c r="F84" s="25" t="n"/>
      <c r="G84" s="40" t="n"/>
      <c r="J84" s="40" t="n"/>
      <c r="K84" s="40" t="n"/>
      <c r="L84" s="25" t="inlineStr">
        <is>
          <t>LADO</t>
        </is>
      </c>
      <c r="M84" s="35">
        <f>PARAMETROS!$B$21</f>
        <v/>
      </c>
      <c r="N84" s="25" t="n"/>
      <c r="O84" s="40" t="n"/>
    </row>
    <row r="85">
      <c r="B85" s="41" t="n"/>
      <c r="C85" s="41" t="n"/>
      <c r="D85" s="25" t="inlineStr">
        <is>
          <t>ESPESOR</t>
        </is>
      </c>
      <c r="E85" s="35">
        <f>PARAMETROS!$B$22</f>
        <v/>
      </c>
      <c r="F85" s="25" t="n"/>
      <c r="G85" s="41" t="n"/>
      <c r="J85" s="41" t="n"/>
      <c r="K85" s="41" t="n"/>
      <c r="L85" s="25" t="inlineStr">
        <is>
          <t>ESPESOR</t>
        </is>
      </c>
      <c r="M85" s="35">
        <f>PARAMETROS!$B$22</f>
        <v/>
      </c>
      <c r="N85" s="25" t="n"/>
      <c r="O85" s="41" t="n"/>
    </row>
    <row r="89">
      <c r="B89" s="36" t="inlineStr">
        <is>
          <t>LONGITUDES Y AREAS</t>
        </is>
      </c>
      <c r="C89" s="17" t="n"/>
      <c r="D89" s="18" t="n"/>
      <c r="E89" s="36" t="inlineStr">
        <is>
          <t>m3</t>
        </is>
      </c>
      <c r="F89" s="36" t="inlineStr">
        <is>
          <t>Sub.TOTAL</t>
        </is>
      </c>
      <c r="G89" s="36" t="inlineStr">
        <is>
          <t>TOTAL (m3)</t>
        </is>
      </c>
      <c r="J89" s="36" t="inlineStr">
        <is>
          <t>LONGITUDES Y AREAS</t>
        </is>
      </c>
      <c r="K89" s="17" t="n"/>
      <c r="L89" s="18" t="n"/>
      <c r="M89" s="36" t="inlineStr">
        <is>
          <t>m3</t>
        </is>
      </c>
      <c r="N89" s="36" t="inlineStr">
        <is>
          <t>Sub.TOTAL</t>
        </is>
      </c>
      <c r="O89" s="36" t="inlineStr">
        <is>
          <t>TOTAL (m3)</t>
        </is>
      </c>
    </row>
    <row r="90">
      <c r="B90" s="37" t="inlineStr">
        <is>
          <t>CUNETA EJE-11</t>
        </is>
      </c>
      <c r="C90" s="15" t="inlineStr">
        <is>
          <t>MUROS</t>
        </is>
      </c>
      <c r="D90" s="25" t="inlineStr">
        <is>
          <t>AREA</t>
        </is>
      </c>
      <c r="E90" s="35">
        <f>30.36*0.374</f>
        <v/>
      </c>
      <c r="F90" s="38">
        <f>E90*E91*E92</f>
        <v/>
      </c>
      <c r="G90" s="39">
        <f>SUM(F90:F101)</f>
        <v/>
      </c>
      <c r="J90" s="37" t="inlineStr">
        <is>
          <t>CUNETA EJE-12</t>
        </is>
      </c>
      <c r="K90" s="15" t="inlineStr">
        <is>
          <t>MUROS</t>
        </is>
      </c>
      <c r="L90" s="25" t="inlineStr">
        <is>
          <t>AREA</t>
        </is>
      </c>
      <c r="M90" s="35">
        <f>118.38*0.526</f>
        <v/>
      </c>
      <c r="N90" s="38">
        <f>M90*M91*M92</f>
        <v/>
      </c>
      <c r="O90" s="39">
        <f>SUM(N90:N101)</f>
        <v/>
      </c>
    </row>
    <row r="91">
      <c r="B91" s="40" t="n"/>
      <c r="C91" s="40" t="n"/>
      <c r="D91" s="25" t="inlineStr">
        <is>
          <t>ESPESOR</t>
        </is>
      </c>
      <c r="E91" s="35">
        <f>PARAMETROS!$B$7</f>
        <v/>
      </c>
      <c r="F91" s="25" t="n"/>
      <c r="G91" s="40" t="n"/>
      <c r="J91" s="40" t="n"/>
      <c r="K91" s="40" t="n"/>
      <c r="L91" s="25" t="inlineStr">
        <is>
          <t>ESPESOR</t>
        </is>
      </c>
      <c r="M91" s="35">
        <f>PARAMETROS!$B$7</f>
        <v/>
      </c>
      <c r="N91" s="25" t="n"/>
      <c r="O91" s="40" t="n"/>
    </row>
    <row r="92">
      <c r="B92" s="40" t="n"/>
      <c r="C92" s="41" t="n"/>
      <c r="D92" s="25" t="inlineStr">
        <is>
          <t>CANT.</t>
        </is>
      </c>
      <c r="E92" s="42" t="n">
        <v>2</v>
      </c>
      <c r="F92" s="25" t="n"/>
      <c r="G92" s="40" t="n"/>
      <c r="J92" s="40" t="n"/>
      <c r="K92" s="41" t="n"/>
      <c r="L92" s="25" t="inlineStr">
        <is>
          <t>CANT.</t>
        </is>
      </c>
      <c r="M92" s="42" t="n">
        <v>2</v>
      </c>
      <c r="N92" s="25" t="n"/>
      <c r="O92" s="40" t="n"/>
    </row>
    <row r="93">
      <c r="B93" s="40" t="n"/>
      <c r="C93" s="15" t="inlineStr">
        <is>
          <t>LOSA</t>
        </is>
      </c>
      <c r="D93" s="25" t="inlineStr">
        <is>
          <t>ESPESOR</t>
        </is>
      </c>
      <c r="E93" s="35">
        <f>PARAMETROS!$B$8</f>
        <v/>
      </c>
      <c r="F93" s="38">
        <f>E93*E94*E95</f>
        <v/>
      </c>
      <c r="G93" s="40" t="n"/>
      <c r="J93" s="40" t="n"/>
      <c r="K93" s="15" t="inlineStr">
        <is>
          <t>LOSA</t>
        </is>
      </c>
      <c r="L93" s="25" t="inlineStr">
        <is>
          <t>ESPESOR</t>
        </is>
      </c>
      <c r="M93" s="35">
        <f>PARAMETROS!$B$8</f>
        <v/>
      </c>
      <c r="N93" s="38">
        <f>M93*M94*M95</f>
        <v/>
      </c>
      <c r="O93" s="40" t="n"/>
    </row>
    <row r="94">
      <c r="B94" s="40" t="n"/>
      <c r="C94" s="40" t="n"/>
      <c r="D94" s="25" t="inlineStr">
        <is>
          <t>LONGITUD</t>
        </is>
      </c>
      <c r="E94" s="35" t="n">
        <v>30.36</v>
      </c>
      <c r="F94" s="25" t="n"/>
      <c r="G94" s="40" t="n"/>
      <c r="J94" s="40" t="n"/>
      <c r="K94" s="40" t="n"/>
      <c r="L94" s="25" t="inlineStr">
        <is>
          <t>LONGITUD</t>
        </is>
      </c>
      <c r="M94" s="35" t="n">
        <v>118.38</v>
      </c>
      <c r="N94" s="25" t="n"/>
      <c r="O94" s="40" t="n"/>
    </row>
    <row r="95">
      <c r="B95" s="40" t="n"/>
      <c r="C95" s="41" t="n"/>
      <c r="D95" s="25" t="inlineStr">
        <is>
          <t>ANCHO</t>
        </is>
      </c>
      <c r="E95" s="35">
        <f>PARAMETROS!$B$5</f>
        <v/>
      </c>
      <c r="F95" s="25" t="n"/>
      <c r="G95" s="40" t="n"/>
      <c r="J95" s="40" t="n"/>
      <c r="K95" s="41" t="n"/>
      <c r="L95" s="25" t="inlineStr">
        <is>
          <t>ANCHO</t>
        </is>
      </c>
      <c r="M95" s="35">
        <f>PARAMETROS!$B$5</f>
        <v/>
      </c>
      <c r="N95" s="25" t="n"/>
      <c r="O95" s="40" t="n"/>
    </row>
    <row r="96">
      <c r="B96" s="40" t="n"/>
      <c r="C96" s="15" t="inlineStr">
        <is>
          <t>TAPA</t>
        </is>
      </c>
      <c r="D96" s="25" t="inlineStr">
        <is>
          <t>LONGITUD</t>
        </is>
      </c>
      <c r="E96" s="35" t="n">
        <v>0.5</v>
      </c>
      <c r="F96" s="38">
        <f>E96*E97*E98</f>
        <v/>
      </c>
      <c r="G96" s="40" t="n"/>
      <c r="J96" s="40" t="n"/>
      <c r="K96" s="15" t="inlineStr">
        <is>
          <t>TAPA</t>
        </is>
      </c>
      <c r="L96" s="25" t="inlineStr">
        <is>
          <t>LONGITUD</t>
        </is>
      </c>
      <c r="M96" s="35" t="n">
        <v>15.22</v>
      </c>
      <c r="N96" s="38">
        <f>M96*M97*M98</f>
        <v/>
      </c>
      <c r="O96" s="40" t="n"/>
    </row>
    <row r="97">
      <c r="B97" s="40" t="n"/>
      <c r="C97" s="40" t="n"/>
      <c r="D97" s="25" t="inlineStr">
        <is>
          <t>ESPESOR</t>
        </is>
      </c>
      <c r="E97" s="35">
        <f>PARAMETROS!$B$9</f>
        <v/>
      </c>
      <c r="F97" s="25" t="n"/>
      <c r="G97" s="40" t="n"/>
      <c r="J97" s="40" t="n"/>
      <c r="K97" s="40" t="n"/>
      <c r="L97" s="25" t="inlineStr">
        <is>
          <t>ESPESOR</t>
        </is>
      </c>
      <c r="M97" s="35">
        <f>PARAMETROS!$B$9</f>
        <v/>
      </c>
      <c r="N97" s="25" t="n"/>
      <c r="O97" s="40" t="n"/>
    </row>
    <row r="98">
      <c r="B98" s="40" t="n"/>
      <c r="C98" s="41" t="n"/>
      <c r="D98" s="25" t="inlineStr">
        <is>
          <t>ANCHO</t>
        </is>
      </c>
      <c r="E98" s="35">
        <f>PARAMETROS!$B$5</f>
        <v/>
      </c>
      <c r="F98" s="25" t="n"/>
      <c r="G98" s="40" t="n"/>
      <c r="J98" s="40" t="n"/>
      <c r="K98" s="41" t="n"/>
      <c r="L98" s="25" t="inlineStr">
        <is>
          <t>ANCHO</t>
        </is>
      </c>
      <c r="M98" s="35">
        <f>PARAMETROS!$B$5</f>
        <v/>
      </c>
      <c r="N98" s="25" t="n"/>
      <c r="O98" s="40" t="n"/>
    </row>
    <row r="99">
      <c r="B99" s="40" t="n"/>
      <c r="C99" s="15" t="inlineStr">
        <is>
          <t>DESC. TAPAS</t>
        </is>
      </c>
      <c r="D99" s="25" t="inlineStr">
        <is>
          <t>CANT.</t>
        </is>
      </c>
      <c r="E99" s="42" t="n">
        <v>0</v>
      </c>
      <c r="F99" s="38">
        <f>E99*E100*E100*E101</f>
        <v/>
      </c>
      <c r="G99" s="40" t="n"/>
      <c r="J99" s="40" t="n"/>
      <c r="K99" s="15" t="inlineStr">
        <is>
          <t>DESC. TAPAS</t>
        </is>
      </c>
      <c r="L99" s="25" t="inlineStr">
        <is>
          <t>CANT.</t>
        </is>
      </c>
      <c r="M99" s="42" t="n">
        <v>-3</v>
      </c>
      <c r="N99" s="38">
        <f>M99*M100*M100*M101</f>
        <v/>
      </c>
      <c r="O99" s="40" t="n"/>
    </row>
    <row r="100">
      <c r="B100" s="40" t="n"/>
      <c r="C100" s="40" t="n"/>
      <c r="D100" s="25" t="inlineStr">
        <is>
          <t>LADO</t>
        </is>
      </c>
      <c r="E100" s="35">
        <f>PARAMETROS!$B$21</f>
        <v/>
      </c>
      <c r="F100" s="25" t="n"/>
      <c r="G100" s="40" t="n"/>
      <c r="J100" s="40" t="n"/>
      <c r="K100" s="40" t="n"/>
      <c r="L100" s="25" t="inlineStr">
        <is>
          <t>LADO</t>
        </is>
      </c>
      <c r="M100" s="35">
        <f>PARAMETROS!$B$21</f>
        <v/>
      </c>
      <c r="N100" s="25" t="n"/>
      <c r="O100" s="40" t="n"/>
    </row>
    <row r="101">
      <c r="B101" s="41" t="n"/>
      <c r="C101" s="41" t="n"/>
      <c r="D101" s="25" t="inlineStr">
        <is>
          <t>ESPESOR</t>
        </is>
      </c>
      <c r="E101" s="35">
        <f>PARAMETROS!$B$22</f>
        <v/>
      </c>
      <c r="F101" s="25" t="n"/>
      <c r="G101" s="41" t="n"/>
      <c r="J101" s="41" t="n"/>
      <c r="K101" s="41" t="n"/>
      <c r="L101" s="25" t="inlineStr">
        <is>
          <t>ESPESOR</t>
        </is>
      </c>
      <c r="M101" s="35">
        <f>PARAMETROS!$B$22</f>
        <v/>
      </c>
      <c r="N101" s="25" t="n"/>
      <c r="O101" s="41" t="n"/>
    </row>
    <row r="105">
      <c r="B105" s="36" t="inlineStr">
        <is>
          <t>LONGITUDES Y AREAS</t>
        </is>
      </c>
      <c r="C105" s="17" t="n"/>
      <c r="D105" s="18" t="n"/>
      <c r="E105" s="36" t="inlineStr">
        <is>
          <t>m3</t>
        </is>
      </c>
      <c r="F105" s="36" t="inlineStr">
        <is>
          <t>Sub.TOTAL</t>
        </is>
      </c>
      <c r="G105" s="36" t="inlineStr">
        <is>
          <t>TOTAL (m3)</t>
        </is>
      </c>
      <c r="J105" s="36" t="inlineStr">
        <is>
          <t>LONGITUDES Y AREAS</t>
        </is>
      </c>
      <c r="K105" s="17" t="n"/>
      <c r="L105" s="18" t="n"/>
      <c r="M105" s="36" t="inlineStr">
        <is>
          <t>m3</t>
        </is>
      </c>
      <c r="N105" s="36" t="inlineStr">
        <is>
          <t>Sub.TOTAL</t>
        </is>
      </c>
      <c r="O105" s="36" t="inlineStr">
        <is>
          <t>TOTAL (m3)</t>
        </is>
      </c>
    </row>
    <row r="106">
      <c r="B106" s="37" t="inlineStr">
        <is>
          <t>CUNETA EJE-13</t>
        </is>
      </c>
      <c r="C106" s="15" t="inlineStr">
        <is>
          <t>MUROS</t>
        </is>
      </c>
      <c r="D106" s="25" t="inlineStr">
        <is>
          <t>AREA</t>
        </is>
      </c>
      <c r="E106" s="35">
        <f>24.38*0.361</f>
        <v/>
      </c>
      <c r="F106" s="38">
        <f>E106*E107*E108</f>
        <v/>
      </c>
      <c r="G106" s="39">
        <f>SUM(F106:F117)</f>
        <v/>
      </c>
      <c r="J106" s="37" t="inlineStr">
        <is>
          <t>CUNETA EJE-14</t>
        </is>
      </c>
      <c r="K106" s="15" t="inlineStr">
        <is>
          <t>MUROS</t>
        </is>
      </c>
      <c r="L106" s="25" t="inlineStr">
        <is>
          <t>AREA</t>
        </is>
      </c>
      <c r="M106" s="35">
        <f>64.93*0.385</f>
        <v/>
      </c>
      <c r="N106" s="38">
        <f>M106*M107*M108</f>
        <v/>
      </c>
      <c r="O106" s="39">
        <f>SUM(N106:N117)</f>
        <v/>
      </c>
    </row>
    <row r="107">
      <c r="B107" s="40" t="n"/>
      <c r="C107" s="40" t="n"/>
      <c r="D107" s="25" t="inlineStr">
        <is>
          <t>ESPESOR</t>
        </is>
      </c>
      <c r="E107" s="35">
        <f>PARAMETROS!$B$7</f>
        <v/>
      </c>
      <c r="F107" s="25" t="n"/>
      <c r="G107" s="40" t="n"/>
      <c r="J107" s="40" t="n"/>
      <c r="K107" s="40" t="n"/>
      <c r="L107" s="25" t="inlineStr">
        <is>
          <t>ESPESOR</t>
        </is>
      </c>
      <c r="M107" s="35">
        <f>PARAMETROS!$B$7</f>
        <v/>
      </c>
      <c r="N107" s="25" t="n"/>
      <c r="O107" s="40" t="n"/>
    </row>
    <row r="108">
      <c r="B108" s="40" t="n"/>
      <c r="C108" s="41" t="n"/>
      <c r="D108" s="25" t="inlineStr">
        <is>
          <t>CANT.</t>
        </is>
      </c>
      <c r="E108" s="42" t="n">
        <v>2</v>
      </c>
      <c r="F108" s="25" t="n"/>
      <c r="G108" s="40" t="n"/>
      <c r="J108" s="40" t="n"/>
      <c r="K108" s="41" t="n"/>
      <c r="L108" s="25" t="inlineStr">
        <is>
          <t>CANT.</t>
        </is>
      </c>
      <c r="M108" s="42" t="n">
        <v>2</v>
      </c>
      <c r="N108" s="25" t="n"/>
      <c r="O108" s="40" t="n"/>
    </row>
    <row r="109">
      <c r="B109" s="40" t="n"/>
      <c r="C109" s="15" t="inlineStr">
        <is>
          <t>LOSA</t>
        </is>
      </c>
      <c r="D109" s="25" t="inlineStr">
        <is>
          <t>ESPESOR</t>
        </is>
      </c>
      <c r="E109" s="35">
        <f>PARAMETROS!$B$8</f>
        <v/>
      </c>
      <c r="F109" s="38">
        <f>E109*E110*E111</f>
        <v/>
      </c>
      <c r="G109" s="40" t="n"/>
      <c r="J109" s="40" t="n"/>
      <c r="K109" s="15" t="inlineStr">
        <is>
          <t>LOSA</t>
        </is>
      </c>
      <c r="L109" s="25" t="inlineStr">
        <is>
          <t>ESPESOR</t>
        </is>
      </c>
      <c r="M109" s="35">
        <f>PARAMETROS!$B$8</f>
        <v/>
      </c>
      <c r="N109" s="38">
        <f>M109*M110*M111</f>
        <v/>
      </c>
      <c r="O109" s="40" t="n"/>
    </row>
    <row r="110">
      <c r="B110" s="40" t="n"/>
      <c r="C110" s="40" t="n"/>
      <c r="D110" s="25" t="inlineStr">
        <is>
          <t>LONGITUD</t>
        </is>
      </c>
      <c r="E110" s="35" t="n">
        <v>24.38</v>
      </c>
      <c r="F110" s="25" t="n"/>
      <c r="G110" s="40" t="n"/>
      <c r="J110" s="40" t="n"/>
      <c r="K110" s="40" t="n"/>
      <c r="L110" s="25" t="inlineStr">
        <is>
          <t>LONGITUD</t>
        </is>
      </c>
      <c r="M110" s="35" t="n">
        <v>64.93000000000001</v>
      </c>
      <c r="N110" s="25" t="n"/>
      <c r="O110" s="40" t="n"/>
    </row>
    <row r="111">
      <c r="B111" s="40" t="n"/>
      <c r="C111" s="41" t="n"/>
      <c r="D111" s="25" t="inlineStr">
        <is>
          <t>ANCHO</t>
        </is>
      </c>
      <c r="E111" s="35">
        <f>PARAMETROS!$B$5</f>
        <v/>
      </c>
      <c r="F111" s="25" t="n"/>
      <c r="G111" s="40" t="n"/>
      <c r="J111" s="40" t="n"/>
      <c r="K111" s="41" t="n"/>
      <c r="L111" s="25" t="inlineStr">
        <is>
          <t>ANCHO</t>
        </is>
      </c>
      <c r="M111" s="35">
        <f>PARAMETROS!$B$5</f>
        <v/>
      </c>
      <c r="N111" s="25" t="n"/>
      <c r="O111" s="40" t="n"/>
    </row>
    <row r="112">
      <c r="B112" s="40" t="n"/>
      <c r="C112" s="15" t="inlineStr">
        <is>
          <t>TAPA</t>
        </is>
      </c>
      <c r="D112" s="25" t="inlineStr">
        <is>
          <t>LONGITUD</t>
        </is>
      </c>
      <c r="E112" s="35" t="n">
        <v>0</v>
      </c>
      <c r="F112" s="38">
        <f>E112*E113*E114</f>
        <v/>
      </c>
      <c r="G112" s="40" t="n"/>
      <c r="J112" s="40" t="n"/>
      <c r="K112" s="15" t="inlineStr">
        <is>
          <t>TAPA</t>
        </is>
      </c>
      <c r="L112" s="25" t="inlineStr">
        <is>
          <t>LONGITUD</t>
        </is>
      </c>
      <c r="M112" s="35" t="n">
        <v>0</v>
      </c>
      <c r="N112" s="38">
        <f>M112*M113*M114</f>
        <v/>
      </c>
      <c r="O112" s="40" t="n"/>
    </row>
    <row r="113">
      <c r="B113" s="40" t="n"/>
      <c r="C113" s="40" t="n"/>
      <c r="D113" s="25" t="inlineStr">
        <is>
          <t>ESPESOR</t>
        </is>
      </c>
      <c r="E113" s="35">
        <f>PARAMETROS!$B$9</f>
        <v/>
      </c>
      <c r="F113" s="25" t="n"/>
      <c r="G113" s="40" t="n"/>
      <c r="J113" s="40" t="n"/>
      <c r="K113" s="40" t="n"/>
      <c r="L113" s="25" t="inlineStr">
        <is>
          <t>ESPESOR</t>
        </is>
      </c>
      <c r="M113" s="35">
        <f>PARAMETROS!$B$9</f>
        <v/>
      </c>
      <c r="N113" s="25" t="n"/>
      <c r="O113" s="40" t="n"/>
    </row>
    <row r="114">
      <c r="B114" s="40" t="n"/>
      <c r="C114" s="41" t="n"/>
      <c r="D114" s="25" t="inlineStr">
        <is>
          <t>ANCHO</t>
        </is>
      </c>
      <c r="E114" s="35">
        <f>PARAMETROS!$B$5</f>
        <v/>
      </c>
      <c r="F114" s="25" t="n"/>
      <c r="G114" s="40" t="n"/>
      <c r="J114" s="40" t="n"/>
      <c r="K114" s="41" t="n"/>
      <c r="L114" s="25" t="inlineStr">
        <is>
          <t>ANCHO</t>
        </is>
      </c>
      <c r="M114" s="35">
        <f>PARAMETROS!$B$5</f>
        <v/>
      </c>
      <c r="N114" s="25" t="n"/>
      <c r="O114" s="40" t="n"/>
    </row>
    <row r="115">
      <c r="B115" s="40" t="n"/>
      <c r="C115" s="15" t="inlineStr">
        <is>
          <t>DESC. TAPAS</t>
        </is>
      </c>
      <c r="D115" s="25" t="inlineStr">
        <is>
          <t>CANT.</t>
        </is>
      </c>
      <c r="E115" s="42" t="n">
        <v>0</v>
      </c>
      <c r="F115" s="38">
        <f>E115*E116*E116*E117</f>
        <v/>
      </c>
      <c r="G115" s="40" t="n"/>
      <c r="J115" s="40" t="n"/>
      <c r="K115" s="15" t="inlineStr">
        <is>
          <t>DESC. TAPAS</t>
        </is>
      </c>
      <c r="L115" s="25" t="inlineStr">
        <is>
          <t>CANT.</t>
        </is>
      </c>
      <c r="M115" s="42" t="n">
        <v>0</v>
      </c>
      <c r="N115" s="38">
        <f>M115*M116*M116*M117</f>
        <v/>
      </c>
      <c r="O115" s="40" t="n"/>
    </row>
    <row r="116">
      <c r="B116" s="40" t="n"/>
      <c r="C116" s="40" t="n"/>
      <c r="D116" s="25" t="inlineStr">
        <is>
          <t>LADO</t>
        </is>
      </c>
      <c r="E116" s="35">
        <f>PARAMETROS!$B$21</f>
        <v/>
      </c>
      <c r="F116" s="25" t="n"/>
      <c r="G116" s="40" t="n"/>
      <c r="J116" s="40" t="n"/>
      <c r="K116" s="40" t="n"/>
      <c r="L116" s="25" t="inlineStr">
        <is>
          <t>LADO</t>
        </is>
      </c>
      <c r="M116" s="35">
        <f>PARAMETROS!$B$21</f>
        <v/>
      </c>
      <c r="N116" s="25" t="n"/>
      <c r="O116" s="40" t="n"/>
    </row>
    <row r="117">
      <c r="B117" s="41" t="n"/>
      <c r="C117" s="41" t="n"/>
      <c r="D117" s="25" t="inlineStr">
        <is>
          <t>ESPESOR</t>
        </is>
      </c>
      <c r="E117" s="35">
        <f>PARAMETROS!$B$22</f>
        <v/>
      </c>
      <c r="F117" s="25" t="n"/>
      <c r="G117" s="41" t="n"/>
      <c r="J117" s="41" t="n"/>
      <c r="K117" s="41" t="n"/>
      <c r="L117" s="25" t="inlineStr">
        <is>
          <t>ESPESOR</t>
        </is>
      </c>
      <c r="M117" s="35">
        <f>PARAMETROS!$B$22</f>
        <v/>
      </c>
      <c r="N117" s="25" t="n"/>
      <c r="O117" s="41" t="n"/>
    </row>
    <row r="121">
      <c r="B121" s="36" t="inlineStr">
        <is>
          <t>LONGITUDES Y AREAS</t>
        </is>
      </c>
      <c r="C121" s="17" t="n"/>
      <c r="D121" s="18" t="n"/>
      <c r="E121" s="36" t="inlineStr">
        <is>
          <t>m3</t>
        </is>
      </c>
      <c r="F121" s="36" t="inlineStr">
        <is>
          <t>Sub.TOTAL</t>
        </is>
      </c>
      <c r="G121" s="36" t="inlineStr">
        <is>
          <t>TOTAL (m3)</t>
        </is>
      </c>
      <c r="J121" s="36" t="inlineStr">
        <is>
          <t>LONGITUDES Y AREAS</t>
        </is>
      </c>
      <c r="K121" s="17" t="n"/>
      <c r="L121" s="18" t="n"/>
      <c r="M121" s="36" t="inlineStr">
        <is>
          <t>m3</t>
        </is>
      </c>
      <c r="N121" s="36" t="inlineStr">
        <is>
          <t>Sub.TOTAL</t>
        </is>
      </c>
      <c r="O121" s="36" t="inlineStr">
        <is>
          <t>TOTAL (m3)</t>
        </is>
      </c>
    </row>
    <row r="122">
      <c r="B122" s="37" t="inlineStr">
        <is>
          <t>CUNETA EJE-15</t>
        </is>
      </c>
      <c r="C122" s="15" t="inlineStr">
        <is>
          <t>MUROS</t>
        </is>
      </c>
      <c r="D122" s="25" t="inlineStr">
        <is>
          <t>AREA</t>
        </is>
      </c>
      <c r="E122" s="35">
        <f>41.47*0.323</f>
        <v/>
      </c>
      <c r="F122" s="38">
        <f>E122*E123*E124</f>
        <v/>
      </c>
      <c r="G122" s="39">
        <f>SUM(F122:F133)</f>
        <v/>
      </c>
      <c r="J122" s="37" t="inlineStr">
        <is>
          <t>CUNETA EJE-16</t>
        </is>
      </c>
      <c r="K122" s="15" t="inlineStr">
        <is>
          <t>MUROS</t>
        </is>
      </c>
      <c r="L122" s="25" t="inlineStr">
        <is>
          <t>AREA</t>
        </is>
      </c>
      <c r="M122" s="35">
        <f>49.55*0.381</f>
        <v/>
      </c>
      <c r="N122" s="38">
        <f>M122*M123*M124</f>
        <v/>
      </c>
      <c r="O122" s="39">
        <f>SUM(N122:N133)</f>
        <v/>
      </c>
    </row>
    <row r="123">
      <c r="B123" s="40" t="n"/>
      <c r="C123" s="40" t="n"/>
      <c r="D123" s="25" t="inlineStr">
        <is>
          <t>ESPESOR</t>
        </is>
      </c>
      <c r="E123" s="35">
        <f>PARAMETROS!$B$7</f>
        <v/>
      </c>
      <c r="F123" s="25" t="n"/>
      <c r="G123" s="40" t="n"/>
      <c r="J123" s="40" t="n"/>
      <c r="K123" s="40" t="n"/>
      <c r="L123" s="25" t="inlineStr">
        <is>
          <t>ESPESOR</t>
        </is>
      </c>
      <c r="M123" s="35">
        <f>PARAMETROS!$B$7</f>
        <v/>
      </c>
      <c r="N123" s="25" t="n"/>
      <c r="O123" s="40" t="n"/>
    </row>
    <row r="124">
      <c r="B124" s="40" t="n"/>
      <c r="C124" s="41" t="n"/>
      <c r="D124" s="25" t="inlineStr">
        <is>
          <t>CANT.</t>
        </is>
      </c>
      <c r="E124" s="42" t="n">
        <v>2</v>
      </c>
      <c r="F124" s="25" t="n"/>
      <c r="G124" s="40" t="n"/>
      <c r="J124" s="40" t="n"/>
      <c r="K124" s="41" t="n"/>
      <c r="L124" s="25" t="inlineStr">
        <is>
          <t>CANT.</t>
        </is>
      </c>
      <c r="M124" s="42" t="n">
        <v>2</v>
      </c>
      <c r="N124" s="25" t="n"/>
      <c r="O124" s="40" t="n"/>
    </row>
    <row r="125">
      <c r="B125" s="40" t="n"/>
      <c r="C125" s="15" t="inlineStr">
        <is>
          <t>LOSA</t>
        </is>
      </c>
      <c r="D125" s="25" t="inlineStr">
        <is>
          <t>ESPESOR</t>
        </is>
      </c>
      <c r="E125" s="35">
        <f>PARAMETROS!$B$8</f>
        <v/>
      </c>
      <c r="F125" s="38">
        <f>E125*E126*E127</f>
        <v/>
      </c>
      <c r="G125" s="40" t="n"/>
      <c r="J125" s="40" t="n"/>
      <c r="K125" s="15" t="inlineStr">
        <is>
          <t>LOSA</t>
        </is>
      </c>
      <c r="L125" s="25" t="inlineStr">
        <is>
          <t>ESPESOR</t>
        </is>
      </c>
      <c r="M125" s="35">
        <f>PARAMETROS!$B$8</f>
        <v/>
      </c>
      <c r="N125" s="38">
        <f>M125*M126*M127</f>
        <v/>
      </c>
      <c r="O125" s="40" t="n"/>
    </row>
    <row r="126">
      <c r="B126" s="40" t="n"/>
      <c r="C126" s="40" t="n"/>
      <c r="D126" s="25" t="inlineStr">
        <is>
          <t>LONGITUD</t>
        </is>
      </c>
      <c r="E126" s="35" t="n">
        <v>41.47</v>
      </c>
      <c r="F126" s="25" t="n"/>
      <c r="G126" s="40" t="n"/>
      <c r="J126" s="40" t="n"/>
      <c r="K126" s="40" t="n"/>
      <c r="L126" s="25" t="inlineStr">
        <is>
          <t>LONGITUD</t>
        </is>
      </c>
      <c r="M126" s="35" t="n">
        <v>49.55</v>
      </c>
      <c r="N126" s="25" t="n"/>
      <c r="O126" s="40" t="n"/>
    </row>
    <row r="127">
      <c r="B127" s="40" t="n"/>
      <c r="C127" s="41" t="n"/>
      <c r="D127" s="25" t="inlineStr">
        <is>
          <t>ANCHO</t>
        </is>
      </c>
      <c r="E127" s="35">
        <f>PARAMETROS!$B$5</f>
        <v/>
      </c>
      <c r="F127" s="25" t="n"/>
      <c r="G127" s="40" t="n"/>
      <c r="J127" s="40" t="n"/>
      <c r="K127" s="41" t="n"/>
      <c r="L127" s="25" t="inlineStr">
        <is>
          <t>ANCHO</t>
        </is>
      </c>
      <c r="M127" s="35">
        <f>PARAMETROS!$B$5</f>
        <v/>
      </c>
      <c r="N127" s="25" t="n"/>
      <c r="O127" s="40" t="n"/>
    </row>
    <row r="128">
      <c r="B128" s="40" t="n"/>
      <c r="C128" s="15" t="inlineStr">
        <is>
          <t>TAPA</t>
        </is>
      </c>
      <c r="D128" s="25" t="inlineStr">
        <is>
          <t>LONGITUD</t>
        </is>
      </c>
      <c r="E128" s="35" t="n">
        <v>0</v>
      </c>
      <c r="F128" s="38">
        <f>E128*E129*E130</f>
        <v/>
      </c>
      <c r="G128" s="40" t="n"/>
      <c r="J128" s="40" t="n"/>
      <c r="K128" s="15" t="inlineStr">
        <is>
          <t>TAPA</t>
        </is>
      </c>
      <c r="L128" s="25" t="inlineStr">
        <is>
          <t>LONGITUD</t>
        </is>
      </c>
      <c r="M128" s="35" t="n">
        <v>0</v>
      </c>
      <c r="N128" s="38">
        <f>M128*M129*M130</f>
        <v/>
      </c>
      <c r="O128" s="40" t="n"/>
    </row>
    <row r="129">
      <c r="B129" s="40" t="n"/>
      <c r="C129" s="40" t="n"/>
      <c r="D129" s="25" t="inlineStr">
        <is>
          <t>ESPESOR</t>
        </is>
      </c>
      <c r="E129" s="35">
        <f>PARAMETROS!$B$9</f>
        <v/>
      </c>
      <c r="F129" s="25" t="n"/>
      <c r="G129" s="40" t="n"/>
      <c r="J129" s="40" t="n"/>
      <c r="K129" s="40" t="n"/>
      <c r="L129" s="25" t="inlineStr">
        <is>
          <t>ESPESOR</t>
        </is>
      </c>
      <c r="M129" s="35">
        <f>PARAMETROS!$B$9</f>
        <v/>
      </c>
      <c r="N129" s="25" t="n"/>
      <c r="O129" s="40" t="n"/>
    </row>
    <row r="130">
      <c r="B130" s="40" t="n"/>
      <c r="C130" s="41" t="n"/>
      <c r="D130" s="25" t="inlineStr">
        <is>
          <t>ANCHO</t>
        </is>
      </c>
      <c r="E130" s="35">
        <f>PARAMETROS!$B$5</f>
        <v/>
      </c>
      <c r="F130" s="25" t="n"/>
      <c r="G130" s="40" t="n"/>
      <c r="J130" s="40" t="n"/>
      <c r="K130" s="41" t="n"/>
      <c r="L130" s="25" t="inlineStr">
        <is>
          <t>ANCHO</t>
        </is>
      </c>
      <c r="M130" s="35">
        <f>PARAMETROS!$B$5</f>
        <v/>
      </c>
      <c r="N130" s="25" t="n"/>
      <c r="O130" s="40" t="n"/>
    </row>
    <row r="131">
      <c r="B131" s="40" t="n"/>
      <c r="C131" s="15" t="inlineStr">
        <is>
          <t>DESC. TAPAS</t>
        </is>
      </c>
      <c r="D131" s="25" t="inlineStr">
        <is>
          <t>CANT.</t>
        </is>
      </c>
      <c r="E131" s="42" t="n">
        <v>0</v>
      </c>
      <c r="F131" s="38">
        <f>E131*E132*E132*E133</f>
        <v/>
      </c>
      <c r="G131" s="40" t="n"/>
      <c r="J131" s="40" t="n"/>
      <c r="K131" s="15" t="inlineStr">
        <is>
          <t>DESC. TAPAS</t>
        </is>
      </c>
      <c r="L131" s="25" t="inlineStr">
        <is>
          <t>CANT.</t>
        </is>
      </c>
      <c r="M131" s="42" t="n">
        <v>0</v>
      </c>
      <c r="N131" s="38">
        <f>M131*M132*M132*M133</f>
        <v/>
      </c>
      <c r="O131" s="40" t="n"/>
    </row>
    <row r="132">
      <c r="B132" s="40" t="n"/>
      <c r="C132" s="40" t="n"/>
      <c r="D132" s="25" t="inlineStr">
        <is>
          <t>LADO</t>
        </is>
      </c>
      <c r="E132" s="35">
        <f>PARAMETROS!$B$21</f>
        <v/>
      </c>
      <c r="F132" s="25" t="n"/>
      <c r="G132" s="40" t="n"/>
      <c r="J132" s="40" t="n"/>
      <c r="K132" s="40" t="n"/>
      <c r="L132" s="25" t="inlineStr">
        <is>
          <t>LADO</t>
        </is>
      </c>
      <c r="M132" s="35">
        <f>PARAMETROS!$B$21</f>
        <v/>
      </c>
      <c r="N132" s="25" t="n"/>
      <c r="O132" s="40" t="n"/>
    </row>
    <row r="133">
      <c r="B133" s="41" t="n"/>
      <c r="C133" s="41" t="n"/>
      <c r="D133" s="25" t="inlineStr">
        <is>
          <t>ESPESOR</t>
        </is>
      </c>
      <c r="E133" s="35">
        <f>PARAMETROS!$B$22</f>
        <v/>
      </c>
      <c r="F133" s="25" t="n"/>
      <c r="G133" s="41" t="n"/>
      <c r="J133" s="41" t="n"/>
      <c r="K133" s="41" t="n"/>
      <c r="L133" s="25" t="inlineStr">
        <is>
          <t>ESPESOR</t>
        </is>
      </c>
      <c r="M133" s="35">
        <f>PARAMETROS!$B$22</f>
        <v/>
      </c>
      <c r="N133" s="25" t="n"/>
      <c r="O133" s="41" t="n"/>
    </row>
    <row r="137">
      <c r="B137" s="36" t="inlineStr">
        <is>
          <t>LONGITUDES Y AREAS</t>
        </is>
      </c>
      <c r="C137" s="17" t="n"/>
      <c r="D137" s="18" t="n"/>
      <c r="E137" s="36" t="inlineStr">
        <is>
          <t>m3</t>
        </is>
      </c>
      <c r="F137" s="36" t="inlineStr">
        <is>
          <t>Sub.TOTAL</t>
        </is>
      </c>
      <c r="G137" s="36" t="inlineStr">
        <is>
          <t>TOTAL (m3)</t>
        </is>
      </c>
      <c r="J137" s="36" t="inlineStr">
        <is>
          <t>LONGITUDES Y AREAS</t>
        </is>
      </c>
      <c r="K137" s="17" t="n"/>
      <c r="L137" s="18" t="n"/>
      <c r="M137" s="36" t="inlineStr">
        <is>
          <t>m3</t>
        </is>
      </c>
      <c r="N137" s="36" t="inlineStr">
        <is>
          <t>Sub.TOTAL</t>
        </is>
      </c>
      <c r="O137" s="36" t="inlineStr">
        <is>
          <t>TOTAL (m3)</t>
        </is>
      </c>
    </row>
    <row r="138">
      <c r="B138" s="37" t="inlineStr">
        <is>
          <t>CUNETA EJE-17</t>
        </is>
      </c>
      <c r="C138" s="15" t="inlineStr">
        <is>
          <t>MUROS</t>
        </is>
      </c>
      <c r="D138" s="25" t="inlineStr">
        <is>
          <t>AREA</t>
        </is>
      </c>
      <c r="E138" s="35">
        <f>39.98*0.392</f>
        <v/>
      </c>
      <c r="F138" s="38">
        <f>E138*E139*E140</f>
        <v/>
      </c>
      <c r="G138" s="39">
        <f>SUM(F138:F149)</f>
        <v/>
      </c>
      <c r="J138" s="37" t="inlineStr">
        <is>
          <t>CUNETA EJE-18</t>
        </is>
      </c>
      <c r="K138" s="15" t="inlineStr">
        <is>
          <t>MUROS</t>
        </is>
      </c>
      <c r="L138" s="25" t="inlineStr">
        <is>
          <t>AREA</t>
        </is>
      </c>
      <c r="M138" s="35">
        <f>38.68*0.397</f>
        <v/>
      </c>
      <c r="N138" s="38">
        <f>M138*M139*M140</f>
        <v/>
      </c>
      <c r="O138" s="39">
        <f>SUM(N138:N149)</f>
        <v/>
      </c>
    </row>
    <row r="139">
      <c r="B139" s="40" t="n"/>
      <c r="C139" s="40" t="n"/>
      <c r="D139" s="25" t="inlineStr">
        <is>
          <t>ESPESOR</t>
        </is>
      </c>
      <c r="E139" s="35">
        <f>PARAMETROS!$B$7</f>
        <v/>
      </c>
      <c r="F139" s="25" t="n"/>
      <c r="G139" s="40" t="n"/>
      <c r="J139" s="40" t="n"/>
      <c r="K139" s="40" t="n"/>
      <c r="L139" s="25" t="inlineStr">
        <is>
          <t>ESPESOR</t>
        </is>
      </c>
      <c r="M139" s="35">
        <f>PARAMETROS!$B$7</f>
        <v/>
      </c>
      <c r="N139" s="25" t="n"/>
      <c r="O139" s="40" t="n"/>
    </row>
    <row r="140">
      <c r="B140" s="40" t="n"/>
      <c r="C140" s="41" t="n"/>
      <c r="D140" s="25" t="inlineStr">
        <is>
          <t>CANT.</t>
        </is>
      </c>
      <c r="E140" s="42" t="n">
        <v>2</v>
      </c>
      <c r="F140" s="25" t="n"/>
      <c r="G140" s="40" t="n"/>
      <c r="J140" s="40" t="n"/>
      <c r="K140" s="41" t="n"/>
      <c r="L140" s="25" t="inlineStr">
        <is>
          <t>CANT.</t>
        </is>
      </c>
      <c r="M140" s="42" t="n">
        <v>2</v>
      </c>
      <c r="N140" s="25" t="n"/>
      <c r="O140" s="40" t="n"/>
    </row>
    <row r="141">
      <c r="B141" s="40" t="n"/>
      <c r="C141" s="15" t="inlineStr">
        <is>
          <t>LOSA</t>
        </is>
      </c>
      <c r="D141" s="25" t="inlineStr">
        <is>
          <t>ESPESOR</t>
        </is>
      </c>
      <c r="E141" s="35">
        <f>PARAMETROS!$B$8</f>
        <v/>
      </c>
      <c r="F141" s="38">
        <f>E141*E142*E143</f>
        <v/>
      </c>
      <c r="G141" s="40" t="n"/>
      <c r="J141" s="40" t="n"/>
      <c r="K141" s="15" t="inlineStr">
        <is>
          <t>LOSA</t>
        </is>
      </c>
      <c r="L141" s="25" t="inlineStr">
        <is>
          <t>ESPESOR</t>
        </is>
      </c>
      <c r="M141" s="35">
        <f>PARAMETROS!$B$8</f>
        <v/>
      </c>
      <c r="N141" s="38">
        <f>M141*M142*M143</f>
        <v/>
      </c>
      <c r="O141" s="40" t="n"/>
    </row>
    <row r="142">
      <c r="B142" s="40" t="n"/>
      <c r="C142" s="40" t="n"/>
      <c r="D142" s="25" t="inlineStr">
        <is>
          <t>LONGITUD</t>
        </is>
      </c>
      <c r="E142" s="35" t="n">
        <v>39.98</v>
      </c>
      <c r="F142" s="25" t="n"/>
      <c r="G142" s="40" t="n"/>
      <c r="J142" s="40" t="n"/>
      <c r="K142" s="40" t="n"/>
      <c r="L142" s="25" t="inlineStr">
        <is>
          <t>LONGITUD</t>
        </is>
      </c>
      <c r="M142" s="35" t="n">
        <v>38.68</v>
      </c>
      <c r="N142" s="25" t="n"/>
      <c r="O142" s="40" t="n"/>
    </row>
    <row r="143">
      <c r="B143" s="40" t="n"/>
      <c r="C143" s="41" t="n"/>
      <c r="D143" s="25" t="inlineStr">
        <is>
          <t>ANCHO</t>
        </is>
      </c>
      <c r="E143" s="35">
        <f>PARAMETROS!$B$5</f>
        <v/>
      </c>
      <c r="F143" s="25" t="n"/>
      <c r="G143" s="40" t="n"/>
      <c r="J143" s="40" t="n"/>
      <c r="K143" s="41" t="n"/>
      <c r="L143" s="25" t="inlineStr">
        <is>
          <t>ANCHO</t>
        </is>
      </c>
      <c r="M143" s="35">
        <f>PARAMETROS!$B$5</f>
        <v/>
      </c>
      <c r="N143" s="25" t="n"/>
      <c r="O143" s="40" t="n"/>
    </row>
    <row r="144">
      <c r="B144" s="40" t="n"/>
      <c r="C144" s="15" t="inlineStr">
        <is>
          <t>TAPA</t>
        </is>
      </c>
      <c r="D144" s="25" t="inlineStr">
        <is>
          <t>LONGITUD</t>
        </is>
      </c>
      <c r="E144" s="35" t="n">
        <v>4.58</v>
      </c>
      <c r="F144" s="38">
        <f>E144*E145*E146</f>
        <v/>
      </c>
      <c r="G144" s="40" t="n"/>
      <c r="J144" s="40" t="n"/>
      <c r="K144" s="15" t="inlineStr">
        <is>
          <t>TAPA</t>
        </is>
      </c>
      <c r="L144" s="25" t="inlineStr">
        <is>
          <t>LONGITUD</t>
        </is>
      </c>
      <c r="M144" s="35" t="n">
        <v>0</v>
      </c>
      <c r="N144" s="38">
        <f>M144*M145*M146</f>
        <v/>
      </c>
      <c r="O144" s="40" t="n"/>
    </row>
    <row r="145">
      <c r="B145" s="40" t="n"/>
      <c r="C145" s="40" t="n"/>
      <c r="D145" s="25" t="inlineStr">
        <is>
          <t>ESPESOR</t>
        </is>
      </c>
      <c r="E145" s="35">
        <f>PARAMETROS!$B$9</f>
        <v/>
      </c>
      <c r="F145" s="25" t="n"/>
      <c r="G145" s="40" t="n"/>
      <c r="J145" s="40" t="n"/>
      <c r="K145" s="40" t="n"/>
      <c r="L145" s="25" t="inlineStr">
        <is>
          <t>ESPESOR</t>
        </is>
      </c>
      <c r="M145" s="35">
        <f>PARAMETROS!$B$9</f>
        <v/>
      </c>
      <c r="N145" s="25" t="n"/>
      <c r="O145" s="40" t="n"/>
    </row>
    <row r="146">
      <c r="B146" s="40" t="n"/>
      <c r="C146" s="41" t="n"/>
      <c r="D146" s="25" t="inlineStr">
        <is>
          <t>ANCHO</t>
        </is>
      </c>
      <c r="E146" s="35">
        <f>PARAMETROS!$B$5</f>
        <v/>
      </c>
      <c r="F146" s="25" t="n"/>
      <c r="G146" s="40" t="n"/>
      <c r="J146" s="40" t="n"/>
      <c r="K146" s="41" t="n"/>
      <c r="L146" s="25" t="inlineStr">
        <is>
          <t>ANCHO</t>
        </is>
      </c>
      <c r="M146" s="35">
        <f>PARAMETROS!$B$5</f>
        <v/>
      </c>
      <c r="N146" s="25" t="n"/>
      <c r="O146" s="40" t="n"/>
    </row>
    <row r="147">
      <c r="B147" s="40" t="n"/>
      <c r="C147" s="15" t="inlineStr">
        <is>
          <t>DESC. TAPAS</t>
        </is>
      </c>
      <c r="D147" s="25" t="inlineStr">
        <is>
          <t>CANT.</t>
        </is>
      </c>
      <c r="E147" s="42" t="n">
        <v>-2</v>
      </c>
      <c r="F147" s="38">
        <f>E147*E148*E148*E149</f>
        <v/>
      </c>
      <c r="G147" s="40" t="n"/>
      <c r="J147" s="40" t="n"/>
      <c r="K147" s="15" t="inlineStr">
        <is>
          <t>DESC. TAPAS</t>
        </is>
      </c>
      <c r="L147" s="25" t="inlineStr">
        <is>
          <t>CANT.</t>
        </is>
      </c>
      <c r="M147" s="42" t="n">
        <v>0</v>
      </c>
      <c r="N147" s="38">
        <f>M147*M148*M148*M149</f>
        <v/>
      </c>
      <c r="O147" s="40" t="n"/>
    </row>
    <row r="148">
      <c r="B148" s="40" t="n"/>
      <c r="C148" s="40" t="n"/>
      <c r="D148" s="25" t="inlineStr">
        <is>
          <t>LADO</t>
        </is>
      </c>
      <c r="E148" s="35">
        <f>PARAMETROS!$B$21</f>
        <v/>
      </c>
      <c r="F148" s="25" t="n"/>
      <c r="G148" s="40" t="n"/>
      <c r="J148" s="40" t="n"/>
      <c r="K148" s="40" t="n"/>
      <c r="L148" s="25" t="inlineStr">
        <is>
          <t>LADO</t>
        </is>
      </c>
      <c r="M148" s="35">
        <f>PARAMETROS!$B$21</f>
        <v/>
      </c>
      <c r="N148" s="25" t="n"/>
      <c r="O148" s="40" t="n"/>
    </row>
    <row r="149">
      <c r="B149" s="41" t="n"/>
      <c r="C149" s="41" t="n"/>
      <c r="D149" s="25" t="inlineStr">
        <is>
          <t>ESPESOR</t>
        </is>
      </c>
      <c r="E149" s="35">
        <f>PARAMETROS!$B$22</f>
        <v/>
      </c>
      <c r="F149" s="25" t="n"/>
      <c r="G149" s="41" t="n"/>
      <c r="J149" s="41" t="n"/>
      <c r="K149" s="41" t="n"/>
      <c r="L149" s="25" t="inlineStr">
        <is>
          <t>ESPESOR</t>
        </is>
      </c>
      <c r="M149" s="35">
        <f>PARAMETROS!$B$22</f>
        <v/>
      </c>
      <c r="N149" s="25" t="n"/>
      <c r="O149" s="41" t="n"/>
    </row>
    <row r="153">
      <c r="B153" s="36" t="inlineStr">
        <is>
          <t>LONGITUDES Y AREAS</t>
        </is>
      </c>
      <c r="C153" s="17" t="n"/>
      <c r="D153" s="18" t="n"/>
      <c r="E153" s="36" t="inlineStr">
        <is>
          <t>m3</t>
        </is>
      </c>
      <c r="F153" s="36" t="inlineStr">
        <is>
          <t>Sub.TOTAL</t>
        </is>
      </c>
      <c r="G153" s="36" t="inlineStr">
        <is>
          <t>TOTAL (m3)</t>
        </is>
      </c>
    </row>
    <row r="154">
      <c r="B154" s="37" t="inlineStr">
        <is>
          <t>CUNETA EJE-19</t>
        </is>
      </c>
      <c r="C154" s="15" t="inlineStr">
        <is>
          <t>MUROS</t>
        </is>
      </c>
      <c r="D154" s="25" t="inlineStr">
        <is>
          <t>AREA</t>
        </is>
      </c>
      <c r="E154" s="35">
        <f>14.09*0.335</f>
        <v/>
      </c>
      <c r="F154" s="38">
        <f>E154*E155*E156</f>
        <v/>
      </c>
      <c r="G154" s="39">
        <f>SUM(F154:F165)</f>
        <v/>
      </c>
    </row>
    <row r="155">
      <c r="B155" s="40" t="n"/>
      <c r="C155" s="40" t="n"/>
      <c r="D155" s="25" t="inlineStr">
        <is>
          <t>ESPESOR</t>
        </is>
      </c>
      <c r="E155" s="35">
        <f>PARAMETROS!$B$7</f>
        <v/>
      </c>
      <c r="F155" s="25" t="n"/>
      <c r="G155" s="40" t="n"/>
    </row>
    <row r="156">
      <c r="B156" s="40" t="n"/>
      <c r="C156" s="41" t="n"/>
      <c r="D156" s="25" t="inlineStr">
        <is>
          <t>CANT.</t>
        </is>
      </c>
      <c r="E156" s="42" t="n">
        <v>2</v>
      </c>
      <c r="F156" s="25" t="n"/>
      <c r="G156" s="40" t="n"/>
    </row>
    <row r="157">
      <c r="B157" s="40" t="n"/>
      <c r="C157" s="15" t="inlineStr">
        <is>
          <t>LOSA</t>
        </is>
      </c>
      <c r="D157" s="25" t="inlineStr">
        <is>
          <t>ESPESOR</t>
        </is>
      </c>
      <c r="E157" s="35">
        <f>PARAMETROS!$B$8</f>
        <v/>
      </c>
      <c r="F157" s="38">
        <f>E157*E158*E159</f>
        <v/>
      </c>
      <c r="G157" s="40" t="n"/>
    </row>
    <row r="158">
      <c r="B158" s="40" t="n"/>
      <c r="C158" s="40" t="n"/>
      <c r="D158" s="25" t="inlineStr">
        <is>
          <t>LONGITUD</t>
        </is>
      </c>
      <c r="E158" s="35" t="n">
        <v>14.09</v>
      </c>
      <c r="F158" s="25" t="n"/>
      <c r="G158" s="40" t="n"/>
    </row>
    <row r="159">
      <c r="B159" s="40" t="n"/>
      <c r="C159" s="41" t="n"/>
      <c r="D159" s="25" t="inlineStr">
        <is>
          <t>ANCHO</t>
        </is>
      </c>
      <c r="E159" s="35">
        <f>PARAMETROS!$B$5</f>
        <v/>
      </c>
      <c r="F159" s="25" t="n"/>
      <c r="G159" s="40" t="n"/>
    </row>
    <row r="160">
      <c r="B160" s="40" t="n"/>
      <c r="C160" s="15" t="inlineStr">
        <is>
          <t>TAPA</t>
        </is>
      </c>
      <c r="D160" s="25" t="inlineStr">
        <is>
          <t>LONGITUD</t>
        </is>
      </c>
      <c r="E160" s="35" t="n">
        <v>0</v>
      </c>
      <c r="F160" s="38">
        <f>E160*E161*E162</f>
        <v/>
      </c>
      <c r="G160" s="40" t="n"/>
    </row>
    <row r="161">
      <c r="B161" s="40" t="n"/>
      <c r="C161" s="40" t="n"/>
      <c r="D161" s="25" t="inlineStr">
        <is>
          <t>ESPESOR</t>
        </is>
      </c>
      <c r="E161" s="35">
        <f>PARAMETROS!$B$9</f>
        <v/>
      </c>
      <c r="F161" s="25" t="n"/>
      <c r="G161" s="40" t="n"/>
    </row>
    <row r="162">
      <c r="B162" s="40" t="n"/>
      <c r="C162" s="41" t="n"/>
      <c r="D162" s="25" t="inlineStr">
        <is>
          <t>ANCHO</t>
        </is>
      </c>
      <c r="E162" s="35">
        <f>PARAMETROS!$B$5</f>
        <v/>
      </c>
      <c r="F162" s="25" t="n"/>
      <c r="G162" s="40" t="n"/>
    </row>
    <row r="163">
      <c r="B163" s="40" t="n"/>
      <c r="C163" s="15" t="inlineStr">
        <is>
          <t>DESC. TAPAS</t>
        </is>
      </c>
      <c r="D163" s="25" t="inlineStr">
        <is>
          <t>CANT.</t>
        </is>
      </c>
      <c r="E163" s="42" t="n">
        <v>0</v>
      </c>
      <c r="F163" s="38">
        <f>E163*E164*E164*E165</f>
        <v/>
      </c>
      <c r="G163" s="40" t="n"/>
    </row>
    <row r="164">
      <c r="B164" s="40" t="n"/>
      <c r="C164" s="40" t="n"/>
      <c r="D164" s="25" t="inlineStr">
        <is>
          <t>LADO</t>
        </is>
      </c>
      <c r="E164" s="35">
        <f>PARAMETROS!$B$21</f>
        <v/>
      </c>
      <c r="F164" s="25" t="n"/>
      <c r="G164" s="40" t="n"/>
    </row>
    <row r="165">
      <c r="B165" s="41" t="n"/>
      <c r="C165" s="41" t="n"/>
      <c r="D165" s="25" t="inlineStr">
        <is>
          <t>ESPESOR</t>
        </is>
      </c>
      <c r="E165" s="35">
        <f>PARAMETROS!$B$22</f>
        <v/>
      </c>
      <c r="F165" s="25" t="n"/>
      <c r="G165" s="41" t="n"/>
    </row>
  </sheetData>
  <mergeCells count="139">
    <mergeCell ref="K96:K98"/>
    <mergeCell ref="C61:C63"/>
    <mergeCell ref="C51:C53"/>
    <mergeCell ref="G26:G37"/>
    <mergeCell ref="K48:K50"/>
    <mergeCell ref="C48:C50"/>
    <mergeCell ref="B57:D57"/>
    <mergeCell ref="C144:C146"/>
    <mergeCell ref="C131:C133"/>
    <mergeCell ref="C32:C34"/>
    <mergeCell ref="J138:J149"/>
    <mergeCell ref="C13:C15"/>
    <mergeCell ref="J25:L25"/>
    <mergeCell ref="K147:K149"/>
    <mergeCell ref="J122:J133"/>
    <mergeCell ref="B2:O2"/>
    <mergeCell ref="B122:B133"/>
    <mergeCell ref="G42:G53"/>
    <mergeCell ref="C58:C60"/>
    <mergeCell ref="J10:J21"/>
    <mergeCell ref="B106:B117"/>
    <mergeCell ref="K74:K76"/>
    <mergeCell ref="B90:B101"/>
    <mergeCell ref="C157:C159"/>
    <mergeCell ref="G122:G133"/>
    <mergeCell ref="C141:C143"/>
    <mergeCell ref="B58:B69"/>
    <mergeCell ref="C10:C12"/>
    <mergeCell ref="K138:K140"/>
    <mergeCell ref="C35:C37"/>
    <mergeCell ref="C93:C95"/>
    <mergeCell ref="K109:K111"/>
    <mergeCell ref="C99:C101"/>
    <mergeCell ref="O74:O85"/>
    <mergeCell ref="B105:D105"/>
    <mergeCell ref="C115:C117"/>
    <mergeCell ref="O138:O149"/>
    <mergeCell ref="J89:L89"/>
    <mergeCell ref="K61:K63"/>
    <mergeCell ref="O122:O133"/>
    <mergeCell ref="B7:O7"/>
    <mergeCell ref="B73:D73"/>
    <mergeCell ref="C122:C124"/>
    <mergeCell ref="O106:O117"/>
    <mergeCell ref="K128:K130"/>
    <mergeCell ref="O10:O21"/>
    <mergeCell ref="K10:K12"/>
    <mergeCell ref="J41:L41"/>
    <mergeCell ref="G106:G117"/>
    <mergeCell ref="C106:C108"/>
    <mergeCell ref="B137:D137"/>
    <mergeCell ref="C125:C127"/>
    <mergeCell ref="C96:C98"/>
    <mergeCell ref="G90:G101"/>
    <mergeCell ref="B9:D9"/>
    <mergeCell ref="J105:L105"/>
    <mergeCell ref="C6:O6"/>
    <mergeCell ref="K80:K82"/>
    <mergeCell ref="C154:C156"/>
    <mergeCell ref="J121:L121"/>
    <mergeCell ref="K64:K66"/>
    <mergeCell ref="C64:C66"/>
    <mergeCell ref="C4:O4"/>
    <mergeCell ref="K51:K53"/>
    <mergeCell ref="C147:C149"/>
    <mergeCell ref="C26:C28"/>
    <mergeCell ref="K35:K37"/>
    <mergeCell ref="K106:K108"/>
    <mergeCell ref="B10:B21"/>
    <mergeCell ref="K115:K117"/>
    <mergeCell ref="C16:C18"/>
    <mergeCell ref="C90:C92"/>
    <mergeCell ref="K99:K101"/>
    <mergeCell ref="K131:K133"/>
    <mergeCell ref="J26:J37"/>
    <mergeCell ref="K67:K69"/>
    <mergeCell ref="K42:K44"/>
    <mergeCell ref="C163:C165"/>
    <mergeCell ref="C67:C69"/>
    <mergeCell ref="J106:J117"/>
    <mergeCell ref="K77:K79"/>
    <mergeCell ref="J90:J101"/>
    <mergeCell ref="K13:K15"/>
    <mergeCell ref="K141:K143"/>
    <mergeCell ref="J58:J69"/>
    <mergeCell ref="B154:B165"/>
    <mergeCell ref="J137:L137"/>
    <mergeCell ref="B138:B149"/>
    <mergeCell ref="K125:K127"/>
    <mergeCell ref="J42:J53"/>
    <mergeCell ref="C3:O3"/>
    <mergeCell ref="O90:O101"/>
    <mergeCell ref="K112:K114"/>
    <mergeCell ref="C160:C162"/>
    <mergeCell ref="C5:O5"/>
    <mergeCell ref="C45:C47"/>
    <mergeCell ref="C128:C130"/>
    <mergeCell ref="B41:D41"/>
    <mergeCell ref="C29:C31"/>
    <mergeCell ref="C112:C114"/>
    <mergeCell ref="J73:L73"/>
    <mergeCell ref="B25:D25"/>
    <mergeCell ref="K32:K34"/>
    <mergeCell ref="K144:K146"/>
    <mergeCell ref="O26:O37"/>
    <mergeCell ref="K26:K28"/>
    <mergeCell ref="J57:L57"/>
    <mergeCell ref="K90:K92"/>
    <mergeCell ref="J9:L9"/>
    <mergeCell ref="O58:O69"/>
    <mergeCell ref="K58:K60"/>
    <mergeCell ref="G154:G165"/>
    <mergeCell ref="B74:B85"/>
    <mergeCell ref="G138:G149"/>
    <mergeCell ref="C138:C140"/>
    <mergeCell ref="O42:O53"/>
    <mergeCell ref="C77:C79"/>
    <mergeCell ref="B26:B37"/>
    <mergeCell ref="K19:K21"/>
    <mergeCell ref="C19:C21"/>
    <mergeCell ref="K16:K18"/>
    <mergeCell ref="K93:K95"/>
    <mergeCell ref="C42:C44"/>
    <mergeCell ref="C74:C76"/>
    <mergeCell ref="K83:K85"/>
    <mergeCell ref="B89:D89"/>
    <mergeCell ref="C83:C85"/>
    <mergeCell ref="K45:K47"/>
    <mergeCell ref="B153:D153"/>
    <mergeCell ref="K29:K31"/>
    <mergeCell ref="B42:B53"/>
    <mergeCell ref="G10:G21"/>
    <mergeCell ref="J74:J85"/>
    <mergeCell ref="B121:D121"/>
    <mergeCell ref="C109:C111"/>
    <mergeCell ref="K122:K124"/>
    <mergeCell ref="G74:G85"/>
    <mergeCell ref="C80:C82"/>
    <mergeCell ref="G58:G69"/>
  </mergeCells>
  <pageMargins left="0.75" right="0.75" top="1" bottom="1" header="0.5" footer="0.5"/>
  <pageSetup orientation="landscape" paperSize="9" fitToHeight="0" fitToWidth="1"/>
  <rowBreaks count="4" manualBreakCount="4">
    <brk id="39" min="0" max="16383" man="1"/>
    <brk id="71" min="0" max="16383" man="1"/>
    <brk id="103" min="0" max="16383" man="1"/>
    <brk id="135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P1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2" customWidth="1" min="3" max="3"/>
    <col width="17" customWidth="1" min="4" max="4"/>
    <col width="16" customWidth="1" min="5" max="5"/>
    <col width="11" customWidth="1" min="6" max="6"/>
    <col width="12" customWidth="1" min="7" max="7"/>
    <col width="13" customWidth="1" min="8" max="8"/>
    <col width="4" customWidth="1" min="9" max="9"/>
    <col width="12" customWidth="1" min="10" max="10"/>
    <col width="12" customWidth="1" min="11" max="11"/>
    <col width="17" customWidth="1" min="12" max="12"/>
    <col width="16" customWidth="1" min="13" max="13"/>
    <col width="11" customWidth="1" min="14" max="14"/>
    <col width="12" customWidth="1" min="15" max="15"/>
    <col width="13" customWidth="1" min="16" max="16"/>
  </cols>
  <sheetData>
    <row r="2">
      <c r="B2" s="14" t="inlineStr">
        <is>
          <t>ENCOFRADO Y DESENCOFRADO CUNETAS - DRENAJE PLUVIAL</t>
        </is>
      </c>
    </row>
    <row r="3">
      <c r="B3" s="27" t="inlineStr">
        <is>
          <t>ENTIDAD</t>
        </is>
      </c>
      <c r="C3" s="16">
        <f>+RESUMEN!B4</f>
        <v/>
      </c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8" t="n"/>
    </row>
    <row r="4" ht="33" customHeight="1">
      <c r="B4" s="27" t="inlineStr">
        <is>
          <t>PROYECTO</t>
        </is>
      </c>
      <c r="C4" s="16">
        <f>+RESUMEN!B5</f>
        <v/>
      </c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8" t="n"/>
    </row>
    <row r="5">
      <c r="B5" s="27" t="inlineStr">
        <is>
          <t>UBICACIÓN</t>
        </is>
      </c>
      <c r="C5" s="16">
        <f>+RESUMEN!B6</f>
        <v/>
      </c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</row>
    <row r="6">
      <c r="B6" s="27" t="inlineStr">
        <is>
          <t>FECHA</t>
        </is>
      </c>
      <c r="C6" s="16">
        <f>+RESUMEN!B7</f>
        <v/>
      </c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8" t="n"/>
    </row>
    <row r="8">
      <c r="B8" s="36" t="inlineStr">
        <is>
          <t>OBRAS DE CONCRETO ARMADO - ENCOFRADO Y DESENCOFRADO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8" t="n"/>
    </row>
    <row r="11">
      <c r="B11" s="36" t="inlineStr">
        <is>
          <t>LONGITUDES Y AREAS</t>
        </is>
      </c>
      <c r="C11" s="17" t="n"/>
      <c r="D11" s="17" t="n"/>
      <c r="E11" s="17" t="n"/>
      <c r="F11" s="18" t="n"/>
      <c r="G11" s="36" t="inlineStr">
        <is>
          <t>Sub.TOTAL</t>
        </is>
      </c>
      <c r="H11" s="36" t="inlineStr">
        <is>
          <t>TOTAL (m2)</t>
        </is>
      </c>
      <c r="J11" s="36" t="inlineStr">
        <is>
          <t>LONGITUDES Y AREAS</t>
        </is>
      </c>
      <c r="K11" s="17" t="n"/>
      <c r="L11" s="17" t="n"/>
      <c r="M11" s="17" t="n"/>
      <c r="N11" s="18" t="n"/>
      <c r="O11" s="36" t="inlineStr">
        <is>
          <t>Sub.TOTAL</t>
        </is>
      </c>
      <c r="P11" s="36" t="inlineStr">
        <is>
          <t>TOTAL (m2)</t>
        </is>
      </c>
    </row>
    <row r="12">
      <c r="B12" s="15" t="inlineStr">
        <is>
          <t>EJE-01</t>
        </is>
      </c>
      <c r="C12" s="15" t="inlineStr">
        <is>
          <t>ABIERTA</t>
        </is>
      </c>
      <c r="D12" s="15" t="inlineStr">
        <is>
          <t>MURO EXTERNO</t>
        </is>
      </c>
      <c r="E12" s="25" t="inlineStr">
        <is>
          <t>AREA</t>
        </is>
      </c>
      <c r="F12" s="35">
        <f>34.34*(0.386+PARAMETROS!$B$8)</f>
        <v/>
      </c>
      <c r="G12" s="43">
        <f>F12*F13</f>
        <v/>
      </c>
      <c r="H12" s="32">
        <f>SUM(G12:G17)</f>
        <v/>
      </c>
      <c r="J12" s="15" t="inlineStr">
        <is>
          <t>EJE-02</t>
        </is>
      </c>
      <c r="K12" s="15" t="inlineStr">
        <is>
          <t>MIXTA</t>
        </is>
      </c>
      <c r="L12" s="15" t="inlineStr">
        <is>
          <t>MURO EXTERNO</t>
        </is>
      </c>
      <c r="M12" s="25" t="inlineStr">
        <is>
          <t>AREA</t>
        </is>
      </c>
      <c r="N12" s="35">
        <f>76.04*(0.567+PARAMETROS!$B$8)</f>
        <v/>
      </c>
      <c r="O12" s="43">
        <f>N12*N13</f>
        <v/>
      </c>
      <c r="P12" s="32">
        <f>SUM(O12:O17)</f>
        <v/>
      </c>
    </row>
    <row r="13">
      <c r="B13" s="40" t="n"/>
      <c r="C13" s="40" t="n"/>
      <c r="D13" s="15" t="n"/>
      <c r="E13" s="25" t="inlineStr">
        <is>
          <t>CANT.</t>
        </is>
      </c>
      <c r="F13" s="35" t="n">
        <v>2</v>
      </c>
      <c r="G13" s="43" t="n"/>
      <c r="H13" s="40" t="n"/>
      <c r="J13" s="40" t="n"/>
      <c r="K13" s="40" t="n"/>
      <c r="L13" s="15" t="n"/>
      <c r="M13" s="25" t="inlineStr">
        <is>
          <t>CANT.</t>
        </is>
      </c>
      <c r="N13" s="35" t="n">
        <v>2</v>
      </c>
      <c r="O13" s="43" t="n"/>
      <c r="P13" s="40" t="n"/>
    </row>
    <row r="14">
      <c r="B14" s="40" t="n"/>
      <c r="C14" s="40" t="n"/>
      <c r="D14" s="15" t="inlineStr">
        <is>
          <t>MURO INTERNO</t>
        </is>
      </c>
      <c r="E14" s="25" t="inlineStr">
        <is>
          <t>AREA</t>
        </is>
      </c>
      <c r="F14" s="35">
        <f>34.34*0.386</f>
        <v/>
      </c>
      <c r="G14" s="43">
        <f>F14*F15</f>
        <v/>
      </c>
      <c r="H14" s="40" t="n"/>
      <c r="J14" s="40" t="n"/>
      <c r="K14" s="40" t="n"/>
      <c r="L14" s="15" t="inlineStr">
        <is>
          <t>MURO INTERNO</t>
        </is>
      </c>
      <c r="M14" s="25" t="inlineStr">
        <is>
          <t>AREA</t>
        </is>
      </c>
      <c r="N14" s="35">
        <f>76.04*0.567</f>
        <v/>
      </c>
      <c r="O14" s="43">
        <f>N14*N15</f>
        <v/>
      </c>
      <c r="P14" s="40" t="n"/>
    </row>
    <row r="15">
      <c r="B15" s="40" t="n"/>
      <c r="C15" s="40" t="n"/>
      <c r="D15" s="15" t="n"/>
      <c r="E15" s="25" t="inlineStr">
        <is>
          <t>CANTIDAD</t>
        </is>
      </c>
      <c r="F15" s="35" t="n">
        <v>2</v>
      </c>
      <c r="G15" s="43" t="n"/>
      <c r="H15" s="40" t="n"/>
      <c r="J15" s="40" t="n"/>
      <c r="K15" s="40" t="n"/>
      <c r="L15" s="15" t="n"/>
      <c r="M15" s="25" t="inlineStr">
        <is>
          <t>CANTIDAD</t>
        </is>
      </c>
      <c r="N15" s="35" t="n">
        <v>2</v>
      </c>
      <c r="O15" s="43" t="n"/>
      <c r="P15" s="40" t="n"/>
    </row>
    <row r="16">
      <c r="B16" s="40" t="n"/>
      <c r="C16" s="40" t="n"/>
      <c r="D16" s="15" t="inlineStr">
        <is>
          <t>LOSA TAPA</t>
        </is>
      </c>
      <c r="E16" s="25" t="inlineStr">
        <is>
          <t>LONGITUD</t>
        </is>
      </c>
      <c r="F16" s="35" t="n">
        <v>0</v>
      </c>
      <c r="G16" s="43">
        <f>F16*F17</f>
        <v/>
      </c>
      <c r="H16" s="40" t="n"/>
      <c r="J16" s="40" t="n"/>
      <c r="K16" s="40" t="n"/>
      <c r="L16" s="15" t="inlineStr">
        <is>
          <t>LOSA TAPA</t>
        </is>
      </c>
      <c r="M16" s="25" t="inlineStr">
        <is>
          <t>LONGITUD</t>
        </is>
      </c>
      <c r="N16" s="35" t="n">
        <v>0.76</v>
      </c>
      <c r="O16" s="43">
        <f>N16*N17</f>
        <v/>
      </c>
      <c r="P16" s="40" t="n"/>
    </row>
    <row r="17">
      <c r="B17" s="41" t="n"/>
      <c r="C17" s="41" t="n"/>
      <c r="D17" s="15" t="n"/>
      <c r="E17" s="25" t="inlineStr">
        <is>
          <t>FONDO + CANTOS</t>
        </is>
      </c>
      <c r="F17" s="35">
        <f>PARAMETROS!$B$6+2*PARAMETROS!$B$9</f>
        <v/>
      </c>
      <c r="G17" s="43" t="n"/>
      <c r="H17" s="41" t="n"/>
      <c r="J17" s="41" t="n"/>
      <c r="K17" s="41" t="n"/>
      <c r="L17" s="15" t="n"/>
      <c r="M17" s="25" t="inlineStr">
        <is>
          <t>FONDO + CANTOS</t>
        </is>
      </c>
      <c r="N17" s="35">
        <f>PARAMETROS!$B$6+2*PARAMETROS!$B$9</f>
        <v/>
      </c>
      <c r="O17" s="43" t="n"/>
      <c r="P17" s="41" t="n"/>
    </row>
    <row r="22">
      <c r="B22" s="36" t="inlineStr">
        <is>
          <t>LONGITUDES Y AREAS</t>
        </is>
      </c>
      <c r="C22" s="17" t="n"/>
      <c r="D22" s="17" t="n"/>
      <c r="E22" s="17" t="n"/>
      <c r="F22" s="18" t="n"/>
      <c r="G22" s="36" t="inlineStr">
        <is>
          <t>Sub.TOTAL</t>
        </is>
      </c>
      <c r="H22" s="36" t="inlineStr">
        <is>
          <t>TOTAL (m2)</t>
        </is>
      </c>
      <c r="J22" s="36" t="inlineStr">
        <is>
          <t>LONGITUDES Y AREAS</t>
        </is>
      </c>
      <c r="K22" s="17" t="n"/>
      <c r="L22" s="17" t="n"/>
      <c r="M22" s="17" t="n"/>
      <c r="N22" s="18" t="n"/>
      <c r="O22" s="36" t="inlineStr">
        <is>
          <t>Sub.TOTAL</t>
        </is>
      </c>
      <c r="P22" s="36" t="inlineStr">
        <is>
          <t>TOTAL (m2)</t>
        </is>
      </c>
    </row>
    <row r="23">
      <c r="B23" s="15" t="inlineStr">
        <is>
          <t>EJE-03</t>
        </is>
      </c>
      <c r="C23" s="15" t="inlineStr">
        <is>
          <t>ABIERTA</t>
        </is>
      </c>
      <c r="D23" s="15" t="inlineStr">
        <is>
          <t>MURO EXTERNO</t>
        </is>
      </c>
      <c r="E23" s="25" t="inlineStr">
        <is>
          <t>AREA</t>
        </is>
      </c>
      <c r="F23" s="35">
        <f>32.31*(0.381+PARAMETROS!$B$8)</f>
        <v/>
      </c>
      <c r="G23" s="43">
        <f>F23*F24</f>
        <v/>
      </c>
      <c r="H23" s="32">
        <f>SUM(G23:G28)</f>
        <v/>
      </c>
      <c r="J23" s="15" t="inlineStr">
        <is>
          <t>EJE-04</t>
        </is>
      </c>
      <c r="K23" s="15" t="inlineStr">
        <is>
          <t>ABIERTA</t>
        </is>
      </c>
      <c r="L23" s="15" t="inlineStr">
        <is>
          <t>MURO EXTERNO</t>
        </is>
      </c>
      <c r="M23" s="25" t="inlineStr">
        <is>
          <t>AREA</t>
        </is>
      </c>
      <c r="N23" s="35">
        <f>94.34*(0.536+PARAMETROS!$B$8)</f>
        <v/>
      </c>
      <c r="O23" s="43">
        <f>N23*N24</f>
        <v/>
      </c>
      <c r="P23" s="32">
        <f>SUM(O23:O28)</f>
        <v/>
      </c>
    </row>
    <row r="24">
      <c r="B24" s="40" t="n"/>
      <c r="C24" s="40" t="n"/>
      <c r="D24" s="15" t="n"/>
      <c r="E24" s="25" t="inlineStr">
        <is>
          <t>CANT.</t>
        </is>
      </c>
      <c r="F24" s="35" t="n">
        <v>2</v>
      </c>
      <c r="G24" s="43" t="n"/>
      <c r="H24" s="40" t="n"/>
      <c r="J24" s="40" t="n"/>
      <c r="K24" s="40" t="n"/>
      <c r="L24" s="15" t="n"/>
      <c r="M24" s="25" t="inlineStr">
        <is>
          <t>CANT.</t>
        </is>
      </c>
      <c r="N24" s="35" t="n">
        <v>2</v>
      </c>
      <c r="O24" s="43" t="n"/>
      <c r="P24" s="40" t="n"/>
    </row>
    <row r="25">
      <c r="B25" s="40" t="n"/>
      <c r="C25" s="40" t="n"/>
      <c r="D25" s="15" t="inlineStr">
        <is>
          <t>MURO INTERNO</t>
        </is>
      </c>
      <c r="E25" s="25" t="inlineStr">
        <is>
          <t>AREA</t>
        </is>
      </c>
      <c r="F25" s="35">
        <f>32.31*0.381</f>
        <v/>
      </c>
      <c r="G25" s="43">
        <f>F25*F26</f>
        <v/>
      </c>
      <c r="H25" s="40" t="n"/>
      <c r="J25" s="40" t="n"/>
      <c r="K25" s="40" t="n"/>
      <c r="L25" s="15" t="inlineStr">
        <is>
          <t>MURO INTERNO</t>
        </is>
      </c>
      <c r="M25" s="25" t="inlineStr">
        <is>
          <t>AREA</t>
        </is>
      </c>
      <c r="N25" s="35">
        <f>94.34*0.536</f>
        <v/>
      </c>
      <c r="O25" s="43">
        <f>N25*N26</f>
        <v/>
      </c>
      <c r="P25" s="40" t="n"/>
    </row>
    <row r="26">
      <c r="B26" s="40" t="n"/>
      <c r="C26" s="40" t="n"/>
      <c r="D26" s="15" t="n"/>
      <c r="E26" s="25" t="inlineStr">
        <is>
          <t>CANTIDAD</t>
        </is>
      </c>
      <c r="F26" s="35" t="n">
        <v>2</v>
      </c>
      <c r="G26" s="43" t="n"/>
      <c r="H26" s="40" t="n"/>
      <c r="J26" s="40" t="n"/>
      <c r="K26" s="40" t="n"/>
      <c r="L26" s="15" t="n"/>
      <c r="M26" s="25" t="inlineStr">
        <is>
          <t>CANTIDAD</t>
        </is>
      </c>
      <c r="N26" s="35" t="n">
        <v>2</v>
      </c>
      <c r="O26" s="43" t="n"/>
      <c r="P26" s="40" t="n"/>
    </row>
    <row r="27">
      <c r="B27" s="40" t="n"/>
      <c r="C27" s="40" t="n"/>
      <c r="D27" s="15" t="inlineStr">
        <is>
          <t>LOSA TAPA</t>
        </is>
      </c>
      <c r="E27" s="25" t="inlineStr">
        <is>
          <t>LONGITUD</t>
        </is>
      </c>
      <c r="F27" s="35" t="n">
        <v>0</v>
      </c>
      <c r="G27" s="43">
        <f>F27*F28</f>
        <v/>
      </c>
      <c r="H27" s="40" t="n"/>
      <c r="J27" s="40" t="n"/>
      <c r="K27" s="40" t="n"/>
      <c r="L27" s="15" t="inlineStr">
        <is>
          <t>LOSA TAPA</t>
        </is>
      </c>
      <c r="M27" s="25" t="inlineStr">
        <is>
          <t>LONGITUD</t>
        </is>
      </c>
      <c r="N27" s="35" t="n">
        <v>0</v>
      </c>
      <c r="O27" s="43">
        <f>N27*N28</f>
        <v/>
      </c>
      <c r="P27" s="40" t="n"/>
    </row>
    <row r="28">
      <c r="B28" s="41" t="n"/>
      <c r="C28" s="41" t="n"/>
      <c r="D28" s="15" t="n"/>
      <c r="E28" s="25" t="inlineStr">
        <is>
          <t>FONDO + CANTOS</t>
        </is>
      </c>
      <c r="F28" s="35">
        <f>PARAMETROS!$B$6+2*PARAMETROS!$B$9</f>
        <v/>
      </c>
      <c r="G28" s="43" t="n"/>
      <c r="H28" s="41" t="n"/>
      <c r="J28" s="41" t="n"/>
      <c r="K28" s="41" t="n"/>
      <c r="L28" s="15" t="n"/>
      <c r="M28" s="25" t="inlineStr">
        <is>
          <t>FONDO + CANTOS</t>
        </is>
      </c>
      <c r="N28" s="35">
        <f>PARAMETROS!$B$6+2*PARAMETROS!$B$9</f>
        <v/>
      </c>
      <c r="O28" s="43" t="n"/>
      <c r="P28" s="41" t="n"/>
    </row>
    <row r="33">
      <c r="B33" s="36" t="inlineStr">
        <is>
          <t>LONGITUDES Y AREAS</t>
        </is>
      </c>
      <c r="C33" s="17" t="n"/>
      <c r="D33" s="17" t="n"/>
      <c r="E33" s="17" t="n"/>
      <c r="F33" s="18" t="n"/>
      <c r="G33" s="36" t="inlineStr">
        <is>
          <t>Sub.TOTAL</t>
        </is>
      </c>
      <c r="H33" s="36" t="inlineStr">
        <is>
          <t>TOTAL (m2)</t>
        </is>
      </c>
      <c r="J33" s="36" t="inlineStr">
        <is>
          <t>LONGITUDES Y AREAS</t>
        </is>
      </c>
      <c r="K33" s="17" t="n"/>
      <c r="L33" s="17" t="n"/>
      <c r="M33" s="17" t="n"/>
      <c r="N33" s="18" t="n"/>
      <c r="O33" s="36" t="inlineStr">
        <is>
          <t>Sub.TOTAL</t>
        </is>
      </c>
      <c r="P33" s="36" t="inlineStr">
        <is>
          <t>TOTAL (m2)</t>
        </is>
      </c>
    </row>
    <row r="34">
      <c r="B34" s="15" t="inlineStr">
        <is>
          <t>EJE-05</t>
        </is>
      </c>
      <c r="C34" s="15" t="inlineStr">
        <is>
          <t>ABIERTA</t>
        </is>
      </c>
      <c r="D34" s="15" t="inlineStr">
        <is>
          <t>MURO EXTERNO</t>
        </is>
      </c>
      <c r="E34" s="25" t="inlineStr">
        <is>
          <t>AREA</t>
        </is>
      </c>
      <c r="F34" s="35">
        <f>90.56*(0.526+PARAMETROS!$B$8)</f>
        <v/>
      </c>
      <c r="G34" s="43">
        <f>F34*F35</f>
        <v/>
      </c>
      <c r="H34" s="32">
        <f>SUM(G34:G39)</f>
        <v/>
      </c>
      <c r="J34" s="15" t="inlineStr">
        <is>
          <t>EJE-06</t>
        </is>
      </c>
      <c r="K34" s="15" t="inlineStr">
        <is>
          <t>ABIERTA</t>
        </is>
      </c>
      <c r="L34" s="15" t="inlineStr">
        <is>
          <t>MURO EXTERNO</t>
        </is>
      </c>
      <c r="M34" s="25" t="inlineStr">
        <is>
          <t>AREA</t>
        </is>
      </c>
      <c r="N34" s="35">
        <f>12.30*(0.331+PARAMETROS!$B$8)</f>
        <v/>
      </c>
      <c r="O34" s="43">
        <f>N34*N35</f>
        <v/>
      </c>
      <c r="P34" s="32">
        <f>SUM(O34:O39)</f>
        <v/>
      </c>
    </row>
    <row r="35">
      <c r="B35" s="40" t="n"/>
      <c r="C35" s="40" t="n"/>
      <c r="D35" s="15" t="n"/>
      <c r="E35" s="25" t="inlineStr">
        <is>
          <t>CANT.</t>
        </is>
      </c>
      <c r="F35" s="35" t="n">
        <v>2</v>
      </c>
      <c r="G35" s="43" t="n"/>
      <c r="H35" s="40" t="n"/>
      <c r="J35" s="40" t="n"/>
      <c r="K35" s="40" t="n"/>
      <c r="L35" s="15" t="n"/>
      <c r="M35" s="25" t="inlineStr">
        <is>
          <t>CANT.</t>
        </is>
      </c>
      <c r="N35" s="35" t="n">
        <v>2</v>
      </c>
      <c r="O35" s="43" t="n"/>
      <c r="P35" s="40" t="n"/>
    </row>
    <row r="36">
      <c r="B36" s="40" t="n"/>
      <c r="C36" s="40" t="n"/>
      <c r="D36" s="15" t="inlineStr">
        <is>
          <t>MURO INTERNO</t>
        </is>
      </c>
      <c r="E36" s="25" t="inlineStr">
        <is>
          <t>AREA</t>
        </is>
      </c>
      <c r="F36" s="35">
        <f>90.56*0.526</f>
        <v/>
      </c>
      <c r="G36" s="43">
        <f>F36*F37</f>
        <v/>
      </c>
      <c r="H36" s="40" t="n"/>
      <c r="J36" s="40" t="n"/>
      <c r="K36" s="40" t="n"/>
      <c r="L36" s="15" t="inlineStr">
        <is>
          <t>MURO INTERNO</t>
        </is>
      </c>
      <c r="M36" s="25" t="inlineStr">
        <is>
          <t>AREA</t>
        </is>
      </c>
      <c r="N36" s="35">
        <f>12.30*0.331</f>
        <v/>
      </c>
      <c r="O36" s="43">
        <f>N36*N37</f>
        <v/>
      </c>
      <c r="P36" s="40" t="n"/>
    </row>
    <row r="37">
      <c r="B37" s="40" t="n"/>
      <c r="C37" s="40" t="n"/>
      <c r="D37" s="15" t="n"/>
      <c r="E37" s="25" t="inlineStr">
        <is>
          <t>CANTIDAD</t>
        </is>
      </c>
      <c r="F37" s="35" t="n">
        <v>2</v>
      </c>
      <c r="G37" s="43" t="n"/>
      <c r="H37" s="40" t="n"/>
      <c r="J37" s="40" t="n"/>
      <c r="K37" s="40" t="n"/>
      <c r="L37" s="15" t="n"/>
      <c r="M37" s="25" t="inlineStr">
        <is>
          <t>CANTIDAD</t>
        </is>
      </c>
      <c r="N37" s="35" t="n">
        <v>2</v>
      </c>
      <c r="O37" s="43" t="n"/>
      <c r="P37" s="40" t="n"/>
    </row>
    <row r="38">
      <c r="B38" s="40" t="n"/>
      <c r="C38" s="40" t="n"/>
      <c r="D38" s="15" t="inlineStr">
        <is>
          <t>LOSA TAPA</t>
        </is>
      </c>
      <c r="E38" s="25" t="inlineStr">
        <is>
          <t>LONGITUD</t>
        </is>
      </c>
      <c r="F38" s="35" t="n">
        <v>0</v>
      </c>
      <c r="G38" s="43">
        <f>F38*F39</f>
        <v/>
      </c>
      <c r="H38" s="40" t="n"/>
      <c r="J38" s="40" t="n"/>
      <c r="K38" s="40" t="n"/>
      <c r="L38" s="15" t="inlineStr">
        <is>
          <t>LOSA TAPA</t>
        </is>
      </c>
      <c r="M38" s="25" t="inlineStr">
        <is>
          <t>LONGITUD</t>
        </is>
      </c>
      <c r="N38" s="35" t="n">
        <v>0</v>
      </c>
      <c r="O38" s="43">
        <f>N38*N39</f>
        <v/>
      </c>
      <c r="P38" s="40" t="n"/>
    </row>
    <row r="39">
      <c r="B39" s="41" t="n"/>
      <c r="C39" s="41" t="n"/>
      <c r="D39" s="15" t="n"/>
      <c r="E39" s="25" t="inlineStr">
        <is>
          <t>FONDO + CANTOS</t>
        </is>
      </c>
      <c r="F39" s="35">
        <f>PARAMETROS!$B$6+2*PARAMETROS!$B$9</f>
        <v/>
      </c>
      <c r="G39" s="43" t="n"/>
      <c r="H39" s="41" t="n"/>
      <c r="J39" s="41" t="n"/>
      <c r="K39" s="41" t="n"/>
      <c r="L39" s="15" t="n"/>
      <c r="M39" s="25" t="inlineStr">
        <is>
          <t>FONDO + CANTOS</t>
        </is>
      </c>
      <c r="N39" s="35">
        <f>PARAMETROS!$B$6+2*PARAMETROS!$B$9</f>
        <v/>
      </c>
      <c r="O39" s="43" t="n"/>
      <c r="P39" s="41" t="n"/>
    </row>
    <row r="44">
      <c r="B44" s="36" t="inlineStr">
        <is>
          <t>LONGITUDES Y AREAS</t>
        </is>
      </c>
      <c r="C44" s="17" t="n"/>
      <c r="D44" s="17" t="n"/>
      <c r="E44" s="17" t="n"/>
      <c r="F44" s="18" t="n"/>
      <c r="G44" s="36" t="inlineStr">
        <is>
          <t>Sub.TOTAL</t>
        </is>
      </c>
      <c r="H44" s="36" t="inlineStr">
        <is>
          <t>TOTAL (m2)</t>
        </is>
      </c>
      <c r="J44" s="36" t="inlineStr">
        <is>
          <t>LONGITUDES Y AREAS</t>
        </is>
      </c>
      <c r="K44" s="17" t="n"/>
      <c r="L44" s="17" t="n"/>
      <c r="M44" s="17" t="n"/>
      <c r="N44" s="18" t="n"/>
      <c r="O44" s="36" t="inlineStr">
        <is>
          <t>Sub.TOTAL</t>
        </is>
      </c>
      <c r="P44" s="36" t="inlineStr">
        <is>
          <t>TOTAL (m2)</t>
        </is>
      </c>
    </row>
    <row r="45">
      <c r="B45" s="15" t="inlineStr">
        <is>
          <t>EJE-07</t>
        </is>
      </c>
      <c r="C45" s="15" t="inlineStr">
        <is>
          <t>MIXTA</t>
        </is>
      </c>
      <c r="D45" s="15" t="inlineStr">
        <is>
          <t>MURO EXTERNO</t>
        </is>
      </c>
      <c r="E45" s="25" t="inlineStr">
        <is>
          <t>AREA</t>
        </is>
      </c>
      <c r="F45" s="35">
        <f>94.69*(0.645+PARAMETROS!$B$8)</f>
        <v/>
      </c>
      <c r="G45" s="43">
        <f>F45*F46</f>
        <v/>
      </c>
      <c r="H45" s="32">
        <f>SUM(G45:G50)</f>
        <v/>
      </c>
      <c r="J45" s="15" t="inlineStr">
        <is>
          <t>EJE-08</t>
        </is>
      </c>
      <c r="K45" s="15" t="inlineStr">
        <is>
          <t>ABIERTA</t>
        </is>
      </c>
      <c r="L45" s="15" t="inlineStr">
        <is>
          <t>MURO EXTERNO</t>
        </is>
      </c>
      <c r="M45" s="25" t="inlineStr">
        <is>
          <t>AREA</t>
        </is>
      </c>
      <c r="N45" s="35">
        <f>39.68*(0.399+PARAMETROS!$B$8)</f>
        <v/>
      </c>
      <c r="O45" s="43">
        <f>N45*N46</f>
        <v/>
      </c>
      <c r="P45" s="32">
        <f>SUM(O45:O50)</f>
        <v/>
      </c>
    </row>
    <row r="46">
      <c r="B46" s="40" t="n"/>
      <c r="C46" s="40" t="n"/>
      <c r="D46" s="15" t="n"/>
      <c r="E46" s="25" t="inlineStr">
        <is>
          <t>CANT.</t>
        </is>
      </c>
      <c r="F46" s="35" t="n">
        <v>2</v>
      </c>
      <c r="G46" s="43" t="n"/>
      <c r="H46" s="40" t="n"/>
      <c r="J46" s="40" t="n"/>
      <c r="K46" s="40" t="n"/>
      <c r="L46" s="15" t="n"/>
      <c r="M46" s="25" t="inlineStr">
        <is>
          <t>CANT.</t>
        </is>
      </c>
      <c r="N46" s="35" t="n">
        <v>2</v>
      </c>
      <c r="O46" s="43" t="n"/>
      <c r="P46" s="40" t="n"/>
    </row>
    <row r="47">
      <c r="B47" s="40" t="n"/>
      <c r="C47" s="40" t="n"/>
      <c r="D47" s="15" t="inlineStr">
        <is>
          <t>MURO INTERNO</t>
        </is>
      </c>
      <c r="E47" s="25" t="inlineStr">
        <is>
          <t>AREA</t>
        </is>
      </c>
      <c r="F47" s="35">
        <f>94.69*0.645</f>
        <v/>
      </c>
      <c r="G47" s="43">
        <f>F47*F48</f>
        <v/>
      </c>
      <c r="H47" s="40" t="n"/>
      <c r="J47" s="40" t="n"/>
      <c r="K47" s="40" t="n"/>
      <c r="L47" s="15" t="inlineStr">
        <is>
          <t>MURO INTERNO</t>
        </is>
      </c>
      <c r="M47" s="25" t="inlineStr">
        <is>
          <t>AREA</t>
        </is>
      </c>
      <c r="N47" s="35">
        <f>39.68*0.399</f>
        <v/>
      </c>
      <c r="O47" s="43">
        <f>N47*N48</f>
        <v/>
      </c>
      <c r="P47" s="40" t="n"/>
    </row>
    <row r="48">
      <c r="B48" s="40" t="n"/>
      <c r="C48" s="40" t="n"/>
      <c r="D48" s="15" t="n"/>
      <c r="E48" s="25" t="inlineStr">
        <is>
          <t>CANTIDAD</t>
        </is>
      </c>
      <c r="F48" s="35" t="n">
        <v>2</v>
      </c>
      <c r="G48" s="43" t="n"/>
      <c r="H48" s="40" t="n"/>
      <c r="J48" s="40" t="n"/>
      <c r="K48" s="40" t="n"/>
      <c r="L48" s="15" t="n"/>
      <c r="M48" s="25" t="inlineStr">
        <is>
          <t>CANTIDAD</t>
        </is>
      </c>
      <c r="N48" s="35" t="n">
        <v>2</v>
      </c>
      <c r="O48" s="43" t="n"/>
      <c r="P48" s="40" t="n"/>
    </row>
    <row r="49">
      <c r="B49" s="40" t="n"/>
      <c r="C49" s="40" t="n"/>
      <c r="D49" s="15" t="inlineStr">
        <is>
          <t>LOSA TAPA</t>
        </is>
      </c>
      <c r="E49" s="25" t="inlineStr">
        <is>
          <t>LONGITUD</t>
        </is>
      </c>
      <c r="F49" s="35" t="n">
        <v>22.9</v>
      </c>
      <c r="G49" s="43">
        <f>F49*F50</f>
        <v/>
      </c>
      <c r="H49" s="40" t="n"/>
      <c r="J49" s="40" t="n"/>
      <c r="K49" s="40" t="n"/>
      <c r="L49" s="15" t="inlineStr">
        <is>
          <t>LOSA TAPA</t>
        </is>
      </c>
      <c r="M49" s="25" t="inlineStr">
        <is>
          <t>LONGITUD</t>
        </is>
      </c>
      <c r="N49" s="35" t="n">
        <v>0</v>
      </c>
      <c r="O49" s="43">
        <f>N49*N50</f>
        <v/>
      </c>
      <c r="P49" s="40" t="n"/>
    </row>
    <row r="50">
      <c r="B50" s="41" t="n"/>
      <c r="C50" s="41" t="n"/>
      <c r="D50" s="15" t="n"/>
      <c r="E50" s="25" t="inlineStr">
        <is>
          <t>FONDO + CANTOS</t>
        </is>
      </c>
      <c r="F50" s="35">
        <f>PARAMETROS!$B$6+2*PARAMETROS!$B$9</f>
        <v/>
      </c>
      <c r="G50" s="43" t="n"/>
      <c r="H50" s="41" t="n"/>
      <c r="J50" s="41" t="n"/>
      <c r="K50" s="41" t="n"/>
      <c r="L50" s="15" t="n"/>
      <c r="M50" s="25" t="inlineStr">
        <is>
          <t>FONDO + CANTOS</t>
        </is>
      </c>
      <c r="N50" s="35">
        <f>PARAMETROS!$B$6+2*PARAMETROS!$B$9</f>
        <v/>
      </c>
      <c r="O50" s="43" t="n"/>
      <c r="P50" s="41" t="n"/>
    </row>
    <row r="55">
      <c r="B55" s="36" t="inlineStr">
        <is>
          <t>LONGITUDES Y AREAS</t>
        </is>
      </c>
      <c r="C55" s="17" t="n"/>
      <c r="D55" s="17" t="n"/>
      <c r="E55" s="17" t="n"/>
      <c r="F55" s="18" t="n"/>
      <c r="G55" s="36" t="inlineStr">
        <is>
          <t>Sub.TOTAL</t>
        </is>
      </c>
      <c r="H55" s="36" t="inlineStr">
        <is>
          <t>TOTAL (m2)</t>
        </is>
      </c>
      <c r="J55" s="36" t="inlineStr">
        <is>
          <t>LONGITUDES Y AREAS</t>
        </is>
      </c>
      <c r="K55" s="17" t="n"/>
      <c r="L55" s="17" t="n"/>
      <c r="M55" s="17" t="n"/>
      <c r="N55" s="18" t="n"/>
      <c r="O55" s="36" t="inlineStr">
        <is>
          <t>Sub.TOTAL</t>
        </is>
      </c>
      <c r="P55" s="36" t="inlineStr">
        <is>
          <t>TOTAL (m2)</t>
        </is>
      </c>
    </row>
    <row r="56">
      <c r="B56" s="15" t="inlineStr">
        <is>
          <t>EJE-09</t>
        </is>
      </c>
      <c r="C56" s="15" t="inlineStr">
        <is>
          <t>ABIERTA</t>
        </is>
      </c>
      <c r="D56" s="15" t="inlineStr">
        <is>
          <t>MURO EXTERNO</t>
        </is>
      </c>
      <c r="E56" s="25" t="inlineStr">
        <is>
          <t>AREA</t>
        </is>
      </c>
      <c r="F56" s="35">
        <f>35.80*(0.389+PARAMETROS!$B$8)</f>
        <v/>
      </c>
      <c r="G56" s="43">
        <f>F56*F57</f>
        <v/>
      </c>
      <c r="H56" s="32">
        <f>SUM(G56:G61)</f>
        <v/>
      </c>
      <c r="J56" s="15" t="inlineStr">
        <is>
          <t>EJE-10</t>
        </is>
      </c>
      <c r="K56" s="15" t="inlineStr">
        <is>
          <t>ABIERTA</t>
        </is>
      </c>
      <c r="L56" s="15" t="inlineStr">
        <is>
          <t>MURO EXTERNO</t>
        </is>
      </c>
      <c r="M56" s="25" t="inlineStr">
        <is>
          <t>AREA</t>
        </is>
      </c>
      <c r="N56" s="35">
        <f>36.90*(0.392+PARAMETROS!$B$8)</f>
        <v/>
      </c>
      <c r="O56" s="43">
        <f>N56*N57</f>
        <v/>
      </c>
      <c r="P56" s="32">
        <f>SUM(O56:O61)</f>
        <v/>
      </c>
    </row>
    <row r="57">
      <c r="B57" s="40" t="n"/>
      <c r="C57" s="40" t="n"/>
      <c r="D57" s="15" t="n"/>
      <c r="E57" s="25" t="inlineStr">
        <is>
          <t>CANT.</t>
        </is>
      </c>
      <c r="F57" s="35" t="n">
        <v>2</v>
      </c>
      <c r="G57" s="43" t="n"/>
      <c r="H57" s="40" t="n"/>
      <c r="J57" s="40" t="n"/>
      <c r="K57" s="40" t="n"/>
      <c r="L57" s="15" t="n"/>
      <c r="M57" s="25" t="inlineStr">
        <is>
          <t>CANT.</t>
        </is>
      </c>
      <c r="N57" s="35" t="n">
        <v>2</v>
      </c>
      <c r="O57" s="43" t="n"/>
      <c r="P57" s="40" t="n"/>
    </row>
    <row r="58">
      <c r="B58" s="40" t="n"/>
      <c r="C58" s="40" t="n"/>
      <c r="D58" s="15" t="inlineStr">
        <is>
          <t>MURO INTERNO</t>
        </is>
      </c>
      <c r="E58" s="25" t="inlineStr">
        <is>
          <t>AREA</t>
        </is>
      </c>
      <c r="F58" s="35">
        <f>35.80*0.389</f>
        <v/>
      </c>
      <c r="G58" s="43">
        <f>F58*F59</f>
        <v/>
      </c>
      <c r="H58" s="40" t="n"/>
      <c r="J58" s="40" t="n"/>
      <c r="K58" s="40" t="n"/>
      <c r="L58" s="15" t="inlineStr">
        <is>
          <t>MURO INTERNO</t>
        </is>
      </c>
      <c r="M58" s="25" t="inlineStr">
        <is>
          <t>AREA</t>
        </is>
      </c>
      <c r="N58" s="35">
        <f>36.90*0.392</f>
        <v/>
      </c>
      <c r="O58" s="43">
        <f>N58*N59</f>
        <v/>
      </c>
      <c r="P58" s="40" t="n"/>
    </row>
    <row r="59">
      <c r="B59" s="40" t="n"/>
      <c r="C59" s="40" t="n"/>
      <c r="D59" s="15" t="n"/>
      <c r="E59" s="25" t="inlineStr">
        <is>
          <t>CANTIDAD</t>
        </is>
      </c>
      <c r="F59" s="35" t="n">
        <v>2</v>
      </c>
      <c r="G59" s="43" t="n"/>
      <c r="H59" s="40" t="n"/>
      <c r="J59" s="40" t="n"/>
      <c r="K59" s="40" t="n"/>
      <c r="L59" s="15" t="n"/>
      <c r="M59" s="25" t="inlineStr">
        <is>
          <t>CANTIDAD</t>
        </is>
      </c>
      <c r="N59" s="35" t="n">
        <v>2</v>
      </c>
      <c r="O59" s="43" t="n"/>
      <c r="P59" s="40" t="n"/>
    </row>
    <row r="60">
      <c r="B60" s="40" t="n"/>
      <c r="C60" s="40" t="n"/>
      <c r="D60" s="15" t="inlineStr">
        <is>
          <t>LOSA TAPA</t>
        </is>
      </c>
      <c r="E60" s="25" t="inlineStr">
        <is>
          <t>LONGITUD</t>
        </is>
      </c>
      <c r="F60" s="35" t="n">
        <v>0</v>
      </c>
      <c r="G60" s="43">
        <f>F60*F61</f>
        <v/>
      </c>
      <c r="H60" s="40" t="n"/>
      <c r="J60" s="40" t="n"/>
      <c r="K60" s="40" t="n"/>
      <c r="L60" s="15" t="inlineStr">
        <is>
          <t>LOSA TAPA</t>
        </is>
      </c>
      <c r="M60" s="25" t="inlineStr">
        <is>
          <t>LONGITUD</t>
        </is>
      </c>
      <c r="N60" s="35" t="n">
        <v>0</v>
      </c>
      <c r="O60" s="43">
        <f>N60*N61</f>
        <v/>
      </c>
      <c r="P60" s="40" t="n"/>
    </row>
    <row r="61">
      <c r="B61" s="41" t="n"/>
      <c r="C61" s="41" t="n"/>
      <c r="D61" s="15" t="n"/>
      <c r="E61" s="25" t="inlineStr">
        <is>
          <t>FONDO + CANTOS</t>
        </is>
      </c>
      <c r="F61" s="35">
        <f>PARAMETROS!$B$6+2*PARAMETROS!$B$9</f>
        <v/>
      </c>
      <c r="G61" s="43" t="n"/>
      <c r="H61" s="41" t="n"/>
      <c r="J61" s="41" t="n"/>
      <c r="K61" s="41" t="n"/>
      <c r="L61" s="15" t="n"/>
      <c r="M61" s="25" t="inlineStr">
        <is>
          <t>FONDO + CANTOS</t>
        </is>
      </c>
      <c r="N61" s="35">
        <f>PARAMETROS!$B$6+2*PARAMETROS!$B$9</f>
        <v/>
      </c>
      <c r="O61" s="43" t="n"/>
      <c r="P61" s="41" t="n"/>
    </row>
    <row r="66">
      <c r="B66" s="36" t="inlineStr">
        <is>
          <t>LONGITUDES Y AREAS</t>
        </is>
      </c>
      <c r="C66" s="17" t="n"/>
      <c r="D66" s="17" t="n"/>
      <c r="E66" s="17" t="n"/>
      <c r="F66" s="18" t="n"/>
      <c r="G66" s="36" t="inlineStr">
        <is>
          <t>Sub.TOTAL</t>
        </is>
      </c>
      <c r="H66" s="36" t="inlineStr">
        <is>
          <t>TOTAL (m2)</t>
        </is>
      </c>
      <c r="J66" s="36" t="inlineStr">
        <is>
          <t>LONGITUDES Y AREAS</t>
        </is>
      </c>
      <c r="K66" s="17" t="n"/>
      <c r="L66" s="17" t="n"/>
      <c r="M66" s="17" t="n"/>
      <c r="N66" s="18" t="n"/>
      <c r="O66" s="36" t="inlineStr">
        <is>
          <t>Sub.TOTAL</t>
        </is>
      </c>
      <c r="P66" s="36" t="inlineStr">
        <is>
          <t>TOTAL (m2)</t>
        </is>
      </c>
    </row>
    <row r="67">
      <c r="B67" s="15" t="inlineStr">
        <is>
          <t>EJE-11</t>
        </is>
      </c>
      <c r="C67" s="15" t="inlineStr">
        <is>
          <t>MIXTA</t>
        </is>
      </c>
      <c r="D67" s="15" t="inlineStr">
        <is>
          <t>MURO EXTERNO</t>
        </is>
      </c>
      <c r="E67" s="25" t="inlineStr">
        <is>
          <t>AREA</t>
        </is>
      </c>
      <c r="F67" s="35">
        <f>30.36*(0.374+PARAMETROS!$B$8)</f>
        <v/>
      </c>
      <c r="G67" s="43">
        <f>F67*F68</f>
        <v/>
      </c>
      <c r="H67" s="32">
        <f>SUM(G67:G72)</f>
        <v/>
      </c>
      <c r="J67" s="15" t="inlineStr">
        <is>
          <t>EJE-12</t>
        </is>
      </c>
      <c r="K67" s="15" t="inlineStr">
        <is>
          <t>MIXTA</t>
        </is>
      </c>
      <c r="L67" s="15" t="inlineStr">
        <is>
          <t>MURO EXTERNO</t>
        </is>
      </c>
      <c r="M67" s="25" t="inlineStr">
        <is>
          <t>AREA</t>
        </is>
      </c>
      <c r="N67" s="35">
        <f>118.38*(0.526+PARAMETROS!$B$8)</f>
        <v/>
      </c>
      <c r="O67" s="43">
        <f>N67*N68</f>
        <v/>
      </c>
      <c r="P67" s="32">
        <f>SUM(O67:O72)</f>
        <v/>
      </c>
    </row>
    <row r="68">
      <c r="B68" s="40" t="n"/>
      <c r="C68" s="40" t="n"/>
      <c r="D68" s="15" t="n"/>
      <c r="E68" s="25" t="inlineStr">
        <is>
          <t>CANT.</t>
        </is>
      </c>
      <c r="F68" s="35" t="n">
        <v>2</v>
      </c>
      <c r="G68" s="43" t="n"/>
      <c r="H68" s="40" t="n"/>
      <c r="J68" s="40" t="n"/>
      <c r="K68" s="40" t="n"/>
      <c r="L68" s="15" t="n"/>
      <c r="M68" s="25" t="inlineStr">
        <is>
          <t>CANT.</t>
        </is>
      </c>
      <c r="N68" s="35" t="n">
        <v>2</v>
      </c>
      <c r="O68" s="43" t="n"/>
      <c r="P68" s="40" t="n"/>
    </row>
    <row r="69">
      <c r="B69" s="40" t="n"/>
      <c r="C69" s="40" t="n"/>
      <c r="D69" s="15" t="inlineStr">
        <is>
          <t>MURO INTERNO</t>
        </is>
      </c>
      <c r="E69" s="25" t="inlineStr">
        <is>
          <t>AREA</t>
        </is>
      </c>
      <c r="F69" s="35">
        <f>30.36*0.374</f>
        <v/>
      </c>
      <c r="G69" s="43">
        <f>F69*F70</f>
        <v/>
      </c>
      <c r="H69" s="40" t="n"/>
      <c r="J69" s="40" t="n"/>
      <c r="K69" s="40" t="n"/>
      <c r="L69" s="15" t="inlineStr">
        <is>
          <t>MURO INTERNO</t>
        </is>
      </c>
      <c r="M69" s="25" t="inlineStr">
        <is>
          <t>AREA</t>
        </is>
      </c>
      <c r="N69" s="35">
        <f>118.38*0.526</f>
        <v/>
      </c>
      <c r="O69" s="43">
        <f>N69*N70</f>
        <v/>
      </c>
      <c r="P69" s="40" t="n"/>
    </row>
    <row r="70">
      <c r="B70" s="40" t="n"/>
      <c r="C70" s="40" t="n"/>
      <c r="D70" s="15" t="n"/>
      <c r="E70" s="25" t="inlineStr">
        <is>
          <t>CANTIDAD</t>
        </is>
      </c>
      <c r="F70" s="35" t="n">
        <v>2</v>
      </c>
      <c r="G70" s="43" t="n"/>
      <c r="H70" s="40" t="n"/>
      <c r="J70" s="40" t="n"/>
      <c r="K70" s="40" t="n"/>
      <c r="L70" s="15" t="n"/>
      <c r="M70" s="25" t="inlineStr">
        <is>
          <t>CANTIDAD</t>
        </is>
      </c>
      <c r="N70" s="35" t="n">
        <v>2</v>
      </c>
      <c r="O70" s="43" t="n"/>
      <c r="P70" s="40" t="n"/>
    </row>
    <row r="71">
      <c r="B71" s="40" t="n"/>
      <c r="C71" s="40" t="n"/>
      <c r="D71" s="15" t="inlineStr">
        <is>
          <t>LOSA TAPA</t>
        </is>
      </c>
      <c r="E71" s="25" t="inlineStr">
        <is>
          <t>LONGITUD</t>
        </is>
      </c>
      <c r="F71" s="35" t="n">
        <v>0.5</v>
      </c>
      <c r="G71" s="43">
        <f>F71*F72</f>
        <v/>
      </c>
      <c r="H71" s="40" t="n"/>
      <c r="J71" s="40" t="n"/>
      <c r="K71" s="40" t="n"/>
      <c r="L71" s="15" t="inlineStr">
        <is>
          <t>LOSA TAPA</t>
        </is>
      </c>
      <c r="M71" s="25" t="inlineStr">
        <is>
          <t>LONGITUD</t>
        </is>
      </c>
      <c r="N71" s="35" t="n">
        <v>15.22</v>
      </c>
      <c r="O71" s="43">
        <f>N71*N72</f>
        <v/>
      </c>
      <c r="P71" s="40" t="n"/>
    </row>
    <row r="72">
      <c r="B72" s="41" t="n"/>
      <c r="C72" s="41" t="n"/>
      <c r="D72" s="15" t="n"/>
      <c r="E72" s="25" t="inlineStr">
        <is>
          <t>FONDO + CANTOS</t>
        </is>
      </c>
      <c r="F72" s="35">
        <f>PARAMETROS!$B$6+2*PARAMETROS!$B$9</f>
        <v/>
      </c>
      <c r="G72" s="43" t="n"/>
      <c r="H72" s="41" t="n"/>
      <c r="J72" s="41" t="n"/>
      <c r="K72" s="41" t="n"/>
      <c r="L72" s="15" t="n"/>
      <c r="M72" s="25" t="inlineStr">
        <is>
          <t>FONDO + CANTOS</t>
        </is>
      </c>
      <c r="N72" s="35">
        <f>PARAMETROS!$B$6+2*PARAMETROS!$B$9</f>
        <v/>
      </c>
      <c r="O72" s="43" t="n"/>
      <c r="P72" s="41" t="n"/>
    </row>
    <row r="77">
      <c r="B77" s="36" t="inlineStr">
        <is>
          <t>LONGITUDES Y AREAS</t>
        </is>
      </c>
      <c r="C77" s="17" t="n"/>
      <c r="D77" s="17" t="n"/>
      <c r="E77" s="17" t="n"/>
      <c r="F77" s="18" t="n"/>
      <c r="G77" s="36" t="inlineStr">
        <is>
          <t>Sub.TOTAL</t>
        </is>
      </c>
      <c r="H77" s="36" t="inlineStr">
        <is>
          <t>TOTAL (m2)</t>
        </is>
      </c>
      <c r="J77" s="36" t="inlineStr">
        <is>
          <t>LONGITUDES Y AREAS</t>
        </is>
      </c>
      <c r="K77" s="17" t="n"/>
      <c r="L77" s="17" t="n"/>
      <c r="M77" s="17" t="n"/>
      <c r="N77" s="18" t="n"/>
      <c r="O77" s="36" t="inlineStr">
        <is>
          <t>Sub.TOTAL</t>
        </is>
      </c>
      <c r="P77" s="36" t="inlineStr">
        <is>
          <t>TOTAL (m2)</t>
        </is>
      </c>
    </row>
    <row r="78">
      <c r="B78" s="15" t="inlineStr">
        <is>
          <t>EJE-13</t>
        </is>
      </c>
      <c r="C78" s="15" t="inlineStr">
        <is>
          <t>ABIERTA</t>
        </is>
      </c>
      <c r="D78" s="15" t="inlineStr">
        <is>
          <t>MURO EXTERNO</t>
        </is>
      </c>
      <c r="E78" s="25" t="inlineStr">
        <is>
          <t>AREA</t>
        </is>
      </c>
      <c r="F78" s="35">
        <f>24.38*(0.361+PARAMETROS!$B$8)</f>
        <v/>
      </c>
      <c r="G78" s="43">
        <f>F78*F79</f>
        <v/>
      </c>
      <c r="H78" s="32">
        <f>SUM(G78:G83)</f>
        <v/>
      </c>
      <c r="J78" s="15" t="inlineStr">
        <is>
          <t>EJE-14</t>
        </is>
      </c>
      <c r="K78" s="15" t="inlineStr">
        <is>
          <t>ABIERTA</t>
        </is>
      </c>
      <c r="L78" s="15" t="inlineStr">
        <is>
          <t>MURO EXTERNO</t>
        </is>
      </c>
      <c r="M78" s="25" t="inlineStr">
        <is>
          <t>AREA</t>
        </is>
      </c>
      <c r="N78" s="35">
        <f>64.93*(0.385+PARAMETROS!$B$8)</f>
        <v/>
      </c>
      <c r="O78" s="43">
        <f>N78*N79</f>
        <v/>
      </c>
      <c r="P78" s="32">
        <f>SUM(O78:O83)</f>
        <v/>
      </c>
    </row>
    <row r="79">
      <c r="B79" s="40" t="n"/>
      <c r="C79" s="40" t="n"/>
      <c r="D79" s="15" t="n"/>
      <c r="E79" s="25" t="inlineStr">
        <is>
          <t>CANT.</t>
        </is>
      </c>
      <c r="F79" s="35" t="n">
        <v>2</v>
      </c>
      <c r="G79" s="43" t="n"/>
      <c r="H79" s="40" t="n"/>
      <c r="J79" s="40" t="n"/>
      <c r="K79" s="40" t="n"/>
      <c r="L79" s="15" t="n"/>
      <c r="M79" s="25" t="inlineStr">
        <is>
          <t>CANT.</t>
        </is>
      </c>
      <c r="N79" s="35" t="n">
        <v>2</v>
      </c>
      <c r="O79" s="43" t="n"/>
      <c r="P79" s="40" t="n"/>
    </row>
    <row r="80">
      <c r="B80" s="40" t="n"/>
      <c r="C80" s="40" t="n"/>
      <c r="D80" s="15" t="inlineStr">
        <is>
          <t>MURO INTERNO</t>
        </is>
      </c>
      <c r="E80" s="25" t="inlineStr">
        <is>
          <t>AREA</t>
        </is>
      </c>
      <c r="F80" s="35">
        <f>24.38*0.361</f>
        <v/>
      </c>
      <c r="G80" s="43">
        <f>F80*F81</f>
        <v/>
      </c>
      <c r="H80" s="40" t="n"/>
      <c r="J80" s="40" t="n"/>
      <c r="K80" s="40" t="n"/>
      <c r="L80" s="15" t="inlineStr">
        <is>
          <t>MURO INTERNO</t>
        </is>
      </c>
      <c r="M80" s="25" t="inlineStr">
        <is>
          <t>AREA</t>
        </is>
      </c>
      <c r="N80" s="35">
        <f>64.93*0.385</f>
        <v/>
      </c>
      <c r="O80" s="43">
        <f>N80*N81</f>
        <v/>
      </c>
      <c r="P80" s="40" t="n"/>
    </row>
    <row r="81">
      <c r="B81" s="40" t="n"/>
      <c r="C81" s="40" t="n"/>
      <c r="D81" s="15" t="n"/>
      <c r="E81" s="25" t="inlineStr">
        <is>
          <t>CANTIDAD</t>
        </is>
      </c>
      <c r="F81" s="35" t="n">
        <v>2</v>
      </c>
      <c r="G81" s="43" t="n"/>
      <c r="H81" s="40" t="n"/>
      <c r="J81" s="40" t="n"/>
      <c r="K81" s="40" t="n"/>
      <c r="L81" s="15" t="n"/>
      <c r="M81" s="25" t="inlineStr">
        <is>
          <t>CANTIDAD</t>
        </is>
      </c>
      <c r="N81" s="35" t="n">
        <v>2</v>
      </c>
      <c r="O81" s="43" t="n"/>
      <c r="P81" s="40" t="n"/>
    </row>
    <row r="82">
      <c r="B82" s="40" t="n"/>
      <c r="C82" s="40" t="n"/>
      <c r="D82" s="15" t="inlineStr">
        <is>
          <t>LOSA TAPA</t>
        </is>
      </c>
      <c r="E82" s="25" t="inlineStr">
        <is>
          <t>LONGITUD</t>
        </is>
      </c>
      <c r="F82" s="35" t="n">
        <v>0</v>
      </c>
      <c r="G82" s="43">
        <f>F82*F83</f>
        <v/>
      </c>
      <c r="H82" s="40" t="n"/>
      <c r="J82" s="40" t="n"/>
      <c r="K82" s="40" t="n"/>
      <c r="L82" s="15" t="inlineStr">
        <is>
          <t>LOSA TAPA</t>
        </is>
      </c>
      <c r="M82" s="25" t="inlineStr">
        <is>
          <t>LONGITUD</t>
        </is>
      </c>
      <c r="N82" s="35" t="n">
        <v>0</v>
      </c>
      <c r="O82" s="43">
        <f>N82*N83</f>
        <v/>
      </c>
      <c r="P82" s="40" t="n"/>
    </row>
    <row r="83">
      <c r="B83" s="41" t="n"/>
      <c r="C83" s="41" t="n"/>
      <c r="D83" s="15" t="n"/>
      <c r="E83" s="25" t="inlineStr">
        <is>
          <t>FONDO + CANTOS</t>
        </is>
      </c>
      <c r="F83" s="35">
        <f>PARAMETROS!$B$6+2*PARAMETROS!$B$9</f>
        <v/>
      </c>
      <c r="G83" s="43" t="n"/>
      <c r="H83" s="41" t="n"/>
      <c r="J83" s="41" t="n"/>
      <c r="K83" s="41" t="n"/>
      <c r="L83" s="15" t="n"/>
      <c r="M83" s="25" t="inlineStr">
        <is>
          <t>FONDO + CANTOS</t>
        </is>
      </c>
      <c r="N83" s="35">
        <f>PARAMETROS!$B$6+2*PARAMETROS!$B$9</f>
        <v/>
      </c>
      <c r="O83" s="43" t="n"/>
      <c r="P83" s="41" t="n"/>
    </row>
    <row r="88">
      <c r="B88" s="36" t="inlineStr">
        <is>
          <t>LONGITUDES Y AREAS</t>
        </is>
      </c>
      <c r="C88" s="17" t="n"/>
      <c r="D88" s="17" t="n"/>
      <c r="E88" s="17" t="n"/>
      <c r="F88" s="18" t="n"/>
      <c r="G88" s="36" t="inlineStr">
        <is>
          <t>Sub.TOTAL</t>
        </is>
      </c>
      <c r="H88" s="36" t="inlineStr">
        <is>
          <t>TOTAL (m2)</t>
        </is>
      </c>
      <c r="J88" s="36" t="inlineStr">
        <is>
          <t>LONGITUDES Y AREAS</t>
        </is>
      </c>
      <c r="K88" s="17" t="n"/>
      <c r="L88" s="17" t="n"/>
      <c r="M88" s="17" t="n"/>
      <c r="N88" s="18" t="n"/>
      <c r="O88" s="36" t="inlineStr">
        <is>
          <t>Sub.TOTAL</t>
        </is>
      </c>
      <c r="P88" s="36" t="inlineStr">
        <is>
          <t>TOTAL (m2)</t>
        </is>
      </c>
    </row>
    <row r="89">
      <c r="B89" s="15" t="inlineStr">
        <is>
          <t>EJE-15</t>
        </is>
      </c>
      <c r="C89" s="15" t="inlineStr">
        <is>
          <t>ABIERTA</t>
        </is>
      </c>
      <c r="D89" s="15" t="inlineStr">
        <is>
          <t>MURO EXTERNO</t>
        </is>
      </c>
      <c r="E89" s="25" t="inlineStr">
        <is>
          <t>AREA</t>
        </is>
      </c>
      <c r="F89" s="35">
        <f>41.47*(0.323+PARAMETROS!$B$8)</f>
        <v/>
      </c>
      <c r="G89" s="43">
        <f>F89*F90</f>
        <v/>
      </c>
      <c r="H89" s="32">
        <f>SUM(G89:G94)</f>
        <v/>
      </c>
      <c r="J89" s="15" t="inlineStr">
        <is>
          <t>EJE-16</t>
        </is>
      </c>
      <c r="K89" s="15" t="inlineStr">
        <is>
          <t>ABIERTA</t>
        </is>
      </c>
      <c r="L89" s="15" t="inlineStr">
        <is>
          <t>MURO EXTERNO</t>
        </is>
      </c>
      <c r="M89" s="25" t="inlineStr">
        <is>
          <t>AREA</t>
        </is>
      </c>
      <c r="N89" s="35">
        <f>49.55*(0.381+PARAMETROS!$B$8)</f>
        <v/>
      </c>
      <c r="O89" s="43">
        <f>N89*N90</f>
        <v/>
      </c>
      <c r="P89" s="32">
        <f>SUM(O89:O94)</f>
        <v/>
      </c>
    </row>
    <row r="90">
      <c r="B90" s="40" t="n"/>
      <c r="C90" s="40" t="n"/>
      <c r="D90" s="15" t="n"/>
      <c r="E90" s="25" t="inlineStr">
        <is>
          <t>CANT.</t>
        </is>
      </c>
      <c r="F90" s="35" t="n">
        <v>2</v>
      </c>
      <c r="G90" s="43" t="n"/>
      <c r="H90" s="40" t="n"/>
      <c r="J90" s="40" t="n"/>
      <c r="K90" s="40" t="n"/>
      <c r="L90" s="15" t="n"/>
      <c r="M90" s="25" t="inlineStr">
        <is>
          <t>CANT.</t>
        </is>
      </c>
      <c r="N90" s="35" t="n">
        <v>2</v>
      </c>
      <c r="O90" s="43" t="n"/>
      <c r="P90" s="40" t="n"/>
    </row>
    <row r="91">
      <c r="B91" s="40" t="n"/>
      <c r="C91" s="40" t="n"/>
      <c r="D91" s="15" t="inlineStr">
        <is>
          <t>MURO INTERNO</t>
        </is>
      </c>
      <c r="E91" s="25" t="inlineStr">
        <is>
          <t>AREA</t>
        </is>
      </c>
      <c r="F91" s="35">
        <f>41.47*0.323</f>
        <v/>
      </c>
      <c r="G91" s="43">
        <f>F91*F92</f>
        <v/>
      </c>
      <c r="H91" s="40" t="n"/>
      <c r="J91" s="40" t="n"/>
      <c r="K91" s="40" t="n"/>
      <c r="L91" s="15" t="inlineStr">
        <is>
          <t>MURO INTERNO</t>
        </is>
      </c>
      <c r="M91" s="25" t="inlineStr">
        <is>
          <t>AREA</t>
        </is>
      </c>
      <c r="N91" s="35">
        <f>49.55*0.381</f>
        <v/>
      </c>
      <c r="O91" s="43">
        <f>N91*N92</f>
        <v/>
      </c>
      <c r="P91" s="40" t="n"/>
    </row>
    <row r="92">
      <c r="B92" s="40" t="n"/>
      <c r="C92" s="40" t="n"/>
      <c r="D92" s="15" t="n"/>
      <c r="E92" s="25" t="inlineStr">
        <is>
          <t>CANTIDAD</t>
        </is>
      </c>
      <c r="F92" s="35" t="n">
        <v>2</v>
      </c>
      <c r="G92" s="43" t="n"/>
      <c r="H92" s="40" t="n"/>
      <c r="J92" s="40" t="n"/>
      <c r="K92" s="40" t="n"/>
      <c r="L92" s="15" t="n"/>
      <c r="M92" s="25" t="inlineStr">
        <is>
          <t>CANTIDAD</t>
        </is>
      </c>
      <c r="N92" s="35" t="n">
        <v>2</v>
      </c>
      <c r="O92" s="43" t="n"/>
      <c r="P92" s="40" t="n"/>
    </row>
    <row r="93">
      <c r="B93" s="40" t="n"/>
      <c r="C93" s="40" t="n"/>
      <c r="D93" s="15" t="inlineStr">
        <is>
          <t>LOSA TAPA</t>
        </is>
      </c>
      <c r="E93" s="25" t="inlineStr">
        <is>
          <t>LONGITUD</t>
        </is>
      </c>
      <c r="F93" s="35" t="n">
        <v>0</v>
      </c>
      <c r="G93" s="43">
        <f>F93*F94</f>
        <v/>
      </c>
      <c r="H93" s="40" t="n"/>
      <c r="J93" s="40" t="n"/>
      <c r="K93" s="40" t="n"/>
      <c r="L93" s="15" t="inlineStr">
        <is>
          <t>LOSA TAPA</t>
        </is>
      </c>
      <c r="M93" s="25" t="inlineStr">
        <is>
          <t>LONGITUD</t>
        </is>
      </c>
      <c r="N93" s="35" t="n">
        <v>0</v>
      </c>
      <c r="O93" s="43">
        <f>N93*N94</f>
        <v/>
      </c>
      <c r="P93" s="40" t="n"/>
    </row>
    <row r="94">
      <c r="B94" s="41" t="n"/>
      <c r="C94" s="41" t="n"/>
      <c r="D94" s="15" t="n"/>
      <c r="E94" s="25" t="inlineStr">
        <is>
          <t>FONDO + CANTOS</t>
        </is>
      </c>
      <c r="F94" s="35">
        <f>PARAMETROS!$B$6+2*PARAMETROS!$B$9</f>
        <v/>
      </c>
      <c r="G94" s="43" t="n"/>
      <c r="H94" s="41" t="n"/>
      <c r="J94" s="41" t="n"/>
      <c r="K94" s="41" t="n"/>
      <c r="L94" s="15" t="n"/>
      <c r="M94" s="25" t="inlineStr">
        <is>
          <t>FONDO + CANTOS</t>
        </is>
      </c>
      <c r="N94" s="35">
        <f>PARAMETROS!$B$6+2*PARAMETROS!$B$9</f>
        <v/>
      </c>
      <c r="O94" s="43" t="n"/>
      <c r="P94" s="41" t="n"/>
    </row>
    <row r="99">
      <c r="B99" s="36" t="inlineStr">
        <is>
          <t>LONGITUDES Y AREAS</t>
        </is>
      </c>
      <c r="C99" s="17" t="n"/>
      <c r="D99" s="17" t="n"/>
      <c r="E99" s="17" t="n"/>
      <c r="F99" s="18" t="n"/>
      <c r="G99" s="36" t="inlineStr">
        <is>
          <t>Sub.TOTAL</t>
        </is>
      </c>
      <c r="H99" s="36" t="inlineStr">
        <is>
          <t>TOTAL (m2)</t>
        </is>
      </c>
      <c r="J99" s="36" t="inlineStr">
        <is>
          <t>LONGITUDES Y AREAS</t>
        </is>
      </c>
      <c r="K99" s="17" t="n"/>
      <c r="L99" s="17" t="n"/>
      <c r="M99" s="17" t="n"/>
      <c r="N99" s="18" t="n"/>
      <c r="O99" s="36" t="inlineStr">
        <is>
          <t>Sub.TOTAL</t>
        </is>
      </c>
      <c r="P99" s="36" t="inlineStr">
        <is>
          <t>TOTAL (m2)</t>
        </is>
      </c>
    </row>
    <row r="100">
      <c r="B100" s="15" t="inlineStr">
        <is>
          <t>EJE-17</t>
        </is>
      </c>
      <c r="C100" s="15" t="inlineStr">
        <is>
          <t>MIXTA</t>
        </is>
      </c>
      <c r="D100" s="15" t="inlineStr">
        <is>
          <t>MURO EXTERNO</t>
        </is>
      </c>
      <c r="E100" s="25" t="inlineStr">
        <is>
          <t>AREA</t>
        </is>
      </c>
      <c r="F100" s="35">
        <f>39.98*(0.392+PARAMETROS!$B$8)</f>
        <v/>
      </c>
      <c r="G100" s="43">
        <f>F100*F101</f>
        <v/>
      </c>
      <c r="H100" s="32">
        <f>SUM(G100:G105)</f>
        <v/>
      </c>
      <c r="J100" s="15" t="inlineStr">
        <is>
          <t>EJE-18</t>
        </is>
      </c>
      <c r="K100" s="15" t="inlineStr">
        <is>
          <t>ABIERTA</t>
        </is>
      </c>
      <c r="L100" s="15" t="inlineStr">
        <is>
          <t>MURO EXTERNO</t>
        </is>
      </c>
      <c r="M100" s="25" t="inlineStr">
        <is>
          <t>AREA</t>
        </is>
      </c>
      <c r="N100" s="35">
        <f>38.68*(0.397+PARAMETROS!$B$8)</f>
        <v/>
      </c>
      <c r="O100" s="43">
        <f>N100*N101</f>
        <v/>
      </c>
      <c r="P100" s="32">
        <f>SUM(O100:O105)</f>
        <v/>
      </c>
    </row>
    <row r="101">
      <c r="B101" s="40" t="n"/>
      <c r="C101" s="40" t="n"/>
      <c r="D101" s="15" t="n"/>
      <c r="E101" s="25" t="inlineStr">
        <is>
          <t>CANT.</t>
        </is>
      </c>
      <c r="F101" s="35" t="n">
        <v>2</v>
      </c>
      <c r="G101" s="43" t="n"/>
      <c r="H101" s="40" t="n"/>
      <c r="J101" s="40" t="n"/>
      <c r="K101" s="40" t="n"/>
      <c r="L101" s="15" t="n"/>
      <c r="M101" s="25" t="inlineStr">
        <is>
          <t>CANT.</t>
        </is>
      </c>
      <c r="N101" s="35" t="n">
        <v>2</v>
      </c>
      <c r="O101" s="43" t="n"/>
      <c r="P101" s="40" t="n"/>
    </row>
    <row r="102">
      <c r="B102" s="40" t="n"/>
      <c r="C102" s="40" t="n"/>
      <c r="D102" s="15" t="inlineStr">
        <is>
          <t>MURO INTERNO</t>
        </is>
      </c>
      <c r="E102" s="25" t="inlineStr">
        <is>
          <t>AREA</t>
        </is>
      </c>
      <c r="F102" s="35">
        <f>39.98*0.392</f>
        <v/>
      </c>
      <c r="G102" s="43">
        <f>F102*F103</f>
        <v/>
      </c>
      <c r="H102" s="40" t="n"/>
      <c r="J102" s="40" t="n"/>
      <c r="K102" s="40" t="n"/>
      <c r="L102" s="15" t="inlineStr">
        <is>
          <t>MURO INTERNO</t>
        </is>
      </c>
      <c r="M102" s="25" t="inlineStr">
        <is>
          <t>AREA</t>
        </is>
      </c>
      <c r="N102" s="35">
        <f>38.68*0.397</f>
        <v/>
      </c>
      <c r="O102" s="43">
        <f>N102*N103</f>
        <v/>
      </c>
      <c r="P102" s="40" t="n"/>
    </row>
    <row r="103">
      <c r="B103" s="40" t="n"/>
      <c r="C103" s="40" t="n"/>
      <c r="D103" s="15" t="n"/>
      <c r="E103" s="25" t="inlineStr">
        <is>
          <t>CANTIDAD</t>
        </is>
      </c>
      <c r="F103" s="35" t="n">
        <v>2</v>
      </c>
      <c r="G103" s="43" t="n"/>
      <c r="H103" s="40" t="n"/>
      <c r="J103" s="40" t="n"/>
      <c r="K103" s="40" t="n"/>
      <c r="L103" s="15" t="n"/>
      <c r="M103" s="25" t="inlineStr">
        <is>
          <t>CANTIDAD</t>
        </is>
      </c>
      <c r="N103" s="35" t="n">
        <v>2</v>
      </c>
      <c r="O103" s="43" t="n"/>
      <c r="P103" s="40" t="n"/>
    </row>
    <row r="104">
      <c r="B104" s="40" t="n"/>
      <c r="C104" s="40" t="n"/>
      <c r="D104" s="15" t="inlineStr">
        <is>
          <t>LOSA TAPA</t>
        </is>
      </c>
      <c r="E104" s="25" t="inlineStr">
        <is>
          <t>LONGITUD</t>
        </is>
      </c>
      <c r="F104" s="35" t="n">
        <v>4.58</v>
      </c>
      <c r="G104" s="43">
        <f>F104*F105</f>
        <v/>
      </c>
      <c r="H104" s="40" t="n"/>
      <c r="J104" s="40" t="n"/>
      <c r="K104" s="40" t="n"/>
      <c r="L104" s="15" t="inlineStr">
        <is>
          <t>LOSA TAPA</t>
        </is>
      </c>
      <c r="M104" s="25" t="inlineStr">
        <is>
          <t>LONGITUD</t>
        </is>
      </c>
      <c r="N104" s="35" t="n">
        <v>0</v>
      </c>
      <c r="O104" s="43">
        <f>N104*N105</f>
        <v/>
      </c>
      <c r="P104" s="40" t="n"/>
    </row>
    <row r="105">
      <c r="B105" s="41" t="n"/>
      <c r="C105" s="41" t="n"/>
      <c r="D105" s="15" t="n"/>
      <c r="E105" s="25" t="inlineStr">
        <is>
          <t>FONDO + CANTOS</t>
        </is>
      </c>
      <c r="F105" s="35">
        <f>PARAMETROS!$B$6+2*PARAMETROS!$B$9</f>
        <v/>
      </c>
      <c r="G105" s="43" t="n"/>
      <c r="H105" s="41" t="n"/>
      <c r="J105" s="41" t="n"/>
      <c r="K105" s="41" t="n"/>
      <c r="L105" s="15" t="n"/>
      <c r="M105" s="25" t="inlineStr">
        <is>
          <t>FONDO + CANTOS</t>
        </is>
      </c>
      <c r="N105" s="35">
        <f>PARAMETROS!$B$6+2*PARAMETROS!$B$9</f>
        <v/>
      </c>
      <c r="O105" s="43" t="n"/>
      <c r="P105" s="41" t="n"/>
    </row>
    <row r="110">
      <c r="B110" s="36" t="inlineStr">
        <is>
          <t>LONGITUDES Y AREAS</t>
        </is>
      </c>
      <c r="C110" s="17" t="n"/>
      <c r="D110" s="17" t="n"/>
      <c r="E110" s="17" t="n"/>
      <c r="F110" s="18" t="n"/>
      <c r="G110" s="36" t="inlineStr">
        <is>
          <t>Sub.TOTAL</t>
        </is>
      </c>
      <c r="H110" s="36" t="inlineStr">
        <is>
          <t>TOTAL (m2)</t>
        </is>
      </c>
    </row>
    <row r="111">
      <c r="B111" s="15" t="inlineStr">
        <is>
          <t>EJE-19</t>
        </is>
      </c>
      <c r="C111" s="15" t="inlineStr">
        <is>
          <t>ABIERTA</t>
        </is>
      </c>
      <c r="D111" s="15" t="inlineStr">
        <is>
          <t>MURO EXTERNO</t>
        </is>
      </c>
      <c r="E111" s="25" t="inlineStr">
        <is>
          <t>AREA</t>
        </is>
      </c>
      <c r="F111" s="35">
        <f>14.09*(0.335+PARAMETROS!$B$8)</f>
        <v/>
      </c>
      <c r="G111" s="43">
        <f>F111*F112</f>
        <v/>
      </c>
      <c r="H111" s="32">
        <f>SUM(G111:G116)</f>
        <v/>
      </c>
    </row>
    <row r="112">
      <c r="B112" s="40" t="n"/>
      <c r="C112" s="40" t="n"/>
      <c r="D112" s="15" t="n"/>
      <c r="E112" s="25" t="inlineStr">
        <is>
          <t>CANT.</t>
        </is>
      </c>
      <c r="F112" s="35" t="n">
        <v>2</v>
      </c>
      <c r="G112" s="43" t="n"/>
      <c r="H112" s="40" t="n"/>
    </row>
    <row r="113">
      <c r="B113" s="40" t="n"/>
      <c r="C113" s="40" t="n"/>
      <c r="D113" s="15" t="inlineStr">
        <is>
          <t>MURO INTERNO</t>
        </is>
      </c>
      <c r="E113" s="25" t="inlineStr">
        <is>
          <t>AREA</t>
        </is>
      </c>
      <c r="F113" s="35">
        <f>14.09*0.335</f>
        <v/>
      </c>
      <c r="G113" s="43">
        <f>F113*F114</f>
        <v/>
      </c>
      <c r="H113" s="40" t="n"/>
    </row>
    <row r="114">
      <c r="B114" s="40" t="n"/>
      <c r="C114" s="40" t="n"/>
      <c r="D114" s="15" t="n"/>
      <c r="E114" s="25" t="inlineStr">
        <is>
          <t>CANTIDAD</t>
        </is>
      </c>
      <c r="F114" s="35" t="n">
        <v>2</v>
      </c>
      <c r="G114" s="43" t="n"/>
      <c r="H114" s="40" t="n"/>
    </row>
    <row r="115">
      <c r="B115" s="40" t="n"/>
      <c r="C115" s="40" t="n"/>
      <c r="D115" s="15" t="inlineStr">
        <is>
          <t>LOSA TAPA</t>
        </is>
      </c>
      <c r="E115" s="25" t="inlineStr">
        <is>
          <t>LONGITUD</t>
        </is>
      </c>
      <c r="F115" s="35" t="n">
        <v>0</v>
      </c>
      <c r="G115" s="43">
        <f>F115*F116</f>
        <v/>
      </c>
      <c r="H115" s="40" t="n"/>
    </row>
    <row r="116">
      <c r="B116" s="41" t="n"/>
      <c r="C116" s="41" t="n"/>
      <c r="D116" s="15" t="n"/>
      <c r="E116" s="25" t="inlineStr">
        <is>
          <t>FONDO + CANTOS</t>
        </is>
      </c>
      <c r="F116" s="35">
        <f>PARAMETROS!$B$6+2*PARAMETROS!$B$9</f>
        <v/>
      </c>
      <c r="G116" s="43" t="n"/>
      <c r="H116" s="41" t="n"/>
    </row>
    <row r="121" ht="30" customHeight="1">
      <c r="B121" s="44" t="inlineStr">
        <is>
          <t>Areas de muro = longitud x altura libre media del eje (perfil cada 0.50 m); cara externa con la losa de fondo (+0.10 m). Losa tapa: fondo (0.40 m) y cantos (2 x 0.10 m) en tramos tapados.</t>
        </is>
      </c>
    </row>
  </sheetData>
  <mergeCells count="140">
    <mergeCell ref="C3:P3"/>
    <mergeCell ref="C78:C83"/>
    <mergeCell ref="L91:L92"/>
    <mergeCell ref="L12:L13"/>
    <mergeCell ref="B8:P8"/>
    <mergeCell ref="J88:N88"/>
    <mergeCell ref="C5:P5"/>
    <mergeCell ref="D36:D37"/>
    <mergeCell ref="P34:P39"/>
    <mergeCell ref="L93:L94"/>
    <mergeCell ref="K89:K94"/>
    <mergeCell ref="D45:D46"/>
    <mergeCell ref="L14:L15"/>
    <mergeCell ref="C4:P4"/>
    <mergeCell ref="H34:H39"/>
    <mergeCell ref="J77:N77"/>
    <mergeCell ref="J34:J39"/>
    <mergeCell ref="B11:F11"/>
    <mergeCell ref="J99:N99"/>
    <mergeCell ref="D47:D48"/>
    <mergeCell ref="D78:D79"/>
    <mergeCell ref="D16:D17"/>
    <mergeCell ref="B67:B72"/>
    <mergeCell ref="L45:L46"/>
    <mergeCell ref="B44:F44"/>
    <mergeCell ref="D71:D72"/>
    <mergeCell ref="K56:K61"/>
    <mergeCell ref="C56:C61"/>
    <mergeCell ref="J11:N11"/>
    <mergeCell ref="L100:L101"/>
    <mergeCell ref="L38:L39"/>
    <mergeCell ref="J100:J105"/>
    <mergeCell ref="J66:N66"/>
    <mergeCell ref="J22:N22"/>
    <mergeCell ref="H12:H17"/>
    <mergeCell ref="P78:P83"/>
    <mergeCell ref="D38:D39"/>
    <mergeCell ref="J12:J17"/>
    <mergeCell ref="L80:L81"/>
    <mergeCell ref="L16:L17"/>
    <mergeCell ref="D34:D35"/>
    <mergeCell ref="L82:L83"/>
    <mergeCell ref="K34:K39"/>
    <mergeCell ref="H23:H28"/>
    <mergeCell ref="P89:P94"/>
    <mergeCell ref="D49:D50"/>
    <mergeCell ref="J23:J28"/>
    <mergeCell ref="D27:D28"/>
    <mergeCell ref="C111:C116"/>
    <mergeCell ref="C34:C39"/>
    <mergeCell ref="C45:C50"/>
    <mergeCell ref="L58:L59"/>
    <mergeCell ref="P56:P61"/>
    <mergeCell ref="H56:H61"/>
    <mergeCell ref="C100:C105"/>
    <mergeCell ref="D12:D13"/>
    <mergeCell ref="B88:F88"/>
    <mergeCell ref="C12:C17"/>
    <mergeCell ref="L34:L35"/>
    <mergeCell ref="H100:H105"/>
    <mergeCell ref="D25:D26"/>
    <mergeCell ref="B34:B39"/>
    <mergeCell ref="D102:D103"/>
    <mergeCell ref="B99:F99"/>
    <mergeCell ref="C23:C28"/>
    <mergeCell ref="H111:H116"/>
    <mergeCell ref="B45:B50"/>
    <mergeCell ref="P12:P17"/>
    <mergeCell ref="D23:D24"/>
    <mergeCell ref="H67:H72"/>
    <mergeCell ref="J67:J72"/>
    <mergeCell ref="J44:N44"/>
    <mergeCell ref="L71:L72"/>
    <mergeCell ref="H78:H83"/>
    <mergeCell ref="D80:D81"/>
    <mergeCell ref="K45:K50"/>
    <mergeCell ref="J78:J83"/>
    <mergeCell ref="B56:B61"/>
    <mergeCell ref="H89:H94"/>
    <mergeCell ref="K100:K105"/>
    <mergeCell ref="B111:B116"/>
    <mergeCell ref="L89:L90"/>
    <mergeCell ref="L104:L105"/>
    <mergeCell ref="L25:L26"/>
    <mergeCell ref="J89:J94"/>
    <mergeCell ref="J55:N55"/>
    <mergeCell ref="L60:L61"/>
    <mergeCell ref="L69:L70"/>
    <mergeCell ref="K12:K17"/>
    <mergeCell ref="D93:D94"/>
    <mergeCell ref="D14:D15"/>
    <mergeCell ref="C67:C72"/>
    <mergeCell ref="K23:K28"/>
    <mergeCell ref="J56:J61"/>
    <mergeCell ref="B121:P121"/>
    <mergeCell ref="K78:K83"/>
    <mergeCell ref="L36:L37"/>
    <mergeCell ref="J33:N33"/>
    <mergeCell ref="B110:F110"/>
    <mergeCell ref="B2:P2"/>
    <mergeCell ref="P45:P50"/>
    <mergeCell ref="B100:B105"/>
    <mergeCell ref="L47:L48"/>
    <mergeCell ref="L78:L79"/>
    <mergeCell ref="C6:P6"/>
    <mergeCell ref="B66:F66"/>
    <mergeCell ref="B22:F22"/>
    <mergeCell ref="P100:P105"/>
    <mergeCell ref="C89:C94"/>
    <mergeCell ref="L102:L103"/>
    <mergeCell ref="D111:D112"/>
    <mergeCell ref="B77:F77"/>
    <mergeCell ref="B12:B17"/>
    <mergeCell ref="D104:D105"/>
    <mergeCell ref="D56:D57"/>
    <mergeCell ref="D91:D92"/>
    <mergeCell ref="L23:L24"/>
    <mergeCell ref="B23:B28"/>
    <mergeCell ref="P67:P72"/>
    <mergeCell ref="P23:P28"/>
    <mergeCell ref="B78:B83"/>
    <mergeCell ref="L56:L57"/>
    <mergeCell ref="H45:H50"/>
    <mergeCell ref="J45:J50"/>
    <mergeCell ref="D58:D59"/>
    <mergeCell ref="D89:D90"/>
    <mergeCell ref="L49:L50"/>
    <mergeCell ref="D67:D68"/>
    <mergeCell ref="L27:L28"/>
    <mergeCell ref="K67:K72"/>
    <mergeCell ref="B89:B94"/>
    <mergeCell ref="B55:F55"/>
    <mergeCell ref="B33:F33"/>
    <mergeCell ref="D82:D83"/>
    <mergeCell ref="D60:D61"/>
    <mergeCell ref="D113:D114"/>
    <mergeCell ref="D69:D70"/>
    <mergeCell ref="D100:D101"/>
    <mergeCell ref="L67:L68"/>
    <mergeCell ref="D115:D116"/>
  </mergeCells>
  <pageMargins left="0.75" right="0.75" top="1" bottom="1" header="0.5" footer="0.5"/>
  <pageSetup orientation="landscape" paperSize="9" fitToHeight="0" fitToWidth="1"/>
  <rowBreaks count="3" manualBreakCount="3">
    <brk id="42" min="0" max="16383" man="1"/>
    <brk id="75" min="0" max="16383" man="1"/>
    <brk id="108" min="0" max="16383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W3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11" customWidth="1" min="3" max="3"/>
    <col width="10" customWidth="1" min="4" max="4"/>
    <col width="10" customWidth="1" min="5" max="5"/>
    <col width="10" customWidth="1" min="6" max="6"/>
    <col width="8" customWidth="1" min="7" max="7"/>
    <col width="9" customWidth="1" min="8" max="8"/>
    <col width="8" customWidth="1" min="9" max="9"/>
    <col width="9" customWidth="1" min="10" max="10"/>
    <col width="11" customWidth="1" min="11" max="11"/>
    <col width="10" customWidth="1" min="12" max="12"/>
    <col width="9" customWidth="1" min="13" max="13"/>
    <col width="10" customWidth="1" min="14" max="14"/>
    <col width="9" customWidth="1" min="15" max="15"/>
    <col width="11" customWidth="1" min="16" max="16"/>
    <col width="10" customWidth="1" min="17" max="17"/>
    <col width="10" customWidth="1" min="18" max="18"/>
    <col width="9" customWidth="1" min="19" max="19"/>
    <col width="10" customWidth="1" min="20" max="20"/>
    <col width="9" customWidth="1" min="21" max="21"/>
    <col width="10" customWidth="1" min="22" max="22"/>
    <col width="12" customWidth="1" min="23" max="23"/>
  </cols>
  <sheetData>
    <row r="1">
      <c r="A1" s="14" t="inlineStr">
        <is>
          <t>METRADO DE ACERO EN CUNETAS - DRENAJE PLUVIAL</t>
        </is>
      </c>
    </row>
    <row r="2">
      <c r="A2" s="27" t="inlineStr">
        <is>
          <t>ENTIDAD</t>
        </is>
      </c>
      <c r="B2" s="18" t="n"/>
      <c r="C2" s="16">
        <f>+RESUMEN!B4</f>
        <v/>
      </c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8" t="n"/>
    </row>
    <row r="3" ht="33" customHeight="1">
      <c r="A3" s="27" t="inlineStr">
        <is>
          <t>PROYECTO</t>
        </is>
      </c>
      <c r="B3" s="18" t="n"/>
      <c r="C3" s="16">
        <f>+RESUMEN!B5</f>
        <v/>
      </c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7" t="n"/>
      <c r="Q3" s="17" t="n"/>
      <c r="R3" s="17" t="n"/>
      <c r="S3" s="17" t="n"/>
      <c r="T3" s="17" t="n"/>
      <c r="U3" s="17" t="n"/>
      <c r="V3" s="17" t="n"/>
      <c r="W3" s="18" t="n"/>
    </row>
    <row r="4">
      <c r="A4" s="27" t="inlineStr">
        <is>
          <t>UBICACIÓN</t>
        </is>
      </c>
      <c r="B4" s="18" t="n"/>
      <c r="C4" s="16">
        <f>+RESUMEN!B6</f>
        <v/>
      </c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8" t="n"/>
    </row>
    <row r="5">
      <c r="A5" s="27" t="inlineStr">
        <is>
          <t>FECHA</t>
        </is>
      </c>
      <c r="B5" s="18" t="n"/>
      <c r="C5" s="16">
        <f>+RESUMEN!B7</f>
        <v/>
      </c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8" t="n"/>
    </row>
    <row r="8">
      <c r="A8" s="45" t="inlineStr">
        <is>
          <t>METRADO DETALLADO POR EJE (ACERO SOLO CON h &gt;= 0.40 m O EN TRAMO TAPADO)</t>
        </is>
      </c>
    </row>
    <row r="9">
      <c r="A9" s="46" t="inlineStr">
        <is>
          <t>IDENTIFICACIÓN Y GEOMETRÍA</t>
        </is>
      </c>
      <c r="B9" s="17" t="n"/>
      <c r="C9" s="17" t="n"/>
      <c r="D9" s="17" t="n"/>
      <c r="E9" s="17" t="n"/>
      <c r="F9" s="18" t="n"/>
      <c r="G9" s="47" t="inlineStr">
        <is>
          <t>ACERO LONGITUDINAL DEL CUERPO U</t>
        </is>
      </c>
      <c r="H9" s="17" t="n"/>
      <c r="I9" s="17" t="n"/>
      <c r="J9" s="17" t="n"/>
      <c r="K9" s="17" t="n"/>
      <c r="L9" s="18" t="n"/>
      <c r="M9" s="48" t="inlineStr">
        <is>
          <t>ACERO TRANSVERSAL DEL CUERPO U</t>
        </is>
      </c>
      <c r="N9" s="17" t="n"/>
      <c r="O9" s="17" t="n"/>
      <c r="P9" s="17" t="n"/>
      <c r="Q9" s="18" t="n"/>
      <c r="R9" s="49" t="inlineStr">
        <is>
          <t>ACERO DE LA LOSA TAPA (SOLO TRAMOS TAPADOS)</t>
        </is>
      </c>
      <c r="S9" s="17" t="n"/>
      <c r="T9" s="17" t="n"/>
      <c r="U9" s="17" t="n"/>
      <c r="V9" s="18" t="n"/>
      <c r="W9" s="50" t="inlineStr">
        <is>
          <t>RESULTADO</t>
        </is>
      </c>
    </row>
    <row r="10" ht="45" customHeight="1">
      <c r="A10" s="51" t="inlineStr">
        <is>
          <t>N°</t>
        </is>
      </c>
      <c r="B10" s="51" t="inlineStr">
        <is>
          <t>EJE</t>
        </is>
      </c>
      <c r="C10" s="51" t="inlineStr">
        <is>
          <t>TIPO DE CUNETA</t>
        </is>
      </c>
      <c r="D10" s="51" t="inlineStr">
        <is>
          <t>LONGITUD EJE (m)</t>
        </is>
      </c>
      <c r="E10" s="51" t="inlineStr">
        <is>
          <t>LONG. CON ACERO (m)</t>
        </is>
      </c>
      <c r="F10" s="51" t="inlineStr">
        <is>
          <t>h PROM. CON ACERO (m)</t>
        </is>
      </c>
      <c r="G10" s="51" t="inlineStr">
        <is>
          <t>Ø CUERPO</t>
        </is>
      </c>
      <c r="H10" s="51" t="inlineStr">
        <is>
          <t>FACTOR (kg/m)</t>
        </is>
      </c>
      <c r="I10" s="51" t="inlineStr">
        <is>
          <t>SEP. LONG. (m)</t>
        </is>
      </c>
      <c r="J10" s="51" t="inlineStr">
        <is>
          <t>N° BARRAS LONG.</t>
        </is>
      </c>
      <c r="K10" s="51" t="inlineStr">
        <is>
          <t>LONG. ACERO LONG. (m)</t>
        </is>
      </c>
      <c r="L10" s="51" t="inlineStr">
        <is>
          <t>KG LONG.</t>
        </is>
      </c>
      <c r="M10" s="51" t="inlineStr">
        <is>
          <t>SEP. TRANSV. U (m)</t>
        </is>
      </c>
      <c r="N10" s="51" t="inlineStr">
        <is>
          <t>DESARROLLO U (m)</t>
        </is>
      </c>
      <c r="O10" s="51" t="inlineStr">
        <is>
          <t>CANT. U</t>
        </is>
      </c>
      <c r="P10" s="51" t="inlineStr">
        <is>
          <t>LONG. TRANSV. (m)</t>
        </is>
      </c>
      <c r="Q10" s="51" t="inlineStr">
        <is>
          <t>KG U</t>
        </is>
      </c>
      <c r="R10" s="51" t="inlineStr">
        <is>
          <t>LONG. TAPADA (m)</t>
        </is>
      </c>
      <c r="S10" s="51" t="inlineStr">
        <is>
          <t>SEP. TRANSV. (m)</t>
        </is>
      </c>
      <c r="T10" s="51" t="inlineStr">
        <is>
          <t>DESARROLLO (m)</t>
        </is>
      </c>
      <c r="U10" s="51" t="inlineStr">
        <is>
          <t>BARRAS LONG.</t>
        </is>
      </c>
      <c r="V10" s="51" t="inlineStr">
        <is>
          <t>KG LOSA TAPA</t>
        </is>
      </c>
      <c r="W10" s="51" t="inlineStr">
        <is>
          <t>TOTAL ACERO (kg)</t>
        </is>
      </c>
    </row>
    <row r="11">
      <c r="A11" s="42" t="n">
        <v>1</v>
      </c>
      <c r="B11" s="25" t="inlineStr">
        <is>
          <t>EJE-01</t>
        </is>
      </c>
      <c r="C11" s="25" t="inlineStr">
        <is>
          <t>ABIERTA</t>
        </is>
      </c>
      <c r="D11" s="35" t="n">
        <v>34.34</v>
      </c>
      <c r="E11" s="35" t="n">
        <v>14.4</v>
      </c>
      <c r="F11" s="52" t="n">
        <v>0.436</v>
      </c>
      <c r="G11" s="25" t="inlineStr">
        <is>
          <t>3/8"</t>
        </is>
      </c>
      <c r="H11" s="52">
        <f>IFERROR(VLOOKUP(G11,Listas!$A$4:$B$11,2,FALSE),0)</f>
        <v/>
      </c>
      <c r="I11" s="35">
        <f>PARAMETROS!$B$19</f>
        <v/>
      </c>
      <c r="J11" s="42">
        <f>IF(E11&gt;0,2*(CEILING(ROUND(F11/I11,6),1)+1)+(CEILING(ROUND((PARAMETROS!$B$5-2*PARAMETROS!$B$16)/I11,6),1)+1),0)</f>
        <v/>
      </c>
      <c r="K11" s="35">
        <f>E11*J11</f>
        <v/>
      </c>
      <c r="L11" s="35">
        <f>K11*H11</f>
        <v/>
      </c>
      <c r="M11" s="35">
        <f>PARAMETROS!$B$18</f>
        <v/>
      </c>
      <c r="N11" s="52">
        <f>IF(E11&gt;0,2*(F11+PARAMETROS!$B$8-2*PARAMETROS!$B$16)+(PARAMETROS!$B$5-2*PARAMETROS!$B$16)+0.2,0)</f>
        <v/>
      </c>
      <c r="O11" s="35">
        <f>IF(E11&gt;0,E11/M11,0)</f>
        <v/>
      </c>
      <c r="P11" s="35">
        <f>N11*O11</f>
        <v/>
      </c>
      <c r="Q11" s="35">
        <f>P11*H11</f>
        <v/>
      </c>
      <c r="R11" s="35" t="n">
        <v>0</v>
      </c>
      <c r="S11" s="35">
        <f>PARAMETROS!$B$19</f>
        <v/>
      </c>
      <c r="T11" s="52">
        <f>IF(R11&gt;0,PARAMETROS!$B$5-2*PARAMETROS!$B$16+0.2,0)</f>
        <v/>
      </c>
      <c r="U11" s="42">
        <f>IF(R11&gt;0,3,0)</f>
        <v/>
      </c>
      <c r="V11" s="35">
        <f>IF(AND(E11&gt;0,R11&gt;0),((R11/S11)*T11+U11*R11)*H11,0)</f>
        <v/>
      </c>
      <c r="W11" s="32">
        <f>L11+Q11+V11</f>
        <v/>
      </c>
    </row>
    <row r="12">
      <c r="A12" s="42" t="n">
        <v>2</v>
      </c>
      <c r="B12" s="25" t="inlineStr">
        <is>
          <t>EJE-02</t>
        </is>
      </c>
      <c r="C12" s="25" t="inlineStr">
        <is>
          <t>MIXTA</t>
        </is>
      </c>
      <c r="D12" s="35" t="n">
        <v>76.04000000000001</v>
      </c>
      <c r="E12" s="35" t="n">
        <v>56.15</v>
      </c>
      <c r="F12" s="52" t="n">
        <v>0.645</v>
      </c>
      <c r="G12" s="25" t="inlineStr">
        <is>
          <t>3/8"</t>
        </is>
      </c>
      <c r="H12" s="52">
        <f>IFERROR(VLOOKUP(G12,Listas!$A$4:$B$11,2,FALSE),0)</f>
        <v/>
      </c>
      <c r="I12" s="35">
        <f>PARAMETROS!$B$19</f>
        <v/>
      </c>
      <c r="J12" s="42">
        <f>IF(E12&gt;0,2*(CEILING(ROUND(F12/I12,6),1)+1)+(CEILING(ROUND((PARAMETROS!$B$5-2*PARAMETROS!$B$16)/I12,6),1)+1),0)</f>
        <v/>
      </c>
      <c r="K12" s="35">
        <f>E12*J12</f>
        <v/>
      </c>
      <c r="L12" s="35">
        <f>K12*H12</f>
        <v/>
      </c>
      <c r="M12" s="35">
        <f>PARAMETROS!$B$18</f>
        <v/>
      </c>
      <c r="N12" s="52">
        <f>IF(E12&gt;0,2*(F12+PARAMETROS!$B$8-2*PARAMETROS!$B$16)+(PARAMETROS!$B$5-2*PARAMETROS!$B$16)+0.2,0)</f>
        <v/>
      </c>
      <c r="O12" s="35">
        <f>IF(E12&gt;0,E12/M12,0)</f>
        <v/>
      </c>
      <c r="P12" s="35">
        <f>N12*O12</f>
        <v/>
      </c>
      <c r="Q12" s="35">
        <f>P12*H12</f>
        <v/>
      </c>
      <c r="R12" s="35" t="n">
        <v>0.76</v>
      </c>
      <c r="S12" s="35">
        <f>PARAMETROS!$B$19</f>
        <v/>
      </c>
      <c r="T12" s="52">
        <f>IF(R12&gt;0,PARAMETROS!$B$5-2*PARAMETROS!$B$16+0.2,0)</f>
        <v/>
      </c>
      <c r="U12" s="42">
        <f>IF(R12&gt;0,3,0)</f>
        <v/>
      </c>
      <c r="V12" s="35">
        <f>IF(AND(E12&gt;0,R12&gt;0),((R12/S12)*T12+U12*R12)*H12,0)</f>
        <v/>
      </c>
      <c r="W12" s="32">
        <f>L12+Q12+V12</f>
        <v/>
      </c>
    </row>
    <row r="13">
      <c r="A13" s="42" t="n">
        <v>3</v>
      </c>
      <c r="B13" s="25" t="inlineStr">
        <is>
          <t>EJE-03</t>
        </is>
      </c>
      <c r="C13" s="25" t="inlineStr">
        <is>
          <t>ABIERTA</t>
        </is>
      </c>
      <c r="D13" s="35" t="n">
        <v>32.31</v>
      </c>
      <c r="E13" s="35" t="n">
        <v>12.42</v>
      </c>
      <c r="F13" s="52" t="n">
        <v>0.431</v>
      </c>
      <c r="G13" s="25" t="inlineStr">
        <is>
          <t>3/8"</t>
        </is>
      </c>
      <c r="H13" s="52">
        <f>IFERROR(VLOOKUP(G13,Listas!$A$4:$B$11,2,FALSE),0)</f>
        <v/>
      </c>
      <c r="I13" s="35">
        <f>PARAMETROS!$B$19</f>
        <v/>
      </c>
      <c r="J13" s="42">
        <f>IF(E13&gt;0,2*(CEILING(ROUND(F13/I13,6),1)+1)+(CEILING(ROUND((PARAMETROS!$B$5-2*PARAMETROS!$B$16)/I13,6),1)+1),0)</f>
        <v/>
      </c>
      <c r="K13" s="35">
        <f>E13*J13</f>
        <v/>
      </c>
      <c r="L13" s="35">
        <f>K13*H13</f>
        <v/>
      </c>
      <c r="M13" s="35">
        <f>PARAMETROS!$B$18</f>
        <v/>
      </c>
      <c r="N13" s="52">
        <f>IF(E13&gt;0,2*(F13+PARAMETROS!$B$8-2*PARAMETROS!$B$16)+(PARAMETROS!$B$5-2*PARAMETROS!$B$16)+0.2,0)</f>
        <v/>
      </c>
      <c r="O13" s="35">
        <f>IF(E13&gt;0,E13/M13,0)</f>
        <v/>
      </c>
      <c r="P13" s="35">
        <f>N13*O13</f>
        <v/>
      </c>
      <c r="Q13" s="35">
        <f>P13*H13</f>
        <v/>
      </c>
      <c r="R13" s="35" t="n">
        <v>0</v>
      </c>
      <c r="S13" s="35">
        <f>PARAMETROS!$B$19</f>
        <v/>
      </c>
      <c r="T13" s="52">
        <f>IF(R13&gt;0,PARAMETROS!$B$5-2*PARAMETROS!$B$16+0.2,0)</f>
        <v/>
      </c>
      <c r="U13" s="42">
        <f>IF(R13&gt;0,3,0)</f>
        <v/>
      </c>
      <c r="V13" s="35">
        <f>IF(AND(E13&gt;0,R13&gt;0),((R13/S13)*T13+U13*R13)*H13,0)</f>
        <v/>
      </c>
      <c r="W13" s="32">
        <f>L13+Q13+V13</f>
        <v/>
      </c>
    </row>
    <row r="14">
      <c r="A14" s="42" t="n">
        <v>4</v>
      </c>
      <c r="B14" s="25" t="inlineStr">
        <is>
          <t>EJE-04</t>
        </is>
      </c>
      <c r="C14" s="25" t="inlineStr">
        <is>
          <t>ABIERTA</t>
        </is>
      </c>
      <c r="D14" s="35" t="n">
        <v>94.34</v>
      </c>
      <c r="E14" s="35" t="n">
        <v>74.15000000000001</v>
      </c>
      <c r="F14" s="52" t="n">
        <v>0.586</v>
      </c>
      <c r="G14" s="25" t="inlineStr">
        <is>
          <t>3/8"</t>
        </is>
      </c>
      <c r="H14" s="52">
        <f>IFERROR(VLOOKUP(G14,Listas!$A$4:$B$11,2,FALSE),0)</f>
        <v/>
      </c>
      <c r="I14" s="35">
        <f>PARAMETROS!$B$19</f>
        <v/>
      </c>
      <c r="J14" s="42">
        <f>IF(E14&gt;0,2*(CEILING(ROUND(F14/I14,6),1)+1)+(CEILING(ROUND((PARAMETROS!$B$5-2*PARAMETROS!$B$16)/I14,6),1)+1),0)</f>
        <v/>
      </c>
      <c r="K14" s="35">
        <f>E14*J14</f>
        <v/>
      </c>
      <c r="L14" s="35">
        <f>K14*H14</f>
        <v/>
      </c>
      <c r="M14" s="35">
        <f>PARAMETROS!$B$18</f>
        <v/>
      </c>
      <c r="N14" s="52">
        <f>IF(E14&gt;0,2*(F14+PARAMETROS!$B$8-2*PARAMETROS!$B$16)+(PARAMETROS!$B$5-2*PARAMETROS!$B$16)+0.2,0)</f>
        <v/>
      </c>
      <c r="O14" s="35">
        <f>IF(E14&gt;0,E14/M14,0)</f>
        <v/>
      </c>
      <c r="P14" s="35">
        <f>N14*O14</f>
        <v/>
      </c>
      <c r="Q14" s="35">
        <f>P14*H14</f>
        <v/>
      </c>
      <c r="R14" s="35" t="n">
        <v>0</v>
      </c>
      <c r="S14" s="35">
        <f>PARAMETROS!$B$19</f>
        <v/>
      </c>
      <c r="T14" s="52">
        <f>IF(R14&gt;0,PARAMETROS!$B$5-2*PARAMETROS!$B$16+0.2,0)</f>
        <v/>
      </c>
      <c r="U14" s="42">
        <f>IF(R14&gt;0,3,0)</f>
        <v/>
      </c>
      <c r="V14" s="35">
        <f>IF(AND(E14&gt;0,R14&gt;0),((R14/S14)*T14+U14*R14)*H14,0)</f>
        <v/>
      </c>
      <c r="W14" s="32">
        <f>L14+Q14+V14</f>
        <v/>
      </c>
    </row>
    <row r="15">
      <c r="A15" s="42" t="n">
        <v>5</v>
      </c>
      <c r="B15" s="25" t="inlineStr">
        <is>
          <t>EJE-05</t>
        </is>
      </c>
      <c r="C15" s="25" t="inlineStr">
        <is>
          <t>ABIERTA</t>
        </is>
      </c>
      <c r="D15" s="35" t="n">
        <v>90.56</v>
      </c>
      <c r="E15" s="35" t="n">
        <v>70.73</v>
      </c>
      <c r="F15" s="52" t="n">
        <v>0.576</v>
      </c>
      <c r="G15" s="25" t="inlineStr">
        <is>
          <t>3/8"</t>
        </is>
      </c>
      <c r="H15" s="52">
        <f>IFERROR(VLOOKUP(G15,Listas!$A$4:$B$11,2,FALSE),0)</f>
        <v/>
      </c>
      <c r="I15" s="35">
        <f>PARAMETROS!$B$19</f>
        <v/>
      </c>
      <c r="J15" s="42">
        <f>IF(E15&gt;0,2*(CEILING(ROUND(F15/I15,6),1)+1)+(CEILING(ROUND((PARAMETROS!$B$5-2*PARAMETROS!$B$16)/I15,6),1)+1),0)</f>
        <v/>
      </c>
      <c r="K15" s="35">
        <f>E15*J15</f>
        <v/>
      </c>
      <c r="L15" s="35">
        <f>K15*H15</f>
        <v/>
      </c>
      <c r="M15" s="35">
        <f>PARAMETROS!$B$18</f>
        <v/>
      </c>
      <c r="N15" s="52">
        <f>IF(E15&gt;0,2*(F15+PARAMETROS!$B$8-2*PARAMETROS!$B$16)+(PARAMETROS!$B$5-2*PARAMETROS!$B$16)+0.2,0)</f>
        <v/>
      </c>
      <c r="O15" s="35">
        <f>IF(E15&gt;0,E15/M15,0)</f>
        <v/>
      </c>
      <c r="P15" s="35">
        <f>N15*O15</f>
        <v/>
      </c>
      <c r="Q15" s="35">
        <f>P15*H15</f>
        <v/>
      </c>
      <c r="R15" s="35" t="n">
        <v>0</v>
      </c>
      <c r="S15" s="35">
        <f>PARAMETROS!$B$19</f>
        <v/>
      </c>
      <c r="T15" s="52">
        <f>IF(R15&gt;0,PARAMETROS!$B$5-2*PARAMETROS!$B$16+0.2,0)</f>
        <v/>
      </c>
      <c r="U15" s="42">
        <f>IF(R15&gt;0,3,0)</f>
        <v/>
      </c>
      <c r="V15" s="35">
        <f>IF(AND(E15&gt;0,R15&gt;0),((R15/S15)*T15+U15*R15)*H15,0)</f>
        <v/>
      </c>
      <c r="W15" s="32">
        <f>L15+Q15+V15</f>
        <v/>
      </c>
    </row>
    <row r="16">
      <c r="A16" s="42" t="n">
        <v>6</v>
      </c>
      <c r="B16" s="25" t="inlineStr">
        <is>
          <t>EJE-06</t>
        </is>
      </c>
      <c r="C16" s="25" t="inlineStr">
        <is>
          <t>ABIERTA</t>
        </is>
      </c>
      <c r="D16" s="35" t="n">
        <v>12.3</v>
      </c>
      <c r="E16" s="35" t="n">
        <v>0</v>
      </c>
      <c r="F16" s="52" t="n">
        <v>0</v>
      </c>
      <c r="G16" s="25" t="inlineStr">
        <is>
          <t>3/8"</t>
        </is>
      </c>
      <c r="H16" s="52">
        <f>IFERROR(VLOOKUP(G16,Listas!$A$4:$B$11,2,FALSE),0)</f>
        <v/>
      </c>
      <c r="I16" s="35">
        <f>PARAMETROS!$B$19</f>
        <v/>
      </c>
      <c r="J16" s="42">
        <f>IF(E16&gt;0,2*(CEILING(ROUND(F16/I16,6),1)+1)+(CEILING(ROUND((PARAMETROS!$B$5-2*PARAMETROS!$B$16)/I16,6),1)+1),0)</f>
        <v/>
      </c>
      <c r="K16" s="35">
        <f>E16*J16</f>
        <v/>
      </c>
      <c r="L16" s="35">
        <f>K16*H16</f>
        <v/>
      </c>
      <c r="M16" s="35">
        <f>PARAMETROS!$B$18</f>
        <v/>
      </c>
      <c r="N16" s="52">
        <f>IF(E16&gt;0,2*(F16+PARAMETROS!$B$8-2*PARAMETROS!$B$16)+(PARAMETROS!$B$5-2*PARAMETROS!$B$16)+0.2,0)</f>
        <v/>
      </c>
      <c r="O16" s="35">
        <f>IF(E16&gt;0,E16/M16,0)</f>
        <v/>
      </c>
      <c r="P16" s="35">
        <f>N16*O16</f>
        <v/>
      </c>
      <c r="Q16" s="35">
        <f>P16*H16</f>
        <v/>
      </c>
      <c r="R16" s="35" t="n">
        <v>0</v>
      </c>
      <c r="S16" s="35">
        <f>PARAMETROS!$B$19</f>
        <v/>
      </c>
      <c r="T16" s="52">
        <f>IF(R16&gt;0,PARAMETROS!$B$5-2*PARAMETROS!$B$16+0.2,0)</f>
        <v/>
      </c>
      <c r="U16" s="42">
        <f>IF(R16&gt;0,3,0)</f>
        <v/>
      </c>
      <c r="V16" s="35">
        <f>IF(AND(E16&gt;0,R16&gt;0),((R16/S16)*T16+U16*R16)*H16,0)</f>
        <v/>
      </c>
      <c r="W16" s="32">
        <f>L16+Q16+V16</f>
        <v/>
      </c>
    </row>
    <row r="17">
      <c r="A17" s="42" t="n">
        <v>7</v>
      </c>
      <c r="B17" s="25" t="inlineStr">
        <is>
          <t>EJE-07</t>
        </is>
      </c>
      <c r="C17" s="25" t="inlineStr">
        <is>
          <t>MIXTA</t>
        </is>
      </c>
      <c r="D17" s="35" t="n">
        <v>94.69</v>
      </c>
      <c r="E17" s="35" t="n">
        <v>88.94</v>
      </c>
      <c r="F17" s="52" t="n">
        <v>0.6899999999999999</v>
      </c>
      <c r="G17" s="25" t="inlineStr">
        <is>
          <t>3/8"</t>
        </is>
      </c>
      <c r="H17" s="52">
        <f>IFERROR(VLOOKUP(G17,Listas!$A$4:$B$11,2,FALSE),0)</f>
        <v/>
      </c>
      <c r="I17" s="35">
        <f>PARAMETROS!$B$19</f>
        <v/>
      </c>
      <c r="J17" s="42">
        <f>IF(E17&gt;0,2*(CEILING(ROUND(F17/I17,6),1)+1)+(CEILING(ROUND((PARAMETROS!$B$5-2*PARAMETROS!$B$16)/I17,6),1)+1),0)</f>
        <v/>
      </c>
      <c r="K17" s="35">
        <f>E17*J17</f>
        <v/>
      </c>
      <c r="L17" s="35">
        <f>K17*H17</f>
        <v/>
      </c>
      <c r="M17" s="35">
        <f>PARAMETROS!$B$18</f>
        <v/>
      </c>
      <c r="N17" s="52">
        <f>IF(E17&gt;0,2*(F17+PARAMETROS!$B$8-2*PARAMETROS!$B$16)+(PARAMETROS!$B$5-2*PARAMETROS!$B$16)+0.2,0)</f>
        <v/>
      </c>
      <c r="O17" s="35">
        <f>IF(E17&gt;0,E17/M17,0)</f>
        <v/>
      </c>
      <c r="P17" s="35">
        <f>N17*O17</f>
        <v/>
      </c>
      <c r="Q17" s="35">
        <f>P17*H17</f>
        <v/>
      </c>
      <c r="R17" s="35" t="n">
        <v>22.9</v>
      </c>
      <c r="S17" s="35">
        <f>PARAMETROS!$B$19</f>
        <v/>
      </c>
      <c r="T17" s="52">
        <f>IF(R17&gt;0,PARAMETROS!$B$5-2*PARAMETROS!$B$16+0.2,0)</f>
        <v/>
      </c>
      <c r="U17" s="42">
        <f>IF(R17&gt;0,3,0)</f>
        <v/>
      </c>
      <c r="V17" s="35">
        <f>IF(AND(E17&gt;0,R17&gt;0),((R17/S17)*T17+U17*R17)*H17,0)</f>
        <v/>
      </c>
      <c r="W17" s="32">
        <f>L17+Q17+V17</f>
        <v/>
      </c>
    </row>
    <row r="18">
      <c r="A18" s="42" t="n">
        <v>8</v>
      </c>
      <c r="B18" s="25" t="inlineStr">
        <is>
          <t>EJE-08</t>
        </is>
      </c>
      <c r="C18" s="25" t="inlineStr">
        <is>
          <t>ABIERTA</t>
        </is>
      </c>
      <c r="D18" s="35" t="n">
        <v>39.68</v>
      </c>
      <c r="E18" s="35" t="n">
        <v>19.89</v>
      </c>
      <c r="F18" s="52" t="n">
        <v>0.449</v>
      </c>
      <c r="G18" s="25" t="inlineStr">
        <is>
          <t>3/8"</t>
        </is>
      </c>
      <c r="H18" s="52">
        <f>IFERROR(VLOOKUP(G18,Listas!$A$4:$B$11,2,FALSE),0)</f>
        <v/>
      </c>
      <c r="I18" s="35">
        <f>PARAMETROS!$B$19</f>
        <v/>
      </c>
      <c r="J18" s="42">
        <f>IF(E18&gt;0,2*(CEILING(ROUND(F18/I18,6),1)+1)+(CEILING(ROUND((PARAMETROS!$B$5-2*PARAMETROS!$B$16)/I18,6),1)+1),0)</f>
        <v/>
      </c>
      <c r="K18" s="35">
        <f>E18*J18</f>
        <v/>
      </c>
      <c r="L18" s="35">
        <f>K18*H18</f>
        <v/>
      </c>
      <c r="M18" s="35">
        <f>PARAMETROS!$B$18</f>
        <v/>
      </c>
      <c r="N18" s="52">
        <f>IF(E18&gt;0,2*(F18+PARAMETROS!$B$8-2*PARAMETROS!$B$16)+(PARAMETROS!$B$5-2*PARAMETROS!$B$16)+0.2,0)</f>
        <v/>
      </c>
      <c r="O18" s="35">
        <f>IF(E18&gt;0,E18/M18,0)</f>
        <v/>
      </c>
      <c r="P18" s="35">
        <f>N18*O18</f>
        <v/>
      </c>
      <c r="Q18" s="35">
        <f>P18*H18</f>
        <v/>
      </c>
      <c r="R18" s="35" t="n">
        <v>0</v>
      </c>
      <c r="S18" s="35">
        <f>PARAMETROS!$B$19</f>
        <v/>
      </c>
      <c r="T18" s="52">
        <f>IF(R18&gt;0,PARAMETROS!$B$5-2*PARAMETROS!$B$16+0.2,0)</f>
        <v/>
      </c>
      <c r="U18" s="42">
        <f>IF(R18&gt;0,3,0)</f>
        <v/>
      </c>
      <c r="V18" s="35">
        <f>IF(AND(E18&gt;0,R18&gt;0),((R18/S18)*T18+U18*R18)*H18,0)</f>
        <v/>
      </c>
      <c r="W18" s="32">
        <f>L18+Q18+V18</f>
        <v/>
      </c>
    </row>
    <row r="19">
      <c r="A19" s="42" t="n">
        <v>9</v>
      </c>
      <c r="B19" s="25" t="inlineStr">
        <is>
          <t>EJE-09</t>
        </is>
      </c>
      <c r="C19" s="25" t="inlineStr">
        <is>
          <t>ABIERTA</t>
        </is>
      </c>
      <c r="D19" s="35" t="n">
        <v>35.8</v>
      </c>
      <c r="E19" s="35" t="n">
        <v>15.91</v>
      </c>
      <c r="F19" s="52" t="n">
        <v>0.439</v>
      </c>
      <c r="G19" s="25" t="inlineStr">
        <is>
          <t>3/8"</t>
        </is>
      </c>
      <c r="H19" s="52">
        <f>IFERROR(VLOOKUP(G19,Listas!$A$4:$B$11,2,FALSE),0)</f>
        <v/>
      </c>
      <c r="I19" s="35">
        <f>PARAMETROS!$B$19</f>
        <v/>
      </c>
      <c r="J19" s="42">
        <f>IF(E19&gt;0,2*(CEILING(ROUND(F19/I19,6),1)+1)+(CEILING(ROUND((PARAMETROS!$B$5-2*PARAMETROS!$B$16)/I19,6),1)+1),0)</f>
        <v/>
      </c>
      <c r="K19" s="35">
        <f>E19*J19</f>
        <v/>
      </c>
      <c r="L19" s="35">
        <f>K19*H19</f>
        <v/>
      </c>
      <c r="M19" s="35">
        <f>PARAMETROS!$B$18</f>
        <v/>
      </c>
      <c r="N19" s="52">
        <f>IF(E19&gt;0,2*(F19+PARAMETROS!$B$8-2*PARAMETROS!$B$16)+(PARAMETROS!$B$5-2*PARAMETROS!$B$16)+0.2,0)</f>
        <v/>
      </c>
      <c r="O19" s="35">
        <f>IF(E19&gt;0,E19/M19,0)</f>
        <v/>
      </c>
      <c r="P19" s="35">
        <f>N19*O19</f>
        <v/>
      </c>
      <c r="Q19" s="35">
        <f>P19*H19</f>
        <v/>
      </c>
      <c r="R19" s="35" t="n">
        <v>0</v>
      </c>
      <c r="S19" s="35">
        <f>PARAMETROS!$B$19</f>
        <v/>
      </c>
      <c r="T19" s="52">
        <f>IF(R19&gt;0,PARAMETROS!$B$5-2*PARAMETROS!$B$16+0.2,0)</f>
        <v/>
      </c>
      <c r="U19" s="42">
        <f>IF(R19&gt;0,3,0)</f>
        <v/>
      </c>
      <c r="V19" s="35">
        <f>IF(AND(E19&gt;0,R19&gt;0),((R19/S19)*T19+U19*R19)*H19,0)</f>
        <v/>
      </c>
      <c r="W19" s="32">
        <f>L19+Q19+V19</f>
        <v/>
      </c>
    </row>
    <row r="20">
      <c r="A20" s="42" t="n">
        <v>10</v>
      </c>
      <c r="B20" s="25" t="inlineStr">
        <is>
          <t>EJE-10</t>
        </is>
      </c>
      <c r="C20" s="25" t="inlineStr">
        <is>
          <t>ABIERTA</t>
        </is>
      </c>
      <c r="D20" s="35" t="n">
        <v>36.9</v>
      </c>
      <c r="E20" s="35" t="n">
        <v>16.75</v>
      </c>
      <c r="F20" s="52" t="n">
        <v>0.443</v>
      </c>
      <c r="G20" s="25" t="inlineStr">
        <is>
          <t>3/8"</t>
        </is>
      </c>
      <c r="H20" s="52">
        <f>IFERROR(VLOOKUP(G20,Listas!$A$4:$B$11,2,FALSE),0)</f>
        <v/>
      </c>
      <c r="I20" s="35">
        <f>PARAMETROS!$B$19</f>
        <v/>
      </c>
      <c r="J20" s="42">
        <f>IF(E20&gt;0,2*(CEILING(ROUND(F20/I20,6),1)+1)+(CEILING(ROUND((PARAMETROS!$B$5-2*PARAMETROS!$B$16)/I20,6),1)+1),0)</f>
        <v/>
      </c>
      <c r="K20" s="35">
        <f>E20*J20</f>
        <v/>
      </c>
      <c r="L20" s="35">
        <f>K20*H20</f>
        <v/>
      </c>
      <c r="M20" s="35">
        <f>PARAMETROS!$B$18</f>
        <v/>
      </c>
      <c r="N20" s="52">
        <f>IF(E20&gt;0,2*(F20+PARAMETROS!$B$8-2*PARAMETROS!$B$16)+(PARAMETROS!$B$5-2*PARAMETROS!$B$16)+0.2,0)</f>
        <v/>
      </c>
      <c r="O20" s="35">
        <f>IF(E20&gt;0,E20/M20,0)</f>
        <v/>
      </c>
      <c r="P20" s="35">
        <f>N20*O20</f>
        <v/>
      </c>
      <c r="Q20" s="35">
        <f>P20*H20</f>
        <v/>
      </c>
      <c r="R20" s="35" t="n">
        <v>0</v>
      </c>
      <c r="S20" s="35">
        <f>PARAMETROS!$B$19</f>
        <v/>
      </c>
      <c r="T20" s="52">
        <f>IF(R20&gt;0,PARAMETROS!$B$5-2*PARAMETROS!$B$16+0.2,0)</f>
        <v/>
      </c>
      <c r="U20" s="42">
        <f>IF(R20&gt;0,3,0)</f>
        <v/>
      </c>
      <c r="V20" s="35">
        <f>IF(AND(E20&gt;0,R20&gt;0),((R20/S20)*T20+U20*R20)*H20,0)</f>
        <v/>
      </c>
      <c r="W20" s="32">
        <f>L20+Q20+V20</f>
        <v/>
      </c>
    </row>
    <row r="21">
      <c r="A21" s="42" t="n">
        <v>11</v>
      </c>
      <c r="B21" s="25" t="inlineStr">
        <is>
          <t>EJE-11</t>
        </is>
      </c>
      <c r="C21" s="25" t="inlineStr">
        <is>
          <t>MIXTA</t>
        </is>
      </c>
      <c r="D21" s="35" t="n">
        <v>30.36</v>
      </c>
      <c r="E21" s="35" t="n">
        <v>10.95</v>
      </c>
      <c r="F21" s="52" t="n">
        <v>0.424</v>
      </c>
      <c r="G21" s="25" t="inlineStr">
        <is>
          <t>3/8"</t>
        </is>
      </c>
      <c r="H21" s="52">
        <f>IFERROR(VLOOKUP(G21,Listas!$A$4:$B$11,2,FALSE),0)</f>
        <v/>
      </c>
      <c r="I21" s="35">
        <f>PARAMETROS!$B$19</f>
        <v/>
      </c>
      <c r="J21" s="42">
        <f>IF(E21&gt;0,2*(CEILING(ROUND(F21/I21,6),1)+1)+(CEILING(ROUND((PARAMETROS!$B$5-2*PARAMETROS!$B$16)/I21,6),1)+1),0)</f>
        <v/>
      </c>
      <c r="K21" s="35">
        <f>E21*J21</f>
        <v/>
      </c>
      <c r="L21" s="35">
        <f>K21*H21</f>
        <v/>
      </c>
      <c r="M21" s="35">
        <f>PARAMETROS!$B$18</f>
        <v/>
      </c>
      <c r="N21" s="52">
        <f>IF(E21&gt;0,2*(F21+PARAMETROS!$B$8-2*PARAMETROS!$B$16)+(PARAMETROS!$B$5-2*PARAMETROS!$B$16)+0.2,0)</f>
        <v/>
      </c>
      <c r="O21" s="35">
        <f>IF(E21&gt;0,E21/M21,0)</f>
        <v/>
      </c>
      <c r="P21" s="35">
        <f>N21*O21</f>
        <v/>
      </c>
      <c r="Q21" s="35">
        <f>P21*H21</f>
        <v/>
      </c>
      <c r="R21" s="35" t="n">
        <v>0.5</v>
      </c>
      <c r="S21" s="35">
        <f>PARAMETROS!$B$19</f>
        <v/>
      </c>
      <c r="T21" s="52">
        <f>IF(R21&gt;0,PARAMETROS!$B$5-2*PARAMETROS!$B$16+0.2,0)</f>
        <v/>
      </c>
      <c r="U21" s="42">
        <f>IF(R21&gt;0,3,0)</f>
        <v/>
      </c>
      <c r="V21" s="35">
        <f>IF(AND(E21&gt;0,R21&gt;0),((R21/S21)*T21+U21*R21)*H21,0)</f>
        <v/>
      </c>
      <c r="W21" s="32">
        <f>L21+Q21+V21</f>
        <v/>
      </c>
    </row>
    <row r="22">
      <c r="A22" s="42" t="n">
        <v>12</v>
      </c>
      <c r="B22" s="25" t="inlineStr">
        <is>
          <t>EJE-12</t>
        </is>
      </c>
      <c r="C22" s="25" t="inlineStr">
        <is>
          <t>MIXTA</t>
        </is>
      </c>
      <c r="D22" s="35" t="n">
        <v>118.38</v>
      </c>
      <c r="E22" s="35" t="n">
        <v>98.55</v>
      </c>
      <c r="F22" s="52" t="n">
        <v>0.577</v>
      </c>
      <c r="G22" s="25" t="inlineStr">
        <is>
          <t>3/8"</t>
        </is>
      </c>
      <c r="H22" s="52">
        <f>IFERROR(VLOOKUP(G22,Listas!$A$4:$B$11,2,FALSE),0)</f>
        <v/>
      </c>
      <c r="I22" s="35">
        <f>PARAMETROS!$B$19</f>
        <v/>
      </c>
      <c r="J22" s="42">
        <f>IF(E22&gt;0,2*(CEILING(ROUND(F22/I22,6),1)+1)+(CEILING(ROUND((PARAMETROS!$B$5-2*PARAMETROS!$B$16)/I22,6),1)+1),0)</f>
        <v/>
      </c>
      <c r="K22" s="35">
        <f>E22*J22</f>
        <v/>
      </c>
      <c r="L22" s="35">
        <f>K22*H22</f>
        <v/>
      </c>
      <c r="M22" s="35">
        <f>PARAMETROS!$B$18</f>
        <v/>
      </c>
      <c r="N22" s="52">
        <f>IF(E22&gt;0,2*(F22+PARAMETROS!$B$8-2*PARAMETROS!$B$16)+(PARAMETROS!$B$5-2*PARAMETROS!$B$16)+0.2,0)</f>
        <v/>
      </c>
      <c r="O22" s="35">
        <f>IF(E22&gt;0,E22/M22,0)</f>
        <v/>
      </c>
      <c r="P22" s="35">
        <f>N22*O22</f>
        <v/>
      </c>
      <c r="Q22" s="35">
        <f>P22*H22</f>
        <v/>
      </c>
      <c r="R22" s="35" t="n">
        <v>15.22</v>
      </c>
      <c r="S22" s="35">
        <f>PARAMETROS!$B$19</f>
        <v/>
      </c>
      <c r="T22" s="52">
        <f>IF(R22&gt;0,PARAMETROS!$B$5-2*PARAMETROS!$B$16+0.2,0)</f>
        <v/>
      </c>
      <c r="U22" s="42">
        <f>IF(R22&gt;0,3,0)</f>
        <v/>
      </c>
      <c r="V22" s="35">
        <f>IF(AND(E22&gt;0,R22&gt;0),((R22/S22)*T22+U22*R22)*H22,0)</f>
        <v/>
      </c>
      <c r="W22" s="32">
        <f>L22+Q22+V22</f>
        <v/>
      </c>
    </row>
    <row r="23">
      <c r="A23" s="42" t="n">
        <v>13</v>
      </c>
      <c r="B23" s="25" t="inlineStr">
        <is>
          <t>EJE-13</t>
        </is>
      </c>
      <c r="C23" s="25" t="inlineStr">
        <is>
          <t>ABIERTA</t>
        </is>
      </c>
      <c r="D23" s="35" t="n">
        <v>24.38</v>
      </c>
      <c r="E23" s="35" t="n">
        <v>4.48</v>
      </c>
      <c r="F23" s="52" t="n">
        <v>0.411</v>
      </c>
      <c r="G23" s="25" t="inlineStr">
        <is>
          <t>3/8"</t>
        </is>
      </c>
      <c r="H23" s="52">
        <f>IFERROR(VLOOKUP(G23,Listas!$A$4:$B$11,2,FALSE),0)</f>
        <v/>
      </c>
      <c r="I23" s="35">
        <f>PARAMETROS!$B$19</f>
        <v/>
      </c>
      <c r="J23" s="42">
        <f>IF(E23&gt;0,2*(CEILING(ROUND(F23/I23,6),1)+1)+(CEILING(ROUND((PARAMETROS!$B$5-2*PARAMETROS!$B$16)/I23,6),1)+1),0)</f>
        <v/>
      </c>
      <c r="K23" s="35">
        <f>E23*J23</f>
        <v/>
      </c>
      <c r="L23" s="35">
        <f>K23*H23</f>
        <v/>
      </c>
      <c r="M23" s="35">
        <f>PARAMETROS!$B$18</f>
        <v/>
      </c>
      <c r="N23" s="52">
        <f>IF(E23&gt;0,2*(F23+PARAMETROS!$B$8-2*PARAMETROS!$B$16)+(PARAMETROS!$B$5-2*PARAMETROS!$B$16)+0.2,0)</f>
        <v/>
      </c>
      <c r="O23" s="35">
        <f>IF(E23&gt;0,E23/M23,0)</f>
        <v/>
      </c>
      <c r="P23" s="35">
        <f>N23*O23</f>
        <v/>
      </c>
      <c r="Q23" s="35">
        <f>P23*H23</f>
        <v/>
      </c>
      <c r="R23" s="35" t="n">
        <v>0</v>
      </c>
      <c r="S23" s="35">
        <f>PARAMETROS!$B$19</f>
        <v/>
      </c>
      <c r="T23" s="52">
        <f>IF(R23&gt;0,PARAMETROS!$B$5-2*PARAMETROS!$B$16+0.2,0)</f>
        <v/>
      </c>
      <c r="U23" s="42">
        <f>IF(R23&gt;0,3,0)</f>
        <v/>
      </c>
      <c r="V23" s="35">
        <f>IF(AND(E23&gt;0,R23&gt;0),((R23/S23)*T23+U23*R23)*H23,0)</f>
        <v/>
      </c>
      <c r="W23" s="32">
        <f>L23+Q23+V23</f>
        <v/>
      </c>
    </row>
    <row r="24">
      <c r="A24" s="42" t="n">
        <v>14</v>
      </c>
      <c r="B24" s="25" t="inlineStr">
        <is>
          <t>EJE-14</t>
        </is>
      </c>
      <c r="C24" s="25" t="inlineStr">
        <is>
          <t>ABIERTA</t>
        </is>
      </c>
      <c r="D24" s="35" t="n">
        <v>64.93000000000001</v>
      </c>
      <c r="E24" s="35" t="n">
        <v>26.47</v>
      </c>
      <c r="F24" s="52" t="n">
        <v>0.433</v>
      </c>
      <c r="G24" s="25" t="inlineStr">
        <is>
          <t>3/8"</t>
        </is>
      </c>
      <c r="H24" s="52">
        <f>IFERROR(VLOOKUP(G24,Listas!$A$4:$B$11,2,FALSE),0)</f>
        <v/>
      </c>
      <c r="I24" s="35">
        <f>PARAMETROS!$B$19</f>
        <v/>
      </c>
      <c r="J24" s="42">
        <f>IF(E24&gt;0,2*(CEILING(ROUND(F24/I24,6),1)+1)+(CEILING(ROUND((PARAMETROS!$B$5-2*PARAMETROS!$B$16)/I24,6),1)+1),0)</f>
        <v/>
      </c>
      <c r="K24" s="35">
        <f>E24*J24</f>
        <v/>
      </c>
      <c r="L24" s="35">
        <f>K24*H24</f>
        <v/>
      </c>
      <c r="M24" s="35">
        <f>PARAMETROS!$B$18</f>
        <v/>
      </c>
      <c r="N24" s="52">
        <f>IF(E24&gt;0,2*(F24+PARAMETROS!$B$8-2*PARAMETROS!$B$16)+(PARAMETROS!$B$5-2*PARAMETROS!$B$16)+0.2,0)</f>
        <v/>
      </c>
      <c r="O24" s="35">
        <f>IF(E24&gt;0,E24/M24,0)</f>
        <v/>
      </c>
      <c r="P24" s="35">
        <f>N24*O24</f>
        <v/>
      </c>
      <c r="Q24" s="35">
        <f>P24*H24</f>
        <v/>
      </c>
      <c r="R24" s="35" t="n">
        <v>0</v>
      </c>
      <c r="S24" s="35">
        <f>PARAMETROS!$B$19</f>
        <v/>
      </c>
      <c r="T24" s="52">
        <f>IF(R24&gt;0,PARAMETROS!$B$5-2*PARAMETROS!$B$16+0.2,0)</f>
        <v/>
      </c>
      <c r="U24" s="42">
        <f>IF(R24&gt;0,3,0)</f>
        <v/>
      </c>
      <c r="V24" s="35">
        <f>IF(AND(E24&gt;0,R24&gt;0),((R24/S24)*T24+U24*R24)*H24,0)</f>
        <v/>
      </c>
      <c r="W24" s="32">
        <f>L24+Q24+V24</f>
        <v/>
      </c>
    </row>
    <row r="25">
      <c r="A25" s="42" t="n">
        <v>15</v>
      </c>
      <c r="B25" s="25" t="inlineStr">
        <is>
          <t>EJE-15</t>
        </is>
      </c>
      <c r="C25" s="25" t="inlineStr">
        <is>
          <t>ABIERTA</t>
        </is>
      </c>
      <c r="D25" s="35" t="n">
        <v>41.47</v>
      </c>
      <c r="E25" s="35" t="n">
        <v>0</v>
      </c>
      <c r="F25" s="52" t="n">
        <v>0</v>
      </c>
      <c r="G25" s="25" t="inlineStr">
        <is>
          <t>3/8"</t>
        </is>
      </c>
      <c r="H25" s="52">
        <f>IFERROR(VLOOKUP(G25,Listas!$A$4:$B$11,2,FALSE),0)</f>
        <v/>
      </c>
      <c r="I25" s="35">
        <f>PARAMETROS!$B$19</f>
        <v/>
      </c>
      <c r="J25" s="42">
        <f>IF(E25&gt;0,2*(CEILING(ROUND(F25/I25,6),1)+1)+(CEILING(ROUND((PARAMETROS!$B$5-2*PARAMETROS!$B$16)/I25,6),1)+1),0)</f>
        <v/>
      </c>
      <c r="K25" s="35">
        <f>E25*J25</f>
        <v/>
      </c>
      <c r="L25" s="35">
        <f>K25*H25</f>
        <v/>
      </c>
      <c r="M25" s="35">
        <f>PARAMETROS!$B$18</f>
        <v/>
      </c>
      <c r="N25" s="52">
        <f>IF(E25&gt;0,2*(F25+PARAMETROS!$B$8-2*PARAMETROS!$B$16)+(PARAMETROS!$B$5-2*PARAMETROS!$B$16)+0.2,0)</f>
        <v/>
      </c>
      <c r="O25" s="35">
        <f>IF(E25&gt;0,E25/M25,0)</f>
        <v/>
      </c>
      <c r="P25" s="35">
        <f>N25*O25</f>
        <v/>
      </c>
      <c r="Q25" s="35">
        <f>P25*H25</f>
        <v/>
      </c>
      <c r="R25" s="35" t="n">
        <v>0</v>
      </c>
      <c r="S25" s="35">
        <f>PARAMETROS!$B$19</f>
        <v/>
      </c>
      <c r="T25" s="52">
        <f>IF(R25&gt;0,PARAMETROS!$B$5-2*PARAMETROS!$B$16+0.2,0)</f>
        <v/>
      </c>
      <c r="U25" s="42">
        <f>IF(R25&gt;0,3,0)</f>
        <v/>
      </c>
      <c r="V25" s="35">
        <f>IF(AND(E25&gt;0,R25&gt;0),((R25/S25)*T25+U25*R25)*H25,0)</f>
        <v/>
      </c>
      <c r="W25" s="32">
        <f>L25+Q25+V25</f>
        <v/>
      </c>
    </row>
    <row r="26">
      <c r="A26" s="42" t="n">
        <v>16</v>
      </c>
      <c r="B26" s="25" t="inlineStr">
        <is>
          <t>EJE-16</t>
        </is>
      </c>
      <c r="C26" s="25" t="inlineStr">
        <is>
          <t>ABIERTA</t>
        </is>
      </c>
      <c r="D26" s="35" t="n">
        <v>49.55</v>
      </c>
      <c r="E26" s="35" t="n">
        <v>15.87</v>
      </c>
      <c r="F26" s="52" t="n">
        <v>0.436</v>
      </c>
      <c r="G26" s="25" t="inlineStr">
        <is>
          <t>3/8"</t>
        </is>
      </c>
      <c r="H26" s="52">
        <f>IFERROR(VLOOKUP(G26,Listas!$A$4:$B$11,2,FALSE),0)</f>
        <v/>
      </c>
      <c r="I26" s="35">
        <f>PARAMETROS!$B$19</f>
        <v/>
      </c>
      <c r="J26" s="42">
        <f>IF(E26&gt;0,2*(CEILING(ROUND(F26/I26,6),1)+1)+(CEILING(ROUND((PARAMETROS!$B$5-2*PARAMETROS!$B$16)/I26,6),1)+1),0)</f>
        <v/>
      </c>
      <c r="K26" s="35">
        <f>E26*J26</f>
        <v/>
      </c>
      <c r="L26" s="35">
        <f>K26*H26</f>
        <v/>
      </c>
      <c r="M26" s="35">
        <f>PARAMETROS!$B$18</f>
        <v/>
      </c>
      <c r="N26" s="52">
        <f>IF(E26&gt;0,2*(F26+PARAMETROS!$B$8-2*PARAMETROS!$B$16)+(PARAMETROS!$B$5-2*PARAMETROS!$B$16)+0.2,0)</f>
        <v/>
      </c>
      <c r="O26" s="35">
        <f>IF(E26&gt;0,E26/M26,0)</f>
        <v/>
      </c>
      <c r="P26" s="35">
        <f>N26*O26</f>
        <v/>
      </c>
      <c r="Q26" s="35">
        <f>P26*H26</f>
        <v/>
      </c>
      <c r="R26" s="35" t="n">
        <v>0</v>
      </c>
      <c r="S26" s="35">
        <f>PARAMETROS!$B$19</f>
        <v/>
      </c>
      <c r="T26" s="52">
        <f>IF(R26&gt;0,PARAMETROS!$B$5-2*PARAMETROS!$B$16+0.2,0)</f>
        <v/>
      </c>
      <c r="U26" s="42">
        <f>IF(R26&gt;0,3,0)</f>
        <v/>
      </c>
      <c r="V26" s="35">
        <f>IF(AND(E26&gt;0,R26&gt;0),((R26/S26)*T26+U26*R26)*H26,0)</f>
        <v/>
      </c>
      <c r="W26" s="32">
        <f>L26+Q26+V26</f>
        <v/>
      </c>
    </row>
    <row r="27">
      <c r="A27" s="42" t="n">
        <v>17</v>
      </c>
      <c r="B27" s="25" t="inlineStr">
        <is>
          <t>EJE-17</t>
        </is>
      </c>
      <c r="C27" s="25" t="inlineStr">
        <is>
          <t>MIXTA</t>
        </is>
      </c>
      <c r="D27" s="35" t="n">
        <v>39.98</v>
      </c>
      <c r="E27" s="35" t="n">
        <v>25.07</v>
      </c>
      <c r="F27" s="52" t="n">
        <v>0.438</v>
      </c>
      <c r="G27" s="25" t="inlineStr">
        <is>
          <t>3/8"</t>
        </is>
      </c>
      <c r="H27" s="52">
        <f>IFERROR(VLOOKUP(G27,Listas!$A$4:$B$11,2,FALSE),0)</f>
        <v/>
      </c>
      <c r="I27" s="35">
        <f>PARAMETROS!$B$19</f>
        <v/>
      </c>
      <c r="J27" s="42">
        <f>IF(E27&gt;0,2*(CEILING(ROUND(F27/I27,6),1)+1)+(CEILING(ROUND((PARAMETROS!$B$5-2*PARAMETROS!$B$16)/I27,6),1)+1),0)</f>
        <v/>
      </c>
      <c r="K27" s="35">
        <f>E27*J27</f>
        <v/>
      </c>
      <c r="L27" s="35">
        <f>K27*H27</f>
        <v/>
      </c>
      <c r="M27" s="35">
        <f>PARAMETROS!$B$18</f>
        <v/>
      </c>
      <c r="N27" s="52">
        <f>IF(E27&gt;0,2*(F27+PARAMETROS!$B$8-2*PARAMETROS!$B$16)+(PARAMETROS!$B$5-2*PARAMETROS!$B$16)+0.2,0)</f>
        <v/>
      </c>
      <c r="O27" s="35">
        <f>IF(E27&gt;0,E27/M27,0)</f>
        <v/>
      </c>
      <c r="P27" s="35">
        <f>N27*O27</f>
        <v/>
      </c>
      <c r="Q27" s="35">
        <f>P27*H27</f>
        <v/>
      </c>
      <c r="R27" s="35" t="n">
        <v>4.58</v>
      </c>
      <c r="S27" s="35">
        <f>PARAMETROS!$B$19</f>
        <v/>
      </c>
      <c r="T27" s="52">
        <f>IF(R27&gt;0,PARAMETROS!$B$5-2*PARAMETROS!$B$16+0.2,0)</f>
        <v/>
      </c>
      <c r="U27" s="42">
        <f>IF(R27&gt;0,3,0)</f>
        <v/>
      </c>
      <c r="V27" s="35">
        <f>IF(AND(E27&gt;0,R27&gt;0),((R27/S27)*T27+U27*R27)*H27,0)</f>
        <v/>
      </c>
      <c r="W27" s="32">
        <f>L27+Q27+V27</f>
        <v/>
      </c>
    </row>
    <row r="28">
      <c r="A28" s="42" t="n">
        <v>18</v>
      </c>
      <c r="B28" s="25" t="inlineStr">
        <is>
          <t>EJE-18</t>
        </is>
      </c>
      <c r="C28" s="25" t="inlineStr">
        <is>
          <t>ABIERTA</t>
        </is>
      </c>
      <c r="D28" s="35" t="n">
        <v>38.68</v>
      </c>
      <c r="E28" s="35" t="n">
        <v>18.75</v>
      </c>
      <c r="F28" s="52" t="n">
        <v>0.446</v>
      </c>
      <c r="G28" s="25" t="inlineStr">
        <is>
          <t>3/8"</t>
        </is>
      </c>
      <c r="H28" s="52">
        <f>IFERROR(VLOOKUP(G28,Listas!$A$4:$B$11,2,FALSE),0)</f>
        <v/>
      </c>
      <c r="I28" s="35">
        <f>PARAMETROS!$B$19</f>
        <v/>
      </c>
      <c r="J28" s="42">
        <f>IF(E28&gt;0,2*(CEILING(ROUND(F28/I28,6),1)+1)+(CEILING(ROUND((PARAMETROS!$B$5-2*PARAMETROS!$B$16)/I28,6),1)+1),0)</f>
        <v/>
      </c>
      <c r="K28" s="35">
        <f>E28*J28</f>
        <v/>
      </c>
      <c r="L28" s="35">
        <f>K28*H28</f>
        <v/>
      </c>
      <c r="M28" s="35">
        <f>PARAMETROS!$B$18</f>
        <v/>
      </c>
      <c r="N28" s="52">
        <f>IF(E28&gt;0,2*(F28+PARAMETROS!$B$8-2*PARAMETROS!$B$16)+(PARAMETROS!$B$5-2*PARAMETROS!$B$16)+0.2,0)</f>
        <v/>
      </c>
      <c r="O28" s="35">
        <f>IF(E28&gt;0,E28/M28,0)</f>
        <v/>
      </c>
      <c r="P28" s="35">
        <f>N28*O28</f>
        <v/>
      </c>
      <c r="Q28" s="35">
        <f>P28*H28</f>
        <v/>
      </c>
      <c r="R28" s="35" t="n">
        <v>0</v>
      </c>
      <c r="S28" s="35">
        <f>PARAMETROS!$B$19</f>
        <v/>
      </c>
      <c r="T28" s="52">
        <f>IF(R28&gt;0,PARAMETROS!$B$5-2*PARAMETROS!$B$16+0.2,0)</f>
        <v/>
      </c>
      <c r="U28" s="42">
        <f>IF(R28&gt;0,3,0)</f>
        <v/>
      </c>
      <c r="V28" s="35">
        <f>IF(AND(E28&gt;0,R28&gt;0),((R28/S28)*T28+U28*R28)*H28,0)</f>
        <v/>
      </c>
      <c r="W28" s="32">
        <f>L28+Q28+V28</f>
        <v/>
      </c>
    </row>
    <row r="29">
      <c r="A29" s="42" t="n">
        <v>19</v>
      </c>
      <c r="B29" s="25" t="inlineStr">
        <is>
          <t>EJE-19</t>
        </is>
      </c>
      <c r="C29" s="25" t="inlineStr">
        <is>
          <t>ABIERTA</t>
        </is>
      </c>
      <c r="D29" s="35" t="n">
        <v>14.09</v>
      </c>
      <c r="E29" s="35" t="n">
        <v>0</v>
      </c>
      <c r="F29" s="52" t="n">
        <v>0</v>
      </c>
      <c r="G29" s="25" t="inlineStr">
        <is>
          <t>3/8"</t>
        </is>
      </c>
      <c r="H29" s="52">
        <f>IFERROR(VLOOKUP(G29,Listas!$A$4:$B$11,2,FALSE),0)</f>
        <v/>
      </c>
      <c r="I29" s="35">
        <f>PARAMETROS!$B$19</f>
        <v/>
      </c>
      <c r="J29" s="42">
        <f>IF(E29&gt;0,2*(CEILING(ROUND(F29/I29,6),1)+1)+(CEILING(ROUND((PARAMETROS!$B$5-2*PARAMETROS!$B$16)/I29,6),1)+1),0)</f>
        <v/>
      </c>
      <c r="K29" s="35">
        <f>E29*J29</f>
        <v/>
      </c>
      <c r="L29" s="35">
        <f>K29*H29</f>
        <v/>
      </c>
      <c r="M29" s="35">
        <f>PARAMETROS!$B$18</f>
        <v/>
      </c>
      <c r="N29" s="52">
        <f>IF(E29&gt;0,2*(F29+PARAMETROS!$B$8-2*PARAMETROS!$B$16)+(PARAMETROS!$B$5-2*PARAMETROS!$B$16)+0.2,0)</f>
        <v/>
      </c>
      <c r="O29" s="35">
        <f>IF(E29&gt;0,E29/M29,0)</f>
        <v/>
      </c>
      <c r="P29" s="35">
        <f>N29*O29</f>
        <v/>
      </c>
      <c r="Q29" s="35">
        <f>P29*H29</f>
        <v/>
      </c>
      <c r="R29" s="35" t="n">
        <v>0</v>
      </c>
      <c r="S29" s="35">
        <f>PARAMETROS!$B$19</f>
        <v/>
      </c>
      <c r="T29" s="52">
        <f>IF(R29&gt;0,PARAMETROS!$B$5-2*PARAMETROS!$B$16+0.2,0)</f>
        <v/>
      </c>
      <c r="U29" s="42">
        <f>IF(R29&gt;0,3,0)</f>
        <v/>
      </c>
      <c r="V29" s="35">
        <f>IF(AND(E29&gt;0,R29&gt;0),((R29/S29)*T29+U29*R29)*H29,0)</f>
        <v/>
      </c>
      <c r="W29" s="32">
        <f>L29+Q29+V29</f>
        <v/>
      </c>
    </row>
    <row r="30">
      <c r="A30" s="15" t="inlineStr">
        <is>
          <t>TOTAL</t>
        </is>
      </c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8" t="n"/>
      <c r="W30" s="32">
        <f>SUM(W11:W29)</f>
        <v/>
      </c>
    </row>
    <row r="32" ht="30" customHeight="1">
      <c r="A32" s="44" t="inlineStr">
        <is>
          <t>Acero solo donde h &gt;= 0.40 m (de la rejilla al fondo) o en tramo tapado; con h &lt; 0.40 m la cuneta abierta es de concreto simple. U de 3/8" @0.25 m con ganchos de 0.10 m; longitudinales de 3/8" @0.20 m en muros y losa de fondo; losa tapa: 3/8" @0.20 m transversal y 3 barras longitudinales.</t>
        </is>
      </c>
    </row>
  </sheetData>
  <mergeCells count="15">
    <mergeCell ref="A4:B4"/>
    <mergeCell ref="C4:W4"/>
    <mergeCell ref="A2:B2"/>
    <mergeCell ref="A1:W1"/>
    <mergeCell ref="C2:W2"/>
    <mergeCell ref="A9:F9"/>
    <mergeCell ref="A5:B5"/>
    <mergeCell ref="G9:L9"/>
    <mergeCell ref="C5:W5"/>
    <mergeCell ref="M9:Q9"/>
    <mergeCell ref="A30:V30"/>
    <mergeCell ref="A3:B3"/>
    <mergeCell ref="R9:V9"/>
    <mergeCell ref="C3:W3"/>
    <mergeCell ref="A32:W32"/>
  </mergeCells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3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34" customWidth="1" min="2" max="2"/>
    <col width="7" customWidth="1" min="3" max="3"/>
    <col width="12" customWidth="1" min="4" max="4"/>
    <col width="10" customWidth="1" min="5" max="5"/>
    <col width="14" customWidth="1" min="6" max="6"/>
    <col width="10" customWidth="1" min="7" max="7"/>
    <col width="14" customWidth="1" min="8" max="8"/>
    <col width="3" customWidth="1" min="9" max="9"/>
    <col width="12" customWidth="1" min="10" max="10"/>
  </cols>
  <sheetData>
    <row r="1">
      <c r="A1" s="14" t="inlineStr">
        <is>
          <t>PLANILLA DE METRADOS - JUNTA DE DILATACIÓN E=1" CON SELLADOR ASFALTICO</t>
        </is>
      </c>
    </row>
    <row r="2">
      <c r="A2" s="27" t="inlineStr">
        <is>
          <t>ENTIDAD</t>
        </is>
      </c>
      <c r="B2" s="16">
        <f>+RESUMEN!B4</f>
        <v/>
      </c>
      <c r="C2" s="17" t="n"/>
      <c r="D2" s="17" t="n"/>
      <c r="E2" s="17" t="n"/>
      <c r="F2" s="17" t="n"/>
      <c r="G2" s="17" t="n"/>
      <c r="H2" s="17" t="n"/>
      <c r="I2" s="17" t="n"/>
      <c r="J2" s="18" t="n"/>
    </row>
    <row r="3" ht="33" customHeight="1">
      <c r="A3" s="27" t="inlineStr">
        <is>
          <t>PROYECTO</t>
        </is>
      </c>
      <c r="B3" s="16">
        <f>+RESUMEN!B5</f>
        <v/>
      </c>
      <c r="C3" s="17" t="n"/>
      <c r="D3" s="17" t="n"/>
      <c r="E3" s="17" t="n"/>
      <c r="F3" s="17" t="n"/>
      <c r="G3" s="17" t="n"/>
      <c r="H3" s="17" t="n"/>
      <c r="I3" s="17" t="n"/>
      <c r="J3" s="18" t="n"/>
    </row>
    <row r="4">
      <c r="A4" s="27" t="inlineStr">
        <is>
          <t>UBICACIÓN</t>
        </is>
      </c>
      <c r="B4" s="16">
        <f>+RESUMEN!B6</f>
        <v/>
      </c>
      <c r="C4" s="17" t="n"/>
      <c r="D4" s="17" t="n"/>
      <c r="E4" s="17" t="n"/>
      <c r="F4" s="17" t="n"/>
      <c r="G4" s="17" t="n"/>
      <c r="H4" s="17" t="n"/>
      <c r="I4" s="17" t="n"/>
      <c r="J4" s="18" t="n"/>
    </row>
    <row r="5">
      <c r="A5" s="27" t="inlineStr">
        <is>
          <t>FECHA</t>
        </is>
      </c>
      <c r="B5" s="16">
        <f>+RESUMEN!B7</f>
        <v/>
      </c>
      <c r="C5" s="17" t="n"/>
      <c r="D5" s="17" t="n"/>
      <c r="E5" s="17" t="n"/>
      <c r="F5" s="17" t="n"/>
      <c r="G5" s="17" t="n"/>
      <c r="H5" s="17" t="n"/>
      <c r="I5" s="17" t="n"/>
      <c r="J5" s="18" t="n"/>
    </row>
    <row r="7">
      <c r="A7" s="45" t="inlineStr">
        <is>
          <t>PARÁMETROS</t>
        </is>
      </c>
    </row>
    <row r="8">
      <c r="A8" s="34" t="inlineStr">
        <is>
          <t>Espaciamiento entre juntas (m)</t>
        </is>
      </c>
      <c r="B8" s="53">
        <f>PARAMETROS!$B$15</f>
        <v/>
      </c>
    </row>
    <row r="9">
      <c r="A9" s="34" t="inlineStr">
        <is>
          <t>Junta en toda la seccion en U: 2 muros + losa de fondo</t>
        </is>
      </c>
      <c r="B9" s="25" t="inlineStr">
        <is>
          <t>2 (h + ef) + be</t>
        </is>
      </c>
    </row>
    <row r="10">
      <c r="A10" s="34" t="inlineStr">
        <is>
          <t>Espesor de junta (referencial, no interviene en el calculo)</t>
        </is>
      </c>
      <c r="B10" s="25" t="inlineStr">
        <is>
          <t>1" = 0.0254 m</t>
        </is>
      </c>
    </row>
    <row r="12" ht="45" customHeight="1">
      <c r="A12" s="19" t="inlineStr">
        <is>
          <t>ITEM</t>
        </is>
      </c>
      <c r="B12" s="19" t="inlineStr">
        <is>
          <t>EJE / DESCRIPCIÓN</t>
        </is>
      </c>
      <c r="C12" s="19" t="inlineStr">
        <is>
          <t>UND.</t>
        </is>
      </c>
      <c r="D12" s="19" t="inlineStr">
        <is>
          <t>LONGITUD EJE (m)</t>
        </is>
      </c>
      <c r="E12" s="19" t="inlineStr">
        <is>
          <t>h PROM. (m)</t>
        </is>
      </c>
      <c r="F12" s="19" t="inlineStr">
        <is>
          <t>ESPACIAMIENTO (m)</t>
        </is>
      </c>
      <c r="G12" s="19" t="inlineStr">
        <is>
          <t>N° DE JUNTAS</t>
        </is>
      </c>
      <c r="H12" s="19" t="inlineStr">
        <is>
          <t>DESARROLLO DE LA U (m)</t>
        </is>
      </c>
      <c r="I12" s="19" t="inlineStr"/>
      <c r="J12" s="19" t="inlineStr">
        <is>
          <t>PARCIAL (ml)</t>
        </is>
      </c>
    </row>
    <row r="13">
      <c r="A13" s="33" t="inlineStr">
        <is>
          <t>01.04.02.03</t>
        </is>
      </c>
      <c r="B13" s="30" t="inlineStr">
        <is>
          <t>JUNTA DE DILATACION E=1" CON SELLADOR ASFALTO</t>
        </is>
      </c>
      <c r="C13" s="31" t="inlineStr">
        <is>
          <t>ml</t>
        </is>
      </c>
      <c r="D13" s="31" t="n"/>
      <c r="E13" s="31" t="n"/>
      <c r="F13" s="31" t="n"/>
      <c r="G13" s="31" t="n"/>
      <c r="H13" s="31" t="n"/>
      <c r="I13" s="31" t="n"/>
      <c r="J13" s="32">
        <f>SUM(J14:J32)</f>
        <v/>
      </c>
    </row>
    <row r="14">
      <c r="A14" s="42" t="n">
        <v>1</v>
      </c>
      <c r="B14" s="25" t="inlineStr">
        <is>
          <t>EJE-01</t>
        </is>
      </c>
      <c r="C14" s="25" t="inlineStr">
        <is>
          <t>ml</t>
        </is>
      </c>
      <c r="D14" s="35" t="n">
        <v>34.34</v>
      </c>
      <c r="E14" s="52" t="n">
        <v>0.386</v>
      </c>
      <c r="F14" s="35">
        <f>$B$8</f>
        <v/>
      </c>
      <c r="G14" s="42">
        <f>INT(ROUND(D14/F14,6))</f>
        <v/>
      </c>
      <c r="H14" s="52">
        <f>2*(E14+PARAMETROS!$B$8)+PARAMETROS!$B$5</f>
        <v/>
      </c>
      <c r="I14" s="25" t="n"/>
      <c r="J14" s="35">
        <f>G14*H14</f>
        <v/>
      </c>
    </row>
    <row r="15">
      <c r="A15" s="42" t="n">
        <v>2</v>
      </c>
      <c r="B15" s="25" t="inlineStr">
        <is>
          <t>EJE-02</t>
        </is>
      </c>
      <c r="C15" s="25" t="inlineStr">
        <is>
          <t>ml</t>
        </is>
      </c>
      <c r="D15" s="35" t="n">
        <v>76.04000000000001</v>
      </c>
      <c r="E15" s="52" t="n">
        <v>0.5679999999999999</v>
      </c>
      <c r="F15" s="35">
        <f>$B$8</f>
        <v/>
      </c>
      <c r="G15" s="42">
        <f>INT(ROUND(D15/F15,6))</f>
        <v/>
      </c>
      <c r="H15" s="52">
        <f>2*(E15+PARAMETROS!$B$8)+PARAMETROS!$B$5</f>
        <v/>
      </c>
      <c r="I15" s="25" t="n"/>
      <c r="J15" s="35">
        <f>G15*H15</f>
        <v/>
      </c>
    </row>
    <row r="16">
      <c r="A16" s="42" t="n">
        <v>3</v>
      </c>
      <c r="B16" s="25" t="inlineStr">
        <is>
          <t>EJE-03</t>
        </is>
      </c>
      <c r="C16" s="25" t="inlineStr">
        <is>
          <t>ml</t>
        </is>
      </c>
      <c r="D16" s="35" t="n">
        <v>32.31</v>
      </c>
      <c r="E16" s="52" t="n">
        <v>0.381</v>
      </c>
      <c r="F16" s="35">
        <f>$B$8</f>
        <v/>
      </c>
      <c r="G16" s="42">
        <f>INT(ROUND(D16/F16,6))</f>
        <v/>
      </c>
      <c r="H16" s="52">
        <f>2*(E16+PARAMETROS!$B$8)+PARAMETROS!$B$5</f>
        <v/>
      </c>
      <c r="I16" s="25" t="n"/>
      <c r="J16" s="35">
        <f>G16*H16</f>
        <v/>
      </c>
    </row>
    <row r="17">
      <c r="A17" s="42" t="n">
        <v>4</v>
      </c>
      <c r="B17" s="25" t="inlineStr">
        <is>
          <t>EJE-04</t>
        </is>
      </c>
      <c r="C17" s="25" t="inlineStr">
        <is>
          <t>ml</t>
        </is>
      </c>
      <c r="D17" s="35" t="n">
        <v>94.34</v>
      </c>
      <c r="E17" s="52" t="n">
        <v>0.536</v>
      </c>
      <c r="F17" s="35">
        <f>$B$8</f>
        <v/>
      </c>
      <c r="G17" s="42">
        <f>INT(ROUND(D17/F17,6))</f>
        <v/>
      </c>
      <c r="H17" s="52">
        <f>2*(E17+PARAMETROS!$B$8)+PARAMETROS!$B$5</f>
        <v/>
      </c>
      <c r="I17" s="25" t="n"/>
      <c r="J17" s="35">
        <f>G17*H17</f>
        <v/>
      </c>
    </row>
    <row r="18">
      <c r="A18" s="42" t="n">
        <v>5</v>
      </c>
      <c r="B18" s="25" t="inlineStr">
        <is>
          <t>EJE-05</t>
        </is>
      </c>
      <c r="C18" s="25" t="inlineStr">
        <is>
          <t>ml</t>
        </is>
      </c>
      <c r="D18" s="35" t="n">
        <v>90.56</v>
      </c>
      <c r="E18" s="52" t="n">
        <v>0.526</v>
      </c>
      <c r="F18" s="35">
        <f>$B$8</f>
        <v/>
      </c>
      <c r="G18" s="42">
        <f>INT(ROUND(D18/F18,6))</f>
        <v/>
      </c>
      <c r="H18" s="52">
        <f>2*(E18+PARAMETROS!$B$8)+PARAMETROS!$B$5</f>
        <v/>
      </c>
      <c r="I18" s="25" t="n"/>
      <c r="J18" s="35">
        <f>G18*H18</f>
        <v/>
      </c>
    </row>
    <row r="19">
      <c r="A19" s="42" t="n">
        <v>6</v>
      </c>
      <c r="B19" s="25" t="inlineStr">
        <is>
          <t>EJE-06</t>
        </is>
      </c>
      <c r="C19" s="25" t="inlineStr">
        <is>
          <t>ml</t>
        </is>
      </c>
      <c r="D19" s="35" t="n">
        <v>12.3</v>
      </c>
      <c r="E19" s="52" t="n">
        <v>0.331</v>
      </c>
      <c r="F19" s="35">
        <f>$B$8</f>
        <v/>
      </c>
      <c r="G19" s="42">
        <f>INT(ROUND(D19/F19,6))</f>
        <v/>
      </c>
      <c r="H19" s="52">
        <f>2*(E19+PARAMETROS!$B$8)+PARAMETROS!$B$5</f>
        <v/>
      </c>
      <c r="I19" s="25" t="n"/>
      <c r="J19" s="35">
        <f>G19*H19</f>
        <v/>
      </c>
    </row>
    <row r="20">
      <c r="A20" s="42" t="n">
        <v>7</v>
      </c>
      <c r="B20" s="25" t="inlineStr">
        <is>
          <t>EJE-07</t>
        </is>
      </c>
      <c r="C20" s="25" t="inlineStr">
        <is>
          <t>ml</t>
        </is>
      </c>
      <c r="D20" s="35" t="n">
        <v>94.69</v>
      </c>
      <c r="E20" s="52" t="n">
        <v>0.669</v>
      </c>
      <c r="F20" s="35">
        <f>$B$8</f>
        <v/>
      </c>
      <c r="G20" s="42">
        <f>INT(ROUND(D20/F20,6))</f>
        <v/>
      </c>
      <c r="H20" s="52">
        <f>2*(E20+PARAMETROS!$B$8)+PARAMETROS!$B$5</f>
        <v/>
      </c>
      <c r="I20" s="25" t="n"/>
      <c r="J20" s="35">
        <f>G20*H20</f>
        <v/>
      </c>
    </row>
    <row r="21">
      <c r="A21" s="42" t="n">
        <v>8</v>
      </c>
      <c r="B21" s="25" t="inlineStr">
        <is>
          <t>EJE-08</t>
        </is>
      </c>
      <c r="C21" s="25" t="inlineStr">
        <is>
          <t>ml</t>
        </is>
      </c>
      <c r="D21" s="35" t="n">
        <v>39.68</v>
      </c>
      <c r="E21" s="52" t="n">
        <v>0.399</v>
      </c>
      <c r="F21" s="35">
        <f>$B$8</f>
        <v/>
      </c>
      <c r="G21" s="42">
        <f>INT(ROUND(D21/F21,6))</f>
        <v/>
      </c>
      <c r="H21" s="52">
        <f>2*(E21+PARAMETROS!$B$8)+PARAMETROS!$B$5</f>
        <v/>
      </c>
      <c r="I21" s="25" t="n"/>
      <c r="J21" s="35">
        <f>G21*H21</f>
        <v/>
      </c>
    </row>
    <row r="22">
      <c r="A22" s="42" t="n">
        <v>9</v>
      </c>
      <c r="B22" s="25" t="inlineStr">
        <is>
          <t>EJE-09</t>
        </is>
      </c>
      <c r="C22" s="25" t="inlineStr">
        <is>
          <t>ml</t>
        </is>
      </c>
      <c r="D22" s="35" t="n">
        <v>35.8</v>
      </c>
      <c r="E22" s="52" t="n">
        <v>0.39</v>
      </c>
      <c r="F22" s="35">
        <f>$B$8</f>
        <v/>
      </c>
      <c r="G22" s="42">
        <f>INT(ROUND(D22/F22,6))</f>
        <v/>
      </c>
      <c r="H22" s="52">
        <f>2*(E22+PARAMETROS!$B$8)+PARAMETROS!$B$5</f>
        <v/>
      </c>
      <c r="I22" s="25" t="n"/>
      <c r="J22" s="35">
        <f>G22*H22</f>
        <v/>
      </c>
    </row>
    <row r="23">
      <c r="A23" s="42" t="n">
        <v>10</v>
      </c>
      <c r="B23" s="25" t="inlineStr">
        <is>
          <t>EJE-10</t>
        </is>
      </c>
      <c r="C23" s="25" t="inlineStr">
        <is>
          <t>ml</t>
        </is>
      </c>
      <c r="D23" s="35" t="n">
        <v>36.9</v>
      </c>
      <c r="E23" s="52" t="n">
        <v>0.392</v>
      </c>
      <c r="F23" s="35">
        <f>$B$8</f>
        <v/>
      </c>
      <c r="G23" s="42">
        <f>INT(ROUND(D23/F23,6))</f>
        <v/>
      </c>
      <c r="H23" s="52">
        <f>2*(E23+PARAMETROS!$B$8)+PARAMETROS!$B$5</f>
        <v/>
      </c>
      <c r="I23" s="25" t="n"/>
      <c r="J23" s="35">
        <f>G23*H23</f>
        <v/>
      </c>
    </row>
    <row r="24">
      <c r="A24" s="42" t="n">
        <v>11</v>
      </c>
      <c r="B24" s="25" t="inlineStr">
        <is>
          <t>EJE-11</t>
        </is>
      </c>
      <c r="C24" s="25" t="inlineStr">
        <is>
          <t>ml</t>
        </is>
      </c>
      <c r="D24" s="35" t="n">
        <v>30.36</v>
      </c>
      <c r="E24" s="52" t="n">
        <v>0.376</v>
      </c>
      <c r="F24" s="35">
        <f>$B$8</f>
        <v/>
      </c>
      <c r="G24" s="42">
        <f>INT(ROUND(D24/F24,6))</f>
        <v/>
      </c>
      <c r="H24" s="52">
        <f>2*(E24+PARAMETROS!$B$8)+PARAMETROS!$B$5</f>
        <v/>
      </c>
      <c r="I24" s="25" t="n"/>
      <c r="J24" s="35">
        <f>G24*H24</f>
        <v/>
      </c>
    </row>
    <row r="25">
      <c r="A25" s="42" t="n">
        <v>12</v>
      </c>
      <c r="B25" s="25" t="inlineStr">
        <is>
          <t>EJE-12</t>
        </is>
      </c>
      <c r="C25" s="25" t="inlineStr">
        <is>
          <t>ml</t>
        </is>
      </c>
      <c r="D25" s="35" t="n">
        <v>118.38</v>
      </c>
      <c r="E25" s="52" t="n">
        <v>0.539</v>
      </c>
      <c r="F25" s="35">
        <f>$B$8</f>
        <v/>
      </c>
      <c r="G25" s="42">
        <f>INT(ROUND(D25/F25,6))</f>
        <v/>
      </c>
      <c r="H25" s="52">
        <f>2*(E25+PARAMETROS!$B$8)+PARAMETROS!$B$5</f>
        <v/>
      </c>
      <c r="I25" s="25" t="n"/>
      <c r="J25" s="35">
        <f>G25*H25</f>
        <v/>
      </c>
    </row>
    <row r="26">
      <c r="A26" s="42" t="n">
        <v>13</v>
      </c>
      <c r="B26" s="25" t="inlineStr">
        <is>
          <t>EJE-13</t>
        </is>
      </c>
      <c r="C26" s="25" t="inlineStr">
        <is>
          <t>ml</t>
        </is>
      </c>
      <c r="D26" s="35" t="n">
        <v>24.38</v>
      </c>
      <c r="E26" s="52" t="n">
        <v>0.361</v>
      </c>
      <c r="F26" s="35">
        <f>$B$8</f>
        <v/>
      </c>
      <c r="G26" s="42">
        <f>INT(ROUND(D26/F26,6))</f>
        <v/>
      </c>
      <c r="H26" s="52">
        <f>2*(E26+PARAMETROS!$B$8)+PARAMETROS!$B$5</f>
        <v/>
      </c>
      <c r="I26" s="25" t="n"/>
      <c r="J26" s="35">
        <f>G26*H26</f>
        <v/>
      </c>
    </row>
    <row r="27">
      <c r="A27" s="42" t="n">
        <v>14</v>
      </c>
      <c r="B27" s="25" t="inlineStr">
        <is>
          <t>EJE-14</t>
        </is>
      </c>
      <c r="C27" s="25" t="inlineStr">
        <is>
          <t>ml</t>
        </is>
      </c>
      <c r="D27" s="35" t="n">
        <v>64.93000000000001</v>
      </c>
      <c r="E27" s="52" t="n">
        <v>0.385</v>
      </c>
      <c r="F27" s="35">
        <f>$B$8</f>
        <v/>
      </c>
      <c r="G27" s="42">
        <f>INT(ROUND(D27/F27,6))</f>
        <v/>
      </c>
      <c r="H27" s="52">
        <f>2*(E27+PARAMETROS!$B$8)+PARAMETROS!$B$5</f>
        <v/>
      </c>
      <c r="I27" s="25" t="n"/>
      <c r="J27" s="35">
        <f>G27*H27</f>
        <v/>
      </c>
    </row>
    <row r="28">
      <c r="A28" s="42" t="n">
        <v>15</v>
      </c>
      <c r="B28" s="25" t="inlineStr">
        <is>
          <t>EJE-15</t>
        </is>
      </c>
      <c r="C28" s="25" t="inlineStr">
        <is>
          <t>ml</t>
        </is>
      </c>
      <c r="D28" s="35" t="n">
        <v>41.47</v>
      </c>
      <c r="E28" s="52" t="n">
        <v>0.323</v>
      </c>
      <c r="F28" s="35">
        <f>$B$8</f>
        <v/>
      </c>
      <c r="G28" s="42">
        <f>INT(ROUND(D28/F28,6))</f>
        <v/>
      </c>
      <c r="H28" s="52">
        <f>2*(E28+PARAMETROS!$B$8)+PARAMETROS!$B$5</f>
        <v/>
      </c>
      <c r="I28" s="25" t="n"/>
      <c r="J28" s="35">
        <f>G28*H28</f>
        <v/>
      </c>
    </row>
    <row r="29">
      <c r="A29" s="42" t="n">
        <v>16</v>
      </c>
      <c r="B29" s="25" t="inlineStr">
        <is>
          <t>EJE-16</t>
        </is>
      </c>
      <c r="C29" s="25" t="inlineStr">
        <is>
          <t>ml</t>
        </is>
      </c>
      <c r="D29" s="35" t="n">
        <v>49.55</v>
      </c>
      <c r="E29" s="52" t="n">
        <v>0.381</v>
      </c>
      <c r="F29" s="35">
        <f>$B$8</f>
        <v/>
      </c>
      <c r="G29" s="42">
        <f>INT(ROUND(D29/F29,6))</f>
        <v/>
      </c>
      <c r="H29" s="52">
        <f>2*(E29+PARAMETROS!$B$8)+PARAMETROS!$B$5</f>
        <v/>
      </c>
      <c r="I29" s="25" t="n"/>
      <c r="J29" s="35">
        <f>G29*H29</f>
        <v/>
      </c>
    </row>
    <row r="30">
      <c r="A30" s="42" t="n">
        <v>17</v>
      </c>
      <c r="B30" s="25" t="inlineStr">
        <is>
          <t>EJE-17</t>
        </is>
      </c>
      <c r="C30" s="25" t="inlineStr">
        <is>
          <t>ml</t>
        </is>
      </c>
      <c r="D30" s="35" t="n">
        <v>39.98</v>
      </c>
      <c r="E30" s="52" t="n">
        <v>0.404</v>
      </c>
      <c r="F30" s="35">
        <f>$B$8</f>
        <v/>
      </c>
      <c r="G30" s="42">
        <f>INT(ROUND(D30/F30,6))</f>
        <v/>
      </c>
      <c r="H30" s="52">
        <f>2*(E30+PARAMETROS!$B$8)+PARAMETROS!$B$5</f>
        <v/>
      </c>
      <c r="I30" s="25" t="n"/>
      <c r="J30" s="35">
        <f>G30*H30</f>
        <v/>
      </c>
    </row>
    <row r="31">
      <c r="A31" s="42" t="n">
        <v>18</v>
      </c>
      <c r="B31" s="25" t="inlineStr">
        <is>
          <t>EJE-18</t>
        </is>
      </c>
      <c r="C31" s="25" t="inlineStr">
        <is>
          <t>ml</t>
        </is>
      </c>
      <c r="D31" s="35" t="n">
        <v>38.68</v>
      </c>
      <c r="E31" s="52" t="n">
        <v>0.397</v>
      </c>
      <c r="F31" s="35">
        <f>$B$8</f>
        <v/>
      </c>
      <c r="G31" s="42">
        <f>INT(ROUND(D31/F31,6))</f>
        <v/>
      </c>
      <c r="H31" s="52">
        <f>2*(E31+PARAMETROS!$B$8)+PARAMETROS!$B$5</f>
        <v/>
      </c>
      <c r="I31" s="25" t="n"/>
      <c r="J31" s="35">
        <f>G31*H31</f>
        <v/>
      </c>
    </row>
    <row r="32">
      <c r="A32" s="42" t="n">
        <v>19</v>
      </c>
      <c r="B32" s="25" t="inlineStr">
        <is>
          <t>EJE-19</t>
        </is>
      </c>
      <c r="C32" s="25" t="inlineStr">
        <is>
          <t>ml</t>
        </is>
      </c>
      <c r="D32" s="35" t="n">
        <v>14.09</v>
      </c>
      <c r="E32" s="52" t="n">
        <v>0.335</v>
      </c>
      <c r="F32" s="35">
        <f>$B$8</f>
        <v/>
      </c>
      <c r="G32" s="42">
        <f>INT(ROUND(D32/F32,6))</f>
        <v/>
      </c>
      <c r="H32" s="52">
        <f>2*(E32+PARAMETROS!$B$8)+PARAMETROS!$B$5</f>
        <v/>
      </c>
      <c r="I32" s="25" t="n"/>
      <c r="J32" s="35">
        <f>G32*H32</f>
        <v/>
      </c>
    </row>
    <row r="35">
      <c r="A35" s="33" t="inlineStr">
        <is>
          <t>01.04.02.04</t>
        </is>
      </c>
      <c r="B35" s="30" t="inlineStr">
        <is>
          <t>JUNTA E=1" CON SELLADOR ASFALTICO ENTRE CUNETA Y PISO ADYACENTE</t>
        </is>
      </c>
      <c r="C35" s="31" t="inlineStr">
        <is>
          <t>ml</t>
        </is>
      </c>
      <c r="D35" s="31" t="n"/>
      <c r="E35" s="31" t="n"/>
      <c r="F35" s="31" t="n"/>
      <c r="G35" s="31" t="n"/>
      <c r="H35" s="31" t="n"/>
      <c r="I35" s="31" t="n"/>
      <c r="J35" s="32">
        <f>SUM(J37:J51)</f>
        <v/>
      </c>
    </row>
    <row r="36" ht="32" customHeight="1">
      <c r="A36" s="19" t="inlineStr">
        <is>
          <t>ITEM</t>
        </is>
      </c>
      <c r="B36" s="19" t="inlineStr">
        <is>
          <t>EJE</t>
        </is>
      </c>
      <c r="C36" s="19" t="inlineStr">
        <is>
          <t>UND.</t>
        </is>
      </c>
      <c r="D36" s="19" t="inlineStr">
        <is>
          <t>LONGITUD EJE (m)</t>
        </is>
      </c>
      <c r="E36" s="19" t="inlineStr">
        <is>
          <t>BORDE JUNTO A PISO (m)</t>
        </is>
      </c>
      <c r="F36" s="19" t="inlineStr"/>
      <c r="G36" s="19" t="inlineStr"/>
      <c r="H36" s="19" t="inlineStr"/>
      <c r="I36" s="19" t="inlineStr"/>
      <c r="J36" s="19" t="inlineStr">
        <is>
          <t>PARCIAL (ml)</t>
        </is>
      </c>
    </row>
    <row r="37">
      <c r="A37" s="42" t="n">
        <v>1</v>
      </c>
      <c r="B37" s="25" t="inlineStr">
        <is>
          <t>EJE-04</t>
        </is>
      </c>
      <c r="C37" s="25" t="inlineStr">
        <is>
          <t>ml</t>
        </is>
      </c>
      <c r="D37" s="35" t="n">
        <v>94.34</v>
      </c>
      <c r="E37" s="35" t="n">
        <v>24</v>
      </c>
      <c r="F37" s="25" t="n"/>
      <c r="G37" s="25" t="n"/>
      <c r="H37" s="25" t="n"/>
      <c r="I37" s="25" t="n"/>
      <c r="J37" s="35">
        <f>E37</f>
        <v/>
      </c>
    </row>
    <row r="38">
      <c r="A38" s="42" t="n">
        <v>2</v>
      </c>
      <c r="B38" s="25" t="inlineStr">
        <is>
          <t>EJE-05</t>
        </is>
      </c>
      <c r="C38" s="25" t="inlineStr">
        <is>
          <t>ml</t>
        </is>
      </c>
      <c r="D38" s="35" t="n">
        <v>90.56</v>
      </c>
      <c r="E38" s="35" t="n">
        <v>22</v>
      </c>
      <c r="F38" s="25" t="n"/>
      <c r="G38" s="25" t="n"/>
      <c r="H38" s="25" t="n"/>
      <c r="I38" s="25" t="n"/>
      <c r="J38" s="35">
        <f>E38</f>
        <v/>
      </c>
    </row>
    <row r="39">
      <c r="A39" s="42" t="n">
        <v>3</v>
      </c>
      <c r="B39" s="25" t="inlineStr">
        <is>
          <t>EJE-06</t>
        </is>
      </c>
      <c r="C39" s="25" t="inlineStr">
        <is>
          <t>ml</t>
        </is>
      </c>
      <c r="D39" s="35" t="n">
        <v>12.3</v>
      </c>
      <c r="E39" s="35" t="n">
        <v>11</v>
      </c>
      <c r="F39" s="25" t="n"/>
      <c r="G39" s="25" t="n"/>
      <c r="H39" s="25" t="n"/>
      <c r="I39" s="25" t="n"/>
      <c r="J39" s="35">
        <f>E39</f>
        <v/>
      </c>
    </row>
    <row r="40">
      <c r="A40" s="42" t="n">
        <v>4</v>
      </c>
      <c r="B40" s="25" t="inlineStr">
        <is>
          <t>EJE-07</t>
        </is>
      </c>
      <c r="C40" s="25" t="inlineStr">
        <is>
          <t>ml</t>
        </is>
      </c>
      <c r="D40" s="35" t="n">
        <v>94.69</v>
      </c>
      <c r="E40" s="35" t="n">
        <v>105</v>
      </c>
      <c r="F40" s="25" t="n"/>
      <c r="G40" s="25" t="n"/>
      <c r="H40" s="25" t="n"/>
      <c r="I40" s="25" t="n"/>
      <c r="J40" s="35">
        <f>E40</f>
        <v/>
      </c>
    </row>
    <row r="41">
      <c r="A41" s="42" t="n">
        <v>5</v>
      </c>
      <c r="B41" s="25" t="inlineStr">
        <is>
          <t>EJE-08</t>
        </is>
      </c>
      <c r="C41" s="25" t="inlineStr">
        <is>
          <t>ml</t>
        </is>
      </c>
      <c r="D41" s="35" t="n">
        <v>39.68</v>
      </c>
      <c r="E41" s="35" t="n">
        <v>8</v>
      </c>
      <c r="F41" s="25" t="n"/>
      <c r="G41" s="25" t="n"/>
      <c r="H41" s="25" t="n"/>
      <c r="I41" s="25" t="n"/>
      <c r="J41" s="35">
        <f>E41</f>
        <v/>
      </c>
    </row>
    <row r="42">
      <c r="A42" s="42" t="n">
        <v>6</v>
      </c>
      <c r="B42" s="25" t="inlineStr">
        <is>
          <t>EJE-09</t>
        </is>
      </c>
      <c r="C42" s="25" t="inlineStr">
        <is>
          <t>ml</t>
        </is>
      </c>
      <c r="D42" s="35" t="n">
        <v>35.8</v>
      </c>
      <c r="E42" s="35" t="n">
        <v>39</v>
      </c>
      <c r="F42" s="25" t="n"/>
      <c r="G42" s="25" t="n"/>
      <c r="H42" s="25" t="n"/>
      <c r="I42" s="25" t="n"/>
      <c r="J42" s="35">
        <f>E42</f>
        <v/>
      </c>
    </row>
    <row r="43">
      <c r="A43" s="42" t="n">
        <v>7</v>
      </c>
      <c r="B43" s="25" t="inlineStr">
        <is>
          <t>EJE-10</t>
        </is>
      </c>
      <c r="C43" s="25" t="inlineStr">
        <is>
          <t>ml</t>
        </is>
      </c>
      <c r="D43" s="35" t="n">
        <v>36.9</v>
      </c>
      <c r="E43" s="35" t="n">
        <v>52.5</v>
      </c>
      <c r="F43" s="25" t="n"/>
      <c r="G43" s="25" t="n"/>
      <c r="H43" s="25" t="n"/>
      <c r="I43" s="25" t="n"/>
      <c r="J43" s="35">
        <f>E43</f>
        <v/>
      </c>
    </row>
    <row r="44">
      <c r="A44" s="42" t="n">
        <v>8</v>
      </c>
      <c r="B44" s="25" t="inlineStr">
        <is>
          <t>EJE-11</t>
        </is>
      </c>
      <c r="C44" s="25" t="inlineStr">
        <is>
          <t>ml</t>
        </is>
      </c>
      <c r="D44" s="35" t="n">
        <v>30.36</v>
      </c>
      <c r="E44" s="35" t="n">
        <v>31.5</v>
      </c>
      <c r="F44" s="25" t="n"/>
      <c r="G44" s="25" t="n"/>
      <c r="H44" s="25" t="n"/>
      <c r="I44" s="25" t="n"/>
      <c r="J44" s="35">
        <f>E44</f>
        <v/>
      </c>
    </row>
    <row r="45">
      <c r="A45" s="42" t="n">
        <v>9</v>
      </c>
      <c r="B45" s="25" t="inlineStr">
        <is>
          <t>EJE-12</t>
        </is>
      </c>
      <c r="C45" s="25" t="inlineStr">
        <is>
          <t>ml</t>
        </is>
      </c>
      <c r="D45" s="35" t="n">
        <v>118.38</v>
      </c>
      <c r="E45" s="35" t="n">
        <v>107.5</v>
      </c>
      <c r="F45" s="25" t="n"/>
      <c r="G45" s="25" t="n"/>
      <c r="H45" s="25" t="n"/>
      <c r="I45" s="25" t="n"/>
      <c r="J45" s="35">
        <f>E45</f>
        <v/>
      </c>
    </row>
    <row r="46">
      <c r="A46" s="42" t="n">
        <v>10</v>
      </c>
      <c r="B46" s="25" t="inlineStr">
        <is>
          <t>EJE-13</t>
        </is>
      </c>
      <c r="C46" s="25" t="inlineStr">
        <is>
          <t>ml</t>
        </is>
      </c>
      <c r="D46" s="35" t="n">
        <v>24.38</v>
      </c>
      <c r="E46" s="35" t="n">
        <v>48.76</v>
      </c>
      <c r="F46" s="25" t="n"/>
      <c r="G46" s="25" t="n"/>
      <c r="H46" s="25" t="n"/>
      <c r="I46" s="25" t="n"/>
      <c r="J46" s="35">
        <f>E46</f>
        <v/>
      </c>
    </row>
    <row r="47">
      <c r="A47" s="42" t="n">
        <v>11</v>
      </c>
      <c r="B47" s="25" t="inlineStr">
        <is>
          <t>EJE-14</t>
        </is>
      </c>
      <c r="C47" s="25" t="inlineStr">
        <is>
          <t>ml</t>
        </is>
      </c>
      <c r="D47" s="35" t="n">
        <v>64.93000000000001</v>
      </c>
      <c r="E47" s="35" t="n">
        <v>115</v>
      </c>
      <c r="F47" s="25" t="n"/>
      <c r="G47" s="25" t="n"/>
      <c r="H47" s="25" t="n"/>
      <c r="I47" s="25" t="n"/>
      <c r="J47" s="35">
        <f>E47</f>
        <v/>
      </c>
    </row>
    <row r="48">
      <c r="A48" s="42" t="n">
        <v>12</v>
      </c>
      <c r="B48" s="25" t="inlineStr">
        <is>
          <t>EJE-15</t>
        </is>
      </c>
      <c r="C48" s="25" t="inlineStr">
        <is>
          <t>ml</t>
        </is>
      </c>
      <c r="D48" s="35" t="n">
        <v>41.47</v>
      </c>
      <c r="E48" s="35" t="n">
        <v>78</v>
      </c>
      <c r="F48" s="25" t="n"/>
      <c r="G48" s="25" t="n"/>
      <c r="H48" s="25" t="n"/>
      <c r="I48" s="25" t="n"/>
      <c r="J48" s="35">
        <f>E48</f>
        <v/>
      </c>
    </row>
    <row r="49">
      <c r="A49" s="42" t="n">
        <v>13</v>
      </c>
      <c r="B49" s="25" t="inlineStr">
        <is>
          <t>EJE-16</t>
        </is>
      </c>
      <c r="C49" s="25" t="inlineStr">
        <is>
          <t>ml</t>
        </is>
      </c>
      <c r="D49" s="35" t="n">
        <v>49.55</v>
      </c>
      <c r="E49" s="35" t="n">
        <v>59.5</v>
      </c>
      <c r="F49" s="25" t="n"/>
      <c r="G49" s="25" t="n"/>
      <c r="H49" s="25" t="n"/>
      <c r="I49" s="25" t="n"/>
      <c r="J49" s="35">
        <f>E49</f>
        <v/>
      </c>
    </row>
    <row r="50">
      <c r="A50" s="42" t="n">
        <v>14</v>
      </c>
      <c r="B50" s="25" t="inlineStr">
        <is>
          <t>EJE-17</t>
        </is>
      </c>
      <c r="C50" s="25" t="inlineStr">
        <is>
          <t>ml</t>
        </is>
      </c>
      <c r="D50" s="35" t="n">
        <v>39.98</v>
      </c>
      <c r="E50" s="35" t="n">
        <v>36</v>
      </c>
      <c r="F50" s="25" t="n"/>
      <c r="G50" s="25" t="n"/>
      <c r="H50" s="25" t="n"/>
      <c r="I50" s="25" t="n"/>
      <c r="J50" s="35">
        <f>E50</f>
        <v/>
      </c>
    </row>
    <row r="51">
      <c r="A51" s="42" t="n">
        <v>15</v>
      </c>
      <c r="B51" s="25" t="inlineStr">
        <is>
          <t>EJE-18</t>
        </is>
      </c>
      <c r="C51" s="25" t="inlineStr">
        <is>
          <t>ml</t>
        </is>
      </c>
      <c r="D51" s="35" t="n">
        <v>38.68</v>
      </c>
      <c r="E51" s="35" t="n">
        <v>11</v>
      </c>
      <c r="F51" s="25" t="n"/>
      <c r="G51" s="25" t="n"/>
      <c r="H51" s="25" t="n"/>
      <c r="I51" s="25" t="n"/>
      <c r="J51" s="35">
        <f>E51</f>
        <v/>
      </c>
    </row>
    <row r="53" ht="30" customHeight="1">
      <c r="A53" s="44" t="inlineStr">
        <is>
          <t>Borde junto a piso: longitud del borde de la cuneta que colinda con vereda, patio o piso (medida a cada lado del eje en la planta DC-01).</t>
        </is>
      </c>
    </row>
  </sheetData>
  <mergeCells count="6">
    <mergeCell ref="A1:J1"/>
    <mergeCell ref="B3:J3"/>
    <mergeCell ref="B5:J5"/>
    <mergeCell ref="A53:J53"/>
    <mergeCell ref="B4:J4"/>
    <mergeCell ref="B2:J2"/>
  </mergeCells>
  <pageMargins left="0.75" right="0.75" top="1" bottom="1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N2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7" customWidth="1" min="14" max="14"/>
  </cols>
  <sheetData>
    <row r="1">
      <c r="A1" s="54" t="inlineStr">
        <is>
          <t>METRADO DE CURADO DE CONCRETO EN CUNETAS</t>
        </is>
      </c>
    </row>
    <row r="2">
      <c r="A2" s="27" t="inlineStr">
        <is>
          <t>ENTIDAD</t>
        </is>
      </c>
      <c r="B2" s="18" t="n"/>
      <c r="C2" s="16">
        <f>+RESUMEN!B4</f>
        <v/>
      </c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8" t="n"/>
    </row>
    <row r="3" ht="33" customHeight="1">
      <c r="A3" s="27" t="inlineStr">
        <is>
          <t>PROYECTO</t>
        </is>
      </c>
      <c r="B3" s="18" t="n"/>
      <c r="C3" s="16">
        <f>+RESUMEN!B5</f>
        <v/>
      </c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</row>
    <row r="4">
      <c r="A4" s="27" t="inlineStr">
        <is>
          <t>UBICACIÓN</t>
        </is>
      </c>
      <c r="B4" s="18" t="n"/>
      <c r="C4" s="16">
        <f>+RESUMEN!B6</f>
        <v/>
      </c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8" t="n"/>
    </row>
    <row r="5">
      <c r="A5" s="27" t="inlineStr">
        <is>
          <t>FECHA</t>
        </is>
      </c>
      <c r="B5" s="18" t="n"/>
      <c r="C5" s="16">
        <f>+RESUMEN!B7</f>
        <v/>
      </c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8" t="n"/>
    </row>
    <row r="6" ht="45" customHeight="1">
      <c r="A6" s="19" t="inlineStr">
        <is>
          <t>N°</t>
        </is>
      </c>
      <c r="B6" s="19" t="inlineStr">
        <is>
          <t>EJE</t>
        </is>
      </c>
      <c r="C6" s="19" t="inlineStr">
        <is>
          <t>TIPO DE CUNETA</t>
        </is>
      </c>
      <c r="D6" s="19" t="inlineStr">
        <is>
          <t>LONGITUD (m)</t>
        </is>
      </c>
      <c r="E6" s="19" t="inlineStr">
        <is>
          <t>LONG. CON REJILLA (m)</t>
        </is>
      </c>
      <c r="F6" s="19" t="inlineStr">
        <is>
          <t>LONG. TAPADA (m)</t>
        </is>
      </c>
      <c r="G6" s="19" t="inlineStr">
        <is>
          <t>ANCHO INTERIOR (m)</t>
        </is>
      </c>
      <c r="H6" s="19" t="inlineStr">
        <is>
          <t>ALTURA LIBRE PROM. (m)</t>
        </is>
      </c>
      <c r="I6" s="19" t="inlineStr">
        <is>
          <t>ÁREA 2 MUROS (m²)</t>
        </is>
      </c>
      <c r="J6" s="19" t="inlineStr">
        <is>
          <t>ÁREA FONDO (m²)</t>
        </is>
      </c>
      <c r="K6" s="19" t="inlineStr">
        <is>
          <t>CORONAS DE MURO (m²)</t>
        </is>
      </c>
      <c r="L6" s="19" t="inlineStr">
        <is>
          <t>ÁREA TAPA (m²)</t>
        </is>
      </c>
      <c r="M6" s="19" t="inlineStr">
        <is>
          <t>TOTAL CURADO (m²)</t>
        </is>
      </c>
      <c r="N6" s="19" t="inlineStr">
        <is>
          <t>UND.</t>
        </is>
      </c>
    </row>
    <row r="7">
      <c r="A7" s="42" t="n">
        <v>1</v>
      </c>
      <c r="B7" s="25" t="inlineStr">
        <is>
          <t>EJE-01</t>
        </is>
      </c>
      <c r="C7" s="25" t="inlineStr">
        <is>
          <t>ABIERTA</t>
        </is>
      </c>
      <c r="D7" s="35" t="n">
        <v>34.34</v>
      </c>
      <c r="E7" s="35" t="n">
        <v>34.34</v>
      </c>
      <c r="F7" s="35" t="n">
        <v>0</v>
      </c>
      <c r="G7" s="35">
        <f>PARAMETROS!$B$6</f>
        <v/>
      </c>
      <c r="H7" s="52" t="n">
        <v>0.386</v>
      </c>
      <c r="I7" s="35">
        <f>2*D7*H7</f>
        <v/>
      </c>
      <c r="J7" s="35">
        <f>D7*G7</f>
        <v/>
      </c>
      <c r="K7" s="35">
        <f>2*PARAMETROS!$B$7*E7</f>
        <v/>
      </c>
      <c r="L7" s="35">
        <f>F7*PARAMETROS!$B$5</f>
        <v/>
      </c>
      <c r="M7" s="55">
        <f>SUM(I7:L7)</f>
        <v/>
      </c>
      <c r="N7" s="25" t="inlineStr">
        <is>
          <t>m²</t>
        </is>
      </c>
    </row>
    <row r="8">
      <c r="A8" s="42" t="n">
        <v>2</v>
      </c>
      <c r="B8" s="25" t="inlineStr">
        <is>
          <t>EJE-02</t>
        </is>
      </c>
      <c r="C8" s="25" t="inlineStr">
        <is>
          <t>MIXTA</t>
        </is>
      </c>
      <c r="D8" s="35" t="n">
        <v>76.04000000000001</v>
      </c>
      <c r="E8" s="35" t="n">
        <v>75.28</v>
      </c>
      <c r="F8" s="35" t="n">
        <v>0.76</v>
      </c>
      <c r="G8" s="35">
        <f>PARAMETROS!$B$6</f>
        <v/>
      </c>
      <c r="H8" s="52" t="n">
        <v>0.5669999999999999</v>
      </c>
      <c r="I8" s="35">
        <f>2*D8*H8</f>
        <v/>
      </c>
      <c r="J8" s="35">
        <f>D8*G8</f>
        <v/>
      </c>
      <c r="K8" s="35">
        <f>2*PARAMETROS!$B$7*E8</f>
        <v/>
      </c>
      <c r="L8" s="35">
        <f>F8*PARAMETROS!$B$5</f>
        <v/>
      </c>
      <c r="M8" s="55">
        <f>SUM(I8:L8)</f>
        <v/>
      </c>
      <c r="N8" s="25" t="inlineStr">
        <is>
          <t>m²</t>
        </is>
      </c>
    </row>
    <row r="9">
      <c r="A9" s="42" t="n">
        <v>3</v>
      </c>
      <c r="B9" s="25" t="inlineStr">
        <is>
          <t>EJE-03</t>
        </is>
      </c>
      <c r="C9" s="25" t="inlineStr">
        <is>
          <t>ABIERTA</t>
        </is>
      </c>
      <c r="D9" s="35" t="n">
        <v>32.31</v>
      </c>
      <c r="E9" s="35" t="n">
        <v>32.31</v>
      </c>
      <c r="F9" s="35" t="n">
        <v>0</v>
      </c>
      <c r="G9" s="35">
        <f>PARAMETROS!$B$6</f>
        <v/>
      </c>
      <c r="H9" s="52" t="n">
        <v>0.381</v>
      </c>
      <c r="I9" s="35">
        <f>2*D9*H9</f>
        <v/>
      </c>
      <c r="J9" s="35">
        <f>D9*G9</f>
        <v/>
      </c>
      <c r="K9" s="35">
        <f>2*PARAMETROS!$B$7*E9</f>
        <v/>
      </c>
      <c r="L9" s="35">
        <f>F9*PARAMETROS!$B$5</f>
        <v/>
      </c>
      <c r="M9" s="55">
        <f>SUM(I9:L9)</f>
        <v/>
      </c>
      <c r="N9" s="25" t="inlineStr">
        <is>
          <t>m²</t>
        </is>
      </c>
    </row>
    <row r="10">
      <c r="A10" s="42" t="n">
        <v>4</v>
      </c>
      <c r="B10" s="25" t="inlineStr">
        <is>
          <t>EJE-04</t>
        </is>
      </c>
      <c r="C10" s="25" t="inlineStr">
        <is>
          <t>ABIERTA</t>
        </is>
      </c>
      <c r="D10" s="35" t="n">
        <v>94.34</v>
      </c>
      <c r="E10" s="35" t="n">
        <v>94.34</v>
      </c>
      <c r="F10" s="35" t="n">
        <v>0</v>
      </c>
      <c r="G10" s="35">
        <f>PARAMETROS!$B$6</f>
        <v/>
      </c>
      <c r="H10" s="52" t="n">
        <v>0.536</v>
      </c>
      <c r="I10" s="35">
        <f>2*D10*H10</f>
        <v/>
      </c>
      <c r="J10" s="35">
        <f>D10*G10</f>
        <v/>
      </c>
      <c r="K10" s="35">
        <f>2*PARAMETROS!$B$7*E10</f>
        <v/>
      </c>
      <c r="L10" s="35">
        <f>F10*PARAMETROS!$B$5</f>
        <v/>
      </c>
      <c r="M10" s="55">
        <f>SUM(I10:L10)</f>
        <v/>
      </c>
      <c r="N10" s="25" t="inlineStr">
        <is>
          <t>m²</t>
        </is>
      </c>
    </row>
    <row r="11">
      <c r="A11" s="42" t="n">
        <v>5</v>
      </c>
      <c r="B11" s="25" t="inlineStr">
        <is>
          <t>EJE-05</t>
        </is>
      </c>
      <c r="C11" s="25" t="inlineStr">
        <is>
          <t>ABIERTA</t>
        </is>
      </c>
      <c r="D11" s="35" t="n">
        <v>90.56</v>
      </c>
      <c r="E11" s="35" t="n">
        <v>90.56</v>
      </c>
      <c r="F11" s="35" t="n">
        <v>0</v>
      </c>
      <c r="G11" s="35">
        <f>PARAMETROS!$B$6</f>
        <v/>
      </c>
      <c r="H11" s="52" t="n">
        <v>0.526</v>
      </c>
      <c r="I11" s="35">
        <f>2*D11*H11</f>
        <v/>
      </c>
      <c r="J11" s="35">
        <f>D11*G11</f>
        <v/>
      </c>
      <c r="K11" s="35">
        <f>2*PARAMETROS!$B$7*E11</f>
        <v/>
      </c>
      <c r="L11" s="35">
        <f>F11*PARAMETROS!$B$5</f>
        <v/>
      </c>
      <c r="M11" s="55">
        <f>SUM(I11:L11)</f>
        <v/>
      </c>
      <c r="N11" s="25" t="inlineStr">
        <is>
          <t>m²</t>
        </is>
      </c>
    </row>
    <row r="12">
      <c r="A12" s="42" t="n">
        <v>6</v>
      </c>
      <c r="B12" s="25" t="inlineStr">
        <is>
          <t>EJE-06</t>
        </is>
      </c>
      <c r="C12" s="25" t="inlineStr">
        <is>
          <t>ABIERTA</t>
        </is>
      </c>
      <c r="D12" s="35" t="n">
        <v>12.3</v>
      </c>
      <c r="E12" s="35" t="n">
        <v>12.3</v>
      </c>
      <c r="F12" s="35" t="n">
        <v>0</v>
      </c>
      <c r="G12" s="35">
        <f>PARAMETROS!$B$6</f>
        <v/>
      </c>
      <c r="H12" s="52" t="n">
        <v>0.331</v>
      </c>
      <c r="I12" s="35">
        <f>2*D12*H12</f>
        <v/>
      </c>
      <c r="J12" s="35">
        <f>D12*G12</f>
        <v/>
      </c>
      <c r="K12" s="35">
        <f>2*PARAMETROS!$B$7*E12</f>
        <v/>
      </c>
      <c r="L12" s="35">
        <f>F12*PARAMETROS!$B$5</f>
        <v/>
      </c>
      <c r="M12" s="55">
        <f>SUM(I12:L12)</f>
        <v/>
      </c>
      <c r="N12" s="25" t="inlineStr">
        <is>
          <t>m²</t>
        </is>
      </c>
    </row>
    <row r="13">
      <c r="A13" s="42" t="n">
        <v>7</v>
      </c>
      <c r="B13" s="25" t="inlineStr">
        <is>
          <t>EJE-07</t>
        </is>
      </c>
      <c r="C13" s="25" t="inlineStr">
        <is>
          <t>MIXTA</t>
        </is>
      </c>
      <c r="D13" s="35" t="n">
        <v>94.69</v>
      </c>
      <c r="E13" s="35" t="n">
        <v>71.79000000000001</v>
      </c>
      <c r="F13" s="35" t="n">
        <v>22.9</v>
      </c>
      <c r="G13" s="35">
        <f>PARAMETROS!$B$6</f>
        <v/>
      </c>
      <c r="H13" s="52" t="n">
        <v>0.645</v>
      </c>
      <c r="I13" s="35">
        <f>2*D13*H13</f>
        <v/>
      </c>
      <c r="J13" s="35">
        <f>D13*G13</f>
        <v/>
      </c>
      <c r="K13" s="35">
        <f>2*PARAMETROS!$B$7*E13</f>
        <v/>
      </c>
      <c r="L13" s="35">
        <f>F13*PARAMETROS!$B$5</f>
        <v/>
      </c>
      <c r="M13" s="55">
        <f>SUM(I13:L13)</f>
        <v/>
      </c>
      <c r="N13" s="25" t="inlineStr">
        <is>
          <t>m²</t>
        </is>
      </c>
    </row>
    <row r="14">
      <c r="A14" s="42" t="n">
        <v>8</v>
      </c>
      <c r="B14" s="25" t="inlineStr">
        <is>
          <t>EJE-08</t>
        </is>
      </c>
      <c r="C14" s="25" t="inlineStr">
        <is>
          <t>ABIERTA</t>
        </is>
      </c>
      <c r="D14" s="35" t="n">
        <v>39.68</v>
      </c>
      <c r="E14" s="35" t="n">
        <v>39.68</v>
      </c>
      <c r="F14" s="35" t="n">
        <v>0</v>
      </c>
      <c r="G14" s="35">
        <f>PARAMETROS!$B$6</f>
        <v/>
      </c>
      <c r="H14" s="52" t="n">
        <v>0.399</v>
      </c>
      <c r="I14" s="35">
        <f>2*D14*H14</f>
        <v/>
      </c>
      <c r="J14" s="35">
        <f>D14*G14</f>
        <v/>
      </c>
      <c r="K14" s="35">
        <f>2*PARAMETROS!$B$7*E14</f>
        <v/>
      </c>
      <c r="L14" s="35">
        <f>F14*PARAMETROS!$B$5</f>
        <v/>
      </c>
      <c r="M14" s="55">
        <f>SUM(I14:L14)</f>
        <v/>
      </c>
      <c r="N14" s="25" t="inlineStr">
        <is>
          <t>m²</t>
        </is>
      </c>
    </row>
    <row r="15">
      <c r="A15" s="42" t="n">
        <v>9</v>
      </c>
      <c r="B15" s="25" t="inlineStr">
        <is>
          <t>EJE-09</t>
        </is>
      </c>
      <c r="C15" s="25" t="inlineStr">
        <is>
          <t>ABIERTA</t>
        </is>
      </c>
      <c r="D15" s="35" t="n">
        <v>35.8</v>
      </c>
      <c r="E15" s="35" t="n">
        <v>35.8</v>
      </c>
      <c r="F15" s="35" t="n">
        <v>0</v>
      </c>
      <c r="G15" s="35">
        <f>PARAMETROS!$B$6</f>
        <v/>
      </c>
      <c r="H15" s="52" t="n">
        <v>0.389</v>
      </c>
      <c r="I15" s="35">
        <f>2*D15*H15</f>
        <v/>
      </c>
      <c r="J15" s="35">
        <f>D15*G15</f>
        <v/>
      </c>
      <c r="K15" s="35">
        <f>2*PARAMETROS!$B$7*E15</f>
        <v/>
      </c>
      <c r="L15" s="35">
        <f>F15*PARAMETROS!$B$5</f>
        <v/>
      </c>
      <c r="M15" s="55">
        <f>SUM(I15:L15)</f>
        <v/>
      </c>
      <c r="N15" s="25" t="inlineStr">
        <is>
          <t>m²</t>
        </is>
      </c>
    </row>
    <row r="16">
      <c r="A16" s="42" t="n">
        <v>10</v>
      </c>
      <c r="B16" s="25" t="inlineStr">
        <is>
          <t>EJE-10</t>
        </is>
      </c>
      <c r="C16" s="25" t="inlineStr">
        <is>
          <t>ABIERTA</t>
        </is>
      </c>
      <c r="D16" s="35" t="n">
        <v>36.9</v>
      </c>
      <c r="E16" s="35" t="n">
        <v>36.9</v>
      </c>
      <c r="F16" s="35" t="n">
        <v>0</v>
      </c>
      <c r="G16" s="35">
        <f>PARAMETROS!$B$6</f>
        <v/>
      </c>
      <c r="H16" s="52" t="n">
        <v>0.392</v>
      </c>
      <c r="I16" s="35">
        <f>2*D16*H16</f>
        <v/>
      </c>
      <c r="J16" s="35">
        <f>D16*G16</f>
        <v/>
      </c>
      <c r="K16" s="35">
        <f>2*PARAMETROS!$B$7*E16</f>
        <v/>
      </c>
      <c r="L16" s="35">
        <f>F16*PARAMETROS!$B$5</f>
        <v/>
      </c>
      <c r="M16" s="55">
        <f>SUM(I16:L16)</f>
        <v/>
      </c>
      <c r="N16" s="25" t="inlineStr">
        <is>
          <t>m²</t>
        </is>
      </c>
    </row>
    <row r="17">
      <c r="A17" s="42" t="n">
        <v>11</v>
      </c>
      <c r="B17" s="25" t="inlineStr">
        <is>
          <t>EJE-11</t>
        </is>
      </c>
      <c r="C17" s="25" t="inlineStr">
        <is>
          <t>MIXTA</t>
        </is>
      </c>
      <c r="D17" s="35" t="n">
        <v>30.36</v>
      </c>
      <c r="E17" s="35" t="n">
        <v>29.86</v>
      </c>
      <c r="F17" s="35" t="n">
        <v>0.5</v>
      </c>
      <c r="G17" s="35">
        <f>PARAMETROS!$B$6</f>
        <v/>
      </c>
      <c r="H17" s="52" t="n">
        <v>0.374</v>
      </c>
      <c r="I17" s="35">
        <f>2*D17*H17</f>
        <v/>
      </c>
      <c r="J17" s="35">
        <f>D17*G17</f>
        <v/>
      </c>
      <c r="K17" s="35">
        <f>2*PARAMETROS!$B$7*E17</f>
        <v/>
      </c>
      <c r="L17" s="35">
        <f>F17*PARAMETROS!$B$5</f>
        <v/>
      </c>
      <c r="M17" s="55">
        <f>SUM(I17:L17)</f>
        <v/>
      </c>
      <c r="N17" s="25" t="inlineStr">
        <is>
          <t>m²</t>
        </is>
      </c>
    </row>
    <row r="18">
      <c r="A18" s="42" t="n">
        <v>12</v>
      </c>
      <c r="B18" s="25" t="inlineStr">
        <is>
          <t>EJE-12</t>
        </is>
      </c>
      <c r="C18" s="25" t="inlineStr">
        <is>
          <t>MIXTA</t>
        </is>
      </c>
      <c r="D18" s="35" t="n">
        <v>118.38</v>
      </c>
      <c r="E18" s="35" t="n">
        <v>103.16</v>
      </c>
      <c r="F18" s="35" t="n">
        <v>15.22</v>
      </c>
      <c r="G18" s="35">
        <f>PARAMETROS!$B$6</f>
        <v/>
      </c>
      <c r="H18" s="52" t="n">
        <v>0.526</v>
      </c>
      <c r="I18" s="35">
        <f>2*D18*H18</f>
        <v/>
      </c>
      <c r="J18" s="35">
        <f>D18*G18</f>
        <v/>
      </c>
      <c r="K18" s="35">
        <f>2*PARAMETROS!$B$7*E18</f>
        <v/>
      </c>
      <c r="L18" s="35">
        <f>F18*PARAMETROS!$B$5</f>
        <v/>
      </c>
      <c r="M18" s="55">
        <f>SUM(I18:L18)</f>
        <v/>
      </c>
      <c r="N18" s="25" t="inlineStr">
        <is>
          <t>m²</t>
        </is>
      </c>
    </row>
    <row r="19">
      <c r="A19" s="42" t="n">
        <v>13</v>
      </c>
      <c r="B19" s="25" t="inlineStr">
        <is>
          <t>EJE-13</t>
        </is>
      </c>
      <c r="C19" s="25" t="inlineStr">
        <is>
          <t>ABIERTA</t>
        </is>
      </c>
      <c r="D19" s="35" t="n">
        <v>24.38</v>
      </c>
      <c r="E19" s="35" t="n">
        <v>24.38</v>
      </c>
      <c r="F19" s="35" t="n">
        <v>0</v>
      </c>
      <c r="G19" s="35">
        <f>PARAMETROS!$B$6</f>
        <v/>
      </c>
      <c r="H19" s="52" t="n">
        <v>0.361</v>
      </c>
      <c r="I19" s="35">
        <f>2*D19*H19</f>
        <v/>
      </c>
      <c r="J19" s="35">
        <f>D19*G19</f>
        <v/>
      </c>
      <c r="K19" s="35">
        <f>2*PARAMETROS!$B$7*E19</f>
        <v/>
      </c>
      <c r="L19" s="35">
        <f>F19*PARAMETROS!$B$5</f>
        <v/>
      </c>
      <c r="M19" s="55">
        <f>SUM(I19:L19)</f>
        <v/>
      </c>
      <c r="N19" s="25" t="inlineStr">
        <is>
          <t>m²</t>
        </is>
      </c>
    </row>
    <row r="20">
      <c r="A20" s="42" t="n">
        <v>14</v>
      </c>
      <c r="B20" s="25" t="inlineStr">
        <is>
          <t>EJE-14</t>
        </is>
      </c>
      <c r="C20" s="25" t="inlineStr">
        <is>
          <t>ABIERTA</t>
        </is>
      </c>
      <c r="D20" s="35" t="n">
        <v>64.93000000000001</v>
      </c>
      <c r="E20" s="35" t="n">
        <v>64.93000000000001</v>
      </c>
      <c r="F20" s="35" t="n">
        <v>0</v>
      </c>
      <c r="G20" s="35">
        <f>PARAMETROS!$B$6</f>
        <v/>
      </c>
      <c r="H20" s="52" t="n">
        <v>0.385</v>
      </c>
      <c r="I20" s="35">
        <f>2*D20*H20</f>
        <v/>
      </c>
      <c r="J20" s="35">
        <f>D20*G20</f>
        <v/>
      </c>
      <c r="K20" s="35">
        <f>2*PARAMETROS!$B$7*E20</f>
        <v/>
      </c>
      <c r="L20" s="35">
        <f>F20*PARAMETROS!$B$5</f>
        <v/>
      </c>
      <c r="M20" s="55">
        <f>SUM(I20:L20)</f>
        <v/>
      </c>
      <c r="N20" s="25" t="inlineStr">
        <is>
          <t>m²</t>
        </is>
      </c>
    </row>
    <row r="21">
      <c r="A21" s="42" t="n">
        <v>15</v>
      </c>
      <c r="B21" s="25" t="inlineStr">
        <is>
          <t>EJE-15</t>
        </is>
      </c>
      <c r="C21" s="25" t="inlineStr">
        <is>
          <t>ABIERTA</t>
        </is>
      </c>
      <c r="D21" s="35" t="n">
        <v>41.47</v>
      </c>
      <c r="E21" s="35" t="n">
        <v>41.47</v>
      </c>
      <c r="F21" s="35" t="n">
        <v>0</v>
      </c>
      <c r="G21" s="35">
        <f>PARAMETROS!$B$6</f>
        <v/>
      </c>
      <c r="H21" s="52" t="n">
        <v>0.323</v>
      </c>
      <c r="I21" s="35">
        <f>2*D21*H21</f>
        <v/>
      </c>
      <c r="J21" s="35">
        <f>D21*G21</f>
        <v/>
      </c>
      <c r="K21" s="35">
        <f>2*PARAMETROS!$B$7*E21</f>
        <v/>
      </c>
      <c r="L21" s="35">
        <f>F21*PARAMETROS!$B$5</f>
        <v/>
      </c>
      <c r="M21" s="55">
        <f>SUM(I21:L21)</f>
        <v/>
      </c>
      <c r="N21" s="25" t="inlineStr">
        <is>
          <t>m²</t>
        </is>
      </c>
    </row>
    <row r="22">
      <c r="A22" s="42" t="n">
        <v>16</v>
      </c>
      <c r="B22" s="25" t="inlineStr">
        <is>
          <t>EJE-16</t>
        </is>
      </c>
      <c r="C22" s="25" t="inlineStr">
        <is>
          <t>ABIERTA</t>
        </is>
      </c>
      <c r="D22" s="35" t="n">
        <v>49.55</v>
      </c>
      <c r="E22" s="35" t="n">
        <v>49.55</v>
      </c>
      <c r="F22" s="35" t="n">
        <v>0</v>
      </c>
      <c r="G22" s="35">
        <f>PARAMETROS!$B$6</f>
        <v/>
      </c>
      <c r="H22" s="52" t="n">
        <v>0.381</v>
      </c>
      <c r="I22" s="35">
        <f>2*D22*H22</f>
        <v/>
      </c>
      <c r="J22" s="35">
        <f>D22*G22</f>
        <v/>
      </c>
      <c r="K22" s="35">
        <f>2*PARAMETROS!$B$7*E22</f>
        <v/>
      </c>
      <c r="L22" s="35">
        <f>F22*PARAMETROS!$B$5</f>
        <v/>
      </c>
      <c r="M22" s="55">
        <f>SUM(I22:L22)</f>
        <v/>
      </c>
      <c r="N22" s="25" t="inlineStr">
        <is>
          <t>m²</t>
        </is>
      </c>
    </row>
    <row r="23">
      <c r="A23" s="42" t="n">
        <v>17</v>
      </c>
      <c r="B23" s="25" t="inlineStr">
        <is>
          <t>EJE-17</t>
        </is>
      </c>
      <c r="C23" s="25" t="inlineStr">
        <is>
          <t>MIXTA</t>
        </is>
      </c>
      <c r="D23" s="35" t="n">
        <v>39.98</v>
      </c>
      <c r="E23" s="35" t="n">
        <v>35.4</v>
      </c>
      <c r="F23" s="35" t="n">
        <v>4.58</v>
      </c>
      <c r="G23" s="35">
        <f>PARAMETROS!$B$6</f>
        <v/>
      </c>
      <c r="H23" s="52" t="n">
        <v>0.392</v>
      </c>
      <c r="I23" s="35">
        <f>2*D23*H23</f>
        <v/>
      </c>
      <c r="J23" s="35">
        <f>D23*G23</f>
        <v/>
      </c>
      <c r="K23" s="35">
        <f>2*PARAMETROS!$B$7*E23</f>
        <v/>
      </c>
      <c r="L23" s="35">
        <f>F23*PARAMETROS!$B$5</f>
        <v/>
      </c>
      <c r="M23" s="55">
        <f>SUM(I23:L23)</f>
        <v/>
      </c>
      <c r="N23" s="25" t="inlineStr">
        <is>
          <t>m²</t>
        </is>
      </c>
    </row>
    <row r="24">
      <c r="A24" s="42" t="n">
        <v>18</v>
      </c>
      <c r="B24" s="25" t="inlineStr">
        <is>
          <t>EJE-18</t>
        </is>
      </c>
      <c r="C24" s="25" t="inlineStr">
        <is>
          <t>ABIERTA</t>
        </is>
      </c>
      <c r="D24" s="35" t="n">
        <v>38.68</v>
      </c>
      <c r="E24" s="35" t="n">
        <v>38.68</v>
      </c>
      <c r="F24" s="35" t="n">
        <v>0</v>
      </c>
      <c r="G24" s="35">
        <f>PARAMETROS!$B$6</f>
        <v/>
      </c>
      <c r="H24" s="52" t="n">
        <v>0.397</v>
      </c>
      <c r="I24" s="35">
        <f>2*D24*H24</f>
        <v/>
      </c>
      <c r="J24" s="35">
        <f>D24*G24</f>
        <v/>
      </c>
      <c r="K24" s="35">
        <f>2*PARAMETROS!$B$7*E24</f>
        <v/>
      </c>
      <c r="L24" s="35">
        <f>F24*PARAMETROS!$B$5</f>
        <v/>
      </c>
      <c r="M24" s="55">
        <f>SUM(I24:L24)</f>
        <v/>
      </c>
      <c r="N24" s="25" t="inlineStr">
        <is>
          <t>m²</t>
        </is>
      </c>
    </row>
    <row r="25">
      <c r="A25" s="42" t="n">
        <v>19</v>
      </c>
      <c r="B25" s="25" t="inlineStr">
        <is>
          <t>EJE-19</t>
        </is>
      </c>
      <c r="C25" s="25" t="inlineStr">
        <is>
          <t>ABIERTA</t>
        </is>
      </c>
      <c r="D25" s="35" t="n">
        <v>14.09</v>
      </c>
      <c r="E25" s="35" t="n">
        <v>14.09</v>
      </c>
      <c r="F25" s="35" t="n">
        <v>0</v>
      </c>
      <c r="G25" s="35">
        <f>PARAMETROS!$B$6</f>
        <v/>
      </c>
      <c r="H25" s="52" t="n">
        <v>0.335</v>
      </c>
      <c r="I25" s="35">
        <f>2*D25*H25</f>
        <v/>
      </c>
      <c r="J25" s="35">
        <f>D25*G25</f>
        <v/>
      </c>
      <c r="K25" s="35">
        <f>2*PARAMETROS!$B$7*E25</f>
        <v/>
      </c>
      <c r="L25" s="35">
        <f>F25*PARAMETROS!$B$5</f>
        <v/>
      </c>
      <c r="M25" s="55">
        <f>SUM(I25:L25)</f>
        <v/>
      </c>
      <c r="N25" s="25" t="inlineStr">
        <is>
          <t>m²</t>
        </is>
      </c>
    </row>
    <row r="26">
      <c r="A26" s="15" t="inlineStr">
        <is>
          <t>TOTAL CURADO DE CONCRETO EN CUNETA</t>
        </is>
      </c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8" t="n"/>
      <c r="M26" s="32">
        <f>SUM(M7:M25)</f>
        <v/>
      </c>
      <c r="N26" s="15" t="inlineStr">
        <is>
          <t>m²</t>
        </is>
      </c>
    </row>
    <row r="28" ht="30" customHeight="1">
      <c r="A28" s="44" t="inlineStr">
        <is>
          <t>Superficies expuestas: caras interiores de los dos muros, fondo interior, coronas de muro en tramos con rejilla y cara superior de la losa tapa.</t>
        </is>
      </c>
    </row>
  </sheetData>
  <mergeCells count="11">
    <mergeCell ref="A4:B4"/>
    <mergeCell ref="A26:L26"/>
    <mergeCell ref="A2:B2"/>
    <mergeCell ref="C2:N2"/>
    <mergeCell ref="A28:N28"/>
    <mergeCell ref="C5:N5"/>
    <mergeCell ref="A5:B5"/>
    <mergeCell ref="C3:N3"/>
    <mergeCell ref="A3:B3"/>
    <mergeCell ref="C4:N4"/>
    <mergeCell ref="A1:N1"/>
  </mergeCells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4" customWidth="1" min="4" max="4"/>
    <col width="16" customWidth="1" min="5" max="5"/>
    <col width="15" customWidth="1" min="6" max="6"/>
    <col width="14" customWidth="1" min="7" max="7"/>
    <col width="7" customWidth="1" min="8" max="8"/>
  </cols>
  <sheetData>
    <row r="1">
      <c r="A1" s="54" t="inlineStr">
        <is>
          <t>METRADO DE REJILLAS PARA CUNETAS</t>
        </is>
      </c>
    </row>
    <row r="2">
      <c r="A2" s="27" t="inlineStr">
        <is>
          <t>ENTIDAD</t>
        </is>
      </c>
      <c r="B2" s="18" t="n"/>
      <c r="C2" s="16">
        <f>+RESUMEN!B4</f>
        <v/>
      </c>
      <c r="D2" s="17" t="n"/>
      <c r="E2" s="17" t="n"/>
      <c r="F2" s="17" t="n"/>
      <c r="G2" s="17" t="n"/>
      <c r="H2" s="18" t="n"/>
    </row>
    <row r="3" ht="45" customHeight="1">
      <c r="A3" s="27" t="inlineStr">
        <is>
          <t>PROYECTO</t>
        </is>
      </c>
      <c r="B3" s="18" t="n"/>
      <c r="C3" s="16">
        <f>+RESUMEN!B5</f>
        <v/>
      </c>
      <c r="D3" s="17" t="n"/>
      <c r="E3" s="17" t="n"/>
      <c r="F3" s="17" t="n"/>
      <c r="G3" s="17" t="n"/>
      <c r="H3" s="18" t="n"/>
    </row>
    <row r="4">
      <c r="A4" s="27" t="inlineStr">
        <is>
          <t>UBICACIÓN</t>
        </is>
      </c>
      <c r="B4" s="18" t="n"/>
      <c r="C4" s="16">
        <f>+RESUMEN!B6</f>
        <v/>
      </c>
      <c r="D4" s="17" t="n"/>
      <c r="E4" s="17" t="n"/>
      <c r="F4" s="17" t="n"/>
      <c r="G4" s="17" t="n"/>
      <c r="H4" s="18" t="n"/>
    </row>
    <row r="5">
      <c r="A5" s="27" t="inlineStr">
        <is>
          <t>FECHA</t>
        </is>
      </c>
      <c r="B5" s="18" t="n"/>
      <c r="C5" s="16">
        <f>+RESUMEN!B7</f>
        <v/>
      </c>
      <c r="D5" s="17" t="n"/>
      <c r="E5" s="17" t="n"/>
      <c r="F5" s="17" t="n"/>
      <c r="G5" s="17" t="n"/>
      <c r="H5" s="18" t="n"/>
    </row>
    <row r="6" ht="45" customHeight="1">
      <c r="A6" s="19" t="inlineStr">
        <is>
          <t>N°</t>
        </is>
      </c>
      <c r="B6" s="19" t="inlineStr">
        <is>
          <t>EJE</t>
        </is>
      </c>
      <c r="C6" s="19" t="inlineStr">
        <is>
          <t>TIPO DE CUNETA</t>
        </is>
      </c>
      <c r="D6" s="19" t="inlineStr">
        <is>
          <t>LONGITUD DEL EJE (m)</t>
        </is>
      </c>
      <c r="E6" s="19" t="inlineStr">
        <is>
          <t>DESCUENTO TRAMOS TAPADOS (m)</t>
        </is>
      </c>
      <c r="F6" s="19" t="inlineStr">
        <is>
          <t>LONGITUD CON REJILLA (m)</t>
        </is>
      </c>
      <c r="G6" s="19" t="inlineStr">
        <is>
          <t>N° DE TAPAS DE INSPECCIÓN</t>
        </is>
      </c>
      <c r="H6" s="19" t="inlineStr">
        <is>
          <t>UND.</t>
        </is>
      </c>
    </row>
    <row r="7">
      <c r="A7" s="42" t="n">
        <v>1</v>
      </c>
      <c r="B7" s="25" t="inlineStr">
        <is>
          <t>EJE-01</t>
        </is>
      </c>
      <c r="C7" s="25" t="inlineStr">
        <is>
          <t>ABIERTA</t>
        </is>
      </c>
      <c r="D7" s="35" t="n">
        <v>34.34</v>
      </c>
      <c r="E7" s="35" t="n">
        <v>0</v>
      </c>
      <c r="F7" s="55">
        <f>IF(D7-E7&lt;0,0,D7-E7)</f>
        <v/>
      </c>
      <c r="G7" s="42" t="n">
        <v>0</v>
      </c>
      <c r="H7" s="25" t="inlineStr">
        <is>
          <t>m</t>
        </is>
      </c>
    </row>
    <row r="8">
      <c r="A8" s="42" t="n">
        <v>2</v>
      </c>
      <c r="B8" s="25" t="inlineStr">
        <is>
          <t>EJE-02</t>
        </is>
      </c>
      <c r="C8" s="25" t="inlineStr">
        <is>
          <t>MIXTA</t>
        </is>
      </c>
      <c r="D8" s="35" t="n">
        <v>76.04000000000001</v>
      </c>
      <c r="E8" s="35" t="n">
        <v>0.76</v>
      </c>
      <c r="F8" s="55">
        <f>IF(D8-E8&lt;0,0,D8-E8)</f>
        <v/>
      </c>
      <c r="G8" s="42" t="n">
        <v>1</v>
      </c>
      <c r="H8" s="25" t="inlineStr">
        <is>
          <t>m</t>
        </is>
      </c>
    </row>
    <row r="9">
      <c r="A9" s="42" t="n">
        <v>3</v>
      </c>
      <c r="B9" s="25" t="inlineStr">
        <is>
          <t>EJE-03</t>
        </is>
      </c>
      <c r="C9" s="25" t="inlineStr">
        <is>
          <t>ABIERTA</t>
        </is>
      </c>
      <c r="D9" s="35" t="n">
        <v>32.31</v>
      </c>
      <c r="E9" s="35" t="n">
        <v>0</v>
      </c>
      <c r="F9" s="55">
        <f>IF(D9-E9&lt;0,0,D9-E9)</f>
        <v/>
      </c>
      <c r="G9" s="42" t="n">
        <v>0</v>
      </c>
      <c r="H9" s="25" t="inlineStr">
        <is>
          <t>m</t>
        </is>
      </c>
    </row>
    <row r="10">
      <c r="A10" s="42" t="n">
        <v>4</v>
      </c>
      <c r="B10" s="25" t="inlineStr">
        <is>
          <t>EJE-04</t>
        </is>
      </c>
      <c r="C10" s="25" t="inlineStr">
        <is>
          <t>ABIERTA</t>
        </is>
      </c>
      <c r="D10" s="35" t="n">
        <v>94.34</v>
      </c>
      <c r="E10" s="35" t="n">
        <v>0</v>
      </c>
      <c r="F10" s="55">
        <f>IF(D10-E10&lt;0,0,D10-E10)</f>
        <v/>
      </c>
      <c r="G10" s="42" t="n">
        <v>0</v>
      </c>
      <c r="H10" s="25" t="inlineStr">
        <is>
          <t>m</t>
        </is>
      </c>
    </row>
    <row r="11">
      <c r="A11" s="42" t="n">
        <v>5</v>
      </c>
      <c r="B11" s="25" t="inlineStr">
        <is>
          <t>EJE-05</t>
        </is>
      </c>
      <c r="C11" s="25" t="inlineStr">
        <is>
          <t>ABIERTA</t>
        </is>
      </c>
      <c r="D11" s="35" t="n">
        <v>90.56</v>
      </c>
      <c r="E11" s="35" t="n">
        <v>0</v>
      </c>
      <c r="F11" s="55">
        <f>IF(D11-E11&lt;0,0,D11-E11)</f>
        <v/>
      </c>
      <c r="G11" s="42" t="n">
        <v>0</v>
      </c>
      <c r="H11" s="25" t="inlineStr">
        <is>
          <t>m</t>
        </is>
      </c>
    </row>
    <row r="12">
      <c r="A12" s="42" t="n">
        <v>6</v>
      </c>
      <c r="B12" s="25" t="inlineStr">
        <is>
          <t>EJE-06</t>
        </is>
      </c>
      <c r="C12" s="25" t="inlineStr">
        <is>
          <t>ABIERTA</t>
        </is>
      </c>
      <c r="D12" s="35" t="n">
        <v>12.3</v>
      </c>
      <c r="E12" s="35" t="n">
        <v>0</v>
      </c>
      <c r="F12" s="55">
        <f>IF(D12-E12&lt;0,0,D12-E12)</f>
        <v/>
      </c>
      <c r="G12" s="42" t="n">
        <v>0</v>
      </c>
      <c r="H12" s="25" t="inlineStr">
        <is>
          <t>m</t>
        </is>
      </c>
    </row>
    <row r="13">
      <c r="A13" s="42" t="n">
        <v>7</v>
      </c>
      <c r="B13" s="25" t="inlineStr">
        <is>
          <t>EJE-07</t>
        </is>
      </c>
      <c r="C13" s="25" t="inlineStr">
        <is>
          <t>MIXTA</t>
        </is>
      </c>
      <c r="D13" s="35" t="n">
        <v>94.69</v>
      </c>
      <c r="E13" s="35" t="n">
        <v>22.9</v>
      </c>
      <c r="F13" s="55">
        <f>IF(D13-E13&lt;0,0,D13-E13)</f>
        <v/>
      </c>
      <c r="G13" s="42" t="n">
        <v>4</v>
      </c>
      <c r="H13" s="25" t="inlineStr">
        <is>
          <t>m</t>
        </is>
      </c>
    </row>
    <row r="14">
      <c r="A14" s="42" t="n">
        <v>8</v>
      </c>
      <c r="B14" s="25" t="inlineStr">
        <is>
          <t>EJE-08</t>
        </is>
      </c>
      <c r="C14" s="25" t="inlineStr">
        <is>
          <t>ABIERTA</t>
        </is>
      </c>
      <c r="D14" s="35" t="n">
        <v>39.68</v>
      </c>
      <c r="E14" s="35" t="n">
        <v>0</v>
      </c>
      <c r="F14" s="55">
        <f>IF(D14-E14&lt;0,0,D14-E14)</f>
        <v/>
      </c>
      <c r="G14" s="42" t="n">
        <v>0</v>
      </c>
      <c r="H14" s="25" t="inlineStr">
        <is>
          <t>m</t>
        </is>
      </c>
    </row>
    <row r="15">
      <c r="A15" s="42" t="n">
        <v>9</v>
      </c>
      <c r="B15" s="25" t="inlineStr">
        <is>
          <t>EJE-09</t>
        </is>
      </c>
      <c r="C15" s="25" t="inlineStr">
        <is>
          <t>ABIERTA</t>
        </is>
      </c>
      <c r="D15" s="35" t="n">
        <v>35.8</v>
      </c>
      <c r="E15" s="35" t="n">
        <v>0</v>
      </c>
      <c r="F15" s="55">
        <f>IF(D15-E15&lt;0,0,D15-E15)</f>
        <v/>
      </c>
      <c r="G15" s="42" t="n">
        <v>0</v>
      </c>
      <c r="H15" s="25" t="inlineStr">
        <is>
          <t>m</t>
        </is>
      </c>
    </row>
    <row r="16">
      <c r="A16" s="42" t="n">
        <v>10</v>
      </c>
      <c r="B16" s="25" t="inlineStr">
        <is>
          <t>EJE-10</t>
        </is>
      </c>
      <c r="C16" s="25" t="inlineStr">
        <is>
          <t>ABIERTA</t>
        </is>
      </c>
      <c r="D16" s="35" t="n">
        <v>36.9</v>
      </c>
      <c r="E16" s="35" t="n">
        <v>0</v>
      </c>
      <c r="F16" s="55">
        <f>IF(D16-E16&lt;0,0,D16-E16)</f>
        <v/>
      </c>
      <c r="G16" s="42" t="n">
        <v>0</v>
      </c>
      <c r="H16" s="25" t="inlineStr">
        <is>
          <t>m</t>
        </is>
      </c>
    </row>
    <row r="17">
      <c r="A17" s="42" t="n">
        <v>11</v>
      </c>
      <c r="B17" s="25" t="inlineStr">
        <is>
          <t>EJE-11</t>
        </is>
      </c>
      <c r="C17" s="25" t="inlineStr">
        <is>
          <t>MIXTA</t>
        </is>
      </c>
      <c r="D17" s="35" t="n">
        <v>30.36</v>
      </c>
      <c r="E17" s="35" t="n">
        <v>0.5</v>
      </c>
      <c r="F17" s="55">
        <f>IF(D17-E17&lt;0,0,D17-E17)</f>
        <v/>
      </c>
      <c r="G17" s="42" t="n">
        <v>0</v>
      </c>
      <c r="H17" s="25" t="inlineStr">
        <is>
          <t>m</t>
        </is>
      </c>
    </row>
    <row r="18">
      <c r="A18" s="42" t="n">
        <v>12</v>
      </c>
      <c r="B18" s="25" t="inlineStr">
        <is>
          <t>EJE-12</t>
        </is>
      </c>
      <c r="C18" s="25" t="inlineStr">
        <is>
          <t>MIXTA</t>
        </is>
      </c>
      <c r="D18" s="35" t="n">
        <v>118.38</v>
      </c>
      <c r="E18" s="35" t="n">
        <v>15.22</v>
      </c>
      <c r="F18" s="55">
        <f>IF(D18-E18&lt;0,0,D18-E18)</f>
        <v/>
      </c>
      <c r="G18" s="42" t="n">
        <v>3</v>
      </c>
      <c r="H18" s="25" t="inlineStr">
        <is>
          <t>m</t>
        </is>
      </c>
    </row>
    <row r="19">
      <c r="A19" s="42" t="n">
        <v>13</v>
      </c>
      <c r="B19" s="25" t="inlineStr">
        <is>
          <t>EJE-13</t>
        </is>
      </c>
      <c r="C19" s="25" t="inlineStr">
        <is>
          <t>ABIERTA</t>
        </is>
      </c>
      <c r="D19" s="35" t="n">
        <v>24.38</v>
      </c>
      <c r="E19" s="35" t="n">
        <v>0</v>
      </c>
      <c r="F19" s="55">
        <f>IF(D19-E19&lt;0,0,D19-E19)</f>
        <v/>
      </c>
      <c r="G19" s="42" t="n">
        <v>0</v>
      </c>
      <c r="H19" s="25" t="inlineStr">
        <is>
          <t>m</t>
        </is>
      </c>
    </row>
    <row r="20">
      <c r="A20" s="42" t="n">
        <v>14</v>
      </c>
      <c r="B20" s="25" t="inlineStr">
        <is>
          <t>EJE-14</t>
        </is>
      </c>
      <c r="C20" s="25" t="inlineStr">
        <is>
          <t>ABIERTA</t>
        </is>
      </c>
      <c r="D20" s="35" t="n">
        <v>64.93000000000001</v>
      </c>
      <c r="E20" s="35" t="n">
        <v>0</v>
      </c>
      <c r="F20" s="55">
        <f>IF(D20-E20&lt;0,0,D20-E20)</f>
        <v/>
      </c>
      <c r="G20" s="42" t="n">
        <v>0</v>
      </c>
      <c r="H20" s="25" t="inlineStr">
        <is>
          <t>m</t>
        </is>
      </c>
    </row>
    <row r="21">
      <c r="A21" s="42" t="n">
        <v>15</v>
      </c>
      <c r="B21" s="25" t="inlineStr">
        <is>
          <t>EJE-15</t>
        </is>
      </c>
      <c r="C21" s="25" t="inlineStr">
        <is>
          <t>ABIERTA</t>
        </is>
      </c>
      <c r="D21" s="35" t="n">
        <v>41.47</v>
      </c>
      <c r="E21" s="35" t="n">
        <v>0</v>
      </c>
      <c r="F21" s="55">
        <f>IF(D21-E21&lt;0,0,D21-E21)</f>
        <v/>
      </c>
      <c r="G21" s="42" t="n">
        <v>0</v>
      </c>
      <c r="H21" s="25" t="inlineStr">
        <is>
          <t>m</t>
        </is>
      </c>
    </row>
    <row r="22">
      <c r="A22" s="42" t="n">
        <v>16</v>
      </c>
      <c r="B22" s="25" t="inlineStr">
        <is>
          <t>EJE-16</t>
        </is>
      </c>
      <c r="C22" s="25" t="inlineStr">
        <is>
          <t>ABIERTA</t>
        </is>
      </c>
      <c r="D22" s="35" t="n">
        <v>49.55</v>
      </c>
      <c r="E22" s="35" t="n">
        <v>0</v>
      </c>
      <c r="F22" s="55">
        <f>IF(D22-E22&lt;0,0,D22-E22)</f>
        <v/>
      </c>
      <c r="G22" s="42" t="n">
        <v>0</v>
      </c>
      <c r="H22" s="25" t="inlineStr">
        <is>
          <t>m</t>
        </is>
      </c>
    </row>
    <row r="23">
      <c r="A23" s="42" t="n">
        <v>17</v>
      </c>
      <c r="B23" s="25" t="inlineStr">
        <is>
          <t>EJE-17</t>
        </is>
      </c>
      <c r="C23" s="25" t="inlineStr">
        <is>
          <t>MIXTA</t>
        </is>
      </c>
      <c r="D23" s="35" t="n">
        <v>39.98</v>
      </c>
      <c r="E23" s="35" t="n">
        <v>4.58</v>
      </c>
      <c r="F23" s="55">
        <f>IF(D23-E23&lt;0,0,D23-E23)</f>
        <v/>
      </c>
      <c r="G23" s="42" t="n">
        <v>2</v>
      </c>
      <c r="H23" s="25" t="inlineStr">
        <is>
          <t>m</t>
        </is>
      </c>
    </row>
    <row r="24">
      <c r="A24" s="42" t="n">
        <v>18</v>
      </c>
      <c r="B24" s="25" t="inlineStr">
        <is>
          <t>EJE-18</t>
        </is>
      </c>
      <c r="C24" s="25" t="inlineStr">
        <is>
          <t>ABIERTA</t>
        </is>
      </c>
      <c r="D24" s="35" t="n">
        <v>38.68</v>
      </c>
      <c r="E24" s="35" t="n">
        <v>0</v>
      </c>
      <c r="F24" s="55">
        <f>IF(D24-E24&lt;0,0,D24-E24)</f>
        <v/>
      </c>
      <c r="G24" s="42" t="n">
        <v>0</v>
      </c>
      <c r="H24" s="25" t="inlineStr">
        <is>
          <t>m</t>
        </is>
      </c>
    </row>
    <row r="25">
      <c r="A25" s="42" t="n">
        <v>19</v>
      </c>
      <c r="B25" s="25" t="inlineStr">
        <is>
          <t>EJE-19</t>
        </is>
      </c>
      <c r="C25" s="25" t="inlineStr">
        <is>
          <t>ABIERTA</t>
        </is>
      </c>
      <c r="D25" s="35" t="n">
        <v>14.09</v>
      </c>
      <c r="E25" s="35" t="n">
        <v>0</v>
      </c>
      <c r="F25" s="55">
        <f>IF(D25-E25&lt;0,0,D25-E25)</f>
        <v/>
      </c>
      <c r="G25" s="42" t="n">
        <v>0</v>
      </c>
      <c r="H25" s="25" t="inlineStr">
        <is>
          <t>m</t>
        </is>
      </c>
    </row>
    <row r="26">
      <c r="A26" s="15" t="inlineStr">
        <is>
          <t>TOTAL REJILLA METALICA</t>
        </is>
      </c>
      <c r="B26" s="17" t="n"/>
      <c r="C26" s="17" t="n"/>
      <c r="D26" s="17" t="n"/>
      <c r="E26" s="18" t="n"/>
      <c r="F26" s="32">
        <f>SUM(F7:F25)</f>
        <v/>
      </c>
      <c r="G26" s="56">
        <f>SUM(G7:G25)</f>
        <v/>
      </c>
      <c r="H26" s="15" t="inlineStr">
        <is>
          <t>m</t>
        </is>
      </c>
    </row>
    <row r="28" ht="30" customHeight="1">
      <c r="A28" s="44" t="inlineStr">
        <is>
          <t>Rejilla en todo tramo abierto (platinas de 1" x 3/16" sobre angulo de 1" x 1" x 3/16"); en los tramos tapados va losa con tapas de inspeccion.</t>
        </is>
      </c>
    </row>
  </sheetData>
  <mergeCells count="11">
    <mergeCell ref="A1:H1"/>
    <mergeCell ref="A4:B4"/>
    <mergeCell ref="A2:B2"/>
    <mergeCell ref="C2:H2"/>
    <mergeCell ref="A26:E26"/>
    <mergeCell ref="C5:H5"/>
    <mergeCell ref="A5:B5"/>
    <mergeCell ref="A28:H28"/>
    <mergeCell ref="C4:H4"/>
    <mergeCell ref="C3:H3"/>
    <mergeCell ref="A3:B3"/>
  </mergeCells>
  <pageMargins left="0.75" right="0.75" top="1" bottom="1" header="0.5" footer="0.5"/>
  <pageSetup orientation="portrait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2" customWidth="1" min="2" max="2"/>
    <col width="11" customWidth="1" min="3" max="3"/>
    <col width="10" customWidth="1" min="4" max="4"/>
    <col width="10" customWidth="1" min="5" max="5"/>
    <col width="10" customWidth="1" min="6" max="6"/>
    <col width="8" customWidth="1" min="7" max="7"/>
    <col width="10" customWidth="1" min="8" max="8"/>
    <col width="11" customWidth="1" min="9" max="9"/>
    <col width="11" customWidth="1" min="10" max="10"/>
    <col width="7" customWidth="1" min="11" max="11"/>
  </cols>
  <sheetData>
    <row r="1">
      <c r="A1" s="14" t="inlineStr">
        <is>
          <t>METRADO DE TAPAS DE INSPECCIÓN EN CUNETAS TAPADAS</t>
        </is>
      </c>
    </row>
    <row r="2">
      <c r="A2" s="27" t="inlineStr">
        <is>
          <t>ENTIDAD</t>
        </is>
      </c>
      <c r="B2" s="16">
        <f>+RESUMEN!B4</f>
        <v/>
      </c>
      <c r="C2" s="17" t="n"/>
      <c r="D2" s="17" t="n"/>
      <c r="E2" s="17" t="n"/>
      <c r="F2" s="17" t="n"/>
      <c r="G2" s="17" t="n"/>
      <c r="H2" s="17" t="n"/>
      <c r="I2" s="17" t="n"/>
      <c r="J2" s="17" t="n"/>
      <c r="K2" s="18" t="n"/>
    </row>
    <row r="3" ht="33" customHeight="1">
      <c r="A3" s="27" t="inlineStr">
        <is>
          <t>PROYECTO</t>
        </is>
      </c>
      <c r="B3" s="16">
        <f>+RESUMEN!B5</f>
        <v/>
      </c>
      <c r="C3" s="17" t="n"/>
      <c r="D3" s="17" t="n"/>
      <c r="E3" s="17" t="n"/>
      <c r="F3" s="17" t="n"/>
      <c r="G3" s="17" t="n"/>
      <c r="H3" s="17" t="n"/>
      <c r="I3" s="17" t="n"/>
      <c r="J3" s="17" t="n"/>
      <c r="K3" s="18" t="n"/>
    </row>
    <row r="4">
      <c r="A4" s="27" t="inlineStr">
        <is>
          <t>UBICACIÓN</t>
        </is>
      </c>
      <c r="B4" s="16">
        <f>+RESUMEN!B6</f>
        <v/>
      </c>
      <c r="C4" s="17" t="n"/>
      <c r="D4" s="17" t="n"/>
      <c r="E4" s="17" t="n"/>
      <c r="F4" s="17" t="n"/>
      <c r="G4" s="17" t="n"/>
      <c r="H4" s="17" t="n"/>
      <c r="I4" s="17" t="n"/>
      <c r="J4" s="17" t="n"/>
      <c r="K4" s="18" t="n"/>
    </row>
    <row r="5">
      <c r="A5" s="27" t="inlineStr">
        <is>
          <t>FECHA</t>
        </is>
      </c>
      <c r="B5" s="16">
        <f>+RESUMEN!B7</f>
        <v/>
      </c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</row>
    <row r="7" ht="32" customHeight="1">
      <c r="A7" s="19" t="inlineStr">
        <is>
          <t>ITEM</t>
        </is>
      </c>
      <c r="B7" s="19" t="inlineStr">
        <is>
          <t>DESCRIPCIÓN</t>
        </is>
      </c>
      <c r="C7" s="19" t="inlineStr">
        <is>
          <t>Nº DE VECES</t>
        </is>
      </c>
      <c r="D7" s="19" t="inlineStr">
        <is>
          <t>LARGO</t>
        </is>
      </c>
      <c r="E7" s="19" t="inlineStr">
        <is>
          <t>ANCHO</t>
        </is>
      </c>
      <c r="F7" s="19" t="inlineStr">
        <is>
          <t>ALTURA</t>
        </is>
      </c>
      <c r="G7" s="19" t="inlineStr">
        <is>
          <t>FACT.</t>
        </is>
      </c>
      <c r="H7" s="19" t="inlineStr">
        <is>
          <t>AREA</t>
        </is>
      </c>
      <c r="I7" s="19" t="inlineStr">
        <is>
          <t>PARCIAL</t>
        </is>
      </c>
      <c r="J7" s="19" t="inlineStr">
        <is>
          <t>TOTAL</t>
        </is>
      </c>
      <c r="K7" s="19" t="inlineStr">
        <is>
          <t>UND</t>
        </is>
      </c>
    </row>
    <row r="8">
      <c r="A8" s="33" t="inlineStr">
        <is>
          <t>01.04.02.02</t>
        </is>
      </c>
      <c r="B8" s="29" t="inlineStr">
        <is>
          <t>TAPA DE INSPECCION 0.60m x 0.60m</t>
        </is>
      </c>
      <c r="C8" s="31" t="n"/>
      <c r="D8" s="31" t="n"/>
      <c r="E8" s="31" t="n"/>
      <c r="F8" s="31" t="n"/>
      <c r="G8" s="31" t="n"/>
      <c r="H8" s="31" t="n"/>
      <c r="I8" s="31" t="n"/>
      <c r="J8" s="57">
        <f>SUM(I9:I18)</f>
        <v/>
      </c>
      <c r="K8" s="33" t="inlineStr">
        <is>
          <t>und</t>
        </is>
      </c>
    </row>
    <row r="9">
      <c r="A9" s="42" t="n">
        <v>1</v>
      </c>
      <c r="B9" s="34" t="inlineStr">
        <is>
          <t>EJE-02 - progresiva 75.74 m (tramo tapado)</t>
        </is>
      </c>
      <c r="C9" s="42" t="n">
        <v>1</v>
      </c>
      <c r="D9" s="25" t="n"/>
      <c r="E9" s="25" t="n"/>
      <c r="F9" s="25" t="n"/>
      <c r="G9" s="25" t="n"/>
      <c r="H9" s="25" t="n"/>
      <c r="I9" s="42">
        <f>C9</f>
        <v/>
      </c>
      <c r="J9" s="25" t="n"/>
      <c r="K9" s="25" t="inlineStr">
        <is>
          <t>und</t>
        </is>
      </c>
    </row>
    <row r="10">
      <c r="A10" s="42" t="n">
        <v>2</v>
      </c>
      <c r="B10" s="34" t="inlineStr">
        <is>
          <t>EJE-07 - progresiva 72.19 m (tramo tapado)</t>
        </is>
      </c>
      <c r="C10" s="42" t="n">
        <v>1</v>
      </c>
      <c r="D10" s="25" t="n"/>
      <c r="E10" s="25" t="n"/>
      <c r="F10" s="25" t="n"/>
      <c r="G10" s="25" t="n"/>
      <c r="H10" s="25" t="n"/>
      <c r="I10" s="42">
        <f>C10</f>
        <v/>
      </c>
      <c r="J10" s="25" t="n"/>
      <c r="K10" s="25" t="inlineStr">
        <is>
          <t>und</t>
        </is>
      </c>
    </row>
    <row r="11">
      <c r="A11" s="42" t="n">
        <v>3</v>
      </c>
      <c r="B11" s="34" t="inlineStr">
        <is>
          <t>EJE-07 - progresiva 79.41 m (tramo tapado)</t>
        </is>
      </c>
      <c r="C11" s="42" t="n">
        <v>1</v>
      </c>
      <c r="D11" s="25" t="n"/>
      <c r="E11" s="25" t="n"/>
      <c r="F11" s="25" t="n"/>
      <c r="G11" s="25" t="n"/>
      <c r="H11" s="25" t="n"/>
      <c r="I11" s="42">
        <f>C11</f>
        <v/>
      </c>
      <c r="J11" s="25" t="n"/>
      <c r="K11" s="25" t="inlineStr">
        <is>
          <t>und</t>
        </is>
      </c>
    </row>
    <row r="12">
      <c r="A12" s="42" t="n">
        <v>4</v>
      </c>
      <c r="B12" s="34" t="inlineStr">
        <is>
          <t>EJE-07 - progresiva 86.62 m (tramo tapado)</t>
        </is>
      </c>
      <c r="C12" s="42" t="n">
        <v>1</v>
      </c>
      <c r="D12" s="25" t="n"/>
      <c r="E12" s="25" t="n"/>
      <c r="F12" s="25" t="n"/>
      <c r="G12" s="25" t="n"/>
      <c r="H12" s="25" t="n"/>
      <c r="I12" s="42">
        <f>C12</f>
        <v/>
      </c>
      <c r="J12" s="25" t="n"/>
      <c r="K12" s="25" t="inlineStr">
        <is>
          <t>und</t>
        </is>
      </c>
    </row>
    <row r="13">
      <c r="A13" s="42" t="n">
        <v>5</v>
      </c>
      <c r="B13" s="34" t="inlineStr">
        <is>
          <t>EJE-07 - progresiva 93.84 m (tramo tapado)</t>
        </is>
      </c>
      <c r="C13" s="42" t="n">
        <v>1</v>
      </c>
      <c r="D13" s="25" t="n"/>
      <c r="E13" s="25" t="n"/>
      <c r="F13" s="25" t="n"/>
      <c r="G13" s="25" t="n"/>
      <c r="H13" s="25" t="n"/>
      <c r="I13" s="42">
        <f>C13</f>
        <v/>
      </c>
      <c r="J13" s="25" t="n"/>
      <c r="K13" s="25" t="inlineStr">
        <is>
          <t>und</t>
        </is>
      </c>
    </row>
    <row r="14">
      <c r="A14" s="42" t="n">
        <v>6</v>
      </c>
      <c r="B14" s="34" t="inlineStr">
        <is>
          <t>EJE-12 - progresiva 103.56 m (tramo tapado)</t>
        </is>
      </c>
      <c r="C14" s="42" t="n">
        <v>1</v>
      </c>
      <c r="D14" s="25" t="n"/>
      <c r="E14" s="25" t="n"/>
      <c r="F14" s="25" t="n"/>
      <c r="G14" s="25" t="n"/>
      <c r="H14" s="25" t="n"/>
      <c r="I14" s="42">
        <f>C14</f>
        <v/>
      </c>
      <c r="J14" s="25" t="n"/>
      <c r="K14" s="25" t="inlineStr">
        <is>
          <t>und</t>
        </is>
      </c>
    </row>
    <row r="15">
      <c r="A15" s="42" t="n">
        <v>7</v>
      </c>
      <c r="B15" s="34" t="inlineStr">
        <is>
          <t>EJE-12 - progresiva 110.54 m (tramo tapado)</t>
        </is>
      </c>
      <c r="C15" s="42" t="n">
        <v>1</v>
      </c>
      <c r="D15" s="25" t="n"/>
      <c r="E15" s="25" t="n"/>
      <c r="F15" s="25" t="n"/>
      <c r="G15" s="25" t="n"/>
      <c r="H15" s="25" t="n"/>
      <c r="I15" s="42">
        <f>C15</f>
        <v/>
      </c>
      <c r="J15" s="25" t="n"/>
      <c r="K15" s="25" t="inlineStr">
        <is>
          <t>und</t>
        </is>
      </c>
    </row>
    <row r="16">
      <c r="A16" s="42" t="n">
        <v>8</v>
      </c>
      <c r="B16" s="34" t="inlineStr">
        <is>
          <t>EJE-12 - progresiva 117.53 m (tramo tapado)</t>
        </is>
      </c>
      <c r="C16" s="42" t="n">
        <v>1</v>
      </c>
      <c r="D16" s="25" t="n"/>
      <c r="E16" s="25" t="n"/>
      <c r="F16" s="25" t="n"/>
      <c r="G16" s="25" t="n"/>
      <c r="H16" s="25" t="n"/>
      <c r="I16" s="42">
        <f>C16</f>
        <v/>
      </c>
      <c r="J16" s="25" t="n"/>
      <c r="K16" s="25" t="inlineStr">
        <is>
          <t>und</t>
        </is>
      </c>
    </row>
    <row r="17">
      <c r="A17" s="42" t="n">
        <v>9</v>
      </c>
      <c r="B17" s="34" t="inlineStr">
        <is>
          <t>EJE-17 - progresiva 9.35 m (tramo tapado)</t>
        </is>
      </c>
      <c r="C17" s="42" t="n">
        <v>1</v>
      </c>
      <c r="D17" s="25" t="n"/>
      <c r="E17" s="25" t="n"/>
      <c r="F17" s="25" t="n"/>
      <c r="G17" s="25" t="n"/>
      <c r="H17" s="25" t="n"/>
      <c r="I17" s="42">
        <f>C17</f>
        <v/>
      </c>
      <c r="J17" s="25" t="n"/>
      <c r="K17" s="25" t="inlineStr">
        <is>
          <t>und</t>
        </is>
      </c>
    </row>
    <row r="18">
      <c r="A18" s="42" t="n">
        <v>10</v>
      </c>
      <c r="B18" s="34" t="inlineStr">
        <is>
          <t>EJE-17 - progresiva 12.53 m (tramo tapado)</t>
        </is>
      </c>
      <c r="C18" s="42" t="n">
        <v>1</v>
      </c>
      <c r="D18" s="25" t="n"/>
      <c r="E18" s="25" t="n"/>
      <c r="F18" s="25" t="n"/>
      <c r="G18" s="25" t="n"/>
      <c r="H18" s="25" t="n"/>
      <c r="I18" s="42">
        <f>C18</f>
        <v/>
      </c>
      <c r="J18" s="25" t="n"/>
      <c r="K18" s="25" t="inlineStr">
        <is>
          <t>und</t>
        </is>
      </c>
    </row>
    <row r="20">
      <c r="B20" s="45" t="inlineStr">
        <is>
          <t>COMPOSICIÓN DE CADA TAPA (INCLUIDA EN LA UNIDAD)</t>
        </is>
      </c>
    </row>
    <row r="21">
      <c r="B21" s="34" t="inlineStr">
        <is>
          <t>Concreto f'c=175 kg/cm2 en tapa</t>
        </is>
      </c>
      <c r="C21" s="42">
        <f>$J$8</f>
        <v/>
      </c>
      <c r="D21" s="52">
        <f>PARAMETROS!$B$21</f>
        <v/>
      </c>
      <c r="E21" s="52">
        <f>PARAMETROS!$B$21</f>
        <v/>
      </c>
      <c r="F21" s="52">
        <f>PARAMETROS!$B$22</f>
        <v/>
      </c>
      <c r="I21" s="52">
        <f>C21*D21*E21*F21</f>
        <v/>
      </c>
      <c r="K21" s="25" t="inlineStr">
        <is>
          <t>m3</t>
        </is>
      </c>
    </row>
    <row r="22">
      <c r="B22" s="34" t="inlineStr">
        <is>
          <t>Encofrado lateral de tapa</t>
        </is>
      </c>
      <c r="C22" s="42">
        <f>$J$8</f>
        <v/>
      </c>
      <c r="D22" s="52">
        <f>4*PARAMETROS!$B$21</f>
        <v/>
      </c>
      <c r="E22" s="52" t="n"/>
      <c r="F22" s="52">
        <f>PARAMETROS!$B$22</f>
        <v/>
      </c>
      <c r="I22" s="52">
        <f>C22*D22*F22</f>
        <v/>
      </c>
      <c r="K22" s="25" t="inlineStr">
        <is>
          <t>m2</t>
        </is>
      </c>
    </row>
    <row r="23">
      <c r="B23" s="34" t="inlineStr">
        <is>
          <t>Acero 3/8" parrilla simple en ambos sentidos</t>
        </is>
      </c>
      <c r="C23" s="42">
        <f>$J$8</f>
        <v/>
      </c>
      <c r="D23" s="52">
        <f>2*(PARAMETROS!$B$21-2*PARAMETROS!$B$16)</f>
        <v/>
      </c>
      <c r="E23" s="52" t="n"/>
      <c r="F23" s="52" t="n"/>
      <c r="I23" s="52">
        <f>C23*D23*(CEILING(ROUND((PARAMETROS!$B$21-2*PARAMETROS!$B$16)/PARAMETROS!$B$23,6),1)+1)*PARAMETROS!$B$17</f>
        <v/>
      </c>
      <c r="K23" s="25" t="inlineStr">
        <is>
          <t>kg</t>
        </is>
      </c>
    </row>
    <row r="25" ht="30" customHeight="1">
      <c r="B25" s="44" t="inlineStr">
        <is>
          <t>Tapas a cada extremo de tramo tapado, en cada empalme y a 10 m como maximo entre tapas (planta DC-01). Asas de fierro liso de 3/8".</t>
        </is>
      </c>
    </row>
  </sheetData>
  <mergeCells count="6">
    <mergeCell ref="B4:K4"/>
    <mergeCell ref="B25:K25"/>
    <mergeCell ref="B2:K2"/>
    <mergeCell ref="A1:K1"/>
    <mergeCell ref="B3:K3"/>
    <mergeCell ref="B5:K5"/>
  </mergeCells>
  <pageMargins left="0.75" right="0.75" top="1" bottom="1" header="0.5" footer="0.5"/>
  <pageSetup orientation="portrait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2" customWidth="1" min="2" max="2"/>
    <col width="9" customWidth="1" min="3" max="3"/>
    <col width="58" customWidth="1" min="4" max="4"/>
  </cols>
  <sheetData>
    <row r="1">
      <c r="A1" s="14" t="inlineStr">
        <is>
          <t>PARÁMETROS DEL METRADO - RED DE CUNETAS</t>
        </is>
      </c>
    </row>
    <row r="2">
      <c r="A2" s="58" t="inlineStr">
        <is>
          <t>Valores editables: las hojas de detalle los usan en sus formulas.</t>
        </is>
      </c>
    </row>
    <row r="4" ht="32" customHeight="1">
      <c r="A4" s="19" t="inlineStr">
        <is>
          <t>Descripción</t>
        </is>
      </c>
      <c r="B4" s="19" t="inlineStr">
        <is>
          <t>Valor</t>
        </is>
      </c>
      <c r="C4" s="19" t="inlineStr">
        <is>
          <t>Unidad</t>
        </is>
      </c>
      <c r="D4" s="19" t="inlineStr">
        <is>
          <t>Criterio</t>
        </is>
      </c>
    </row>
    <row r="5">
      <c r="A5" s="34" t="inlineStr">
        <is>
          <t>Ancho exterior de la cuneta (m)</t>
        </is>
      </c>
      <c r="B5" s="39" t="n">
        <v>0.6000000000000001</v>
      </c>
      <c r="C5" s="25" t="inlineStr">
        <is>
          <t>m</t>
        </is>
      </c>
      <c r="D5" s="34" t="inlineStr">
        <is>
          <t>Planos DC-02: muros 0.10 + 0.40 libres + 0.10</t>
        </is>
      </c>
    </row>
    <row r="6">
      <c r="A6" s="34" t="inlineStr">
        <is>
          <t>Luz libre interior (m)</t>
        </is>
      </c>
      <c r="B6" s="39" t="n">
        <v>0.4</v>
      </c>
      <c r="C6" s="25" t="inlineStr">
        <is>
          <t>m</t>
        </is>
      </c>
      <c r="D6" s="34" t="inlineStr">
        <is>
          <t>Planos DC-02</t>
        </is>
      </c>
    </row>
    <row r="7">
      <c r="A7" s="34" t="inlineStr">
        <is>
          <t>Espesor de muros (m)</t>
        </is>
      </c>
      <c r="B7" s="39" t="n">
        <v>0.1</v>
      </c>
      <c r="C7" s="25" t="inlineStr">
        <is>
          <t>m</t>
        </is>
      </c>
      <c r="D7" s="34" t="inlineStr">
        <is>
          <t>Planos DC-02</t>
        </is>
      </c>
    </row>
    <row r="8">
      <c r="A8" s="34" t="inlineStr">
        <is>
          <t>Espesor de losa de fondo (m)</t>
        </is>
      </c>
      <c r="B8" s="39" t="n">
        <v>0.1</v>
      </c>
      <c r="C8" s="25" t="inlineStr">
        <is>
          <t>m</t>
        </is>
      </c>
      <c r="D8" s="34" t="inlineStr">
        <is>
          <t>Planos DC-02</t>
        </is>
      </c>
    </row>
    <row r="9">
      <c r="A9" s="34" t="inlineStr">
        <is>
          <t>Espesor de losa tapa en tramos tapados (m)</t>
        </is>
      </c>
      <c r="B9" s="39" t="n">
        <v>0.1</v>
      </c>
      <c r="C9" s="25" t="inlineStr">
        <is>
          <t>m</t>
        </is>
      </c>
      <c r="D9" s="34" t="inlineStr">
        <is>
          <t>Planos DC-02</t>
        </is>
      </c>
    </row>
    <row r="10">
      <c r="A10" s="34" t="inlineStr">
        <is>
          <t>Espesor de solado f'c = 100 kg/cm2 (m)</t>
        </is>
      </c>
      <c r="B10" s="39" t="n">
        <v>0.1</v>
      </c>
      <c r="C10" s="25" t="inlineStr">
        <is>
          <t>m</t>
        </is>
      </c>
      <c r="D10" s="34" t="inlineStr">
        <is>
          <t>Solado e = 4" bajo la losa de fondo</t>
        </is>
      </c>
    </row>
    <row r="11">
      <c r="A11" s="34" t="inlineStr">
        <is>
          <t>Sobreancho de excavacion a cada lado (m)</t>
        </is>
      </c>
      <c r="B11" s="39" t="n">
        <v>0.15</v>
      </c>
      <c r="C11" s="25" t="inlineStr">
        <is>
          <t>m</t>
        </is>
      </c>
      <c r="D11" s="34" t="inlineStr">
        <is>
          <t>Espacio de trabajo y encofrado</t>
        </is>
      </c>
    </row>
    <row r="12">
      <c r="A12" s="34" t="inlineStr">
        <is>
          <t>Ancho de excavacion (m)</t>
        </is>
      </c>
      <c r="B12" s="39">
        <f>B5+2*B11</f>
        <v/>
      </c>
      <c r="C12" s="25" t="inlineStr">
        <is>
          <t>m</t>
        </is>
      </c>
      <c r="D12" s="34" t="inlineStr">
        <is>
          <t>Ancho exterior + 2 sobreanchos</t>
        </is>
      </c>
    </row>
    <row r="13">
      <c r="A13" s="34" t="inlineStr">
        <is>
          <t>Profundidad adicional bajo la cota de fondo: losa + solado (m)</t>
        </is>
      </c>
      <c r="B13" s="39">
        <f>B8+B10</f>
        <v/>
      </c>
      <c r="C13" s="25" t="inlineStr">
        <is>
          <t>m</t>
        </is>
      </c>
      <c r="D13" s="34" t="inlineStr">
        <is>
          <t>Losa de fondo + solado</t>
        </is>
      </c>
    </row>
    <row r="14">
      <c r="A14" s="34" t="inlineStr">
        <is>
          <t>Factor de esponjamiento para eliminacion</t>
        </is>
      </c>
      <c r="B14" s="39" t="n">
        <v>1.25</v>
      </c>
      <c r="C14" s="25" t="inlineStr">
        <is>
          <t>-</t>
        </is>
      </c>
      <c r="D14" s="34" t="inlineStr">
        <is>
          <t>Eliminacion = (excavacion - relleno) x factor</t>
        </is>
      </c>
    </row>
    <row r="15">
      <c r="A15" s="34" t="inlineStr">
        <is>
          <t>Junta de dilatacion en la seccion en U cada (m)</t>
        </is>
      </c>
      <c r="B15" s="39" t="n">
        <v>3</v>
      </c>
      <c r="C15" s="25" t="inlineStr">
        <is>
          <t>m</t>
        </is>
      </c>
      <c r="D15" s="34" t="inlineStr">
        <is>
          <t>Juntas en toda la seccion en U</t>
        </is>
      </c>
    </row>
    <row r="16">
      <c r="A16" s="34" t="inlineStr">
        <is>
          <t>Recubrimiento del acero (m)</t>
        </is>
      </c>
      <c r="B16" s="39" t="n">
        <v>0.04</v>
      </c>
      <c r="C16" s="25" t="inlineStr">
        <is>
          <t>m</t>
        </is>
      </c>
      <c r="D16" s="34" t="inlineStr">
        <is>
          <t>Planos DC-02</t>
        </is>
      </c>
    </row>
    <row r="17">
      <c r="A17" s="34" t="inlineStr">
        <is>
          <t>Peso de la barra de 3/8" (kg/m)</t>
        </is>
      </c>
      <c r="B17" s="39" t="n">
        <v>0.5600000000000001</v>
      </c>
      <c r="C17" s="25" t="inlineStr">
        <is>
          <t>kg/m</t>
        </is>
      </c>
      <c r="D17" s="34" t="inlineStr">
        <is>
          <t>Hoja Listas</t>
        </is>
      </c>
    </row>
    <row r="18">
      <c r="A18" s="34" t="inlineStr">
        <is>
          <t>Separacion de las U de 3/8" (m)</t>
        </is>
      </c>
      <c r="B18" s="39" t="n">
        <v>0.25</v>
      </c>
      <c r="C18" s="25" t="inlineStr">
        <is>
          <t>m</t>
        </is>
      </c>
      <c r="D18" s="34" t="inlineStr">
        <is>
          <t>Planos DC-02</t>
        </is>
      </c>
    </row>
    <row r="19">
      <c r="A19" s="34" t="inlineStr">
        <is>
          <t>Separacion de barras longitudinales de 3/8" (m)</t>
        </is>
      </c>
      <c r="B19" s="39" t="n">
        <v>0.2</v>
      </c>
      <c r="C19" s="25" t="inlineStr">
        <is>
          <t>m</t>
        </is>
      </c>
      <c r="D19" s="34" t="inlineStr">
        <is>
          <t>Planos DC-02</t>
        </is>
      </c>
    </row>
    <row r="20">
      <c r="A20" s="34" t="inlineStr">
        <is>
          <t>Profundidad minima con acero (m): h &gt;= 0.40 o tramo tapado</t>
        </is>
      </c>
      <c r="B20" s="39" t="n">
        <v>0.4</v>
      </c>
      <c r="C20" s="25" t="inlineStr">
        <is>
          <t>m</t>
        </is>
      </c>
      <c r="D20" s="34" t="inlineStr">
        <is>
          <t>Con h &lt; 0.40 m la cuneta abierta es de concreto simple</t>
        </is>
      </c>
    </row>
    <row r="21">
      <c r="A21" s="34" t="inlineStr">
        <is>
          <t>Tapa de inspeccion: lado (m)</t>
        </is>
      </c>
      <c r="B21" s="39" t="n">
        <v>0.6</v>
      </c>
      <c r="C21" s="25" t="inlineStr">
        <is>
          <t>m</t>
        </is>
      </c>
      <c r="D21" s="34" t="inlineStr">
        <is>
          <t>Planos DC-01: tapa 0.60 x 0.60</t>
        </is>
      </c>
    </row>
    <row r="22">
      <c r="A22" s="34" t="inlineStr">
        <is>
          <t>Tapa de inspeccion: espesor (m)</t>
        </is>
      </c>
      <c r="B22" s="39" t="n">
        <v>0.1</v>
      </c>
      <c r="C22" s="25" t="inlineStr">
        <is>
          <t>m</t>
        </is>
      </c>
      <c r="D22" s="34" t="inlineStr">
        <is>
          <t>Planos DC-01</t>
        </is>
      </c>
    </row>
    <row r="23">
      <c r="A23" s="34" t="inlineStr">
        <is>
          <t>Tapa de inspeccion: separacion de la parrilla de 3/8" (m)</t>
        </is>
      </c>
      <c r="B23" s="39" t="n">
        <v>0.15</v>
      </c>
      <c r="C23" s="25" t="inlineStr">
        <is>
          <t>m</t>
        </is>
      </c>
      <c r="D23" s="34" t="inlineStr">
        <is>
          <t>Parrilla simple en ambos sentidos</t>
        </is>
      </c>
    </row>
    <row r="25" ht="30" customHeight="1">
      <c r="A25" s="44" t="inlineStr">
        <is>
          <t>Fuente: planos DC-01 a DC-19 (secciones tipicas DC-02, perfiles DC-03 a DC-11, secciones DC-12 a DC-14, descargas DC-16 a DC-19).</t>
        </is>
      </c>
    </row>
  </sheetData>
  <mergeCells count="2">
    <mergeCell ref="A1:D1"/>
    <mergeCell ref="A25:D25"/>
  </mergeCells>
  <pageMargins left="0.75" right="0.75" top="1" bottom="1" header="0.5" footer="0.5"/>
  <pageSetup orientation="portrait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3" customWidth="1" min="3" max="3"/>
    <col width="18" customWidth="1" min="4" max="4"/>
  </cols>
  <sheetData>
    <row r="1">
      <c r="A1" s="14" t="inlineStr">
        <is>
          <t>LISTAS, FACTORES Y PARÁMETROS EDITABLES</t>
        </is>
      </c>
    </row>
    <row r="3" ht="32" customHeight="1">
      <c r="A3" s="19" t="inlineStr">
        <is>
          <t>DIÁMETRO</t>
        </is>
      </c>
      <c r="B3" s="19" t="inlineStr">
        <is>
          <t>FACTOR kg/m</t>
        </is>
      </c>
      <c r="C3" s="19" t="inlineStr"/>
      <c r="D3" s="19" t="inlineStr">
        <is>
          <t>TIPO DE CUNETA</t>
        </is>
      </c>
    </row>
    <row r="4">
      <c r="A4" s="25" t="inlineStr">
        <is>
          <t>6 mm</t>
        </is>
      </c>
      <c r="B4" s="52" t="n">
        <v>0.222</v>
      </c>
      <c r="D4" s="25" t="inlineStr">
        <is>
          <t>ABIERTA</t>
        </is>
      </c>
    </row>
    <row r="5">
      <c r="A5" s="25" t="inlineStr">
        <is>
          <t>8 mm</t>
        </is>
      </c>
      <c r="B5" s="52" t="n">
        <v>0.395</v>
      </c>
      <c r="D5" s="25" t="inlineStr">
        <is>
          <t>TAPADA</t>
        </is>
      </c>
    </row>
    <row r="6">
      <c r="A6" s="25" t="inlineStr">
        <is>
          <t>3/8"</t>
        </is>
      </c>
      <c r="B6" s="52" t="n">
        <v>0.5600000000000001</v>
      </c>
      <c r="D6" s="25" t="inlineStr">
        <is>
          <t>MIXTA</t>
        </is>
      </c>
    </row>
    <row r="7">
      <c r="A7" s="25" t="inlineStr">
        <is>
          <t>12 mm</t>
        </is>
      </c>
      <c r="B7" s="52" t="n">
        <v>0.888</v>
      </c>
    </row>
    <row r="8">
      <c r="A8" s="25" t="inlineStr">
        <is>
          <t>1/2"</t>
        </is>
      </c>
      <c r="B8" s="52" t="n">
        <v>0.994</v>
      </c>
    </row>
    <row r="9">
      <c r="A9" s="25" t="inlineStr">
        <is>
          <t>5/8"</t>
        </is>
      </c>
      <c r="B9" s="52" t="n">
        <v>1.552</v>
      </c>
    </row>
    <row r="10">
      <c r="A10" s="25" t="inlineStr">
        <is>
          <t>3/4"</t>
        </is>
      </c>
      <c r="B10" s="52" t="n">
        <v>2.235</v>
      </c>
    </row>
    <row r="11">
      <c r="A11" s="25" t="inlineStr">
        <is>
          <t>1"</t>
        </is>
      </c>
      <c r="B11" s="52" t="n">
        <v>3.973</v>
      </c>
    </row>
    <row r="13">
      <c r="A13" s="45" t="inlineStr">
        <is>
          <t>NOTA</t>
        </is>
      </c>
    </row>
    <row r="14">
      <c r="A14" s="58" t="inlineStr">
        <is>
          <t>Los factores kg/m son editables. MIXTA: eje con tramos con rejilla (abiertos) y tramos tapados.</t>
        </is>
      </c>
    </row>
  </sheetData>
  <mergeCells count="1">
    <mergeCell ref="A1:F1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2026-10-21T17:32:41Z</dcterms:created>
  <dcterms:modified xmlns:dcterms="http://purl.org/dc/terms/" xmlns:xsi="http://www.w3.org/2001/XMLSchema-instance" xsi:type="dcterms:W3CDTF">2026-10-21T17:32:43Z</dcterms:modified>
</cp:coreProperties>
</file>