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CARÁTULA" sheetId="1" state="visible" r:id="rId3"/>
    <sheet name="A. Estación" sheetId="2" state="visible" r:id="rId4"/>
    <sheet name="B.Modelo Distribución" sheetId="3" state="visible" r:id="rId5"/>
    <sheet name="C. Prueba Kolmorov-Smirnov" sheetId="4" state="visible" r:id="rId6"/>
    <sheet name="D.Resumen" sheetId="5" state="visible" r:id="rId7"/>
    <sheet name="A. Parametros" sheetId="6" state="visible" r:id="rId8"/>
    <sheet name="B. Int.maxima" sheetId="7" state="visible" r:id="rId9"/>
    <sheet name="C. P diseño" sheetId="8" state="visible" r:id="rId10"/>
  </sheets>
  <externalReferences>
    <externalReference r:id="rId11"/>
  </externalReferences>
  <definedNames>
    <definedName function="false" hidden="false" localSheetId="1" name="_xlnm.Print_Area" vbProcedure="false">'A. Estación'!$A$1:$O$71</definedName>
    <definedName function="false" hidden="false" localSheetId="5" name="_xlnm.Print_Area" vbProcedure="false">'A. Parametros'!$A$1:$I$54</definedName>
    <definedName function="false" hidden="false" localSheetId="5" name="_xlnm.Print_Titles" vbProcedure="false">'A. Parametros'!$2:$8</definedName>
    <definedName function="false" hidden="false" localSheetId="6" name="_xlnm.Print_Area" vbProcedure="false">'B. Int.maxima'!$A$1:$J$59</definedName>
    <definedName function="false" hidden="false" localSheetId="2" name="_xlnm.Print_Area" vbProcedure="false">'B.Modelo Distribución'!$A$1:$R$70</definedName>
    <definedName function="false" hidden="false" localSheetId="2" name="_xlnm.Print_Titles" vbProcedure="false">'B.Modelo Distribución'!$2:$7</definedName>
    <definedName function="false" hidden="false" localSheetId="7" name="_xlnm.Print_Area" vbProcedure="false">'C. P diseño'!$A$1:$F$169</definedName>
    <definedName function="false" hidden="false" localSheetId="7" name="_xlnm.Print_Titles" vbProcedure="false">'C. P diseño'!$2:$6</definedName>
    <definedName function="false" hidden="false" localSheetId="3" name="_xlnm.Print_Area" vbProcedure="false">'C. Prueba Kolmorov-Smirnov'!$A$1:$AA$55</definedName>
    <definedName function="false" hidden="false" localSheetId="0" name="_xlnm.Print_Area" vbProcedure="false">CARÁTULA!$A$1:$H$17</definedName>
    <definedName function="false" hidden="false" localSheetId="4" name="_xlnm.Print_Area" vbProcedure="false">'D.Resumen'!$A$1:$M$46</definedName>
    <definedName function="false" hidden="false" localSheetId="4" name="_xlnm.Print_Titles" vbProcedure="false">'D.Resumen'!$2:$5</definedName>
    <definedName function="false" hidden="false" name="CoefAsimE6" vbProcedure="false">'[1]N-LN-LP3_VEI'!$C$50</definedName>
    <definedName function="false" hidden="false" name="CuadroResultados" vbProcedure="false">#N/A</definedName>
    <definedName function="false" hidden="false" name="DatosOrdenadosLogaritmo" vbProcedure="false">#N/A</definedName>
    <definedName function="false" hidden="false" name="DatosOrdenadosNormal" vbProcedure="false">#N/A</definedName>
    <definedName function="false" hidden="false" name="Desv_Estand_LogP" vbProcedure="false">'[1]N-LN-LP3_VEI'!$C$47</definedName>
    <definedName function="false" hidden="false" name="Desv_Estand_P" vbProcedure="false">'[1]N-LN-LP3_VEI'!$B$47</definedName>
    <definedName function="false" hidden="false" name="MaxValor" vbProcedure="false">#N/A</definedName>
    <definedName function="false" hidden="false" name="NumeroDatos" vbProcedure="false">#REF!</definedName>
    <definedName function="false" hidden="false" name="Promedio_LogP" vbProcedure="false">'[1]N-LN-LP3_VEI'!$C$46</definedName>
    <definedName function="false" hidden="false" name="Promedio_P" vbProcedure="false">'[1]N-LN-LP3_VEI'!$B$46</definedName>
    <definedName function="false" hidden="false" name="Registrados_P" vbProcedure="false">#N/A</definedName>
    <definedName function="false" hidden="false" name="Registrados_TR" vbProcedure="false">#N/A</definedName>
    <definedName function="false" hidden="false" name="Registro" vbProcedure="false">#N/A</definedName>
    <definedName function="false" hidden="false" name="tabla" vbProcedure="false">#N/A</definedName>
    <definedName function="false" hidden="false" name="ValoresRangoLogaritmo" vbProcedure="false">#N/A</definedName>
    <definedName function="false" hidden="false" name="ValoresRangoNormal" vbProcedure="false">#N/A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<sst xmlns="http://schemas.openxmlformats.org/spreadsheetml/2006/main" count="314" uniqueCount="208">
  <si>
    <t xml:space="preserve">GOBIERNO REGIONAL SAN MARTÍN</t>
  </si>
  <si>
    <t xml:space="preserve">GERENCIA TERRITORIAL BAJO MAYO - TARAPOTO</t>
  </si>
  <si>
    <t xml:space="preserve">SERVICIO DE DISEÑO - DRENAJE PLUVIAL</t>
  </si>
  <si>
    <t xml:space="preserve">“MEJORAMIENTO Y AMPLIACIÓN DEL SERVICIO DE EDUCACIÓN PRIMARIA EN I.E. N° 0590 DISTRITO DE BARRANQUITA DE LA PROVINCIA DE LAMAS DEL DEPARTAMENTO DE SAN MARTÍN”</t>
  </si>
  <si>
    <t xml:space="preserve">C.I. N° 468901</t>
  </si>
  <si>
    <t xml:space="preserve">Vista aérea del local de la I.E. N° 0590 - Barranquita</t>
  </si>
  <si>
    <t xml:space="preserve">ANÁLISIS ESTADÍSTICO</t>
  </si>
  <si>
    <t xml:space="preserve">PRECIPITACIÓN MÁXIMA EN 24 HORAS Y TORMENTA DE DISEÑO</t>
  </si>
  <si>
    <t xml:space="preserve">ESPECIALIDAD: INSTALACIONES SANITARIAS - DRENAJE PLUVIAL</t>
  </si>
  <si>
    <t xml:space="preserve">Distrito de Barranquita  -  Provincia de Lamas  -  Departamento de San Martín</t>
  </si>
  <si>
    <t xml:space="preserve">OCTUBRE 2026</t>
  </si>
  <si>
    <t xml:space="preserve">Proyecto</t>
  </si>
  <si>
    <t xml:space="preserve">“MEJORAMIENTO Y AMPLIACIÓN DEL SERVICIO DE EDUCACIÓN PRIMARIA EN I.E. N° 0590 DISTRITO DE BARRANQUITA DE LA PROVINCIA DE LAMAS DEL DEPARTAMENTO DE SAN MARTÍN”, con C.I. N.° 468901</t>
  </si>
  <si>
    <t xml:space="preserve">Entidad</t>
  </si>
  <si>
    <t xml:space="preserve">GOBIERNO REGIONAL SAN MARTIN - GERENCIA TERRITORIAL BAJO MAYO - TARAPOTO</t>
  </si>
  <si>
    <t xml:space="preserve">Ubicación</t>
  </si>
  <si>
    <t xml:space="preserve">SAN MARTIN - LAMAS - BARRANQUITA</t>
  </si>
  <si>
    <t xml:space="preserve">Fecha</t>
  </si>
  <si>
    <t xml:space="preserve">PARTE I : DETERMINACIÓN DE PRECIPITACIONES DE DISEÑO  MÁXIMAS EN 24 HORAS</t>
  </si>
  <si>
    <t xml:space="preserve">REGISTRO DE PRECIPITACIONES MÁXIMAS EN 24 HORAS  (mm) - PONGO DE CAYNARACHI</t>
  </si>
  <si>
    <t xml:space="preserve">Código</t>
  </si>
  <si>
    <t xml:space="preserve">003317</t>
  </si>
  <si>
    <t xml:space="preserve">Dpto.</t>
  </si>
  <si>
    <t xml:space="preserve">: SAN MARTIN</t>
  </si>
  <si>
    <t xml:space="preserve">Tipo</t>
  </si>
  <si>
    <t xml:space="preserve">Convencional</t>
  </si>
  <si>
    <t xml:space="preserve">Provincia</t>
  </si>
  <si>
    <t xml:space="preserve">: LAMAS</t>
  </si>
  <si>
    <t xml:space="preserve">Altura</t>
  </si>
  <si>
    <t xml:space="preserve">230 msnm.</t>
  </si>
  <si>
    <t xml:space="preserve">Distrito</t>
  </si>
  <si>
    <t xml:space="preserve">: CAYNARACHI</t>
  </si>
  <si>
    <t xml:space="preserve">Precipitación Máxima en 24 Horas (mm) - periodo 1989–2013</t>
  </si>
  <si>
    <t xml:space="preserve">Año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</si>
  <si>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</si>
  <si>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</si>
  <si>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</si>
  <si>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</si>
  <si>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</si>
  <si>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</si>
  <si>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</si>
  <si>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</si>
  <si>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Setiembre</t>
  </si>
  <si>
    <t xml:space="preserve">Octubre</t>
  </si>
  <si>
    <t xml:space="preserve">Noviembre</t>
  </si>
  <si>
    <t xml:space="preserve">Diciembre</t>
  </si>
  <si>
    <t xml:space="preserve">P Máxima</t>
  </si>
  <si>
    <t xml:space="preserve">S/D</t>
  </si>
  <si>
    <t xml:space="preserve">B. MODELOS DE DISTRIBUCIÓN DE DATOS ESTADÍSTICOS DE PRECIPITACIÓN MÁXIMAS EXTREMAS EN 24  HORAS</t>
  </si>
  <si>
    <t xml:space="preserve">Precipitación Máxima Anual en mm</t>
  </si>
  <si>
    <t xml:space="preserve">B.1.  Distribución Normal</t>
  </si>
  <si>
    <t xml:space="preserve">B.3.  Distribución Log Pearson III</t>
  </si>
  <si>
    <t xml:space="preserve">P máx</t>
  </si>
  <si>
    <t xml:space="preserve">Log P</t>
  </si>
  <si>
    <t xml:space="preserve">T (años)</t>
  </si>
  <si>
    <t xml:space="preserve">P</t>
  </si>
  <si>
    <t xml:space="preserve">w</t>
  </si>
  <si>
    <t xml:space="preserve">z</t>
  </si>
  <si>
    <t xml:space="preserve">P máx  (mm)</t>
  </si>
  <si>
    <t xml:space="preserve">KT</t>
  </si>
  <si>
    <t xml:space="preserve">m  (media)</t>
  </si>
  <si>
    <t xml:space="preserve">var (varianza)</t>
  </si>
  <si>
    <t xml:space="preserve">s (desv.Est)</t>
  </si>
  <si>
    <t xml:space="preserve">Coef. Asimetría</t>
  </si>
  <si>
    <t xml:space="preserve">k  (Factor k)</t>
  </si>
  <si>
    <t xml:space="preserve">n ( n°de datos)</t>
  </si>
  <si>
    <t xml:space="preserve">B.4.    Distribución Extrema Tipo I - Gumbel</t>
  </si>
  <si>
    <t xml:space="preserve">B.2.  Distribución Log Normal</t>
  </si>
  <si>
    <t xml:space="preserve">T(años)</t>
  </si>
  <si>
    <r>
      <rPr>
        <b val="true"/>
        <sz val="12"/>
        <rFont val="Arial Narrow"/>
        <family val="2"/>
        <charset val="1"/>
      </rPr>
      <t xml:space="preserve">C. </t>
    </r>
    <r>
      <rPr>
        <b val="true"/>
        <u val="single"/>
        <sz val="12"/>
        <rFont val="Arial Narrow"/>
        <family val="2"/>
        <charset val="1"/>
      </rPr>
      <t xml:space="preserve">PRUEBA DE BONDAD DE KOLMOGOROV - SMIRNOV</t>
    </r>
  </si>
  <si>
    <t xml:space="preserve">Aparicio pag. 264</t>
  </si>
  <si>
    <t xml:space="preserve">tabla para distribución Gumbel.</t>
  </si>
  <si>
    <t xml:space="preserve">X</t>
  </si>
  <si>
    <t xml:space="preserve">log X</t>
  </si>
  <si>
    <t xml:space="preserve">ln X</t>
  </si>
  <si>
    <t xml:space="preserve">n</t>
  </si>
  <si>
    <r>
      <rPr>
        <sz val="10"/>
        <rFont val="Arial Narrow"/>
        <family val="2"/>
        <charset val="1"/>
      </rPr>
      <t xml:space="preserve">m</t>
    </r>
    <r>
      <rPr>
        <vertAlign val="subscript"/>
        <sz val="10"/>
        <rFont val="Arial Narrow"/>
        <family val="2"/>
        <charset val="1"/>
      </rPr>
      <t xml:space="preserve">y</t>
    </r>
    <r>
      <rPr>
        <sz val="10"/>
        <rFont val="Arial Narrow"/>
        <family val="2"/>
        <charset val="1"/>
      </rPr>
      <t xml:space="preserve"> </t>
    </r>
  </si>
  <si>
    <r>
      <rPr>
        <sz val="10"/>
        <rFont val="Arial Narrow"/>
        <family val="2"/>
        <charset val="1"/>
      </rPr>
      <t xml:space="preserve">s</t>
    </r>
    <r>
      <rPr>
        <vertAlign val="subscript"/>
        <sz val="10"/>
        <rFont val="Arial Narrow"/>
        <family val="2"/>
        <charset val="1"/>
      </rPr>
      <t xml:space="preserve">y</t>
    </r>
    <r>
      <rPr>
        <sz val="10"/>
        <rFont val="Arial Narrow"/>
        <family val="2"/>
        <charset val="1"/>
      </rPr>
      <t xml:space="preserve"> </t>
    </r>
  </si>
  <si>
    <r>
      <rPr>
        <sz val="12"/>
        <rFont val="Arial Narrow"/>
        <family val="2"/>
        <charset val="1"/>
      </rPr>
      <t xml:space="preserve">Numero de datos </t>
    </r>
    <r>
      <rPr>
        <b val="true"/>
        <sz val="12"/>
        <rFont val="Arial Narrow"/>
        <family val="2"/>
        <charset val="1"/>
      </rPr>
      <t xml:space="preserve">n :</t>
    </r>
  </si>
  <si>
    <r>
      <rPr>
        <sz val="12"/>
        <rFont val="Arial Narrow"/>
        <family val="2"/>
        <charset val="1"/>
      </rPr>
      <t xml:space="preserve">Promedio </t>
    </r>
    <r>
      <rPr>
        <b val="true"/>
        <sz val="12"/>
        <rFont val="Arial Narrow"/>
        <family val="2"/>
        <charset val="1"/>
      </rPr>
      <t xml:space="preserve">x :</t>
    </r>
  </si>
  <si>
    <r>
      <rPr>
        <sz val="12"/>
        <rFont val="Arial Narrow"/>
        <family val="2"/>
        <charset val="1"/>
      </rPr>
      <t xml:space="preserve">Promedio </t>
    </r>
    <r>
      <rPr>
        <b val="true"/>
        <sz val="12"/>
        <rFont val="Arial Narrow"/>
        <family val="2"/>
        <charset val="1"/>
      </rPr>
      <t xml:space="preserve">Log</t>
    </r>
    <r>
      <rPr>
        <sz val="12"/>
        <rFont val="Arial Narrow"/>
        <family val="2"/>
        <charset val="1"/>
      </rPr>
      <t xml:space="preserve"> </t>
    </r>
    <r>
      <rPr>
        <b val="true"/>
        <sz val="12"/>
        <rFont val="Arial Narrow"/>
        <family val="2"/>
        <charset val="1"/>
      </rPr>
      <t xml:space="preserve">x :</t>
    </r>
  </si>
  <si>
    <r>
      <rPr>
        <sz val="12"/>
        <rFont val="Arial Narrow"/>
        <family val="2"/>
        <charset val="1"/>
      </rPr>
      <t xml:space="preserve">Desviacion estándar </t>
    </r>
    <r>
      <rPr>
        <b val="true"/>
        <sz val="12"/>
        <rFont val="Arial Narrow"/>
        <family val="2"/>
        <charset val="1"/>
      </rPr>
      <t xml:space="preserve">s :</t>
    </r>
  </si>
  <si>
    <r>
      <rPr>
        <sz val="12"/>
        <rFont val="Arial Narrow"/>
        <family val="2"/>
        <charset val="1"/>
      </rPr>
      <t xml:space="preserve">Coeficiente asimetria </t>
    </r>
    <r>
      <rPr>
        <b val="true"/>
        <sz val="12"/>
        <rFont val="Arial Narrow"/>
        <family val="2"/>
        <charset val="1"/>
      </rPr>
      <t xml:space="preserve">Cs</t>
    </r>
    <r>
      <rPr>
        <sz val="12"/>
        <rFont val="Arial Narrow"/>
        <family val="2"/>
        <charset val="1"/>
      </rPr>
      <t xml:space="preserve"> (sesgo):</t>
    </r>
  </si>
  <si>
    <r>
      <rPr>
        <sz val="12"/>
        <rFont val="Arial Narrow"/>
        <family val="2"/>
        <charset val="1"/>
      </rPr>
      <t xml:space="preserve">Coeficiente asimetría </t>
    </r>
    <r>
      <rPr>
        <b val="true"/>
        <sz val="12"/>
        <rFont val="Arial Narrow"/>
        <family val="2"/>
        <charset val="1"/>
      </rPr>
      <t xml:space="preserve">Cs</t>
    </r>
    <r>
      <rPr>
        <sz val="12"/>
        <rFont val="Arial Narrow"/>
        <family val="2"/>
        <charset val="1"/>
      </rPr>
      <t xml:space="preserve"> (sesgo):</t>
    </r>
  </si>
  <si>
    <r>
      <rPr>
        <b val="true"/>
        <sz val="12"/>
        <rFont val="Arial Narrow"/>
        <family val="2"/>
        <charset val="1"/>
      </rPr>
      <t xml:space="preserve">k</t>
    </r>
    <r>
      <rPr>
        <sz val="12"/>
        <rFont val="Arial Narrow"/>
        <family val="2"/>
        <charset val="1"/>
      </rPr>
      <t xml:space="preserve"> = Cs/6 :</t>
    </r>
  </si>
  <si>
    <r>
      <rPr>
        <sz val="12"/>
        <rFont val="Arial Narrow"/>
        <family val="2"/>
        <charset val="1"/>
      </rPr>
      <t xml:space="preserve">β1=(2/Cs)</t>
    </r>
    <r>
      <rPr>
        <vertAlign val="superscript"/>
        <sz val="12"/>
        <rFont val="Arial Narrow"/>
        <family val="2"/>
        <charset val="1"/>
      </rPr>
      <t xml:space="preserve">2</t>
    </r>
    <r>
      <rPr>
        <sz val="12"/>
        <rFont val="Arial Narrow"/>
        <family val="2"/>
        <charset val="1"/>
      </rPr>
      <t xml:space="preserve">:</t>
    </r>
  </si>
  <si>
    <r>
      <rPr>
        <sz val="12"/>
        <rFont val="Arial Narrow"/>
        <family val="2"/>
        <charset val="1"/>
      </rPr>
      <t xml:space="preserve">α</t>
    </r>
    <r>
      <rPr>
        <vertAlign val="subscript"/>
        <sz val="12"/>
        <rFont val="Arial Narrow"/>
        <family val="2"/>
        <charset val="1"/>
      </rPr>
      <t xml:space="preserve">1</t>
    </r>
    <r>
      <rPr>
        <sz val="12"/>
        <rFont val="Arial Narrow"/>
        <family val="2"/>
        <charset val="1"/>
      </rPr>
      <t xml:space="preserve">=S/√β</t>
    </r>
    <r>
      <rPr>
        <vertAlign val="subscript"/>
        <sz val="12"/>
        <rFont val="Arial Narrow"/>
        <family val="2"/>
        <charset val="1"/>
      </rPr>
      <t xml:space="preserve">1</t>
    </r>
  </si>
  <si>
    <r>
      <rPr>
        <b val="true"/>
        <sz val="12"/>
        <rFont val="Arial Narrow"/>
        <family val="2"/>
        <charset val="1"/>
      </rPr>
      <t xml:space="preserve">µ</t>
    </r>
    <r>
      <rPr>
        <b val="true"/>
        <vertAlign val="subscript"/>
        <sz val="12"/>
        <rFont val="Arial Narrow"/>
        <family val="2"/>
        <charset val="1"/>
      </rPr>
      <t xml:space="preserve">Y</t>
    </r>
    <r>
      <rPr>
        <sz val="12"/>
        <rFont val="Arial Narrow"/>
        <family val="2"/>
        <charset val="1"/>
      </rPr>
      <t xml:space="preserve"> :</t>
    </r>
  </si>
  <si>
    <t xml:space="preserve">media de datos</t>
  </si>
  <si>
    <r>
      <rPr>
        <sz val="12"/>
        <rFont val="Arial Narrow"/>
        <family val="2"/>
        <charset val="1"/>
      </rPr>
      <t xml:space="preserve">δ</t>
    </r>
    <r>
      <rPr>
        <vertAlign val="subscript"/>
        <sz val="12"/>
        <rFont val="Arial Narrow"/>
        <family val="2"/>
        <charset val="1"/>
      </rPr>
      <t xml:space="preserve">1</t>
    </r>
    <r>
      <rPr>
        <sz val="12"/>
        <rFont val="Arial Narrow"/>
        <family val="2"/>
        <charset val="1"/>
      </rPr>
      <t xml:space="preserve">=X-α</t>
    </r>
    <r>
      <rPr>
        <vertAlign val="subscript"/>
        <sz val="12"/>
        <rFont val="Arial Narrow"/>
        <family val="2"/>
        <charset val="1"/>
      </rPr>
      <t xml:space="preserve">1</t>
    </r>
    <r>
      <rPr>
        <sz val="12"/>
        <rFont val="Arial Narrow"/>
        <family val="2"/>
        <charset val="1"/>
      </rPr>
      <t xml:space="preserve">β</t>
    </r>
    <r>
      <rPr>
        <vertAlign val="subscript"/>
        <sz val="12"/>
        <rFont val="Arial Narrow"/>
        <family val="2"/>
        <charset val="1"/>
      </rPr>
      <t xml:space="preserve">1</t>
    </r>
  </si>
  <si>
    <r>
      <rPr>
        <b val="true"/>
        <sz val="12"/>
        <rFont val="Arial Narrow"/>
        <family val="2"/>
        <charset val="1"/>
      </rPr>
      <t xml:space="preserve">s</t>
    </r>
    <r>
      <rPr>
        <b val="true"/>
        <vertAlign val="subscript"/>
        <sz val="12"/>
        <rFont val="Arial Narrow"/>
        <family val="2"/>
        <charset val="1"/>
      </rPr>
      <t xml:space="preserve">Y</t>
    </r>
    <r>
      <rPr>
        <sz val="12"/>
        <rFont val="Arial Narrow"/>
        <family val="2"/>
        <charset val="1"/>
      </rPr>
      <t xml:space="preserve"> :</t>
    </r>
  </si>
  <si>
    <r>
      <rPr>
        <sz val="10"/>
        <rFont val="Arial Narrow"/>
        <family val="2"/>
        <charset val="1"/>
      </rPr>
      <t xml:space="preserve">x</t>
    </r>
    <r>
      <rPr>
        <vertAlign val="subscript"/>
        <sz val="10"/>
        <rFont val="Arial Narrow"/>
        <family val="2"/>
        <charset val="1"/>
      </rPr>
      <t xml:space="preserve">e</t>
    </r>
    <r>
      <rPr>
        <sz val="10"/>
        <rFont val="Arial Narrow"/>
        <family val="2"/>
        <charset val="1"/>
      </rPr>
      <t xml:space="preserve"> =b-1/a ln ln (T/(T-1)</t>
    </r>
  </si>
  <si>
    <t xml:space="preserve">N</t>
  </si>
  <si>
    <t xml:space="preserve">P = x</t>
  </si>
  <si>
    <t xml:space="preserve">P = LOG x</t>
  </si>
  <si>
    <r>
      <rPr>
        <b val="true"/>
        <sz val="10"/>
        <color theme="0"/>
        <rFont val="Arial Narrow"/>
        <family val="2"/>
        <charset val="1"/>
      </rPr>
      <t xml:space="preserve">P(X≥x</t>
    </r>
    <r>
      <rPr>
        <b val="true"/>
        <vertAlign val="subscript"/>
        <sz val="10"/>
        <color theme="0"/>
        <rFont val="Arial Narrow"/>
        <family val="2"/>
        <charset val="1"/>
      </rPr>
      <t xml:space="preserve">T</t>
    </r>
    <r>
      <rPr>
        <b val="true"/>
        <sz val="10"/>
        <color theme="0"/>
        <rFont val="Arial Narrow"/>
        <family val="2"/>
        <charset val="1"/>
      </rPr>
      <t xml:space="preserve">)</t>
    </r>
    <r>
      <rPr>
        <b val="true"/>
        <vertAlign val="subscript"/>
        <sz val="10"/>
        <color theme="0"/>
        <rFont val="Arial Narrow"/>
        <family val="2"/>
        <charset val="1"/>
      </rPr>
      <t xml:space="preserve">OBS</t>
    </r>
  </si>
  <si>
    <t xml:space="preserve">Distribución Normal</t>
  </si>
  <si>
    <t xml:space="preserve">Distribución Log Normal</t>
  </si>
  <si>
    <t xml:space="preserve">Distribución Log Pearson Tipo III</t>
  </si>
  <si>
    <t xml:space="preserve">Distribución Gumbel</t>
  </si>
  <si>
    <r>
      <rPr>
        <b val="true"/>
        <sz val="10"/>
        <color theme="0"/>
        <rFont val="Arial Narrow"/>
        <family val="2"/>
        <charset val="1"/>
      </rPr>
      <t xml:space="preserve">F</t>
    </r>
    <r>
      <rPr>
        <b val="true"/>
        <vertAlign val="subscript"/>
        <sz val="10"/>
        <color theme="0"/>
        <rFont val="Arial Narrow"/>
        <family val="2"/>
        <charset val="1"/>
      </rPr>
      <t xml:space="preserve">(Z)</t>
    </r>
  </si>
  <si>
    <r>
      <rPr>
        <b val="true"/>
        <sz val="10"/>
        <color theme="0"/>
        <rFont val="Arial Narrow"/>
        <family val="2"/>
        <charset val="1"/>
      </rPr>
      <t xml:space="preserve">P(X≥x</t>
    </r>
    <r>
      <rPr>
        <b val="true"/>
        <vertAlign val="subscript"/>
        <sz val="10"/>
        <color theme="0"/>
        <rFont val="Arial Narrow"/>
        <family val="2"/>
        <charset val="1"/>
      </rPr>
      <t xml:space="preserve">T</t>
    </r>
    <r>
      <rPr>
        <b val="true"/>
        <sz val="10"/>
        <color theme="0"/>
        <rFont val="Arial Narrow"/>
        <family val="2"/>
        <charset val="1"/>
      </rPr>
      <t xml:space="preserve">)</t>
    </r>
    <r>
      <rPr>
        <b val="true"/>
        <vertAlign val="subscript"/>
        <sz val="10"/>
        <color theme="0"/>
        <rFont val="Arial Narrow"/>
        <family val="2"/>
        <charset val="1"/>
      </rPr>
      <t xml:space="preserve">TEO</t>
    </r>
  </si>
  <si>
    <r>
      <rPr>
        <b val="true"/>
        <sz val="10"/>
        <color theme="0"/>
        <rFont val="Arial Narrow"/>
        <family val="2"/>
        <charset val="1"/>
      </rPr>
      <t xml:space="preserve">D</t>
    </r>
    <r>
      <rPr>
        <b val="true"/>
        <vertAlign val="subscript"/>
        <sz val="10"/>
        <color theme="0"/>
        <rFont val="Arial Narrow"/>
        <family val="2"/>
        <charset val="1"/>
      </rPr>
      <t xml:space="preserve">(N)</t>
    </r>
  </si>
  <si>
    <t xml:space="preserve">LnP</t>
  </si>
  <si>
    <t xml:space="preserve">Y=(x-δ1)/α1</t>
  </si>
  <si>
    <t xml:space="preserve">2Y</t>
  </si>
  <si>
    <t xml:space="preserve">2β1</t>
  </si>
  <si>
    <t xml:space="preserve">χ2</t>
  </si>
  <si>
    <t xml:space="preserve">Fx</t>
  </si>
  <si>
    <t xml:space="preserve">Fo</t>
  </si>
  <si>
    <t xml:space="preserve">K</t>
  </si>
  <si>
    <t xml:space="preserve">Y</t>
  </si>
  <si>
    <t xml:space="preserve">MAX.</t>
  </si>
  <si>
    <t xml:space="preserve">RESUMEN DE RESULTADOS</t>
  </si>
  <si>
    <t xml:space="preserve">Estadístico</t>
  </si>
  <si>
    <t xml:space="preserve">Función de Distribución</t>
  </si>
  <si>
    <t xml:space="preserve">n :</t>
  </si>
  <si>
    <t xml:space="preserve">K-S</t>
  </si>
  <si>
    <t xml:space="preserve">Normal</t>
  </si>
  <si>
    <t xml:space="preserve">Log - Normal</t>
  </si>
  <si>
    <t xml:space="preserve">Log Pearson Tipo III</t>
  </si>
  <si>
    <t xml:space="preserve">Gumbel</t>
  </si>
  <si>
    <t xml:space="preserve">a :</t>
  </si>
  <si>
    <r>
      <rPr>
        <sz val="10"/>
        <rFont val="Arial Narrow"/>
        <family val="2"/>
        <charset val="1"/>
      </rPr>
      <t xml:space="preserve">D</t>
    </r>
    <r>
      <rPr>
        <vertAlign val="subscript"/>
        <sz val="10"/>
        <rFont val="Arial Narrow"/>
        <family val="2"/>
        <charset val="1"/>
      </rPr>
      <t xml:space="preserve">(N)</t>
    </r>
  </si>
  <si>
    <t xml:space="preserve">Máximo tabular:</t>
  </si>
  <si>
    <r>
      <rPr>
        <b val="true"/>
        <sz val="10"/>
        <rFont val="Arial Narrow"/>
        <family val="2"/>
        <charset val="1"/>
      </rPr>
      <t xml:space="preserve">D</t>
    </r>
    <r>
      <rPr>
        <b val="true"/>
        <vertAlign val="subscript"/>
        <sz val="10"/>
        <rFont val="Arial Narrow"/>
        <family val="2"/>
        <charset val="1"/>
      </rPr>
      <t xml:space="preserve">(N)</t>
    </r>
    <r>
      <rPr>
        <b val="true"/>
        <sz val="10"/>
        <rFont val="Arial Narrow"/>
        <family val="2"/>
        <charset val="1"/>
      </rPr>
      <t xml:space="preserve"> &lt; Dα</t>
    </r>
  </si>
  <si>
    <t xml:space="preserve">FUNCION DE DISTRIBUCION SELECCIONADA :</t>
  </si>
  <si>
    <t xml:space="preserve">MINIMO</t>
  </si>
  <si>
    <t xml:space="preserve">DISTRIBUCIÓN</t>
  </si>
  <si>
    <r>
      <rPr>
        <b val="true"/>
        <sz val="12"/>
        <rFont val="Arial Narrow"/>
        <family val="2"/>
        <charset val="1"/>
      </rPr>
      <t xml:space="preserve">C.4 </t>
    </r>
    <r>
      <rPr>
        <b val="true"/>
        <u val="single"/>
        <sz val="12"/>
        <rFont val="Arial Narrow"/>
        <family val="2"/>
        <charset val="1"/>
      </rPr>
      <t xml:space="preserve">RESUMEN DE LOS RESULTADOS DE LAS DISTRIBUCIONES ESTADISTICAS</t>
    </r>
  </si>
  <si>
    <t xml:space="preserve">       Normales</t>
  </si>
  <si>
    <t xml:space="preserve">Valor</t>
  </si>
  <si>
    <t xml:space="preserve">T   (años)</t>
  </si>
  <si>
    <t xml:space="preserve">Log Normal</t>
  </si>
  <si>
    <t xml:space="preserve">Log Pearson III</t>
  </si>
  <si>
    <t xml:space="preserve">Diseño</t>
  </si>
  <si>
    <t xml:space="preserve">Media Aritmética</t>
  </si>
  <si>
    <t xml:space="preserve">Desviación Estándar</t>
  </si>
  <si>
    <t xml:space="preserve">Coeficiente de Asimetría</t>
  </si>
  <si>
    <t xml:space="preserve">Numero de datos</t>
  </si>
  <si>
    <t xml:space="preserve">Variación del Coef. de Asimetría</t>
  </si>
  <si>
    <t xml:space="preserve">Desv. Est. Coef. de Asimetría</t>
  </si>
  <si>
    <t xml:space="preserve">      Logarítmica</t>
  </si>
  <si>
    <t xml:space="preserve">Varianza</t>
  </si>
  <si>
    <t xml:space="preserve">D.S. Coef As</t>
  </si>
  <si>
    <t xml:space="preserve">PARTE II:  DETERMINACIÓN DE LA TORMENTA DE DISEÑO</t>
  </si>
  <si>
    <t xml:space="preserve">A. PARAMETROS DE INTENSIDADES MAXIMAS</t>
  </si>
  <si>
    <t xml:space="preserve">Cuadro N°04: Lluvias máximas  (mm)</t>
  </si>
  <si>
    <t xml:space="preserve">T</t>
  </si>
  <si>
    <t xml:space="preserve">P.Max</t>
  </si>
  <si>
    <t xml:space="preserve">Duración en minutos</t>
  </si>
  <si>
    <t xml:space="preserve">Duración</t>
  </si>
  <si>
    <t xml:space="preserve">X1</t>
  </si>
  <si>
    <t xml:space="preserve">X2</t>
  </si>
  <si>
    <t xml:space="preserve">años</t>
  </si>
  <si>
    <t xml:space="preserve">24 horas</t>
  </si>
  <si>
    <t xml:space="preserve">Minutos</t>
  </si>
  <si>
    <t xml:space="preserve">Log (I)</t>
  </si>
  <si>
    <t xml:space="preserve">Log (T)</t>
  </si>
  <si>
    <t xml:space="preserve">Log (t)</t>
  </si>
  <si>
    <t xml:space="preserve">Fuente: Modelo de Bell</t>
  </si>
  <si>
    <t xml:space="preserve">Cuadro N°05: Intensidades máximas (mm/hora)</t>
  </si>
  <si>
    <t xml:space="preserve">Cuadro N°06: Ecuaciones de la Regresión Lineal Múltiple</t>
  </si>
  <si>
    <t xml:space="preserve">Ecuación de la regresión Lineal Múltiple</t>
  </si>
  <si>
    <t xml:space="preserve">m(X1) - n(X2) + logK = Y  </t>
  </si>
  <si>
    <t xml:space="preserve">Sistema de Ecuaciones Normalizada (1)</t>
  </si>
  <si>
    <t xml:space="preserve">AΣ(X1) + BΣ(X2) + C(n) =  Σ(Y)</t>
  </si>
  <si>
    <t xml:space="preserve">mΣ(X1) + nΣ(X2) + (logK)(n) =  Σ(Y)</t>
  </si>
  <si>
    <t xml:space="preserve">Sistema de Ecuaciones Normalizada (2)</t>
  </si>
  <si>
    <t xml:space="preserve">AΣ(X1²) + BΣ(X1)(X2) + CΣX1 = Σ(X1)(Y )</t>
  </si>
  <si>
    <t xml:space="preserve">mΣ(X1²) + nΣ(X1)(X2) + (logK)ΣX1 = Σ(X1)(Y )</t>
  </si>
  <si>
    <t xml:space="preserve">Sistema de Ecuaciones Normalizada (3)</t>
  </si>
  <si>
    <t xml:space="preserve">AΣ(X1)(X2) + BΣ(X2²) + CΣX2 = Σ(X2)(Y )</t>
  </si>
  <si>
    <t xml:space="preserve">mΣ(X1)(X2) + nΣ(X2²) + (logK)ΣX2 = Σ(X2)(Y )</t>
  </si>
  <si>
    <t xml:space="preserve">mΣ(X1)</t>
  </si>
  <si>
    <t xml:space="preserve">nΣ(X2)</t>
  </si>
  <si>
    <t xml:space="preserve">(logK)(n)</t>
  </si>
  <si>
    <t xml:space="preserve">Σ(Y)</t>
  </si>
  <si>
    <t xml:space="preserve">mΣ(X1²)</t>
  </si>
  <si>
    <t xml:space="preserve">nΣ(X1)(X2)</t>
  </si>
  <si>
    <t xml:space="preserve">(logK)ΣX1 </t>
  </si>
  <si>
    <t xml:space="preserve">Σ(X1)(Y )</t>
  </si>
  <si>
    <t xml:space="preserve">mΣ(X1)(X2)</t>
  </si>
  <si>
    <t xml:space="preserve">nΣ(X2²)</t>
  </si>
  <si>
    <t xml:space="preserve">(logK)ΣX2 </t>
  </si>
  <si>
    <t xml:space="preserve">Σ(X2)(Y )</t>
  </si>
  <si>
    <t xml:space="preserve">Matriz de Sistema de Ecuaciones</t>
  </si>
  <si>
    <t xml:space="preserve">Inversa de la Matriz</t>
  </si>
  <si>
    <t xml:space="preserve">Valor </t>
  </si>
  <si>
    <r>
      <rPr>
        <b val="true"/>
        <sz val="12"/>
        <rFont val="Arial Narrow"/>
        <family val="2"/>
        <charset val="1"/>
      </rPr>
      <t xml:space="preserve">B. </t>
    </r>
    <r>
      <rPr>
        <b val="true"/>
        <u val="single"/>
        <sz val="12"/>
        <rFont val="Arial Narrow"/>
        <family val="2"/>
        <charset val="1"/>
      </rPr>
      <t xml:space="preserve">CÁLCULO DE INTENSIDADES MÁXIMAS (mm/h)</t>
    </r>
  </si>
  <si>
    <t xml:space="preserve">I  =</t>
  </si>
  <si>
    <r>
      <rPr>
        <u val="single"/>
        <sz val="10"/>
        <rFont val="Arial Narrow"/>
        <family val="2"/>
        <charset val="1"/>
      </rPr>
      <t xml:space="preserve">K T</t>
    </r>
    <r>
      <rPr>
        <u val="single"/>
        <vertAlign val="superscript"/>
        <sz val="10"/>
        <rFont val="Arial Narrow"/>
        <family val="2"/>
        <charset val="1"/>
      </rPr>
      <t xml:space="preserve">m</t>
    </r>
  </si>
  <si>
    <r>
      <rPr>
        <sz val="10"/>
        <rFont val="Arial Narrow"/>
        <family val="2"/>
        <charset val="1"/>
      </rPr>
      <t xml:space="preserve">t</t>
    </r>
    <r>
      <rPr>
        <vertAlign val="superscript"/>
        <sz val="10"/>
        <rFont val="Arial Narrow"/>
        <family val="2"/>
        <charset val="1"/>
      </rPr>
      <t xml:space="preserve">n</t>
    </r>
  </si>
  <si>
    <t xml:space="preserve">m</t>
  </si>
  <si>
    <t xml:space="preserve">Duración (t)</t>
  </si>
  <si>
    <t xml:space="preserve">Período de Retorno (T)  en años</t>
  </si>
  <si>
    <t xml:space="preserve">(minutos)</t>
  </si>
  <si>
    <r>
      <rPr>
        <b val="true"/>
        <sz val="12"/>
        <rFont val="Arial Narrow"/>
        <family val="2"/>
        <charset val="1"/>
      </rPr>
      <t xml:space="preserve">C.</t>
    </r>
    <r>
      <rPr>
        <b val="true"/>
        <u val="single"/>
        <sz val="12"/>
        <rFont val="Arial Narrow"/>
        <family val="2"/>
        <charset val="1"/>
      </rPr>
      <t xml:space="preserve"> INTENSIDADES DE DISEÑO PARA PRECIPITACIONES MENORES A 24 HORAS (mm/h)</t>
    </r>
  </si>
  <si>
    <t xml:space="preserve">Precipitación Pmax24 horas, T = 500 años</t>
  </si>
  <si>
    <t xml:space="preserve">D (min)</t>
  </si>
  <si>
    <t xml:space="preserve">D (horas)</t>
  </si>
  <si>
    <t xml:space="preserve">P (mm)</t>
  </si>
  <si>
    <t xml:space="preserve">I (mm/hr)</t>
  </si>
  <si>
    <t xml:space="preserve">Precipitación Pmax24 horas, T = 100 años</t>
  </si>
  <si>
    <t xml:space="preserve">Precipitación Pmax24 horas, T = 50 años</t>
  </si>
  <si>
    <t xml:space="preserve">Precipitación Pmax24 horas, T = 25 años</t>
  </si>
  <si>
    <t xml:space="preserve">Precipitación Pmax24 horas, T = 20 años</t>
  </si>
  <si>
    <t xml:space="preserve">Precipitación Pmax24 horas, T = 10 años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</si>
</sst>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%"/>
    <numFmt numFmtId="166" formatCode="@"/>
    <numFmt numFmtId="167" formatCode="0.00"/>
    <numFmt numFmtId="168" formatCode="0"/>
    <numFmt numFmtId="169" formatCode="0.000"/>
    <numFmt numFmtId="170" formatCode="0.0000"/>
    <numFmt numFmtId="171" formatCode="0.0"/>
    <numFmt numFmtId="172" formatCode="General"/>
    <numFmt numFmtId="173" formatCode="_(* #,##0.0000_);_(* \(#,##0.0000\);_(* \-????_);_(@_)"/>
    <numFmt numFmtId="174" formatCode="0.000000"/>
    <numFmt numFmtId="175" formatCode="0.00000"/>
    <numFmt numFmtId="176" formatCode="#,##0.00&quot; m&quot;"/>
    <numFmt numFmtId="177" formatCode="#,##0.00&quot; n&quot;"/>
    <numFmt numFmtId="178" formatCode="#,##0.00&quot; logK&quot;"/>
    <numFmt numFmtId="179" formatCode="&quot;m = &quot;#,##0.000"/>
    <numFmt numFmtId="180" formatCode="&quot;n = &quot;#,##0.000"/>
    <numFmt numFmtId="181" formatCode="&quot;logK = &quot;#,##0.000"/>
    <numFmt numFmtId="182" formatCode="#,##0.00"/>
    <numFmt numFmtId="183" formatCode="0&quot; años&quot;"/>
  </numFmts>
  <fonts count="6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b val="true"/>
      <sz val="15"/>
      <color rgb="FF1F3A68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sz val="6"/>
      <color rgb="FF000000"/>
      <name val="Arial"/>
      <family val="0"/>
      <charset val="1"/>
    </font>
    <font>
      <b val="true"/>
      <sz val="12"/>
      <color rgb="FF1F3A6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F3A68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sz val="12"/>
      <name val="Arial Narrow"/>
      <family val="2"/>
      <charset val="1"/>
    </font>
    <font>
      <b val="true"/>
      <u val="single"/>
      <sz val="12"/>
      <color rgb="FF002060"/>
      <name val="Arial Narrow"/>
      <family val="2"/>
      <charset val="1"/>
    </font>
    <font>
      <b val="true"/>
      <u val="single"/>
      <sz val="12"/>
      <name val="Arial Narrow"/>
      <family val="2"/>
      <charset val="1"/>
    </font>
    <font>
      <b val="true"/>
      <u val="single"/>
      <sz val="14"/>
      <name val="Arial Narrow"/>
      <family val="2"/>
      <charset val="1"/>
    </font>
    <font>
      <b val="true"/>
      <sz val="12"/>
      <name val="Arial Narrow"/>
      <family val="2"/>
      <charset val="1"/>
    </font>
    <font>
      <b val="true"/>
      <sz val="10"/>
      <name val="Arial Narrow"/>
      <family val="2"/>
      <charset val="1"/>
    </font>
    <font>
      <sz val="10"/>
      <color theme="0"/>
      <name val="Arial Narrow"/>
      <family val="2"/>
      <charset val="1"/>
    </font>
    <font>
      <sz val="12"/>
      <color rgb="FF000000"/>
      <name val="Arial Narrow"/>
      <family val="2"/>
      <charset val="1"/>
    </font>
    <font>
      <b val="true"/>
      <sz val="10"/>
      <color rgb="FF000000"/>
      <name val="Arial Narrow"/>
      <family val="2"/>
    </font>
    <font>
      <sz val="7"/>
      <color rgb="FF000000"/>
      <name val="Arial"/>
      <family val="2"/>
    </font>
    <font>
      <b val="true"/>
      <sz val="8"/>
      <color rgb="FF000000"/>
      <name val="Arial"/>
      <family val="2"/>
    </font>
    <font>
      <b val="true"/>
      <sz val="8"/>
      <color rgb="FF000000"/>
      <name val="Arial Narrow"/>
      <family val="2"/>
    </font>
    <font>
      <b val="true"/>
      <sz val="10"/>
      <color theme="0"/>
      <name val="Arial Narrow"/>
      <family val="2"/>
      <charset val="1"/>
    </font>
    <font>
      <sz val="12"/>
      <color rgb="FF000000"/>
      <name val="Arial Narrow"/>
      <family val="2"/>
    </font>
    <font>
      <sz val="10"/>
      <color rgb="FF000000"/>
      <name val="Arial Narrow"/>
      <family val="2"/>
    </font>
    <font>
      <b val="true"/>
      <sz val="10"/>
      <color rgb="FF000000"/>
      <name val="Calibri"/>
      <family val="2"/>
    </font>
    <font>
      <sz val="10"/>
      <color rgb="FF000000"/>
      <name val="Calibri"/>
      <family val="2"/>
    </font>
    <font>
      <sz val="6.75"/>
      <color rgb="FF000000"/>
      <name val="Calibri"/>
      <family val="2"/>
    </font>
    <font>
      <vertAlign val="subscript"/>
      <sz val="10"/>
      <name val="Arial Narrow"/>
      <family val="2"/>
      <charset val="1"/>
    </font>
    <font>
      <vertAlign val="superscript"/>
      <sz val="12"/>
      <name val="Arial Narrow"/>
      <family val="2"/>
      <charset val="1"/>
    </font>
    <font>
      <vertAlign val="subscript"/>
      <sz val="12"/>
      <name val="Arial Narrow"/>
      <family val="2"/>
      <charset val="1"/>
    </font>
    <font>
      <b val="true"/>
      <vertAlign val="subscript"/>
      <sz val="12"/>
      <name val="Arial Narrow"/>
      <family val="2"/>
      <charset val="1"/>
    </font>
    <font>
      <b val="true"/>
      <vertAlign val="subscript"/>
      <sz val="10"/>
      <color theme="0"/>
      <name val="Arial Narrow"/>
      <family val="2"/>
      <charset val="1"/>
    </font>
    <font>
      <sz val="11"/>
      <color rgb="FF000000"/>
      <name val="Arial Narrow"/>
      <family val="2"/>
      <charset val="1"/>
    </font>
    <font>
      <sz val="11"/>
      <name val="Arial Narrow"/>
      <family val="2"/>
      <charset val="1"/>
    </font>
    <font>
      <b val="true"/>
      <sz val="11"/>
      <name val="Arial Narrow"/>
      <family val="2"/>
      <charset val="1"/>
    </font>
    <font>
      <sz val="9"/>
      <name val="Arial Narrow"/>
      <family val="2"/>
      <charset val="1"/>
    </font>
    <font>
      <b val="true"/>
      <sz val="9"/>
      <name val="Arial Narrow"/>
      <family val="2"/>
      <charset val="1"/>
    </font>
    <font>
      <b val="true"/>
      <vertAlign val="subscript"/>
      <sz val="10"/>
      <name val="Arial Narrow"/>
      <family val="2"/>
      <charset val="1"/>
    </font>
    <font>
      <b val="true"/>
      <u val="single"/>
      <sz val="10"/>
      <name val="Arial Narrow"/>
      <family val="2"/>
      <charset val="1"/>
    </font>
    <font>
      <i val="true"/>
      <sz val="10"/>
      <name val="Arial Narrow"/>
      <family val="2"/>
      <charset val="1"/>
    </font>
    <font>
      <b val="true"/>
      <u val="single"/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6.75"/>
      <color rgb="FF000000"/>
      <name val="Arial"/>
      <family val="2"/>
    </font>
    <font>
      <b val="true"/>
      <u val="single"/>
      <sz val="14"/>
      <color rgb="FF002060"/>
      <name val="Arial Narrow"/>
      <family val="2"/>
      <charset val="1"/>
    </font>
    <font>
      <sz val="10"/>
      <name val="Calibri"/>
      <family val="2"/>
      <charset val="1"/>
    </font>
    <font>
      <sz val="10"/>
      <color rgb="FFFF0000"/>
      <name val="Arial Narrow"/>
      <family val="2"/>
      <charset val="1"/>
    </font>
    <font>
      <b val="true"/>
      <sz val="10"/>
      <color rgb="FFFF0000"/>
      <name val="Arial Narrow"/>
      <family val="2"/>
      <charset val="1"/>
    </font>
    <font>
      <u val="single"/>
      <sz val="10"/>
      <name val="Arial Narrow"/>
      <family val="2"/>
      <charset val="1"/>
    </font>
    <font>
      <u val="single"/>
      <vertAlign val="superscript"/>
      <sz val="10"/>
      <name val="Arial Narrow"/>
      <family val="2"/>
      <charset val="1"/>
    </font>
    <font>
      <vertAlign val="superscript"/>
      <sz val="10"/>
      <name val="Arial Narrow"/>
      <family val="2"/>
      <charset val="1"/>
    </font>
    <font>
      <b val="true"/>
      <sz val="11"/>
      <color rgb="FF000000"/>
      <name val="Calibri"/>
      <family val="2"/>
    </font>
    <font>
      <sz val="8"/>
      <color rgb="FF000000"/>
      <name val="Times New Roman"/>
      <family val="2"/>
    </font>
    <font>
      <sz val="6.75"/>
      <color rgb="FF000000"/>
      <name val="Times New Roman"/>
      <family val="2"/>
    </font>
  </fonts>
  <fills count="14">
    <fill>
      <patternFill patternType="none"/>
    </fill>
    <fill>
      <patternFill patternType="gray125"/>
    </fill>
    <fill>
      <patternFill patternType="solid">
        <fgColor rgb="FF1F3A68"/>
        <bgColor rgb="FF002060"/>
      </patternFill>
    </fill>
    <fill>
      <patternFill patternType="solid">
        <fgColor rgb="FF860000"/>
        <bgColor rgb="FF9A0000"/>
      </patternFill>
    </fill>
    <fill>
      <patternFill patternType="solid">
        <fgColor rgb="FF9A0000"/>
        <bgColor rgb="FF860000"/>
      </patternFill>
    </fill>
    <fill>
      <patternFill patternType="solid">
        <fgColor rgb="FFFFFFFF"/>
        <bgColor rgb="FFF0F4F7"/>
      </patternFill>
    </fill>
    <fill>
      <patternFill patternType="solid">
        <fgColor rgb="FFF0F4F7"/>
        <bgColor rgb="FFEBF1DE"/>
      </patternFill>
    </fill>
    <fill>
      <patternFill patternType="solid">
        <fgColor rgb="FFFCE3B6"/>
        <bgColor rgb="FFFCD5B5"/>
      </patternFill>
    </fill>
    <fill>
      <patternFill patternType="solid">
        <fgColor rgb="FFCCFFCC"/>
        <bgColor rgb="FFDBEEF4"/>
      </patternFill>
    </fill>
    <fill>
      <patternFill patternType="solid">
        <fgColor theme="2" tint="-0.25"/>
        <bgColor rgb="FFC0C0C0"/>
      </patternFill>
    </fill>
    <fill>
      <patternFill patternType="solid">
        <fgColor rgb="FFFCD5B5"/>
        <bgColor rgb="FFFCE3B6"/>
      </patternFill>
    </fill>
    <fill>
      <patternFill patternType="solid">
        <fgColor theme="8" tint="0.7999"/>
        <bgColor rgb="FFEBF1DE"/>
      </patternFill>
    </fill>
    <fill>
      <patternFill patternType="solid">
        <fgColor theme="6" tint="0.7999"/>
        <bgColor rgb="FFF0F4F7"/>
      </patternFill>
    </fill>
    <fill>
      <patternFill patternType="solid">
        <fgColor theme="3" tint="0.5999"/>
        <bgColor rgb="FF8EA5CA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A68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 diagonalUp="false" diagonalDown="false"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 diagonalUp="false" diagonalDown="false"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 diagonalUp="false" diagonalDown="false">
      <left/>
      <right style="medium">
        <color rgb="FFD9D9D9"/>
      </right>
      <top/>
      <bottom style="medium">
        <color rgb="FFD9D9D9"/>
      </bottom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 diagonalUp="false" diagonalDown="false">
      <left/>
      <right style="thin">
        <color rgb="FF0070C0"/>
      </right>
      <top style="double">
        <color rgb="FF0070C0"/>
      </top>
      <bottom style="thin">
        <color rgb="FF0070C0"/>
      </bottom>
      <diagonal/>
    </border>
    <border diagonalUp="false" diagonalDown="false"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 diagonalUp="false" diagonalDown="false"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 diagonalUp="false" diagonalDown="false"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 diagonalUp="false" diagonalDown="false">
      <left/>
      <right style="thin">
        <color rgb="FF0070C0"/>
      </right>
      <top style="thin">
        <color rgb="FF0070C0"/>
      </top>
      <bottom style="double">
        <color rgb="FF0070C0"/>
      </bottom>
      <diagonal/>
    </border>
    <border diagonalUp="false" diagonalDown="false"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 diagonalUp="false" diagonalDown="false"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 diagonalUp="false" diagonalDown="false">
      <left style="double">
        <color rgb="FF0070C0"/>
      </left>
      <right style="thin">
        <color rgb="FF0070C0"/>
      </right>
      <top style="double">
        <color rgb="FF0070C0"/>
      </top>
      <bottom style="double">
        <color rgb="FF0070C0"/>
      </bottom>
      <diagonal/>
    </border>
    <border diagonalUp="false" diagonalDown="false">
      <left style="thin">
        <color rgb="FF0070C0"/>
      </left>
      <right style="thin">
        <color rgb="FF0070C0"/>
      </right>
      <top style="double">
        <color rgb="FF0070C0"/>
      </top>
      <bottom style="hair">
        <color rgb="FF0070C0"/>
      </bottom>
      <diagonal/>
    </border>
    <border diagonalUp="false" diagonalDown="false">
      <left style="thin">
        <color rgb="FF0070C0"/>
      </left>
      <right style="double">
        <color rgb="FF0070C0"/>
      </right>
      <top style="double">
        <color rgb="FF0070C0"/>
      </top>
      <bottom style="hair">
        <color rgb="FF0070C0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0" fillId="8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4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4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9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5" fillId="9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6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7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8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5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0" borderId="18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1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8" fillId="0" borderId="2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8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8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8" fillId="11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8" fillId="11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8" fillId="11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2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8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8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3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vínculo 8" xfId="20"/>
    <cellStyle name="Normal 2" xfId="21"/>
    <cellStyle name="Normal 2 2" xfId="22"/>
    <cellStyle name="Normal_Hidrologia Proyecto Piloto" xfId="23"/>
    <cellStyle name="Porcentual 2" xfId="24"/>
  </cellStyles>
  <dxfs count="2">
    <dxf>
      <font>
        <b val="1"/>
        <i val="0"/>
      </font>
    </dxf>
    <dxf>
      <font>
        <b val="1"/>
        <i val="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60000"/>
      <rgbColor rgb="FF008000"/>
      <rgbColor rgb="FF000080"/>
      <rgbColor rgb="FF878787"/>
      <rgbColor rgb="FF800080"/>
      <rgbColor rgb="FF008080"/>
      <rgbColor rgb="FFC0C0C0"/>
      <rgbColor rgb="FF808080"/>
      <rgbColor rgb="FF8EA5CA"/>
      <rgbColor rgb="FF993366"/>
      <rgbColor rgb="FFEBF1DE"/>
      <rgbColor rgb="FFDBEEF4"/>
      <rgbColor rgb="FF660066"/>
      <rgbColor rgb="FFDB8238"/>
      <rgbColor rgb="FF0070C0"/>
      <rgbColor rgb="FFD9D9D9"/>
      <rgbColor rgb="FF000080"/>
      <rgbColor rgb="FFFF00FF"/>
      <rgbColor rgb="FFFFFF00"/>
      <rgbColor rgb="FF00FFFF"/>
      <rgbColor rgb="FF800080"/>
      <rgbColor rgb="FF9A0000"/>
      <rgbColor rgb="FF008080"/>
      <rgbColor rgb="FF0000FF"/>
      <rgbColor rgb="FF00CCFF"/>
      <rgbColor rgb="FFF0F4F7"/>
      <rgbColor rgb="FFCCFFCC"/>
      <rgbColor rgb="FFFCE3B6"/>
      <rgbColor rgb="FF8EB4E3"/>
      <rgbColor rgb="FFFF99CC"/>
      <rgbColor rgb="FFC4BD97"/>
      <rgbColor rgb="FFFCD5B5"/>
      <rgbColor rgb="FF4F81BD"/>
      <rgbColor rgb="FF33CCCC"/>
      <rgbColor rgb="FF99CC00"/>
      <rgbColor rgb="FFFFCC00"/>
      <rgbColor rgb="FFFF9900"/>
      <rgbColor rgb="FFFF6600"/>
      <rgbColor rgb="FF6F568D"/>
      <rgbColor rgb="FF969696"/>
      <rgbColor rgb="FF002060"/>
      <rgbColor rgb="FF3D97AF"/>
      <rgbColor rgb="FF003300"/>
      <rgbColor rgb="FF333300"/>
      <rgbColor rgb="FF993300"/>
      <rgbColor rgb="FF993366"/>
      <rgbColor rgb="FF1F3A6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externalLink" Target="externalLinks/externalLink1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PE" sz="1000" spc="-1" strike="noStrike">
                <a:solidFill>
                  <a:srgbClr val="000000"/>
                </a:solidFill>
                <a:latin typeface="Arial Narrow"/>
                <a:ea typeface="Arial"/>
              </a:defRPr>
            </a:pPr>
            <a:r>
              <a:rPr b="1" lang="es-PE" sz="1000" spc="-1" strike="noStrike">
                <a:solidFill>
                  <a:srgbClr val="000000"/>
                </a:solidFill>
                <a:latin typeface="Arial Narrow"/>
                <a:ea typeface="Arial"/>
              </a:rPr>
              <a:t>HIDROGRAMA DE PRECIPITACION  MAXIMA 24 HORAS
ESTACION  PONGO DE CAYNARACHI</a:t>
            </a:r>
          </a:p>
        </c:rich>
      </c:tx>
      <c:layout>
        <c:manualLayout>
          <c:xMode val="edge"/>
          <c:yMode val="edge"/>
          <c:x val="0.338472265261853"/>
          <c:y val="0.0515540666294435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73287883483111"/>
          <c:y val="0.179787828029034"/>
          <c:w val="0.914549116826774"/>
          <c:h val="0.7033314721756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rot="5400000" wrap="square"/>
              <a:lstStyle/>
              <a:p>
                <a:pPr>
                  <a:defRPr b="0" sz="7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'A. Estación'!$B$18:$B$42</c:f>
              <c:strCache>
                <c:ptCount val="25"/>
                <c:pt idx="0">
                  <c:v>1989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</c:strCache>
            </c:strRef>
          </c:cat>
          <c:val>
            <c:numRef>
              <c:f>'A. Estación'!$O$18:$O$42</c:f>
              <c:numCache>
                <c:formatCode>0.00</c:formatCode>
                <c:ptCount val="25"/>
                <c:pt idx="0">
                  <c:v>141.9</c:v>
                </c:pt>
                <c:pt idx="1">
                  <c:v>115.1</c:v>
                </c:pt>
                <c:pt idx="2">
                  <c:v>114.8</c:v>
                </c:pt>
                <c:pt idx="3">
                  <c:v>123</c:v>
                </c:pt>
                <c:pt idx="4">
                  <c:v>89.1</c:v>
                </c:pt>
                <c:pt idx="5">
                  <c:v>179.9</c:v>
                </c:pt>
                <c:pt idx="6">
                  <c:v>84.2</c:v>
                </c:pt>
                <c:pt idx="7">
                  <c:v>96.4</c:v>
                </c:pt>
                <c:pt idx="8">
                  <c:v>103.9</c:v>
                </c:pt>
                <c:pt idx="9">
                  <c:v>171.8</c:v>
                </c:pt>
                <c:pt idx="10">
                  <c:v>146</c:v>
                </c:pt>
                <c:pt idx="11">
                  <c:v>108.5</c:v>
                </c:pt>
                <c:pt idx="12">
                  <c:v>78</c:v>
                </c:pt>
                <c:pt idx="13">
                  <c:v>88.7</c:v>
                </c:pt>
                <c:pt idx="14">
                  <c:v>138.5</c:v>
                </c:pt>
                <c:pt idx="15">
                  <c:v>90.2</c:v>
                </c:pt>
                <c:pt idx="16">
                  <c:v>97.3</c:v>
                </c:pt>
                <c:pt idx="17">
                  <c:v>102.5</c:v>
                </c:pt>
                <c:pt idx="18">
                  <c:v>77.3</c:v>
                </c:pt>
                <c:pt idx="19">
                  <c:v>100.4</c:v>
                </c:pt>
                <c:pt idx="20">
                  <c:v>87</c:v>
                </c:pt>
                <c:pt idx="21">
                  <c:v>128</c:v>
                </c:pt>
                <c:pt idx="22">
                  <c:v>101</c:v>
                </c:pt>
                <c:pt idx="23">
                  <c:v>110.2</c:v>
                </c:pt>
                <c:pt idx="24">
                  <c:v>84</c:v>
                </c:pt>
              </c:numCache>
            </c:numRef>
          </c:val>
        </c:ser>
        <c:gapWidth val="150"/>
        <c:overlap val="0"/>
        <c:axId val="13394852"/>
        <c:axId val="20046577"/>
      </c:barChart>
      <c:catAx>
        <c:axId val="13394852"/>
        <c:scaling>
          <c:orientation val="minMax"/>
        </c:scaling>
        <c:delete val="0"/>
        <c:axPos val="b"/>
        <c:majorGridlines>
          <c:spPr>
            <a:ln w="3240">
              <a:solidFill>
                <a:srgbClr val="80808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s-PE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es-PE" sz="8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0046577"/>
        <c:crosses val="autoZero"/>
        <c:auto val="1"/>
        <c:lblAlgn val="ctr"/>
        <c:lblOffset val="100"/>
        <c:noMultiLvlLbl val="0"/>
      </c:catAx>
      <c:valAx>
        <c:axId val="20046577"/>
        <c:scaling>
          <c:orientation val="minMax"/>
          <c:min val="1"/>
        </c:scaling>
        <c:delete val="0"/>
        <c:axPos val="l"/>
        <c:majorGridlines>
          <c:spPr>
            <a:ln w="3240">
              <a:solidFill>
                <a:srgbClr val="96969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s-PE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es-PE" sz="8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P MÁX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800" spc="-1" strike="noStrike">
                <a:solidFill>
                  <a:srgbClr val="000000"/>
                </a:solidFill>
                <a:latin typeface="Arial Narrow"/>
                <a:ea typeface="Arial Narrow"/>
              </a:defRPr>
            </a:pPr>
          </a:p>
        </c:txPr>
        <c:crossAx val="13394852"/>
        <c:crosses val="autoZero"/>
        <c:crossBetween val="between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PE" sz="1200" spc="-1" strike="noStrike">
                <a:solidFill>
                  <a:srgbClr val="000000"/>
                </a:solidFill>
                <a:latin typeface="Arial Narrow"/>
                <a:ea typeface="Calibri"/>
              </a:defRPr>
            </a:pPr>
            <a:r>
              <a:rPr b="0" lang="es-PE" sz="1200" spc="-1" strike="noStrike">
                <a:solidFill>
                  <a:srgbClr val="000000"/>
                </a:solidFill>
                <a:latin typeface="Arial Narrow"/>
                <a:ea typeface="Calibri"/>
              </a:rPr>
              <a:t>Variacion de la precipitacion máxima Distribución Normal</a:t>
            </a:r>
          </a:p>
        </c:rich>
      </c:tx>
      <c:layout>
        <c:manualLayout>
          <c:xMode val="edge"/>
          <c:yMode val="edge"/>
          <c:x val="0.00174769621862091"/>
          <c:y val="0.12149780905590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478551000953"/>
          <c:y val="0.201832425972646"/>
          <c:w val="0.859945980298697"/>
          <c:h val="0.56606028415881"/>
        </c:manualLayout>
      </c:layout>
      <c:lineChart>
        <c:grouping val="standard"/>
        <c:varyColors val="0"/>
        <c:ser>
          <c:idx val="0"/>
          <c:order val="0"/>
          <c:tx>
            <c:strRef>
              <c:f>'A. Estación'!$A$1:$A$1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80"/>
            </a:solidFill>
            <a:ln w="324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 Narrow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'B.Modelo Distribución'!$F$11:$F$19</c:f>
              <c:strCach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strCache>
            </c:strRef>
          </c:cat>
          <c:val>
            <c:numRef>
              <c:f>'B.Modelo Distribución'!$J$11:$J$19</c:f>
              <c:numCache>
                <c:formatCode>0.0</c:formatCode>
                <c:ptCount val="9"/>
                <c:pt idx="0">
                  <c:v>110.307997216017</c:v>
                </c:pt>
                <c:pt idx="1">
                  <c:v>133.500539245417</c:v>
                </c:pt>
                <c:pt idx="2">
                  <c:v>145.635478970775</c:v>
                </c:pt>
                <c:pt idx="3">
                  <c:v>155.653922262638</c:v>
                </c:pt>
                <c:pt idx="4">
                  <c:v>158.57181480081</c:v>
                </c:pt>
                <c:pt idx="5">
                  <c:v>166.926300714489</c:v>
                </c:pt>
                <c:pt idx="6">
                  <c:v>174.439712336526</c:v>
                </c:pt>
                <c:pt idx="7">
                  <c:v>181.315165536762</c:v>
                </c:pt>
                <c:pt idx="8">
                  <c:v>189.646443077443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555901"/>
        <c:axId val="82587165"/>
      </c:lineChart>
      <c:catAx>
        <c:axId val="365559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  <a:ea typeface="Calibri"/>
              </a:defRPr>
            </a:pPr>
          </a:p>
        </c:txPr>
        <c:crossAx val="82587165"/>
        <c:crosses val="autoZero"/>
        <c:auto val="1"/>
        <c:lblAlgn val="ctr"/>
        <c:lblOffset val="100"/>
        <c:noMultiLvlLbl val="0"/>
      </c:catAx>
      <c:valAx>
        <c:axId val="82587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  <a:ea typeface="Calibri"/>
              </a:defRPr>
            </a:pPr>
          </a:p>
        </c:txPr>
        <c:crossAx val="36555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232255934674832"/>
          <c:y val="0.870354821607399"/>
          <c:w val="0.568065791776028"/>
          <c:h val="0.092272468435211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PE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s-PE" sz="1000" spc="-1" strike="noStrike">
                <a:solidFill>
                  <a:srgbClr val="000000"/>
                </a:solidFill>
                <a:latin typeface="Calibri"/>
                <a:ea typeface="Calibri"/>
              </a:rPr>
              <a:t>Variacion de la precipitacion máxima Distribución Log Normal</a:t>
            </a:r>
          </a:p>
        </c:rich>
      </c:tx>
      <c:layout>
        <c:manualLayout>
          <c:xMode val="edge"/>
          <c:yMode val="edge"/>
          <c:x val="0.206064054625264"/>
          <c:y val="0.0484710909333689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3657941798"/>
          <c:y val="0.20176258512485"/>
          <c:w val="0.859941472931231"/>
          <c:h val="0.566163706769929"/>
        </c:manualLayout>
      </c:layout>
      <c:lineChart>
        <c:grouping val="standard"/>
        <c:varyColors val="0"/>
        <c:ser>
          <c:idx val="0"/>
          <c:order val="0"/>
          <c:tx>
            <c:strRef>
              <c:f>'A. Estación'!$A$1:$A$1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80"/>
            </a:solidFill>
            <a:ln w="324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'B.Modelo Distribución'!$C$58:$C$66</c:f>
              <c:strCach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strCache>
            </c:strRef>
          </c:cat>
          <c:val>
            <c:numRef>
              <c:f>'B.Modelo Distribución'!$H$58:$H$66</c:f>
              <c:numCache>
                <c:formatCode>0.0</c:formatCode>
                <c:ptCount val="9"/>
                <c:pt idx="0">
                  <c:v>107.364915644395</c:v>
                </c:pt>
                <c:pt idx="1">
                  <c:v>130.511736230561</c:v>
                </c:pt>
                <c:pt idx="2">
                  <c:v>144.548110699961</c:v>
                </c:pt>
                <c:pt idx="3">
                  <c:v>157.267069731786</c:v>
                </c:pt>
                <c:pt idx="4">
                  <c:v>161.177721466636</c:v>
                </c:pt>
                <c:pt idx="5">
                  <c:v>172.920825483283</c:v>
                </c:pt>
                <c:pt idx="6">
                  <c:v>184.210674601868</c:v>
                </c:pt>
                <c:pt idx="7">
                  <c:v>195.186618703649</c:v>
                </c:pt>
                <c:pt idx="8">
                  <c:v>209.366640183995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529918"/>
        <c:axId val="93846437"/>
      </c:lineChart>
      <c:catAx>
        <c:axId val="2152991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846437"/>
        <c:crosses val="autoZero"/>
        <c:auto val="1"/>
        <c:lblAlgn val="ctr"/>
        <c:lblOffset val="100"/>
        <c:noMultiLvlLbl val="0"/>
      </c:catAx>
      <c:valAx>
        <c:axId val="93846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529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220123685269268"/>
          <c:y val="0.869376013927907"/>
          <c:w val="0.565615954939939"/>
          <c:h val="0.087942468246745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675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PE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s-PE" sz="1000" spc="-1" strike="noStrike">
                <a:solidFill>
                  <a:srgbClr val="000000"/>
                </a:solidFill>
                <a:latin typeface="Calibri"/>
                <a:ea typeface="Calibri"/>
              </a:rPr>
              <a:t>Variacion de la precipitacion máxima Distribución Log Pearson III</a:t>
            </a:r>
          </a:p>
        </c:rich>
      </c:tx>
      <c:layout>
        <c:manualLayout>
          <c:xMode val="edge"/>
          <c:yMode val="edge"/>
          <c:x val="0.203027465667915"/>
          <c:y val="0.0484622553588071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2808988764"/>
          <c:y val="0.201837305285581"/>
          <c:w val="0.859940699126092"/>
          <c:h val="0.56610304886167"/>
        </c:manualLayout>
      </c:layout>
      <c:lineChart>
        <c:grouping val="standard"/>
        <c:varyColors val="0"/>
        <c:ser>
          <c:idx val="0"/>
          <c:order val="0"/>
          <c:tx>
            <c:strRef>
              <c:f>'A. Estación'!$A$1:$A$1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80"/>
            </a:solidFill>
            <a:ln w="324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'B.Modelo Distribución'!$L$11:$L$19</c:f>
              <c:strCach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strCache>
            </c:strRef>
          </c:cat>
          <c:val>
            <c:numRef>
              <c:f>'B.Modelo Distribución'!$R$11:$R$19</c:f>
              <c:numCache>
                <c:formatCode>0.0</c:formatCode>
                <c:ptCount val="9"/>
                <c:pt idx="0">
                  <c:v>104.591452040495</c:v>
                </c:pt>
                <c:pt idx="1">
                  <c:v>128.941318567935</c:v>
                </c:pt>
                <c:pt idx="2">
                  <c:v>146.181155207782</c:v>
                </c:pt>
                <c:pt idx="3">
                  <c:v>163.564561194566</c:v>
                </c:pt>
                <c:pt idx="4">
                  <c:v>169.265508404545</c:v>
                </c:pt>
                <c:pt idx="5">
                  <c:v>187.446025140839</c:v>
                </c:pt>
                <c:pt idx="6">
                  <c:v>206.504515507207</c:v>
                </c:pt>
                <c:pt idx="7">
                  <c:v>226.615688179914</c:v>
                </c:pt>
                <c:pt idx="8">
                  <c:v>255.07124006737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022824"/>
        <c:axId val="29180242"/>
      </c:lineChart>
      <c:catAx>
        <c:axId val="77022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180242"/>
        <c:crosses val="autoZero"/>
        <c:auto val="1"/>
        <c:lblAlgn val="ctr"/>
        <c:lblOffset val="100"/>
        <c:noMultiLvlLbl val="0"/>
      </c:catAx>
      <c:valAx>
        <c:axId val="29180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0228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219266384805348"/>
          <c:y val="0.870030435721719"/>
          <c:w val="0.565943912183391"/>
          <c:h val="0.09250299448229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675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PE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s-PE" sz="1000" spc="-1" strike="noStrike">
                <a:solidFill>
                  <a:srgbClr val="000000"/>
                </a:solidFill>
                <a:latin typeface="Calibri"/>
                <a:ea typeface="Calibri"/>
              </a:rPr>
              <a:t>Variacion de la precipitacion máxima Extrema Tipo I - Gumbel</a:t>
            </a:r>
          </a:p>
        </c:rich>
      </c:tx>
      <c:layout>
        <c:manualLayout>
          <c:xMode val="edge"/>
          <c:yMode val="edge"/>
          <c:x val="0.126536084009831"/>
          <c:y val="0.0613251879699248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480077455873"/>
          <c:y val="0.201832706766917"/>
          <c:w val="0.859909138303419"/>
          <c:h val="0.566141917293233"/>
        </c:manualLayout>
      </c:layout>
      <c:lineChart>
        <c:grouping val="standard"/>
        <c:varyColors val="0"/>
        <c:ser>
          <c:idx val="0"/>
          <c:order val="0"/>
          <c:tx>
            <c:strRef>
              <c:f>'A. Estación'!$A$1:$A$1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80"/>
            </a:solidFill>
            <a:ln w="324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'B.Modelo Distribución'!$C$46:$C$54</c:f>
              <c:strCach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strCache>
            </c:strRef>
          </c:cat>
          <c:val>
            <c:numRef>
              <c:f>'B.Modelo Distribución'!$E$46:$E$54</c:f>
              <c:numCache>
                <c:formatCode>0.0</c:formatCode>
                <c:ptCount val="9"/>
                <c:pt idx="0">
                  <c:v>105.780273618196</c:v>
                </c:pt>
                <c:pt idx="1">
                  <c:v>130.137949672903</c:v>
                </c:pt>
                <c:pt idx="2">
                  <c:v>146.264850652446</c:v>
                </c:pt>
                <c:pt idx="3">
                  <c:v>161.73416125551</c:v>
                </c:pt>
                <c:pt idx="4">
                  <c:v>166.641232791683</c:v>
                </c:pt>
                <c:pt idx="5">
                  <c:v>181.757597078755</c:v>
                </c:pt>
                <c:pt idx="6">
                  <c:v>196.762344504759</c:v>
                </c:pt>
                <c:pt idx="7">
                  <c:v>211.712342127861</c:v>
                </c:pt>
                <c:pt idx="8">
                  <c:v>231.436025214724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855589"/>
        <c:axId val="66852188"/>
      </c:lineChart>
      <c:catAx>
        <c:axId val="868555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852188"/>
        <c:crosses val="autoZero"/>
        <c:auto val="1"/>
        <c:lblAlgn val="ctr"/>
        <c:lblOffset val="100"/>
        <c:noMultiLvlLbl val="0"/>
      </c:catAx>
      <c:valAx>
        <c:axId val="66852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68555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218481852763999"/>
          <c:y val="0.870354696375027"/>
          <c:w val="0.56893267196226"/>
          <c:h val="0.092272250798371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675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PE" sz="1000" spc="-1" strike="noStrike" u="sng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rPr b="1" lang="es-PE" sz="1000" spc="-1" strike="noStrike" u="sng">
                <a:solidFill>
                  <a:srgbClr val="000000"/>
                </a:solidFill>
                <a:uFillTx/>
                <a:latin typeface="Arial"/>
                <a:ea typeface="Arial"/>
              </a:rPr>
              <a:t>Comparación de Distribuciones
Estación PONGO DE CAYNARACHI
</a:t>
            </a:r>
          </a:p>
        </c:rich>
      </c:tx>
      <c:layout>
        <c:manualLayout>
          <c:xMode val="edge"/>
          <c:yMode val="edge"/>
          <c:x val="0.324461517354918"/>
          <c:y val="0.0282072907881173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47852929071203"/>
          <c:y val="0.0179926904694968"/>
          <c:w val="0.876206155393973"/>
          <c:h val="0.687002155374379"/>
        </c:manualLayout>
      </c:layout>
      <c:scatterChart>
        <c:scatterStyle val="line"/>
        <c:varyColors val="0"/>
        <c:ser>
          <c:idx val="0"/>
          <c:order val="0"/>
          <c:tx>
            <c:strRef>
              <c:f>'A. Estación'!$A$1:$A$1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80"/>
            </a:solidFill>
            <a:ln w="25560">
              <a:solidFill>
                <a:srgbClr val="000080"/>
              </a:solidFill>
              <a:prstDash val="lgDashDot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'D.Resumen'!$G$10:$G$18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xVal>
          <c:yVal>
            <c:numRef>
              <c:f>'D.Resumen'!$H$10:$H$18</c:f>
              <c:numCache>
                <c:formatCode>0.00</c:formatCode>
                <c:ptCount val="9"/>
                <c:pt idx="0">
                  <c:v>110.307997216017</c:v>
                </c:pt>
                <c:pt idx="1">
                  <c:v>133.500539245417</c:v>
                </c:pt>
                <c:pt idx="2">
                  <c:v>145.635478970775</c:v>
                </c:pt>
                <c:pt idx="3">
                  <c:v>155.653922262638</c:v>
                </c:pt>
                <c:pt idx="4">
                  <c:v>158.57181480081</c:v>
                </c:pt>
                <c:pt idx="5">
                  <c:v>166.926300714489</c:v>
                </c:pt>
                <c:pt idx="6">
                  <c:v>174.439712336526</c:v>
                </c:pt>
                <c:pt idx="7">
                  <c:v>181.315165536762</c:v>
                </c:pt>
                <c:pt idx="8">
                  <c:v>189.646443077443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'A. Estación'!$A$1:$A$1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ff"/>
            </a:solidFill>
            <a:ln w="25560">
              <a:solidFill>
                <a:srgbClr val="ff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'D.Resumen'!$G$10:$G$18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xVal>
          <c:yVal>
            <c:numRef>
              <c:f>'D.Resumen'!$I$10:$I$18</c:f>
              <c:numCache>
                <c:formatCode>0.00</c:formatCode>
                <c:ptCount val="9"/>
                <c:pt idx="0">
                  <c:v>107.364915644395</c:v>
                </c:pt>
                <c:pt idx="1">
                  <c:v>130.511736230561</c:v>
                </c:pt>
                <c:pt idx="2">
                  <c:v>144.548110699961</c:v>
                </c:pt>
                <c:pt idx="3">
                  <c:v>157.267069731786</c:v>
                </c:pt>
                <c:pt idx="4">
                  <c:v>161.177721466636</c:v>
                </c:pt>
                <c:pt idx="5">
                  <c:v>172.920825483283</c:v>
                </c:pt>
                <c:pt idx="6">
                  <c:v>184.210674601868</c:v>
                </c:pt>
                <c:pt idx="7">
                  <c:v>195.186618703649</c:v>
                </c:pt>
                <c:pt idx="8">
                  <c:v>209.366640183995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'A. Estación'!$A$1:$A$1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'D.Resumen'!$G$10:$G$18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xVal>
          <c:yVal>
            <c:numRef>
              <c:f>'D.Resumen'!$J$10:$J$18</c:f>
              <c:numCache>
                <c:formatCode>0.00</c:formatCode>
                <c:ptCount val="9"/>
                <c:pt idx="0">
                  <c:v>104.591452040495</c:v>
                </c:pt>
                <c:pt idx="1">
                  <c:v>128.941318567935</c:v>
                </c:pt>
                <c:pt idx="2">
                  <c:v>146.181155207782</c:v>
                </c:pt>
                <c:pt idx="3">
                  <c:v>163.564561194566</c:v>
                </c:pt>
                <c:pt idx="4">
                  <c:v>169.265508404545</c:v>
                </c:pt>
                <c:pt idx="5">
                  <c:v>187.446025140839</c:v>
                </c:pt>
                <c:pt idx="6">
                  <c:v>206.504515507207</c:v>
                </c:pt>
                <c:pt idx="7">
                  <c:v>226.615688179914</c:v>
                </c:pt>
                <c:pt idx="8">
                  <c:v>255.07124006737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'A. Estación'!$A$1:$A$1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ff00"/>
            </a:solidFill>
            <a:ln w="2556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'D.Resumen'!$G$10:$G$18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xVal>
          <c:yVal>
            <c:numRef>
              <c:f>'D.Resumen'!$K$10:$K$18</c:f>
              <c:numCache>
                <c:formatCode>0.00</c:formatCode>
                <c:ptCount val="9"/>
                <c:pt idx="0">
                  <c:v>105.780273618196</c:v>
                </c:pt>
                <c:pt idx="1">
                  <c:v>130.137949672903</c:v>
                </c:pt>
                <c:pt idx="2">
                  <c:v>146.264850652446</c:v>
                </c:pt>
                <c:pt idx="3">
                  <c:v>161.73416125551</c:v>
                </c:pt>
                <c:pt idx="4">
                  <c:v>166.641232791683</c:v>
                </c:pt>
                <c:pt idx="5">
                  <c:v>181.757597078755</c:v>
                </c:pt>
                <c:pt idx="6">
                  <c:v>196.762344504759</c:v>
                </c:pt>
                <c:pt idx="7">
                  <c:v>211.712342127861</c:v>
                </c:pt>
                <c:pt idx="8">
                  <c:v>231.436025214724</c:v>
                </c:pt>
              </c:numCache>
            </c:numRef>
          </c:yVal>
          <c:smooth val="1"/>
        </c:ser>
        <c:axId val="11519992"/>
        <c:axId val="81538335"/>
      </c:scatterChart>
      <c:valAx>
        <c:axId val="11519992"/>
        <c:scaling>
          <c:logBase val="10"/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0" lang="es-PE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s-PE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Periodo de Retorno (Años)</a:t>
                </a:r>
              </a:p>
            </c:rich>
          </c:tx>
          <c:layout>
            <c:manualLayout>
              <c:xMode val="edge"/>
              <c:yMode val="edge"/>
              <c:x val="0.409018155211049"/>
              <c:y val="0.776590760003749"/>
            </c:manualLayout>
          </c:layout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1538335"/>
        <c:crosses val="autoZero"/>
        <c:crossBetween val="midCat"/>
      </c:valAx>
      <c:valAx>
        <c:axId val="81538335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s-PE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s-PE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Precipitación máxima 24 horas (mm)
</a:t>
                </a:r>
              </a:p>
            </c:rich>
          </c:tx>
          <c:layout>
            <c:manualLayout>
              <c:xMode val="edge"/>
              <c:yMode val="edge"/>
              <c:x val="0.00228655050990076"/>
              <c:y val="0.134008059225939"/>
            </c:manualLayout>
          </c:layout>
          <c:overlay val="0"/>
          <c:spPr>
            <a:noFill/>
            <a:ln w="2556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 rot="-180000"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1519992"/>
        <c:crosses val="autoZero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0268300508891156"/>
          <c:y val="0.878427464566929"/>
          <c:w val="0.949622984168544"/>
          <c:h val="0.0816025196850394"/>
        </c:manualLayout>
      </c:layout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675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PE" sz="11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s-PE" sz="1100" spc="-1" strike="noStrike">
                <a:solidFill>
                  <a:srgbClr val="000000"/>
                </a:solidFill>
                <a:latin typeface="Calibri"/>
                <a:ea typeface="Calibri"/>
              </a:rPr>
              <a:t>Gráfico N° 04 : Curva Intensidad - Duracion - Frecuencia</a:t>
            </a:r>
          </a:p>
        </c:rich>
      </c:tx>
      <c:layout>
        <c:manualLayout>
          <c:xMode val="edge"/>
          <c:yMode val="edge"/>
          <c:x val="0.260985676134984"/>
          <c:y val="0.0330207908683245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105365379947"/>
          <c:y val="0.147472482674276"/>
          <c:w val="0.800825443068706"/>
          <c:h val="0.6685690990623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'B. Int.maxima'!$K$31:$K$31</c:f>
              <c:strCache>
                <c:ptCount val="1"/>
                <c:pt idx="0">
                  <c:v>2 años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x"/>
            <c:size val="3"/>
            <c:spPr>
              <a:solidFill>
                <a:srgbClr val="6f568d"/>
              </a:solidFill>
            </c:spPr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Times New Roman"/>
                    <a:ea typeface="Times New Roman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Int.maxima'!$C$18:$C$29</c:f>
              <c:numCache>
                <c:formatCode>#,##0.00</c:formatCode>
                <c:ptCount val="12"/>
                <c:pt idx="0">
                  <c:v>71.2</c:v>
                </c:pt>
                <c:pt idx="1">
                  <c:v>49.42</c:v>
                </c:pt>
                <c:pt idx="2">
                  <c:v>39.91</c:v>
                </c:pt>
                <c:pt idx="3">
                  <c:v>34.3</c:v>
                </c:pt>
                <c:pt idx="4">
                  <c:v>30.49</c:v>
                </c:pt>
                <c:pt idx="5">
                  <c:v>27.7</c:v>
                </c:pt>
                <c:pt idx="6">
                  <c:v>25.54</c:v>
                </c:pt>
                <c:pt idx="7">
                  <c:v>23.81</c:v>
                </c:pt>
                <c:pt idx="8">
                  <c:v>22.37</c:v>
                </c:pt>
                <c:pt idx="9">
                  <c:v>21.16</c:v>
                </c:pt>
                <c:pt idx="10">
                  <c:v>20.13</c:v>
                </c:pt>
                <c:pt idx="11">
                  <c:v>19.23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'B. Int.maxima'!$L$31:$L$31</c:f>
              <c:strCache>
                <c:ptCount val="1"/>
                <c:pt idx="0">
                  <c:v>5 años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square"/>
            <c:size val="3"/>
            <c:spPr>
              <a:solidFill>
                <a:srgbClr val="3d97af"/>
              </a:solidFill>
            </c:spPr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Times New Roman"/>
                    <a:ea typeface="Times New Roman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Int.maxima'!$D$18:$D$29</c:f>
              <c:numCache>
                <c:formatCode>#,##0.00</c:formatCode>
                <c:ptCount val="12"/>
                <c:pt idx="0">
                  <c:v>83.86</c:v>
                </c:pt>
                <c:pt idx="1">
                  <c:v>58.21</c:v>
                </c:pt>
                <c:pt idx="2">
                  <c:v>47.01</c:v>
                </c:pt>
                <c:pt idx="3">
                  <c:v>40.4</c:v>
                </c:pt>
                <c:pt idx="4">
                  <c:v>35.92</c:v>
                </c:pt>
                <c:pt idx="5">
                  <c:v>32.63</c:v>
                </c:pt>
                <c:pt idx="6">
                  <c:v>30.08</c:v>
                </c:pt>
                <c:pt idx="7">
                  <c:v>28.04</c:v>
                </c:pt>
                <c:pt idx="8">
                  <c:v>26.35</c:v>
                </c:pt>
                <c:pt idx="9">
                  <c:v>24.93</c:v>
                </c:pt>
                <c:pt idx="10">
                  <c:v>23.71</c:v>
                </c:pt>
                <c:pt idx="11">
                  <c:v>22.64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'B. Int.maxima'!$M$31:$M$31</c:f>
              <c:strCache>
                <c:ptCount val="1"/>
                <c:pt idx="0">
                  <c:v>10 años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circle"/>
            <c:size val="3"/>
            <c:spPr>
              <a:solidFill>
                <a:srgbClr val="db8238"/>
              </a:solidFill>
            </c:spPr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Times New Roman"/>
                    <a:ea typeface="Times New Roman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Int.maxima'!$E$18:$E$29</c:f>
              <c:numCache>
                <c:formatCode>#,##0.00</c:formatCode>
                <c:ptCount val="12"/>
                <c:pt idx="0">
                  <c:v>94.92</c:v>
                </c:pt>
                <c:pt idx="1">
                  <c:v>65.88</c:v>
                </c:pt>
                <c:pt idx="2">
                  <c:v>53.2</c:v>
                </c:pt>
                <c:pt idx="3">
                  <c:v>45.72</c:v>
                </c:pt>
                <c:pt idx="4">
                  <c:v>40.65</c:v>
                </c:pt>
                <c:pt idx="5">
                  <c:v>36.93</c:v>
                </c:pt>
                <c:pt idx="6">
                  <c:v>34.05</c:v>
                </c:pt>
                <c:pt idx="7">
                  <c:v>31.73</c:v>
                </c:pt>
                <c:pt idx="8">
                  <c:v>29.82</c:v>
                </c:pt>
                <c:pt idx="9">
                  <c:v>28.21</c:v>
                </c:pt>
                <c:pt idx="10">
                  <c:v>26.83</c:v>
                </c:pt>
                <c:pt idx="11">
                  <c:v>25.63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'B. Int.maxima'!$N$31:$N$31</c:f>
              <c:strCache>
                <c:ptCount val="1"/>
                <c:pt idx="0">
                  <c:v>20 años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3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Times New Roman"/>
                    <a:ea typeface="Times New Roman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Int.maxima'!$F$18:$F$29</c:f>
              <c:numCache>
                <c:formatCode>#,##0.00</c:formatCode>
                <c:ptCount val="12"/>
                <c:pt idx="0">
                  <c:v>107.42</c:v>
                </c:pt>
                <c:pt idx="1">
                  <c:v>74.56</c:v>
                </c:pt>
                <c:pt idx="2">
                  <c:v>60.22</c:v>
                </c:pt>
                <c:pt idx="3">
                  <c:v>51.75</c:v>
                </c:pt>
                <c:pt idx="4">
                  <c:v>46.01</c:v>
                </c:pt>
                <c:pt idx="5">
                  <c:v>41.79</c:v>
                </c:pt>
                <c:pt idx="6">
                  <c:v>38.53</c:v>
                </c:pt>
                <c:pt idx="7">
                  <c:v>35.91</c:v>
                </c:pt>
                <c:pt idx="8">
                  <c:v>33.75</c:v>
                </c:pt>
                <c:pt idx="9">
                  <c:v>31.93</c:v>
                </c:pt>
                <c:pt idx="10">
                  <c:v>30.37</c:v>
                </c:pt>
                <c:pt idx="11">
                  <c:v>29.01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'A. Estación'!$A$1:$A$1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Times New Roman"/>
                    <a:ea typeface="Times New Roman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Int.maxima'!$G$18:$G$29</c:f>
              <c:numCache>
                <c:formatCode>#,##0.00</c:formatCode>
                <c:ptCount val="12"/>
                <c:pt idx="0">
                  <c:v>111.79</c:v>
                </c:pt>
                <c:pt idx="1">
                  <c:v>77.59</c:v>
                </c:pt>
                <c:pt idx="2">
                  <c:v>62.66</c:v>
                </c:pt>
                <c:pt idx="3">
                  <c:v>53.85</c:v>
                </c:pt>
                <c:pt idx="4">
                  <c:v>47.88</c:v>
                </c:pt>
                <c:pt idx="5">
                  <c:v>43.49</c:v>
                </c:pt>
                <c:pt idx="6">
                  <c:v>40.1</c:v>
                </c:pt>
                <c:pt idx="7">
                  <c:v>37.37</c:v>
                </c:pt>
                <c:pt idx="8">
                  <c:v>35.13</c:v>
                </c:pt>
                <c:pt idx="9">
                  <c:v>33.23</c:v>
                </c:pt>
                <c:pt idx="10">
                  <c:v>31.6</c:v>
                </c:pt>
                <c:pt idx="11">
                  <c:v>30.19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'B. Int.maxima'!$O$31:$O$31</c:f>
              <c:strCache>
                <c:ptCount val="1"/>
                <c:pt idx="0">
                  <c:v>50 años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3"/>
            <c:spPr>
              <a:solidFill>
                <a:srgbClr val="ff00ff"/>
              </a:solidFill>
            </c:spPr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Times New Roman"/>
                    <a:ea typeface="Times New Roman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Int.maxima'!$H$18:$H$29</c:f>
              <c:numCache>
                <c:formatCode>#,##0.00</c:formatCode>
                <c:ptCount val="12"/>
                <c:pt idx="0">
                  <c:v>126.52</c:v>
                </c:pt>
                <c:pt idx="1">
                  <c:v>87.81</c:v>
                </c:pt>
                <c:pt idx="2">
                  <c:v>70.92</c:v>
                </c:pt>
                <c:pt idx="3">
                  <c:v>60.95</c:v>
                </c:pt>
                <c:pt idx="4">
                  <c:v>54.19</c:v>
                </c:pt>
                <c:pt idx="5">
                  <c:v>49.22</c:v>
                </c:pt>
                <c:pt idx="6">
                  <c:v>45.38</c:v>
                </c:pt>
                <c:pt idx="7">
                  <c:v>42.3</c:v>
                </c:pt>
                <c:pt idx="8">
                  <c:v>39.75</c:v>
                </c:pt>
                <c:pt idx="9">
                  <c:v>37.61</c:v>
                </c:pt>
                <c:pt idx="10">
                  <c:v>35.77</c:v>
                </c:pt>
                <c:pt idx="11">
                  <c:v>34.16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'B. Int.maxima'!$P$31:$P$31</c:f>
              <c:strCache>
                <c:ptCount val="1"/>
                <c:pt idx="0">
                  <c:v>100 años</c:v>
                </c:pt>
              </c:strCache>
            </c:strRef>
          </c:tx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marker>
            <c:symbol val="triangle"/>
            <c:size val="3"/>
            <c:spPr>
              <a:solidFill>
                <a:srgbClr val="00ff00"/>
              </a:solidFill>
            </c:spPr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Times New Roman"/>
                    <a:ea typeface="Times New Roman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Int.maxima'!$I$18:$I$29</c:f>
              <c:numCache>
                <c:formatCode>#,##0.00</c:formatCode>
                <c:ptCount val="12"/>
                <c:pt idx="0">
                  <c:v>143.2</c:v>
                </c:pt>
                <c:pt idx="1">
                  <c:v>99.39</c:v>
                </c:pt>
                <c:pt idx="2">
                  <c:v>80.27</c:v>
                </c:pt>
                <c:pt idx="3">
                  <c:v>68.98</c:v>
                </c:pt>
                <c:pt idx="4">
                  <c:v>61.33</c:v>
                </c:pt>
                <c:pt idx="5">
                  <c:v>55.71</c:v>
                </c:pt>
                <c:pt idx="6">
                  <c:v>51.36</c:v>
                </c:pt>
                <c:pt idx="7">
                  <c:v>47.87</c:v>
                </c:pt>
                <c:pt idx="8">
                  <c:v>44.99</c:v>
                </c:pt>
                <c:pt idx="9">
                  <c:v>42.56</c:v>
                </c:pt>
                <c:pt idx="10">
                  <c:v>40.48</c:v>
                </c:pt>
                <c:pt idx="11">
                  <c:v>38.67</c:v>
                </c:pt>
              </c:numCache>
            </c:numRef>
          </c:yVal>
          <c:smooth val="1"/>
        </c:ser>
        <c:axId val="30993252"/>
        <c:axId val="10564193"/>
      </c:scatterChart>
      <c:valAx>
        <c:axId val="30993252"/>
        <c:scaling>
          <c:orientation val="minMax"/>
          <c:max val="120"/>
          <c:min val="0"/>
        </c:scaling>
        <c:delete val="0"/>
        <c:axPos val="b"/>
        <c:majorGridlines>
          <c:spPr>
            <a:ln w="3240">
              <a:solidFill>
                <a:srgbClr val="000000"/>
              </a:solidFill>
              <a:prstDash val="sys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s-PE" sz="11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lang="es-PE" sz="11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Duración (minutos)</a:t>
                </a:r>
              </a:p>
            </c:rich>
          </c:tx>
          <c:layout>
            <c:manualLayout>
              <c:xMode val="edge"/>
              <c:yMode val="edge"/>
              <c:x val="0.433600388443797"/>
              <c:y val="0.860986547085202"/>
            </c:manualLayout>
          </c:layout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imes New Roman"/>
                <a:ea typeface="Times New Roman"/>
              </a:defRPr>
            </a:pPr>
          </a:p>
        </c:txPr>
        <c:crossAx val="10564193"/>
        <c:crossesAt val="0"/>
        <c:crossBetween val="midCat"/>
        <c:majorUnit val="20"/>
      </c:valAx>
      <c:valAx>
        <c:axId val="10564193"/>
        <c:scaling>
          <c:orientation val="minMax"/>
          <c:min val="0"/>
        </c:scaling>
        <c:delete val="0"/>
        <c:axPos val="l"/>
        <c:majorGridlines>
          <c:spPr>
            <a:ln w="3240">
              <a:solidFill>
                <a:srgbClr val="000000"/>
              </a:solidFill>
              <a:prstDash val="sys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s-PE" sz="11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lang="es-PE" sz="11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Intensidad (mm/hora)</a:t>
                </a:r>
              </a:p>
            </c:rich>
          </c:tx>
          <c:layout>
            <c:manualLayout>
              <c:xMode val="edge"/>
              <c:yMode val="edge"/>
              <c:x val="0.0353969410050983"/>
              <c:y val="0.389726865063188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imes New Roman"/>
                <a:ea typeface="Times New Roman"/>
              </a:defRPr>
            </a:pPr>
          </a:p>
        </c:txPr>
        <c:crossAx val="30993252"/>
        <c:crosses val="autoZero"/>
        <c:crossBetween val="midCat"/>
        <c:majorUnit val="40"/>
        <c:minorUnit val="10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59778749243158"/>
          <c:y val="0.915347806535819"/>
          <c:w val="0.732654519480958"/>
          <c:h val="0.0512551925323955"/>
        </c:manualLayout>
      </c:layout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675" spc="-1" strike="noStrike">
              <a:solidFill>
                <a:srgbClr val="000000"/>
              </a:solidFill>
              <a:latin typeface="Times New Roman"/>
              <a:ea typeface="Times New Roman"/>
            </a:defRPr>
          </a:pPr>
        </a:p>
      </c:txPr>
    </c:legend>
    <c:plotVisOnly val="1"/>
    <c:dispBlanksAs val="gap"/>
  </c:chart>
  <c:spPr>
    <a:noFill/>
    <a:ln w="324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16920</xdr:rowOff>
    </xdr:from>
    <xdr:to>
      <xdr:col>7</xdr:col>
      <xdr:colOff>808200</xdr:colOff>
      <xdr:row>7</xdr:row>
      <xdr:rowOff>4822920</xdr:rowOff>
    </xdr:to>
    <xdr:pic>
      <xdr:nvPicPr>
        <xdr:cNvPr id="0" name="" descr=""/>
        <xdr:cNvPicPr/>
      </xdr:nvPicPr>
      <xdr:blipFill>
        <a:blip r:embed="rId1"/>
        <a:stretch/>
      </xdr:blipFill>
      <xdr:spPr>
        <a:xfrm>
          <a:off x="0" y="1820160"/>
          <a:ext cx="6480000" cy="4806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405000</xdr:colOff>
      <xdr:row>44</xdr:row>
      <xdr:rowOff>3240</xdr:rowOff>
    </xdr:from>
    <xdr:to>
      <xdr:col>14</xdr:col>
      <xdr:colOff>23760</xdr:colOff>
      <xdr:row>69</xdr:row>
      <xdr:rowOff>61560</xdr:rowOff>
    </xdr:to>
    <xdr:graphicFrame>
      <xdr:nvGraphicFramePr>
        <xdr:cNvPr id="1" name="Chart 5"/>
        <xdr:cNvGraphicFramePr/>
      </xdr:nvGraphicFramePr>
      <xdr:xfrm>
        <a:off x="546120" y="10318680"/>
        <a:ext cx="9293400" cy="386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388440</xdr:colOff>
      <xdr:row>22</xdr:row>
      <xdr:rowOff>33840</xdr:rowOff>
    </xdr:from>
    <xdr:to>
      <xdr:col>10</xdr:col>
      <xdr:colOff>538560</xdr:colOff>
      <xdr:row>33</xdr:row>
      <xdr:rowOff>20520</xdr:rowOff>
    </xdr:to>
    <xdr:graphicFrame>
      <xdr:nvGraphicFramePr>
        <xdr:cNvPr id="2" name="Chart 453"/>
        <xdr:cNvGraphicFramePr/>
      </xdr:nvGraphicFramePr>
      <xdr:xfrm>
        <a:off x="3065760" y="5634720"/>
        <a:ext cx="4531320" cy="271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289440</xdr:colOff>
      <xdr:row>55</xdr:row>
      <xdr:rowOff>1800</xdr:rowOff>
    </xdr:from>
    <xdr:to>
      <xdr:col>13</xdr:col>
      <xdr:colOff>637560</xdr:colOff>
      <xdr:row>68</xdr:row>
      <xdr:rowOff>30600</xdr:rowOff>
    </xdr:to>
    <xdr:graphicFrame>
      <xdr:nvGraphicFramePr>
        <xdr:cNvPr id="3" name="Chart 453"/>
        <xdr:cNvGraphicFramePr/>
      </xdr:nvGraphicFramePr>
      <xdr:xfrm>
        <a:off x="5849640" y="14041800"/>
        <a:ext cx="4428360" cy="269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193680</xdr:colOff>
      <xdr:row>22</xdr:row>
      <xdr:rowOff>36360</xdr:rowOff>
    </xdr:from>
    <xdr:to>
      <xdr:col>16</xdr:col>
      <xdr:colOff>912600</xdr:colOff>
      <xdr:row>33</xdr:row>
      <xdr:rowOff>15840</xdr:rowOff>
    </xdr:to>
    <xdr:graphicFrame>
      <xdr:nvGraphicFramePr>
        <xdr:cNvPr id="4" name="Chart 453"/>
        <xdr:cNvGraphicFramePr/>
      </xdr:nvGraphicFramePr>
      <xdr:xfrm>
        <a:off x="8187840" y="5637240"/>
        <a:ext cx="4613400" cy="270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544320</xdr:colOff>
      <xdr:row>42</xdr:row>
      <xdr:rowOff>87840</xdr:rowOff>
    </xdr:from>
    <xdr:to>
      <xdr:col>11</xdr:col>
      <xdr:colOff>534960</xdr:colOff>
      <xdr:row>54</xdr:row>
      <xdr:rowOff>8640</xdr:rowOff>
    </xdr:to>
    <xdr:graphicFrame>
      <xdr:nvGraphicFramePr>
        <xdr:cNvPr id="5" name="Chart 453"/>
        <xdr:cNvGraphicFramePr/>
      </xdr:nvGraphicFramePr>
      <xdr:xfrm>
        <a:off x="3695760" y="10641600"/>
        <a:ext cx="4833360" cy="306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106560</xdr:colOff>
      <xdr:row>26</xdr:row>
      <xdr:rowOff>205200</xdr:rowOff>
    </xdr:from>
    <xdr:to>
      <xdr:col>11</xdr:col>
      <xdr:colOff>709560</xdr:colOff>
      <xdr:row>46</xdr:row>
      <xdr:rowOff>46080</xdr:rowOff>
    </xdr:to>
    <xdr:graphicFrame>
      <xdr:nvGraphicFramePr>
        <xdr:cNvPr id="6" name="Chart 429"/>
        <xdr:cNvGraphicFramePr/>
      </xdr:nvGraphicFramePr>
      <xdr:xfrm>
        <a:off x="279360" y="6729840"/>
        <a:ext cx="7871760" cy="384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221400</xdr:colOff>
      <xdr:row>0</xdr:row>
      <xdr:rowOff>0</xdr:rowOff>
    </xdr:from>
    <xdr:to>
      <xdr:col>17</xdr:col>
      <xdr:colOff>221040</xdr:colOff>
      <xdr:row>8</xdr:row>
      <xdr:rowOff>183960</xdr:rowOff>
    </xdr:to>
    <xdr:pic>
      <xdr:nvPicPr>
        <xdr:cNvPr id="7" name="Imagen 6" descr=""/>
        <xdr:cNvPicPr/>
      </xdr:nvPicPr>
      <xdr:blipFill>
        <a:blip r:embed="rId1"/>
        <a:stretch/>
      </xdr:blipFill>
      <xdr:spPr>
        <a:xfrm>
          <a:off x="8548920" y="0"/>
          <a:ext cx="5649120" cy="2327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277200</xdr:colOff>
      <xdr:row>30</xdr:row>
      <xdr:rowOff>16560</xdr:rowOff>
    </xdr:from>
    <xdr:to>
      <xdr:col>8</xdr:col>
      <xdr:colOff>630360</xdr:colOff>
      <xdr:row>57</xdr:row>
      <xdr:rowOff>205560</xdr:rowOff>
    </xdr:to>
    <xdr:graphicFrame>
      <xdr:nvGraphicFramePr>
        <xdr:cNvPr id="8" name="Chart 1"/>
        <xdr:cNvGraphicFramePr/>
      </xdr:nvGraphicFramePr>
      <xdr:xfrm>
        <a:off x="424440" y="7217640"/>
        <a:ext cx="7413840" cy="353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Caj_Cel/INFORMES/INFORME02_21Febrero/B.%20Hidrologia/DicFinal_Andahuaylas/Anexo%20B_Hidrologia/BIF10%20Octubre_hidrologiaA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os"/>
      <sheetName val="N-LN-LP3_VEI"/>
      <sheetName val="Chi2"/>
      <sheetName val="Chi2-LN"/>
      <sheetName val="Kolgomorov"/>
      <sheetName val="No Imp_Dick_50"/>
      <sheetName val="No Imp_Tendencias"/>
      <sheetName val="Grafico Compacion-No Imp"/>
      <sheetName val="Intensidad_No Imp"/>
      <sheetName val="No Imp-INT"/>
      <sheetName val="No Imp_Intensidades"/>
      <sheetName val="No Imp_HUT"/>
      <sheetName val="No Imp_coef-esc"/>
      <sheetName val="NoImp_Param"/>
      <sheetName val="No Imp_Metodo Racional"/>
      <sheetName val="MRac_Pontones"/>
      <sheetName val="No Imp_Predim"/>
      <sheetName val="No Imp_Tiposuelo"/>
      <sheetName val="HU_Quebrada_No Imp"/>
      <sheetName val="HU_ponts-Simp1"/>
      <sheetName val="HU_ponts-Simp2"/>
      <sheetName val="Soc_Pont,100años"/>
      <sheetName val="Socav._Pont,200años"/>
      <sheetName val="Hoja1"/>
      <sheetName val="Hoja2"/>
      <sheetName val="No Imprimir_Chumba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0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46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20" hidden="false" customHeight="true" outlineLevel="0" collapsed="false">
      <c r="A6" s="6" t="s">
        <v>4</v>
      </c>
      <c r="B6" s="6"/>
      <c r="C6" s="6"/>
      <c r="D6" s="6"/>
      <c r="E6" s="6"/>
      <c r="F6" s="6"/>
      <c r="G6" s="6"/>
      <c r="H6" s="6"/>
    </row>
    <row r="7" customFormat="false" ht="6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381.25" hidden="false" customHeight="true" outlineLevel="0" collapsed="false"/>
    <row r="9" customFormat="false" ht="13.95" hidden="false" customHeight="true" outlineLevel="0" collapsed="false">
      <c r="A9" s="7" t="s">
        <v>5</v>
      </c>
      <c r="B9" s="7"/>
      <c r="C9" s="7"/>
      <c r="D9" s="7"/>
      <c r="E9" s="7"/>
      <c r="F9" s="7"/>
      <c r="G9" s="7"/>
      <c r="H9" s="7"/>
    </row>
    <row r="10" customFormat="false" ht="6" hidden="false" customHeight="tru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34" hidden="false" customHeight="true" outlineLevel="0" collapsed="false">
      <c r="A11" s="8" t="s">
        <v>6</v>
      </c>
      <c r="B11" s="8"/>
      <c r="C11" s="8"/>
      <c r="D11" s="8"/>
      <c r="E11" s="8"/>
      <c r="F11" s="8"/>
      <c r="G11" s="8"/>
      <c r="H11" s="8"/>
    </row>
    <row r="12" customFormat="false" ht="22" hidden="false" customHeight="true" outlineLevel="0" collapsed="false">
      <c r="A12" s="9" t="s">
        <v>7</v>
      </c>
      <c r="B12" s="9"/>
      <c r="C12" s="9"/>
      <c r="D12" s="9"/>
      <c r="E12" s="9"/>
      <c r="F12" s="9"/>
      <c r="G12" s="9"/>
      <c r="H12" s="9"/>
    </row>
    <row r="13" customFormat="false" ht="10" hidden="false" customHeight="tru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8" hidden="false" customHeight="true" outlineLevel="0" collapsed="false">
      <c r="A14" s="10" t="s">
        <v>8</v>
      </c>
      <c r="B14" s="10"/>
      <c r="C14" s="10"/>
      <c r="D14" s="10"/>
      <c r="E14" s="10"/>
      <c r="F14" s="10"/>
      <c r="G14" s="10"/>
      <c r="H14" s="10"/>
    </row>
    <row r="15" customFormat="false" ht="16" hidden="false" customHeight="true" outlineLevel="0" collapsed="false">
      <c r="A15" s="11" t="s">
        <v>9</v>
      </c>
      <c r="B15" s="11"/>
      <c r="C15" s="11"/>
      <c r="D15" s="11"/>
      <c r="E15" s="11"/>
      <c r="F15" s="11"/>
      <c r="G15" s="11"/>
      <c r="H15" s="11"/>
    </row>
    <row r="16" customFormat="false" ht="8" hidden="false" customHeight="tru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20" hidden="false" customHeight="true" outlineLevel="0" collapsed="false">
      <c r="A17" s="4" t="s">
        <v>10</v>
      </c>
      <c r="B17" s="4"/>
      <c r="C17" s="4"/>
      <c r="D17" s="4"/>
      <c r="E17" s="4"/>
      <c r="F17" s="4"/>
      <c r="G17" s="4"/>
      <c r="H17" s="4"/>
    </row>
  </sheetData>
  <mergeCells count="1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</mergeCells>
  <printOptions headings="false" gridLines="false" gridLinesSet="true" horizontalCentered="true" verticalCentered="true"/>
  <pageMargins left="0.7875" right="0.7875" top="0.7875" bottom="0.590277777777778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2:O1048576"/>
  <sheetViews>
    <sheetView showFormulas="false" showGridLines="true" showRowColHeaders="true" showZeros="true" rightToLeft="false" tabSelected="false" showOutlineSymbols="true" defaultGridColor="true" view="pageBreakPreview" topLeftCell="A33" colorId="64" zoomScale="124" zoomScaleNormal="85" zoomScalePageLayoutView="124" workbookViewId="0">
      <selection pane="topLeft" activeCell="C2" activeCellId="0" sqref="C2"/>
    </sheetView>
  </sheetViews>
  <sheetFormatPr defaultColWidth="11.453125" defaultRowHeight="12.75" zeroHeight="false" outlineLevelRow="0" outlineLevelCol="0"/>
  <cols>
    <col collapsed="false" customWidth="true" hidden="false" outlineLevel="0" max="1" min="1" style="12" width="2"/>
    <col collapsed="false" customWidth="false" hidden="false" outlineLevel="0" max="2" min="2" style="12" width="11.45"/>
    <col collapsed="false" customWidth="true" hidden="false" outlineLevel="0" max="5" min="3" style="12" width="10"/>
    <col collapsed="false" customWidth="true" hidden="false" outlineLevel="0" max="6" min="6" style="12" width="11.73"/>
    <col collapsed="false" customWidth="true" hidden="false" outlineLevel="0" max="7" min="7" style="12" width="13.45"/>
    <col collapsed="false" customWidth="true" hidden="false" outlineLevel="0" max="12" min="8" style="12" width="10"/>
    <col collapsed="false" customWidth="true" hidden="false" outlineLevel="0" max="13" min="13" style="12" width="10.63"/>
    <col collapsed="false" customWidth="true" hidden="false" outlineLevel="0" max="14" min="14" style="12" width="10"/>
    <col collapsed="false" customWidth="true" hidden="false" outlineLevel="0" max="15" min="15" style="12" width="8.82"/>
    <col collapsed="false" customWidth="false" hidden="false" outlineLevel="0" max="16384" min="16" style="12" width="11.45"/>
  </cols>
  <sheetData>
    <row r="2" customFormat="false" ht="50.25" hidden="false" customHeight="true" outlineLevel="0" collapsed="false">
      <c r="B2" s="13" t="s">
        <v>11</v>
      </c>
      <c r="C2" s="14" t="s">
        <v>12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customFormat="false" ht="18.75" hidden="false" customHeight="true" outlineLevel="0" collapsed="false">
      <c r="B3" s="13" t="s">
        <v>13</v>
      </c>
      <c r="C3" s="14" t="s">
        <v>14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customFormat="false" ht="19.5" hidden="false" customHeight="true" outlineLevel="0" collapsed="false">
      <c r="B4" s="13" t="s">
        <v>15</v>
      </c>
      <c r="C4" s="14" t="s">
        <v>16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19.5" hidden="false" customHeight="true" outlineLevel="0" collapsed="false">
      <c r="B5" s="13" t="s">
        <v>17</v>
      </c>
      <c r="C5" s="15" t="s">
        <v>10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customFormat="false" ht="6" hidden="false" customHeight="true" outlineLevel="0" collapsed="false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customFormat="false" ht="19.5" hidden="false" customHeight="true" outlineLevel="0" collapsed="false">
      <c r="B7" s="17" t="s">
        <v>18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customFormat="false" ht="4.5" hidden="false" customHeight="true" outlineLevel="0" collapsed="false">
      <c r="B8" s="18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customFormat="false" ht="19.5" hidden="false" customHeight="true" outlineLevel="0" collapsed="false">
      <c r="B9" s="19" t="s">
        <v>19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customFormat="false" ht="3" hidden="false" customHeight="true" outlineLevel="0" collapsed="false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16"/>
    </row>
    <row r="11" customFormat="false" ht="15" hidden="false" customHeight="true" outlineLevel="0" collapsed="false">
      <c r="B11" s="20" t="s">
        <v>20</v>
      </c>
      <c r="C11" s="21" t="s">
        <v>21</v>
      </c>
      <c r="D11" s="16"/>
      <c r="E11" s="16"/>
      <c r="F11" s="20" t="s">
        <v>22</v>
      </c>
      <c r="G11" s="22" t="s">
        <v>23</v>
      </c>
      <c r="H11" s="16"/>
      <c r="I11" s="16"/>
      <c r="J11" s="16"/>
      <c r="K11" s="16"/>
      <c r="L11" s="16"/>
      <c r="M11" s="22"/>
      <c r="N11" s="16"/>
      <c r="O11" s="16"/>
    </row>
    <row r="12" customFormat="false" ht="15" hidden="false" customHeight="true" outlineLevel="0" collapsed="false">
      <c r="B12" s="20" t="s">
        <v>24</v>
      </c>
      <c r="C12" s="22" t="s">
        <v>25</v>
      </c>
      <c r="D12" s="16"/>
      <c r="E12" s="16"/>
      <c r="F12" s="20" t="s">
        <v>26</v>
      </c>
      <c r="G12" s="22" t="s">
        <v>27</v>
      </c>
      <c r="H12" s="16"/>
      <c r="I12" s="16"/>
      <c r="J12" s="16"/>
      <c r="K12" s="16"/>
      <c r="L12" s="16"/>
      <c r="M12" s="22"/>
      <c r="N12" s="16"/>
      <c r="O12" s="16"/>
    </row>
    <row r="13" customFormat="false" ht="15" hidden="false" customHeight="true" outlineLevel="0" collapsed="false">
      <c r="B13" s="20" t="s">
        <v>28</v>
      </c>
      <c r="C13" s="22" t="s">
        <v>29</v>
      </c>
      <c r="D13" s="16"/>
      <c r="E13" s="16"/>
      <c r="F13" s="20" t="s">
        <v>30</v>
      </c>
      <c r="G13" s="22" t="s">
        <v>31</v>
      </c>
      <c r="H13" s="16"/>
      <c r="I13" s="16"/>
      <c r="J13" s="16"/>
      <c r="K13" s="16"/>
      <c r="L13" s="16"/>
      <c r="M13" s="22"/>
      <c r="N13" s="16"/>
      <c r="O13" s="16"/>
    </row>
    <row r="14" customFormat="false" ht="15" hidden="false" customHeight="false" outlineLevel="0" collapsed="false">
      <c r="B14" s="2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customFormat="false" ht="19.5" hidden="false" customHeight="true" outlineLevel="0" collapsed="false">
      <c r="B15" s="24" t="s">
        <v>32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="25" customFormat="true" ht="19.5" hidden="false" customHeight="true" outlineLevel="0" collapsed="false">
      <c r="B16" s="26" t="s">
        <v>33</v>
      </c>
      <c r="C16" s="26" t="s">
        <v>34</v>
      </c>
      <c r="D16" s="26" t="s">
        <v>35</v>
      </c>
      <c r="E16" s="26" t="s">
        <v>36</v>
      </c>
      <c r="F16" s="26" t="s">
        <v>37</v>
      </c>
      <c r="G16" s="26" t="s">
        <v>38</v>
      </c>
      <c r="H16" s="26" t="s">
        <v>39</v>
      </c>
      <c r="I16" s="26" t="s">
        <v>40</v>
      </c>
      <c r="J16" s="26" t="s">
        <v>41</v>
      </c>
      <c r="K16" s="26" t="s">
        <v>42</v>
      </c>
      <c r="L16" s="26" t="s">
        <v>43</v>
      </c>
      <c r="M16" s="26" t="s">
        <v>44</v>
      </c>
      <c r="N16" s="26" t="s">
        <v>45</v>
      </c>
      <c r="O16" s="26" t="s">
        <v>46</v>
      </c>
    </row>
    <row r="17" s="25" customFormat="true" ht="19.5" hidden="false" customHeight="true" outlineLevel="0" collapsed="false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customFormat="false" ht="19.5" hidden="false" customHeight="true" outlineLevel="0" collapsed="false">
      <c r="A18" s="27" t="n">
        <f aca="false">O18</f>
        <v>141.9</v>
      </c>
      <c r="B18" s="28" t="n">
        <v>1989</v>
      </c>
      <c r="C18" s="29" t="n">
        <v>74.4</v>
      </c>
      <c r="D18" s="30" t="n">
        <v>82.7</v>
      </c>
      <c r="E18" s="30" t="n">
        <v>80.1</v>
      </c>
      <c r="F18" s="30" t="n">
        <v>61.9</v>
      </c>
      <c r="G18" s="30" t="n">
        <v>78.4</v>
      </c>
      <c r="H18" s="30" t="n">
        <v>77.5</v>
      </c>
      <c r="I18" s="30" t="n">
        <v>76.1</v>
      </c>
      <c r="J18" s="30" t="n">
        <v>58.1</v>
      </c>
      <c r="K18" s="30" t="n">
        <v>64.4</v>
      </c>
      <c r="L18" s="30" t="n">
        <v>141.9</v>
      </c>
      <c r="M18" s="30" t="n">
        <v>69.4</v>
      </c>
      <c r="N18" s="30" t="n">
        <v>46.9</v>
      </c>
      <c r="O18" s="31" t="n">
        <f aca="false">MAX(C18:N18)</f>
        <v>141.9</v>
      </c>
    </row>
    <row r="19" customFormat="false" ht="19.5" hidden="false" customHeight="true" outlineLevel="0" collapsed="false">
      <c r="A19" s="27" t="n">
        <f aca="false">O19</f>
        <v>115.1</v>
      </c>
      <c r="B19" s="32" t="n">
        <v>1990</v>
      </c>
      <c r="C19" s="33" t="n">
        <v>81.5</v>
      </c>
      <c r="D19" s="34" t="n">
        <v>97.9</v>
      </c>
      <c r="E19" s="34" t="n">
        <v>62.6</v>
      </c>
      <c r="F19" s="34" t="n">
        <v>78.8</v>
      </c>
      <c r="G19" s="34" t="n">
        <v>61.2</v>
      </c>
      <c r="H19" s="34" t="n">
        <v>56.2</v>
      </c>
      <c r="I19" s="34" t="n">
        <v>41.6</v>
      </c>
      <c r="J19" s="34" t="n">
        <v>49.5</v>
      </c>
      <c r="K19" s="34" t="n">
        <v>65.4</v>
      </c>
      <c r="L19" s="34" t="n">
        <v>57.4</v>
      </c>
      <c r="M19" s="34" t="n">
        <v>115.1</v>
      </c>
      <c r="N19" s="34" t="n">
        <v>74</v>
      </c>
      <c r="O19" s="31" t="n">
        <f aca="false">MAX(C19:N19)</f>
        <v>115.1</v>
      </c>
    </row>
    <row r="20" customFormat="false" ht="19.5" hidden="false" customHeight="true" outlineLevel="0" collapsed="false">
      <c r="A20" s="27" t="n">
        <f aca="false">O20</f>
        <v>114.8</v>
      </c>
      <c r="B20" s="28" t="n">
        <v>1991</v>
      </c>
      <c r="C20" s="35" t="n">
        <v>46.5</v>
      </c>
      <c r="D20" s="36" t="n">
        <v>53.7</v>
      </c>
      <c r="E20" s="36" t="n">
        <v>106.7</v>
      </c>
      <c r="F20" s="36" t="n">
        <v>56.6</v>
      </c>
      <c r="G20" s="36" t="n">
        <v>60.3</v>
      </c>
      <c r="H20" s="36" t="n">
        <v>83.4</v>
      </c>
      <c r="I20" s="36" t="n">
        <v>33.4</v>
      </c>
      <c r="J20" s="36" t="n">
        <v>32.5</v>
      </c>
      <c r="K20" s="36" t="n">
        <v>95.3</v>
      </c>
      <c r="L20" s="36" t="n">
        <v>55.3</v>
      </c>
      <c r="M20" s="36" t="n">
        <v>114.8</v>
      </c>
      <c r="N20" s="36" t="n">
        <v>88.4</v>
      </c>
      <c r="O20" s="31" t="n">
        <f aca="false">MAX(C20:N20)</f>
        <v>114.8</v>
      </c>
    </row>
    <row r="21" customFormat="false" ht="19.5" hidden="false" customHeight="true" outlineLevel="0" collapsed="false">
      <c r="A21" s="27" t="n">
        <f aca="false">O21</f>
        <v>123</v>
      </c>
      <c r="B21" s="32" t="n">
        <v>1992</v>
      </c>
      <c r="C21" s="33" t="n">
        <v>63.3</v>
      </c>
      <c r="D21" s="34" t="n">
        <v>37.3</v>
      </c>
      <c r="E21" s="34" t="n">
        <v>103.8</v>
      </c>
      <c r="F21" s="34" t="n">
        <v>123</v>
      </c>
      <c r="G21" s="34" t="n">
        <v>98.7</v>
      </c>
      <c r="H21" s="34" t="n">
        <v>30.5</v>
      </c>
      <c r="I21" s="34" t="n">
        <v>45.3</v>
      </c>
      <c r="J21" s="34" t="n">
        <v>70.7</v>
      </c>
      <c r="K21" s="34" t="n">
        <v>60.2</v>
      </c>
      <c r="L21" s="34" t="n">
        <v>77.5</v>
      </c>
      <c r="M21" s="34" t="n">
        <v>50</v>
      </c>
      <c r="N21" s="34" t="n">
        <v>120.4</v>
      </c>
      <c r="O21" s="31" t="n">
        <f aca="false">MAX(C21:N21)</f>
        <v>123</v>
      </c>
    </row>
    <row r="22" customFormat="false" ht="19.5" hidden="false" customHeight="true" outlineLevel="0" collapsed="false">
      <c r="A22" s="27" t="n">
        <f aca="false">O22</f>
        <v>89.1</v>
      </c>
      <c r="B22" s="28" t="n">
        <v>1993</v>
      </c>
      <c r="C22" s="35" t="n">
        <v>64.2</v>
      </c>
      <c r="D22" s="36" t="n">
        <v>89.1</v>
      </c>
      <c r="E22" s="36" t="n">
        <v>73.7</v>
      </c>
      <c r="F22" s="36" t="n">
        <v>62.5</v>
      </c>
      <c r="G22" s="36" t="n">
        <v>72.7</v>
      </c>
      <c r="H22" s="36" t="n">
        <v>76.1</v>
      </c>
      <c r="I22" s="36" t="n">
        <v>37.3</v>
      </c>
      <c r="J22" s="36" t="n">
        <v>32.1</v>
      </c>
      <c r="K22" s="36" t="n">
        <v>75.2</v>
      </c>
      <c r="L22" s="36" t="n">
        <v>64.9</v>
      </c>
      <c r="M22" s="36" t="n">
        <v>46.6</v>
      </c>
      <c r="N22" s="36" t="n">
        <v>74</v>
      </c>
      <c r="O22" s="31" t="n">
        <f aca="false">MAX(C22:N22)</f>
        <v>89.1</v>
      </c>
    </row>
    <row r="23" customFormat="false" ht="19.5" hidden="false" customHeight="true" outlineLevel="0" collapsed="false">
      <c r="A23" s="27" t="n">
        <f aca="false">O23</f>
        <v>179.9</v>
      </c>
      <c r="B23" s="32" t="n">
        <v>1994</v>
      </c>
      <c r="C23" s="33" t="n">
        <v>63.2</v>
      </c>
      <c r="D23" s="34" t="n">
        <v>64</v>
      </c>
      <c r="E23" s="34" t="n">
        <v>143.2</v>
      </c>
      <c r="F23" s="34" t="n">
        <v>84.5</v>
      </c>
      <c r="G23" s="34" t="n">
        <v>82.1</v>
      </c>
      <c r="H23" s="34" t="n">
        <v>53.4</v>
      </c>
      <c r="I23" s="34" t="n">
        <v>76</v>
      </c>
      <c r="J23" s="34" t="n">
        <v>81.5</v>
      </c>
      <c r="K23" s="34" t="n">
        <v>65.5</v>
      </c>
      <c r="L23" s="34" t="n">
        <v>110.1</v>
      </c>
      <c r="M23" s="34" t="n">
        <v>60</v>
      </c>
      <c r="N23" s="34" t="n">
        <v>179.9</v>
      </c>
      <c r="O23" s="31" t="n">
        <f aca="false">MAX(C23:N23)</f>
        <v>179.9</v>
      </c>
    </row>
    <row r="24" customFormat="false" ht="19.5" hidden="false" customHeight="true" outlineLevel="0" collapsed="false">
      <c r="A24" s="27" t="n">
        <f aca="false">O24</f>
        <v>84.2</v>
      </c>
      <c r="B24" s="28" t="n">
        <v>1995</v>
      </c>
      <c r="C24" s="35" t="n">
        <v>37</v>
      </c>
      <c r="D24" s="36" t="n">
        <v>74.3</v>
      </c>
      <c r="E24" s="36" t="n">
        <v>77.6</v>
      </c>
      <c r="F24" s="36" t="n">
        <v>50.9</v>
      </c>
      <c r="G24" s="36" t="n">
        <v>84.2</v>
      </c>
      <c r="H24" s="36" t="n">
        <v>29.2</v>
      </c>
      <c r="I24" s="36" t="n">
        <v>30</v>
      </c>
      <c r="J24" s="36" t="n">
        <v>81.2</v>
      </c>
      <c r="K24" s="36" t="n">
        <v>44.2</v>
      </c>
      <c r="L24" s="36" t="n">
        <v>57.1</v>
      </c>
      <c r="M24" s="36" t="n">
        <v>46.1</v>
      </c>
      <c r="N24" s="36" t="n">
        <v>73.5</v>
      </c>
      <c r="O24" s="31" t="n">
        <f aca="false">MAX(C24:N24)</f>
        <v>84.2</v>
      </c>
    </row>
    <row r="25" customFormat="false" ht="19.5" hidden="false" customHeight="true" outlineLevel="0" collapsed="false">
      <c r="A25" s="27" t="n">
        <f aca="false">O25</f>
        <v>96.4</v>
      </c>
      <c r="B25" s="32" t="n">
        <v>1996</v>
      </c>
      <c r="C25" s="33" t="n">
        <v>96.4</v>
      </c>
      <c r="D25" s="34" t="n">
        <v>50.7</v>
      </c>
      <c r="E25" s="34" t="n">
        <v>73.2</v>
      </c>
      <c r="F25" s="34" t="n">
        <v>35.1</v>
      </c>
      <c r="G25" s="34" t="n">
        <v>60.2</v>
      </c>
      <c r="H25" s="34" t="n">
        <v>39.5</v>
      </c>
      <c r="I25" s="34" t="n">
        <v>14.8</v>
      </c>
      <c r="J25" s="34" t="n">
        <v>73</v>
      </c>
      <c r="K25" s="34" t="n">
        <v>29.1</v>
      </c>
      <c r="L25" s="34" t="n">
        <v>80.9</v>
      </c>
      <c r="M25" s="34" t="n">
        <v>55.9</v>
      </c>
      <c r="N25" s="34" t="n">
        <v>76.8</v>
      </c>
      <c r="O25" s="31" t="n">
        <f aca="false">MAX(C25:N25)</f>
        <v>96.4</v>
      </c>
    </row>
    <row r="26" customFormat="false" ht="19.5" hidden="false" customHeight="true" outlineLevel="0" collapsed="false">
      <c r="A26" s="27" t="n">
        <f aca="false">O26</f>
        <v>103.9</v>
      </c>
      <c r="B26" s="28" t="n">
        <v>1997</v>
      </c>
      <c r="C26" s="35" t="n">
        <v>87.3</v>
      </c>
      <c r="D26" s="36" t="n">
        <v>70.1</v>
      </c>
      <c r="E26" s="36" t="n">
        <v>53.1</v>
      </c>
      <c r="F26" s="36" t="n">
        <v>71.2</v>
      </c>
      <c r="G26" s="36" t="n">
        <v>51.5</v>
      </c>
      <c r="H26" s="36" t="n">
        <v>41.9</v>
      </c>
      <c r="I26" s="36" t="n">
        <v>17</v>
      </c>
      <c r="J26" s="36" t="n">
        <v>40</v>
      </c>
      <c r="K26" s="36" t="n">
        <v>65.5</v>
      </c>
      <c r="L26" s="36" t="n">
        <v>97.3</v>
      </c>
      <c r="M26" s="36" t="n">
        <v>86.9</v>
      </c>
      <c r="N26" s="36" t="n">
        <v>103.9</v>
      </c>
      <c r="O26" s="31" t="n">
        <f aca="false">MAX(C26:N26)</f>
        <v>103.9</v>
      </c>
    </row>
    <row r="27" customFormat="false" ht="19.5" hidden="false" customHeight="true" outlineLevel="0" collapsed="false">
      <c r="A27" s="27" t="n">
        <f aca="false">O27</f>
        <v>171.8</v>
      </c>
      <c r="B27" s="32" t="n">
        <v>1998</v>
      </c>
      <c r="C27" s="33" t="n">
        <v>72.5</v>
      </c>
      <c r="D27" s="34" t="n">
        <v>78.2</v>
      </c>
      <c r="E27" s="34" t="n">
        <v>95.4</v>
      </c>
      <c r="F27" s="34" t="n">
        <v>78.9</v>
      </c>
      <c r="G27" s="34" t="n">
        <v>67.1</v>
      </c>
      <c r="H27" s="34" t="n">
        <v>72.2</v>
      </c>
      <c r="I27" s="34" t="n">
        <v>56.6</v>
      </c>
      <c r="J27" s="34" t="n">
        <v>22</v>
      </c>
      <c r="K27" s="34" t="n">
        <v>31.9</v>
      </c>
      <c r="L27" s="34" t="n">
        <v>76.3</v>
      </c>
      <c r="M27" s="34" t="n">
        <v>171.8</v>
      </c>
      <c r="N27" s="34" t="n">
        <v>79.7</v>
      </c>
      <c r="O27" s="31" t="n">
        <f aca="false">MAX(C27:N27)</f>
        <v>171.8</v>
      </c>
    </row>
    <row r="28" customFormat="false" ht="19.5" hidden="false" customHeight="true" outlineLevel="0" collapsed="false">
      <c r="A28" s="27" t="n">
        <f aca="false">O28</f>
        <v>146</v>
      </c>
      <c r="B28" s="28" t="n">
        <v>1999</v>
      </c>
      <c r="C28" s="35" t="n">
        <v>146</v>
      </c>
      <c r="D28" s="36" t="n">
        <v>122</v>
      </c>
      <c r="E28" s="36" t="n">
        <v>75</v>
      </c>
      <c r="F28" s="36" t="n">
        <v>40.7</v>
      </c>
      <c r="G28" s="36" t="n">
        <v>64</v>
      </c>
      <c r="H28" s="36" t="n">
        <v>70.2</v>
      </c>
      <c r="I28" s="36" t="n">
        <v>35.5</v>
      </c>
      <c r="J28" s="36" t="n">
        <v>27.8</v>
      </c>
      <c r="K28" s="36" t="n">
        <v>61.5</v>
      </c>
      <c r="L28" s="36" t="n">
        <v>40.1</v>
      </c>
      <c r="M28" s="36" t="n">
        <v>62.1</v>
      </c>
      <c r="N28" s="36" t="n">
        <v>56.9</v>
      </c>
      <c r="O28" s="31" t="n">
        <f aca="false">MAX(C28:N28)</f>
        <v>146</v>
      </c>
    </row>
    <row r="29" customFormat="false" ht="19.5" hidden="false" customHeight="true" outlineLevel="0" collapsed="false">
      <c r="A29" s="27" t="n">
        <f aca="false">O29</f>
        <v>108.5</v>
      </c>
      <c r="B29" s="32" t="n">
        <v>2000</v>
      </c>
      <c r="C29" s="33" t="n">
        <v>56.8</v>
      </c>
      <c r="D29" s="34" t="n">
        <v>101.7</v>
      </c>
      <c r="E29" s="34" t="n">
        <v>59.5</v>
      </c>
      <c r="F29" s="34" t="n">
        <v>97</v>
      </c>
      <c r="G29" s="34" t="n">
        <v>65.4</v>
      </c>
      <c r="H29" s="34" t="n">
        <v>75.9</v>
      </c>
      <c r="I29" s="34" t="n">
        <v>43.1</v>
      </c>
      <c r="J29" s="34" t="n">
        <v>31.1</v>
      </c>
      <c r="K29" s="34" t="n">
        <v>108.5</v>
      </c>
      <c r="L29" s="34" t="n">
        <v>71.3</v>
      </c>
      <c r="M29" s="34" t="n">
        <v>87.4</v>
      </c>
      <c r="N29" s="34" t="n">
        <v>70.4</v>
      </c>
      <c r="O29" s="31" t="n">
        <f aca="false">MAX(C29:N29)</f>
        <v>108.5</v>
      </c>
    </row>
    <row r="30" customFormat="false" ht="19.5" hidden="false" customHeight="true" outlineLevel="0" collapsed="false">
      <c r="A30" s="27" t="n">
        <f aca="false">O30</f>
        <v>78</v>
      </c>
      <c r="B30" s="28" t="n">
        <v>2001</v>
      </c>
      <c r="C30" s="35" t="n">
        <v>47.7</v>
      </c>
      <c r="D30" s="36" t="n">
        <v>76.8</v>
      </c>
      <c r="E30" s="36" t="n">
        <v>75.8</v>
      </c>
      <c r="F30" s="36" t="n">
        <v>74.9</v>
      </c>
      <c r="G30" s="36" t="n">
        <v>77.3</v>
      </c>
      <c r="H30" s="36" t="n">
        <v>52.4</v>
      </c>
      <c r="I30" s="36" t="n">
        <v>40.8</v>
      </c>
      <c r="J30" s="36" t="n">
        <v>26.1</v>
      </c>
      <c r="K30" s="36" t="n">
        <v>35</v>
      </c>
      <c r="L30" s="36" t="n">
        <v>74.7</v>
      </c>
      <c r="M30" s="36" t="n">
        <v>78</v>
      </c>
      <c r="N30" s="36" t="n">
        <v>76.8</v>
      </c>
      <c r="O30" s="31" t="n">
        <f aca="false">MAX(C30:N30)</f>
        <v>78</v>
      </c>
    </row>
    <row r="31" customFormat="false" ht="19.5" hidden="false" customHeight="true" outlineLevel="0" collapsed="false">
      <c r="A31" s="27" t="n">
        <f aca="false">O31</f>
        <v>88.7</v>
      </c>
      <c r="B31" s="32" t="n">
        <v>2002</v>
      </c>
      <c r="C31" s="33" t="n">
        <v>27.8</v>
      </c>
      <c r="D31" s="34" t="n">
        <v>77.2</v>
      </c>
      <c r="E31" s="34" t="n">
        <v>63.4</v>
      </c>
      <c r="F31" s="34" t="n">
        <v>78</v>
      </c>
      <c r="G31" s="34" t="n">
        <v>46.7</v>
      </c>
      <c r="H31" s="34" t="n">
        <v>35.5</v>
      </c>
      <c r="I31" s="34" t="n">
        <v>52.3</v>
      </c>
      <c r="J31" s="34" t="n">
        <v>32.2</v>
      </c>
      <c r="K31" s="34" t="n">
        <v>45.4</v>
      </c>
      <c r="L31" s="34" t="n">
        <v>88.7</v>
      </c>
      <c r="M31" s="34" t="n">
        <v>67.1</v>
      </c>
      <c r="N31" s="34" t="n">
        <v>75.3</v>
      </c>
      <c r="O31" s="31" t="n">
        <f aca="false">MAX(C31:N31)</f>
        <v>88.7</v>
      </c>
    </row>
    <row r="32" customFormat="false" ht="19.5" hidden="false" customHeight="true" outlineLevel="0" collapsed="false">
      <c r="A32" s="27" t="n">
        <f aca="false">O32</f>
        <v>138.5</v>
      </c>
      <c r="B32" s="28" t="n">
        <v>2003</v>
      </c>
      <c r="C32" s="35" t="n">
        <v>59</v>
      </c>
      <c r="D32" s="36" t="n">
        <v>45.1</v>
      </c>
      <c r="E32" s="36" t="n">
        <v>61.2</v>
      </c>
      <c r="F32" s="36" t="n">
        <v>75.5</v>
      </c>
      <c r="G32" s="36" t="n">
        <v>138.5</v>
      </c>
      <c r="H32" s="36" t="n">
        <v>75.2</v>
      </c>
      <c r="I32" s="36" t="n">
        <v>57.1</v>
      </c>
      <c r="J32" s="36" t="n">
        <v>21</v>
      </c>
      <c r="K32" s="36" t="n">
        <v>69.7</v>
      </c>
      <c r="L32" s="36" t="n">
        <v>81.5</v>
      </c>
      <c r="M32" s="36" t="n">
        <v>100.8</v>
      </c>
      <c r="N32" s="36" t="n">
        <v>82.8</v>
      </c>
      <c r="O32" s="31" t="n">
        <f aca="false">MAX(C32:N32)</f>
        <v>138.5</v>
      </c>
    </row>
    <row r="33" customFormat="false" ht="19.5" hidden="false" customHeight="true" outlineLevel="0" collapsed="false">
      <c r="A33" s="27" t="n">
        <f aca="false">O33</f>
        <v>90.2</v>
      </c>
      <c r="B33" s="32" t="n">
        <v>2004</v>
      </c>
      <c r="C33" s="33" t="n">
        <v>47.4</v>
      </c>
      <c r="D33" s="34" t="n">
        <v>81.6</v>
      </c>
      <c r="E33" s="34" t="n">
        <v>76.3</v>
      </c>
      <c r="F33" s="34" t="n">
        <v>75.3</v>
      </c>
      <c r="G33" s="34" t="n">
        <v>87</v>
      </c>
      <c r="H33" s="34" t="n">
        <v>32.5</v>
      </c>
      <c r="I33" s="34" t="n">
        <v>44.4</v>
      </c>
      <c r="J33" s="34" t="n">
        <v>55.5</v>
      </c>
      <c r="K33" s="34" t="n">
        <v>44.3</v>
      </c>
      <c r="L33" s="34" t="n">
        <v>75.5</v>
      </c>
      <c r="M33" s="34" t="n">
        <v>90.2</v>
      </c>
      <c r="N33" s="34" t="n">
        <v>66.1</v>
      </c>
      <c r="O33" s="31" t="n">
        <f aca="false">MAX(C33:N33)</f>
        <v>90.2</v>
      </c>
    </row>
    <row r="34" customFormat="false" ht="19.5" hidden="false" customHeight="true" outlineLevel="0" collapsed="false">
      <c r="A34" s="27" t="n">
        <f aca="false">O34</f>
        <v>97.3</v>
      </c>
      <c r="B34" s="28" t="n">
        <v>2005</v>
      </c>
      <c r="C34" s="37" t="s">
        <v>47</v>
      </c>
      <c r="D34" s="36" t="n">
        <v>80.8</v>
      </c>
      <c r="E34" s="36" t="n">
        <v>76.7</v>
      </c>
      <c r="F34" s="36" t="n">
        <v>97.3</v>
      </c>
      <c r="G34" s="36" t="n">
        <v>45</v>
      </c>
      <c r="H34" s="36" t="n">
        <v>65.6</v>
      </c>
      <c r="I34" s="36" t="n">
        <v>17</v>
      </c>
      <c r="J34" s="36" t="n">
        <v>75.6</v>
      </c>
      <c r="K34" s="36" t="n">
        <v>23</v>
      </c>
      <c r="L34" s="36" t="n">
        <v>70.5</v>
      </c>
      <c r="M34" s="36" t="n">
        <v>77.3</v>
      </c>
      <c r="N34" s="36" t="n">
        <v>66.2</v>
      </c>
      <c r="O34" s="31" t="n">
        <f aca="false">MAX(C34:N34)</f>
        <v>97.3</v>
      </c>
    </row>
    <row r="35" customFormat="false" ht="19.5" hidden="false" customHeight="true" outlineLevel="0" collapsed="false">
      <c r="A35" s="27" t="n">
        <f aca="false">O35</f>
        <v>102.5</v>
      </c>
      <c r="B35" s="32" t="n">
        <v>2006</v>
      </c>
      <c r="C35" s="33" t="n">
        <v>80.7</v>
      </c>
      <c r="D35" s="34" t="n">
        <v>39.5</v>
      </c>
      <c r="E35" s="34" t="n">
        <v>81.5</v>
      </c>
      <c r="F35" s="34" t="n">
        <v>66.9</v>
      </c>
      <c r="G35" s="34" t="n">
        <v>48.7</v>
      </c>
      <c r="H35" s="34" t="n">
        <v>68</v>
      </c>
      <c r="I35" s="34" t="n">
        <v>35.8</v>
      </c>
      <c r="J35" s="34" t="n">
        <v>51</v>
      </c>
      <c r="K35" s="34" t="n">
        <v>52.7</v>
      </c>
      <c r="L35" s="34" t="n">
        <v>71.6</v>
      </c>
      <c r="M35" s="34" t="n">
        <v>72.2</v>
      </c>
      <c r="N35" s="34" t="n">
        <v>102.5</v>
      </c>
      <c r="O35" s="31" t="n">
        <f aca="false">MAX(C35:N35)</f>
        <v>102.5</v>
      </c>
    </row>
    <row r="36" customFormat="false" ht="19.5" hidden="false" customHeight="true" outlineLevel="0" collapsed="false">
      <c r="A36" s="27" t="n">
        <f aca="false">O36</f>
        <v>77.3</v>
      </c>
      <c r="B36" s="28" t="n">
        <v>2007</v>
      </c>
      <c r="C36" s="35" t="n">
        <v>56.2</v>
      </c>
      <c r="D36" s="36" t="n">
        <v>33.3</v>
      </c>
      <c r="E36" s="36" t="n">
        <v>74.6</v>
      </c>
      <c r="F36" s="36" t="n">
        <v>76.5</v>
      </c>
      <c r="G36" s="36" t="n">
        <v>39.2</v>
      </c>
      <c r="H36" s="36" t="n">
        <v>46.8</v>
      </c>
      <c r="I36" s="36" t="n">
        <v>58.7</v>
      </c>
      <c r="J36" s="36" t="n">
        <v>33</v>
      </c>
      <c r="K36" s="36" t="n">
        <v>47.5</v>
      </c>
      <c r="L36" s="36" t="n">
        <v>76</v>
      </c>
      <c r="M36" s="36" t="n">
        <v>77.3</v>
      </c>
      <c r="N36" s="36" t="n">
        <v>76.5</v>
      </c>
      <c r="O36" s="31" t="n">
        <f aca="false">MAX(C36:N36)</f>
        <v>77.3</v>
      </c>
    </row>
    <row r="37" customFormat="false" ht="19.5" hidden="false" customHeight="true" outlineLevel="0" collapsed="false">
      <c r="A37" s="27" t="n">
        <f aca="false">O37</f>
        <v>100.4</v>
      </c>
      <c r="B37" s="32" t="n">
        <v>2008</v>
      </c>
      <c r="C37" s="33" t="n">
        <v>57.8</v>
      </c>
      <c r="D37" s="34" t="n">
        <v>86.9</v>
      </c>
      <c r="E37" s="34" t="n">
        <v>74</v>
      </c>
      <c r="F37" s="34" t="n">
        <v>70.5</v>
      </c>
      <c r="G37" s="34" t="n">
        <v>67</v>
      </c>
      <c r="H37" s="34" t="n">
        <v>51</v>
      </c>
      <c r="I37" s="38" t="s">
        <v>47</v>
      </c>
      <c r="J37" s="34" t="n">
        <v>25.9</v>
      </c>
      <c r="K37" s="34" t="n">
        <v>48</v>
      </c>
      <c r="L37" s="34" t="n">
        <v>55.2</v>
      </c>
      <c r="M37" s="34" t="n">
        <v>43</v>
      </c>
      <c r="N37" s="34" t="n">
        <v>100.4</v>
      </c>
      <c r="O37" s="31" t="n">
        <f aca="false">MAX(C37:N37)</f>
        <v>100.4</v>
      </c>
    </row>
    <row r="38" customFormat="false" ht="19.5" hidden="false" customHeight="true" outlineLevel="0" collapsed="false">
      <c r="A38" s="27" t="n">
        <f aca="false">O38</f>
        <v>87</v>
      </c>
      <c r="B38" s="28" t="n">
        <v>2009</v>
      </c>
      <c r="C38" s="35" t="n">
        <v>87</v>
      </c>
      <c r="D38" s="36" t="n">
        <v>69.7</v>
      </c>
      <c r="E38" s="36" t="n">
        <v>58</v>
      </c>
      <c r="F38" s="36" t="n">
        <v>52.2</v>
      </c>
      <c r="G38" s="36" t="n">
        <v>70</v>
      </c>
      <c r="H38" s="36" t="n">
        <v>75.5</v>
      </c>
      <c r="I38" s="36" t="n">
        <v>77.2</v>
      </c>
      <c r="J38" s="36" t="n">
        <v>25.3</v>
      </c>
      <c r="K38" s="36" t="n">
        <v>70.4</v>
      </c>
      <c r="L38" s="36" t="n">
        <v>76.2</v>
      </c>
      <c r="M38" s="36" t="n">
        <v>59</v>
      </c>
      <c r="N38" s="36" t="n">
        <v>78.8</v>
      </c>
      <c r="O38" s="31" t="n">
        <f aca="false">MAX(C38:N38)</f>
        <v>87</v>
      </c>
    </row>
    <row r="39" customFormat="false" ht="19.5" hidden="false" customHeight="true" outlineLevel="0" collapsed="false">
      <c r="A39" s="27" t="n">
        <f aca="false">O39</f>
        <v>128</v>
      </c>
      <c r="B39" s="32" t="n">
        <v>2010</v>
      </c>
      <c r="C39" s="35" t="n">
        <v>40</v>
      </c>
      <c r="D39" s="36" t="n">
        <v>79</v>
      </c>
      <c r="E39" s="36" t="n">
        <v>69.2</v>
      </c>
      <c r="F39" s="36" t="n">
        <v>128</v>
      </c>
      <c r="G39" s="36" t="n">
        <v>103</v>
      </c>
      <c r="H39" s="36" t="n">
        <v>56.5</v>
      </c>
      <c r="I39" s="36" t="n">
        <v>56.5</v>
      </c>
      <c r="J39" s="36" t="n">
        <v>15.2</v>
      </c>
      <c r="K39" s="36" t="n">
        <v>36.5</v>
      </c>
      <c r="L39" s="36" t="n">
        <v>75.8</v>
      </c>
      <c r="M39" s="36" t="n">
        <v>80.8</v>
      </c>
      <c r="N39" s="36" t="n">
        <v>73.8</v>
      </c>
      <c r="O39" s="31" t="n">
        <f aca="false">MAX(C39:N39)</f>
        <v>128</v>
      </c>
    </row>
    <row r="40" customFormat="false" ht="19.5" hidden="false" customHeight="true" outlineLevel="0" collapsed="false">
      <c r="A40" s="27"/>
      <c r="B40" s="28" t="n">
        <v>2011</v>
      </c>
      <c r="C40" s="29" t="n">
        <v>73.8</v>
      </c>
      <c r="D40" s="30" t="n">
        <v>76.3</v>
      </c>
      <c r="E40" s="30" t="n">
        <v>80.8</v>
      </c>
      <c r="F40" s="30" t="n">
        <v>60.7</v>
      </c>
      <c r="G40" s="30" t="n">
        <v>77.8</v>
      </c>
      <c r="H40" s="30" t="n">
        <v>67.3</v>
      </c>
      <c r="I40" s="30" t="n">
        <v>58.8</v>
      </c>
      <c r="J40" s="30" t="n">
        <v>57.3</v>
      </c>
      <c r="K40" s="30" t="n">
        <v>57</v>
      </c>
      <c r="L40" s="30" t="n">
        <v>70</v>
      </c>
      <c r="M40" s="30" t="n">
        <v>101</v>
      </c>
      <c r="N40" s="30" t="n">
        <v>77.6</v>
      </c>
      <c r="O40" s="31" t="n">
        <f aca="false">MAX(C40:N40)</f>
        <v>101</v>
      </c>
    </row>
    <row r="41" customFormat="false" ht="19.5" hidden="false" customHeight="true" outlineLevel="0" collapsed="false">
      <c r="A41" s="27"/>
      <c r="B41" s="32" t="n">
        <v>2012</v>
      </c>
      <c r="C41" s="33" t="n">
        <v>110.2</v>
      </c>
      <c r="D41" s="34" t="n">
        <v>56.5</v>
      </c>
      <c r="E41" s="34" t="n">
        <v>58</v>
      </c>
      <c r="F41" s="34" t="n">
        <v>87.2</v>
      </c>
      <c r="G41" s="34" t="n">
        <v>77.6</v>
      </c>
      <c r="H41" s="34" t="n">
        <v>25.5</v>
      </c>
      <c r="I41" s="34" t="n">
        <v>51.2</v>
      </c>
      <c r="J41" s="34" t="n">
        <v>12.1</v>
      </c>
      <c r="K41" s="34" t="n">
        <v>48</v>
      </c>
      <c r="L41" s="34" t="n">
        <v>48.2</v>
      </c>
      <c r="M41" s="34" t="n">
        <v>72</v>
      </c>
      <c r="N41" s="34" t="n">
        <v>54.8</v>
      </c>
      <c r="O41" s="31" t="n">
        <f aca="false">MAX(C41:N41)</f>
        <v>110.2</v>
      </c>
    </row>
    <row r="42" customFormat="false" ht="20.25" hidden="false" customHeight="true" outlineLevel="0" collapsed="false">
      <c r="B42" s="28" t="n">
        <v>2013</v>
      </c>
      <c r="C42" s="35" t="n">
        <v>78.7</v>
      </c>
      <c r="D42" s="36" t="n">
        <v>76.4</v>
      </c>
      <c r="E42" s="36" t="n">
        <v>64.5</v>
      </c>
      <c r="F42" s="36" t="n">
        <v>62.5</v>
      </c>
      <c r="G42" s="36" t="n">
        <v>53.6</v>
      </c>
      <c r="H42" s="36" t="n">
        <v>74.5</v>
      </c>
      <c r="I42" s="36" t="n">
        <v>81.2</v>
      </c>
      <c r="J42" s="36" t="n">
        <v>64.9</v>
      </c>
      <c r="K42" s="36" t="n">
        <v>54.8</v>
      </c>
      <c r="L42" s="36" t="n">
        <v>76.8</v>
      </c>
      <c r="M42" s="36" t="n">
        <v>84</v>
      </c>
      <c r="N42" s="36" t="n">
        <v>30.7</v>
      </c>
      <c r="O42" s="31" t="n">
        <f aca="false">MAX(C42:N42)</f>
        <v>84</v>
      </c>
    </row>
    <row r="43" customFormat="false" ht="20.25" hidden="false" customHeight="true" outlineLevel="0" collapsed="false"/>
    <row r="44" customFormat="false" ht="12" hidden="false" customHeight="true" outlineLevel="0" collapsed="false"/>
    <row r="45" customFormat="false" ht="12" hidden="false" customHeight="true" outlineLevel="0" collapsed="false"/>
    <row r="46" customFormat="false" ht="12" hidden="false" customHeight="true" outlineLevel="0" collapsed="false"/>
    <row r="47" customFormat="false" ht="12" hidden="false" customHeight="true" outlineLevel="0" collapsed="false"/>
    <row r="48" customFormat="false" ht="12" hidden="false" customHeight="true" outlineLevel="0" collapsed="false"/>
    <row r="49" customFormat="false" ht="12" hidden="false" customHeight="true" outlineLevel="0" collapsed="false"/>
    <row r="50" customFormat="false" ht="12" hidden="false" customHeight="true" outlineLevel="0" collapsed="false"/>
    <row r="51" customFormat="false" ht="12" hidden="false" customHeight="true" outlineLevel="0" collapsed="false"/>
    <row r="52" customFormat="false" ht="12" hidden="false" customHeight="true" outlineLevel="0" collapsed="false"/>
    <row r="53" customFormat="false" ht="12" hidden="false" customHeight="true" outlineLevel="0" collapsed="false"/>
    <row r="54" customFormat="false" ht="12" hidden="false" customHeight="true" outlineLevel="0" collapsed="false"/>
    <row r="55" customFormat="false" ht="12" hidden="false" customHeight="true" outlineLevel="0" collapsed="false"/>
    <row r="56" customFormat="false" ht="12" hidden="false" customHeight="true" outlineLevel="0" collapsed="false"/>
    <row r="57" customFormat="false" ht="12" hidden="false" customHeight="true" outlineLevel="0" collapsed="false"/>
    <row r="58" customFormat="false" ht="12" hidden="false" customHeight="true" outlineLevel="0" collapsed="false"/>
    <row r="59" customFormat="false" ht="12" hidden="false" customHeight="true" outlineLevel="0" collapsed="false"/>
    <row r="60" customFormat="false" ht="12" hidden="false" customHeight="true" outlineLevel="0" collapsed="false"/>
    <row r="61" customFormat="false" ht="12" hidden="false" customHeight="true" outlineLevel="0" collapsed="false"/>
    <row r="62" customFormat="false" ht="12" hidden="false" customHeight="true" outlineLevel="0" collapsed="false"/>
    <row r="63" customFormat="false" ht="12" hidden="false" customHeight="true" outlineLevel="0" collapsed="false"/>
    <row r="64" customFormat="false" ht="12" hidden="false" customHeight="true" outlineLevel="0" collapsed="false"/>
    <row r="65" customFormat="false" ht="12" hidden="false" customHeight="true" outlineLevel="0" collapsed="false"/>
    <row r="66" customFormat="false" ht="12" hidden="false" customHeight="true" outlineLevel="0" collapsed="false"/>
    <row r="67" customFormat="false" ht="12" hidden="false" customHeight="true" outlineLevel="0" collapsed="false"/>
    <row r="68" customFormat="false" ht="12" hidden="false" customHeight="true" outlineLevel="0" collapsed="false"/>
    <row r="69" customFormat="false" ht="12" hidden="false" customHeight="true" outlineLevel="0" collapsed="false"/>
    <row r="70" customFormat="false" ht="12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1048576" customFormat="false" ht="12.8" hidden="false" customHeight="false" outlineLevel="0" collapsed="false"/>
  </sheetData>
  <mergeCells count="20">
    <mergeCell ref="C2:O2"/>
    <mergeCell ref="C3:O3"/>
    <mergeCell ref="C4:O4"/>
    <mergeCell ref="C5:O5"/>
    <mergeCell ref="B9:O9"/>
    <mergeCell ref="B15:O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</mergeCells>
  <printOptions headings="false" gridLines="false" gridLinesSet="true" horizontalCentered="true" verticalCentered="false"/>
  <pageMargins left="0.590277777777778" right="0.590277777777778" top="0.708333333333333" bottom="0.708333333333333" header="0.511811023622047" footer="0.511811023622047"/>
  <pageSetup paperSize="9" scale="5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4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pageBreakPreview" topLeftCell="A23" colorId="64" zoomScale="130" zoomScaleNormal="70" zoomScalePageLayoutView="130" workbookViewId="0">
      <selection pane="topLeft" activeCell="G39" activeCellId="0" sqref="G39"/>
    </sheetView>
  </sheetViews>
  <sheetFormatPr defaultColWidth="9.9140625" defaultRowHeight="12.75" zeroHeight="false" outlineLevelRow="0" outlineLevelCol="0"/>
  <cols>
    <col collapsed="false" customWidth="true" hidden="false" outlineLevel="0" max="1" min="1" style="39" width="2.54"/>
    <col collapsed="false" customWidth="true" hidden="false" outlineLevel="0" max="2" min="2" style="39" width="14.18"/>
    <col collapsed="false" customWidth="true" hidden="false" outlineLevel="0" max="4" min="3" style="39" width="10.63"/>
    <col collapsed="false" customWidth="true" hidden="false" outlineLevel="0" max="5" min="5" style="39" width="6.73"/>
    <col collapsed="false" customWidth="true" hidden="false" outlineLevel="0" max="7" min="6" style="39" width="10.63"/>
    <col collapsed="false" customWidth="true" hidden="false" outlineLevel="0" max="8" min="8" style="39" width="12.91"/>
    <col collapsed="false" customWidth="true" hidden="false" outlineLevel="0" max="10" min="9" style="39" width="10.63"/>
    <col collapsed="false" customWidth="true" hidden="false" outlineLevel="0" max="11" min="11" style="39" width="13.27"/>
    <col collapsed="false" customWidth="true" hidden="false" outlineLevel="0" max="12" min="12" style="39" width="12.73"/>
    <col collapsed="false" customWidth="true" hidden="false" outlineLevel="0" max="16" min="13" style="39" width="10.63"/>
    <col collapsed="false" customWidth="true" hidden="false" outlineLevel="0" max="17" min="17" style="39" width="16.54"/>
    <col collapsed="false" customWidth="true" hidden="false" outlineLevel="0" max="18" min="18" style="39" width="11.91"/>
    <col collapsed="false" customWidth="false" hidden="false" outlineLevel="0" max="16384" min="19" style="39" width="9.91"/>
  </cols>
  <sheetData>
    <row r="1" customFormat="false" ht="21" hidden="false" customHeight="true" outlineLevel="0" collapsed="false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customFormat="false" ht="41.25" hidden="false" customHeight="true" outlineLevel="0" collapsed="false">
      <c r="B2" s="40" t="s">
        <v>11</v>
      </c>
      <c r="C2" s="41" t="str">
        <f aca="false">+'A. Estación'!C2</f>
        <v>“MEJORAMIENTO Y AMPLIACIÓN DEL SERVICIO DE EDUCACIÓN PRIMARIA EN I.E. N° 0590 DISTRITO DE BARRANQUITA DE LA PROVINCIA DE LAMAS DEL DEPARTAMENTO DE SAN MARTÍN”, con C.I. N.° 468901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12"/>
      <c r="S2" s="12"/>
    </row>
    <row r="3" customFormat="false" ht="18.75" hidden="false" customHeight="true" outlineLevel="0" collapsed="false">
      <c r="B3" s="40" t="s">
        <v>13</v>
      </c>
      <c r="C3" s="42" t="str">
        <f aca="false">+'A. Estación'!C3</f>
        <v>GOBIERNO REGIONAL SAN MARTIN - GERENCIA TERRITORIAL BAJO MAYO - TARAPOTO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12"/>
      <c r="S3" s="12"/>
    </row>
    <row r="4" customFormat="false" ht="18.75" hidden="false" customHeight="true" outlineLevel="0" collapsed="false">
      <c r="B4" s="40" t="s">
        <v>15</v>
      </c>
      <c r="C4" s="42" t="str">
        <f aca="false">+'A. Estación'!C4</f>
        <v>SAN MARTIN - LAMAS - BARRANQUITA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12"/>
      <c r="S4" s="12"/>
    </row>
    <row r="5" customFormat="false" ht="16.5" hidden="false" customHeight="true" outlineLevel="0" collapsed="false">
      <c r="B5" s="40" t="s">
        <v>17</v>
      </c>
      <c r="C5" s="42" t="str">
        <f aca="false">+'A. Estación'!C5</f>
        <v>OCTUBRE 2026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12"/>
      <c r="S5" s="12"/>
    </row>
    <row r="6" s="12" customFormat="true" ht="19.5" hidden="false" customHeight="true" outlineLevel="0" collapsed="false"/>
    <row r="7" s="12" customFormat="true" ht="19.5" hidden="false" customHeight="true" outlineLevel="0" collapsed="false">
      <c r="B7" s="23" t="s">
        <v>48</v>
      </c>
    </row>
    <row r="8" s="12" customFormat="true" ht="12.75" hidden="false" customHeight="false" outlineLevel="0" collapsed="false">
      <c r="C8" s="43"/>
      <c r="D8" s="43"/>
      <c r="E8" s="43"/>
      <c r="F8" s="43"/>
      <c r="G8" s="43"/>
      <c r="H8" s="43"/>
      <c r="I8" s="43"/>
      <c r="J8" s="43"/>
    </row>
    <row r="9" s="12" customFormat="true" ht="19.5" hidden="false" customHeight="true" outlineLevel="0" collapsed="false">
      <c r="B9" s="44" t="s">
        <v>49</v>
      </c>
      <c r="C9" s="44"/>
      <c r="D9" s="44"/>
      <c r="F9" s="44" t="s">
        <v>50</v>
      </c>
      <c r="G9" s="44"/>
      <c r="H9" s="44"/>
      <c r="I9" s="44"/>
      <c r="J9" s="44"/>
      <c r="L9" s="24" t="s">
        <v>51</v>
      </c>
      <c r="M9" s="24"/>
      <c r="N9" s="24"/>
      <c r="O9" s="24"/>
      <c r="P9" s="24"/>
      <c r="Q9" s="24"/>
      <c r="R9" s="24"/>
    </row>
    <row r="10" s="12" customFormat="true" ht="19.5" hidden="false" customHeight="true" outlineLevel="0" collapsed="false">
      <c r="B10" s="45" t="s">
        <v>33</v>
      </c>
      <c r="C10" s="45" t="s">
        <v>52</v>
      </c>
      <c r="D10" s="45" t="s">
        <v>53</v>
      </c>
      <c r="F10" s="46" t="s">
        <v>54</v>
      </c>
      <c r="G10" s="45" t="s">
        <v>55</v>
      </c>
      <c r="H10" s="45" t="s">
        <v>56</v>
      </c>
      <c r="I10" s="45" t="s">
        <v>57</v>
      </c>
      <c r="J10" s="46" t="s">
        <v>58</v>
      </c>
      <c r="L10" s="26" t="s">
        <v>54</v>
      </c>
      <c r="M10" s="47" t="s">
        <v>55</v>
      </c>
      <c r="N10" s="47" t="s">
        <v>56</v>
      </c>
      <c r="O10" s="47" t="s">
        <v>57</v>
      </c>
      <c r="P10" s="47" t="s">
        <v>59</v>
      </c>
      <c r="Q10" s="47" t="s">
        <v>53</v>
      </c>
      <c r="R10" s="26" t="s">
        <v>58</v>
      </c>
    </row>
    <row r="11" s="12" customFormat="true" ht="19.5" hidden="false" customHeight="true" outlineLevel="0" collapsed="false">
      <c r="B11" s="28" t="n">
        <v>1989</v>
      </c>
      <c r="C11" s="48" t="n">
        <f aca="false">'A. Estación'!O18</f>
        <v>141.9</v>
      </c>
      <c r="D11" s="49" t="n">
        <f aca="false">LOG(C11)</f>
        <v>2.15198239545747</v>
      </c>
      <c r="E11" s="16"/>
      <c r="F11" s="28" t="n">
        <v>2</v>
      </c>
      <c r="G11" s="50" t="n">
        <f aca="false">1/F11</f>
        <v>0.5</v>
      </c>
      <c r="H11" s="49" t="n">
        <f aca="false">(LN(1/G11^2))^0.5</f>
        <v>1.17741002251547</v>
      </c>
      <c r="I11" s="49" t="n">
        <f aca="false">+H11-(2.515517+0.802853*H11+0.010328*H11^2)/(1+1.432788*H11+0.189269*H11^2+0.001308*H11^3)</f>
        <v>-1.01006675468085E-007</v>
      </c>
      <c r="J11" s="51" t="n">
        <f aca="false">+$C$36+I11*$C$38</f>
        <v>110.307997216017</v>
      </c>
      <c r="K11" s="16"/>
      <c r="L11" s="28" t="n">
        <v>2</v>
      </c>
      <c r="M11" s="50" t="n">
        <f aca="false">1/L11</f>
        <v>0.5</v>
      </c>
      <c r="N11" s="49" t="n">
        <f aca="false">(LN(1/M11^2))^0.5</f>
        <v>1.17741002251547</v>
      </c>
      <c r="O11" s="48" t="n">
        <f aca="false">+N11-(2.515517+0.802853*N11+0.010328*N11^2)/(1+1.432788*N11+0.189269*N11^2+0.001308*N11^3)</f>
        <v>-1.01006675468085E-007</v>
      </c>
      <c r="P11" s="49" t="n">
        <f aca="false">+O11+(O11^2-1)*$D$40+1/3*(O11^3-6*O11)*$D$40^2-(O11^2-1)*$D$40^3+O11*$D$40^4+1/3*$D$40^5</f>
        <v>-0.112802085659497</v>
      </c>
      <c r="Q11" s="49" t="n">
        <f aca="false">+$D$36+P11*$D$38</f>
        <v>2.01949619233872</v>
      </c>
      <c r="R11" s="51" t="n">
        <f aca="false">10^Q11</f>
        <v>104.591452040495</v>
      </c>
    </row>
    <row r="12" s="12" customFormat="true" ht="19.5" hidden="false" customHeight="true" outlineLevel="0" collapsed="false">
      <c r="B12" s="32" t="n">
        <v>1990</v>
      </c>
      <c r="C12" s="48" t="n">
        <f aca="false">'A. Estación'!O19</f>
        <v>115.1</v>
      </c>
      <c r="D12" s="49" t="n">
        <f aca="false">LOG(C12)</f>
        <v>2.06107532362979</v>
      </c>
      <c r="E12" s="16"/>
      <c r="F12" s="28" t="n">
        <v>5</v>
      </c>
      <c r="G12" s="50" t="n">
        <f aca="false">1/F12</f>
        <v>0.2</v>
      </c>
      <c r="H12" s="49" t="n">
        <f aca="false">(LN(1/G12^2))^0.5</f>
        <v>1.7941225779941</v>
      </c>
      <c r="I12" s="49" t="n">
        <f aca="false">+H12-(2.515517+0.802853*H12+0.010328*H12^2)/(1+1.432788*H12+0.189269*H12^2+0.001308*H12^3)</f>
        <v>0.841456717354784</v>
      </c>
      <c r="J12" s="51" t="n">
        <f aca="false">+$C$36+I12*$C$38</f>
        <v>133.500539245417</v>
      </c>
      <c r="K12" s="16"/>
      <c r="L12" s="28" t="n">
        <v>5</v>
      </c>
      <c r="M12" s="50" t="n">
        <f aca="false">1/L12</f>
        <v>0.2</v>
      </c>
      <c r="N12" s="49" t="n">
        <f aca="false">(LN(1/M12^2))^0.5</f>
        <v>1.7941225779941</v>
      </c>
      <c r="O12" s="48" t="n">
        <f aca="false">+N12-(2.515517+0.802853*N12+0.010328*N12^2)/(1+1.432788*N12+0.189269*N12^2+0.001308*N12^3)</f>
        <v>0.841456717354784</v>
      </c>
      <c r="P12" s="49" t="n">
        <f aca="false">+O12+(O12^2-1)*$D$40+1/3*(O12^3-6*O12)*$D$40^2-(O12^2-1)*$D$40^3+O12*$D$40^4+1/3*$D$40^5</f>
        <v>0.789279893817814</v>
      </c>
      <c r="Q12" s="49" t="n">
        <f aca="false">+$D$36+P12*$D$38</f>
        <v>2.11039210704036</v>
      </c>
      <c r="R12" s="51" t="n">
        <f aca="false">10^Q12</f>
        <v>128.941318567935</v>
      </c>
    </row>
    <row r="13" s="12" customFormat="true" ht="19.5" hidden="false" customHeight="true" outlineLevel="0" collapsed="false">
      <c r="B13" s="28" t="n">
        <v>1991</v>
      </c>
      <c r="C13" s="48" t="n">
        <f aca="false">'A. Estación'!O20</f>
        <v>114.8</v>
      </c>
      <c r="D13" s="49" t="n">
        <f aca="false">LOG(C13)</f>
        <v>2.05994188806195</v>
      </c>
      <c r="E13" s="16"/>
      <c r="F13" s="28" t="n">
        <v>10</v>
      </c>
      <c r="G13" s="50" t="n">
        <f aca="false">1/F13</f>
        <v>0.1</v>
      </c>
      <c r="H13" s="49" t="n">
        <f aca="false">(LN(1/G13^2))^0.5</f>
        <v>2.14596602628935</v>
      </c>
      <c r="I13" s="49" t="n">
        <f aca="false">+H13-(2.515517+0.802853*H13+0.010328*H13^2)/(1+1.432788*H13+0.189269*H13^2+0.001308*H13^3)</f>
        <v>1.28172875650271</v>
      </c>
      <c r="J13" s="51" t="n">
        <f aca="false">+$C$36+I13*$C$38</f>
        <v>145.635478970775</v>
      </c>
      <c r="K13" s="16"/>
      <c r="L13" s="28" t="n">
        <v>10</v>
      </c>
      <c r="M13" s="50" t="n">
        <f aca="false">1/L13</f>
        <v>0.1</v>
      </c>
      <c r="N13" s="49" t="n">
        <f aca="false">(LN(1/M13^2))^0.5</f>
        <v>2.14596602628935</v>
      </c>
      <c r="O13" s="48" t="n">
        <f aca="false">+N13-(2.515517+0.802853*N13+0.010328*N13^2)/(1+1.432788*N13+0.189269*N13^2+0.001308*N13^3)</f>
        <v>1.28172875650271</v>
      </c>
      <c r="P13" s="49" t="n">
        <f aca="false">+O13+(O13^2-1)*$D$40+1/3*(O13^3-6*O13)*$D$40^2-(O13^2-1)*$D$40^3+O13*$D$40^4+1/3*$D$40^5</f>
        <v>1.33014931417765</v>
      </c>
      <c r="Q13" s="49" t="n">
        <f aca="false">+$D$36+P13*$D$38</f>
        <v>2.16489138960694</v>
      </c>
      <c r="R13" s="51" t="n">
        <f aca="false">10^Q13</f>
        <v>146.181155207782</v>
      </c>
    </row>
    <row r="14" s="12" customFormat="true" ht="19.5" hidden="false" customHeight="true" outlineLevel="0" collapsed="false">
      <c r="B14" s="32" t="n">
        <v>1992</v>
      </c>
      <c r="C14" s="48" t="n">
        <f aca="false">'A. Estación'!O21</f>
        <v>123</v>
      </c>
      <c r="D14" s="49" t="n">
        <f aca="false">LOG(C14)</f>
        <v>2.0899051114394</v>
      </c>
      <c r="E14" s="16"/>
      <c r="F14" s="28" t="n">
        <v>20</v>
      </c>
      <c r="G14" s="50" t="n">
        <f aca="false">1/F14</f>
        <v>0.05</v>
      </c>
      <c r="H14" s="49" t="n">
        <f aca="false">(LN(1/G14^2))^0.5</f>
        <v>2.44774683068082</v>
      </c>
      <c r="I14" s="49" t="n">
        <f aca="false">+H14-(2.515517+0.802853*H14+0.010328*H14^2)/(1+1.432788*H14+0.189269*H14^2+0.001308*H14^3)</f>
        <v>1.64521144014382</v>
      </c>
      <c r="J14" s="51" t="n">
        <f aca="false">+$C$36+I14*$C$38</f>
        <v>155.653922262638</v>
      </c>
      <c r="K14" s="16"/>
      <c r="L14" s="28" t="n">
        <v>20</v>
      </c>
      <c r="M14" s="50" t="n">
        <f aca="false">1/L14</f>
        <v>0.05</v>
      </c>
      <c r="N14" s="49" t="n">
        <f aca="false">(LN(1/M14^2))^0.5</f>
        <v>2.44774683068082</v>
      </c>
      <c r="O14" s="48" t="n">
        <f aca="false">+N14-(2.515517+0.802853*N14+0.010328*N14^2)/(1+1.432788*N14+0.189269*N14^2+0.001308*N14^3)</f>
        <v>1.64521144014382</v>
      </c>
      <c r="P14" s="49" t="n">
        <f aca="false">+O14+(O14^2-1)*$D$40+1/3*(O14^3-6*O14)*$D$40^2-(O14^2-1)*$D$40^3+O14*$D$40^4+1/3*$D$40^5</f>
        <v>1.81443551287611</v>
      </c>
      <c r="Q14" s="49" t="n">
        <f aca="false">+$D$36+P14*$D$38</f>
        <v>2.21368921287527</v>
      </c>
      <c r="R14" s="51" t="n">
        <f aca="false">10^Q14</f>
        <v>163.564561194566</v>
      </c>
    </row>
    <row r="15" s="12" customFormat="true" ht="19.5" hidden="false" customHeight="true" outlineLevel="0" collapsed="false">
      <c r="B15" s="28" t="n">
        <v>1993</v>
      </c>
      <c r="C15" s="48" t="n">
        <f aca="false">'A. Estación'!O22</f>
        <v>89.1</v>
      </c>
      <c r="D15" s="49" t="n">
        <f aca="false">LOG(C15)</f>
        <v>1.94987770403687</v>
      </c>
      <c r="E15" s="16"/>
      <c r="F15" s="28" t="n">
        <v>25</v>
      </c>
      <c r="G15" s="50" t="n">
        <f aca="false">1/F15</f>
        <v>0.04</v>
      </c>
      <c r="H15" s="49" t="n">
        <f aca="false">(LN(1/G15^2))^0.5</f>
        <v>2.53727248235904</v>
      </c>
      <c r="I15" s="49" t="n">
        <f aca="false">+H15-(2.515517+0.802853*H15+0.010328*H15^2)/(1+1.432788*H15+0.189269*H15^2+0.001308*H15^3)</f>
        <v>1.75107653110187</v>
      </c>
      <c r="J15" s="51" t="n">
        <f aca="false">+$C$36+I15*$C$38</f>
        <v>158.57181480081</v>
      </c>
      <c r="K15" s="16"/>
      <c r="L15" s="28" t="n">
        <v>25</v>
      </c>
      <c r="M15" s="50" t="n">
        <f aca="false">1/L15</f>
        <v>0.04</v>
      </c>
      <c r="N15" s="49" t="n">
        <f aca="false">(LN(1/M15^2))^0.5</f>
        <v>2.53727248235904</v>
      </c>
      <c r="O15" s="48" t="n">
        <f aca="false">+N15-(2.515517+0.802853*N15+0.010328*N15^2)/(1+1.432788*N15+0.189269*N15^2+0.001308*N15^3)</f>
        <v>1.75107653110187</v>
      </c>
      <c r="P15" s="49" t="n">
        <f aca="false">+O15+(O15^2-1)*$D$40+1/3*(O15^3-6*O15)*$D$40^2-(O15^2-1)*$D$40^3+O15*$D$40^4+1/3*$D$40^5</f>
        <v>1.96210232244056</v>
      </c>
      <c r="Q15" s="49" t="n">
        <f aca="false">+$D$36+P15*$D$38</f>
        <v>2.22856847000688</v>
      </c>
      <c r="R15" s="51" t="n">
        <f aca="false">10^Q15</f>
        <v>169.265508404545</v>
      </c>
    </row>
    <row r="16" s="12" customFormat="true" ht="19.5" hidden="false" customHeight="true" outlineLevel="0" collapsed="false">
      <c r="B16" s="32" t="n">
        <v>1994</v>
      </c>
      <c r="C16" s="48" t="n">
        <f aca="false">'A. Estación'!O23</f>
        <v>179.9</v>
      </c>
      <c r="D16" s="49" t="n">
        <f aca="false">LOG(C16)</f>
        <v>2.25503116334555</v>
      </c>
      <c r="E16" s="16"/>
      <c r="F16" s="28" t="n">
        <v>50</v>
      </c>
      <c r="G16" s="50" t="n">
        <f aca="false">1/F16</f>
        <v>0.02</v>
      </c>
      <c r="H16" s="49" t="n">
        <f aca="false">(LN(1/G16^2))^0.5</f>
        <v>2.79714962253654</v>
      </c>
      <c r="I16" s="49" t="n">
        <f aca="false">+H16-(2.515517+0.802853*H16+0.010328*H16^2)/(1+1.432788*H16+0.189269*H16^2+0.001308*H16^3)</f>
        <v>2.0541885887219</v>
      </c>
      <c r="J16" s="51" t="n">
        <f aca="false">+$C$36+I16*$C$38</f>
        <v>166.926300714489</v>
      </c>
      <c r="K16" s="16"/>
      <c r="L16" s="28" t="n">
        <v>50</v>
      </c>
      <c r="M16" s="50" t="n">
        <f aca="false">1/L16</f>
        <v>0.02</v>
      </c>
      <c r="N16" s="49" t="n">
        <f aca="false">(LN(1/M16^2))^0.5</f>
        <v>2.79714962253654</v>
      </c>
      <c r="O16" s="48" t="n">
        <f aca="false">+N16-(2.515517+0.802853*N16+0.010328*N16^2)/(1+1.432788*N16+0.189269*N16^2+0.001308*N16^3)</f>
        <v>2.0541885887219</v>
      </c>
      <c r="P16" s="49" t="n">
        <f aca="false">+O16+(O16^2-1)*$D$40+1/3*(O16^3-6*O16)*$D$40^2-(O16^2-1)*$D$40^3+O16*$D$40^4+1/3*$D$40^5</f>
        <v>2.40182766017472</v>
      </c>
      <c r="Q16" s="49" t="n">
        <f aca="false">+$D$36+P16*$D$38</f>
        <v>2.27287623548735</v>
      </c>
      <c r="R16" s="51" t="n">
        <f aca="false">10^Q16</f>
        <v>187.446025140839</v>
      </c>
    </row>
    <row r="17" s="12" customFormat="true" ht="19.5" hidden="false" customHeight="true" outlineLevel="0" collapsed="false">
      <c r="B17" s="28" t="n">
        <v>1995</v>
      </c>
      <c r="C17" s="48" t="n">
        <f aca="false">'A. Estación'!O24</f>
        <v>84.2</v>
      </c>
      <c r="D17" s="49" t="n">
        <f aca="false">LOG(C17)</f>
        <v>1.92531209149965</v>
      </c>
      <c r="E17" s="16"/>
      <c r="F17" s="28" t="n">
        <v>100</v>
      </c>
      <c r="G17" s="50" t="n">
        <f aca="false">1/F17</f>
        <v>0.01</v>
      </c>
      <c r="H17" s="49" t="n">
        <f aca="false">(LN(1/G17^2))^0.5</f>
        <v>3.03485425877029</v>
      </c>
      <c r="I17" s="49" t="n">
        <f aca="false">+H17-(2.515517+0.802853*H17+0.010328*H17^2)/(1+1.432788*H17+0.189269*H17^2+0.001308*H17^3)</f>
        <v>2.32678533255897</v>
      </c>
      <c r="J17" s="51" t="n">
        <f aca="false">+$C$36+I17*$C$38</f>
        <v>174.439712336526</v>
      </c>
      <c r="K17" s="16"/>
      <c r="L17" s="28" t="n">
        <v>100</v>
      </c>
      <c r="M17" s="50" t="n">
        <f aca="false">1/L17</f>
        <v>0.01</v>
      </c>
      <c r="N17" s="49" t="n">
        <f aca="false">(LN(1/M17^2))^0.5</f>
        <v>3.03485425877029</v>
      </c>
      <c r="O17" s="48" t="n">
        <f aca="false">+N17-(2.515517+0.802853*N17+0.010328*N17^2)/(1+1.432788*N17+0.189269*N17^2+0.001308*N17^3)</f>
        <v>2.32678533255897</v>
      </c>
      <c r="P17" s="49" t="n">
        <f aca="false">+O17+(O17^2-1)*$D$40+1/3*(O17^3-6*O17)*$D$40^2-(O17^2-1)*$D$40^3+O17*$D$40^4+1/3*$D$40^5</f>
        <v>2.81917908483276</v>
      </c>
      <c r="Q17" s="49" t="n">
        <f aca="false">+$D$36+P17*$D$38</f>
        <v>2.31492955254652</v>
      </c>
      <c r="R17" s="51" t="n">
        <f aca="false">10^Q17</f>
        <v>206.504515507207</v>
      </c>
    </row>
    <row r="18" s="12" customFormat="true" ht="19.5" hidden="false" customHeight="true" outlineLevel="0" collapsed="false">
      <c r="B18" s="32" t="n">
        <v>1996</v>
      </c>
      <c r="C18" s="48" t="n">
        <f aca="false">'A. Estación'!O25</f>
        <v>96.4</v>
      </c>
      <c r="D18" s="49" t="n">
        <f aca="false">LOG(C18)</f>
        <v>1.98407703390283</v>
      </c>
      <c r="E18" s="16"/>
      <c r="F18" s="28" t="n">
        <v>200</v>
      </c>
      <c r="G18" s="50" t="n">
        <f aca="false">1/F18</f>
        <v>0.005</v>
      </c>
      <c r="H18" s="49" t="n">
        <f aca="false">(LN(1/G18^2))^0.5</f>
        <v>3.25524726143746</v>
      </c>
      <c r="I18" s="49" t="n">
        <f aca="false">+H18-(2.515517+0.802853*H18+0.010328*H18^2)/(1+1.432788*H18+0.189269*H18^2+0.001308*H18^3)</f>
        <v>2.57623608130957</v>
      </c>
      <c r="J18" s="51" t="n">
        <f aca="false">+$C$36+I18*$C$38</f>
        <v>181.315165536762</v>
      </c>
      <c r="K18" s="16"/>
      <c r="L18" s="28" t="n">
        <v>200</v>
      </c>
      <c r="M18" s="50" t="n">
        <f aca="false">1/L18</f>
        <v>0.005</v>
      </c>
      <c r="N18" s="49" t="n">
        <f aca="false">(LN(1/M18^2))^0.5</f>
        <v>3.25524726143746</v>
      </c>
      <c r="O18" s="48" t="n">
        <f aca="false">+N18-(2.515517+0.802853*N18+0.010328*N18^2)/(1+1.432788*N18+0.189269*N18^2+0.001308*N18^3)</f>
        <v>2.57623608130957</v>
      </c>
      <c r="P18" s="49" t="n">
        <f aca="false">+O18+(O18^2-1)*$D$40+1/3*(O18^3-6*O18)*$D$40^2-(O18^2-1)*$D$40^3+O18*$D$40^4+1/3*$D$40^5</f>
        <v>3.21972961736791</v>
      </c>
      <c r="Q18" s="49" t="n">
        <f aca="false">+$D$36+P18*$D$38</f>
        <v>2.35528997196218</v>
      </c>
      <c r="R18" s="51" t="n">
        <f aca="false">10^Q18</f>
        <v>226.615688179914</v>
      </c>
    </row>
    <row r="19" s="12" customFormat="true" ht="19.5" hidden="false" customHeight="true" outlineLevel="0" collapsed="false">
      <c r="B19" s="28" t="n">
        <v>1997</v>
      </c>
      <c r="C19" s="48" t="n">
        <f aca="false">'A. Estación'!O26</f>
        <v>103.9</v>
      </c>
      <c r="D19" s="49" t="n">
        <f aca="false">LOG(C19)</f>
        <v>2.01661554755718</v>
      </c>
      <c r="E19" s="16"/>
      <c r="F19" s="28" t="n">
        <v>500</v>
      </c>
      <c r="G19" s="50" t="n">
        <f aca="false">1/F19</f>
        <v>0.002</v>
      </c>
      <c r="H19" s="49" t="n">
        <f aca="false">(LN(1/G19^2))^0.5</f>
        <v>3.52550935282327</v>
      </c>
      <c r="I19" s="49" t="n">
        <f aca="false">+H19-(2.515517+0.802853*H19+0.010328*H19^2)/(1+1.432788*H19+0.189269*H19^2+0.001308*H19^3)</f>
        <v>2.87850610774224</v>
      </c>
      <c r="J19" s="51" t="n">
        <f aca="false">+$C$36+I19*$C$38</f>
        <v>189.646443077443</v>
      </c>
      <c r="K19" s="16"/>
      <c r="L19" s="28" t="n">
        <v>500</v>
      </c>
      <c r="M19" s="50" t="n">
        <f aca="false">1/L19</f>
        <v>0.002</v>
      </c>
      <c r="N19" s="49" t="n">
        <f aca="false">(LN(1/M19^2))^0.5</f>
        <v>3.52550935282327</v>
      </c>
      <c r="O19" s="48" t="n">
        <f aca="false">+N19-(2.515517+0.802853*N19+0.010328*N19^2)/(1+1.432788*N19+0.189269*N19^2+0.001308*N19^3)</f>
        <v>2.87850610774224</v>
      </c>
      <c r="P19" s="49" t="n">
        <f aca="false">+O19+(O19^2-1)*$D$40+1/3*(O19^3-6*O19)*$D$40^2-(O19^2-1)*$D$40^3+O19*$D$40^4+1/3*$D$40^5</f>
        <v>3.72955807383861</v>
      </c>
      <c r="Q19" s="49" t="n">
        <f aca="false">+$D$36+P19*$D$38</f>
        <v>2.40666149356012</v>
      </c>
      <c r="R19" s="51" t="n">
        <f aca="false">10^Q19</f>
        <v>255.07124006737</v>
      </c>
    </row>
    <row r="20" s="12" customFormat="true" ht="19.5" hidden="false" customHeight="true" outlineLevel="0" collapsed="false">
      <c r="B20" s="32" t="n">
        <v>1998</v>
      </c>
      <c r="C20" s="48" t="n">
        <f aca="false">'A. Estación'!O27</f>
        <v>171.8</v>
      </c>
      <c r="D20" s="49" t="n">
        <f aca="false">LOG(C20)</f>
        <v>2.23502315949522</v>
      </c>
      <c r="E20" s="16"/>
      <c r="F20" s="16"/>
      <c r="G20" s="52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="12" customFormat="true" ht="19.5" hidden="false" customHeight="true" outlineLevel="0" collapsed="false">
      <c r="B21" s="28" t="n">
        <v>1999</v>
      </c>
      <c r="C21" s="48" t="n">
        <f aca="false">'A. Estación'!O28</f>
        <v>146</v>
      </c>
      <c r="D21" s="49" t="n">
        <f aca="false">LOG(C21)</f>
        <v>2.16435285578444</v>
      </c>
      <c r="E21" s="16"/>
      <c r="L21" s="16"/>
      <c r="M21" s="16"/>
      <c r="N21" s="16"/>
      <c r="O21" s="16"/>
      <c r="P21" s="16"/>
      <c r="Q21" s="16"/>
    </row>
    <row r="22" s="12" customFormat="true" ht="19.5" hidden="false" customHeight="true" outlineLevel="0" collapsed="false">
      <c r="B22" s="32" t="n">
        <v>2000</v>
      </c>
      <c r="C22" s="48" t="n">
        <f aca="false">'A. Estación'!O29</f>
        <v>108.5</v>
      </c>
      <c r="D22" s="49" t="n">
        <f aca="false">LOG(C22)</f>
        <v>2.03542973818455</v>
      </c>
      <c r="E22" s="16"/>
      <c r="L22" s="16"/>
      <c r="M22" s="16"/>
      <c r="N22" s="16"/>
      <c r="O22" s="16"/>
      <c r="P22" s="16"/>
      <c r="Q22" s="16"/>
    </row>
    <row r="23" s="12" customFormat="true" ht="19.5" hidden="false" customHeight="true" outlineLevel="0" collapsed="false">
      <c r="B23" s="28" t="n">
        <v>2001</v>
      </c>
      <c r="C23" s="48" t="n">
        <f aca="false">'A. Estación'!O30</f>
        <v>78</v>
      </c>
      <c r="D23" s="49" t="n">
        <f aca="false">LOG(C23)</f>
        <v>1.89209460269048</v>
      </c>
      <c r="E23" s="16"/>
      <c r="L23" s="16"/>
      <c r="M23" s="16"/>
      <c r="N23" s="16"/>
      <c r="O23" s="16"/>
      <c r="P23" s="16"/>
      <c r="Q23" s="16"/>
    </row>
    <row r="24" s="12" customFormat="true" ht="19.5" hidden="false" customHeight="true" outlineLevel="0" collapsed="false">
      <c r="B24" s="32" t="n">
        <v>2002</v>
      </c>
      <c r="C24" s="48" t="n">
        <f aca="false">'A. Estación'!O31</f>
        <v>88.7</v>
      </c>
      <c r="D24" s="49" t="n">
        <f aca="false">LOG(C24)</f>
        <v>1.94792361983173</v>
      </c>
      <c r="E24" s="16"/>
      <c r="L24" s="16"/>
      <c r="M24" s="16"/>
      <c r="N24" s="16"/>
      <c r="O24" s="16"/>
      <c r="P24" s="16"/>
      <c r="Q24" s="16"/>
    </row>
    <row r="25" s="12" customFormat="true" ht="19.5" hidden="false" customHeight="true" outlineLevel="0" collapsed="false">
      <c r="B25" s="28" t="n">
        <v>2003</v>
      </c>
      <c r="C25" s="48" t="n">
        <f aca="false">'A. Estación'!O32</f>
        <v>138.5</v>
      </c>
      <c r="D25" s="49" t="n">
        <f aca="false">LOG(C25)</f>
        <v>2.14144977340047</v>
      </c>
      <c r="E25" s="16"/>
      <c r="L25" s="16"/>
      <c r="M25" s="16"/>
      <c r="N25" s="16"/>
      <c r="O25" s="16"/>
      <c r="P25" s="16"/>
      <c r="Q25" s="16"/>
    </row>
    <row r="26" s="12" customFormat="true" ht="19.5" hidden="false" customHeight="true" outlineLevel="0" collapsed="false">
      <c r="B26" s="32" t="n">
        <v>2004</v>
      </c>
      <c r="C26" s="48" t="n">
        <f aca="false">'A. Estación'!O33</f>
        <v>90.2</v>
      </c>
      <c r="D26" s="49" t="n">
        <f aca="false">LOG(C26)</f>
        <v>1.95520653754194</v>
      </c>
      <c r="E26" s="16"/>
      <c r="L26" s="16"/>
      <c r="M26" s="16"/>
      <c r="N26" s="16"/>
      <c r="O26" s="16"/>
      <c r="P26" s="16"/>
      <c r="Q26" s="16"/>
    </row>
    <row r="27" s="12" customFormat="true" ht="19.5" hidden="false" customHeight="true" outlineLevel="0" collapsed="false">
      <c r="B27" s="28" t="n">
        <v>2005</v>
      </c>
      <c r="C27" s="48" t="n">
        <f aca="false">'A. Estación'!O34</f>
        <v>97.3</v>
      </c>
      <c r="D27" s="49" t="n">
        <f aca="false">LOG(C27)</f>
        <v>1.98811284026835</v>
      </c>
      <c r="E27" s="16"/>
      <c r="L27" s="16"/>
      <c r="M27" s="16"/>
      <c r="N27" s="16"/>
      <c r="O27" s="16"/>
      <c r="P27" s="16"/>
      <c r="Q27" s="16"/>
    </row>
    <row r="28" s="12" customFormat="true" ht="19.5" hidden="false" customHeight="true" outlineLevel="0" collapsed="false">
      <c r="B28" s="32" t="n">
        <v>2006</v>
      </c>
      <c r="C28" s="48" t="n">
        <f aca="false">'A. Estación'!O35</f>
        <v>102.5</v>
      </c>
      <c r="D28" s="49" t="n">
        <f aca="false">LOG(C28)</f>
        <v>2.01072386539177</v>
      </c>
      <c r="E28" s="16"/>
      <c r="L28" s="16"/>
      <c r="M28" s="16"/>
      <c r="N28" s="16"/>
      <c r="O28" s="16"/>
      <c r="P28" s="16"/>
      <c r="Q28" s="16"/>
    </row>
    <row r="29" s="12" customFormat="true" ht="19.5" hidden="false" customHeight="true" outlineLevel="0" collapsed="false">
      <c r="B29" s="28" t="n">
        <v>2007</v>
      </c>
      <c r="C29" s="48" t="n">
        <f aca="false">'A. Estación'!O36</f>
        <v>77.3</v>
      </c>
      <c r="D29" s="49" t="n">
        <f aca="false">LOG(C29)</f>
        <v>1.88817949391832</v>
      </c>
      <c r="E29" s="16"/>
      <c r="L29" s="16"/>
      <c r="M29" s="16"/>
      <c r="N29" s="16"/>
      <c r="O29" s="16"/>
      <c r="P29" s="16"/>
      <c r="Q29" s="16"/>
    </row>
    <row r="30" s="12" customFormat="true" ht="19.5" hidden="false" customHeight="true" outlineLevel="0" collapsed="false">
      <c r="B30" s="32" t="n">
        <v>2008</v>
      </c>
      <c r="C30" s="48" t="n">
        <f aca="false">'A. Estación'!O37</f>
        <v>100.4</v>
      </c>
      <c r="D30" s="49" t="n">
        <f aca="false">LOG(C30)</f>
        <v>2.001733712809</v>
      </c>
      <c r="E30" s="16"/>
      <c r="L30" s="16"/>
      <c r="M30" s="16"/>
      <c r="N30" s="16"/>
      <c r="O30" s="16"/>
      <c r="P30" s="16"/>
      <c r="Q30" s="16"/>
    </row>
    <row r="31" s="12" customFormat="true" ht="19.5" hidden="false" customHeight="true" outlineLevel="0" collapsed="false">
      <c r="B31" s="28" t="n">
        <v>2009</v>
      </c>
      <c r="C31" s="48" t="n">
        <f aca="false">'A. Estación'!O38</f>
        <v>87</v>
      </c>
      <c r="D31" s="49" t="n">
        <f aca="false">LOG(C31)</f>
        <v>1.93951925261862</v>
      </c>
      <c r="E31" s="16"/>
      <c r="L31" s="16"/>
      <c r="M31" s="16"/>
      <c r="N31" s="16"/>
      <c r="O31" s="16"/>
      <c r="P31" s="16"/>
      <c r="Q31" s="16"/>
    </row>
    <row r="32" s="12" customFormat="true" ht="19.5" hidden="false" customHeight="true" outlineLevel="0" collapsed="false">
      <c r="B32" s="32" t="n">
        <v>2010</v>
      </c>
      <c r="C32" s="48" t="n">
        <f aca="false">'A. Estación'!O39</f>
        <v>128</v>
      </c>
      <c r="D32" s="49" t="n">
        <f aca="false">LOG(C32)</f>
        <v>2.10720996964787</v>
      </c>
      <c r="E32" s="16"/>
      <c r="F32" s="53"/>
      <c r="G32" s="54"/>
      <c r="H32" s="55"/>
      <c r="I32" s="55"/>
      <c r="J32" s="55"/>
      <c r="K32" s="56"/>
      <c r="L32" s="16"/>
      <c r="M32" s="16"/>
      <c r="N32" s="16"/>
      <c r="O32" s="16"/>
      <c r="P32" s="16"/>
      <c r="Q32" s="16"/>
    </row>
    <row r="33" s="12" customFormat="true" ht="19.5" hidden="false" customHeight="true" outlineLevel="0" collapsed="false">
      <c r="B33" s="28" t="n">
        <v>2011</v>
      </c>
      <c r="C33" s="48" t="n">
        <f aca="false">'A. Estación'!O40</f>
        <v>101</v>
      </c>
      <c r="D33" s="49" t="n">
        <f aca="false">LOG(C33)</f>
        <v>2.00432137378264</v>
      </c>
      <c r="E33" s="16"/>
      <c r="M33" s="16"/>
      <c r="N33" s="16"/>
      <c r="O33" s="16"/>
      <c r="P33" s="16"/>
      <c r="Q33" s="16"/>
    </row>
    <row r="34" s="12" customFormat="true" ht="19.5" hidden="false" customHeight="true" outlineLevel="0" collapsed="false">
      <c r="B34" s="32" t="n">
        <v>2012</v>
      </c>
      <c r="C34" s="48" t="n">
        <f aca="false">'A. Estación'!O41</f>
        <v>110.2</v>
      </c>
      <c r="D34" s="49" t="n">
        <f aca="false">LOG(C34)</f>
        <v>2.04218159451577</v>
      </c>
      <c r="E34" s="16"/>
      <c r="M34" s="16"/>
      <c r="N34" s="16"/>
      <c r="O34" s="16"/>
      <c r="P34" s="16"/>
      <c r="Q34" s="16"/>
    </row>
    <row r="35" s="12" customFormat="true" ht="19.5" hidden="false" customHeight="true" outlineLevel="0" collapsed="false">
      <c r="B35" s="28" t="n">
        <v>2013</v>
      </c>
      <c r="C35" s="48" t="n">
        <f aca="false">'A. Estación'!O42</f>
        <v>84</v>
      </c>
      <c r="D35" s="49" t="n">
        <f aca="false">LOG(C35)</f>
        <v>1.92427928606188</v>
      </c>
      <c r="E35" s="16"/>
      <c r="M35" s="16"/>
      <c r="N35" s="16"/>
      <c r="O35" s="16"/>
      <c r="P35" s="16"/>
      <c r="Q35" s="16"/>
    </row>
    <row r="36" s="12" customFormat="true" ht="19.5" hidden="false" customHeight="true" outlineLevel="0" collapsed="false">
      <c r="B36" s="57" t="s">
        <v>60</v>
      </c>
      <c r="C36" s="31" t="n">
        <f aca="false">AVERAGE(C11:C35)</f>
        <v>110.308</v>
      </c>
      <c r="D36" s="58" t="n">
        <f aca="false">AVERAGE(D11:D35)</f>
        <v>2.03086239739495</v>
      </c>
      <c r="E36" s="16"/>
      <c r="M36" s="16"/>
      <c r="N36" s="16"/>
      <c r="O36" s="16"/>
      <c r="P36" s="16"/>
      <c r="Q36" s="16"/>
    </row>
    <row r="37" s="12" customFormat="true" ht="19.5" hidden="false" customHeight="true" outlineLevel="0" collapsed="false">
      <c r="B37" s="57" t="s">
        <v>61</v>
      </c>
      <c r="C37" s="31" t="n">
        <f aca="false">+C38^2</f>
        <v>759.6841</v>
      </c>
      <c r="D37" s="31" t="n">
        <f aca="false">+D38^2</f>
        <v>0.0101530544295183</v>
      </c>
      <c r="E37" s="16"/>
      <c r="M37" s="16"/>
      <c r="N37" s="16"/>
      <c r="O37" s="16"/>
      <c r="P37" s="16"/>
      <c r="Q37" s="16"/>
    </row>
    <row r="38" s="12" customFormat="true" ht="19.5" hidden="false" customHeight="true" outlineLevel="0" collapsed="false">
      <c r="B38" s="57" t="s">
        <v>62</v>
      </c>
      <c r="C38" s="58" t="n">
        <f aca="false">STDEV(C11:C35)</f>
        <v>27.5623674599988</v>
      </c>
      <c r="D38" s="58" t="n">
        <f aca="false">STDEV(D11:D35)</f>
        <v>0.100762366136958</v>
      </c>
      <c r="E38" s="16"/>
      <c r="M38" s="16"/>
      <c r="N38" s="16"/>
      <c r="O38" s="16"/>
      <c r="P38" s="16"/>
      <c r="Q38" s="16"/>
    </row>
    <row r="39" s="12" customFormat="true" ht="19.5" hidden="false" customHeight="true" outlineLevel="0" collapsed="false">
      <c r="B39" s="57" t="s">
        <v>63</v>
      </c>
      <c r="C39" s="58" t="n">
        <f aca="false">SKEW(C11:C35)</f>
        <v>1.13170575002246</v>
      </c>
      <c r="D39" s="58" t="n">
        <f aca="false">SKEW(D11:D35)</f>
        <v>0.685811002924503</v>
      </c>
      <c r="E39" s="16"/>
      <c r="M39" s="16"/>
      <c r="N39" s="16"/>
      <c r="O39" s="16"/>
      <c r="P39" s="16"/>
      <c r="Q39" s="16"/>
    </row>
    <row r="40" s="12" customFormat="true" ht="19.5" hidden="false" customHeight="true" outlineLevel="0" collapsed="false">
      <c r="B40" s="57" t="s">
        <v>64</v>
      </c>
      <c r="C40" s="59"/>
      <c r="D40" s="58" t="n">
        <f aca="false">+D39/6</f>
        <v>0.114301833820751</v>
      </c>
      <c r="E40" s="16"/>
      <c r="M40" s="16"/>
      <c r="N40" s="16"/>
      <c r="O40" s="16"/>
      <c r="P40" s="16"/>
      <c r="Q40" s="16"/>
    </row>
    <row r="41" s="12" customFormat="true" ht="19.5" hidden="false" customHeight="true" outlineLevel="0" collapsed="false">
      <c r="B41" s="60" t="s">
        <v>65</v>
      </c>
      <c r="C41" s="61" t="n">
        <f aca="false">COUNT(C11:C35)</f>
        <v>25</v>
      </c>
      <c r="D41" s="61" t="n">
        <f aca="false">COUNT(D11:D35)</f>
        <v>25</v>
      </c>
      <c r="E41" s="16"/>
      <c r="M41" s="16"/>
      <c r="N41" s="16"/>
      <c r="O41" s="16"/>
      <c r="P41" s="16"/>
      <c r="Q41" s="16"/>
    </row>
    <row r="42" s="12" customFormat="true" ht="19.5" hidden="false" customHeight="true" outlineLevel="0" collapsed="false">
      <c r="B42" s="16"/>
      <c r="C42" s="16"/>
      <c r="D42" s="16"/>
      <c r="E42" s="16"/>
      <c r="M42" s="16"/>
      <c r="N42" s="16"/>
      <c r="O42" s="16"/>
      <c r="P42" s="16"/>
      <c r="Q42" s="16"/>
    </row>
    <row r="43" s="12" customFormat="true" ht="19.5" hidden="false" customHeight="true" outlineLevel="0" collapsed="false">
      <c r="B43" s="16"/>
      <c r="J43" s="16"/>
      <c r="K43" s="16"/>
      <c r="L43" s="16"/>
      <c r="M43" s="16"/>
      <c r="N43" s="16"/>
      <c r="O43" s="16"/>
      <c r="P43" s="16"/>
      <c r="Q43" s="16"/>
    </row>
    <row r="44" s="12" customFormat="true" ht="33" hidden="false" customHeight="true" outlineLevel="0" collapsed="false">
      <c r="B44" s="16"/>
      <c r="C44" s="62" t="s">
        <v>66</v>
      </c>
      <c r="D44" s="62"/>
      <c r="E44" s="62"/>
      <c r="J44" s="16"/>
      <c r="K44" s="16"/>
      <c r="L44" s="16"/>
      <c r="M44" s="16"/>
      <c r="N44" s="16"/>
      <c r="O44" s="16"/>
      <c r="P44" s="16"/>
      <c r="Q44" s="16"/>
    </row>
    <row r="45" s="12" customFormat="true" ht="19.5" hidden="false" customHeight="true" outlineLevel="0" collapsed="false">
      <c r="B45" s="53"/>
      <c r="C45" s="26" t="s">
        <v>54</v>
      </c>
      <c r="D45" s="47" t="s">
        <v>59</v>
      </c>
      <c r="E45" s="26" t="s">
        <v>58</v>
      </c>
      <c r="J45" s="16"/>
      <c r="K45" s="16"/>
      <c r="L45" s="16"/>
      <c r="M45" s="16"/>
      <c r="N45" s="16"/>
      <c r="O45" s="16"/>
      <c r="P45" s="16"/>
      <c r="Q45" s="16"/>
    </row>
    <row r="46" s="12" customFormat="true" ht="19.5" hidden="false" customHeight="true" outlineLevel="0" collapsed="false">
      <c r="B46" s="16"/>
      <c r="C46" s="28" t="n">
        <v>2</v>
      </c>
      <c r="D46" s="50" t="n">
        <f aca="false">-SQRT(6)/PI()*(0.5772+LN(LN(C46/(C46-1))))</f>
        <v>-0.164272041883742</v>
      </c>
      <c r="E46" s="51" t="n">
        <f aca="false">$C$36+D46*$C$38</f>
        <v>105.780273618196</v>
      </c>
      <c r="J46" s="16"/>
      <c r="K46" s="16"/>
      <c r="L46" s="16"/>
      <c r="M46" s="16"/>
      <c r="N46" s="16"/>
      <c r="O46" s="16"/>
      <c r="P46" s="16"/>
      <c r="Q46" s="16"/>
    </row>
    <row r="47" s="12" customFormat="true" ht="19.5" hidden="false" customHeight="true" outlineLevel="0" collapsed="false">
      <c r="B47" s="16"/>
      <c r="C47" s="28" t="n">
        <v>5</v>
      </c>
      <c r="D47" s="50" t="n">
        <f aca="false">-SQRT(6)/PI()*(0.5772+LN(LN(C47/(C47-1))))</f>
        <v>0.719457416046799</v>
      </c>
      <c r="E47" s="51" t="n">
        <f aca="false">$C$36+D47*$C$38</f>
        <v>130.137949672903</v>
      </c>
      <c r="P47" s="16"/>
      <c r="Q47" s="16"/>
    </row>
    <row r="48" s="12" customFormat="true" ht="19.5" hidden="false" customHeight="true" outlineLevel="0" collapsed="false">
      <c r="B48" s="16"/>
      <c r="C48" s="28" t="n">
        <v>10</v>
      </c>
      <c r="D48" s="50" t="n">
        <f aca="false">-SQRT(6)/PI()*(0.5772+LN(LN(C48/(C48-1))))</f>
        <v>1.30456321303421</v>
      </c>
      <c r="E48" s="51" t="n">
        <f aca="false">$C$36+D48*$C$38</f>
        <v>146.264850652446</v>
      </c>
      <c r="P48" s="16"/>
      <c r="Q48" s="16"/>
    </row>
    <row r="49" s="12" customFormat="true" ht="19.5" hidden="false" customHeight="true" outlineLevel="0" collapsed="false">
      <c r="B49" s="16"/>
      <c r="C49" s="28" t="n">
        <v>20</v>
      </c>
      <c r="D49" s="50" t="n">
        <f aca="false">-SQRT(6)/PI()*(0.5772+LN(LN(C49/(C49-1))))</f>
        <v>1.86581074104556</v>
      </c>
      <c r="E49" s="51" t="n">
        <f aca="false">$C$36+D49*$C$38</f>
        <v>161.73416125551</v>
      </c>
      <c r="P49" s="16"/>
      <c r="Q49" s="16"/>
    </row>
    <row r="50" s="12" customFormat="true" ht="19.5" hidden="false" customHeight="true" outlineLevel="0" collapsed="false">
      <c r="B50" s="16"/>
      <c r="C50" s="28" t="n">
        <v>25</v>
      </c>
      <c r="D50" s="50" t="n">
        <f aca="false">-SQRT(6)/PI()*(0.5772+LN(LN(C50/(C50-1))))</f>
        <v>2.04384593861321</v>
      </c>
      <c r="E50" s="51" t="n">
        <f aca="false">$C$36+D50*$C$38</f>
        <v>166.641232791683</v>
      </c>
      <c r="P50" s="16"/>
      <c r="Q50" s="16"/>
    </row>
    <row r="51" customFormat="false" ht="19.5" hidden="false" customHeight="true" outlineLevel="0" collapsed="false">
      <c r="A51" s="12"/>
      <c r="B51" s="16"/>
      <c r="C51" s="28" t="n">
        <v>50</v>
      </c>
      <c r="D51" s="50" t="n">
        <f aca="false">-SQRT(6)/PI()*(0.5772+LN(LN(C51/(C51-1))))</f>
        <v>2.59228809653051</v>
      </c>
      <c r="E51" s="51" t="n">
        <f aca="false">$C$36+D51*$C$38</f>
        <v>181.757597078755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6"/>
      <c r="Q51" s="16"/>
      <c r="R51" s="12"/>
      <c r="S51" s="12"/>
    </row>
    <row r="52" customFormat="false" ht="19.5" hidden="false" customHeight="true" outlineLevel="0" collapsed="false">
      <c r="A52" s="12"/>
      <c r="B52" s="16"/>
      <c r="C52" s="28" t="n">
        <v>100</v>
      </c>
      <c r="D52" s="50" t="n">
        <f aca="false">-SQRT(6)/PI()*(0.5772+LN(LN(C52/(C52-1))))</f>
        <v>3.13668064364318</v>
      </c>
      <c r="E52" s="51" t="n">
        <f aca="false">$C$36+D52*$C$38</f>
        <v>196.762344504759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6"/>
      <c r="Q52" s="16"/>
      <c r="R52" s="12"/>
      <c r="S52" s="12"/>
    </row>
    <row r="53" customFormat="false" ht="19.5" hidden="false" customHeight="true" outlineLevel="0" collapsed="false">
      <c r="B53" s="63"/>
      <c r="C53" s="28" t="n">
        <v>200</v>
      </c>
      <c r="D53" s="50" t="n">
        <f aca="false">-SQRT(6)/PI()*(0.5772+LN(LN(C53/(C53-1))))</f>
        <v>3.67908679379696</v>
      </c>
      <c r="E53" s="51" t="n">
        <f aca="false">$C$36+D53*$C$38</f>
        <v>211.712342127861</v>
      </c>
      <c r="P53" s="63"/>
      <c r="Q53" s="63"/>
      <c r="R53" s="12"/>
    </row>
    <row r="54" customFormat="false" ht="19.5" hidden="false" customHeight="true" outlineLevel="0" collapsed="false">
      <c r="B54" s="63"/>
      <c r="C54" s="28" t="n">
        <v>500</v>
      </c>
      <c r="D54" s="50" t="n">
        <f aca="false">-SQRT(6)/PI()*(0.5772+LN(LN(C54/(C54-1))))</f>
        <v>4.39468871425929</v>
      </c>
      <c r="E54" s="51" t="n">
        <f aca="false">$C$36+D54*$C$38</f>
        <v>231.436025214724</v>
      </c>
      <c r="P54" s="63"/>
      <c r="Q54" s="63"/>
      <c r="R54" s="12"/>
    </row>
    <row r="55" customFormat="false" ht="27" hidden="false" customHeight="true" outlineLevel="0" collapsed="false">
      <c r="B55" s="16"/>
      <c r="F55" s="16"/>
      <c r="G55" s="16"/>
      <c r="H55" s="16"/>
      <c r="P55" s="63"/>
      <c r="Q55" s="63"/>
      <c r="R55" s="12"/>
    </row>
    <row r="56" customFormat="false" ht="25.5" hidden="false" customHeight="true" outlineLevel="0" collapsed="false">
      <c r="B56" s="63"/>
      <c r="C56" s="24" t="s">
        <v>67</v>
      </c>
      <c r="D56" s="24"/>
      <c r="E56" s="24"/>
      <c r="F56" s="24"/>
      <c r="G56" s="24"/>
      <c r="H56" s="24"/>
      <c r="P56" s="63"/>
      <c r="Q56" s="63"/>
      <c r="R56" s="12"/>
    </row>
    <row r="57" customFormat="false" ht="19.5" hidden="false" customHeight="true" outlineLevel="0" collapsed="false">
      <c r="B57" s="63"/>
      <c r="C57" s="26" t="s">
        <v>68</v>
      </c>
      <c r="D57" s="47" t="s">
        <v>55</v>
      </c>
      <c r="E57" s="47" t="s">
        <v>56</v>
      </c>
      <c r="F57" s="47" t="s">
        <v>57</v>
      </c>
      <c r="G57" s="26" t="s">
        <v>53</v>
      </c>
      <c r="H57" s="26" t="s">
        <v>58</v>
      </c>
      <c r="P57" s="63"/>
      <c r="Q57" s="63"/>
      <c r="R57" s="12"/>
    </row>
    <row r="58" customFormat="false" ht="19.5" hidden="false" customHeight="true" outlineLevel="0" collapsed="false">
      <c r="B58" s="63"/>
      <c r="C58" s="28" t="n">
        <v>2</v>
      </c>
      <c r="D58" s="50" t="n">
        <f aca="false">1/C58</f>
        <v>0.5</v>
      </c>
      <c r="E58" s="49" t="n">
        <f aca="false">(LN(1/D58^2))^0.5</f>
        <v>1.17741002251547</v>
      </c>
      <c r="F58" s="49" t="n">
        <f aca="false">+E58-(2.515517+0.802853*E58+0.010328*E58^2)/(1+1.432788*E58+0.189269*E58^2+0.001308*E58^3)</f>
        <v>-1.01006675468085E-007</v>
      </c>
      <c r="G58" s="49" t="n">
        <f aca="false">$D$36+F58*$D$38</f>
        <v>2.03086238721728</v>
      </c>
      <c r="H58" s="51" t="n">
        <f aca="false">10^G58</f>
        <v>107.364915644395</v>
      </c>
      <c r="O58" s="63"/>
      <c r="P58" s="63"/>
      <c r="Q58" s="63"/>
      <c r="R58" s="12"/>
    </row>
    <row r="59" customFormat="false" ht="15" hidden="false" customHeight="false" outlineLevel="0" collapsed="false">
      <c r="B59" s="63"/>
      <c r="C59" s="28" t="n">
        <v>5</v>
      </c>
      <c r="D59" s="50" t="n">
        <f aca="false">1/C59</f>
        <v>0.2</v>
      </c>
      <c r="E59" s="49" t="n">
        <f aca="false">(LN(1/D59^2))^0.5</f>
        <v>1.7941225779941</v>
      </c>
      <c r="F59" s="49" t="n">
        <f aca="false">+E59-(2.515517+0.802853*E59+0.010328*E59^2)/(1+1.432788*E59+0.189269*E59^2+0.001308*E59^3)</f>
        <v>0.841456717354784</v>
      </c>
      <c r="G59" s="49" t="n">
        <f aca="false">$D$36+F59*$D$38</f>
        <v>2.11564956723746</v>
      </c>
      <c r="H59" s="51" t="n">
        <f aca="false">10^G59</f>
        <v>130.511736230561</v>
      </c>
      <c r="O59" s="63"/>
      <c r="P59" s="63"/>
      <c r="Q59" s="63"/>
      <c r="R59" s="12"/>
    </row>
    <row r="60" customFormat="false" ht="15" hidden="false" customHeight="false" outlineLevel="0" collapsed="false">
      <c r="B60" s="63"/>
      <c r="C60" s="28" t="n">
        <v>10</v>
      </c>
      <c r="D60" s="50" t="n">
        <f aca="false">1/C60</f>
        <v>0.1</v>
      </c>
      <c r="E60" s="49" t="n">
        <f aca="false">(LN(1/D60^2))^0.5</f>
        <v>2.14596602628935</v>
      </c>
      <c r="F60" s="49" t="n">
        <f aca="false">+E60-(2.515517+0.802853*E60+0.010328*E60^2)/(1+1.432788*E60+0.189269*E60^2+0.001308*E60^3)</f>
        <v>1.28172875650271</v>
      </c>
      <c r="G60" s="49" t="n">
        <f aca="false">$D$36+F60*$D$38</f>
        <v>2.16001241964594</v>
      </c>
      <c r="H60" s="51" t="n">
        <f aca="false">10^G60</f>
        <v>144.548110699961</v>
      </c>
      <c r="O60" s="63"/>
      <c r="P60" s="63"/>
      <c r="Q60" s="63"/>
      <c r="R60" s="12"/>
    </row>
    <row r="61" customFormat="false" ht="15" hidden="false" customHeight="false" outlineLevel="0" collapsed="false">
      <c r="B61" s="63"/>
      <c r="C61" s="28" t="n">
        <v>20</v>
      </c>
      <c r="D61" s="50" t="n">
        <f aca="false">1/C61</f>
        <v>0.05</v>
      </c>
      <c r="E61" s="49" t="n">
        <f aca="false">(LN(1/D61^2))^0.5</f>
        <v>2.44774683068082</v>
      </c>
      <c r="F61" s="49" t="n">
        <f aca="false">+E61-(2.515517+0.802853*E61+0.010328*E61^2)/(1+1.432788*E61+0.189269*E61^2+0.001308*E61^3)</f>
        <v>1.64521144014382</v>
      </c>
      <c r="G61" s="49" t="n">
        <f aca="false">$D$36+F61*$D$38</f>
        <v>2.19663779489943</v>
      </c>
      <c r="H61" s="51" t="n">
        <f aca="false">10^G61</f>
        <v>157.267069731786</v>
      </c>
      <c r="O61" s="63"/>
      <c r="P61" s="63"/>
      <c r="Q61" s="63"/>
      <c r="R61" s="12"/>
    </row>
    <row r="62" customFormat="false" ht="15" hidden="false" customHeight="false" outlineLevel="0" collapsed="false">
      <c r="B62" s="63"/>
      <c r="C62" s="28" t="n">
        <v>25</v>
      </c>
      <c r="D62" s="50" t="n">
        <f aca="false">1/C62</f>
        <v>0.04</v>
      </c>
      <c r="E62" s="49" t="n">
        <f aca="false">(LN(1/D62^2))^0.5</f>
        <v>2.53727248235904</v>
      </c>
      <c r="F62" s="49" t="n">
        <f aca="false">+E62-(2.515517+0.802853*E62+0.010328*E62^2)/(1+1.432788*E62+0.189269*E62^2+0.001308*E62^3)</f>
        <v>1.75107653110187</v>
      </c>
      <c r="G62" s="49" t="n">
        <f aca="false">$D$36+F62*$D$38</f>
        <v>2.20730501195567</v>
      </c>
      <c r="H62" s="51" t="n">
        <f aca="false">10^G62</f>
        <v>161.177721466636</v>
      </c>
      <c r="O62" s="63"/>
      <c r="P62" s="63"/>
      <c r="Q62" s="63"/>
      <c r="R62" s="12"/>
    </row>
    <row r="63" customFormat="false" ht="15" hidden="false" customHeight="false" outlineLevel="0" collapsed="false">
      <c r="B63" s="63"/>
      <c r="C63" s="28" t="n">
        <v>50</v>
      </c>
      <c r="D63" s="50" t="n">
        <f aca="false">1/C63</f>
        <v>0.02</v>
      </c>
      <c r="E63" s="49" t="n">
        <f aca="false">(LN(1/D63^2))^0.5</f>
        <v>2.79714962253654</v>
      </c>
      <c r="F63" s="49" t="n">
        <f aca="false">+E63-(2.515517+0.802853*E63+0.010328*E63^2)/(1+1.432788*E63+0.189269*E63^2+0.001308*E63^3)</f>
        <v>2.0541885887219</v>
      </c>
      <c r="G63" s="49" t="n">
        <f aca="false">$D$36+F63*$D$38</f>
        <v>2.23784730008611</v>
      </c>
      <c r="H63" s="51" t="n">
        <f aca="false">10^G63</f>
        <v>172.920825483283</v>
      </c>
      <c r="O63" s="63"/>
      <c r="P63" s="63"/>
      <c r="Q63" s="63"/>
      <c r="R63" s="12"/>
    </row>
    <row r="64" customFormat="false" ht="15" hidden="false" customHeight="false" outlineLevel="0" collapsed="false">
      <c r="B64" s="63"/>
      <c r="C64" s="28" t="n">
        <v>100</v>
      </c>
      <c r="D64" s="50" t="n">
        <f aca="false">1/C64</f>
        <v>0.01</v>
      </c>
      <c r="E64" s="49" t="n">
        <f aca="false">(LN(1/D64^2))^0.5</f>
        <v>3.03485425877029</v>
      </c>
      <c r="F64" s="49" t="n">
        <f aca="false">+E64-(2.515517+0.802853*E64+0.010328*E64^2)/(1+1.432788*E64+0.189269*E64^2+0.001308*E64^3)</f>
        <v>2.32678533255897</v>
      </c>
      <c r="G64" s="49" t="n">
        <f aca="false">$D$36+F64*$D$38</f>
        <v>2.26531479299636</v>
      </c>
      <c r="H64" s="51" t="n">
        <f aca="false">10^G64</f>
        <v>184.210674601868</v>
      </c>
      <c r="O64" s="63"/>
      <c r="P64" s="63"/>
      <c r="Q64" s="63"/>
    </row>
    <row r="65" customFormat="false" ht="15" hidden="false" customHeight="false" outlineLevel="0" collapsed="false">
      <c r="B65" s="63"/>
      <c r="C65" s="28" t="n">
        <v>200</v>
      </c>
      <c r="D65" s="50" t="n">
        <f aca="false">1/C65</f>
        <v>0.005</v>
      </c>
      <c r="E65" s="49" t="n">
        <f aca="false">(LN(1/D65^2))^0.5</f>
        <v>3.25524726143746</v>
      </c>
      <c r="F65" s="49" t="n">
        <f aca="false">+E65-(2.515517+0.802853*E65+0.010328*E65^2)/(1+1.432788*E65+0.189269*E65^2+0.001308*E65^3)</f>
        <v>2.57623608130957</v>
      </c>
      <c r="G65" s="49" t="n">
        <f aca="false">$D$36+F65*$D$38</f>
        <v>2.29045004067511</v>
      </c>
      <c r="H65" s="51" t="n">
        <f aca="false">10^G65</f>
        <v>195.186618703649</v>
      </c>
      <c r="O65" s="63"/>
      <c r="P65" s="63"/>
      <c r="Q65" s="63"/>
    </row>
    <row r="66" customFormat="false" ht="15" hidden="false" customHeight="false" outlineLevel="0" collapsed="false">
      <c r="B66" s="63"/>
      <c r="C66" s="28" t="n">
        <v>500</v>
      </c>
      <c r="D66" s="50" t="n">
        <f aca="false">1/C66</f>
        <v>0.002</v>
      </c>
      <c r="E66" s="49" t="n">
        <f aca="false">(LN(1/D66^2))^0.5</f>
        <v>3.52550935282327</v>
      </c>
      <c r="F66" s="49" t="n">
        <f aca="false">+E66-(2.515517+0.802853*E66+0.010328*E66^2)/(1+1.432788*E66+0.189269*E66^2+0.001308*E66^3)</f>
        <v>2.87850610774224</v>
      </c>
      <c r="G66" s="49" t="n">
        <f aca="false">$D$36+F66*$D$38</f>
        <v>2.32090748375074</v>
      </c>
      <c r="H66" s="51" t="n">
        <f aca="false">10^G66</f>
        <v>209.366640183995</v>
      </c>
      <c r="O66" s="63"/>
      <c r="P66" s="63"/>
      <c r="Q66" s="63"/>
    </row>
    <row r="1048576" customFormat="false" ht="12.8" hidden="false" customHeight="false" outlineLevel="0" collapsed="false"/>
  </sheetData>
  <mergeCells count="9">
    <mergeCell ref="C2:Q2"/>
    <mergeCell ref="C3:Q3"/>
    <mergeCell ref="C4:Q4"/>
    <mergeCell ref="C5:Q5"/>
    <mergeCell ref="B9:D9"/>
    <mergeCell ref="F9:J9"/>
    <mergeCell ref="L9:R9"/>
    <mergeCell ref="C44:E44"/>
    <mergeCell ref="C56:H56"/>
  </mergeCells>
  <printOptions headings="false" gridLines="false" gridLinesSet="true" horizontalCentered="false" verticalCentered="false"/>
  <pageMargins left="1.29930555555556" right="0.708333333333333" top="0.433333333333333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1" man="true" max="16383" min="0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I104857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AI44" activeCellId="0" sqref="AI44"/>
    </sheetView>
  </sheetViews>
  <sheetFormatPr defaultColWidth="11.453125" defaultRowHeight="12.75" zeroHeight="false" outlineLevelRow="0" outlineLevelCol="0"/>
  <cols>
    <col collapsed="false" customWidth="true" hidden="false" outlineLevel="0" max="1" min="1" style="39" width="2.36"/>
    <col collapsed="false" customWidth="true" hidden="false" outlineLevel="0" max="2" min="2" style="39" width="9.54"/>
    <col collapsed="false" customWidth="true" hidden="false" outlineLevel="0" max="3" min="3" style="39" width="7.63"/>
    <col collapsed="false" customWidth="true" hidden="false" outlineLevel="0" max="4" min="4" style="39" width="8.63"/>
    <col collapsed="false" customWidth="true" hidden="false" outlineLevel="0" max="5" min="5" style="39" width="9.91"/>
    <col collapsed="false" customWidth="true" hidden="false" outlineLevel="0" max="6" min="6" style="39" width="7.54"/>
    <col collapsed="false" customWidth="true" hidden="false" outlineLevel="0" max="7" min="7" style="39" width="7.63"/>
    <col collapsed="false" customWidth="true" hidden="false" outlineLevel="0" max="8" min="8" style="39" width="8.09"/>
    <col collapsed="false" customWidth="true" hidden="false" outlineLevel="0" max="9" min="9" style="39" width="7.63"/>
    <col collapsed="false" customWidth="true" hidden="false" outlineLevel="0" max="10" min="10" style="39" width="8.54"/>
    <col collapsed="false" customWidth="true" hidden="false" outlineLevel="0" max="11" min="11" style="39" width="7.63"/>
    <col collapsed="false" customWidth="true" hidden="false" outlineLevel="0" max="12" min="12" style="39" width="8.18"/>
    <col collapsed="false" customWidth="true" hidden="false" outlineLevel="0" max="14" min="13" style="39" width="7.63"/>
    <col collapsed="false" customWidth="true" hidden="false" outlineLevel="0" max="15" min="15" style="39" width="10.18"/>
    <col collapsed="false" customWidth="true" hidden="false" outlineLevel="0" max="26" min="16" style="39" width="7.63"/>
    <col collapsed="false" customWidth="true" hidden="false" outlineLevel="0" max="27" min="27" style="39" width="3.36"/>
    <col collapsed="false" customWidth="true" hidden="false" outlineLevel="0" max="28" min="28" style="39" width="12.54"/>
    <col collapsed="false" customWidth="true" hidden="false" outlineLevel="0" max="29" min="29" style="39" width="7.91"/>
    <col collapsed="false" customWidth="true" hidden="false" outlineLevel="0" max="30" min="30" style="39" width="5.63"/>
    <col collapsed="false" customWidth="true" hidden="false" outlineLevel="0" max="31" min="31" style="39" width="14.63"/>
    <col collapsed="false" customWidth="false" hidden="false" outlineLevel="0" max="16384" min="32" style="39" width="11.45"/>
  </cols>
  <sheetData>
    <row r="1" customFormat="false" ht="12.75" hidden="false" customHeight="false" outlineLevel="0" collapsed="false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35.25" hidden="false" customHeight="true" outlineLevel="0" collapsed="false">
      <c r="B2" s="64" t="s">
        <v>11</v>
      </c>
      <c r="C2" s="65" t="str">
        <f aca="false">'A. Estación'!C2:O2</f>
        <v>“MEJORAMIENTO Y AMPLIACIÓN DEL SERVICIO DE EDUCACIÓN PRIMARIA EN I.E. N° 0590 DISTRITO DE BARRANQUITA DE LA PROVINCIA DE LAMAS DEL DEPARTAMENTO DE SAN MARTÍN”, con C.I. N.° 468901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customFormat="false" ht="19.5" hidden="false" customHeight="true" outlineLevel="0" collapsed="false">
      <c r="B3" s="64" t="s">
        <v>13</v>
      </c>
      <c r="C3" s="66" t="str">
        <f aca="false">'A. Estación'!C3:O3</f>
        <v>GOBIERNO REGIONAL SAN MARTIN - GERENCIA TERRITORIAL BAJO MAYO - TARAPOTO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customFormat="false" ht="18" hidden="false" customHeight="true" outlineLevel="0" collapsed="false">
      <c r="B4" s="64" t="s">
        <v>15</v>
      </c>
      <c r="C4" s="66" t="str">
        <f aca="false">'A. Estación'!C4:O4</f>
        <v>SAN MARTIN - LAMAS - BARRANQUITA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customFormat="false" ht="17.25" hidden="false" customHeight="true" outlineLevel="0" collapsed="false">
      <c r="B5" s="64" t="s">
        <v>17</v>
      </c>
      <c r="C5" s="66" t="str">
        <f aca="false">'A. Estación'!C5:O5</f>
        <v>OCTUBRE 2026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="12" customFormat="true" ht="12.75" hidden="false" customHeight="false" outlineLevel="0" collapsed="false"/>
    <row r="7" s="12" customFormat="true" ht="19.5" hidden="false" customHeight="true" outlineLevel="0" collapsed="false">
      <c r="B7" s="67" t="s">
        <v>69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8"/>
      <c r="AB7" s="12" t="s">
        <v>70</v>
      </c>
      <c r="AE7" s="68"/>
      <c r="AF7" s="68"/>
      <c r="AG7" s="68"/>
      <c r="AH7" s="68"/>
      <c r="AI7" s="68"/>
    </row>
    <row r="8" s="12" customFormat="true" ht="15" hidden="false" customHeight="false" outlineLevel="0" collapsed="false"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8"/>
      <c r="AB8" s="12" t="s">
        <v>71</v>
      </c>
      <c r="AE8" s="68"/>
      <c r="AF8" s="68"/>
      <c r="AG8" s="68"/>
      <c r="AH8" s="68"/>
      <c r="AI8" s="68"/>
    </row>
    <row r="9" s="12" customFormat="true" ht="19.5" hidden="false" customHeight="true" outlineLevel="0" collapsed="false">
      <c r="B9" s="69"/>
      <c r="C9" s="69"/>
      <c r="D9" s="69"/>
      <c r="E9" s="69"/>
      <c r="F9" s="69" t="s">
        <v>72</v>
      </c>
      <c r="G9" s="69"/>
      <c r="H9" s="69"/>
      <c r="I9" s="69"/>
      <c r="J9" s="69"/>
      <c r="K9" s="69" t="s">
        <v>73</v>
      </c>
      <c r="L9" s="69"/>
      <c r="M9" s="69"/>
      <c r="N9" s="69"/>
      <c r="O9" s="70"/>
      <c r="P9" s="69" t="s">
        <v>74</v>
      </c>
      <c r="Q9" s="16"/>
      <c r="R9" s="71"/>
      <c r="S9" s="71"/>
      <c r="T9" s="71"/>
      <c r="U9" s="71"/>
      <c r="V9" s="69" t="s">
        <v>72</v>
      </c>
      <c r="W9" s="71"/>
      <c r="X9" s="71"/>
      <c r="Y9" s="70"/>
      <c r="Z9" s="70"/>
      <c r="AA9" s="72"/>
      <c r="AB9" s="73" t="s">
        <v>75</v>
      </c>
      <c r="AC9" s="73" t="s">
        <v>76</v>
      </c>
      <c r="AD9" s="73" t="s">
        <v>77</v>
      </c>
      <c r="AE9" s="68"/>
      <c r="AF9" s="68"/>
      <c r="AG9" s="68"/>
      <c r="AH9" s="68"/>
      <c r="AI9" s="68"/>
    </row>
    <row r="10" s="12" customFormat="true" ht="19.5" hidden="false" customHeight="true" outlineLevel="0" collapsed="false">
      <c r="B10" s="69"/>
      <c r="C10" s="74" t="s">
        <v>78</v>
      </c>
      <c r="D10" s="74"/>
      <c r="E10" s="74"/>
      <c r="F10" s="75" t="n">
        <f aca="false">+'B.Modelo Distribución'!C41</f>
        <v>25</v>
      </c>
      <c r="G10" s="69"/>
      <c r="H10" s="74" t="s">
        <v>78</v>
      </c>
      <c r="I10" s="74"/>
      <c r="J10" s="74"/>
      <c r="K10" s="75" t="n">
        <f aca="false">+'B.Modelo Distribución'!C41</f>
        <v>25</v>
      </c>
      <c r="L10" s="74" t="s">
        <v>78</v>
      </c>
      <c r="M10" s="74"/>
      <c r="N10" s="74"/>
      <c r="O10" s="74"/>
      <c r="P10" s="75" t="n">
        <f aca="false">K10</f>
        <v>25</v>
      </c>
      <c r="Q10" s="16"/>
      <c r="R10" s="74" t="s">
        <v>78</v>
      </c>
      <c r="S10" s="74"/>
      <c r="T10" s="74"/>
      <c r="U10" s="74"/>
      <c r="V10" s="75" t="n">
        <f aca="false">P10</f>
        <v>25</v>
      </c>
      <c r="W10" s="70"/>
      <c r="X10" s="70"/>
      <c r="Y10" s="16"/>
      <c r="Z10" s="16"/>
      <c r="AB10" s="76" t="n">
        <v>10</v>
      </c>
      <c r="AC10" s="76" t="n">
        <v>0.4952</v>
      </c>
      <c r="AD10" s="76" t="n">
        <v>0.9496</v>
      </c>
      <c r="AE10" s="68"/>
      <c r="AF10" s="68"/>
      <c r="AG10" s="68"/>
      <c r="AH10" s="68"/>
      <c r="AI10" s="68"/>
    </row>
    <row r="11" s="12" customFormat="true" ht="19.5" hidden="false" customHeight="true" outlineLevel="0" collapsed="false">
      <c r="B11" s="69"/>
      <c r="C11" s="74" t="s">
        <v>79</v>
      </c>
      <c r="D11" s="74"/>
      <c r="E11" s="74"/>
      <c r="F11" s="77" t="n">
        <f aca="false">AVERAGE(C22:C46)</f>
        <v>110.308</v>
      </c>
      <c r="G11" s="69"/>
      <c r="H11" s="74" t="s">
        <v>80</v>
      </c>
      <c r="I11" s="74"/>
      <c r="J11" s="74"/>
      <c r="K11" s="77" t="n">
        <f aca="false">AVERAGE(D22:D46)</f>
        <v>2.03086239739495</v>
      </c>
      <c r="L11" s="74" t="s">
        <v>79</v>
      </c>
      <c r="M11" s="74"/>
      <c r="N11" s="74"/>
      <c r="O11" s="74"/>
      <c r="P11" s="77" t="n">
        <f aca="false">AVERAGE(N22:N46)</f>
        <v>4.67623348216376</v>
      </c>
      <c r="Q11" s="16"/>
      <c r="R11" s="74" t="s">
        <v>79</v>
      </c>
      <c r="S11" s="74"/>
      <c r="T11" s="74"/>
      <c r="U11" s="74"/>
      <c r="V11" s="77" t="n">
        <f aca="false">F11</f>
        <v>110.308</v>
      </c>
      <c r="W11" s="70"/>
      <c r="X11" s="70"/>
      <c r="Y11" s="16"/>
      <c r="Z11" s="16"/>
      <c r="AB11" s="76" t="n">
        <v>15</v>
      </c>
      <c r="AC11" s="76" t="n">
        <v>0.5128</v>
      </c>
      <c r="AD11" s="76" t="n">
        <v>1.0206</v>
      </c>
      <c r="AE11" s="68"/>
      <c r="AF11" s="68"/>
      <c r="AG11" s="68"/>
      <c r="AH11" s="68"/>
      <c r="AI11" s="68"/>
    </row>
    <row r="12" s="12" customFormat="true" ht="19.5" hidden="false" customHeight="true" outlineLevel="0" collapsed="false">
      <c r="B12" s="69"/>
      <c r="C12" s="74" t="s">
        <v>81</v>
      </c>
      <c r="D12" s="74"/>
      <c r="E12" s="74"/>
      <c r="F12" s="77" t="n">
        <f aca="false">STDEV(C22:C46)</f>
        <v>27.5623674599988</v>
      </c>
      <c r="G12" s="69"/>
      <c r="H12" s="74" t="s">
        <v>81</v>
      </c>
      <c r="I12" s="74"/>
      <c r="J12" s="74"/>
      <c r="K12" s="77" t="n">
        <f aca="false">STDEV(D22:D46)</f>
        <v>0.100762366136958</v>
      </c>
      <c r="L12" s="74" t="s">
        <v>81</v>
      </c>
      <c r="M12" s="74"/>
      <c r="N12" s="74"/>
      <c r="O12" s="74"/>
      <c r="P12" s="77" t="n">
        <f aca="false">STDEV(N22:N46)</f>
        <v>0.232013922201767</v>
      </c>
      <c r="Q12" s="16"/>
      <c r="R12" s="74" t="s">
        <v>81</v>
      </c>
      <c r="S12" s="74"/>
      <c r="T12" s="74"/>
      <c r="U12" s="74"/>
      <c r="V12" s="77" t="n">
        <f aca="false">F12</f>
        <v>27.5623674599988</v>
      </c>
      <c r="W12" s="70"/>
      <c r="X12" s="70"/>
      <c r="Y12" s="16"/>
      <c r="Z12" s="16"/>
      <c r="AB12" s="76" t="n">
        <v>20</v>
      </c>
      <c r="AC12" s="76" t="n">
        <v>0.5236</v>
      </c>
      <c r="AD12" s="76" t="n">
        <v>1.0628</v>
      </c>
      <c r="AE12" s="68"/>
      <c r="AF12" s="68"/>
      <c r="AG12" s="68"/>
      <c r="AH12" s="68"/>
      <c r="AI12" s="68"/>
    </row>
    <row r="13" s="12" customFormat="true" ht="19.5" hidden="false" customHeight="true" outlineLevel="0" collapsed="false">
      <c r="B13" s="69"/>
      <c r="C13" s="78" t="s">
        <v>82</v>
      </c>
      <c r="D13" s="78"/>
      <c r="E13" s="78"/>
      <c r="F13" s="77" t="n">
        <f aca="false">SKEW(C22:C46)</f>
        <v>1.13170575002246</v>
      </c>
      <c r="G13" s="69"/>
      <c r="H13" s="79" t="s">
        <v>83</v>
      </c>
      <c r="I13" s="79"/>
      <c r="J13" s="79"/>
      <c r="K13" s="77" t="n">
        <f aca="false">SKEW(D22:D46)</f>
        <v>0.685811002924503</v>
      </c>
      <c r="L13" s="79" t="s">
        <v>82</v>
      </c>
      <c r="M13" s="79"/>
      <c r="N13" s="79"/>
      <c r="O13" s="79"/>
      <c r="P13" s="77" t="n">
        <f aca="false">SKEW(N22:N46)</f>
        <v>0.685811002924496</v>
      </c>
      <c r="Q13" s="16"/>
      <c r="R13" s="74" t="s">
        <v>82</v>
      </c>
      <c r="S13" s="74"/>
      <c r="T13" s="74"/>
      <c r="U13" s="74"/>
      <c r="V13" s="77" t="n">
        <f aca="false">F13</f>
        <v>1.13170575002246</v>
      </c>
      <c r="W13" s="70"/>
      <c r="X13" s="70"/>
      <c r="Y13" s="16"/>
      <c r="Z13" s="16"/>
      <c r="AB13" s="76" t="n">
        <v>25</v>
      </c>
      <c r="AC13" s="76" t="n">
        <v>0.5309</v>
      </c>
      <c r="AD13" s="76" t="n">
        <v>1.0914</v>
      </c>
      <c r="AE13" s="68"/>
      <c r="AF13" s="68"/>
      <c r="AG13" s="68"/>
      <c r="AH13" s="68"/>
      <c r="AI13" s="68"/>
    </row>
    <row r="14" s="12" customFormat="true" ht="19.5" hidden="false" customHeight="true" outlineLevel="0" collapsed="false">
      <c r="B14" s="69"/>
      <c r="C14" s="80" t="s">
        <v>84</v>
      </c>
      <c r="D14" s="80"/>
      <c r="E14" s="80"/>
      <c r="F14" s="77" t="n">
        <f aca="false">F13/6</f>
        <v>0.188617625003743</v>
      </c>
      <c r="G14" s="69"/>
      <c r="H14" s="69"/>
      <c r="I14" s="69"/>
      <c r="J14" s="81"/>
      <c r="K14" s="77"/>
      <c r="L14" s="69"/>
      <c r="M14" s="69"/>
      <c r="N14" s="69"/>
      <c r="O14" s="82" t="s">
        <v>84</v>
      </c>
      <c r="P14" s="77" t="n">
        <f aca="false">P13/6</f>
        <v>0.114301833820749</v>
      </c>
      <c r="Q14" s="16"/>
      <c r="R14" s="71"/>
      <c r="S14" s="71"/>
      <c r="T14" s="71"/>
      <c r="U14" s="70"/>
      <c r="V14" s="83"/>
      <c r="W14" s="70"/>
      <c r="X14" s="70"/>
      <c r="Y14" s="16"/>
      <c r="Z14" s="16"/>
      <c r="AB14" s="76" t="n">
        <v>30</v>
      </c>
      <c r="AC14" s="76" t="n">
        <v>0.5362</v>
      </c>
      <c r="AD14" s="76" t="n">
        <v>1.1124</v>
      </c>
      <c r="AE14" s="68"/>
      <c r="AF14" s="68"/>
      <c r="AG14" s="68"/>
      <c r="AH14" s="68"/>
      <c r="AI14" s="68"/>
    </row>
    <row r="15" s="12" customFormat="true" ht="19.5" hidden="false" customHeight="true" outlineLevel="0" collapsed="false">
      <c r="B15" s="69"/>
      <c r="C15" s="74" t="s">
        <v>85</v>
      </c>
      <c r="D15" s="74"/>
      <c r="E15" s="74"/>
      <c r="F15" s="77" t="n">
        <f aca="false">(2/F13)^2</f>
        <v>3.12315074185968</v>
      </c>
      <c r="G15" s="69"/>
      <c r="H15" s="69"/>
      <c r="I15" s="69"/>
      <c r="J15" s="69"/>
      <c r="K15" s="69"/>
      <c r="L15" s="69"/>
      <c r="M15" s="69"/>
      <c r="N15" s="69"/>
      <c r="O15" s="71" t="s">
        <v>85</v>
      </c>
      <c r="P15" s="77" t="n">
        <f aca="false">(2/P13)^2</f>
        <v>8.50454521225154</v>
      </c>
      <c r="Q15" s="16"/>
      <c r="R15" s="71"/>
      <c r="S15" s="71"/>
      <c r="T15" s="71"/>
      <c r="U15" s="70"/>
      <c r="V15" s="70"/>
      <c r="W15" s="70"/>
      <c r="X15" s="70"/>
      <c r="Y15" s="16"/>
      <c r="Z15" s="16"/>
      <c r="AB15" s="76" t="n">
        <v>90</v>
      </c>
      <c r="AC15" s="76" t="n">
        <v>0.5586</v>
      </c>
      <c r="AD15" s="76" t="n">
        <v>1.2007</v>
      </c>
      <c r="AE15" s="68"/>
      <c r="AF15" s="68"/>
      <c r="AG15" s="68"/>
      <c r="AH15" s="68"/>
      <c r="AI15" s="68"/>
    </row>
    <row r="16" s="12" customFormat="true" ht="19.5" hidden="false" customHeight="true" outlineLevel="0" collapsed="false">
      <c r="B16" s="69"/>
      <c r="C16" s="74" t="s">
        <v>86</v>
      </c>
      <c r="D16" s="74"/>
      <c r="E16" s="74"/>
      <c r="F16" s="77" t="n">
        <f aca="false">F12/SQRT(F15)</f>
        <v>15.5962448693563</v>
      </c>
      <c r="G16" s="69"/>
      <c r="H16" s="69"/>
      <c r="I16" s="69"/>
      <c r="J16" s="69"/>
      <c r="K16" s="69"/>
      <c r="L16" s="69"/>
      <c r="M16" s="69"/>
      <c r="N16" s="69"/>
      <c r="O16" s="71" t="s">
        <v>86</v>
      </c>
      <c r="P16" s="77" t="n">
        <f aca="false">P12/SQRT(P15)</f>
        <v>0.0795588503388199</v>
      </c>
      <c r="Q16" s="16"/>
      <c r="R16" s="71"/>
      <c r="S16" s="71"/>
      <c r="T16" s="71"/>
      <c r="U16" s="84" t="s">
        <v>87</v>
      </c>
      <c r="V16" s="85" t="n">
        <f aca="false">FORECAST(V10,$AC$13:$AC$14,$AB$13:$AB$14)</f>
        <v>0.5309</v>
      </c>
      <c r="W16" s="86" t="s">
        <v>88</v>
      </c>
      <c r="X16" s="70"/>
      <c r="Y16" s="16"/>
      <c r="Z16" s="16"/>
      <c r="AB16" s="87" t="n">
        <v>95</v>
      </c>
      <c r="AC16" s="87" t="n">
        <v>0.5593</v>
      </c>
      <c r="AD16" s="87" t="n">
        <v>1.2037</v>
      </c>
      <c r="AE16" s="68"/>
      <c r="AF16" s="68"/>
      <c r="AG16" s="68"/>
      <c r="AH16" s="68"/>
      <c r="AI16" s="68"/>
    </row>
    <row r="17" s="12" customFormat="true" ht="18.75" hidden="false" customHeight="true" outlineLevel="0" collapsed="false">
      <c r="B17" s="69"/>
      <c r="C17" s="74" t="s">
        <v>89</v>
      </c>
      <c r="D17" s="74"/>
      <c r="E17" s="74"/>
      <c r="F17" s="77" t="n">
        <f aca="false">F11-F16*F15</f>
        <v>61.5985762660447</v>
      </c>
      <c r="G17" s="69"/>
      <c r="H17" s="69"/>
      <c r="I17" s="69"/>
      <c r="J17" s="69"/>
      <c r="K17" s="69"/>
      <c r="L17" s="69"/>
      <c r="M17" s="69"/>
      <c r="N17" s="69"/>
      <c r="O17" s="71" t="s">
        <v>89</v>
      </c>
      <c r="P17" s="77" t="n">
        <f aca="false">P11-P16*P15</f>
        <v>3.99962164242251</v>
      </c>
      <c r="Q17" s="16"/>
      <c r="R17" s="71"/>
      <c r="S17" s="71"/>
      <c r="T17" s="71"/>
      <c r="U17" s="84" t="s">
        <v>90</v>
      </c>
      <c r="V17" s="85" t="n">
        <f aca="false">FORECAST(V10,$AD$13:$AD$14,$AB$13:$AB$14)</f>
        <v>1.0914</v>
      </c>
      <c r="W17" s="70"/>
      <c r="X17" s="70"/>
      <c r="Y17" s="16"/>
      <c r="Z17" s="16"/>
      <c r="AB17" s="88" t="s">
        <v>91</v>
      </c>
      <c r="AC17" s="68"/>
      <c r="AD17" s="68"/>
      <c r="AE17" s="68"/>
      <c r="AF17" s="68"/>
      <c r="AG17" s="68"/>
      <c r="AH17" s="68"/>
      <c r="AI17" s="68"/>
    </row>
    <row r="18" s="12" customFormat="true" ht="16.5" hidden="true" customHeight="true" outlineLevel="0" collapsed="false">
      <c r="B18" s="69"/>
      <c r="C18" s="69"/>
      <c r="D18" s="69"/>
      <c r="E18" s="71"/>
      <c r="F18" s="77"/>
      <c r="G18" s="69"/>
      <c r="H18" s="69"/>
      <c r="I18" s="69"/>
      <c r="J18" s="69"/>
      <c r="K18" s="69"/>
      <c r="L18" s="69"/>
      <c r="M18" s="69"/>
      <c r="N18" s="69"/>
      <c r="O18" s="71"/>
      <c r="P18" s="71"/>
      <c r="Q18" s="16"/>
      <c r="R18" s="71"/>
      <c r="S18" s="71"/>
      <c r="T18" s="71"/>
      <c r="U18" s="81"/>
      <c r="V18" s="83"/>
      <c r="W18" s="71"/>
      <c r="X18" s="71"/>
      <c r="Y18" s="84"/>
      <c r="Z18" s="70"/>
      <c r="AA18" s="72"/>
      <c r="AB18" s="68"/>
      <c r="AC18" s="68"/>
      <c r="AD18" s="68"/>
      <c r="AE18" s="68"/>
      <c r="AF18" s="68"/>
      <c r="AG18" s="68"/>
      <c r="AH18" s="68"/>
      <c r="AI18" s="68"/>
    </row>
    <row r="19" s="12" customFormat="true" ht="6" hidden="false" customHeight="true" outlineLevel="0" collapsed="false"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68"/>
      <c r="AB19" s="68"/>
      <c r="AC19" s="68"/>
      <c r="AD19" s="68"/>
      <c r="AE19" s="68"/>
      <c r="AF19" s="68"/>
      <c r="AG19" s="68"/>
      <c r="AH19" s="68"/>
      <c r="AI19" s="68"/>
    </row>
    <row r="20" s="12" customFormat="true" ht="19.5" hidden="false" customHeight="true" outlineLevel="0" collapsed="false">
      <c r="B20" s="89" t="s">
        <v>92</v>
      </c>
      <c r="C20" s="89" t="s">
        <v>93</v>
      </c>
      <c r="D20" s="89" t="s">
        <v>94</v>
      </c>
      <c r="E20" s="89" t="s">
        <v>95</v>
      </c>
      <c r="F20" s="89" t="s">
        <v>96</v>
      </c>
      <c r="G20" s="89"/>
      <c r="H20" s="89"/>
      <c r="I20" s="89"/>
      <c r="J20" s="89" t="s">
        <v>97</v>
      </c>
      <c r="K20" s="89"/>
      <c r="L20" s="89"/>
      <c r="M20" s="89"/>
      <c r="N20" s="90" t="s">
        <v>98</v>
      </c>
      <c r="O20" s="90"/>
      <c r="P20" s="90"/>
      <c r="Q20" s="90"/>
      <c r="R20" s="90"/>
      <c r="S20" s="90"/>
      <c r="T20" s="90"/>
      <c r="U20" s="90"/>
      <c r="V20" s="89" t="s">
        <v>99</v>
      </c>
      <c r="W20" s="89"/>
      <c r="X20" s="89"/>
      <c r="Y20" s="89"/>
      <c r="Z20" s="89"/>
      <c r="AA20" s="68"/>
      <c r="AB20" s="68"/>
      <c r="AC20" s="68"/>
      <c r="AD20" s="68"/>
      <c r="AE20" s="68"/>
      <c r="AF20" s="68"/>
      <c r="AG20" s="68"/>
      <c r="AH20" s="68"/>
      <c r="AI20" s="68"/>
    </row>
    <row r="21" s="12" customFormat="true" ht="19.5" hidden="false" customHeight="true" outlineLevel="0" collapsed="false">
      <c r="B21" s="89"/>
      <c r="C21" s="89"/>
      <c r="D21" s="89" t="s">
        <v>94</v>
      </c>
      <c r="E21" s="89"/>
      <c r="F21" s="89" t="s">
        <v>57</v>
      </c>
      <c r="G21" s="89" t="s">
        <v>100</v>
      </c>
      <c r="H21" s="89" t="s">
        <v>101</v>
      </c>
      <c r="I21" s="89" t="s">
        <v>102</v>
      </c>
      <c r="J21" s="89" t="s">
        <v>57</v>
      </c>
      <c r="K21" s="89" t="s">
        <v>100</v>
      </c>
      <c r="L21" s="89" t="s">
        <v>101</v>
      </c>
      <c r="M21" s="89" t="s">
        <v>102</v>
      </c>
      <c r="N21" s="89" t="s">
        <v>103</v>
      </c>
      <c r="O21" s="89" t="s">
        <v>104</v>
      </c>
      <c r="P21" s="89" t="s">
        <v>105</v>
      </c>
      <c r="Q21" s="89" t="s">
        <v>106</v>
      </c>
      <c r="R21" s="89" t="s">
        <v>107</v>
      </c>
      <c r="S21" s="89" t="s">
        <v>108</v>
      </c>
      <c r="T21" s="89" t="s">
        <v>109</v>
      </c>
      <c r="U21" s="89" t="s">
        <v>102</v>
      </c>
      <c r="V21" s="89" t="s">
        <v>93</v>
      </c>
      <c r="W21" s="89" t="s">
        <v>110</v>
      </c>
      <c r="X21" s="89" t="s">
        <v>111</v>
      </c>
      <c r="Y21" s="89" t="s">
        <v>101</v>
      </c>
      <c r="Z21" s="89" t="s">
        <v>102</v>
      </c>
      <c r="AA21" s="68"/>
      <c r="AB21" s="68"/>
      <c r="AC21" s="68"/>
      <c r="AD21" s="68"/>
      <c r="AE21" s="68"/>
      <c r="AF21" s="68"/>
      <c r="AG21" s="68"/>
      <c r="AH21" s="68"/>
      <c r="AI21" s="68"/>
    </row>
    <row r="22" s="12" customFormat="true" ht="19.5" hidden="false" customHeight="true" outlineLevel="0" collapsed="false">
      <c r="B22" s="91" t="n">
        <v>1</v>
      </c>
      <c r="C22" s="92" t="n">
        <f aca="false">LARGE('A. Estación'!$O$18:$O$42,B22)</f>
        <v>179.9</v>
      </c>
      <c r="D22" s="92" t="n">
        <f aca="false">LOG(C22)</f>
        <v>2.25503116334555</v>
      </c>
      <c r="E22" s="93" t="n">
        <f aca="false">B22/(F$10+1)</f>
        <v>0.0384615384615385</v>
      </c>
      <c r="F22" s="92" t="n">
        <f aca="false">(C22-F$11)/F$12</f>
        <v>2.52489196006108</v>
      </c>
      <c r="G22" s="94" t="n">
        <f aca="false">NORMSDIST(F22)</f>
        <v>0.994213306828823</v>
      </c>
      <c r="H22" s="94" t="n">
        <f aca="false">1-G22</f>
        <v>0.00578669317117719</v>
      </c>
      <c r="I22" s="94" t="n">
        <f aca="false">ABS(H22-E22)</f>
        <v>0.0326748452903613</v>
      </c>
      <c r="J22" s="92" t="n">
        <f aca="false">(D22-K$11)/K$12</f>
        <v>2.2247270935054</v>
      </c>
      <c r="K22" s="94" t="n">
        <f aca="false">NORMSDIST(J22)</f>
        <v>0.986950217851616</v>
      </c>
      <c r="L22" s="93" t="n">
        <f aca="false">1-K22</f>
        <v>0.0130497821483844</v>
      </c>
      <c r="M22" s="94" t="n">
        <f aca="false">ABS(L22-E22)</f>
        <v>0.0254117563131541</v>
      </c>
      <c r="N22" s="92" t="n">
        <f aca="false">LN(C22)</f>
        <v>5.19240114095649</v>
      </c>
      <c r="O22" s="92" t="n">
        <f aca="false">(N22-$P$17)/$P$16</f>
        <v>14.9924174803211</v>
      </c>
      <c r="P22" s="92" t="n">
        <f aca="false">2*O22</f>
        <v>29.9848349606422</v>
      </c>
      <c r="Q22" s="92" t="n">
        <f aca="false">2*$P$15</f>
        <v>17.0090904245031</v>
      </c>
      <c r="R22" s="93" t="n">
        <f aca="false">CHIDIST(P22,Q22)</f>
        <v>0.0264546529272591</v>
      </c>
      <c r="S22" s="94" t="n">
        <f aca="false">R22</f>
        <v>0.0264546529272591</v>
      </c>
      <c r="T22" s="93" t="n">
        <f aca="false">(B22/($P$10+1))</f>
        <v>0.0384615384615385</v>
      </c>
      <c r="U22" s="93" t="n">
        <f aca="false">ABS(T22-S22)</f>
        <v>0.0120068855342793</v>
      </c>
      <c r="V22" s="92" t="n">
        <f aca="false">C22</f>
        <v>179.9</v>
      </c>
      <c r="W22" s="92" t="n">
        <f aca="false">(C22-V$11)/V$12</f>
        <v>2.52489196006108</v>
      </c>
      <c r="X22" s="92" t="n">
        <f aca="false">W22*V$17+V$16</f>
        <v>3.28656708521066</v>
      </c>
      <c r="Y22" s="93" t="n">
        <f aca="false">1-EXP(-EXP(-X22))</f>
        <v>0.0366918786109359</v>
      </c>
      <c r="Z22" s="93" t="n">
        <f aca="false">ABS(Y22-E22)</f>
        <v>0.00176965985060254</v>
      </c>
      <c r="AA22" s="68"/>
      <c r="AB22" s="68"/>
      <c r="AC22" s="68"/>
      <c r="AD22" s="68"/>
      <c r="AE22" s="68"/>
      <c r="AF22" s="68"/>
      <c r="AG22" s="68"/>
      <c r="AH22" s="68"/>
      <c r="AI22" s="68"/>
    </row>
    <row r="23" s="12" customFormat="true" ht="19.5" hidden="false" customHeight="true" outlineLevel="0" collapsed="false">
      <c r="B23" s="91" t="n">
        <f aca="false">+B22+1</f>
        <v>2</v>
      </c>
      <c r="C23" s="92" t="n">
        <f aca="false">LARGE('A. Estación'!$O$18:$O$42,B23)</f>
        <v>171.8</v>
      </c>
      <c r="D23" s="92" t="n">
        <f aca="false">LOG(C23)</f>
        <v>2.23502315949522</v>
      </c>
      <c r="E23" s="93" t="n">
        <f aca="false">B23/(F$10+1)</f>
        <v>0.0769230769230769</v>
      </c>
      <c r="F23" s="92" t="n">
        <f aca="false">(C23-F$11)/F$12</f>
        <v>2.23101299586268</v>
      </c>
      <c r="G23" s="94" t="n">
        <f aca="false">NORMSDIST(F23)</f>
        <v>0.987159865909052</v>
      </c>
      <c r="H23" s="94" t="n">
        <f aca="false">1-G23</f>
        <v>0.0128401340909485</v>
      </c>
      <c r="I23" s="94" t="n">
        <f aca="false">ABS(H23-E23)</f>
        <v>0.0640829428321284</v>
      </c>
      <c r="J23" s="92" t="n">
        <f aca="false">(D23-K$11)/K$12</f>
        <v>2.02616085675058</v>
      </c>
      <c r="K23" s="94" t="n">
        <f aca="false">NORMSDIST(J23)</f>
        <v>0.9786258482911</v>
      </c>
      <c r="L23" s="93" t="n">
        <f aca="false">1-K23</f>
        <v>0.0213741517088999</v>
      </c>
      <c r="M23" s="94" t="n">
        <f aca="false">ABS(L23-E23)</f>
        <v>0.055548925214177</v>
      </c>
      <c r="N23" s="92" t="n">
        <f aca="false">LN(C23)</f>
        <v>5.14633100955016</v>
      </c>
      <c r="O23" s="92" t="n">
        <f aca="false">(N23-$P$17)/$P$16</f>
        <v>14.4133476318991</v>
      </c>
      <c r="P23" s="92" t="n">
        <f aca="false">2*O23</f>
        <v>28.8266952637981</v>
      </c>
      <c r="Q23" s="92" t="n">
        <f aca="false">2*$P$15</f>
        <v>17.0090904245031</v>
      </c>
      <c r="R23" s="93" t="n">
        <f aca="false">CHIDIST(P23,Q23)</f>
        <v>0.0361579375673366</v>
      </c>
      <c r="S23" s="94" t="n">
        <f aca="false">R23</f>
        <v>0.0361579375673366</v>
      </c>
      <c r="T23" s="93" t="n">
        <f aca="false">(B23/($P$10+1))</f>
        <v>0.0769230769230769</v>
      </c>
      <c r="U23" s="93" t="n">
        <f aca="false">ABS(T23-S23)</f>
        <v>0.0407651393557403</v>
      </c>
      <c r="V23" s="92" t="n">
        <f aca="false">C23</f>
        <v>171.8</v>
      </c>
      <c r="W23" s="92" t="n">
        <f aca="false">(C23-V$11)/V$12</f>
        <v>2.23101299586268</v>
      </c>
      <c r="X23" s="92" t="n">
        <f aca="false">W23*V$17+V$16</f>
        <v>2.96582758368453</v>
      </c>
      <c r="Y23" s="93" t="n">
        <f aca="false">1-EXP(-EXP(-X23))</f>
        <v>0.0502132718680118</v>
      </c>
      <c r="Z23" s="93" t="n">
        <f aca="false">ABS(Y23-E23)</f>
        <v>0.0267098050550651</v>
      </c>
      <c r="AA23" s="68"/>
      <c r="AB23" s="68"/>
      <c r="AC23" s="68"/>
      <c r="AD23" s="68"/>
      <c r="AE23" s="68"/>
      <c r="AF23" s="68"/>
      <c r="AG23" s="68"/>
      <c r="AH23" s="68"/>
      <c r="AI23" s="68"/>
    </row>
    <row r="24" s="12" customFormat="true" ht="19.5" hidden="false" customHeight="true" outlineLevel="0" collapsed="false">
      <c r="B24" s="91" t="n">
        <f aca="false">+B23+1</f>
        <v>3</v>
      </c>
      <c r="C24" s="92" t="n">
        <f aca="false">LARGE('A. Estación'!$O$18:$O$42,B24)</f>
        <v>146</v>
      </c>
      <c r="D24" s="92" t="n">
        <f aca="false">LOG(C24)</f>
        <v>2.16435285578444</v>
      </c>
      <c r="E24" s="93" t="n">
        <f aca="false">B24/(F$10+1)</f>
        <v>0.115384615384615</v>
      </c>
      <c r="F24" s="92" t="n">
        <f aca="false">(C24-F$11)/F$12</f>
        <v>1.29495407286039</v>
      </c>
      <c r="G24" s="94" t="n">
        <f aca="false">NORMSDIST(F24)</f>
        <v>0.902331963328244</v>
      </c>
      <c r="H24" s="94" t="n">
        <f aca="false">1-G24</f>
        <v>0.0976680366717556</v>
      </c>
      <c r="I24" s="94" t="n">
        <f aca="false">ABS(H24-E24)</f>
        <v>0.0177165787128598</v>
      </c>
      <c r="J24" s="92" t="n">
        <f aca="false">(D24-K$11)/K$12</f>
        <v>1.32480472131872</v>
      </c>
      <c r="K24" s="94" t="n">
        <f aca="false">NORMSDIST(J24)</f>
        <v>0.907382035759418</v>
      </c>
      <c r="L24" s="93" t="n">
        <f aca="false">1-K24</f>
        <v>0.092617964240582</v>
      </c>
      <c r="M24" s="94" t="n">
        <f aca="false">ABS(L24-E24)</f>
        <v>0.0227666511440334</v>
      </c>
      <c r="N24" s="92" t="n">
        <f aca="false">LN(C24)</f>
        <v>4.98360662170834</v>
      </c>
      <c r="O24" s="92" t="n">
        <f aca="false">(N24-$P$17)/$P$16</f>
        <v>12.3680140562023</v>
      </c>
      <c r="P24" s="92" t="n">
        <f aca="false">2*O24</f>
        <v>24.7360281124047</v>
      </c>
      <c r="Q24" s="92" t="n">
        <f aca="false">2*$P$15</f>
        <v>17.0090904245031</v>
      </c>
      <c r="R24" s="93" t="n">
        <f aca="false">CHIDIST(P24,Q24)</f>
        <v>0.100776003725715</v>
      </c>
      <c r="S24" s="94" t="n">
        <f aca="false">R24</f>
        <v>0.100776003725715</v>
      </c>
      <c r="T24" s="93" t="n">
        <f aca="false">(B24/($P$10+1))</f>
        <v>0.115384615384615</v>
      </c>
      <c r="U24" s="93" t="n">
        <f aca="false">ABS(T24-S24)</f>
        <v>0.0146086116589007</v>
      </c>
      <c r="V24" s="92" t="n">
        <f aca="false">C24</f>
        <v>146</v>
      </c>
      <c r="W24" s="92" t="n">
        <f aca="false">(C24-V$11)/V$12</f>
        <v>1.29495407286039</v>
      </c>
      <c r="X24" s="92" t="n">
        <f aca="false">W24*V$17+V$16</f>
        <v>1.94421287511983</v>
      </c>
      <c r="Y24" s="93" t="n">
        <f aca="false">1-EXP(-EXP(-X24))</f>
        <v>0.133332443097262</v>
      </c>
      <c r="Z24" s="93" t="n">
        <f aca="false">ABS(Y24-E24)</f>
        <v>0.0179478277126469</v>
      </c>
      <c r="AA24" s="68"/>
      <c r="AB24" s="68"/>
      <c r="AC24" s="68"/>
      <c r="AD24" s="68"/>
      <c r="AE24" s="68"/>
      <c r="AF24" s="68"/>
      <c r="AG24" s="68"/>
      <c r="AH24" s="68"/>
      <c r="AI24" s="68"/>
    </row>
    <row r="25" s="12" customFormat="true" ht="19.5" hidden="false" customHeight="true" outlineLevel="0" collapsed="false">
      <c r="B25" s="91" t="n">
        <f aca="false">+B24+1</f>
        <v>4</v>
      </c>
      <c r="C25" s="92" t="n">
        <f aca="false">LARGE('A. Estación'!$O$18:$O$42,B25)</f>
        <v>141.9</v>
      </c>
      <c r="D25" s="92" t="n">
        <f aca="false">LOG(C25)</f>
        <v>2.15198239545747</v>
      </c>
      <c r="E25" s="93" t="n">
        <f aca="false">B25/(F$10+1)</f>
        <v>0.153846153846154</v>
      </c>
      <c r="F25" s="92" t="n">
        <f aca="false">(C25-F$11)/F$12</f>
        <v>1.14620052308095</v>
      </c>
      <c r="G25" s="94" t="n">
        <f aca="false">NORMSDIST(F25)</f>
        <v>0.874143904241246</v>
      </c>
      <c r="H25" s="94" t="n">
        <f aca="false">1-G25</f>
        <v>0.125856095758754</v>
      </c>
      <c r="I25" s="94" t="n">
        <f aca="false">ABS(H25-E25)</f>
        <v>0.0279900580874003</v>
      </c>
      <c r="J25" s="92" t="n">
        <f aca="false">(D25-K$11)/K$12</f>
        <v>1.20203606471384</v>
      </c>
      <c r="K25" s="94" t="n">
        <f aca="false">NORMSDIST(J25)</f>
        <v>0.885325222267311</v>
      </c>
      <c r="L25" s="93" t="n">
        <f aca="false">1-K25</f>
        <v>0.114674777732689</v>
      </c>
      <c r="M25" s="94" t="n">
        <f aca="false">ABS(L25-E25)</f>
        <v>0.0391713761134652</v>
      </c>
      <c r="N25" s="92" t="n">
        <f aca="false">LN(C25)</f>
        <v>4.955122584166</v>
      </c>
      <c r="O25" s="92" t="n">
        <f aca="false">(N25-$P$17)/$P$16</f>
        <v>12.0099893057059</v>
      </c>
      <c r="P25" s="92" t="n">
        <f aca="false">2*O25</f>
        <v>24.0199786114118</v>
      </c>
      <c r="Q25" s="92" t="n">
        <f aca="false">2*$P$15</f>
        <v>17.0090904245031</v>
      </c>
      <c r="R25" s="93" t="n">
        <f aca="false">CHIDIST(P25,Q25)</f>
        <v>0.118893151655689</v>
      </c>
      <c r="S25" s="94" t="n">
        <f aca="false">R25</f>
        <v>0.118893151655689</v>
      </c>
      <c r="T25" s="93" t="n">
        <f aca="false">(B25/($P$10+1))</f>
        <v>0.153846153846154</v>
      </c>
      <c r="U25" s="93" t="n">
        <f aca="false">ABS(T25-S25)</f>
        <v>0.0349530021904645</v>
      </c>
      <c r="V25" s="92" t="n">
        <f aca="false">C25</f>
        <v>141.9</v>
      </c>
      <c r="W25" s="92" t="n">
        <f aca="false">(C25-V$11)/V$12</f>
        <v>1.14620052308095</v>
      </c>
      <c r="X25" s="92" t="n">
        <f aca="false">W25*V$17+V$16</f>
        <v>1.78186325089055</v>
      </c>
      <c r="Y25" s="93" t="n">
        <f aca="false">1-EXP(-EXP(-X25))</f>
        <v>0.154920205430086</v>
      </c>
      <c r="Z25" s="93" t="n">
        <f aca="false">ABS(Y25-E25)</f>
        <v>0.00107405158393203</v>
      </c>
      <c r="AA25" s="68"/>
      <c r="AB25" s="68"/>
      <c r="AC25" s="68"/>
      <c r="AD25" s="68"/>
      <c r="AE25" s="68"/>
      <c r="AF25" s="68"/>
      <c r="AG25" s="68"/>
      <c r="AH25" s="68"/>
      <c r="AI25" s="68"/>
    </row>
    <row r="26" s="12" customFormat="true" ht="19.5" hidden="false" customHeight="true" outlineLevel="0" collapsed="false">
      <c r="B26" s="91" t="n">
        <f aca="false">+B25+1</f>
        <v>5</v>
      </c>
      <c r="C26" s="92" t="n">
        <f aca="false">LARGE('A. Estación'!$O$18:$O$42,B26)</f>
        <v>138.5</v>
      </c>
      <c r="D26" s="92" t="n">
        <f aca="false">LOG(C26)</f>
        <v>2.14144977340047</v>
      </c>
      <c r="E26" s="93" t="n">
        <f aca="false">B26/(F$10+1)</f>
        <v>0.192307692307692</v>
      </c>
      <c r="F26" s="92" t="n">
        <f aca="false">(C26-F$11)/F$12</f>
        <v>1.02284392082483</v>
      </c>
      <c r="G26" s="94" t="n">
        <f aca="false">NORMSDIST(F26)</f>
        <v>0.846809176034846</v>
      </c>
      <c r="H26" s="94" t="n">
        <f aca="false">1-G26</f>
        <v>0.153190823965154</v>
      </c>
      <c r="I26" s="94" t="n">
        <f aca="false">ABS(H26-E26)</f>
        <v>0.0391168683425381</v>
      </c>
      <c r="J26" s="92" t="n">
        <f aca="false">(D26-K$11)/K$12</f>
        <v>1.09750674031617</v>
      </c>
      <c r="K26" s="94" t="n">
        <f aca="false">NORMSDIST(J26)</f>
        <v>0.86379003205188</v>
      </c>
      <c r="L26" s="93" t="n">
        <f aca="false">1-K26</f>
        <v>0.13620996794812</v>
      </c>
      <c r="M26" s="94" t="n">
        <f aca="false">ABS(L26-E26)</f>
        <v>0.0560977243595721</v>
      </c>
      <c r="N26" s="92" t="n">
        <f aca="false">LN(C26)</f>
        <v>4.93087032562739</v>
      </c>
      <c r="O26" s="92" t="n">
        <f aca="false">(N26-$P$17)/$P$16</f>
        <v>11.7051551051698</v>
      </c>
      <c r="P26" s="92" t="n">
        <f aca="false">2*O26</f>
        <v>23.4103102103396</v>
      </c>
      <c r="Q26" s="92" t="n">
        <f aca="false">2*$P$15</f>
        <v>17.0090904245031</v>
      </c>
      <c r="R26" s="93" t="n">
        <f aca="false">CHIDIST(P26,Q26)</f>
        <v>0.136363319676992</v>
      </c>
      <c r="S26" s="94" t="n">
        <f aca="false">R26</f>
        <v>0.136363319676992</v>
      </c>
      <c r="T26" s="93" t="n">
        <f aca="false">(B26/($P$10+1))</f>
        <v>0.192307692307692</v>
      </c>
      <c r="U26" s="93" t="n">
        <f aca="false">ABS(T26-S26)</f>
        <v>0.0559443726307001</v>
      </c>
      <c r="V26" s="92" t="n">
        <f aca="false">C26</f>
        <v>138.5</v>
      </c>
      <c r="W26" s="92" t="n">
        <f aca="false">(C26-V$11)/V$12</f>
        <v>1.02284392082483</v>
      </c>
      <c r="X26" s="92" t="n">
        <f aca="false">W26*V$17+V$16</f>
        <v>1.64723185518822</v>
      </c>
      <c r="Y26" s="93" t="n">
        <f aca="false">1-EXP(-EXP(-X26))</f>
        <v>0.175173540636769</v>
      </c>
      <c r="Z26" s="93" t="n">
        <f aca="false">ABS(Y26-E26)</f>
        <v>0.0171341516709235</v>
      </c>
      <c r="AA26" s="68"/>
      <c r="AB26" s="68"/>
      <c r="AC26" s="68"/>
      <c r="AD26" s="68"/>
      <c r="AE26" s="68"/>
      <c r="AF26" s="68"/>
      <c r="AG26" s="68"/>
      <c r="AH26" s="68"/>
      <c r="AI26" s="68"/>
    </row>
    <row r="27" s="12" customFormat="true" ht="19.5" hidden="false" customHeight="true" outlineLevel="0" collapsed="false">
      <c r="B27" s="91" t="n">
        <f aca="false">+B26+1</f>
        <v>6</v>
      </c>
      <c r="C27" s="92" t="n">
        <f aca="false">LARGE('A. Estación'!$O$18:$O$42,B27)</f>
        <v>128</v>
      </c>
      <c r="D27" s="92" t="n">
        <f aca="false">LOG(C27)</f>
        <v>2.10720996964787</v>
      </c>
      <c r="E27" s="93" t="n">
        <f aca="false">B27/(F$10+1)</f>
        <v>0.230769230769231</v>
      </c>
      <c r="F27" s="92" t="n">
        <f aca="false">(C27-F$11)/F$12</f>
        <v>0.641889707975063</v>
      </c>
      <c r="G27" s="94" t="n">
        <f aca="false">NORMSDIST(F27)</f>
        <v>0.739527601389651</v>
      </c>
      <c r="H27" s="94" t="n">
        <f aca="false">1-G27</f>
        <v>0.260472398610349</v>
      </c>
      <c r="I27" s="94" t="n">
        <f aca="false">ABS(H27-E27)</f>
        <v>0.0297031678411179</v>
      </c>
      <c r="J27" s="92" t="n">
        <f aca="false">(D27-K$11)/K$12</f>
        <v>0.757699279800013</v>
      </c>
      <c r="K27" s="94" t="n">
        <f aca="false">NORMSDIST(J27)</f>
        <v>0.775684484868475</v>
      </c>
      <c r="L27" s="93" t="n">
        <f aca="false">1-K27</f>
        <v>0.224315515131525</v>
      </c>
      <c r="M27" s="94" t="n">
        <f aca="false">ABS(L27-E27)</f>
        <v>0.00645371563770575</v>
      </c>
      <c r="N27" s="92" t="n">
        <f aca="false">LN(C27)</f>
        <v>4.85203026391962</v>
      </c>
      <c r="O27" s="92" t="n">
        <f aca="false">(N27-$P$17)/$P$16</f>
        <v>10.7141897836246</v>
      </c>
      <c r="P27" s="92" t="n">
        <f aca="false">2*O27</f>
        <v>21.4283795672492</v>
      </c>
      <c r="Q27" s="92" t="n">
        <f aca="false">2*$P$15</f>
        <v>17.0090904245031</v>
      </c>
      <c r="R27" s="93" t="n">
        <f aca="false">CHIDIST(P27,Q27)</f>
        <v>0.207712623620147</v>
      </c>
      <c r="S27" s="94" t="n">
        <f aca="false">R27</f>
        <v>0.207712623620147</v>
      </c>
      <c r="T27" s="93" t="n">
        <f aca="false">(B27/($P$10+1))</f>
        <v>0.230769230769231</v>
      </c>
      <c r="U27" s="93" t="n">
        <f aca="false">ABS(T27-S27)</f>
        <v>0.0230566071490838</v>
      </c>
      <c r="V27" s="92" t="n">
        <f aca="false">C27</f>
        <v>128</v>
      </c>
      <c r="W27" s="92" t="n">
        <f aca="false">(C27-V$11)/V$12</f>
        <v>0.641889707975063</v>
      </c>
      <c r="X27" s="92" t="n">
        <f aca="false">W27*V$17+V$16</f>
        <v>1.23145842728398</v>
      </c>
      <c r="Y27" s="93" t="n">
        <f aca="false">1-EXP(-EXP(-X27))</f>
        <v>0.253131839141882</v>
      </c>
      <c r="Z27" s="93" t="n">
        <f aca="false">ABS(Y27-E27)</f>
        <v>0.0223626083726508</v>
      </c>
      <c r="AA27" s="68"/>
      <c r="AB27" s="68"/>
      <c r="AC27" s="68"/>
      <c r="AD27" s="68"/>
      <c r="AE27" s="68"/>
      <c r="AF27" s="68"/>
      <c r="AG27" s="68"/>
      <c r="AH27" s="68"/>
      <c r="AI27" s="68"/>
    </row>
    <row r="28" s="12" customFormat="true" ht="19.5" hidden="false" customHeight="true" outlineLevel="0" collapsed="false">
      <c r="B28" s="91" t="n">
        <f aca="false">+B27+1</f>
        <v>7</v>
      </c>
      <c r="C28" s="92" t="n">
        <f aca="false">LARGE('A. Estación'!$O$18:$O$42,B28)</f>
        <v>123</v>
      </c>
      <c r="D28" s="92" t="n">
        <f aca="false">LOG(C28)</f>
        <v>2.0899051114394</v>
      </c>
      <c r="E28" s="93" t="n">
        <f aca="false">B28/(F$10+1)</f>
        <v>0.269230769230769</v>
      </c>
      <c r="F28" s="92" t="n">
        <f aca="false">(C28-F$11)/F$12</f>
        <v>0.460482939951362</v>
      </c>
      <c r="G28" s="94" t="n">
        <f aca="false">NORMSDIST(F28)</f>
        <v>0.67741519295204</v>
      </c>
      <c r="H28" s="94" t="n">
        <f aca="false">1-G28</f>
        <v>0.32258480704796</v>
      </c>
      <c r="I28" s="94" t="n">
        <f aca="false">ABS(H28-E28)</f>
        <v>0.0533540378171912</v>
      </c>
      <c r="J28" s="92" t="n">
        <f aca="false">(D28-K$11)/K$12</f>
        <v>0.585959979980979</v>
      </c>
      <c r="K28" s="94" t="n">
        <f aca="false">NORMSDIST(J28)</f>
        <v>0.721048795592746</v>
      </c>
      <c r="L28" s="93" t="n">
        <f aca="false">1-K28</f>
        <v>0.278951204407254</v>
      </c>
      <c r="M28" s="94" t="n">
        <f aca="false">ABS(L28-E28)</f>
        <v>0.00972043517648474</v>
      </c>
      <c r="N28" s="92" t="n">
        <f aca="false">LN(C28)</f>
        <v>4.81218435537242</v>
      </c>
      <c r="O28" s="92" t="n">
        <f aca="false">(N28-$P$17)/$P$16</f>
        <v>10.2133541333166</v>
      </c>
      <c r="P28" s="92" t="n">
        <f aca="false">2*O28</f>
        <v>20.4267082666332</v>
      </c>
      <c r="Q28" s="92" t="n">
        <f aca="false">2*$P$15</f>
        <v>17.0090904245031</v>
      </c>
      <c r="R28" s="93" t="n">
        <f aca="false">CHIDIST(P28,Q28)</f>
        <v>0.252987525449857</v>
      </c>
      <c r="S28" s="94" t="n">
        <f aca="false">R28</f>
        <v>0.252987525449857</v>
      </c>
      <c r="T28" s="93" t="n">
        <f aca="false">(B28/($P$10+1))</f>
        <v>0.269230769230769</v>
      </c>
      <c r="U28" s="93" t="n">
        <f aca="false">ABS(T28-S28)</f>
        <v>0.0162432437809125</v>
      </c>
      <c r="V28" s="92" t="n">
        <f aca="false">C28</f>
        <v>123</v>
      </c>
      <c r="W28" s="92" t="n">
        <f aca="false">(C28-V$11)/V$12</f>
        <v>0.460482939951362</v>
      </c>
      <c r="X28" s="92" t="n">
        <f aca="false">W28*V$17+V$16</f>
        <v>1.03347108066292</v>
      </c>
      <c r="Y28" s="93" t="n">
        <f aca="false">1-EXP(-EXP(-X28))</f>
        <v>0.299366188640315</v>
      </c>
      <c r="Z28" s="93" t="n">
        <f aca="false">ABS(Y28-E28)</f>
        <v>0.0301354194095455</v>
      </c>
      <c r="AA28" s="68"/>
      <c r="AB28" s="68"/>
      <c r="AC28" s="68"/>
      <c r="AD28" s="68"/>
      <c r="AE28" s="68"/>
      <c r="AF28" s="68"/>
      <c r="AG28" s="68"/>
      <c r="AH28" s="68"/>
      <c r="AI28" s="68"/>
    </row>
    <row r="29" s="12" customFormat="true" ht="19.5" hidden="false" customHeight="true" outlineLevel="0" collapsed="false">
      <c r="B29" s="91" t="n">
        <f aca="false">+B28+1</f>
        <v>8</v>
      </c>
      <c r="C29" s="92" t="n">
        <f aca="false">LARGE('A. Estación'!$O$18:$O$42,B29)</f>
        <v>115.1</v>
      </c>
      <c r="D29" s="92" t="n">
        <f aca="false">LOG(C29)</f>
        <v>2.06107532362979</v>
      </c>
      <c r="E29" s="93" t="n">
        <f aca="false">B29/(F$10+1)</f>
        <v>0.307692307692308</v>
      </c>
      <c r="F29" s="92" t="n">
        <f aca="false">(C29-F$11)/F$12</f>
        <v>0.173860246473915</v>
      </c>
      <c r="G29" s="94" t="n">
        <f aca="false">NORMSDIST(F29)</f>
        <v>0.569012352268538</v>
      </c>
      <c r="H29" s="94" t="n">
        <f aca="false">1-G29</f>
        <v>0.430987647731462</v>
      </c>
      <c r="I29" s="94" t="n">
        <f aca="false">ABS(H29-E29)</f>
        <v>0.123295340039155</v>
      </c>
      <c r="J29" s="92" t="n">
        <f aca="false">(D29-K$11)/K$12</f>
        <v>0.299843358122178</v>
      </c>
      <c r="K29" s="94" t="n">
        <f aca="false">NORMSDIST(J29)</f>
        <v>0.617851679481884</v>
      </c>
      <c r="L29" s="93" t="n">
        <f aca="false">1-K29</f>
        <v>0.382148320518116</v>
      </c>
      <c r="M29" s="94" t="n">
        <f aca="false">ABS(L29-E29)</f>
        <v>0.0744560128258079</v>
      </c>
      <c r="N29" s="92" t="n">
        <f aca="false">LN(C29)</f>
        <v>4.74580131572784</v>
      </c>
      <c r="O29" s="92" t="n">
        <f aca="false">(N29-$P$17)/$P$16</f>
        <v>9.3789650067534</v>
      </c>
      <c r="P29" s="92" t="n">
        <f aca="false">2*O29</f>
        <v>18.7579300135068</v>
      </c>
      <c r="Q29" s="92" t="n">
        <f aca="false">2*$P$15</f>
        <v>17.0090904245031</v>
      </c>
      <c r="R29" s="93" t="n">
        <f aca="false">CHIDIST(P29,Q29)</f>
        <v>0.34260241972928</v>
      </c>
      <c r="S29" s="94" t="n">
        <f aca="false">R29</f>
        <v>0.34260241972928</v>
      </c>
      <c r="T29" s="93" t="n">
        <f aca="false">(B29/($P$10+1))</f>
        <v>0.307692307692308</v>
      </c>
      <c r="U29" s="93" t="n">
        <f aca="false">ABS(T29-S29)</f>
        <v>0.0349101120369725</v>
      </c>
      <c r="V29" s="92" t="n">
        <f aca="false">C29</f>
        <v>115.1</v>
      </c>
      <c r="W29" s="92" t="n">
        <f aca="false">(C29-V$11)/V$12</f>
        <v>0.173860246473915</v>
      </c>
      <c r="X29" s="92" t="n">
        <f aca="false">W29*V$17+V$16</f>
        <v>0.720651073001631</v>
      </c>
      <c r="Y29" s="93" t="n">
        <f aca="false">1-EXP(-EXP(-X29))</f>
        <v>0.385185970432065</v>
      </c>
      <c r="Z29" s="93" t="n">
        <f aca="false">ABS(Y29-E29)</f>
        <v>0.0774936627397572</v>
      </c>
      <c r="AA29" s="68"/>
      <c r="AB29" s="68"/>
      <c r="AC29" s="68"/>
      <c r="AD29" s="68"/>
      <c r="AE29" s="68"/>
      <c r="AF29" s="68"/>
      <c r="AG29" s="68"/>
      <c r="AH29" s="68"/>
      <c r="AI29" s="68"/>
    </row>
    <row r="30" s="12" customFormat="true" ht="19.5" hidden="false" customHeight="true" outlineLevel="0" collapsed="false">
      <c r="B30" s="91" t="n">
        <f aca="false">+B29+1</f>
        <v>9</v>
      </c>
      <c r="C30" s="92" t="n">
        <f aca="false">LARGE('A. Estación'!$O$18:$O$42,B30)</f>
        <v>114.8</v>
      </c>
      <c r="D30" s="92" t="n">
        <f aca="false">LOG(C30)</f>
        <v>2.05994188806195</v>
      </c>
      <c r="E30" s="93" t="n">
        <f aca="false">B30/(F$10+1)</f>
        <v>0.346153846153846</v>
      </c>
      <c r="F30" s="92" t="n">
        <f aca="false">(C30-F$11)/F$12</f>
        <v>0.162975840392493</v>
      </c>
      <c r="G30" s="94" t="n">
        <f aca="false">NORMSDIST(F30)</f>
        <v>0.56473127155001</v>
      </c>
      <c r="H30" s="94" t="n">
        <f aca="false">1-G30</f>
        <v>0.43526872844999</v>
      </c>
      <c r="I30" s="94" t="n">
        <f aca="false">ABS(H30-E30)</f>
        <v>0.0891148822961438</v>
      </c>
      <c r="J30" s="92" t="n">
        <f aca="false">(D30-K$11)/K$12</f>
        <v>0.288594757962307</v>
      </c>
      <c r="K30" s="94" t="n">
        <f aca="false">NORMSDIST(J30)</f>
        <v>0.613554246279977</v>
      </c>
      <c r="L30" s="93" t="n">
        <f aca="false">1-K30</f>
        <v>0.386445753720023</v>
      </c>
      <c r="M30" s="94" t="n">
        <f aca="false">ABS(L30-E30)</f>
        <v>0.040291907566177</v>
      </c>
      <c r="N30" s="92" t="n">
        <f aca="false">LN(C30)</f>
        <v>4.74319148388547</v>
      </c>
      <c r="O30" s="92" t="n">
        <f aca="false">(N30-$P$17)/$P$16</f>
        <v>9.34616121646161</v>
      </c>
      <c r="P30" s="92" t="n">
        <f aca="false">2*O30</f>
        <v>18.6923224329232</v>
      </c>
      <c r="Q30" s="92" t="n">
        <f aca="false">2*$P$15</f>
        <v>17.0090904245031</v>
      </c>
      <c r="R30" s="93" t="n">
        <f aca="false">CHIDIST(P30,Q30)</f>
        <v>0.346475711795455</v>
      </c>
      <c r="S30" s="94" t="n">
        <f aca="false">R30</f>
        <v>0.346475711795455</v>
      </c>
      <c r="T30" s="93" t="n">
        <f aca="false">(B30/($P$10+1))</f>
        <v>0.346153846153846</v>
      </c>
      <c r="U30" s="93" t="n">
        <f aca="false">ABS(T30-S30)</f>
        <v>0.000321865641608632</v>
      </c>
      <c r="V30" s="92" t="n">
        <f aca="false">C30</f>
        <v>114.8</v>
      </c>
      <c r="W30" s="92" t="n">
        <f aca="false">(C30-V$11)/V$12</f>
        <v>0.162975840392493</v>
      </c>
      <c r="X30" s="92" t="n">
        <f aca="false">W30*V$17+V$16</f>
        <v>0.708771832204367</v>
      </c>
      <c r="Y30" s="93" t="n">
        <f aca="false">1-EXP(-EXP(-X30))</f>
        <v>0.38874948152964</v>
      </c>
      <c r="Z30" s="93" t="n">
        <f aca="false">ABS(Y30-E30)</f>
        <v>0.0425956353757938</v>
      </c>
      <c r="AA30" s="68"/>
      <c r="AB30" s="68"/>
      <c r="AC30" s="68"/>
      <c r="AD30" s="68"/>
      <c r="AE30" s="68"/>
      <c r="AF30" s="68"/>
      <c r="AG30" s="68"/>
      <c r="AH30" s="68"/>
      <c r="AI30" s="68"/>
    </row>
    <row r="31" s="12" customFormat="true" ht="19.5" hidden="false" customHeight="true" outlineLevel="0" collapsed="false">
      <c r="B31" s="91" t="n">
        <f aca="false">+B30+1</f>
        <v>10</v>
      </c>
      <c r="C31" s="92" t="n">
        <f aca="false">LARGE('A. Estación'!$O$18:$O$42,B31)</f>
        <v>110.2</v>
      </c>
      <c r="D31" s="92" t="n">
        <f aca="false">LOG(C31)</f>
        <v>2.04218159451577</v>
      </c>
      <c r="E31" s="93" t="n">
        <f aca="false">B31/(F$10+1)</f>
        <v>0.384615384615385</v>
      </c>
      <c r="F31" s="92" t="n">
        <f aca="false">(C31-F$11)/F$12</f>
        <v>-0.00391838618931157</v>
      </c>
      <c r="G31" s="94" t="n">
        <f aca="false">NORMSDIST(F31)</f>
        <v>0.498436794078323</v>
      </c>
      <c r="H31" s="94" t="n">
        <f aca="false">1-G31</f>
        <v>0.501563205921678</v>
      </c>
      <c r="I31" s="94" t="n">
        <f aca="false">ABS(H31-E31)</f>
        <v>0.116947821306293</v>
      </c>
      <c r="J31" s="92" t="n">
        <f aca="false">(D31-K$11)/K$12</f>
        <v>0.112335562916726</v>
      </c>
      <c r="K31" s="94" t="n">
        <f aca="false">NORMSDIST(J31)</f>
        <v>0.544721327440601</v>
      </c>
      <c r="L31" s="93" t="n">
        <f aca="false">1-K31</f>
        <v>0.455278672559399</v>
      </c>
      <c r="M31" s="94" t="n">
        <f aca="false">ABS(L31-E31)</f>
        <v>0.0706632879440141</v>
      </c>
      <c r="N31" s="92" t="n">
        <f aca="false">LN(C31)</f>
        <v>4.70229689671881</v>
      </c>
      <c r="O31" s="92" t="n">
        <f aca="false">(N31-$P$17)/$P$16</f>
        <v>8.83214439755971</v>
      </c>
      <c r="P31" s="92" t="n">
        <f aca="false">2*O31</f>
        <v>17.6642887951194</v>
      </c>
      <c r="Q31" s="92" t="n">
        <f aca="false">2*$P$15</f>
        <v>17.0090904245031</v>
      </c>
      <c r="R31" s="93" t="n">
        <f aca="false">CHIDIST(P31,Q31)</f>
        <v>0.41030965975222</v>
      </c>
      <c r="S31" s="94" t="n">
        <f aca="false">R31</f>
        <v>0.41030965975222</v>
      </c>
      <c r="T31" s="93" t="n">
        <f aca="false">(B31/($P$10+1))</f>
        <v>0.384615384615385</v>
      </c>
      <c r="U31" s="93" t="n">
        <f aca="false">ABS(T31-S31)</f>
        <v>0.025694275136835</v>
      </c>
      <c r="V31" s="92" t="n">
        <f aca="false">C31</f>
        <v>110.2</v>
      </c>
      <c r="W31" s="92" t="n">
        <f aca="false">(C31-V$11)/V$12</f>
        <v>-0.00391838618931157</v>
      </c>
      <c r="X31" s="92" t="n">
        <f aca="false">W31*V$17+V$16</f>
        <v>0.526623473312985</v>
      </c>
      <c r="Y31" s="93" t="n">
        <f aca="false">1-EXP(-EXP(-X31))</f>
        <v>0.446002868014079</v>
      </c>
      <c r="Z31" s="93" t="n">
        <f aca="false">ABS(Y31-E31)</f>
        <v>0.0613874833986945</v>
      </c>
      <c r="AA31" s="68"/>
      <c r="AB31" s="68"/>
      <c r="AC31" s="68"/>
      <c r="AD31" s="68"/>
      <c r="AE31" s="68"/>
      <c r="AF31" s="68"/>
      <c r="AG31" s="68"/>
      <c r="AH31" s="68"/>
      <c r="AI31" s="68"/>
    </row>
    <row r="32" s="12" customFormat="true" ht="19.5" hidden="false" customHeight="true" outlineLevel="0" collapsed="false">
      <c r="B32" s="91" t="n">
        <f aca="false">+B31+1</f>
        <v>11</v>
      </c>
      <c r="C32" s="92" t="n">
        <f aca="false">LARGE('A. Estación'!$O$18:$O$42,B32)</f>
        <v>108.5</v>
      </c>
      <c r="D32" s="92" t="n">
        <f aca="false">LOG(C32)</f>
        <v>2.03542973818455</v>
      </c>
      <c r="E32" s="93" t="n">
        <f aca="false">B32/(F$10+1)</f>
        <v>0.423076923076923</v>
      </c>
      <c r="F32" s="92" t="n">
        <f aca="false">(C32-F$11)/F$12</f>
        <v>-0.0655966873173699</v>
      </c>
      <c r="G32" s="94" t="n">
        <f aca="false">NORMSDIST(F32)</f>
        <v>0.473849463286313</v>
      </c>
      <c r="H32" s="94" t="n">
        <f aca="false">1-G32</f>
        <v>0.526150536713687</v>
      </c>
      <c r="I32" s="94" t="n">
        <f aca="false">ABS(H32-E32)</f>
        <v>0.103073613636763</v>
      </c>
      <c r="J32" s="92" t="n">
        <f aca="false">(D32-K$11)/K$12</f>
        <v>0.0453278437645116</v>
      </c>
      <c r="K32" s="94" t="n">
        <f aca="false">NORMSDIST(J32)</f>
        <v>0.518077002936428</v>
      </c>
      <c r="L32" s="93" t="n">
        <f aca="false">1-K32</f>
        <v>0.481922997063572</v>
      </c>
      <c r="M32" s="94" t="n">
        <f aca="false">ABS(L32-E32)</f>
        <v>0.058846073986649</v>
      </c>
      <c r="N32" s="92" t="n">
        <f aca="false">LN(C32)</f>
        <v>4.68675017298051</v>
      </c>
      <c r="O32" s="92" t="n">
        <f aca="false">(N32-$P$17)/$P$16</f>
        <v>8.6367327787129</v>
      </c>
      <c r="P32" s="92" t="n">
        <f aca="false">2*O32</f>
        <v>17.2734655574258</v>
      </c>
      <c r="Q32" s="92" t="n">
        <f aca="false">2*$P$15</f>
        <v>17.0090904245031</v>
      </c>
      <c r="R32" s="93" t="n">
        <f aca="false">CHIDIST(P32,Q32)</f>
        <v>0.435992683875433</v>
      </c>
      <c r="S32" s="94" t="n">
        <f aca="false">R32</f>
        <v>0.435992683875433</v>
      </c>
      <c r="T32" s="93" t="n">
        <f aca="false">(B32/($P$10+1))</f>
        <v>0.423076923076923</v>
      </c>
      <c r="U32" s="93" t="n">
        <f aca="false">ABS(T32-S32)</f>
        <v>0.0129157607985104</v>
      </c>
      <c r="V32" s="92" t="n">
        <f aca="false">C32</f>
        <v>108.5</v>
      </c>
      <c r="W32" s="92" t="n">
        <f aca="false">(C32-V$11)/V$12</f>
        <v>-0.0655966873173699</v>
      </c>
      <c r="X32" s="92" t="n">
        <f aca="false">W32*V$17+V$16</f>
        <v>0.459307775461822</v>
      </c>
      <c r="Y32" s="93" t="n">
        <f aca="false">1-EXP(-EXP(-X32))</f>
        <v>0.468323887865777</v>
      </c>
      <c r="Z32" s="93" t="n">
        <f aca="false">ABS(Y32-E32)</f>
        <v>0.0452469647888535</v>
      </c>
      <c r="AA32" s="68"/>
      <c r="AB32" s="68"/>
      <c r="AC32" s="68"/>
      <c r="AD32" s="68"/>
      <c r="AE32" s="68"/>
      <c r="AF32" s="68"/>
      <c r="AG32" s="68"/>
      <c r="AH32" s="68"/>
      <c r="AI32" s="68"/>
    </row>
    <row r="33" s="12" customFormat="true" ht="19.5" hidden="false" customHeight="true" outlineLevel="0" collapsed="false">
      <c r="B33" s="91" t="n">
        <f aca="false">+B32+1</f>
        <v>12</v>
      </c>
      <c r="C33" s="92" t="n">
        <f aca="false">LARGE('A. Estación'!$O$18:$O$42,B33)</f>
        <v>103.9</v>
      </c>
      <c r="D33" s="92" t="n">
        <f aca="false">LOG(C33)</f>
        <v>2.01661554755718</v>
      </c>
      <c r="E33" s="93" t="n">
        <f aca="false">B33/(F$10+1)</f>
        <v>0.461538461538462</v>
      </c>
      <c r="F33" s="92" t="n">
        <f aca="false">(C33-F$11)/F$12</f>
        <v>-0.232490913899174</v>
      </c>
      <c r="G33" s="94" t="n">
        <f aca="false">NORMSDIST(F33)</f>
        <v>0.408078371780779</v>
      </c>
      <c r="H33" s="94" t="n">
        <f aca="false">1-G33</f>
        <v>0.591921628219221</v>
      </c>
      <c r="I33" s="94" t="n">
        <f aca="false">ABS(H33-E33)</f>
        <v>0.13038316668076</v>
      </c>
      <c r="J33" s="92" t="n">
        <f aca="false">(D33-K$11)/K$12</f>
        <v>-0.1413905844411</v>
      </c>
      <c r="K33" s="94" t="n">
        <f aca="false">NORMSDIST(J33)</f>
        <v>0.443780696037915</v>
      </c>
      <c r="L33" s="93" t="n">
        <f aca="false">1-K33</f>
        <v>0.556219303962085</v>
      </c>
      <c r="M33" s="94" t="n">
        <f aca="false">ABS(L33-E33)</f>
        <v>0.0946808424236231</v>
      </c>
      <c r="N33" s="92" t="n">
        <f aca="false">LN(C33)</f>
        <v>4.64342889810518</v>
      </c>
      <c r="O33" s="92" t="n">
        <f aca="false">(N33-$P$17)/$P$16</f>
        <v>8.09221416524829</v>
      </c>
      <c r="P33" s="92" t="n">
        <f aca="false">2*O33</f>
        <v>16.1844283304966</v>
      </c>
      <c r="Q33" s="92" t="n">
        <f aca="false">2*$P$15</f>
        <v>17.0090904245031</v>
      </c>
      <c r="R33" s="93" t="n">
        <f aca="false">CHIDIST(P33,Q33)</f>
        <v>0.510800254076981</v>
      </c>
      <c r="S33" s="94" t="n">
        <f aca="false">R33</f>
        <v>0.510800254076981</v>
      </c>
      <c r="T33" s="93" t="n">
        <f aca="false">(B33/($P$10+1))</f>
        <v>0.461538461538462</v>
      </c>
      <c r="U33" s="93" t="n">
        <f aca="false">ABS(T33-S33)</f>
        <v>0.0492617925385198</v>
      </c>
      <c r="V33" s="92" t="n">
        <f aca="false">C33</f>
        <v>103.9</v>
      </c>
      <c r="W33" s="92" t="n">
        <f aca="false">(C33-V$11)/V$12</f>
        <v>-0.232490913899174</v>
      </c>
      <c r="X33" s="92" t="n">
        <f aca="false">W33*V$17+V$16</f>
        <v>0.277159416570441</v>
      </c>
      <c r="Y33" s="93" t="n">
        <f aca="false">1-EXP(-EXP(-X33))</f>
        <v>0.531366216183257</v>
      </c>
      <c r="Z33" s="93" t="n">
        <f aca="false">ABS(Y33-E33)</f>
        <v>0.0698277546447952</v>
      </c>
      <c r="AA33" s="68"/>
      <c r="AB33" s="68"/>
      <c r="AC33" s="68"/>
      <c r="AD33" s="68"/>
      <c r="AE33" s="68"/>
      <c r="AF33" s="68"/>
      <c r="AG33" s="68"/>
      <c r="AH33" s="68"/>
      <c r="AI33" s="68"/>
    </row>
    <row r="34" s="12" customFormat="true" ht="19.5" hidden="false" customHeight="true" outlineLevel="0" collapsed="false">
      <c r="B34" s="91" t="n">
        <f aca="false">+B33+1</f>
        <v>13</v>
      </c>
      <c r="C34" s="92" t="n">
        <f aca="false">LARGE('A. Estación'!$O$18:$O$42,B34)</f>
        <v>102.5</v>
      </c>
      <c r="D34" s="92" t="n">
        <f aca="false">LOG(C34)</f>
        <v>2.01072386539177</v>
      </c>
      <c r="E34" s="93" t="n">
        <f aca="false">B34/(F$10+1)</f>
        <v>0.5</v>
      </c>
      <c r="F34" s="92" t="n">
        <f aca="false">(C34-F$11)/F$12</f>
        <v>-0.283284808945811</v>
      </c>
      <c r="G34" s="94" t="n">
        <f aca="false">NORMSDIST(F34)</f>
        <v>0.388479260624955</v>
      </c>
      <c r="H34" s="94" t="n">
        <f aca="false">1-G34</f>
        <v>0.611520739375045</v>
      </c>
      <c r="I34" s="94" t="n">
        <f aca="false">ABS(H34-E34)</f>
        <v>0.111520739375045</v>
      </c>
      <c r="J34" s="92" t="n">
        <f aca="false">(D34-K$11)/K$12</f>
        <v>-0.199861642548213</v>
      </c>
      <c r="K34" s="94" t="n">
        <f aca="false">NORMSDIST(J34)</f>
        <v>0.420794394979974</v>
      </c>
      <c r="L34" s="93" t="n">
        <f aca="false">1-K34</f>
        <v>0.579205605020026</v>
      </c>
      <c r="M34" s="94" t="n">
        <f aca="false">ABS(L34-E34)</f>
        <v>0.0792056050200258</v>
      </c>
      <c r="N34" s="92" t="n">
        <f aca="false">LN(C34)</f>
        <v>4.62986279857846</v>
      </c>
      <c r="O34" s="92" t="n">
        <f aca="false">(N34-$P$17)/$P$16</f>
        <v>7.92169762976614</v>
      </c>
      <c r="P34" s="92" t="n">
        <f aca="false">2*O34</f>
        <v>15.8433952595323</v>
      </c>
      <c r="Q34" s="92" t="n">
        <f aca="false">2*$P$15</f>
        <v>17.0090904245031</v>
      </c>
      <c r="R34" s="93" t="n">
        <f aca="false">CHIDIST(P34,Q34)</f>
        <v>0.534962761047802</v>
      </c>
      <c r="S34" s="94" t="n">
        <f aca="false">R34</f>
        <v>0.534962761047802</v>
      </c>
      <c r="T34" s="93" t="n">
        <f aca="false">(B34/($P$10+1))</f>
        <v>0.5</v>
      </c>
      <c r="U34" s="93" t="n">
        <f aca="false">ABS(T34-S34)</f>
        <v>0.0349627610478024</v>
      </c>
      <c r="V34" s="92" t="n">
        <f aca="false">C34</f>
        <v>102.5</v>
      </c>
      <c r="W34" s="92" t="n">
        <f aca="false">(C34-V$11)/V$12</f>
        <v>-0.283284808945811</v>
      </c>
      <c r="X34" s="92" t="n">
        <f aca="false">W34*V$17+V$16</f>
        <v>0.221722959516542</v>
      </c>
      <c r="Y34" s="93" t="n">
        <f aca="false">1-EXP(-EXP(-X34))</f>
        <v>0.551181758727452</v>
      </c>
      <c r="Z34" s="93" t="n">
        <f aca="false">ABS(Y34-E34)</f>
        <v>0.0511817587274517</v>
      </c>
      <c r="AA34" s="68"/>
      <c r="AB34" s="68"/>
      <c r="AC34" s="68"/>
      <c r="AD34" s="68"/>
      <c r="AE34" s="68"/>
      <c r="AF34" s="68"/>
      <c r="AG34" s="68"/>
      <c r="AH34" s="68"/>
      <c r="AI34" s="68"/>
    </row>
    <row r="35" s="12" customFormat="true" ht="19.5" hidden="false" customHeight="true" outlineLevel="0" collapsed="false">
      <c r="B35" s="91" t="n">
        <f aca="false">+B34+1</f>
        <v>14</v>
      </c>
      <c r="C35" s="92" t="n">
        <f aca="false">LARGE('A. Estación'!$O$18:$O$42,B35)</f>
        <v>101</v>
      </c>
      <c r="D35" s="92" t="n">
        <f aca="false">LOG(C35)</f>
        <v>2.00432137378264</v>
      </c>
      <c r="E35" s="93" t="n">
        <f aca="false">B35/(F$10+1)</f>
        <v>0.538461538461538</v>
      </c>
      <c r="F35" s="92" t="n">
        <f aca="false">(C35-F$11)/F$12</f>
        <v>-0.337706839352921</v>
      </c>
      <c r="G35" s="94" t="n">
        <f aca="false">NORMSDIST(F35)</f>
        <v>0.367792060104947</v>
      </c>
      <c r="H35" s="94" t="n">
        <f aca="false">1-G35</f>
        <v>0.632207939895053</v>
      </c>
      <c r="I35" s="94" t="n">
        <f aca="false">ABS(H35-E35)</f>
        <v>0.093746401433515</v>
      </c>
      <c r="J35" s="92" t="n">
        <f aca="false">(D35-K$11)/K$12</f>
        <v>-0.263402147347673</v>
      </c>
      <c r="K35" s="94" t="n">
        <f aca="false">NORMSDIST(J35)</f>
        <v>0.39612031784254</v>
      </c>
      <c r="L35" s="93" t="n">
        <f aca="false">1-K35</f>
        <v>0.60387968215746</v>
      </c>
      <c r="M35" s="94" t="n">
        <f aca="false">ABS(L35-E35)</f>
        <v>0.0654181436959219</v>
      </c>
      <c r="N35" s="92" t="n">
        <f aca="false">LN(C35)</f>
        <v>4.61512051684126</v>
      </c>
      <c r="O35" s="92" t="n">
        <f aca="false">(N35-$P$17)/$P$16</f>
        <v>7.73639729329295</v>
      </c>
      <c r="P35" s="92" t="n">
        <f aca="false">2*O35</f>
        <v>15.4727945865859</v>
      </c>
      <c r="Q35" s="92" t="n">
        <f aca="false">2*$P$15</f>
        <v>17.0090904245031</v>
      </c>
      <c r="R35" s="93" t="n">
        <f aca="false">CHIDIST(P35,Q35)</f>
        <v>0.561466798447868</v>
      </c>
      <c r="S35" s="94" t="n">
        <f aca="false">R35</f>
        <v>0.561466798447868</v>
      </c>
      <c r="T35" s="93" t="n">
        <f aca="false">(B35/($P$10+1))</f>
        <v>0.538461538461538</v>
      </c>
      <c r="U35" s="93" t="n">
        <f aca="false">ABS(T35-S35)</f>
        <v>0.0230052599863295</v>
      </c>
      <c r="V35" s="92" t="n">
        <f aca="false">C35</f>
        <v>101</v>
      </c>
      <c r="W35" s="92" t="n">
        <f aca="false">(C35-V$11)/V$12</f>
        <v>-0.337706839352921</v>
      </c>
      <c r="X35" s="92" t="n">
        <f aca="false">W35*V$17+V$16</f>
        <v>0.162326755530222</v>
      </c>
      <c r="Y35" s="93" t="n">
        <f aca="false">1-EXP(-EXP(-X35))</f>
        <v>0.572654886376973</v>
      </c>
      <c r="Z35" s="93" t="n">
        <f aca="false">ABS(Y35-E35)</f>
        <v>0.0341933479154341</v>
      </c>
      <c r="AA35" s="68"/>
      <c r="AB35" s="68"/>
      <c r="AC35" s="68"/>
      <c r="AD35" s="68"/>
      <c r="AE35" s="68"/>
      <c r="AF35" s="68"/>
      <c r="AG35" s="68"/>
      <c r="AH35" s="68"/>
      <c r="AI35" s="68"/>
    </row>
    <row r="36" s="12" customFormat="true" ht="19.5" hidden="false" customHeight="true" outlineLevel="0" collapsed="false">
      <c r="B36" s="91" t="n">
        <f aca="false">+B35+1</f>
        <v>15</v>
      </c>
      <c r="C36" s="92" t="n">
        <f aca="false">LARGE('A. Estación'!$O$18:$O$42,B36)</f>
        <v>100.4</v>
      </c>
      <c r="D36" s="92" t="n">
        <f aca="false">LOG(C36)</f>
        <v>2.001733712809</v>
      </c>
      <c r="E36" s="93" t="n">
        <f aca="false">B36/(F$10+1)</f>
        <v>0.576923076923077</v>
      </c>
      <c r="F36" s="92" t="n">
        <f aca="false">(C36-F$11)/F$12</f>
        <v>-0.359475651515765</v>
      </c>
      <c r="G36" s="94" t="n">
        <f aca="false">NORMSDIST(F36)</f>
        <v>0.359619644737981</v>
      </c>
      <c r="H36" s="94" t="n">
        <f aca="false">1-G36</f>
        <v>0.640380355262019</v>
      </c>
      <c r="I36" s="94" t="n">
        <f aca="false">ABS(H36-E36)</f>
        <v>0.0634572783389422</v>
      </c>
      <c r="J36" s="92" t="n">
        <f aca="false">(D36-K$11)/K$12</f>
        <v>-0.289082975149245</v>
      </c>
      <c r="K36" s="94" t="n">
        <f aca="false">NORMSDIST(J36)</f>
        <v>0.386258940765269</v>
      </c>
      <c r="L36" s="93" t="n">
        <f aca="false">1-K36</f>
        <v>0.613741059234731</v>
      </c>
      <c r="M36" s="94" t="n">
        <f aca="false">ABS(L36-E36)</f>
        <v>0.0368179823116542</v>
      </c>
      <c r="N36" s="92" t="n">
        <f aca="false">LN(C36)</f>
        <v>4.60916220725763</v>
      </c>
      <c r="O36" s="92" t="n">
        <f aca="false">(N36-$P$17)/$P$16</f>
        <v>7.66150544206263</v>
      </c>
      <c r="P36" s="92" t="n">
        <f aca="false">2*O36</f>
        <v>15.3230108841253</v>
      </c>
      <c r="Q36" s="92" t="n">
        <f aca="false">2*$P$15</f>
        <v>17.0090904245031</v>
      </c>
      <c r="R36" s="93" t="n">
        <f aca="false">CHIDIST(P36,Q36)</f>
        <v>0.572227793763364</v>
      </c>
      <c r="S36" s="94" t="n">
        <f aca="false">R36</f>
        <v>0.572227793763364</v>
      </c>
      <c r="T36" s="93" t="n">
        <f aca="false">(B36/($P$10+1))</f>
        <v>0.576923076923077</v>
      </c>
      <c r="U36" s="93" t="n">
        <f aca="false">ABS(T36-S36)</f>
        <v>0.00469528315971246</v>
      </c>
      <c r="V36" s="92" t="n">
        <f aca="false">C36</f>
        <v>100.4</v>
      </c>
      <c r="W36" s="92" t="n">
        <f aca="false">(C36-V$11)/V$12</f>
        <v>-0.359475651515765</v>
      </c>
      <c r="X36" s="92" t="n">
        <f aca="false">W36*V$17+V$16</f>
        <v>0.138568273935694</v>
      </c>
      <c r="Y36" s="93" t="n">
        <f aca="false">1-EXP(-EXP(-X36))</f>
        <v>0.581301341401456</v>
      </c>
      <c r="Z36" s="93" t="n">
        <f aca="false">ABS(Y36-E36)</f>
        <v>0.00437826447837897</v>
      </c>
      <c r="AA36" s="68"/>
      <c r="AB36" s="68"/>
      <c r="AC36" s="68"/>
      <c r="AD36" s="68"/>
      <c r="AE36" s="68"/>
      <c r="AF36" s="68"/>
      <c r="AG36" s="68"/>
      <c r="AH36" s="68"/>
      <c r="AI36" s="68"/>
    </row>
    <row r="37" s="12" customFormat="true" ht="19.5" hidden="false" customHeight="true" outlineLevel="0" collapsed="false">
      <c r="B37" s="91" t="n">
        <f aca="false">+B36+1</f>
        <v>16</v>
      </c>
      <c r="C37" s="92" t="n">
        <f aca="false">LARGE('A. Estación'!$O$18:$O$42,B37)</f>
        <v>97.3</v>
      </c>
      <c r="D37" s="92" t="n">
        <f aca="false">LOG(C37)</f>
        <v>1.98811284026835</v>
      </c>
      <c r="E37" s="93" t="n">
        <f aca="false">B37/(F$10+1)</f>
        <v>0.615384615384615</v>
      </c>
      <c r="F37" s="92" t="n">
        <f aca="false">(C37-F$11)/F$12</f>
        <v>-0.47194784769046</v>
      </c>
      <c r="G37" s="94" t="n">
        <f aca="false">NORMSDIST(F37)</f>
        <v>0.318482007108182</v>
      </c>
      <c r="H37" s="94" t="n">
        <f aca="false">1-G37</f>
        <v>0.681517992891818</v>
      </c>
      <c r="I37" s="94" t="n">
        <f aca="false">ABS(H37-E37)</f>
        <v>0.0661333775072025</v>
      </c>
      <c r="J37" s="92" t="n">
        <f aca="false">(D37-K$11)/K$12</f>
        <v>-0.424261147941805</v>
      </c>
      <c r="K37" s="94" t="n">
        <f aca="false">NORMSDIST(J37)</f>
        <v>0.335687685200798</v>
      </c>
      <c r="L37" s="93" t="n">
        <f aca="false">1-K37</f>
        <v>0.664312314799202</v>
      </c>
      <c r="M37" s="94" t="n">
        <f aca="false">ABS(L37-E37)</f>
        <v>0.0489276994145866</v>
      </c>
      <c r="N37" s="92" t="n">
        <f aca="false">LN(C37)</f>
        <v>4.57779898919196</v>
      </c>
      <c r="O37" s="92" t="n">
        <f aca="false">(N37-$P$17)/$P$16</f>
        <v>7.26729137370816</v>
      </c>
      <c r="P37" s="92" t="n">
        <f aca="false">2*O37</f>
        <v>14.5345827474163</v>
      </c>
      <c r="Q37" s="92" t="n">
        <f aca="false">2*$P$15</f>
        <v>17.0090904245031</v>
      </c>
      <c r="R37" s="93" t="n">
        <f aca="false">CHIDIST(P37,Q37)</f>
        <v>0.628965748095932</v>
      </c>
      <c r="S37" s="94" t="n">
        <f aca="false">R37</f>
        <v>0.628965748095932</v>
      </c>
      <c r="T37" s="93" t="n">
        <f aca="false">(B37/($P$10+1))</f>
        <v>0.615384615384615</v>
      </c>
      <c r="U37" s="93" t="n">
        <f aca="false">ABS(T37-S37)</f>
        <v>0.0135811327113169</v>
      </c>
      <c r="V37" s="92" t="n">
        <f aca="false">C37</f>
        <v>97.3</v>
      </c>
      <c r="W37" s="92" t="n">
        <f aca="false">(C37-V$11)/V$12</f>
        <v>-0.47194784769046</v>
      </c>
      <c r="X37" s="92" t="n">
        <f aca="false">W37*V$17+V$16</f>
        <v>0.0158161190306321</v>
      </c>
      <c r="Y37" s="93" t="n">
        <f aca="false">1-EXP(-EXP(-X37))</f>
        <v>0.626302375412375</v>
      </c>
      <c r="Z37" s="93" t="n">
        <f aca="false">ABS(Y37-E37)</f>
        <v>0.0109177600277591</v>
      </c>
      <c r="AA37" s="68"/>
      <c r="AB37" s="68"/>
      <c r="AC37" s="68"/>
      <c r="AD37" s="68"/>
      <c r="AE37" s="68"/>
      <c r="AF37" s="68"/>
      <c r="AG37" s="68"/>
      <c r="AH37" s="68"/>
      <c r="AI37" s="68"/>
    </row>
    <row r="38" s="12" customFormat="true" ht="19.5" hidden="false" customHeight="true" outlineLevel="0" collapsed="false">
      <c r="B38" s="91" t="n">
        <f aca="false">+B37+1</f>
        <v>17</v>
      </c>
      <c r="C38" s="92" t="n">
        <f aca="false">LARGE('A. Estación'!$O$18:$O$42,B38)</f>
        <v>96.4</v>
      </c>
      <c r="D38" s="92" t="n">
        <f aca="false">LOG(C38)</f>
        <v>1.98407703390283</v>
      </c>
      <c r="E38" s="93" t="n">
        <f aca="false">B38/(F$10+1)</f>
        <v>0.653846153846154</v>
      </c>
      <c r="F38" s="92" t="n">
        <f aca="false">(C38-F$11)/F$12</f>
        <v>-0.504601065934726</v>
      </c>
      <c r="G38" s="94" t="n">
        <f aca="false">NORMSDIST(F38)</f>
        <v>0.306919530510542</v>
      </c>
      <c r="H38" s="94" t="n">
        <f aca="false">1-G38</f>
        <v>0.693080469489459</v>
      </c>
      <c r="I38" s="94" t="n">
        <f aca="false">ABS(H38-E38)</f>
        <v>0.0392343156433047</v>
      </c>
      <c r="J38" s="92" t="n">
        <f aca="false">(D38-K$11)/K$12</f>
        <v>-0.464313863258511</v>
      </c>
      <c r="K38" s="94" t="n">
        <f aca="false">NORMSDIST(J38)</f>
        <v>0.321211446499083</v>
      </c>
      <c r="L38" s="93" t="n">
        <f aca="false">1-K38</f>
        <v>0.678788553500917</v>
      </c>
      <c r="M38" s="94" t="n">
        <f aca="false">ABS(L38-E38)</f>
        <v>0.0249423996547633</v>
      </c>
      <c r="N38" s="92" t="n">
        <f aca="false">LN(C38)</f>
        <v>4.5685062016165</v>
      </c>
      <c r="O38" s="92" t="n">
        <f aca="false">(N38-$P$17)/$P$16</f>
        <v>7.15048742875567</v>
      </c>
      <c r="P38" s="92" t="n">
        <f aca="false">2*O38</f>
        <v>14.3009748575113</v>
      </c>
      <c r="Q38" s="92" t="n">
        <f aca="false">2*$P$15</f>
        <v>17.0090904245031</v>
      </c>
      <c r="R38" s="93" t="n">
        <f aca="false">CHIDIST(P38,Q38)</f>
        <v>0.645694365189079</v>
      </c>
      <c r="S38" s="94" t="n">
        <f aca="false">R38</f>
        <v>0.645694365189079</v>
      </c>
      <c r="T38" s="93" t="n">
        <f aca="false">(B38/($P$10+1))</f>
        <v>0.653846153846154</v>
      </c>
      <c r="U38" s="93" t="n">
        <f aca="false">ABS(T38-S38)</f>
        <v>0.00815178865707489</v>
      </c>
      <c r="V38" s="92" t="n">
        <f aca="false">C38</f>
        <v>96.4</v>
      </c>
      <c r="W38" s="92" t="n">
        <f aca="false">(C38-V$11)/V$12</f>
        <v>-0.504601065934726</v>
      </c>
      <c r="X38" s="92" t="n">
        <f aca="false">W38*V$17+V$16</f>
        <v>-0.0198216033611597</v>
      </c>
      <c r="Y38" s="93" t="n">
        <f aca="false">1-EXP(-EXP(-X38))</f>
        <v>0.639412039352073</v>
      </c>
      <c r="Z38" s="93" t="n">
        <f aca="false">ABS(Y38-E38)</f>
        <v>0.0144341144940806</v>
      </c>
      <c r="AA38" s="68"/>
      <c r="AB38" s="68"/>
      <c r="AC38" s="68"/>
      <c r="AD38" s="68"/>
      <c r="AE38" s="68"/>
      <c r="AF38" s="68"/>
      <c r="AG38" s="68"/>
      <c r="AH38" s="68"/>
      <c r="AI38" s="68"/>
    </row>
    <row r="39" s="12" customFormat="true" ht="19.5" hidden="false" customHeight="true" outlineLevel="0" collapsed="false">
      <c r="B39" s="91" t="n">
        <f aca="false">+B38+1</f>
        <v>18</v>
      </c>
      <c r="C39" s="92" t="n">
        <f aca="false">LARGE('A. Estación'!$O$18:$O$42,B39)</f>
        <v>90.2</v>
      </c>
      <c r="D39" s="92" t="n">
        <f aca="false">LOG(C39)</f>
        <v>1.95520653754194</v>
      </c>
      <c r="E39" s="93" t="n">
        <f aca="false">B39/(F$10+1)</f>
        <v>0.692307692307692</v>
      </c>
      <c r="F39" s="92" t="n">
        <f aca="false">(C39-F$11)/F$12</f>
        <v>-0.729545458284115</v>
      </c>
      <c r="G39" s="94" t="n">
        <f aca="false">NORMSDIST(F39)</f>
        <v>0.232834035754008</v>
      </c>
      <c r="H39" s="94" t="n">
        <f aca="false">1-G39</f>
        <v>0.767165964245992</v>
      </c>
      <c r="I39" s="94" t="n">
        <f aca="false">ABS(H39-E39)</f>
        <v>0.0748582719383001</v>
      </c>
      <c r="J39" s="92" t="n">
        <f aca="false">(D39-K$11)/K$12</f>
        <v>-0.750834490628928</v>
      </c>
      <c r="K39" s="94" t="n">
        <f aca="false">NORMSDIST(J39)</f>
        <v>0.226376134663638</v>
      </c>
      <c r="L39" s="93" t="n">
        <f aca="false">1-K39</f>
        <v>0.773623865336362</v>
      </c>
      <c r="M39" s="94" t="n">
        <f aca="false">ABS(L39-E39)</f>
        <v>0.0813161730286699</v>
      </c>
      <c r="N39" s="92" t="n">
        <f aca="false">LN(C39)</f>
        <v>4.50202942706858</v>
      </c>
      <c r="O39" s="92" t="n">
        <f aca="false">(N39-$P$17)/$P$16</f>
        <v>6.31492011896154</v>
      </c>
      <c r="P39" s="92" t="n">
        <f aca="false">2*O39</f>
        <v>12.6298402379231</v>
      </c>
      <c r="Q39" s="92" t="n">
        <f aca="false">2*$P$15</f>
        <v>17.0090904245031</v>
      </c>
      <c r="R39" s="93" t="n">
        <f aca="false">CHIDIST(P39,Q39)</f>
        <v>0.760591647009612</v>
      </c>
      <c r="S39" s="94" t="n">
        <f aca="false">R39</f>
        <v>0.760591647009612</v>
      </c>
      <c r="T39" s="93" t="n">
        <f aca="false">(B39/($P$10+1))</f>
        <v>0.692307692307692</v>
      </c>
      <c r="U39" s="93" t="n">
        <f aca="false">ABS(T39-S39)</f>
        <v>0.0682839547019196</v>
      </c>
      <c r="V39" s="92" t="n">
        <f aca="false">C39</f>
        <v>90.2</v>
      </c>
      <c r="W39" s="92" t="n">
        <f aca="false">(C39-V$11)/V$12</f>
        <v>-0.729545458284115</v>
      </c>
      <c r="X39" s="92" t="n">
        <f aca="false">W39*V$17+V$16</f>
        <v>-0.265325913171283</v>
      </c>
      <c r="Y39" s="93" t="n">
        <f aca="false">1-EXP(-EXP(-X39))</f>
        <v>0.728517025428111</v>
      </c>
      <c r="Z39" s="93" t="n">
        <f aca="false">ABS(Y39-E39)</f>
        <v>0.0362093331204185</v>
      </c>
      <c r="AA39" s="68"/>
      <c r="AB39" s="68"/>
      <c r="AC39" s="68"/>
      <c r="AD39" s="68"/>
      <c r="AE39" s="68"/>
      <c r="AF39" s="68"/>
      <c r="AG39" s="68"/>
      <c r="AH39" s="68"/>
      <c r="AI39" s="68"/>
    </row>
    <row r="40" s="12" customFormat="true" ht="19.5" hidden="false" customHeight="true" outlineLevel="0" collapsed="false">
      <c r="B40" s="91" t="n">
        <f aca="false">+B39+1</f>
        <v>19</v>
      </c>
      <c r="C40" s="92" t="n">
        <f aca="false">LARGE('A. Estación'!$O$18:$O$42,B40)</f>
        <v>89.1</v>
      </c>
      <c r="D40" s="92" t="n">
        <f aca="false">LOG(C40)</f>
        <v>1.94987770403687</v>
      </c>
      <c r="E40" s="93" t="n">
        <f aca="false">B40/(F$10+1)</f>
        <v>0.730769230769231</v>
      </c>
      <c r="F40" s="92" t="n">
        <f aca="false">(C40-F$11)/F$12</f>
        <v>-0.769454947249329</v>
      </c>
      <c r="G40" s="94" t="n">
        <f aca="false">NORMSDIST(F40)</f>
        <v>0.220811640049981</v>
      </c>
      <c r="H40" s="94" t="n">
        <f aca="false">1-G40</f>
        <v>0.779188359950019</v>
      </c>
      <c r="I40" s="94" t="n">
        <f aca="false">ABS(H40-E40)</f>
        <v>0.0484191291807884</v>
      </c>
      <c r="J40" s="92" t="n">
        <f aca="false">(D40-K$11)/K$12</f>
        <v>-0.803719647154767</v>
      </c>
      <c r="K40" s="94" t="n">
        <f aca="false">NORMSDIST(J40)</f>
        <v>0.210779452356422</v>
      </c>
      <c r="L40" s="93" t="n">
        <f aca="false">1-K40</f>
        <v>0.789220547643578</v>
      </c>
      <c r="M40" s="94" t="n">
        <f aca="false">ABS(L40-E40)</f>
        <v>0.0584513168743468</v>
      </c>
      <c r="N40" s="92" t="n">
        <f aca="false">LN(C40)</f>
        <v>4.48975933447676</v>
      </c>
      <c r="O40" s="92" t="n">
        <f aca="false">(N40-$P$17)/$P$16</f>
        <v>6.16069349879849</v>
      </c>
      <c r="P40" s="92" t="n">
        <f aca="false">2*O40</f>
        <v>12.321386997597</v>
      </c>
      <c r="Q40" s="92" t="n">
        <f aca="false">2*$P$15</f>
        <v>17.0090904245031</v>
      </c>
      <c r="R40" s="93" t="n">
        <f aca="false">CHIDIST(P40,Q40)</f>
        <v>0.780297455363122</v>
      </c>
      <c r="S40" s="94" t="n">
        <f aca="false">R40</f>
        <v>0.780297455363122</v>
      </c>
      <c r="T40" s="93" t="n">
        <f aca="false">(B40/($P$10+1))</f>
        <v>0.730769230769231</v>
      </c>
      <c r="U40" s="93" t="n">
        <f aca="false">ABS(T40-S40)</f>
        <v>0.0495282245938917</v>
      </c>
      <c r="V40" s="92" t="n">
        <f aca="false">C40</f>
        <v>89.1</v>
      </c>
      <c r="W40" s="92" t="n">
        <f aca="false">(C40-V$11)/V$12</f>
        <v>-0.769454947249329</v>
      </c>
      <c r="X40" s="92" t="n">
        <f aca="false">W40*V$17+V$16</f>
        <v>-0.308883129427918</v>
      </c>
      <c r="Y40" s="93" t="n">
        <f aca="false">1-EXP(-EXP(-X40))</f>
        <v>0.743827233964417</v>
      </c>
      <c r="Z40" s="93" t="n">
        <f aca="false">ABS(Y40-E40)</f>
        <v>0.0130580031951862</v>
      </c>
      <c r="AA40" s="68"/>
      <c r="AB40" s="68"/>
      <c r="AC40" s="68"/>
      <c r="AD40" s="68"/>
      <c r="AE40" s="68"/>
      <c r="AF40" s="68"/>
      <c r="AG40" s="68"/>
      <c r="AH40" s="68"/>
      <c r="AI40" s="68"/>
    </row>
    <row r="41" s="12" customFormat="true" ht="19.5" hidden="false" customHeight="true" outlineLevel="0" collapsed="false">
      <c r="B41" s="91" t="n">
        <f aca="false">+B40+1</f>
        <v>20</v>
      </c>
      <c r="C41" s="92" t="n">
        <f aca="false">LARGE('A. Estación'!$O$18:$O$42,B41)</f>
        <v>88.7</v>
      </c>
      <c r="D41" s="92" t="n">
        <f aca="false">LOG(C41)</f>
        <v>1.94792361983173</v>
      </c>
      <c r="E41" s="93" t="n">
        <f aca="false">B41/(F$10+1)</f>
        <v>0.769230769230769</v>
      </c>
      <c r="F41" s="92" t="n">
        <f aca="false">(C41-F$11)/F$12</f>
        <v>-0.783967488691225</v>
      </c>
      <c r="G41" s="94" t="n">
        <f aca="false">NORMSDIST(F41)</f>
        <v>0.216529593634001</v>
      </c>
      <c r="H41" s="94" t="n">
        <f aca="false">1-G41</f>
        <v>0.783470406365999</v>
      </c>
      <c r="I41" s="94" t="n">
        <f aca="false">ABS(H41-E41)</f>
        <v>0.0142396371352299</v>
      </c>
      <c r="J41" s="92" t="n">
        <f aca="false">(D41-K$11)/K$12</f>
        <v>-0.823112643568648</v>
      </c>
      <c r="K41" s="94" t="n">
        <f aca="false">NORMSDIST(J41)</f>
        <v>0.20522196971643</v>
      </c>
      <c r="L41" s="93" t="n">
        <f aca="false">1-K41</f>
        <v>0.79477803028357</v>
      </c>
      <c r="M41" s="94" t="n">
        <f aca="false">ABS(L41-E41)</f>
        <v>0.025547261052801</v>
      </c>
      <c r="N41" s="92" t="n">
        <f aca="false">LN(C41)</f>
        <v>4.48525988931553</v>
      </c>
      <c r="O41" s="92" t="n">
        <f aca="false">(N41-$P$17)/$P$16</f>
        <v>6.10413856943403</v>
      </c>
      <c r="P41" s="92" t="n">
        <f aca="false">2*O41</f>
        <v>12.2082771388681</v>
      </c>
      <c r="Q41" s="92" t="n">
        <f aca="false">2*$P$15</f>
        <v>17.0090904245031</v>
      </c>
      <c r="R41" s="93" t="n">
        <f aca="false">CHIDIST(P41,Q41)</f>
        <v>0.787364378347402</v>
      </c>
      <c r="S41" s="94" t="n">
        <f aca="false">R41</f>
        <v>0.787364378347402</v>
      </c>
      <c r="T41" s="93" t="n">
        <f aca="false">(B41/($P$10+1))</f>
        <v>0.769230769230769</v>
      </c>
      <c r="U41" s="93" t="n">
        <f aca="false">ABS(T41-S41)</f>
        <v>0.0181336091166322</v>
      </c>
      <c r="V41" s="92" t="n">
        <f aca="false">C41</f>
        <v>88.7</v>
      </c>
      <c r="W41" s="92" t="n">
        <f aca="false">(C41-V$11)/V$12</f>
        <v>-0.783967488691225</v>
      </c>
      <c r="X41" s="92" t="n">
        <f aca="false">W41*V$17+V$16</f>
        <v>-0.324722117157603</v>
      </c>
      <c r="Y41" s="93" t="n">
        <f aca="false">1-EXP(-EXP(-X41))</f>
        <v>0.749337057546105</v>
      </c>
      <c r="Z41" s="93" t="n">
        <f aca="false">ABS(Y41-E41)</f>
        <v>0.0198937116846648</v>
      </c>
      <c r="AA41" s="68"/>
      <c r="AB41" s="68"/>
      <c r="AC41" s="68"/>
      <c r="AD41" s="68"/>
      <c r="AE41" s="68"/>
      <c r="AF41" s="68"/>
      <c r="AG41" s="68"/>
      <c r="AH41" s="68"/>
      <c r="AI41" s="68"/>
    </row>
    <row r="42" s="12" customFormat="true" ht="19.5" hidden="false" customHeight="true" outlineLevel="0" collapsed="false">
      <c r="B42" s="91" t="n">
        <f aca="false">+B41+1</f>
        <v>21</v>
      </c>
      <c r="C42" s="92" t="n">
        <f aca="false">LARGE('A. Estación'!$O$18:$O$42,B42)</f>
        <v>87</v>
      </c>
      <c r="D42" s="92" t="n">
        <f aca="false">LOG(C42)</f>
        <v>1.93951925261862</v>
      </c>
      <c r="E42" s="93" t="n">
        <f aca="false">B42/(F$10+1)</f>
        <v>0.807692307692308</v>
      </c>
      <c r="F42" s="92" t="n">
        <f aca="false">(C42-F$11)/F$12</f>
        <v>-0.845645789819283</v>
      </c>
      <c r="G42" s="94" t="n">
        <f aca="false">NORMSDIST(F42)</f>
        <v>0.198875186575904</v>
      </c>
      <c r="H42" s="94" t="n">
        <f aca="false">1-G42</f>
        <v>0.801124813424097</v>
      </c>
      <c r="I42" s="94" t="n">
        <f aca="false">ABS(H42-E42)</f>
        <v>0.00656749426821124</v>
      </c>
      <c r="J42" s="92" t="n">
        <f aca="false">(D42-K$11)/K$12</f>
        <v>-0.906520442882183</v>
      </c>
      <c r="K42" s="94" t="n">
        <f aca="false">NORMSDIST(J42)</f>
        <v>0.182330224786653</v>
      </c>
      <c r="L42" s="93" t="n">
        <f aca="false">1-K42</f>
        <v>0.817669775213347</v>
      </c>
      <c r="M42" s="94" t="n">
        <f aca="false">ABS(L42-E42)</f>
        <v>0.00997746752103912</v>
      </c>
      <c r="N42" s="92" t="n">
        <f aca="false">LN(C42)</f>
        <v>4.46590811865458</v>
      </c>
      <c r="O42" s="92" t="n">
        <f aca="false">(N42-$P$17)/$P$16</f>
        <v>5.86090012922861</v>
      </c>
      <c r="P42" s="92" t="n">
        <f aca="false">2*O42</f>
        <v>11.7218002584572</v>
      </c>
      <c r="Q42" s="92" t="n">
        <f aca="false">2*$P$15</f>
        <v>17.0090904245031</v>
      </c>
      <c r="R42" s="93" t="n">
        <f aca="false">CHIDIST(P42,Q42)</f>
        <v>0.816682652889138</v>
      </c>
      <c r="S42" s="94" t="n">
        <f aca="false">R42</f>
        <v>0.816682652889138</v>
      </c>
      <c r="T42" s="93" t="n">
        <f aca="false">(B42/($P$10+1))</f>
        <v>0.807692307692308</v>
      </c>
      <c r="U42" s="93" t="n">
        <f aca="false">ABS(T42-S42)</f>
        <v>0.00899034519683051</v>
      </c>
      <c r="V42" s="92" t="n">
        <f aca="false">C42</f>
        <v>87</v>
      </c>
      <c r="W42" s="92" t="n">
        <f aca="false">(C42-V$11)/V$12</f>
        <v>-0.845645789819283</v>
      </c>
      <c r="X42" s="92" t="n">
        <f aca="false">W42*V$17+V$16</f>
        <v>-0.392037815008766</v>
      </c>
      <c r="Y42" s="93" t="n">
        <f aca="false">1-EXP(-EXP(-X42))</f>
        <v>0.772360872103276</v>
      </c>
      <c r="Z42" s="93" t="n">
        <f aca="false">ABS(Y42-E42)</f>
        <v>0.0353314355890317</v>
      </c>
      <c r="AA42" s="68"/>
      <c r="AB42" s="68"/>
      <c r="AC42" s="68"/>
      <c r="AD42" s="68"/>
      <c r="AE42" s="68"/>
      <c r="AF42" s="68"/>
      <c r="AG42" s="68"/>
      <c r="AH42" s="68"/>
      <c r="AI42" s="68"/>
    </row>
    <row r="43" s="12" customFormat="true" ht="19.5" hidden="false" customHeight="true" outlineLevel="0" collapsed="false">
      <c r="B43" s="91" t="n">
        <f aca="false">+B42+1</f>
        <v>22</v>
      </c>
      <c r="C43" s="92" t="n">
        <f aca="false">LARGE('A. Estación'!$O$18:$O$42,B43)</f>
        <v>84.2</v>
      </c>
      <c r="D43" s="92" t="n">
        <f aca="false">LOG(C43)</f>
        <v>1.92531209149965</v>
      </c>
      <c r="E43" s="93" t="n">
        <f aca="false">B43/(F$10+1)</f>
        <v>0.846153846153846</v>
      </c>
      <c r="F43" s="92" t="n">
        <f aca="false">(C43-F$11)/F$12</f>
        <v>-0.947233579912556</v>
      </c>
      <c r="G43" s="94" t="n">
        <f aca="false">NORMSDIST(F43)</f>
        <v>0.17175988385585</v>
      </c>
      <c r="H43" s="94" t="n">
        <f aca="false">1-G43</f>
        <v>0.82824011614415</v>
      </c>
      <c r="I43" s="94" t="n">
        <f aca="false">ABS(H43-E43)</f>
        <v>0.0179137300096962</v>
      </c>
      <c r="J43" s="92" t="n">
        <f aca="false">(D43-K$11)/K$12</f>
        <v>-1.04751714297613</v>
      </c>
      <c r="K43" s="94" t="n">
        <f aca="false">NORMSDIST(J43)</f>
        <v>0.147430564914414</v>
      </c>
      <c r="L43" s="93" t="n">
        <f aca="false">1-K43</f>
        <v>0.852569435085587</v>
      </c>
      <c r="M43" s="94" t="n">
        <f aca="false">ABS(L43-E43)</f>
        <v>0.00641558893174032</v>
      </c>
      <c r="N43" s="92" t="n">
        <f aca="false">LN(C43)</f>
        <v>4.43319492124828</v>
      </c>
      <c r="O43" s="92" t="n">
        <f aca="false">(N43-$P$17)/$P$16</f>
        <v>5.44971774955639</v>
      </c>
      <c r="P43" s="92" t="n">
        <f aca="false">2*O43</f>
        <v>10.8994354991128</v>
      </c>
      <c r="Q43" s="92" t="n">
        <f aca="false">2*$P$15</f>
        <v>17.0090904245031</v>
      </c>
      <c r="R43" s="93" t="n">
        <f aca="false">CHIDIST(P43,Q43)</f>
        <v>0.861743768992645</v>
      </c>
      <c r="S43" s="94" t="n">
        <f aca="false">R43</f>
        <v>0.861743768992645</v>
      </c>
      <c r="T43" s="93" t="n">
        <f aca="false">(B43/($P$10+1))</f>
        <v>0.846153846153846</v>
      </c>
      <c r="U43" s="93" t="n">
        <f aca="false">ABS(T43-S43)</f>
        <v>0.0155899228387989</v>
      </c>
      <c r="V43" s="92" t="n">
        <f aca="false">C43</f>
        <v>84.2</v>
      </c>
      <c r="W43" s="92" t="n">
        <f aca="false">(C43-V$11)/V$12</f>
        <v>-0.947233579912556</v>
      </c>
      <c r="X43" s="92" t="n">
        <f aca="false">W43*V$17+V$16</f>
        <v>-0.502910729116564</v>
      </c>
      <c r="Y43" s="93" t="n">
        <f aca="false">1-EXP(-EXP(-X43))</f>
        <v>0.808626304742805</v>
      </c>
      <c r="Z43" s="93" t="n">
        <f aca="false">ABS(Y43-E43)</f>
        <v>0.0375275414110415</v>
      </c>
      <c r="AA43" s="68"/>
      <c r="AB43" s="68"/>
      <c r="AC43" s="68"/>
      <c r="AD43" s="68"/>
      <c r="AE43" s="68"/>
      <c r="AF43" s="68"/>
      <c r="AG43" s="68"/>
      <c r="AH43" s="68"/>
      <c r="AI43" s="68"/>
    </row>
    <row r="44" s="12" customFormat="true" ht="19.5" hidden="false" customHeight="true" outlineLevel="0" collapsed="false">
      <c r="B44" s="91" t="n">
        <f aca="false">+B43+1</f>
        <v>23</v>
      </c>
      <c r="C44" s="92" t="n">
        <f aca="false">LARGE('A. Estación'!$O$18:$O$42,B44)</f>
        <v>84</v>
      </c>
      <c r="D44" s="92" t="n">
        <f aca="false">LOG(C44)</f>
        <v>1.92427928606188</v>
      </c>
      <c r="E44" s="93" t="n">
        <f aca="false">B44/(F$10+1)</f>
        <v>0.884615384615385</v>
      </c>
      <c r="F44" s="92" t="n">
        <f aca="false">(C44-F$11)/F$12</f>
        <v>-0.954489850633504</v>
      </c>
      <c r="G44" s="94" t="n">
        <f aca="false">NORMSDIST(F44)</f>
        <v>0.169917872177675</v>
      </c>
      <c r="H44" s="94" t="n">
        <f aca="false">1-G44</f>
        <v>0.830082127822325</v>
      </c>
      <c r="I44" s="94" t="n">
        <f aca="false">ABS(H44-E44)</f>
        <v>0.0545332567930597</v>
      </c>
      <c r="J44" s="92" t="n">
        <f aca="false">(D44-K$11)/K$12</f>
        <v>-1.05776705549172</v>
      </c>
      <c r="K44" s="94" t="n">
        <f aca="false">NORMSDIST(J44)</f>
        <v>0.145080827893873</v>
      </c>
      <c r="L44" s="93" t="n">
        <f aca="false">1-K44</f>
        <v>0.854919172106127</v>
      </c>
      <c r="M44" s="94" t="n">
        <f aca="false">ABS(L44-E44)</f>
        <v>0.0296962125092574</v>
      </c>
      <c r="N44" s="92" t="n">
        <f aca="false">LN(C44)</f>
        <v>4.43081679884331</v>
      </c>
      <c r="O44" s="92" t="n">
        <f aca="false">(N44-$P$17)/$P$16</f>
        <v>5.41982638744092</v>
      </c>
      <c r="P44" s="92" t="n">
        <f aca="false">2*O44</f>
        <v>10.8396527748818</v>
      </c>
      <c r="Q44" s="92" t="n">
        <f aca="false">2*$P$15</f>
        <v>17.0090904245031</v>
      </c>
      <c r="R44" s="93" t="n">
        <f aca="false">CHIDIST(P44,Q44)</f>
        <v>0.864777089838121</v>
      </c>
      <c r="S44" s="94" t="n">
        <f aca="false">R44</f>
        <v>0.864777089838121</v>
      </c>
      <c r="T44" s="93" t="n">
        <f aca="false">(B44/($P$10+1))</f>
        <v>0.884615384615385</v>
      </c>
      <c r="U44" s="93" t="n">
        <f aca="false">ABS(T44-S44)</f>
        <v>0.0198382947772635</v>
      </c>
      <c r="V44" s="92" t="n">
        <f aca="false">C44</f>
        <v>84</v>
      </c>
      <c r="W44" s="92" t="n">
        <f aca="false">(C44-V$11)/V$12</f>
        <v>-0.954489850633504</v>
      </c>
      <c r="X44" s="92" t="n">
        <f aca="false">W44*V$17+V$16</f>
        <v>-0.510830222981406</v>
      </c>
      <c r="Y44" s="93" t="n">
        <f aca="false">1-EXP(-EXP(-X44))</f>
        <v>0.811125844959526</v>
      </c>
      <c r="Z44" s="93" t="n">
        <f aca="false">ABS(Y44-E44)</f>
        <v>0.073489539655859</v>
      </c>
      <c r="AA44" s="68"/>
      <c r="AB44" s="68"/>
      <c r="AC44" s="68"/>
      <c r="AD44" s="68"/>
      <c r="AE44" s="68"/>
      <c r="AF44" s="68"/>
      <c r="AG44" s="68"/>
      <c r="AH44" s="68"/>
      <c r="AI44" s="68"/>
    </row>
    <row r="45" s="12" customFormat="true" ht="19.5" hidden="false" customHeight="true" outlineLevel="0" collapsed="false">
      <c r="B45" s="91" t="n">
        <f aca="false">+B44+1</f>
        <v>24</v>
      </c>
      <c r="C45" s="92" t="n">
        <f aca="false">LARGE('A. Estación'!$O$18:$O$42,B45)</f>
        <v>78</v>
      </c>
      <c r="D45" s="92" t="n">
        <f aca="false">LOG(C45)</f>
        <v>1.89209460269048</v>
      </c>
      <c r="E45" s="93" t="n">
        <f aca="false">B45/(F$10+1)</f>
        <v>0.923076923076923</v>
      </c>
      <c r="F45" s="92" t="n">
        <f aca="false">(C45-F$11)/F$12</f>
        <v>-1.17217797226194</v>
      </c>
      <c r="G45" s="94" t="n">
        <f aca="false">NORMSDIST(F45)</f>
        <v>0.120562805142495</v>
      </c>
      <c r="H45" s="94" t="n">
        <f aca="false">1-G45</f>
        <v>0.879437194857505</v>
      </c>
      <c r="I45" s="94" t="n">
        <f aca="false">ABS(H45-E45)</f>
        <v>0.0436397282194183</v>
      </c>
      <c r="J45" s="92" t="n">
        <f aca="false">(D45-K$11)/K$12</f>
        <v>-1.37717880221128</v>
      </c>
      <c r="K45" s="94" t="n">
        <f aca="false">NORMSDIST(J45)</f>
        <v>0.0842284869576667</v>
      </c>
      <c r="L45" s="93" t="n">
        <f aca="false">1-K45</f>
        <v>0.915771513042333</v>
      </c>
      <c r="M45" s="94" t="n">
        <f aca="false">ABS(L45-E45)</f>
        <v>0.00730541003458984</v>
      </c>
      <c r="N45" s="92" t="n">
        <f aca="false">LN(C45)</f>
        <v>4.35670882668959</v>
      </c>
      <c r="O45" s="92" t="n">
        <f aca="false">(N45-$P$17)/$P$16</f>
        <v>4.48834017518275</v>
      </c>
      <c r="P45" s="92" t="n">
        <f aca="false">2*O45</f>
        <v>8.97668035036551</v>
      </c>
      <c r="Q45" s="92" t="n">
        <f aca="false">2*$P$15</f>
        <v>17.0090904245031</v>
      </c>
      <c r="R45" s="93" t="n">
        <f aca="false">CHIDIST(P45,Q45)</f>
        <v>0.940990545251484</v>
      </c>
      <c r="S45" s="94" t="n">
        <f aca="false">R45</f>
        <v>0.940990545251484</v>
      </c>
      <c r="T45" s="93" t="n">
        <f aca="false">(B45/($P$10+1))</f>
        <v>0.923076923076923</v>
      </c>
      <c r="U45" s="93" t="n">
        <f aca="false">ABS(T45-S45)</f>
        <v>0.0179136221745613</v>
      </c>
      <c r="V45" s="92" t="n">
        <f aca="false">C45</f>
        <v>78</v>
      </c>
      <c r="W45" s="92" t="n">
        <f aca="false">(C45-V$11)/V$12</f>
        <v>-1.17217797226194</v>
      </c>
      <c r="X45" s="92" t="n">
        <f aca="false">W45*V$17+V$16</f>
        <v>-0.748415038926687</v>
      </c>
      <c r="Y45" s="93" t="n">
        <f aca="false">1-EXP(-EXP(-X45))</f>
        <v>0.87920342078626</v>
      </c>
      <c r="Z45" s="93" t="n">
        <f aca="false">ABS(Y45-E45)</f>
        <v>0.0438735022906632</v>
      </c>
      <c r="AA45" s="68"/>
      <c r="AB45" s="68"/>
      <c r="AC45" s="68"/>
      <c r="AD45" s="68"/>
      <c r="AE45" s="68"/>
      <c r="AF45" s="68"/>
      <c r="AG45" s="68"/>
      <c r="AH45" s="68"/>
      <c r="AI45" s="68"/>
    </row>
    <row r="46" s="12" customFormat="true" ht="19.5" hidden="false" customHeight="true" outlineLevel="0" collapsed="false">
      <c r="B46" s="91" t="n">
        <f aca="false">+B45+1</f>
        <v>25</v>
      </c>
      <c r="C46" s="92" t="n">
        <f aca="false">LARGE('A. Estación'!$O$18:$O$42,B46)</f>
        <v>77.3</v>
      </c>
      <c r="D46" s="92" t="n">
        <f aca="false">LOG(C46)</f>
        <v>1.88817949391832</v>
      </c>
      <c r="E46" s="93" t="n">
        <f aca="false">B46/(F$10+1)</f>
        <v>0.961538461538462</v>
      </c>
      <c r="F46" s="92" t="n">
        <f aca="false">(C46-F$11)/F$12</f>
        <v>-1.19757491978526</v>
      </c>
      <c r="G46" s="94" t="n">
        <f aca="false">NORMSDIST(F46)</f>
        <v>0.115541272390746</v>
      </c>
      <c r="H46" s="94" t="n">
        <f aca="false">1-G46</f>
        <v>0.884458727609254</v>
      </c>
      <c r="I46" s="94" t="n">
        <f aca="false">ABS(H46-E46)</f>
        <v>0.0770797339292078</v>
      </c>
      <c r="J46" s="92" t="n">
        <f aca="false">(D46-K$11)/K$12</f>
        <v>-1.41603367355118</v>
      </c>
      <c r="K46" s="94" t="n">
        <f aca="false">NORMSDIST(J46)</f>
        <v>0.0783828228063087</v>
      </c>
      <c r="L46" s="93" t="n">
        <f aca="false">1-K46</f>
        <v>0.921617177193691</v>
      </c>
      <c r="M46" s="94" t="n">
        <f aca="false">ABS(L46-E46)</f>
        <v>0.0399212843447703</v>
      </c>
      <c r="N46" s="92" t="n">
        <f aca="false">LN(C46)</f>
        <v>4.34769395559338</v>
      </c>
      <c r="O46" s="92" t="n">
        <f aca="false">(N46-$P$17)/$P$16</f>
        <v>4.37502944912496</v>
      </c>
      <c r="P46" s="92" t="n">
        <f aca="false">2*O46</f>
        <v>8.75005889824992</v>
      </c>
      <c r="Q46" s="92" t="n">
        <f aca="false">2*$P$15</f>
        <v>17.0090904245031</v>
      </c>
      <c r="R46" s="93" t="n">
        <f aca="false">CHIDIST(P46,Q46)</f>
        <v>0.947778044917365</v>
      </c>
      <c r="S46" s="94" t="n">
        <f aca="false">R46</f>
        <v>0.947778044917365</v>
      </c>
      <c r="T46" s="93" t="n">
        <f aca="false">(B46/($P$10+1))</f>
        <v>0.961538461538462</v>
      </c>
      <c r="U46" s="93" t="n">
        <f aca="false">ABS(T46-S46)</f>
        <v>0.0137604166210971</v>
      </c>
      <c r="V46" s="92" t="n">
        <f aca="false">C46</f>
        <v>77.3</v>
      </c>
      <c r="W46" s="92" t="n">
        <f aca="false">(C46-V$11)/V$12</f>
        <v>-1.19757491978526</v>
      </c>
      <c r="X46" s="92" t="n">
        <f aca="false">W46*V$17+V$16</f>
        <v>-0.776133267453636</v>
      </c>
      <c r="Y46" s="93" t="n">
        <f aca="false">1-EXP(-EXP(-X46))</f>
        <v>0.886170479373365</v>
      </c>
      <c r="Z46" s="93" t="n">
        <f aca="false">ABS(Y46-E46)</f>
        <v>0.0753679821650967</v>
      </c>
      <c r="AA46" s="68"/>
      <c r="AB46" s="68"/>
      <c r="AC46" s="68"/>
      <c r="AD46" s="68"/>
      <c r="AE46" s="68"/>
      <c r="AF46" s="68"/>
      <c r="AG46" s="68"/>
      <c r="AH46" s="68"/>
      <c r="AI46" s="68"/>
    </row>
    <row r="47" s="12" customFormat="true" ht="19.5" hidden="false" customHeight="true" outlineLevel="0" collapsed="false">
      <c r="B47" s="95"/>
      <c r="C47" s="96"/>
      <c r="D47" s="96"/>
      <c r="E47" s="97"/>
      <c r="F47" s="96"/>
      <c r="G47" s="98"/>
      <c r="H47" s="99" t="s">
        <v>112</v>
      </c>
      <c r="I47" s="100" t="n">
        <f aca="false">MAX(I22:I46)</f>
        <v>0.13038316668076</v>
      </c>
      <c r="J47" s="101"/>
      <c r="K47" s="101"/>
      <c r="L47" s="99" t="s">
        <v>112</v>
      </c>
      <c r="M47" s="100" t="n">
        <f aca="false">MAX(M22:M46)</f>
        <v>0.0946808424236231</v>
      </c>
      <c r="N47" s="102"/>
      <c r="O47" s="101"/>
      <c r="P47" s="101"/>
      <c r="Q47" s="101"/>
      <c r="R47" s="101"/>
      <c r="S47" s="101"/>
      <c r="T47" s="99" t="s">
        <v>112</v>
      </c>
      <c r="U47" s="100" t="n">
        <f aca="false">MAX(U22:U46)</f>
        <v>0.0682839547019196</v>
      </c>
      <c r="V47" s="101"/>
      <c r="W47" s="101"/>
      <c r="X47" s="101"/>
      <c r="Y47" s="99" t="s">
        <v>112</v>
      </c>
      <c r="Z47" s="100" t="n">
        <f aca="false">MAX(Z22:Z46)</f>
        <v>0.0774936627397572</v>
      </c>
      <c r="AA47" s="68"/>
      <c r="AB47" s="103"/>
      <c r="AC47" s="103"/>
      <c r="AD47" s="68"/>
      <c r="AE47" s="68"/>
      <c r="AF47" s="68"/>
      <c r="AG47" s="68"/>
      <c r="AH47" s="68"/>
      <c r="AI47" s="68"/>
    </row>
    <row r="48" s="12" customFormat="true" ht="19.5" hidden="false" customHeight="true" outlineLevel="0" collapsed="false">
      <c r="B48" s="104"/>
      <c r="C48" s="104"/>
      <c r="D48" s="104"/>
      <c r="E48" s="104"/>
      <c r="F48" s="104"/>
      <c r="G48" s="104"/>
      <c r="H48" s="105"/>
      <c r="I48" s="106"/>
      <c r="J48" s="105"/>
      <c r="K48" s="105"/>
      <c r="L48" s="105"/>
      <c r="M48" s="106"/>
      <c r="N48" s="106"/>
      <c r="O48" s="105"/>
      <c r="P48" s="105"/>
      <c r="Q48" s="105"/>
      <c r="R48" s="105"/>
      <c r="S48" s="105"/>
      <c r="T48" s="105"/>
      <c r="U48" s="106"/>
      <c r="V48" s="105"/>
      <c r="W48" s="105"/>
      <c r="X48" s="105"/>
      <c r="Y48" s="105"/>
      <c r="Z48" s="106"/>
      <c r="AA48" s="68"/>
      <c r="AB48" s="103"/>
      <c r="AC48" s="103"/>
      <c r="AD48" s="68"/>
      <c r="AE48" s="68"/>
      <c r="AF48" s="68"/>
      <c r="AG48" s="68"/>
      <c r="AH48" s="68"/>
      <c r="AI48" s="68"/>
    </row>
    <row r="49" s="12" customFormat="true" ht="19.5" hidden="false" customHeight="true" outlineLevel="0" collapsed="false">
      <c r="B49" s="107" t="s">
        <v>113</v>
      </c>
      <c r="C49" s="107"/>
      <c r="D49" s="107"/>
      <c r="E49" s="107"/>
      <c r="F49" s="107"/>
      <c r="G49" s="107"/>
      <c r="H49" s="107"/>
      <c r="I49" s="107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103" t="n">
        <f aca="false">M47</f>
        <v>0.0946808424236231</v>
      </c>
      <c r="AC49" s="103" t="n">
        <f aca="false">+IFERROR(AB49,"")</f>
        <v>0.0946808424236231</v>
      </c>
      <c r="AD49" s="68" t="str">
        <f aca="false">E51</f>
        <v>Log - Normal</v>
      </c>
      <c r="AE49" s="68"/>
      <c r="AF49" s="68"/>
      <c r="AG49" s="68"/>
      <c r="AH49" s="68"/>
      <c r="AI49" s="68"/>
    </row>
    <row r="50" s="12" customFormat="true" ht="19.5" hidden="false" customHeight="true" outlineLevel="0" collapsed="false">
      <c r="B50" s="89" t="s">
        <v>114</v>
      </c>
      <c r="C50" s="89"/>
      <c r="D50" s="89" t="s">
        <v>115</v>
      </c>
      <c r="E50" s="89"/>
      <c r="F50" s="89"/>
      <c r="G50" s="89"/>
      <c r="H50" s="89"/>
      <c r="I50" s="89"/>
      <c r="J50" s="68"/>
      <c r="K50" s="68"/>
      <c r="L50" s="72"/>
      <c r="M50" s="72"/>
      <c r="N50" s="72"/>
      <c r="O50" s="108" t="s">
        <v>116</v>
      </c>
      <c r="P50" s="109" t="n">
        <f aca="false">+F10</f>
        <v>25</v>
      </c>
      <c r="Q50" s="68"/>
      <c r="R50" s="68"/>
      <c r="S50" s="68"/>
      <c r="T50" s="72"/>
      <c r="U50" s="72"/>
      <c r="V50" s="72"/>
      <c r="W50" s="68"/>
      <c r="X50" s="68"/>
      <c r="Y50" s="68"/>
      <c r="Z50" s="68"/>
      <c r="AA50" s="68"/>
      <c r="AB50" s="103"/>
      <c r="AC50" s="103"/>
      <c r="AD50" s="68"/>
      <c r="AE50" s="68"/>
      <c r="AF50" s="68"/>
      <c r="AG50" s="68"/>
      <c r="AH50" s="68"/>
      <c r="AI50" s="68"/>
    </row>
    <row r="51" s="12" customFormat="true" ht="30" hidden="false" customHeight="true" outlineLevel="0" collapsed="false">
      <c r="B51" s="89" t="s">
        <v>117</v>
      </c>
      <c r="C51" s="89"/>
      <c r="D51" s="89" t="s">
        <v>118</v>
      </c>
      <c r="E51" s="90" t="s">
        <v>119</v>
      </c>
      <c r="F51" s="90"/>
      <c r="G51" s="90" t="s">
        <v>120</v>
      </c>
      <c r="H51" s="90"/>
      <c r="I51" s="89" t="s">
        <v>121</v>
      </c>
      <c r="J51" s="68"/>
      <c r="K51" s="68"/>
      <c r="L51" s="72"/>
      <c r="M51" s="72"/>
      <c r="N51" s="72"/>
      <c r="O51" s="108" t="s">
        <v>122</v>
      </c>
      <c r="P51" s="110" t="n">
        <v>0.05</v>
      </c>
      <c r="Q51" s="68"/>
      <c r="R51" s="68"/>
      <c r="S51" s="68"/>
      <c r="T51" s="72"/>
      <c r="U51" s="72"/>
      <c r="V51" s="72"/>
      <c r="W51" s="68"/>
      <c r="X51" s="68"/>
      <c r="Y51" s="68"/>
      <c r="Z51" s="68"/>
      <c r="AA51" s="68"/>
      <c r="AB51" s="103" t="n">
        <f aca="false">U47</f>
        <v>0.0682839547019196</v>
      </c>
      <c r="AC51" s="103" t="n">
        <f aca="false">+IFERROR(AB51,"")</f>
        <v>0.0682839547019196</v>
      </c>
      <c r="AD51" s="68" t="str">
        <f aca="false">G51</f>
        <v>Log Pearson Tipo III</v>
      </c>
      <c r="AE51" s="68"/>
      <c r="AF51" s="68"/>
      <c r="AG51" s="68"/>
      <c r="AH51" s="68"/>
      <c r="AI51" s="68"/>
    </row>
    <row r="52" s="12" customFormat="true" ht="19.5" hidden="false" customHeight="true" outlineLevel="0" collapsed="false">
      <c r="B52" s="111" t="s">
        <v>123</v>
      </c>
      <c r="C52" s="111"/>
      <c r="D52" s="112" t="n">
        <f aca="false">+I47</f>
        <v>0.13038316668076</v>
      </c>
      <c r="E52" s="112" t="n">
        <f aca="false">+AC49</f>
        <v>0.0946808424236231</v>
      </c>
      <c r="F52" s="112"/>
      <c r="G52" s="113" t="n">
        <f aca="false">+IFERROR(U47,"No se ajusta a la distribución Log-Pearson Tipo 3")</f>
        <v>0.0682839547019196</v>
      </c>
      <c r="H52" s="113"/>
      <c r="I52" s="112" t="n">
        <f aca="false">+AC52</f>
        <v>0.0774936627397572</v>
      </c>
      <c r="J52" s="68"/>
      <c r="K52" s="68"/>
      <c r="L52" s="72"/>
      <c r="M52" s="68"/>
      <c r="N52" s="68"/>
      <c r="O52" s="108" t="s">
        <v>124</v>
      </c>
      <c r="P52" s="114" t="n">
        <f aca="false">+(-LN($P$51/2)/2/$P$50)^0.5-1/6/$P$50</f>
        <v>0.264953636481457</v>
      </c>
      <c r="Q52" s="68"/>
      <c r="R52" s="68"/>
      <c r="S52" s="68"/>
      <c r="T52" s="72"/>
      <c r="V52" s="72"/>
      <c r="W52" s="68"/>
      <c r="X52" s="68"/>
      <c r="Y52" s="68"/>
      <c r="Z52" s="68"/>
      <c r="AA52" s="68"/>
      <c r="AB52" s="103" t="n">
        <f aca="false">Z47</f>
        <v>0.0774936627397572</v>
      </c>
      <c r="AC52" s="103" t="n">
        <f aca="false">+IFERROR(AB52,"")</f>
        <v>0.0774936627397572</v>
      </c>
      <c r="AD52" s="68" t="str">
        <f aca="false">I51</f>
        <v>Gumbel</v>
      </c>
      <c r="AE52" s="68"/>
      <c r="AF52" s="68"/>
      <c r="AG52" s="68"/>
      <c r="AH52" s="68"/>
      <c r="AI52" s="68"/>
    </row>
    <row r="53" s="12" customFormat="true" ht="19.5" hidden="false" customHeight="true" outlineLevel="0" collapsed="false">
      <c r="B53" s="72"/>
      <c r="C53" s="68"/>
      <c r="D53" s="115"/>
      <c r="E53" s="72"/>
      <c r="F53" s="72"/>
      <c r="G53" s="72"/>
      <c r="H53" s="72"/>
      <c r="I53" s="68"/>
      <c r="J53" s="68"/>
      <c r="K53" s="68"/>
      <c r="L53" s="68"/>
      <c r="M53" s="68"/>
      <c r="N53" s="68"/>
      <c r="O53" s="68"/>
      <c r="P53" s="116" t="s">
        <v>125</v>
      </c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</row>
    <row r="54" s="12" customFormat="true" ht="19.5" hidden="false" customHeight="true" outlineLevel="0" collapsed="false">
      <c r="B54" s="68"/>
      <c r="C54" s="68"/>
      <c r="D54" s="72"/>
      <c r="E54" s="72"/>
      <c r="F54" s="108" t="s">
        <v>126</v>
      </c>
      <c r="G54" s="117" t="str">
        <f aca="false">AC56</f>
        <v>Log Pearson Tipo III</v>
      </c>
      <c r="H54" s="117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</row>
    <row r="55" s="12" customFormat="true" ht="19.5" hidden="false" customHeight="true" outlineLevel="0" collapsed="false"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 t="s">
        <v>127</v>
      </c>
      <c r="AC55" s="118" t="n">
        <f aca="false">MIN(AC47:AC52)</f>
        <v>0.0682839547019196</v>
      </c>
      <c r="AD55" s="68"/>
      <c r="AE55" s="68"/>
      <c r="AF55" s="68"/>
      <c r="AG55" s="68"/>
      <c r="AH55" s="68"/>
      <c r="AI55" s="68"/>
    </row>
    <row r="56" s="12" customFormat="true" ht="19.5" hidden="false" customHeight="true" outlineLevel="0" collapsed="false"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 t="s">
        <v>128</v>
      </c>
      <c r="AC56" s="119" t="str">
        <f aca="false">VLOOKUP(AC55,AC47:AE52,2,FALSE())</f>
        <v>Log Pearson Tipo III</v>
      </c>
      <c r="AD56" s="68"/>
      <c r="AE56" s="68"/>
      <c r="AF56" s="68"/>
      <c r="AG56" s="68"/>
      <c r="AH56" s="68"/>
      <c r="AI56" s="68"/>
    </row>
    <row r="57" s="12" customFormat="true" ht="19.5" hidden="false" customHeight="true" outlineLevel="0" collapsed="false"/>
    <row r="58" s="12" customFormat="true" ht="19.5" hidden="false" customHeight="true" outlineLevel="0" collapsed="false"/>
    <row r="59" customFormat="false" ht="19.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customFormat="false" ht="19.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1048576" customFormat="false" ht="12.8" hidden="false" customHeight="false" outlineLevel="0" collapsed="false"/>
  </sheetData>
  <mergeCells count="42">
    <mergeCell ref="C2:Z2"/>
    <mergeCell ref="C3:Z3"/>
    <mergeCell ref="C4:Z4"/>
    <mergeCell ref="C5:Z5"/>
    <mergeCell ref="C10:E10"/>
    <mergeCell ref="H10:J10"/>
    <mergeCell ref="L10:O10"/>
    <mergeCell ref="R10:U10"/>
    <mergeCell ref="C11:E11"/>
    <mergeCell ref="H11:J11"/>
    <mergeCell ref="L11:O11"/>
    <mergeCell ref="R11:U11"/>
    <mergeCell ref="C12:E12"/>
    <mergeCell ref="H12:J12"/>
    <mergeCell ref="L12:O12"/>
    <mergeCell ref="R12:U12"/>
    <mergeCell ref="C13:E13"/>
    <mergeCell ref="H13:J13"/>
    <mergeCell ref="L13:O13"/>
    <mergeCell ref="R13:U13"/>
    <mergeCell ref="C14:E14"/>
    <mergeCell ref="C15:E15"/>
    <mergeCell ref="C16:E16"/>
    <mergeCell ref="C17:E17"/>
    <mergeCell ref="B20:B21"/>
    <mergeCell ref="C20:C21"/>
    <mergeCell ref="D20:D21"/>
    <mergeCell ref="E20:E21"/>
    <mergeCell ref="F20:I20"/>
    <mergeCell ref="J20:M20"/>
    <mergeCell ref="N20:U20"/>
    <mergeCell ref="V20:Z20"/>
    <mergeCell ref="B49:I49"/>
    <mergeCell ref="B50:C50"/>
    <mergeCell ref="D50:I50"/>
    <mergeCell ref="B51:C51"/>
    <mergeCell ref="E51:F51"/>
    <mergeCell ref="G51:H51"/>
    <mergeCell ref="B52:C52"/>
    <mergeCell ref="E52:F52"/>
    <mergeCell ref="G52:H52"/>
    <mergeCell ref="G54:H54"/>
  </mergeCells>
  <conditionalFormatting sqref="D52:I52">
    <cfRule type="cellIs" priority="2" operator="equal" aboveAverage="0" equalAverage="0" bottom="0" percent="0" rank="0" text="" dxfId="0">
      <formula>$AC$55</formula>
    </cfRule>
  </conditionalFormatting>
  <conditionalFormatting sqref="D51:I51">
    <cfRule type="cellIs" priority="3" operator="equal" aboveAverage="0" equalAverage="0" bottom="0" percent="0" rank="0" text="" dxfId="1">
      <formula>$AC$56</formula>
    </cfRule>
  </conditionalFormatting>
  <printOptions headings="false" gridLines="false" gridLinesSet="true" horizontalCentered="false" verticalCentered="false"/>
  <pageMargins left="1.95972222222222" right="0.708333333333333" top="0.354166666666667" bottom="0.354166666666667" header="0.511811023622047" footer="0.511811023622047"/>
  <pageSetup paperSize="9" scale="4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64"/>
  <sheetViews>
    <sheetView showFormulas="false" showGridLines="true" showRowColHeaders="true" showZeros="true" rightToLeft="false" tabSelected="false" showOutlineSymbols="true" defaultGridColor="true" view="pageBreakPreview" topLeftCell="A1" colorId="64" zoomScale="130" zoomScaleNormal="100" zoomScalePageLayoutView="130" workbookViewId="0">
      <selection pane="topLeft" activeCell="T56" activeCellId="0" sqref="T56"/>
    </sheetView>
  </sheetViews>
  <sheetFormatPr defaultColWidth="9.9140625" defaultRowHeight="12.75" zeroHeight="false" outlineLevelRow="0" outlineLevelCol="0"/>
  <cols>
    <col collapsed="false" customWidth="true" hidden="false" outlineLevel="0" max="1" min="1" style="39" width="2.45"/>
    <col collapsed="false" customWidth="true" hidden="false" outlineLevel="0" max="5" min="2" style="39" width="10.63"/>
    <col collapsed="false" customWidth="true" hidden="false" outlineLevel="0" max="6" min="6" style="39" width="3.54"/>
    <col collapsed="false" customWidth="true" hidden="false" outlineLevel="0" max="9" min="7" style="39" width="10.63"/>
    <col collapsed="false" customWidth="true" hidden="false" outlineLevel="0" max="10" min="10" style="39" width="14.54"/>
    <col collapsed="false" customWidth="true" hidden="false" outlineLevel="0" max="12" min="11" style="39" width="10.63"/>
    <col collapsed="false" customWidth="true" hidden="false" outlineLevel="0" max="13" min="13" style="39" width="2.73"/>
    <col collapsed="false" customWidth="true" hidden="false" outlineLevel="0" max="14" min="14" style="39" width="11.63"/>
    <col collapsed="false" customWidth="true" hidden="false" outlineLevel="0" max="15" min="15" style="39" width="6.54"/>
    <col collapsed="false" customWidth="true" hidden="false" outlineLevel="0" max="16" min="16" style="39" width="9.45"/>
    <col collapsed="false" customWidth="true" hidden="false" outlineLevel="0" max="17" min="17" style="39" width="6.91"/>
    <col collapsed="false" customWidth="true" hidden="false" outlineLevel="0" max="18" min="18" style="39" width="4.54"/>
    <col collapsed="false" customWidth="true" hidden="false" outlineLevel="0" max="19" min="19" style="39" width="6.09"/>
    <col collapsed="false" customWidth="true" hidden="false" outlineLevel="0" max="20" min="20" style="39" width="5.09"/>
    <col collapsed="false" customWidth="true" hidden="false" outlineLevel="0" max="21" min="21" style="39" width="6.09"/>
    <col collapsed="false" customWidth="true" hidden="false" outlineLevel="0" max="22" min="22" style="39" width="4"/>
    <col collapsed="false" customWidth="true" hidden="false" outlineLevel="0" max="23" min="23" style="39" width="4.91"/>
    <col collapsed="false" customWidth="true" hidden="false" outlineLevel="0" max="24" min="24" style="39" width="6.54"/>
    <col collapsed="false" customWidth="true" hidden="false" outlineLevel="0" max="25" min="25" style="39" width="4"/>
    <col collapsed="false" customWidth="true" hidden="false" outlineLevel="0" max="26" min="26" style="39" width="4.63"/>
    <col collapsed="false" customWidth="false" hidden="false" outlineLevel="0" max="16384" min="27" style="39" width="9.91"/>
  </cols>
  <sheetData>
    <row r="1" customFormat="false" ht="20.25" hidden="false" customHeight="true" outlineLevel="0" collapsed="false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43.5" hidden="false" customHeight="true" outlineLevel="0" collapsed="false">
      <c r="B2" s="64" t="s">
        <v>11</v>
      </c>
      <c r="C2" s="120" t="str">
        <f aca="false">'A. Estación'!C2:O2</f>
        <v>“MEJORAMIENTO Y AMPLIACIÓN DEL SERVICIO DE EDUCACIÓN PRIMARIA EN I.E. N° 0590 DISTRITO DE BARRANQUITA DE LA PROVINCIA DE LAMAS DEL DEPARTAMENTO DE SAN MARTÍN”, con C.I. N.° 468901</v>
      </c>
      <c r="D2" s="120"/>
      <c r="E2" s="120"/>
      <c r="F2" s="120"/>
      <c r="G2" s="120"/>
      <c r="H2" s="120"/>
      <c r="I2" s="120"/>
      <c r="J2" s="120"/>
      <c r="K2" s="120"/>
      <c r="L2" s="120"/>
    </row>
    <row r="3" customFormat="false" ht="15.75" hidden="false" customHeight="true" outlineLevel="0" collapsed="false">
      <c r="B3" s="64" t="s">
        <v>13</v>
      </c>
      <c r="C3" s="120" t="str">
        <f aca="false">'A. Estación'!C3:O3</f>
        <v>GOBIERNO REGIONAL SAN MARTIN - GERENCIA TERRITORIAL BAJO MAYO - TARAPOTO</v>
      </c>
      <c r="D3" s="120"/>
      <c r="E3" s="120"/>
      <c r="F3" s="120"/>
      <c r="G3" s="120"/>
      <c r="H3" s="120"/>
      <c r="I3" s="120"/>
      <c r="J3" s="120"/>
      <c r="K3" s="120"/>
      <c r="L3" s="120"/>
    </row>
    <row r="4" customFormat="false" ht="16.5" hidden="false" customHeight="true" outlineLevel="0" collapsed="false">
      <c r="B4" s="64" t="s">
        <v>15</v>
      </c>
      <c r="C4" s="120" t="str">
        <f aca="false">'A. Estación'!C4:O4</f>
        <v>SAN MARTIN - LAMAS - BARRANQUITA</v>
      </c>
      <c r="D4" s="120"/>
      <c r="E4" s="120"/>
      <c r="F4" s="120"/>
      <c r="G4" s="120"/>
      <c r="H4" s="120"/>
      <c r="I4" s="120"/>
      <c r="J4" s="120"/>
      <c r="K4" s="120"/>
      <c r="L4" s="120"/>
    </row>
    <row r="5" customFormat="false" ht="15" hidden="false" customHeight="true" outlineLevel="0" collapsed="false">
      <c r="B5" s="64" t="s">
        <v>17</v>
      </c>
      <c r="C5" s="120" t="str">
        <f aca="false">'A. Estación'!C5:O5</f>
        <v>OCTUBRE 2026</v>
      </c>
      <c r="D5" s="120"/>
      <c r="E5" s="120"/>
      <c r="F5" s="120"/>
      <c r="G5" s="120"/>
      <c r="H5" s="120"/>
      <c r="I5" s="120"/>
      <c r="J5" s="120"/>
      <c r="K5" s="120"/>
      <c r="L5" s="120"/>
    </row>
    <row r="6" s="12" customFormat="true" ht="19.5" hidden="false" customHeight="true" outlineLevel="0" collapsed="false"/>
    <row r="7" s="12" customFormat="true" ht="19.5" hidden="false" customHeight="true" outlineLevel="0" collapsed="false">
      <c r="B7" s="23" t="s">
        <v>129</v>
      </c>
      <c r="C7" s="25"/>
    </row>
    <row r="8" s="12" customFormat="true" ht="12.75" hidden="false" customHeight="false" outlineLevel="0" collapsed="false">
      <c r="B8" s="121"/>
      <c r="C8" s="121"/>
    </row>
    <row r="9" s="12" customFormat="true" ht="19.5" hidden="false" customHeight="true" outlineLevel="0" collapsed="false">
      <c r="B9" s="45" t="s">
        <v>130</v>
      </c>
      <c r="C9" s="45"/>
      <c r="D9" s="45"/>
      <c r="E9" s="45" t="s">
        <v>131</v>
      </c>
      <c r="F9" s="122"/>
      <c r="G9" s="46" t="s">
        <v>132</v>
      </c>
      <c r="H9" s="45" t="s">
        <v>118</v>
      </c>
      <c r="I9" s="46" t="s">
        <v>133</v>
      </c>
      <c r="J9" s="46" t="s">
        <v>134</v>
      </c>
      <c r="K9" s="46" t="s">
        <v>121</v>
      </c>
      <c r="L9" s="46" t="s">
        <v>135</v>
      </c>
    </row>
    <row r="10" s="12" customFormat="true" ht="19.5" hidden="false" customHeight="true" outlineLevel="0" collapsed="false">
      <c r="B10" s="42" t="s">
        <v>136</v>
      </c>
      <c r="C10" s="42"/>
      <c r="D10" s="42"/>
      <c r="E10" s="123" t="n">
        <f aca="false">'B.Modelo Distribución'!C36</f>
        <v>110.308</v>
      </c>
      <c r="F10" s="88"/>
      <c r="G10" s="124" t="n">
        <v>2</v>
      </c>
      <c r="H10" s="125" t="n">
        <f aca="false">'B.Modelo Distribución'!J11</f>
        <v>110.307997216017</v>
      </c>
      <c r="I10" s="126" t="n">
        <f aca="false">'B.Modelo Distribución'!H58</f>
        <v>107.364915644395</v>
      </c>
      <c r="J10" s="127" t="n">
        <f aca="false">'B.Modelo Distribución'!R11</f>
        <v>104.591452040495</v>
      </c>
      <c r="K10" s="128" t="n">
        <f aca="false">'B.Modelo Distribución'!E46</f>
        <v>105.780273618196</v>
      </c>
      <c r="L10" s="129" t="n">
        <f aca="false">IF('C. Prueba Kolmorov-Smirnov'!$G$54="Normal",H10,IF('C. Prueba Kolmorov-Smirnov'!$G$54="Log - Normal",I10,IF('C. Prueba Kolmorov-Smirnov'!$G$54="Gumbel",K10,J10)))</f>
        <v>104.591452040495</v>
      </c>
      <c r="N10" s="130"/>
    </row>
    <row r="11" s="12" customFormat="true" ht="19.5" hidden="false" customHeight="true" outlineLevel="0" collapsed="false">
      <c r="B11" s="42" t="s">
        <v>137</v>
      </c>
      <c r="C11" s="42"/>
      <c r="D11" s="42"/>
      <c r="E11" s="123" t="n">
        <f aca="false">'B.Modelo Distribución'!C38</f>
        <v>27.5623674599988</v>
      </c>
      <c r="F11" s="88"/>
      <c r="G11" s="124" t="n">
        <v>5</v>
      </c>
      <c r="H11" s="125" t="n">
        <f aca="false">'B.Modelo Distribución'!J12</f>
        <v>133.500539245417</v>
      </c>
      <c r="I11" s="126" t="n">
        <f aca="false">'B.Modelo Distribución'!H59</f>
        <v>130.511736230561</v>
      </c>
      <c r="J11" s="127" t="n">
        <f aca="false">'B.Modelo Distribución'!R12</f>
        <v>128.941318567935</v>
      </c>
      <c r="K11" s="128" t="n">
        <f aca="false">'B.Modelo Distribución'!E47</f>
        <v>130.137949672903</v>
      </c>
      <c r="L11" s="129" t="n">
        <f aca="false">IF('C. Prueba Kolmorov-Smirnov'!$G$54="Normal",H11,IF('C. Prueba Kolmorov-Smirnov'!$G$54="Log - Normal",I11,IF('C. Prueba Kolmorov-Smirnov'!$G$54="Gumbel",K11,J11)))</f>
        <v>128.941318567935</v>
      </c>
    </row>
    <row r="12" s="12" customFormat="true" ht="19.5" hidden="false" customHeight="true" outlineLevel="0" collapsed="false">
      <c r="B12" s="42" t="s">
        <v>138</v>
      </c>
      <c r="C12" s="42"/>
      <c r="D12" s="42"/>
      <c r="E12" s="123" t="n">
        <f aca="false">'B.Modelo Distribución'!C39</f>
        <v>1.13170575002246</v>
      </c>
      <c r="F12" s="88"/>
      <c r="G12" s="124" t="n">
        <v>10</v>
      </c>
      <c r="H12" s="125" t="n">
        <f aca="false">'B.Modelo Distribución'!J13</f>
        <v>145.635478970775</v>
      </c>
      <c r="I12" s="126" t="n">
        <f aca="false">'B.Modelo Distribución'!H60</f>
        <v>144.548110699961</v>
      </c>
      <c r="J12" s="127" t="n">
        <f aca="false">'B.Modelo Distribución'!R13</f>
        <v>146.181155207782</v>
      </c>
      <c r="K12" s="128" t="n">
        <f aca="false">'B.Modelo Distribución'!E48</f>
        <v>146.264850652446</v>
      </c>
      <c r="L12" s="129" t="n">
        <f aca="false">IF('C. Prueba Kolmorov-Smirnov'!$G$54="Normal",H12,IF('C. Prueba Kolmorov-Smirnov'!$G$54="Log - Normal",I12,IF('C. Prueba Kolmorov-Smirnov'!$G$54="Gumbel",K12,J12)))</f>
        <v>146.181155207782</v>
      </c>
    </row>
    <row r="13" s="12" customFormat="true" ht="19.5" hidden="false" customHeight="true" outlineLevel="0" collapsed="false">
      <c r="B13" s="42" t="s">
        <v>139</v>
      </c>
      <c r="C13" s="42"/>
      <c r="D13" s="42"/>
      <c r="E13" s="131" t="n">
        <f aca="false">'B.Modelo Distribución'!C41</f>
        <v>25</v>
      </c>
      <c r="F13" s="88"/>
      <c r="G13" s="124" t="n">
        <v>20</v>
      </c>
      <c r="H13" s="125" t="n">
        <f aca="false">'B.Modelo Distribución'!J14</f>
        <v>155.653922262638</v>
      </c>
      <c r="I13" s="126" t="n">
        <f aca="false">'B.Modelo Distribución'!H61</f>
        <v>157.267069731786</v>
      </c>
      <c r="J13" s="127" t="n">
        <f aca="false">'B.Modelo Distribución'!R14</f>
        <v>163.564561194566</v>
      </c>
      <c r="K13" s="128" t="n">
        <f aca="false">'B.Modelo Distribución'!E49</f>
        <v>161.73416125551</v>
      </c>
      <c r="L13" s="129" t="n">
        <f aca="false">IF('C. Prueba Kolmorov-Smirnov'!$G$54="Normal",H13,IF('C. Prueba Kolmorov-Smirnov'!$G$54="Log - Normal",I13,IF('C. Prueba Kolmorov-Smirnov'!$G$54="Gumbel",K13,J13)))</f>
        <v>163.564561194566</v>
      </c>
    </row>
    <row r="14" s="12" customFormat="true" ht="19.5" hidden="false" customHeight="true" outlineLevel="0" collapsed="false">
      <c r="B14" s="42" t="s">
        <v>140</v>
      </c>
      <c r="C14" s="42"/>
      <c r="D14" s="42"/>
      <c r="E14" s="123" t="n">
        <f aca="false">6/E13</f>
        <v>0.24</v>
      </c>
      <c r="F14" s="88"/>
      <c r="G14" s="124" t="n">
        <v>25</v>
      </c>
      <c r="H14" s="125" t="n">
        <f aca="false">'B.Modelo Distribución'!J15</f>
        <v>158.57181480081</v>
      </c>
      <c r="I14" s="126" t="n">
        <f aca="false">'B.Modelo Distribución'!H62</f>
        <v>161.177721466636</v>
      </c>
      <c r="J14" s="127" t="n">
        <f aca="false">'B.Modelo Distribución'!R15</f>
        <v>169.265508404545</v>
      </c>
      <c r="K14" s="128" t="n">
        <f aca="false">'B.Modelo Distribución'!E50</f>
        <v>166.641232791683</v>
      </c>
      <c r="L14" s="129" t="n">
        <f aca="false">IF('C. Prueba Kolmorov-Smirnov'!$G$54="Normal",H14,IF('C. Prueba Kolmorov-Smirnov'!$G$54="Log - Normal",I14,IF('C. Prueba Kolmorov-Smirnov'!$G$54="Gumbel",K14,J14)))</f>
        <v>169.265508404545</v>
      </c>
    </row>
    <row r="15" s="12" customFormat="true" ht="19.5" hidden="false" customHeight="true" outlineLevel="0" collapsed="false">
      <c r="B15" s="42" t="s">
        <v>141</v>
      </c>
      <c r="C15" s="42"/>
      <c r="D15" s="42"/>
      <c r="E15" s="123" t="n">
        <f aca="false">+SQRT(E14)</f>
        <v>0.489897948556636</v>
      </c>
      <c r="F15" s="88"/>
      <c r="G15" s="124" t="n">
        <v>50</v>
      </c>
      <c r="H15" s="125" t="n">
        <f aca="false">'B.Modelo Distribución'!J16</f>
        <v>166.926300714489</v>
      </c>
      <c r="I15" s="126" t="n">
        <f aca="false">'B.Modelo Distribución'!H63</f>
        <v>172.920825483283</v>
      </c>
      <c r="J15" s="127" t="n">
        <f aca="false">'B.Modelo Distribución'!R16</f>
        <v>187.446025140839</v>
      </c>
      <c r="K15" s="128" t="n">
        <f aca="false">'B.Modelo Distribución'!E51</f>
        <v>181.757597078755</v>
      </c>
      <c r="L15" s="129" t="n">
        <f aca="false">IF('C. Prueba Kolmorov-Smirnov'!$G$54="Normal",H15,IF('C. Prueba Kolmorov-Smirnov'!$G$54="Log - Normal",I15,IF('C. Prueba Kolmorov-Smirnov'!$G$54="Gumbel",K15,J15)))</f>
        <v>187.446025140839</v>
      </c>
    </row>
    <row r="16" s="12" customFormat="true" ht="19.5" hidden="false" customHeight="true" outlineLevel="0" collapsed="false">
      <c r="G16" s="124" t="n">
        <v>100</v>
      </c>
      <c r="H16" s="125" t="n">
        <f aca="false">'B.Modelo Distribución'!J17</f>
        <v>174.439712336526</v>
      </c>
      <c r="I16" s="126" t="n">
        <f aca="false">'B.Modelo Distribución'!H64</f>
        <v>184.210674601868</v>
      </c>
      <c r="J16" s="127" t="n">
        <f aca="false">'B.Modelo Distribución'!R17</f>
        <v>206.504515507207</v>
      </c>
      <c r="K16" s="128" t="n">
        <f aca="false">'B.Modelo Distribución'!E52</f>
        <v>196.762344504759</v>
      </c>
      <c r="L16" s="129" t="n">
        <f aca="false">IF('C. Prueba Kolmorov-Smirnov'!$G$54="Normal",H16,IF('C. Prueba Kolmorov-Smirnov'!$G$54="Log - Normal",I16,IF('C. Prueba Kolmorov-Smirnov'!$G$54="Gumbel",K16,J16)))</f>
        <v>206.504515507207</v>
      </c>
    </row>
    <row r="17" s="12" customFormat="true" ht="19.5" hidden="false" customHeight="true" outlineLevel="0" collapsed="false">
      <c r="B17" s="45" t="s">
        <v>142</v>
      </c>
      <c r="C17" s="45"/>
      <c r="D17" s="45"/>
      <c r="E17" s="45" t="s">
        <v>131</v>
      </c>
      <c r="F17" s="122"/>
      <c r="G17" s="124" t="n">
        <v>200</v>
      </c>
      <c r="H17" s="125" t="n">
        <f aca="false">'B.Modelo Distribución'!J18</f>
        <v>181.315165536762</v>
      </c>
      <c r="I17" s="126" t="n">
        <f aca="false">'B.Modelo Distribución'!H65</f>
        <v>195.186618703649</v>
      </c>
      <c r="J17" s="127" t="n">
        <f aca="false">'B.Modelo Distribución'!R18</f>
        <v>226.615688179914</v>
      </c>
      <c r="K17" s="128" t="n">
        <f aca="false">'B.Modelo Distribución'!E53</f>
        <v>211.712342127861</v>
      </c>
      <c r="L17" s="129" t="n">
        <f aca="false">IF('C. Prueba Kolmorov-Smirnov'!$G$54="Normal",H17,IF('C. Prueba Kolmorov-Smirnov'!$G$54="Log - Normal",I17,IF('C. Prueba Kolmorov-Smirnov'!$G$54="Gumbel",K17,J17)))</f>
        <v>226.615688179914</v>
      </c>
    </row>
    <row r="18" s="12" customFormat="true" ht="19.5" hidden="false" customHeight="true" outlineLevel="0" collapsed="false">
      <c r="B18" s="42" t="s">
        <v>136</v>
      </c>
      <c r="C18" s="42"/>
      <c r="D18" s="42"/>
      <c r="E18" s="123" t="n">
        <f aca="false">+'B.Modelo Distribución'!D36</f>
        <v>2.03086239739495</v>
      </c>
      <c r="F18" s="88"/>
      <c r="G18" s="124" t="n">
        <v>500</v>
      </c>
      <c r="H18" s="125" t="n">
        <f aca="false">'B.Modelo Distribución'!J19</f>
        <v>189.646443077443</v>
      </c>
      <c r="I18" s="126" t="n">
        <f aca="false">'B.Modelo Distribución'!H66</f>
        <v>209.366640183995</v>
      </c>
      <c r="J18" s="127" t="n">
        <f aca="false">'B.Modelo Distribución'!R19</f>
        <v>255.07124006737</v>
      </c>
      <c r="K18" s="128" t="n">
        <f aca="false">'B.Modelo Distribución'!E54</f>
        <v>231.436025214724</v>
      </c>
      <c r="L18" s="129" t="n">
        <f aca="false">IF('C. Prueba Kolmorov-Smirnov'!$G$54="Normal",H18,IF('C. Prueba Kolmorov-Smirnov'!$G$54="Log - Normal",I18,IF('C. Prueba Kolmorov-Smirnov'!$G$54="Gumbel",K18,J18)))</f>
        <v>255.07124006737</v>
      </c>
    </row>
    <row r="19" s="12" customFormat="true" ht="19.5" hidden="false" customHeight="true" outlineLevel="0" collapsed="false">
      <c r="B19" s="42" t="s">
        <v>137</v>
      </c>
      <c r="C19" s="42"/>
      <c r="D19" s="42"/>
      <c r="E19" s="123" t="n">
        <f aca="false">+'B.Modelo Distribución'!D38</f>
        <v>0.100762366136958</v>
      </c>
      <c r="F19" s="88"/>
      <c r="H19" s="132"/>
    </row>
    <row r="20" s="12" customFormat="true" ht="19.5" hidden="false" customHeight="true" outlineLevel="0" collapsed="false">
      <c r="B20" s="42" t="s">
        <v>143</v>
      </c>
      <c r="C20" s="42"/>
      <c r="D20" s="42"/>
      <c r="E20" s="123" t="n">
        <f aca="false">+'B.Modelo Distribución'!D37</f>
        <v>0.0101530544295183</v>
      </c>
      <c r="F20" s="88"/>
      <c r="H20" s="132"/>
    </row>
    <row r="21" s="12" customFormat="true" ht="19.5" hidden="false" customHeight="true" outlineLevel="0" collapsed="false">
      <c r="B21" s="42" t="s">
        <v>138</v>
      </c>
      <c r="C21" s="42"/>
      <c r="D21" s="42"/>
      <c r="E21" s="123" t="n">
        <f aca="false">+'B.Modelo Distribución'!D39</f>
        <v>0.685811002924503</v>
      </c>
      <c r="F21" s="88"/>
      <c r="H21" s="132"/>
    </row>
    <row r="22" s="12" customFormat="true" ht="19.5" hidden="false" customHeight="true" outlineLevel="0" collapsed="false">
      <c r="B22" s="42" t="s">
        <v>139</v>
      </c>
      <c r="C22" s="42"/>
      <c r="D22" s="42"/>
      <c r="E22" s="131" t="n">
        <f aca="false">+E13</f>
        <v>25</v>
      </c>
      <c r="F22" s="88"/>
      <c r="H22" s="133"/>
    </row>
    <row r="23" s="12" customFormat="true" ht="19.5" hidden="false" customHeight="true" outlineLevel="0" collapsed="false">
      <c r="B23" s="42" t="s">
        <v>140</v>
      </c>
      <c r="C23" s="42"/>
      <c r="D23" s="42"/>
      <c r="E23" s="123" t="n">
        <f aca="false">6/E22</f>
        <v>0.24</v>
      </c>
      <c r="F23" s="88"/>
      <c r="H23" s="132"/>
    </row>
    <row r="24" s="12" customFormat="true" ht="19.5" hidden="false" customHeight="true" outlineLevel="0" collapsed="false">
      <c r="B24" s="42" t="s">
        <v>144</v>
      </c>
      <c r="C24" s="42"/>
      <c r="D24" s="42"/>
      <c r="E24" s="123" t="n">
        <f aca="false">+SQRT(E23)</f>
        <v>0.489897948556636</v>
      </c>
      <c r="F24" s="88"/>
      <c r="H24" s="132"/>
    </row>
    <row r="25" s="12" customFormat="true" ht="19.5" hidden="false" customHeight="true" outlineLevel="0" collapsed="false">
      <c r="B25" s="42" t="s">
        <v>110</v>
      </c>
      <c r="C25" s="42"/>
      <c r="D25" s="42"/>
      <c r="E25" s="123" t="n">
        <f aca="false">+'B.Modelo Distribución'!D40</f>
        <v>0.114301833820751</v>
      </c>
      <c r="F25" s="88"/>
      <c r="H25" s="132"/>
    </row>
    <row r="26" s="12" customFormat="true" ht="19.5" hidden="false" customHeight="true" outlineLevel="0" collapsed="false">
      <c r="B26" s="88"/>
      <c r="C26" s="88"/>
      <c r="D26" s="88"/>
      <c r="E26" s="132"/>
      <c r="F26" s="88"/>
      <c r="H26" s="132"/>
    </row>
    <row r="27" s="12" customFormat="true" ht="19.5" hidden="false" customHeight="true" outlineLevel="0" collapsed="false">
      <c r="I27" s="134"/>
    </row>
    <row r="28" s="12" customFormat="true" ht="19.5" hidden="false" customHeight="true" outlineLevel="0" collapsed="false">
      <c r="I28" s="134"/>
    </row>
    <row r="29" s="12" customFormat="true" ht="19.5" hidden="false" customHeight="true" outlineLevel="0" collapsed="false">
      <c r="H29" s="135"/>
      <c r="I29" s="134"/>
    </row>
    <row r="30" s="12" customFormat="true" ht="19.5" hidden="false" customHeight="true" outlineLevel="0" collapsed="false">
      <c r="H30" s="136"/>
      <c r="I30" s="137"/>
    </row>
    <row r="31" s="12" customFormat="true" ht="19.5" hidden="false" customHeight="true" outlineLevel="0" collapsed="false">
      <c r="H31" s="136"/>
      <c r="I31" s="137"/>
    </row>
    <row r="32" s="12" customFormat="true" ht="19.5" hidden="false" customHeight="true" outlineLevel="0" collapsed="false">
      <c r="H32" s="136"/>
      <c r="I32" s="137"/>
    </row>
    <row r="33" s="12" customFormat="true" ht="19.5" hidden="false" customHeight="true" outlineLevel="0" collapsed="false">
      <c r="H33" s="136"/>
      <c r="I33" s="137"/>
    </row>
    <row r="34" s="12" customFormat="true" ht="19.5" hidden="false" customHeight="true" outlineLevel="0" collapsed="false">
      <c r="H34" s="136"/>
      <c r="I34" s="134"/>
    </row>
    <row r="35" s="12" customFormat="true" ht="19.5" hidden="false" customHeight="true" outlineLevel="0" collapsed="false">
      <c r="H35" s="136"/>
      <c r="I35" s="137"/>
    </row>
    <row r="36" s="12" customFormat="true" ht="19.5" hidden="false" customHeight="true" outlineLevel="0" collapsed="false"/>
    <row r="37" s="12" customFormat="true" ht="12" hidden="false" customHeight="true" outlineLevel="0" collapsed="false"/>
    <row r="38" s="12" customFormat="true" ht="12" hidden="false" customHeight="true" outlineLevel="0" collapsed="false"/>
    <row r="39" s="12" customFormat="true" ht="12" hidden="false" customHeight="true" outlineLevel="0" collapsed="false"/>
    <row r="40" s="12" customFormat="true" ht="12" hidden="false" customHeight="true" outlineLevel="0" collapsed="false"/>
    <row r="41" s="12" customFormat="true" ht="12" hidden="false" customHeight="true" outlineLevel="0" collapsed="false"/>
    <row r="42" s="12" customFormat="true" ht="12" hidden="false" customHeight="true" outlineLevel="0" collapsed="false"/>
    <row r="43" s="12" customFormat="true" ht="12" hidden="false" customHeight="true" outlineLevel="0" collapsed="false"/>
    <row r="44" s="12" customFormat="true" ht="12" hidden="false" customHeight="true" outlineLevel="0" collapsed="false"/>
    <row r="45" s="12" customFormat="true" ht="12" hidden="false" customHeight="true" outlineLevel="0" collapsed="false"/>
    <row r="46" s="12" customFormat="true" ht="12" hidden="false" customHeight="true" outlineLevel="0" collapsed="false"/>
    <row r="47" s="12" customFormat="true" ht="12" hidden="false" customHeight="true" outlineLevel="0" collapsed="false"/>
    <row r="48" s="12" customFormat="true" ht="12" hidden="false" customHeight="true" outlineLevel="0" collapsed="false"/>
    <row r="49" s="12" customFormat="true" ht="12" hidden="false" customHeight="true" outlineLevel="0" collapsed="false"/>
    <row r="50" s="12" customFormat="true" ht="12" hidden="false" customHeight="true" outlineLevel="0" collapsed="false"/>
    <row r="51" s="12" customFormat="true" ht="12" hidden="false" customHeight="true" outlineLevel="0" collapsed="false"/>
    <row r="52" s="12" customFormat="true" ht="12" hidden="false" customHeight="true" outlineLevel="0" collapsed="false"/>
    <row r="53" s="12" customFormat="true" ht="12" hidden="false" customHeight="true" outlineLevel="0" collapsed="false"/>
    <row r="54" s="12" customFormat="true" ht="12" hidden="false" customHeight="true" outlineLevel="0" collapsed="false"/>
    <row r="55" s="12" customFormat="true" ht="12" hidden="false" customHeight="true" outlineLevel="0" collapsed="false"/>
    <row r="56" s="12" customFormat="true" ht="12" hidden="false" customHeight="true" outlineLevel="0" collapsed="false"/>
    <row r="57" s="12" customFormat="true" ht="12" hidden="false" customHeight="true" outlineLevel="0" collapsed="false"/>
    <row r="58" s="12" customFormat="true" ht="12" hidden="false" customHeight="true" outlineLevel="0" collapsed="false"/>
    <row r="59" s="12" customFormat="true" ht="12" hidden="false" customHeight="true" outlineLevel="0" collapsed="false"/>
    <row r="60" s="12" customFormat="true" ht="12" hidden="false" customHeight="true" outlineLevel="0" collapsed="false"/>
    <row r="61" s="12" customFormat="true" ht="12" hidden="false" customHeight="true" outlineLevel="0" collapsed="false"/>
    <row r="62" customFormat="false" ht="19.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customFormat="false" ht="19.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customFormat="false" ht="19.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</sheetData>
  <mergeCells count="20">
    <mergeCell ref="C2:L2"/>
    <mergeCell ref="C3:L3"/>
    <mergeCell ref="C4:L4"/>
    <mergeCell ref="C5:L5"/>
    <mergeCell ref="B9:D9"/>
    <mergeCell ref="B10:D10"/>
    <mergeCell ref="B11:D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rintOptions headings="false" gridLines="false" gridLinesSet="true" horizontalCentered="true" verticalCentered="false"/>
  <pageMargins left="0.315277777777778" right="0.315277777777778" top="0.670138888888889" bottom="0.354166666666667" header="0.511811023622047" footer="0.511811023622047"/>
  <pageSetup paperSize="9" scale="9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6" man="true" max="16383" min="0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2:O288"/>
  <sheetViews>
    <sheetView showFormulas="false" showGridLines="true" showRowColHeaders="true" showZeros="true" rightToLeft="false" tabSelected="false" showOutlineSymbols="true" defaultGridColor="true" view="pageBreakPreview" topLeftCell="A1" colorId="64" zoomScale="115" zoomScaleNormal="100" zoomScalePageLayoutView="115" workbookViewId="0">
      <selection pane="topLeft" activeCell="H11" activeCellId="0" sqref="H11"/>
    </sheetView>
  </sheetViews>
  <sheetFormatPr defaultColWidth="11.453125" defaultRowHeight="12.75" zeroHeight="false" outlineLevelRow="0" outlineLevelCol="0"/>
  <cols>
    <col collapsed="false" customWidth="true" hidden="false" outlineLevel="0" max="1" min="1" style="138" width="0.18"/>
    <col collapsed="false" customWidth="true" hidden="false" outlineLevel="0" max="9" min="2" style="138" width="14.45"/>
    <col collapsed="false" customWidth="true" hidden="false" outlineLevel="0" max="10" min="10" style="138" width="2.36"/>
    <col collapsed="false" customWidth="false" hidden="false" outlineLevel="0" max="16384" min="11" style="138" width="11.45"/>
  </cols>
  <sheetData>
    <row r="2" customFormat="false" ht="51" hidden="false" customHeight="true" outlineLevel="0" collapsed="false">
      <c r="B2" s="139" t="s">
        <v>11</v>
      </c>
      <c r="C2" s="41" t="str">
        <f aca="false">+'A. Estación'!C2</f>
        <v>“MEJORAMIENTO Y AMPLIACIÓN DEL SERVICIO DE EDUCACIÓN PRIMARIA EN I.E. N° 0590 DISTRITO DE BARRANQUITA DE LA PROVINCIA DE LAMAS DEL DEPARTAMENTO DE SAN MARTÍN”, con C.I. N.° 468901</v>
      </c>
      <c r="D2" s="41"/>
      <c r="E2" s="41"/>
      <c r="F2" s="41"/>
      <c r="G2" s="41"/>
      <c r="H2" s="41"/>
      <c r="I2" s="41"/>
    </row>
    <row r="3" customFormat="false" ht="12.75" hidden="false" customHeight="false" outlineLevel="0" collapsed="false">
      <c r="B3" s="139" t="s">
        <v>13</v>
      </c>
      <c r="C3" s="42" t="str">
        <f aca="false">+'A. Estación'!C3</f>
        <v>GOBIERNO REGIONAL SAN MARTIN - GERENCIA TERRITORIAL BAJO MAYO - TARAPOTO</v>
      </c>
      <c r="D3" s="42"/>
      <c r="E3" s="42"/>
      <c r="F3" s="42"/>
      <c r="G3" s="42"/>
      <c r="H3" s="42"/>
      <c r="I3" s="42"/>
    </row>
    <row r="4" customFormat="false" ht="17.25" hidden="false" customHeight="true" outlineLevel="0" collapsed="false">
      <c r="B4" s="139" t="s">
        <v>15</v>
      </c>
      <c r="C4" s="42" t="str">
        <f aca="false">+'A. Estación'!C4</f>
        <v>SAN MARTIN - LAMAS - BARRANQUITA</v>
      </c>
      <c r="D4" s="42"/>
      <c r="E4" s="42"/>
      <c r="F4" s="42"/>
      <c r="G4" s="42"/>
      <c r="H4" s="42"/>
      <c r="I4" s="42"/>
    </row>
    <row r="5" customFormat="false" ht="16.5" hidden="false" customHeight="true" outlineLevel="0" collapsed="false">
      <c r="B5" s="139" t="s">
        <v>17</v>
      </c>
      <c r="C5" s="42" t="str">
        <f aca="false">+'A. Estación'!C5</f>
        <v>OCTUBRE 2026</v>
      </c>
      <c r="D5" s="42"/>
      <c r="E5" s="42"/>
      <c r="F5" s="42"/>
      <c r="G5" s="42"/>
      <c r="H5" s="42"/>
      <c r="I5" s="42"/>
    </row>
    <row r="6" customFormat="false" ht="19.5" hidden="false" customHeight="true" outlineLevel="0" collapsed="false"/>
    <row r="7" customFormat="false" ht="19.5" hidden="false" customHeight="true" outlineLevel="0" collapsed="false">
      <c r="B7" s="140" t="s">
        <v>145</v>
      </c>
    </row>
    <row r="8" customFormat="false" ht="19.5" hidden="false" customHeight="true" outlineLevel="0" collapsed="false">
      <c r="B8" s="18" t="s">
        <v>146</v>
      </c>
    </row>
    <row r="9" customFormat="false" ht="19.5" hidden="false" customHeight="true" outlineLevel="0" collapsed="false">
      <c r="B9" s="141" t="s">
        <v>147</v>
      </c>
      <c r="C9" s="141"/>
      <c r="D9" s="141"/>
      <c r="E9" s="141"/>
      <c r="F9" s="141"/>
      <c r="G9" s="141"/>
      <c r="H9" s="141"/>
      <c r="I9" s="141"/>
    </row>
    <row r="10" customFormat="false" ht="19.5" hidden="false" customHeight="true" outlineLevel="0" collapsed="false">
      <c r="B10" s="142" t="s">
        <v>148</v>
      </c>
      <c r="C10" s="142" t="s">
        <v>149</v>
      </c>
      <c r="D10" s="142" t="s">
        <v>150</v>
      </c>
      <c r="E10" s="142"/>
      <c r="F10" s="142"/>
      <c r="G10" s="142"/>
      <c r="H10" s="142"/>
      <c r="I10" s="142"/>
      <c r="L10" s="143" t="s">
        <v>151</v>
      </c>
      <c r="M10" s="144" t="s">
        <v>111</v>
      </c>
      <c r="N10" s="145" t="s">
        <v>152</v>
      </c>
      <c r="O10" s="146" t="s">
        <v>153</v>
      </c>
    </row>
    <row r="11" customFormat="false" ht="19.5" hidden="false" customHeight="true" outlineLevel="0" collapsed="false">
      <c r="B11" s="142" t="s">
        <v>154</v>
      </c>
      <c r="C11" s="142" t="s">
        <v>155</v>
      </c>
      <c r="D11" s="142" t="n">
        <v>5</v>
      </c>
      <c r="E11" s="142" t="n">
        <v>10</v>
      </c>
      <c r="F11" s="142" t="n">
        <v>15</v>
      </c>
      <c r="G11" s="142" t="n">
        <v>20</v>
      </c>
      <c r="H11" s="142" t="n">
        <v>30</v>
      </c>
      <c r="I11" s="142" t="n">
        <v>60</v>
      </c>
      <c r="L11" s="147" t="s">
        <v>156</v>
      </c>
      <c r="M11" s="148" t="s">
        <v>157</v>
      </c>
      <c r="N11" s="149" t="s">
        <v>158</v>
      </c>
      <c r="O11" s="150" t="s">
        <v>159</v>
      </c>
    </row>
    <row r="12" customFormat="false" ht="19.5" hidden="false" customHeight="true" outlineLevel="0" collapsed="false">
      <c r="B12" s="151" t="n">
        <v>500</v>
      </c>
      <c r="C12" s="125" t="n">
        <f aca="false">'D.Resumen'!L18</f>
        <v>255.07124006737</v>
      </c>
      <c r="D12" s="152" t="n">
        <f aca="false">(0.21*LN($B12)+0.52)*(0.54*D$11^0.25-0.5)*$I$18</f>
        <v>20.3469400443239</v>
      </c>
      <c r="E12" s="152" t="n">
        <f aca="false">(0.21*LN($B12)+0.52)*(0.54*E$11^0.25-0.5)*$I$18</f>
        <v>30.456777553869</v>
      </c>
      <c r="F12" s="152" t="n">
        <f aca="false">(0.21*LN($B12)+0.52)*(0.54*F$11^0.25-0.5)*$I$18</f>
        <v>37.2356120791657</v>
      </c>
      <c r="G12" s="152" t="n">
        <f aca="false">(0.21*LN($B12)+0.52)*(0.54*G$11^0.25-0.5)*$I$18</f>
        <v>42.4794682517414</v>
      </c>
      <c r="H12" s="152" t="n">
        <f aca="false">(0.21*LN($B12)+0.52)*(0.54*H$11^0.25-0.5)*$I$18</f>
        <v>50.5409065006503</v>
      </c>
      <c r="I12" s="152" t="n">
        <f aca="false">(0.21*LN($B12)+0.52)*(0.54*I$11^0.25-0.5)*$I$18</f>
        <v>66.3636572938859</v>
      </c>
      <c r="L12" s="153" t="n">
        <f aca="false">D11</f>
        <v>5</v>
      </c>
      <c r="M12" s="154" t="n">
        <f aca="false">LOG10(D25)</f>
        <v>2.38774565960886</v>
      </c>
      <c r="N12" s="154" t="n">
        <f aca="false">LOG10($B25)</f>
        <v>2.69897000433602</v>
      </c>
      <c r="O12" s="155" t="n">
        <f aca="false">LOG10($D$24)</f>
        <v>0.698970004336019</v>
      </c>
    </row>
    <row r="13" customFormat="false" ht="19.5" hidden="false" customHeight="true" outlineLevel="0" collapsed="false">
      <c r="B13" s="151" t="n">
        <v>200</v>
      </c>
      <c r="C13" s="125" t="n">
        <f aca="false">'D.Resumen'!L17</f>
        <v>226.615688179914</v>
      </c>
      <c r="D13" s="152" t="n">
        <f aca="false">(0.21*LN($B13)+0.52)*(0.54*(D$11^0.25)-0.5)*$I$18</f>
        <v>18.2017157102708</v>
      </c>
      <c r="E13" s="152" t="n">
        <f aca="false">(0.21*LN($B13)+0.52)*(0.54*E$11^0.25-0.5)*$I$18</f>
        <v>27.245649973846</v>
      </c>
      <c r="F13" s="152" t="n">
        <f aca="false">(0.21*LN($B13)+0.52)*(0.54*F$11^0.25-0.5)*$I$18</f>
        <v>33.309776501355</v>
      </c>
      <c r="G13" s="152" t="n">
        <f aca="false">(0.21*LN($B13)+0.52)*(0.54*G$11^0.25-0.5)*$I$18</f>
        <v>38.0007609477066</v>
      </c>
      <c r="H13" s="152" t="n">
        <f aca="false">(0.21*LN($B13)+0.52)*(0.54*H$11^0.25-0.5)*$I$18</f>
        <v>45.212263360497</v>
      </c>
      <c r="I13" s="152" t="n">
        <f aca="false">(0.21*LN($B13)+0.52)*(0.54*I$11^0.25-0.5)*$I$18</f>
        <v>59.3667854196151</v>
      </c>
      <c r="L13" s="153"/>
      <c r="M13" s="154" t="n">
        <f aca="false">LOG10(D26)</f>
        <v>2.3392526340327</v>
      </c>
      <c r="N13" s="154" t="n">
        <f aca="false">LOG10($B26)</f>
        <v>2.30102999566398</v>
      </c>
      <c r="O13" s="155" t="n">
        <f aca="false">LOG10($D$24)</f>
        <v>0.698970004336019</v>
      </c>
    </row>
    <row r="14" customFormat="false" ht="19.5" hidden="false" customHeight="true" outlineLevel="0" collapsed="false">
      <c r="B14" s="151" t="n">
        <v>100</v>
      </c>
      <c r="C14" s="125" t="n">
        <f aca="false">'D.Resumen'!L16</f>
        <v>206.504515507207</v>
      </c>
      <c r="D14" s="152" t="n">
        <f aca="false">(0.21*LN($B14)+0.52)*(0.54*D$11^0.25-0.5)*$I$18</f>
        <v>16.5789161477606</v>
      </c>
      <c r="E14" s="152" t="n">
        <f aca="false">(0.21*LN($B14)+0.52)*(0.54*E$11^0.25-0.5)*$I$18</f>
        <v>24.816525732942</v>
      </c>
      <c r="F14" s="152" t="n">
        <f aca="false">(0.21*LN($B14)+0.52)*(0.54*F$11^0.25-0.5)*$I$18</f>
        <v>30.3399965314806</v>
      </c>
      <c r="G14" s="152" t="n">
        <f aca="false">(0.21*LN($B14)+0.52)*(0.54*G$11^0.25-0.5)*$I$18</f>
        <v>34.6127496622543</v>
      </c>
      <c r="H14" s="152" t="n">
        <f aca="false">(0.21*LN($B14)+0.52)*(0.54*H$11^0.25-0.5)*$I$18</f>
        <v>41.1813004353862</v>
      </c>
      <c r="I14" s="152" t="n">
        <f aca="false">(0.21*LN($B14)+0.52)*(0.54*I$11^0.25-0.5)*$I$18</f>
        <v>54.0738561738175</v>
      </c>
      <c r="L14" s="153"/>
      <c r="M14" s="154" t="n">
        <f aca="false">LOG10(D27)</f>
        <v>2.29863478312444</v>
      </c>
      <c r="N14" s="154" t="n">
        <f aca="false">LOG10($B27)</f>
        <v>2</v>
      </c>
      <c r="O14" s="155" t="n">
        <f aca="false">LOG10($D$24)</f>
        <v>0.698970004336019</v>
      </c>
    </row>
    <row r="15" customFormat="false" ht="19.5" hidden="false" customHeight="true" outlineLevel="0" collapsed="false">
      <c r="B15" s="151" t="n">
        <v>50</v>
      </c>
      <c r="C15" s="125" t="n">
        <f aca="false">'D.Resumen'!L15</f>
        <v>187.446025140839</v>
      </c>
      <c r="D15" s="152" t="n">
        <f aca="false">(0.21*LN($B15)+0.52)*(0.54*D$11^0.25-0.5)*$I$18</f>
        <v>14.9561165852505</v>
      </c>
      <c r="E15" s="152" t="n">
        <f aca="false">(0.21*LN($B15)+0.52)*(0.54*E$11^0.25-0.5)*$I$18</f>
        <v>22.387401492038</v>
      </c>
      <c r="F15" s="152" t="n">
        <f aca="false">(0.21*LN($B15)+0.52)*(0.54*F$11^0.25-0.5)*$I$18</f>
        <v>27.3702165616062</v>
      </c>
      <c r="G15" s="152" t="n">
        <f aca="false">(0.21*LN($B15)+0.52)*(0.54*G$11^0.25-0.5)*$I$18</f>
        <v>31.224738376802</v>
      </c>
      <c r="H15" s="152" t="n">
        <f aca="false">(0.21*LN($B15)+0.52)*(0.54*H$11^0.25-0.5)*$I$18</f>
        <v>37.1503375102754</v>
      </c>
      <c r="I15" s="152" t="n">
        <f aca="false">(0.21*LN($B15)+0.52)*(0.54*I$11^0.25-0.5)*$I$18</f>
        <v>48.7809269280199</v>
      </c>
      <c r="L15" s="153"/>
      <c r="M15" s="154" t="n">
        <f aca="false">LOG10(D28)</f>
        <v>2.25406445291434</v>
      </c>
      <c r="N15" s="154" t="n">
        <f aca="false">LOG10($B28)</f>
        <v>1.69897000433602</v>
      </c>
      <c r="O15" s="155" t="n">
        <f aca="false">LOG10($D$24)</f>
        <v>0.698970004336019</v>
      </c>
    </row>
    <row r="16" customFormat="false" ht="19.5" hidden="false" customHeight="true" outlineLevel="0" collapsed="false">
      <c r="B16" s="151" t="n">
        <v>25</v>
      </c>
      <c r="C16" s="125" t="n">
        <f aca="false">'D.Resumen'!L14</f>
        <v>169.265508404545</v>
      </c>
      <c r="D16" s="152" t="n">
        <f aca="false">(0.21*LN($B16)+0.52)*(0.54*D$11^0.25-0.5)*$I$18</f>
        <v>13.3333170227403</v>
      </c>
      <c r="E16" s="152" t="n">
        <f aca="false">(0.21*LN($B16)+0.52)*(0.54*E$11^0.25-0.5)*$I$18</f>
        <v>19.958277251134</v>
      </c>
      <c r="F16" s="152" t="n">
        <f aca="false">(0.21*LN($B16)+0.52)*(0.54*F$11^0.25-0.5)*$I$18</f>
        <v>24.4004365917318</v>
      </c>
      <c r="G16" s="152" t="n">
        <f aca="false">(0.21*LN($B16)+0.52)*(0.54*G$11^0.25-0.5)*$I$18</f>
        <v>27.8367270913498</v>
      </c>
      <c r="H16" s="152" t="n">
        <f aca="false">(0.21*LN($B16)+0.52)*(0.54*H$11^0.25-0.5)*$I$18</f>
        <v>33.1193745851646</v>
      </c>
      <c r="I16" s="152" t="n">
        <f aca="false">(0.21*LN($B16)+0.52)*(0.54*I$11^0.25-0.5)*$I$18</f>
        <v>43.4879976822223</v>
      </c>
      <c r="L16" s="153"/>
      <c r="M16" s="154" t="n">
        <f aca="false">LOG10(D29)</f>
        <v>2.20411998265593</v>
      </c>
      <c r="N16" s="154" t="n">
        <f aca="false">LOG10($B29)</f>
        <v>1.39794000867204</v>
      </c>
      <c r="O16" s="155" t="n">
        <f aca="false">LOG10($D$24)</f>
        <v>0.698970004336019</v>
      </c>
    </row>
    <row r="17" customFormat="false" ht="19.5" hidden="false" customHeight="true" outlineLevel="0" collapsed="false">
      <c r="B17" s="151" t="n">
        <v>20</v>
      </c>
      <c r="C17" s="125" t="n">
        <f aca="false">'D.Resumen'!L13</f>
        <v>163.564561194566</v>
      </c>
      <c r="D17" s="152" t="n">
        <f aca="false">(0.21*LN($B17)+0.52)*(0.54*D$11^0.25-0.5)*$I$18</f>
        <v>12.8108922511974</v>
      </c>
      <c r="E17" s="152" t="n">
        <f aca="false">(0.21*LN($B17)+0.52)*(0.54*E$11^0.25-0.5)*$I$18</f>
        <v>19.176273912015</v>
      </c>
      <c r="F17" s="152" t="n">
        <f aca="false">(0.21*LN($B17)+0.52)*(0.54*F$11^0.25-0.5)*$I$18</f>
        <v>23.4443809837955</v>
      </c>
      <c r="G17" s="152" t="n">
        <f aca="false">(0.21*LN($B17)+0.52)*(0.54*G$11^0.25-0.5)*$I$18</f>
        <v>26.7460310727672</v>
      </c>
      <c r="H17" s="152" t="n">
        <f aca="false">(0.21*LN($B17)+0.52)*(0.54*H$11^0.25-0.5)*$I$18</f>
        <v>31.8216943701221</v>
      </c>
      <c r="I17" s="152" t="n">
        <f aca="false">(0.21*LN($B17)+0.52)*(0.54*I$11^0.25-0.5)*$I$18</f>
        <v>41.7840550537491</v>
      </c>
      <c r="L17" s="153"/>
      <c r="M17" s="154" t="n">
        <f aca="false">LOG10(D30)</f>
        <v>2.18667386749975</v>
      </c>
      <c r="N17" s="154" t="n">
        <f aca="false">LOG10($B30)</f>
        <v>1.30102999566398</v>
      </c>
      <c r="O17" s="155" t="n">
        <f aca="false">LOG10($D$24)</f>
        <v>0.698970004336019</v>
      </c>
    </row>
    <row r="18" customFormat="false" ht="19.5" hidden="false" customHeight="true" outlineLevel="0" collapsed="false">
      <c r="B18" s="151" t="n">
        <v>10</v>
      </c>
      <c r="C18" s="125" t="n">
        <f aca="false">'D.Resumen'!L12</f>
        <v>146.181155207782</v>
      </c>
      <c r="D18" s="152" t="n">
        <f aca="false">(0.21*LN($B18)+0.52)*(0.54*D$11^0.25-0.5)*$I$18</f>
        <v>11.1880926886872</v>
      </c>
      <c r="E18" s="152" t="n">
        <f aca="false">(0.21*LN($B18)+0.52)*(0.54*E$11^0.25-0.5)*$I$18</f>
        <v>16.747149671111</v>
      </c>
      <c r="F18" s="152" t="n">
        <f aca="false">(0.21*LN($B18)+0.52)*(0.54*F$11^0.25-0.5)*$I$18</f>
        <v>20.4746010139212</v>
      </c>
      <c r="G18" s="152" t="n">
        <f aca="false">(0.21*LN($B18)+0.52)*(0.54*G$11^0.25-0.5)*$I$18</f>
        <v>23.358019787315</v>
      </c>
      <c r="H18" s="152" t="n">
        <f aca="false">(0.21*LN($B18)+0.52)*(0.54*H$11^0.25-0.5)*$I$18</f>
        <v>27.7907314450112</v>
      </c>
      <c r="I18" s="152" t="n">
        <f aca="false">0.4602*C18^0.876</f>
        <v>36.2569670281347</v>
      </c>
      <c r="L18" s="153"/>
      <c r="M18" s="154" t="n">
        <f aca="false">LOG10(D31)</f>
        <v>2.12807601266872</v>
      </c>
      <c r="N18" s="154" t="n">
        <f aca="false">LOG10($B31)</f>
        <v>1</v>
      </c>
      <c r="O18" s="155" t="n">
        <f aca="false">LOG10($D$24)</f>
        <v>0.698970004336019</v>
      </c>
    </row>
    <row r="19" customFormat="false" ht="19.5" hidden="false" customHeight="true" outlineLevel="0" collapsed="false">
      <c r="B19" s="151" t="n">
        <v>5</v>
      </c>
      <c r="C19" s="125" t="n">
        <f aca="false">'D.Resumen'!L11</f>
        <v>128.941318567935</v>
      </c>
      <c r="D19" s="152" t="n">
        <f aca="false">(0.21*LN($B19)+0.52)*(0.54*D$11^0.25-0.5)*$I$18</f>
        <v>9.56529312617705</v>
      </c>
      <c r="E19" s="152" t="n">
        <f aca="false">(0.21*LN($B19)+0.52)*(0.54*E$11^0.25-0.5)*$I$18</f>
        <v>14.318025430207</v>
      </c>
      <c r="F19" s="152" t="n">
        <f aca="false">(0.21*LN($B19)+0.52)*(0.54*F$11^0.25-0.5)*$I$18</f>
        <v>17.5048210440468</v>
      </c>
      <c r="G19" s="152" t="n">
        <f aca="false">(0.21*LN($B19)+0.52)*(0.54*G$11^0.25-0.5)*$I$18</f>
        <v>19.9700085018627</v>
      </c>
      <c r="H19" s="152" t="n">
        <f aca="false">(0.21*LN($B19)+0.52)*(0.54*H$11^0.25-0.5)*$I$18</f>
        <v>23.7597685199004</v>
      </c>
      <c r="I19" s="152" t="n">
        <f aca="false">(0.21*LN($B19)+0.52)*(0.54*I$11^0.25-0.5)*$I$18</f>
        <v>31.1981965621539</v>
      </c>
      <c r="L19" s="153"/>
      <c r="M19" s="154" t="n">
        <f aca="false">LOG10(D32)</f>
        <v>2.05994188806196</v>
      </c>
      <c r="N19" s="154" t="n">
        <f aca="false">LOG10($B32)</f>
        <v>0.698970004336019</v>
      </c>
      <c r="O19" s="155" t="n">
        <f aca="false">LOG10($D$24)</f>
        <v>0.698970004336019</v>
      </c>
    </row>
    <row r="20" customFormat="false" ht="19.5" hidden="false" customHeight="true" outlineLevel="0" collapsed="false">
      <c r="B20" s="151" t="n">
        <v>2</v>
      </c>
      <c r="C20" s="125" t="n">
        <f aca="false">'D.Resumen'!L10</f>
        <v>104.591452040495</v>
      </c>
      <c r="D20" s="152" t="n">
        <f aca="false">(0.21*LN($B20)+0.52)*(0.54*D$11^0.25-0.5)*$I$18</f>
        <v>7.42006879212395</v>
      </c>
      <c r="E20" s="152" t="n">
        <f aca="false">(0.21*LN($B20)+0.52)*(0.54*E$11^0.25-0.5)*$I$18</f>
        <v>11.106897850184</v>
      </c>
      <c r="F20" s="152" t="n">
        <f aca="false">(0.21*LN($B20)+0.52)*(0.54*F$11^0.25-0.5)*$I$18</f>
        <v>13.5789854662361</v>
      </c>
      <c r="G20" s="152" t="n">
        <f aca="false">(0.21*LN($B20)+0.52)*(0.54*G$11^0.25-0.5)*$I$18</f>
        <v>15.4913011978279</v>
      </c>
      <c r="H20" s="152" t="n">
        <f aca="false">(0.21*LN($B20)+0.52)*(0.54*H$11^0.25-0.5)*$I$18</f>
        <v>18.4311253797471</v>
      </c>
      <c r="I20" s="152" t="n">
        <f aca="false">(0.21*LN($B20)+0.52)*(0.54*I$11^0.25-0.5)*$I$18</f>
        <v>24.201324687883</v>
      </c>
      <c r="L20" s="153"/>
      <c r="M20" s="154" t="n">
        <f aca="false">LOG10(D33)</f>
        <v>1.94939000664491</v>
      </c>
      <c r="N20" s="154" t="n">
        <f aca="false">LOG10($B33)</f>
        <v>0.301029995663981</v>
      </c>
      <c r="O20" s="155" t="n">
        <f aca="false">LOG10($D$24)</f>
        <v>0.698970004336019</v>
      </c>
    </row>
    <row r="21" customFormat="false" ht="19.5" hidden="false" customHeight="true" outlineLevel="0" collapsed="false">
      <c r="B21" s="138" t="s">
        <v>160</v>
      </c>
      <c r="C21" s="156"/>
      <c r="D21" s="156"/>
      <c r="E21" s="156"/>
      <c r="F21" s="156"/>
      <c r="G21" s="156"/>
      <c r="H21" s="156"/>
      <c r="I21" s="156"/>
      <c r="L21" s="153" t="n">
        <f aca="false">E11</f>
        <v>10</v>
      </c>
      <c r="M21" s="154" t="n">
        <f aca="false">LOG10(E25)</f>
        <v>2.26173854735254</v>
      </c>
      <c r="N21" s="154" t="n">
        <f aca="false">LOG10($B25)</f>
        <v>2.69897000433602</v>
      </c>
      <c r="O21" s="155" t="n">
        <f aca="false">LOG10($E$24)</f>
        <v>1</v>
      </c>
    </row>
    <row r="22" customFormat="false" ht="19.5" hidden="false" customHeight="true" outlineLevel="0" collapsed="false">
      <c r="B22" s="141" t="s">
        <v>161</v>
      </c>
      <c r="C22" s="141"/>
      <c r="D22" s="141"/>
      <c r="E22" s="141"/>
      <c r="F22" s="141"/>
      <c r="G22" s="141"/>
      <c r="H22" s="141"/>
      <c r="I22" s="141"/>
      <c r="L22" s="153"/>
      <c r="M22" s="154" t="n">
        <f aca="false">LOG10(E26)</f>
        <v>2.2135177569963</v>
      </c>
      <c r="N22" s="154" t="n">
        <f aca="false">LOG10($B26)</f>
        <v>2.30102999566398</v>
      </c>
      <c r="O22" s="155" t="n">
        <f aca="false">LOG10($E$24)</f>
        <v>1</v>
      </c>
    </row>
    <row r="23" customFormat="false" ht="19.5" hidden="false" customHeight="true" outlineLevel="0" collapsed="false">
      <c r="B23" s="142" t="s">
        <v>148</v>
      </c>
      <c r="C23" s="142" t="s">
        <v>149</v>
      </c>
      <c r="D23" s="142" t="s">
        <v>150</v>
      </c>
      <c r="E23" s="142"/>
      <c r="F23" s="142"/>
      <c r="G23" s="142"/>
      <c r="H23" s="142"/>
      <c r="I23" s="142"/>
      <c r="L23" s="153"/>
      <c r="M23" s="154" t="n">
        <f aca="false">LOG10(E27)</f>
        <v>2.17289469775218</v>
      </c>
      <c r="N23" s="154" t="n">
        <f aca="false">LOG10($B27)</f>
        <v>2</v>
      </c>
      <c r="O23" s="155" t="n">
        <f aca="false">LOG10($E$24)</f>
        <v>1</v>
      </c>
    </row>
    <row r="24" customFormat="false" ht="19.5" hidden="false" customHeight="true" outlineLevel="0" collapsed="false">
      <c r="B24" s="142" t="s">
        <v>154</v>
      </c>
      <c r="C24" s="142" t="s">
        <v>155</v>
      </c>
      <c r="D24" s="142" t="n">
        <v>5</v>
      </c>
      <c r="E24" s="142" t="n">
        <v>10</v>
      </c>
      <c r="F24" s="142" t="n">
        <v>15</v>
      </c>
      <c r="G24" s="142" t="n">
        <v>20</v>
      </c>
      <c r="H24" s="142" t="n">
        <v>30</v>
      </c>
      <c r="I24" s="142" t="n">
        <v>60</v>
      </c>
      <c r="L24" s="153"/>
      <c r="M24" s="154" t="n">
        <f aca="false">LOG10(E28)</f>
        <v>2.12807601266872</v>
      </c>
      <c r="N24" s="154" t="n">
        <f aca="false">LOG10($B28)</f>
        <v>1.69897000433602</v>
      </c>
      <c r="O24" s="155" t="n">
        <f aca="false">LOG10($E$24)</f>
        <v>1</v>
      </c>
    </row>
    <row r="25" customFormat="false" ht="19.5" hidden="false" customHeight="true" outlineLevel="0" collapsed="false">
      <c r="B25" s="151" t="n">
        <v>500</v>
      </c>
      <c r="C25" s="125" t="n">
        <f aca="false">C12</f>
        <v>255.07124006737</v>
      </c>
      <c r="D25" s="152" t="n">
        <f aca="false">ROUND(60*D12/D$11,1)</f>
        <v>244.2</v>
      </c>
      <c r="E25" s="152" t="n">
        <f aca="false">ROUND(60*E12/E$11,1)</f>
        <v>182.7</v>
      </c>
      <c r="F25" s="152" t="n">
        <f aca="false">ROUND(60*F12/F$11,1)</f>
        <v>148.9</v>
      </c>
      <c r="G25" s="152" t="n">
        <f aca="false">ROUND(60*G12/G$11,1)</f>
        <v>127.4</v>
      </c>
      <c r="H25" s="152" t="n">
        <f aca="false">ROUND(60*H12/H$11,1)</f>
        <v>101.1</v>
      </c>
      <c r="I25" s="152" t="n">
        <f aca="false">ROUND(60*I12/I$11,1)</f>
        <v>66.4</v>
      </c>
      <c r="L25" s="153"/>
      <c r="M25" s="154" t="n">
        <f aca="false">LOG10(E29)</f>
        <v>2.07809415040641</v>
      </c>
      <c r="N25" s="154" t="n">
        <f aca="false">LOG10($B29)</f>
        <v>1.39794000867204</v>
      </c>
      <c r="O25" s="155" t="n">
        <f aca="false">LOG10($E$24)</f>
        <v>1</v>
      </c>
    </row>
    <row r="26" customFormat="false" ht="19.5" hidden="false" customHeight="true" outlineLevel="0" collapsed="false">
      <c r="B26" s="151" t="n">
        <v>200</v>
      </c>
      <c r="C26" s="125" t="n">
        <f aca="false">C13</f>
        <v>226.615688179914</v>
      </c>
      <c r="D26" s="152" t="n">
        <f aca="false">ROUND(60*D13/D$11,1)</f>
        <v>218.4</v>
      </c>
      <c r="E26" s="152" t="n">
        <f aca="false">ROUND(60*E13/E$11,1)</f>
        <v>163.5</v>
      </c>
      <c r="F26" s="152" t="n">
        <f aca="false">ROUND(60*F13/F$11,1)</f>
        <v>133.2</v>
      </c>
      <c r="G26" s="152" t="n">
        <f aca="false">ROUND(60*G13/G$11,1)</f>
        <v>114</v>
      </c>
      <c r="H26" s="152" t="n">
        <f aca="false">ROUND(60*H13/H$11,1)</f>
        <v>90.4</v>
      </c>
      <c r="I26" s="152" t="n">
        <f aca="false">ROUND(60*I13/I$11,1)</f>
        <v>59.4</v>
      </c>
      <c r="L26" s="153"/>
      <c r="M26" s="154" t="n">
        <f aca="false">LOG10(E30)</f>
        <v>2.06107532362979</v>
      </c>
      <c r="N26" s="154" t="n">
        <f aca="false">LOG10($B30)</f>
        <v>1.30102999566398</v>
      </c>
      <c r="O26" s="155" t="n">
        <f aca="false">LOG10($E$24)</f>
        <v>1</v>
      </c>
    </row>
    <row r="27" customFormat="false" ht="19.5" hidden="false" customHeight="true" outlineLevel="0" collapsed="false">
      <c r="B27" s="151" t="n">
        <v>100</v>
      </c>
      <c r="C27" s="125" t="n">
        <f aca="false">C14</f>
        <v>206.504515507207</v>
      </c>
      <c r="D27" s="152" t="n">
        <f aca="false">ROUND(60*D14/D$11,1)</f>
        <v>198.9</v>
      </c>
      <c r="E27" s="152" t="n">
        <f aca="false">ROUND(60*E14/E$11,1)</f>
        <v>148.9</v>
      </c>
      <c r="F27" s="152" t="n">
        <f aca="false">ROUND(60*F14/F$11,1)</f>
        <v>121.4</v>
      </c>
      <c r="G27" s="152" t="n">
        <f aca="false">ROUND(60*G14/G$11,1)</f>
        <v>103.8</v>
      </c>
      <c r="H27" s="152" t="n">
        <f aca="false">ROUND(60*H14/H$11,1)</f>
        <v>82.4</v>
      </c>
      <c r="I27" s="152" t="n">
        <f aca="false">ROUND(60*I14/I$11,1)</f>
        <v>54.1</v>
      </c>
      <c r="L27" s="153"/>
      <c r="M27" s="154" t="n">
        <f aca="false">LOG10(E31)</f>
        <v>2.00216606175651</v>
      </c>
      <c r="N27" s="154" t="n">
        <f aca="false">LOG10($B31)</f>
        <v>1</v>
      </c>
      <c r="O27" s="155" t="n">
        <f aca="false">LOG10($E$24)</f>
        <v>1</v>
      </c>
    </row>
    <row r="28" customFormat="false" ht="19.5" hidden="false" customHeight="true" outlineLevel="0" collapsed="false">
      <c r="B28" s="151" t="n">
        <v>50</v>
      </c>
      <c r="C28" s="125" t="n">
        <f aca="false">C15</f>
        <v>187.446025140839</v>
      </c>
      <c r="D28" s="152" t="n">
        <f aca="false">ROUND(60*D15/D$11,1)</f>
        <v>179.5</v>
      </c>
      <c r="E28" s="152" t="n">
        <f aca="false">ROUND(60*E15/E$11,1)</f>
        <v>134.3</v>
      </c>
      <c r="F28" s="152" t="n">
        <f aca="false">ROUND(60*F15/F$11,1)</f>
        <v>109.5</v>
      </c>
      <c r="G28" s="152" t="n">
        <f aca="false">ROUND(60*G15/G$11,1)</f>
        <v>93.7</v>
      </c>
      <c r="H28" s="152" t="n">
        <f aca="false">ROUND(60*H15/H$11,1)</f>
        <v>74.3</v>
      </c>
      <c r="I28" s="152" t="n">
        <f aca="false">ROUND(60*I15/I$11,1)</f>
        <v>48.8</v>
      </c>
      <c r="L28" s="153"/>
      <c r="M28" s="154" t="n">
        <f aca="false">LOG10(E32)</f>
        <v>1.93399316383124</v>
      </c>
      <c r="N28" s="154" t="n">
        <f aca="false">LOG10($B32)</f>
        <v>0.698970004336019</v>
      </c>
      <c r="O28" s="155" t="n">
        <f aca="false">LOG10($E$24)</f>
        <v>1</v>
      </c>
    </row>
    <row r="29" customFormat="false" ht="19.5" hidden="false" customHeight="true" outlineLevel="0" collapsed="false">
      <c r="B29" s="151" t="n">
        <v>25</v>
      </c>
      <c r="C29" s="125" t="n">
        <f aca="false">C16</f>
        <v>169.265508404545</v>
      </c>
      <c r="D29" s="152" t="n">
        <f aca="false">ROUND(60*D16/D$11,1)</f>
        <v>160</v>
      </c>
      <c r="E29" s="152" t="n">
        <f aca="false">ROUND(60*E16/E$11,1)</f>
        <v>119.7</v>
      </c>
      <c r="F29" s="152" t="n">
        <f aca="false">ROUND(60*F16/F$11,1)</f>
        <v>97.6</v>
      </c>
      <c r="G29" s="152" t="n">
        <f aca="false">ROUND(60*G16/G$11,1)</f>
        <v>83.5</v>
      </c>
      <c r="H29" s="152" t="n">
        <f aca="false">ROUND(60*H16/H$11,1)</f>
        <v>66.2</v>
      </c>
      <c r="I29" s="152" t="n">
        <f aca="false">ROUND(60*I16/I$11,1)</f>
        <v>43.5</v>
      </c>
      <c r="L29" s="153"/>
      <c r="M29" s="154" t="n">
        <f aca="false">LOG10(E33)</f>
        <v>1.8234742291703</v>
      </c>
      <c r="N29" s="154" t="n">
        <f aca="false">LOG10($B33)</f>
        <v>0.301029995663981</v>
      </c>
      <c r="O29" s="155" t="n">
        <f aca="false">LOG10($E$24)</f>
        <v>1</v>
      </c>
    </row>
    <row r="30" customFormat="false" ht="19.5" hidden="false" customHeight="true" outlineLevel="0" collapsed="false">
      <c r="B30" s="151" t="n">
        <v>20</v>
      </c>
      <c r="C30" s="125" t="n">
        <f aca="false">C17</f>
        <v>163.564561194566</v>
      </c>
      <c r="D30" s="152" t="n">
        <f aca="false">ROUND(60*D17/D$11,1)</f>
        <v>153.7</v>
      </c>
      <c r="E30" s="152" t="n">
        <f aca="false">ROUND(60*E17/E$11,1)</f>
        <v>115.1</v>
      </c>
      <c r="F30" s="152" t="n">
        <f aca="false">ROUND(60*F17/F$11,1)</f>
        <v>93.8</v>
      </c>
      <c r="G30" s="152" t="n">
        <f aca="false">ROUND(60*G17/G$11,1)</f>
        <v>80.2</v>
      </c>
      <c r="H30" s="152" t="n">
        <f aca="false">ROUND(60*H17/H$11,1)</f>
        <v>63.6</v>
      </c>
      <c r="I30" s="152" t="n">
        <f aca="false">ROUND(60*I17/I$11,1)</f>
        <v>41.8</v>
      </c>
      <c r="L30" s="153" t="n">
        <f aca="false">F11</f>
        <v>15</v>
      </c>
      <c r="M30" s="154" t="n">
        <f aca="false">LOG10(F25)</f>
        <v>2.17289469775218</v>
      </c>
      <c r="N30" s="154" t="n">
        <f aca="false">LOG10($B25)</f>
        <v>2.69897000433602</v>
      </c>
      <c r="O30" s="155" t="n">
        <f aca="false">LOG10($F$24)</f>
        <v>1.17609125905568</v>
      </c>
    </row>
    <row r="31" customFormat="false" ht="19.5" hidden="false" customHeight="true" outlineLevel="0" collapsed="false">
      <c r="B31" s="151" t="n">
        <v>10</v>
      </c>
      <c r="C31" s="125" t="n">
        <f aca="false">C18</f>
        <v>146.181155207782</v>
      </c>
      <c r="D31" s="152" t="n">
        <f aca="false">ROUND(60*D18/D$11,1)</f>
        <v>134.3</v>
      </c>
      <c r="E31" s="152" t="n">
        <f aca="false">ROUND(60*E18/E$11,1)</f>
        <v>100.5</v>
      </c>
      <c r="F31" s="152" t="n">
        <f aca="false">ROUND(60*F18/F$11,1)</f>
        <v>81.9</v>
      </c>
      <c r="G31" s="152" t="n">
        <f aca="false">ROUND(60*G18/G$11,1)</f>
        <v>70.1</v>
      </c>
      <c r="H31" s="152" t="n">
        <f aca="false">ROUND(60*H18/H$11,1)</f>
        <v>55.6</v>
      </c>
      <c r="I31" s="152" t="n">
        <f aca="false">ROUND(60*I18/I$11,1)</f>
        <v>36.3</v>
      </c>
      <c r="L31" s="153"/>
      <c r="M31" s="154" t="n">
        <f aca="false">LOG10(F26)</f>
        <v>2.12450422483428</v>
      </c>
      <c r="N31" s="154" t="n">
        <f aca="false">LOG10($B26)</f>
        <v>2.30102999566398</v>
      </c>
      <c r="O31" s="155" t="n">
        <f aca="false">LOG10($F$24)</f>
        <v>1.17609125905568</v>
      </c>
    </row>
    <row r="32" customFormat="false" ht="19.5" hidden="false" customHeight="true" outlineLevel="0" collapsed="false">
      <c r="B32" s="151" t="n">
        <v>5</v>
      </c>
      <c r="C32" s="125" t="n">
        <f aca="false">C19</f>
        <v>128.941318567935</v>
      </c>
      <c r="D32" s="152" t="n">
        <f aca="false">ROUND(60*D19/D$11,1)</f>
        <v>114.8</v>
      </c>
      <c r="E32" s="152" t="n">
        <f aca="false">ROUND(60*E19/E$11,1)</f>
        <v>85.9</v>
      </c>
      <c r="F32" s="152" t="n">
        <f aca="false">ROUND(60*F19/F$11,1)</f>
        <v>70</v>
      </c>
      <c r="G32" s="152" t="n">
        <f aca="false">ROUND(60*G19/G$11,1)</f>
        <v>59.9</v>
      </c>
      <c r="H32" s="152" t="n">
        <f aca="false">ROUND(60*H19/H$11,1)</f>
        <v>47.5</v>
      </c>
      <c r="I32" s="152" t="n">
        <f aca="false">ROUND(60*I19/I$11,1)</f>
        <v>31.2</v>
      </c>
      <c r="L32" s="153"/>
      <c r="M32" s="154" t="n">
        <f aca="false">LOG10(F27)</f>
        <v>2.08421868673924</v>
      </c>
      <c r="N32" s="154" t="n">
        <f aca="false">LOG10($B27)</f>
        <v>2</v>
      </c>
      <c r="O32" s="155" t="n">
        <f aca="false">LOG10($F$24)</f>
        <v>1.17609125905568</v>
      </c>
    </row>
    <row r="33" customFormat="false" ht="19.5" hidden="false" customHeight="true" outlineLevel="0" collapsed="false">
      <c r="B33" s="151" t="n">
        <v>2</v>
      </c>
      <c r="C33" s="125" t="n">
        <f aca="false">C20</f>
        <v>104.591452040495</v>
      </c>
      <c r="D33" s="152" t="n">
        <f aca="false">ROUND(60*D20/D$11,1)</f>
        <v>89</v>
      </c>
      <c r="E33" s="152" t="n">
        <f aca="false">ROUND(60*E20/E$11,1)</f>
        <v>66.6</v>
      </c>
      <c r="F33" s="152" t="n">
        <f aca="false">ROUND(60*F20/F$11,1)</f>
        <v>54.3</v>
      </c>
      <c r="G33" s="152" t="n">
        <f aca="false">ROUND(60*G20/G$11,1)</f>
        <v>46.5</v>
      </c>
      <c r="H33" s="152" t="n">
        <f aca="false">ROUND(60*H20/H$11,1)</f>
        <v>36.9</v>
      </c>
      <c r="I33" s="152" t="n">
        <f aca="false">ROUND(60*I20/I$11,1)</f>
        <v>24.2</v>
      </c>
      <c r="L33" s="153"/>
      <c r="M33" s="154" t="n">
        <f aca="false">LOG10(F28)</f>
        <v>2.03941411917614</v>
      </c>
      <c r="N33" s="154" t="n">
        <f aca="false">LOG10($B28)</f>
        <v>1.69897000433602</v>
      </c>
      <c r="O33" s="155" t="n">
        <f aca="false">LOG10($F$24)</f>
        <v>1.17609125905568</v>
      </c>
    </row>
    <row r="34" customFormat="false" ht="19.5" hidden="false" customHeight="true" outlineLevel="0" collapsed="false">
      <c r="L34" s="153"/>
      <c r="M34" s="154" t="n">
        <f aca="false">LOG10(F29)</f>
        <v>1.98944981766669</v>
      </c>
      <c r="N34" s="154" t="n">
        <f aca="false">LOG10($B29)</f>
        <v>1.39794000867204</v>
      </c>
      <c r="O34" s="155" t="n">
        <f aca="false">LOG10($F$24)</f>
        <v>1.17609125905568</v>
      </c>
    </row>
    <row r="35" customFormat="false" ht="24" hidden="false" customHeight="true" outlineLevel="0" collapsed="false">
      <c r="B35" s="141" t="s">
        <v>162</v>
      </c>
      <c r="C35" s="141"/>
      <c r="D35" s="141"/>
      <c r="E35" s="141"/>
      <c r="F35" s="141"/>
      <c r="G35" s="141"/>
      <c r="H35" s="141"/>
      <c r="I35" s="141"/>
      <c r="L35" s="153"/>
      <c r="M35" s="154" t="n">
        <f aca="false">LOG10(F30)</f>
        <v>1.97220283837906</v>
      </c>
      <c r="N35" s="154" t="n">
        <f aca="false">LOG10($B30)</f>
        <v>1.30102999566398</v>
      </c>
      <c r="O35" s="155" t="n">
        <f aca="false">LOG10($F$24)</f>
        <v>1.17609125905568</v>
      </c>
    </row>
    <row r="36" customFormat="false" ht="24" hidden="false" customHeight="true" outlineLevel="0" collapsed="false">
      <c r="B36" s="157" t="s">
        <v>163</v>
      </c>
      <c r="C36" s="157"/>
      <c r="D36" s="157"/>
      <c r="E36" s="157"/>
      <c r="F36" s="157" t="s">
        <v>164</v>
      </c>
      <c r="G36" s="157"/>
      <c r="H36" s="157"/>
      <c r="I36" s="157"/>
      <c r="L36" s="153"/>
      <c r="M36" s="154" t="n">
        <f aca="false">LOG10(F31)</f>
        <v>1.91328390176042</v>
      </c>
      <c r="N36" s="154" t="n">
        <f aca="false">LOG10($B31)</f>
        <v>1</v>
      </c>
      <c r="O36" s="155" t="n">
        <f aca="false">LOG10($F$24)</f>
        <v>1.17609125905568</v>
      </c>
    </row>
    <row r="37" customFormat="false" ht="24" hidden="false" customHeight="true" outlineLevel="0" collapsed="false">
      <c r="B37" s="151" t="s">
        <v>165</v>
      </c>
      <c r="C37" s="151"/>
      <c r="D37" s="151"/>
      <c r="E37" s="151" t="s">
        <v>166</v>
      </c>
      <c r="F37" s="151" t="s">
        <v>167</v>
      </c>
      <c r="G37" s="151"/>
      <c r="H37" s="151"/>
      <c r="I37" s="151"/>
      <c r="L37" s="153"/>
      <c r="M37" s="154" t="n">
        <f aca="false">LOG10(F32)</f>
        <v>1.84509804001426</v>
      </c>
      <c r="N37" s="154" t="n">
        <f aca="false">LOG10($B32)</f>
        <v>0.698970004336019</v>
      </c>
      <c r="O37" s="155" t="n">
        <f aca="false">LOG10($F$24)</f>
        <v>1.17609125905568</v>
      </c>
    </row>
    <row r="38" customFormat="false" ht="24" hidden="false" customHeight="true" outlineLevel="0" collapsed="false">
      <c r="B38" s="151" t="s">
        <v>168</v>
      </c>
      <c r="C38" s="151"/>
      <c r="D38" s="151"/>
      <c r="E38" s="151" t="s">
        <v>169</v>
      </c>
      <c r="F38" s="151" t="s">
        <v>170</v>
      </c>
      <c r="G38" s="151"/>
      <c r="H38" s="151"/>
      <c r="I38" s="151"/>
      <c r="L38" s="153"/>
      <c r="M38" s="154" t="n">
        <f aca="false">LOG10(F33)</f>
        <v>1.73479982958885</v>
      </c>
      <c r="N38" s="154" t="n">
        <f aca="false">LOG10($B33)</f>
        <v>0.301029995663981</v>
      </c>
      <c r="O38" s="155" t="n">
        <f aca="false">LOG10($F$24)</f>
        <v>1.17609125905568</v>
      </c>
    </row>
    <row r="39" customFormat="false" ht="24" hidden="false" customHeight="true" outlineLevel="0" collapsed="false">
      <c r="B39" s="151" t="s">
        <v>171</v>
      </c>
      <c r="C39" s="151"/>
      <c r="D39" s="151"/>
      <c r="E39" s="151" t="s">
        <v>172</v>
      </c>
      <c r="F39" s="151" t="s">
        <v>173</v>
      </c>
      <c r="G39" s="151"/>
      <c r="H39" s="151"/>
      <c r="I39" s="151"/>
      <c r="L39" s="153" t="n">
        <f aca="false">G11</f>
        <v>20</v>
      </c>
      <c r="M39" s="154" t="n">
        <f aca="false">LOG10(G25)</f>
        <v>2.10516942799933</v>
      </c>
      <c r="N39" s="154" t="n">
        <f aca="false">LOG10($B25)</f>
        <v>2.69897000433602</v>
      </c>
      <c r="O39" s="155" t="n">
        <f aca="false">LOG10($G$24)</f>
        <v>1.30102999566398</v>
      </c>
    </row>
    <row r="40" customFormat="false" ht="24" hidden="false" customHeight="true" outlineLevel="0" collapsed="false">
      <c r="L40" s="153"/>
      <c r="M40" s="154" t="n">
        <f aca="false">LOG10(G26)</f>
        <v>2.05690485133647</v>
      </c>
      <c r="N40" s="154" t="n">
        <f aca="false">LOG10($B26)</f>
        <v>2.30102999566398</v>
      </c>
      <c r="O40" s="155" t="n">
        <f aca="false">LOG10($G$24)</f>
        <v>1.30102999566398</v>
      </c>
    </row>
    <row r="41" customFormat="false" ht="24" hidden="false" customHeight="true" outlineLevel="0" collapsed="false">
      <c r="B41" s="151" t="str">
        <f aca="false">B37</f>
        <v>Sistema de Ecuaciones Normalizada (1)</v>
      </c>
      <c r="C41" s="151"/>
      <c r="D41" s="151"/>
      <c r="E41" s="151"/>
      <c r="F41" s="158" t="s">
        <v>174</v>
      </c>
      <c r="G41" s="159" t="s">
        <v>175</v>
      </c>
      <c r="H41" s="159" t="s">
        <v>176</v>
      </c>
      <c r="I41" s="151" t="s">
        <v>177</v>
      </c>
      <c r="L41" s="153"/>
      <c r="M41" s="154" t="n">
        <f aca="false">LOG10(G27)</f>
        <v>2.01619735351244</v>
      </c>
      <c r="N41" s="154" t="n">
        <f aca="false">LOG10($B27)</f>
        <v>2</v>
      </c>
      <c r="O41" s="155" t="n">
        <f aca="false">LOG10($G$24)</f>
        <v>1.30102999566398</v>
      </c>
    </row>
    <row r="42" customFormat="false" ht="24" hidden="false" customHeight="true" outlineLevel="0" collapsed="false">
      <c r="B42" s="151"/>
      <c r="C42" s="151"/>
      <c r="D42" s="151"/>
      <c r="E42" s="151"/>
      <c r="F42" s="160" t="n">
        <f aca="false">SUM(N12:N65)</f>
        <v>80.3876400520322</v>
      </c>
      <c r="G42" s="161" t="n">
        <f aca="false">SUM(O12:O65)</f>
        <v>66.8822738774309</v>
      </c>
      <c r="H42" s="162" t="n">
        <f aca="false">COUNT(M12:M65)</f>
        <v>54</v>
      </c>
      <c r="I42" s="152" t="n">
        <f aca="false">SUM(M12:M65)</f>
        <v>104.701324466638</v>
      </c>
      <c r="L42" s="153"/>
      <c r="M42" s="154" t="n">
        <f aca="false">LOG10(G28)</f>
        <v>1.97173959088778</v>
      </c>
      <c r="N42" s="154" t="n">
        <f aca="false">LOG10($B28)</f>
        <v>1.69897000433602</v>
      </c>
      <c r="O42" s="155" t="n">
        <f aca="false">LOG10($G$24)</f>
        <v>1.30102999566398</v>
      </c>
    </row>
    <row r="43" customFormat="false" ht="24" hidden="false" customHeight="true" outlineLevel="0" collapsed="false">
      <c r="B43" s="163"/>
      <c r="H43" s="163"/>
      <c r="I43" s="164"/>
      <c r="L43" s="153"/>
      <c r="M43" s="154" t="n">
        <f aca="false">LOG10(G29)</f>
        <v>1.9216864754836</v>
      </c>
      <c r="N43" s="154" t="n">
        <f aca="false">LOG10($B29)</f>
        <v>1.39794000867204</v>
      </c>
      <c r="O43" s="155" t="n">
        <f aca="false">LOG10($G$24)</f>
        <v>1.30102999566398</v>
      </c>
    </row>
    <row r="44" customFormat="false" ht="24" hidden="false" customHeight="true" outlineLevel="0" collapsed="false">
      <c r="B44" s="151" t="str">
        <f aca="false">B38</f>
        <v>Sistema de Ecuaciones Normalizada (2)</v>
      </c>
      <c r="C44" s="151"/>
      <c r="D44" s="151"/>
      <c r="E44" s="151"/>
      <c r="F44" s="158" t="s">
        <v>178</v>
      </c>
      <c r="G44" s="159" t="s">
        <v>179</v>
      </c>
      <c r="H44" s="159" t="s">
        <v>180</v>
      </c>
      <c r="I44" s="151" t="s">
        <v>181</v>
      </c>
      <c r="L44" s="153"/>
      <c r="M44" s="154" t="n">
        <f aca="false">LOG10(G30)</f>
        <v>1.90417436828416</v>
      </c>
      <c r="N44" s="154" t="n">
        <f aca="false">LOG10($B30)</f>
        <v>1.30102999566398</v>
      </c>
      <c r="O44" s="155" t="n">
        <f aca="false">LOG10($G$24)</f>
        <v>1.30102999566398</v>
      </c>
    </row>
    <row r="45" customFormat="false" ht="24" hidden="false" customHeight="true" outlineLevel="0" collapsed="false">
      <c r="B45" s="151"/>
      <c r="C45" s="151"/>
      <c r="D45" s="151"/>
      <c r="E45" s="151"/>
      <c r="F45" s="160" t="n">
        <f aca="false">SUMSQ(N12:N65)</f>
        <v>148.150623861593</v>
      </c>
      <c r="G45" s="161" t="n">
        <f aca="false">SUMPRODUCT(N12:N65,O12:O65)</f>
        <v>99.5649658948213</v>
      </c>
      <c r="H45" s="162" t="n">
        <f aca="false">SUM(N12:N65)</f>
        <v>80.3876400520322</v>
      </c>
      <c r="I45" s="152" t="n">
        <f aca="false">SUMPRODUCT(M12:M65,N12:N65)</f>
        <v>160.951198645323</v>
      </c>
      <c r="L45" s="153"/>
      <c r="M45" s="154" t="n">
        <f aca="false">LOG10(G31)</f>
        <v>1.84571801796666</v>
      </c>
      <c r="N45" s="154" t="n">
        <f aca="false">LOG10($B31)</f>
        <v>1</v>
      </c>
      <c r="O45" s="155" t="n">
        <f aca="false">LOG10($G$24)</f>
        <v>1.30102999566398</v>
      </c>
    </row>
    <row r="46" customFormat="false" ht="24" hidden="false" customHeight="true" outlineLevel="0" collapsed="false">
      <c r="B46" s="163"/>
      <c r="C46" s="163"/>
      <c r="D46" s="163"/>
      <c r="E46" s="163"/>
      <c r="F46" s="165"/>
      <c r="G46" s="165"/>
      <c r="H46" s="165"/>
      <c r="I46" s="165"/>
      <c r="L46" s="153"/>
      <c r="M46" s="154" t="n">
        <f aca="false">LOG10(G32)</f>
        <v>1.77742682238931</v>
      </c>
      <c r="N46" s="154" t="n">
        <f aca="false">LOG10($B32)</f>
        <v>0.698970004336019</v>
      </c>
      <c r="O46" s="155" t="n">
        <f aca="false">LOG10($G$24)</f>
        <v>1.30102999566398</v>
      </c>
    </row>
    <row r="47" customFormat="false" ht="24" hidden="false" customHeight="true" outlineLevel="0" collapsed="false">
      <c r="B47" s="151" t="str">
        <f aca="false">B39</f>
        <v>Sistema de Ecuaciones Normalizada (3)</v>
      </c>
      <c r="C47" s="151"/>
      <c r="D47" s="151"/>
      <c r="E47" s="151"/>
      <c r="F47" s="158" t="s">
        <v>182</v>
      </c>
      <c r="G47" s="159" t="s">
        <v>183</v>
      </c>
      <c r="H47" s="159" t="s">
        <v>184</v>
      </c>
      <c r="I47" s="151" t="s">
        <v>185</v>
      </c>
      <c r="L47" s="153"/>
      <c r="M47" s="154" t="n">
        <f aca="false">LOG10(G33)</f>
        <v>1.66745295288995</v>
      </c>
      <c r="N47" s="154" t="n">
        <f aca="false">LOG10($B33)</f>
        <v>0.301029995663981</v>
      </c>
      <c r="O47" s="155" t="n">
        <f aca="false">LOG10($G$24)</f>
        <v>1.30102999566398</v>
      </c>
    </row>
    <row r="48" customFormat="false" ht="24" hidden="false" customHeight="true" outlineLevel="0" collapsed="false">
      <c r="B48" s="151"/>
      <c r="C48" s="151"/>
      <c r="D48" s="151"/>
      <c r="E48" s="151"/>
      <c r="F48" s="160" t="n">
        <f aca="false">SUMPRODUCT(N12:N65,O12:O65)</f>
        <v>99.5649658948213</v>
      </c>
      <c r="G48" s="161" t="n">
        <f aca="false">SUMSQ(O12:O65)</f>
        <v>89.1732405293244</v>
      </c>
      <c r="H48" s="162" t="n">
        <f aca="false">SUM(O12:O65)</f>
        <v>66.8822738774309</v>
      </c>
      <c r="I48" s="152" t="n">
        <f aca="false">SUMPRODUCT(M12:M65,O12:O65)</f>
        <v>126.340800745832</v>
      </c>
      <c r="L48" s="153" t="n">
        <f aca="false">H11</f>
        <v>30</v>
      </c>
      <c r="M48" s="154" t="n">
        <f aca="false">LOG10(H25)</f>
        <v>2.004751155591</v>
      </c>
      <c r="N48" s="154" t="n">
        <f aca="false">LOG10($B25)</f>
        <v>2.69897000433602</v>
      </c>
      <c r="O48" s="155" t="n">
        <f aca="false">LOG10($H$24)</f>
        <v>1.47712125471966</v>
      </c>
    </row>
    <row r="49" customFormat="false" ht="24" hidden="false" customHeight="true" outlineLevel="0" collapsed="false">
      <c r="C49" s="165"/>
      <c r="D49" s="165"/>
      <c r="E49" s="165"/>
      <c r="G49" s="165"/>
      <c r="H49" s="165"/>
      <c r="I49" s="165"/>
      <c r="L49" s="153"/>
      <c r="M49" s="154" t="n">
        <f aca="false">LOG10(H26)</f>
        <v>1.95616843047536</v>
      </c>
      <c r="N49" s="154" t="n">
        <f aca="false">LOG10($B26)</f>
        <v>2.30102999566398</v>
      </c>
      <c r="O49" s="155" t="n">
        <f aca="false">LOG10($H$24)</f>
        <v>1.47712125471966</v>
      </c>
    </row>
    <row r="50" customFormat="false" ht="24" hidden="false" customHeight="true" outlineLevel="0" collapsed="false">
      <c r="B50" s="157" t="s">
        <v>186</v>
      </c>
      <c r="C50" s="157"/>
      <c r="D50" s="157"/>
      <c r="E50" s="157"/>
      <c r="F50" s="44" t="s">
        <v>187</v>
      </c>
      <c r="G50" s="44"/>
      <c r="H50" s="44"/>
      <c r="I50" s="157" t="s">
        <v>188</v>
      </c>
      <c r="L50" s="153"/>
      <c r="M50" s="154" t="n">
        <f aca="false">LOG10(H27)</f>
        <v>1.91592721169712</v>
      </c>
      <c r="N50" s="154" t="n">
        <f aca="false">LOG10($B27)</f>
        <v>2</v>
      </c>
      <c r="O50" s="155" t="n">
        <f aca="false">LOG10($H$24)</f>
        <v>1.47712125471966</v>
      </c>
    </row>
    <row r="51" customFormat="false" ht="24" hidden="false" customHeight="true" outlineLevel="0" collapsed="false">
      <c r="B51" s="166" t="n">
        <f aca="false">F42</f>
        <v>80.3876400520322</v>
      </c>
      <c r="C51" s="167" t="n">
        <f aca="false">G42</f>
        <v>66.8822738774309</v>
      </c>
      <c r="D51" s="168" t="n">
        <f aca="false">H42</f>
        <v>54</v>
      </c>
      <c r="E51" s="169" t="n">
        <f aca="false">I42</f>
        <v>104.701324466638</v>
      </c>
      <c r="F51" s="170" t="n">
        <f aca="false" t="array" ref="F51:H53">MINVERSE(B51:D53)</f>
        <v>-0.0522689712207035</v>
      </c>
      <c r="G51" s="170" t="n">
        <v>0.0351114231502637</v>
      </c>
      <c r="H51" s="170" t="n">
        <v>0</v>
      </c>
      <c r="I51" s="171" t="n">
        <f aca="false" t="array" ref="I51:I53">MMULT(F51:H53,E51:E53)</f>
        <v>0.178595126861845</v>
      </c>
      <c r="L51" s="153"/>
      <c r="M51" s="154" t="n">
        <f aca="false">LOG10(H28)</f>
        <v>1.87098881376058</v>
      </c>
      <c r="N51" s="154" t="n">
        <f aca="false">LOG10($B28)</f>
        <v>1.69897000433602</v>
      </c>
      <c r="O51" s="155" t="n">
        <f aca="false">LOG10($H$24)</f>
        <v>1.47712125471966</v>
      </c>
    </row>
    <row r="52" customFormat="false" ht="24" hidden="false" customHeight="true" outlineLevel="0" collapsed="false">
      <c r="B52" s="166" t="n">
        <f aca="false">F45</f>
        <v>148.150623861593</v>
      </c>
      <c r="C52" s="167" t="n">
        <f aca="false">G45</f>
        <v>99.5649658948213</v>
      </c>
      <c r="D52" s="168" t="n">
        <f aca="false">H45</f>
        <v>80.3876400520322</v>
      </c>
      <c r="E52" s="169" t="n">
        <f aca="false">I45</f>
        <v>160.951198645323</v>
      </c>
      <c r="F52" s="172" t="n">
        <v>-0.195495650302197</v>
      </c>
      <c r="G52" s="172" t="n">
        <v>0</v>
      </c>
      <c r="H52" s="172" t="n">
        <v>0.15784100187241</v>
      </c>
      <c r="I52" s="173" t="n">
        <v>-0.526894947021983</v>
      </c>
      <c r="L52" s="153"/>
      <c r="M52" s="154" t="n">
        <f aca="false">LOG10(H29)</f>
        <v>1.8208579894397</v>
      </c>
      <c r="N52" s="154" t="n">
        <f aca="false">LOG10($B29)</f>
        <v>1.39794000867204</v>
      </c>
      <c r="O52" s="155" t="n">
        <f aca="false">LOG10($H$24)</f>
        <v>1.47712125471966</v>
      </c>
    </row>
    <row r="53" customFormat="false" ht="24" hidden="false" customHeight="true" outlineLevel="0" collapsed="false">
      <c r="B53" s="166" t="n">
        <f aca="false">F48</f>
        <v>99.5649658948213</v>
      </c>
      <c r="C53" s="167" t="n">
        <f aca="false">G48</f>
        <v>89.1732405293244</v>
      </c>
      <c r="D53" s="168" t="n">
        <f aca="false">H48</f>
        <v>66.8822738774309</v>
      </c>
      <c r="E53" s="169" t="n">
        <f aca="false">I48</f>
        <v>126.340800745832</v>
      </c>
      <c r="F53" s="172" t="n">
        <v>0.338462460550703</v>
      </c>
      <c r="G53" s="172" t="n">
        <v>-0.0522689712207035</v>
      </c>
      <c r="H53" s="172" t="n">
        <v>-0.195495650302197</v>
      </c>
      <c r="I53" s="174" t="n">
        <v>2.32563733045887</v>
      </c>
      <c r="L53" s="153"/>
      <c r="M53" s="154" t="n">
        <f aca="false">LOG10(H30)</f>
        <v>1.80345711564841</v>
      </c>
      <c r="N53" s="154" t="n">
        <f aca="false">LOG10($B30)</f>
        <v>1.30102999566398</v>
      </c>
      <c r="O53" s="155" t="n">
        <f aca="false">LOG10($H$24)</f>
        <v>1.47712125471966</v>
      </c>
    </row>
    <row r="54" customFormat="false" ht="19.5" hidden="false" customHeight="true" outlineLevel="0" collapsed="false">
      <c r="L54" s="153"/>
      <c r="M54" s="154" t="n">
        <f aca="false">LOG10(H31)</f>
        <v>1.74507479158206</v>
      </c>
      <c r="N54" s="154" t="n">
        <f aca="false">LOG10($B31)</f>
        <v>1</v>
      </c>
      <c r="O54" s="155" t="n">
        <f aca="false">LOG10($H$24)</f>
        <v>1.47712125471966</v>
      </c>
    </row>
    <row r="55" customFormat="false" ht="19.5" hidden="false" customHeight="true" outlineLevel="0" collapsed="false">
      <c r="L55" s="153"/>
      <c r="M55" s="154" t="n">
        <f aca="false">LOG10(H32)</f>
        <v>1.67669360962487</v>
      </c>
      <c r="N55" s="154" t="n">
        <f aca="false">LOG10($B32)</f>
        <v>0.698970004336019</v>
      </c>
      <c r="O55" s="155" t="n">
        <f aca="false">LOG10($H$24)</f>
        <v>1.47712125471966</v>
      </c>
    </row>
    <row r="56" customFormat="false" ht="19.5" hidden="false" customHeight="true" outlineLevel="0" collapsed="false">
      <c r="L56" s="153"/>
      <c r="M56" s="154" t="n">
        <f aca="false">LOG10(H33)</f>
        <v>1.56702636615906</v>
      </c>
      <c r="N56" s="154" t="n">
        <f aca="false">LOG10($B33)</f>
        <v>0.301029995663981</v>
      </c>
      <c r="O56" s="155" t="n">
        <f aca="false">LOG10($H$24)</f>
        <v>1.47712125471966</v>
      </c>
    </row>
    <row r="57" customFormat="false" ht="19.5" hidden="false" customHeight="true" outlineLevel="0" collapsed="false">
      <c r="L57" s="153" t="n">
        <f aca="false">I11</f>
        <v>60</v>
      </c>
      <c r="M57" s="154" t="n">
        <f aca="false">LOG10(I25)</f>
        <v>1.82216807936802</v>
      </c>
      <c r="N57" s="154" t="n">
        <f aca="false">LOG10($B25)</f>
        <v>2.69897000433602</v>
      </c>
      <c r="O57" s="155" t="n">
        <f aca="false">LOG10($I$24)</f>
        <v>1.77815125038364</v>
      </c>
    </row>
    <row r="58" customFormat="false" ht="19.5" hidden="false" customHeight="true" outlineLevel="0" collapsed="false">
      <c r="L58" s="153"/>
      <c r="M58" s="154" t="n">
        <f aca="false">LOG10(I26)</f>
        <v>1.77378644498119</v>
      </c>
      <c r="N58" s="154" t="n">
        <f aca="false">LOG10($B26)</f>
        <v>2.30102999566398</v>
      </c>
      <c r="O58" s="155" t="n">
        <f aca="false">LOG10($I$24)</f>
        <v>1.77815125038364</v>
      </c>
    </row>
    <row r="59" customFormat="false" ht="19.5" hidden="false" customHeight="true" outlineLevel="0" collapsed="false">
      <c r="L59" s="153"/>
      <c r="M59" s="154" t="n">
        <f aca="false">LOG10(I27)</f>
        <v>1.73319726510657</v>
      </c>
      <c r="N59" s="154" t="n">
        <f aca="false">LOG10($B27)</f>
        <v>2</v>
      </c>
      <c r="O59" s="155" t="n">
        <f aca="false">LOG10($I$24)</f>
        <v>1.77815125038364</v>
      </c>
    </row>
    <row r="60" customFormat="false" ht="19.5" hidden="false" customHeight="true" outlineLevel="0" collapsed="false">
      <c r="L60" s="153"/>
      <c r="M60" s="154" t="n">
        <f aca="false">LOG10(I28)</f>
        <v>1.68841982200271</v>
      </c>
      <c r="N60" s="154" t="n">
        <f aca="false">LOG10($B28)</f>
        <v>1.69897000433602</v>
      </c>
      <c r="O60" s="155" t="n">
        <f aca="false">LOG10($I$24)</f>
        <v>1.77815125038364</v>
      </c>
    </row>
    <row r="61" customFormat="false" ht="19.5" hidden="false" customHeight="true" outlineLevel="0" collapsed="false">
      <c r="L61" s="153"/>
      <c r="M61" s="154" t="n">
        <f aca="false">LOG10(I29)</f>
        <v>1.63848925695464</v>
      </c>
      <c r="N61" s="154" t="n">
        <f aca="false">LOG10($B29)</f>
        <v>1.39794000867204</v>
      </c>
      <c r="O61" s="155" t="n">
        <f aca="false">LOG10($I$24)</f>
        <v>1.77815125038364</v>
      </c>
    </row>
    <row r="62" customFormat="false" ht="19.5" hidden="false" customHeight="true" outlineLevel="0" collapsed="false">
      <c r="L62" s="153"/>
      <c r="M62" s="154" t="n">
        <f aca="false">LOG10(I30)</f>
        <v>1.62117628177504</v>
      </c>
      <c r="N62" s="154" t="n">
        <f aca="false">LOG10($B30)</f>
        <v>1.30102999566398</v>
      </c>
      <c r="O62" s="155" t="n">
        <f aca="false">LOG10($I$24)</f>
        <v>1.77815125038364</v>
      </c>
    </row>
    <row r="63" customFormat="false" ht="19.5" hidden="false" customHeight="true" outlineLevel="0" collapsed="false">
      <c r="B63" s="175"/>
      <c r="C63" s="165"/>
      <c r="D63" s="165"/>
      <c r="E63" s="165"/>
      <c r="G63" s="165"/>
      <c r="H63" s="165"/>
      <c r="I63" s="165"/>
      <c r="L63" s="153"/>
      <c r="M63" s="154" t="n">
        <f aca="false">LOG10(I31)</f>
        <v>1.55990662503611</v>
      </c>
      <c r="N63" s="154" t="n">
        <f aca="false">LOG10($B31)</f>
        <v>1</v>
      </c>
      <c r="O63" s="155" t="n">
        <f aca="false">LOG10($I$24)</f>
        <v>1.77815125038364</v>
      </c>
    </row>
    <row r="64" customFormat="false" ht="19.5" hidden="false" customHeight="true" outlineLevel="0" collapsed="false">
      <c r="B64" s="175"/>
      <c r="C64" s="122"/>
      <c r="D64" s="122"/>
      <c r="E64" s="122"/>
      <c r="G64" s="122"/>
      <c r="H64" s="122"/>
      <c r="I64" s="122"/>
      <c r="L64" s="153"/>
      <c r="M64" s="154" t="n">
        <f aca="false">LOG10(I32)</f>
        <v>1.49415459401844</v>
      </c>
      <c r="N64" s="154" t="n">
        <f aca="false">LOG10($B32)</f>
        <v>0.698970004336019</v>
      </c>
      <c r="O64" s="155" t="n">
        <f aca="false">LOG10($I$24)</f>
        <v>1.77815125038364</v>
      </c>
    </row>
    <row r="65" customFormat="false" ht="19.5" hidden="false" customHeight="true" outlineLevel="0" collapsed="false">
      <c r="C65" s="122"/>
      <c r="D65" s="122"/>
      <c r="E65" s="122"/>
      <c r="G65" s="122"/>
      <c r="H65" s="122"/>
      <c r="I65" s="122"/>
      <c r="L65" s="153"/>
      <c r="M65" s="154" t="n">
        <f aca="false">LOG10(I33)</f>
        <v>1.38381536598043</v>
      </c>
      <c r="N65" s="154" t="n">
        <f aca="false">LOG10($B33)</f>
        <v>0.301029995663981</v>
      </c>
      <c r="O65" s="155" t="n">
        <f aca="false">LOG10($I$24)</f>
        <v>1.77815125038364</v>
      </c>
    </row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>
      <c r="B108" s="176"/>
      <c r="C108" s="176"/>
      <c r="D108" s="176"/>
      <c r="E108" s="176"/>
      <c r="F108" s="176"/>
      <c r="G108" s="176"/>
      <c r="H108" s="176"/>
      <c r="I108" s="176"/>
    </row>
    <row r="109" customFormat="false" ht="19.5" hidden="false" customHeight="true" outlineLevel="0" collapsed="false">
      <c r="B109" s="177"/>
      <c r="C109" s="177"/>
      <c r="D109" s="177"/>
      <c r="E109" s="177"/>
      <c r="F109" s="177"/>
      <c r="G109" s="176"/>
      <c r="H109" s="176"/>
      <c r="I109" s="176"/>
    </row>
    <row r="110" customFormat="false" ht="19.5" hidden="false" customHeight="true" outlineLevel="0" collapsed="false">
      <c r="F110" s="177"/>
      <c r="G110" s="176"/>
      <c r="H110" s="176"/>
      <c r="I110" s="176"/>
    </row>
    <row r="111" customFormat="false" ht="19.5" hidden="false" customHeight="true" outlineLevel="0" collapsed="false">
      <c r="F111" s="177"/>
      <c r="G111" s="176"/>
      <c r="H111" s="176"/>
      <c r="I111" s="176"/>
    </row>
    <row r="112" customFormat="false" ht="19.5" hidden="false" customHeight="true" outlineLevel="0" collapsed="false">
      <c r="F112" s="177"/>
      <c r="G112" s="176"/>
      <c r="H112" s="176"/>
      <c r="I112" s="176"/>
    </row>
    <row r="113" customFormat="false" ht="19.5" hidden="false" customHeight="true" outlineLevel="0" collapsed="false">
      <c r="F113" s="177"/>
      <c r="G113" s="176"/>
      <c r="H113" s="176"/>
      <c r="I113" s="176"/>
    </row>
    <row r="114" customFormat="false" ht="19.5" hidden="false" customHeight="true" outlineLevel="0" collapsed="false">
      <c r="F114" s="177"/>
      <c r="G114" s="176"/>
      <c r="H114" s="176"/>
      <c r="I114" s="176"/>
    </row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</sheetData>
  <mergeCells count="28">
    <mergeCell ref="C2:I2"/>
    <mergeCell ref="C3:I3"/>
    <mergeCell ref="C4:I4"/>
    <mergeCell ref="C5:I5"/>
    <mergeCell ref="B9:I9"/>
    <mergeCell ref="D10:I10"/>
    <mergeCell ref="L12:L20"/>
    <mergeCell ref="L21:L29"/>
    <mergeCell ref="B22:I22"/>
    <mergeCell ref="D23:I23"/>
    <mergeCell ref="L30:L38"/>
    <mergeCell ref="B35:I35"/>
    <mergeCell ref="B36:E36"/>
    <mergeCell ref="F36:I36"/>
    <mergeCell ref="B37:E37"/>
    <mergeCell ref="F37:I37"/>
    <mergeCell ref="B38:E38"/>
    <mergeCell ref="F38:I38"/>
    <mergeCell ref="B39:E39"/>
    <mergeCell ref="F39:I39"/>
    <mergeCell ref="L39:L47"/>
    <mergeCell ref="B41:E42"/>
    <mergeCell ref="B44:E45"/>
    <mergeCell ref="B47:E48"/>
    <mergeCell ref="L48:L56"/>
    <mergeCell ref="B50:E50"/>
    <mergeCell ref="F50:H50"/>
    <mergeCell ref="L57:L65"/>
  </mergeCells>
  <printOptions headings="false" gridLines="false" gridLinesSet="true" horizontalCentered="true" verticalCentered="false"/>
  <pageMargins left="0.690277777777778" right="0.354166666666667" top="0.511805555555556" bottom="0.196527777777778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9" man="true" max="16383" min="0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2:P172"/>
  <sheetViews>
    <sheetView showFormulas="false" showGridLines="true" showRowColHeaders="true" showZeros="true" rightToLeft="false" tabSelected="false" showOutlineSymbols="true" defaultGridColor="true" view="pageBreakPreview" topLeftCell="C1" colorId="64" zoomScale="130" zoomScaleNormal="100" zoomScalePageLayoutView="130" workbookViewId="0">
      <selection pane="topLeft" activeCell="M21" activeCellId="0" sqref="M21"/>
    </sheetView>
  </sheetViews>
  <sheetFormatPr defaultColWidth="10.36328125" defaultRowHeight="12.75" zeroHeight="false" outlineLevelRow="0" outlineLevelCol="0"/>
  <cols>
    <col collapsed="false" customWidth="true" hidden="false" outlineLevel="0" max="1" min="1" style="12" width="2.09"/>
    <col collapsed="false" customWidth="true" hidden="false" outlineLevel="0" max="2" min="2" style="12" width="13.09"/>
    <col collapsed="false" customWidth="true" hidden="false" outlineLevel="0" max="3" min="3" style="12" width="13.73"/>
    <col collapsed="false" customWidth="true" hidden="false" outlineLevel="0" max="4" min="4" style="12" width="18.63"/>
    <col collapsed="false" customWidth="true" hidden="false" outlineLevel="0" max="5" min="5" style="12" width="14.54"/>
    <col collapsed="false" customWidth="true" hidden="false" outlineLevel="0" max="6" min="6" style="12" width="13.82"/>
    <col collapsed="false" customWidth="true" hidden="false" outlineLevel="0" max="7" min="7" style="12" width="13.91"/>
    <col collapsed="false" customWidth="true" hidden="false" outlineLevel="0" max="8" min="8" style="12" width="12.45"/>
    <col collapsed="false" customWidth="true" hidden="false" outlineLevel="0" max="9" min="9" style="12" width="13.18"/>
    <col collapsed="false" customWidth="true" hidden="false" outlineLevel="0" max="10" min="10" style="12" width="1.63"/>
    <col collapsed="false" customWidth="false" hidden="false" outlineLevel="0" max="16384" min="11" style="12" width="10.36"/>
  </cols>
  <sheetData>
    <row r="2" customFormat="false" ht="49.5" hidden="false" customHeight="true" outlineLevel="0" collapsed="false">
      <c r="B2" s="178" t="s">
        <v>11</v>
      </c>
      <c r="C2" s="179" t="str">
        <f aca="false">'A. Estación'!C2:O2</f>
        <v>“MEJORAMIENTO Y AMPLIACIÓN DEL SERVICIO DE EDUCACIÓN PRIMARIA EN I.E. N° 0590 DISTRITO DE BARRANQUITA DE LA PROVINCIA DE LAMAS DEL DEPARTAMENTO DE SAN MARTÍN”, con C.I. N.° 468901</v>
      </c>
      <c r="D2" s="179"/>
      <c r="E2" s="179"/>
      <c r="F2" s="179"/>
      <c r="G2" s="179"/>
      <c r="H2" s="179"/>
      <c r="I2" s="179"/>
    </row>
    <row r="3" customFormat="false" ht="17.25" hidden="false" customHeight="true" outlineLevel="0" collapsed="false">
      <c r="B3" s="178" t="s">
        <v>13</v>
      </c>
      <c r="C3" s="179" t="str">
        <f aca="false">'A. Estación'!C3:O3</f>
        <v>GOBIERNO REGIONAL SAN MARTIN - GERENCIA TERRITORIAL BAJO MAYO - TARAPOTO</v>
      </c>
      <c r="D3" s="179"/>
      <c r="E3" s="179"/>
      <c r="F3" s="179"/>
      <c r="G3" s="179"/>
      <c r="H3" s="179"/>
      <c r="I3" s="179"/>
    </row>
    <row r="4" customFormat="false" ht="26.25" hidden="false" customHeight="true" outlineLevel="0" collapsed="false">
      <c r="B4" s="178" t="s">
        <v>15</v>
      </c>
      <c r="C4" s="179" t="str">
        <f aca="false">'A. Estación'!C4:O4</f>
        <v>SAN MARTIN - LAMAS - BARRANQUITA</v>
      </c>
      <c r="D4" s="179"/>
      <c r="E4" s="179"/>
      <c r="F4" s="179"/>
      <c r="G4" s="179"/>
      <c r="H4" s="179"/>
      <c r="I4" s="179"/>
    </row>
    <row r="5" customFormat="false" ht="15.75" hidden="false" customHeight="true" outlineLevel="0" collapsed="false">
      <c r="B5" s="178" t="s">
        <v>17</v>
      </c>
      <c r="C5" s="179" t="str">
        <f aca="false">'A. Estación'!C5:O5</f>
        <v>OCTUBRE 2026</v>
      </c>
      <c r="D5" s="179"/>
      <c r="E5" s="179"/>
      <c r="F5" s="179"/>
      <c r="G5" s="179"/>
      <c r="H5" s="179"/>
      <c r="I5" s="179"/>
    </row>
    <row r="7" customFormat="false" ht="19.5" hidden="false" customHeight="true" outlineLevel="0" collapsed="false">
      <c r="B7" s="23" t="s">
        <v>189</v>
      </c>
      <c r="C7" s="25"/>
      <c r="D7" s="25"/>
    </row>
    <row r="8" customFormat="false" ht="5.25" hidden="false" customHeight="true" outlineLevel="0" collapsed="false"/>
    <row r="9" customFormat="false" ht="19.5" hidden="false" customHeight="true" outlineLevel="0" collapsed="false">
      <c r="C9" s="124" t="s">
        <v>190</v>
      </c>
      <c r="D9" s="180" t="s">
        <v>191</v>
      </c>
    </row>
    <row r="10" customFormat="false" ht="19.5" hidden="false" customHeight="true" outlineLevel="0" collapsed="false">
      <c r="C10" s="124"/>
      <c r="D10" s="124" t="s">
        <v>192</v>
      </c>
    </row>
    <row r="11" customFormat="false" ht="8.25" hidden="false" customHeight="true" outlineLevel="0" collapsed="false">
      <c r="C11" s="181"/>
      <c r="D11" s="181"/>
    </row>
    <row r="12" customFormat="false" ht="19.5" hidden="false" customHeight="true" outlineLevel="0" collapsed="false">
      <c r="C12" s="124" t="s">
        <v>110</v>
      </c>
      <c r="D12" s="125" t="n">
        <f aca="false">ROUND(10^'A. Parametros'!I53,2)</f>
        <v>211.66</v>
      </c>
    </row>
    <row r="13" customFormat="false" ht="19.5" hidden="false" customHeight="true" outlineLevel="0" collapsed="false">
      <c r="C13" s="124" t="s">
        <v>193</v>
      </c>
      <c r="D13" s="123" t="n">
        <f aca="false">'A. Parametros'!I51</f>
        <v>0.178595126861845</v>
      </c>
    </row>
    <row r="14" customFormat="false" ht="19.5" hidden="false" customHeight="true" outlineLevel="0" collapsed="false">
      <c r="C14" s="124" t="s">
        <v>75</v>
      </c>
      <c r="D14" s="123" t="n">
        <f aca="false">ABS('A. Parametros'!I52)</f>
        <v>0.526894947021983</v>
      </c>
    </row>
    <row r="15" customFormat="false" ht="9.75" hidden="false" customHeight="true" outlineLevel="0" collapsed="false">
      <c r="C15" s="182"/>
      <c r="D15" s="183"/>
    </row>
    <row r="16" customFormat="false" ht="19.5" hidden="false" customHeight="true" outlineLevel="0" collapsed="false">
      <c r="B16" s="45" t="s">
        <v>194</v>
      </c>
      <c r="C16" s="45" t="s">
        <v>195</v>
      </c>
      <c r="D16" s="45"/>
      <c r="E16" s="45"/>
      <c r="F16" s="45"/>
      <c r="G16" s="45"/>
      <c r="H16" s="45"/>
      <c r="I16" s="45"/>
    </row>
    <row r="17" customFormat="false" ht="19.5" hidden="false" customHeight="true" outlineLevel="0" collapsed="false">
      <c r="B17" s="45" t="s">
        <v>196</v>
      </c>
      <c r="C17" s="184" t="n">
        <v>2</v>
      </c>
      <c r="D17" s="184" t="n">
        <v>5</v>
      </c>
      <c r="E17" s="184" t="n">
        <v>10</v>
      </c>
      <c r="F17" s="184" t="n">
        <v>20</v>
      </c>
      <c r="G17" s="184" t="n">
        <v>25</v>
      </c>
      <c r="H17" s="184" t="n">
        <v>50</v>
      </c>
      <c r="I17" s="184" t="n">
        <v>100</v>
      </c>
    </row>
    <row r="18" customFormat="false" ht="19.5" hidden="false" customHeight="true" outlineLevel="0" collapsed="false">
      <c r="B18" s="45" t="n">
        <v>10</v>
      </c>
      <c r="C18" s="185" t="n">
        <f aca="false">ROUND(($D$12*$C$17^$D$13)/B18^$D$14,2)</f>
        <v>71.2</v>
      </c>
      <c r="D18" s="185" t="n">
        <f aca="false">ROUND(($D$12*$D$17^$D$13)/B18^$D$14,2)</f>
        <v>83.86</v>
      </c>
      <c r="E18" s="185" t="n">
        <f aca="false">ROUND(($D$12*$E$17^$D$13)/B18^$D$14,2)</f>
        <v>94.92</v>
      </c>
      <c r="F18" s="185" t="n">
        <f aca="false">ROUND(($D$12*$F$17^$D$13)/B18^$D$14,2)</f>
        <v>107.42</v>
      </c>
      <c r="G18" s="185" t="n">
        <f aca="false">ROUND(($D$12*$G$17^$D$13)/B18^$D$14,2)</f>
        <v>111.79</v>
      </c>
      <c r="H18" s="185" t="n">
        <f aca="false">ROUND(($D$12*$H$17^$D$13)/B18^$D$14,2)</f>
        <v>126.52</v>
      </c>
      <c r="I18" s="185" t="n">
        <f aca="false">ROUND(($D$12*$I$17^$D$13)/B18^$D$14,2)</f>
        <v>143.2</v>
      </c>
    </row>
    <row r="19" customFormat="false" ht="19.5" hidden="false" customHeight="true" outlineLevel="0" collapsed="false">
      <c r="B19" s="45" t="n">
        <v>20</v>
      </c>
      <c r="C19" s="185" t="n">
        <f aca="false">ROUND(($D$12*$C$17^$D$13)/B19^$D$14,2)</f>
        <v>49.42</v>
      </c>
      <c r="D19" s="185" t="n">
        <f aca="false">ROUND(($D$12*$D$17^$D$13)/B19^$D$14,2)</f>
        <v>58.21</v>
      </c>
      <c r="E19" s="185" t="n">
        <f aca="false">ROUND(($D$12*$E$17^$D$13)/B19^$D$14,2)</f>
        <v>65.88</v>
      </c>
      <c r="F19" s="185" t="n">
        <f aca="false">ROUND(($D$12*$F$17^$D$13)/B19^$D$14,2)</f>
        <v>74.56</v>
      </c>
      <c r="G19" s="185" t="n">
        <f aca="false">ROUND(($D$12*$G$17^$D$13)/B19^$D$14,2)</f>
        <v>77.59</v>
      </c>
      <c r="H19" s="185" t="n">
        <f aca="false">ROUND(($D$12*$H$17^$D$13)/B19^$D$14,2)</f>
        <v>87.81</v>
      </c>
      <c r="I19" s="185" t="n">
        <f aca="false">ROUND(($D$12*$I$17^$D$13)/B19^$D$14,2)</f>
        <v>99.39</v>
      </c>
    </row>
    <row r="20" customFormat="false" ht="19.5" hidden="false" customHeight="true" outlineLevel="0" collapsed="false">
      <c r="B20" s="45" t="n">
        <v>30</v>
      </c>
      <c r="C20" s="185" t="n">
        <f aca="false">ROUND(($D$12*$C$17^$D$13)/B20^$D$14,2)</f>
        <v>39.91</v>
      </c>
      <c r="D20" s="185" t="n">
        <f aca="false">ROUND(($D$12*$D$17^$D$13)/B20^$D$14,2)</f>
        <v>47.01</v>
      </c>
      <c r="E20" s="185" t="n">
        <f aca="false">ROUND(($D$12*$E$17^$D$13)/B20^$D$14,2)</f>
        <v>53.2</v>
      </c>
      <c r="F20" s="185" t="n">
        <f aca="false">ROUND(($D$12*$F$17^$D$13)/B20^$D$14,2)</f>
        <v>60.22</v>
      </c>
      <c r="G20" s="185" t="n">
        <f aca="false">ROUND(($D$12*$G$17^$D$13)/B20^$D$14,2)</f>
        <v>62.66</v>
      </c>
      <c r="H20" s="185" t="n">
        <f aca="false">ROUND(($D$12*$H$17^$D$13)/B20^$D$14,2)</f>
        <v>70.92</v>
      </c>
      <c r="I20" s="185" t="n">
        <f aca="false">ROUND(($D$12*$I$17^$D$13)/B20^$D$14,2)</f>
        <v>80.27</v>
      </c>
    </row>
    <row r="21" customFormat="false" ht="19.5" hidden="false" customHeight="true" outlineLevel="0" collapsed="false">
      <c r="B21" s="45" t="n">
        <v>40</v>
      </c>
      <c r="C21" s="185" t="n">
        <f aca="false">ROUND(($D$12*$C$17^$D$13)/B21^$D$14,2)</f>
        <v>34.3</v>
      </c>
      <c r="D21" s="185" t="n">
        <f aca="false">ROUND(($D$12*$D$17^$D$13)/B21^$D$14,2)</f>
        <v>40.4</v>
      </c>
      <c r="E21" s="185" t="n">
        <f aca="false">ROUND(($D$12*$E$17^$D$13)/B21^$D$14,2)</f>
        <v>45.72</v>
      </c>
      <c r="F21" s="185" t="n">
        <f aca="false">ROUND(($D$12*$F$17^$D$13)/B21^$D$14,2)</f>
        <v>51.75</v>
      </c>
      <c r="G21" s="185" t="n">
        <f aca="false">ROUND(($D$12*$G$17^$D$13)/B21^$D$14,2)</f>
        <v>53.85</v>
      </c>
      <c r="H21" s="185" t="n">
        <f aca="false">ROUND(($D$12*$H$17^$D$13)/B21^$D$14,2)</f>
        <v>60.95</v>
      </c>
      <c r="I21" s="185" t="n">
        <f aca="false">ROUND(($D$12*$I$17^$D$13)/B21^$D$14,2)</f>
        <v>68.98</v>
      </c>
    </row>
    <row r="22" customFormat="false" ht="19.5" hidden="false" customHeight="true" outlineLevel="0" collapsed="false">
      <c r="B22" s="45" t="n">
        <v>50</v>
      </c>
      <c r="C22" s="185" t="n">
        <f aca="false">ROUND(($D$12*$C$17^$D$13)/B22^$D$14,2)</f>
        <v>30.49</v>
      </c>
      <c r="D22" s="185" t="n">
        <f aca="false">ROUND(($D$12*$D$17^$D$13)/B22^$D$14,2)</f>
        <v>35.92</v>
      </c>
      <c r="E22" s="185" t="n">
        <f aca="false">ROUND(($D$12*$E$17^$D$13)/B22^$D$14,2)</f>
        <v>40.65</v>
      </c>
      <c r="F22" s="185" t="n">
        <f aca="false">ROUND(($D$12*$F$17^$D$13)/B22^$D$14,2)</f>
        <v>46.01</v>
      </c>
      <c r="G22" s="185" t="n">
        <f aca="false">ROUND(($D$12*$G$17^$D$13)/B22^$D$14,2)</f>
        <v>47.88</v>
      </c>
      <c r="H22" s="185" t="n">
        <f aca="false">ROUND(($D$12*$H$17^$D$13)/B22^$D$14,2)</f>
        <v>54.19</v>
      </c>
      <c r="I22" s="185" t="n">
        <f aca="false">ROUND(($D$12*$I$17^$D$13)/B22^$D$14,2)</f>
        <v>61.33</v>
      </c>
    </row>
    <row r="23" customFormat="false" ht="19.5" hidden="false" customHeight="true" outlineLevel="0" collapsed="false">
      <c r="B23" s="45" t="n">
        <v>60</v>
      </c>
      <c r="C23" s="185" t="n">
        <f aca="false">ROUND(($D$12*$C$17^$D$13)/B23^$D$14,2)</f>
        <v>27.7</v>
      </c>
      <c r="D23" s="185" t="n">
        <f aca="false">ROUND(($D$12*$D$17^$D$13)/B23^$D$14,2)</f>
        <v>32.63</v>
      </c>
      <c r="E23" s="185" t="n">
        <f aca="false">ROUND(($D$12*$E$17^$D$13)/B23^$D$14,2)</f>
        <v>36.93</v>
      </c>
      <c r="F23" s="185" t="n">
        <f aca="false">ROUND(($D$12*$F$17^$D$13)/B23^$D$14,2)</f>
        <v>41.79</v>
      </c>
      <c r="G23" s="185" t="n">
        <f aca="false">ROUND(($D$12*$G$17^$D$13)/B23^$D$14,2)</f>
        <v>43.49</v>
      </c>
      <c r="H23" s="185" t="n">
        <f aca="false">ROUND(($D$12*$H$17^$D$13)/B23^$D$14,2)</f>
        <v>49.22</v>
      </c>
      <c r="I23" s="185" t="n">
        <f aca="false">ROUND(($D$12*$I$17^$D$13)/B23^$D$14,2)</f>
        <v>55.71</v>
      </c>
    </row>
    <row r="24" customFormat="false" ht="19.5" hidden="false" customHeight="true" outlineLevel="0" collapsed="false">
      <c r="B24" s="45" t="n">
        <v>70</v>
      </c>
      <c r="C24" s="185" t="n">
        <f aca="false">ROUND(($D$12*$C$17^$D$13)/B24^$D$14,2)</f>
        <v>25.54</v>
      </c>
      <c r="D24" s="185" t="n">
        <f aca="false">ROUND(($D$12*$D$17^$D$13)/B24^$D$14,2)</f>
        <v>30.08</v>
      </c>
      <c r="E24" s="185" t="n">
        <f aca="false">ROUND(($D$12*$E$17^$D$13)/B24^$D$14,2)</f>
        <v>34.05</v>
      </c>
      <c r="F24" s="185" t="n">
        <f aca="false">ROUND(($D$12*$F$17^$D$13)/B24^$D$14,2)</f>
        <v>38.53</v>
      </c>
      <c r="G24" s="185" t="n">
        <f aca="false">ROUND(($D$12*$G$17^$D$13)/B24^$D$14,2)</f>
        <v>40.1</v>
      </c>
      <c r="H24" s="185" t="n">
        <f aca="false">ROUND(($D$12*$H$17^$D$13)/B24^$D$14,2)</f>
        <v>45.38</v>
      </c>
      <c r="I24" s="185" t="n">
        <f aca="false">ROUND(($D$12*$I$17^$D$13)/B24^$D$14,2)</f>
        <v>51.36</v>
      </c>
    </row>
    <row r="25" customFormat="false" ht="19.5" hidden="false" customHeight="true" outlineLevel="0" collapsed="false">
      <c r="B25" s="45" t="n">
        <v>80</v>
      </c>
      <c r="C25" s="185" t="n">
        <f aca="false">ROUND(($D$12*$C$17^$D$13)/B25^$D$14,2)</f>
        <v>23.81</v>
      </c>
      <c r="D25" s="185" t="n">
        <f aca="false">ROUND(($D$12*$D$17^$D$13)/B25^$D$14,2)</f>
        <v>28.04</v>
      </c>
      <c r="E25" s="185" t="n">
        <f aca="false">ROUND(($D$12*$E$17^$D$13)/B25^$D$14,2)</f>
        <v>31.73</v>
      </c>
      <c r="F25" s="185" t="n">
        <f aca="false">ROUND(($D$12*$F$17^$D$13)/B25^$D$14,2)</f>
        <v>35.91</v>
      </c>
      <c r="G25" s="185" t="n">
        <f aca="false">ROUND(($D$12*$G$17^$D$13)/B25^$D$14,2)</f>
        <v>37.37</v>
      </c>
      <c r="H25" s="185" t="n">
        <f aca="false">ROUND(($D$12*$H$17^$D$13)/B25^$D$14,2)</f>
        <v>42.3</v>
      </c>
      <c r="I25" s="185" t="n">
        <f aca="false">ROUND(($D$12*$I$17^$D$13)/B25^$D$14,2)</f>
        <v>47.87</v>
      </c>
    </row>
    <row r="26" customFormat="false" ht="19.5" hidden="false" customHeight="true" outlineLevel="0" collapsed="false">
      <c r="B26" s="45" t="n">
        <v>90</v>
      </c>
      <c r="C26" s="185" t="n">
        <f aca="false">ROUND(($D$12*$C$17^$D$13)/B26^$D$14,2)</f>
        <v>22.37</v>
      </c>
      <c r="D26" s="185" t="n">
        <f aca="false">ROUND(($D$12*$D$17^$D$13)/B26^$D$14,2)</f>
        <v>26.35</v>
      </c>
      <c r="E26" s="185" t="n">
        <f aca="false">ROUND(($D$12*$E$17^$D$13)/B26^$D$14,2)</f>
        <v>29.82</v>
      </c>
      <c r="F26" s="185" t="n">
        <f aca="false">ROUND(($D$12*$F$17^$D$13)/B26^$D$14,2)</f>
        <v>33.75</v>
      </c>
      <c r="G26" s="185" t="n">
        <f aca="false">ROUND(($D$12*$G$17^$D$13)/B26^$D$14,2)</f>
        <v>35.13</v>
      </c>
      <c r="H26" s="185" t="n">
        <f aca="false">ROUND(($D$12*$H$17^$D$13)/B26^$D$14,2)</f>
        <v>39.75</v>
      </c>
      <c r="I26" s="185" t="n">
        <f aca="false">ROUND(($D$12*$I$17^$D$13)/B26^$D$14,2)</f>
        <v>44.99</v>
      </c>
    </row>
    <row r="27" customFormat="false" ht="19.5" hidden="false" customHeight="true" outlineLevel="0" collapsed="false">
      <c r="B27" s="45" t="n">
        <v>100</v>
      </c>
      <c r="C27" s="185" t="n">
        <f aca="false">ROUND(($D$12*$C$17^$D$13)/B27^$D$14,2)</f>
        <v>21.16</v>
      </c>
      <c r="D27" s="185" t="n">
        <f aca="false">ROUND(($D$12*$D$17^$D$13)/B27^$D$14,2)</f>
        <v>24.93</v>
      </c>
      <c r="E27" s="185" t="n">
        <f aca="false">ROUND(($D$12*$E$17^$D$13)/B27^$D$14,2)</f>
        <v>28.21</v>
      </c>
      <c r="F27" s="185" t="n">
        <f aca="false">ROUND(($D$12*$F$17^$D$13)/B27^$D$14,2)</f>
        <v>31.93</v>
      </c>
      <c r="G27" s="185" t="n">
        <f aca="false">ROUND(($D$12*$G$17^$D$13)/B27^$D$14,2)</f>
        <v>33.23</v>
      </c>
      <c r="H27" s="185" t="n">
        <f aca="false">ROUND(($D$12*$H$17^$D$13)/B27^$D$14,2)</f>
        <v>37.61</v>
      </c>
      <c r="I27" s="185" t="n">
        <f aca="false">ROUND(($D$12*$I$17^$D$13)/B27^$D$14,2)</f>
        <v>42.56</v>
      </c>
    </row>
    <row r="28" customFormat="false" ht="19.5" hidden="false" customHeight="true" outlineLevel="0" collapsed="false">
      <c r="B28" s="45" t="n">
        <v>110</v>
      </c>
      <c r="C28" s="185" t="n">
        <f aca="false">ROUND(($D$12*$C$17^$D$13)/B28^$D$14,2)</f>
        <v>20.13</v>
      </c>
      <c r="D28" s="185" t="n">
        <f aca="false">ROUND(($D$12*$D$17^$D$13)/B28^$D$14,2)</f>
        <v>23.71</v>
      </c>
      <c r="E28" s="185" t="n">
        <f aca="false">ROUND(($D$12*$E$17^$D$13)/B28^$D$14,2)</f>
        <v>26.83</v>
      </c>
      <c r="F28" s="185" t="n">
        <f aca="false">ROUND(($D$12*$F$17^$D$13)/B28^$D$14,2)</f>
        <v>30.37</v>
      </c>
      <c r="G28" s="185" t="n">
        <f aca="false">ROUND(($D$12*$G$17^$D$13)/B28^$D$14,2)</f>
        <v>31.6</v>
      </c>
      <c r="H28" s="185" t="n">
        <f aca="false">ROUND(($D$12*$H$17^$D$13)/B28^$D$14,2)</f>
        <v>35.77</v>
      </c>
      <c r="I28" s="185" t="n">
        <f aca="false">ROUND(($D$12*$I$17^$D$13)/B28^$D$14,2)</f>
        <v>40.48</v>
      </c>
    </row>
    <row r="29" customFormat="false" ht="19.5" hidden="false" customHeight="true" outlineLevel="0" collapsed="false">
      <c r="B29" s="45" t="n">
        <v>120</v>
      </c>
      <c r="C29" s="185" t="n">
        <f aca="false">ROUND(($D$12*$C$17^$D$13)/B29^$D$14,2)</f>
        <v>19.23</v>
      </c>
      <c r="D29" s="185" t="n">
        <f aca="false">ROUND(($D$12*$D$17^$D$13)/B29^$D$14,2)</f>
        <v>22.64</v>
      </c>
      <c r="E29" s="185" t="n">
        <f aca="false">ROUND(($D$12*$E$17^$D$13)/B29^$D$14,2)</f>
        <v>25.63</v>
      </c>
      <c r="F29" s="185" t="n">
        <f aca="false">ROUND(($D$12*$F$17^$D$13)/B29^$D$14,2)</f>
        <v>29.01</v>
      </c>
      <c r="G29" s="185" t="n">
        <f aca="false">ROUND(($D$12*$G$17^$D$13)/B29^$D$14,2)</f>
        <v>30.19</v>
      </c>
      <c r="H29" s="185" t="n">
        <f aca="false">ROUND(($D$12*$H$17^$D$13)/B29^$D$14,2)</f>
        <v>34.16</v>
      </c>
      <c r="I29" s="185" t="n">
        <f aca="false">ROUND(($D$12*$I$17^$D$13)/B29^$D$14,2)</f>
        <v>38.67</v>
      </c>
    </row>
    <row r="30" customFormat="false" ht="19.5" hidden="false" customHeight="true" outlineLevel="0" collapsed="false"/>
    <row r="31" customFormat="false" ht="9.75" hidden="false" customHeight="true" outlineLevel="0" collapsed="false">
      <c r="K31" s="186" t="n">
        <f aca="false">+C17</f>
        <v>2</v>
      </c>
      <c r="L31" s="186" t="n">
        <f aca="false">+D17</f>
        <v>5</v>
      </c>
      <c r="M31" s="186" t="n">
        <f aca="false">+E17</f>
        <v>10</v>
      </c>
      <c r="N31" s="186" t="n">
        <f aca="false">+F17</f>
        <v>20</v>
      </c>
      <c r="O31" s="186" t="n">
        <f aca="false">+H17</f>
        <v>50</v>
      </c>
      <c r="P31" s="186" t="n">
        <f aca="false">+I17</f>
        <v>100</v>
      </c>
    </row>
    <row r="32" customFormat="false" ht="9.75" hidden="false" customHeight="true" outlineLevel="0" collapsed="false"/>
    <row r="33" customFormat="false" ht="9.75" hidden="false" customHeight="true" outlineLevel="0" collapsed="false"/>
    <row r="34" customFormat="false" ht="9.75" hidden="false" customHeight="true" outlineLevel="0" collapsed="false"/>
    <row r="35" customFormat="false" ht="9.75" hidden="false" customHeight="true" outlineLevel="0" collapsed="false"/>
    <row r="36" customFormat="false" ht="9.75" hidden="false" customHeight="true" outlineLevel="0" collapsed="false"/>
    <row r="37" customFormat="false" ht="9.75" hidden="false" customHeight="true" outlineLevel="0" collapsed="false"/>
    <row r="38" customFormat="false" ht="9.75" hidden="false" customHeight="true" outlineLevel="0" collapsed="false"/>
    <row r="39" customFormat="false" ht="9.75" hidden="false" customHeight="true" outlineLevel="0" collapsed="false"/>
    <row r="40" customFormat="false" ht="9.75" hidden="false" customHeight="true" outlineLevel="0" collapsed="false"/>
    <row r="41" customFormat="false" ht="9.75" hidden="false" customHeight="true" outlineLevel="0" collapsed="false"/>
    <row r="42" customFormat="false" ht="9.75" hidden="false" customHeight="true" outlineLevel="0" collapsed="false"/>
    <row r="43" customFormat="false" ht="9.75" hidden="false" customHeight="true" outlineLevel="0" collapsed="false"/>
    <row r="44" customFormat="false" ht="9.75" hidden="false" customHeight="true" outlineLevel="0" collapsed="false"/>
    <row r="45" customFormat="false" ht="9.75" hidden="false" customHeight="true" outlineLevel="0" collapsed="false"/>
    <row r="46" customFormat="false" ht="9.75" hidden="false" customHeight="true" outlineLevel="0" collapsed="false"/>
    <row r="47" customFormat="false" ht="9.75" hidden="false" customHeight="true" outlineLevel="0" collapsed="false"/>
    <row r="48" customFormat="false" ht="9.75" hidden="false" customHeight="true" outlineLevel="0" collapsed="false"/>
    <row r="49" customFormat="false" ht="9.75" hidden="false" customHeight="true" outlineLevel="0" collapsed="false"/>
    <row r="50" customFormat="false" ht="9.75" hidden="false" customHeight="true" outlineLevel="0" collapsed="false"/>
    <row r="51" customFormat="false" ht="9.75" hidden="false" customHeight="true" outlineLevel="0" collapsed="false"/>
    <row r="52" customFormat="false" ht="9.75" hidden="false" customHeight="true" outlineLevel="0" collapsed="false"/>
    <row r="53" customFormat="false" ht="9.75" hidden="false" customHeight="true" outlineLevel="0" collapsed="false"/>
    <row r="54" customFormat="false" ht="9.75" hidden="false" customHeight="true" outlineLevel="0" collapsed="false"/>
    <row r="55" customFormat="false" ht="9.75" hidden="false" customHeight="true" outlineLevel="0" collapsed="false"/>
    <row r="56" customFormat="false" ht="9.75" hidden="false" customHeight="true" outlineLevel="0" collapsed="false"/>
    <row r="57" customFormat="false" ht="9.7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</sheetData>
  <mergeCells count="6">
    <mergeCell ref="C2:I2"/>
    <mergeCell ref="C3:I3"/>
    <mergeCell ref="C4:I4"/>
    <mergeCell ref="C5:I5"/>
    <mergeCell ref="C9:C10"/>
    <mergeCell ref="C16:I16"/>
  </mergeCells>
  <printOptions headings="false" gridLines="false" gridLinesSet="true" horizontalCentered="true" verticalCentered="false"/>
  <pageMargins left="0.511805555555556" right="0.354166666666667" top="0.75" bottom="0.196527777777778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2:K169"/>
  <sheetViews>
    <sheetView showFormulas="false" showGridLines="true" showRowColHeaders="true" showZeros="true" rightToLeft="false" tabSelected="false" showOutlineSymbols="true" defaultGridColor="true" view="pageBreakPreview" topLeftCell="A112" colorId="64" zoomScale="115" zoomScaleNormal="100" zoomScalePageLayoutView="115" workbookViewId="0">
      <selection pane="topLeft" activeCell="H126" activeCellId="0" sqref="H126"/>
    </sheetView>
  </sheetViews>
  <sheetFormatPr defaultColWidth="11.453125" defaultRowHeight="12.75" zeroHeight="false" outlineLevelRow="0" outlineLevelCol="0"/>
  <cols>
    <col collapsed="false" customWidth="true" hidden="false" outlineLevel="0" max="1" min="1" style="39" width="2.54"/>
    <col collapsed="false" customWidth="true" hidden="false" outlineLevel="0" max="2" min="2" style="39" width="20.63"/>
    <col collapsed="false" customWidth="true" hidden="false" outlineLevel="0" max="3" min="3" style="39" width="22.63"/>
    <col collapsed="false" customWidth="true" hidden="false" outlineLevel="0" max="4" min="4" style="39" width="23.73"/>
    <col collapsed="false" customWidth="true" hidden="false" outlineLevel="0" max="5" min="5" style="39" width="24.82"/>
    <col collapsed="false" customWidth="true" hidden="false" outlineLevel="0" max="6" min="6" style="39" width="2.09"/>
    <col collapsed="false" customWidth="false" hidden="false" outlineLevel="0" max="7" min="7" style="39" width="11.45"/>
    <col collapsed="false" customWidth="true" hidden="false" outlineLevel="0" max="8" min="8" style="39" width="20"/>
    <col collapsed="false" customWidth="true" hidden="false" outlineLevel="0" max="9" min="9" style="39" width="18"/>
    <col collapsed="false" customWidth="true" hidden="false" outlineLevel="0" max="11" min="10" style="39" width="20"/>
    <col collapsed="false" customWidth="false" hidden="false" outlineLevel="0" max="16384" min="12" style="39" width="11.45"/>
  </cols>
  <sheetData>
    <row r="2" customFormat="false" ht="59.25" hidden="false" customHeight="true" outlineLevel="0" collapsed="false">
      <c r="B2" s="178" t="s">
        <v>11</v>
      </c>
      <c r="C2" s="179" t="str">
        <f aca="false">'A. Estación'!C2</f>
        <v>“MEJORAMIENTO Y AMPLIACIÓN DEL SERVICIO DE EDUCACIÓN PRIMARIA EN I.E. N° 0590 DISTRITO DE BARRANQUITA DE LA PROVINCIA DE LAMAS DEL DEPARTAMENTO DE SAN MARTÍN”, con C.I. N.° 468901</v>
      </c>
      <c r="D2" s="179"/>
      <c r="E2" s="179"/>
      <c r="F2" s="187"/>
      <c r="G2" s="187"/>
    </row>
    <row r="3" customFormat="false" ht="18" hidden="false" customHeight="true" outlineLevel="0" collapsed="false">
      <c r="B3" s="178" t="s">
        <v>13</v>
      </c>
      <c r="C3" s="179" t="str">
        <f aca="false">'A. Estación'!C3</f>
        <v>GOBIERNO REGIONAL SAN MARTIN - GERENCIA TERRITORIAL BAJO MAYO - TARAPOTO</v>
      </c>
      <c r="D3" s="179"/>
      <c r="E3" s="179"/>
    </row>
    <row r="4" customFormat="false" ht="27.75" hidden="false" customHeight="true" outlineLevel="0" collapsed="false">
      <c r="B4" s="178" t="s">
        <v>15</v>
      </c>
      <c r="C4" s="179" t="str">
        <f aca="false">'A. Estación'!C4</f>
        <v>SAN MARTIN - LAMAS - BARRANQUITA</v>
      </c>
      <c r="D4" s="179"/>
      <c r="E4" s="179"/>
    </row>
    <row r="5" customFormat="false" ht="18" hidden="false" customHeight="true" outlineLevel="0" collapsed="false">
      <c r="B5" s="178" t="s">
        <v>17</v>
      </c>
      <c r="C5" s="179" t="str">
        <f aca="false">'A. Estación'!C5</f>
        <v>OCTUBRE 2026</v>
      </c>
      <c r="D5" s="179"/>
      <c r="E5" s="179"/>
    </row>
    <row r="6" s="12" customFormat="true" ht="12.75" hidden="false" customHeight="false" outlineLevel="0" collapsed="false"/>
    <row r="7" s="12" customFormat="true" ht="19.5" hidden="false" customHeight="true" outlineLevel="0" collapsed="false">
      <c r="B7" s="23" t="s">
        <v>197</v>
      </c>
    </row>
    <row r="8" s="12" customFormat="true" ht="12.75" hidden="false" customHeight="false" outlineLevel="0" collapsed="false">
      <c r="B8" s="121"/>
      <c r="C8" s="121"/>
    </row>
    <row r="9" s="12" customFormat="true" ht="19.5" hidden="false" customHeight="true" outlineLevel="0" collapsed="false">
      <c r="B9" s="44" t="s">
        <v>198</v>
      </c>
      <c r="C9" s="44"/>
      <c r="D9" s="44"/>
      <c r="E9" s="188" t="n">
        <f aca="false">'D.Resumen'!L18</f>
        <v>255.07124006737</v>
      </c>
    </row>
    <row r="10" s="12" customFormat="true" ht="19.5" hidden="false" customHeight="true" outlineLevel="0" collapsed="false">
      <c r="B10" s="45" t="s">
        <v>199</v>
      </c>
      <c r="C10" s="45" t="s">
        <v>200</v>
      </c>
      <c r="D10" s="45" t="s">
        <v>201</v>
      </c>
      <c r="E10" s="45" t="s">
        <v>202</v>
      </c>
    </row>
    <row r="11" s="12" customFormat="true" ht="19.5" hidden="false" customHeight="true" outlineLevel="0" collapsed="false">
      <c r="B11" s="124" t="n">
        <v>10</v>
      </c>
      <c r="C11" s="125" t="n">
        <f aca="false">+B11/60</f>
        <v>0.166666666666667</v>
      </c>
      <c r="D11" s="125" t="n">
        <f aca="false">+$E$9*(B11/1440)^0.25</f>
        <v>73.6327245577139</v>
      </c>
      <c r="E11" s="125" t="n">
        <f aca="false">+D11/C11</f>
        <v>441.796347346284</v>
      </c>
    </row>
    <row r="12" s="12" customFormat="true" ht="19.5" hidden="false" customHeight="true" outlineLevel="0" collapsed="false">
      <c r="B12" s="124" t="n">
        <f aca="false">+B11+10</f>
        <v>20</v>
      </c>
      <c r="C12" s="125" t="n">
        <f aca="false">+B12/60</f>
        <v>0.333333333333333</v>
      </c>
      <c r="D12" s="125" t="n">
        <f aca="false">+$E$9*(B12/1440)^0.25</f>
        <v>87.564559941069</v>
      </c>
      <c r="E12" s="125" t="n">
        <f aca="false">+D12/C12</f>
        <v>262.693679823207</v>
      </c>
    </row>
    <row r="13" s="12" customFormat="true" ht="19.5" hidden="false" customHeight="true" outlineLevel="0" collapsed="false">
      <c r="B13" s="124" t="n">
        <f aca="false">+B12+10</f>
        <v>30</v>
      </c>
      <c r="C13" s="125" t="n">
        <f aca="false">+B13/60</f>
        <v>0.5</v>
      </c>
      <c r="D13" s="125" t="n">
        <f aca="false">+$E$9*(B13/1440)^0.25</f>
        <v>96.9061152932961</v>
      </c>
      <c r="E13" s="125" t="n">
        <f aca="false">+D13/C13</f>
        <v>193.812230586592</v>
      </c>
    </row>
    <row r="14" s="12" customFormat="true" ht="19.5" hidden="false" customHeight="true" outlineLevel="0" collapsed="false">
      <c r="B14" s="124" t="n">
        <f aca="false">+B13+10</f>
        <v>40</v>
      </c>
      <c r="C14" s="125" t="n">
        <f aca="false">+B14/60</f>
        <v>0.666666666666667</v>
      </c>
      <c r="D14" s="125" t="n">
        <f aca="false">+$E$9*(B14/1440)^0.25</f>
        <v>104.132397704001</v>
      </c>
      <c r="E14" s="125" t="n">
        <f aca="false">+D14/C14</f>
        <v>156.198596556002</v>
      </c>
    </row>
    <row r="15" s="12" customFormat="true" ht="19.5" hidden="false" customHeight="true" outlineLevel="0" collapsed="false">
      <c r="B15" s="124" t="n">
        <f aca="false">+B14+10</f>
        <v>50</v>
      </c>
      <c r="C15" s="125" t="n">
        <f aca="false">+B15/60</f>
        <v>0.833333333333333</v>
      </c>
      <c r="D15" s="125" t="n">
        <f aca="false">+$E$9*(B15/1440)^0.25</f>
        <v>110.106604925375</v>
      </c>
      <c r="E15" s="125" t="n">
        <f aca="false">+D15/C15</f>
        <v>132.12792591045</v>
      </c>
    </row>
    <row r="16" s="12" customFormat="true" ht="19.5" hidden="false" customHeight="true" outlineLevel="0" collapsed="false">
      <c r="B16" s="124" t="n">
        <f aca="false">+B15+10</f>
        <v>60</v>
      </c>
      <c r="C16" s="125" t="n">
        <f aca="false">+B16/60</f>
        <v>1</v>
      </c>
      <c r="D16" s="125" t="n">
        <f aca="false">+$E$9*(B16/1440)^0.25</f>
        <v>115.241441794062</v>
      </c>
      <c r="E16" s="125" t="n">
        <f aca="false">+D16/C16</f>
        <v>115.241441794062</v>
      </c>
    </row>
    <row r="17" s="12" customFormat="true" ht="19.5" hidden="false" customHeight="true" outlineLevel="0" collapsed="false">
      <c r="B17" s="124" t="n">
        <f aca="false">+B16+10</f>
        <v>70</v>
      </c>
      <c r="C17" s="125" t="n">
        <f aca="false">+B17/60</f>
        <v>1.16666666666667</v>
      </c>
      <c r="D17" s="125" t="n">
        <f aca="false">+$E$9*(B17/1440)^0.25</f>
        <v>119.769263939526</v>
      </c>
      <c r="E17" s="125" t="n">
        <f aca="false">+D17/C17</f>
        <v>102.659369091023</v>
      </c>
    </row>
    <row r="18" s="12" customFormat="true" ht="19.5" hidden="false" customHeight="true" outlineLevel="0" collapsed="false">
      <c r="B18" s="124" t="n">
        <f aca="false">+B17+10</f>
        <v>80</v>
      </c>
      <c r="C18" s="125" t="n">
        <f aca="false">+B18/60</f>
        <v>1.33333333333333</v>
      </c>
      <c r="D18" s="125" t="n">
        <f aca="false">+$E$9*(B18/1440)^0.25</f>
        <v>123.834988251892</v>
      </c>
      <c r="E18" s="125" t="n">
        <f aca="false">+D18/C18</f>
        <v>92.8762411889187</v>
      </c>
    </row>
    <row r="19" s="12" customFormat="true" ht="19.5" hidden="false" customHeight="true" outlineLevel="0" collapsed="false">
      <c r="B19" s="124" t="n">
        <f aca="false">+B18+10</f>
        <v>90</v>
      </c>
      <c r="C19" s="125" t="n">
        <f aca="false">+B19/60</f>
        <v>1.5</v>
      </c>
      <c r="D19" s="125" t="n">
        <f aca="false">+$E$9*(B19/1440)^0.25</f>
        <v>127.535620033685</v>
      </c>
      <c r="E19" s="125" t="n">
        <f aca="false">+D19/C19</f>
        <v>85.0237466891234</v>
      </c>
    </row>
    <row r="20" s="12" customFormat="true" ht="19.5" hidden="false" customHeight="true" outlineLevel="0" collapsed="false">
      <c r="B20" s="124" t="n">
        <f aca="false">+B19+10</f>
        <v>100</v>
      </c>
      <c r="C20" s="125" t="n">
        <f aca="false">+B20/60</f>
        <v>1.66666666666667</v>
      </c>
      <c r="D20" s="125" t="n">
        <f aca="false">+$E$9*(B20/1440)^0.25</f>
        <v>130.93955798605</v>
      </c>
      <c r="E20" s="125" t="n">
        <f aca="false">+D20/C20</f>
        <v>78.56373479163</v>
      </c>
    </row>
    <row r="21" s="12" customFormat="true" ht="19.5" hidden="false" customHeight="true" outlineLevel="0" collapsed="false">
      <c r="B21" s="124" t="n">
        <f aca="false">+B20+10</f>
        <v>110</v>
      </c>
      <c r="C21" s="125" t="n">
        <f aca="false">+B21/60</f>
        <v>1.83333333333333</v>
      </c>
      <c r="D21" s="125" t="n">
        <f aca="false">+$E$9*(B21/1440)^0.25</f>
        <v>134.09699377618</v>
      </c>
      <c r="E21" s="125" t="n">
        <f aca="false">+D21/C21</f>
        <v>73.1438147870074</v>
      </c>
    </row>
    <row r="22" s="12" customFormat="true" ht="19.5" hidden="false" customHeight="true" outlineLevel="0" collapsed="false">
      <c r="B22" s="124" t="n">
        <f aca="false">+B21+10</f>
        <v>120</v>
      </c>
      <c r="C22" s="125" t="n">
        <f aca="false">+B22/60</f>
        <v>2</v>
      </c>
      <c r="D22" s="125" t="n">
        <f aca="false">+$E$9*(B22/1440)^0.25</f>
        <v>137.04594252467</v>
      </c>
      <c r="E22" s="125" t="n">
        <f aca="false">+D22/C22</f>
        <v>68.5229712623351</v>
      </c>
    </row>
    <row r="23" s="12" customFormat="true" ht="19.5" hidden="false" customHeight="true" outlineLevel="0" collapsed="false">
      <c r="B23" s="124" t="n">
        <f aca="false">+B22+10</f>
        <v>130</v>
      </c>
      <c r="C23" s="125" t="n">
        <f aca="false">+B23/60</f>
        <v>2.16666666666667</v>
      </c>
      <c r="D23" s="125" t="n">
        <f aca="false">+$E$9*(B23/1440)^0.25</f>
        <v>139.815947004384</v>
      </c>
      <c r="E23" s="125" t="n">
        <f aca="false">+D23/C23</f>
        <v>64.5304370789465</v>
      </c>
    </row>
    <row r="24" s="12" customFormat="true" ht="19.5" hidden="false" customHeight="true" outlineLevel="0" collapsed="false">
      <c r="B24" s="124" t="n">
        <f aca="false">+B23+10</f>
        <v>140</v>
      </c>
      <c r="C24" s="125" t="n">
        <f aca="false">+B24/60</f>
        <v>2.33333333333333</v>
      </c>
      <c r="D24" s="125" t="n">
        <f aca="false">+$E$9*(B24/1440)^0.25</f>
        <v>142.430460835524</v>
      </c>
      <c r="E24" s="125" t="n">
        <f aca="false">+D24/C24</f>
        <v>61.0416260723673</v>
      </c>
    </row>
    <row r="25" s="12" customFormat="true" ht="19.5" hidden="false" customHeight="true" outlineLevel="0" collapsed="false">
      <c r="B25" s="124" t="n">
        <f aca="false">+B24+10</f>
        <v>150</v>
      </c>
      <c r="C25" s="125" t="n">
        <f aca="false">+B25/60</f>
        <v>2.5</v>
      </c>
      <c r="D25" s="125" t="n">
        <f aca="false">+$E$9*(B25/1440)^0.25</f>
        <v>144.908441396713</v>
      </c>
      <c r="E25" s="125" t="n">
        <f aca="false">+D25/C25</f>
        <v>57.9633765586854</v>
      </c>
    </row>
    <row r="26" s="12" customFormat="true" ht="19.5" hidden="false" customHeight="true" outlineLevel="0" collapsed="false">
      <c r="B26" s="124" t="n">
        <f aca="false">+B25+10</f>
        <v>160</v>
      </c>
      <c r="C26" s="125" t="n">
        <f aca="false">+B26/60</f>
        <v>2.66666666666667</v>
      </c>
      <c r="D26" s="125" t="n">
        <f aca="false">+$E$9*(B26/1440)^0.25</f>
        <v>147.265449115428</v>
      </c>
      <c r="E26" s="125" t="n">
        <f aca="false">+D26/C26</f>
        <v>55.2245434182854</v>
      </c>
    </row>
    <row r="27" s="12" customFormat="true" ht="19.5" hidden="false" customHeight="true" outlineLevel="0" collapsed="false">
      <c r="B27" s="124" t="n">
        <f aca="false">+B26+10</f>
        <v>170</v>
      </c>
      <c r="C27" s="125" t="n">
        <f aca="false">+B27/60</f>
        <v>2.83333333333333</v>
      </c>
      <c r="D27" s="125" t="n">
        <f aca="false">+$E$9*(B27/1440)^0.25</f>
        <v>149.514427033997</v>
      </c>
      <c r="E27" s="125" t="n">
        <f aca="false">+D27/C27</f>
        <v>52.7697977767049</v>
      </c>
    </row>
    <row r="28" s="12" customFormat="true" ht="19.5" hidden="false" customHeight="true" outlineLevel="0" collapsed="false">
      <c r="B28" s="124" t="n">
        <f aca="false">+B27+10</f>
        <v>180</v>
      </c>
      <c r="C28" s="125" t="n">
        <f aca="false">+B28/60</f>
        <v>3</v>
      </c>
      <c r="D28" s="125" t="n">
        <f aca="false">+$E$9*(B28/1440)^0.25</f>
        <v>151.666266760342</v>
      </c>
      <c r="E28" s="125" t="n">
        <f aca="false">+D28/C28</f>
        <v>50.5554222534473</v>
      </c>
    </row>
    <row r="29" s="12" customFormat="true" ht="19.5" hidden="false" customHeight="true" outlineLevel="0" collapsed="false">
      <c r="B29" s="124" t="n">
        <f aca="false">+B28+10</f>
        <v>190</v>
      </c>
      <c r="C29" s="125" t="n">
        <f aca="false">+B29/60</f>
        <v>3.16666666666667</v>
      </c>
      <c r="D29" s="125" t="n">
        <f aca="false">+$E$9*(B29/1440)^0.25</f>
        <v>153.730227816872</v>
      </c>
      <c r="E29" s="125" t="n">
        <f aca="false">+D29/C29</f>
        <v>48.5463877316438</v>
      </c>
    </row>
    <row r="30" s="12" customFormat="true" ht="19.5" hidden="false" customHeight="true" outlineLevel="0" collapsed="false">
      <c r="B30" s="124" t="n">
        <f aca="false">+B29+10</f>
        <v>200</v>
      </c>
      <c r="C30" s="125" t="n">
        <f aca="false">+B30/60</f>
        <v>3.33333333333333</v>
      </c>
      <c r="D30" s="125" t="n">
        <f aca="false">+$E$9*(B30/1440)^0.25</f>
        <v>155.714253992322</v>
      </c>
      <c r="E30" s="125" t="n">
        <f aca="false">+D30/C30</f>
        <v>46.7142761976966</v>
      </c>
    </row>
    <row r="31" s="12" customFormat="true" ht="19.5" hidden="false" customHeight="true" outlineLevel="0" collapsed="false">
      <c r="B31" s="124" t="n">
        <f aca="false">+B30+10</f>
        <v>210</v>
      </c>
      <c r="C31" s="125" t="n">
        <f aca="false">+B31/60</f>
        <v>3.5</v>
      </c>
      <c r="D31" s="125" t="n">
        <f aca="false">+$E$9*(B31/1440)^0.25</f>
        <v>157.625215821259</v>
      </c>
      <c r="E31" s="125" t="n">
        <f aca="false">+D31/C31</f>
        <v>45.0357759489311</v>
      </c>
    </row>
    <row r="32" s="12" customFormat="true" ht="19.5" hidden="false" customHeight="true" outlineLevel="0" collapsed="false">
      <c r="B32" s="124" t="n">
        <f aca="false">+B31+10</f>
        <v>220</v>
      </c>
      <c r="C32" s="125" t="n">
        <f aca="false">+B32/60</f>
        <v>3.66666666666667</v>
      </c>
      <c r="D32" s="125" t="n">
        <f aca="false">+$E$9*(B32/1440)^0.25</f>
        <v>159.469099099109</v>
      </c>
      <c r="E32" s="125" t="n">
        <f aca="false">+D32/C32</f>
        <v>43.4915724815753</v>
      </c>
    </row>
    <row r="33" s="12" customFormat="true" ht="19.5" hidden="false" customHeight="true" outlineLevel="0" collapsed="false">
      <c r="B33" s="124" t="n">
        <f aca="false">+B32+10</f>
        <v>230</v>
      </c>
      <c r="C33" s="125" t="n">
        <f aca="false">+B33/60</f>
        <v>3.83333333333333</v>
      </c>
      <c r="D33" s="125" t="n">
        <f aca="false">+$E$9*(B33/1440)^0.25</f>
        <v>161.25115332326</v>
      </c>
      <c r="E33" s="125" t="n">
        <f aca="false">+D33/C33</f>
        <v>42.0655182582417</v>
      </c>
    </row>
    <row r="34" s="12" customFormat="true" ht="19.5" hidden="false" customHeight="true" outlineLevel="0" collapsed="false">
      <c r="B34" s="124" t="n">
        <f aca="false">+B33+10</f>
        <v>240</v>
      </c>
      <c r="C34" s="125" t="n">
        <f aca="false">+B34/60</f>
        <v>4</v>
      </c>
      <c r="D34" s="125" t="n">
        <f aca="false">+$E$9*(B34/1440)^0.25</f>
        <v>162.976009932592</v>
      </c>
      <c r="E34" s="125" t="n">
        <f aca="false">+D34/C34</f>
        <v>40.7440024831479</v>
      </c>
    </row>
    <row r="35" s="12" customFormat="true" ht="19.5" hidden="false" customHeight="true" outlineLevel="0" collapsed="false">
      <c r="B35" s="124" t="n">
        <v>300</v>
      </c>
      <c r="C35" s="125" t="n">
        <f aca="false">+B35/60</f>
        <v>5</v>
      </c>
      <c r="D35" s="125" t="n">
        <f aca="false">+$E$9*(B35/1440)^0.25</f>
        <v>172.326149532926</v>
      </c>
      <c r="E35" s="125" t="n">
        <f aca="false">+D35/C35</f>
        <v>34.4652299065853</v>
      </c>
    </row>
    <row r="36" s="12" customFormat="true" ht="19.5" hidden="false" customHeight="true" outlineLevel="0" collapsed="false">
      <c r="B36" s="124" t="n">
        <v>360</v>
      </c>
      <c r="C36" s="125" t="n">
        <f aca="false">+B36/60</f>
        <v>6</v>
      </c>
      <c r="D36" s="125" t="n">
        <f aca="false">+$E$9*(B36/1440)^0.25</f>
        <v>180.362603537299</v>
      </c>
      <c r="E36" s="125" t="n">
        <f aca="false">+D36/C36</f>
        <v>30.0604339228832</v>
      </c>
    </row>
    <row r="37" s="12" customFormat="true" ht="19.5" hidden="false" customHeight="true" outlineLevel="0" collapsed="false">
      <c r="B37" s="124" t="n">
        <v>420</v>
      </c>
      <c r="C37" s="125" t="n">
        <f aca="false">+B37/60</f>
        <v>7</v>
      </c>
      <c r="D37" s="125" t="n">
        <f aca="false">+$E$9*(B37/1440)^0.25</f>
        <v>187.44902815848</v>
      </c>
      <c r="E37" s="125" t="n">
        <f aca="false">+D37/C37</f>
        <v>26.7784325940686</v>
      </c>
    </row>
    <row r="38" s="12" customFormat="true" ht="19.5" hidden="false" customHeight="true" outlineLevel="0" collapsed="false">
      <c r="B38" s="124" t="n">
        <v>480</v>
      </c>
      <c r="C38" s="125" t="n">
        <f aca="false">+B38/60</f>
        <v>8</v>
      </c>
      <c r="D38" s="125" t="n">
        <f aca="false">+$E$9*(B38/1440)^0.25</f>
        <v>193.812230586592</v>
      </c>
      <c r="E38" s="125" t="n">
        <f aca="false">+D38/C38</f>
        <v>24.226528823324</v>
      </c>
    </row>
    <row r="39" s="12" customFormat="true" ht="19.5" hidden="false" customHeight="true" outlineLevel="0" collapsed="false">
      <c r="B39" s="124" t="n">
        <v>600</v>
      </c>
      <c r="C39" s="125" t="n">
        <f aca="false">+B39/60</f>
        <v>10</v>
      </c>
      <c r="D39" s="125" t="n">
        <f aca="false">+$E$9*(B39/1440)^0.25</f>
        <v>204.931483125579</v>
      </c>
      <c r="E39" s="125" t="n">
        <f aca="false">+D39/C39</f>
        <v>20.4931483125579</v>
      </c>
    </row>
    <row r="40" s="12" customFormat="true" ht="19.5" hidden="false" customHeight="true" outlineLevel="0" collapsed="false">
      <c r="B40" s="124" t="n">
        <v>660</v>
      </c>
      <c r="C40" s="125" t="n">
        <f aca="false">+B40/60</f>
        <v>11</v>
      </c>
      <c r="D40" s="125" t="n">
        <f aca="false">+$E$9*(B40/1440)^0.25</f>
        <v>209.873137193283</v>
      </c>
      <c r="E40" s="125" t="n">
        <f aca="false">+D40/C40</f>
        <v>19.0793761084803</v>
      </c>
    </row>
    <row r="41" s="12" customFormat="true" ht="19.5" hidden="false" customHeight="true" outlineLevel="0" collapsed="false">
      <c r="B41" s="124" t="n">
        <v>720</v>
      </c>
      <c r="C41" s="125" t="n">
        <f aca="false">+B41/60</f>
        <v>12</v>
      </c>
      <c r="D41" s="125" t="n">
        <f aca="false">+$E$9*(B41/1440)^0.25</f>
        <v>214.488491406971</v>
      </c>
      <c r="E41" s="125" t="n">
        <f aca="false">+D41/C41</f>
        <v>17.8740409505809</v>
      </c>
    </row>
    <row r="42" s="12" customFormat="true" ht="19.5" hidden="false" customHeight="true" outlineLevel="0" collapsed="false">
      <c r="B42" s="181"/>
      <c r="C42" s="189"/>
      <c r="D42" s="189"/>
      <c r="E42" s="189"/>
    </row>
    <row r="43" s="12" customFormat="true" ht="12.75" hidden="false" customHeight="false" outlineLevel="0" collapsed="false"/>
    <row r="44" s="12" customFormat="true" ht="19.5" hidden="false" customHeight="true" outlineLevel="0" collapsed="false">
      <c r="B44" s="44" t="s">
        <v>203</v>
      </c>
      <c r="C44" s="44"/>
      <c r="D44" s="44"/>
      <c r="E44" s="188" t="n">
        <f aca="false">'D.Resumen'!L16</f>
        <v>206.504515507207</v>
      </c>
    </row>
    <row r="45" s="12" customFormat="true" ht="19.5" hidden="false" customHeight="true" outlineLevel="0" collapsed="false">
      <c r="B45" s="45" t="s">
        <v>199</v>
      </c>
      <c r="C45" s="45" t="s">
        <v>200</v>
      </c>
      <c r="D45" s="45" t="s">
        <v>201</v>
      </c>
      <c r="E45" s="45" t="s">
        <v>202</v>
      </c>
    </row>
    <row r="46" s="12" customFormat="true" ht="19.5" hidden="false" customHeight="true" outlineLevel="0" collapsed="false">
      <c r="B46" s="124" t="n">
        <v>10</v>
      </c>
      <c r="C46" s="125" t="n">
        <f aca="false">+B46/60</f>
        <v>0.166666666666667</v>
      </c>
      <c r="D46" s="125" t="n">
        <f aca="false">+$E$44*(B46/1440)^0.25</f>
        <v>59.6127188084796</v>
      </c>
      <c r="E46" s="125" t="n">
        <f aca="false">+D46/C46</f>
        <v>357.676312850877</v>
      </c>
    </row>
    <row r="47" s="12" customFormat="true" ht="19.5" hidden="false" customHeight="true" outlineLevel="0" collapsed="false">
      <c r="B47" s="124" t="n">
        <f aca="false">+B46+10</f>
        <v>20</v>
      </c>
      <c r="C47" s="125" t="n">
        <f aca="false">+B47/60</f>
        <v>0.333333333333333</v>
      </c>
      <c r="D47" s="125" t="n">
        <f aca="false">+$E$44*(B47/1440)^0.25</f>
        <v>70.8918693517004</v>
      </c>
      <c r="E47" s="125" t="n">
        <f aca="false">+D47/C47</f>
        <v>212.675608055101</v>
      </c>
    </row>
    <row r="48" s="12" customFormat="true" ht="19.5" hidden="false" customHeight="true" outlineLevel="0" collapsed="false">
      <c r="B48" s="124" t="n">
        <f aca="false">+B47+10</f>
        <v>30</v>
      </c>
      <c r="C48" s="125" t="n">
        <f aca="false">+B48/60</f>
        <v>0.5</v>
      </c>
      <c r="D48" s="125" t="n">
        <f aca="false">+$E$44*(B48/1440)^0.25</f>
        <v>78.4547500652842</v>
      </c>
      <c r="E48" s="125" t="n">
        <f aca="false">+D48/C48</f>
        <v>156.909500130568</v>
      </c>
    </row>
    <row r="49" s="12" customFormat="true" ht="19.5" hidden="false" customHeight="true" outlineLevel="0" collapsed="false">
      <c r="B49" s="124" t="n">
        <f aca="false">+B48+10</f>
        <v>40</v>
      </c>
      <c r="C49" s="125" t="n">
        <f aca="false">+B49/60</f>
        <v>0.666666666666667</v>
      </c>
      <c r="D49" s="125" t="n">
        <f aca="false">+$E$44*(B49/1440)^0.25</f>
        <v>84.3051154288855</v>
      </c>
      <c r="E49" s="125" t="n">
        <f aca="false">+D49/C49</f>
        <v>126.457673143328</v>
      </c>
    </row>
    <row r="50" s="12" customFormat="true" ht="19.5" hidden="false" customHeight="true" outlineLevel="0" collapsed="false">
      <c r="B50" s="124" t="n">
        <f aca="false">+B49+10</f>
        <v>50</v>
      </c>
      <c r="C50" s="125" t="n">
        <f aca="false">+B50/60</f>
        <v>0.833333333333333</v>
      </c>
      <c r="D50" s="125" t="n">
        <f aca="false">+$E$44*(B50/1440)^0.25</f>
        <v>89.1418064155432</v>
      </c>
      <c r="E50" s="125" t="n">
        <f aca="false">+D50/C50</f>
        <v>106.970167698652</v>
      </c>
    </row>
    <row r="51" s="12" customFormat="true" ht="19.5" hidden="false" customHeight="true" outlineLevel="0" collapsed="false">
      <c r="B51" s="124" t="n">
        <f aca="false">+B50+10</f>
        <v>60</v>
      </c>
      <c r="C51" s="125" t="n">
        <f aca="false">+B51/60</f>
        <v>1</v>
      </c>
      <c r="D51" s="125" t="n">
        <f aca="false">+$E$44*(B51/1440)^0.25</f>
        <v>93.2989469833962</v>
      </c>
      <c r="E51" s="125" t="n">
        <f aca="false">+D51/C51</f>
        <v>93.2989469833962</v>
      </c>
    </row>
    <row r="52" s="12" customFormat="true" ht="19.5" hidden="false" customHeight="true" outlineLevel="0" collapsed="false">
      <c r="B52" s="124" t="n">
        <f aca="false">+B51+10</f>
        <v>70</v>
      </c>
      <c r="C52" s="125" t="n">
        <f aca="false">+B52/60</f>
        <v>1.16666666666667</v>
      </c>
      <c r="D52" s="125" t="n">
        <f aca="false">+$E$44*(B52/1440)^0.25</f>
        <v>96.9646511929536</v>
      </c>
      <c r="E52" s="125" t="n">
        <f aca="false">+D52/C52</f>
        <v>83.1125581653888</v>
      </c>
    </row>
    <row r="53" s="12" customFormat="true" ht="19.5" hidden="false" customHeight="true" outlineLevel="0" collapsed="false">
      <c r="B53" s="124" t="n">
        <f aca="false">+B52+10</f>
        <v>80</v>
      </c>
      <c r="C53" s="125" t="n">
        <f aca="false">+B53/60</f>
        <v>1.33333333333333</v>
      </c>
      <c r="D53" s="125" t="n">
        <f aca="false">+$E$44*(B53/1440)^0.25</f>
        <v>100.256243099156</v>
      </c>
      <c r="E53" s="125" t="n">
        <f aca="false">+D53/C53</f>
        <v>75.1921823243672</v>
      </c>
    </row>
    <row r="54" s="12" customFormat="true" ht="19.5" hidden="false" customHeight="true" outlineLevel="0" collapsed="false">
      <c r="B54" s="124" t="n">
        <f aca="false">+B53+10</f>
        <v>90</v>
      </c>
      <c r="C54" s="125" t="n">
        <f aca="false">+B54/60</f>
        <v>1.5</v>
      </c>
      <c r="D54" s="125" t="n">
        <f aca="false">+$E$44*(B54/1440)^0.25</f>
        <v>103.252257753603</v>
      </c>
      <c r="E54" s="125" t="n">
        <f aca="false">+D54/C54</f>
        <v>68.8348385024023</v>
      </c>
    </row>
    <row r="55" s="12" customFormat="true" ht="19.5" hidden="false" customHeight="true" outlineLevel="0" collapsed="false">
      <c r="B55" s="124" t="n">
        <f aca="false">+B54+10</f>
        <v>100</v>
      </c>
      <c r="C55" s="125" t="n">
        <f aca="false">+B55/60</f>
        <v>1.66666666666667</v>
      </c>
      <c r="D55" s="125" t="n">
        <f aca="false">+$E$44*(B55/1440)^0.25</f>
        <v>106.008070433559</v>
      </c>
      <c r="E55" s="125" t="n">
        <f aca="false">+D55/C55</f>
        <v>63.6048422601355</v>
      </c>
    </row>
    <row r="56" s="12" customFormat="true" ht="19.5" hidden="false" customHeight="true" outlineLevel="0" collapsed="false">
      <c r="B56" s="124" t="n">
        <f aca="false">+B55+10</f>
        <v>110</v>
      </c>
      <c r="C56" s="125" t="n">
        <f aca="false">+B56/60</f>
        <v>1.83333333333333</v>
      </c>
      <c r="D56" s="125" t="n">
        <f aca="false">+$E$44*(B56/1440)^0.25</f>
        <v>108.564316084436</v>
      </c>
      <c r="E56" s="125" t="n">
        <f aca="false">+D56/C56</f>
        <v>59.2168996824197</v>
      </c>
    </row>
    <row r="57" s="12" customFormat="true" ht="19.5" hidden="false" customHeight="true" outlineLevel="0" collapsed="false">
      <c r="B57" s="124" t="n">
        <f aca="false">+B56+10</f>
        <v>120</v>
      </c>
      <c r="C57" s="125" t="n">
        <f aca="false">+B57/60</f>
        <v>2</v>
      </c>
      <c r="D57" s="125" t="n">
        <f aca="false">+$E$44*(B57/1440)^0.25</f>
        <v>110.951771574916</v>
      </c>
      <c r="E57" s="125" t="n">
        <f aca="false">+D57/C57</f>
        <v>55.4758857874582</v>
      </c>
    </row>
    <row r="58" s="12" customFormat="true" ht="19.5" hidden="false" customHeight="true" outlineLevel="0" collapsed="false">
      <c r="B58" s="124" t="n">
        <f aca="false">+B57+10</f>
        <v>130</v>
      </c>
      <c r="C58" s="125" t="n">
        <f aca="false">+B58/60</f>
        <v>2.16666666666667</v>
      </c>
      <c r="D58" s="125" t="n">
        <f aca="false">+$E$44*(B58/1440)^0.25</f>
        <v>113.194354599506</v>
      </c>
      <c r="E58" s="125" t="n">
        <f aca="false">+D58/C58</f>
        <v>52.2435482766951</v>
      </c>
    </row>
    <row r="59" s="12" customFormat="true" ht="19.5" hidden="false" customHeight="true" outlineLevel="0" collapsed="false">
      <c r="B59" s="124" t="n">
        <f aca="false">+B58+10</f>
        <v>140</v>
      </c>
      <c r="C59" s="125" t="n">
        <f aca="false">+B59/60</f>
        <v>2.33333333333333</v>
      </c>
      <c r="D59" s="125" t="n">
        <f aca="false">+$E$44*(B59/1440)^0.25</f>
        <v>115.311053102418</v>
      </c>
      <c r="E59" s="125" t="n">
        <f aca="false">+D59/C59</f>
        <v>49.4190227581789</v>
      </c>
    </row>
    <row r="60" s="12" customFormat="true" ht="19.5" hidden="false" customHeight="true" outlineLevel="0" collapsed="false">
      <c r="B60" s="124" t="n">
        <f aca="false">+B59+10</f>
        <v>150</v>
      </c>
      <c r="C60" s="125" t="n">
        <f aca="false">+B60/60</f>
        <v>2.5</v>
      </c>
      <c r="D60" s="125" t="n">
        <f aca="false">+$E$44*(B60/1440)^0.25</f>
        <v>117.317214891138</v>
      </c>
      <c r="E60" s="125" t="n">
        <f aca="false">+D60/C60</f>
        <v>46.9268859564553</v>
      </c>
    </row>
    <row r="61" s="12" customFormat="true" ht="19.5" hidden="false" customHeight="true" outlineLevel="0" collapsed="false">
      <c r="B61" s="124" t="n">
        <f aca="false">+B60+10</f>
        <v>160</v>
      </c>
      <c r="C61" s="125" t="n">
        <f aca="false">+B61/60</f>
        <v>2.66666666666667</v>
      </c>
      <c r="D61" s="125" t="n">
        <f aca="false">+$E$44*(B61/1440)^0.25</f>
        <v>119.225437616959</v>
      </c>
      <c r="E61" s="125" t="n">
        <f aca="false">+D61/C61</f>
        <v>44.7095391063597</v>
      </c>
    </row>
    <row r="62" s="12" customFormat="true" ht="19.5" hidden="false" customHeight="true" outlineLevel="0" collapsed="false">
      <c r="B62" s="124" t="n">
        <f aca="false">+B61+10</f>
        <v>170</v>
      </c>
      <c r="C62" s="125" t="n">
        <f aca="false">+B62/60</f>
        <v>2.83333333333333</v>
      </c>
      <c r="D62" s="125" t="n">
        <f aca="false">+$E$44*(B62/1440)^0.25</f>
        <v>121.046199908066</v>
      </c>
      <c r="E62" s="125" t="n">
        <f aca="false">+D62/C62</f>
        <v>42.7221882028468</v>
      </c>
    </row>
    <row r="63" s="12" customFormat="true" ht="19.5" hidden="false" customHeight="true" outlineLevel="0" collapsed="false">
      <c r="B63" s="124" t="n">
        <f aca="false">+B62+10</f>
        <v>180</v>
      </c>
      <c r="C63" s="125" t="n">
        <f aca="false">+B63/60</f>
        <v>3</v>
      </c>
      <c r="D63" s="125" t="n">
        <f aca="false">+$E$44*(B63/1440)^0.25</f>
        <v>122.78831956068</v>
      </c>
      <c r="E63" s="125" t="n">
        <f aca="false">+D63/C63</f>
        <v>40.92943985356</v>
      </c>
    </row>
    <row r="64" s="12" customFormat="true" ht="19.5" hidden="false" customHeight="true" outlineLevel="0" collapsed="false">
      <c r="B64" s="124" t="n">
        <f aca="false">+B63+10</f>
        <v>190</v>
      </c>
      <c r="C64" s="125" t="n">
        <f aca="false">+B64/60</f>
        <v>3.16666666666667</v>
      </c>
      <c r="D64" s="125" t="n">
        <f aca="false">+$E$44*(B64/1440)^0.25</f>
        <v>124.459293042018</v>
      </c>
      <c r="E64" s="125" t="n">
        <f aca="false">+D64/C64</f>
        <v>39.3029346448477</v>
      </c>
    </row>
    <row r="65" s="12" customFormat="true" ht="19.5" hidden="false" customHeight="true" outlineLevel="0" collapsed="false">
      <c r="B65" s="124" t="n">
        <f aca="false">+B64+10</f>
        <v>200</v>
      </c>
      <c r="C65" s="125" t="n">
        <f aca="false">+B65/60</f>
        <v>3.33333333333333</v>
      </c>
      <c r="D65" s="125" t="n">
        <f aca="false">+$E$44*(B65/1440)^0.25</f>
        <v>126.065551607298</v>
      </c>
      <c r="E65" s="125" t="n">
        <f aca="false">+D65/C65</f>
        <v>37.8196654821895</v>
      </c>
    </row>
    <row r="66" s="12" customFormat="true" ht="19.5" hidden="false" customHeight="true" outlineLevel="0" collapsed="false">
      <c r="B66" s="124" t="n">
        <f aca="false">+B65+10</f>
        <v>210</v>
      </c>
      <c r="C66" s="125" t="n">
        <f aca="false">+B66/60</f>
        <v>3.5</v>
      </c>
      <c r="D66" s="125" t="n">
        <f aca="false">+$E$44*(B66/1440)^0.25</f>
        <v>127.612657610049</v>
      </c>
      <c r="E66" s="125" t="n">
        <f aca="false">+D66/C66</f>
        <v>36.4607593171569</v>
      </c>
    </row>
    <row r="67" s="12" customFormat="true" ht="19.5" hidden="false" customHeight="true" outlineLevel="0" collapsed="false">
      <c r="B67" s="124" t="n">
        <f aca="false">+B66+10</f>
        <v>220</v>
      </c>
      <c r="C67" s="125" t="n">
        <f aca="false">+B67/60</f>
        <v>3.66666666666667</v>
      </c>
      <c r="D67" s="125" t="n">
        <f aca="false">+$E$44*(B67/1440)^0.25</f>
        <v>129.105457123016</v>
      </c>
      <c r="E67" s="125" t="n">
        <f aca="false">+D67/C67</f>
        <v>35.2105792153679</v>
      </c>
    </row>
    <row r="68" s="12" customFormat="true" ht="19.5" hidden="false" customHeight="true" outlineLevel="0" collapsed="false">
      <c r="B68" s="124" t="n">
        <f aca="false">+B67+10</f>
        <v>230</v>
      </c>
      <c r="C68" s="125" t="n">
        <f aca="false">+B68/60</f>
        <v>3.83333333333333</v>
      </c>
      <c r="D68" s="125" t="n">
        <f aca="false">+$E$44*(B68/1440)^0.25</f>
        <v>130.548200115399</v>
      </c>
      <c r="E68" s="125" t="n">
        <f aca="false">+D68/C68</f>
        <v>34.0560522040172</v>
      </c>
    </row>
    <row r="69" s="12" customFormat="true" ht="19.5" hidden="false" customHeight="true" outlineLevel="0" collapsed="false">
      <c r="B69" s="124" t="n">
        <f aca="false">+B68+10</f>
        <v>240</v>
      </c>
      <c r="C69" s="125" t="n">
        <f aca="false">+B69/60</f>
        <v>4</v>
      </c>
      <c r="D69" s="125" t="n">
        <f aca="false">+$E$44*(B69/1440)^0.25</f>
        <v>131.944636179047</v>
      </c>
      <c r="E69" s="125" t="n">
        <f aca="false">+D69/C69</f>
        <v>32.9861590447618</v>
      </c>
    </row>
    <row r="70" s="12" customFormat="true" ht="19.5" hidden="false" customHeight="true" outlineLevel="0" collapsed="false">
      <c r="B70" s="124" t="n">
        <v>300</v>
      </c>
      <c r="C70" s="125" t="n">
        <f aca="false">+B70/60</f>
        <v>5</v>
      </c>
      <c r="D70" s="125" t="n">
        <f aca="false">+$E$44*(B70/1440)^0.25</f>
        <v>139.514466660845</v>
      </c>
      <c r="E70" s="125" t="n">
        <f aca="false">+D70/C70</f>
        <v>27.902893332169</v>
      </c>
    </row>
    <row r="71" s="12" customFormat="true" ht="19.5" hidden="false" customHeight="true" outlineLevel="0" collapsed="false">
      <c r="B71" s="124" t="n">
        <v>360</v>
      </c>
      <c r="C71" s="125" t="n">
        <f aca="false">+B71/60</f>
        <v>6</v>
      </c>
      <c r="D71" s="125" t="n">
        <f aca="false">+$E$44*(B71/1440)^0.25</f>
        <v>146.020743260789</v>
      </c>
      <c r="E71" s="125" t="n">
        <f aca="false">+D71/C71</f>
        <v>24.3367905434648</v>
      </c>
    </row>
    <row r="72" s="12" customFormat="true" ht="19.5" hidden="false" customHeight="true" outlineLevel="0" collapsed="false">
      <c r="B72" s="124" t="n">
        <v>420</v>
      </c>
      <c r="C72" s="125" t="n">
        <f aca="false">+B72/60</f>
        <v>7</v>
      </c>
      <c r="D72" s="125" t="n">
        <f aca="false">+$E$44*(B72/1440)^0.25</f>
        <v>151.757880394277</v>
      </c>
      <c r="E72" s="125" t="n">
        <f aca="false">+D72/C72</f>
        <v>21.6796971991824</v>
      </c>
    </row>
    <row r="73" s="12" customFormat="true" ht="19.5" hidden="false" customHeight="true" outlineLevel="0" collapsed="false">
      <c r="B73" s="124" t="n">
        <v>480</v>
      </c>
      <c r="C73" s="125" t="n">
        <f aca="false">+B73/60</f>
        <v>8</v>
      </c>
      <c r="D73" s="125" t="n">
        <f aca="false">+$E$44*(B73/1440)^0.25</f>
        <v>156.909500130568</v>
      </c>
      <c r="E73" s="125" t="n">
        <f aca="false">+D73/C73</f>
        <v>19.6136875163211</v>
      </c>
    </row>
    <row r="74" s="12" customFormat="true" ht="19.5" hidden="false" customHeight="true" outlineLevel="0" collapsed="false">
      <c r="B74" s="124" t="n">
        <v>600</v>
      </c>
      <c r="C74" s="125" t="n">
        <f aca="false">+B74/60</f>
        <v>10</v>
      </c>
      <c r="D74" s="125" t="n">
        <f aca="false">+$E$44*(B74/1440)^0.25</f>
        <v>165.911596398887</v>
      </c>
      <c r="E74" s="125" t="n">
        <f aca="false">+D74/C74</f>
        <v>16.5911596398887</v>
      </c>
    </row>
    <row r="75" s="12" customFormat="true" ht="19.5" hidden="false" customHeight="true" outlineLevel="0" collapsed="false">
      <c r="B75" s="124" t="n">
        <v>660</v>
      </c>
      <c r="C75" s="125" t="n">
        <f aca="false">+B75/60</f>
        <v>11</v>
      </c>
      <c r="D75" s="125" t="n">
        <f aca="false">+$E$44*(B75/1440)^0.25</f>
        <v>169.912337049953</v>
      </c>
      <c r="E75" s="125" t="n">
        <f aca="false">+D75/C75</f>
        <v>15.4465760954503</v>
      </c>
    </row>
    <row r="76" s="12" customFormat="true" ht="19.5" hidden="false" customHeight="true" outlineLevel="0" collapsed="false">
      <c r="B76" s="124" t="n">
        <v>720</v>
      </c>
      <c r="C76" s="125" t="n">
        <f aca="false">+B76/60</f>
        <v>12</v>
      </c>
      <c r="D76" s="125" t="n">
        <f aca="false">+$E$44*(B76/1440)^0.25</f>
        <v>173.648906823715</v>
      </c>
      <c r="E76" s="125" t="n">
        <f aca="false">+D76/C76</f>
        <v>14.4707422353096</v>
      </c>
    </row>
    <row r="77" s="12" customFormat="true" ht="19.5" hidden="false" customHeight="true" outlineLevel="0" collapsed="false">
      <c r="B77" s="181"/>
      <c r="C77" s="189"/>
      <c r="D77" s="189"/>
      <c r="E77" s="189"/>
    </row>
    <row r="78" s="12" customFormat="true" ht="12.75" hidden="false" customHeight="false" outlineLevel="0" collapsed="false"/>
    <row r="79" s="12" customFormat="true" ht="19.5" hidden="false" customHeight="true" outlineLevel="0" collapsed="false">
      <c r="B79" s="44" t="s">
        <v>204</v>
      </c>
      <c r="C79" s="44"/>
      <c r="D79" s="44"/>
      <c r="E79" s="188" t="n">
        <f aca="false">'D.Resumen'!L15</f>
        <v>187.446025140839</v>
      </c>
    </row>
    <row r="80" s="12" customFormat="true" ht="19.5" hidden="false" customHeight="true" outlineLevel="0" collapsed="false">
      <c r="B80" s="45" t="s">
        <v>199</v>
      </c>
      <c r="C80" s="45" t="s">
        <v>200</v>
      </c>
      <c r="D80" s="45" t="s">
        <v>201</v>
      </c>
      <c r="E80" s="45" t="s">
        <v>202</v>
      </c>
    </row>
    <row r="81" s="12" customFormat="true" ht="19.5" hidden="false" customHeight="true" outlineLevel="0" collapsed="false">
      <c r="B81" s="124" t="n">
        <v>10</v>
      </c>
      <c r="C81" s="125" t="n">
        <f aca="false">+B81/60</f>
        <v>0.166666666666667</v>
      </c>
      <c r="D81" s="125" t="n">
        <f aca="false">+$E$79*(B81/1440)^0.25</f>
        <v>54.1110065367942</v>
      </c>
      <c r="E81" s="125" t="n">
        <f aca="false">+D81/C81</f>
        <v>324.666039220765</v>
      </c>
    </row>
    <row r="82" s="12" customFormat="true" ht="19.5" hidden="false" customHeight="true" outlineLevel="0" collapsed="false">
      <c r="B82" s="124" t="n">
        <f aca="false">+B81+10</f>
        <v>20</v>
      </c>
      <c r="C82" s="125" t="n">
        <f aca="false">+B82/60</f>
        <v>0.333333333333333</v>
      </c>
      <c r="D82" s="125" t="n">
        <f aca="false">+$E$79*(B82/1440)^0.25</f>
        <v>64.3491939735145</v>
      </c>
      <c r="E82" s="125" t="n">
        <f aca="false">+D82/C82</f>
        <v>193.047581920543</v>
      </c>
    </row>
    <row r="83" s="12" customFormat="true" ht="19.5" hidden="false" customHeight="true" outlineLevel="0" collapsed="false">
      <c r="B83" s="124" t="n">
        <f aca="false">+B82+10</f>
        <v>30</v>
      </c>
      <c r="C83" s="125" t="n">
        <f aca="false">+B83/60</f>
        <v>0.5</v>
      </c>
      <c r="D83" s="125" t="n">
        <f aca="false">+$E$79*(B83/1440)^0.25</f>
        <v>71.2140895177773</v>
      </c>
      <c r="E83" s="125" t="n">
        <f aca="false">+D83/C83</f>
        <v>142.428179035555</v>
      </c>
    </row>
    <row r="84" s="12" customFormat="true" ht="19.5" hidden="false" customHeight="true" outlineLevel="0" collapsed="false">
      <c r="B84" s="124" t="n">
        <f aca="false">+B83+10</f>
        <v>40</v>
      </c>
      <c r="C84" s="125" t="n">
        <f aca="false">+B84/60</f>
        <v>0.666666666666667</v>
      </c>
      <c r="D84" s="125" t="n">
        <f aca="false">+$E$79*(B84/1440)^0.25</f>
        <v>76.5245193179936</v>
      </c>
      <c r="E84" s="125" t="n">
        <f aca="false">+D84/C84</f>
        <v>114.78677897699</v>
      </c>
    </row>
    <row r="85" s="12" customFormat="true" ht="19.5" hidden="false" customHeight="true" outlineLevel="0" collapsed="false">
      <c r="B85" s="124" t="n">
        <f aca="false">+B84+10</f>
        <v>50</v>
      </c>
      <c r="C85" s="125" t="n">
        <f aca="false">+B85/60</f>
        <v>0.833333333333333</v>
      </c>
      <c r="D85" s="125" t="n">
        <f aca="false">+$E$79*(B85/1440)^0.25</f>
        <v>80.9148276754488</v>
      </c>
      <c r="E85" s="125" t="n">
        <f aca="false">+D85/C85</f>
        <v>97.0977932105385</v>
      </c>
    </row>
    <row r="86" s="12" customFormat="true" ht="19.5" hidden="false" customHeight="true" outlineLevel="0" collapsed="false">
      <c r="B86" s="124" t="n">
        <f aca="false">+B85+10</f>
        <v>60</v>
      </c>
      <c r="C86" s="125" t="n">
        <f aca="false">+B86/60</f>
        <v>1</v>
      </c>
      <c r="D86" s="125" t="n">
        <f aca="false">+$E$79*(B86/1440)^0.25</f>
        <v>84.6883019429815</v>
      </c>
      <c r="E86" s="125" t="n">
        <f aca="false">+D86/C86</f>
        <v>84.6883019429815</v>
      </c>
    </row>
    <row r="87" s="12" customFormat="true" ht="19.5" hidden="false" customHeight="true" outlineLevel="0" collapsed="false">
      <c r="B87" s="124" t="n">
        <f aca="false">+B86+10</f>
        <v>70</v>
      </c>
      <c r="C87" s="125" t="n">
        <f aca="false">+B87/60</f>
        <v>1.16666666666667</v>
      </c>
      <c r="D87" s="125" t="n">
        <f aca="false">+$E$79*(B87/1440)^0.25</f>
        <v>88.0156949626252</v>
      </c>
      <c r="E87" s="125" t="n">
        <f aca="false">+D87/C87</f>
        <v>75.4420242536787</v>
      </c>
    </row>
    <row r="88" s="12" customFormat="true" ht="19.5" hidden="false" customHeight="true" outlineLevel="0" collapsed="false">
      <c r="B88" s="124" t="n">
        <f aca="false">+B87+10</f>
        <v>80</v>
      </c>
      <c r="C88" s="125" t="n">
        <f aca="false">+B88/60</f>
        <v>1.33333333333333</v>
      </c>
      <c r="D88" s="125" t="n">
        <f aca="false">+$E$79*(B88/1440)^0.25</f>
        <v>91.0035028451212</v>
      </c>
      <c r="E88" s="125" t="n">
        <f aca="false">+D88/C88</f>
        <v>68.2526271338409</v>
      </c>
    </row>
    <row r="89" s="12" customFormat="true" ht="19.5" hidden="false" customHeight="true" outlineLevel="0" collapsed="false">
      <c r="B89" s="124" t="n">
        <f aca="false">+B88+10</f>
        <v>90</v>
      </c>
      <c r="C89" s="125" t="n">
        <f aca="false">+B89/60</f>
        <v>1.5</v>
      </c>
      <c r="D89" s="125" t="n">
        <f aca="false">+$E$79*(B89/1440)^0.25</f>
        <v>93.7230125704192</v>
      </c>
      <c r="E89" s="125" t="n">
        <f aca="false">+D89/C89</f>
        <v>62.4820083802795</v>
      </c>
    </row>
    <row r="90" s="12" customFormat="true" ht="19.5" hidden="false" customHeight="true" outlineLevel="0" collapsed="false">
      <c r="B90" s="124" t="n">
        <f aca="false">+B89+10</f>
        <v>100</v>
      </c>
      <c r="C90" s="125" t="n">
        <f aca="false">+B90/60</f>
        <v>1.66666666666667</v>
      </c>
      <c r="D90" s="125" t="n">
        <f aca="false">+$E$79*(B90/1440)^0.25</f>
        <v>96.2244887808627</v>
      </c>
      <c r="E90" s="125" t="n">
        <f aca="false">+D90/C90</f>
        <v>57.7346932685176</v>
      </c>
    </row>
    <row r="91" s="12" customFormat="true" ht="19.5" hidden="false" customHeight="true" outlineLevel="0" collapsed="false">
      <c r="B91" s="124" t="n">
        <f aca="false">+B90+10</f>
        <v>110</v>
      </c>
      <c r="C91" s="125" t="n">
        <f aca="false">+B91/60</f>
        <v>1.83333333333333</v>
      </c>
      <c r="D91" s="125" t="n">
        <f aca="false">+$E$79*(B91/1440)^0.25</f>
        <v>98.5448161856342</v>
      </c>
      <c r="E91" s="125" t="n">
        <f aca="false">+D91/C91</f>
        <v>53.7517179194368</v>
      </c>
    </row>
    <row r="92" s="12" customFormat="true" ht="19.5" hidden="false" customHeight="true" outlineLevel="0" collapsed="false">
      <c r="B92" s="124" t="n">
        <f aca="false">+B91+10</f>
        <v>120</v>
      </c>
      <c r="C92" s="125" t="n">
        <f aca="false">+B92/60</f>
        <v>2</v>
      </c>
      <c r="D92" s="125" t="n">
        <f aca="false">+$E$79*(B92/1440)^0.25</f>
        <v>100.711931228092</v>
      </c>
      <c r="E92" s="125" t="n">
        <f aca="false">+D92/C92</f>
        <v>50.3559656140462</v>
      </c>
    </row>
    <row r="93" s="12" customFormat="true" ht="19.5" hidden="false" customHeight="true" outlineLevel="0" collapsed="false">
      <c r="B93" s="124" t="n">
        <f aca="false">+B92+10</f>
        <v>130</v>
      </c>
      <c r="C93" s="125" t="n">
        <f aca="false">+B93/60</f>
        <v>2.16666666666667</v>
      </c>
      <c r="D93" s="125" t="n">
        <f aca="false">+$E$79*(B93/1440)^0.25</f>
        <v>102.74754421687</v>
      </c>
      <c r="E93" s="125" t="n">
        <f aca="false">+D93/C93</f>
        <v>47.4219434847091</v>
      </c>
    </row>
    <row r="94" s="12" customFormat="true" ht="19.5" hidden="false" customHeight="true" outlineLevel="0" collapsed="false">
      <c r="B94" s="124" t="n">
        <f aca="false">+B93+10</f>
        <v>140</v>
      </c>
      <c r="C94" s="125" t="n">
        <f aca="false">+B94/60</f>
        <v>2.33333333333333</v>
      </c>
      <c r="D94" s="125" t="n">
        <f aca="false">+$E$79*(B94/1440)^0.25</f>
        <v>104.668890681463</v>
      </c>
      <c r="E94" s="125" t="n">
        <f aca="false">+D94/C94</f>
        <v>44.8580960063413</v>
      </c>
    </row>
    <row r="95" s="12" customFormat="true" ht="19.5" hidden="false" customHeight="true" outlineLevel="0" collapsed="false">
      <c r="B95" s="124" t="n">
        <f aca="false">+B94+10</f>
        <v>150</v>
      </c>
      <c r="C95" s="125" t="n">
        <f aca="false">+B95/60</f>
        <v>2.5</v>
      </c>
      <c r="D95" s="125" t="n">
        <f aca="false">+$E$79*(B95/1440)^0.25</f>
        <v>106.489901966187</v>
      </c>
      <c r="E95" s="125" t="n">
        <f aca="false">+D95/C95</f>
        <v>42.5959607864749</v>
      </c>
    </row>
    <row r="96" s="12" customFormat="true" ht="19.5" hidden="false" customHeight="true" outlineLevel="0" collapsed="false">
      <c r="B96" s="124" t="n">
        <f aca="false">+B95+10</f>
        <v>160</v>
      </c>
      <c r="C96" s="125" t="n">
        <f aca="false">+B96/60</f>
        <v>2.66666666666667</v>
      </c>
      <c r="D96" s="125" t="n">
        <f aca="false">+$E$79*(B96/1440)^0.25</f>
        <v>108.222013073588</v>
      </c>
      <c r="E96" s="125" t="n">
        <f aca="false">+D96/C96</f>
        <v>40.5832549025957</v>
      </c>
    </row>
    <row r="97" s="12" customFormat="true" ht="19.5" hidden="false" customHeight="true" outlineLevel="0" collapsed="false">
      <c r="B97" s="124" t="n">
        <f aca="false">+B96+10</f>
        <v>170</v>
      </c>
      <c r="C97" s="125" t="n">
        <f aca="false">+B97/60</f>
        <v>2.83333333333333</v>
      </c>
      <c r="D97" s="125" t="n">
        <f aca="false">+$E$79*(B97/1440)^0.25</f>
        <v>109.874735549686</v>
      </c>
      <c r="E97" s="125" t="n">
        <f aca="false">+D97/C97</f>
        <v>38.7793184293008</v>
      </c>
    </row>
    <row r="98" s="12" customFormat="true" ht="19.5" hidden="false" customHeight="true" outlineLevel="0" collapsed="false">
      <c r="B98" s="124" t="n">
        <f aca="false">+B97+10</f>
        <v>180</v>
      </c>
      <c r="C98" s="125" t="n">
        <f aca="false">+B98/60</f>
        <v>3</v>
      </c>
      <c r="D98" s="125" t="n">
        <f aca="false">+$E$79*(B98/1440)^0.25</f>
        <v>111.456073388232</v>
      </c>
      <c r="E98" s="125" t="n">
        <f aca="false">+D98/C98</f>
        <v>37.152024462744</v>
      </c>
    </row>
    <row r="99" s="12" customFormat="true" ht="19.5" hidden="false" customHeight="true" outlineLevel="0" collapsed="false">
      <c r="B99" s="124" t="n">
        <f aca="false">+B98+10</f>
        <v>190</v>
      </c>
      <c r="C99" s="125" t="n">
        <f aca="false">+B99/60</f>
        <v>3.16666666666667</v>
      </c>
      <c r="D99" s="125" t="n">
        <f aca="false">+$E$79*(B99/1440)^0.25</f>
        <v>112.972831200637</v>
      </c>
      <c r="E99" s="125" t="n">
        <f aca="false">+D99/C99</f>
        <v>35.6756309054644</v>
      </c>
    </row>
    <row r="100" s="12" customFormat="true" ht="19.5" hidden="false" customHeight="true" outlineLevel="0" collapsed="false">
      <c r="B100" s="124" t="n">
        <f aca="false">+B99+10</f>
        <v>200</v>
      </c>
      <c r="C100" s="125" t="n">
        <f aca="false">+B100/60</f>
        <v>3.33333333333333</v>
      </c>
      <c r="D100" s="125" t="n">
        <f aca="false">+$E$79*(B100/1440)^0.25</f>
        <v>114.430846695701</v>
      </c>
      <c r="E100" s="125" t="n">
        <f aca="false">+D100/C100</f>
        <v>34.3292540087104</v>
      </c>
    </row>
    <row r="101" s="12" customFormat="true" ht="19.5" hidden="false" customHeight="true" outlineLevel="0" collapsed="false">
      <c r="B101" s="124" t="n">
        <f aca="false">+B100+10</f>
        <v>210</v>
      </c>
      <c r="C101" s="125" t="n">
        <f aca="false">+B101/60</f>
        <v>3.5</v>
      </c>
      <c r="D101" s="125" t="n">
        <f aca="false">+$E$79*(B101/1440)^0.25</f>
        <v>115.835168872265</v>
      </c>
      <c r="E101" s="125" t="n">
        <f aca="false">+D101/C101</f>
        <v>33.0957625349327</v>
      </c>
    </row>
    <row r="102" s="12" customFormat="true" ht="19.5" hidden="false" customHeight="true" outlineLevel="0" collapsed="false">
      <c r="B102" s="124" t="n">
        <f aca="false">+B101+10</f>
        <v>220</v>
      </c>
      <c r="C102" s="125" t="n">
        <f aca="false">+B102/60</f>
        <v>3.66666666666667</v>
      </c>
      <c r="D102" s="125" t="n">
        <f aca="false">+$E$79*(B102/1440)^0.25</f>
        <v>117.190196554591</v>
      </c>
      <c r="E102" s="125" t="n">
        <f aca="false">+D102/C102</f>
        <v>31.9609626967068</v>
      </c>
    </row>
    <row r="103" s="12" customFormat="true" ht="19.5" hidden="false" customHeight="true" outlineLevel="0" collapsed="false">
      <c r="B103" s="124" t="n">
        <f aca="false">+B102+10</f>
        <v>230</v>
      </c>
      <c r="C103" s="125" t="n">
        <f aca="false">+B103/60</f>
        <v>3.83333333333333</v>
      </c>
      <c r="D103" s="125" t="n">
        <f aca="false">+$E$79*(B103/1440)^0.25</f>
        <v>118.499787478344</v>
      </c>
      <c r="E103" s="125" t="n">
        <f aca="false">+D103/C103</f>
        <v>30.9129880378288</v>
      </c>
    </row>
    <row r="104" s="12" customFormat="true" ht="19.5" hidden="false" customHeight="true" outlineLevel="0" collapsed="false">
      <c r="B104" s="124" t="n">
        <f aca="false">+B103+10</f>
        <v>240</v>
      </c>
      <c r="C104" s="125" t="n">
        <f aca="false">+B104/60</f>
        <v>4</v>
      </c>
      <c r="D104" s="125" t="n">
        <f aca="false">+$E$79*(B104/1440)^0.25</f>
        <v>119.767345182112</v>
      </c>
      <c r="E104" s="125" t="n">
        <f aca="false">+D104/C104</f>
        <v>29.941836295528</v>
      </c>
    </row>
    <row r="105" s="12" customFormat="true" ht="19.5" hidden="false" customHeight="true" outlineLevel="0" collapsed="false">
      <c r="B105" s="124" t="n">
        <v>300</v>
      </c>
      <c r="C105" s="125" t="n">
        <f aca="false">+B105/60</f>
        <v>5</v>
      </c>
      <c r="D105" s="125" t="n">
        <f aca="false">+$E$79*(B105/1440)^0.25</f>
        <v>126.638549094132</v>
      </c>
      <c r="E105" s="125" t="n">
        <f aca="false">+D105/C105</f>
        <v>25.3277098188264</v>
      </c>
    </row>
    <row r="106" s="12" customFormat="true" ht="19.5" hidden="false" customHeight="true" outlineLevel="0" collapsed="false">
      <c r="B106" s="124" t="n">
        <v>360</v>
      </c>
      <c r="C106" s="125" t="n">
        <f aca="false">+B106/60</f>
        <v>6</v>
      </c>
      <c r="D106" s="125" t="n">
        <f aca="false">+$E$79*(B106/1440)^0.25</f>
        <v>132.544355483551</v>
      </c>
      <c r="E106" s="125" t="n">
        <f aca="false">+D106/C106</f>
        <v>22.0907259139252</v>
      </c>
    </row>
    <row r="107" s="12" customFormat="true" ht="19.5" hidden="false" customHeight="true" outlineLevel="0" collapsed="false">
      <c r="B107" s="124" t="n">
        <v>420</v>
      </c>
      <c r="C107" s="125" t="n">
        <f aca="false">+B107/60</f>
        <v>7</v>
      </c>
      <c r="D107" s="125" t="n">
        <f aca="false">+$E$79*(B107/1440)^0.25</f>
        <v>137.752006990439</v>
      </c>
      <c r="E107" s="125" t="n">
        <f aca="false">+D107/C107</f>
        <v>19.6788581414913</v>
      </c>
    </row>
    <row r="108" s="12" customFormat="true" ht="19.5" hidden="false" customHeight="true" outlineLevel="0" collapsed="false">
      <c r="B108" s="124" t="n">
        <v>480</v>
      </c>
      <c r="C108" s="125" t="n">
        <f aca="false">+B108/60</f>
        <v>8</v>
      </c>
      <c r="D108" s="125" t="n">
        <f aca="false">+$E$79*(B108/1440)^0.25</f>
        <v>142.428179035555</v>
      </c>
      <c r="E108" s="125" t="n">
        <f aca="false">+D108/C108</f>
        <v>17.8035223794443</v>
      </c>
    </row>
    <row r="109" s="12" customFormat="true" ht="19.5" hidden="false" customHeight="true" outlineLevel="0" collapsed="false">
      <c r="B109" s="124" t="n">
        <v>600</v>
      </c>
      <c r="C109" s="125" t="n">
        <f aca="false">+B109/60</f>
        <v>10</v>
      </c>
      <c r="D109" s="125" t="n">
        <f aca="false">+$E$79*(B109/1440)^0.25</f>
        <v>150.599463616363</v>
      </c>
      <c r="E109" s="125" t="n">
        <f aca="false">+D109/C109</f>
        <v>15.0599463616363</v>
      </c>
    </row>
    <row r="110" s="12" customFormat="true" ht="19.5" hidden="false" customHeight="true" outlineLevel="0" collapsed="false">
      <c r="B110" s="124" t="n">
        <v>660</v>
      </c>
      <c r="C110" s="125" t="n">
        <f aca="false">+B110/60</f>
        <v>11</v>
      </c>
      <c r="D110" s="125" t="n">
        <f aca="false">+$E$79*(B110/1440)^0.25</f>
        <v>154.230972258293</v>
      </c>
      <c r="E110" s="125" t="n">
        <f aca="false">+D110/C110</f>
        <v>14.0209974780266</v>
      </c>
    </row>
    <row r="111" s="12" customFormat="true" ht="19.5" hidden="false" customHeight="true" outlineLevel="0" collapsed="false">
      <c r="B111" s="124" t="n">
        <v>720</v>
      </c>
      <c r="C111" s="125" t="n">
        <f aca="false">+B111/60</f>
        <v>12</v>
      </c>
      <c r="D111" s="125" t="n">
        <f aca="false">+$E$79*(B111/1440)^0.25</f>
        <v>157.622690594489</v>
      </c>
      <c r="E111" s="125" t="n">
        <f aca="false">+D111/C111</f>
        <v>13.1352242162074</v>
      </c>
    </row>
    <row r="112" s="12" customFormat="true" ht="19.5" hidden="false" customHeight="true" outlineLevel="0" collapsed="false">
      <c r="B112" s="181"/>
      <c r="C112" s="189"/>
      <c r="D112" s="189"/>
      <c r="E112" s="189"/>
    </row>
    <row r="113" s="12" customFormat="true" ht="19.5" hidden="false" customHeight="true" outlineLevel="0" collapsed="false">
      <c r="B113" s="181"/>
      <c r="C113" s="189"/>
      <c r="D113" s="189"/>
      <c r="E113" s="189"/>
    </row>
    <row r="114" s="12" customFormat="true" ht="19.5" hidden="false" customHeight="true" outlineLevel="0" collapsed="false">
      <c r="B114" s="44" t="s">
        <v>205</v>
      </c>
      <c r="C114" s="44"/>
      <c r="D114" s="44"/>
      <c r="E114" s="188" t="n">
        <f aca="false">'D.Resumen'!L14</f>
        <v>169.265508404545</v>
      </c>
    </row>
    <row r="115" s="12" customFormat="true" ht="19.5" hidden="false" customHeight="true" outlineLevel="0" collapsed="false">
      <c r="B115" s="45" t="s">
        <v>199</v>
      </c>
      <c r="C115" s="45" t="s">
        <v>200</v>
      </c>
      <c r="D115" s="45" t="s">
        <v>201</v>
      </c>
      <c r="E115" s="45" t="s">
        <v>202</v>
      </c>
    </row>
    <row r="116" s="12" customFormat="true" ht="19.5" hidden="false" customHeight="true" outlineLevel="0" collapsed="false">
      <c r="B116" s="124" t="n">
        <v>10</v>
      </c>
      <c r="C116" s="125" t="n">
        <f aca="false">+B116/60</f>
        <v>0.166666666666667</v>
      </c>
      <c r="D116" s="125" t="n">
        <f aca="false">+$E$114*(B116/1440)^0.25</f>
        <v>48.8627434209415</v>
      </c>
      <c r="E116" s="190" t="n">
        <f aca="false">+D116/C116</f>
        <v>293.176460525649</v>
      </c>
    </row>
    <row r="117" s="12" customFormat="true" ht="19.5" hidden="false" customHeight="true" outlineLevel="0" collapsed="false">
      <c r="B117" s="124" t="n">
        <v>20</v>
      </c>
      <c r="C117" s="125" t="n">
        <f aca="false">+B117/60</f>
        <v>0.333333333333333</v>
      </c>
      <c r="D117" s="125" t="n">
        <f aca="false">+$E$114*(B117/1440)^0.25</f>
        <v>58.107922134736</v>
      </c>
      <c r="E117" s="125" t="n">
        <f aca="false">+D117/C117</f>
        <v>174.323766404208</v>
      </c>
    </row>
    <row r="118" s="12" customFormat="true" ht="19.5" hidden="false" customHeight="true" outlineLevel="0" collapsed="false">
      <c r="B118" s="124" t="n">
        <v>30</v>
      </c>
      <c r="C118" s="125" t="n">
        <f aca="false">+B118/60</f>
        <v>0.5</v>
      </c>
      <c r="D118" s="125" t="n">
        <f aca="false">+$E$114*(B118/1440)^0.25</f>
        <v>64.3069868178665</v>
      </c>
      <c r="E118" s="125" t="n">
        <f aca="false">+D118/C118</f>
        <v>128.613973635733</v>
      </c>
    </row>
    <row r="119" s="12" customFormat="true" ht="19.5" hidden="false" customHeight="true" outlineLevel="0" collapsed="false">
      <c r="B119" s="124" t="n">
        <v>40</v>
      </c>
      <c r="C119" s="125" t="n">
        <f aca="false">+B119/60</f>
        <v>0.666666666666667</v>
      </c>
      <c r="D119" s="125" t="n">
        <f aca="false">+$E$114*(B119/1440)^0.25</f>
        <v>69.1023544406522</v>
      </c>
      <c r="E119" s="125" t="n">
        <f aca="false">+D119/C119</f>
        <v>103.653531660978</v>
      </c>
    </row>
    <row r="120" s="12" customFormat="true" ht="19.5" hidden="false" customHeight="true" outlineLevel="0" collapsed="false">
      <c r="B120" s="124" t="n">
        <v>50</v>
      </c>
      <c r="C120" s="125" t="n">
        <f aca="false">+B120/60</f>
        <v>0.833333333333333</v>
      </c>
      <c r="D120" s="125" t="n">
        <f aca="false">+$E$114*(B120/1440)^0.25</f>
        <v>73.0668438216301</v>
      </c>
      <c r="E120" s="125" t="n">
        <f aca="false">+D120/C120</f>
        <v>87.6802125859561</v>
      </c>
    </row>
    <row r="121" s="12" customFormat="true" ht="19.5" hidden="false" customHeight="true" outlineLevel="0" collapsed="false">
      <c r="B121" s="124" t="n">
        <v>60</v>
      </c>
      <c r="C121" s="125" t="n">
        <f aca="false">+B121/60</f>
        <v>1</v>
      </c>
      <c r="D121" s="125" t="n">
        <f aca="false">+$E$114*(B121/1440)^0.25</f>
        <v>76.474326268193</v>
      </c>
      <c r="E121" s="125" t="n">
        <f aca="false">+D121/C121</f>
        <v>76.474326268193</v>
      </c>
    </row>
    <row r="122" s="12" customFormat="true" ht="19.5" hidden="false" customHeight="true" outlineLevel="0" collapsed="false">
      <c r="B122" s="124" t="n">
        <v>90</v>
      </c>
      <c r="C122" s="125" t="n">
        <f aca="false">+B122/60</f>
        <v>1.5</v>
      </c>
      <c r="D122" s="125" t="n">
        <f aca="false">+$E$114*(B122/1440)^0.25</f>
        <v>84.6327542022725</v>
      </c>
      <c r="E122" s="125" t="n">
        <f aca="false">+D122/C122</f>
        <v>56.4218361348484</v>
      </c>
    </row>
    <row r="123" s="12" customFormat="true" ht="19.5" hidden="false" customHeight="true" outlineLevel="0" collapsed="false">
      <c r="B123" s="124" t="n">
        <v>120</v>
      </c>
      <c r="C123" s="125" t="n">
        <f aca="false">+B123/60</f>
        <v>2</v>
      </c>
      <c r="D123" s="125" t="n">
        <f aca="false">+$E$114*(B123/1440)^0.25</f>
        <v>90.9438129131746</v>
      </c>
      <c r="E123" s="125" t="n">
        <f aca="false">+D123/C123</f>
        <v>45.4719064565873</v>
      </c>
    </row>
    <row r="124" s="12" customFormat="true" ht="19.5" hidden="false" customHeight="true" outlineLevel="0" collapsed="false">
      <c r="B124" s="124" t="n">
        <v>240</v>
      </c>
      <c r="C124" s="125" t="n">
        <f aca="false">+B124/60</f>
        <v>4</v>
      </c>
      <c r="D124" s="125" t="n">
        <f aca="false">+$E$114*(B124/1440)^0.25</f>
        <v>108.151029381824</v>
      </c>
      <c r="E124" s="125" t="n">
        <f aca="false">+D124/C124</f>
        <v>27.0377573454559</v>
      </c>
    </row>
    <row r="125" s="12" customFormat="true" ht="19.5" hidden="false" customHeight="true" outlineLevel="0" collapsed="false">
      <c r="B125" s="124" t="n">
        <v>360</v>
      </c>
      <c r="C125" s="125" t="n">
        <f aca="false">+B125/60</f>
        <v>6</v>
      </c>
      <c r="D125" s="125" t="n">
        <f aca="false">+$E$114*(B125/1440)^0.25</f>
        <v>119.688788813842</v>
      </c>
      <c r="E125" s="125" t="n">
        <f aca="false">+D125/C125</f>
        <v>19.9481314689737</v>
      </c>
    </row>
    <row r="126" s="12" customFormat="true" ht="19.5" hidden="false" customHeight="true" outlineLevel="0" collapsed="false">
      <c r="B126" s="124" t="n">
        <v>420</v>
      </c>
      <c r="C126" s="125" t="n">
        <f aca="false">+B126/60</f>
        <v>7</v>
      </c>
      <c r="D126" s="125" t="n">
        <f aca="false">+$E$114*(B126/1440)^0.25</f>
        <v>124.391346679472</v>
      </c>
      <c r="E126" s="125" t="n">
        <f aca="false">+D126/C126</f>
        <v>17.7701923827817</v>
      </c>
    </row>
    <row r="127" s="12" customFormat="true" ht="19.5" hidden="false" customHeight="true" outlineLevel="0" collapsed="false">
      <c r="B127" s="124" t="n">
        <v>480</v>
      </c>
      <c r="C127" s="125" t="n">
        <f aca="false">+B127/60</f>
        <v>8</v>
      </c>
      <c r="D127" s="125" t="n">
        <f aca="false">+$E$114*(B127/1440)^0.25</f>
        <v>128.613973635733</v>
      </c>
      <c r="E127" s="125" t="n">
        <f aca="false">+D127/C127</f>
        <v>16.0767467044666</v>
      </c>
    </row>
    <row r="128" s="12" customFormat="true" ht="19.5" hidden="false" customHeight="true" outlineLevel="0" collapsed="false">
      <c r="B128" s="124" t="n">
        <v>600</v>
      </c>
      <c r="C128" s="125" t="n">
        <f aca="false">+B128/60</f>
        <v>10</v>
      </c>
      <c r="D128" s="125" t="n">
        <f aca="false">+$E$114*(B128/1440)^0.25</f>
        <v>135.992719799326</v>
      </c>
      <c r="E128" s="125" t="n">
        <f aca="false">+D128/C128</f>
        <v>13.5992719799326</v>
      </c>
    </row>
    <row r="129" s="12" customFormat="true" ht="19.5" hidden="false" customHeight="true" outlineLevel="0" collapsed="false">
      <c r="B129" s="124" t="n">
        <v>660</v>
      </c>
      <c r="C129" s="125" t="n">
        <f aca="false">+B129/60</f>
        <v>11</v>
      </c>
      <c r="D129" s="125" t="n">
        <f aca="false">+$E$114*(B129/1440)^0.25</f>
        <v>139.272005962315</v>
      </c>
      <c r="E129" s="125" t="n">
        <f aca="false">+D129/C129</f>
        <v>12.6610914511196</v>
      </c>
    </row>
    <row r="130" s="12" customFormat="true" ht="19.5" hidden="false" customHeight="true" outlineLevel="0" collapsed="false">
      <c r="B130" s="124" t="n">
        <v>720</v>
      </c>
      <c r="C130" s="125" t="n">
        <f aca="false">+B130/60</f>
        <v>12</v>
      </c>
      <c r="D130" s="125" t="n">
        <f aca="false">+$E$114*(B130/1440)^0.25</f>
        <v>142.334759243479</v>
      </c>
      <c r="E130" s="125" t="n">
        <f aca="false">+D130/C130</f>
        <v>11.8612299369566</v>
      </c>
    </row>
    <row r="131" s="12" customFormat="true" ht="19.5" hidden="false" customHeight="true" outlineLevel="0" collapsed="false">
      <c r="B131" s="181"/>
      <c r="C131" s="189"/>
      <c r="D131" s="189"/>
      <c r="E131" s="189"/>
    </row>
    <row r="132" s="12" customFormat="true" ht="12.75" hidden="false" customHeight="false" outlineLevel="0" collapsed="false"/>
    <row r="133" s="12" customFormat="true" ht="19.5" hidden="false" customHeight="true" outlineLevel="0" collapsed="false">
      <c r="B133" s="44" t="s">
        <v>206</v>
      </c>
      <c r="C133" s="44"/>
      <c r="D133" s="44"/>
      <c r="E133" s="188" t="n">
        <f aca="false">'D.Resumen'!L13</f>
        <v>163.564561194566</v>
      </c>
    </row>
    <row r="134" s="12" customFormat="true" ht="19.5" hidden="false" customHeight="true" outlineLevel="0" collapsed="false">
      <c r="B134" s="45" t="s">
        <v>199</v>
      </c>
      <c r="C134" s="45" t="s">
        <v>200</v>
      </c>
      <c r="D134" s="45" t="s">
        <v>201</v>
      </c>
      <c r="E134" s="45" t="s">
        <v>202</v>
      </c>
    </row>
    <row r="135" s="12" customFormat="true" ht="19.5" hidden="false" customHeight="true" outlineLevel="0" collapsed="false">
      <c r="B135" s="124" t="n">
        <v>10</v>
      </c>
      <c r="C135" s="125" t="n">
        <f aca="false">+B135/60</f>
        <v>0.166666666666667</v>
      </c>
      <c r="D135" s="125" t="n">
        <f aca="false">+$E$133*(B135/1440)^0.25</f>
        <v>47.2170217177828</v>
      </c>
      <c r="E135" s="125" t="n">
        <f aca="false">+D135/C135</f>
        <v>283.302130306697</v>
      </c>
    </row>
    <row r="136" s="12" customFormat="true" ht="19.5" hidden="false" customHeight="true" outlineLevel="0" collapsed="false">
      <c r="B136" s="124" t="n">
        <v>20</v>
      </c>
      <c r="C136" s="125" t="n">
        <f aca="false">+B136/60</f>
        <v>0.333333333333333</v>
      </c>
      <c r="D136" s="125" t="n">
        <f aca="false">+$E$133*(B136/1440)^0.25</f>
        <v>56.1508181760253</v>
      </c>
      <c r="E136" s="125" t="n">
        <f aca="false">+D136/C136</f>
        <v>168.452454528076</v>
      </c>
    </row>
    <row r="137" s="12" customFormat="true" ht="19.5" hidden="false" customHeight="true" outlineLevel="0" collapsed="false">
      <c r="B137" s="124" t="n">
        <v>30</v>
      </c>
      <c r="C137" s="125" t="n">
        <f aca="false">+B137/60</f>
        <v>0.5</v>
      </c>
      <c r="D137" s="125" t="n">
        <f aca="false">+$E$133*(B137/1440)^0.25</f>
        <v>62.1410952517874</v>
      </c>
      <c r="E137" s="125" t="n">
        <f aca="false">+D137/C137</f>
        <v>124.282190503575</v>
      </c>
    </row>
    <row r="138" s="12" customFormat="true" ht="19.5" hidden="false" customHeight="true" outlineLevel="0" collapsed="false">
      <c r="B138" s="124" t="n">
        <v>40</v>
      </c>
      <c r="C138" s="125" t="n">
        <f aca="false">+B138/60</f>
        <v>0.666666666666667</v>
      </c>
      <c r="D138" s="125" t="n">
        <f aca="false">+$E$133*(B138/1440)^0.25</f>
        <v>66.7749524881534</v>
      </c>
      <c r="E138" s="125" t="n">
        <f aca="false">+D138/C138</f>
        <v>100.16242873223</v>
      </c>
    </row>
    <row r="139" s="12" customFormat="true" ht="19.5" hidden="false" customHeight="true" outlineLevel="0" collapsed="false">
      <c r="B139" s="124" t="n">
        <v>50</v>
      </c>
      <c r="C139" s="125" t="n">
        <f aca="false">+B139/60</f>
        <v>0.833333333333333</v>
      </c>
      <c r="D139" s="125" t="n">
        <f aca="false">+$E$133*(B139/1440)^0.25</f>
        <v>70.6059158785824</v>
      </c>
      <c r="E139" s="125" t="n">
        <f aca="false">+D139/C139</f>
        <v>84.7270990542989</v>
      </c>
    </row>
    <row r="140" s="12" customFormat="true" ht="19.5" hidden="false" customHeight="true" outlineLevel="0" collapsed="false">
      <c r="B140" s="124" t="n">
        <v>60</v>
      </c>
      <c r="C140" s="125" t="n">
        <f aca="false">+B140/60</f>
        <v>1</v>
      </c>
      <c r="D140" s="125" t="n">
        <f aca="false">+$E$133*(B140/1440)^0.25</f>
        <v>73.8986326074874</v>
      </c>
      <c r="E140" s="125" t="n">
        <f aca="false">+D140/C140</f>
        <v>73.8986326074874</v>
      </c>
    </row>
    <row r="141" s="12" customFormat="true" ht="19.5" hidden="false" customHeight="true" outlineLevel="0" collapsed="false">
      <c r="B141" s="124" t="n">
        <v>90</v>
      </c>
      <c r="C141" s="125" t="n">
        <f aca="false">+B141/60</f>
        <v>1.5</v>
      </c>
      <c r="D141" s="125" t="n">
        <f aca="false">+$E$133*(B141/1440)^0.25</f>
        <v>81.7822805972829</v>
      </c>
      <c r="E141" s="125" t="n">
        <f aca="false">+D141/C141</f>
        <v>54.5215203981886</v>
      </c>
    </row>
    <row r="142" s="12" customFormat="true" ht="19.5" hidden="false" customHeight="true" outlineLevel="0" collapsed="false">
      <c r="B142" s="124" t="n">
        <v>120</v>
      </c>
      <c r="C142" s="125" t="n">
        <f aca="false">+B142/60</f>
        <v>2</v>
      </c>
      <c r="D142" s="125" t="n">
        <f aca="false">+$E$133*(B142/1440)^0.25</f>
        <v>87.8807796857961</v>
      </c>
      <c r="E142" s="125" t="n">
        <f aca="false">+D142/C142</f>
        <v>43.940389842898</v>
      </c>
    </row>
    <row r="143" s="12" customFormat="true" ht="19.5" hidden="false" customHeight="true" outlineLevel="0" collapsed="false">
      <c r="B143" s="124" t="n">
        <v>240</v>
      </c>
      <c r="C143" s="125" t="n">
        <f aca="false">+B143/60</f>
        <v>4</v>
      </c>
      <c r="D143" s="125" t="n">
        <f aca="false">+$E$133*(B143/1440)^0.25</f>
        <v>104.508448474335</v>
      </c>
      <c r="E143" s="125" t="n">
        <f aca="false">+D143/C143</f>
        <v>26.1271121185838</v>
      </c>
    </row>
    <row r="144" s="12" customFormat="true" ht="19.5" hidden="false" customHeight="true" outlineLevel="0" collapsed="false">
      <c r="B144" s="124" t="n">
        <v>360</v>
      </c>
      <c r="C144" s="125" t="n">
        <f aca="false">+B144/60</f>
        <v>6</v>
      </c>
      <c r="D144" s="125" t="n">
        <f aca="false">+$E$133*(B144/1440)^0.25</f>
        <v>115.65761038248</v>
      </c>
      <c r="E144" s="125" t="n">
        <f aca="false">+D144/C144</f>
        <v>19.2762683970799</v>
      </c>
    </row>
    <row r="145" s="12" customFormat="true" ht="19.5" hidden="false" customHeight="true" outlineLevel="0" collapsed="false">
      <c r="B145" s="124" t="n">
        <v>420</v>
      </c>
      <c r="C145" s="125" t="n">
        <f aca="false">+B145/60</f>
        <v>7</v>
      </c>
      <c r="D145" s="125" t="n">
        <f aca="false">+$E$133*(B145/1440)^0.25</f>
        <v>120.201783740855</v>
      </c>
      <c r="E145" s="125" t="n">
        <f aca="false">+D145/C145</f>
        <v>17.1716833915507</v>
      </c>
    </row>
    <row r="146" s="12" customFormat="true" ht="19.5" hidden="false" customHeight="true" outlineLevel="0" collapsed="false">
      <c r="B146" s="124" t="n">
        <v>480</v>
      </c>
      <c r="C146" s="125" t="n">
        <f aca="false">+B146/60</f>
        <v>8</v>
      </c>
      <c r="D146" s="125" t="n">
        <f aca="false">+$E$133*(B146/1440)^0.25</f>
        <v>124.282190503575</v>
      </c>
      <c r="E146" s="125" t="n">
        <f aca="false">+D146/C146</f>
        <v>15.5352738129468</v>
      </c>
    </row>
    <row r="147" s="12" customFormat="true" ht="19.5" hidden="false" customHeight="true" outlineLevel="0" collapsed="false">
      <c r="B147" s="124" t="n">
        <v>600</v>
      </c>
      <c r="C147" s="125" t="n">
        <f aca="false">+B147/60</f>
        <v>10</v>
      </c>
      <c r="D147" s="125" t="n">
        <f aca="false">+$E$133*(B147/1440)^0.25</f>
        <v>131.412416795926</v>
      </c>
      <c r="E147" s="125" t="n">
        <f aca="false">+D147/C147</f>
        <v>13.1412416795926</v>
      </c>
    </row>
    <row r="148" s="12" customFormat="true" ht="19.5" hidden="false" customHeight="true" outlineLevel="0" collapsed="false">
      <c r="B148" s="124" t="n">
        <v>660</v>
      </c>
      <c r="C148" s="125" t="n">
        <f aca="false">+B148/60</f>
        <v>11</v>
      </c>
      <c r="D148" s="125" t="n">
        <f aca="false">+$E$133*(B148/1440)^0.25</f>
        <v>134.581254956378</v>
      </c>
      <c r="E148" s="125" t="n">
        <f aca="false">+D148/C148</f>
        <v>12.2346595414889</v>
      </c>
    </row>
    <row r="149" s="12" customFormat="true" ht="19.5" hidden="false" customHeight="true" outlineLevel="0" collapsed="false">
      <c r="B149" s="124" t="n">
        <v>720</v>
      </c>
      <c r="C149" s="125" t="n">
        <f aca="false">+B149/60</f>
        <v>12</v>
      </c>
      <c r="D149" s="125" t="n">
        <f aca="false">+$E$133*(B149/1440)^0.25</f>
        <v>137.540853171057</v>
      </c>
      <c r="E149" s="125" t="n">
        <f aca="false">+D149/C149</f>
        <v>11.4617377642548</v>
      </c>
    </row>
    <row r="150" s="12" customFormat="true" ht="19.5" hidden="false" customHeight="true" outlineLevel="0" collapsed="false">
      <c r="B150" s="181"/>
      <c r="C150" s="189"/>
      <c r="D150" s="189"/>
      <c r="E150" s="189"/>
    </row>
    <row r="151" s="12" customFormat="true" ht="12.75" hidden="false" customHeight="false" outlineLevel="0" collapsed="false"/>
    <row r="152" s="12" customFormat="true" ht="19.5" hidden="false" customHeight="true" outlineLevel="0" collapsed="false">
      <c r="B152" s="44" t="s">
        <v>207</v>
      </c>
      <c r="C152" s="44"/>
      <c r="D152" s="44"/>
      <c r="E152" s="188" t="n">
        <f aca="false">'D.Resumen'!L12</f>
        <v>146.181155207782</v>
      </c>
    </row>
    <row r="153" s="12" customFormat="true" ht="19.5" hidden="false" customHeight="true" outlineLevel="0" collapsed="false">
      <c r="B153" s="45" t="s">
        <v>199</v>
      </c>
      <c r="C153" s="45" t="s">
        <v>200</v>
      </c>
      <c r="D153" s="45" t="s">
        <v>201</v>
      </c>
      <c r="E153" s="45" t="s">
        <v>202</v>
      </c>
    </row>
    <row r="154" s="12" customFormat="true" ht="19.5" hidden="false" customHeight="true" outlineLevel="0" collapsed="false">
      <c r="B154" s="124" t="n">
        <v>10</v>
      </c>
      <c r="C154" s="125" t="n">
        <f aca="false">+B154/60</f>
        <v>0.166666666666667</v>
      </c>
      <c r="D154" s="125" t="n">
        <f aca="false">+$E$152*(B154/1440)^0.25</f>
        <v>42.1988646548317</v>
      </c>
      <c r="E154" s="125" t="n">
        <f aca="false">+D154/C154</f>
        <v>253.19318792899</v>
      </c>
    </row>
    <row r="155" s="12" customFormat="true" ht="19.5" hidden="false" customHeight="true" outlineLevel="0" collapsed="false">
      <c r="B155" s="124" t="n">
        <v>20</v>
      </c>
      <c r="C155" s="125" t="n">
        <f aca="false">+B155/60</f>
        <v>0.333333333333333</v>
      </c>
      <c r="D155" s="125" t="n">
        <f aca="false">+$E$152*(B155/1440)^0.25</f>
        <v>50.1831900925627</v>
      </c>
      <c r="E155" s="125" t="n">
        <f aca="false">+D155/C155</f>
        <v>150.549570277688</v>
      </c>
    </row>
    <row r="156" s="12" customFormat="true" ht="19.5" hidden="false" customHeight="true" outlineLevel="0" collapsed="false">
      <c r="B156" s="124" t="n">
        <v>30</v>
      </c>
      <c r="C156" s="125" t="n">
        <f aca="false">+B156/60</f>
        <v>0.5</v>
      </c>
      <c r="D156" s="125" t="n">
        <f aca="false">+$E$152*(B156/1440)^0.25</f>
        <v>55.5368291483235</v>
      </c>
      <c r="E156" s="125" t="n">
        <f aca="false">+D156/C156</f>
        <v>111.073658296647</v>
      </c>
    </row>
    <row r="157" s="12" customFormat="true" ht="19.5" hidden="false" customHeight="true" outlineLevel="0" collapsed="false">
      <c r="B157" s="124" t="n">
        <v>40</v>
      </c>
      <c r="C157" s="125" t="n">
        <f aca="false">+B157/60</f>
        <v>0.666666666666667</v>
      </c>
      <c r="D157" s="125" t="n">
        <f aca="false">+$E$152*(B157/1440)^0.25</f>
        <v>59.6782067116096</v>
      </c>
      <c r="E157" s="125" t="n">
        <f aca="false">+D157/C157</f>
        <v>89.5173100674144</v>
      </c>
    </row>
    <row r="158" s="12" customFormat="true" ht="19.5" hidden="false" customHeight="true" outlineLevel="0" collapsed="false">
      <c r="B158" s="124" t="n">
        <v>50</v>
      </c>
      <c r="C158" s="125" t="n">
        <f aca="false">+B158/60</f>
        <v>0.833333333333333</v>
      </c>
      <c r="D158" s="125" t="n">
        <f aca="false">+$E$152*(B158/1440)^0.25</f>
        <v>63.1020208305218</v>
      </c>
      <c r="E158" s="125" t="n">
        <f aca="false">+D158/C158</f>
        <v>75.7224249966262</v>
      </c>
    </row>
    <row r="159" s="12" customFormat="true" ht="19.5" hidden="false" customHeight="true" outlineLevel="0" collapsed="false">
      <c r="B159" s="124" t="n">
        <v>60</v>
      </c>
      <c r="C159" s="125" t="n">
        <f aca="false">+B159/60</f>
        <v>1</v>
      </c>
      <c r="D159" s="125" t="n">
        <f aca="false">+$E$152*(B159/1440)^0.25</f>
        <v>66.0447923678768</v>
      </c>
      <c r="E159" s="125" t="n">
        <f aca="false">+D159/C159</f>
        <v>66.0447923678768</v>
      </c>
    </row>
    <row r="160" s="12" customFormat="true" ht="19.5" hidden="false" customHeight="true" outlineLevel="0" collapsed="false">
      <c r="B160" s="124" t="n">
        <v>90</v>
      </c>
      <c r="C160" s="125" t="n">
        <f aca="false">+B160/60</f>
        <v>1.5</v>
      </c>
      <c r="D160" s="125" t="n">
        <f aca="false">+$E$152*(B160/1440)^0.25</f>
        <v>73.090577603891</v>
      </c>
      <c r="E160" s="125" t="n">
        <f aca="false">+D160/C160</f>
        <v>48.7270517359273</v>
      </c>
    </row>
    <row r="161" s="12" customFormat="true" ht="19.5" hidden="false" customHeight="true" outlineLevel="0" collapsed="false">
      <c r="B161" s="124" t="n">
        <v>120</v>
      </c>
      <c r="C161" s="125" t="n">
        <f aca="false">+B161/60</f>
        <v>2</v>
      </c>
      <c r="D161" s="125" t="n">
        <f aca="false">+$E$152*(B161/1440)^0.25</f>
        <v>78.5409369927564</v>
      </c>
      <c r="E161" s="125" t="n">
        <f aca="false">+D161/C161</f>
        <v>39.2704684963782</v>
      </c>
    </row>
    <row r="162" s="12" customFormat="true" ht="19.5" hidden="false" customHeight="true" outlineLevel="0" collapsed="false">
      <c r="B162" s="124" t="n">
        <v>240</v>
      </c>
      <c r="C162" s="125" t="n">
        <f aca="false">+B162/60</f>
        <v>4</v>
      </c>
      <c r="D162" s="125" t="n">
        <f aca="false">+$E$152*(B162/1440)^0.25</f>
        <v>93.4014410907664</v>
      </c>
      <c r="E162" s="125" t="n">
        <f aca="false">+D162/C162</f>
        <v>23.3503602726916</v>
      </c>
    </row>
    <row r="163" s="12" customFormat="true" ht="19.5" hidden="false" customHeight="true" outlineLevel="0" collapsed="false">
      <c r="B163" s="124" t="n">
        <v>360</v>
      </c>
      <c r="C163" s="125" t="n">
        <f aca="false">+B163/60</f>
        <v>6</v>
      </c>
      <c r="D163" s="125" t="n">
        <f aca="false">+$E$152*(B163/1440)^0.25</f>
        <v>103.365686129106</v>
      </c>
      <c r="E163" s="125" t="n">
        <f aca="false">+D163/C163</f>
        <v>17.227614354851</v>
      </c>
    </row>
    <row r="164" s="12" customFormat="true" ht="19.5" hidden="false" customHeight="true" outlineLevel="0" collapsed="false">
      <c r="B164" s="124" t="n">
        <v>420</v>
      </c>
      <c r="C164" s="125" t="n">
        <f aca="false">+B164/60</f>
        <v>7</v>
      </c>
      <c r="D164" s="125" t="n">
        <f aca="false">+$E$152*(B164/1440)^0.25</f>
        <v>107.426911287785</v>
      </c>
      <c r="E164" s="125" t="n">
        <f aca="false">+D164/C164</f>
        <v>15.3467016125407</v>
      </c>
    </row>
    <row r="165" s="12" customFormat="true" ht="19.5" hidden="false" customHeight="true" outlineLevel="0" collapsed="false">
      <c r="B165" s="124" t="n">
        <v>480</v>
      </c>
      <c r="C165" s="125" t="n">
        <f aca="false">+B165/60</f>
        <v>8</v>
      </c>
      <c r="D165" s="125" t="n">
        <f aca="false">+$E$152*(B165/1440)^0.25</f>
        <v>111.073658296647</v>
      </c>
      <c r="E165" s="125" t="n">
        <f aca="false">+D165/C165</f>
        <v>13.8842072870809</v>
      </c>
    </row>
    <row r="166" s="12" customFormat="true" ht="19.5" hidden="false" customHeight="true" outlineLevel="0" collapsed="false">
      <c r="B166" s="124" t="n">
        <v>600</v>
      </c>
      <c r="C166" s="125" t="n">
        <f aca="false">+B166/60</f>
        <v>10</v>
      </c>
      <c r="D166" s="125" t="n">
        <f aca="false">+$E$152*(B166/1440)^0.25</f>
        <v>117.446094408091</v>
      </c>
      <c r="E166" s="125" t="n">
        <f aca="false">+D166/C166</f>
        <v>11.7446094408091</v>
      </c>
    </row>
    <row r="167" customFormat="false" ht="19.5" hidden="false" customHeight="true" outlineLevel="0" collapsed="false">
      <c r="A167" s="12"/>
      <c r="B167" s="124" t="n">
        <v>660</v>
      </c>
      <c r="C167" s="125" t="n">
        <f aca="false">+B167/60</f>
        <v>11</v>
      </c>
      <c r="D167" s="125" t="n">
        <f aca="false">+$E$152*(B167/1440)^0.25</f>
        <v>120.27815301283</v>
      </c>
      <c r="E167" s="125" t="n">
        <f aca="false">+D167/C167</f>
        <v>10.9343775466209</v>
      </c>
      <c r="F167" s="12"/>
      <c r="G167" s="12"/>
      <c r="H167" s="12"/>
      <c r="I167" s="12"/>
      <c r="J167" s="12"/>
      <c r="K167" s="12"/>
    </row>
    <row r="168" customFormat="false" ht="19.5" hidden="false" customHeight="true" outlineLevel="0" collapsed="false">
      <c r="A168" s="12"/>
      <c r="B168" s="124" t="n">
        <v>720</v>
      </c>
      <c r="C168" s="125" t="n">
        <f aca="false">+B168/60</f>
        <v>12</v>
      </c>
      <c r="D168" s="125" t="n">
        <f aca="false">+$E$152*(B168/1440)^0.25</f>
        <v>122.923209391871</v>
      </c>
      <c r="E168" s="125" t="n">
        <f aca="false">+D168/C168</f>
        <v>10.2436007826559</v>
      </c>
      <c r="F168" s="12"/>
      <c r="G168" s="12"/>
      <c r="H168" s="12"/>
      <c r="I168" s="12"/>
      <c r="J168" s="12"/>
      <c r="K168" s="12"/>
    </row>
    <row r="169" customFormat="false" ht="12.7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</row>
  </sheetData>
  <mergeCells count="10">
    <mergeCell ref="C2:E2"/>
    <mergeCell ref="C3:E3"/>
    <mergeCell ref="C4:E4"/>
    <mergeCell ref="C5:E5"/>
    <mergeCell ref="B9:D9"/>
    <mergeCell ref="B44:D44"/>
    <mergeCell ref="B79:D79"/>
    <mergeCell ref="B114:D114"/>
    <mergeCell ref="B133:D133"/>
    <mergeCell ref="B152:D152"/>
  </mergeCells>
  <printOptions headings="false" gridLines="false" gridLinesSet="true" horizontalCentered="true" verticalCentered="false"/>
  <pageMargins left="0.354166666666667" right="0.354166666666667" top="0.529861111111111" bottom="0.67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42" man="true" max="16383" min="0"/>
    <brk id="77" man="true" max="16383" min="0"/>
    <brk id="113" man="true" max="16383" min="0"/>
    <brk id="131" man="true" max="16383" min="0"/>
  </rowBreaks>
  <colBreaks count="1" manualBreakCount="1">
    <brk id="6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2005-04-07T19:29:38Z</dcterms:created>
  <dc:creator>Obed Rosales</dc:creator>
  <dc:description/>
  <dc:language>en-US</dc:language>
  <cp:lastModifiedBy/>
  <cp:lastPrinted>2026-09-10T18:47:50Z</cp:lastPrinted>
  <dcterms:modified xsi:type="dcterms:W3CDTF">2026-10-21T17:32:58Z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