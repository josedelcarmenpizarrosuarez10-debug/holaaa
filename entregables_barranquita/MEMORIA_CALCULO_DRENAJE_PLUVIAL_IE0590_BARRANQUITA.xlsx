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SERIE" sheetId="3" state="visible" r:id="rId3"/>
    <sheet xmlns:r="http://schemas.openxmlformats.org/officeDocument/2006/relationships" name="FRECUENCIAS" sheetId="4" state="visible" r:id="rId4"/>
    <sheet xmlns:r="http://schemas.openxmlformats.org/officeDocument/2006/relationships" name="KS" sheetId="5" state="visible" r:id="rId5"/>
    <sheet xmlns:r="http://schemas.openxmlformats.org/officeDocument/2006/relationships" name="IDF" sheetId="6" state="visible" r:id="rId6"/>
    <sheet xmlns:r="http://schemas.openxmlformats.org/officeDocument/2006/relationships" name="SUPERFICIES" sheetId="7" state="visible" r:id="rId7"/>
    <sheet xmlns:r="http://schemas.openxmlformats.org/officeDocument/2006/relationships" name="CAUDALES" sheetId="8" state="visible" r:id="rId8"/>
    <sheet xmlns:r="http://schemas.openxmlformats.org/officeDocument/2006/relationships" name="DESCARG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"/>
    <numFmt numFmtId="166" formatCode="0.000"/>
    <numFmt numFmtId="167" formatCode="0.00000"/>
    <numFmt numFmtId="168" formatCode="#,##0.0"/>
    <numFmt numFmtId="169" formatCode="0.0%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8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165" fontId="4" fillId="4" borderId="1" pivotButton="0" quotePrefix="0" xfId="0"/>
    <xf numFmtId="1" fontId="4" fillId="4" borderId="1" pivotButton="0" quotePrefix="0" xfId="0"/>
    <xf numFmtId="2" fontId="4" fillId="4" borderId="1" pivotButton="0" quotePrefix="0" xfId="0"/>
    <xf numFmtId="164" fontId="4" fillId="4" borderId="1" pivotButton="0" quotePrefix="0" xfId="0"/>
    <xf numFmtId="166" fontId="4" fillId="4" borderId="1" pivotButton="0" quotePrefix="0" xfId="0"/>
    <xf numFmtId="3" fontId="4" fillId="4" borderId="1" pivotButton="0" quotePrefix="0" xfId="0"/>
    <xf numFmtId="164" fontId="3" fillId="3" borderId="1" pivotButton="0" quotePrefix="0" xfId="0"/>
    <xf numFmtId="165" fontId="3" fillId="3" borderId="1" pivotButton="0" quotePrefix="0" xfId="0"/>
    <xf numFmtId="1" fontId="3" fillId="3" borderId="1" pivotButton="0" quotePrefix="0" xfId="0"/>
    <xf numFmtId="166" fontId="3" fillId="3" borderId="1" pivotButton="0" quotePrefix="0" xfId="0"/>
    <xf numFmtId="2" fontId="3" fillId="3" borderId="1" pivotButton="0" quotePrefix="0" xfId="0"/>
    <xf numFmtId="0" fontId="4" fillId="0" borderId="0" pivotButton="0" quotePrefix="0" xfId="0"/>
    <xf numFmtId="164" fontId="4" fillId="0" borderId="1" pivotButton="0" quotePrefix="0" xfId="0"/>
    <xf numFmtId="2" fontId="3" fillId="0" borderId="1" pivotButton="0" quotePrefix="0" xfId="0"/>
    <xf numFmtId="2" fontId="3" fillId="4" borderId="1" pivotButton="0" quotePrefix="0" xfId="0"/>
    <xf numFmtId="165" fontId="4" fillId="0" borderId="1" pivotButton="0" quotePrefix="0" xfId="0"/>
    <xf numFmtId="1" fontId="3" fillId="0" borderId="1" pivotButton="0" quotePrefix="0" xfId="0"/>
    <xf numFmtId="166" fontId="3" fillId="0" borderId="1" pivotButton="0" quotePrefix="0" xfId="0"/>
    <xf numFmtId="165" fontId="3" fillId="0" borderId="1" pivotButton="0" quotePrefix="0" xfId="0"/>
    <xf numFmtId="166" fontId="4" fillId="0" borderId="1" pivotButton="0" quotePrefix="0" xfId="0"/>
    <xf numFmtId="2" fontId="4" fillId="0" borderId="1" pivotButton="0" quotePrefix="0" xfId="0"/>
    <xf numFmtId="1" fontId="4" fillId="0" borderId="1" pivotButton="0" quotePrefix="0" xfId="0"/>
    <xf numFmtId="1" fontId="4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5" fontId="3" fillId="4" borderId="1" pivotButton="0" quotePrefix="0" xfId="0"/>
    <xf numFmtId="0" fontId="3" fillId="0" borderId="0" pivotButton="0" quotePrefix="0" xfId="0"/>
    <xf numFmtId="3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3" fontId="3" fillId="0" borderId="1" pivotButton="0" quotePrefix="0" xfId="0"/>
    <xf numFmtId="166" fontId="3" fillId="4" borderId="1" pivotButton="0" quotePrefix="0" xfId="0"/>
    <xf numFmtId="168" fontId="3" fillId="0" borderId="1" pivotButton="0" quotePrefix="0" xfId="0"/>
    <xf numFmtId="16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  <col width="2" customWidth="1" min="3" max="3"/>
  </cols>
  <sheetData>
    <row r="1">
      <c r="A1" s="1" t="inlineStr">
        <is>
          <t>MEMORIA DE CALCULO - DRENAJE PLUVIAL (RED DE CUNETAS)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 ht="30" customHeight="1">
      <c r="A8" s="3" t="inlineStr">
        <is>
          <t>CONCEPTO</t>
        </is>
      </c>
      <c r="B8" s="3" t="inlineStr">
        <is>
          <t>VALOR</t>
        </is>
      </c>
      <c r="C8" s="3" t="inlineStr"/>
    </row>
    <row r="9">
      <c r="A9" s="4" t="inlineStr">
        <is>
          <t>Estacion de referencia</t>
        </is>
      </c>
      <c r="B9" s="5" t="inlineStr">
        <is>
          <t>Pongo de Caynarachi (SENAMHI, codigo 003317), 1989–2013, 25 anos</t>
        </is>
      </c>
    </row>
    <row r="10">
      <c r="A10" s="4" t="inlineStr">
        <is>
          <t>Factor aplicado a la serie</t>
        </is>
      </c>
      <c r="B10" s="6">
        <f>DATOS!B7</f>
        <v/>
      </c>
    </row>
    <row r="11">
      <c r="A11" s="4" t="inlineStr">
        <is>
          <t>Distribucion adoptada</t>
        </is>
      </c>
      <c r="B11" s="5" t="inlineStr">
        <is>
          <t>Log-Pearson III (menor D de Kolmogorov-Smirnov)</t>
        </is>
      </c>
    </row>
    <row r="12">
      <c r="A12" s="4" t="inlineStr">
        <is>
          <t>Periodo de retorno (anos)</t>
        </is>
      </c>
      <c r="B12" s="7">
        <f>DATOS!B8</f>
        <v/>
      </c>
    </row>
    <row r="13">
      <c r="A13" s="4" t="inlineStr">
        <is>
          <t>Precipitacion maxima en 24 h de diseno (mm)</t>
        </is>
      </c>
      <c r="B13" s="8">
        <f>DATOS!B15</f>
        <v/>
      </c>
    </row>
    <row r="14">
      <c r="A14" s="4" t="inlineStr">
        <is>
          <t>Tiempo de concentracion (min)</t>
        </is>
      </c>
      <c r="B14" s="9">
        <f>DATOS!B9</f>
        <v/>
      </c>
    </row>
    <row r="15">
      <c r="A15" s="4" t="inlineStr">
        <is>
          <t>Intensidad de diseno (mm/h)</t>
        </is>
      </c>
      <c r="B15" s="8">
        <f>DATOS!B17</f>
        <v/>
      </c>
    </row>
    <row r="16">
      <c r="A16" s="4" t="inlineStr">
        <is>
          <t>Coeficiente de escorrentia ponderado</t>
        </is>
      </c>
      <c r="B16" s="10">
        <f>SUPERFICIES!C13</f>
        <v/>
      </c>
    </row>
    <row r="17">
      <c r="A17" s="4" t="inlineStr">
        <is>
          <t>Area de aporte dentro del cerco (m2)</t>
        </is>
      </c>
      <c r="B17" s="11">
        <f>SUPERFICIES!B13</f>
        <v/>
      </c>
    </row>
    <row r="18">
      <c r="A18" s="4" t="inlineStr">
        <is>
          <t>Caudal maximo en un tramo (l/s)</t>
        </is>
      </c>
      <c r="B18" s="9">
        <f>MAX(CAUDALES!H9:H99)</f>
        <v/>
      </c>
    </row>
    <row r="19">
      <c r="A19" s="4" t="inlineStr">
        <is>
          <t>Menor borde libre (m)</t>
        </is>
      </c>
      <c r="B19" s="10">
        <f>MIN(CAUDALES!P9:P99)</f>
        <v/>
      </c>
    </row>
    <row r="20">
      <c r="A20" s="4" t="inlineStr">
        <is>
          <t>Velocidad maxima (m/s)</t>
        </is>
      </c>
      <c r="B20" s="8">
        <f>MAX(CAUDALES!S9:S99)</f>
        <v/>
      </c>
    </row>
    <row r="21">
      <c r="A21" s="4" t="inlineStr">
        <is>
          <t>Tramos que no cumplen capacidad</t>
        </is>
      </c>
      <c r="B21" s="7">
        <f>COUNTIF(CAUDALES!Q9:Q99,"NO CUMPLE")</f>
        <v/>
      </c>
    </row>
    <row r="22">
      <c r="A22" s="4" t="inlineStr">
        <is>
          <t>Seccion de cuneta</t>
        </is>
      </c>
      <c r="B22" s="5" t="inlineStr">
        <is>
          <t>0.60 m de ancho total: muros de 0.10 m y 0.40 m libres; profundidad variable 0.30 a 0.91 m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" customWidth="1" min="3" max="3"/>
    <col width="80" customWidth="1" min="4" max="4"/>
  </cols>
  <sheetData>
    <row r="1">
      <c r="A1" s="1" t="inlineStr">
        <is>
          <t>DATOS GENERALES Y PARAMETROS DE DISENO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4" ht="30" customHeight="1">
      <c r="A4" s="3" t="inlineStr">
        <is>
          <t>PARAMETRO</t>
        </is>
      </c>
      <c r="B4" s="3" t="inlineStr">
        <is>
          <t>VALOR</t>
        </is>
      </c>
      <c r="C4" s="3" t="inlineStr"/>
      <c r="D4" s="3" t="inlineStr">
        <is>
          <t>FUENTE / CRITERIO</t>
        </is>
      </c>
    </row>
    <row r="5">
      <c r="A5" s="5" t="inlineStr">
        <is>
          <t>Precipitacion media anual - estacion Pongo de Caynarachi (mm)</t>
        </is>
      </c>
      <c r="B5" s="12" t="n">
        <v>3853.16</v>
      </c>
      <c r="D5" s="5" t="inlineStr">
        <is>
          <t>Referencial: SENAMHI 2013-2017, Cuadro N° 05 del estudio hidrologico de Barranquita</t>
        </is>
      </c>
    </row>
    <row r="6">
      <c r="A6" s="5" t="inlineStr">
        <is>
          <t>Precipitacion media anual - llanura de Barranquita (mm)</t>
        </is>
      </c>
      <c r="B6" s="12" t="n">
        <v>2375.57</v>
      </c>
      <c r="D6" s="5" t="inlineStr">
        <is>
          <t>Referencial: promedio de Navarro (2,349.79), Pelejo (2,332.92) y Shanusi (2,444.00), SENAMHI 2013-2017</t>
        </is>
      </c>
    </row>
    <row r="7">
      <c r="A7" s="5" t="inlineStr">
        <is>
          <t>Factor aplicado a la serie de maximas</t>
        </is>
      </c>
      <c r="B7" s="13" t="n">
        <v>1</v>
      </c>
      <c r="D7" s="5" t="inlineStr">
        <is>
          <t>Serie medida de Pongo de Caynarachi (misma subcuenca del rio Caynarachi): sin transposicion</t>
        </is>
      </c>
    </row>
    <row r="8">
      <c r="A8" s="5" t="inlineStr">
        <is>
          <t>Periodo de retorno de diseno T (anos)</t>
        </is>
      </c>
      <c r="B8" s="14" t="n">
        <v>25</v>
      </c>
      <c r="D8" s="5" t="inlineStr">
        <is>
          <t>Mismo criterio de los proyectos de Morales (T = 25 anos)</t>
        </is>
      </c>
    </row>
    <row r="9">
      <c r="A9" s="5" t="inlineStr">
        <is>
          <t>Tiempo de concentracion de cunetas tc (min)</t>
        </is>
      </c>
      <c r="B9" s="12" t="n">
        <v>10</v>
      </c>
      <c r="D9" s="5" t="inlineStr">
        <is>
          <t>Duracion minima (Norma CE.040)</t>
        </is>
      </c>
    </row>
    <row r="10">
      <c r="A10" s="5" t="inlineStr">
        <is>
          <t>Coeficiente de Manning para capacidad (concreto con rejilla)</t>
        </is>
      </c>
      <c r="B10" s="15" t="n">
        <v>0.015</v>
      </c>
      <c r="D10" s="5" t="inlineStr">
        <is>
          <t>CE.040; mismo valor de los proyectos de Morales</t>
        </is>
      </c>
    </row>
    <row r="11">
      <c r="A11" s="5" t="inlineStr">
        <is>
          <t>Coeficiente de Manning para velocidad (concreto liso)</t>
        </is>
      </c>
      <c r="B11" s="15" t="n">
        <v>0.013</v>
      </c>
      <c r="D11" s="5" t="inlineStr">
        <is>
          <t>CE.040</t>
        </is>
      </c>
    </row>
    <row r="12">
      <c r="A12" s="5" t="inlineStr">
        <is>
          <t>Luz libre de la cuneta b (m)</t>
        </is>
      </c>
      <c r="B12" s="16" t="n">
        <v>0.4</v>
      </c>
      <c r="D12" s="5" t="inlineStr">
        <is>
          <t>Planos DC-02: 0.40 m libres + muros 0.10 m = 0.60 m</t>
        </is>
      </c>
    </row>
    <row r="13">
      <c r="A13" s="5" t="inlineStr">
        <is>
          <t>Borde libre minimo (m)</t>
        </is>
      </c>
      <c r="B13" s="16" t="n">
        <v>0.05</v>
      </c>
      <c r="D13" s="5" t="inlineStr">
        <is>
          <t>Criterio de diseno</t>
        </is>
      </c>
    </row>
    <row r="14">
      <c r="A14" s="5" t="inlineStr">
        <is>
          <t>Velocidad maxima en concreto (m/s)</t>
        </is>
      </c>
      <c r="B14" s="16" t="n">
        <v>3</v>
      </c>
      <c r="D14" s="5" t="inlineStr">
        <is>
          <t>CE.040</t>
        </is>
      </c>
    </row>
    <row r="15">
      <c r="A15" s="5" t="inlineStr">
        <is>
          <t>Precipitacion maxima en 24 h de diseno, T = 25 anos (mm)</t>
        </is>
      </c>
      <c r="B15" s="16">
        <f>FRECUENCIAS!I21</f>
        <v/>
      </c>
      <c r="D15" s="5" t="inlineStr">
        <is>
          <t>Hoja FRECUENCIAS (Log-Pearson III)</t>
        </is>
      </c>
    </row>
    <row r="16">
      <c r="A16" s="5" t="inlineStr">
        <is>
          <t>Precipitacion en tc - Dick y Peschke P = P24 (tc/1440)^0.25 (mm)</t>
        </is>
      </c>
      <c r="B16" s="16">
        <f>B15*(B9/1440)^0.25</f>
        <v/>
      </c>
      <c r="D16" s="5" t="inlineStr">
        <is>
          <t>Dick y Peschke</t>
        </is>
      </c>
    </row>
    <row r="17">
      <c r="A17" s="5" t="inlineStr">
        <is>
          <t>Intensidad de diseno I = P x 60 / tc (mm/h)</t>
        </is>
      </c>
      <c r="B17" s="16">
        <f>B16*60/B9</f>
        <v/>
      </c>
      <c r="D17" s="5" t="inlineStr">
        <is>
          <t>Para el metodo racional</t>
        </is>
      </c>
    </row>
    <row r="18">
      <c r="A18" s="5" t="inlineStr">
        <is>
          <t>Coeficiente de escorrentia - techos y coberturas</t>
        </is>
      </c>
      <c r="B18" s="16" t="n">
        <v>0.88</v>
      </c>
      <c r="D18" s="5" t="inlineStr">
        <is>
          <t>CE.040 Anexo I, Tabla 1.a: concreto / techo, T = 25 anos</t>
        </is>
      </c>
    </row>
    <row r="19">
      <c r="A19" s="5" t="inlineStr">
        <is>
          <t>Coeficiente de escorrentia - areas libres de concreto (veredas y patios)</t>
        </is>
      </c>
      <c r="B19" s="16" t="n">
        <v>0.88</v>
      </c>
      <c r="D19" s="5" t="inlineStr">
        <is>
          <t>CE.040 Anexo I, Tabla 1.a: concreto, T = 25 anos</t>
        </is>
      </c>
    </row>
    <row r="20">
      <c r="A20" s="5" t="inlineStr">
        <is>
          <t>Coeficiente de escorrentia - patio de maniobra y estacionamiento</t>
        </is>
      </c>
      <c r="B20" s="16" t="n">
        <v>0.88</v>
      </c>
      <c r="D20" s="5" t="inlineStr">
        <is>
          <t>CE.040 Anexo I, Tabla 1.a: concreto, T = 25 anos</t>
        </is>
      </c>
    </row>
    <row r="21">
      <c r="A21" s="5" t="inlineStr">
        <is>
          <t>Coeficiente de escorrentia - areas verdes y terreno</t>
        </is>
      </c>
      <c r="B21" s="16" t="n">
        <v>0.4</v>
      </c>
      <c r="D21" s="5" t="inlineStr">
        <is>
          <t>CE.040 Anexo I, Tabla 1.a: zona verde, valor mayor de la tabla (rellenos compactados), T = 25 anos</t>
        </is>
      </c>
    </row>
    <row r="22">
      <c r="A22" s="5" t="inlineStr">
        <is>
          <t>Factor de seguridad de los caudales FS</t>
        </is>
      </c>
      <c r="B22" s="16" t="n">
        <v>1.15</v>
      </c>
      <c r="D22" s="5" t="inlineStr">
        <is>
          <t>Mismo criterio de los proyectos de Morales (Q = C I A FS)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2" customWidth="1" min="14" max="14"/>
    <col width="13" customWidth="1" min="15" max="15"/>
    <col width="9" customWidth="1" min="16" max="16"/>
  </cols>
  <sheetData>
    <row r="1">
      <c r="A1" s="1" t="inlineStr">
        <is>
          <t>PRECIPITACION MAXIMA EN 24 HORAS - ESTACION PONGO DE CAYNARACHI (SENAMHI, CODIGO 003317)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>
      <c r="A8" s="17" t="inlineStr">
        <is>
          <t>Estacion: Pongo de Caynarachi (codigo 003317) - Meteorologica convencional - Altitud 230 m s. n. m. - Caynarachi, Lamas, San Martin - periodo 1989–2013 (25 anos completos mas recientes del registro diario)</t>
        </is>
      </c>
    </row>
    <row r="10" ht="30" customHeight="1">
      <c r="A10" s="3" t="inlineStr">
        <is>
          <t>AÑO</t>
        </is>
      </c>
      <c r="B10" s="3" t="inlineStr">
        <is>
          <t>ENE</t>
        </is>
      </c>
      <c r="C10" s="3" t="inlineStr">
        <is>
          <t>FEB</t>
        </is>
      </c>
      <c r="D10" s="3" t="inlineStr">
        <is>
          <t>MAR</t>
        </is>
      </c>
      <c r="E10" s="3" t="inlineStr">
        <is>
          <t>ABR</t>
        </is>
      </c>
      <c r="F10" s="3" t="inlineStr">
        <is>
          <t>MAY</t>
        </is>
      </c>
      <c r="G10" s="3" t="inlineStr">
        <is>
          <t>JUN</t>
        </is>
      </c>
      <c r="H10" s="3" t="inlineStr">
        <is>
          <t>JUL</t>
        </is>
      </c>
      <c r="I10" s="3" t="inlineStr">
        <is>
          <t>AGO</t>
        </is>
      </c>
      <c r="J10" s="3" t="inlineStr">
        <is>
          <t>SET</t>
        </is>
      </c>
      <c r="K10" s="3" t="inlineStr">
        <is>
          <t>OCT</t>
        </is>
      </c>
      <c r="L10" s="3" t="inlineStr">
        <is>
          <t>NOV</t>
        </is>
      </c>
      <c r="M10" s="3" t="inlineStr">
        <is>
          <t>DIC</t>
        </is>
      </c>
      <c r="N10" s="3" t="inlineStr">
        <is>
          <t>P MAX ANUAL (mm)</t>
        </is>
      </c>
      <c r="O10" s="3" t="inlineStr">
        <is>
          <t>P MAX DE DISENO (mm)</t>
        </is>
      </c>
      <c r="P10" s="3" t="inlineStr">
        <is>
          <t>LOG10 P</t>
        </is>
      </c>
    </row>
    <row r="11">
      <c r="A11" s="5" t="n">
        <v>1989</v>
      </c>
      <c r="B11" s="18" t="n">
        <v>74.40000000000001</v>
      </c>
      <c r="C11" s="18" t="n">
        <v>82.7</v>
      </c>
      <c r="D11" s="18" t="n">
        <v>80.09999999999999</v>
      </c>
      <c r="E11" s="18" t="n">
        <v>61.9</v>
      </c>
      <c r="F11" s="18" t="n">
        <v>78.40000000000001</v>
      </c>
      <c r="G11" s="18" t="n">
        <v>77.5</v>
      </c>
      <c r="H11" s="18" t="n">
        <v>76.09999999999999</v>
      </c>
      <c r="I11" s="18" t="n">
        <v>58.1</v>
      </c>
      <c r="J11" s="18" t="n">
        <v>64.40000000000001</v>
      </c>
      <c r="K11" s="18" t="n">
        <v>141.9</v>
      </c>
      <c r="L11" s="18" t="n">
        <v>69.40000000000001</v>
      </c>
      <c r="M11" s="18" t="n">
        <v>46.9</v>
      </c>
      <c r="N11" s="19">
        <f>MAX(B11:M11)</f>
        <v/>
      </c>
      <c r="O11" s="20">
        <f>N11*DATOS!$B$7</f>
        <v/>
      </c>
      <c r="P11" s="21">
        <f>LOG10(O11)</f>
        <v/>
      </c>
    </row>
    <row r="12">
      <c r="A12" s="5" t="n">
        <v>1990</v>
      </c>
      <c r="B12" s="18" t="n">
        <v>81.5</v>
      </c>
      <c r="C12" s="18" t="n">
        <v>97.90000000000001</v>
      </c>
      <c r="D12" s="18" t="n">
        <v>62.6</v>
      </c>
      <c r="E12" s="18" t="n">
        <v>78.8</v>
      </c>
      <c r="F12" s="18" t="n">
        <v>61.2</v>
      </c>
      <c r="G12" s="18" t="n">
        <v>56.2</v>
      </c>
      <c r="H12" s="18" t="n">
        <v>41.6</v>
      </c>
      <c r="I12" s="18" t="n">
        <v>49.5</v>
      </c>
      <c r="J12" s="18" t="n">
        <v>65.40000000000001</v>
      </c>
      <c r="K12" s="18" t="n">
        <v>57.4</v>
      </c>
      <c r="L12" s="18" t="n">
        <v>115.1</v>
      </c>
      <c r="M12" s="18" t="n">
        <v>74</v>
      </c>
      <c r="N12" s="19">
        <f>MAX(B12:M12)</f>
        <v/>
      </c>
      <c r="O12" s="20">
        <f>N12*DATOS!$B$7</f>
        <v/>
      </c>
      <c r="P12" s="21">
        <f>LOG10(O12)</f>
        <v/>
      </c>
    </row>
    <row r="13">
      <c r="A13" s="5" t="n">
        <v>1991</v>
      </c>
      <c r="B13" s="18" t="n">
        <v>46.5</v>
      </c>
      <c r="C13" s="18" t="n">
        <v>53.7</v>
      </c>
      <c r="D13" s="18" t="n">
        <v>106.7</v>
      </c>
      <c r="E13" s="18" t="n">
        <v>56.6</v>
      </c>
      <c r="F13" s="18" t="n">
        <v>60.3</v>
      </c>
      <c r="G13" s="18" t="n">
        <v>83.40000000000001</v>
      </c>
      <c r="H13" s="18" t="n">
        <v>33.4</v>
      </c>
      <c r="I13" s="18" t="n">
        <v>32.5</v>
      </c>
      <c r="J13" s="18" t="n">
        <v>95.3</v>
      </c>
      <c r="K13" s="18" t="n">
        <v>55.3</v>
      </c>
      <c r="L13" s="18" t="n">
        <v>114.8</v>
      </c>
      <c r="M13" s="18" t="n">
        <v>88.40000000000001</v>
      </c>
      <c r="N13" s="19">
        <f>MAX(B13:M13)</f>
        <v/>
      </c>
      <c r="O13" s="20">
        <f>N13*DATOS!$B$7</f>
        <v/>
      </c>
      <c r="P13" s="21">
        <f>LOG10(O13)</f>
        <v/>
      </c>
    </row>
    <row r="14">
      <c r="A14" s="5" t="n">
        <v>1992</v>
      </c>
      <c r="B14" s="18" t="n">
        <v>63.3</v>
      </c>
      <c r="C14" s="18" t="n">
        <v>37.3</v>
      </c>
      <c r="D14" s="18" t="n">
        <v>103.8</v>
      </c>
      <c r="E14" s="18" t="n">
        <v>123</v>
      </c>
      <c r="F14" s="18" t="n">
        <v>98.7</v>
      </c>
      <c r="G14" s="18" t="n">
        <v>30.5</v>
      </c>
      <c r="H14" s="18" t="n">
        <v>45.3</v>
      </c>
      <c r="I14" s="18" t="n">
        <v>70.7</v>
      </c>
      <c r="J14" s="18" t="n">
        <v>60.2</v>
      </c>
      <c r="K14" s="18" t="n">
        <v>77.5</v>
      </c>
      <c r="L14" s="18" t="n">
        <v>50</v>
      </c>
      <c r="M14" s="18" t="n">
        <v>120.4</v>
      </c>
      <c r="N14" s="19">
        <f>MAX(B14:M14)</f>
        <v/>
      </c>
      <c r="O14" s="20">
        <f>N14*DATOS!$B$7</f>
        <v/>
      </c>
      <c r="P14" s="21">
        <f>LOG10(O14)</f>
        <v/>
      </c>
    </row>
    <row r="15">
      <c r="A15" s="5" t="n">
        <v>1993</v>
      </c>
      <c r="B15" s="18" t="n">
        <v>64.2</v>
      </c>
      <c r="C15" s="18" t="n">
        <v>89.09999999999999</v>
      </c>
      <c r="D15" s="18" t="n">
        <v>73.7</v>
      </c>
      <c r="E15" s="18" t="n">
        <v>62.5</v>
      </c>
      <c r="F15" s="18" t="n">
        <v>72.7</v>
      </c>
      <c r="G15" s="18" t="n">
        <v>76.09999999999999</v>
      </c>
      <c r="H15" s="18" t="n">
        <v>37.3</v>
      </c>
      <c r="I15" s="18" t="n">
        <v>32.1</v>
      </c>
      <c r="J15" s="18" t="n">
        <v>75.2</v>
      </c>
      <c r="K15" s="18" t="n">
        <v>64.90000000000001</v>
      </c>
      <c r="L15" s="18" t="n">
        <v>46.6</v>
      </c>
      <c r="M15" s="18" t="n">
        <v>74</v>
      </c>
      <c r="N15" s="19">
        <f>MAX(B15:M15)</f>
        <v/>
      </c>
      <c r="O15" s="20">
        <f>N15*DATOS!$B$7</f>
        <v/>
      </c>
      <c r="P15" s="21">
        <f>LOG10(O15)</f>
        <v/>
      </c>
    </row>
    <row r="16">
      <c r="A16" s="5" t="n">
        <v>1994</v>
      </c>
      <c r="B16" s="18" t="n">
        <v>63.2</v>
      </c>
      <c r="C16" s="18" t="n">
        <v>64</v>
      </c>
      <c r="D16" s="18" t="n">
        <v>143.2</v>
      </c>
      <c r="E16" s="18" t="n">
        <v>84.5</v>
      </c>
      <c r="F16" s="18" t="n">
        <v>82.09999999999999</v>
      </c>
      <c r="G16" s="18" t="n">
        <v>53.4</v>
      </c>
      <c r="H16" s="18" t="n">
        <v>76</v>
      </c>
      <c r="I16" s="18" t="n">
        <v>81.5</v>
      </c>
      <c r="J16" s="18" t="n">
        <v>65.5</v>
      </c>
      <c r="K16" s="18" t="n">
        <v>110.1</v>
      </c>
      <c r="L16" s="18" t="n">
        <v>60</v>
      </c>
      <c r="M16" s="18" t="n">
        <v>179.9</v>
      </c>
      <c r="N16" s="19">
        <f>MAX(B16:M16)</f>
        <v/>
      </c>
      <c r="O16" s="20">
        <f>N16*DATOS!$B$7</f>
        <v/>
      </c>
      <c r="P16" s="21">
        <f>LOG10(O16)</f>
        <v/>
      </c>
    </row>
    <row r="17">
      <c r="A17" s="5" t="n">
        <v>1995</v>
      </c>
      <c r="B17" s="18" t="n">
        <v>37</v>
      </c>
      <c r="C17" s="18" t="n">
        <v>74.3</v>
      </c>
      <c r="D17" s="18" t="n">
        <v>77.59999999999999</v>
      </c>
      <c r="E17" s="18" t="n">
        <v>50.9</v>
      </c>
      <c r="F17" s="18" t="n">
        <v>84.2</v>
      </c>
      <c r="G17" s="18" t="n">
        <v>29.2</v>
      </c>
      <c r="H17" s="18" t="n">
        <v>30</v>
      </c>
      <c r="I17" s="18" t="n">
        <v>81.2</v>
      </c>
      <c r="J17" s="18" t="n">
        <v>44.2</v>
      </c>
      <c r="K17" s="18" t="n">
        <v>57.1</v>
      </c>
      <c r="L17" s="18" t="n">
        <v>46.1</v>
      </c>
      <c r="M17" s="18" t="n">
        <v>73.5</v>
      </c>
      <c r="N17" s="19">
        <f>MAX(B17:M17)</f>
        <v/>
      </c>
      <c r="O17" s="20">
        <f>N17*DATOS!$B$7</f>
        <v/>
      </c>
      <c r="P17" s="21">
        <f>LOG10(O17)</f>
        <v/>
      </c>
    </row>
    <row r="18">
      <c r="A18" s="5" t="n">
        <v>1996</v>
      </c>
      <c r="B18" s="18" t="n">
        <v>96.40000000000001</v>
      </c>
      <c r="C18" s="18" t="n">
        <v>50.7</v>
      </c>
      <c r="D18" s="18" t="n">
        <v>73.2</v>
      </c>
      <c r="E18" s="18" t="n">
        <v>35.1</v>
      </c>
      <c r="F18" s="18" t="n">
        <v>60.2</v>
      </c>
      <c r="G18" s="18" t="n">
        <v>39.5</v>
      </c>
      <c r="H18" s="18" t="n">
        <v>14.8</v>
      </c>
      <c r="I18" s="18" t="n">
        <v>73</v>
      </c>
      <c r="J18" s="18" t="n">
        <v>29.1</v>
      </c>
      <c r="K18" s="18" t="n">
        <v>80.90000000000001</v>
      </c>
      <c r="L18" s="18" t="n">
        <v>55.9</v>
      </c>
      <c r="M18" s="18" t="n">
        <v>76.8</v>
      </c>
      <c r="N18" s="19">
        <f>MAX(B18:M18)</f>
        <v/>
      </c>
      <c r="O18" s="20">
        <f>N18*DATOS!$B$7</f>
        <v/>
      </c>
      <c r="P18" s="21">
        <f>LOG10(O18)</f>
        <v/>
      </c>
    </row>
    <row r="19">
      <c r="A19" s="5" t="n">
        <v>1997</v>
      </c>
      <c r="B19" s="18" t="n">
        <v>87.3</v>
      </c>
      <c r="C19" s="18" t="n">
        <v>70.09999999999999</v>
      </c>
      <c r="D19" s="18" t="n">
        <v>53.1</v>
      </c>
      <c r="E19" s="18" t="n">
        <v>71.2</v>
      </c>
      <c r="F19" s="18" t="n">
        <v>51.5</v>
      </c>
      <c r="G19" s="18" t="n">
        <v>41.9</v>
      </c>
      <c r="H19" s="18" t="n">
        <v>17</v>
      </c>
      <c r="I19" s="18" t="n">
        <v>40</v>
      </c>
      <c r="J19" s="18" t="n">
        <v>65.5</v>
      </c>
      <c r="K19" s="18" t="n">
        <v>97.3</v>
      </c>
      <c r="L19" s="18" t="n">
        <v>86.90000000000001</v>
      </c>
      <c r="M19" s="18" t="n">
        <v>103.9</v>
      </c>
      <c r="N19" s="19">
        <f>MAX(B19:M19)</f>
        <v/>
      </c>
      <c r="O19" s="20">
        <f>N19*DATOS!$B$7</f>
        <v/>
      </c>
      <c r="P19" s="21">
        <f>LOG10(O19)</f>
        <v/>
      </c>
    </row>
    <row r="20">
      <c r="A20" s="5" t="n">
        <v>1998</v>
      </c>
      <c r="B20" s="18" t="n">
        <v>72.5</v>
      </c>
      <c r="C20" s="18" t="n">
        <v>78.2</v>
      </c>
      <c r="D20" s="18" t="n">
        <v>95.40000000000001</v>
      </c>
      <c r="E20" s="18" t="n">
        <v>78.90000000000001</v>
      </c>
      <c r="F20" s="18" t="n">
        <v>67.09999999999999</v>
      </c>
      <c r="G20" s="18" t="n">
        <v>72.2</v>
      </c>
      <c r="H20" s="18" t="n">
        <v>56.6</v>
      </c>
      <c r="I20" s="18" t="n">
        <v>22</v>
      </c>
      <c r="J20" s="18" t="n">
        <v>31.9</v>
      </c>
      <c r="K20" s="18" t="n">
        <v>76.3</v>
      </c>
      <c r="L20" s="18" t="n">
        <v>171.8</v>
      </c>
      <c r="M20" s="18" t="n">
        <v>79.7</v>
      </c>
      <c r="N20" s="19">
        <f>MAX(B20:M20)</f>
        <v/>
      </c>
      <c r="O20" s="20">
        <f>N20*DATOS!$B$7</f>
        <v/>
      </c>
      <c r="P20" s="21">
        <f>LOG10(O20)</f>
        <v/>
      </c>
    </row>
    <row r="21">
      <c r="A21" s="5" t="n">
        <v>1999</v>
      </c>
      <c r="B21" s="18" t="n">
        <v>146</v>
      </c>
      <c r="C21" s="18" t="n">
        <v>122</v>
      </c>
      <c r="D21" s="18" t="n">
        <v>75</v>
      </c>
      <c r="E21" s="18" t="n">
        <v>40.7</v>
      </c>
      <c r="F21" s="18" t="n">
        <v>64</v>
      </c>
      <c r="G21" s="18" t="n">
        <v>70.2</v>
      </c>
      <c r="H21" s="18" t="n">
        <v>35.5</v>
      </c>
      <c r="I21" s="18" t="n">
        <v>27.8</v>
      </c>
      <c r="J21" s="18" t="n">
        <v>61.5</v>
      </c>
      <c r="K21" s="18" t="n">
        <v>40.1</v>
      </c>
      <c r="L21" s="18" t="n">
        <v>62.1</v>
      </c>
      <c r="M21" s="18" t="n">
        <v>56.9</v>
      </c>
      <c r="N21" s="19">
        <f>MAX(B21:M21)</f>
        <v/>
      </c>
      <c r="O21" s="20">
        <f>N21*DATOS!$B$7</f>
        <v/>
      </c>
      <c r="P21" s="21">
        <f>LOG10(O21)</f>
        <v/>
      </c>
    </row>
    <row r="22">
      <c r="A22" s="5" t="n">
        <v>2000</v>
      </c>
      <c r="B22" s="18" t="n">
        <v>56.8</v>
      </c>
      <c r="C22" s="18" t="n">
        <v>101.7</v>
      </c>
      <c r="D22" s="18" t="n">
        <v>59.5</v>
      </c>
      <c r="E22" s="18" t="n">
        <v>97</v>
      </c>
      <c r="F22" s="18" t="n">
        <v>65.40000000000001</v>
      </c>
      <c r="G22" s="18" t="n">
        <v>75.90000000000001</v>
      </c>
      <c r="H22" s="18" t="n">
        <v>43.1</v>
      </c>
      <c r="I22" s="18" t="n">
        <v>31.1</v>
      </c>
      <c r="J22" s="18" t="n">
        <v>108.5</v>
      </c>
      <c r="K22" s="18" t="n">
        <v>71.3</v>
      </c>
      <c r="L22" s="18" t="n">
        <v>87.40000000000001</v>
      </c>
      <c r="M22" s="18" t="n">
        <v>70.40000000000001</v>
      </c>
      <c r="N22" s="19">
        <f>MAX(B22:M22)</f>
        <v/>
      </c>
      <c r="O22" s="20">
        <f>N22*DATOS!$B$7</f>
        <v/>
      </c>
      <c r="P22" s="21">
        <f>LOG10(O22)</f>
        <v/>
      </c>
    </row>
    <row r="23">
      <c r="A23" s="5" t="n">
        <v>2001</v>
      </c>
      <c r="B23" s="18" t="n">
        <v>47.7</v>
      </c>
      <c r="C23" s="18" t="n">
        <v>76.8</v>
      </c>
      <c r="D23" s="18" t="n">
        <v>75.8</v>
      </c>
      <c r="E23" s="18" t="n">
        <v>74.90000000000001</v>
      </c>
      <c r="F23" s="18" t="n">
        <v>77.3</v>
      </c>
      <c r="G23" s="18" t="n">
        <v>52.4</v>
      </c>
      <c r="H23" s="18" t="n">
        <v>40.8</v>
      </c>
      <c r="I23" s="18" t="n">
        <v>26.1</v>
      </c>
      <c r="J23" s="18" t="n">
        <v>35</v>
      </c>
      <c r="K23" s="18" t="n">
        <v>74.7</v>
      </c>
      <c r="L23" s="18" t="n">
        <v>78</v>
      </c>
      <c r="M23" s="18" t="n">
        <v>76.8</v>
      </c>
      <c r="N23" s="19">
        <f>MAX(B23:M23)</f>
        <v/>
      </c>
      <c r="O23" s="20">
        <f>N23*DATOS!$B$7</f>
        <v/>
      </c>
      <c r="P23" s="21">
        <f>LOG10(O23)</f>
        <v/>
      </c>
    </row>
    <row r="24">
      <c r="A24" s="5" t="n">
        <v>2002</v>
      </c>
      <c r="B24" s="18" t="n">
        <v>27.8</v>
      </c>
      <c r="C24" s="18" t="n">
        <v>77.2</v>
      </c>
      <c r="D24" s="18" t="n">
        <v>63.4</v>
      </c>
      <c r="E24" s="18" t="n">
        <v>78</v>
      </c>
      <c r="F24" s="18" t="n">
        <v>46.7</v>
      </c>
      <c r="G24" s="18" t="n">
        <v>35.5</v>
      </c>
      <c r="H24" s="18" t="n">
        <v>52.3</v>
      </c>
      <c r="I24" s="18" t="n">
        <v>32.2</v>
      </c>
      <c r="J24" s="18" t="n">
        <v>45.4</v>
      </c>
      <c r="K24" s="18" t="n">
        <v>88.7</v>
      </c>
      <c r="L24" s="18" t="n">
        <v>67.09999999999999</v>
      </c>
      <c r="M24" s="18" t="n">
        <v>75.3</v>
      </c>
      <c r="N24" s="19">
        <f>MAX(B24:M24)</f>
        <v/>
      </c>
      <c r="O24" s="20">
        <f>N24*DATOS!$B$7</f>
        <v/>
      </c>
      <c r="P24" s="21">
        <f>LOG10(O24)</f>
        <v/>
      </c>
    </row>
    <row r="25">
      <c r="A25" s="5" t="n">
        <v>2003</v>
      </c>
      <c r="B25" s="18" t="n">
        <v>59</v>
      </c>
      <c r="C25" s="18" t="n">
        <v>45.1</v>
      </c>
      <c r="D25" s="18" t="n">
        <v>61.2</v>
      </c>
      <c r="E25" s="18" t="n">
        <v>75.5</v>
      </c>
      <c r="F25" s="18" t="n">
        <v>138.5</v>
      </c>
      <c r="G25" s="18" t="n">
        <v>75.2</v>
      </c>
      <c r="H25" s="18" t="n">
        <v>57.1</v>
      </c>
      <c r="I25" s="18" t="n">
        <v>21</v>
      </c>
      <c r="J25" s="18" t="n">
        <v>69.7</v>
      </c>
      <c r="K25" s="18" t="n">
        <v>81.5</v>
      </c>
      <c r="L25" s="18" t="n">
        <v>100.8</v>
      </c>
      <c r="M25" s="18" t="n">
        <v>82.8</v>
      </c>
      <c r="N25" s="19">
        <f>MAX(B25:M25)</f>
        <v/>
      </c>
      <c r="O25" s="20">
        <f>N25*DATOS!$B$7</f>
        <v/>
      </c>
      <c r="P25" s="21">
        <f>LOG10(O25)</f>
        <v/>
      </c>
    </row>
    <row r="26">
      <c r="A26" s="5" t="n">
        <v>2004</v>
      </c>
      <c r="B26" s="18" t="n">
        <v>47.4</v>
      </c>
      <c r="C26" s="18" t="n">
        <v>81.59999999999999</v>
      </c>
      <c r="D26" s="18" t="n">
        <v>76.3</v>
      </c>
      <c r="E26" s="18" t="n">
        <v>75.3</v>
      </c>
      <c r="F26" s="18" t="n">
        <v>87</v>
      </c>
      <c r="G26" s="18" t="n">
        <v>32.5</v>
      </c>
      <c r="H26" s="18" t="n">
        <v>44.4</v>
      </c>
      <c r="I26" s="18" t="n">
        <v>55.5</v>
      </c>
      <c r="J26" s="18" t="n">
        <v>44.3</v>
      </c>
      <c r="K26" s="18" t="n">
        <v>75.5</v>
      </c>
      <c r="L26" s="18" t="n">
        <v>90.2</v>
      </c>
      <c r="M26" s="18" t="n">
        <v>66.09999999999999</v>
      </c>
      <c r="N26" s="19">
        <f>MAX(B26:M26)</f>
        <v/>
      </c>
      <c r="O26" s="20">
        <f>N26*DATOS!$B$7</f>
        <v/>
      </c>
      <c r="P26" s="21">
        <f>LOG10(O26)</f>
        <v/>
      </c>
    </row>
    <row r="27">
      <c r="A27" s="5" t="n">
        <v>2005</v>
      </c>
      <c r="B27" s="18" t="inlineStr">
        <is>
          <t>S/D</t>
        </is>
      </c>
      <c r="C27" s="18" t="n">
        <v>80.8</v>
      </c>
      <c r="D27" s="18" t="n">
        <v>76.7</v>
      </c>
      <c r="E27" s="18" t="n">
        <v>97.3</v>
      </c>
      <c r="F27" s="18" t="n">
        <v>45</v>
      </c>
      <c r="G27" s="18" t="n">
        <v>65.59999999999999</v>
      </c>
      <c r="H27" s="18" t="n">
        <v>17</v>
      </c>
      <c r="I27" s="18" t="n">
        <v>75.59999999999999</v>
      </c>
      <c r="J27" s="18" t="n">
        <v>23</v>
      </c>
      <c r="K27" s="18" t="n">
        <v>70.5</v>
      </c>
      <c r="L27" s="18" t="n">
        <v>77.3</v>
      </c>
      <c r="M27" s="18" t="n">
        <v>66.2</v>
      </c>
      <c r="N27" s="19">
        <f>MAX(B27:M27)</f>
        <v/>
      </c>
      <c r="O27" s="20">
        <f>N27*DATOS!$B$7</f>
        <v/>
      </c>
      <c r="P27" s="21">
        <f>LOG10(O27)</f>
        <v/>
      </c>
    </row>
    <row r="28">
      <c r="A28" s="5" t="n">
        <v>2006</v>
      </c>
      <c r="B28" s="18" t="n">
        <v>80.7</v>
      </c>
      <c r="C28" s="18" t="n">
        <v>39.5</v>
      </c>
      <c r="D28" s="18" t="n">
        <v>81.5</v>
      </c>
      <c r="E28" s="18" t="n">
        <v>66.90000000000001</v>
      </c>
      <c r="F28" s="18" t="n">
        <v>48.7</v>
      </c>
      <c r="G28" s="18" t="n">
        <v>68</v>
      </c>
      <c r="H28" s="18" t="n">
        <v>35.8</v>
      </c>
      <c r="I28" s="18" t="n">
        <v>51</v>
      </c>
      <c r="J28" s="18" t="n">
        <v>52.7</v>
      </c>
      <c r="K28" s="18" t="n">
        <v>71.59999999999999</v>
      </c>
      <c r="L28" s="18" t="n">
        <v>72.2</v>
      </c>
      <c r="M28" s="18" t="n">
        <v>102.5</v>
      </c>
      <c r="N28" s="19">
        <f>MAX(B28:M28)</f>
        <v/>
      </c>
      <c r="O28" s="20">
        <f>N28*DATOS!$B$7</f>
        <v/>
      </c>
      <c r="P28" s="21">
        <f>LOG10(O28)</f>
        <v/>
      </c>
    </row>
    <row r="29">
      <c r="A29" s="5" t="n">
        <v>2007</v>
      </c>
      <c r="B29" s="18" t="n">
        <v>56.2</v>
      </c>
      <c r="C29" s="18" t="n">
        <v>33.3</v>
      </c>
      <c r="D29" s="18" t="n">
        <v>74.59999999999999</v>
      </c>
      <c r="E29" s="18" t="n">
        <v>76.5</v>
      </c>
      <c r="F29" s="18" t="n">
        <v>39.2</v>
      </c>
      <c r="G29" s="18" t="n">
        <v>46.8</v>
      </c>
      <c r="H29" s="18" t="n">
        <v>58.7</v>
      </c>
      <c r="I29" s="18" t="n">
        <v>33</v>
      </c>
      <c r="J29" s="18" t="n">
        <v>47.5</v>
      </c>
      <c r="K29" s="18" t="n">
        <v>76</v>
      </c>
      <c r="L29" s="18" t="n">
        <v>77.3</v>
      </c>
      <c r="M29" s="18" t="n">
        <v>76.5</v>
      </c>
      <c r="N29" s="19">
        <f>MAX(B29:M29)</f>
        <v/>
      </c>
      <c r="O29" s="20">
        <f>N29*DATOS!$B$7</f>
        <v/>
      </c>
      <c r="P29" s="21">
        <f>LOG10(O29)</f>
        <v/>
      </c>
    </row>
    <row r="30">
      <c r="A30" s="5" t="n">
        <v>2008</v>
      </c>
      <c r="B30" s="18" t="n">
        <v>57.8</v>
      </c>
      <c r="C30" s="18" t="n">
        <v>86.90000000000001</v>
      </c>
      <c r="D30" s="18" t="n">
        <v>74</v>
      </c>
      <c r="E30" s="18" t="n">
        <v>70.5</v>
      </c>
      <c r="F30" s="18" t="n">
        <v>67</v>
      </c>
      <c r="G30" s="18" t="n">
        <v>51</v>
      </c>
      <c r="H30" s="18" t="inlineStr">
        <is>
          <t>S/D</t>
        </is>
      </c>
      <c r="I30" s="18" t="n">
        <v>25.9</v>
      </c>
      <c r="J30" s="18" t="n">
        <v>48</v>
      </c>
      <c r="K30" s="18" t="n">
        <v>55.2</v>
      </c>
      <c r="L30" s="18" t="n">
        <v>43</v>
      </c>
      <c r="M30" s="18" t="n">
        <v>100.4</v>
      </c>
      <c r="N30" s="19">
        <f>MAX(B30:M30)</f>
        <v/>
      </c>
      <c r="O30" s="20">
        <f>N30*DATOS!$B$7</f>
        <v/>
      </c>
      <c r="P30" s="21">
        <f>LOG10(O30)</f>
        <v/>
      </c>
    </row>
    <row r="31">
      <c r="A31" s="5" t="n">
        <v>2009</v>
      </c>
      <c r="B31" s="18" t="n">
        <v>87</v>
      </c>
      <c r="C31" s="18" t="n">
        <v>69.7</v>
      </c>
      <c r="D31" s="18" t="n">
        <v>58</v>
      </c>
      <c r="E31" s="18" t="n">
        <v>52.2</v>
      </c>
      <c r="F31" s="18" t="n">
        <v>70</v>
      </c>
      <c r="G31" s="18" t="n">
        <v>75.5</v>
      </c>
      <c r="H31" s="18" t="n">
        <v>77.2</v>
      </c>
      <c r="I31" s="18" t="n">
        <v>25.3</v>
      </c>
      <c r="J31" s="18" t="n">
        <v>70.40000000000001</v>
      </c>
      <c r="K31" s="18" t="n">
        <v>76.2</v>
      </c>
      <c r="L31" s="18" t="n">
        <v>59</v>
      </c>
      <c r="M31" s="18" t="n">
        <v>78.8</v>
      </c>
      <c r="N31" s="19">
        <f>MAX(B31:M31)</f>
        <v/>
      </c>
      <c r="O31" s="20">
        <f>N31*DATOS!$B$7</f>
        <v/>
      </c>
      <c r="P31" s="21">
        <f>LOG10(O31)</f>
        <v/>
      </c>
    </row>
    <row r="32">
      <c r="A32" s="5" t="n">
        <v>2010</v>
      </c>
      <c r="B32" s="18" t="n">
        <v>40</v>
      </c>
      <c r="C32" s="18" t="n">
        <v>79</v>
      </c>
      <c r="D32" s="18" t="n">
        <v>69.2</v>
      </c>
      <c r="E32" s="18" t="n">
        <v>128</v>
      </c>
      <c r="F32" s="18" t="n">
        <v>103</v>
      </c>
      <c r="G32" s="18" t="n">
        <v>56.5</v>
      </c>
      <c r="H32" s="18" t="n">
        <v>56.5</v>
      </c>
      <c r="I32" s="18" t="n">
        <v>15.2</v>
      </c>
      <c r="J32" s="18" t="n">
        <v>36.5</v>
      </c>
      <c r="K32" s="18" t="n">
        <v>75.8</v>
      </c>
      <c r="L32" s="18" t="n">
        <v>80.8</v>
      </c>
      <c r="M32" s="18" t="n">
        <v>73.8</v>
      </c>
      <c r="N32" s="19">
        <f>MAX(B32:M32)</f>
        <v/>
      </c>
      <c r="O32" s="20">
        <f>N32*DATOS!$B$7</f>
        <v/>
      </c>
      <c r="P32" s="21">
        <f>LOG10(O32)</f>
        <v/>
      </c>
    </row>
    <row r="33">
      <c r="A33" s="5" t="n">
        <v>2011</v>
      </c>
      <c r="B33" s="18" t="n">
        <v>73.8</v>
      </c>
      <c r="C33" s="18" t="n">
        <v>76.3</v>
      </c>
      <c r="D33" s="18" t="n">
        <v>80.8</v>
      </c>
      <c r="E33" s="18" t="n">
        <v>60.7</v>
      </c>
      <c r="F33" s="18" t="n">
        <v>77.8</v>
      </c>
      <c r="G33" s="18" t="n">
        <v>67.3</v>
      </c>
      <c r="H33" s="18" t="n">
        <v>58.8</v>
      </c>
      <c r="I33" s="18" t="n">
        <v>57.3</v>
      </c>
      <c r="J33" s="18" t="n">
        <v>57</v>
      </c>
      <c r="K33" s="18" t="n">
        <v>70</v>
      </c>
      <c r="L33" s="18" t="n">
        <v>101</v>
      </c>
      <c r="M33" s="18" t="n">
        <v>77.59999999999999</v>
      </c>
      <c r="N33" s="19">
        <f>MAX(B33:M33)</f>
        <v/>
      </c>
      <c r="O33" s="20">
        <f>N33*DATOS!$B$7</f>
        <v/>
      </c>
      <c r="P33" s="21">
        <f>LOG10(O33)</f>
        <v/>
      </c>
    </row>
    <row r="34">
      <c r="A34" s="5" t="n">
        <v>2012</v>
      </c>
      <c r="B34" s="18" t="n">
        <v>110.2</v>
      </c>
      <c r="C34" s="18" t="n">
        <v>56.5</v>
      </c>
      <c r="D34" s="18" t="n">
        <v>58</v>
      </c>
      <c r="E34" s="18" t="n">
        <v>87.2</v>
      </c>
      <c r="F34" s="18" t="n">
        <v>77.59999999999999</v>
      </c>
      <c r="G34" s="18" t="n">
        <v>25.5</v>
      </c>
      <c r="H34" s="18" t="n">
        <v>51.2</v>
      </c>
      <c r="I34" s="18" t="n">
        <v>12.1</v>
      </c>
      <c r="J34" s="18" t="n">
        <v>48</v>
      </c>
      <c r="K34" s="18" t="n">
        <v>48.2</v>
      </c>
      <c r="L34" s="18" t="n">
        <v>72</v>
      </c>
      <c r="M34" s="18" t="n">
        <v>54.8</v>
      </c>
      <c r="N34" s="19">
        <f>MAX(B34:M34)</f>
        <v/>
      </c>
      <c r="O34" s="20">
        <f>N34*DATOS!$B$7</f>
        <v/>
      </c>
      <c r="P34" s="21">
        <f>LOG10(O34)</f>
        <v/>
      </c>
    </row>
    <row r="35">
      <c r="A35" s="5" t="n">
        <v>2013</v>
      </c>
      <c r="B35" s="18" t="n">
        <v>78.7</v>
      </c>
      <c r="C35" s="18" t="n">
        <v>76.40000000000001</v>
      </c>
      <c r="D35" s="18" t="n">
        <v>64.5</v>
      </c>
      <c r="E35" s="18" t="n">
        <v>62.5</v>
      </c>
      <c r="F35" s="18" t="n">
        <v>53.6</v>
      </c>
      <c r="G35" s="18" t="n">
        <v>74.5</v>
      </c>
      <c r="H35" s="18" t="n">
        <v>81.2</v>
      </c>
      <c r="I35" s="18" t="n">
        <v>64.90000000000001</v>
      </c>
      <c r="J35" s="18" t="n">
        <v>54.8</v>
      </c>
      <c r="K35" s="18" t="n">
        <v>76.8</v>
      </c>
      <c r="L35" s="18" t="n">
        <v>84</v>
      </c>
      <c r="M35" s="18" t="n">
        <v>30.7</v>
      </c>
      <c r="N35" s="19">
        <f>MAX(B35:M35)</f>
        <v/>
      </c>
      <c r="O35" s="20">
        <f>N35*DATOS!$B$7</f>
        <v/>
      </c>
      <c r="P35" s="21">
        <f>LOG10(O35)</f>
        <v/>
      </c>
    </row>
    <row r="37">
      <c r="A37" s="17" t="inlineStr">
        <is>
          <t>Maximas mensuales obtenidas de los registros diarios del SENAMHI. S/D: enero de 2005 y julio de 2008 sin datos (se conservan los maximos de los otros once meses). 2014 (solo enero a abril) no se considera.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2" customWidth="1" min="4" max="4"/>
    <col width="10" customWidth="1" min="5" max="5"/>
    <col width="13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ANALISIS DE FRECUENCIAS DE LA SERIE DE PONGO DE CAYNARACHI 1989-2013 (mm)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5">
      <c r="A5" s="5" t="inlineStr">
        <is>
          <t>Numero de datos n</t>
        </is>
      </c>
      <c r="B5" s="22">
        <f>COUNT(SERIE!$O$11:$O$35)</f>
        <v/>
      </c>
    </row>
    <row r="6">
      <c r="A6" s="5" t="inlineStr">
        <is>
          <t>Media aritmetica</t>
        </is>
      </c>
      <c r="B6" s="19">
        <f>AVERAGE(SERIE!$O$11:$O$35)</f>
        <v/>
      </c>
    </row>
    <row r="7">
      <c r="A7" s="5" t="inlineStr">
        <is>
          <t>Desviacion estandar</t>
        </is>
      </c>
      <c r="B7" s="19">
        <f>STDEV(SERIE!$O$11:$O$35)</f>
        <v/>
      </c>
    </row>
    <row r="8">
      <c r="A8" s="5" t="inlineStr">
        <is>
          <t>Coeficiente de asimetria</t>
        </is>
      </c>
      <c r="B8" s="23">
        <f>SKEW(SERIE!$O$11:$O$35)</f>
        <v/>
      </c>
    </row>
    <row r="9">
      <c r="A9" s="5" t="inlineStr">
        <is>
          <t>Media de log P</t>
        </is>
      </c>
      <c r="B9" s="24">
        <f>AVERAGE(SERIE!$P$11:$P$35)</f>
        <v/>
      </c>
    </row>
    <row r="10">
      <c r="A10" s="5" t="inlineStr">
        <is>
          <t>Desviacion estandar de log P</t>
        </is>
      </c>
      <c r="B10" s="24">
        <f>STDEV(SERIE!$P$11:$P$35)</f>
        <v/>
      </c>
    </row>
    <row r="11">
      <c r="A11" s="5" t="inlineStr">
        <is>
          <t>Coeficiente de asimetria de log P</t>
        </is>
      </c>
      <c r="B11" s="24">
        <f>SKEW(SERIE!$P$11:$P$35)</f>
        <v/>
      </c>
    </row>
    <row r="12">
      <c r="A12" s="5" t="inlineStr">
        <is>
          <t>Gumbel: alfa = raiz(6) s / pi</t>
        </is>
      </c>
      <c r="B12" s="23">
        <f>SQRT(6)*B7/PI()</f>
        <v/>
      </c>
    </row>
    <row r="13">
      <c r="A13" s="5" t="inlineStr">
        <is>
          <t>Gumbel: u = media - 0.5772 alfa</t>
        </is>
      </c>
      <c r="B13" s="23">
        <f>B6-0.5772*B12</f>
        <v/>
      </c>
    </row>
    <row r="16" ht="30" customHeight="1">
      <c r="A16" s="3" t="inlineStr">
        <is>
          <t>T (anos)</t>
        </is>
      </c>
      <c r="B16" s="3" t="inlineStr">
        <is>
          <t>z</t>
        </is>
      </c>
      <c r="C16" s="3" t="inlineStr">
        <is>
          <t>NORMAL</t>
        </is>
      </c>
      <c r="D16" s="3" t="inlineStr">
        <is>
          <t>LOG-NORMAL</t>
        </is>
      </c>
      <c r="E16" s="3" t="inlineStr">
        <is>
          <t>KT LP III</t>
        </is>
      </c>
      <c r="F16" s="3" t="inlineStr">
        <is>
          <t>LOG-PEARSON III</t>
        </is>
      </c>
      <c r="G16" s="3" t="inlineStr">
        <is>
          <t>KT GUMBEL</t>
        </is>
      </c>
      <c r="H16" s="3" t="inlineStr">
        <is>
          <t>GUMBEL</t>
        </is>
      </c>
      <c r="I16" s="3" t="inlineStr">
        <is>
          <t>DISEÑO (Log-Pearson III)</t>
        </is>
      </c>
    </row>
    <row r="17">
      <c r="A17" s="22" t="n">
        <v>2</v>
      </c>
      <c r="B17" s="25">
        <f>SQRT(LN(A17^2))-(2.515517+0.802853*SQRT(LN(A17^2))+0.010328*SQRT(LN(A17^2))^2)/(1+1.432788*SQRT(LN(A17^2))+0.189269*SQRT(LN(A17^2))^2+0.001308*SQRT(LN(A17^2))^3)</f>
        <v/>
      </c>
      <c r="C17" s="26">
        <f>$B$6+B17*$B$7</f>
        <v/>
      </c>
      <c r="D17" s="26">
        <f>10^($B$9+B17*$B$10)</f>
        <v/>
      </c>
      <c r="E17" s="25">
        <f>B17+(B17^2-1)*($B$11/6)+1/3*(B17^3-6*B17)*($B$11/6)^2-(B17^2-1)*($B$11/6)^3+B17*($B$11/6)^4+1/3*($B$11/6)^5</f>
        <v/>
      </c>
      <c r="F17" s="26">
        <f>10^($B$9+E17*$B$10)</f>
        <v/>
      </c>
      <c r="G17" s="25">
        <f>-SQRT(6)/PI()*(0.5772+LN(LN(A17/(A17-1))))</f>
        <v/>
      </c>
      <c r="H17" s="26">
        <f>$B$6+G17*$B$7</f>
        <v/>
      </c>
      <c r="I17" s="20">
        <f>F17</f>
        <v/>
      </c>
    </row>
    <row r="18">
      <c r="A18" s="22" t="n">
        <v>5</v>
      </c>
      <c r="B18" s="25">
        <f>SQRT(LN(A18^2))-(2.515517+0.802853*SQRT(LN(A18^2))+0.010328*SQRT(LN(A18^2))^2)/(1+1.432788*SQRT(LN(A18^2))+0.189269*SQRT(LN(A18^2))^2+0.001308*SQRT(LN(A18^2))^3)</f>
        <v/>
      </c>
      <c r="C18" s="26">
        <f>$B$6+B18*$B$7</f>
        <v/>
      </c>
      <c r="D18" s="26">
        <f>10^($B$9+B18*$B$10)</f>
        <v/>
      </c>
      <c r="E18" s="25">
        <f>B18+(B18^2-1)*($B$11/6)+1/3*(B18^3-6*B18)*($B$11/6)^2-(B18^2-1)*($B$11/6)^3+B18*($B$11/6)^4+1/3*($B$11/6)^5</f>
        <v/>
      </c>
      <c r="F18" s="26">
        <f>10^($B$9+E18*$B$10)</f>
        <v/>
      </c>
      <c r="G18" s="25">
        <f>-SQRT(6)/PI()*(0.5772+LN(LN(A18/(A18-1))))</f>
        <v/>
      </c>
      <c r="H18" s="26">
        <f>$B$6+G18*$B$7</f>
        <v/>
      </c>
      <c r="I18" s="20">
        <f>F18</f>
        <v/>
      </c>
    </row>
    <row r="19">
      <c r="A19" s="22" t="n">
        <v>10</v>
      </c>
      <c r="B19" s="25">
        <f>SQRT(LN(A19^2))-(2.515517+0.802853*SQRT(LN(A19^2))+0.010328*SQRT(LN(A19^2))^2)/(1+1.432788*SQRT(LN(A19^2))+0.189269*SQRT(LN(A19^2))^2+0.001308*SQRT(LN(A19^2))^3)</f>
        <v/>
      </c>
      <c r="C19" s="26">
        <f>$B$6+B19*$B$7</f>
        <v/>
      </c>
      <c r="D19" s="26">
        <f>10^($B$9+B19*$B$10)</f>
        <v/>
      </c>
      <c r="E19" s="25">
        <f>B19+(B19^2-1)*($B$11/6)+1/3*(B19^3-6*B19)*($B$11/6)^2-(B19^2-1)*($B$11/6)^3+B19*($B$11/6)^4+1/3*($B$11/6)^5</f>
        <v/>
      </c>
      <c r="F19" s="26">
        <f>10^($B$9+E19*$B$10)</f>
        <v/>
      </c>
      <c r="G19" s="25">
        <f>-SQRT(6)/PI()*(0.5772+LN(LN(A19/(A19-1))))</f>
        <v/>
      </c>
      <c r="H19" s="26">
        <f>$B$6+G19*$B$7</f>
        <v/>
      </c>
      <c r="I19" s="20">
        <f>F19</f>
        <v/>
      </c>
    </row>
    <row r="20">
      <c r="A20" s="22" t="n">
        <v>20</v>
      </c>
      <c r="B20" s="25">
        <f>SQRT(LN(A20^2))-(2.515517+0.802853*SQRT(LN(A20^2))+0.010328*SQRT(LN(A20^2))^2)/(1+1.432788*SQRT(LN(A20^2))+0.189269*SQRT(LN(A20^2))^2+0.001308*SQRT(LN(A20^2))^3)</f>
        <v/>
      </c>
      <c r="C20" s="26">
        <f>$B$6+B20*$B$7</f>
        <v/>
      </c>
      <c r="D20" s="26">
        <f>10^($B$9+B20*$B$10)</f>
        <v/>
      </c>
      <c r="E20" s="25">
        <f>B20+(B20^2-1)*($B$11/6)+1/3*(B20^3-6*B20)*($B$11/6)^2-(B20^2-1)*($B$11/6)^3+B20*($B$11/6)^4+1/3*($B$11/6)^5</f>
        <v/>
      </c>
      <c r="F20" s="26">
        <f>10^($B$9+E20*$B$10)</f>
        <v/>
      </c>
      <c r="G20" s="25">
        <f>-SQRT(6)/PI()*(0.5772+LN(LN(A20/(A20-1))))</f>
        <v/>
      </c>
      <c r="H20" s="26">
        <f>$B$6+G20*$B$7</f>
        <v/>
      </c>
      <c r="I20" s="20">
        <f>F20</f>
        <v/>
      </c>
    </row>
    <row r="21">
      <c r="A21" s="22" t="n">
        <v>25</v>
      </c>
      <c r="B21" s="25">
        <f>SQRT(LN(A21^2))-(2.515517+0.802853*SQRT(LN(A21^2))+0.010328*SQRT(LN(A21^2))^2)/(1+1.432788*SQRT(LN(A21^2))+0.189269*SQRT(LN(A21^2))^2+0.001308*SQRT(LN(A21^2))^3)</f>
        <v/>
      </c>
      <c r="C21" s="26">
        <f>$B$6+B21*$B$7</f>
        <v/>
      </c>
      <c r="D21" s="26">
        <f>10^($B$9+B21*$B$10)</f>
        <v/>
      </c>
      <c r="E21" s="25">
        <f>B21+(B21^2-1)*($B$11/6)+1/3*(B21^3-6*B21)*($B$11/6)^2-(B21^2-1)*($B$11/6)^3+B21*($B$11/6)^4+1/3*($B$11/6)^5</f>
        <v/>
      </c>
      <c r="F21" s="26">
        <f>10^($B$9+E21*$B$10)</f>
        <v/>
      </c>
      <c r="G21" s="25">
        <f>-SQRT(6)/PI()*(0.5772+LN(LN(A21/(A21-1))))</f>
        <v/>
      </c>
      <c r="H21" s="26">
        <f>$B$6+G21*$B$7</f>
        <v/>
      </c>
      <c r="I21" s="20">
        <f>F21</f>
        <v/>
      </c>
    </row>
    <row r="22">
      <c r="A22" s="22" t="n">
        <v>50</v>
      </c>
      <c r="B22" s="25">
        <f>SQRT(LN(A22^2))-(2.515517+0.802853*SQRT(LN(A22^2))+0.010328*SQRT(LN(A22^2))^2)/(1+1.432788*SQRT(LN(A22^2))+0.189269*SQRT(LN(A22^2))^2+0.001308*SQRT(LN(A22^2))^3)</f>
        <v/>
      </c>
      <c r="C22" s="26">
        <f>$B$6+B22*$B$7</f>
        <v/>
      </c>
      <c r="D22" s="26">
        <f>10^($B$9+B22*$B$10)</f>
        <v/>
      </c>
      <c r="E22" s="25">
        <f>B22+(B22^2-1)*($B$11/6)+1/3*(B22^3-6*B22)*($B$11/6)^2-(B22^2-1)*($B$11/6)^3+B22*($B$11/6)^4+1/3*($B$11/6)^5</f>
        <v/>
      </c>
      <c r="F22" s="26">
        <f>10^($B$9+E22*$B$10)</f>
        <v/>
      </c>
      <c r="G22" s="25">
        <f>-SQRT(6)/PI()*(0.5772+LN(LN(A22/(A22-1))))</f>
        <v/>
      </c>
      <c r="H22" s="26">
        <f>$B$6+G22*$B$7</f>
        <v/>
      </c>
      <c r="I22" s="20">
        <f>F22</f>
        <v/>
      </c>
    </row>
    <row r="23">
      <c r="A23" s="22" t="n">
        <v>100</v>
      </c>
      <c r="B23" s="25">
        <f>SQRT(LN(A23^2))-(2.515517+0.802853*SQRT(LN(A23^2))+0.010328*SQRT(LN(A23^2))^2)/(1+1.432788*SQRT(LN(A23^2))+0.189269*SQRT(LN(A23^2))^2+0.001308*SQRT(LN(A23^2))^3)</f>
        <v/>
      </c>
      <c r="C23" s="26">
        <f>$B$6+B23*$B$7</f>
        <v/>
      </c>
      <c r="D23" s="26">
        <f>10^($B$9+B23*$B$10)</f>
        <v/>
      </c>
      <c r="E23" s="25">
        <f>B23+(B23^2-1)*($B$11/6)+1/3*(B23^3-6*B23)*($B$11/6)^2-(B23^2-1)*($B$11/6)^3+B23*($B$11/6)^4+1/3*($B$11/6)^5</f>
        <v/>
      </c>
      <c r="F23" s="26">
        <f>10^($B$9+E23*$B$10)</f>
        <v/>
      </c>
      <c r="G23" s="25">
        <f>-SQRT(6)/PI()*(0.5772+LN(LN(A23/(A23-1))))</f>
        <v/>
      </c>
      <c r="H23" s="26">
        <f>$B$6+G23*$B$7</f>
        <v/>
      </c>
      <c r="I23" s="20">
        <f>F23</f>
        <v/>
      </c>
    </row>
    <row r="24">
      <c r="A24" s="22" t="n">
        <v>200</v>
      </c>
      <c r="B24" s="25">
        <f>SQRT(LN(A24^2))-(2.515517+0.802853*SQRT(LN(A24^2))+0.010328*SQRT(LN(A24^2))^2)/(1+1.432788*SQRT(LN(A24^2))+0.189269*SQRT(LN(A24^2))^2+0.001308*SQRT(LN(A24^2))^3)</f>
        <v/>
      </c>
      <c r="C24" s="26">
        <f>$B$6+B24*$B$7</f>
        <v/>
      </c>
      <c r="D24" s="26">
        <f>10^($B$9+B24*$B$10)</f>
        <v/>
      </c>
      <c r="E24" s="25">
        <f>B24+(B24^2-1)*($B$11/6)+1/3*(B24^3-6*B24)*($B$11/6)^2-(B24^2-1)*($B$11/6)^3+B24*($B$11/6)^4+1/3*($B$11/6)^5</f>
        <v/>
      </c>
      <c r="F24" s="26">
        <f>10^($B$9+E24*$B$10)</f>
        <v/>
      </c>
      <c r="G24" s="25">
        <f>-SQRT(6)/PI()*(0.5772+LN(LN(A24/(A24-1))))</f>
        <v/>
      </c>
      <c r="H24" s="26">
        <f>$B$6+G24*$B$7</f>
        <v/>
      </c>
      <c r="I24" s="20">
        <f>F24</f>
        <v/>
      </c>
    </row>
    <row r="25">
      <c r="A25" s="22" t="n">
        <v>500</v>
      </c>
      <c r="B25" s="25">
        <f>SQRT(LN(A25^2))-(2.515517+0.802853*SQRT(LN(A25^2))+0.010328*SQRT(LN(A25^2))^2)/(1+1.432788*SQRT(LN(A25^2))+0.189269*SQRT(LN(A25^2))^2+0.001308*SQRT(LN(A25^2))^3)</f>
        <v/>
      </c>
      <c r="C25" s="26">
        <f>$B$6+B25*$B$7</f>
        <v/>
      </c>
      <c r="D25" s="26">
        <f>10^($B$9+B25*$B$10)</f>
        <v/>
      </c>
      <c r="E25" s="25">
        <f>B25+(B25^2-1)*($B$11/6)+1/3*(B25^3-6*B25)*($B$11/6)^2-(B25^2-1)*($B$11/6)^3+B25*($B$11/6)^4+1/3*($B$11/6)^5</f>
        <v/>
      </c>
      <c r="F25" s="26">
        <f>10^($B$9+E25*$B$10)</f>
        <v/>
      </c>
      <c r="G25" s="25">
        <f>-SQRT(6)/PI()*(0.5772+LN(LN(A25/(A25-1))))</f>
        <v/>
      </c>
      <c r="H25" s="26">
        <f>$B$6+G25*$B$7</f>
        <v/>
      </c>
      <c r="I25" s="20">
        <f>F25</f>
        <v/>
      </c>
    </row>
    <row r="27">
      <c r="A27" s="17" t="inlineStr">
        <is>
          <t>Se adopta la distribucion Log-Pearson III: menor estadistico de Kolmogorov-Smirnov (hoja KS).</t>
        </is>
      </c>
    </row>
    <row r="28">
      <c r="A28" s="17" t="inlineStr">
        <is>
          <t>z por la aproximacion de Abramowitz y Stegun; KT de Log Pearson III por la expresion de Kite (k = Cs/6); mismos calculos de la hoja ANALISIS_ESTADISTICO_IE0590_BARRANQUITA.xlsx.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1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32" customWidth="1" min="13" max="13"/>
    <col width="12" customWidth="1" min="14" max="14"/>
  </cols>
  <sheetData>
    <row r="1">
      <c r="A1" s="1" t="inlineStr">
        <is>
          <t>PRUEBA DE BONDAD DE AJUSTE DE KOLMOGOROV-SMIRNOV (alfa = 0.05)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 ht="30" customHeight="1">
      <c r="A8" s="3" t="inlineStr">
        <is>
          <t>m</t>
        </is>
      </c>
      <c r="B8" s="3" t="inlineStr">
        <is>
          <t>P ordenada de mayor a menor (mm)</t>
        </is>
      </c>
      <c r="C8" s="3" t="inlineStr">
        <is>
          <t>P(X&gt;=x) observada m/(n+1)</t>
        </is>
      </c>
      <c r="D8" s="3" t="inlineStr">
        <is>
          <t>P teorica Normal</t>
        </is>
      </c>
      <c r="E8" s="3" t="inlineStr">
        <is>
          <t>P teorica Log-Normal</t>
        </is>
      </c>
      <c r="F8" s="3" t="inlineStr">
        <is>
          <t>P teorica Log-Pearson III</t>
        </is>
      </c>
      <c r="G8" s="3" t="inlineStr">
        <is>
          <t>P teorica Gumbel</t>
        </is>
      </c>
      <c r="H8" s="3" t="inlineStr">
        <is>
          <t>|D| Normal</t>
        </is>
      </c>
      <c r="I8" s="3" t="inlineStr">
        <is>
          <t>|D| Log-Normal</t>
        </is>
      </c>
      <c r="J8" s="3" t="inlineStr">
        <is>
          <t>|D| LP III</t>
        </is>
      </c>
      <c r="K8" s="3" t="inlineStr">
        <is>
          <t>|D| Gumbel</t>
        </is>
      </c>
    </row>
    <row r="9">
      <c r="A9" s="27" t="n">
        <v>1</v>
      </c>
      <c r="B9" s="26">
        <f>LARGE(SERIE!$O$11:$O$35,A9)</f>
        <v/>
      </c>
      <c r="C9" s="21">
        <f>A9/($N$9+1)</f>
        <v/>
      </c>
      <c r="D9" s="21">
        <f>1-NORMSDIST((B9-FRECUENCIAS!$B$6)/FRECUENCIAS!$B$7)</f>
        <v/>
      </c>
      <c r="E9" s="21">
        <f>1-NORMSDIST((LOG10(B9)-FRECUENCIAS!$B$9)/FRECUENCIAS!$B$10)</f>
        <v/>
      </c>
      <c r="F9" s="21">
        <f>CHIDIST(2*(LN(B9)-$N$15)/$N$14,2*$N$13)</f>
        <v/>
      </c>
      <c r="G9" s="21">
        <f>1-EXP(-EXP(-((B9-FRECUENCIAS!$B$6)/FRECUENCIAS!$B$7*$N$17+$N$16)))</f>
        <v/>
      </c>
      <c r="H9" s="21">
        <f>ABS(D9-C9)</f>
        <v/>
      </c>
      <c r="I9" s="21">
        <f>ABS(E9-C9)</f>
        <v/>
      </c>
      <c r="J9" s="21">
        <f>ABS(F9-C9)</f>
        <v/>
      </c>
      <c r="K9" s="21">
        <f>ABS(G9-C9)</f>
        <v/>
      </c>
      <c r="M9" s="4" t="inlineStr">
        <is>
          <t>n</t>
        </is>
      </c>
      <c r="N9" s="28">
        <f>COUNT(SERIE!$O$11:$O$35)</f>
        <v/>
      </c>
    </row>
    <row r="10">
      <c r="A10" s="27" t="n">
        <v>2</v>
      </c>
      <c r="B10" s="26">
        <f>LARGE(SERIE!$O$11:$O$35,A10)</f>
        <v/>
      </c>
      <c r="C10" s="21">
        <f>A10/($N$9+1)</f>
        <v/>
      </c>
      <c r="D10" s="21">
        <f>1-NORMSDIST((B10-FRECUENCIAS!$B$6)/FRECUENCIAS!$B$7)</f>
        <v/>
      </c>
      <c r="E10" s="21">
        <f>1-NORMSDIST((LOG10(B10)-FRECUENCIAS!$B$9)/FRECUENCIAS!$B$10)</f>
        <v/>
      </c>
      <c r="F10" s="21">
        <f>CHIDIST(2*(LN(B10)-$N$15)/$N$14,2*$N$13)</f>
        <v/>
      </c>
      <c r="G10" s="21">
        <f>1-EXP(-EXP(-((B10-FRECUENCIAS!$B$6)/FRECUENCIAS!$B$7*$N$17+$N$16)))</f>
        <v/>
      </c>
      <c r="H10" s="21">
        <f>ABS(D10-C10)</f>
        <v/>
      </c>
      <c r="I10" s="21">
        <f>ABS(E10-C10)</f>
        <v/>
      </c>
      <c r="J10" s="21">
        <f>ABS(F10-C10)</f>
        <v/>
      </c>
      <c r="K10" s="21">
        <f>ABS(G10-C10)</f>
        <v/>
      </c>
      <c r="M10" s="4" t="inlineStr">
        <is>
          <t>media ln P</t>
        </is>
      </c>
      <c r="N10" s="29" t="n">
        <v>4.676233482163762</v>
      </c>
    </row>
    <row r="11">
      <c r="A11" s="27" t="n">
        <v>3</v>
      </c>
      <c r="B11" s="26">
        <f>LARGE(SERIE!$O$11:$O$35,A11)</f>
        <v/>
      </c>
      <c r="C11" s="21">
        <f>A11/($N$9+1)</f>
        <v/>
      </c>
      <c r="D11" s="21">
        <f>1-NORMSDIST((B11-FRECUENCIAS!$B$6)/FRECUENCIAS!$B$7)</f>
        <v/>
      </c>
      <c r="E11" s="21">
        <f>1-NORMSDIST((LOG10(B11)-FRECUENCIAS!$B$9)/FRECUENCIAS!$B$10)</f>
        <v/>
      </c>
      <c r="F11" s="21">
        <f>CHIDIST(2*(LN(B11)-$N$15)/$N$14,2*$N$13)</f>
        <v/>
      </c>
      <c r="G11" s="21">
        <f>1-EXP(-EXP(-((B11-FRECUENCIAS!$B$6)/FRECUENCIAS!$B$7*$N$17+$N$16)))</f>
        <v/>
      </c>
      <c r="H11" s="21">
        <f>ABS(D11-C11)</f>
        <v/>
      </c>
      <c r="I11" s="21">
        <f>ABS(E11-C11)</f>
        <v/>
      </c>
      <c r="J11" s="21">
        <f>ABS(F11-C11)</f>
        <v/>
      </c>
      <c r="K11" s="21">
        <f>ABS(G11-C11)</f>
        <v/>
      </c>
      <c r="M11" s="4" t="inlineStr">
        <is>
          <t>desv. ln P</t>
        </is>
      </c>
      <c r="N11" s="29" t="n">
        <v>0.2320139222017669</v>
      </c>
    </row>
    <row r="12">
      <c r="A12" s="27" t="n">
        <v>4</v>
      </c>
      <c r="B12" s="26">
        <f>LARGE(SERIE!$O$11:$O$35,A12)</f>
        <v/>
      </c>
      <c r="C12" s="21">
        <f>A12/($N$9+1)</f>
        <v/>
      </c>
      <c r="D12" s="21">
        <f>1-NORMSDIST((B12-FRECUENCIAS!$B$6)/FRECUENCIAS!$B$7)</f>
        <v/>
      </c>
      <c r="E12" s="21">
        <f>1-NORMSDIST((LOG10(B12)-FRECUENCIAS!$B$9)/FRECUENCIAS!$B$10)</f>
        <v/>
      </c>
      <c r="F12" s="21">
        <f>CHIDIST(2*(LN(B12)-$N$15)/$N$14,2*$N$13)</f>
        <v/>
      </c>
      <c r="G12" s="21">
        <f>1-EXP(-EXP(-((B12-FRECUENCIAS!$B$6)/FRECUENCIAS!$B$7*$N$17+$N$16)))</f>
        <v/>
      </c>
      <c r="H12" s="21">
        <f>ABS(D12-C12)</f>
        <v/>
      </c>
      <c r="I12" s="21">
        <f>ABS(E12-C12)</f>
        <v/>
      </c>
      <c r="J12" s="21">
        <f>ABS(F12-C12)</f>
        <v/>
      </c>
      <c r="K12" s="21">
        <f>ABS(G12-C12)</f>
        <v/>
      </c>
      <c r="M12" s="4" t="inlineStr">
        <is>
          <t>Cs ln P</t>
        </is>
      </c>
      <c r="N12" s="29" t="n">
        <v>0.6858110029244965</v>
      </c>
    </row>
    <row r="13">
      <c r="A13" s="27" t="n">
        <v>5</v>
      </c>
      <c r="B13" s="26">
        <f>LARGE(SERIE!$O$11:$O$35,A13)</f>
        <v/>
      </c>
      <c r="C13" s="21">
        <f>A13/($N$9+1)</f>
        <v/>
      </c>
      <c r="D13" s="21">
        <f>1-NORMSDIST((B13-FRECUENCIAS!$B$6)/FRECUENCIAS!$B$7)</f>
        <v/>
      </c>
      <c r="E13" s="21">
        <f>1-NORMSDIST((LOG10(B13)-FRECUENCIAS!$B$9)/FRECUENCIAS!$B$10)</f>
        <v/>
      </c>
      <c r="F13" s="21">
        <f>CHIDIST(2*(LN(B13)-$N$15)/$N$14,2*$N$13)</f>
        <v/>
      </c>
      <c r="G13" s="21">
        <f>1-EXP(-EXP(-((B13-FRECUENCIAS!$B$6)/FRECUENCIAS!$B$7*$N$17+$N$16)))</f>
        <v/>
      </c>
      <c r="H13" s="21">
        <f>ABS(D13-C13)</f>
        <v/>
      </c>
      <c r="I13" s="21">
        <f>ABS(E13-C13)</f>
        <v/>
      </c>
      <c r="J13" s="21">
        <f>ABS(F13-C13)</f>
        <v/>
      </c>
      <c r="K13" s="21">
        <f>ABS(G13-C13)</f>
        <v/>
      </c>
      <c r="M13" s="4" t="inlineStr">
        <is>
          <t>beta = (2/Cs)^2</t>
        </is>
      </c>
      <c r="N13" s="29">
        <f>(2/N12)^2</f>
        <v/>
      </c>
    </row>
    <row r="14">
      <c r="A14" s="27" t="n">
        <v>6</v>
      </c>
      <c r="B14" s="26">
        <f>LARGE(SERIE!$O$11:$O$35,A14)</f>
        <v/>
      </c>
      <c r="C14" s="21">
        <f>A14/($N$9+1)</f>
        <v/>
      </c>
      <c r="D14" s="21">
        <f>1-NORMSDIST((B14-FRECUENCIAS!$B$6)/FRECUENCIAS!$B$7)</f>
        <v/>
      </c>
      <c r="E14" s="21">
        <f>1-NORMSDIST((LOG10(B14)-FRECUENCIAS!$B$9)/FRECUENCIAS!$B$10)</f>
        <v/>
      </c>
      <c r="F14" s="21">
        <f>CHIDIST(2*(LN(B14)-$N$15)/$N$14,2*$N$13)</f>
        <v/>
      </c>
      <c r="G14" s="21">
        <f>1-EXP(-EXP(-((B14-FRECUENCIAS!$B$6)/FRECUENCIAS!$B$7*$N$17+$N$16)))</f>
        <v/>
      </c>
      <c r="H14" s="21">
        <f>ABS(D14-C14)</f>
        <v/>
      </c>
      <c r="I14" s="21">
        <f>ABS(E14-C14)</f>
        <v/>
      </c>
      <c r="J14" s="21">
        <f>ABS(F14-C14)</f>
        <v/>
      </c>
      <c r="K14" s="21">
        <f>ABS(G14-C14)</f>
        <v/>
      </c>
      <c r="M14" s="4" t="inlineStr">
        <is>
          <t>alfa = s/raiz(beta)</t>
        </is>
      </c>
      <c r="N14" s="30">
        <f>N11/SQRT(N13)</f>
        <v/>
      </c>
    </row>
    <row r="15">
      <c r="A15" s="27" t="n">
        <v>7</v>
      </c>
      <c r="B15" s="26">
        <f>LARGE(SERIE!$O$11:$O$35,A15)</f>
        <v/>
      </c>
      <c r="C15" s="21">
        <f>A15/($N$9+1)</f>
        <v/>
      </c>
      <c r="D15" s="21">
        <f>1-NORMSDIST((B15-FRECUENCIAS!$B$6)/FRECUENCIAS!$B$7)</f>
        <v/>
      </c>
      <c r="E15" s="21">
        <f>1-NORMSDIST((LOG10(B15)-FRECUENCIAS!$B$9)/FRECUENCIAS!$B$10)</f>
        <v/>
      </c>
      <c r="F15" s="21">
        <f>CHIDIST(2*(LN(B15)-$N$15)/$N$14,2*$N$13)</f>
        <v/>
      </c>
      <c r="G15" s="21">
        <f>1-EXP(-EXP(-((B15-FRECUENCIAS!$B$6)/FRECUENCIAS!$B$7*$N$17+$N$16)))</f>
        <v/>
      </c>
      <c r="H15" s="21">
        <f>ABS(D15-C15)</f>
        <v/>
      </c>
      <c r="I15" s="21">
        <f>ABS(E15-C15)</f>
        <v/>
      </c>
      <c r="J15" s="21">
        <f>ABS(F15-C15)</f>
        <v/>
      </c>
      <c r="K15" s="21">
        <f>ABS(G15-C15)</f>
        <v/>
      </c>
      <c r="M15" s="4" t="inlineStr">
        <is>
          <t>delta = media - alfa beta</t>
        </is>
      </c>
      <c r="N15" s="29">
        <f>N10-N14*N13</f>
        <v/>
      </c>
    </row>
    <row r="16">
      <c r="A16" s="27" t="n">
        <v>8</v>
      </c>
      <c r="B16" s="26">
        <f>LARGE(SERIE!$O$11:$O$35,A16)</f>
        <v/>
      </c>
      <c r="C16" s="21">
        <f>A16/($N$9+1)</f>
        <v/>
      </c>
      <c r="D16" s="21">
        <f>1-NORMSDIST((B16-FRECUENCIAS!$B$6)/FRECUENCIAS!$B$7)</f>
        <v/>
      </c>
      <c r="E16" s="21">
        <f>1-NORMSDIST((LOG10(B16)-FRECUENCIAS!$B$9)/FRECUENCIAS!$B$10)</f>
        <v/>
      </c>
      <c r="F16" s="21">
        <f>CHIDIST(2*(LN(B16)-$N$15)/$N$14,2*$N$13)</f>
        <v/>
      </c>
      <c r="G16" s="21">
        <f>1-EXP(-EXP(-((B16-FRECUENCIAS!$B$6)/FRECUENCIAS!$B$7*$N$17+$N$16)))</f>
        <v/>
      </c>
      <c r="H16" s="21">
        <f>ABS(D16-C16)</f>
        <v/>
      </c>
      <c r="I16" s="21">
        <f>ABS(E16-C16)</f>
        <v/>
      </c>
      <c r="J16" s="21">
        <f>ABS(F16-C16)</f>
        <v/>
      </c>
      <c r="K16" s="21">
        <f>ABS(G16-C16)</f>
        <v/>
      </c>
      <c r="M16" s="4" t="inlineStr">
        <is>
          <t>Gumbel: media yn (Aparicio, n = 25)</t>
        </is>
      </c>
      <c r="N16" s="29" t="n">
        <v>0.5309</v>
      </c>
    </row>
    <row r="17">
      <c r="A17" s="27" t="n">
        <v>9</v>
      </c>
      <c r="B17" s="26">
        <f>LARGE(SERIE!$O$11:$O$35,A17)</f>
        <v/>
      </c>
      <c r="C17" s="21">
        <f>A17/($N$9+1)</f>
        <v/>
      </c>
      <c r="D17" s="21">
        <f>1-NORMSDIST((B17-FRECUENCIAS!$B$6)/FRECUENCIAS!$B$7)</f>
        <v/>
      </c>
      <c r="E17" s="21">
        <f>1-NORMSDIST((LOG10(B17)-FRECUENCIAS!$B$9)/FRECUENCIAS!$B$10)</f>
        <v/>
      </c>
      <c r="F17" s="21">
        <f>CHIDIST(2*(LN(B17)-$N$15)/$N$14,2*$N$13)</f>
        <v/>
      </c>
      <c r="G17" s="21">
        <f>1-EXP(-EXP(-((B17-FRECUENCIAS!$B$6)/FRECUENCIAS!$B$7*$N$17+$N$16)))</f>
        <v/>
      </c>
      <c r="H17" s="21">
        <f>ABS(D17-C17)</f>
        <v/>
      </c>
      <c r="I17" s="21">
        <f>ABS(E17-C17)</f>
        <v/>
      </c>
      <c r="J17" s="21">
        <f>ABS(F17-C17)</f>
        <v/>
      </c>
      <c r="K17" s="21">
        <f>ABS(G17-C17)</f>
        <v/>
      </c>
      <c r="M17" s="4" t="inlineStr">
        <is>
          <t>Gumbel: desviacion sn</t>
        </is>
      </c>
      <c r="N17" s="29" t="n">
        <v>1.0914</v>
      </c>
    </row>
    <row r="18">
      <c r="A18" s="27" t="n">
        <v>10</v>
      </c>
      <c r="B18" s="26">
        <f>LARGE(SERIE!$O$11:$O$35,A18)</f>
        <v/>
      </c>
      <c r="C18" s="21">
        <f>A18/($N$9+1)</f>
        <v/>
      </c>
      <c r="D18" s="21">
        <f>1-NORMSDIST((B18-FRECUENCIAS!$B$6)/FRECUENCIAS!$B$7)</f>
        <v/>
      </c>
      <c r="E18" s="21">
        <f>1-NORMSDIST((LOG10(B18)-FRECUENCIAS!$B$9)/FRECUENCIAS!$B$10)</f>
        <v/>
      </c>
      <c r="F18" s="21">
        <f>CHIDIST(2*(LN(B18)-$N$15)/$N$14,2*$N$13)</f>
        <v/>
      </c>
      <c r="G18" s="21">
        <f>1-EXP(-EXP(-((B18-FRECUENCIAS!$B$6)/FRECUENCIAS!$B$7*$N$17+$N$16)))</f>
        <v/>
      </c>
      <c r="H18" s="21">
        <f>ABS(D18-C18)</f>
        <v/>
      </c>
      <c r="I18" s="21">
        <f>ABS(E18-C18)</f>
        <v/>
      </c>
      <c r="J18" s="21">
        <f>ABS(F18-C18)</f>
        <v/>
      </c>
      <c r="K18" s="21">
        <f>ABS(G18-C18)</f>
        <v/>
      </c>
      <c r="M18" s="4" t="inlineStr">
        <is>
          <t>D critico (alfa 0.05)</t>
        </is>
      </c>
      <c r="N18" s="29">
        <f>SQRT(-LN(0.05/2)/(2*N9))-1/(6*N9)</f>
        <v/>
      </c>
    </row>
    <row r="19">
      <c r="A19" s="27" t="n">
        <v>11</v>
      </c>
      <c r="B19" s="26">
        <f>LARGE(SERIE!$O$11:$O$35,A19)</f>
        <v/>
      </c>
      <c r="C19" s="21">
        <f>A19/($N$9+1)</f>
        <v/>
      </c>
      <c r="D19" s="21">
        <f>1-NORMSDIST((B19-FRECUENCIAS!$B$6)/FRECUENCIAS!$B$7)</f>
        <v/>
      </c>
      <c r="E19" s="21">
        <f>1-NORMSDIST((LOG10(B19)-FRECUENCIAS!$B$9)/FRECUENCIAS!$B$10)</f>
        <v/>
      </c>
      <c r="F19" s="21">
        <f>CHIDIST(2*(LN(B19)-$N$15)/$N$14,2*$N$13)</f>
        <v/>
      </c>
      <c r="G19" s="21">
        <f>1-EXP(-EXP(-((B19-FRECUENCIAS!$B$6)/FRECUENCIAS!$B$7*$N$17+$N$16)))</f>
        <v/>
      </c>
      <c r="H19" s="21">
        <f>ABS(D19-C19)</f>
        <v/>
      </c>
      <c r="I19" s="21">
        <f>ABS(E19-C19)</f>
        <v/>
      </c>
      <c r="J19" s="21">
        <f>ABS(F19-C19)</f>
        <v/>
      </c>
      <c r="K19" s="21">
        <f>ABS(G19-C19)</f>
        <v/>
      </c>
    </row>
    <row r="20">
      <c r="A20" s="27" t="n">
        <v>12</v>
      </c>
      <c r="B20" s="26">
        <f>LARGE(SERIE!$O$11:$O$35,A20)</f>
        <v/>
      </c>
      <c r="C20" s="21">
        <f>A20/($N$9+1)</f>
        <v/>
      </c>
      <c r="D20" s="21">
        <f>1-NORMSDIST((B20-FRECUENCIAS!$B$6)/FRECUENCIAS!$B$7)</f>
        <v/>
      </c>
      <c r="E20" s="21">
        <f>1-NORMSDIST((LOG10(B20)-FRECUENCIAS!$B$9)/FRECUENCIAS!$B$10)</f>
        <v/>
      </c>
      <c r="F20" s="21">
        <f>CHIDIST(2*(LN(B20)-$N$15)/$N$14,2*$N$13)</f>
        <v/>
      </c>
      <c r="G20" s="21">
        <f>1-EXP(-EXP(-((B20-FRECUENCIAS!$B$6)/FRECUENCIAS!$B$7*$N$17+$N$16)))</f>
        <v/>
      </c>
      <c r="H20" s="21">
        <f>ABS(D20-C20)</f>
        <v/>
      </c>
      <c r="I20" s="21">
        <f>ABS(E20-C20)</f>
        <v/>
      </c>
      <c r="J20" s="21">
        <f>ABS(F20-C20)</f>
        <v/>
      </c>
      <c r="K20" s="21">
        <f>ABS(G20-C20)</f>
        <v/>
      </c>
    </row>
    <row r="21">
      <c r="A21" s="27" t="n">
        <v>13</v>
      </c>
      <c r="B21" s="26">
        <f>LARGE(SERIE!$O$11:$O$35,A21)</f>
        <v/>
      </c>
      <c r="C21" s="21">
        <f>A21/($N$9+1)</f>
        <v/>
      </c>
      <c r="D21" s="21">
        <f>1-NORMSDIST((B21-FRECUENCIAS!$B$6)/FRECUENCIAS!$B$7)</f>
        <v/>
      </c>
      <c r="E21" s="21">
        <f>1-NORMSDIST((LOG10(B21)-FRECUENCIAS!$B$9)/FRECUENCIAS!$B$10)</f>
        <v/>
      </c>
      <c r="F21" s="21">
        <f>CHIDIST(2*(LN(B21)-$N$15)/$N$14,2*$N$13)</f>
        <v/>
      </c>
      <c r="G21" s="21">
        <f>1-EXP(-EXP(-((B21-FRECUENCIAS!$B$6)/FRECUENCIAS!$B$7*$N$17+$N$16)))</f>
        <v/>
      </c>
      <c r="H21" s="21">
        <f>ABS(D21-C21)</f>
        <v/>
      </c>
      <c r="I21" s="21">
        <f>ABS(E21-C21)</f>
        <v/>
      </c>
      <c r="J21" s="21">
        <f>ABS(F21-C21)</f>
        <v/>
      </c>
      <c r="K21" s="21">
        <f>ABS(G21-C21)</f>
        <v/>
      </c>
    </row>
    <row r="22">
      <c r="A22" s="27" t="n">
        <v>14</v>
      </c>
      <c r="B22" s="26">
        <f>LARGE(SERIE!$O$11:$O$35,A22)</f>
        <v/>
      </c>
      <c r="C22" s="21">
        <f>A22/($N$9+1)</f>
        <v/>
      </c>
      <c r="D22" s="21">
        <f>1-NORMSDIST((B22-FRECUENCIAS!$B$6)/FRECUENCIAS!$B$7)</f>
        <v/>
      </c>
      <c r="E22" s="21">
        <f>1-NORMSDIST((LOG10(B22)-FRECUENCIAS!$B$9)/FRECUENCIAS!$B$10)</f>
        <v/>
      </c>
      <c r="F22" s="21">
        <f>CHIDIST(2*(LN(B22)-$N$15)/$N$14,2*$N$13)</f>
        <v/>
      </c>
      <c r="G22" s="21">
        <f>1-EXP(-EXP(-((B22-FRECUENCIAS!$B$6)/FRECUENCIAS!$B$7*$N$17+$N$16)))</f>
        <v/>
      </c>
      <c r="H22" s="21">
        <f>ABS(D22-C22)</f>
        <v/>
      </c>
      <c r="I22" s="21">
        <f>ABS(E22-C22)</f>
        <v/>
      </c>
      <c r="J22" s="21">
        <f>ABS(F22-C22)</f>
        <v/>
      </c>
      <c r="K22" s="21">
        <f>ABS(G22-C22)</f>
        <v/>
      </c>
    </row>
    <row r="23">
      <c r="A23" s="27" t="n">
        <v>15</v>
      </c>
      <c r="B23" s="26">
        <f>LARGE(SERIE!$O$11:$O$35,A23)</f>
        <v/>
      </c>
      <c r="C23" s="21">
        <f>A23/($N$9+1)</f>
        <v/>
      </c>
      <c r="D23" s="21">
        <f>1-NORMSDIST((B23-FRECUENCIAS!$B$6)/FRECUENCIAS!$B$7)</f>
        <v/>
      </c>
      <c r="E23" s="21">
        <f>1-NORMSDIST((LOG10(B23)-FRECUENCIAS!$B$9)/FRECUENCIAS!$B$10)</f>
        <v/>
      </c>
      <c r="F23" s="21">
        <f>CHIDIST(2*(LN(B23)-$N$15)/$N$14,2*$N$13)</f>
        <v/>
      </c>
      <c r="G23" s="21">
        <f>1-EXP(-EXP(-((B23-FRECUENCIAS!$B$6)/FRECUENCIAS!$B$7*$N$17+$N$16)))</f>
        <v/>
      </c>
      <c r="H23" s="21">
        <f>ABS(D23-C23)</f>
        <v/>
      </c>
      <c r="I23" s="21">
        <f>ABS(E23-C23)</f>
        <v/>
      </c>
      <c r="J23" s="21">
        <f>ABS(F23-C23)</f>
        <v/>
      </c>
      <c r="K23" s="21">
        <f>ABS(G23-C23)</f>
        <v/>
      </c>
    </row>
    <row r="24">
      <c r="A24" s="27" t="n">
        <v>16</v>
      </c>
      <c r="B24" s="26">
        <f>LARGE(SERIE!$O$11:$O$35,A24)</f>
        <v/>
      </c>
      <c r="C24" s="21">
        <f>A24/($N$9+1)</f>
        <v/>
      </c>
      <c r="D24" s="21">
        <f>1-NORMSDIST((B24-FRECUENCIAS!$B$6)/FRECUENCIAS!$B$7)</f>
        <v/>
      </c>
      <c r="E24" s="21">
        <f>1-NORMSDIST((LOG10(B24)-FRECUENCIAS!$B$9)/FRECUENCIAS!$B$10)</f>
        <v/>
      </c>
      <c r="F24" s="21">
        <f>CHIDIST(2*(LN(B24)-$N$15)/$N$14,2*$N$13)</f>
        <v/>
      </c>
      <c r="G24" s="21">
        <f>1-EXP(-EXP(-((B24-FRECUENCIAS!$B$6)/FRECUENCIAS!$B$7*$N$17+$N$16)))</f>
        <v/>
      </c>
      <c r="H24" s="21">
        <f>ABS(D24-C24)</f>
        <v/>
      </c>
      <c r="I24" s="21">
        <f>ABS(E24-C24)</f>
        <v/>
      </c>
      <c r="J24" s="21">
        <f>ABS(F24-C24)</f>
        <v/>
      </c>
      <c r="K24" s="21">
        <f>ABS(G24-C24)</f>
        <v/>
      </c>
    </row>
    <row r="25">
      <c r="A25" s="27" t="n">
        <v>17</v>
      </c>
      <c r="B25" s="26">
        <f>LARGE(SERIE!$O$11:$O$35,A25)</f>
        <v/>
      </c>
      <c r="C25" s="21">
        <f>A25/($N$9+1)</f>
        <v/>
      </c>
      <c r="D25" s="21">
        <f>1-NORMSDIST((B25-FRECUENCIAS!$B$6)/FRECUENCIAS!$B$7)</f>
        <v/>
      </c>
      <c r="E25" s="21">
        <f>1-NORMSDIST((LOG10(B25)-FRECUENCIAS!$B$9)/FRECUENCIAS!$B$10)</f>
        <v/>
      </c>
      <c r="F25" s="21">
        <f>CHIDIST(2*(LN(B25)-$N$15)/$N$14,2*$N$13)</f>
        <v/>
      </c>
      <c r="G25" s="21">
        <f>1-EXP(-EXP(-((B25-FRECUENCIAS!$B$6)/FRECUENCIAS!$B$7*$N$17+$N$16)))</f>
        <v/>
      </c>
      <c r="H25" s="21">
        <f>ABS(D25-C25)</f>
        <v/>
      </c>
      <c r="I25" s="21">
        <f>ABS(E25-C25)</f>
        <v/>
      </c>
      <c r="J25" s="21">
        <f>ABS(F25-C25)</f>
        <v/>
      </c>
      <c r="K25" s="21">
        <f>ABS(G25-C25)</f>
        <v/>
      </c>
    </row>
    <row r="26">
      <c r="A26" s="27" t="n">
        <v>18</v>
      </c>
      <c r="B26" s="26">
        <f>LARGE(SERIE!$O$11:$O$35,A26)</f>
        <v/>
      </c>
      <c r="C26" s="21">
        <f>A26/($N$9+1)</f>
        <v/>
      </c>
      <c r="D26" s="21">
        <f>1-NORMSDIST((B26-FRECUENCIAS!$B$6)/FRECUENCIAS!$B$7)</f>
        <v/>
      </c>
      <c r="E26" s="21">
        <f>1-NORMSDIST((LOG10(B26)-FRECUENCIAS!$B$9)/FRECUENCIAS!$B$10)</f>
        <v/>
      </c>
      <c r="F26" s="21">
        <f>CHIDIST(2*(LN(B26)-$N$15)/$N$14,2*$N$13)</f>
        <v/>
      </c>
      <c r="G26" s="21">
        <f>1-EXP(-EXP(-((B26-FRECUENCIAS!$B$6)/FRECUENCIAS!$B$7*$N$17+$N$16)))</f>
        <v/>
      </c>
      <c r="H26" s="21">
        <f>ABS(D26-C26)</f>
        <v/>
      </c>
      <c r="I26" s="21">
        <f>ABS(E26-C26)</f>
        <v/>
      </c>
      <c r="J26" s="21">
        <f>ABS(F26-C26)</f>
        <v/>
      </c>
      <c r="K26" s="21">
        <f>ABS(G26-C26)</f>
        <v/>
      </c>
    </row>
    <row r="27">
      <c r="A27" s="27" t="n">
        <v>19</v>
      </c>
      <c r="B27" s="26">
        <f>LARGE(SERIE!$O$11:$O$35,A27)</f>
        <v/>
      </c>
      <c r="C27" s="21">
        <f>A27/($N$9+1)</f>
        <v/>
      </c>
      <c r="D27" s="21">
        <f>1-NORMSDIST((B27-FRECUENCIAS!$B$6)/FRECUENCIAS!$B$7)</f>
        <v/>
      </c>
      <c r="E27" s="21">
        <f>1-NORMSDIST((LOG10(B27)-FRECUENCIAS!$B$9)/FRECUENCIAS!$B$10)</f>
        <v/>
      </c>
      <c r="F27" s="21">
        <f>CHIDIST(2*(LN(B27)-$N$15)/$N$14,2*$N$13)</f>
        <v/>
      </c>
      <c r="G27" s="21">
        <f>1-EXP(-EXP(-((B27-FRECUENCIAS!$B$6)/FRECUENCIAS!$B$7*$N$17+$N$16)))</f>
        <v/>
      </c>
      <c r="H27" s="21">
        <f>ABS(D27-C27)</f>
        <v/>
      </c>
      <c r="I27" s="21">
        <f>ABS(E27-C27)</f>
        <v/>
      </c>
      <c r="J27" s="21">
        <f>ABS(F27-C27)</f>
        <v/>
      </c>
      <c r="K27" s="21">
        <f>ABS(G27-C27)</f>
        <v/>
      </c>
    </row>
    <row r="28">
      <c r="A28" s="27" t="n">
        <v>20</v>
      </c>
      <c r="B28" s="26">
        <f>LARGE(SERIE!$O$11:$O$35,A28)</f>
        <v/>
      </c>
      <c r="C28" s="21">
        <f>A28/($N$9+1)</f>
        <v/>
      </c>
      <c r="D28" s="21">
        <f>1-NORMSDIST((B28-FRECUENCIAS!$B$6)/FRECUENCIAS!$B$7)</f>
        <v/>
      </c>
      <c r="E28" s="21">
        <f>1-NORMSDIST((LOG10(B28)-FRECUENCIAS!$B$9)/FRECUENCIAS!$B$10)</f>
        <v/>
      </c>
      <c r="F28" s="21">
        <f>CHIDIST(2*(LN(B28)-$N$15)/$N$14,2*$N$13)</f>
        <v/>
      </c>
      <c r="G28" s="21">
        <f>1-EXP(-EXP(-((B28-FRECUENCIAS!$B$6)/FRECUENCIAS!$B$7*$N$17+$N$16)))</f>
        <v/>
      </c>
      <c r="H28" s="21">
        <f>ABS(D28-C28)</f>
        <v/>
      </c>
      <c r="I28" s="21">
        <f>ABS(E28-C28)</f>
        <v/>
      </c>
      <c r="J28" s="21">
        <f>ABS(F28-C28)</f>
        <v/>
      </c>
      <c r="K28" s="21">
        <f>ABS(G28-C28)</f>
        <v/>
      </c>
    </row>
    <row r="29">
      <c r="A29" s="27" t="n">
        <v>21</v>
      </c>
      <c r="B29" s="26">
        <f>LARGE(SERIE!$O$11:$O$35,A29)</f>
        <v/>
      </c>
      <c r="C29" s="21">
        <f>A29/($N$9+1)</f>
        <v/>
      </c>
      <c r="D29" s="21">
        <f>1-NORMSDIST((B29-FRECUENCIAS!$B$6)/FRECUENCIAS!$B$7)</f>
        <v/>
      </c>
      <c r="E29" s="21">
        <f>1-NORMSDIST((LOG10(B29)-FRECUENCIAS!$B$9)/FRECUENCIAS!$B$10)</f>
        <v/>
      </c>
      <c r="F29" s="21">
        <f>CHIDIST(2*(LN(B29)-$N$15)/$N$14,2*$N$13)</f>
        <v/>
      </c>
      <c r="G29" s="21">
        <f>1-EXP(-EXP(-((B29-FRECUENCIAS!$B$6)/FRECUENCIAS!$B$7*$N$17+$N$16)))</f>
        <v/>
      </c>
      <c r="H29" s="21">
        <f>ABS(D29-C29)</f>
        <v/>
      </c>
      <c r="I29" s="21">
        <f>ABS(E29-C29)</f>
        <v/>
      </c>
      <c r="J29" s="21">
        <f>ABS(F29-C29)</f>
        <v/>
      </c>
      <c r="K29" s="21">
        <f>ABS(G29-C29)</f>
        <v/>
      </c>
    </row>
    <row r="30">
      <c r="A30" s="27" t="n">
        <v>22</v>
      </c>
      <c r="B30" s="26">
        <f>LARGE(SERIE!$O$11:$O$35,A30)</f>
        <v/>
      </c>
      <c r="C30" s="21">
        <f>A30/($N$9+1)</f>
        <v/>
      </c>
      <c r="D30" s="21">
        <f>1-NORMSDIST((B30-FRECUENCIAS!$B$6)/FRECUENCIAS!$B$7)</f>
        <v/>
      </c>
      <c r="E30" s="21">
        <f>1-NORMSDIST((LOG10(B30)-FRECUENCIAS!$B$9)/FRECUENCIAS!$B$10)</f>
        <v/>
      </c>
      <c r="F30" s="21">
        <f>CHIDIST(2*(LN(B30)-$N$15)/$N$14,2*$N$13)</f>
        <v/>
      </c>
      <c r="G30" s="21">
        <f>1-EXP(-EXP(-((B30-FRECUENCIAS!$B$6)/FRECUENCIAS!$B$7*$N$17+$N$16)))</f>
        <v/>
      </c>
      <c r="H30" s="21">
        <f>ABS(D30-C30)</f>
        <v/>
      </c>
      <c r="I30" s="21">
        <f>ABS(E30-C30)</f>
        <v/>
      </c>
      <c r="J30" s="21">
        <f>ABS(F30-C30)</f>
        <v/>
      </c>
      <c r="K30" s="21">
        <f>ABS(G30-C30)</f>
        <v/>
      </c>
    </row>
    <row r="31">
      <c r="A31" s="27" t="n">
        <v>23</v>
      </c>
      <c r="B31" s="26">
        <f>LARGE(SERIE!$O$11:$O$35,A31)</f>
        <v/>
      </c>
      <c r="C31" s="21">
        <f>A31/($N$9+1)</f>
        <v/>
      </c>
      <c r="D31" s="21">
        <f>1-NORMSDIST((B31-FRECUENCIAS!$B$6)/FRECUENCIAS!$B$7)</f>
        <v/>
      </c>
      <c r="E31" s="21">
        <f>1-NORMSDIST((LOG10(B31)-FRECUENCIAS!$B$9)/FRECUENCIAS!$B$10)</f>
        <v/>
      </c>
      <c r="F31" s="21">
        <f>CHIDIST(2*(LN(B31)-$N$15)/$N$14,2*$N$13)</f>
        <v/>
      </c>
      <c r="G31" s="21">
        <f>1-EXP(-EXP(-((B31-FRECUENCIAS!$B$6)/FRECUENCIAS!$B$7*$N$17+$N$16)))</f>
        <v/>
      </c>
      <c r="H31" s="21">
        <f>ABS(D31-C31)</f>
        <v/>
      </c>
      <c r="I31" s="21">
        <f>ABS(E31-C31)</f>
        <v/>
      </c>
      <c r="J31" s="21">
        <f>ABS(F31-C31)</f>
        <v/>
      </c>
      <c r="K31" s="21">
        <f>ABS(G31-C31)</f>
        <v/>
      </c>
    </row>
    <row r="32">
      <c r="A32" s="27" t="n">
        <v>24</v>
      </c>
      <c r="B32" s="26">
        <f>LARGE(SERIE!$O$11:$O$35,A32)</f>
        <v/>
      </c>
      <c r="C32" s="21">
        <f>A32/($N$9+1)</f>
        <v/>
      </c>
      <c r="D32" s="21">
        <f>1-NORMSDIST((B32-FRECUENCIAS!$B$6)/FRECUENCIAS!$B$7)</f>
        <v/>
      </c>
      <c r="E32" s="21">
        <f>1-NORMSDIST((LOG10(B32)-FRECUENCIAS!$B$9)/FRECUENCIAS!$B$10)</f>
        <v/>
      </c>
      <c r="F32" s="21">
        <f>CHIDIST(2*(LN(B32)-$N$15)/$N$14,2*$N$13)</f>
        <v/>
      </c>
      <c r="G32" s="21">
        <f>1-EXP(-EXP(-((B32-FRECUENCIAS!$B$6)/FRECUENCIAS!$B$7*$N$17+$N$16)))</f>
        <v/>
      </c>
      <c r="H32" s="21">
        <f>ABS(D32-C32)</f>
        <v/>
      </c>
      <c r="I32" s="21">
        <f>ABS(E32-C32)</f>
        <v/>
      </c>
      <c r="J32" s="21">
        <f>ABS(F32-C32)</f>
        <v/>
      </c>
      <c r="K32" s="21">
        <f>ABS(G32-C32)</f>
        <v/>
      </c>
    </row>
    <row r="33">
      <c r="A33" s="27" t="n">
        <v>25</v>
      </c>
      <c r="B33" s="26">
        <f>LARGE(SERIE!$O$11:$O$35,A33)</f>
        <v/>
      </c>
      <c r="C33" s="21">
        <f>A33/($N$9+1)</f>
        <v/>
      </c>
      <c r="D33" s="21">
        <f>1-NORMSDIST((B33-FRECUENCIAS!$B$6)/FRECUENCIAS!$B$7)</f>
        <v/>
      </c>
      <c r="E33" s="21">
        <f>1-NORMSDIST((LOG10(B33)-FRECUENCIAS!$B$9)/FRECUENCIAS!$B$10)</f>
        <v/>
      </c>
      <c r="F33" s="21">
        <f>CHIDIST(2*(LN(B33)-$N$15)/$N$14,2*$N$13)</f>
        <v/>
      </c>
      <c r="G33" s="21">
        <f>1-EXP(-EXP(-((B33-FRECUENCIAS!$B$6)/FRECUENCIAS!$B$7*$N$17+$N$16)))</f>
        <v/>
      </c>
      <c r="H33" s="21">
        <f>ABS(D33-C33)</f>
        <v/>
      </c>
      <c r="I33" s="21">
        <f>ABS(E33-C33)</f>
        <v/>
      </c>
      <c r="J33" s="21">
        <f>ABS(F33-C33)</f>
        <v/>
      </c>
      <c r="K33" s="21">
        <f>ABS(G33-C33)</f>
        <v/>
      </c>
    </row>
    <row r="34">
      <c r="G34" s="4" t="inlineStr">
        <is>
          <t>D max</t>
        </is>
      </c>
      <c r="H34" s="31">
        <f>MAX(H9:H33)</f>
        <v/>
      </c>
      <c r="I34" s="31">
        <f>MAX(I9:I33)</f>
        <v/>
      </c>
      <c r="J34" s="31">
        <f>MAX(J9:J33)</f>
        <v/>
      </c>
      <c r="K34" s="31">
        <f>MAX(K9:K33)</f>
        <v/>
      </c>
    </row>
    <row r="35">
      <c r="G35" s="4" t="inlineStr">
        <is>
          <t>D critico</t>
        </is>
      </c>
      <c r="H35" s="21">
        <f>$N$18</f>
        <v/>
      </c>
      <c r="I35" s="21">
        <f>$N$18</f>
        <v/>
      </c>
      <c r="J35" s="21">
        <f>$N$18</f>
        <v/>
      </c>
      <c r="K35" s="21">
        <f>$N$18</f>
        <v/>
      </c>
    </row>
    <row r="36">
      <c r="G36" s="4" t="inlineStr">
        <is>
          <t>Ajuste</t>
        </is>
      </c>
      <c r="H36" s="5">
        <f>IF(H34&lt;H35,"ACEPTA","RECHAZA")</f>
        <v/>
      </c>
      <c r="I36" s="5">
        <f>IF(I34&lt;I35,"ACEPTA","RECHAZA")</f>
        <v/>
      </c>
      <c r="J36" s="5">
        <f>IF(J34&lt;J35,"ACEPTA","RECHAZA")</f>
        <v/>
      </c>
      <c r="K36" s="5">
        <f>IF(K34&lt;K35,"ACEPTA","RECHAZA")</f>
        <v/>
      </c>
    </row>
    <row r="38">
      <c r="A38" s="17" t="inlineStr">
        <is>
          <t>Log-Pearson III: distribucion gamma de ln P (CHIDIST con 2 beta grados de libertad); Gumbel con la media yn y la desviacion sn de la variable reducida para n datos (Aparicio, pag. 264); D critico = raiz(-ln(alfa/2)/(2n)) - 1/(6n). Se adopta la de menor D: Log-Pearson III.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LLUVIAS E INTENSIDADES MAXIMAS: MODELO DE BELL (CURVAS IDF) Y DICK Y PESCHKE (DISENO)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>
      <c r="A8" s="32" t="inlineStr">
        <is>
          <t>Intensidades de diseno - Dick y Peschke: P (mm) para la duracion D: P = P24 (D / 1440)^0.25</t>
        </is>
      </c>
    </row>
    <row r="9" ht="30" customHeight="1">
      <c r="A9" s="3" t="inlineStr">
        <is>
          <t>D (min)</t>
        </is>
      </c>
      <c r="B9" s="3" t="inlineStr">
        <is>
          <t>T = 2</t>
        </is>
      </c>
      <c r="C9" s="3" t="inlineStr">
        <is>
          <t>T = 5</t>
        </is>
      </c>
      <c r="D9" s="3" t="inlineStr">
        <is>
          <t>T = 10</t>
        </is>
      </c>
      <c r="E9" s="3" t="inlineStr">
        <is>
          <t>T = 20</t>
        </is>
      </c>
      <c r="F9" s="3" t="inlineStr">
        <is>
          <t>T = 25</t>
        </is>
      </c>
      <c r="G9" s="3" t="inlineStr">
        <is>
          <t>T = 50</t>
        </is>
      </c>
      <c r="H9" s="3" t="inlineStr">
        <is>
          <t>T = 100</t>
        </is>
      </c>
      <c r="I9" s="3" t="inlineStr">
        <is>
          <t>T = 200</t>
        </is>
      </c>
      <c r="J9" s="3" t="inlineStr">
        <is>
          <t>T = 500</t>
        </is>
      </c>
    </row>
    <row r="10">
      <c r="A10" s="22" t="n">
        <v>5</v>
      </c>
      <c r="B10" s="26">
        <f>FRECUENCIAS!$I$17*($A10/1440)^0.25</f>
        <v/>
      </c>
      <c r="C10" s="26">
        <f>FRECUENCIAS!$I$18*($A10/1440)^0.25</f>
        <v/>
      </c>
      <c r="D10" s="26">
        <f>FRECUENCIAS!$I$19*($A10/1440)^0.25</f>
        <v/>
      </c>
      <c r="E10" s="26">
        <f>FRECUENCIAS!$I$20*($A10/1440)^0.25</f>
        <v/>
      </c>
      <c r="F10" s="26">
        <f>FRECUENCIAS!$I$21*($A10/1440)^0.25</f>
        <v/>
      </c>
      <c r="G10" s="26">
        <f>FRECUENCIAS!$I$22*($A10/1440)^0.25</f>
        <v/>
      </c>
      <c r="H10" s="26">
        <f>FRECUENCIAS!$I$23*($A10/1440)^0.25</f>
        <v/>
      </c>
      <c r="I10" s="26">
        <f>FRECUENCIAS!$I$24*($A10/1440)^0.25</f>
        <v/>
      </c>
      <c r="J10" s="26">
        <f>FRECUENCIAS!$I$25*($A10/1440)^0.25</f>
        <v/>
      </c>
    </row>
    <row r="11">
      <c r="A11" s="22" t="n">
        <v>10</v>
      </c>
      <c r="B11" s="26">
        <f>FRECUENCIAS!$I$17*($A11/1440)^0.25</f>
        <v/>
      </c>
      <c r="C11" s="26">
        <f>FRECUENCIAS!$I$18*($A11/1440)^0.25</f>
        <v/>
      </c>
      <c r="D11" s="26">
        <f>FRECUENCIAS!$I$19*($A11/1440)^0.25</f>
        <v/>
      </c>
      <c r="E11" s="26">
        <f>FRECUENCIAS!$I$20*($A11/1440)^0.25</f>
        <v/>
      </c>
      <c r="F11" s="26">
        <f>FRECUENCIAS!$I$21*($A11/1440)^0.25</f>
        <v/>
      </c>
      <c r="G11" s="26">
        <f>FRECUENCIAS!$I$22*($A11/1440)^0.25</f>
        <v/>
      </c>
      <c r="H11" s="26">
        <f>FRECUENCIAS!$I$23*($A11/1440)^0.25</f>
        <v/>
      </c>
      <c r="I11" s="26">
        <f>FRECUENCIAS!$I$24*($A11/1440)^0.25</f>
        <v/>
      </c>
      <c r="J11" s="26">
        <f>FRECUENCIAS!$I$25*($A11/1440)^0.25</f>
        <v/>
      </c>
    </row>
    <row r="12">
      <c r="A12" s="22" t="n">
        <v>15</v>
      </c>
      <c r="B12" s="26">
        <f>FRECUENCIAS!$I$17*($A12/1440)^0.25</f>
        <v/>
      </c>
      <c r="C12" s="26">
        <f>FRECUENCIAS!$I$18*($A12/1440)^0.25</f>
        <v/>
      </c>
      <c r="D12" s="26">
        <f>FRECUENCIAS!$I$19*($A12/1440)^0.25</f>
        <v/>
      </c>
      <c r="E12" s="26">
        <f>FRECUENCIAS!$I$20*($A12/1440)^0.25</f>
        <v/>
      </c>
      <c r="F12" s="26">
        <f>FRECUENCIAS!$I$21*($A12/1440)^0.25</f>
        <v/>
      </c>
      <c r="G12" s="26">
        <f>FRECUENCIAS!$I$22*($A12/1440)^0.25</f>
        <v/>
      </c>
      <c r="H12" s="26">
        <f>FRECUENCIAS!$I$23*($A12/1440)^0.25</f>
        <v/>
      </c>
      <c r="I12" s="26">
        <f>FRECUENCIAS!$I$24*($A12/1440)^0.25</f>
        <v/>
      </c>
      <c r="J12" s="26">
        <f>FRECUENCIAS!$I$25*($A12/1440)^0.25</f>
        <v/>
      </c>
    </row>
    <row r="13">
      <c r="A13" s="22" t="n">
        <v>20</v>
      </c>
      <c r="B13" s="26">
        <f>FRECUENCIAS!$I$17*($A13/1440)^0.25</f>
        <v/>
      </c>
      <c r="C13" s="26">
        <f>FRECUENCIAS!$I$18*($A13/1440)^0.25</f>
        <v/>
      </c>
      <c r="D13" s="26">
        <f>FRECUENCIAS!$I$19*($A13/1440)^0.25</f>
        <v/>
      </c>
      <c r="E13" s="26">
        <f>FRECUENCIAS!$I$20*($A13/1440)^0.25</f>
        <v/>
      </c>
      <c r="F13" s="26">
        <f>FRECUENCIAS!$I$21*($A13/1440)^0.25</f>
        <v/>
      </c>
      <c r="G13" s="26">
        <f>FRECUENCIAS!$I$22*($A13/1440)^0.25</f>
        <v/>
      </c>
      <c r="H13" s="26">
        <f>FRECUENCIAS!$I$23*($A13/1440)^0.25</f>
        <v/>
      </c>
      <c r="I13" s="26">
        <f>FRECUENCIAS!$I$24*($A13/1440)^0.25</f>
        <v/>
      </c>
      <c r="J13" s="26">
        <f>FRECUENCIAS!$I$25*($A13/1440)^0.25</f>
        <v/>
      </c>
    </row>
    <row r="14">
      <c r="A14" s="22" t="n">
        <v>30</v>
      </c>
      <c r="B14" s="26">
        <f>FRECUENCIAS!$I$17*($A14/1440)^0.25</f>
        <v/>
      </c>
      <c r="C14" s="26">
        <f>FRECUENCIAS!$I$18*($A14/1440)^0.25</f>
        <v/>
      </c>
      <c r="D14" s="26">
        <f>FRECUENCIAS!$I$19*($A14/1440)^0.25</f>
        <v/>
      </c>
      <c r="E14" s="26">
        <f>FRECUENCIAS!$I$20*($A14/1440)^0.25</f>
        <v/>
      </c>
      <c r="F14" s="26">
        <f>FRECUENCIAS!$I$21*($A14/1440)^0.25</f>
        <v/>
      </c>
      <c r="G14" s="26">
        <f>FRECUENCIAS!$I$22*($A14/1440)^0.25</f>
        <v/>
      </c>
      <c r="H14" s="26">
        <f>FRECUENCIAS!$I$23*($A14/1440)^0.25</f>
        <v/>
      </c>
      <c r="I14" s="26">
        <f>FRECUENCIAS!$I$24*($A14/1440)^0.25</f>
        <v/>
      </c>
      <c r="J14" s="26">
        <f>FRECUENCIAS!$I$25*($A14/1440)^0.25</f>
        <v/>
      </c>
    </row>
    <row r="15">
      <c r="A15" s="22" t="n">
        <v>60</v>
      </c>
      <c r="B15" s="26">
        <f>FRECUENCIAS!$I$17*($A15/1440)^0.25</f>
        <v/>
      </c>
      <c r="C15" s="26">
        <f>FRECUENCIAS!$I$18*($A15/1440)^0.25</f>
        <v/>
      </c>
      <c r="D15" s="26">
        <f>FRECUENCIAS!$I$19*($A15/1440)^0.25</f>
        <v/>
      </c>
      <c r="E15" s="26">
        <f>FRECUENCIAS!$I$20*($A15/1440)^0.25</f>
        <v/>
      </c>
      <c r="F15" s="26">
        <f>FRECUENCIAS!$I$21*($A15/1440)^0.25</f>
        <v/>
      </c>
      <c r="G15" s="26">
        <f>FRECUENCIAS!$I$22*($A15/1440)^0.25</f>
        <v/>
      </c>
      <c r="H15" s="26">
        <f>FRECUENCIAS!$I$23*($A15/1440)^0.25</f>
        <v/>
      </c>
      <c r="I15" s="26">
        <f>FRECUENCIAS!$I$24*($A15/1440)^0.25</f>
        <v/>
      </c>
      <c r="J15" s="26">
        <f>FRECUENCIAS!$I$25*($A15/1440)^0.25</f>
        <v/>
      </c>
    </row>
    <row r="16">
      <c r="A16" s="22" t="n">
        <v>90</v>
      </c>
      <c r="B16" s="26">
        <f>FRECUENCIAS!$I$17*($A16/1440)^0.25</f>
        <v/>
      </c>
      <c r="C16" s="26">
        <f>FRECUENCIAS!$I$18*($A16/1440)^0.25</f>
        <v/>
      </c>
      <c r="D16" s="26">
        <f>FRECUENCIAS!$I$19*($A16/1440)^0.25</f>
        <v/>
      </c>
      <c r="E16" s="26">
        <f>FRECUENCIAS!$I$20*($A16/1440)^0.25</f>
        <v/>
      </c>
      <c r="F16" s="26">
        <f>FRECUENCIAS!$I$21*($A16/1440)^0.25</f>
        <v/>
      </c>
      <c r="G16" s="26">
        <f>FRECUENCIAS!$I$22*($A16/1440)^0.25</f>
        <v/>
      </c>
      <c r="H16" s="26">
        <f>FRECUENCIAS!$I$23*($A16/1440)^0.25</f>
        <v/>
      </c>
      <c r="I16" s="26">
        <f>FRECUENCIAS!$I$24*($A16/1440)^0.25</f>
        <v/>
      </c>
      <c r="J16" s="26">
        <f>FRECUENCIAS!$I$25*($A16/1440)^0.25</f>
        <v/>
      </c>
    </row>
    <row r="17">
      <c r="A17" s="22" t="n">
        <v>120</v>
      </c>
      <c r="B17" s="26">
        <f>FRECUENCIAS!$I$17*($A17/1440)^0.25</f>
        <v/>
      </c>
      <c r="C17" s="26">
        <f>FRECUENCIAS!$I$18*($A17/1440)^0.25</f>
        <v/>
      </c>
      <c r="D17" s="26">
        <f>FRECUENCIAS!$I$19*($A17/1440)^0.25</f>
        <v/>
      </c>
      <c r="E17" s="26">
        <f>FRECUENCIAS!$I$20*($A17/1440)^0.25</f>
        <v/>
      </c>
      <c r="F17" s="26">
        <f>FRECUENCIAS!$I$21*($A17/1440)^0.25</f>
        <v/>
      </c>
      <c r="G17" s="26">
        <f>FRECUENCIAS!$I$22*($A17/1440)^0.25</f>
        <v/>
      </c>
      <c r="H17" s="26">
        <f>FRECUENCIAS!$I$23*($A17/1440)^0.25</f>
        <v/>
      </c>
      <c r="I17" s="26">
        <f>FRECUENCIAS!$I$24*($A17/1440)^0.25</f>
        <v/>
      </c>
      <c r="J17" s="26">
        <f>FRECUENCIAS!$I$25*($A17/1440)^0.25</f>
        <v/>
      </c>
    </row>
    <row r="18">
      <c r="A18" s="22" t="n">
        <v>240</v>
      </c>
      <c r="B18" s="26">
        <f>FRECUENCIAS!$I$17*($A18/1440)^0.25</f>
        <v/>
      </c>
      <c r="C18" s="26">
        <f>FRECUENCIAS!$I$18*($A18/1440)^0.25</f>
        <v/>
      </c>
      <c r="D18" s="26">
        <f>FRECUENCIAS!$I$19*($A18/1440)^0.25</f>
        <v/>
      </c>
      <c r="E18" s="26">
        <f>FRECUENCIAS!$I$20*($A18/1440)^0.25</f>
        <v/>
      </c>
      <c r="F18" s="26">
        <f>FRECUENCIAS!$I$21*($A18/1440)^0.25</f>
        <v/>
      </c>
      <c r="G18" s="26">
        <f>FRECUENCIAS!$I$22*($A18/1440)^0.25</f>
        <v/>
      </c>
      <c r="H18" s="26">
        <f>FRECUENCIAS!$I$23*($A18/1440)^0.25</f>
        <v/>
      </c>
      <c r="I18" s="26">
        <f>FRECUENCIAS!$I$24*($A18/1440)^0.25</f>
        <v/>
      </c>
      <c r="J18" s="26">
        <f>FRECUENCIAS!$I$25*($A18/1440)^0.25</f>
        <v/>
      </c>
    </row>
    <row r="19">
      <c r="A19" s="22" t="n">
        <v>360</v>
      </c>
      <c r="B19" s="26">
        <f>FRECUENCIAS!$I$17*($A19/1440)^0.25</f>
        <v/>
      </c>
      <c r="C19" s="26">
        <f>FRECUENCIAS!$I$18*($A19/1440)^0.25</f>
        <v/>
      </c>
      <c r="D19" s="26">
        <f>FRECUENCIAS!$I$19*($A19/1440)^0.25</f>
        <v/>
      </c>
      <c r="E19" s="26">
        <f>FRECUENCIAS!$I$20*($A19/1440)^0.25</f>
        <v/>
      </c>
      <c r="F19" s="26">
        <f>FRECUENCIAS!$I$21*($A19/1440)^0.25</f>
        <v/>
      </c>
      <c r="G19" s="26">
        <f>FRECUENCIAS!$I$22*($A19/1440)^0.25</f>
        <v/>
      </c>
      <c r="H19" s="26">
        <f>FRECUENCIAS!$I$23*($A19/1440)^0.25</f>
        <v/>
      </c>
      <c r="I19" s="26">
        <f>FRECUENCIAS!$I$24*($A19/1440)^0.25</f>
        <v/>
      </c>
      <c r="J19" s="26">
        <f>FRECUENCIAS!$I$25*($A19/1440)^0.25</f>
        <v/>
      </c>
    </row>
    <row r="20">
      <c r="A20" s="22" t="n">
        <v>720</v>
      </c>
      <c r="B20" s="26">
        <f>FRECUENCIAS!$I$17*($A20/1440)^0.25</f>
        <v/>
      </c>
      <c r="C20" s="26">
        <f>FRECUENCIAS!$I$18*($A20/1440)^0.25</f>
        <v/>
      </c>
      <c r="D20" s="26">
        <f>FRECUENCIAS!$I$19*($A20/1440)^0.25</f>
        <v/>
      </c>
      <c r="E20" s="26">
        <f>FRECUENCIAS!$I$20*($A20/1440)^0.25</f>
        <v/>
      </c>
      <c r="F20" s="26">
        <f>FRECUENCIAS!$I$21*($A20/1440)^0.25</f>
        <v/>
      </c>
      <c r="G20" s="26">
        <f>FRECUENCIAS!$I$22*($A20/1440)^0.25</f>
        <v/>
      </c>
      <c r="H20" s="26">
        <f>FRECUENCIAS!$I$23*($A20/1440)^0.25</f>
        <v/>
      </c>
      <c r="I20" s="26">
        <f>FRECUENCIAS!$I$24*($A20/1440)^0.25</f>
        <v/>
      </c>
      <c r="J20" s="26">
        <f>FRECUENCIAS!$I$25*($A20/1440)^0.25</f>
        <v/>
      </c>
    </row>
    <row r="21">
      <c r="A21" s="22" t="n">
        <v>1440</v>
      </c>
      <c r="B21" s="26">
        <f>FRECUENCIAS!$I$17*($A21/1440)^0.25</f>
        <v/>
      </c>
      <c r="C21" s="26">
        <f>FRECUENCIAS!$I$18*($A21/1440)^0.25</f>
        <v/>
      </c>
      <c r="D21" s="26">
        <f>FRECUENCIAS!$I$19*($A21/1440)^0.25</f>
        <v/>
      </c>
      <c r="E21" s="26">
        <f>FRECUENCIAS!$I$20*($A21/1440)^0.25</f>
        <v/>
      </c>
      <c r="F21" s="26">
        <f>FRECUENCIAS!$I$21*($A21/1440)^0.25</f>
        <v/>
      </c>
      <c r="G21" s="26">
        <f>FRECUENCIAS!$I$22*($A21/1440)^0.25</f>
        <v/>
      </c>
      <c r="H21" s="26">
        <f>FRECUENCIAS!$I$23*($A21/1440)^0.25</f>
        <v/>
      </c>
      <c r="I21" s="26">
        <f>FRECUENCIAS!$I$24*($A21/1440)^0.25</f>
        <v/>
      </c>
      <c r="J21" s="26">
        <f>FRECUENCIAS!$I$25*($A21/1440)^0.25</f>
        <v/>
      </c>
    </row>
    <row r="24">
      <c r="A24" s="32" t="inlineStr">
        <is>
          <t>I (mm/h) = P x 60 / D</t>
        </is>
      </c>
    </row>
    <row r="25" ht="30" customHeight="1">
      <c r="A25" s="3" t="inlineStr">
        <is>
          <t>D (min)</t>
        </is>
      </c>
      <c r="B25" s="3" t="inlineStr">
        <is>
          <t>T = 2</t>
        </is>
      </c>
      <c r="C25" s="3" t="inlineStr">
        <is>
          <t>T = 5</t>
        </is>
      </c>
      <c r="D25" s="3" t="inlineStr">
        <is>
          <t>T = 10</t>
        </is>
      </c>
      <c r="E25" s="3" t="inlineStr">
        <is>
          <t>T = 20</t>
        </is>
      </c>
      <c r="F25" s="3" t="inlineStr">
        <is>
          <t>T = 25</t>
        </is>
      </c>
      <c r="G25" s="3" t="inlineStr">
        <is>
          <t>T = 50</t>
        </is>
      </c>
      <c r="H25" s="3" t="inlineStr">
        <is>
          <t>T = 100</t>
        </is>
      </c>
      <c r="I25" s="3" t="inlineStr">
        <is>
          <t>T = 200</t>
        </is>
      </c>
      <c r="J25" s="3" t="inlineStr">
        <is>
          <t>T = 500</t>
        </is>
      </c>
    </row>
    <row r="26">
      <c r="A26" s="22" t="n">
        <v>5</v>
      </c>
      <c r="B26" s="26">
        <f>B10*60/$A26</f>
        <v/>
      </c>
      <c r="C26" s="26">
        <f>C10*60/$A26</f>
        <v/>
      </c>
      <c r="D26" s="26">
        <f>D10*60/$A26</f>
        <v/>
      </c>
      <c r="E26" s="26">
        <f>E10*60/$A26</f>
        <v/>
      </c>
      <c r="F26" s="26">
        <f>F10*60/$A26</f>
        <v/>
      </c>
      <c r="G26" s="26">
        <f>G10*60/$A26</f>
        <v/>
      </c>
      <c r="H26" s="26">
        <f>H10*60/$A26</f>
        <v/>
      </c>
      <c r="I26" s="26">
        <f>I10*60/$A26</f>
        <v/>
      </c>
      <c r="J26" s="26">
        <f>J10*60/$A26</f>
        <v/>
      </c>
    </row>
    <row r="27">
      <c r="A27" s="22" t="n">
        <v>10</v>
      </c>
      <c r="B27" s="26">
        <f>B11*60/$A27</f>
        <v/>
      </c>
      <c r="C27" s="26">
        <f>C11*60/$A27</f>
        <v/>
      </c>
      <c r="D27" s="26">
        <f>D11*60/$A27</f>
        <v/>
      </c>
      <c r="E27" s="26">
        <f>E11*60/$A27</f>
        <v/>
      </c>
      <c r="F27" s="8">
        <f>F11*60/$A27</f>
        <v/>
      </c>
      <c r="G27" s="26">
        <f>G11*60/$A27</f>
        <v/>
      </c>
      <c r="H27" s="26">
        <f>H11*60/$A27</f>
        <v/>
      </c>
      <c r="I27" s="26">
        <f>I11*60/$A27</f>
        <v/>
      </c>
      <c r="J27" s="26">
        <f>J11*60/$A27</f>
        <v/>
      </c>
    </row>
    <row r="28">
      <c r="A28" s="22" t="n">
        <v>15</v>
      </c>
      <c r="B28" s="26">
        <f>B12*60/$A28</f>
        <v/>
      </c>
      <c r="C28" s="26">
        <f>C12*60/$A28</f>
        <v/>
      </c>
      <c r="D28" s="26">
        <f>D12*60/$A28</f>
        <v/>
      </c>
      <c r="E28" s="26">
        <f>E12*60/$A28</f>
        <v/>
      </c>
      <c r="F28" s="26">
        <f>F12*60/$A28</f>
        <v/>
      </c>
      <c r="G28" s="26">
        <f>G12*60/$A28</f>
        <v/>
      </c>
      <c r="H28" s="26">
        <f>H12*60/$A28</f>
        <v/>
      </c>
      <c r="I28" s="26">
        <f>I12*60/$A28</f>
        <v/>
      </c>
      <c r="J28" s="26">
        <f>J12*60/$A28</f>
        <v/>
      </c>
    </row>
    <row r="29">
      <c r="A29" s="22" t="n">
        <v>20</v>
      </c>
      <c r="B29" s="26">
        <f>B13*60/$A29</f>
        <v/>
      </c>
      <c r="C29" s="26">
        <f>C13*60/$A29</f>
        <v/>
      </c>
      <c r="D29" s="26">
        <f>D13*60/$A29</f>
        <v/>
      </c>
      <c r="E29" s="26">
        <f>E13*60/$A29</f>
        <v/>
      </c>
      <c r="F29" s="26">
        <f>F13*60/$A29</f>
        <v/>
      </c>
      <c r="G29" s="26">
        <f>G13*60/$A29</f>
        <v/>
      </c>
      <c r="H29" s="26">
        <f>H13*60/$A29</f>
        <v/>
      </c>
      <c r="I29" s="26">
        <f>I13*60/$A29</f>
        <v/>
      </c>
      <c r="J29" s="26">
        <f>J13*60/$A29</f>
        <v/>
      </c>
    </row>
    <row r="30">
      <c r="A30" s="22" t="n">
        <v>30</v>
      </c>
      <c r="B30" s="26">
        <f>B14*60/$A30</f>
        <v/>
      </c>
      <c r="C30" s="26">
        <f>C14*60/$A30</f>
        <v/>
      </c>
      <c r="D30" s="26">
        <f>D14*60/$A30</f>
        <v/>
      </c>
      <c r="E30" s="26">
        <f>E14*60/$A30</f>
        <v/>
      </c>
      <c r="F30" s="26">
        <f>F14*60/$A30</f>
        <v/>
      </c>
      <c r="G30" s="26">
        <f>G14*60/$A30</f>
        <v/>
      </c>
      <c r="H30" s="26">
        <f>H14*60/$A30</f>
        <v/>
      </c>
      <c r="I30" s="26">
        <f>I14*60/$A30</f>
        <v/>
      </c>
      <c r="J30" s="26">
        <f>J14*60/$A30</f>
        <v/>
      </c>
    </row>
    <row r="31">
      <c r="A31" s="22" t="n">
        <v>60</v>
      </c>
      <c r="B31" s="26">
        <f>B15*60/$A31</f>
        <v/>
      </c>
      <c r="C31" s="26">
        <f>C15*60/$A31</f>
        <v/>
      </c>
      <c r="D31" s="26">
        <f>D15*60/$A31</f>
        <v/>
      </c>
      <c r="E31" s="26">
        <f>E15*60/$A31</f>
        <v/>
      </c>
      <c r="F31" s="26">
        <f>F15*60/$A31</f>
        <v/>
      </c>
      <c r="G31" s="26">
        <f>G15*60/$A31</f>
        <v/>
      </c>
      <c r="H31" s="26">
        <f>H15*60/$A31</f>
        <v/>
      </c>
      <c r="I31" s="26">
        <f>I15*60/$A31</f>
        <v/>
      </c>
      <c r="J31" s="26">
        <f>J15*60/$A31</f>
        <v/>
      </c>
    </row>
    <row r="32">
      <c r="A32" s="22" t="n">
        <v>90</v>
      </c>
      <c r="B32" s="26">
        <f>B16*60/$A32</f>
        <v/>
      </c>
      <c r="C32" s="26">
        <f>C16*60/$A32</f>
        <v/>
      </c>
      <c r="D32" s="26">
        <f>D16*60/$A32</f>
        <v/>
      </c>
      <c r="E32" s="26">
        <f>E16*60/$A32</f>
        <v/>
      </c>
      <c r="F32" s="26">
        <f>F16*60/$A32</f>
        <v/>
      </c>
      <c r="G32" s="26">
        <f>G16*60/$A32</f>
        <v/>
      </c>
      <c r="H32" s="26">
        <f>H16*60/$A32</f>
        <v/>
      </c>
      <c r="I32" s="26">
        <f>I16*60/$A32</f>
        <v/>
      </c>
      <c r="J32" s="26">
        <f>J16*60/$A32</f>
        <v/>
      </c>
    </row>
    <row r="33">
      <c r="A33" s="22" t="n">
        <v>120</v>
      </c>
      <c r="B33" s="26">
        <f>B17*60/$A33</f>
        <v/>
      </c>
      <c r="C33" s="26">
        <f>C17*60/$A33</f>
        <v/>
      </c>
      <c r="D33" s="26">
        <f>D17*60/$A33</f>
        <v/>
      </c>
      <c r="E33" s="26">
        <f>E17*60/$A33</f>
        <v/>
      </c>
      <c r="F33" s="26">
        <f>F17*60/$A33</f>
        <v/>
      </c>
      <c r="G33" s="26">
        <f>G17*60/$A33</f>
        <v/>
      </c>
      <c r="H33" s="26">
        <f>H17*60/$A33</f>
        <v/>
      </c>
      <c r="I33" s="26">
        <f>I17*60/$A33</f>
        <v/>
      </c>
      <c r="J33" s="26">
        <f>J17*60/$A33</f>
        <v/>
      </c>
    </row>
    <row r="34">
      <c r="A34" s="22" t="n">
        <v>240</v>
      </c>
      <c r="B34" s="26">
        <f>B18*60/$A34</f>
        <v/>
      </c>
      <c r="C34" s="26">
        <f>C18*60/$A34</f>
        <v/>
      </c>
      <c r="D34" s="26">
        <f>D18*60/$A34</f>
        <v/>
      </c>
      <c r="E34" s="26">
        <f>E18*60/$A34</f>
        <v/>
      </c>
      <c r="F34" s="26">
        <f>F18*60/$A34</f>
        <v/>
      </c>
      <c r="G34" s="26">
        <f>G18*60/$A34</f>
        <v/>
      </c>
      <c r="H34" s="26">
        <f>H18*60/$A34</f>
        <v/>
      </c>
      <c r="I34" s="26">
        <f>I18*60/$A34</f>
        <v/>
      </c>
      <c r="J34" s="26">
        <f>J18*60/$A34</f>
        <v/>
      </c>
    </row>
    <row r="35">
      <c r="A35" s="22" t="n">
        <v>360</v>
      </c>
      <c r="B35" s="26">
        <f>B19*60/$A35</f>
        <v/>
      </c>
      <c r="C35" s="26">
        <f>C19*60/$A35</f>
        <v/>
      </c>
      <c r="D35" s="26">
        <f>D19*60/$A35</f>
        <v/>
      </c>
      <c r="E35" s="26">
        <f>E19*60/$A35</f>
        <v/>
      </c>
      <c r="F35" s="26">
        <f>F19*60/$A35</f>
        <v/>
      </c>
      <c r="G35" s="26">
        <f>G19*60/$A35</f>
        <v/>
      </c>
      <c r="H35" s="26">
        <f>H19*60/$A35</f>
        <v/>
      </c>
      <c r="I35" s="26">
        <f>I19*60/$A35</f>
        <v/>
      </c>
      <c r="J35" s="26">
        <f>J19*60/$A35</f>
        <v/>
      </c>
    </row>
    <row r="36">
      <c r="A36" s="22" t="n">
        <v>720</v>
      </c>
      <c r="B36" s="26">
        <f>B20*60/$A36</f>
        <v/>
      </c>
      <c r="C36" s="26">
        <f>C20*60/$A36</f>
        <v/>
      </c>
      <c r="D36" s="26">
        <f>D20*60/$A36</f>
        <v/>
      </c>
      <c r="E36" s="26">
        <f>E20*60/$A36</f>
        <v/>
      </c>
      <c r="F36" s="26">
        <f>F20*60/$A36</f>
        <v/>
      </c>
      <c r="G36" s="26">
        <f>G20*60/$A36</f>
        <v/>
      </c>
      <c r="H36" s="26">
        <f>H20*60/$A36</f>
        <v/>
      </c>
      <c r="I36" s="26">
        <f>I20*60/$A36</f>
        <v/>
      </c>
      <c r="J36" s="26">
        <f>J20*60/$A36</f>
        <v/>
      </c>
    </row>
    <row r="37">
      <c r="A37" s="22" t="n">
        <v>1440</v>
      </c>
      <c r="B37" s="26">
        <f>B21*60/$A37</f>
        <v/>
      </c>
      <c r="C37" s="26">
        <f>C21*60/$A37</f>
        <v/>
      </c>
      <c r="D37" s="26">
        <f>D21*60/$A37</f>
        <v/>
      </c>
      <c r="E37" s="26">
        <f>E21*60/$A37</f>
        <v/>
      </c>
      <c r="F37" s="26">
        <f>F21*60/$A37</f>
        <v/>
      </c>
      <c r="G37" s="26">
        <f>G21*60/$A37</f>
        <v/>
      </c>
      <c r="H37" s="26">
        <f>H21*60/$A37</f>
        <v/>
      </c>
      <c r="I37" s="26">
        <f>I21*60/$A37</f>
        <v/>
      </c>
      <c r="J37" s="26">
        <f>J21*60/$A37</f>
        <v/>
      </c>
    </row>
    <row r="40">
      <c r="A40" s="32" t="inlineStr">
        <is>
          <t>Regresion multiple I = K T^m / t^n de las intensidades del modelo de Bell (filas inferiores; 5 a 60 min, todos los T):</t>
        </is>
      </c>
    </row>
    <row r="41">
      <c r="A41" s="4" t="inlineStr">
        <is>
          <t>K</t>
        </is>
      </c>
      <c r="B41" s="29" t="n">
        <v>211.66</v>
      </c>
    </row>
    <row r="42">
      <c r="A42" s="4" t="inlineStr">
        <is>
          <t>m</t>
        </is>
      </c>
      <c r="B42" s="29" t="n">
        <v>0.1786</v>
      </c>
    </row>
    <row r="43">
      <c r="A43" s="4" t="inlineStr">
        <is>
          <t>n</t>
        </is>
      </c>
      <c r="B43" s="29" t="n">
        <v>0.5269</v>
      </c>
    </row>
    <row r="45">
      <c r="A45" s="17" t="inlineStr">
        <is>
          <t>Comprobacion: I (T = 25, t = 10 min) con la ecuacion IDF (mm/h)</t>
        </is>
      </c>
      <c r="F45" s="19">
        <f>B41*25^B42/10^B43</f>
        <v/>
      </c>
    </row>
    <row r="46">
      <c r="A46" s="32" t="inlineStr">
        <is>
          <t>Modelo de Bell: P(T,t) = (0.21 ln T + 0.52)(0.54 t^0.25 - 0.50) P60(10);  P60(10) = 0.4602 P24(10)^0.876 =</t>
        </is>
      </c>
      <c r="I46" s="16">
        <f>0.4602*FRECUENCIAS!$I$19^0.876</f>
        <v/>
      </c>
    </row>
    <row r="47" ht="30" customHeight="1">
      <c r="A47" s="3" t="inlineStr">
        <is>
          <t>T (anos)</t>
        </is>
      </c>
      <c r="B47" s="3" t="inlineStr">
        <is>
          <t>P t = 5 min</t>
        </is>
      </c>
      <c r="C47" s="3" t="inlineStr">
        <is>
          <t>P t = 10 min</t>
        </is>
      </c>
      <c r="D47" s="3" t="inlineStr">
        <is>
          <t>P t = 15 min</t>
        </is>
      </c>
      <c r="E47" s="3" t="inlineStr">
        <is>
          <t>P t = 20 min</t>
        </is>
      </c>
      <c r="F47" s="3" t="inlineStr">
        <is>
          <t>P t = 30 min</t>
        </is>
      </c>
      <c r="G47" s="3" t="inlineStr">
        <is>
          <t>P t = 60 min</t>
        </is>
      </c>
      <c r="H47" s="3" t="inlineStr"/>
      <c r="I47" s="3" t="inlineStr"/>
    </row>
    <row r="48">
      <c r="A48" s="22" t="n">
        <v>500</v>
      </c>
      <c r="B48" s="26">
        <f>(0.21*LN($A48)+0.52)*(0.54*5^0.25-0.5)*$I$46</f>
        <v/>
      </c>
      <c r="C48" s="26">
        <f>(0.21*LN($A48)+0.52)*(0.54*10^0.25-0.5)*$I$46</f>
        <v/>
      </c>
      <c r="D48" s="26">
        <f>(0.21*LN($A48)+0.52)*(0.54*15^0.25-0.5)*$I$46</f>
        <v/>
      </c>
      <c r="E48" s="26">
        <f>(0.21*LN($A48)+0.52)*(0.54*20^0.25-0.5)*$I$46</f>
        <v/>
      </c>
      <c r="F48" s="26">
        <f>(0.21*LN($A48)+0.52)*(0.54*30^0.25-0.5)*$I$46</f>
        <v/>
      </c>
      <c r="G48" s="26">
        <f>(0.21*LN($A48)+0.52)*(0.54*60^0.25-0.5)*$I$46</f>
        <v/>
      </c>
    </row>
    <row r="49">
      <c r="A49" s="22" t="n">
        <v>200</v>
      </c>
      <c r="B49" s="26">
        <f>(0.21*LN($A49)+0.52)*(0.54*5^0.25-0.5)*$I$46</f>
        <v/>
      </c>
      <c r="C49" s="26">
        <f>(0.21*LN($A49)+0.52)*(0.54*10^0.25-0.5)*$I$46</f>
        <v/>
      </c>
      <c r="D49" s="26">
        <f>(0.21*LN($A49)+0.52)*(0.54*15^0.25-0.5)*$I$46</f>
        <v/>
      </c>
      <c r="E49" s="26">
        <f>(0.21*LN($A49)+0.52)*(0.54*20^0.25-0.5)*$I$46</f>
        <v/>
      </c>
      <c r="F49" s="26">
        <f>(0.21*LN($A49)+0.52)*(0.54*30^0.25-0.5)*$I$46</f>
        <v/>
      </c>
      <c r="G49" s="26">
        <f>(0.21*LN($A49)+0.52)*(0.54*60^0.25-0.5)*$I$46</f>
        <v/>
      </c>
    </row>
    <row r="50">
      <c r="A50" s="22" t="n">
        <v>100</v>
      </c>
      <c r="B50" s="26">
        <f>(0.21*LN($A50)+0.52)*(0.54*5^0.25-0.5)*$I$46</f>
        <v/>
      </c>
      <c r="C50" s="26">
        <f>(0.21*LN($A50)+0.52)*(0.54*10^0.25-0.5)*$I$46</f>
        <v/>
      </c>
      <c r="D50" s="26">
        <f>(0.21*LN($A50)+0.52)*(0.54*15^0.25-0.5)*$I$46</f>
        <v/>
      </c>
      <c r="E50" s="26">
        <f>(0.21*LN($A50)+0.52)*(0.54*20^0.25-0.5)*$I$46</f>
        <v/>
      </c>
      <c r="F50" s="26">
        <f>(0.21*LN($A50)+0.52)*(0.54*30^0.25-0.5)*$I$46</f>
        <v/>
      </c>
      <c r="G50" s="26">
        <f>(0.21*LN($A50)+0.52)*(0.54*60^0.25-0.5)*$I$46</f>
        <v/>
      </c>
    </row>
    <row r="51">
      <c r="A51" s="22" t="n">
        <v>50</v>
      </c>
      <c r="B51" s="26">
        <f>(0.21*LN($A51)+0.52)*(0.54*5^0.25-0.5)*$I$46</f>
        <v/>
      </c>
      <c r="C51" s="26">
        <f>(0.21*LN($A51)+0.52)*(0.54*10^0.25-0.5)*$I$46</f>
        <v/>
      </c>
      <c r="D51" s="26">
        <f>(0.21*LN($A51)+0.52)*(0.54*15^0.25-0.5)*$I$46</f>
        <v/>
      </c>
      <c r="E51" s="26">
        <f>(0.21*LN($A51)+0.52)*(0.54*20^0.25-0.5)*$I$46</f>
        <v/>
      </c>
      <c r="F51" s="26">
        <f>(0.21*LN($A51)+0.52)*(0.54*30^0.25-0.5)*$I$46</f>
        <v/>
      </c>
      <c r="G51" s="26">
        <f>(0.21*LN($A51)+0.52)*(0.54*60^0.25-0.5)*$I$46</f>
        <v/>
      </c>
    </row>
    <row r="52">
      <c r="A52" s="22" t="n">
        <v>25</v>
      </c>
      <c r="B52" s="26">
        <f>(0.21*LN($A52)+0.52)*(0.54*5^0.25-0.5)*$I$46</f>
        <v/>
      </c>
      <c r="C52" s="26">
        <f>(0.21*LN($A52)+0.52)*(0.54*10^0.25-0.5)*$I$46</f>
        <v/>
      </c>
      <c r="D52" s="26">
        <f>(0.21*LN($A52)+0.52)*(0.54*15^0.25-0.5)*$I$46</f>
        <v/>
      </c>
      <c r="E52" s="26">
        <f>(0.21*LN($A52)+0.52)*(0.54*20^0.25-0.5)*$I$46</f>
        <v/>
      </c>
      <c r="F52" s="26">
        <f>(0.21*LN($A52)+0.52)*(0.54*30^0.25-0.5)*$I$46</f>
        <v/>
      </c>
      <c r="G52" s="26">
        <f>(0.21*LN($A52)+0.52)*(0.54*60^0.25-0.5)*$I$46</f>
        <v/>
      </c>
    </row>
    <row r="53">
      <c r="A53" s="22" t="n">
        <v>20</v>
      </c>
      <c r="B53" s="26">
        <f>(0.21*LN($A53)+0.52)*(0.54*5^0.25-0.5)*$I$46</f>
        <v/>
      </c>
      <c r="C53" s="26">
        <f>(0.21*LN($A53)+0.52)*(0.54*10^0.25-0.5)*$I$46</f>
        <v/>
      </c>
      <c r="D53" s="26">
        <f>(0.21*LN($A53)+0.52)*(0.54*15^0.25-0.5)*$I$46</f>
        <v/>
      </c>
      <c r="E53" s="26">
        <f>(0.21*LN($A53)+0.52)*(0.54*20^0.25-0.5)*$I$46</f>
        <v/>
      </c>
      <c r="F53" s="26">
        <f>(0.21*LN($A53)+0.52)*(0.54*30^0.25-0.5)*$I$46</f>
        <v/>
      </c>
      <c r="G53" s="26">
        <f>(0.21*LN($A53)+0.52)*(0.54*60^0.25-0.5)*$I$46</f>
        <v/>
      </c>
    </row>
    <row r="54">
      <c r="A54" s="22" t="n">
        <v>10</v>
      </c>
      <c r="B54" s="26">
        <f>(0.21*LN($A54)+0.52)*(0.54*5^0.25-0.5)*$I$46</f>
        <v/>
      </c>
      <c r="C54" s="26">
        <f>(0.21*LN($A54)+0.52)*(0.54*10^0.25-0.5)*$I$46</f>
        <v/>
      </c>
      <c r="D54" s="26">
        <f>(0.21*LN($A54)+0.52)*(0.54*15^0.25-0.5)*$I$46</f>
        <v/>
      </c>
      <c r="E54" s="26">
        <f>(0.21*LN($A54)+0.52)*(0.54*20^0.25-0.5)*$I$46</f>
        <v/>
      </c>
      <c r="F54" s="26">
        <f>(0.21*LN($A54)+0.52)*(0.54*30^0.25-0.5)*$I$46</f>
        <v/>
      </c>
      <c r="G54" s="26">
        <f>$I$46</f>
        <v/>
      </c>
    </row>
    <row r="55">
      <c r="A55" s="22" t="n">
        <v>5</v>
      </c>
      <c r="B55" s="26">
        <f>(0.21*LN($A55)+0.52)*(0.54*5^0.25-0.5)*$I$46</f>
        <v/>
      </c>
      <c r="C55" s="26">
        <f>(0.21*LN($A55)+0.52)*(0.54*10^0.25-0.5)*$I$46</f>
        <v/>
      </c>
      <c r="D55" s="26">
        <f>(0.21*LN($A55)+0.52)*(0.54*15^0.25-0.5)*$I$46</f>
        <v/>
      </c>
      <c r="E55" s="26">
        <f>(0.21*LN($A55)+0.52)*(0.54*20^0.25-0.5)*$I$46</f>
        <v/>
      </c>
      <c r="F55" s="26">
        <f>(0.21*LN($A55)+0.52)*(0.54*30^0.25-0.5)*$I$46</f>
        <v/>
      </c>
      <c r="G55" s="26">
        <f>(0.21*LN($A55)+0.52)*(0.54*60^0.25-0.5)*$I$46</f>
        <v/>
      </c>
    </row>
    <row r="56">
      <c r="A56" s="22" t="n">
        <v>2</v>
      </c>
      <c r="B56" s="26">
        <f>(0.21*LN($A56)+0.52)*(0.54*5^0.25-0.5)*$I$46</f>
        <v/>
      </c>
      <c r="C56" s="26">
        <f>(0.21*LN($A56)+0.52)*(0.54*10^0.25-0.5)*$I$46</f>
        <v/>
      </c>
      <c r="D56" s="26">
        <f>(0.21*LN($A56)+0.52)*(0.54*15^0.25-0.5)*$I$46</f>
        <v/>
      </c>
      <c r="E56" s="26">
        <f>(0.21*LN($A56)+0.52)*(0.54*20^0.25-0.5)*$I$46</f>
        <v/>
      </c>
      <c r="F56" s="26">
        <f>(0.21*LN($A56)+0.52)*(0.54*30^0.25-0.5)*$I$46</f>
        <v/>
      </c>
      <c r="G56" s="26">
        <f>(0.21*LN($A56)+0.52)*(0.54*60^0.25-0.5)*$I$46</f>
        <v/>
      </c>
    </row>
    <row r="58">
      <c r="A58" s="32" t="inlineStr">
        <is>
          <t>Intensidades maximas (mm/h) = 60 P / t, redondeadas a 0.1 (regresion de las curvas IDF)</t>
        </is>
      </c>
    </row>
    <row r="59" ht="30" customHeight="1">
      <c r="A59" s="3" t="inlineStr">
        <is>
          <t>T (anos)</t>
        </is>
      </c>
      <c r="B59" s="3" t="inlineStr">
        <is>
          <t>t = 5 min</t>
        </is>
      </c>
      <c r="C59" s="3" t="inlineStr">
        <is>
          <t>t = 10 min</t>
        </is>
      </c>
      <c r="D59" s="3" t="inlineStr">
        <is>
          <t>t = 15 min</t>
        </is>
      </c>
      <c r="E59" s="3" t="inlineStr">
        <is>
          <t>t = 20 min</t>
        </is>
      </c>
      <c r="F59" s="3" t="inlineStr">
        <is>
          <t>t = 30 min</t>
        </is>
      </c>
      <c r="G59" s="3" t="inlineStr">
        <is>
          <t>t = 60 min</t>
        </is>
      </c>
    </row>
    <row r="60">
      <c r="A60" s="22" t="n">
        <v>500</v>
      </c>
      <c r="B60" s="18">
        <f>ROUND(60*B48/5,1)</f>
        <v/>
      </c>
      <c r="C60" s="18">
        <f>ROUND(60*C48/10,1)</f>
        <v/>
      </c>
      <c r="D60" s="18">
        <f>ROUND(60*D48/15,1)</f>
        <v/>
      </c>
      <c r="E60" s="18">
        <f>ROUND(60*E48/20,1)</f>
        <v/>
      </c>
      <c r="F60" s="18">
        <f>ROUND(60*F48/30,1)</f>
        <v/>
      </c>
      <c r="G60" s="18">
        <f>ROUND(60*G48/60,1)</f>
        <v/>
      </c>
    </row>
    <row r="61">
      <c r="A61" s="22" t="n">
        <v>200</v>
      </c>
      <c r="B61" s="18">
        <f>ROUND(60*B49/5,1)</f>
        <v/>
      </c>
      <c r="C61" s="18">
        <f>ROUND(60*C49/10,1)</f>
        <v/>
      </c>
      <c r="D61" s="18">
        <f>ROUND(60*D49/15,1)</f>
        <v/>
      </c>
      <c r="E61" s="18">
        <f>ROUND(60*E49/20,1)</f>
        <v/>
      </c>
      <c r="F61" s="18">
        <f>ROUND(60*F49/30,1)</f>
        <v/>
      </c>
      <c r="G61" s="18">
        <f>ROUND(60*G49/60,1)</f>
        <v/>
      </c>
    </row>
    <row r="62">
      <c r="A62" s="22" t="n">
        <v>100</v>
      </c>
      <c r="B62" s="18">
        <f>ROUND(60*B50/5,1)</f>
        <v/>
      </c>
      <c r="C62" s="18">
        <f>ROUND(60*C50/10,1)</f>
        <v/>
      </c>
      <c r="D62" s="18">
        <f>ROUND(60*D50/15,1)</f>
        <v/>
      </c>
      <c r="E62" s="18">
        <f>ROUND(60*E50/20,1)</f>
        <v/>
      </c>
      <c r="F62" s="18">
        <f>ROUND(60*F50/30,1)</f>
        <v/>
      </c>
      <c r="G62" s="18">
        <f>ROUND(60*G50/60,1)</f>
        <v/>
      </c>
    </row>
    <row r="63">
      <c r="A63" s="22" t="n">
        <v>50</v>
      </c>
      <c r="B63" s="18">
        <f>ROUND(60*B51/5,1)</f>
        <v/>
      </c>
      <c r="C63" s="18">
        <f>ROUND(60*C51/10,1)</f>
        <v/>
      </c>
      <c r="D63" s="18">
        <f>ROUND(60*D51/15,1)</f>
        <v/>
      </c>
      <c r="E63" s="18">
        <f>ROUND(60*E51/20,1)</f>
        <v/>
      </c>
      <c r="F63" s="18">
        <f>ROUND(60*F51/30,1)</f>
        <v/>
      </c>
      <c r="G63" s="18">
        <f>ROUND(60*G51/60,1)</f>
        <v/>
      </c>
    </row>
    <row r="64">
      <c r="A64" s="22" t="n">
        <v>25</v>
      </c>
      <c r="B64" s="18">
        <f>ROUND(60*B52/5,1)</f>
        <v/>
      </c>
      <c r="C64" s="18">
        <f>ROUND(60*C52/10,1)</f>
        <v/>
      </c>
      <c r="D64" s="18">
        <f>ROUND(60*D52/15,1)</f>
        <v/>
      </c>
      <c r="E64" s="18">
        <f>ROUND(60*E52/20,1)</f>
        <v/>
      </c>
      <c r="F64" s="18">
        <f>ROUND(60*F52/30,1)</f>
        <v/>
      </c>
      <c r="G64" s="18">
        <f>ROUND(60*G52/60,1)</f>
        <v/>
      </c>
    </row>
    <row r="65">
      <c r="A65" s="22" t="n">
        <v>20</v>
      </c>
      <c r="B65" s="18">
        <f>ROUND(60*B53/5,1)</f>
        <v/>
      </c>
      <c r="C65" s="18">
        <f>ROUND(60*C53/10,1)</f>
        <v/>
      </c>
      <c r="D65" s="18">
        <f>ROUND(60*D53/15,1)</f>
        <v/>
      </c>
      <c r="E65" s="18">
        <f>ROUND(60*E53/20,1)</f>
        <v/>
      </c>
      <c r="F65" s="18">
        <f>ROUND(60*F53/30,1)</f>
        <v/>
      </c>
      <c r="G65" s="18">
        <f>ROUND(60*G53/60,1)</f>
        <v/>
      </c>
    </row>
    <row r="66">
      <c r="A66" s="22" t="n">
        <v>10</v>
      </c>
      <c r="B66" s="18">
        <f>ROUND(60*B54/5,1)</f>
        <v/>
      </c>
      <c r="C66" s="18">
        <f>ROUND(60*C54/10,1)</f>
        <v/>
      </c>
      <c r="D66" s="18">
        <f>ROUND(60*D54/15,1)</f>
        <v/>
      </c>
      <c r="E66" s="18">
        <f>ROUND(60*E54/20,1)</f>
        <v/>
      </c>
      <c r="F66" s="18">
        <f>ROUND(60*F54/30,1)</f>
        <v/>
      </c>
      <c r="G66" s="18">
        <f>ROUND(60*G54/60,1)</f>
        <v/>
      </c>
    </row>
    <row r="67">
      <c r="A67" s="22" t="n">
        <v>5</v>
      </c>
      <c r="B67" s="18">
        <f>ROUND(60*B55/5,1)</f>
        <v/>
      </c>
      <c r="C67" s="18">
        <f>ROUND(60*C55/10,1)</f>
        <v/>
      </c>
      <c r="D67" s="18">
        <f>ROUND(60*D55/15,1)</f>
        <v/>
      </c>
      <c r="E67" s="18">
        <f>ROUND(60*E55/20,1)</f>
        <v/>
      </c>
      <c r="F67" s="18">
        <f>ROUND(60*F55/30,1)</f>
        <v/>
      </c>
      <c r="G67" s="18">
        <f>ROUND(60*G55/60,1)</f>
        <v/>
      </c>
    </row>
    <row r="68">
      <c r="A68" s="22" t="n">
        <v>2</v>
      </c>
      <c r="B68" s="18">
        <f>ROUND(60*B56/5,1)</f>
        <v/>
      </c>
      <c r="C68" s="18">
        <f>ROUND(60*C56/10,1)</f>
        <v/>
      </c>
      <c r="D68" s="18">
        <f>ROUND(60*D56/15,1)</f>
        <v/>
      </c>
      <c r="E68" s="18">
        <f>ROUND(60*E56/20,1)</f>
        <v/>
      </c>
      <c r="F68" s="18">
        <f>ROUND(60*F56/30,1)</f>
        <v/>
      </c>
      <c r="G68" s="18">
        <f>ROUND(60*G56/60,1)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COEFICIENTE DE ESCORRENTIA PONDERADO (AREA DENTRO DEL CERCO)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 ht="30" customHeight="1">
      <c r="A8" s="3" t="inlineStr">
        <is>
          <t>TIPO DE SUPERFICIE</t>
        </is>
      </c>
      <c r="B8" s="3" t="inlineStr">
        <is>
          <t>AREA (m2)</t>
        </is>
      </c>
      <c r="C8" s="3" t="inlineStr">
        <is>
          <t>C</t>
        </is>
      </c>
      <c r="D8" s="3" t="inlineStr">
        <is>
          <t>C x A</t>
        </is>
      </c>
      <c r="E8" s="3" t="inlineStr">
        <is>
          <t>% DEL AREA</t>
        </is>
      </c>
    </row>
    <row r="9">
      <c r="A9" s="5" t="inlineStr">
        <is>
          <t>Techos: edificaciones, corredores, patio civico techado y losa multiusos techada</t>
        </is>
      </c>
      <c r="B9" s="33" t="n">
        <v>5548</v>
      </c>
      <c r="C9" s="26">
        <f>DATOS!$B$18</f>
        <v/>
      </c>
      <c r="D9" s="34">
        <f>B9*C9</f>
        <v/>
      </c>
      <c r="E9" s="35">
        <f>B9/$B$13</f>
        <v/>
      </c>
    </row>
    <row r="10">
      <c r="A10" s="5" t="inlineStr">
        <is>
          <t>Areas libres de concreto: veredas, patios, atrio y circulaciones</t>
        </is>
      </c>
      <c r="B10" s="33" t="n">
        <v>901</v>
      </c>
      <c r="C10" s="26">
        <f>DATOS!$B$19</f>
        <v/>
      </c>
      <c r="D10" s="34">
        <f>B10*C10</f>
        <v/>
      </c>
      <c r="E10" s="35">
        <f>B10/$B$13</f>
        <v/>
      </c>
    </row>
    <row r="11">
      <c r="A11" s="5" t="inlineStr">
        <is>
          <t>Patio de maniobra y estacionamiento (pavimento de concreto)</t>
        </is>
      </c>
      <c r="B11" s="33" t="n">
        <v>623</v>
      </c>
      <c r="C11" s="26">
        <f>DATOS!$B$20</f>
        <v/>
      </c>
      <c r="D11" s="34">
        <f>B11*C11</f>
        <v/>
      </c>
      <c r="E11" s="35">
        <f>B11/$B$13</f>
        <v/>
      </c>
    </row>
    <row r="12">
      <c r="A12" s="5" t="inlineStr">
        <is>
          <t>Areas verdes y terreno natural (relleno nivelado)</t>
        </is>
      </c>
      <c r="B12" s="33" t="n">
        <v>2321</v>
      </c>
      <c r="C12" s="26">
        <f>DATOS!$B$21</f>
        <v/>
      </c>
      <c r="D12" s="34">
        <f>B12*C12</f>
        <v/>
      </c>
      <c r="E12" s="35">
        <f>B12/$B$13</f>
        <v/>
      </c>
    </row>
    <row r="13">
      <c r="A13" s="4" t="inlineStr">
        <is>
          <t>TOTAL / C PONDERADO</t>
        </is>
      </c>
      <c r="B13" s="36">
        <f>SUM(B9:B12)</f>
        <v/>
      </c>
      <c r="C13" s="37">
        <f>D13/B13</f>
        <v/>
      </c>
      <c r="D13" s="38">
        <f>SUM(D9:D12)</f>
        <v/>
      </c>
      <c r="E13" s="39">
        <f>SUM(E9:E12)</f>
        <v/>
      </c>
    </row>
    <row r="15">
      <c r="A15" s="32" t="inlineStr">
        <is>
          <t>DETALLE POR ZONA (NOMBRES DEL CUADRO DE AREAS DE ARQUITECTURA)</t>
        </is>
      </c>
    </row>
    <row r="16" ht="30" customHeight="1">
      <c r="A16" s="3" t="inlineStr">
        <is>
          <t>ZONA</t>
        </is>
      </c>
      <c r="B16" s="3" t="inlineStr">
        <is>
          <t>AREA (m2)</t>
        </is>
      </c>
      <c r="C16" s="3" t="inlineStr">
        <is>
          <t>C</t>
        </is>
      </c>
      <c r="D16" s="3" t="inlineStr">
        <is>
          <t>C x A</t>
        </is>
      </c>
      <c r="E16" s="3" t="inlineStr">
        <is>
          <t>TIPO</t>
        </is>
      </c>
    </row>
    <row r="17">
      <c r="A17" s="5" t="inlineStr">
        <is>
          <t>Coberturas de las edificaciones y corredores techados</t>
        </is>
      </c>
      <c r="B17" s="34" t="n">
        <v>4129.6</v>
      </c>
      <c r="C17" s="26">
        <f>DATOS!$B$18</f>
        <v/>
      </c>
      <c r="D17" s="34">
        <f>B17*C17</f>
        <v/>
      </c>
      <c r="E17" s="5" t="inlineStr">
        <is>
          <t>TECHO</t>
        </is>
      </c>
    </row>
    <row r="18">
      <c r="A18" s="5" t="inlineStr">
        <is>
          <t>Patio civico techado</t>
        </is>
      </c>
      <c r="B18" s="34" t="n">
        <v>517.7</v>
      </c>
      <c r="C18" s="26">
        <f>DATOS!$B$18</f>
        <v/>
      </c>
      <c r="D18" s="34">
        <f>B18*C18</f>
        <v/>
      </c>
      <c r="E18" s="5" t="inlineStr">
        <is>
          <t>TECHO</t>
        </is>
      </c>
    </row>
    <row r="19">
      <c r="A19" s="5" t="inlineStr">
        <is>
          <t>Losa multiusos tipo I techada</t>
        </is>
      </c>
      <c r="B19" s="34" t="n">
        <v>829.4</v>
      </c>
      <c r="C19" s="26">
        <f>DATOS!$B$18</f>
        <v/>
      </c>
      <c r="D19" s="34">
        <f>B19*C19</f>
        <v/>
      </c>
      <c r="E19" s="5" t="inlineStr">
        <is>
          <t>TECHO</t>
        </is>
      </c>
    </row>
    <row r="20">
      <c r="A20" s="5" t="inlineStr">
        <is>
          <t>Patio 01: ingreso principal</t>
        </is>
      </c>
      <c r="B20" s="34" t="n">
        <v>118.8</v>
      </c>
      <c r="C20" s="26">
        <f>DATOS!$B$19</f>
        <v/>
      </c>
      <c r="D20" s="34">
        <f>B20*C20</f>
        <v/>
      </c>
      <c r="E20" s="5" t="inlineStr">
        <is>
          <t>AREA LIBRE</t>
        </is>
      </c>
    </row>
    <row r="21">
      <c r="A21" s="5" t="inlineStr">
        <is>
          <t>Patio 02: circulacion principal</t>
        </is>
      </c>
      <c r="B21" s="34" t="n">
        <v>194.2</v>
      </c>
      <c r="C21" s="26">
        <f>DATOS!$B$19</f>
        <v/>
      </c>
      <c r="D21" s="34">
        <f>B21*C21</f>
        <v/>
      </c>
      <c r="E21" s="5" t="inlineStr">
        <is>
          <t>AREA LIBRE</t>
        </is>
      </c>
    </row>
    <row r="22">
      <c r="A22" s="5" t="inlineStr">
        <is>
          <t>Patio 03: area privada de estudiantes</t>
        </is>
      </c>
      <c r="B22" s="34" t="n">
        <v>257.9</v>
      </c>
      <c r="C22" s="26">
        <f>DATOS!$B$19</f>
        <v/>
      </c>
      <c r="D22" s="34">
        <f>B22*C22</f>
        <v/>
      </c>
      <c r="E22" s="5" t="inlineStr">
        <is>
          <t>AREA LIBRE</t>
        </is>
      </c>
    </row>
    <row r="23">
      <c r="A23" s="5" t="inlineStr">
        <is>
          <t>Patio 04: asta de bandera</t>
        </is>
      </c>
      <c r="B23" s="34" t="n">
        <v>87.7</v>
      </c>
      <c r="C23" s="26">
        <f>DATOS!$B$19</f>
        <v/>
      </c>
      <c r="D23" s="34">
        <f>B23*C23</f>
        <v/>
      </c>
      <c r="E23" s="5" t="inlineStr">
        <is>
          <t>AREA LIBRE</t>
        </is>
      </c>
    </row>
    <row r="24">
      <c r="A24" s="5" t="inlineStr">
        <is>
          <t>Veredas, circulaciones, atrio y losa del area de tratamiento</t>
        </is>
      </c>
      <c r="B24" s="34" t="n">
        <v>202.5</v>
      </c>
      <c r="C24" s="26">
        <f>DATOS!$B$19</f>
        <v/>
      </c>
      <c r="D24" s="34">
        <f>B24*C24</f>
        <v/>
      </c>
      <c r="E24" s="5" t="inlineStr">
        <is>
          <t>AREA LIBRE</t>
        </is>
      </c>
    </row>
    <row r="25">
      <c r="A25" s="5" t="inlineStr">
        <is>
          <t>Patio de maniobra y estacionamiento</t>
        </is>
      </c>
      <c r="B25" s="34" t="n">
        <v>647.3</v>
      </c>
      <c r="C25" s="26">
        <f>DATOS!$B$20</f>
        <v/>
      </c>
      <c r="D25" s="34">
        <f>B25*C25</f>
        <v/>
      </c>
      <c r="E25" s="5" t="inlineStr">
        <is>
          <t>ESTACIONAM.</t>
        </is>
      </c>
    </row>
    <row r="26">
      <c r="A26" s="5" t="inlineStr">
        <is>
          <t>Areas verdes, jardines y terreno natural nivelado</t>
        </is>
      </c>
      <c r="B26" s="34" t="n">
        <v>2379.7</v>
      </c>
      <c r="C26" s="26">
        <f>DATOS!$B$21</f>
        <v/>
      </c>
      <c r="D26" s="34">
        <f>B26*C26</f>
        <v/>
      </c>
      <c r="E26" s="5" t="inlineStr">
        <is>
          <t>AREA VERDE</t>
        </is>
      </c>
    </row>
    <row r="27">
      <c r="A27" s="4" t="inlineStr">
        <is>
          <t>TOTAL (AREA DENTRO DEL CERCO)</t>
        </is>
      </c>
      <c r="B27" s="38">
        <f>SUM(B17:B26)</f>
        <v/>
      </c>
      <c r="C27" s="37">
        <f>D27/B27</f>
        <v/>
      </c>
      <c r="D27" s="38">
        <f>SUM(D17:D26)</f>
        <v/>
      </c>
    </row>
    <row r="29">
      <c r="A29" s="17" t="inlineStr">
        <is>
          <t>Areas medidas a escala real en la planta del proyecto dentro del cerco. Tabla superior: celdas de 1 m2 asignadas a cada tramo (base del calculo de caudales). Detalle: poligonos de cada zona (techos = proyeccion de coberturas, incluye patio civico y losa multiusos techados; areas libres = veredas, patios, atrio y circulaciones; patio de maniobra y estacionamiento; el resto, areas verdes y terreno nivelado).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10" customWidth="1" min="4" max="4"/>
    <col width="7" customWidth="1" min="5" max="5"/>
    <col width="9" customWidth="1" min="6" max="6"/>
    <col width="9" customWidth="1" min="7" max="7"/>
    <col width="8" customWidth="1" min="8" max="8"/>
    <col width="7" customWidth="1" min="9" max="9"/>
    <col width="8" customWidth="1" min="10" max="10"/>
    <col width="9" customWidth="1" min="11" max="11"/>
    <col width="9" customWidth="1" min="12" max="12"/>
    <col width="8" customWidth="1" min="13" max="13"/>
    <col width="8" customWidth="1" min="14" max="14"/>
    <col width="10" customWidth="1" min="15" max="15"/>
    <col width="9" customWidth="1" min="16" max="16"/>
    <col width="10" customWidth="1" min="17" max="17"/>
    <col width="9" customWidth="1" min="18" max="18"/>
    <col width="8" customWidth="1" min="19" max="19"/>
    <col width="10" customWidth="1" min="20" max="20"/>
  </cols>
  <sheetData>
    <row r="1">
      <c r="A1" s="1" t="inlineStr">
        <is>
          <t>CAUDALES DE DISENO (METODO RACIONAL) Y VERIFICACION HIDRAULICA (MANNING) POR TRAMO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 ht="30" customHeight="1">
      <c r="A8" s="3" t="inlineStr">
        <is>
          <t>EJE</t>
        </is>
      </c>
      <c r="B8" s="3" t="inlineStr">
        <is>
          <t>DE</t>
        </is>
      </c>
      <c r="C8" s="3" t="inlineStr">
        <is>
          <t>A</t>
        </is>
      </c>
      <c r="D8" s="3" t="inlineStr">
        <is>
          <t>AREA ACUM. (m2)</t>
        </is>
      </c>
      <c r="E8" s="3" t="inlineStr">
        <is>
          <t>C POND.</t>
        </is>
      </c>
      <c r="F8" s="3" t="inlineStr">
        <is>
          <t>I (mm/h)</t>
        </is>
      </c>
      <c r="G8" s="3" t="inlineStr">
        <is>
          <t>Q (m3/s)</t>
        </is>
      </c>
      <c r="H8" s="3" t="inlineStr">
        <is>
          <t>Q (l/s)</t>
        </is>
      </c>
      <c r="I8" s="3" t="inlineStr">
        <is>
          <t>S (%)</t>
        </is>
      </c>
      <c r="J8" s="3" t="inlineStr">
        <is>
          <t>h LIBRE (m)</t>
        </is>
      </c>
      <c r="K8" s="3" t="inlineStr">
        <is>
          <t>y (m) n=0.015</t>
        </is>
      </c>
      <c r="L8" s="3" t="inlineStr">
        <is>
          <t>A=b y (m2)</t>
        </is>
      </c>
      <c r="M8" s="3" t="inlineStr">
        <is>
          <t>P=b+2y (m)</t>
        </is>
      </c>
      <c r="N8" s="3" t="inlineStr">
        <is>
          <t>R (m)</t>
        </is>
      </c>
      <c r="O8" s="3" t="inlineStr">
        <is>
          <t>Q MANNING (m3/s)</t>
        </is>
      </c>
      <c r="P8" s="3" t="inlineStr">
        <is>
          <t>BORDE LIBRE (m)</t>
        </is>
      </c>
      <c r="Q8" s="3" t="inlineStr">
        <is>
          <t>CAPACIDAD</t>
        </is>
      </c>
      <c r="R8" s="3" t="inlineStr">
        <is>
          <t>y (m) n=0.013</t>
        </is>
      </c>
      <c r="S8" s="3" t="inlineStr">
        <is>
          <t>V (m/s)</t>
        </is>
      </c>
      <c r="T8" s="3" t="inlineStr">
        <is>
          <t>VELOCIDAD</t>
        </is>
      </c>
    </row>
    <row r="9">
      <c r="A9" s="5" t="inlineStr">
        <is>
          <t>EJE-01</t>
        </is>
      </c>
      <c r="B9" s="5" t="inlineStr">
        <is>
          <t>P-01</t>
        </is>
      </c>
      <c r="C9" s="5" t="inlineStr">
        <is>
          <t>P-02</t>
        </is>
      </c>
      <c r="D9" s="33" t="n">
        <v>533</v>
      </c>
      <c r="E9" s="25" t="n">
        <v>0.575</v>
      </c>
      <c r="F9" s="26">
        <f>DATOS!$B$17</f>
        <v/>
      </c>
      <c r="G9" s="21">
        <f>E9*F9*D9*DATOS!$B$22/3600000</f>
        <v/>
      </c>
      <c r="H9" s="18">
        <f>G9*1000</f>
        <v/>
      </c>
      <c r="I9" s="26" t="n">
        <v>0.5</v>
      </c>
      <c r="J9" s="26" t="n">
        <v>0.3</v>
      </c>
      <c r="K9" s="25" t="n">
        <v>0.0948</v>
      </c>
      <c r="L9" s="21">
        <f>DATOS!$B$12*K9</f>
        <v/>
      </c>
      <c r="M9" s="25">
        <f>DATOS!$B$12+2*K9</f>
        <v/>
      </c>
      <c r="N9" s="21">
        <f>L9/M9</f>
        <v/>
      </c>
      <c r="O9" s="21">
        <f>L9*N9^(2/3)*SQRT(I9/100)/DATOS!$B$10</f>
        <v/>
      </c>
      <c r="P9" s="25">
        <f>J9-K9</f>
        <v/>
      </c>
      <c r="Q9" s="5">
        <f>IF(P9&gt;=DATOS!$B$13-0.001,"CUMPLE","NO CUMPLE")</f>
        <v/>
      </c>
      <c r="R9" s="25" t="n">
        <v>0.08599999999999999</v>
      </c>
      <c r="S9" s="26">
        <f>G9/(DATOS!$B$12*R9)</f>
        <v/>
      </c>
      <c r="T9" s="5">
        <f>IF(S9&lt;=DATOS!$B$14,"CUMPLE","NO CUMPLE")</f>
        <v/>
      </c>
    </row>
    <row r="10">
      <c r="A10" s="5" t="inlineStr">
        <is>
          <t>EJE-01</t>
        </is>
      </c>
      <c r="B10" s="5" t="inlineStr">
        <is>
          <t>P-02</t>
        </is>
      </c>
      <c r="C10" s="5" t="inlineStr">
        <is>
          <t>P-03</t>
        </is>
      </c>
      <c r="D10" s="33" t="n">
        <v>559</v>
      </c>
      <c r="E10" s="25" t="n">
        <v>0.5669999999999999</v>
      </c>
      <c r="F10" s="26">
        <f>DATOS!$B$17</f>
        <v/>
      </c>
      <c r="G10" s="21">
        <f>E10*F10*D10*DATOS!$B$22/3600000</f>
        <v/>
      </c>
      <c r="H10" s="18">
        <f>G10*1000</f>
        <v/>
      </c>
      <c r="I10" s="26" t="n">
        <v>0.5</v>
      </c>
      <c r="J10" s="26" t="n">
        <v>0.46</v>
      </c>
      <c r="K10" s="25" t="n">
        <v>0.09710000000000001</v>
      </c>
      <c r="L10" s="21">
        <f>DATOS!$B$12*K10</f>
        <v/>
      </c>
      <c r="M10" s="25">
        <f>DATOS!$B$12+2*K10</f>
        <v/>
      </c>
      <c r="N10" s="21">
        <f>L10/M10</f>
        <v/>
      </c>
      <c r="O10" s="21">
        <f>L10*N10^(2/3)*SQRT(I10/100)/DATOS!$B$10</f>
        <v/>
      </c>
      <c r="P10" s="25">
        <f>J10-K10</f>
        <v/>
      </c>
      <c r="Q10" s="5">
        <f>IF(P10&gt;=DATOS!$B$13-0.001,"CUMPLE","NO CUMPLE")</f>
        <v/>
      </c>
      <c r="R10" s="25" t="n">
        <v>0.08799999999999999</v>
      </c>
      <c r="S10" s="26">
        <f>G10/(DATOS!$B$12*R10)</f>
        <v/>
      </c>
      <c r="T10" s="5">
        <f>IF(S10&lt;=DATOS!$B$14,"CUMPLE","NO CUMPLE")</f>
        <v/>
      </c>
    </row>
    <row r="11">
      <c r="A11" s="5" t="inlineStr">
        <is>
          <t>EJE-02</t>
        </is>
      </c>
      <c r="B11" s="5" t="inlineStr">
        <is>
          <t>P-04</t>
        </is>
      </c>
      <c r="C11" s="5" t="inlineStr">
        <is>
          <t>P-05</t>
        </is>
      </c>
      <c r="D11" s="33" t="n">
        <v>413</v>
      </c>
      <c r="E11" s="25" t="n">
        <v>0.621</v>
      </c>
      <c r="F11" s="26">
        <f>DATOS!$B$17</f>
        <v/>
      </c>
      <c r="G11" s="21">
        <f>E11*F11*D11*DATOS!$B$22/3600000</f>
        <v/>
      </c>
      <c r="H11" s="18">
        <f>G11*1000</f>
        <v/>
      </c>
      <c r="I11" s="26" t="n">
        <v>0.5</v>
      </c>
      <c r="J11" s="26" t="n">
        <v>0.3</v>
      </c>
      <c r="K11" s="25" t="n">
        <v>0.0839</v>
      </c>
      <c r="L11" s="21">
        <f>DATOS!$B$12*K11</f>
        <v/>
      </c>
      <c r="M11" s="25">
        <f>DATOS!$B$12+2*K11</f>
        <v/>
      </c>
      <c r="N11" s="21">
        <f>L11/M11</f>
        <v/>
      </c>
      <c r="O11" s="21">
        <f>L11*N11^(2/3)*SQRT(I11/100)/DATOS!$B$10</f>
        <v/>
      </c>
      <c r="P11" s="25">
        <f>J11-K11</f>
        <v/>
      </c>
      <c r="Q11" s="5">
        <f>IF(P11&gt;=DATOS!$B$13-0.001,"CUMPLE","NO CUMPLE")</f>
        <v/>
      </c>
      <c r="R11" s="25" t="n">
        <v>0.0761</v>
      </c>
      <c r="S11" s="26">
        <f>G11/(DATOS!$B$12*R11)</f>
        <v/>
      </c>
      <c r="T11" s="5">
        <f>IF(S11&lt;=DATOS!$B$14,"CUMPLE","NO CUMPLE")</f>
        <v/>
      </c>
    </row>
    <row r="12">
      <c r="A12" s="5" t="inlineStr">
        <is>
          <t>EJE-02</t>
        </is>
      </c>
      <c r="B12" s="5" t="inlineStr">
        <is>
          <t>P-05</t>
        </is>
      </c>
      <c r="C12" s="5" t="inlineStr">
        <is>
          <t>P-06</t>
        </is>
      </c>
      <c r="D12" s="33" t="n">
        <v>440</v>
      </c>
      <c r="E12" s="25" t="n">
        <v>0.617</v>
      </c>
      <c r="F12" s="26">
        <f>DATOS!$B$17</f>
        <v/>
      </c>
      <c r="G12" s="21">
        <f>E12*F12*D12*DATOS!$B$22/3600000</f>
        <v/>
      </c>
      <c r="H12" s="18">
        <f>G12*1000</f>
        <v/>
      </c>
      <c r="I12" s="26" t="n">
        <v>0.5</v>
      </c>
      <c r="J12" s="26" t="n">
        <v>0.46</v>
      </c>
      <c r="K12" s="25" t="n">
        <v>0.0872</v>
      </c>
      <c r="L12" s="21">
        <f>DATOS!$B$12*K12</f>
        <v/>
      </c>
      <c r="M12" s="25">
        <f>DATOS!$B$12+2*K12</f>
        <v/>
      </c>
      <c r="N12" s="21">
        <f>L12/M12</f>
        <v/>
      </c>
      <c r="O12" s="21">
        <f>L12*N12^(2/3)*SQRT(I12/100)/DATOS!$B$10</f>
        <v/>
      </c>
      <c r="P12" s="25">
        <f>J12-K12</f>
        <v/>
      </c>
      <c r="Q12" s="5">
        <f>IF(P12&gt;=DATOS!$B$13-0.001,"CUMPLE","NO CUMPLE")</f>
        <v/>
      </c>
      <c r="R12" s="25" t="n">
        <v>0.0791</v>
      </c>
      <c r="S12" s="26">
        <f>G12/(DATOS!$B$12*R12)</f>
        <v/>
      </c>
      <c r="T12" s="5">
        <f>IF(S12&lt;=DATOS!$B$14,"CUMPLE","NO CUMPLE")</f>
        <v/>
      </c>
    </row>
    <row r="13">
      <c r="A13" s="5" t="inlineStr">
        <is>
          <t>EJE-02</t>
        </is>
      </c>
      <c r="B13" s="5" t="inlineStr">
        <is>
          <t>P-06</t>
        </is>
      </c>
      <c r="C13" s="5" t="inlineStr">
        <is>
          <t>P-07</t>
        </is>
      </c>
      <c r="D13" s="33" t="n">
        <v>528</v>
      </c>
      <c r="E13" s="25" t="n">
        <v>0.661</v>
      </c>
      <c r="F13" s="26">
        <f>DATOS!$B$17</f>
        <v/>
      </c>
      <c r="G13" s="21">
        <f>E13*F13*D13*DATOS!$B$22/3600000</f>
        <v/>
      </c>
      <c r="H13" s="18">
        <f>G13*1000</f>
        <v/>
      </c>
      <c r="I13" s="26" t="n">
        <v>0.5</v>
      </c>
      <c r="J13" s="26" t="n">
        <v>0.46</v>
      </c>
      <c r="K13" s="25" t="n">
        <v>0.1038</v>
      </c>
      <c r="L13" s="21">
        <f>DATOS!$B$12*K13</f>
        <v/>
      </c>
      <c r="M13" s="25">
        <f>DATOS!$B$12+2*K13</f>
        <v/>
      </c>
      <c r="N13" s="21">
        <f>L13/M13</f>
        <v/>
      </c>
      <c r="O13" s="21">
        <f>L13*N13^(2/3)*SQRT(I13/100)/DATOS!$B$10</f>
        <v/>
      </c>
      <c r="P13" s="25">
        <f>J13-K13</f>
        <v/>
      </c>
      <c r="Q13" s="5">
        <f>IF(P13&gt;=DATOS!$B$13-0.001,"CUMPLE","NO CUMPLE")</f>
        <v/>
      </c>
      <c r="R13" s="25" t="n">
        <v>0.094</v>
      </c>
      <c r="S13" s="26">
        <f>G13/(DATOS!$B$12*R13)</f>
        <v/>
      </c>
      <c r="T13" s="5">
        <f>IF(S13&lt;=DATOS!$B$14,"CUMPLE","NO CUMPLE")</f>
        <v/>
      </c>
    </row>
    <row r="14">
      <c r="A14" s="5" t="inlineStr">
        <is>
          <t>EJE-02</t>
        </is>
      </c>
      <c r="B14" s="5" t="inlineStr">
        <is>
          <t>P-07</t>
        </is>
      </c>
      <c r="C14" s="5" t="inlineStr">
        <is>
          <t>P-08</t>
        </is>
      </c>
      <c r="D14" s="33" t="n">
        <v>965</v>
      </c>
      <c r="E14" s="25" t="n">
        <v>0.727</v>
      </c>
      <c r="F14" s="26">
        <f>DATOS!$B$17</f>
        <v/>
      </c>
      <c r="G14" s="21">
        <f>E14*F14*D14*DATOS!$B$22/3600000</f>
        <v/>
      </c>
      <c r="H14" s="18">
        <f>G14*1000</f>
        <v/>
      </c>
      <c r="I14" s="26" t="n">
        <v>2.92</v>
      </c>
      <c r="J14" s="26" t="n">
        <v>0.52</v>
      </c>
      <c r="K14" s="25" t="n">
        <v>0.09130000000000001</v>
      </c>
      <c r="L14" s="21">
        <f>DATOS!$B$12*K14</f>
        <v/>
      </c>
      <c r="M14" s="25">
        <f>DATOS!$B$12+2*K14</f>
        <v/>
      </c>
      <c r="N14" s="21">
        <f>L14/M14</f>
        <v/>
      </c>
      <c r="O14" s="21">
        <f>L14*N14^(2/3)*SQRT(I14/100)/DATOS!$B$10</f>
        <v/>
      </c>
      <c r="P14" s="25">
        <f>J14-K14</f>
        <v/>
      </c>
      <c r="Q14" s="5">
        <f>IF(P14&gt;=DATOS!$B$13-0.001,"CUMPLE","NO CUMPLE")</f>
        <v/>
      </c>
      <c r="R14" s="25" t="n">
        <v>0.0828</v>
      </c>
      <c r="S14" s="26">
        <f>G14/(DATOS!$B$12*R14)</f>
        <v/>
      </c>
      <c r="T14" s="5">
        <f>IF(S14&lt;=DATOS!$B$14,"CUMPLE","NO CUMPLE")</f>
        <v/>
      </c>
    </row>
    <row r="15">
      <c r="A15" s="5" t="inlineStr">
        <is>
          <t>EJE-02</t>
        </is>
      </c>
      <c r="B15" s="5" t="inlineStr">
        <is>
          <t>P-08</t>
        </is>
      </c>
      <c r="C15" s="5" t="inlineStr">
        <is>
          <t>P-09</t>
        </is>
      </c>
      <c r="D15" s="33" t="n">
        <v>2225</v>
      </c>
      <c r="E15" s="25" t="n">
        <v>0.711</v>
      </c>
      <c r="F15" s="26">
        <f>DATOS!$B$17</f>
        <v/>
      </c>
      <c r="G15" s="21">
        <f>E15*F15*D15*DATOS!$B$22/3600000</f>
        <v/>
      </c>
      <c r="H15" s="18">
        <f>G15*1000</f>
        <v/>
      </c>
      <c r="I15" s="26" t="n">
        <v>0.5</v>
      </c>
      <c r="J15" s="26" t="n">
        <v>0.77</v>
      </c>
      <c r="K15" s="25" t="n">
        <v>0.318</v>
      </c>
      <c r="L15" s="21">
        <f>DATOS!$B$12*K15</f>
        <v/>
      </c>
      <c r="M15" s="25">
        <f>DATOS!$B$12+2*K15</f>
        <v/>
      </c>
      <c r="N15" s="21">
        <f>L15/M15</f>
        <v/>
      </c>
      <c r="O15" s="21">
        <f>L15*N15^(2/3)*SQRT(I15/100)/DATOS!$B$10</f>
        <v/>
      </c>
      <c r="P15" s="25">
        <f>J15-K15</f>
        <v/>
      </c>
      <c r="Q15" s="5">
        <f>IF(P15&gt;=DATOS!$B$13-0.001,"CUMPLE","NO CUMPLE")</f>
        <v/>
      </c>
      <c r="R15" s="25" t="n">
        <v>0.284</v>
      </c>
      <c r="S15" s="26">
        <f>G15/(DATOS!$B$12*R15)</f>
        <v/>
      </c>
      <c r="T15" s="5">
        <f>IF(S15&lt;=DATOS!$B$14,"CUMPLE","NO CUMPLE")</f>
        <v/>
      </c>
    </row>
    <row r="16">
      <c r="A16" s="5" t="inlineStr">
        <is>
          <t>EJE-02</t>
        </is>
      </c>
      <c r="B16" s="5" t="inlineStr">
        <is>
          <t>P-09</t>
        </is>
      </c>
      <c r="C16" s="5" t="inlineStr">
        <is>
          <t>P-10</t>
        </is>
      </c>
      <c r="D16" s="33" t="n">
        <v>2226</v>
      </c>
      <c r="E16" s="25" t="n">
        <v>0.711</v>
      </c>
      <c r="F16" s="26">
        <f>DATOS!$B$17</f>
        <v/>
      </c>
      <c r="G16" s="21">
        <f>E16*F16*D16*DATOS!$B$22/3600000</f>
        <v/>
      </c>
      <c r="H16" s="18">
        <f>G16*1000</f>
        <v/>
      </c>
      <c r="I16" s="26" t="n">
        <v>0.5</v>
      </c>
      <c r="J16" s="26" t="n">
        <v>0.83</v>
      </c>
      <c r="K16" s="25" t="n">
        <v>0.3181</v>
      </c>
      <c r="L16" s="21">
        <f>DATOS!$B$12*K16</f>
        <v/>
      </c>
      <c r="M16" s="25">
        <f>DATOS!$B$12+2*K16</f>
        <v/>
      </c>
      <c r="N16" s="21">
        <f>L16/M16</f>
        <v/>
      </c>
      <c r="O16" s="21">
        <f>L16*N16^(2/3)*SQRT(I16/100)/DATOS!$B$10</f>
        <v/>
      </c>
      <c r="P16" s="25">
        <f>J16-K16</f>
        <v/>
      </c>
      <c r="Q16" s="5">
        <f>IF(P16&gt;=DATOS!$B$13-0.001,"CUMPLE","NO CUMPLE")</f>
        <v/>
      </c>
      <c r="R16" s="25" t="n">
        <v>0.2841</v>
      </c>
      <c r="S16" s="26">
        <f>G16/(DATOS!$B$12*R16)</f>
        <v/>
      </c>
      <c r="T16" s="5">
        <f>IF(S16&lt;=DATOS!$B$14,"CUMPLE","NO CUMPLE")</f>
        <v/>
      </c>
    </row>
    <row r="17">
      <c r="A17" s="5" t="inlineStr">
        <is>
          <t>EJE-02</t>
        </is>
      </c>
      <c r="B17" s="5" t="inlineStr">
        <is>
          <t>P-10</t>
        </is>
      </c>
      <c r="C17" s="5" t="inlineStr">
        <is>
          <t>P-11</t>
        </is>
      </c>
      <c r="D17" s="33" t="n">
        <v>2979</v>
      </c>
      <c r="E17" s="25" t="n">
        <v>0.715</v>
      </c>
      <c r="F17" s="26">
        <f>DATOS!$B$17</f>
        <v/>
      </c>
      <c r="G17" s="21">
        <f>E17*F17*D17*DATOS!$B$22/3600000</f>
        <v/>
      </c>
      <c r="H17" s="18">
        <f>G17*1000</f>
        <v/>
      </c>
      <c r="I17" s="26" t="n">
        <v>0.5</v>
      </c>
      <c r="J17" s="26" t="n">
        <v>0.83</v>
      </c>
      <c r="K17" s="25" t="n">
        <v>0.4044</v>
      </c>
      <c r="L17" s="21">
        <f>DATOS!$B$12*K17</f>
        <v/>
      </c>
      <c r="M17" s="25">
        <f>DATOS!$B$12+2*K17</f>
        <v/>
      </c>
      <c r="N17" s="21">
        <f>L17/M17</f>
        <v/>
      </c>
      <c r="O17" s="21">
        <f>L17*N17^(2/3)*SQRT(I17/100)/DATOS!$B$10</f>
        <v/>
      </c>
      <c r="P17" s="25">
        <f>J17-K17</f>
        <v/>
      </c>
      <c r="Q17" s="5">
        <f>IF(P17&gt;=DATOS!$B$13-0.001,"CUMPLE","NO CUMPLE")</f>
        <v/>
      </c>
      <c r="R17" s="25" t="n">
        <v>0.36</v>
      </c>
      <c r="S17" s="26">
        <f>G17/(DATOS!$B$12*R17)</f>
        <v/>
      </c>
      <c r="T17" s="5">
        <f>IF(S17&lt;=DATOS!$B$14,"CUMPLE","NO CUMPLE")</f>
        <v/>
      </c>
    </row>
    <row r="18">
      <c r="A18" s="5" t="inlineStr">
        <is>
          <t>EJE-02</t>
        </is>
      </c>
      <c r="B18" s="5" t="inlineStr">
        <is>
          <t>P-11</t>
        </is>
      </c>
      <c r="C18" s="5" t="inlineStr">
        <is>
          <t>P-03</t>
        </is>
      </c>
      <c r="D18" s="33" t="n">
        <v>2980</v>
      </c>
      <c r="E18" s="25" t="n">
        <v>0.715</v>
      </c>
      <c r="F18" s="26">
        <f>DATOS!$B$17</f>
        <v/>
      </c>
      <c r="G18" s="21">
        <f>E18*F18*D18*DATOS!$B$22/3600000</f>
        <v/>
      </c>
      <c r="H18" s="18">
        <f>G18*1000</f>
        <v/>
      </c>
      <c r="I18" s="26" t="n">
        <v>0.5</v>
      </c>
      <c r="J18" s="26" t="n">
        <v>0.79</v>
      </c>
      <c r="K18" s="25" t="n">
        <v>0.4046</v>
      </c>
      <c r="L18" s="21">
        <f>DATOS!$B$12*K18</f>
        <v/>
      </c>
      <c r="M18" s="25">
        <f>DATOS!$B$12+2*K18</f>
        <v/>
      </c>
      <c r="N18" s="21">
        <f>L18/M18</f>
        <v/>
      </c>
      <c r="O18" s="21">
        <f>L18*N18^(2/3)*SQRT(I18/100)/DATOS!$B$10</f>
        <v/>
      </c>
      <c r="P18" s="25">
        <f>J18-K18</f>
        <v/>
      </c>
      <c r="Q18" s="5">
        <f>IF(P18&gt;=DATOS!$B$13-0.001,"CUMPLE","NO CUMPLE")</f>
        <v/>
      </c>
      <c r="R18" s="25" t="n">
        <v>0.3601</v>
      </c>
      <c r="S18" s="26">
        <f>G18/(DATOS!$B$12*R18)</f>
        <v/>
      </c>
      <c r="T18" s="5">
        <f>IF(S18&lt;=DATOS!$B$14,"CUMPLE","NO CUMPLE")</f>
        <v/>
      </c>
    </row>
    <row r="19">
      <c r="A19" s="5" t="inlineStr">
        <is>
          <t>EJE-02</t>
        </is>
      </c>
      <c r="B19" s="5" t="inlineStr">
        <is>
          <t>P-03</t>
        </is>
      </c>
      <c r="C19" s="5" t="inlineStr">
        <is>
          <t>D1</t>
        </is>
      </c>
      <c r="D19" s="33" t="n">
        <v>3539</v>
      </c>
      <c r="E19" s="25" t="n">
        <v>0.6919999999999999</v>
      </c>
      <c r="F19" s="26">
        <f>DATOS!$B$17</f>
        <v/>
      </c>
      <c r="G19" s="21">
        <f>E19*F19*D19*DATOS!$B$22/3600000</f>
        <v/>
      </c>
      <c r="H19" s="18">
        <f>G19*1000</f>
        <v/>
      </c>
      <c r="I19" s="26" t="n">
        <v>0.5</v>
      </c>
      <c r="J19" s="26" t="n">
        <v>0.79</v>
      </c>
      <c r="K19" s="25" t="n">
        <v>0.4535</v>
      </c>
      <c r="L19" s="21">
        <f>DATOS!$B$12*K19</f>
        <v/>
      </c>
      <c r="M19" s="25">
        <f>DATOS!$B$12+2*K19</f>
        <v/>
      </c>
      <c r="N19" s="21">
        <f>L19/M19</f>
        <v/>
      </c>
      <c r="O19" s="21">
        <f>L19*N19^(2/3)*SQRT(I19/100)/DATOS!$B$10</f>
        <v/>
      </c>
      <c r="P19" s="25">
        <f>J19-K19</f>
        <v/>
      </c>
      <c r="Q19" s="5">
        <f>IF(P19&gt;=DATOS!$B$13-0.001,"CUMPLE","NO CUMPLE")</f>
        <v/>
      </c>
      <c r="R19" s="25" t="n">
        <v>0.403</v>
      </c>
      <c r="S19" s="26">
        <f>G19/(DATOS!$B$12*R19)</f>
        <v/>
      </c>
      <c r="T19" s="5">
        <f>IF(S19&lt;=DATOS!$B$14,"CUMPLE","NO CUMPLE")</f>
        <v/>
      </c>
    </row>
    <row r="20">
      <c r="A20" s="5" t="inlineStr">
        <is>
          <t>EJE-03</t>
        </is>
      </c>
      <c r="B20" s="5" t="inlineStr">
        <is>
          <t>P-12</t>
        </is>
      </c>
      <c r="C20" s="5" t="inlineStr">
        <is>
          <t>P-07</t>
        </is>
      </c>
      <c r="D20" s="33" t="n">
        <v>368</v>
      </c>
      <c r="E20" s="25" t="n">
        <v>0.794</v>
      </c>
      <c r="F20" s="26">
        <f>DATOS!$B$17</f>
        <v/>
      </c>
      <c r="G20" s="21">
        <f>E20*F20*D20*DATOS!$B$22/3600000</f>
        <v/>
      </c>
      <c r="H20" s="18">
        <f>G20*1000</f>
        <v/>
      </c>
      <c r="I20" s="26" t="n">
        <v>0.5</v>
      </c>
      <c r="J20" s="26" t="n">
        <v>0.3</v>
      </c>
      <c r="K20" s="25" t="n">
        <v>0.09180000000000001</v>
      </c>
      <c r="L20" s="21">
        <f>DATOS!$B$12*K20</f>
        <v/>
      </c>
      <c r="M20" s="25">
        <f>DATOS!$B$12+2*K20</f>
        <v/>
      </c>
      <c r="N20" s="21">
        <f>L20/M20</f>
        <v/>
      </c>
      <c r="O20" s="21">
        <f>L20*N20^(2/3)*SQRT(I20/100)/DATOS!$B$10</f>
        <v/>
      </c>
      <c r="P20" s="25">
        <f>J20-K20</f>
        <v/>
      </c>
      <c r="Q20" s="5">
        <f>IF(P20&gt;=DATOS!$B$13-0.001,"CUMPLE","NO CUMPLE")</f>
        <v/>
      </c>
      <c r="R20" s="25" t="n">
        <v>0.0833</v>
      </c>
      <c r="S20" s="26">
        <f>G20/(DATOS!$B$12*R20)</f>
        <v/>
      </c>
      <c r="T20" s="5">
        <f>IF(S20&lt;=DATOS!$B$14,"CUMPLE","NO CUMPLE")</f>
        <v/>
      </c>
    </row>
    <row r="21">
      <c r="A21" s="5" t="inlineStr">
        <is>
          <t>EJE-04</t>
        </is>
      </c>
      <c r="B21" s="5" t="inlineStr">
        <is>
          <t>P-13</t>
        </is>
      </c>
      <c r="C21" s="5" t="inlineStr">
        <is>
          <t>P-14</t>
        </is>
      </c>
      <c r="D21" s="33" t="n">
        <v>383</v>
      </c>
      <c r="E21" s="25" t="n">
        <v>0.596</v>
      </c>
      <c r="F21" s="26">
        <f>DATOS!$B$17</f>
        <v/>
      </c>
      <c r="G21" s="21">
        <f>E21*F21*D21*DATOS!$B$22/3600000</f>
        <v/>
      </c>
      <c r="H21" s="18">
        <f>G21*1000</f>
        <v/>
      </c>
      <c r="I21" s="26" t="n">
        <v>0.5</v>
      </c>
      <c r="J21" s="26" t="n">
        <v>0.3</v>
      </c>
      <c r="K21" s="25" t="n">
        <v>0.0776</v>
      </c>
      <c r="L21" s="21">
        <f>DATOS!$B$12*K21</f>
        <v/>
      </c>
      <c r="M21" s="25">
        <f>DATOS!$B$12+2*K21</f>
        <v/>
      </c>
      <c r="N21" s="21">
        <f>L21/M21</f>
        <v/>
      </c>
      <c r="O21" s="21">
        <f>L21*N21^(2/3)*SQRT(I21/100)/DATOS!$B$10</f>
        <v/>
      </c>
      <c r="P21" s="25">
        <f>J21-K21</f>
        <v/>
      </c>
      <c r="Q21" s="5">
        <f>IF(P21&gt;=DATOS!$B$13-0.001,"CUMPLE","NO CUMPLE")</f>
        <v/>
      </c>
      <c r="R21" s="25" t="n">
        <v>0.07049999999999999</v>
      </c>
      <c r="S21" s="26">
        <f>G21/(DATOS!$B$12*R21)</f>
        <v/>
      </c>
      <c r="T21" s="5">
        <f>IF(S21&lt;=DATOS!$B$14,"CUMPLE","NO CUMPLE")</f>
        <v/>
      </c>
    </row>
    <row r="22">
      <c r="A22" s="5" t="inlineStr">
        <is>
          <t>EJE-04</t>
        </is>
      </c>
      <c r="B22" s="5" t="inlineStr">
        <is>
          <t>P-14</t>
        </is>
      </c>
      <c r="C22" s="5" t="inlineStr">
        <is>
          <t>P-15</t>
        </is>
      </c>
      <c r="D22" s="33" t="n">
        <v>443</v>
      </c>
      <c r="E22" s="25" t="n">
        <v>0.584</v>
      </c>
      <c r="F22" s="26">
        <f>DATOS!$B$17</f>
        <v/>
      </c>
      <c r="G22" s="21">
        <f>E22*F22*D22*DATOS!$B$22/3600000</f>
        <v/>
      </c>
      <c r="H22" s="18">
        <f>G22*1000</f>
        <v/>
      </c>
      <c r="I22" s="26" t="n">
        <v>0.5</v>
      </c>
      <c r="J22" s="26" t="n">
        <v>0.43</v>
      </c>
      <c r="K22" s="25" t="n">
        <v>0.0844</v>
      </c>
      <c r="L22" s="21">
        <f>DATOS!$B$12*K22</f>
        <v/>
      </c>
      <c r="M22" s="25">
        <f>DATOS!$B$12+2*K22</f>
        <v/>
      </c>
      <c r="N22" s="21">
        <f>L22/M22</f>
        <v/>
      </c>
      <c r="O22" s="21">
        <f>L22*N22^(2/3)*SQRT(I22/100)/DATOS!$B$10</f>
        <v/>
      </c>
      <c r="P22" s="25">
        <f>J22-K22</f>
        <v/>
      </c>
      <c r="Q22" s="5">
        <f>IF(P22&gt;=DATOS!$B$13-0.001,"CUMPLE","NO CUMPLE")</f>
        <v/>
      </c>
      <c r="R22" s="25" t="n">
        <v>0.0766</v>
      </c>
      <c r="S22" s="26">
        <f>G22/(DATOS!$B$12*R22)</f>
        <v/>
      </c>
      <c r="T22" s="5">
        <f>IF(S22&lt;=DATOS!$B$14,"CUMPLE","NO CUMPLE")</f>
        <v/>
      </c>
    </row>
    <row r="23">
      <c r="A23" s="5" t="inlineStr">
        <is>
          <t>EJE-04</t>
        </is>
      </c>
      <c r="B23" s="5" t="inlineStr">
        <is>
          <t>P-15</t>
        </is>
      </c>
      <c r="C23" s="5" t="inlineStr">
        <is>
          <t>P-16</t>
        </is>
      </c>
      <c r="D23" s="33" t="n">
        <v>448</v>
      </c>
      <c r="E23" s="25" t="n">
        <v>0.582</v>
      </c>
      <c r="F23" s="26">
        <f>DATOS!$B$17</f>
        <v/>
      </c>
      <c r="G23" s="21">
        <f>E23*F23*D23*DATOS!$B$22/3600000</f>
        <v/>
      </c>
      <c r="H23" s="18">
        <f>G23*1000</f>
        <v/>
      </c>
      <c r="I23" s="26" t="n">
        <v>0.5</v>
      </c>
      <c r="J23" s="26" t="n">
        <v>0.47</v>
      </c>
      <c r="K23" s="25" t="n">
        <v>0.0848</v>
      </c>
      <c r="L23" s="21">
        <f>DATOS!$B$12*K23</f>
        <v/>
      </c>
      <c r="M23" s="25">
        <f>DATOS!$B$12+2*K23</f>
        <v/>
      </c>
      <c r="N23" s="21">
        <f>L23/M23</f>
        <v/>
      </c>
      <c r="O23" s="21">
        <f>L23*N23^(2/3)*SQRT(I23/100)/DATOS!$B$10</f>
        <v/>
      </c>
      <c r="P23" s="25">
        <f>J23-K23</f>
        <v/>
      </c>
      <c r="Q23" s="5">
        <f>IF(P23&gt;=DATOS!$B$13-0.001,"CUMPLE","NO CUMPLE")</f>
        <v/>
      </c>
      <c r="R23" s="25" t="n">
        <v>0.077</v>
      </c>
      <c r="S23" s="26">
        <f>G23/(DATOS!$B$12*R23)</f>
        <v/>
      </c>
      <c r="T23" s="5">
        <f>IF(S23&lt;=DATOS!$B$14,"CUMPLE","NO CUMPLE")</f>
        <v/>
      </c>
    </row>
    <row r="24">
      <c r="A24" s="5" t="inlineStr">
        <is>
          <t>EJE-04</t>
        </is>
      </c>
      <c r="B24" s="5" t="inlineStr">
        <is>
          <t>P-16</t>
        </is>
      </c>
      <c r="C24" s="5" t="inlineStr">
        <is>
          <t>P-17</t>
        </is>
      </c>
      <c r="D24" s="33" t="n">
        <v>584</v>
      </c>
      <c r="E24" s="25" t="n">
        <v>0.612</v>
      </c>
      <c r="F24" s="26">
        <f>DATOS!$B$17</f>
        <v/>
      </c>
      <c r="G24" s="21">
        <f>E24*F24*D24*DATOS!$B$22/3600000</f>
        <v/>
      </c>
      <c r="H24" s="18">
        <f>G24*1000</f>
        <v/>
      </c>
      <c r="I24" s="26" t="n">
        <v>0.5</v>
      </c>
      <c r="J24" s="26" t="n">
        <v>0.48</v>
      </c>
      <c r="K24" s="25" t="n">
        <v>0.1055</v>
      </c>
      <c r="L24" s="21">
        <f>DATOS!$B$12*K24</f>
        <v/>
      </c>
      <c r="M24" s="25">
        <f>DATOS!$B$12+2*K24</f>
        <v/>
      </c>
      <c r="N24" s="21">
        <f>L24/M24</f>
        <v/>
      </c>
      <c r="O24" s="21">
        <f>L24*N24^(2/3)*SQRT(I24/100)/DATOS!$B$10</f>
        <v/>
      </c>
      <c r="P24" s="25">
        <f>J24-K24</f>
        <v/>
      </c>
      <c r="Q24" s="5">
        <f>IF(P24&gt;=DATOS!$B$13-0.001,"CUMPLE","NO CUMPLE")</f>
        <v/>
      </c>
      <c r="R24" s="25" t="n">
        <v>0.0956</v>
      </c>
      <c r="S24" s="26">
        <f>G24/(DATOS!$B$12*R24)</f>
        <v/>
      </c>
      <c r="T24" s="5">
        <f>IF(S24&lt;=DATOS!$B$14,"CUMPLE","NO CUMPLE")</f>
        <v/>
      </c>
    </row>
    <row r="25">
      <c r="A25" s="5" t="inlineStr">
        <is>
          <t>EJE-04</t>
        </is>
      </c>
      <c r="B25" s="5" t="inlineStr">
        <is>
          <t>P-17</t>
        </is>
      </c>
      <c r="C25" s="5" t="inlineStr">
        <is>
          <t>P-18</t>
        </is>
      </c>
      <c r="D25" s="33" t="n">
        <v>781</v>
      </c>
      <c r="E25" s="25" t="n">
        <v>0.619</v>
      </c>
      <c r="F25" s="26">
        <f>DATOS!$B$17</f>
        <v/>
      </c>
      <c r="G25" s="21">
        <f>E25*F25*D25*DATOS!$B$22/3600000</f>
        <v/>
      </c>
      <c r="H25" s="18">
        <f>G25*1000</f>
        <v/>
      </c>
      <c r="I25" s="26" t="n">
        <v>0.5</v>
      </c>
      <c r="J25" s="26" t="n">
        <v>0.49</v>
      </c>
      <c r="K25" s="25" t="n">
        <v>0.1305</v>
      </c>
      <c r="L25" s="21">
        <f>DATOS!$B$12*K25</f>
        <v/>
      </c>
      <c r="M25" s="25">
        <f>DATOS!$B$12+2*K25</f>
        <v/>
      </c>
      <c r="N25" s="21">
        <f>L25/M25</f>
        <v/>
      </c>
      <c r="O25" s="21">
        <f>L25*N25^(2/3)*SQRT(I25/100)/DATOS!$B$10</f>
        <v/>
      </c>
      <c r="P25" s="25">
        <f>J25-K25</f>
        <v/>
      </c>
      <c r="Q25" s="5">
        <f>IF(P25&gt;=DATOS!$B$13-0.001,"CUMPLE","NO CUMPLE")</f>
        <v/>
      </c>
      <c r="R25" s="25" t="n">
        <v>0.1179</v>
      </c>
      <c r="S25" s="26">
        <f>G25/(DATOS!$B$12*R25)</f>
        <v/>
      </c>
      <c r="T25" s="5">
        <f>IF(S25&lt;=DATOS!$B$14,"CUMPLE","NO CUMPLE")</f>
        <v/>
      </c>
    </row>
    <row r="26">
      <c r="A26" s="5" t="inlineStr">
        <is>
          <t>EJE-04</t>
        </is>
      </c>
      <c r="B26" s="5" t="inlineStr">
        <is>
          <t>P-18</t>
        </is>
      </c>
      <c r="C26" s="5" t="inlineStr">
        <is>
          <t>P-19</t>
        </is>
      </c>
      <c r="D26" s="33" t="n">
        <v>857</v>
      </c>
      <c r="E26" s="25" t="n">
        <v>0.627</v>
      </c>
      <c r="F26" s="26">
        <f>DATOS!$B$17</f>
        <v/>
      </c>
      <c r="G26" s="21">
        <f>E26*F26*D26*DATOS!$B$22/3600000</f>
        <v/>
      </c>
      <c r="H26" s="18">
        <f>G26*1000</f>
        <v/>
      </c>
      <c r="I26" s="26" t="n">
        <v>0.5</v>
      </c>
      <c r="J26" s="26" t="n">
        <v>0.57</v>
      </c>
      <c r="K26" s="25" t="n">
        <v>0.1407</v>
      </c>
      <c r="L26" s="21">
        <f>DATOS!$B$12*K26</f>
        <v/>
      </c>
      <c r="M26" s="25">
        <f>DATOS!$B$12+2*K26</f>
        <v/>
      </c>
      <c r="N26" s="21">
        <f>L26/M26</f>
        <v/>
      </c>
      <c r="O26" s="21">
        <f>L26*N26^(2/3)*SQRT(I26/100)/DATOS!$B$10</f>
        <v/>
      </c>
      <c r="P26" s="25">
        <f>J26-K26</f>
        <v/>
      </c>
      <c r="Q26" s="5">
        <f>IF(P26&gt;=DATOS!$B$13-0.001,"CUMPLE","NO CUMPLE")</f>
        <v/>
      </c>
      <c r="R26" s="25" t="n">
        <v>0.127</v>
      </c>
      <c r="S26" s="26">
        <f>G26/(DATOS!$B$12*R26)</f>
        <v/>
      </c>
      <c r="T26" s="5">
        <f>IF(S26&lt;=DATOS!$B$14,"CUMPLE","NO CUMPLE")</f>
        <v/>
      </c>
    </row>
    <row r="27">
      <c r="A27" s="5" t="inlineStr">
        <is>
          <t>EJE-04</t>
        </is>
      </c>
      <c r="B27" s="5" t="inlineStr">
        <is>
          <t>P-19</t>
        </is>
      </c>
      <c r="C27" s="5" t="inlineStr">
        <is>
          <t>P-08</t>
        </is>
      </c>
      <c r="D27" s="33" t="n">
        <v>1170</v>
      </c>
      <c r="E27" s="25" t="n">
        <v>0.6840000000000001</v>
      </c>
      <c r="F27" s="26">
        <f>DATOS!$B$17</f>
        <v/>
      </c>
      <c r="G27" s="21">
        <f>E27*F27*D27*DATOS!$B$22/3600000</f>
        <v/>
      </c>
      <c r="H27" s="18">
        <f>G27*1000</f>
        <v/>
      </c>
      <c r="I27" s="26" t="n">
        <v>0.5</v>
      </c>
      <c r="J27" s="26" t="n">
        <v>0.61</v>
      </c>
      <c r="K27" s="25" t="n">
        <v>0.1882</v>
      </c>
      <c r="L27" s="21">
        <f>DATOS!$B$12*K27</f>
        <v/>
      </c>
      <c r="M27" s="25">
        <f>DATOS!$B$12+2*K27</f>
        <v/>
      </c>
      <c r="N27" s="21">
        <f>L27/M27</f>
        <v/>
      </c>
      <c r="O27" s="21">
        <f>L27*N27^(2/3)*SQRT(I27/100)/DATOS!$B$10</f>
        <v/>
      </c>
      <c r="P27" s="25">
        <f>J27-K27</f>
        <v/>
      </c>
      <c r="Q27" s="5">
        <f>IF(P27&gt;=DATOS!$B$13-0.001,"CUMPLE","NO CUMPLE")</f>
        <v/>
      </c>
      <c r="R27" s="25" t="n">
        <v>0.1693</v>
      </c>
      <c r="S27" s="26">
        <f>G27/(DATOS!$B$12*R27)</f>
        <v/>
      </c>
      <c r="T27" s="5">
        <f>IF(S27&lt;=DATOS!$B$14,"CUMPLE","NO CUMPLE")</f>
        <v/>
      </c>
    </row>
    <row r="28">
      <c r="A28" s="5" t="inlineStr">
        <is>
          <t>EJE-05</t>
        </is>
      </c>
      <c r="B28" s="5" t="inlineStr">
        <is>
          <t>P-20</t>
        </is>
      </c>
      <c r="C28" s="5" t="inlineStr">
        <is>
          <t>P-21</t>
        </is>
      </c>
      <c r="D28" s="33" t="n">
        <v>188</v>
      </c>
      <c r="E28" s="25" t="n">
        <v>0.819</v>
      </c>
      <c r="F28" s="26">
        <f>DATOS!$B$17</f>
        <v/>
      </c>
      <c r="G28" s="21">
        <f>E28*F28*D28*DATOS!$B$22/3600000</f>
        <v/>
      </c>
      <c r="H28" s="18">
        <f>G28*1000</f>
        <v/>
      </c>
      <c r="I28" s="26" t="n">
        <v>0.5</v>
      </c>
      <c r="J28" s="26" t="n">
        <v>0.3</v>
      </c>
      <c r="K28" s="25" t="n">
        <v>0.0596</v>
      </c>
      <c r="L28" s="21">
        <f>DATOS!$B$12*K28</f>
        <v/>
      </c>
      <c r="M28" s="25">
        <f>DATOS!$B$12+2*K28</f>
        <v/>
      </c>
      <c r="N28" s="21">
        <f>L28/M28</f>
        <v/>
      </c>
      <c r="O28" s="21">
        <f>L28*N28^(2/3)*SQRT(I28/100)/DATOS!$B$10</f>
        <v/>
      </c>
      <c r="P28" s="25">
        <f>J28-K28</f>
        <v/>
      </c>
      <c r="Q28" s="5">
        <f>IF(P28&gt;=DATOS!$B$13-0.001,"CUMPLE","NO CUMPLE")</f>
        <v/>
      </c>
      <c r="R28" s="25" t="n">
        <v>0.0542</v>
      </c>
      <c r="S28" s="26">
        <f>G28/(DATOS!$B$12*R28)</f>
        <v/>
      </c>
      <c r="T28" s="5">
        <f>IF(S28&lt;=DATOS!$B$14,"CUMPLE","NO CUMPLE")</f>
        <v/>
      </c>
    </row>
    <row r="29">
      <c r="A29" s="5" t="inlineStr">
        <is>
          <t>EJE-05</t>
        </is>
      </c>
      <c r="B29" s="5" t="inlineStr">
        <is>
          <t>P-21</t>
        </is>
      </c>
      <c r="C29" s="5" t="inlineStr">
        <is>
          <t>P-22</t>
        </is>
      </c>
      <c r="D29" s="33" t="n">
        <v>230</v>
      </c>
      <c r="E29" s="25" t="n">
        <v>0.755</v>
      </c>
      <c r="F29" s="26">
        <f>DATOS!$B$17</f>
        <v/>
      </c>
      <c r="G29" s="21">
        <f>E29*F29*D29*DATOS!$B$22/3600000</f>
        <v/>
      </c>
      <c r="H29" s="18">
        <f>G29*1000</f>
        <v/>
      </c>
      <c r="I29" s="26" t="n">
        <v>0.5</v>
      </c>
      <c r="J29" s="26" t="n">
        <v>0.41</v>
      </c>
      <c r="K29" s="25" t="n">
        <v>0.06469999999999999</v>
      </c>
      <c r="L29" s="21">
        <f>DATOS!$B$12*K29</f>
        <v/>
      </c>
      <c r="M29" s="25">
        <f>DATOS!$B$12+2*K29</f>
        <v/>
      </c>
      <c r="N29" s="21">
        <f>L29/M29</f>
        <v/>
      </c>
      <c r="O29" s="21">
        <f>L29*N29^(2/3)*SQRT(I29/100)/DATOS!$B$10</f>
        <v/>
      </c>
      <c r="P29" s="25">
        <f>J29-K29</f>
        <v/>
      </c>
      <c r="Q29" s="5">
        <f>IF(P29&gt;=DATOS!$B$13-0.001,"CUMPLE","NO CUMPLE")</f>
        <v/>
      </c>
      <c r="R29" s="25" t="n">
        <v>0.0588</v>
      </c>
      <c r="S29" s="26">
        <f>G29/(DATOS!$B$12*R29)</f>
        <v/>
      </c>
      <c r="T29" s="5">
        <f>IF(S29&lt;=DATOS!$B$14,"CUMPLE","NO CUMPLE")</f>
        <v/>
      </c>
    </row>
    <row r="30">
      <c r="A30" s="5" t="inlineStr">
        <is>
          <t>EJE-05</t>
        </is>
      </c>
      <c r="B30" s="5" t="inlineStr">
        <is>
          <t>P-22</t>
        </is>
      </c>
      <c r="C30" s="5" t="inlineStr">
        <is>
          <t>P-23</t>
        </is>
      </c>
      <c r="D30" s="33" t="n">
        <v>367</v>
      </c>
      <c r="E30" s="25" t="n">
        <v>0.76</v>
      </c>
      <c r="F30" s="26">
        <f>DATOS!$B$17</f>
        <v/>
      </c>
      <c r="G30" s="21">
        <f>E30*F30*D30*DATOS!$B$22/3600000</f>
        <v/>
      </c>
      <c r="H30" s="18">
        <f>G30*1000</f>
        <v/>
      </c>
      <c r="I30" s="26" t="n">
        <v>0.5</v>
      </c>
      <c r="J30" s="26" t="n">
        <v>0.44</v>
      </c>
      <c r="K30" s="25" t="n">
        <v>0.0888</v>
      </c>
      <c r="L30" s="21">
        <f>DATOS!$B$12*K30</f>
        <v/>
      </c>
      <c r="M30" s="25">
        <f>DATOS!$B$12+2*K30</f>
        <v/>
      </c>
      <c r="N30" s="21">
        <f>L30/M30</f>
        <v/>
      </c>
      <c r="O30" s="21">
        <f>L30*N30^(2/3)*SQRT(I30/100)/DATOS!$B$10</f>
        <v/>
      </c>
      <c r="P30" s="25">
        <f>J30-K30</f>
        <v/>
      </c>
      <c r="Q30" s="5">
        <f>IF(P30&gt;=DATOS!$B$13-0.001,"CUMPLE","NO CUMPLE")</f>
        <v/>
      </c>
      <c r="R30" s="25" t="n">
        <v>0.0806</v>
      </c>
      <c r="S30" s="26">
        <f>G30/(DATOS!$B$12*R30)</f>
        <v/>
      </c>
      <c r="T30" s="5">
        <f>IF(S30&lt;=DATOS!$B$14,"CUMPLE","NO CUMPLE")</f>
        <v/>
      </c>
    </row>
    <row r="31">
      <c r="A31" s="5" t="inlineStr">
        <is>
          <t>EJE-05</t>
        </is>
      </c>
      <c r="B31" s="5" t="inlineStr">
        <is>
          <t>P-23</t>
        </is>
      </c>
      <c r="C31" s="5" t="inlineStr">
        <is>
          <t>P-24</t>
        </is>
      </c>
      <c r="D31" s="33" t="n">
        <v>411</v>
      </c>
      <c r="E31" s="25" t="n">
        <v>0.734</v>
      </c>
      <c r="F31" s="26">
        <f>DATOS!$B$17</f>
        <v/>
      </c>
      <c r="G31" s="21">
        <f>E31*F31*D31*DATOS!$B$22/3600000</f>
        <v/>
      </c>
      <c r="H31" s="18">
        <f>G31*1000</f>
        <v/>
      </c>
      <c r="I31" s="26" t="n">
        <v>0.5</v>
      </c>
      <c r="J31" s="26" t="n">
        <v>0.53</v>
      </c>
      <c r="K31" s="25" t="n">
        <v>0.0939</v>
      </c>
      <c r="L31" s="21">
        <f>DATOS!$B$12*K31</f>
        <v/>
      </c>
      <c r="M31" s="25">
        <f>DATOS!$B$12+2*K31</f>
        <v/>
      </c>
      <c r="N31" s="21">
        <f>L31/M31</f>
        <v/>
      </c>
      <c r="O31" s="21">
        <f>L31*N31^(2/3)*SQRT(I31/100)/DATOS!$B$10</f>
        <v/>
      </c>
      <c r="P31" s="25">
        <f>J31-K31</f>
        <v/>
      </c>
      <c r="Q31" s="5">
        <f>IF(P31&gt;=DATOS!$B$13-0.001,"CUMPLE","NO CUMPLE")</f>
        <v/>
      </c>
      <c r="R31" s="25" t="n">
        <v>0.0851</v>
      </c>
      <c r="S31" s="26">
        <f>G31/(DATOS!$B$12*R31)</f>
        <v/>
      </c>
      <c r="T31" s="5">
        <f>IF(S31&lt;=DATOS!$B$14,"CUMPLE","NO CUMPLE")</f>
        <v/>
      </c>
    </row>
    <row r="32">
      <c r="A32" s="5" t="inlineStr">
        <is>
          <t>EJE-05</t>
        </is>
      </c>
      <c r="B32" s="5" t="inlineStr">
        <is>
          <t>P-24</t>
        </is>
      </c>
      <c r="C32" s="5" t="inlineStr">
        <is>
          <t>P-10</t>
        </is>
      </c>
      <c r="D32" s="33" t="n">
        <v>699</v>
      </c>
      <c r="E32" s="25" t="n">
        <v>0.736</v>
      </c>
      <c r="F32" s="26">
        <f>DATOS!$B$17</f>
        <v/>
      </c>
      <c r="G32" s="21">
        <f>E32*F32*D32*DATOS!$B$22/3600000</f>
        <v/>
      </c>
      <c r="H32" s="18">
        <f>G32*1000</f>
        <v/>
      </c>
      <c r="I32" s="26" t="n">
        <v>0.5</v>
      </c>
      <c r="J32" s="26" t="n">
        <v>0.55</v>
      </c>
      <c r="K32" s="25" t="n">
        <v>0.1364</v>
      </c>
      <c r="L32" s="21">
        <f>DATOS!$B$12*K32</f>
        <v/>
      </c>
      <c r="M32" s="25">
        <f>DATOS!$B$12+2*K32</f>
        <v/>
      </c>
      <c r="N32" s="21">
        <f>L32/M32</f>
        <v/>
      </c>
      <c r="O32" s="21">
        <f>L32*N32^(2/3)*SQRT(I32/100)/DATOS!$B$10</f>
        <v/>
      </c>
      <c r="P32" s="25">
        <f>J32-K32</f>
        <v/>
      </c>
      <c r="Q32" s="5">
        <f>IF(P32&gt;=DATOS!$B$13-0.001,"CUMPLE","NO CUMPLE")</f>
        <v/>
      </c>
      <c r="R32" s="25" t="n">
        <v>0.1232</v>
      </c>
      <c r="S32" s="26">
        <f>G32/(DATOS!$B$12*R32)</f>
        <v/>
      </c>
      <c r="T32" s="5">
        <f>IF(S32&lt;=DATOS!$B$14,"CUMPLE","NO CUMPLE")</f>
        <v/>
      </c>
    </row>
    <row r="33">
      <c r="A33" s="5" t="inlineStr">
        <is>
          <t>EJE-06</t>
        </is>
      </c>
      <c r="B33" s="5" t="inlineStr">
        <is>
          <t>P-25</t>
        </is>
      </c>
      <c r="C33" s="5" t="inlineStr">
        <is>
          <t>P-16</t>
        </is>
      </c>
      <c r="D33" s="33" t="n">
        <v>112</v>
      </c>
      <c r="E33" s="25" t="n">
        <v>0.709</v>
      </c>
      <c r="F33" s="26">
        <f>DATOS!$B$17</f>
        <v/>
      </c>
      <c r="G33" s="21">
        <f>E33*F33*D33*DATOS!$B$22/3600000</f>
        <v/>
      </c>
      <c r="H33" s="18">
        <f>G33*1000</f>
        <v/>
      </c>
      <c r="I33" s="26" t="n">
        <v>0.5</v>
      </c>
      <c r="J33" s="26" t="n">
        <v>0.3</v>
      </c>
      <c r="K33" s="25" t="n">
        <v>0.0386</v>
      </c>
      <c r="L33" s="21">
        <f>DATOS!$B$12*K33</f>
        <v/>
      </c>
      <c r="M33" s="25">
        <f>DATOS!$B$12+2*K33</f>
        <v/>
      </c>
      <c r="N33" s="21">
        <f>L33/M33</f>
        <v/>
      </c>
      <c r="O33" s="21">
        <f>L33*N33^(2/3)*SQRT(I33/100)/DATOS!$B$10</f>
        <v/>
      </c>
      <c r="P33" s="25">
        <f>J33-K33</f>
        <v/>
      </c>
      <c r="Q33" s="5">
        <f>IF(P33&gt;=DATOS!$B$13-0.001,"CUMPLE","NO CUMPLE")</f>
        <v/>
      </c>
      <c r="R33" s="25" t="n">
        <v>0.0353</v>
      </c>
      <c r="S33" s="26">
        <f>G33/(DATOS!$B$12*R33)</f>
        <v/>
      </c>
      <c r="T33" s="5">
        <f>IF(S33&lt;=DATOS!$B$14,"CUMPLE","NO CUMPLE")</f>
        <v/>
      </c>
    </row>
    <row r="34">
      <c r="A34" s="5" t="inlineStr">
        <is>
          <t>EJE-07</t>
        </is>
      </c>
      <c r="B34" s="5" t="inlineStr">
        <is>
          <t>P-26</t>
        </is>
      </c>
      <c r="C34" s="5" t="inlineStr">
        <is>
          <t>P-27</t>
        </is>
      </c>
      <c r="D34" s="33" t="n">
        <v>116</v>
      </c>
      <c r="E34" s="25" t="n">
        <v>0.822</v>
      </c>
      <c r="F34" s="26">
        <f>DATOS!$B$17</f>
        <v/>
      </c>
      <c r="G34" s="21">
        <f>E34*F34*D34*DATOS!$B$22/3600000</f>
        <v/>
      </c>
      <c r="H34" s="18">
        <f>G34*1000</f>
        <v/>
      </c>
      <c r="I34" s="26" t="n">
        <v>1.72</v>
      </c>
      <c r="J34" s="26" t="n">
        <v>0.3</v>
      </c>
      <c r="K34" s="25" t="n">
        <v>0.0293</v>
      </c>
      <c r="L34" s="21">
        <f>DATOS!$B$12*K34</f>
        <v/>
      </c>
      <c r="M34" s="25">
        <f>DATOS!$B$12+2*K34</f>
        <v/>
      </c>
      <c r="N34" s="21">
        <f>L34/M34</f>
        <v/>
      </c>
      <c r="O34" s="21">
        <f>L34*N34^(2/3)*SQRT(I34/100)/DATOS!$B$10</f>
        <v/>
      </c>
      <c r="P34" s="25">
        <f>J34-K34</f>
        <v/>
      </c>
      <c r="Q34" s="5">
        <f>IF(P34&gt;=DATOS!$B$13-0.001,"CUMPLE","NO CUMPLE")</f>
        <v/>
      </c>
      <c r="R34" s="25" t="n">
        <v>0.0268</v>
      </c>
      <c r="S34" s="26">
        <f>G34/(DATOS!$B$12*R34)</f>
        <v/>
      </c>
      <c r="T34" s="5">
        <f>IF(S34&lt;=DATOS!$B$14,"CUMPLE","NO CUMPLE")</f>
        <v/>
      </c>
    </row>
    <row r="35">
      <c r="A35" s="5" t="inlineStr">
        <is>
          <t>EJE-07</t>
        </is>
      </c>
      <c r="B35" s="5" t="inlineStr">
        <is>
          <t>P-27</t>
        </is>
      </c>
      <c r="C35" s="5" t="inlineStr">
        <is>
          <t>P-28</t>
        </is>
      </c>
      <c r="D35" s="33" t="n">
        <v>784</v>
      </c>
      <c r="E35" s="25" t="n">
        <v>0.865</v>
      </c>
      <c r="F35" s="26">
        <f>DATOS!$B$17</f>
        <v/>
      </c>
      <c r="G35" s="21">
        <f>E35*F35*D35*DATOS!$B$22/3600000</f>
        <v/>
      </c>
      <c r="H35" s="18">
        <f>G35*1000</f>
        <v/>
      </c>
      <c r="I35" s="26" t="n">
        <v>0.5</v>
      </c>
      <c r="J35" s="26" t="n">
        <v>0.5</v>
      </c>
      <c r="K35" s="25" t="n">
        <v>0.1666</v>
      </c>
      <c r="L35" s="21">
        <f>DATOS!$B$12*K35</f>
        <v/>
      </c>
      <c r="M35" s="25">
        <f>DATOS!$B$12+2*K35</f>
        <v/>
      </c>
      <c r="N35" s="21">
        <f>L35/M35</f>
        <v/>
      </c>
      <c r="O35" s="21">
        <f>L35*N35^(2/3)*SQRT(I35/100)/DATOS!$B$10</f>
        <v/>
      </c>
      <c r="P35" s="25">
        <f>J35-K35</f>
        <v/>
      </c>
      <c r="Q35" s="5">
        <f>IF(P35&gt;=DATOS!$B$13-0.001,"CUMPLE","NO CUMPLE")</f>
        <v/>
      </c>
      <c r="R35" s="25" t="n">
        <v>0.1501</v>
      </c>
      <c r="S35" s="26">
        <f>G35/(DATOS!$B$12*R35)</f>
        <v/>
      </c>
      <c r="T35" s="5">
        <f>IF(S35&lt;=DATOS!$B$14,"CUMPLE","NO CUMPLE")</f>
        <v/>
      </c>
    </row>
    <row r="36">
      <c r="A36" s="5" t="inlineStr">
        <is>
          <t>EJE-07</t>
        </is>
      </c>
      <c r="B36" s="5" t="inlineStr">
        <is>
          <t>P-28</t>
        </is>
      </c>
      <c r="C36" s="5" t="inlineStr">
        <is>
          <t>P-29</t>
        </is>
      </c>
      <c r="D36" s="33" t="n">
        <v>1153</v>
      </c>
      <c r="E36" s="25" t="n">
        <v>0.861</v>
      </c>
      <c r="F36" s="26">
        <f>DATOS!$B$17</f>
        <v/>
      </c>
      <c r="G36" s="21">
        <f>E36*F36*D36*DATOS!$B$22/3600000</f>
        <v/>
      </c>
      <c r="H36" s="18">
        <f>G36*1000</f>
        <v/>
      </c>
      <c r="I36" s="26" t="n">
        <v>0.5</v>
      </c>
      <c r="J36" s="26" t="n">
        <v>0.59</v>
      </c>
      <c r="K36" s="25" t="n">
        <v>0.2215</v>
      </c>
      <c r="L36" s="21">
        <f>DATOS!$B$12*K36</f>
        <v/>
      </c>
      <c r="M36" s="25">
        <f>DATOS!$B$12+2*K36</f>
        <v/>
      </c>
      <c r="N36" s="21">
        <f>L36/M36</f>
        <v/>
      </c>
      <c r="O36" s="21">
        <f>L36*N36^(2/3)*SQRT(I36/100)/DATOS!$B$10</f>
        <v/>
      </c>
      <c r="P36" s="25">
        <f>J36-K36</f>
        <v/>
      </c>
      <c r="Q36" s="5">
        <f>IF(P36&gt;=DATOS!$B$13-0.001,"CUMPLE","NO CUMPLE")</f>
        <v/>
      </c>
      <c r="R36" s="25" t="n">
        <v>0.1988</v>
      </c>
      <c r="S36" s="26">
        <f>G36/(DATOS!$B$12*R36)</f>
        <v/>
      </c>
      <c r="T36" s="5">
        <f>IF(S36&lt;=DATOS!$B$14,"CUMPLE","NO CUMPLE")</f>
        <v/>
      </c>
    </row>
    <row r="37">
      <c r="A37" s="5" t="inlineStr">
        <is>
          <t>EJE-07</t>
        </is>
      </c>
      <c r="B37" s="5" t="inlineStr">
        <is>
          <t>P-29</t>
        </is>
      </c>
      <c r="C37" s="5" t="inlineStr">
        <is>
          <t>P-30</t>
        </is>
      </c>
      <c r="D37" s="33" t="n">
        <v>1154</v>
      </c>
      <c r="E37" s="25" t="n">
        <v>0.861</v>
      </c>
      <c r="F37" s="26">
        <f>DATOS!$B$17</f>
        <v/>
      </c>
      <c r="G37" s="21">
        <f>E37*F37*D37*DATOS!$B$22/3600000</f>
        <v/>
      </c>
      <c r="H37" s="18">
        <f>G37*1000</f>
        <v/>
      </c>
      <c r="I37" s="26" t="n">
        <v>0.5</v>
      </c>
      <c r="J37" s="26" t="n">
        <v>0.61</v>
      </c>
      <c r="K37" s="25" t="n">
        <v>0.2215</v>
      </c>
      <c r="L37" s="21">
        <f>DATOS!$B$12*K37</f>
        <v/>
      </c>
      <c r="M37" s="25">
        <f>DATOS!$B$12+2*K37</f>
        <v/>
      </c>
      <c r="N37" s="21">
        <f>L37/M37</f>
        <v/>
      </c>
      <c r="O37" s="21">
        <f>L37*N37^(2/3)*SQRT(I37/100)/DATOS!$B$10</f>
        <v/>
      </c>
      <c r="P37" s="25">
        <f>J37-K37</f>
        <v/>
      </c>
      <c r="Q37" s="5">
        <f>IF(P37&gt;=DATOS!$B$13-0.001,"CUMPLE","NO CUMPLE")</f>
        <v/>
      </c>
      <c r="R37" s="25" t="n">
        <v>0.1988</v>
      </c>
      <c r="S37" s="26">
        <f>G37/(DATOS!$B$12*R37)</f>
        <v/>
      </c>
      <c r="T37" s="5">
        <f>IF(S37&lt;=DATOS!$B$14,"CUMPLE","NO CUMPLE")</f>
        <v/>
      </c>
    </row>
    <row r="38">
      <c r="A38" s="5" t="inlineStr">
        <is>
          <t>EJE-07</t>
        </is>
      </c>
      <c r="B38" s="5" t="inlineStr">
        <is>
          <t>P-30</t>
        </is>
      </c>
      <c r="C38" s="5" t="inlineStr">
        <is>
          <t>P-31</t>
        </is>
      </c>
      <c r="D38" s="33" t="n">
        <v>1339</v>
      </c>
      <c r="E38" s="25" t="n">
        <v>0.864</v>
      </c>
      <c r="F38" s="26">
        <f>DATOS!$B$17</f>
        <v/>
      </c>
      <c r="G38" s="21">
        <f>E38*F38*D38*DATOS!$B$22/3600000</f>
        <v/>
      </c>
      <c r="H38" s="18">
        <f>G38*1000</f>
        <v/>
      </c>
      <c r="I38" s="26" t="n">
        <v>0.5</v>
      </c>
      <c r="J38" s="26" t="n">
        <v>0.62</v>
      </c>
      <c r="K38" s="25" t="n">
        <v>0.2488</v>
      </c>
      <c r="L38" s="21">
        <f>DATOS!$B$12*K38</f>
        <v/>
      </c>
      <c r="M38" s="25">
        <f>DATOS!$B$12+2*K38</f>
        <v/>
      </c>
      <c r="N38" s="21">
        <f>L38/M38</f>
        <v/>
      </c>
      <c r="O38" s="21">
        <f>L38*N38^(2/3)*SQRT(I38/100)/DATOS!$B$10</f>
        <v/>
      </c>
      <c r="P38" s="25">
        <f>J38-K38</f>
        <v/>
      </c>
      <c r="Q38" s="5">
        <f>IF(P38&gt;=DATOS!$B$13-0.001,"CUMPLE","NO CUMPLE")</f>
        <v/>
      </c>
      <c r="R38" s="25" t="n">
        <v>0.223</v>
      </c>
      <c r="S38" s="26">
        <f>G38/(DATOS!$B$12*R38)</f>
        <v/>
      </c>
      <c r="T38" s="5">
        <f>IF(S38&lt;=DATOS!$B$14,"CUMPLE","NO CUMPLE")</f>
        <v/>
      </c>
    </row>
    <row r="39">
      <c r="A39" s="5" t="inlineStr">
        <is>
          <t>EJE-07</t>
        </is>
      </c>
      <c r="B39" s="5" t="inlineStr">
        <is>
          <t>P-31</t>
        </is>
      </c>
      <c r="C39" s="5" t="inlineStr">
        <is>
          <t>P-32</t>
        </is>
      </c>
      <c r="D39" s="33" t="n">
        <v>1340</v>
      </c>
      <c r="E39" s="25" t="n">
        <v>0.863</v>
      </c>
      <c r="F39" s="26">
        <f>DATOS!$B$17</f>
        <v/>
      </c>
      <c r="G39" s="21">
        <f>E39*F39*D39*DATOS!$B$22/3600000</f>
        <v/>
      </c>
      <c r="H39" s="18">
        <f>G39*1000</f>
        <v/>
      </c>
      <c r="I39" s="26" t="n">
        <v>0.5</v>
      </c>
      <c r="J39" s="26" t="n">
        <v>0.73</v>
      </c>
      <c r="K39" s="25" t="n">
        <v>0.2488</v>
      </c>
      <c r="L39" s="21">
        <f>DATOS!$B$12*K39</f>
        <v/>
      </c>
      <c r="M39" s="25">
        <f>DATOS!$B$12+2*K39</f>
        <v/>
      </c>
      <c r="N39" s="21">
        <f>L39/M39</f>
        <v/>
      </c>
      <c r="O39" s="21">
        <f>L39*N39^(2/3)*SQRT(I39/100)/DATOS!$B$10</f>
        <v/>
      </c>
      <c r="P39" s="25">
        <f>J39-K39</f>
        <v/>
      </c>
      <c r="Q39" s="5">
        <f>IF(P39&gt;=DATOS!$B$13-0.001,"CUMPLE","NO CUMPLE")</f>
        <v/>
      </c>
      <c r="R39" s="25" t="n">
        <v>0.223</v>
      </c>
      <c r="S39" s="26">
        <f>G39/(DATOS!$B$12*R39)</f>
        <v/>
      </c>
      <c r="T39" s="5">
        <f>IF(S39&lt;=DATOS!$B$14,"CUMPLE","NO CUMPLE")</f>
        <v/>
      </c>
    </row>
    <row r="40">
      <c r="A40" s="5" t="inlineStr">
        <is>
          <t>EJE-07</t>
        </is>
      </c>
      <c r="B40" s="5" t="inlineStr">
        <is>
          <t>P-32</t>
        </is>
      </c>
      <c r="C40" s="5" t="inlineStr">
        <is>
          <t>P-33</t>
        </is>
      </c>
      <c r="D40" s="33" t="n">
        <v>1768</v>
      </c>
      <c r="E40" s="25" t="n">
        <v>0.858</v>
      </c>
      <c r="F40" s="26">
        <f>DATOS!$B$17</f>
        <v/>
      </c>
      <c r="G40" s="21">
        <f>E40*F40*D40*DATOS!$B$22/3600000</f>
        <v/>
      </c>
      <c r="H40" s="18">
        <f>G40*1000</f>
        <v/>
      </c>
      <c r="I40" s="26" t="n">
        <v>0.5</v>
      </c>
      <c r="J40" s="26" t="n">
        <v>0.73</v>
      </c>
      <c r="K40" s="25" t="n">
        <v>0.3075</v>
      </c>
      <c r="L40" s="21">
        <f>DATOS!$B$12*K40</f>
        <v/>
      </c>
      <c r="M40" s="25">
        <f>DATOS!$B$12+2*K40</f>
        <v/>
      </c>
      <c r="N40" s="21">
        <f>L40/M40</f>
        <v/>
      </c>
      <c r="O40" s="21">
        <f>L40*N40^(2/3)*SQRT(I40/100)/DATOS!$B$10</f>
        <v/>
      </c>
      <c r="P40" s="25">
        <f>J40-K40</f>
        <v/>
      </c>
      <c r="Q40" s="5">
        <f>IF(P40&gt;=DATOS!$B$13-0.001,"CUMPLE","NO CUMPLE")</f>
        <v/>
      </c>
      <c r="R40" s="25" t="n">
        <v>0.2748</v>
      </c>
      <c r="S40" s="26">
        <f>G40/(DATOS!$B$12*R40)</f>
        <v/>
      </c>
      <c r="T40" s="5">
        <f>IF(S40&lt;=DATOS!$B$14,"CUMPLE","NO CUMPLE")</f>
        <v/>
      </c>
    </row>
    <row r="41">
      <c r="A41" s="5" t="inlineStr">
        <is>
          <t>EJE-07</t>
        </is>
      </c>
      <c r="B41" s="5" t="inlineStr">
        <is>
          <t>P-33</t>
        </is>
      </c>
      <c r="C41" s="5" t="inlineStr">
        <is>
          <t>P-34</t>
        </is>
      </c>
      <c r="D41" s="33" t="n">
        <v>2084</v>
      </c>
      <c r="E41" s="25" t="n">
        <v>0.831</v>
      </c>
      <c r="F41" s="26">
        <f>DATOS!$B$17</f>
        <v/>
      </c>
      <c r="G41" s="21">
        <f>E41*F41*D41*DATOS!$B$22/3600000</f>
        <v/>
      </c>
      <c r="H41" s="18">
        <f>G41*1000</f>
        <v/>
      </c>
      <c r="I41" s="26" t="n">
        <v>0.5</v>
      </c>
      <c r="J41" s="26" t="n">
        <v>0.79</v>
      </c>
      <c r="K41" s="25" t="n">
        <v>0.3417</v>
      </c>
      <c r="L41" s="21">
        <f>DATOS!$B$12*K41</f>
        <v/>
      </c>
      <c r="M41" s="25">
        <f>DATOS!$B$12+2*K41</f>
        <v/>
      </c>
      <c r="N41" s="21">
        <f>L41/M41</f>
        <v/>
      </c>
      <c r="O41" s="21">
        <f>L41*N41^(2/3)*SQRT(I41/100)/DATOS!$B$10</f>
        <v/>
      </c>
      <c r="P41" s="25">
        <f>J41-K41</f>
        <v/>
      </c>
      <c r="Q41" s="5">
        <f>IF(P41&gt;=DATOS!$B$13-0.001,"CUMPLE","NO CUMPLE")</f>
        <v/>
      </c>
      <c r="R41" s="25" t="n">
        <v>0.3049</v>
      </c>
      <c r="S41" s="26">
        <f>G41/(DATOS!$B$12*R41)</f>
        <v/>
      </c>
      <c r="T41" s="5">
        <f>IF(S41&lt;=DATOS!$B$14,"CUMPLE","NO CUMPLE")</f>
        <v/>
      </c>
    </row>
    <row r="42">
      <c r="A42" s="5" t="inlineStr">
        <is>
          <t>EJE-07</t>
        </is>
      </c>
      <c r="B42" s="5" t="inlineStr">
        <is>
          <t>P-34</t>
        </is>
      </c>
      <c r="C42" s="5" t="inlineStr">
        <is>
          <t>P-35</t>
        </is>
      </c>
      <c r="D42" s="33" t="n">
        <v>2085</v>
      </c>
      <c r="E42" s="25" t="n">
        <v>0.831</v>
      </c>
      <c r="F42" s="26">
        <f>DATOS!$B$17</f>
        <v/>
      </c>
      <c r="G42" s="21">
        <f>E42*F42*D42*DATOS!$B$22/3600000</f>
        <v/>
      </c>
      <c r="H42" s="18">
        <f>G42*1000</f>
        <v/>
      </c>
      <c r="I42" s="26" t="n">
        <v>0.5</v>
      </c>
      <c r="J42" s="26" t="n">
        <v>0.7</v>
      </c>
      <c r="K42" s="25" t="n">
        <v>0.3419</v>
      </c>
      <c r="L42" s="21">
        <f>DATOS!$B$12*K42</f>
        <v/>
      </c>
      <c r="M42" s="25">
        <f>DATOS!$B$12+2*K42</f>
        <v/>
      </c>
      <c r="N42" s="21">
        <f>L42/M42</f>
        <v/>
      </c>
      <c r="O42" s="21">
        <f>L42*N42^(2/3)*SQRT(I42/100)/DATOS!$B$10</f>
        <v/>
      </c>
      <c r="P42" s="25">
        <f>J42-K42</f>
        <v/>
      </c>
      <c r="Q42" s="5">
        <f>IF(P42&gt;=DATOS!$B$13-0.001,"CUMPLE","NO CUMPLE")</f>
        <v/>
      </c>
      <c r="R42" s="25" t="n">
        <v>0.3051</v>
      </c>
      <c r="S42" s="26">
        <f>G42/(DATOS!$B$12*R42)</f>
        <v/>
      </c>
      <c r="T42" s="5">
        <f>IF(S42&lt;=DATOS!$B$14,"CUMPLE","NO CUMPLE")</f>
        <v/>
      </c>
    </row>
    <row r="43">
      <c r="A43" s="5" t="inlineStr">
        <is>
          <t>EJE-07</t>
        </is>
      </c>
      <c r="B43" s="5" t="inlineStr">
        <is>
          <t>P-35</t>
        </is>
      </c>
      <c r="C43" s="5" t="inlineStr">
        <is>
          <t>P-36</t>
        </is>
      </c>
      <c r="D43" s="33" t="n">
        <v>2099</v>
      </c>
      <c r="E43" s="25" t="n">
        <v>0.828</v>
      </c>
      <c r="F43" s="26">
        <f>DATOS!$B$17</f>
        <v/>
      </c>
      <c r="G43" s="21">
        <f>E43*F43*D43*DATOS!$B$22/3600000</f>
        <v/>
      </c>
      <c r="H43" s="18">
        <f>G43*1000</f>
        <v/>
      </c>
      <c r="I43" s="26" t="n">
        <v>0.5</v>
      </c>
      <c r="J43" s="26" t="n">
        <v>0.7</v>
      </c>
      <c r="K43" s="25" t="n">
        <v>0.3428</v>
      </c>
      <c r="L43" s="21">
        <f>DATOS!$B$12*K43</f>
        <v/>
      </c>
      <c r="M43" s="25">
        <f>DATOS!$B$12+2*K43</f>
        <v/>
      </c>
      <c r="N43" s="21">
        <f>L43/M43</f>
        <v/>
      </c>
      <c r="O43" s="21">
        <f>L43*N43^(2/3)*SQRT(I43/100)/DATOS!$B$10</f>
        <v/>
      </c>
      <c r="P43" s="25">
        <f>J43-K43</f>
        <v/>
      </c>
      <c r="Q43" s="5">
        <f>IF(P43&gt;=DATOS!$B$13-0.001,"CUMPLE","NO CUMPLE")</f>
        <v/>
      </c>
      <c r="R43" s="25" t="n">
        <v>0.3058</v>
      </c>
      <c r="S43" s="26">
        <f>G43/(DATOS!$B$12*R43)</f>
        <v/>
      </c>
      <c r="T43" s="5">
        <f>IF(S43&lt;=DATOS!$B$14,"CUMPLE","NO CUMPLE")</f>
        <v/>
      </c>
    </row>
    <row r="44">
      <c r="A44" s="5" t="inlineStr">
        <is>
          <t>EJE-07</t>
        </is>
      </c>
      <c r="B44" s="5" t="inlineStr">
        <is>
          <t>P-36</t>
        </is>
      </c>
      <c r="C44" s="5" t="inlineStr">
        <is>
          <t>P-37</t>
        </is>
      </c>
      <c r="D44" s="33" t="n">
        <v>2102</v>
      </c>
      <c r="E44" s="25" t="n">
        <v>0.827</v>
      </c>
      <c r="F44" s="26">
        <f>DATOS!$B$17</f>
        <v/>
      </c>
      <c r="G44" s="21">
        <f>E44*F44*D44*DATOS!$B$22/3600000</f>
        <v/>
      </c>
      <c r="H44" s="18">
        <f>G44*1000</f>
        <v/>
      </c>
      <c r="I44" s="26" t="n">
        <v>0.5</v>
      </c>
      <c r="J44" s="26" t="n">
        <v>0.74</v>
      </c>
      <c r="K44" s="25" t="n">
        <v>0.3429</v>
      </c>
      <c r="L44" s="21">
        <f>DATOS!$B$12*K44</f>
        <v/>
      </c>
      <c r="M44" s="25">
        <f>DATOS!$B$12+2*K44</f>
        <v/>
      </c>
      <c r="N44" s="21">
        <f>L44/M44</f>
        <v/>
      </c>
      <c r="O44" s="21">
        <f>L44*N44^(2/3)*SQRT(I44/100)/DATOS!$B$10</f>
        <v/>
      </c>
      <c r="P44" s="25">
        <f>J44-K44</f>
        <v/>
      </c>
      <c r="Q44" s="5">
        <f>IF(P44&gt;=DATOS!$B$13-0.001,"CUMPLE","NO CUMPLE")</f>
        <v/>
      </c>
      <c r="R44" s="25" t="n">
        <v>0.306</v>
      </c>
      <c r="S44" s="26">
        <f>G44/(DATOS!$B$12*R44)</f>
        <v/>
      </c>
      <c r="T44" s="5">
        <f>IF(S44&lt;=DATOS!$B$14,"CUMPLE","NO CUMPLE")</f>
        <v/>
      </c>
    </row>
    <row r="45">
      <c r="A45" s="5" t="inlineStr">
        <is>
          <t>EJE-07</t>
        </is>
      </c>
      <c r="B45" s="5" t="inlineStr">
        <is>
          <t>P-37</t>
        </is>
      </c>
      <c r="C45" s="5" t="inlineStr">
        <is>
          <t>P-38</t>
        </is>
      </c>
      <c r="D45" s="33" t="n">
        <v>2126</v>
      </c>
      <c r="E45" s="25" t="n">
        <v>0.822</v>
      </c>
      <c r="F45" s="26">
        <f>DATOS!$B$17</f>
        <v/>
      </c>
      <c r="G45" s="21">
        <f>E45*F45*D45*DATOS!$B$22/3600000</f>
        <v/>
      </c>
      <c r="H45" s="18">
        <f>G45*1000</f>
        <v/>
      </c>
      <c r="I45" s="26" t="n">
        <v>0.5</v>
      </c>
      <c r="J45" s="26" t="n">
        <v>0.74</v>
      </c>
      <c r="K45" s="25" t="n">
        <v>0.3445</v>
      </c>
      <c r="L45" s="21">
        <f>DATOS!$B$12*K45</f>
        <v/>
      </c>
      <c r="M45" s="25">
        <f>DATOS!$B$12+2*K45</f>
        <v/>
      </c>
      <c r="N45" s="21">
        <f>L45/M45</f>
        <v/>
      </c>
      <c r="O45" s="21">
        <f>L45*N45^(2/3)*SQRT(I45/100)/DATOS!$B$10</f>
        <v/>
      </c>
      <c r="P45" s="25">
        <f>J45-K45</f>
        <v/>
      </c>
      <c r="Q45" s="5">
        <f>IF(P45&gt;=DATOS!$B$13-0.001,"CUMPLE","NO CUMPLE")</f>
        <v/>
      </c>
      <c r="R45" s="25" t="n">
        <v>0.3073</v>
      </c>
      <c r="S45" s="26">
        <f>G45/(DATOS!$B$12*R45)</f>
        <v/>
      </c>
      <c r="T45" s="5">
        <f>IF(S45&lt;=DATOS!$B$14,"CUMPLE","NO CUMPLE")</f>
        <v/>
      </c>
    </row>
    <row r="46">
      <c r="A46" s="5" t="inlineStr">
        <is>
          <t>EJE-07</t>
        </is>
      </c>
      <c r="B46" s="5" t="inlineStr">
        <is>
          <t>P-38</t>
        </is>
      </c>
      <c r="C46" s="5" t="inlineStr">
        <is>
          <t>P-39</t>
        </is>
      </c>
      <c r="D46" s="33" t="n">
        <v>2127</v>
      </c>
      <c r="E46" s="25" t="n">
        <v>0.822</v>
      </c>
      <c r="F46" s="26">
        <f>DATOS!$B$17</f>
        <v/>
      </c>
      <c r="G46" s="21">
        <f>E46*F46*D46*DATOS!$B$22/3600000</f>
        <v/>
      </c>
      <c r="H46" s="18">
        <f>G46*1000</f>
        <v/>
      </c>
      <c r="I46" s="26" t="n">
        <v>0.5</v>
      </c>
      <c r="J46" s="26" t="n">
        <v>0.77</v>
      </c>
      <c r="K46" s="25" t="n">
        <v>0.3445</v>
      </c>
      <c r="L46" s="21">
        <f>DATOS!$B$12*K46</f>
        <v/>
      </c>
      <c r="M46" s="25">
        <f>DATOS!$B$12+2*K46</f>
        <v/>
      </c>
      <c r="N46" s="21">
        <f>L46/M46</f>
        <v/>
      </c>
      <c r="O46" s="21">
        <f>L46*N46^(2/3)*SQRT(I46/100)/DATOS!$B$10</f>
        <v/>
      </c>
      <c r="P46" s="25">
        <f>J46-K46</f>
        <v/>
      </c>
      <c r="Q46" s="5">
        <f>IF(P46&gt;=DATOS!$B$13-0.001,"CUMPLE","NO CUMPLE")</f>
        <v/>
      </c>
      <c r="R46" s="25" t="n">
        <v>0.3073</v>
      </c>
      <c r="S46" s="26">
        <f>G46/(DATOS!$B$12*R46)</f>
        <v/>
      </c>
      <c r="T46" s="5">
        <f>IF(S46&lt;=DATOS!$B$14,"CUMPLE","NO CUMPLE")</f>
        <v/>
      </c>
    </row>
    <row r="47">
      <c r="A47" s="5" t="inlineStr">
        <is>
          <t>EJE-07</t>
        </is>
      </c>
      <c r="B47" s="5" t="inlineStr">
        <is>
          <t>P-39</t>
        </is>
      </c>
      <c r="C47" s="5" t="inlineStr">
        <is>
          <t>P-40</t>
        </is>
      </c>
      <c r="D47" s="33" t="n">
        <v>2178</v>
      </c>
      <c r="E47" s="25" t="n">
        <v>0.8120000000000001</v>
      </c>
      <c r="F47" s="26">
        <f>DATOS!$B$17</f>
        <v/>
      </c>
      <c r="G47" s="21">
        <f>E47*F47*D47*DATOS!$B$22/3600000</f>
        <v/>
      </c>
      <c r="H47" s="18">
        <f>G47*1000</f>
        <v/>
      </c>
      <c r="I47" s="26" t="n">
        <v>0.5</v>
      </c>
      <c r="J47" s="26" t="n">
        <v>0.77</v>
      </c>
      <c r="K47" s="25" t="n">
        <v>0.3478</v>
      </c>
      <c r="L47" s="21">
        <f>DATOS!$B$12*K47</f>
        <v/>
      </c>
      <c r="M47" s="25">
        <f>DATOS!$B$12+2*K47</f>
        <v/>
      </c>
      <c r="N47" s="21">
        <f>L47/M47</f>
        <v/>
      </c>
      <c r="O47" s="21">
        <f>L47*N47^(2/3)*SQRT(I47/100)/DATOS!$B$10</f>
        <v/>
      </c>
      <c r="P47" s="25">
        <f>J47-K47</f>
        <v/>
      </c>
      <c r="Q47" s="5">
        <f>IF(P47&gt;=DATOS!$B$13-0.001,"CUMPLE","NO CUMPLE")</f>
        <v/>
      </c>
      <c r="R47" s="25" t="n">
        <v>0.3103</v>
      </c>
      <c r="S47" s="26">
        <f>G47/(DATOS!$B$12*R47)</f>
        <v/>
      </c>
      <c r="T47" s="5">
        <f>IF(S47&lt;=DATOS!$B$14,"CUMPLE","NO CUMPLE")</f>
        <v/>
      </c>
    </row>
    <row r="48">
      <c r="A48" s="5" t="inlineStr">
        <is>
          <t>EJE-07</t>
        </is>
      </c>
      <c r="B48" s="5" t="inlineStr">
        <is>
          <t>P-40</t>
        </is>
      </c>
      <c r="C48" s="5" t="inlineStr">
        <is>
          <t>P-41</t>
        </is>
      </c>
      <c r="D48" s="33" t="n">
        <v>2192</v>
      </c>
      <c r="E48" s="25" t="n">
        <v>0.8090000000000001</v>
      </c>
      <c r="F48" s="26">
        <f>DATOS!$B$17</f>
        <v/>
      </c>
      <c r="G48" s="21">
        <f>E48*F48*D48*DATOS!$B$22/3600000</f>
        <v/>
      </c>
      <c r="H48" s="18">
        <f>G48*1000</f>
        <v/>
      </c>
      <c r="I48" s="26" t="n">
        <v>0.5</v>
      </c>
      <c r="J48" s="26" t="n">
        <v>0.8100000000000001</v>
      </c>
      <c r="K48" s="25" t="n">
        <v>0.3487</v>
      </c>
      <c r="L48" s="21">
        <f>DATOS!$B$12*K48</f>
        <v/>
      </c>
      <c r="M48" s="25">
        <f>DATOS!$B$12+2*K48</f>
        <v/>
      </c>
      <c r="N48" s="21">
        <f>L48/M48</f>
        <v/>
      </c>
      <c r="O48" s="21">
        <f>L48*N48^(2/3)*SQRT(I48/100)/DATOS!$B$10</f>
        <v/>
      </c>
      <c r="P48" s="25">
        <f>J48-K48</f>
        <v/>
      </c>
      <c r="Q48" s="5">
        <f>IF(P48&gt;=DATOS!$B$13-0.001,"CUMPLE","NO CUMPLE")</f>
        <v/>
      </c>
      <c r="R48" s="25" t="n">
        <v>0.311</v>
      </c>
      <c r="S48" s="26">
        <f>G48/(DATOS!$B$12*R48)</f>
        <v/>
      </c>
      <c r="T48" s="5">
        <f>IF(S48&lt;=DATOS!$B$14,"CUMPLE","NO CUMPLE")</f>
        <v/>
      </c>
    </row>
    <row r="49">
      <c r="A49" s="5" t="inlineStr">
        <is>
          <t>EJE-07</t>
        </is>
      </c>
      <c r="B49" s="5" t="inlineStr">
        <is>
          <t>P-41</t>
        </is>
      </c>
      <c r="C49" s="5" t="inlineStr">
        <is>
          <t>D3</t>
        </is>
      </c>
      <c r="D49" s="33" t="n">
        <v>2193</v>
      </c>
      <c r="E49" s="25" t="n">
        <v>0.8090000000000001</v>
      </c>
      <c r="F49" s="26">
        <f>DATOS!$B$17</f>
        <v/>
      </c>
      <c r="G49" s="21">
        <f>E49*F49*D49*DATOS!$B$22/3600000</f>
        <v/>
      </c>
      <c r="H49" s="18">
        <f>G49*1000</f>
        <v/>
      </c>
      <c r="I49" s="26" t="n">
        <v>0.5</v>
      </c>
      <c r="J49" s="26" t="n">
        <v>0.8100000000000001</v>
      </c>
      <c r="K49" s="25" t="n">
        <v>0.3487</v>
      </c>
      <c r="L49" s="21">
        <f>DATOS!$B$12*K49</f>
        <v/>
      </c>
      <c r="M49" s="25">
        <f>DATOS!$B$12+2*K49</f>
        <v/>
      </c>
      <c r="N49" s="21">
        <f>L49/M49</f>
        <v/>
      </c>
      <c r="O49" s="21">
        <f>L49*N49^(2/3)*SQRT(I49/100)/DATOS!$B$10</f>
        <v/>
      </c>
      <c r="P49" s="25">
        <f>J49-K49</f>
        <v/>
      </c>
      <c r="Q49" s="5">
        <f>IF(P49&gt;=DATOS!$B$13-0.001,"CUMPLE","NO CUMPLE")</f>
        <v/>
      </c>
      <c r="R49" s="25" t="n">
        <v>0.311</v>
      </c>
      <c r="S49" s="26">
        <f>G49/(DATOS!$B$12*R49)</f>
        <v/>
      </c>
      <c r="T49" s="5">
        <f>IF(S49&lt;=DATOS!$B$14,"CUMPLE","NO CUMPLE")</f>
        <v/>
      </c>
    </row>
    <row r="50">
      <c r="A50" s="5" t="inlineStr">
        <is>
          <t>EJE-08</t>
        </is>
      </c>
      <c r="B50" s="5" t="inlineStr">
        <is>
          <t>P-42</t>
        </is>
      </c>
      <c r="C50" s="5" t="inlineStr">
        <is>
          <t>P-43</t>
        </is>
      </c>
      <c r="D50" s="33" t="n">
        <v>47</v>
      </c>
      <c r="E50" s="25" t="n">
        <v>0.88</v>
      </c>
      <c r="F50" s="26">
        <f>DATOS!$B$17</f>
        <v/>
      </c>
      <c r="G50" s="21">
        <f>E50*F50*D50*DATOS!$B$22/3600000</f>
        <v/>
      </c>
      <c r="H50" s="18">
        <f>G50*1000</f>
        <v/>
      </c>
      <c r="I50" s="26" t="n">
        <v>0.5</v>
      </c>
      <c r="J50" s="26" t="n">
        <v>0.3</v>
      </c>
      <c r="K50" s="25" t="n">
        <v>0.0257</v>
      </c>
      <c r="L50" s="21">
        <f>DATOS!$B$12*K50</f>
        <v/>
      </c>
      <c r="M50" s="25">
        <f>DATOS!$B$12+2*K50</f>
        <v/>
      </c>
      <c r="N50" s="21">
        <f>L50/M50</f>
        <v/>
      </c>
      <c r="O50" s="21">
        <f>L50*N50^(2/3)*SQRT(I50/100)/DATOS!$B$10</f>
        <v/>
      </c>
      <c r="P50" s="25">
        <f>J50-K50</f>
        <v/>
      </c>
      <c r="Q50" s="5">
        <f>IF(P50&gt;=DATOS!$B$13-0.001,"CUMPLE","NO CUMPLE")</f>
        <v/>
      </c>
      <c r="R50" s="25" t="n">
        <v>0.0235</v>
      </c>
      <c r="S50" s="26">
        <f>G50/(DATOS!$B$12*R50)</f>
        <v/>
      </c>
      <c r="T50" s="5">
        <f>IF(S50&lt;=DATOS!$B$14,"CUMPLE","NO CUMPLE")</f>
        <v/>
      </c>
    </row>
    <row r="51">
      <c r="A51" s="5" t="inlineStr">
        <is>
          <t>EJE-08</t>
        </is>
      </c>
      <c r="B51" s="5" t="inlineStr">
        <is>
          <t>P-43</t>
        </is>
      </c>
      <c r="C51" s="5" t="inlineStr">
        <is>
          <t>P-27</t>
        </is>
      </c>
      <c r="D51" s="33" t="n">
        <v>488</v>
      </c>
      <c r="E51" s="25" t="n">
        <v>0.88</v>
      </c>
      <c r="F51" s="26">
        <f>DATOS!$B$17</f>
        <v/>
      </c>
      <c r="G51" s="21">
        <f>E51*F51*D51*DATOS!$B$22/3600000</f>
        <v/>
      </c>
      <c r="H51" s="18">
        <f>G51*1000</f>
        <v/>
      </c>
      <c r="I51" s="26" t="n">
        <v>0.5</v>
      </c>
      <c r="J51" s="26" t="n">
        <v>0.32</v>
      </c>
      <c r="K51" s="25" t="n">
        <v>0.1199</v>
      </c>
      <c r="L51" s="21">
        <f>DATOS!$B$12*K51</f>
        <v/>
      </c>
      <c r="M51" s="25">
        <f>DATOS!$B$12+2*K51</f>
        <v/>
      </c>
      <c r="N51" s="21">
        <f>L51/M51</f>
        <v/>
      </c>
      <c r="O51" s="21">
        <f>L51*N51^(2/3)*SQRT(I51/100)/DATOS!$B$10</f>
        <v/>
      </c>
      <c r="P51" s="25">
        <f>J51-K51</f>
        <v/>
      </c>
      <c r="Q51" s="5">
        <f>IF(P51&gt;=DATOS!$B$13-0.001,"CUMPLE","NO CUMPLE")</f>
        <v/>
      </c>
      <c r="R51" s="25" t="n">
        <v>0.1085</v>
      </c>
      <c r="S51" s="26">
        <f>G51/(DATOS!$B$12*R51)</f>
        <v/>
      </c>
      <c r="T51" s="5">
        <f>IF(S51&lt;=DATOS!$B$14,"CUMPLE","NO CUMPLE")</f>
        <v/>
      </c>
    </row>
    <row r="52">
      <c r="A52" s="5" t="inlineStr">
        <is>
          <t>EJE-09</t>
        </is>
      </c>
      <c r="B52" s="5" t="inlineStr">
        <is>
          <t>P-44</t>
        </is>
      </c>
      <c r="C52" s="5" t="inlineStr">
        <is>
          <t>P-28</t>
        </is>
      </c>
      <c r="D52" s="33" t="n">
        <v>342</v>
      </c>
      <c r="E52" s="25" t="n">
        <v>0.88</v>
      </c>
      <c r="F52" s="26">
        <f>DATOS!$B$17</f>
        <v/>
      </c>
      <c r="G52" s="21">
        <f>E52*F52*D52*DATOS!$B$22/3600000</f>
        <v/>
      </c>
      <c r="H52" s="18">
        <f>G52*1000</f>
        <v/>
      </c>
      <c r="I52" s="26" t="n">
        <v>0.5</v>
      </c>
      <c r="J52" s="26" t="n">
        <v>0.3</v>
      </c>
      <c r="K52" s="25" t="n">
        <v>0.09370000000000001</v>
      </c>
      <c r="L52" s="21">
        <f>DATOS!$B$12*K52</f>
        <v/>
      </c>
      <c r="M52" s="25">
        <f>DATOS!$B$12+2*K52</f>
        <v/>
      </c>
      <c r="N52" s="21">
        <f>L52/M52</f>
        <v/>
      </c>
      <c r="O52" s="21">
        <f>L52*N52^(2/3)*SQRT(I52/100)/DATOS!$B$10</f>
        <v/>
      </c>
      <c r="P52" s="25">
        <f>J52-K52</f>
        <v/>
      </c>
      <c r="Q52" s="5">
        <f>IF(P52&gt;=DATOS!$B$13-0.001,"CUMPLE","NO CUMPLE")</f>
        <v/>
      </c>
      <c r="R52" s="25" t="n">
        <v>0.0849</v>
      </c>
      <c r="S52" s="26">
        <f>G52/(DATOS!$B$12*R52)</f>
        <v/>
      </c>
      <c r="T52" s="5">
        <f>IF(S52&lt;=DATOS!$B$14,"CUMPLE","NO CUMPLE")</f>
        <v/>
      </c>
    </row>
    <row r="53">
      <c r="A53" s="5" t="inlineStr">
        <is>
          <t>EJE-10</t>
        </is>
      </c>
      <c r="B53" s="5" t="inlineStr">
        <is>
          <t>P-43</t>
        </is>
      </c>
      <c r="C53" s="5" t="inlineStr">
        <is>
          <t>P-44</t>
        </is>
      </c>
      <c r="D53" s="33" t="n">
        <v>205</v>
      </c>
      <c r="E53" s="25" t="n">
        <v>0.838</v>
      </c>
      <c r="F53" s="26">
        <f>DATOS!$B$17</f>
        <v/>
      </c>
      <c r="G53" s="21">
        <f>E53*F53*D53*DATOS!$B$22/3600000</f>
        <v/>
      </c>
      <c r="H53" s="18">
        <f>G53*1000</f>
        <v/>
      </c>
      <c r="I53" s="26" t="n">
        <v>0.5</v>
      </c>
      <c r="J53" s="26" t="n">
        <v>0.3</v>
      </c>
      <c r="K53" s="25" t="n">
        <v>0.0641</v>
      </c>
      <c r="L53" s="21">
        <f>DATOS!$B$12*K53</f>
        <v/>
      </c>
      <c r="M53" s="25">
        <f>DATOS!$B$12+2*K53</f>
        <v/>
      </c>
      <c r="N53" s="21">
        <f>L53/M53</f>
        <v/>
      </c>
      <c r="O53" s="21">
        <f>L53*N53^(2/3)*SQRT(I53/100)/DATOS!$B$10</f>
        <v/>
      </c>
      <c r="P53" s="25">
        <f>J53-K53</f>
        <v/>
      </c>
      <c r="Q53" s="5">
        <f>IF(P53&gt;=DATOS!$B$13-0.001,"CUMPLE","NO CUMPLE")</f>
        <v/>
      </c>
      <c r="R53" s="25" t="n">
        <v>0.0583</v>
      </c>
      <c r="S53" s="26">
        <f>G53/(DATOS!$B$12*R53)</f>
        <v/>
      </c>
      <c r="T53" s="5">
        <f>IF(S53&lt;=DATOS!$B$14,"CUMPLE","NO CUMPLE")</f>
        <v/>
      </c>
    </row>
    <row r="54">
      <c r="A54" s="5" t="inlineStr">
        <is>
          <t>EJE-10</t>
        </is>
      </c>
      <c r="B54" s="5" t="inlineStr">
        <is>
          <t>P-44</t>
        </is>
      </c>
      <c r="C54" s="5" t="inlineStr">
        <is>
          <t>P-45</t>
        </is>
      </c>
      <c r="D54" s="33" t="n">
        <v>232</v>
      </c>
      <c r="E54" s="25" t="n">
        <v>0.832</v>
      </c>
      <c r="F54" s="26">
        <f>DATOS!$B$17</f>
        <v/>
      </c>
      <c r="G54" s="21">
        <f>E54*F54*D54*DATOS!$B$22/3600000</f>
        <v/>
      </c>
      <c r="H54" s="18">
        <f>G54*1000</f>
        <v/>
      </c>
      <c r="I54" s="26" t="n">
        <v>0.5</v>
      </c>
      <c r="J54" s="26" t="n">
        <v>0.39</v>
      </c>
      <c r="K54" s="25" t="n">
        <v>0.0694</v>
      </c>
      <c r="L54" s="21">
        <f>DATOS!$B$12*K54</f>
        <v/>
      </c>
      <c r="M54" s="25">
        <f>DATOS!$B$12+2*K54</f>
        <v/>
      </c>
      <c r="N54" s="21">
        <f>L54/M54</f>
        <v/>
      </c>
      <c r="O54" s="21">
        <f>L54*N54^(2/3)*SQRT(I54/100)/DATOS!$B$10</f>
        <v/>
      </c>
      <c r="P54" s="25">
        <f>J54-K54</f>
        <v/>
      </c>
      <c r="Q54" s="5">
        <f>IF(P54&gt;=DATOS!$B$13-0.001,"CUMPLE","NO CUMPLE")</f>
        <v/>
      </c>
      <c r="R54" s="25" t="n">
        <v>0.063</v>
      </c>
      <c r="S54" s="26">
        <f>G54/(DATOS!$B$12*R54)</f>
        <v/>
      </c>
      <c r="T54" s="5">
        <f>IF(S54&lt;=DATOS!$B$14,"CUMPLE","NO CUMPLE")</f>
        <v/>
      </c>
    </row>
    <row r="55">
      <c r="A55" s="5" t="inlineStr">
        <is>
          <t>EJE-10</t>
        </is>
      </c>
      <c r="B55" s="5" t="inlineStr">
        <is>
          <t>P-45</t>
        </is>
      </c>
      <c r="C55" s="5" t="inlineStr">
        <is>
          <t>P-46</t>
        </is>
      </c>
      <c r="D55" s="33" t="n">
        <v>245</v>
      </c>
      <c r="E55" s="25" t="n">
        <v>0.833</v>
      </c>
      <c r="F55" s="26">
        <f>DATOS!$B$17</f>
        <v/>
      </c>
      <c r="G55" s="21">
        <f>E55*F55*D55*DATOS!$B$22/3600000</f>
        <v/>
      </c>
      <c r="H55" s="18">
        <f>G55*1000</f>
        <v/>
      </c>
      <c r="I55" s="26" t="n">
        <v>0.5</v>
      </c>
      <c r="J55" s="26" t="n">
        <v>0.42</v>
      </c>
      <c r="K55" s="25" t="n">
        <v>0.07190000000000001</v>
      </c>
      <c r="L55" s="21">
        <f>DATOS!$B$12*K55</f>
        <v/>
      </c>
      <c r="M55" s="25">
        <f>DATOS!$B$12+2*K55</f>
        <v/>
      </c>
      <c r="N55" s="21">
        <f>L55/M55</f>
        <v/>
      </c>
      <c r="O55" s="21">
        <f>L55*N55^(2/3)*SQRT(I55/100)/DATOS!$B$10</f>
        <v/>
      </c>
      <c r="P55" s="25">
        <f>J55-K55</f>
        <v/>
      </c>
      <c r="Q55" s="5">
        <f>IF(P55&gt;=DATOS!$B$13-0.001,"CUMPLE","NO CUMPLE")</f>
        <v/>
      </c>
      <c r="R55" s="25" t="n">
        <v>0.0653</v>
      </c>
      <c r="S55" s="26">
        <f>G55/(DATOS!$B$12*R55)</f>
        <v/>
      </c>
      <c r="T55" s="5">
        <f>IF(S55&lt;=DATOS!$B$14,"CUMPLE","NO CUMPLE")</f>
        <v/>
      </c>
    </row>
    <row r="56">
      <c r="A56" s="5" t="inlineStr">
        <is>
          <t>EJE-10</t>
        </is>
      </c>
      <c r="B56" s="5" t="inlineStr">
        <is>
          <t>P-46</t>
        </is>
      </c>
      <c r="C56" s="5" t="inlineStr">
        <is>
          <t>P-47</t>
        </is>
      </c>
      <c r="D56" s="33" t="n">
        <v>335</v>
      </c>
      <c r="E56" s="25" t="n">
        <v>0.846</v>
      </c>
      <c r="F56" s="26">
        <f>DATOS!$B$17</f>
        <v/>
      </c>
      <c r="G56" s="21">
        <f>E56*F56*D56*DATOS!$B$22/3600000</f>
        <v/>
      </c>
      <c r="H56" s="18">
        <f>G56*1000</f>
        <v/>
      </c>
      <c r="I56" s="26" t="n">
        <v>0.5</v>
      </c>
      <c r="J56" s="26" t="n">
        <v>0.42</v>
      </c>
      <c r="K56" s="25" t="n">
        <v>0.0898</v>
      </c>
      <c r="L56" s="21">
        <f>DATOS!$B$12*K56</f>
        <v/>
      </c>
      <c r="M56" s="25">
        <f>DATOS!$B$12+2*K56</f>
        <v/>
      </c>
      <c r="N56" s="21">
        <f>L56/M56</f>
        <v/>
      </c>
      <c r="O56" s="21">
        <f>L56*N56^(2/3)*SQRT(I56/100)/DATOS!$B$10</f>
        <v/>
      </c>
      <c r="P56" s="25">
        <f>J56-K56</f>
        <v/>
      </c>
      <c r="Q56" s="5">
        <f>IF(P56&gt;=DATOS!$B$13-0.001,"CUMPLE","NO CUMPLE")</f>
        <v/>
      </c>
      <c r="R56" s="25" t="n">
        <v>0.0814</v>
      </c>
      <c r="S56" s="26">
        <f>G56/(DATOS!$B$12*R56)</f>
        <v/>
      </c>
      <c r="T56" s="5">
        <f>IF(S56&lt;=DATOS!$B$14,"CUMPLE","NO CUMPLE")</f>
        <v/>
      </c>
    </row>
    <row r="57">
      <c r="A57" s="5" t="inlineStr">
        <is>
          <t>EJE-10</t>
        </is>
      </c>
      <c r="B57" s="5" t="inlineStr">
        <is>
          <t>P-47</t>
        </is>
      </c>
      <c r="C57" s="5" t="inlineStr">
        <is>
          <t>P-32</t>
        </is>
      </c>
      <c r="D57" s="33" t="n">
        <v>335</v>
      </c>
      <c r="E57" s="25" t="n">
        <v>0.846</v>
      </c>
      <c r="F57" s="26">
        <f>DATOS!$B$17</f>
        <v/>
      </c>
      <c r="G57" s="21">
        <f>E57*F57*D57*DATOS!$B$22/3600000</f>
        <v/>
      </c>
      <c r="H57" s="18">
        <f>G57*1000</f>
        <v/>
      </c>
      <c r="I57" s="26" t="n">
        <v>0.5</v>
      </c>
      <c r="J57" s="26" t="n">
        <v>0.48</v>
      </c>
      <c r="K57" s="25" t="n">
        <v>0.0898</v>
      </c>
      <c r="L57" s="21">
        <f>DATOS!$B$12*K57</f>
        <v/>
      </c>
      <c r="M57" s="25">
        <f>DATOS!$B$12+2*K57</f>
        <v/>
      </c>
      <c r="N57" s="21">
        <f>L57/M57</f>
        <v/>
      </c>
      <c r="O57" s="21">
        <f>L57*N57^(2/3)*SQRT(I57/100)/DATOS!$B$10</f>
        <v/>
      </c>
      <c r="P57" s="25">
        <f>J57-K57</f>
        <v/>
      </c>
      <c r="Q57" s="5">
        <f>IF(P57&gt;=DATOS!$B$13-0.001,"CUMPLE","NO CUMPLE")</f>
        <v/>
      </c>
      <c r="R57" s="25" t="n">
        <v>0.0814</v>
      </c>
      <c r="S57" s="26">
        <f>G57/(DATOS!$B$12*R57)</f>
        <v/>
      </c>
      <c r="T57" s="5">
        <f>IF(S57&lt;=DATOS!$B$14,"CUMPLE","NO CUMPLE")</f>
        <v/>
      </c>
    </row>
    <row r="58">
      <c r="A58" s="5" t="inlineStr">
        <is>
          <t>EJE-11</t>
        </is>
      </c>
      <c r="B58" s="5" t="inlineStr">
        <is>
          <t>P-48</t>
        </is>
      </c>
      <c r="C58" s="5" t="inlineStr">
        <is>
          <t>P-33</t>
        </is>
      </c>
      <c r="D58" s="33" t="n">
        <v>302</v>
      </c>
      <c r="E58" s="25" t="n">
        <v>0.675</v>
      </c>
      <c r="F58" s="26">
        <f>DATOS!$B$17</f>
        <v/>
      </c>
      <c r="G58" s="21">
        <f>E58*F58*D58*DATOS!$B$22/3600000</f>
        <v/>
      </c>
      <c r="H58" s="18">
        <f>G58*1000</f>
        <v/>
      </c>
      <c r="I58" s="26" t="n">
        <v>0.5</v>
      </c>
      <c r="J58" s="26" t="n">
        <v>0.2</v>
      </c>
      <c r="K58" s="25" t="n">
        <v>0.07190000000000001</v>
      </c>
      <c r="L58" s="21">
        <f>DATOS!$B$12*K58</f>
        <v/>
      </c>
      <c r="M58" s="25">
        <f>DATOS!$B$12+2*K58</f>
        <v/>
      </c>
      <c r="N58" s="21">
        <f>L58/M58</f>
        <v/>
      </c>
      <c r="O58" s="21">
        <f>L58*N58^(2/3)*SQRT(I58/100)/DATOS!$B$10</f>
        <v/>
      </c>
      <c r="P58" s="25">
        <f>J58-K58</f>
        <v/>
      </c>
      <c r="Q58" s="5">
        <f>IF(P58&gt;=DATOS!$B$13-0.001,"CUMPLE","NO CUMPLE")</f>
        <v/>
      </c>
      <c r="R58" s="25" t="n">
        <v>0.0653</v>
      </c>
      <c r="S58" s="26">
        <f>G58/(DATOS!$B$12*R58)</f>
        <v/>
      </c>
      <c r="T58" s="5">
        <f>IF(S58&lt;=DATOS!$B$14,"CUMPLE","NO CUMPLE")</f>
        <v/>
      </c>
    </row>
    <row r="59">
      <c r="A59" s="5" t="inlineStr">
        <is>
          <t>EJE-12</t>
        </is>
      </c>
      <c r="B59" s="5" t="inlineStr">
        <is>
          <t>P-49</t>
        </is>
      </c>
      <c r="C59" s="5" t="inlineStr">
        <is>
          <t>P-50</t>
        </is>
      </c>
      <c r="D59" s="33" t="n">
        <v>238</v>
      </c>
      <c r="E59" s="25" t="n">
        <v>0.842</v>
      </c>
      <c r="F59" s="26">
        <f>DATOS!$B$17</f>
        <v/>
      </c>
      <c r="G59" s="21">
        <f>E59*F59*D59*DATOS!$B$22/3600000</f>
        <v/>
      </c>
      <c r="H59" s="18">
        <f>G59*1000</f>
        <v/>
      </c>
      <c r="I59" s="26" t="n">
        <v>0.5</v>
      </c>
      <c r="J59" s="26" t="n">
        <v>0.3</v>
      </c>
      <c r="K59" s="25" t="n">
        <v>0.0711</v>
      </c>
      <c r="L59" s="21">
        <f>DATOS!$B$12*K59</f>
        <v/>
      </c>
      <c r="M59" s="25">
        <f>DATOS!$B$12+2*K59</f>
        <v/>
      </c>
      <c r="N59" s="21">
        <f>L59/M59</f>
        <v/>
      </c>
      <c r="O59" s="21">
        <f>L59*N59^(2/3)*SQRT(I59/100)/DATOS!$B$10</f>
        <v/>
      </c>
      <c r="P59" s="25">
        <f>J59-K59</f>
        <v/>
      </c>
      <c r="Q59" s="5">
        <f>IF(P59&gt;=DATOS!$B$13-0.001,"CUMPLE","NO CUMPLE")</f>
        <v/>
      </c>
      <c r="R59" s="25" t="n">
        <v>0.06469999999999999</v>
      </c>
      <c r="S59" s="26">
        <f>G59/(DATOS!$B$12*R59)</f>
        <v/>
      </c>
      <c r="T59" s="5">
        <f>IF(S59&lt;=DATOS!$B$14,"CUMPLE","NO CUMPLE")</f>
        <v/>
      </c>
    </row>
    <row r="60">
      <c r="A60" s="5" t="inlineStr">
        <is>
          <t>EJE-12</t>
        </is>
      </c>
      <c r="B60" s="5" t="inlineStr">
        <is>
          <t>P-50</t>
        </is>
      </c>
      <c r="C60" s="5" t="inlineStr">
        <is>
          <t>P-51</t>
        </is>
      </c>
      <c r="D60" s="33" t="n">
        <v>247</v>
      </c>
      <c r="E60" s="25" t="n">
        <v>0.843</v>
      </c>
      <c r="F60" s="26">
        <f>DATOS!$B$17</f>
        <v/>
      </c>
      <c r="G60" s="21">
        <f>E60*F60*D60*DATOS!$B$22/3600000</f>
        <v/>
      </c>
      <c r="H60" s="18">
        <f>G60*1000</f>
        <v/>
      </c>
      <c r="I60" s="26" t="n">
        <v>0.5</v>
      </c>
      <c r="J60" s="26" t="n">
        <v>0.38</v>
      </c>
      <c r="K60" s="25" t="n">
        <v>0.07290000000000001</v>
      </c>
      <c r="L60" s="21">
        <f>DATOS!$B$12*K60</f>
        <v/>
      </c>
      <c r="M60" s="25">
        <f>DATOS!$B$12+2*K60</f>
        <v/>
      </c>
      <c r="N60" s="21">
        <f>L60/M60</f>
        <v/>
      </c>
      <c r="O60" s="21">
        <f>L60*N60^(2/3)*SQRT(I60/100)/DATOS!$B$10</f>
        <v/>
      </c>
      <c r="P60" s="25">
        <f>J60-K60</f>
        <v/>
      </c>
      <c r="Q60" s="5">
        <f>IF(P60&gt;=DATOS!$B$13-0.001,"CUMPLE","NO CUMPLE")</f>
        <v/>
      </c>
      <c r="R60" s="25" t="n">
        <v>0.06619999999999999</v>
      </c>
      <c r="S60" s="26">
        <f>G60/(DATOS!$B$12*R60)</f>
        <v/>
      </c>
      <c r="T60" s="5">
        <f>IF(S60&lt;=DATOS!$B$14,"CUMPLE","NO CUMPLE")</f>
        <v/>
      </c>
    </row>
    <row r="61">
      <c r="A61" s="5" t="inlineStr">
        <is>
          <t>EJE-12</t>
        </is>
      </c>
      <c r="B61" s="5" t="inlineStr">
        <is>
          <t>P-51</t>
        </is>
      </c>
      <c r="C61" s="5" t="inlineStr">
        <is>
          <t>P-52</t>
        </is>
      </c>
      <c r="D61" s="33" t="n">
        <v>533</v>
      </c>
      <c r="E61" s="25" t="n">
        <v>0.731</v>
      </c>
      <c r="F61" s="26">
        <f>DATOS!$B$17</f>
        <v/>
      </c>
      <c r="G61" s="21">
        <f>E61*F61*D61*DATOS!$B$22/3600000</f>
        <v/>
      </c>
      <c r="H61" s="18">
        <f>G61*1000</f>
        <v/>
      </c>
      <c r="I61" s="26" t="n">
        <v>0.5</v>
      </c>
      <c r="J61" s="26" t="n">
        <v>0.38</v>
      </c>
      <c r="K61" s="25" t="n">
        <v>0.112</v>
      </c>
      <c r="L61" s="21">
        <f>DATOS!$B$12*K61</f>
        <v/>
      </c>
      <c r="M61" s="25">
        <f>DATOS!$B$12+2*K61</f>
        <v/>
      </c>
      <c r="N61" s="21">
        <f>L61/M61</f>
        <v/>
      </c>
      <c r="O61" s="21">
        <f>L61*N61^(2/3)*SQRT(I61/100)/DATOS!$B$10</f>
        <v/>
      </c>
      <c r="P61" s="25">
        <f>J61-K61</f>
        <v/>
      </c>
      <c r="Q61" s="5">
        <f>IF(P61&gt;=DATOS!$B$13-0.001,"CUMPLE","NO CUMPLE")</f>
        <v/>
      </c>
      <c r="R61" s="25" t="n">
        <v>0.1014</v>
      </c>
      <c r="S61" s="26">
        <f>G61/(DATOS!$B$12*R61)</f>
        <v/>
      </c>
      <c r="T61" s="5">
        <f>IF(S61&lt;=DATOS!$B$14,"CUMPLE","NO CUMPLE")</f>
        <v/>
      </c>
    </row>
    <row r="62">
      <c r="A62" s="5" t="inlineStr">
        <is>
          <t>EJE-12</t>
        </is>
      </c>
      <c r="B62" s="5" t="inlineStr">
        <is>
          <t>P-52</t>
        </is>
      </c>
      <c r="C62" s="5" t="inlineStr">
        <is>
          <t>P-53</t>
        </is>
      </c>
      <c r="D62" s="33" t="n">
        <v>536</v>
      </c>
      <c r="E62" s="25" t="n">
        <v>0.73</v>
      </c>
      <c r="F62" s="26">
        <f>DATOS!$B$17</f>
        <v/>
      </c>
      <c r="G62" s="21">
        <f>E62*F62*D62*DATOS!$B$22/3600000</f>
        <v/>
      </c>
      <c r="H62" s="18">
        <f>G62*1000</f>
        <v/>
      </c>
      <c r="I62" s="26" t="n">
        <v>0.5</v>
      </c>
      <c r="J62" s="26" t="n">
        <v>0.49</v>
      </c>
      <c r="K62" s="25" t="n">
        <v>0.1125</v>
      </c>
      <c r="L62" s="21">
        <f>DATOS!$B$12*K62</f>
        <v/>
      </c>
      <c r="M62" s="25">
        <f>DATOS!$B$12+2*K62</f>
        <v/>
      </c>
      <c r="N62" s="21">
        <f>L62/M62</f>
        <v/>
      </c>
      <c r="O62" s="21">
        <f>L62*N62^(2/3)*SQRT(I62/100)/DATOS!$B$10</f>
        <v/>
      </c>
      <c r="P62" s="25">
        <f>J62-K62</f>
        <v/>
      </c>
      <c r="Q62" s="5">
        <f>IF(P62&gt;=DATOS!$B$13-0.001,"CUMPLE","NO CUMPLE")</f>
        <v/>
      </c>
      <c r="R62" s="25" t="n">
        <v>0.1018</v>
      </c>
      <c r="S62" s="26">
        <f>G62/(DATOS!$B$12*R62)</f>
        <v/>
      </c>
      <c r="T62" s="5">
        <f>IF(S62&lt;=DATOS!$B$14,"CUMPLE","NO CUMPLE")</f>
        <v/>
      </c>
    </row>
    <row r="63">
      <c r="A63" s="5" t="inlineStr">
        <is>
          <t>EJE-12</t>
        </is>
      </c>
      <c r="B63" s="5" t="inlineStr">
        <is>
          <t>P-53</t>
        </is>
      </c>
      <c r="C63" s="5" t="inlineStr">
        <is>
          <t>P-54</t>
        </is>
      </c>
      <c r="D63" s="33" t="n">
        <v>857</v>
      </c>
      <c r="E63" s="25" t="n">
        <v>0.767</v>
      </c>
      <c r="F63" s="26">
        <f>DATOS!$B$17</f>
        <v/>
      </c>
      <c r="G63" s="21">
        <f>E63*F63*D63*DATOS!$B$22/3600000</f>
        <v/>
      </c>
      <c r="H63" s="18">
        <f>G63*1000</f>
        <v/>
      </c>
      <c r="I63" s="26" t="n">
        <v>0.5</v>
      </c>
      <c r="J63" s="26" t="n">
        <v>0.5</v>
      </c>
      <c r="K63" s="25" t="n">
        <v>0.1629</v>
      </c>
      <c r="L63" s="21">
        <f>DATOS!$B$12*K63</f>
        <v/>
      </c>
      <c r="M63" s="25">
        <f>DATOS!$B$12+2*K63</f>
        <v/>
      </c>
      <c r="N63" s="21">
        <f>L63/M63</f>
        <v/>
      </c>
      <c r="O63" s="21">
        <f>L63*N63^(2/3)*SQRT(I63/100)/DATOS!$B$10</f>
        <v/>
      </c>
      <c r="P63" s="25">
        <f>J63-K63</f>
        <v/>
      </c>
      <c r="Q63" s="5">
        <f>IF(P63&gt;=DATOS!$B$13-0.001,"CUMPLE","NO CUMPLE")</f>
        <v/>
      </c>
      <c r="R63" s="25" t="n">
        <v>0.1468</v>
      </c>
      <c r="S63" s="26">
        <f>G63/(DATOS!$B$12*R63)</f>
        <v/>
      </c>
      <c r="T63" s="5">
        <f>IF(S63&lt;=DATOS!$B$14,"CUMPLE","NO CUMPLE")</f>
        <v/>
      </c>
    </row>
    <row r="64">
      <c r="A64" s="5" t="inlineStr">
        <is>
          <t>EJE-12</t>
        </is>
      </c>
      <c r="B64" s="5" t="inlineStr">
        <is>
          <t>P-54</t>
        </is>
      </c>
      <c r="C64" s="5" t="inlineStr">
        <is>
          <t>P-55</t>
        </is>
      </c>
      <c r="D64" s="33" t="n">
        <v>1130</v>
      </c>
      <c r="E64" s="25" t="n">
        <v>0.791</v>
      </c>
      <c r="F64" s="26">
        <f>DATOS!$B$17</f>
        <v/>
      </c>
      <c r="G64" s="21">
        <f>E64*F64*D64*DATOS!$B$22/3600000</f>
        <v/>
      </c>
      <c r="H64" s="18">
        <f>G64*1000</f>
        <v/>
      </c>
      <c r="I64" s="26" t="n">
        <v>0.5</v>
      </c>
      <c r="J64" s="26" t="n">
        <v>0.52</v>
      </c>
      <c r="K64" s="25" t="n">
        <v>0.2045</v>
      </c>
      <c r="L64" s="21">
        <f>DATOS!$B$12*K64</f>
        <v/>
      </c>
      <c r="M64" s="25">
        <f>DATOS!$B$12+2*K64</f>
        <v/>
      </c>
      <c r="N64" s="21">
        <f>L64/M64</f>
        <v/>
      </c>
      <c r="O64" s="21">
        <f>L64*N64^(2/3)*SQRT(I64/100)/DATOS!$B$10</f>
        <v/>
      </c>
      <c r="P64" s="25">
        <f>J64-K64</f>
        <v/>
      </c>
      <c r="Q64" s="5">
        <f>IF(P64&gt;=DATOS!$B$13-0.001,"CUMPLE","NO CUMPLE")</f>
        <v/>
      </c>
      <c r="R64" s="25" t="n">
        <v>0.1838</v>
      </c>
      <c r="S64" s="26">
        <f>G64/(DATOS!$B$12*R64)</f>
        <v/>
      </c>
      <c r="T64" s="5">
        <f>IF(S64&lt;=DATOS!$B$14,"CUMPLE","NO CUMPLE")</f>
        <v/>
      </c>
    </row>
    <row r="65">
      <c r="A65" s="5" t="inlineStr">
        <is>
          <t>EJE-12</t>
        </is>
      </c>
      <c r="B65" s="5" t="inlineStr">
        <is>
          <t>P-55</t>
        </is>
      </c>
      <c r="C65" s="5" t="inlineStr">
        <is>
          <t>P-56</t>
        </is>
      </c>
      <c r="D65" s="33" t="n">
        <v>1869</v>
      </c>
      <c r="E65" s="25" t="n">
        <v>0.819</v>
      </c>
      <c r="F65" s="26">
        <f>DATOS!$B$17</f>
        <v/>
      </c>
      <c r="G65" s="21">
        <f>E65*F65*D65*DATOS!$B$22/3600000</f>
        <v/>
      </c>
      <c r="H65" s="18">
        <f>G65*1000</f>
        <v/>
      </c>
      <c r="I65" s="26" t="n">
        <v>0.5</v>
      </c>
      <c r="J65" s="26" t="n">
        <v>0.5600000000000001</v>
      </c>
      <c r="K65" s="25" t="n">
        <v>0.3097</v>
      </c>
      <c r="L65" s="21">
        <f>DATOS!$B$12*K65</f>
        <v/>
      </c>
      <c r="M65" s="25">
        <f>DATOS!$B$12+2*K65</f>
        <v/>
      </c>
      <c r="N65" s="21">
        <f>L65/M65</f>
        <v/>
      </c>
      <c r="O65" s="21">
        <f>L65*N65^(2/3)*SQRT(I65/100)/DATOS!$B$10</f>
        <v/>
      </c>
      <c r="P65" s="25">
        <f>J65-K65</f>
        <v/>
      </c>
      <c r="Q65" s="5">
        <f>IF(P65&gt;=DATOS!$B$13-0.001,"CUMPLE","NO CUMPLE")</f>
        <v/>
      </c>
      <c r="R65" s="25" t="n">
        <v>0.2768</v>
      </c>
      <c r="S65" s="26">
        <f>G65/(DATOS!$B$12*R65)</f>
        <v/>
      </c>
      <c r="T65" s="5">
        <f>IF(S65&lt;=DATOS!$B$14,"CUMPLE","NO CUMPLE")</f>
        <v/>
      </c>
    </row>
    <row r="66">
      <c r="A66" s="5" t="inlineStr">
        <is>
          <t>EJE-12</t>
        </is>
      </c>
      <c r="B66" s="5" t="inlineStr">
        <is>
          <t>P-56</t>
        </is>
      </c>
      <c r="C66" s="5" t="inlineStr">
        <is>
          <t>P-57</t>
        </is>
      </c>
      <c r="D66" s="33" t="n">
        <v>2360</v>
      </c>
      <c r="E66" s="25" t="n">
        <v>0.828</v>
      </c>
      <c r="F66" s="26">
        <f>DATOS!$B$17</f>
        <v/>
      </c>
      <c r="G66" s="21">
        <f>E66*F66*D66*DATOS!$B$22/3600000</f>
        <v/>
      </c>
      <c r="H66" s="18">
        <f>G66*1000</f>
        <v/>
      </c>
      <c r="I66" s="26" t="n">
        <v>0.5</v>
      </c>
      <c r="J66" s="26" t="n">
        <v>0.62</v>
      </c>
      <c r="K66" s="25" t="n">
        <v>0.3771</v>
      </c>
      <c r="L66" s="21">
        <f>DATOS!$B$12*K66</f>
        <v/>
      </c>
      <c r="M66" s="25">
        <f>DATOS!$B$12+2*K66</f>
        <v/>
      </c>
      <c r="N66" s="21">
        <f>L66/M66</f>
        <v/>
      </c>
      <c r="O66" s="21">
        <f>L66*N66^(2/3)*SQRT(I66/100)/DATOS!$B$10</f>
        <v/>
      </c>
      <c r="P66" s="25">
        <f>J66-K66</f>
        <v/>
      </c>
      <c r="Q66" s="5">
        <f>IF(P66&gt;=DATOS!$B$13-0.001,"CUMPLE","NO CUMPLE")</f>
        <v/>
      </c>
      <c r="R66" s="25" t="n">
        <v>0.336</v>
      </c>
      <c r="S66" s="26">
        <f>G66/(DATOS!$B$12*R66)</f>
        <v/>
      </c>
      <c r="T66" s="5">
        <f>IF(S66&lt;=DATOS!$B$14,"CUMPLE","NO CUMPLE")</f>
        <v/>
      </c>
    </row>
    <row r="67">
      <c r="A67" s="5" t="inlineStr">
        <is>
          <t>EJE-12</t>
        </is>
      </c>
      <c r="B67" s="5" t="inlineStr">
        <is>
          <t>P-57</t>
        </is>
      </c>
      <c r="C67" s="5" t="inlineStr">
        <is>
          <t>P-58</t>
        </is>
      </c>
      <c r="D67" s="33" t="n">
        <v>2486</v>
      </c>
      <c r="E67" s="25" t="n">
        <v>0.829</v>
      </c>
      <c r="F67" s="26">
        <f>DATOS!$B$17</f>
        <v/>
      </c>
      <c r="G67" s="21">
        <f>E67*F67*D67*DATOS!$B$22/3600000</f>
        <v/>
      </c>
      <c r="H67" s="18">
        <f>G67*1000</f>
        <v/>
      </c>
      <c r="I67" s="26" t="n">
        <v>0.5</v>
      </c>
      <c r="J67" s="26" t="n">
        <v>0.57</v>
      </c>
      <c r="K67" s="25" t="n">
        <v>0.3938</v>
      </c>
      <c r="L67" s="21">
        <f>DATOS!$B$12*K67</f>
        <v/>
      </c>
      <c r="M67" s="25">
        <f>DATOS!$B$12+2*K67</f>
        <v/>
      </c>
      <c r="N67" s="21">
        <f>L67/M67</f>
        <v/>
      </c>
      <c r="O67" s="21">
        <f>L67*N67^(2/3)*SQRT(I67/100)/DATOS!$B$10</f>
        <v/>
      </c>
      <c r="P67" s="25">
        <f>J67-K67</f>
        <v/>
      </c>
      <c r="Q67" s="5">
        <f>IF(P67&gt;=DATOS!$B$13-0.001,"CUMPLE","NO CUMPLE")</f>
        <v/>
      </c>
      <c r="R67" s="25" t="n">
        <v>0.3506</v>
      </c>
      <c r="S67" s="26">
        <f>G67/(DATOS!$B$12*R67)</f>
        <v/>
      </c>
      <c r="T67" s="5">
        <f>IF(S67&lt;=DATOS!$B$14,"CUMPLE","NO CUMPLE")</f>
        <v/>
      </c>
    </row>
    <row r="68">
      <c r="A68" s="5" t="inlineStr">
        <is>
          <t>EJE-12</t>
        </is>
      </c>
      <c r="B68" s="5" t="inlineStr">
        <is>
          <t>P-58</t>
        </is>
      </c>
      <c r="C68" s="5" t="inlineStr">
        <is>
          <t>P-59</t>
        </is>
      </c>
      <c r="D68" s="33" t="n">
        <v>2499</v>
      </c>
      <c r="E68" s="25" t="n">
        <v>0.829</v>
      </c>
      <c r="F68" s="26">
        <f>DATOS!$B$17</f>
        <v/>
      </c>
      <c r="G68" s="21">
        <f>E68*F68*D68*DATOS!$B$22/3600000</f>
        <v/>
      </c>
      <c r="H68" s="18">
        <f>G68*1000</f>
        <v/>
      </c>
      <c r="I68" s="26" t="n">
        <v>0.5</v>
      </c>
      <c r="J68" s="26" t="n">
        <v>0.63</v>
      </c>
      <c r="K68" s="25" t="n">
        <v>0.3954</v>
      </c>
      <c r="L68" s="21">
        <f>DATOS!$B$12*K68</f>
        <v/>
      </c>
      <c r="M68" s="25">
        <f>DATOS!$B$12+2*K68</f>
        <v/>
      </c>
      <c r="N68" s="21">
        <f>L68/M68</f>
        <v/>
      </c>
      <c r="O68" s="21">
        <f>L68*N68^(2/3)*SQRT(I68/100)/DATOS!$B$10</f>
        <v/>
      </c>
      <c r="P68" s="25">
        <f>J68-K68</f>
        <v/>
      </c>
      <c r="Q68" s="5">
        <f>IF(P68&gt;=DATOS!$B$13-0.001,"CUMPLE","NO CUMPLE")</f>
        <v/>
      </c>
      <c r="R68" s="25" t="n">
        <v>0.3521</v>
      </c>
      <c r="S68" s="26">
        <f>G68/(DATOS!$B$12*R68)</f>
        <v/>
      </c>
      <c r="T68" s="5">
        <f>IF(S68&lt;=DATOS!$B$14,"CUMPLE","NO CUMPLE")</f>
        <v/>
      </c>
    </row>
    <row r="69">
      <c r="A69" s="5" t="inlineStr">
        <is>
          <t>EJE-12</t>
        </is>
      </c>
      <c r="B69" s="5" t="inlineStr">
        <is>
          <t>P-59</t>
        </is>
      </c>
      <c r="C69" s="5" t="inlineStr">
        <is>
          <t>P-60</t>
        </is>
      </c>
      <c r="D69" s="33" t="n">
        <v>2499</v>
      </c>
      <c r="E69" s="25" t="n">
        <v>0.829</v>
      </c>
      <c r="F69" s="26">
        <f>DATOS!$B$17</f>
        <v/>
      </c>
      <c r="G69" s="21">
        <f>E69*F69*D69*DATOS!$B$22/3600000</f>
        <v/>
      </c>
      <c r="H69" s="18">
        <f>G69*1000</f>
        <v/>
      </c>
      <c r="I69" s="26" t="n">
        <v>0.5</v>
      </c>
      <c r="J69" s="26" t="n">
        <v>0.64</v>
      </c>
      <c r="K69" s="25" t="n">
        <v>0.3954</v>
      </c>
      <c r="L69" s="21">
        <f>DATOS!$B$12*K69</f>
        <v/>
      </c>
      <c r="M69" s="25">
        <f>DATOS!$B$12+2*K69</f>
        <v/>
      </c>
      <c r="N69" s="21">
        <f>L69/M69</f>
        <v/>
      </c>
      <c r="O69" s="21">
        <f>L69*N69^(2/3)*SQRT(I69/100)/DATOS!$B$10</f>
        <v/>
      </c>
      <c r="P69" s="25">
        <f>J69-K69</f>
        <v/>
      </c>
      <c r="Q69" s="5">
        <f>IF(P69&gt;=DATOS!$B$13-0.001,"CUMPLE","NO CUMPLE")</f>
        <v/>
      </c>
      <c r="R69" s="25" t="n">
        <v>0.3521</v>
      </c>
      <c r="S69" s="26">
        <f>G69/(DATOS!$B$12*R69)</f>
        <v/>
      </c>
      <c r="T69" s="5">
        <f>IF(S69&lt;=DATOS!$B$14,"CUMPLE","NO CUMPLE")</f>
        <v/>
      </c>
    </row>
    <row r="70">
      <c r="A70" s="5" t="inlineStr">
        <is>
          <t>EJE-12</t>
        </is>
      </c>
      <c r="B70" s="5" t="inlineStr">
        <is>
          <t>P-60</t>
        </is>
      </c>
      <c r="C70" s="5" t="inlineStr">
        <is>
          <t>D2</t>
        </is>
      </c>
      <c r="D70" s="33" t="n">
        <v>3028</v>
      </c>
      <c r="E70" s="25" t="n">
        <v>0.8070000000000001</v>
      </c>
      <c r="F70" s="26">
        <f>DATOS!$B$17</f>
        <v/>
      </c>
      <c r="G70" s="21">
        <f>E70*F70*D70*DATOS!$B$22/3600000</f>
        <v/>
      </c>
      <c r="H70" s="18">
        <f>G70*1000</f>
        <v/>
      </c>
      <c r="I70" s="26" t="n">
        <v>0.5</v>
      </c>
      <c r="J70" s="26" t="n">
        <v>0.64</v>
      </c>
      <c r="K70" s="25" t="n">
        <v>0.453</v>
      </c>
      <c r="L70" s="21">
        <f>DATOS!$B$12*K70</f>
        <v/>
      </c>
      <c r="M70" s="25">
        <f>DATOS!$B$12+2*K70</f>
        <v/>
      </c>
      <c r="N70" s="21">
        <f>L70/M70</f>
        <v/>
      </c>
      <c r="O70" s="21">
        <f>L70*N70^(2/3)*SQRT(I70/100)/DATOS!$B$10</f>
        <v/>
      </c>
      <c r="P70" s="25">
        <f>J70-K70</f>
        <v/>
      </c>
      <c r="Q70" s="5">
        <f>IF(P70&gt;=DATOS!$B$13-0.001,"CUMPLE","NO CUMPLE")</f>
        <v/>
      </c>
      <c r="R70" s="25" t="n">
        <v>0.4025</v>
      </c>
      <c r="S70" s="26">
        <f>G70/(DATOS!$B$12*R70)</f>
        <v/>
      </c>
      <c r="T70" s="5">
        <f>IF(S70&lt;=DATOS!$B$14,"CUMPLE","NO CUMPLE")</f>
        <v/>
      </c>
    </row>
    <row r="71">
      <c r="A71" s="5" t="inlineStr">
        <is>
          <t>EJE-13</t>
        </is>
      </c>
      <c r="B71" s="5" t="inlineStr">
        <is>
          <t>P-61</t>
        </is>
      </c>
      <c r="C71" s="5" t="inlineStr">
        <is>
          <t>P-54</t>
        </is>
      </c>
      <c r="D71" s="33" t="n">
        <v>244</v>
      </c>
      <c r="E71" s="25" t="n">
        <v>0.88</v>
      </c>
      <c r="F71" s="26">
        <f>DATOS!$B$17</f>
        <v/>
      </c>
      <c r="G71" s="21">
        <f>E71*F71*D71*DATOS!$B$22/3600000</f>
        <v/>
      </c>
      <c r="H71" s="18">
        <f>G71*1000</f>
        <v/>
      </c>
      <c r="I71" s="26" t="n">
        <v>0.5</v>
      </c>
      <c r="J71" s="26" t="n">
        <v>0.3</v>
      </c>
      <c r="K71" s="25" t="n">
        <v>0.07439999999999999</v>
      </c>
      <c r="L71" s="21">
        <f>DATOS!$B$12*K71</f>
        <v/>
      </c>
      <c r="M71" s="25">
        <f>DATOS!$B$12+2*K71</f>
        <v/>
      </c>
      <c r="N71" s="21">
        <f>L71/M71</f>
        <v/>
      </c>
      <c r="O71" s="21">
        <f>L71*N71^(2/3)*SQRT(I71/100)/DATOS!$B$10</f>
        <v/>
      </c>
      <c r="P71" s="25">
        <f>J71-K71</f>
        <v/>
      </c>
      <c r="Q71" s="5">
        <f>IF(P71&gt;=DATOS!$B$13-0.001,"CUMPLE","NO CUMPLE")</f>
        <v/>
      </c>
      <c r="R71" s="25" t="n">
        <v>0.06759999999999999</v>
      </c>
      <c r="S71" s="26">
        <f>G71/(DATOS!$B$12*R71)</f>
        <v/>
      </c>
      <c r="T71" s="5">
        <f>IF(S71&lt;=DATOS!$B$14,"CUMPLE","NO CUMPLE")</f>
        <v/>
      </c>
    </row>
    <row r="72">
      <c r="A72" s="5" t="inlineStr">
        <is>
          <t>EJE-14</t>
        </is>
      </c>
      <c r="B72" s="5" t="inlineStr">
        <is>
          <t>P-62</t>
        </is>
      </c>
      <c r="C72" s="5" t="inlineStr">
        <is>
          <t>P-63</t>
        </is>
      </c>
      <c r="D72" s="33" t="n">
        <v>198</v>
      </c>
      <c r="E72" s="25" t="n">
        <v>0.88</v>
      </c>
      <c r="F72" s="26">
        <f>DATOS!$B$17</f>
        <v/>
      </c>
      <c r="G72" s="21">
        <f>E72*F72*D72*DATOS!$B$22/3600000</f>
        <v/>
      </c>
      <c r="H72" s="18">
        <f>G72*1000</f>
        <v/>
      </c>
      <c r="I72" s="26" t="n">
        <v>0.5</v>
      </c>
      <c r="J72" s="26" t="n">
        <v>0.3</v>
      </c>
      <c r="K72" s="25" t="n">
        <v>0.06469999999999999</v>
      </c>
      <c r="L72" s="21">
        <f>DATOS!$B$12*K72</f>
        <v/>
      </c>
      <c r="M72" s="25">
        <f>DATOS!$B$12+2*K72</f>
        <v/>
      </c>
      <c r="N72" s="21">
        <f>L72/M72</f>
        <v/>
      </c>
      <c r="O72" s="21">
        <f>L72*N72^(2/3)*SQRT(I72/100)/DATOS!$B$10</f>
        <v/>
      </c>
      <c r="P72" s="25">
        <f>J72-K72</f>
        <v/>
      </c>
      <c r="Q72" s="5">
        <f>IF(P72&gt;=DATOS!$B$13-0.001,"CUMPLE","NO CUMPLE")</f>
        <v/>
      </c>
      <c r="R72" s="25" t="n">
        <v>0.0588</v>
      </c>
      <c r="S72" s="26">
        <f>G72/(DATOS!$B$12*R72)</f>
        <v/>
      </c>
      <c r="T72" s="5">
        <f>IF(S72&lt;=DATOS!$B$14,"CUMPLE","NO CUMPLE")</f>
        <v/>
      </c>
    </row>
    <row r="73">
      <c r="A73" s="5" t="inlineStr">
        <is>
          <t>EJE-14</t>
        </is>
      </c>
      <c r="B73" s="5" t="inlineStr">
        <is>
          <t>P-63</t>
        </is>
      </c>
      <c r="C73" s="5" t="inlineStr">
        <is>
          <t>P-64</t>
        </is>
      </c>
      <c r="D73" s="33" t="n">
        <v>222</v>
      </c>
      <c r="E73" s="25" t="n">
        <v>0.878</v>
      </c>
      <c r="F73" s="26">
        <f>DATOS!$B$17</f>
        <v/>
      </c>
      <c r="G73" s="21">
        <f>E73*F73*D73*DATOS!$B$22/3600000</f>
        <v/>
      </c>
      <c r="H73" s="18">
        <f>G73*1000</f>
        <v/>
      </c>
      <c r="I73" s="26" t="n">
        <v>0.5</v>
      </c>
      <c r="J73" s="26" t="n">
        <v>0.38</v>
      </c>
      <c r="K73" s="25" t="n">
        <v>0.0699</v>
      </c>
      <c r="L73" s="21">
        <f>DATOS!$B$12*K73</f>
        <v/>
      </c>
      <c r="M73" s="25">
        <f>DATOS!$B$12+2*K73</f>
        <v/>
      </c>
      <c r="N73" s="21">
        <f>L73/M73</f>
        <v/>
      </c>
      <c r="O73" s="21">
        <f>L73*N73^(2/3)*SQRT(I73/100)/DATOS!$B$10</f>
        <v/>
      </c>
      <c r="P73" s="25">
        <f>J73-K73</f>
        <v/>
      </c>
      <c r="Q73" s="5">
        <f>IF(P73&gt;=DATOS!$B$13-0.001,"CUMPLE","NO CUMPLE")</f>
        <v/>
      </c>
      <c r="R73" s="25" t="n">
        <v>0.0635</v>
      </c>
      <c r="S73" s="26">
        <f>G73/(DATOS!$B$12*R73)</f>
        <v/>
      </c>
      <c r="T73" s="5">
        <f>IF(S73&lt;=DATOS!$B$14,"CUMPLE","NO CUMPLE")</f>
        <v/>
      </c>
    </row>
    <row r="74">
      <c r="A74" s="5" t="inlineStr">
        <is>
          <t>EJE-14</t>
        </is>
      </c>
      <c r="B74" s="5" t="inlineStr">
        <is>
          <t>P-64</t>
        </is>
      </c>
      <c r="C74" s="5" t="inlineStr">
        <is>
          <t>P-65</t>
        </is>
      </c>
      <c r="D74" s="33" t="n">
        <v>478</v>
      </c>
      <c r="E74" s="25" t="n">
        <v>0.865</v>
      </c>
      <c r="F74" s="26">
        <f>DATOS!$B$17</f>
        <v/>
      </c>
      <c r="G74" s="21">
        <f>E74*F74*D74*DATOS!$B$22/3600000</f>
        <v/>
      </c>
      <c r="H74" s="18">
        <f>G74*1000</f>
        <v/>
      </c>
      <c r="I74" s="26" t="n">
        <v>0.5</v>
      </c>
      <c r="J74" s="26" t="n">
        <v>0.35</v>
      </c>
      <c r="K74" s="25" t="n">
        <v>0.1167</v>
      </c>
      <c r="L74" s="21">
        <f>DATOS!$B$12*K74</f>
        <v/>
      </c>
      <c r="M74" s="25">
        <f>DATOS!$B$12+2*K74</f>
        <v/>
      </c>
      <c r="N74" s="21">
        <f>L74/M74</f>
        <v/>
      </c>
      <c r="O74" s="21">
        <f>L74*N74^(2/3)*SQRT(I74/100)/DATOS!$B$10</f>
        <v/>
      </c>
      <c r="P74" s="25">
        <f>J74-K74</f>
        <v/>
      </c>
      <c r="Q74" s="5">
        <f>IF(P74&gt;=DATOS!$B$13-0.001,"CUMPLE","NO CUMPLE")</f>
        <v/>
      </c>
      <c r="R74" s="25" t="n">
        <v>0.1056</v>
      </c>
      <c r="S74" s="26">
        <f>G74/(DATOS!$B$12*R74)</f>
        <v/>
      </c>
      <c r="T74" s="5">
        <f>IF(S74&lt;=DATOS!$B$14,"CUMPLE","NO CUMPLE")</f>
        <v/>
      </c>
    </row>
    <row r="75">
      <c r="A75" s="5" t="inlineStr">
        <is>
          <t>EJE-14</t>
        </is>
      </c>
      <c r="B75" s="5" t="inlineStr">
        <is>
          <t>P-65</t>
        </is>
      </c>
      <c r="C75" s="5" t="inlineStr">
        <is>
          <t>P-66</t>
        </is>
      </c>
      <c r="D75" s="33" t="n">
        <v>481</v>
      </c>
      <c r="E75" s="25" t="n">
        <v>0.863</v>
      </c>
      <c r="F75" s="26">
        <f>DATOS!$B$17</f>
        <v/>
      </c>
      <c r="G75" s="21">
        <f>E75*F75*D75*DATOS!$B$22/3600000</f>
        <v/>
      </c>
      <c r="H75" s="18">
        <f>G75*1000</f>
        <v/>
      </c>
      <c r="I75" s="26" t="n">
        <v>0.5</v>
      </c>
      <c r="J75" s="26" t="n">
        <v>0.35</v>
      </c>
      <c r="K75" s="25" t="n">
        <v>0.1172</v>
      </c>
      <c r="L75" s="21">
        <f>DATOS!$B$12*K75</f>
        <v/>
      </c>
      <c r="M75" s="25">
        <f>DATOS!$B$12+2*K75</f>
        <v/>
      </c>
      <c r="N75" s="21">
        <f>L75/M75</f>
        <v/>
      </c>
      <c r="O75" s="21">
        <f>L75*N75^(2/3)*SQRT(I75/100)/DATOS!$B$10</f>
        <v/>
      </c>
      <c r="P75" s="25">
        <f>J75-K75</f>
        <v/>
      </c>
      <c r="Q75" s="5">
        <f>IF(P75&gt;=DATOS!$B$13-0.001,"CUMPLE","NO CUMPLE")</f>
        <v/>
      </c>
      <c r="R75" s="25" t="n">
        <v>0.106</v>
      </c>
      <c r="S75" s="26">
        <f>G75/(DATOS!$B$12*R75)</f>
        <v/>
      </c>
      <c r="T75" s="5">
        <f>IF(S75&lt;=DATOS!$B$14,"CUMPLE","NO CUMPLE")</f>
        <v/>
      </c>
    </row>
    <row r="76">
      <c r="A76" s="5" t="inlineStr">
        <is>
          <t>EJE-14</t>
        </is>
      </c>
      <c r="B76" s="5" t="inlineStr">
        <is>
          <t>P-66</t>
        </is>
      </c>
      <c r="C76" s="5" t="inlineStr">
        <is>
          <t>P-67</t>
        </is>
      </c>
      <c r="D76" s="33" t="n">
        <v>489</v>
      </c>
      <c r="E76" s="25" t="n">
        <v>0.863</v>
      </c>
      <c r="F76" s="26">
        <f>DATOS!$B$17</f>
        <v/>
      </c>
      <c r="G76" s="21">
        <f>E76*F76*D76*DATOS!$B$22/3600000</f>
        <v/>
      </c>
      <c r="H76" s="18">
        <f>G76*1000</f>
        <v/>
      </c>
      <c r="I76" s="26" t="n">
        <v>0.5</v>
      </c>
      <c r="J76" s="26" t="n">
        <v>0.35</v>
      </c>
      <c r="K76" s="25" t="n">
        <v>0.1184</v>
      </c>
      <c r="L76" s="21">
        <f>DATOS!$B$12*K76</f>
        <v/>
      </c>
      <c r="M76" s="25">
        <f>DATOS!$B$12+2*K76</f>
        <v/>
      </c>
      <c r="N76" s="21">
        <f>L76/M76</f>
        <v/>
      </c>
      <c r="O76" s="21">
        <f>L76*N76^(2/3)*SQRT(I76/100)/DATOS!$B$10</f>
        <v/>
      </c>
      <c r="P76" s="25">
        <f>J76-K76</f>
        <v/>
      </c>
      <c r="Q76" s="5">
        <f>IF(P76&gt;=DATOS!$B$13-0.001,"CUMPLE","NO CUMPLE")</f>
        <v/>
      </c>
      <c r="R76" s="25" t="n">
        <v>0.1071</v>
      </c>
      <c r="S76" s="26">
        <f>G76/(DATOS!$B$12*R76)</f>
        <v/>
      </c>
      <c r="T76" s="5">
        <f>IF(S76&lt;=DATOS!$B$14,"CUMPLE","NO CUMPLE")</f>
        <v/>
      </c>
    </row>
    <row r="77">
      <c r="A77" s="5" t="inlineStr">
        <is>
          <t>EJE-14</t>
        </is>
      </c>
      <c r="B77" s="5" t="inlineStr">
        <is>
          <t>P-67</t>
        </is>
      </c>
      <c r="C77" s="5" t="inlineStr">
        <is>
          <t>P-68</t>
        </is>
      </c>
      <c r="D77" s="33" t="n">
        <v>671</v>
      </c>
      <c r="E77" s="25" t="n">
        <v>0.868</v>
      </c>
      <c r="F77" s="26">
        <f>DATOS!$B$17</f>
        <v/>
      </c>
      <c r="G77" s="21">
        <f>E77*F77*D77*DATOS!$B$22/3600000</f>
        <v/>
      </c>
      <c r="H77" s="18">
        <f>G77*1000</f>
        <v/>
      </c>
      <c r="I77" s="26" t="n">
        <v>0.5</v>
      </c>
      <c r="J77" s="26" t="n">
        <v>0.35</v>
      </c>
      <c r="K77" s="25" t="n">
        <v>0.149</v>
      </c>
      <c r="L77" s="21">
        <f>DATOS!$B$12*K77</f>
        <v/>
      </c>
      <c r="M77" s="25">
        <f>DATOS!$B$12+2*K77</f>
        <v/>
      </c>
      <c r="N77" s="21">
        <f>L77/M77</f>
        <v/>
      </c>
      <c r="O77" s="21">
        <f>L77*N77^(2/3)*SQRT(I77/100)/DATOS!$B$10</f>
        <v/>
      </c>
      <c r="P77" s="25">
        <f>J77-K77</f>
        <v/>
      </c>
      <c r="Q77" s="5">
        <f>IF(P77&gt;=DATOS!$B$13-0.001,"CUMPLE","NO CUMPLE")</f>
        <v/>
      </c>
      <c r="R77" s="25" t="n">
        <v>0.1345</v>
      </c>
      <c r="S77" s="26">
        <f>G77/(DATOS!$B$12*R77)</f>
        <v/>
      </c>
      <c r="T77" s="5">
        <f>IF(S77&lt;=DATOS!$B$14,"CUMPLE","NO CUMPLE")</f>
        <v/>
      </c>
    </row>
    <row r="78">
      <c r="A78" s="5" t="inlineStr">
        <is>
          <t>EJE-14</t>
        </is>
      </c>
      <c r="B78" s="5" t="inlineStr">
        <is>
          <t>P-68</t>
        </is>
      </c>
      <c r="C78" s="5" t="inlineStr">
        <is>
          <t>P-55</t>
        </is>
      </c>
      <c r="D78" s="33" t="n">
        <v>691</v>
      </c>
      <c r="E78" s="25" t="n">
        <v>0.868</v>
      </c>
      <c r="F78" s="26">
        <f>DATOS!$B$17</f>
        <v/>
      </c>
      <c r="G78" s="21">
        <f>E78*F78*D78*DATOS!$B$22/3600000</f>
        <v/>
      </c>
      <c r="H78" s="18">
        <f>G78*1000</f>
        <v/>
      </c>
      <c r="I78" s="26" t="n">
        <v>0.5</v>
      </c>
      <c r="J78" s="26" t="n">
        <v>0.45</v>
      </c>
      <c r="K78" s="25" t="n">
        <v>0.1524</v>
      </c>
      <c r="L78" s="21">
        <f>DATOS!$B$12*K78</f>
        <v/>
      </c>
      <c r="M78" s="25">
        <f>DATOS!$B$12+2*K78</f>
        <v/>
      </c>
      <c r="N78" s="21">
        <f>L78/M78</f>
        <v/>
      </c>
      <c r="O78" s="21">
        <f>L78*N78^(2/3)*SQRT(I78/100)/DATOS!$B$10</f>
        <v/>
      </c>
      <c r="P78" s="25">
        <f>J78-K78</f>
        <v/>
      </c>
      <c r="Q78" s="5">
        <f>IF(P78&gt;=DATOS!$B$13-0.001,"CUMPLE","NO CUMPLE")</f>
        <v/>
      </c>
      <c r="R78" s="25" t="n">
        <v>0.1375</v>
      </c>
      <c r="S78" s="26">
        <f>G78/(DATOS!$B$12*R78)</f>
        <v/>
      </c>
      <c r="T78" s="5">
        <f>IF(S78&lt;=DATOS!$B$14,"CUMPLE","NO CUMPLE")</f>
        <v/>
      </c>
    </row>
    <row r="79">
      <c r="A79" s="5" t="inlineStr">
        <is>
          <t>EJE-15</t>
        </is>
      </c>
      <c r="B79" s="5" t="inlineStr">
        <is>
          <t>P-69</t>
        </is>
      </c>
      <c r="C79" s="5" t="inlineStr">
        <is>
          <t>P-70</t>
        </is>
      </c>
      <c r="D79" s="33" t="n">
        <v>155</v>
      </c>
      <c r="E79" s="25" t="n">
        <v>0.874</v>
      </c>
      <c r="F79" s="26">
        <f>DATOS!$B$17</f>
        <v/>
      </c>
      <c r="G79" s="21">
        <f>E79*F79*D79*DATOS!$B$22/3600000</f>
        <v/>
      </c>
      <c r="H79" s="18">
        <f>G79*1000</f>
        <v/>
      </c>
      <c r="I79" s="26" t="n">
        <v>0.5</v>
      </c>
      <c r="J79" s="26" t="n">
        <v>0.3</v>
      </c>
      <c r="K79" s="25" t="n">
        <v>0.0548</v>
      </c>
      <c r="L79" s="21">
        <f>DATOS!$B$12*K79</f>
        <v/>
      </c>
      <c r="M79" s="25">
        <f>DATOS!$B$12+2*K79</f>
        <v/>
      </c>
      <c r="N79" s="21">
        <f>L79/M79</f>
        <v/>
      </c>
      <c r="O79" s="21">
        <f>L79*N79^(2/3)*SQRT(I79/100)/DATOS!$B$10</f>
        <v/>
      </c>
      <c r="P79" s="25">
        <f>J79-K79</f>
        <v/>
      </c>
      <c r="Q79" s="5">
        <f>IF(P79&gt;=DATOS!$B$13-0.001,"CUMPLE","NO CUMPLE")</f>
        <v/>
      </c>
      <c r="R79" s="25" t="n">
        <v>0.0499</v>
      </c>
      <c r="S79" s="26">
        <f>G79/(DATOS!$B$12*R79)</f>
        <v/>
      </c>
      <c r="T79" s="5">
        <f>IF(S79&lt;=DATOS!$B$14,"CUMPLE","NO CUMPLE")</f>
        <v/>
      </c>
    </row>
    <row r="80">
      <c r="A80" s="5" t="inlineStr">
        <is>
          <t>EJE-15</t>
        </is>
      </c>
      <c r="B80" s="5" t="inlineStr">
        <is>
          <t>P-70</t>
        </is>
      </c>
      <c r="C80" s="5" t="inlineStr">
        <is>
          <t>P-71</t>
        </is>
      </c>
      <c r="D80" s="33" t="n">
        <v>157</v>
      </c>
      <c r="E80" s="25" t="n">
        <v>0.871</v>
      </c>
      <c r="F80" s="26">
        <f>DATOS!$B$17</f>
        <v/>
      </c>
      <c r="G80" s="21">
        <f>E80*F80*D80*DATOS!$B$22/3600000</f>
        <v/>
      </c>
      <c r="H80" s="18">
        <f>G80*1000</f>
        <v/>
      </c>
      <c r="I80" s="26" t="n">
        <v>0.5</v>
      </c>
      <c r="J80" s="26" t="n">
        <v>0.36</v>
      </c>
      <c r="K80" s="25" t="n">
        <v>0.0551</v>
      </c>
      <c r="L80" s="21">
        <f>DATOS!$B$12*K80</f>
        <v/>
      </c>
      <c r="M80" s="25">
        <f>DATOS!$B$12+2*K80</f>
        <v/>
      </c>
      <c r="N80" s="21">
        <f>L80/M80</f>
        <v/>
      </c>
      <c r="O80" s="21">
        <f>L80*N80^(2/3)*SQRT(I80/100)/DATOS!$B$10</f>
        <v/>
      </c>
      <c r="P80" s="25">
        <f>J80-K80</f>
        <v/>
      </c>
      <c r="Q80" s="5">
        <f>IF(P80&gt;=DATOS!$B$13-0.001,"CUMPLE","NO CUMPLE")</f>
        <v/>
      </c>
      <c r="R80" s="25" t="n">
        <v>0.0502</v>
      </c>
      <c r="S80" s="26">
        <f>G80/(DATOS!$B$12*R80)</f>
        <v/>
      </c>
      <c r="T80" s="5">
        <f>IF(S80&lt;=DATOS!$B$14,"CUMPLE","NO CUMPLE")</f>
        <v/>
      </c>
    </row>
    <row r="81">
      <c r="A81" s="5" t="inlineStr">
        <is>
          <t>EJE-15</t>
        </is>
      </c>
      <c r="B81" s="5" t="inlineStr">
        <is>
          <t>P-71</t>
        </is>
      </c>
      <c r="C81" s="5" t="inlineStr">
        <is>
          <t>P-72</t>
        </is>
      </c>
      <c r="D81" s="33" t="n">
        <v>429</v>
      </c>
      <c r="E81" s="25" t="n">
        <v>0.873</v>
      </c>
      <c r="F81" s="26">
        <f>DATOS!$B$17</f>
        <v/>
      </c>
      <c r="G81" s="21">
        <f>E81*F81*D81*DATOS!$B$22/3600000</f>
        <v/>
      </c>
      <c r="H81" s="18">
        <f>G81*1000</f>
        <v/>
      </c>
      <c r="I81" s="26" t="n">
        <v>0.58</v>
      </c>
      <c r="J81" s="26" t="n">
        <v>0.35</v>
      </c>
      <c r="K81" s="25" t="n">
        <v>0.1035</v>
      </c>
      <c r="L81" s="21">
        <f>DATOS!$B$12*K81</f>
        <v/>
      </c>
      <c r="M81" s="25">
        <f>DATOS!$B$12+2*K81</f>
        <v/>
      </c>
      <c r="N81" s="21">
        <f>L81/M81</f>
        <v/>
      </c>
      <c r="O81" s="21">
        <f>L81*N81^(2/3)*SQRT(I81/100)/DATOS!$B$10</f>
        <v/>
      </c>
      <c r="P81" s="25">
        <f>J81-K81</f>
        <v/>
      </c>
      <c r="Q81" s="5">
        <f>IF(P81&gt;=DATOS!$B$13-0.001,"CUMPLE","NO CUMPLE")</f>
        <v/>
      </c>
      <c r="R81" s="25" t="n">
        <v>0.09379999999999999</v>
      </c>
      <c r="S81" s="26">
        <f>G81/(DATOS!$B$12*R81)</f>
        <v/>
      </c>
      <c r="T81" s="5">
        <f>IF(S81&lt;=DATOS!$B$14,"CUMPLE","NO CUMPLE")</f>
        <v/>
      </c>
    </row>
    <row r="82">
      <c r="A82" s="5" t="inlineStr">
        <is>
          <t>EJE-15</t>
        </is>
      </c>
      <c r="B82" s="5" t="inlineStr">
        <is>
          <t>P-72</t>
        </is>
      </c>
      <c r="C82" s="5" t="inlineStr">
        <is>
          <t>P-56</t>
        </is>
      </c>
      <c r="D82" s="33" t="n">
        <v>454</v>
      </c>
      <c r="E82" s="25" t="n">
        <v>0.874</v>
      </c>
      <c r="F82" s="26">
        <f>DATOS!$B$17</f>
        <v/>
      </c>
      <c r="G82" s="21">
        <f>E82*F82*D82*DATOS!$B$22/3600000</f>
        <v/>
      </c>
      <c r="H82" s="18">
        <f>G82*1000</f>
        <v/>
      </c>
      <c r="I82" s="26" t="n">
        <v>0.5</v>
      </c>
      <c r="J82" s="26" t="n">
        <v>0.35</v>
      </c>
      <c r="K82" s="25" t="n">
        <v>0.1133</v>
      </c>
      <c r="L82" s="21">
        <f>DATOS!$B$12*K82</f>
        <v/>
      </c>
      <c r="M82" s="25">
        <f>DATOS!$B$12+2*K82</f>
        <v/>
      </c>
      <c r="N82" s="21">
        <f>L82/M82</f>
        <v/>
      </c>
      <c r="O82" s="21">
        <f>L82*N82^(2/3)*SQRT(I82/100)/DATOS!$B$10</f>
        <v/>
      </c>
      <c r="P82" s="25">
        <f>J82-K82</f>
        <v/>
      </c>
      <c r="Q82" s="5">
        <f>IF(P82&gt;=DATOS!$B$13-0.001,"CUMPLE","NO CUMPLE")</f>
        <v/>
      </c>
      <c r="R82" s="25" t="n">
        <v>0.1026</v>
      </c>
      <c r="S82" s="26">
        <f>G82/(DATOS!$B$12*R82)</f>
        <v/>
      </c>
      <c r="T82" s="5">
        <f>IF(S82&lt;=DATOS!$B$14,"CUMPLE","NO CUMPLE")</f>
        <v/>
      </c>
    </row>
    <row r="83">
      <c r="A83" s="5" t="inlineStr">
        <is>
          <t>EJE-16</t>
        </is>
      </c>
      <c r="B83" s="5" t="inlineStr">
        <is>
          <t>P-73</t>
        </is>
      </c>
      <c r="C83" s="5" t="inlineStr">
        <is>
          <t>P-74</t>
        </is>
      </c>
      <c r="D83" s="33" t="n">
        <v>376</v>
      </c>
      <c r="E83" s="25" t="n">
        <v>0.658</v>
      </c>
      <c r="F83" s="26">
        <f>DATOS!$B$17</f>
        <v/>
      </c>
      <c r="G83" s="21">
        <f>E83*F83*D83*DATOS!$B$22/3600000</f>
        <v/>
      </c>
      <c r="H83" s="18">
        <f>G83*1000</f>
        <v/>
      </c>
      <c r="I83" s="26" t="n">
        <v>0.5</v>
      </c>
      <c r="J83" s="26" t="n">
        <v>0.3</v>
      </c>
      <c r="K83" s="25" t="n">
        <v>0.082</v>
      </c>
      <c r="L83" s="21">
        <f>DATOS!$B$12*K83</f>
        <v/>
      </c>
      <c r="M83" s="25">
        <f>DATOS!$B$12+2*K83</f>
        <v/>
      </c>
      <c r="N83" s="21">
        <f>L83/M83</f>
        <v/>
      </c>
      <c r="O83" s="21">
        <f>L83*N83^(2/3)*SQRT(I83/100)/DATOS!$B$10</f>
        <v/>
      </c>
      <c r="P83" s="25">
        <f>J83-K83</f>
        <v/>
      </c>
      <c r="Q83" s="5">
        <f>IF(P83&gt;=DATOS!$B$13-0.001,"CUMPLE","NO CUMPLE")</f>
        <v/>
      </c>
      <c r="R83" s="25" t="n">
        <v>0.07439999999999999</v>
      </c>
      <c r="S83" s="26">
        <f>G83/(DATOS!$B$12*R83)</f>
        <v/>
      </c>
      <c r="T83" s="5">
        <f>IF(S83&lt;=DATOS!$B$14,"CUMPLE","NO CUMPLE")</f>
        <v/>
      </c>
    </row>
    <row r="84">
      <c r="A84" s="5" t="inlineStr">
        <is>
          <t>EJE-16</t>
        </is>
      </c>
      <c r="B84" s="5" t="inlineStr">
        <is>
          <t>P-74</t>
        </is>
      </c>
      <c r="C84" s="5" t="inlineStr">
        <is>
          <t>P-75</t>
        </is>
      </c>
      <c r="D84" s="33" t="n">
        <v>399</v>
      </c>
      <c r="E84" s="25" t="n">
        <v>0.665</v>
      </c>
      <c r="F84" s="26">
        <f>DATOS!$B$17</f>
        <v/>
      </c>
      <c r="G84" s="21">
        <f>E84*F84*D84*DATOS!$B$22/3600000</f>
        <v/>
      </c>
      <c r="H84" s="18">
        <f>G84*1000</f>
        <v/>
      </c>
      <c r="I84" s="26" t="n">
        <v>0.5</v>
      </c>
      <c r="J84" s="26" t="n">
        <v>0.45</v>
      </c>
      <c r="K84" s="25" t="n">
        <v>0.0858</v>
      </c>
      <c r="L84" s="21">
        <f>DATOS!$B$12*K84</f>
        <v/>
      </c>
      <c r="M84" s="25">
        <f>DATOS!$B$12+2*K84</f>
        <v/>
      </c>
      <c r="N84" s="21">
        <f>L84/M84</f>
        <v/>
      </c>
      <c r="O84" s="21">
        <f>L84*N84^(2/3)*SQRT(I84/100)/DATOS!$B$10</f>
        <v/>
      </c>
      <c r="P84" s="25">
        <f>J84-K84</f>
        <v/>
      </c>
      <c r="Q84" s="5">
        <f>IF(P84&gt;=DATOS!$B$13-0.001,"CUMPLE","NO CUMPLE")</f>
        <v/>
      </c>
      <c r="R84" s="25" t="n">
        <v>0.07779999999999999</v>
      </c>
      <c r="S84" s="26">
        <f>G84/(DATOS!$B$12*R84)</f>
        <v/>
      </c>
      <c r="T84" s="5">
        <f>IF(S84&lt;=DATOS!$B$14,"CUMPLE","NO CUMPLE")</f>
        <v/>
      </c>
    </row>
    <row r="85">
      <c r="A85" s="5" t="inlineStr">
        <is>
          <t>EJE-16</t>
        </is>
      </c>
      <c r="B85" s="5" t="inlineStr">
        <is>
          <t>P-75</t>
        </is>
      </c>
      <c r="C85" s="5" t="inlineStr">
        <is>
          <t>P-76</t>
        </is>
      </c>
      <c r="D85" s="33" t="n">
        <v>416</v>
      </c>
      <c r="E85" s="25" t="n">
        <v>0.657</v>
      </c>
      <c r="F85" s="26">
        <f>DATOS!$B$17</f>
        <v/>
      </c>
      <c r="G85" s="21">
        <f>E85*F85*D85*DATOS!$B$22/3600000</f>
        <v/>
      </c>
      <c r="H85" s="18">
        <f>G85*1000</f>
        <v/>
      </c>
      <c r="I85" s="26" t="n">
        <v>0.5</v>
      </c>
      <c r="J85" s="26" t="n">
        <v>0.46</v>
      </c>
      <c r="K85" s="25" t="n">
        <v>0.0877</v>
      </c>
      <c r="L85" s="21">
        <f>DATOS!$B$12*K85</f>
        <v/>
      </c>
      <c r="M85" s="25">
        <f>DATOS!$B$12+2*K85</f>
        <v/>
      </c>
      <c r="N85" s="21">
        <f>L85/M85</f>
        <v/>
      </c>
      <c r="O85" s="21">
        <f>L85*N85^(2/3)*SQRT(I85/100)/DATOS!$B$10</f>
        <v/>
      </c>
      <c r="P85" s="25">
        <f>J85-K85</f>
        <v/>
      </c>
      <c r="Q85" s="5">
        <f>IF(P85&gt;=DATOS!$B$13-0.001,"CUMPLE","NO CUMPLE")</f>
        <v/>
      </c>
      <c r="R85" s="25" t="n">
        <v>0.0795</v>
      </c>
      <c r="S85" s="26">
        <f>G85/(DATOS!$B$12*R85)</f>
        <v/>
      </c>
      <c r="T85" s="5">
        <f>IF(S85&lt;=DATOS!$B$14,"CUMPLE","NO CUMPLE")</f>
        <v/>
      </c>
    </row>
    <row r="86">
      <c r="A86" s="5" t="inlineStr">
        <is>
          <t>EJE-16</t>
        </is>
      </c>
      <c r="B86" s="5" t="inlineStr">
        <is>
          <t>P-76</t>
        </is>
      </c>
      <c r="C86" s="5" t="inlineStr">
        <is>
          <t>P-77</t>
        </is>
      </c>
      <c r="D86" s="33" t="n">
        <v>418</v>
      </c>
      <c r="E86" s="25" t="n">
        <v>0.656</v>
      </c>
      <c r="F86" s="26">
        <f>DATOS!$B$17</f>
        <v/>
      </c>
      <c r="G86" s="21">
        <f>E86*F86*D86*DATOS!$B$22/3600000</f>
        <v/>
      </c>
      <c r="H86" s="18">
        <f>G86*1000</f>
        <v/>
      </c>
      <c r="I86" s="26" t="n">
        <v>0.5</v>
      </c>
      <c r="J86" s="26" t="n">
        <v>0.47</v>
      </c>
      <c r="K86" s="25" t="n">
        <v>0.08790000000000001</v>
      </c>
      <c r="L86" s="21">
        <f>DATOS!$B$12*K86</f>
        <v/>
      </c>
      <c r="M86" s="25">
        <f>DATOS!$B$12+2*K86</f>
        <v/>
      </c>
      <c r="N86" s="21">
        <f>L86/M86</f>
        <v/>
      </c>
      <c r="O86" s="21">
        <f>L86*N86^(2/3)*SQRT(I86/100)/DATOS!$B$10</f>
        <v/>
      </c>
      <c r="P86" s="25">
        <f>J86-K86</f>
        <v/>
      </c>
      <c r="Q86" s="5">
        <f>IF(P86&gt;=DATOS!$B$13-0.001,"CUMPLE","NO CUMPLE")</f>
        <v/>
      </c>
      <c r="R86" s="25" t="n">
        <v>0.07969999999999999</v>
      </c>
      <c r="S86" s="26">
        <f>G86/(DATOS!$B$12*R86)</f>
        <v/>
      </c>
      <c r="T86" s="5">
        <f>IF(S86&lt;=DATOS!$B$14,"CUMPLE","NO CUMPLE")</f>
        <v/>
      </c>
    </row>
    <row r="87">
      <c r="A87" s="5" t="inlineStr">
        <is>
          <t>EJE-16</t>
        </is>
      </c>
      <c r="B87" s="5" t="inlineStr">
        <is>
          <t>P-77</t>
        </is>
      </c>
      <c r="C87" s="5" t="inlineStr">
        <is>
          <t>P-78</t>
        </is>
      </c>
      <c r="D87" s="33" t="n">
        <v>528</v>
      </c>
      <c r="E87" s="25" t="n">
        <v>0.701</v>
      </c>
      <c r="F87" s="26">
        <f>DATOS!$B$17</f>
        <v/>
      </c>
      <c r="G87" s="21">
        <f>E87*F87*D87*DATOS!$B$22/3600000</f>
        <v/>
      </c>
      <c r="H87" s="18">
        <f>G87*1000</f>
        <v/>
      </c>
      <c r="I87" s="26" t="n">
        <v>0.5</v>
      </c>
      <c r="J87" s="26" t="n">
        <v>0.4</v>
      </c>
      <c r="K87" s="25" t="n">
        <v>0.1081</v>
      </c>
      <c r="L87" s="21">
        <f>DATOS!$B$12*K87</f>
        <v/>
      </c>
      <c r="M87" s="25">
        <f>DATOS!$B$12+2*K87</f>
        <v/>
      </c>
      <c r="N87" s="21">
        <f>L87/M87</f>
        <v/>
      </c>
      <c r="O87" s="21">
        <f>L87*N87^(2/3)*SQRT(I87/100)/DATOS!$B$10</f>
        <v/>
      </c>
      <c r="P87" s="25">
        <f>J87-K87</f>
        <v/>
      </c>
      <c r="Q87" s="5">
        <f>IF(P87&gt;=DATOS!$B$13-0.001,"CUMPLE","NO CUMPLE")</f>
        <v/>
      </c>
      <c r="R87" s="25" t="n">
        <v>0.0979</v>
      </c>
      <c r="S87" s="26">
        <f>G87/(DATOS!$B$12*R87)</f>
        <v/>
      </c>
      <c r="T87" s="5">
        <f>IF(S87&lt;=DATOS!$B$14,"CUMPLE","NO CUMPLE")</f>
        <v/>
      </c>
    </row>
    <row r="88">
      <c r="A88" s="5" t="inlineStr">
        <is>
          <t>EJE-16</t>
        </is>
      </c>
      <c r="B88" s="5" t="inlineStr">
        <is>
          <t>P-78</t>
        </is>
      </c>
      <c r="C88" s="5" t="inlineStr">
        <is>
          <t>P-60</t>
        </is>
      </c>
      <c r="D88" s="33" t="n">
        <v>528</v>
      </c>
      <c r="E88" s="25" t="n">
        <v>0.701</v>
      </c>
      <c r="F88" s="26">
        <f>DATOS!$B$17</f>
        <v/>
      </c>
      <c r="G88" s="21">
        <f>E88*F88*D88*DATOS!$B$22/3600000</f>
        <v/>
      </c>
      <c r="H88" s="18">
        <f>G88*1000</f>
        <v/>
      </c>
      <c r="I88" s="26" t="n">
        <v>0.5</v>
      </c>
      <c r="J88" s="26" t="n">
        <v>0.4</v>
      </c>
      <c r="K88" s="25" t="n">
        <v>0.1081</v>
      </c>
      <c r="L88" s="21">
        <f>DATOS!$B$12*K88</f>
        <v/>
      </c>
      <c r="M88" s="25">
        <f>DATOS!$B$12+2*K88</f>
        <v/>
      </c>
      <c r="N88" s="21">
        <f>L88/M88</f>
        <v/>
      </c>
      <c r="O88" s="21">
        <f>L88*N88^(2/3)*SQRT(I88/100)/DATOS!$B$10</f>
        <v/>
      </c>
      <c r="P88" s="25">
        <f>J88-K88</f>
        <v/>
      </c>
      <c r="Q88" s="5">
        <f>IF(P88&gt;=DATOS!$B$13-0.001,"CUMPLE","NO CUMPLE")</f>
        <v/>
      </c>
      <c r="R88" s="25" t="n">
        <v>0.0979</v>
      </c>
      <c r="S88" s="26">
        <f>G88/(DATOS!$B$12*R88)</f>
        <v/>
      </c>
      <c r="T88" s="5">
        <f>IF(S88&lt;=DATOS!$B$14,"CUMPLE","NO CUMPLE")</f>
        <v/>
      </c>
    </row>
    <row r="89">
      <c r="A89" s="5" t="inlineStr">
        <is>
          <t>EJE-17</t>
        </is>
      </c>
      <c r="B89" s="5" t="inlineStr">
        <is>
          <t>P-79</t>
        </is>
      </c>
      <c r="C89" s="5" t="inlineStr">
        <is>
          <t>P-80</t>
        </is>
      </c>
      <c r="D89" s="33" t="n">
        <v>265</v>
      </c>
      <c r="E89" s="25" t="n">
        <v>0.762</v>
      </c>
      <c r="F89" s="26">
        <f>DATOS!$B$17</f>
        <v/>
      </c>
      <c r="G89" s="21">
        <f>E89*F89*D89*DATOS!$B$22/3600000</f>
        <v/>
      </c>
      <c r="H89" s="18">
        <f>G89*1000</f>
        <v/>
      </c>
      <c r="I89" s="26" t="n">
        <v>0.51</v>
      </c>
      <c r="J89" s="26" t="n">
        <v>0.2</v>
      </c>
      <c r="K89" s="25" t="n">
        <v>0.0709</v>
      </c>
      <c r="L89" s="21">
        <f>DATOS!$B$12*K89</f>
        <v/>
      </c>
      <c r="M89" s="25">
        <f>DATOS!$B$12+2*K89</f>
        <v/>
      </c>
      <c r="N89" s="21">
        <f>L89/M89</f>
        <v/>
      </c>
      <c r="O89" s="21">
        <f>L89*N89^(2/3)*SQRT(I89/100)/DATOS!$B$10</f>
        <v/>
      </c>
      <c r="P89" s="25">
        <f>J89-K89</f>
        <v/>
      </c>
      <c r="Q89" s="5">
        <f>IF(P89&gt;=DATOS!$B$13-0.001,"CUMPLE","NO CUMPLE")</f>
        <v/>
      </c>
      <c r="R89" s="25" t="n">
        <v>0.0645</v>
      </c>
      <c r="S89" s="26">
        <f>G89/(DATOS!$B$12*R89)</f>
        <v/>
      </c>
      <c r="T89" s="5">
        <f>IF(S89&lt;=DATOS!$B$14,"CUMPLE","NO CUMPLE")</f>
        <v/>
      </c>
    </row>
    <row r="90">
      <c r="A90" s="5" t="inlineStr">
        <is>
          <t>EJE-17</t>
        </is>
      </c>
      <c r="B90" s="5" t="inlineStr">
        <is>
          <t>P-80</t>
        </is>
      </c>
      <c r="C90" s="5" t="inlineStr">
        <is>
          <t>P-81</t>
        </is>
      </c>
      <c r="D90" s="33" t="n">
        <v>265</v>
      </c>
      <c r="E90" s="25" t="n">
        <v>0.762</v>
      </c>
      <c r="F90" s="26">
        <f>DATOS!$B$17</f>
        <v/>
      </c>
      <c r="G90" s="21">
        <f>E90*F90*D90*DATOS!$B$22/3600000</f>
        <v/>
      </c>
      <c r="H90" s="18">
        <f>G90*1000</f>
        <v/>
      </c>
      <c r="I90" s="26" t="n">
        <v>0.5</v>
      </c>
      <c r="J90" s="26" t="n">
        <v>0.5</v>
      </c>
      <c r="K90" s="25" t="n">
        <v>0.07140000000000001</v>
      </c>
      <c r="L90" s="21">
        <f>DATOS!$B$12*K90</f>
        <v/>
      </c>
      <c r="M90" s="25">
        <f>DATOS!$B$12+2*K90</f>
        <v/>
      </c>
      <c r="N90" s="21">
        <f>L90/M90</f>
        <v/>
      </c>
      <c r="O90" s="21">
        <f>L90*N90^(2/3)*SQRT(I90/100)/DATOS!$B$10</f>
        <v/>
      </c>
      <c r="P90" s="25">
        <f>J90-K90</f>
        <v/>
      </c>
      <c r="Q90" s="5">
        <f>IF(P90&gt;=DATOS!$B$13-0.001,"CUMPLE","NO CUMPLE")</f>
        <v/>
      </c>
      <c r="R90" s="25" t="n">
        <v>0.0649</v>
      </c>
      <c r="S90" s="26">
        <f>G90/(DATOS!$B$12*R90)</f>
        <v/>
      </c>
      <c r="T90" s="5">
        <f>IF(S90&lt;=DATOS!$B$14,"CUMPLE","NO CUMPLE")</f>
        <v/>
      </c>
    </row>
    <row r="91">
      <c r="A91" s="5" t="inlineStr">
        <is>
          <t>EJE-17</t>
        </is>
      </c>
      <c r="B91" s="5" t="inlineStr">
        <is>
          <t>P-81</t>
        </is>
      </c>
      <c r="C91" s="5" t="inlineStr">
        <is>
          <t>P-82</t>
        </is>
      </c>
      <c r="D91" s="33" t="n">
        <v>629</v>
      </c>
      <c r="E91" s="25" t="n">
        <v>0.769</v>
      </c>
      <c r="F91" s="26">
        <f>DATOS!$B$17</f>
        <v/>
      </c>
      <c r="G91" s="21">
        <f>E91*F91*D91*DATOS!$B$22/3600000</f>
        <v/>
      </c>
      <c r="H91" s="18">
        <f>G91*1000</f>
        <v/>
      </c>
      <c r="I91" s="26" t="n">
        <v>0.5</v>
      </c>
      <c r="J91" s="26" t="n">
        <v>0.5</v>
      </c>
      <c r="K91" s="25" t="n">
        <v>0.1305</v>
      </c>
      <c r="L91" s="21">
        <f>DATOS!$B$12*K91</f>
        <v/>
      </c>
      <c r="M91" s="25">
        <f>DATOS!$B$12+2*K91</f>
        <v/>
      </c>
      <c r="N91" s="21">
        <f>L91/M91</f>
        <v/>
      </c>
      <c r="O91" s="21">
        <f>L91*N91^(2/3)*SQRT(I91/100)/DATOS!$B$10</f>
        <v/>
      </c>
      <c r="P91" s="25">
        <f>J91-K91</f>
        <v/>
      </c>
      <c r="Q91" s="5">
        <f>IF(P91&gt;=DATOS!$B$13-0.001,"CUMPLE","NO CUMPLE")</f>
        <v/>
      </c>
      <c r="R91" s="25" t="n">
        <v>0.1179</v>
      </c>
      <c r="S91" s="26">
        <f>G91/(DATOS!$B$12*R91)</f>
        <v/>
      </c>
      <c r="T91" s="5">
        <f>IF(S91&lt;=DATOS!$B$14,"CUMPLE","NO CUMPLE")</f>
        <v/>
      </c>
    </row>
    <row r="92">
      <c r="A92" s="5" t="inlineStr">
        <is>
          <t>EJE-17</t>
        </is>
      </c>
      <c r="B92" s="5" t="inlineStr">
        <is>
          <t>P-82</t>
        </is>
      </c>
      <c r="C92" s="5" t="inlineStr">
        <is>
          <t>D4</t>
        </is>
      </c>
      <c r="D92" s="33" t="n">
        <v>633</v>
      </c>
      <c r="E92" s="25" t="n">
        <v>0.767</v>
      </c>
      <c r="F92" s="26">
        <f>DATOS!$B$17</f>
        <v/>
      </c>
      <c r="G92" s="21">
        <f>E92*F92*D92*DATOS!$B$22/3600000</f>
        <v/>
      </c>
      <c r="H92" s="18">
        <f>G92*1000</f>
        <v/>
      </c>
      <c r="I92" s="26" t="n">
        <v>0.5</v>
      </c>
      <c r="J92" s="26" t="n">
        <v>0.4</v>
      </c>
      <c r="K92" s="25" t="n">
        <v>0.1309</v>
      </c>
      <c r="L92" s="21">
        <f>DATOS!$B$12*K92</f>
        <v/>
      </c>
      <c r="M92" s="25">
        <f>DATOS!$B$12+2*K92</f>
        <v/>
      </c>
      <c r="N92" s="21">
        <f>L92/M92</f>
        <v/>
      </c>
      <c r="O92" s="21">
        <f>L92*N92^(2/3)*SQRT(I92/100)/DATOS!$B$10</f>
        <v/>
      </c>
      <c r="P92" s="25">
        <f>J92-K92</f>
        <v/>
      </c>
      <c r="Q92" s="5">
        <f>IF(P92&gt;=DATOS!$B$13-0.001,"CUMPLE","NO CUMPLE")</f>
        <v/>
      </c>
      <c r="R92" s="25" t="n">
        <v>0.1183</v>
      </c>
      <c r="S92" s="26">
        <f>G92/(DATOS!$B$12*R92)</f>
        <v/>
      </c>
      <c r="T92" s="5">
        <f>IF(S92&lt;=DATOS!$B$14,"CUMPLE","NO CUMPLE")</f>
        <v/>
      </c>
    </row>
    <row r="93">
      <c r="A93" s="5" t="inlineStr">
        <is>
          <t>EJE-18</t>
        </is>
      </c>
      <c r="B93" s="5" t="inlineStr">
        <is>
          <t>P-42</t>
        </is>
      </c>
      <c r="C93" s="5" t="inlineStr">
        <is>
          <t>P-83</t>
        </is>
      </c>
      <c r="D93" s="33" t="n">
        <v>91</v>
      </c>
      <c r="E93" s="25" t="n">
        <v>0.822</v>
      </c>
      <c r="F93" s="26">
        <f>DATOS!$B$17</f>
        <v/>
      </c>
      <c r="G93" s="21">
        <f>E93*F93*D93*DATOS!$B$22/3600000</f>
        <v/>
      </c>
      <c r="H93" s="18">
        <f>G93*1000</f>
        <v/>
      </c>
      <c r="I93" s="26" t="n">
        <v>0.5</v>
      </c>
      <c r="J93" s="26" t="n">
        <v>0.3</v>
      </c>
      <c r="K93" s="25" t="n">
        <v>0.0373</v>
      </c>
      <c r="L93" s="21">
        <f>DATOS!$B$12*K93</f>
        <v/>
      </c>
      <c r="M93" s="25">
        <f>DATOS!$B$12+2*K93</f>
        <v/>
      </c>
      <c r="N93" s="21">
        <f>L93/M93</f>
        <v/>
      </c>
      <c r="O93" s="21">
        <f>L93*N93^(2/3)*SQRT(I93/100)/DATOS!$B$10</f>
        <v/>
      </c>
      <c r="P93" s="25">
        <f>J93-K93</f>
        <v/>
      </c>
      <c r="Q93" s="5">
        <f>IF(P93&gt;=DATOS!$B$13-0.001,"CUMPLE","NO CUMPLE")</f>
        <v/>
      </c>
      <c r="R93" s="25" t="n">
        <v>0.034</v>
      </c>
      <c r="S93" s="26">
        <f>G93/(DATOS!$B$12*R93)</f>
        <v/>
      </c>
      <c r="T93" s="5">
        <f>IF(S93&lt;=DATOS!$B$14,"CUMPLE","NO CUMPLE")</f>
        <v/>
      </c>
    </row>
    <row r="94">
      <c r="A94" s="5" t="inlineStr">
        <is>
          <t>EJE-18</t>
        </is>
      </c>
      <c r="B94" s="5" t="inlineStr">
        <is>
          <t>P-83</t>
        </is>
      </c>
      <c r="C94" s="5" t="inlineStr">
        <is>
          <t>P-84</t>
        </is>
      </c>
      <c r="D94" s="33" t="n">
        <v>92</v>
      </c>
      <c r="E94" s="25" t="n">
        <v>0.8169999999999999</v>
      </c>
      <c r="F94" s="26">
        <f>DATOS!$B$17</f>
        <v/>
      </c>
      <c r="G94" s="21">
        <f>E94*F94*D94*DATOS!$B$22/3600000</f>
        <v/>
      </c>
      <c r="H94" s="18">
        <f>G94*1000</f>
        <v/>
      </c>
      <c r="I94" s="26" t="n">
        <v>0.5</v>
      </c>
      <c r="J94" s="26" t="n">
        <v>0.36</v>
      </c>
      <c r="K94" s="25" t="n">
        <v>0.0373</v>
      </c>
      <c r="L94" s="21">
        <f>DATOS!$B$12*K94</f>
        <v/>
      </c>
      <c r="M94" s="25">
        <f>DATOS!$B$12+2*K94</f>
        <v/>
      </c>
      <c r="N94" s="21">
        <f>L94/M94</f>
        <v/>
      </c>
      <c r="O94" s="21">
        <f>L94*N94^(2/3)*SQRT(I94/100)/DATOS!$B$10</f>
        <v/>
      </c>
      <c r="P94" s="25">
        <f>J94-K94</f>
        <v/>
      </c>
      <c r="Q94" s="5">
        <f>IF(P94&gt;=DATOS!$B$13-0.001,"CUMPLE","NO CUMPLE")</f>
        <v/>
      </c>
      <c r="R94" s="25" t="n">
        <v>0.034</v>
      </c>
      <c r="S94" s="26">
        <f>G94/(DATOS!$B$12*R94)</f>
        <v/>
      </c>
      <c r="T94" s="5">
        <f>IF(S94&lt;=DATOS!$B$14,"CUMPLE","NO CUMPLE")</f>
        <v/>
      </c>
    </row>
    <row r="95">
      <c r="A95" s="5" t="inlineStr">
        <is>
          <t>EJE-18</t>
        </is>
      </c>
      <c r="B95" s="5" t="inlineStr">
        <is>
          <t>P-84</t>
        </is>
      </c>
      <c r="C95" s="5" t="inlineStr">
        <is>
          <t>P-85</t>
        </is>
      </c>
      <c r="D95" s="33" t="n">
        <v>251</v>
      </c>
      <c r="E95" s="25" t="n">
        <v>0.8110000000000001</v>
      </c>
      <c r="F95" s="26">
        <f>DATOS!$B$17</f>
        <v/>
      </c>
      <c r="G95" s="21">
        <f>E95*F95*D95*DATOS!$B$22/3600000</f>
        <v/>
      </c>
      <c r="H95" s="18">
        <f>G95*1000</f>
        <v/>
      </c>
      <c r="I95" s="26" t="n">
        <v>0.5</v>
      </c>
      <c r="J95" s="26" t="n">
        <v>0.36</v>
      </c>
      <c r="K95" s="25" t="n">
        <v>0.07190000000000001</v>
      </c>
      <c r="L95" s="21">
        <f>DATOS!$B$12*K95</f>
        <v/>
      </c>
      <c r="M95" s="25">
        <f>DATOS!$B$12+2*K95</f>
        <v/>
      </c>
      <c r="N95" s="21">
        <f>L95/M95</f>
        <v/>
      </c>
      <c r="O95" s="21">
        <f>L95*N95^(2/3)*SQRT(I95/100)/DATOS!$B$10</f>
        <v/>
      </c>
      <c r="P95" s="25">
        <f>J95-K95</f>
        <v/>
      </c>
      <c r="Q95" s="5">
        <f>IF(P95&gt;=DATOS!$B$13-0.001,"CUMPLE","NO CUMPLE")</f>
        <v/>
      </c>
      <c r="R95" s="25" t="n">
        <v>0.0653</v>
      </c>
      <c r="S95" s="26">
        <f>G95/(DATOS!$B$12*R95)</f>
        <v/>
      </c>
      <c r="T95" s="5">
        <f>IF(S95&lt;=DATOS!$B$14,"CUMPLE","NO CUMPLE")</f>
        <v/>
      </c>
    </row>
    <row r="96">
      <c r="A96" s="5" t="inlineStr">
        <is>
          <t>EJE-18</t>
        </is>
      </c>
      <c r="B96" s="5" t="inlineStr">
        <is>
          <t>P-85</t>
        </is>
      </c>
      <c r="C96" s="5" t="inlineStr">
        <is>
          <t>P-86</t>
        </is>
      </c>
      <c r="D96" s="33" t="n">
        <v>251</v>
      </c>
      <c r="E96" s="25" t="n">
        <v>0.8110000000000001</v>
      </c>
      <c r="F96" s="26">
        <f>DATOS!$B$17</f>
        <v/>
      </c>
      <c r="G96" s="21">
        <f>E96*F96*D96*DATOS!$B$22/3600000</f>
        <v/>
      </c>
      <c r="H96" s="18">
        <f>G96*1000</f>
        <v/>
      </c>
      <c r="I96" s="26" t="n">
        <v>0.5</v>
      </c>
      <c r="J96" s="26" t="n">
        <v>0.48</v>
      </c>
      <c r="K96" s="25" t="n">
        <v>0.07190000000000001</v>
      </c>
      <c r="L96" s="21">
        <f>DATOS!$B$12*K96</f>
        <v/>
      </c>
      <c r="M96" s="25">
        <f>DATOS!$B$12+2*K96</f>
        <v/>
      </c>
      <c r="N96" s="21">
        <f>L96/M96</f>
        <v/>
      </c>
      <c r="O96" s="21">
        <f>L96*N96^(2/3)*SQRT(I96/100)/DATOS!$B$10</f>
        <v/>
      </c>
      <c r="P96" s="25">
        <f>J96-K96</f>
        <v/>
      </c>
      <c r="Q96" s="5">
        <f>IF(P96&gt;=DATOS!$B$13-0.001,"CUMPLE","NO CUMPLE")</f>
        <v/>
      </c>
      <c r="R96" s="25" t="n">
        <v>0.0653</v>
      </c>
      <c r="S96" s="26">
        <f>G96/(DATOS!$B$12*R96)</f>
        <v/>
      </c>
      <c r="T96" s="5">
        <f>IF(S96&lt;=DATOS!$B$14,"CUMPLE","NO CUMPLE")</f>
        <v/>
      </c>
    </row>
    <row r="97">
      <c r="A97" s="5" t="inlineStr">
        <is>
          <t>EJE-18</t>
        </is>
      </c>
      <c r="B97" s="5" t="inlineStr">
        <is>
          <t>P-86</t>
        </is>
      </c>
      <c r="C97" s="5" t="inlineStr">
        <is>
          <t>P-81</t>
        </is>
      </c>
      <c r="D97" s="33" t="n">
        <v>364</v>
      </c>
      <c r="E97" s="25" t="n">
        <v>0.775</v>
      </c>
      <c r="F97" s="26">
        <f>DATOS!$B$17</f>
        <v/>
      </c>
      <c r="G97" s="21">
        <f>E97*F97*D97*DATOS!$B$22/3600000</f>
        <v/>
      </c>
      <c r="H97" s="18">
        <f>G97*1000</f>
        <v/>
      </c>
      <c r="I97" s="26" t="n">
        <v>0.5</v>
      </c>
      <c r="J97" s="26" t="n">
        <v>0.49</v>
      </c>
      <c r="K97" s="25" t="n">
        <v>0.0895</v>
      </c>
      <c r="L97" s="21">
        <f>DATOS!$B$12*K97</f>
        <v/>
      </c>
      <c r="M97" s="25">
        <f>DATOS!$B$12+2*K97</f>
        <v/>
      </c>
      <c r="N97" s="21">
        <f>L97/M97</f>
        <v/>
      </c>
      <c r="O97" s="21">
        <f>L97*N97^(2/3)*SQRT(I97/100)/DATOS!$B$10</f>
        <v/>
      </c>
      <c r="P97" s="25">
        <f>J97-K97</f>
        <v/>
      </c>
      <c r="Q97" s="5">
        <f>IF(P97&gt;=DATOS!$B$13-0.001,"CUMPLE","NO CUMPLE")</f>
        <v/>
      </c>
      <c r="R97" s="25" t="n">
        <v>0.08119999999999999</v>
      </c>
      <c r="S97" s="26">
        <f>G97/(DATOS!$B$12*R97)</f>
        <v/>
      </c>
      <c r="T97" s="5">
        <f>IF(S97&lt;=DATOS!$B$14,"CUMPLE","NO CUMPLE")</f>
        <v/>
      </c>
    </row>
    <row r="98">
      <c r="A98" s="5" t="inlineStr">
        <is>
          <t>EJE-19</t>
        </is>
      </c>
      <c r="B98" s="5" t="inlineStr">
        <is>
          <t>P-87</t>
        </is>
      </c>
      <c r="C98" s="5" t="inlineStr">
        <is>
          <t>P-88</t>
        </is>
      </c>
      <c r="D98" s="33" t="n">
        <v>109</v>
      </c>
      <c r="E98" s="25" t="n">
        <v>0.704</v>
      </c>
      <c r="F98" s="26">
        <f>DATOS!$B$17</f>
        <v/>
      </c>
      <c r="G98" s="21">
        <f>E98*F98*D98*DATOS!$B$22/3600000</f>
        <v/>
      </c>
      <c r="H98" s="18">
        <f>G98*1000</f>
        <v/>
      </c>
      <c r="I98" s="26" t="n">
        <v>0.5</v>
      </c>
      <c r="J98" s="26" t="n">
        <v>0.3</v>
      </c>
      <c r="K98" s="25" t="n">
        <v>0.038</v>
      </c>
      <c r="L98" s="21">
        <f>DATOS!$B$12*K98</f>
        <v/>
      </c>
      <c r="M98" s="25">
        <f>DATOS!$B$12+2*K98</f>
        <v/>
      </c>
      <c r="N98" s="21">
        <f>L98/M98</f>
        <v/>
      </c>
      <c r="O98" s="21">
        <f>L98*N98^(2/3)*SQRT(I98/100)/DATOS!$B$10</f>
        <v/>
      </c>
      <c r="P98" s="25">
        <f>J98-K98</f>
        <v/>
      </c>
      <c r="Q98" s="5">
        <f>IF(P98&gt;=DATOS!$B$13-0.001,"CUMPLE","NO CUMPLE")</f>
        <v/>
      </c>
      <c r="R98" s="25" t="n">
        <v>0.0346</v>
      </c>
      <c r="S98" s="26">
        <f>G98/(DATOS!$B$12*R98)</f>
        <v/>
      </c>
      <c r="T98" s="5">
        <f>IF(S98&lt;=DATOS!$B$14,"CUMPLE","NO CUMPLE")</f>
        <v/>
      </c>
    </row>
    <row r="99">
      <c r="A99" s="5" t="inlineStr">
        <is>
          <t>EJE-19</t>
        </is>
      </c>
      <c r="B99" s="5" t="inlineStr">
        <is>
          <t>P-88</t>
        </is>
      </c>
      <c r="C99" s="5" t="inlineStr">
        <is>
          <t>P-86</t>
        </is>
      </c>
      <c r="D99" s="33" t="n">
        <v>109</v>
      </c>
      <c r="E99" s="25" t="n">
        <v>0.704</v>
      </c>
      <c r="F99" s="26">
        <f>DATOS!$B$17</f>
        <v/>
      </c>
      <c r="G99" s="21">
        <f>E99*F99*D99*DATOS!$B$22/3600000</f>
        <v/>
      </c>
      <c r="H99" s="18">
        <f>G99*1000</f>
        <v/>
      </c>
      <c r="I99" s="26" t="n">
        <v>0.5</v>
      </c>
      <c r="J99" s="26" t="n">
        <v>0.37</v>
      </c>
      <c r="K99" s="25" t="n">
        <v>0.038</v>
      </c>
      <c r="L99" s="21">
        <f>DATOS!$B$12*K99</f>
        <v/>
      </c>
      <c r="M99" s="25">
        <f>DATOS!$B$12+2*K99</f>
        <v/>
      </c>
      <c r="N99" s="21">
        <f>L99/M99</f>
        <v/>
      </c>
      <c r="O99" s="21">
        <f>L99*N99^(2/3)*SQRT(I99/100)/DATOS!$B$10</f>
        <v/>
      </c>
      <c r="P99" s="25">
        <f>J99-K99</f>
        <v/>
      </c>
      <c r="Q99" s="5">
        <f>IF(P99&gt;=DATOS!$B$13-0.001,"CUMPLE","NO CUMPLE")</f>
        <v/>
      </c>
      <c r="R99" s="25" t="n">
        <v>0.0346</v>
      </c>
      <c r="S99" s="26">
        <f>G99/(DATOS!$B$12*R99)</f>
        <v/>
      </c>
      <c r="T99" s="5">
        <f>IF(S99&lt;=DATOS!$B$14,"CUMPLE","NO CUMPLE")</f>
        <v/>
      </c>
    </row>
    <row r="101">
      <c r="A101" s="17" t="inlineStr">
        <is>
          <t>y: tirante normal por Manning resuelto por iteracion (Q Manning = Q de diseno). En tramos tapados, h libre = altura bajo la losa tapa. Area acumulada: celdas de 1 m2 asignadas a la cuneta mas cercana mas las areas de los ejes que entregan aguas arriba.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22" customWidth="1" min="5" max="5"/>
    <col width="90" customWidth="1" min="6" max="6"/>
  </cols>
  <sheetData>
    <row r="1">
      <c r="A1" s="1" t="inlineStr">
        <is>
          <t>DESCARGAS POR EL CERCO PERIMETRICO</t>
        </is>
      </c>
    </row>
    <row r="2">
      <c r="A2" s="2" t="inlineStr">
        <is>
          <t>PROYECTO: “MEJORAMIENTO Y AMPLIACIÓN DEL SERVICIO DE EDUCACIÓN PRIMARIA EN I.E. N° 0590 DISTRITO DE BARRANQUITA DE LA PROVINCIA DE LAMAS DEL DEPARTAMENTO DE SAN MARTÍN” - C.I. N° 468901</t>
        </is>
      </c>
    </row>
    <row r="3">
      <c r="A3" s="2" t="inlineStr">
        <is>
          <t>ENTIDAD: GOBIERNO REGIONAL SAN MARTIN - GERENCIA TERRITORIAL BAJO MAYO - TARAPOTO  -  UBICACION: SAN MARTIN - LAMAS - BARRANQUITA  -  FECHA: OCTUBRE 2026</t>
        </is>
      </c>
    </row>
    <row r="8" ht="30" customHeight="1">
      <c r="A8" s="3" t="inlineStr">
        <is>
          <t>DESCARGA</t>
        </is>
      </c>
      <c r="B8" s="3" t="inlineStr">
        <is>
          <t>COTA DE FONDO (m)</t>
        </is>
      </c>
      <c r="C8" s="3" t="inlineStr">
        <is>
          <t>TERRENO AL PIE (m)</t>
        </is>
      </c>
      <c r="D8" s="3" t="inlineStr">
        <is>
          <t>SALE A (m del cerco)</t>
        </is>
      </c>
      <c r="E8" s="3" t="inlineStr">
        <is>
          <t>ESTADO</t>
        </is>
      </c>
      <c r="F8" s="3" t="inlineStr">
        <is>
          <t>RECEPTOR</t>
        </is>
      </c>
    </row>
    <row r="9">
      <c r="A9" s="5" t="inlineStr">
        <is>
          <t>D1</t>
        </is>
      </c>
      <c r="B9" s="25" t="n">
        <v>183.759</v>
      </c>
      <c r="C9" s="26" t="n">
        <v>183.91</v>
      </c>
      <c r="D9" s="26" t="n">
        <v>0.5</v>
      </c>
      <c r="E9" s="5" t="inlineStr">
        <is>
          <t>SALE POR GRAVEDAD</t>
        </is>
      </c>
      <c r="F9" s="5" t="inlineStr">
        <is>
          <t>Cerco sur-oeste (lado C22-C1, x = 820.1): al talud natural que baja a la quebrada del oeste</t>
        </is>
      </c>
    </row>
    <row r="10">
      <c r="A10" s="5" t="inlineStr">
        <is>
          <t>D2</t>
        </is>
      </c>
      <c r="B10" s="25" t="n">
        <v>183.758</v>
      </c>
      <c r="C10" s="26" t="n">
        <v>180.55</v>
      </c>
      <c r="D10" s="26" t="n">
        <v>0.25</v>
      </c>
      <c r="E10" s="5" t="inlineStr">
        <is>
          <t>SALE POR GRAVEDAD</t>
        </is>
      </c>
      <c r="F10" s="5" t="inlineStr">
        <is>
          <t>Cerco norte (x = 965.5): pase en el cimiento del cerco al terreno exterior que baja a la quebrada del norte</t>
        </is>
      </c>
    </row>
    <row r="11">
      <c r="A11" s="5" t="inlineStr">
        <is>
          <t>D3</t>
        </is>
      </c>
      <c r="B11" s="25" t="n">
        <v>183.736</v>
      </c>
      <c r="C11" s="26" t="n">
        <v>183.83</v>
      </c>
      <c r="D11" s="26" t="n">
        <v>0.5</v>
      </c>
      <c r="E11" s="5" t="inlineStr">
        <is>
          <t>SALE POR GRAVEDAD</t>
        </is>
      </c>
      <c r="F11" s="5" t="inlineStr">
        <is>
          <t>Cerco sur junto a C14 (x = 935.5): al terreno exterior que baja al Jr. Alfonso Ugarte (183.00)</t>
        </is>
      </c>
    </row>
    <row r="12">
      <c r="A12" s="5" t="inlineStr">
        <is>
          <t>D4</t>
        </is>
      </c>
      <c r="B12" s="25" t="n">
        <v>184.145</v>
      </c>
      <c r="C12" s="26" t="n">
        <v>184.46</v>
      </c>
      <c r="D12" s="26" t="n">
        <v>0.5</v>
      </c>
      <c r="E12" s="5" t="inlineStr">
        <is>
          <t>SALE POR GRAVEDAD</t>
        </is>
      </c>
      <c r="F12" s="5" t="inlineStr">
        <is>
          <t>Cerco norte (lado C3-C4, x = 911.0): al talud natural que baja a la quebrada del norte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2026-10-21T16:55:26Z</dcterms:created>
  <dcterms:modified xmlns:dcterms="http://purl.org/dc/terms/" xmlns:xsi="http://www.w3.org/2001/XMLSchema-instance" xsi:type="dcterms:W3CDTF">2026-10-21T16:55:26Z</dcterms:modified>
</cp:coreProperties>
</file>