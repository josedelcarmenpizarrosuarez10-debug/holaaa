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SUMIF(TRAMOS!$A$5:$A$70,1,TRAMOS!$E$5:$E$70)</f>
        <v/>
      </c>
      <c r="C5" s="5">
        <f>SUMIF(TRAMOS!$A$5:$A$70,1,TRAMOS!$N$5:$N$70)</f>
        <v/>
      </c>
      <c r="D5" s="5">
        <f>SUMIF(TRAMOS!$A$5:$A$70,1,TRAMOS!$M$5:$M$70)</f>
        <v/>
      </c>
      <c r="E5" s="6" t="n">
        <v>0.895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SUMIF(TRAMOS!$A$5:$A$70,2,TRAMOS!$E$5:$E$70)</f>
        <v/>
      </c>
      <c r="C6" s="5">
        <f>SUMIF(TRAMOS!$A$5:$A$70,2,TRAMOS!$N$5:$N$70)</f>
        <v/>
      </c>
      <c r="D6" s="5">
        <f>SUMIF(TRAMOS!$A$5:$A$70,2,TRAMOS!$M$5:$M$70)</f>
        <v/>
      </c>
      <c r="E6" s="6" t="n">
        <v>0.924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SUMIF(TRAMOS!$A$5:$A$70,3,TRAMOS!$E$5:$E$70)</f>
        <v/>
      </c>
      <c r="C7" s="5">
        <f>SUMIF(TRAMOS!$A$5:$A$70,3,TRAMOS!$N$5:$N$70)</f>
        <v/>
      </c>
      <c r="D7" s="5">
        <f>SUMIF(TRAMOS!$A$5:$A$70,3,TRAMOS!$M$5:$M$70)</f>
        <v/>
      </c>
      <c r="E7" s="6" t="n">
        <v>0.746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SUMIF(TRAMOS!$A$5:$A$70,4,TRAMOS!$E$5:$E$70)</f>
        <v/>
      </c>
      <c r="C8" s="5">
        <f>SUMIF(TRAMOS!$A$5:$A$70,4,TRAMOS!$N$5:$N$70)</f>
        <v/>
      </c>
      <c r="D8" s="5">
        <f>SUMIF(TRAMOS!$A$5:$A$70,4,TRAMOS!$M$5:$M$70)</f>
        <v/>
      </c>
      <c r="E8" s="6" t="n">
        <v>0.506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DC-15 secciones transversales de cunetas; DC-16 isometrico de la red - vista desde el sur; DC-17 isometrico de la red - vista desde el norte; DC-18 cortes por las descargas d1, d2, d3 y d4; DC-19 cortes generales del terreno y la red; DC-20 detalle isometrico de las descargas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2.93 %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0.92 (EJE-07, prog 96.5)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183.755: pase en el cimiento del cerco; el terreno exterior queda bajo la C.F. a 0.5 m del cerco; D2 C.F. 183.754: pase en el cimiento del cerco; el terreno exterior queda bajo la C.F. a 0.2 m del cerco; D3 C.F. 183.726: pase en el cimiento del cerco; el terreno exterior queda bajo la C.F. a 0.5 m del cerco; D4 C.F. 184.144: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0.136 m en EJE-11 P-35-P-26 (Q 16.2 l/s, y 0.064,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1.84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1993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183.755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183.754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183.726</v>
      </c>
      <c r="D21" s="4" t="inlineStr">
        <is>
          <t>pase en el cimiento del cerco: el terreno exterior queda bajo la C.F. a 0.5 m (perfilado maximo 0.01 m, sin obra)</t>
        </is>
      </c>
    </row>
    <row r="22">
      <c r="A22" s="4" t="inlineStr"/>
      <c r="B22" s="4" t="inlineStr">
        <is>
          <t>D4</t>
        </is>
      </c>
      <c r="C22" s="4" t="n">
        <v>184.144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6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(escorrentia)</t>
        </is>
      </c>
      <c r="B4" s="13" t="n">
        <v>0.8</v>
      </c>
    </row>
    <row r="5">
      <c r="A5" s="16" t="inlineStr">
        <is>
          <t>I (mm/h)</t>
        </is>
      </c>
      <c r="B5" s="13" t="n">
        <v>211</v>
      </c>
    </row>
    <row r="6">
      <c r="A6" s="16" t="inlineStr">
        <is>
          <t>Factor de seguridad</t>
        </is>
      </c>
      <c r="B6" s="13" t="n">
        <v>1.15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0.095</v>
      </c>
      <c r="H11" s="17" t="n">
        <v>0.3</v>
      </c>
      <c r="I11" s="19">
        <f>H11-G11</f>
        <v/>
      </c>
      <c r="J11" s="6" t="n">
        <v>0.84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553</v>
      </c>
      <c r="E12" s="5">
        <f>1000*$B$4*$B$5*D12/3600000*$B$6</f>
        <v/>
      </c>
      <c r="F12" s="17" t="n">
        <v>0.5</v>
      </c>
      <c r="G12" s="18" t="n">
        <v>0.097</v>
      </c>
      <c r="H12" s="17" t="n">
        <v>0.46</v>
      </c>
      <c r="I12" s="19">
        <f>H12-G12</f>
        <v/>
      </c>
      <c r="J12" s="6" t="n">
        <v>0.84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436</v>
      </c>
      <c r="E13" s="5">
        <f>1000*$B$4*$B$5*D13/3600000*$B$6</f>
        <v/>
      </c>
      <c r="F13" s="17" t="n">
        <v>0.5</v>
      </c>
      <c r="G13" s="18" t="n">
        <v>0.083</v>
      </c>
      <c r="H13" s="17" t="n">
        <v>0.3</v>
      </c>
      <c r="I13" s="19">
        <f>H13-G13</f>
        <v/>
      </c>
      <c r="J13" s="6" t="n">
        <v>0.78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528</v>
      </c>
      <c r="E14" s="5">
        <f>1000*$B$4*$B$5*D14/3600000*$B$6</f>
        <v/>
      </c>
      <c r="F14" s="17" t="n">
        <v>0.5</v>
      </c>
      <c r="G14" s="18" t="n">
        <v>0.094</v>
      </c>
      <c r="H14" s="17" t="n">
        <v>0.46</v>
      </c>
      <c r="I14" s="19">
        <f>H14-G14</f>
        <v/>
      </c>
      <c r="J14" s="6" t="n">
        <v>0.83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965</v>
      </c>
      <c r="E15" s="5">
        <f>1000*$B$4*$B$5*D15/3600000*$B$6</f>
        <v/>
      </c>
      <c r="F15" s="17" t="n">
        <v>2.93</v>
      </c>
      <c r="G15" s="18" t="n">
        <v>0.078</v>
      </c>
      <c r="H15" s="17" t="n">
        <v>0.52</v>
      </c>
      <c r="I15" s="19">
        <f>H15-G15</f>
        <v/>
      </c>
      <c r="J15" s="6" t="n">
        <v>1.84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2216</v>
      </c>
      <c r="E16" s="5">
        <f>1000*$B$4*$B$5*D16/3600000*$B$6</f>
        <v/>
      </c>
      <c r="F16" s="17" t="n">
        <v>0.5</v>
      </c>
      <c r="G16" s="18" t="n">
        <v>0.269</v>
      </c>
      <c r="H16" s="17" t="n">
        <v>0.77</v>
      </c>
      <c r="I16" s="19">
        <f>H16-G16</f>
        <v/>
      </c>
      <c r="J16" s="6" t="n">
        <v>1.24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P-03</t>
        </is>
      </c>
      <c r="D17" s="17" t="n">
        <v>2979</v>
      </c>
      <c r="E17" s="5">
        <f>1000*$B$4*$B$5*D17/3600000*$B$6</f>
        <v/>
      </c>
      <c r="F17" s="17" t="n">
        <v>0.5</v>
      </c>
      <c r="G17" s="18" t="n">
        <v>0.339</v>
      </c>
      <c r="H17" s="17" t="n">
        <v>0.83</v>
      </c>
      <c r="I17" s="19">
        <f>H17-G17</f>
        <v/>
      </c>
      <c r="J17" s="6" t="n">
        <v>1.33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P-03</t>
        </is>
      </c>
      <c r="C18" s="17" t="inlineStr">
        <is>
          <t>D1</t>
        </is>
      </c>
      <c r="D18" s="17" t="n">
        <v>3539</v>
      </c>
      <c r="E18" s="5">
        <f>1000*$B$4*$B$5*D18/3600000*$B$6</f>
        <v/>
      </c>
      <c r="F18" s="17" t="n">
        <v>0.5</v>
      </c>
      <c r="G18" s="18" t="n">
        <v>0.39</v>
      </c>
      <c r="H18" s="17" t="n">
        <v>0.79</v>
      </c>
      <c r="I18" s="19">
        <f>H18-G18</f>
        <v/>
      </c>
      <c r="J18" s="6" t="n">
        <v>1.37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EJE-03</t>
        </is>
      </c>
      <c r="B19" s="17" t="inlineStr">
        <is>
          <t>P-09</t>
        </is>
      </c>
      <c r="C19" s="17" t="inlineStr">
        <is>
          <t>P-06</t>
        </is>
      </c>
      <c r="D19" s="17" t="n">
        <v>368</v>
      </c>
      <c r="E19" s="5">
        <f>1000*$B$4*$B$5*D19/3600000*$B$6</f>
        <v/>
      </c>
      <c r="F19" s="17" t="n">
        <v>0.5</v>
      </c>
      <c r="G19" s="18" t="n">
        <v>0.074</v>
      </c>
      <c r="H19" s="17" t="n">
        <v>0.3</v>
      </c>
      <c r="I19" s="19">
        <f>H19-G19</f>
        <v/>
      </c>
      <c r="J19" s="6" t="n">
        <v>0.74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EJE-04</t>
        </is>
      </c>
      <c r="B20" s="17" t="inlineStr">
        <is>
          <t>P-10</t>
        </is>
      </c>
      <c r="C20" s="17" t="inlineStr">
        <is>
          <t>P-11</t>
        </is>
      </c>
      <c r="D20" s="17" t="n">
        <v>383</v>
      </c>
      <c r="E20" s="5">
        <f>1000*$B$4*$B$5*D20/3600000*$B$6</f>
        <v/>
      </c>
      <c r="F20" s="17" t="n">
        <v>0.5</v>
      </c>
      <c r="G20" s="18" t="n">
        <v>0.076</v>
      </c>
      <c r="H20" s="17" t="n">
        <v>0.3</v>
      </c>
      <c r="I20" s="19">
        <f>H20-G20</f>
        <v/>
      </c>
      <c r="J20" s="6" t="n">
        <v>0.75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EJE-04</t>
        </is>
      </c>
      <c r="B21" s="17" t="inlineStr">
        <is>
          <t>P-11</t>
        </is>
      </c>
      <c r="C21" s="17" t="inlineStr">
        <is>
          <t>P-12</t>
        </is>
      </c>
      <c r="D21" s="17" t="n">
        <v>456</v>
      </c>
      <c r="E21" s="5">
        <f>1000*$B$4*$B$5*D21/3600000*$B$6</f>
        <v/>
      </c>
      <c r="F21" s="17" t="n">
        <v>0.5</v>
      </c>
      <c r="G21" s="18" t="n">
        <v>0.08500000000000001</v>
      </c>
      <c r="H21" s="17" t="n">
        <v>0.43</v>
      </c>
      <c r="I21" s="19">
        <f>H21-G21</f>
        <v/>
      </c>
      <c r="J21" s="6" t="n">
        <v>0.79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EJE-04</t>
        </is>
      </c>
      <c r="B22" s="17" t="inlineStr">
        <is>
          <t>P-12</t>
        </is>
      </c>
      <c r="C22" s="17" t="inlineStr">
        <is>
          <t>P-13</t>
        </is>
      </c>
      <c r="D22" s="17" t="n">
        <v>585</v>
      </c>
      <c r="E22" s="5">
        <f>1000*$B$4*$B$5*D22/3600000*$B$6</f>
        <v/>
      </c>
      <c r="F22" s="17" t="n">
        <v>0.5</v>
      </c>
      <c r="G22" s="18" t="n">
        <v>0.101</v>
      </c>
      <c r="H22" s="17" t="n">
        <v>0.48</v>
      </c>
      <c r="I22" s="19">
        <f>H22-G22</f>
        <v/>
      </c>
      <c r="J22" s="6" t="n">
        <v>0.86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782</v>
      </c>
      <c r="E23" s="5">
        <f>1000*$B$4*$B$5*D23/3600000*$B$6</f>
        <v/>
      </c>
      <c r="F23" s="17" t="n">
        <v>0.5</v>
      </c>
      <c r="G23" s="18" t="n">
        <v>0.124</v>
      </c>
      <c r="H23" s="17" t="n">
        <v>0.5</v>
      </c>
      <c r="I23" s="19">
        <f>H23-G23</f>
        <v/>
      </c>
      <c r="J23" s="6" t="n">
        <v>0.9399999999999999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858</v>
      </c>
      <c r="E24" s="5">
        <f>1000*$B$4*$B$5*D24/3600000*$B$6</f>
        <v/>
      </c>
      <c r="F24" s="17" t="n">
        <v>0.5</v>
      </c>
      <c r="G24" s="18" t="n">
        <v>0.132</v>
      </c>
      <c r="H24" s="17" t="n">
        <v>0.58</v>
      </c>
      <c r="I24" s="19">
        <f>H24-G24</f>
        <v/>
      </c>
      <c r="J24" s="6" t="n">
        <v>0.97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P-07</t>
        </is>
      </c>
      <c r="D25" s="17" t="n">
        <v>1161</v>
      </c>
      <c r="E25" s="5">
        <f>1000*$B$4*$B$5*D25/3600000*$B$6</f>
        <v/>
      </c>
      <c r="F25" s="17" t="n">
        <v>0.5</v>
      </c>
      <c r="G25" s="18" t="n">
        <v>0.165</v>
      </c>
      <c r="H25" s="17" t="n">
        <v>0.61</v>
      </c>
      <c r="I25" s="19">
        <f>H25-G25</f>
        <v/>
      </c>
      <c r="J25" s="6" t="n">
        <v>1.05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EJE-05</t>
        </is>
      </c>
      <c r="B26" s="17" t="inlineStr">
        <is>
          <t>P-16</t>
        </is>
      </c>
      <c r="C26" s="17" t="inlineStr">
        <is>
          <t>P-17</t>
        </is>
      </c>
      <c r="D26" s="17" t="n">
        <v>188</v>
      </c>
      <c r="E26" s="5">
        <f>1000*$B$4*$B$5*D26/3600000*$B$6</f>
        <v/>
      </c>
      <c r="F26" s="17" t="n">
        <v>0.5</v>
      </c>
      <c r="G26" s="18" t="n">
        <v>0.047</v>
      </c>
      <c r="H26" s="17" t="n">
        <v>0.3</v>
      </c>
      <c r="I26" s="19">
        <f>H26-G26</f>
        <v/>
      </c>
      <c r="J26" s="6" t="n">
        <v>0.59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EJE-05</t>
        </is>
      </c>
      <c r="B27" s="17" t="inlineStr">
        <is>
          <t>P-17</t>
        </is>
      </c>
      <c r="C27" s="17" t="inlineStr">
        <is>
          <t>P-18</t>
        </is>
      </c>
      <c r="D27" s="17" t="n">
        <v>229</v>
      </c>
      <c r="E27" s="5">
        <f>1000*$B$4*$B$5*D27/3600000*$B$6</f>
        <v/>
      </c>
      <c r="F27" s="17" t="n">
        <v>0.5</v>
      </c>
      <c r="G27" s="18" t="n">
        <v>0.054</v>
      </c>
      <c r="H27" s="17" t="n">
        <v>0.41</v>
      </c>
      <c r="I27" s="19">
        <f>H27-G27</f>
        <v/>
      </c>
      <c r="J27" s="6" t="n">
        <v>0.63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EJE-05</t>
        </is>
      </c>
      <c r="B28" s="17" t="inlineStr">
        <is>
          <t>P-18</t>
        </is>
      </c>
      <c r="C28" s="17" t="inlineStr">
        <is>
          <t>P-19</t>
        </is>
      </c>
      <c r="D28" s="17" t="n">
        <v>366</v>
      </c>
      <c r="E28" s="5">
        <f>1000*$B$4*$B$5*D28/3600000*$B$6</f>
        <v/>
      </c>
      <c r="F28" s="17" t="n">
        <v>0.5</v>
      </c>
      <c r="G28" s="18" t="n">
        <v>0.073</v>
      </c>
      <c r="H28" s="17" t="n">
        <v>0.44</v>
      </c>
      <c r="I28" s="19">
        <f>H28-G28</f>
        <v/>
      </c>
      <c r="J28" s="6" t="n">
        <v>0.74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EJE-05</t>
        </is>
      </c>
      <c r="B29" s="17" t="inlineStr">
        <is>
          <t>P-19</t>
        </is>
      </c>
      <c r="C29" s="17" t="inlineStr">
        <is>
          <t>P-20</t>
        </is>
      </c>
      <c r="D29" s="17" t="n">
        <v>410</v>
      </c>
      <c r="E29" s="5">
        <f>1000*$B$4*$B$5*D29/3600000*$B$6</f>
        <v/>
      </c>
      <c r="F29" s="17" t="n">
        <v>0.5</v>
      </c>
      <c r="G29" s="18" t="n">
        <v>0.079</v>
      </c>
      <c r="H29" s="17" t="n">
        <v>0.53</v>
      </c>
      <c r="I29" s="19">
        <f>H29-G29</f>
        <v/>
      </c>
      <c r="J29" s="6" t="n">
        <v>0.77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P-08</t>
        </is>
      </c>
      <c r="D30" s="17" t="n">
        <v>705</v>
      </c>
      <c r="E30" s="5">
        <f>1000*$B$4*$B$5*D30/3600000*$B$6</f>
        <v/>
      </c>
      <c r="F30" s="17" t="n">
        <v>0.5</v>
      </c>
      <c r="G30" s="18" t="n">
        <v>0.115</v>
      </c>
      <c r="H30" s="17" t="n">
        <v>0.55</v>
      </c>
      <c r="I30" s="19">
        <f>H30-G30</f>
        <v/>
      </c>
      <c r="J30" s="6" t="n">
        <v>0.91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EJE-06</t>
        </is>
      </c>
      <c r="B31" s="17" t="inlineStr">
        <is>
          <t>P-21</t>
        </is>
      </c>
      <c r="C31" s="17" t="inlineStr">
        <is>
          <t>P-12</t>
        </is>
      </c>
      <c r="D31" s="17" t="n">
        <v>102</v>
      </c>
      <c r="E31" s="5">
        <f>1000*$B$4*$B$5*D31/3600000*$B$6</f>
        <v/>
      </c>
      <c r="F31" s="17" t="n">
        <v>0.5</v>
      </c>
      <c r="G31" s="18" t="n">
        <v>0.032</v>
      </c>
      <c r="H31" s="17" t="n">
        <v>0.3</v>
      </c>
      <c r="I31" s="19">
        <f>H31-G31</f>
        <v/>
      </c>
      <c r="J31" s="6" t="n">
        <v>0.47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EJE-07</t>
        </is>
      </c>
      <c r="B32" s="17" t="inlineStr">
        <is>
          <t>P-22</t>
        </is>
      </c>
      <c r="C32" s="17" t="inlineStr">
        <is>
          <t>P-23</t>
        </is>
      </c>
      <c r="D32" s="17" t="n">
        <v>116</v>
      </c>
      <c r="E32" s="5">
        <f>1000*$B$4*$B$5*D32/3600000*$B$6</f>
        <v/>
      </c>
      <c r="F32" s="17" t="n">
        <v>1.72</v>
      </c>
      <c r="G32" s="18" t="n">
        <v>0.023</v>
      </c>
      <c r="H32" s="17" t="n">
        <v>0.3</v>
      </c>
      <c r="I32" s="19">
        <f>H32-G32</f>
        <v/>
      </c>
      <c r="J32" s="6" t="n">
        <v>0.73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EJE-07</t>
        </is>
      </c>
      <c r="B33" s="17" t="inlineStr">
        <is>
          <t>P-23</t>
        </is>
      </c>
      <c r="C33" s="17" t="inlineStr">
        <is>
          <t>P-24</t>
        </is>
      </c>
      <c r="D33" s="17" t="n">
        <v>784</v>
      </c>
      <c r="E33" s="5">
        <f>1000*$B$4*$B$5*D33/3600000*$B$6</f>
        <v/>
      </c>
      <c r="F33" s="17" t="n">
        <v>0.5</v>
      </c>
      <c r="G33" s="18" t="n">
        <v>0.124</v>
      </c>
      <c r="H33" s="17" t="n">
        <v>0.5</v>
      </c>
      <c r="I33" s="19">
        <f>H33-G33</f>
        <v/>
      </c>
      <c r="J33" s="6" t="n">
        <v>0.9399999999999999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EJE-07</t>
        </is>
      </c>
      <c r="B34" s="17" t="inlineStr">
        <is>
          <t>P-24</t>
        </is>
      </c>
      <c r="C34" s="17" t="inlineStr">
        <is>
          <t>P-21</t>
        </is>
      </c>
      <c r="D34" s="17" t="n">
        <v>1153</v>
      </c>
      <c r="E34" s="5">
        <f>1000*$B$4*$B$5*D34/3600000*$B$6</f>
        <v/>
      </c>
      <c r="F34" s="17" t="n">
        <v>0.5</v>
      </c>
      <c r="G34" s="18" t="n">
        <v>0.164</v>
      </c>
      <c r="H34" s="17" t="n">
        <v>0.59</v>
      </c>
      <c r="I34" s="19">
        <f>H34-G34</f>
        <v/>
      </c>
      <c r="J34" s="6" t="n">
        <v>1.05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EJE-07</t>
        </is>
      </c>
      <c r="B35" s="17" t="inlineStr">
        <is>
          <t>P-21</t>
        </is>
      </c>
      <c r="C35" s="17" t="inlineStr">
        <is>
          <t>P-25</t>
        </is>
      </c>
      <c r="D35" s="17" t="n">
        <v>1339</v>
      </c>
      <c r="E35" s="5">
        <f>1000*$B$4*$B$5*D35/3600000*$B$6</f>
        <v/>
      </c>
      <c r="F35" s="17" t="n">
        <v>0.5</v>
      </c>
      <c r="G35" s="18" t="n">
        <v>0.183</v>
      </c>
      <c r="H35" s="17" t="n">
        <v>0.62</v>
      </c>
      <c r="I35" s="19">
        <f>H35-G35</f>
        <v/>
      </c>
      <c r="J35" s="6" t="n">
        <v>1.1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P-25</t>
        </is>
      </c>
      <c r="C36" s="17" t="inlineStr">
        <is>
          <t>P-26</t>
        </is>
      </c>
      <c r="D36" s="17" t="n">
        <v>1768</v>
      </c>
      <c r="E36" s="5">
        <f>1000*$B$4*$B$5*D36/3600000*$B$6</f>
        <v/>
      </c>
      <c r="F36" s="17" t="n">
        <v>0.5</v>
      </c>
      <c r="G36" s="18" t="n">
        <v>0.226</v>
      </c>
      <c r="H36" s="17" t="n">
        <v>0.73</v>
      </c>
      <c r="I36" s="19">
        <f>H36-G36</f>
        <v/>
      </c>
      <c r="J36" s="6" t="n">
        <v>1.18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P-26</t>
        </is>
      </c>
      <c r="C37" s="17" t="inlineStr">
        <is>
          <t>P-27</t>
        </is>
      </c>
      <c r="D37" s="17" t="n">
        <v>2084</v>
      </c>
      <c r="E37" s="5">
        <f>1000*$B$4*$B$5*D37/3600000*$B$6</f>
        <v/>
      </c>
      <c r="F37" s="17" t="n">
        <v>0.5</v>
      </c>
      <c r="G37" s="18" t="n">
        <v>0.256</v>
      </c>
      <c r="H37" s="17" t="n">
        <v>0.79</v>
      </c>
      <c r="I37" s="19">
        <f>H37-G37</f>
        <v/>
      </c>
      <c r="J37" s="6" t="n">
        <v>1.22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P-27</t>
        </is>
      </c>
      <c r="C38" s="17" t="inlineStr">
        <is>
          <t>P-28</t>
        </is>
      </c>
      <c r="D38" s="17" t="n">
        <v>2102</v>
      </c>
      <c r="E38" s="5">
        <f>1000*$B$4*$B$5*D38/3600000*$B$6</f>
        <v/>
      </c>
      <c r="F38" s="17" t="n">
        <v>0.5</v>
      </c>
      <c r="G38" s="18" t="n">
        <v>0.258</v>
      </c>
      <c r="H38" s="17" t="n">
        <v>0.71</v>
      </c>
      <c r="I38" s="19">
        <f>H38-G38</f>
        <v/>
      </c>
      <c r="J38" s="6" t="n">
        <v>1.23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P-28</t>
        </is>
      </c>
      <c r="C39" s="17" t="inlineStr">
        <is>
          <t>P-29</t>
        </is>
      </c>
      <c r="D39" s="17" t="n">
        <v>2127</v>
      </c>
      <c r="E39" s="5">
        <f>1000*$B$4*$B$5*D39/3600000*$B$6</f>
        <v/>
      </c>
      <c r="F39" s="17" t="n">
        <v>0.5</v>
      </c>
      <c r="G39" s="18" t="n">
        <v>0.26</v>
      </c>
      <c r="H39" s="17" t="n">
        <v>0.75</v>
      </c>
      <c r="I39" s="19">
        <f>H39-G39</f>
        <v/>
      </c>
      <c r="J39" s="6" t="n">
        <v>1.23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P-29</t>
        </is>
      </c>
      <c r="C40" s="17" t="inlineStr">
        <is>
          <t>P-30</t>
        </is>
      </c>
      <c r="D40" s="17" t="n">
        <v>2191</v>
      </c>
      <c r="E40" s="5">
        <f>1000*$B$4*$B$5*D40/3600000*$B$6</f>
        <v/>
      </c>
      <c r="F40" s="17" t="n">
        <v>0.5</v>
      </c>
      <c r="G40" s="18" t="n">
        <v>0.266</v>
      </c>
      <c r="H40" s="17" t="n">
        <v>0.78</v>
      </c>
      <c r="I40" s="19">
        <f>H40-G40</f>
        <v/>
      </c>
      <c r="J40" s="6" t="n">
        <v>1.24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P-30</t>
        </is>
      </c>
      <c r="C41" s="17" t="inlineStr">
        <is>
          <t>D3</t>
        </is>
      </c>
      <c r="D41" s="17" t="n">
        <v>2193</v>
      </c>
      <c r="E41" s="5">
        <f>1000*$B$4*$B$5*D41/3600000*$B$6</f>
        <v/>
      </c>
      <c r="F41" s="17" t="n">
        <v>0.5</v>
      </c>
      <c r="G41" s="18" t="n">
        <v>0.266</v>
      </c>
      <c r="H41" s="17" t="n">
        <v>0.82</v>
      </c>
      <c r="I41" s="19">
        <f>H41-G41</f>
        <v/>
      </c>
      <c r="J41" s="6" t="n">
        <v>1.24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EJE-08</t>
        </is>
      </c>
      <c r="B42" s="17" t="inlineStr">
        <is>
          <t>P-31</t>
        </is>
      </c>
      <c r="C42" s="17" t="inlineStr">
        <is>
          <t>P-32</t>
        </is>
      </c>
      <c r="D42" s="17" t="n">
        <v>47</v>
      </c>
      <c r="E42" s="5">
        <f>1000*$B$4*$B$5*D42/3600000*$B$6</f>
        <v/>
      </c>
      <c r="F42" s="17" t="n">
        <v>0.5</v>
      </c>
      <c r="G42" s="18" t="n">
        <v>0.02</v>
      </c>
      <c r="H42" s="17" t="n">
        <v>0.3</v>
      </c>
      <c r="I42" s="19">
        <f>H42-G42</f>
        <v/>
      </c>
      <c r="J42" s="6" t="n">
        <v>0.35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EJE-08</t>
        </is>
      </c>
      <c r="B43" s="17" t="inlineStr">
        <is>
          <t>P-32</t>
        </is>
      </c>
      <c r="C43" s="17" t="inlineStr">
        <is>
          <t>P-23</t>
        </is>
      </c>
      <c r="D43" s="17" t="n">
        <v>488</v>
      </c>
      <c r="E43" s="5">
        <f>1000*$B$4*$B$5*D43/3600000*$B$6</f>
        <v/>
      </c>
      <c r="F43" s="17" t="n">
        <v>0.5</v>
      </c>
      <c r="G43" s="18" t="n">
        <v>0.089</v>
      </c>
      <c r="H43" s="17" t="n">
        <v>0.32</v>
      </c>
      <c r="I43" s="19">
        <f>H43-G43</f>
        <v/>
      </c>
      <c r="J43" s="6" t="n">
        <v>0.8100000000000001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EJE-09</t>
        </is>
      </c>
      <c r="B44" s="17" t="inlineStr">
        <is>
          <t>P-33</t>
        </is>
      </c>
      <c r="C44" s="17" t="inlineStr">
        <is>
          <t>P-24</t>
        </is>
      </c>
      <c r="D44" s="17" t="n">
        <v>342</v>
      </c>
      <c r="E44" s="5">
        <f>1000*$B$4*$B$5*D44/3600000*$B$6</f>
        <v/>
      </c>
      <c r="F44" s="17" t="n">
        <v>0.5</v>
      </c>
      <c r="G44" s="18" t="n">
        <v>0.07000000000000001</v>
      </c>
      <c r="H44" s="17" t="n">
        <v>0.3</v>
      </c>
      <c r="I44" s="19">
        <f>H44-G44</f>
        <v/>
      </c>
      <c r="J44" s="6" t="n">
        <v>0.72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EJE-10</t>
        </is>
      </c>
      <c r="B45" s="17" t="inlineStr">
        <is>
          <t>P-32</t>
        </is>
      </c>
      <c r="C45" s="17" t="inlineStr">
        <is>
          <t>P-33</t>
        </is>
      </c>
      <c r="D45" s="17" t="n">
        <v>205</v>
      </c>
      <c r="E45" s="5">
        <f>1000*$B$4*$B$5*D45/3600000*$B$6</f>
        <v/>
      </c>
      <c r="F45" s="17" t="n">
        <v>0.5</v>
      </c>
      <c r="G45" s="18" t="n">
        <v>0.05</v>
      </c>
      <c r="H45" s="17" t="n">
        <v>0.3</v>
      </c>
      <c r="I45" s="19">
        <f>H45-G45</f>
        <v/>
      </c>
      <c r="J45" s="6" t="n">
        <v>0.61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EJE-10</t>
        </is>
      </c>
      <c r="B46" s="17" t="inlineStr">
        <is>
          <t>P-33</t>
        </is>
      </c>
      <c r="C46" s="17" t="inlineStr">
        <is>
          <t>P-34</t>
        </is>
      </c>
      <c r="D46" s="17" t="n">
        <v>239</v>
      </c>
      <c r="E46" s="5">
        <f>1000*$B$4*$B$5*D46/3600000*$B$6</f>
        <v/>
      </c>
      <c r="F46" s="17" t="n">
        <v>0.5</v>
      </c>
      <c r="G46" s="18" t="n">
        <v>0.055</v>
      </c>
      <c r="H46" s="17" t="n">
        <v>0.39</v>
      </c>
      <c r="I46" s="19">
        <f>H46-G46</f>
        <v/>
      </c>
      <c r="J46" s="6" t="n">
        <v>0.64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EJE-10</t>
        </is>
      </c>
      <c r="B47" s="17" t="inlineStr">
        <is>
          <t>P-34</t>
        </is>
      </c>
      <c r="C47" s="17" t="inlineStr">
        <is>
          <t>P-25</t>
        </is>
      </c>
      <c r="D47" s="17" t="n">
        <v>335</v>
      </c>
      <c r="E47" s="5">
        <f>1000*$B$4*$B$5*D47/3600000*$B$6</f>
        <v/>
      </c>
      <c r="F47" s="17" t="n">
        <v>0.5</v>
      </c>
      <c r="G47" s="18" t="n">
        <v>0.06900000000000001</v>
      </c>
      <c r="H47" s="17" t="n">
        <v>0.42</v>
      </c>
      <c r="I47" s="19">
        <f>H47-G47</f>
        <v/>
      </c>
      <c r="J47" s="6" t="n">
        <v>0.72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EJE-11</t>
        </is>
      </c>
      <c r="B48" s="17" t="inlineStr">
        <is>
          <t>P-35</t>
        </is>
      </c>
      <c r="C48" s="17" t="inlineStr">
        <is>
          <t>P-26</t>
        </is>
      </c>
      <c r="D48" s="17" t="n">
        <v>301</v>
      </c>
      <c r="E48" s="5">
        <f>1000*$B$4*$B$5*D48/3600000*$B$6</f>
        <v/>
      </c>
      <c r="F48" s="17" t="n">
        <v>0.5</v>
      </c>
      <c r="G48" s="18" t="n">
        <v>0.064</v>
      </c>
      <c r="H48" s="17" t="n">
        <v>0.2</v>
      </c>
      <c r="I48" s="19">
        <f>H48-G48</f>
        <v/>
      </c>
      <c r="J48" s="6" t="n">
        <v>0.6899999999999999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EJE-12</t>
        </is>
      </c>
      <c r="B49" s="17" t="inlineStr">
        <is>
          <t>P-36</t>
        </is>
      </c>
      <c r="C49" s="17" t="inlineStr">
        <is>
          <t>P-37</t>
        </is>
      </c>
      <c r="D49" s="17" t="n">
        <v>242</v>
      </c>
      <c r="E49" s="5">
        <f>1000*$B$4*$B$5*D49/3600000*$B$6</f>
        <v/>
      </c>
      <c r="F49" s="17" t="n">
        <v>0.5</v>
      </c>
      <c r="G49" s="18" t="n">
        <v>0.056</v>
      </c>
      <c r="H49" s="17" t="n">
        <v>0.3</v>
      </c>
      <c r="I49" s="19">
        <f>H49-G49</f>
        <v/>
      </c>
      <c r="J49" s="6" t="n">
        <v>0.64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EJE-12</t>
        </is>
      </c>
      <c r="B50" s="17" t="inlineStr">
        <is>
          <t>P-37</t>
        </is>
      </c>
      <c r="C50" s="17" t="inlineStr">
        <is>
          <t>P-38</t>
        </is>
      </c>
      <c r="D50" s="17" t="n">
        <v>532</v>
      </c>
      <c r="E50" s="5">
        <f>1000*$B$4*$B$5*D50/3600000*$B$6</f>
        <v/>
      </c>
      <c r="F50" s="17" t="n">
        <v>0.5</v>
      </c>
      <c r="G50" s="18" t="n">
        <v>0.095</v>
      </c>
      <c r="H50" s="17" t="n">
        <v>0.38</v>
      </c>
      <c r="I50" s="19">
        <f>H50-G50</f>
        <v/>
      </c>
      <c r="J50" s="6" t="n">
        <v>0.83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EJE-12</t>
        </is>
      </c>
      <c r="B51" s="17" t="inlineStr">
        <is>
          <t>P-38</t>
        </is>
      </c>
      <c r="C51" s="17" t="inlineStr">
        <is>
          <t>P-39</t>
        </is>
      </c>
      <c r="D51" s="17" t="n">
        <v>855</v>
      </c>
      <c r="E51" s="5">
        <f>1000*$B$4*$B$5*D51/3600000*$B$6</f>
        <v/>
      </c>
      <c r="F51" s="17" t="n">
        <v>0.5</v>
      </c>
      <c r="G51" s="18" t="n">
        <v>0.132</v>
      </c>
      <c r="H51" s="17" t="n">
        <v>0.5</v>
      </c>
      <c r="I51" s="19">
        <f>H51-G51</f>
        <v/>
      </c>
      <c r="J51" s="6" t="n">
        <v>0.97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EJE-12</t>
        </is>
      </c>
      <c r="B52" s="17" t="inlineStr">
        <is>
          <t>P-39</t>
        </is>
      </c>
      <c r="C52" s="17" t="inlineStr">
        <is>
          <t>P-40</t>
        </is>
      </c>
      <c r="D52" s="17" t="n">
        <v>1128</v>
      </c>
      <c r="E52" s="5">
        <f>1000*$B$4*$B$5*D52/3600000*$B$6</f>
        <v/>
      </c>
      <c r="F52" s="17" t="n">
        <v>0.5</v>
      </c>
      <c r="G52" s="18" t="n">
        <v>0.161</v>
      </c>
      <c r="H52" s="17" t="n">
        <v>0.52</v>
      </c>
      <c r="I52" s="19">
        <f>H52-G52</f>
        <v/>
      </c>
      <c r="J52" s="6" t="n">
        <v>1.05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EJE-12</t>
        </is>
      </c>
      <c r="B53" s="17" t="inlineStr">
        <is>
          <t>P-40</t>
        </is>
      </c>
      <c r="C53" s="17" t="inlineStr">
        <is>
          <t>P-41</t>
        </is>
      </c>
      <c r="D53" s="17" t="n">
        <v>1869</v>
      </c>
      <c r="E53" s="5">
        <f>1000*$B$4*$B$5*D53/3600000*$B$6</f>
        <v/>
      </c>
      <c r="F53" s="17" t="n">
        <v>0.5</v>
      </c>
      <c r="G53" s="18" t="n">
        <v>0.235</v>
      </c>
      <c r="H53" s="17" t="n">
        <v>0.57</v>
      </c>
      <c r="I53" s="19">
        <f>H53-G53</f>
        <v/>
      </c>
      <c r="J53" s="6" t="n">
        <v>1.19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EJE-12</t>
        </is>
      </c>
      <c r="B54" s="17" t="inlineStr">
        <is>
          <t>P-41</t>
        </is>
      </c>
      <c r="C54" s="17" t="inlineStr">
        <is>
          <t>P-42</t>
        </is>
      </c>
      <c r="D54" s="17" t="n">
        <v>2361</v>
      </c>
      <c r="E54" s="5">
        <f>1000*$B$4*$B$5*D54/3600000*$B$6</f>
        <v/>
      </c>
      <c r="F54" s="17" t="n">
        <v>0.5</v>
      </c>
      <c r="G54" s="18" t="n">
        <v>0.282</v>
      </c>
      <c r="H54" s="17" t="n">
        <v>0.63</v>
      </c>
      <c r="I54" s="19">
        <f>H54-G54</f>
        <v/>
      </c>
      <c r="J54" s="6" t="n">
        <v>1.26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EJE-12</t>
        </is>
      </c>
      <c r="B55" s="17" t="inlineStr">
        <is>
          <t>P-42</t>
        </is>
      </c>
      <c r="C55" s="17" t="inlineStr">
        <is>
          <t>P-43</t>
        </is>
      </c>
      <c r="D55" s="17" t="n">
        <v>2487</v>
      </c>
      <c r="E55" s="5">
        <f>1000*$B$4*$B$5*D55/3600000*$B$6</f>
        <v/>
      </c>
      <c r="F55" s="17" t="n">
        <v>0.5</v>
      </c>
      <c r="G55" s="18" t="n">
        <v>0.294</v>
      </c>
      <c r="H55" s="17" t="n">
        <v>0.57</v>
      </c>
      <c r="I55" s="19">
        <f>H55-G55</f>
        <v/>
      </c>
      <c r="J55" s="6" t="n">
        <v>1.28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EJE-12</t>
        </is>
      </c>
      <c r="B56" s="17" t="inlineStr">
        <is>
          <t>P-43</t>
        </is>
      </c>
      <c r="C56" s="17" t="inlineStr">
        <is>
          <t>P-44</t>
        </is>
      </c>
      <c r="D56" s="17" t="n">
        <v>2500</v>
      </c>
      <c r="E56" s="5">
        <f>1000*$B$4*$B$5*D56/3600000*$B$6</f>
        <v/>
      </c>
      <c r="F56" s="17" t="n">
        <v>0.5</v>
      </c>
      <c r="G56" s="18" t="n">
        <v>0.295</v>
      </c>
      <c r="H56" s="17" t="n">
        <v>0.63</v>
      </c>
      <c r="I56" s="19">
        <f>H56-G56</f>
        <v/>
      </c>
      <c r="J56" s="6" t="n">
        <v>1.28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EJE-12</t>
        </is>
      </c>
      <c r="B57" s="17" t="inlineStr">
        <is>
          <t>P-44</t>
        </is>
      </c>
      <c r="C57" s="17" t="inlineStr">
        <is>
          <t>D2</t>
        </is>
      </c>
      <c r="D57" s="17" t="n">
        <v>3029</v>
      </c>
      <c r="E57" s="5">
        <f>1000*$B$4*$B$5*D57/3600000*$B$6</f>
        <v/>
      </c>
      <c r="F57" s="17" t="n">
        <v>0.5</v>
      </c>
      <c r="G57" s="18" t="n">
        <v>0.344</v>
      </c>
      <c r="H57" s="17" t="n">
        <v>0.64</v>
      </c>
      <c r="I57" s="19">
        <f>H57-G57</f>
        <v/>
      </c>
      <c r="J57" s="6" t="n">
        <v>1.33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EJE-13</t>
        </is>
      </c>
      <c r="B58" s="17" t="inlineStr">
        <is>
          <t>P-45</t>
        </is>
      </c>
      <c r="C58" s="17" t="inlineStr">
        <is>
          <t>P-39</t>
        </is>
      </c>
      <c r="D58" s="17" t="n">
        <v>244</v>
      </c>
      <c r="E58" s="5">
        <f>1000*$B$4*$B$5*D58/3600000*$B$6</f>
        <v/>
      </c>
      <c r="F58" s="17" t="n">
        <v>0.5</v>
      </c>
      <c r="G58" s="18" t="n">
        <v>0.056</v>
      </c>
      <c r="H58" s="17" t="n">
        <v>0.3</v>
      </c>
      <c r="I58" s="19">
        <f>H58-G58</f>
        <v/>
      </c>
      <c r="J58" s="6" t="n">
        <v>0.64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EJE-14</t>
        </is>
      </c>
      <c r="B59" s="17" t="inlineStr">
        <is>
          <t>P-46</t>
        </is>
      </c>
      <c r="C59" s="17" t="inlineStr">
        <is>
          <t>P-47</t>
        </is>
      </c>
      <c r="D59" s="17" t="n">
        <v>211</v>
      </c>
      <c r="E59" s="5">
        <f>1000*$B$4*$B$5*D59/3600000*$B$6</f>
        <v/>
      </c>
      <c r="F59" s="17" t="n">
        <v>0.5</v>
      </c>
      <c r="G59" s="18" t="n">
        <v>0.051</v>
      </c>
      <c r="H59" s="17" t="n">
        <v>0.3</v>
      </c>
      <c r="I59" s="19">
        <f>H59-G59</f>
        <v/>
      </c>
      <c r="J59" s="6" t="n">
        <v>0.61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EJE-14</t>
        </is>
      </c>
      <c r="B60" s="17" t="inlineStr">
        <is>
          <t>P-47</t>
        </is>
      </c>
      <c r="C60" s="17" t="inlineStr">
        <is>
          <t>P-48</t>
        </is>
      </c>
      <c r="D60" s="17" t="n">
        <v>480</v>
      </c>
      <c r="E60" s="5">
        <f>1000*$B$4*$B$5*D60/3600000*$B$6</f>
        <v/>
      </c>
      <c r="F60" s="17" t="n">
        <v>0.5</v>
      </c>
      <c r="G60" s="18" t="n">
        <v>0.08799999999999999</v>
      </c>
      <c r="H60" s="17" t="n">
        <v>0.35</v>
      </c>
      <c r="I60" s="19">
        <f>H60-G60</f>
        <v/>
      </c>
      <c r="J60" s="6" t="n">
        <v>0.8100000000000001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EJE-14</t>
        </is>
      </c>
      <c r="B61" s="17" t="inlineStr">
        <is>
          <t>P-48</t>
        </is>
      </c>
      <c r="C61" s="17" t="inlineStr">
        <is>
          <t>P-49</t>
        </is>
      </c>
      <c r="D61" s="17" t="n">
        <v>487</v>
      </c>
      <c r="E61" s="5">
        <f>1000*$B$4*$B$5*D61/3600000*$B$6</f>
        <v/>
      </c>
      <c r="F61" s="17" t="n">
        <v>0.5</v>
      </c>
      <c r="G61" s="18" t="n">
        <v>0.089</v>
      </c>
      <c r="H61" s="17" t="n">
        <v>0.35</v>
      </c>
      <c r="I61" s="19">
        <f>H61-G61</f>
        <v/>
      </c>
      <c r="J61" s="6" t="n">
        <v>0.8100000000000001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EJE-14</t>
        </is>
      </c>
      <c r="B62" s="17" t="inlineStr">
        <is>
          <t>P-49</t>
        </is>
      </c>
      <c r="C62" s="17" t="inlineStr">
        <is>
          <t>P-50</t>
        </is>
      </c>
      <c r="D62" s="17" t="n">
        <v>673</v>
      </c>
      <c r="E62" s="5">
        <f>1000*$B$4*$B$5*D62/3600000*$B$6</f>
        <v/>
      </c>
      <c r="F62" s="17" t="n">
        <v>0.5</v>
      </c>
      <c r="G62" s="18" t="n">
        <v>0.112</v>
      </c>
      <c r="H62" s="17" t="n">
        <v>0.35</v>
      </c>
      <c r="I62" s="19">
        <f>H62-G62</f>
        <v/>
      </c>
      <c r="J62" s="6" t="n">
        <v>0.9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EJE-14</t>
        </is>
      </c>
      <c r="B63" s="17" t="inlineStr">
        <is>
          <t>P-50</t>
        </is>
      </c>
      <c r="C63" s="17" t="inlineStr">
        <is>
          <t>P-40</t>
        </is>
      </c>
      <c r="D63" s="17" t="n">
        <v>693</v>
      </c>
      <c r="E63" s="5">
        <f>1000*$B$4*$B$5*D63/3600000*$B$6</f>
        <v/>
      </c>
      <c r="F63" s="17" t="n">
        <v>0.5</v>
      </c>
      <c r="G63" s="18" t="n">
        <v>0.114</v>
      </c>
      <c r="H63" s="17" t="n">
        <v>0.45</v>
      </c>
      <c r="I63" s="19">
        <f>H63-G63</f>
        <v/>
      </c>
      <c r="J63" s="6" t="n">
        <v>0.91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EJE-15</t>
        </is>
      </c>
      <c r="B64" s="17" t="inlineStr">
        <is>
          <t>P-51</t>
        </is>
      </c>
      <c r="C64" s="17" t="inlineStr">
        <is>
          <t>P-52</t>
        </is>
      </c>
      <c r="D64" s="17" t="n">
        <v>156</v>
      </c>
      <c r="E64" s="5">
        <f>1000*$B$4*$B$5*D64/3600000*$B$6</f>
        <v/>
      </c>
      <c r="F64" s="17" t="n">
        <v>0.5</v>
      </c>
      <c r="G64" s="18" t="n">
        <v>0.042</v>
      </c>
      <c r="H64" s="17" t="n">
        <v>0.3</v>
      </c>
      <c r="I64" s="19">
        <f>H64-G64</f>
        <v/>
      </c>
      <c r="J64" s="6" t="n">
        <v>0.55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EJE-15</t>
        </is>
      </c>
      <c r="B65" s="17" t="inlineStr">
        <is>
          <t>P-52</t>
        </is>
      </c>
      <c r="C65" s="17" t="inlineStr">
        <is>
          <t>P-53</t>
        </is>
      </c>
      <c r="D65" s="17" t="n">
        <v>430</v>
      </c>
      <c r="E65" s="5">
        <f>1000*$B$4*$B$5*D65/3600000*$B$6</f>
        <v/>
      </c>
      <c r="F65" s="17" t="n">
        <v>0.57</v>
      </c>
      <c r="G65" s="18" t="n">
        <v>0.078</v>
      </c>
      <c r="H65" s="17" t="n">
        <v>0.35</v>
      </c>
      <c r="I65" s="19">
        <f>H65-G65</f>
        <v/>
      </c>
      <c r="J65" s="6" t="n">
        <v>0.82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EJE-15</t>
        </is>
      </c>
      <c r="B66" s="17" t="inlineStr">
        <is>
          <t>P-53</t>
        </is>
      </c>
      <c r="C66" s="17" t="inlineStr">
        <is>
          <t>P-41</t>
        </is>
      </c>
      <c r="D66" s="17" t="n">
        <v>455</v>
      </c>
      <c r="E66" s="5">
        <f>1000*$B$4*$B$5*D66/3600000*$B$6</f>
        <v/>
      </c>
      <c r="F66" s="17" t="n">
        <v>0.5</v>
      </c>
      <c r="G66" s="18" t="n">
        <v>0.08500000000000001</v>
      </c>
      <c r="H66" s="17" t="n">
        <v>0.35</v>
      </c>
      <c r="I66" s="19">
        <f>H66-G66</f>
        <v/>
      </c>
      <c r="J66" s="6" t="n">
        <v>0.79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EJE-16</t>
        </is>
      </c>
      <c r="B67" s="17" t="inlineStr">
        <is>
          <t>P-54</t>
        </is>
      </c>
      <c r="C67" s="17" t="inlineStr">
        <is>
          <t>P-55</t>
        </is>
      </c>
      <c r="D67" s="17" t="n">
        <v>398</v>
      </c>
      <c r="E67" s="5">
        <f>1000*$B$4*$B$5*D67/3600000*$B$6</f>
        <v/>
      </c>
      <c r="F67" s="17" t="n">
        <v>0.5</v>
      </c>
      <c r="G67" s="18" t="n">
        <v>0.078</v>
      </c>
      <c r="H67" s="17" t="n">
        <v>0.3</v>
      </c>
      <c r="I67" s="19">
        <f>H67-G67</f>
        <v/>
      </c>
      <c r="J67" s="6" t="n">
        <v>0.76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EJE-16</t>
        </is>
      </c>
      <c r="B68" s="17" t="inlineStr">
        <is>
          <t>P-55</t>
        </is>
      </c>
      <c r="C68" s="17" t="inlineStr">
        <is>
          <t>P-56</t>
        </is>
      </c>
      <c r="D68" s="17" t="n">
        <v>419</v>
      </c>
      <c r="E68" s="5">
        <f>1000*$B$4*$B$5*D68/3600000*$B$6</f>
        <v/>
      </c>
      <c r="F68" s="17" t="n">
        <v>0.5</v>
      </c>
      <c r="G68" s="18" t="n">
        <v>0.081</v>
      </c>
      <c r="H68" s="17" t="n">
        <v>0.46</v>
      </c>
      <c r="I68" s="19">
        <f>H68-G68</f>
        <v/>
      </c>
      <c r="J68" s="6" t="n">
        <v>0.77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EJE-16</t>
        </is>
      </c>
      <c r="B69" s="17" t="inlineStr">
        <is>
          <t>P-56</t>
        </is>
      </c>
      <c r="C69" s="17" t="inlineStr">
        <is>
          <t>P-44</t>
        </is>
      </c>
      <c r="D69" s="17" t="n">
        <v>528</v>
      </c>
      <c r="E69" s="5">
        <f>1000*$B$4*$B$5*D69/3600000*$B$6</f>
        <v/>
      </c>
      <c r="F69" s="17" t="n">
        <v>0.5</v>
      </c>
      <c r="G69" s="18" t="n">
        <v>0.094</v>
      </c>
      <c r="H69" s="17" t="n">
        <v>0.4</v>
      </c>
      <c r="I69" s="19">
        <f>H69-G69</f>
        <v/>
      </c>
      <c r="J69" s="6" t="n">
        <v>0.83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EJE-17</t>
        </is>
      </c>
      <c r="B70" s="17" t="inlineStr">
        <is>
          <t>P-57</t>
        </is>
      </c>
      <c r="C70" s="17" t="inlineStr">
        <is>
          <t>P-58</t>
        </is>
      </c>
      <c r="D70" s="17" t="n">
        <v>263</v>
      </c>
      <c r="E70" s="5">
        <f>1000*$B$4*$B$5*D70/3600000*$B$6</f>
        <v/>
      </c>
      <c r="F70" s="17" t="n">
        <v>0.51</v>
      </c>
      <c r="G70" s="18" t="n">
        <v>0.058</v>
      </c>
      <c r="H70" s="17" t="n">
        <v>0.2</v>
      </c>
      <c r="I70" s="19">
        <f>H70-G70</f>
        <v/>
      </c>
      <c r="J70" s="6" t="n">
        <v>0.67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EJE-17</t>
        </is>
      </c>
      <c r="B71" s="17" t="inlineStr">
        <is>
          <t>P-58</t>
        </is>
      </c>
      <c r="C71" s="17" t="inlineStr">
        <is>
          <t>P-59</t>
        </is>
      </c>
      <c r="D71" s="17" t="n">
        <v>628</v>
      </c>
      <c r="E71" s="5">
        <f>1000*$B$4*$B$5*D71/3600000*$B$6</f>
        <v/>
      </c>
      <c r="F71" s="17" t="n">
        <v>0.5</v>
      </c>
      <c r="G71" s="18" t="n">
        <v>0.106</v>
      </c>
      <c r="H71" s="17" t="n">
        <v>0.5</v>
      </c>
      <c r="I71" s="19">
        <f>H71-G71</f>
        <v/>
      </c>
      <c r="J71" s="6" t="n">
        <v>0.88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EJE-17</t>
        </is>
      </c>
      <c r="B72" s="17" t="inlineStr">
        <is>
          <t>P-59</t>
        </is>
      </c>
      <c r="C72" s="17" t="inlineStr">
        <is>
          <t>D4</t>
        </is>
      </c>
      <c r="D72" s="17" t="n">
        <v>632</v>
      </c>
      <c r="E72" s="5">
        <f>1000*$B$4*$B$5*D72/3600000*$B$6</f>
        <v/>
      </c>
      <c r="F72" s="17" t="n">
        <v>0.5</v>
      </c>
      <c r="G72" s="18" t="n">
        <v>0.107</v>
      </c>
      <c r="H72" s="17" t="n">
        <v>0.4</v>
      </c>
      <c r="I72" s="19">
        <f>H72-G72</f>
        <v/>
      </c>
      <c r="J72" s="6" t="n">
        <v>0.88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EJE-18</t>
        </is>
      </c>
      <c r="B73" s="17" t="inlineStr">
        <is>
          <t>P-31</t>
        </is>
      </c>
      <c r="C73" s="17" t="inlineStr">
        <is>
          <t>P-60</t>
        </is>
      </c>
      <c r="D73" s="17" t="n">
        <v>93</v>
      </c>
      <c r="E73" s="5">
        <f>1000*$B$4*$B$5*D73/3600000*$B$6</f>
        <v/>
      </c>
      <c r="F73" s="17" t="n">
        <v>0.5</v>
      </c>
      <c r="G73" s="18" t="n">
        <v>0.03</v>
      </c>
      <c r="H73" s="17" t="n">
        <v>0.3</v>
      </c>
      <c r="I73" s="19">
        <f>H73-G73</f>
        <v/>
      </c>
      <c r="J73" s="6" t="n">
        <v>0.46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EJE-18</t>
        </is>
      </c>
      <c r="B74" s="17" t="inlineStr">
        <is>
          <t>P-60</t>
        </is>
      </c>
      <c r="C74" s="17" t="inlineStr">
        <is>
          <t>P-61</t>
        </is>
      </c>
      <c r="D74" s="17" t="n">
        <v>252</v>
      </c>
      <c r="E74" s="5">
        <f>1000*$B$4*$B$5*D74/3600000*$B$6</f>
        <v/>
      </c>
      <c r="F74" s="17" t="n">
        <v>0.5</v>
      </c>
      <c r="G74" s="18" t="n">
        <v>0.057</v>
      </c>
      <c r="H74" s="17" t="n">
        <v>0.36</v>
      </c>
      <c r="I74" s="19">
        <f>H74-G74</f>
        <v/>
      </c>
      <c r="J74" s="6" t="n">
        <v>0.65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EJE-18</t>
        </is>
      </c>
      <c r="B75" s="17" t="inlineStr">
        <is>
          <t>P-61</t>
        </is>
      </c>
      <c r="C75" s="17" t="inlineStr">
        <is>
          <t>P-58</t>
        </is>
      </c>
      <c r="D75" s="17" t="n">
        <v>365</v>
      </c>
      <c r="E75" s="5">
        <f>1000*$B$4*$B$5*D75/3600000*$B$6</f>
        <v/>
      </c>
      <c r="F75" s="17" t="n">
        <v>0.5</v>
      </c>
      <c r="G75" s="18" t="n">
        <v>0.073</v>
      </c>
      <c r="H75" s="17" t="n">
        <v>0.49</v>
      </c>
      <c r="I75" s="19">
        <f>H75-G75</f>
        <v/>
      </c>
      <c r="J75" s="6" t="n">
        <v>0.74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EJE-19</t>
        </is>
      </c>
      <c r="B76" s="17" t="inlineStr">
        <is>
          <t>P-62</t>
        </is>
      </c>
      <c r="C76" s="17" t="inlineStr">
        <is>
          <t>P-61</t>
        </is>
      </c>
      <c r="D76" s="17" t="n">
        <v>109</v>
      </c>
      <c r="E76" s="5">
        <f>1000*$B$4*$B$5*D76/3600000*$B$6</f>
        <v/>
      </c>
      <c r="F76" s="17" t="n">
        <v>0.5</v>
      </c>
      <c r="G76" s="18" t="n">
        <v>0.033</v>
      </c>
      <c r="H76" s="17" t="n">
        <v>0.3</v>
      </c>
      <c r="I76" s="19">
        <f>H76-G76</f>
        <v/>
      </c>
      <c r="J76" s="6" t="n">
        <v>0.48</v>
      </c>
      <c r="K76" s="20">
        <f>IF(I76&gt;=0.05,"CUMPLE","NO CUMPLE")</f>
        <v/>
      </c>
      <c r="L76" s="20">
        <f>IF(J76&lt;=$B$7,"CUMPLE","GRADAS")</f>
        <v/>
      </c>
      <c r="M76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 (caida)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2.15</v>
      </c>
      <c r="F6" s="23" t="n">
        <v>184.65</v>
      </c>
      <c r="G6" s="23" t="n">
        <v>184.65</v>
      </c>
      <c r="H6" s="24" t="n">
        <v>184.191</v>
      </c>
      <c r="I6" s="24" t="n">
        <v>184.18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 (caida)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32.42</v>
      </c>
      <c r="F7" s="23" t="n">
        <v>184.65</v>
      </c>
      <c r="G7" s="23" t="n">
        <v>184.65</v>
      </c>
      <c r="H7" s="24" t="n">
        <v>184.35</v>
      </c>
      <c r="I7" s="24" t="n">
        <v>184.188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11.53</v>
      </c>
      <c r="F8" s="23" t="n">
        <v>184.65</v>
      </c>
      <c r="G8" s="23" t="n">
        <v>184.65</v>
      </c>
      <c r="H8" s="24" t="n">
        <v>184.188</v>
      </c>
      <c r="I8" s="24" t="n">
        <v>184.13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8.68</v>
      </c>
      <c r="F9" s="23" t="n">
        <v>184.65</v>
      </c>
      <c r="G9" s="23" t="n">
        <v>184.65</v>
      </c>
      <c r="H9" s="24" t="n">
        <v>184.13</v>
      </c>
      <c r="I9" s="24" t="n">
        <v>183.876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11.47</v>
      </c>
      <c r="F10" s="23" t="n">
        <v>184.65</v>
      </c>
      <c r="G10" s="23" t="n">
        <v>184.65</v>
      </c>
      <c r="H10" s="24" t="n">
        <v>183.876</v>
      </c>
      <c r="I10" s="24" t="n">
        <v>183.818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P-03</t>
        </is>
      </c>
      <c r="E11" s="23" t="n">
        <v>12.1</v>
      </c>
      <c r="F11" s="23" t="n">
        <v>184.65</v>
      </c>
      <c r="G11" s="23" t="n">
        <v>184.65</v>
      </c>
      <c r="H11" s="24" t="n">
        <v>183.818</v>
      </c>
      <c r="I11" s="24" t="n">
        <v>183.758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P-03</t>
        </is>
      </c>
      <c r="D12" s="22" t="inlineStr">
        <is>
          <t>D1</t>
        </is>
      </c>
      <c r="E12" s="23" t="n">
        <v>0.6</v>
      </c>
      <c r="F12" s="23" t="n">
        <v>184.65</v>
      </c>
      <c r="G12" s="23" t="n">
        <v>184.65</v>
      </c>
      <c r="H12" s="24" t="n">
        <v>183.758</v>
      </c>
      <c r="I12" s="24" t="n">
        <v>183.755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0.6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EJE-03</t>
        </is>
      </c>
      <c r="C13" s="22" t="inlineStr">
        <is>
          <t>P-09</t>
        </is>
      </c>
      <c r="D13" s="22" t="inlineStr">
        <is>
          <t>P-06</t>
        </is>
      </c>
      <c r="E13" s="23" t="n">
        <v>32.31</v>
      </c>
      <c r="F13" s="23" t="n">
        <v>184.65</v>
      </c>
      <c r="G13" s="23" t="n">
        <v>184.65</v>
      </c>
      <c r="H13" s="24" t="n">
        <v>184.35</v>
      </c>
      <c r="I13" s="24" t="n">
        <v>184.188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sur-oeste (patio)</t>
        </is>
      </c>
    </row>
    <row r="14">
      <c r="A14" s="22" t="n">
        <v>1</v>
      </c>
      <c r="B14" s="22" t="inlineStr">
        <is>
          <t>EJE-04</t>
        </is>
      </c>
      <c r="C14" s="22" t="inlineStr">
        <is>
          <t>P-10</t>
        </is>
      </c>
      <c r="D14" s="22" t="inlineStr">
        <is>
          <t>P-11</t>
        </is>
      </c>
      <c r="E14" s="23" t="n">
        <v>26.1</v>
      </c>
      <c r="F14" s="23" t="n">
        <v>184.65</v>
      </c>
      <c r="G14" s="23" t="n">
        <v>184.65</v>
      </c>
      <c r="H14" s="24" t="n">
        <v>184.35</v>
      </c>
      <c r="I14" s="24" t="n">
        <v>184.22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Bloque x=884.9 (lado oeste), bloque D (lado norte) y pabellon C (lado nor-este)</t>
        </is>
      </c>
    </row>
    <row r="15">
      <c r="A15" s="22" t="n">
        <v>1</v>
      </c>
      <c r="B15" s="22" t="inlineStr">
        <is>
          <t>EJE-04</t>
        </is>
      </c>
      <c r="C15" s="22" t="inlineStr">
        <is>
          <t>P-11</t>
        </is>
      </c>
      <c r="D15" s="22" t="inlineStr">
        <is>
          <t>P-12</t>
        </is>
      </c>
      <c r="E15" s="23" t="n">
        <v>9.43</v>
      </c>
      <c r="F15" s="23" t="n">
        <v>184.65</v>
      </c>
      <c r="G15" s="23" t="n">
        <v>184.65</v>
      </c>
      <c r="H15" s="24" t="n">
        <v>184.22</v>
      </c>
      <c r="I15" s="24" t="n">
        <v>184.172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Bloque x=884.9 (lado oeste), bloque D (lado norte) y pabellon C (lado nor-este)</t>
        </is>
      </c>
    </row>
    <row r="16">
      <c r="A16" s="22" t="n">
        <v>1</v>
      </c>
      <c r="B16" s="22" t="inlineStr">
        <is>
          <t>EJE-04</t>
        </is>
      </c>
      <c r="C16" s="22" t="inlineStr">
        <is>
          <t>P-12</t>
        </is>
      </c>
      <c r="D16" s="22" t="inlineStr">
        <is>
          <t>P-13</t>
        </is>
      </c>
      <c r="E16" s="23" t="n">
        <v>3.78</v>
      </c>
      <c r="F16" s="23" t="n">
        <v>184.65</v>
      </c>
      <c r="G16" s="23" t="n">
        <v>184.65</v>
      </c>
      <c r="H16" s="24" t="n">
        <v>184.172</v>
      </c>
      <c r="I16" s="24" t="n">
        <v>184.153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Bloque x=884.9 (lado oeste), bloque D (lado norte) y pabellon C (lado nor-este)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15.97</v>
      </c>
      <c r="F17" s="23" t="n">
        <v>184.65</v>
      </c>
      <c r="G17" s="23" t="n">
        <v>184.65</v>
      </c>
      <c r="H17" s="24" t="n">
        <v>184.153</v>
      </c>
      <c r="I17" s="24" t="n">
        <v>184.074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x=884.9 (lado oeste), 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6.79</v>
      </c>
      <c r="F18" s="23" t="n">
        <v>184.65</v>
      </c>
      <c r="G18" s="23" t="n">
        <v>184.65</v>
      </c>
      <c r="H18" s="24" t="n">
        <v>184.074</v>
      </c>
      <c r="I18" s="24" t="n">
        <v>184.04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x=884.9 (lado oeste), 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P-07</t>
        </is>
      </c>
      <c r="E19" s="23" t="n">
        <v>32.81</v>
      </c>
      <c r="F19" s="23" t="n">
        <v>184.65</v>
      </c>
      <c r="G19" s="23" t="n">
        <v>184.65</v>
      </c>
      <c r="H19" s="24" t="n">
        <v>184.04</v>
      </c>
      <c r="I19" s="24" t="n">
        <v>183.876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x=884.9 (lado oeste), bloque D (lado norte) y pabellon C (lado nor-este)</t>
        </is>
      </c>
    </row>
    <row r="20">
      <c r="A20" s="22" t="n">
        <v>1</v>
      </c>
      <c r="B20" s="22" t="inlineStr">
        <is>
          <t>EJE-05</t>
        </is>
      </c>
      <c r="C20" s="22" t="inlineStr">
        <is>
          <t>P-16</t>
        </is>
      </c>
      <c r="D20" s="22" t="inlineStr">
        <is>
          <t>P-17</t>
        </is>
      </c>
      <c r="E20" s="23" t="n">
        <v>21.32</v>
      </c>
      <c r="F20" s="23" t="n">
        <v>184.65</v>
      </c>
      <c r="G20" s="23" t="n">
        <v>184.65</v>
      </c>
      <c r="H20" s="24" t="n">
        <v>184.35</v>
      </c>
      <c r="I20" s="24" t="n">
        <v>184.243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del ingreso (lado sur), bloque D (lado sur) y pabellon C (lado sur-oeste)</t>
        </is>
      </c>
    </row>
    <row r="21">
      <c r="A21" s="22" t="n">
        <v>1</v>
      </c>
      <c r="B21" s="22" t="inlineStr">
        <is>
          <t>EJE-05</t>
        </is>
      </c>
      <c r="C21" s="22" t="inlineStr">
        <is>
          <t>P-17</t>
        </is>
      </c>
      <c r="D21" s="22" t="inlineStr">
        <is>
          <t>P-18</t>
        </is>
      </c>
      <c r="E21" s="23" t="n">
        <v>5.89</v>
      </c>
      <c r="F21" s="23" t="n">
        <v>184.65</v>
      </c>
      <c r="G21" s="23" t="n">
        <v>184.65</v>
      </c>
      <c r="H21" s="24" t="n">
        <v>184.243</v>
      </c>
      <c r="I21" s="24" t="n">
        <v>184.214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del ingreso (lado sur), bloque D (lado sur) y pabellon C (lado sur-oeste)</t>
        </is>
      </c>
    </row>
    <row r="22">
      <c r="A22" s="22" t="n">
        <v>1</v>
      </c>
      <c r="B22" s="22" t="inlineStr">
        <is>
          <t>EJE-05</t>
        </is>
      </c>
      <c r="C22" s="22" t="inlineStr">
        <is>
          <t>P-18</t>
        </is>
      </c>
      <c r="D22" s="22" t="inlineStr">
        <is>
          <t>P-19</t>
        </is>
      </c>
      <c r="E22" s="23" t="n">
        <v>17.83</v>
      </c>
      <c r="F22" s="23" t="n">
        <v>184.65</v>
      </c>
      <c r="G22" s="23" t="n">
        <v>184.65</v>
      </c>
      <c r="H22" s="24" t="n">
        <v>184.214</v>
      </c>
      <c r="I22" s="24" t="n">
        <v>184.125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del ingreso (lado sur), bloque D (lado sur) y pabellon C (lado sur-oeste)</t>
        </is>
      </c>
    </row>
    <row r="23">
      <c r="A23" s="22" t="n">
        <v>1</v>
      </c>
      <c r="B23" s="22" t="inlineStr">
        <is>
          <t>EJE-05</t>
        </is>
      </c>
      <c r="C23" s="22" t="inlineStr">
        <is>
          <t>P-19</t>
        </is>
      </c>
      <c r="D23" s="22" t="inlineStr">
        <is>
          <t>P-20</t>
        </is>
      </c>
      <c r="E23" s="23" t="n">
        <v>5.77</v>
      </c>
      <c r="F23" s="23" t="n">
        <v>184.65</v>
      </c>
      <c r="G23" s="23" t="n">
        <v>184.65</v>
      </c>
      <c r="H23" s="24" t="n">
        <v>184.125</v>
      </c>
      <c r="I23" s="24" t="n">
        <v>184.096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del ingreso (lado sur), bloque D (lado sur) y pabellon C (lado sur-oeste)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P-08</t>
        </is>
      </c>
      <c r="E24" s="23" t="n">
        <v>39.15</v>
      </c>
      <c r="F24" s="23" t="n">
        <v>184.65</v>
      </c>
      <c r="G24" s="23" t="n">
        <v>184.65</v>
      </c>
      <c r="H24" s="24" t="n">
        <v>184.096</v>
      </c>
      <c r="I24" s="24" t="n">
        <v>183.9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EJE-06</t>
        </is>
      </c>
      <c r="C25" s="22" t="inlineStr">
        <is>
          <t>P-21</t>
        </is>
      </c>
      <c r="D25" s="22" t="inlineStr">
        <is>
          <t>P-12</t>
        </is>
      </c>
      <c r="E25" s="23" t="n">
        <v>11.74</v>
      </c>
      <c r="F25" s="23" t="n">
        <v>184.65</v>
      </c>
      <c r="G25" s="23" t="n">
        <v>184.65</v>
      </c>
      <c r="H25" s="24" t="n">
        <v>184.35</v>
      </c>
      <c r="I25" s="24" t="n">
        <v>184.291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ingreso: lado norte (y=815.97) al oeste de x=896.8</t>
        </is>
      </c>
    </row>
    <row r="26">
      <c r="A26" s="22" t="n">
        <v>2</v>
      </c>
      <c r="B26" s="22" t="inlineStr">
        <is>
          <t>EJE-07</t>
        </is>
      </c>
      <c r="C26" s="22" t="inlineStr">
        <is>
          <t>P-22</t>
        </is>
      </c>
      <c r="D26" s="22" t="inlineStr">
        <is>
          <t>P-23</t>
        </is>
      </c>
      <c r="E26" s="23" t="n">
        <v>11.51</v>
      </c>
      <c r="F26" s="23" t="n">
        <v>184.65</v>
      </c>
      <c r="G26" s="23" t="n">
        <v>184.65</v>
      </c>
      <c r="H26" s="24" t="n">
        <v>184.35</v>
      </c>
      <c r="I26" s="24" t="n">
        <v>184.152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Patio central (x=896.8), y=815.97, bajada x=919.6 y atrio de ingreso a D3</t>
        </is>
      </c>
    </row>
    <row r="27">
      <c r="A27" s="22" t="n">
        <v>2</v>
      </c>
      <c r="B27" s="22" t="inlineStr">
        <is>
          <t>EJE-07</t>
        </is>
      </c>
      <c r="C27" s="22" t="inlineStr">
        <is>
          <t>P-23</t>
        </is>
      </c>
      <c r="D27" s="22" t="inlineStr">
        <is>
          <t>P-24</t>
        </is>
      </c>
      <c r="E27" s="23" t="n">
        <v>17.85</v>
      </c>
      <c r="F27" s="23" t="n">
        <v>184.65</v>
      </c>
      <c r="G27" s="23" t="n">
        <v>184.65</v>
      </c>
      <c r="H27" s="24" t="n">
        <v>184.152</v>
      </c>
      <c r="I27" s="24" t="n">
        <v>184.062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Patio central (x=896.8), y=815.97, bajada x=919.6 y atrio de ingreso a D3</t>
        </is>
      </c>
    </row>
    <row r="28">
      <c r="A28" s="22" t="n">
        <v>2</v>
      </c>
      <c r="B28" s="22" t="inlineStr">
        <is>
          <t>EJE-07</t>
        </is>
      </c>
      <c r="C28" s="22" t="inlineStr">
        <is>
          <t>P-24</t>
        </is>
      </c>
      <c r="D28" s="22" t="inlineStr">
        <is>
          <t>P-21</t>
        </is>
      </c>
      <c r="E28" s="23" t="n">
        <v>6.12</v>
      </c>
      <c r="F28" s="23" t="n">
        <v>184.65</v>
      </c>
      <c r="G28" s="23" t="n">
        <v>184.65</v>
      </c>
      <c r="H28" s="24" t="n">
        <v>184.062</v>
      </c>
      <c r="I28" s="24" t="n">
        <v>184.032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Patio central (x=896.8), y=815.97, bajada x=919.6 y atrio de ingreso a D3</t>
        </is>
      </c>
    </row>
    <row r="29">
      <c r="A29" s="22" t="n">
        <v>2</v>
      </c>
      <c r="B29" s="22" t="inlineStr">
        <is>
          <t>EJE-07</t>
        </is>
      </c>
      <c r="C29" s="22" t="inlineStr">
        <is>
          <t>P-21</t>
        </is>
      </c>
      <c r="D29" s="22" t="inlineStr">
        <is>
          <t>P-25</t>
        </is>
      </c>
      <c r="E29" s="23" t="n">
        <v>22.77</v>
      </c>
      <c r="F29" s="23" t="n">
        <v>184.65</v>
      </c>
      <c r="G29" s="23" t="n">
        <v>184.65</v>
      </c>
      <c r="H29" s="24" t="n">
        <v>184.032</v>
      </c>
      <c r="I29" s="24" t="n">
        <v>183.918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Patio central (x=896.8), y=815.97, bajada x=919.6 y atrio de ingreso a D3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P-25</t>
        </is>
      </c>
      <c r="D30" s="22" t="inlineStr">
        <is>
          <t>P-26</t>
        </is>
      </c>
      <c r="E30" s="23" t="n">
        <v>11.77</v>
      </c>
      <c r="F30" s="23" t="n">
        <v>184.65</v>
      </c>
      <c r="G30" s="23" t="n">
        <v>184.65</v>
      </c>
      <c r="H30" s="24" t="n">
        <v>183.918</v>
      </c>
      <c r="I30" s="24" t="n">
        <v>183.859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 (x=896.8), y=815.97, bajada x=919.6 y atrio de ingreso 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P-26</t>
        </is>
      </c>
      <c r="D31" s="22" t="inlineStr">
        <is>
          <t>P-27</t>
        </is>
      </c>
      <c r="E31" s="23" t="n">
        <v>3.07</v>
      </c>
      <c r="F31" s="23" t="n">
        <v>184.65</v>
      </c>
      <c r="G31" s="23" t="n">
        <v>184.65</v>
      </c>
      <c r="H31" s="24" t="n">
        <v>183.859</v>
      </c>
      <c r="I31" s="24" t="n">
        <v>183.844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 (x=896.8), y=815.97, bajada x=919.6 y atrio de ingreso 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P-27</t>
        </is>
      </c>
      <c r="D32" s="22" t="inlineStr">
        <is>
          <t>P-28</t>
        </is>
      </c>
      <c r="E32" s="23" t="n">
        <v>7.96</v>
      </c>
      <c r="F32" s="23" t="n">
        <v>184.65</v>
      </c>
      <c r="G32" s="23" t="n">
        <v>184.65</v>
      </c>
      <c r="H32" s="24" t="n">
        <v>183.844</v>
      </c>
      <c r="I32" s="24" t="n">
        <v>183.804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7.96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 (x=896.8), y=815.97, bajada x=919.6 y atrio de ingreso 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P-28</t>
        </is>
      </c>
      <c r="D33" s="22" t="inlineStr">
        <is>
          <t>P-29</t>
        </is>
      </c>
      <c r="E33" s="23" t="n">
        <v>6.69</v>
      </c>
      <c r="F33" s="23" t="n">
        <v>184.65</v>
      </c>
      <c r="G33" s="23" t="n">
        <v>184.65</v>
      </c>
      <c r="H33" s="24" t="n">
        <v>183.804</v>
      </c>
      <c r="I33" s="24" t="n">
        <v>183.77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6.69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 (x=896.8), y=815.97, bajada x=919.6 y atrio de ingreso 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P-29</t>
        </is>
      </c>
      <c r="D34" s="22" t="inlineStr">
        <is>
          <t>P-30</t>
        </is>
      </c>
      <c r="E34" s="23" t="n">
        <v>8.210000000000001</v>
      </c>
      <c r="F34" s="23" t="n">
        <v>184.65</v>
      </c>
      <c r="G34" s="23" t="n">
        <v>184.65</v>
      </c>
      <c r="H34" s="24" t="n">
        <v>183.77</v>
      </c>
      <c r="I34" s="24" t="n">
        <v>183.729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8.210000000000001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 (x=896.8), y=815.97, bajada x=919.6 y atrio de ingreso 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P-30</t>
        </is>
      </c>
      <c r="D35" s="22" t="inlineStr">
        <is>
          <t>D3</t>
        </is>
      </c>
      <c r="E35" s="23" t="n">
        <v>0.6</v>
      </c>
      <c r="F35" s="23" t="n">
        <v>184.65</v>
      </c>
      <c r="G35" s="23" t="n">
        <v>184.65</v>
      </c>
      <c r="H35" s="24" t="n">
        <v>183.729</v>
      </c>
      <c r="I35" s="24" t="n">
        <v>183.726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0.6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 (x=896.8), y=815.97, bajada x=919.6 y atrio de ingreso a D3</t>
        </is>
      </c>
    </row>
    <row r="36">
      <c r="A36" s="22" t="n">
        <v>2</v>
      </c>
      <c r="B36" s="22" t="inlineStr">
        <is>
          <t>EJE-08</t>
        </is>
      </c>
      <c r="C36" s="22" t="inlineStr">
        <is>
          <t>P-31</t>
        </is>
      </c>
      <c r="D36" s="22" t="inlineStr">
        <is>
          <t>P-32</t>
        </is>
      </c>
      <c r="E36" s="23" t="n">
        <v>3.88</v>
      </c>
      <c r="F36" s="23" t="n">
        <v>184.65</v>
      </c>
      <c r="G36" s="23" t="n">
        <v>184.65</v>
      </c>
      <c r="H36" s="24" t="n">
        <v>184.35</v>
      </c>
      <c r="I36" s="24" t="n">
        <v>184.331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Bloque del centro: lado sur (y=839.94)</t>
        </is>
      </c>
    </row>
    <row r="37">
      <c r="A37" s="22" t="n">
        <v>2</v>
      </c>
      <c r="B37" s="22" t="inlineStr">
        <is>
          <t>EJE-08</t>
        </is>
      </c>
      <c r="C37" s="22" t="inlineStr">
        <is>
          <t>P-32</t>
        </is>
      </c>
      <c r="D37" s="22" t="inlineStr">
        <is>
          <t>P-23</t>
        </is>
      </c>
      <c r="E37" s="23" t="n">
        <v>35.8</v>
      </c>
      <c r="F37" s="23" t="n">
        <v>184.65</v>
      </c>
      <c r="G37" s="23" t="n">
        <v>184.65</v>
      </c>
      <c r="H37" s="24" t="n">
        <v>184.331</v>
      </c>
      <c r="I37" s="24" t="n">
        <v>184.152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Bloque del centro: lado sur (y=839.94)</t>
        </is>
      </c>
    </row>
    <row r="38">
      <c r="A38" s="22" t="n">
        <v>2</v>
      </c>
      <c r="B38" s="22" t="inlineStr">
        <is>
          <t>EJE-09</t>
        </is>
      </c>
      <c r="C38" s="22" t="inlineStr">
        <is>
          <t>P-33</t>
        </is>
      </c>
      <c r="D38" s="22" t="inlineStr">
        <is>
          <t>P-24</t>
        </is>
      </c>
      <c r="E38" s="23" t="n">
        <v>35.8</v>
      </c>
      <c r="F38" s="23" t="n">
        <v>184.65</v>
      </c>
      <c r="G38" s="23" t="n">
        <v>184.65</v>
      </c>
      <c r="H38" s="24" t="n">
        <v>184.35</v>
      </c>
      <c r="I38" s="24" t="n">
        <v>184.171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central: y=822.09</t>
        </is>
      </c>
    </row>
    <row r="39">
      <c r="A39" s="22" t="n">
        <v>2</v>
      </c>
      <c r="B39" s="22" t="inlineStr">
        <is>
          <t>EJE-10</t>
        </is>
      </c>
      <c r="C39" s="22" t="inlineStr">
        <is>
          <t>P-32</t>
        </is>
      </c>
      <c r="D39" s="22" t="inlineStr">
        <is>
          <t>P-33</t>
        </is>
      </c>
      <c r="E39" s="23" t="n">
        <v>17.85</v>
      </c>
      <c r="F39" s="23" t="n">
        <v>184.65</v>
      </c>
      <c r="G39" s="23" t="n">
        <v>184.65</v>
      </c>
      <c r="H39" s="24" t="n">
        <v>184.35</v>
      </c>
      <c r="I39" s="24" t="n">
        <v>184.261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0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x=932.6 y bloque del frente: lado norte (y=815.97)</t>
        </is>
      </c>
    </row>
    <row r="40">
      <c r="A40" s="22" t="n">
        <v>2</v>
      </c>
      <c r="B40" s="22" t="inlineStr">
        <is>
          <t>EJE-10</t>
        </is>
      </c>
      <c r="C40" s="22" t="inlineStr">
        <is>
          <t>P-33</t>
        </is>
      </c>
      <c r="D40" s="22" t="inlineStr">
        <is>
          <t>P-34</t>
        </is>
      </c>
      <c r="E40" s="23" t="n">
        <v>6.12</v>
      </c>
      <c r="F40" s="23" t="n">
        <v>184.65</v>
      </c>
      <c r="G40" s="23" t="n">
        <v>184.65</v>
      </c>
      <c r="H40" s="24" t="n">
        <v>184.261</v>
      </c>
      <c r="I40" s="24" t="n">
        <v>184.23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x=932.6 y bloque del frente: lado norte (y=815.97)</t>
        </is>
      </c>
    </row>
    <row r="41">
      <c r="A41" s="22" t="n">
        <v>2</v>
      </c>
      <c r="B41" s="22" t="inlineStr">
        <is>
          <t>EJE-10</t>
        </is>
      </c>
      <c r="C41" s="22" t="inlineStr">
        <is>
          <t>P-34</t>
        </is>
      </c>
      <c r="D41" s="22" t="inlineStr">
        <is>
          <t>P-25</t>
        </is>
      </c>
      <c r="E41" s="23" t="n">
        <v>13.03</v>
      </c>
      <c r="F41" s="23" t="n">
        <v>184.65</v>
      </c>
      <c r="G41" s="23" t="n">
        <v>184.65</v>
      </c>
      <c r="H41" s="24" t="n">
        <v>184.23</v>
      </c>
      <c r="I41" s="24" t="n">
        <v>184.165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0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x=932.6 y bloque del frente: lado norte (y=815.97)</t>
        </is>
      </c>
    </row>
    <row r="42">
      <c r="A42" s="22" t="n">
        <v>2</v>
      </c>
      <c r="B42" s="22" t="inlineStr">
        <is>
          <t>EJE-11</t>
        </is>
      </c>
      <c r="C42" s="22" t="inlineStr">
        <is>
          <t>P-35</t>
        </is>
      </c>
      <c r="D42" s="22" t="inlineStr">
        <is>
          <t>P-26</t>
        </is>
      </c>
      <c r="E42" s="23" t="n">
        <v>30.36</v>
      </c>
      <c r="F42" s="23" t="n">
        <v>184.65</v>
      </c>
      <c r="G42" s="23" t="n">
        <v>184.65</v>
      </c>
      <c r="H42" s="24" t="n">
        <v>184.35</v>
      </c>
      <c r="I42" s="24" t="n">
        <v>184.198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0.5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Bloque del frente: lado sur (y=804.1)</t>
        </is>
      </c>
    </row>
    <row r="43">
      <c r="A43" s="22" t="n">
        <v>3</v>
      </c>
      <c r="B43" s="22" t="inlineStr">
        <is>
          <t>EJE-12</t>
        </is>
      </c>
      <c r="C43" s="22" t="inlineStr">
        <is>
          <t>P-36</t>
        </is>
      </c>
      <c r="D43" s="22" t="inlineStr">
        <is>
          <t>P-37</t>
        </is>
      </c>
      <c r="E43" s="23" t="n">
        <v>15.66</v>
      </c>
      <c r="F43" s="23" t="n">
        <v>184.65</v>
      </c>
      <c r="G43" s="23" t="n">
        <v>184.65</v>
      </c>
      <c r="H43" s="24" t="n">
        <v>184.35</v>
      </c>
      <c r="I43" s="24" t="n">
        <v>184.272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0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Losa: lados oeste, sur y este; union por dentro del cerco a D2</t>
        </is>
      </c>
    </row>
    <row r="44">
      <c r="A44" s="22" t="n">
        <v>3</v>
      </c>
      <c r="B44" s="22" t="inlineStr">
        <is>
          <t>EJE-12</t>
        </is>
      </c>
      <c r="C44" s="22" t="inlineStr">
        <is>
          <t>P-37</t>
        </is>
      </c>
      <c r="D44" s="22" t="inlineStr">
        <is>
          <t>P-38</t>
        </is>
      </c>
      <c r="E44" s="23" t="n">
        <v>23.7</v>
      </c>
      <c r="F44" s="23" t="n">
        <v>184.65</v>
      </c>
      <c r="G44" s="23" t="n">
        <v>184.65</v>
      </c>
      <c r="H44" s="24" t="n">
        <v>184.272</v>
      </c>
      <c r="I44" s="24" t="n">
        <v>184.153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Losa: lados oeste, sur y este; union por dentro del cerco a D2</t>
        </is>
      </c>
    </row>
    <row r="45">
      <c r="A45" s="22" t="n">
        <v>3</v>
      </c>
      <c r="B45" s="22" t="inlineStr">
        <is>
          <t>EJE-12</t>
        </is>
      </c>
      <c r="C45" s="22" t="inlineStr">
        <is>
          <t>P-38</t>
        </is>
      </c>
      <c r="D45" s="22" t="inlineStr">
        <is>
          <t>P-39</t>
        </is>
      </c>
      <c r="E45" s="23" t="n">
        <v>35.28</v>
      </c>
      <c r="F45" s="23" t="n">
        <v>184.65</v>
      </c>
      <c r="G45" s="23" t="n">
        <v>184.5</v>
      </c>
      <c r="H45" s="24" t="n">
        <v>184.153</v>
      </c>
      <c r="I45" s="24" t="n">
        <v>183.977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Losa: lados oeste, sur y este; union por dentro del cerco a D2</t>
        </is>
      </c>
    </row>
    <row r="46">
      <c r="A46" s="22" t="n">
        <v>3</v>
      </c>
      <c r="B46" s="22" t="inlineStr">
        <is>
          <t>EJE-12</t>
        </is>
      </c>
      <c r="C46" s="22" t="inlineStr">
        <is>
          <t>P-39</t>
        </is>
      </c>
      <c r="D46" s="22" t="inlineStr">
        <is>
          <t>P-40</t>
        </is>
      </c>
      <c r="E46" s="23" t="n">
        <v>8.66</v>
      </c>
      <c r="F46" s="23" t="n">
        <v>184.5</v>
      </c>
      <c r="G46" s="23" t="n">
        <v>184.5</v>
      </c>
      <c r="H46" s="24" t="n">
        <v>183.977</v>
      </c>
      <c r="I46" s="24" t="n">
        <v>183.933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Losa: lados oeste, sur y este; union por dentro del cerco a D2</t>
        </is>
      </c>
    </row>
    <row r="47">
      <c r="A47" s="22" t="n">
        <v>3</v>
      </c>
      <c r="B47" s="22" t="inlineStr">
        <is>
          <t>EJE-12</t>
        </is>
      </c>
      <c r="C47" s="22" t="inlineStr">
        <is>
          <t>P-40</t>
        </is>
      </c>
      <c r="D47" s="22" t="inlineStr">
        <is>
          <t>P-41</t>
        </is>
      </c>
      <c r="E47" s="23" t="n">
        <v>11.93</v>
      </c>
      <c r="F47" s="23" t="n">
        <v>184.5</v>
      </c>
      <c r="G47" s="23" t="n">
        <v>184.5</v>
      </c>
      <c r="H47" s="24" t="n">
        <v>183.933</v>
      </c>
      <c r="I47" s="24" t="n">
        <v>183.874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Losa: lados oeste, sur y este; union por dentro del cerco a D2</t>
        </is>
      </c>
    </row>
    <row r="48">
      <c r="A48" s="22" t="n">
        <v>3</v>
      </c>
      <c r="B48" s="22" t="inlineStr">
        <is>
          <t>EJE-12</t>
        </is>
      </c>
      <c r="C48" s="22" t="inlineStr">
        <is>
          <t>P-41</t>
        </is>
      </c>
      <c r="D48" s="22" t="inlineStr">
        <is>
          <t>P-42</t>
        </is>
      </c>
      <c r="E48" s="23" t="n">
        <v>8.630000000000001</v>
      </c>
      <c r="F48" s="23" t="n">
        <v>184.5</v>
      </c>
      <c r="G48" s="23" t="n">
        <v>184.5</v>
      </c>
      <c r="H48" s="24" t="n">
        <v>183.874</v>
      </c>
      <c r="I48" s="24" t="n">
        <v>183.831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Losa: lados oeste, sur y este; union por dentro del cerco a D2</t>
        </is>
      </c>
    </row>
    <row r="49">
      <c r="A49" s="22" t="n">
        <v>3</v>
      </c>
      <c r="B49" s="22" t="inlineStr">
        <is>
          <t>EJE-12</t>
        </is>
      </c>
      <c r="C49" s="22" t="inlineStr">
        <is>
          <t>P-42</t>
        </is>
      </c>
      <c r="D49" s="22" t="inlineStr">
        <is>
          <t>P-43</t>
        </is>
      </c>
      <c r="E49" s="23" t="n">
        <v>12.29</v>
      </c>
      <c r="F49" s="23" t="n">
        <v>184.5</v>
      </c>
      <c r="G49" s="23" t="n">
        <v>184.5</v>
      </c>
      <c r="H49" s="24" t="n">
        <v>183.831</v>
      </c>
      <c r="I49" s="24" t="n">
        <v>183.769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12.29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Losa: lados oeste, sur y este; union por dentro del cerco a D2</t>
        </is>
      </c>
    </row>
    <row r="50">
      <c r="A50" s="22" t="n">
        <v>3</v>
      </c>
      <c r="B50" s="22" t="inlineStr">
        <is>
          <t>EJE-12</t>
        </is>
      </c>
      <c r="C50" s="22" t="inlineStr">
        <is>
          <t>P-43</t>
        </is>
      </c>
      <c r="D50" s="22" t="inlineStr">
        <is>
          <t>P-44</t>
        </is>
      </c>
      <c r="E50" s="23" t="n">
        <v>2.5</v>
      </c>
      <c r="F50" s="23" t="n">
        <v>184.5</v>
      </c>
      <c r="G50" s="23" t="n">
        <v>184.5</v>
      </c>
      <c r="H50" s="24" t="n">
        <v>183.769</v>
      </c>
      <c r="I50" s="24" t="n">
        <v>183.757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2.5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Losa: lados oeste, sur y este; union por dentro del cerco a D2</t>
        </is>
      </c>
    </row>
    <row r="51">
      <c r="A51" s="22" t="n">
        <v>3</v>
      </c>
      <c r="B51" s="22" t="inlineStr">
        <is>
          <t>EJE-12</t>
        </is>
      </c>
      <c r="C51" s="22" t="inlineStr">
        <is>
          <t>P-44</t>
        </is>
      </c>
      <c r="D51" s="22" t="inlineStr">
        <is>
          <t>D2</t>
        </is>
      </c>
      <c r="E51" s="23" t="n">
        <v>0.6</v>
      </c>
      <c r="F51" s="23" t="n">
        <v>184.5</v>
      </c>
      <c r="G51" s="23" t="n">
        <v>184.5</v>
      </c>
      <c r="H51" s="24" t="n">
        <v>183.757</v>
      </c>
      <c r="I51" s="24" t="n">
        <v>183.754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0.6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Losa: lados oeste, sur y este; union por dentro del cerco a D2</t>
        </is>
      </c>
    </row>
    <row r="52">
      <c r="A52" s="22" t="n">
        <v>3</v>
      </c>
      <c r="B52" s="22" t="inlineStr">
        <is>
          <t>EJE-13</t>
        </is>
      </c>
      <c r="C52" s="22" t="inlineStr">
        <is>
          <t>P-45</t>
        </is>
      </c>
      <c r="D52" s="22" t="inlineStr">
        <is>
          <t>P-39</t>
        </is>
      </c>
      <c r="E52" s="23" t="n">
        <v>24.38</v>
      </c>
      <c r="F52" s="23" t="n">
        <v>184.5</v>
      </c>
      <c r="G52" s="23" t="n">
        <v>184.5</v>
      </c>
      <c r="H52" s="24" t="n">
        <v>184.2</v>
      </c>
      <c r="I52" s="24" t="n">
        <v>184.078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Losa: lado norte (y=831.3)</t>
        </is>
      </c>
    </row>
    <row r="53">
      <c r="A53" s="22" t="n">
        <v>3</v>
      </c>
      <c r="B53" s="22" t="inlineStr">
        <is>
          <t>EJE-14</t>
        </is>
      </c>
      <c r="C53" s="22" t="inlineStr">
        <is>
          <t>P-46</t>
        </is>
      </c>
      <c r="D53" s="22" t="inlineStr">
        <is>
          <t>P-47</t>
        </is>
      </c>
      <c r="E53" s="23" t="n">
        <v>17.06</v>
      </c>
      <c r="F53" s="23" t="n">
        <v>184.65</v>
      </c>
      <c r="G53" s="23" t="n">
        <v>184.65</v>
      </c>
      <c r="H53" s="24" t="n">
        <v>184.35</v>
      </c>
      <c r="I53" s="24" t="n">
        <v>184.265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y=815.97, x=952.3 y bloque nor-este: lado sur (y=839.9)</t>
        </is>
      </c>
    </row>
    <row r="54">
      <c r="A54" s="22" t="n">
        <v>3</v>
      </c>
      <c r="B54" s="22" t="inlineStr">
        <is>
          <t>EJE-14</t>
        </is>
      </c>
      <c r="C54" s="22" t="inlineStr">
        <is>
          <t>P-47</t>
        </is>
      </c>
      <c r="D54" s="22" t="inlineStr">
        <is>
          <t>P-48</t>
        </is>
      </c>
      <c r="E54" s="23" t="n">
        <v>22.85</v>
      </c>
      <c r="F54" s="23" t="n">
        <v>184.65</v>
      </c>
      <c r="G54" s="23" t="n">
        <v>184.5</v>
      </c>
      <c r="H54" s="24" t="n">
        <v>184.265</v>
      </c>
      <c r="I54" s="24" t="n">
        <v>184.15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y=815.97, x=952.3 y bloque nor-este: lado sur (y=839.9)</t>
        </is>
      </c>
    </row>
    <row r="55">
      <c r="A55" s="22" t="n">
        <v>3</v>
      </c>
      <c r="B55" s="22" t="inlineStr">
        <is>
          <t>EJE-14</t>
        </is>
      </c>
      <c r="C55" s="22" t="inlineStr">
        <is>
          <t>P-48</t>
        </is>
      </c>
      <c r="D55" s="22" t="inlineStr">
        <is>
          <t>P-49</t>
        </is>
      </c>
      <c r="E55" s="23" t="n">
        <v>1.12</v>
      </c>
      <c r="F55" s="23" t="n">
        <v>184.5</v>
      </c>
      <c r="G55" s="23" t="n">
        <v>184.5</v>
      </c>
      <c r="H55" s="24" t="n">
        <v>184.15</v>
      </c>
      <c r="I55" s="24" t="n">
        <v>184.145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y=815.97, x=952.3 y bloque nor-este: lado sur (y=839.9)</t>
        </is>
      </c>
    </row>
    <row r="56">
      <c r="A56" s="22" t="n">
        <v>3</v>
      </c>
      <c r="B56" s="22" t="inlineStr">
        <is>
          <t>EJE-14</t>
        </is>
      </c>
      <c r="C56" s="22" t="inlineStr">
        <is>
          <t>P-49</t>
        </is>
      </c>
      <c r="D56" s="22" t="inlineStr">
        <is>
          <t>P-50</t>
        </is>
      </c>
      <c r="E56" s="23" t="n">
        <v>19.39</v>
      </c>
      <c r="F56" s="23" t="n">
        <v>184.5</v>
      </c>
      <c r="G56" s="23" t="n">
        <v>184.5</v>
      </c>
      <c r="H56" s="24" t="n">
        <v>184.145</v>
      </c>
      <c r="I56" s="24" t="n">
        <v>184.048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y=815.97, x=952.3 y bloque nor-este: lado sur (y=839.9)</t>
        </is>
      </c>
    </row>
    <row r="57">
      <c r="A57" s="22" t="n">
        <v>3</v>
      </c>
      <c r="B57" s="22" t="inlineStr">
        <is>
          <t>EJE-14</t>
        </is>
      </c>
      <c r="C57" s="22" t="inlineStr">
        <is>
          <t>P-50</t>
        </is>
      </c>
      <c r="D57" s="22" t="inlineStr">
        <is>
          <t>P-40</t>
        </is>
      </c>
      <c r="E57" s="23" t="n">
        <v>5.19</v>
      </c>
      <c r="F57" s="23" t="n">
        <v>184.5</v>
      </c>
      <c r="G57" s="23" t="n">
        <v>184.5</v>
      </c>
      <c r="H57" s="24" t="n">
        <v>184.048</v>
      </c>
      <c r="I57" s="24" t="n">
        <v>184.022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y=815.97, x=952.3 y bloque nor-este: lado sur (y=839.9)</t>
        </is>
      </c>
    </row>
    <row r="58">
      <c r="A58" s="22" t="n">
        <v>3</v>
      </c>
      <c r="B58" s="22" t="inlineStr">
        <is>
          <t>EJE-15</t>
        </is>
      </c>
      <c r="C58" s="22" t="inlineStr">
        <is>
          <t>P-51</t>
        </is>
      </c>
      <c r="D58" s="22" t="inlineStr">
        <is>
          <t>P-52</t>
        </is>
      </c>
      <c r="E58" s="23" t="n">
        <v>13.05</v>
      </c>
      <c r="F58" s="23" t="n">
        <v>184.65</v>
      </c>
      <c r="G58" s="23" t="n">
        <v>184.65</v>
      </c>
      <c r="H58" s="24" t="n">
        <v>184.35</v>
      </c>
      <c r="I58" s="24" t="n">
        <v>184.285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Bloque nor-este: lado oeste (x=948.1) y lado norte (y=851.9)</t>
        </is>
      </c>
    </row>
    <row r="59">
      <c r="A59" s="22" t="n">
        <v>3</v>
      </c>
      <c r="B59" s="22" t="inlineStr">
        <is>
          <t>EJE-15</t>
        </is>
      </c>
      <c r="C59" s="22" t="inlineStr">
        <is>
          <t>P-52</t>
        </is>
      </c>
      <c r="D59" s="22" t="inlineStr">
        <is>
          <t>P-53</t>
        </is>
      </c>
      <c r="E59" s="23" t="n">
        <v>23.58</v>
      </c>
      <c r="F59" s="23" t="n">
        <v>184.65</v>
      </c>
      <c r="G59" s="23" t="n">
        <v>184.5</v>
      </c>
      <c r="H59" s="24" t="n">
        <v>184.285</v>
      </c>
      <c r="I59" s="24" t="n">
        <v>184.149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Bloque nor-este: lado oeste (x=948.1) y lado norte (y=851.9)</t>
        </is>
      </c>
    </row>
    <row r="60">
      <c r="A60" s="22" t="n">
        <v>3</v>
      </c>
      <c r="B60" s="22" t="inlineStr">
        <is>
          <t>EJE-15</t>
        </is>
      </c>
      <c r="C60" s="22" t="inlineStr">
        <is>
          <t>P-53</t>
        </is>
      </c>
      <c r="D60" s="22" t="inlineStr">
        <is>
          <t>P-41</t>
        </is>
      </c>
      <c r="E60" s="23" t="n">
        <v>5.19</v>
      </c>
      <c r="F60" s="23" t="n">
        <v>184.5</v>
      </c>
      <c r="G60" s="23" t="n">
        <v>184.5</v>
      </c>
      <c r="H60" s="24" t="n">
        <v>184.149</v>
      </c>
      <c r="I60" s="24" t="n">
        <v>184.123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Bloque nor-este: lado oeste (x=948.1) y lado norte (y=851.9)</t>
        </is>
      </c>
    </row>
    <row r="61">
      <c r="A61" s="22" t="n">
        <v>3</v>
      </c>
      <c r="B61" s="22" t="inlineStr">
        <is>
          <t>EJE-16</t>
        </is>
      </c>
      <c r="C61" s="22" t="inlineStr">
        <is>
          <t>P-54</t>
        </is>
      </c>
      <c r="D61" s="22" t="inlineStr">
        <is>
          <t>P-55</t>
        </is>
      </c>
      <c r="E61" s="23" t="n">
        <v>31.2</v>
      </c>
      <c r="F61" s="23" t="n">
        <v>184.65</v>
      </c>
      <c r="G61" s="23" t="n">
        <v>184.65</v>
      </c>
      <c r="H61" s="24" t="n">
        <v>184.35</v>
      </c>
      <c r="I61" s="24" t="n">
        <v>184.194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Bloque norte: lado norte (y=865.1) y union a D2 por el norte de la planta de tratamiento</t>
        </is>
      </c>
    </row>
    <row r="62">
      <c r="A62" s="22" t="n">
        <v>3</v>
      </c>
      <c r="B62" s="22" t="inlineStr">
        <is>
          <t>EJE-16</t>
        </is>
      </c>
      <c r="C62" s="22" t="inlineStr">
        <is>
          <t>P-55</t>
        </is>
      </c>
      <c r="D62" s="22" t="inlineStr">
        <is>
          <t>P-56</t>
        </is>
      </c>
      <c r="E62" s="23" t="n">
        <v>3.93</v>
      </c>
      <c r="F62" s="23" t="n">
        <v>184.65</v>
      </c>
      <c r="G62" s="23" t="n">
        <v>184.65</v>
      </c>
      <c r="H62" s="24" t="n">
        <v>184.194</v>
      </c>
      <c r="I62" s="24" t="n">
        <v>184.174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Bloque norte: lado norte (y=865.1) y union a D2 por el norte de la planta de tratamiento</t>
        </is>
      </c>
    </row>
    <row r="63">
      <c r="A63" s="22" t="n">
        <v>3</v>
      </c>
      <c r="B63" s="22" t="inlineStr">
        <is>
          <t>EJE-16</t>
        </is>
      </c>
      <c r="C63" s="22" t="inlineStr">
        <is>
          <t>P-56</t>
        </is>
      </c>
      <c r="D63" s="22" t="inlineStr">
        <is>
          <t>P-44</t>
        </is>
      </c>
      <c r="E63" s="23" t="n">
        <v>14.9</v>
      </c>
      <c r="F63" s="23" t="n">
        <v>184.65</v>
      </c>
      <c r="G63" s="23" t="n">
        <v>184.5</v>
      </c>
      <c r="H63" s="24" t="n">
        <v>184.174</v>
      </c>
      <c r="I63" s="24" t="n">
        <v>184.1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0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Bloque norte: lado norte (y=865.1) y union a D2 por el norte de la planta de tratamiento</t>
        </is>
      </c>
    </row>
    <row r="64">
      <c r="A64" s="22" t="n">
        <v>4</v>
      </c>
      <c r="B64" s="22" t="inlineStr">
        <is>
          <t>EJE-17</t>
        </is>
      </c>
      <c r="C64" s="22" t="inlineStr">
        <is>
          <t>P-57</t>
        </is>
      </c>
      <c r="D64" s="22" t="inlineStr">
        <is>
          <t>P-58</t>
        </is>
      </c>
      <c r="E64" s="23" t="n">
        <v>39.03</v>
      </c>
      <c r="F64" s="23" t="n">
        <v>184.65</v>
      </c>
      <c r="G64" s="23" t="n">
        <v>184.65</v>
      </c>
      <c r="H64" s="24" t="n">
        <v>184.35</v>
      </c>
      <c r="I64" s="24" t="n">
        <v>184.149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3.95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Bloque norte: lado sur (y=853.5) y salida D4</t>
        </is>
      </c>
    </row>
    <row r="65">
      <c r="A65" s="22" t="n">
        <v>4</v>
      </c>
      <c r="B65" s="22" t="inlineStr">
        <is>
          <t>EJE-17</t>
        </is>
      </c>
      <c r="C65" s="22" t="inlineStr">
        <is>
          <t>P-58</t>
        </is>
      </c>
      <c r="D65" s="22" t="inlineStr">
        <is>
          <t>P-59</t>
        </is>
      </c>
      <c r="E65" s="23" t="n">
        <v>0.5</v>
      </c>
      <c r="F65" s="23" t="n">
        <v>184.65</v>
      </c>
      <c r="G65" s="23" t="n">
        <v>184.65</v>
      </c>
      <c r="H65" s="24" t="n">
        <v>184.149</v>
      </c>
      <c r="I65" s="24" t="n">
        <v>184.147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Bloque norte: lado sur (y=853.5) y salida D4</t>
        </is>
      </c>
    </row>
    <row r="66">
      <c r="A66" s="22" t="n">
        <v>4</v>
      </c>
      <c r="B66" s="22" t="inlineStr">
        <is>
          <t>EJE-17</t>
        </is>
      </c>
      <c r="C66" s="22" t="inlineStr">
        <is>
          <t>P-59</t>
        </is>
      </c>
      <c r="D66" s="22" t="inlineStr">
        <is>
          <t>D4</t>
        </is>
      </c>
      <c r="E66" s="23" t="n">
        <v>0.6</v>
      </c>
      <c r="F66" s="23" t="n">
        <v>184.65</v>
      </c>
      <c r="G66" s="23" t="n">
        <v>184.65</v>
      </c>
      <c r="H66" s="24" t="n">
        <v>184.147</v>
      </c>
      <c r="I66" s="24" t="n">
        <v>184.144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0.6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Bloque norte: lado sur (y=853.5) y salida D4</t>
        </is>
      </c>
    </row>
    <row r="67">
      <c r="A67" s="22" t="n">
        <v>4</v>
      </c>
      <c r="B67" s="22" t="inlineStr">
        <is>
          <t>EJE-18</t>
        </is>
      </c>
      <c r="C67" s="22" t="inlineStr">
        <is>
          <t>P-31</t>
        </is>
      </c>
      <c r="D67" s="22" t="inlineStr">
        <is>
          <t>P-60</t>
        </is>
      </c>
      <c r="E67" s="23" t="n">
        <v>11.75</v>
      </c>
      <c r="F67" s="23" t="n">
        <v>184.65</v>
      </c>
      <c r="G67" s="23" t="n">
        <v>184.65</v>
      </c>
      <c r="H67" s="24" t="n">
        <v>184.35</v>
      </c>
      <c r="I67" s="24" t="n">
        <v>184.291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Bloque del centro: lado este (x=936.5) y lado norte (y=851.7), tramo este</t>
        </is>
      </c>
    </row>
    <row r="68">
      <c r="A68" s="22" t="n">
        <v>4</v>
      </c>
      <c r="B68" s="22" t="inlineStr">
        <is>
          <t>EJE-18</t>
        </is>
      </c>
      <c r="C68" s="22" t="inlineStr">
        <is>
          <t>P-60</t>
        </is>
      </c>
      <c r="D68" s="22" t="inlineStr">
        <is>
          <t>P-61</t>
        </is>
      </c>
      <c r="E68" s="23" t="n">
        <v>25.47</v>
      </c>
      <c r="F68" s="23" t="n">
        <v>184.65</v>
      </c>
      <c r="G68" s="23" t="n">
        <v>184.65</v>
      </c>
      <c r="H68" s="24" t="n">
        <v>184.291</v>
      </c>
      <c r="I68" s="24" t="n">
        <v>184.164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del centro: lado este (x=936.5) y lado norte (y=851.7), tramo este</t>
        </is>
      </c>
    </row>
    <row r="69">
      <c r="A69" s="22" t="n">
        <v>4</v>
      </c>
      <c r="B69" s="22" t="inlineStr">
        <is>
          <t>EJE-18</t>
        </is>
      </c>
      <c r="C69" s="22" t="inlineStr">
        <is>
          <t>P-61</t>
        </is>
      </c>
      <c r="D69" s="22" t="inlineStr">
        <is>
          <t>P-58</t>
        </is>
      </c>
      <c r="E69" s="23" t="n">
        <v>1.91</v>
      </c>
      <c r="F69" s="23" t="n">
        <v>184.65</v>
      </c>
      <c r="G69" s="23" t="n">
        <v>184.65</v>
      </c>
      <c r="H69" s="24" t="n">
        <v>184.164</v>
      </c>
      <c r="I69" s="24" t="n">
        <v>184.154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del centro: lado este (x=936.5) y lado norte (y=851.7), tramo este</t>
        </is>
      </c>
    </row>
    <row r="70">
      <c r="A70" s="22" t="n">
        <v>4</v>
      </c>
      <c r="B70" s="22" t="inlineStr">
        <is>
          <t>EJE-19</t>
        </is>
      </c>
      <c r="C70" s="22" t="inlineStr">
        <is>
          <t>P-62</t>
        </is>
      </c>
      <c r="D70" s="22" t="inlineStr">
        <is>
          <t>P-61</t>
        </is>
      </c>
      <c r="E70" s="23" t="n">
        <v>13.84</v>
      </c>
      <c r="F70" s="23" t="n">
        <v>184.65</v>
      </c>
      <c r="G70" s="23" t="n">
        <v>184.65</v>
      </c>
      <c r="H70" s="24" t="n">
        <v>184.35</v>
      </c>
      <c r="I70" s="24" t="n">
        <v>184.281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del centro: lado norte (y=851.7), tramo oeste</t>
        </is>
      </c>
    </row>
    <row r="71">
      <c r="D71" s="7" t="inlineStr">
        <is>
          <t>TOTAL</t>
        </is>
      </c>
      <c r="E71" s="8">
        <f>SUM(E5:E70)</f>
        <v/>
      </c>
      <c r="M71" s="8">
        <f>SUM(M5:M70)</f>
        <v/>
      </c>
      <c r="N71" s="8">
        <f>SUM(N5:N70)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7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354820.536</v>
      </c>
      <c r="C7" s="28" t="n">
        <v>9249849.859999999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354853.1</v>
      </c>
      <c r="C9" s="28" t="n">
        <v>9249865.699999999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354844.95</v>
      </c>
      <c r="C10" s="28" t="n">
        <v>9249857.550000001</v>
      </c>
      <c r="D10" s="4" t="inlineStr">
        <is>
          <t>EJE-02, EJE-03</t>
        </is>
      </c>
      <c r="E10" s="4" t="inlineStr"/>
    </row>
    <row r="11">
      <c r="A11" s="4" t="inlineStr">
        <is>
          <t>P-07</t>
        </is>
      </c>
      <c r="B11" s="28" t="n">
        <v>354838.81</v>
      </c>
      <c r="C11" s="28" t="n">
        <v>9249851.41</v>
      </c>
      <c r="D11" s="4" t="inlineStr">
        <is>
          <t>EJE-02, EJE-04</t>
        </is>
      </c>
      <c r="E11" s="4" t="inlineStr"/>
    </row>
    <row r="12">
      <c r="A12" s="4" t="inlineStr">
        <is>
          <t>P-08</t>
        </is>
      </c>
      <c r="B12" s="28" t="n">
        <v>354830.7</v>
      </c>
      <c r="C12" s="28" t="n">
        <v>9249843.300000001</v>
      </c>
      <c r="D12" s="4" t="inlineStr">
        <is>
          <t>EJE-02, EJE-05</t>
        </is>
      </c>
      <c r="E12" s="4" t="inlineStr"/>
    </row>
    <row r="13">
      <c r="A13" s="4" t="inlineStr">
        <is>
          <t>P-09</t>
        </is>
      </c>
      <c r="B13" s="28" t="n">
        <v>354867.8</v>
      </c>
      <c r="C13" s="28" t="n">
        <v>9249834.699999999</v>
      </c>
      <c r="D13" s="4" t="inlineStr">
        <is>
          <t>EJE-03</t>
        </is>
      </c>
      <c r="E13" s="4" t="inlineStr"/>
    </row>
    <row r="14">
      <c r="A14" s="4" t="inlineStr">
        <is>
          <t>P-10</t>
        </is>
      </c>
      <c r="B14" s="28" t="n">
        <v>354884.91</v>
      </c>
      <c r="C14" s="28" t="n">
        <v>9249851.5</v>
      </c>
      <c r="D14" s="4" t="inlineStr">
        <is>
          <t>EJE-04</t>
        </is>
      </c>
      <c r="E14" s="4" t="inlineStr"/>
    </row>
    <row r="15">
      <c r="A15" s="4" t="inlineStr">
        <is>
          <t>P-11</t>
        </is>
      </c>
      <c r="B15" s="28" t="n">
        <v>354884.91</v>
      </c>
      <c r="C15" s="28" t="n">
        <v>9249825.4</v>
      </c>
      <c r="D15" s="4" t="inlineStr">
        <is>
          <t>EJE-04</t>
        </is>
      </c>
      <c r="E15" s="4" t="inlineStr"/>
    </row>
    <row r="16">
      <c r="A16" s="4" t="inlineStr">
        <is>
          <t>P-12</t>
        </is>
      </c>
      <c r="B16" s="28" t="n">
        <v>354885.1</v>
      </c>
      <c r="C16" s="28" t="n">
        <v>9249815.970000001</v>
      </c>
      <c r="D16" s="4" t="inlineStr">
        <is>
          <t>EJE-04, EJE-06</t>
        </is>
      </c>
      <c r="E16" s="4" t="inlineStr"/>
    </row>
    <row r="17">
      <c r="A17" s="4" t="inlineStr">
        <is>
          <t>P-13</t>
        </is>
      </c>
      <c r="B17" s="28" t="n">
        <v>354881.6</v>
      </c>
      <c r="C17" s="28" t="n">
        <v>9249817.4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354866.8</v>
      </c>
      <c r="C18" s="28" t="n">
        <v>9249823.4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354862</v>
      </c>
      <c r="C19" s="28" t="n">
        <v>9249828.199999999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354906.62</v>
      </c>
      <c r="C20" s="28" t="n">
        <v>9249804.220000001</v>
      </c>
      <c r="D20" s="4" t="inlineStr">
        <is>
          <t>EJE-05</t>
        </is>
      </c>
      <c r="E20" s="4" t="inlineStr"/>
    </row>
    <row r="21">
      <c r="A21" s="4" t="inlineStr">
        <is>
          <t>P-17</t>
        </is>
      </c>
      <c r="B21" s="28" t="n">
        <v>354885.3</v>
      </c>
      <c r="C21" s="28" t="n">
        <v>9249804.18</v>
      </c>
      <c r="D21" s="4" t="inlineStr">
        <is>
          <t>EJE-05</t>
        </is>
      </c>
      <c r="E21" s="4" t="inlineStr"/>
    </row>
    <row r="22">
      <c r="A22" s="4" t="inlineStr">
        <is>
          <t>P-18</t>
        </is>
      </c>
      <c r="B22" s="28" t="n">
        <v>354879.56</v>
      </c>
      <c r="C22" s="28" t="n">
        <v>9249805.51</v>
      </c>
      <c r="D22" s="4" t="inlineStr">
        <is>
          <t>EJE-05</t>
        </is>
      </c>
      <c r="E22" s="4" t="inlineStr"/>
    </row>
    <row r="23">
      <c r="A23" s="4" t="inlineStr">
        <is>
          <t>P-19</t>
        </is>
      </c>
      <c r="B23" s="28" t="n">
        <v>354863.11</v>
      </c>
      <c r="C23" s="28" t="n">
        <v>9249812.4</v>
      </c>
      <c r="D23" s="4" t="inlineStr">
        <is>
          <t>EJE-05</t>
        </is>
      </c>
      <c r="E23" s="4" t="inlineStr"/>
    </row>
    <row r="24">
      <c r="A24" s="4" t="inlineStr">
        <is>
          <t>P-20</t>
        </is>
      </c>
      <c r="B24" s="28" t="n">
        <v>354858.19</v>
      </c>
      <c r="C24" s="28" t="n">
        <v>9249815.42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354896.84</v>
      </c>
      <c r="C25" s="28" t="n">
        <v>9249815.970000001</v>
      </c>
      <c r="D25" s="4" t="inlineStr">
        <is>
          <t>EJE-06, EJE-07</t>
        </is>
      </c>
      <c r="E25" s="4" t="inlineStr"/>
    </row>
    <row r="26">
      <c r="A26" s="4" t="inlineStr">
        <is>
          <t>P-22</t>
        </is>
      </c>
      <c r="B26" s="28" t="n">
        <v>354896.84</v>
      </c>
      <c r="C26" s="28" t="n">
        <v>9249851.449999999</v>
      </c>
      <c r="D26" s="4" t="inlineStr">
        <is>
          <t>EJE-07</t>
        </is>
      </c>
      <c r="E26" s="4" t="inlineStr"/>
    </row>
    <row r="27">
      <c r="A27" s="4" t="inlineStr">
        <is>
          <t>P-23</t>
        </is>
      </c>
      <c r="B27" s="28" t="n">
        <v>354896.84</v>
      </c>
      <c r="C27" s="28" t="n">
        <v>9249839.939999999</v>
      </c>
      <c r="D27" s="4" t="inlineStr">
        <is>
          <t>EJE-07, EJE-08</t>
        </is>
      </c>
      <c r="E27" s="4" t="inlineStr"/>
    </row>
    <row r="28">
      <c r="A28" s="4" t="inlineStr">
        <is>
          <t>P-24</t>
        </is>
      </c>
      <c r="B28" s="28" t="n">
        <v>354896.84</v>
      </c>
      <c r="C28" s="28" t="n">
        <v>9249822.09</v>
      </c>
      <c r="D28" s="4" t="inlineStr">
        <is>
          <t>EJE-07, EJE-09</t>
        </is>
      </c>
      <c r="E28" s="4" t="inlineStr"/>
    </row>
    <row r="29">
      <c r="A29" s="4" t="inlineStr">
        <is>
          <t>P-25</t>
        </is>
      </c>
      <c r="B29" s="28" t="n">
        <v>354919.61</v>
      </c>
      <c r="C29" s="28" t="n">
        <v>9249815.970000001</v>
      </c>
      <c r="D29" s="4" t="inlineStr">
        <is>
          <t>EJE-07, EJE-10</t>
        </is>
      </c>
      <c r="E29" s="4" t="inlineStr"/>
    </row>
    <row r="30">
      <c r="A30" s="4" t="inlineStr">
        <is>
          <t>P-26</t>
        </is>
      </c>
      <c r="B30" s="28" t="n">
        <v>354919.61</v>
      </c>
      <c r="C30" s="28" t="n">
        <v>9249804.199999999</v>
      </c>
      <c r="D30" s="4" t="inlineStr">
        <is>
          <t>EJE-07, EJE-11</t>
        </is>
      </c>
      <c r="E30" s="4" t="inlineStr"/>
    </row>
    <row r="31">
      <c r="A31" s="4" t="inlineStr">
        <is>
          <t>P-27</t>
        </is>
      </c>
      <c r="B31" s="28" t="n">
        <v>354919.61</v>
      </c>
      <c r="C31" s="28" t="n">
        <v>9249801.130000001</v>
      </c>
      <c r="D31" s="4" t="inlineStr">
        <is>
          <t>EJE-07</t>
        </is>
      </c>
      <c r="E31" s="4" t="inlineStr"/>
    </row>
    <row r="32">
      <c r="A32" s="4" t="inlineStr">
        <is>
          <t>P-28</t>
        </is>
      </c>
      <c r="B32" s="28" t="n">
        <v>354927.57</v>
      </c>
      <c r="C32" s="28" t="n">
        <v>9249801.130000001</v>
      </c>
      <c r="D32" s="4" t="inlineStr">
        <is>
          <t>EJE-07</t>
        </is>
      </c>
      <c r="E32" s="4" t="inlineStr"/>
    </row>
    <row r="33">
      <c r="A33" s="4" t="inlineStr">
        <is>
          <t>P-29</t>
        </is>
      </c>
      <c r="B33" s="28" t="n">
        <v>354927.57</v>
      </c>
      <c r="C33" s="28" t="n">
        <v>9249794.442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354935.617</v>
      </c>
      <c r="C34" s="28" t="n">
        <v>9249792.835999999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354936.52</v>
      </c>
      <c r="C35" s="28" t="n">
        <v>9249839.939999999</v>
      </c>
      <c r="D35" s="4" t="inlineStr">
        <is>
          <t>EJE-08, EJE-18</t>
        </is>
      </c>
      <c r="E35" s="4" t="inlineStr"/>
    </row>
    <row r="36">
      <c r="A36" s="4" t="inlineStr">
        <is>
          <t>P-32</t>
        </is>
      </c>
      <c r="B36" s="28" t="n">
        <v>354932.64</v>
      </c>
      <c r="C36" s="28" t="n">
        <v>9249839.939999999</v>
      </c>
      <c r="D36" s="4" t="inlineStr">
        <is>
          <t>EJE-08, EJE-10</t>
        </is>
      </c>
      <c r="E36" s="4" t="inlineStr"/>
    </row>
    <row r="37">
      <c r="A37" s="4" t="inlineStr">
        <is>
          <t>P-33</t>
        </is>
      </c>
      <c r="B37" s="28" t="n">
        <v>354932.64</v>
      </c>
      <c r="C37" s="28" t="n">
        <v>9249822.09</v>
      </c>
      <c r="D37" s="4" t="inlineStr">
        <is>
          <t>EJE-09, EJE-10</t>
        </is>
      </c>
      <c r="E37" s="4" t="inlineStr"/>
    </row>
    <row r="38">
      <c r="A38" s="4" t="inlineStr">
        <is>
          <t>P-34</t>
        </is>
      </c>
      <c r="B38" s="28" t="n">
        <v>354932.64</v>
      </c>
      <c r="C38" s="28" t="n">
        <v>9249815.970000001</v>
      </c>
      <c r="D38" s="4" t="inlineStr">
        <is>
          <t>EJE-10</t>
        </is>
      </c>
      <c r="E38" s="4" t="inlineStr"/>
    </row>
    <row r="39">
      <c r="A39" s="4" t="inlineStr">
        <is>
          <t>P-35</t>
        </is>
      </c>
      <c r="B39" s="28" t="n">
        <v>354949.97</v>
      </c>
      <c r="C39" s="28" t="n">
        <v>9249804.09</v>
      </c>
      <c r="D39" s="4" t="inlineStr">
        <is>
          <t>EJE-11</t>
        </is>
      </c>
      <c r="E39" s="4" t="inlineStr"/>
    </row>
    <row r="40">
      <c r="A40" s="4" t="inlineStr">
        <is>
          <t>P-36</t>
        </is>
      </c>
      <c r="B40" s="28" t="n">
        <v>354953.1</v>
      </c>
      <c r="C40" s="28" t="n">
        <v>9249811.689999999</v>
      </c>
      <c r="D40" s="4" t="inlineStr">
        <is>
          <t>EJE-12</t>
        </is>
      </c>
      <c r="E40" s="4" t="inlineStr"/>
    </row>
    <row r="41">
      <c r="A41" s="4" t="inlineStr">
        <is>
          <t>P-37</t>
        </is>
      </c>
      <c r="B41" s="28" t="n">
        <v>354953.2</v>
      </c>
      <c r="C41" s="28" t="n">
        <v>9249796.029999999</v>
      </c>
      <c r="D41" s="4" t="inlineStr">
        <is>
          <t>EJE-12</t>
        </is>
      </c>
      <c r="E41" s="4" t="inlineStr"/>
    </row>
    <row r="42">
      <c r="A42" s="4" t="inlineStr">
        <is>
          <t>P-38</t>
        </is>
      </c>
      <c r="B42" s="28" t="n">
        <v>354976.9</v>
      </c>
      <c r="C42" s="28" t="n">
        <v>9249796</v>
      </c>
      <c r="D42" s="4" t="inlineStr">
        <is>
          <t>EJE-12</t>
        </is>
      </c>
      <c r="E42" s="4" t="inlineStr"/>
    </row>
    <row r="43">
      <c r="A43" s="4" t="inlineStr">
        <is>
          <t>P-39</t>
        </is>
      </c>
      <c r="B43" s="28" t="n">
        <v>354976.9</v>
      </c>
      <c r="C43" s="28" t="n">
        <v>9249831.279999999</v>
      </c>
      <c r="D43" s="4" t="inlineStr">
        <is>
          <t>EJE-12, EJE-13</t>
        </is>
      </c>
      <c r="E43" s="4" t="inlineStr"/>
    </row>
    <row r="44">
      <c r="A44" s="4" t="inlineStr">
        <is>
          <t>P-40</t>
        </is>
      </c>
      <c r="B44" s="28" t="n">
        <v>354976.9</v>
      </c>
      <c r="C44" s="28" t="n">
        <v>9249839.939999999</v>
      </c>
      <c r="D44" s="4" t="inlineStr">
        <is>
          <t>EJE-12, EJE-14</t>
        </is>
      </c>
      <c r="E44" s="4" t="inlineStr"/>
    </row>
    <row r="45">
      <c r="A45" s="4" t="inlineStr">
        <is>
          <t>P-41</t>
        </is>
      </c>
      <c r="B45" s="28" t="n">
        <v>354976.9</v>
      </c>
      <c r="C45" s="28" t="n">
        <v>9249851.869999999</v>
      </c>
      <c r="D45" s="4" t="inlineStr">
        <is>
          <t>EJE-12, EJE-15</t>
        </is>
      </c>
      <c r="E45" s="4" t="inlineStr"/>
    </row>
    <row r="46">
      <c r="A46" s="4" t="inlineStr">
        <is>
          <t>P-42</t>
        </is>
      </c>
      <c r="B46" s="28" t="n">
        <v>354976.9</v>
      </c>
      <c r="C46" s="28" t="n">
        <v>9249860.5</v>
      </c>
      <c r="D46" s="4" t="inlineStr">
        <is>
          <t>EJE-12</t>
        </is>
      </c>
      <c r="E46" s="4" t="inlineStr"/>
    </row>
    <row r="47">
      <c r="A47" s="4" t="inlineStr">
        <is>
          <t>P-43</t>
        </is>
      </c>
      <c r="B47" s="28" t="n">
        <v>354968</v>
      </c>
      <c r="C47" s="28" t="n">
        <v>9249868.98</v>
      </c>
      <c r="D47" s="4" t="inlineStr">
        <is>
          <t>EJE-12</t>
        </is>
      </c>
      <c r="E47" s="4" t="inlineStr"/>
    </row>
    <row r="48">
      <c r="A48" s="4" t="inlineStr">
        <is>
          <t>P-44</t>
        </is>
      </c>
      <c r="B48" s="28" t="n">
        <v>354965.5</v>
      </c>
      <c r="C48" s="28" t="n">
        <v>9249868.98</v>
      </c>
      <c r="D48" s="4" t="inlineStr">
        <is>
          <t>EJE-12, EJE-16</t>
        </is>
      </c>
      <c r="E48" s="4" t="inlineStr"/>
    </row>
    <row r="49">
      <c r="A49" s="4" t="inlineStr">
        <is>
          <t>P-45</t>
        </is>
      </c>
      <c r="B49" s="28" t="n">
        <v>354952.52</v>
      </c>
      <c r="C49" s="28" t="n">
        <v>9249831.279999999</v>
      </c>
      <c r="D49" s="4" t="inlineStr">
        <is>
          <t>EJE-13</t>
        </is>
      </c>
      <c r="E49" s="4" t="inlineStr"/>
    </row>
    <row r="50">
      <c r="A50" s="4" t="inlineStr">
        <is>
          <t>P-46</t>
        </is>
      </c>
      <c r="B50" s="28" t="n">
        <v>354935.26</v>
      </c>
      <c r="C50" s="28" t="n">
        <v>9249815.970000001</v>
      </c>
      <c r="D50" s="4" t="inlineStr">
        <is>
          <t>EJE-14</t>
        </is>
      </c>
      <c r="E50" s="4" t="inlineStr"/>
    </row>
    <row r="51">
      <c r="A51" s="4" t="inlineStr">
        <is>
          <t>P-47</t>
        </is>
      </c>
      <c r="B51" s="28" t="n">
        <v>354952.32</v>
      </c>
      <c r="C51" s="28" t="n">
        <v>9249815.970000001</v>
      </c>
      <c r="D51" s="4" t="inlineStr">
        <is>
          <t>EJE-14</t>
        </is>
      </c>
      <c r="E51" s="4" t="inlineStr"/>
    </row>
    <row r="52">
      <c r="A52" s="4" t="inlineStr">
        <is>
          <t>P-48</t>
        </is>
      </c>
      <c r="B52" s="28" t="n">
        <v>354952.32</v>
      </c>
      <c r="C52" s="28" t="n">
        <v>9249838.82</v>
      </c>
      <c r="D52" s="4" t="inlineStr">
        <is>
          <t>EJE-14</t>
        </is>
      </c>
      <c r="E52" s="4" t="inlineStr"/>
    </row>
    <row r="53">
      <c r="A53" s="4" t="inlineStr">
        <is>
          <t>P-49</t>
        </is>
      </c>
      <c r="B53" s="28" t="n">
        <v>354952.32</v>
      </c>
      <c r="C53" s="28" t="n">
        <v>9249839.939999999</v>
      </c>
      <c r="D53" s="4" t="inlineStr">
        <is>
          <t>EJE-14</t>
        </is>
      </c>
      <c r="E53" s="4" t="inlineStr"/>
    </row>
    <row r="54">
      <c r="A54" s="4" t="inlineStr">
        <is>
          <t>P-50</t>
        </is>
      </c>
      <c r="B54" s="28" t="n">
        <v>354971.71</v>
      </c>
      <c r="C54" s="28" t="n">
        <v>9249839.939999999</v>
      </c>
      <c r="D54" s="4" t="inlineStr">
        <is>
          <t>EJE-14</t>
        </is>
      </c>
      <c r="E54" s="4" t="inlineStr"/>
    </row>
    <row r="55">
      <c r="A55" s="4" t="inlineStr">
        <is>
          <t>P-51</t>
        </is>
      </c>
      <c r="B55" s="28" t="n">
        <v>354948.13</v>
      </c>
      <c r="C55" s="28" t="n">
        <v>9249838.82</v>
      </c>
      <c r="D55" s="4" t="inlineStr">
        <is>
          <t>EJE-15</t>
        </is>
      </c>
      <c r="E55" s="4" t="inlineStr"/>
    </row>
    <row r="56">
      <c r="A56" s="4" t="inlineStr">
        <is>
          <t>P-52</t>
        </is>
      </c>
      <c r="B56" s="28" t="n">
        <v>354948.13</v>
      </c>
      <c r="C56" s="28" t="n">
        <v>9249851.869999999</v>
      </c>
      <c r="D56" s="4" t="inlineStr">
        <is>
          <t>EJE-15</t>
        </is>
      </c>
      <c r="E56" s="4" t="inlineStr"/>
    </row>
    <row r="57">
      <c r="A57" s="4" t="inlineStr">
        <is>
          <t>P-53</t>
        </is>
      </c>
      <c r="B57" s="28" t="n">
        <v>354971.71</v>
      </c>
      <c r="C57" s="28" t="n">
        <v>9249851.869999999</v>
      </c>
      <c r="D57" s="4" t="inlineStr">
        <is>
          <t>EJE-15</t>
        </is>
      </c>
      <c r="E57" s="4" t="inlineStr"/>
    </row>
    <row r="58">
      <c r="A58" s="4" t="inlineStr">
        <is>
          <t>P-54</t>
        </is>
      </c>
      <c r="B58" s="28" t="n">
        <v>354918.93</v>
      </c>
      <c r="C58" s="28" t="n">
        <v>9249865.08</v>
      </c>
      <c r="D58" s="4" t="inlineStr">
        <is>
          <t>EJE-16</t>
        </is>
      </c>
      <c r="E58" s="4" t="inlineStr"/>
    </row>
    <row r="59">
      <c r="A59" s="4" t="inlineStr">
        <is>
          <t>P-55</t>
        </is>
      </c>
      <c r="B59" s="28" t="n">
        <v>354950.13</v>
      </c>
      <c r="C59" s="28" t="n">
        <v>9249865.08</v>
      </c>
      <c r="D59" s="4" t="inlineStr">
        <is>
          <t>EJE-16</t>
        </is>
      </c>
      <c r="E59" s="4" t="inlineStr"/>
    </row>
    <row r="60">
      <c r="A60" s="4" t="inlineStr">
        <is>
          <t>P-56</t>
        </is>
      </c>
      <c r="B60" s="28" t="n">
        <v>354950.6</v>
      </c>
      <c r="C60" s="28" t="n">
        <v>9249868.98</v>
      </c>
      <c r="D60" s="4" t="inlineStr">
        <is>
          <t>EJE-16</t>
        </is>
      </c>
      <c r="E60" s="4" t="inlineStr"/>
    </row>
    <row r="61">
      <c r="A61" s="4" t="inlineStr">
        <is>
          <t>P-57</t>
        </is>
      </c>
      <c r="B61" s="28" t="n">
        <v>354950.03</v>
      </c>
      <c r="C61" s="28" t="n">
        <v>9249853.470000001</v>
      </c>
      <c r="D61" s="4" t="inlineStr">
        <is>
          <t>EJE-17</t>
        </is>
      </c>
      <c r="E61" s="4" t="inlineStr"/>
    </row>
    <row r="62">
      <c r="A62" s="4" t="inlineStr">
        <is>
          <t>P-58</t>
        </is>
      </c>
      <c r="B62" s="28" t="n">
        <v>354911</v>
      </c>
      <c r="C62" s="28" t="n">
        <v>9249853.6</v>
      </c>
      <c r="D62" s="4" t="inlineStr">
        <is>
          <t>EJE-17, EJE-18</t>
        </is>
      </c>
      <c r="E62" s="4" t="inlineStr"/>
    </row>
    <row r="63">
      <c r="A63" s="4" t="inlineStr">
        <is>
          <t>P-59</t>
        </is>
      </c>
      <c r="B63" s="28" t="n">
        <v>354911</v>
      </c>
      <c r="C63" s="28" t="n">
        <v>9249854.1</v>
      </c>
      <c r="D63" s="4" t="inlineStr">
        <is>
          <t>EJE-17</t>
        </is>
      </c>
      <c r="E63" s="4" t="inlineStr"/>
    </row>
    <row r="64">
      <c r="A64" s="4" t="inlineStr">
        <is>
          <t>P-60</t>
        </is>
      </c>
      <c r="B64" s="28" t="n">
        <v>354936.47</v>
      </c>
      <c r="C64" s="28" t="n">
        <v>9249851.689999999</v>
      </c>
      <c r="D64" s="4" t="inlineStr">
        <is>
          <t>EJE-18</t>
        </is>
      </c>
      <c r="E64" s="4" t="inlineStr"/>
    </row>
    <row r="65">
      <c r="A65" s="4" t="inlineStr">
        <is>
          <t>P-61</t>
        </is>
      </c>
      <c r="B65" s="28" t="n">
        <v>354911</v>
      </c>
      <c r="C65" s="28" t="n">
        <v>9249851.689999999</v>
      </c>
      <c r="D65" s="4" t="inlineStr">
        <is>
          <t>EJE-18, EJE-19</t>
        </is>
      </c>
      <c r="E65" s="4" t="inlineStr"/>
    </row>
    <row r="66">
      <c r="A66" s="4" t="inlineStr">
        <is>
          <t>P-62</t>
        </is>
      </c>
      <c r="B66" s="28" t="n">
        <v>354897.16</v>
      </c>
      <c r="C66" s="28" t="n">
        <v>9249851.689999999</v>
      </c>
      <c r="D66" s="4" t="inlineStr">
        <is>
          <t>EJE-19</t>
        </is>
      </c>
      <c r="E66" s="4" t="inlineStr"/>
    </row>
    <row r="67">
      <c r="A67" s="29" t="inlineStr">
        <is>
          <t>D1</t>
        </is>
      </c>
      <c r="B67" s="30" t="n">
        <v>354820.121</v>
      </c>
      <c r="C67" s="30" t="n">
        <v>9249849.426000001</v>
      </c>
      <c r="D67" s="29" t="inlineStr">
        <is>
          <t>EJE-02</t>
        </is>
      </c>
      <c r="E67" s="29" t="inlineStr">
        <is>
          <t>Cerco sur-oeste (lado C22-C1, x = 820.1): al talud natural que baja a la quebrada del oeste</t>
        </is>
      </c>
    </row>
    <row r="68">
      <c r="A68" s="29" t="inlineStr">
        <is>
          <t>D2</t>
        </is>
      </c>
      <c r="B68" s="30" t="n">
        <v>354965.5</v>
      </c>
      <c r="C68" s="30" t="n">
        <v>9249869.58</v>
      </c>
      <c r="D68" s="29" t="inlineStr">
        <is>
          <t>EJE-12</t>
        </is>
      </c>
      <c r="E68" s="29" t="inlineStr">
        <is>
          <t>Cerco norte (x = 965.5): pase en el cimiento del cerco al terreno exterior que baja a la quebrada del norte</t>
        </is>
      </c>
    </row>
    <row r="69">
      <c r="A69" s="29" t="inlineStr">
        <is>
          <t>D3</t>
        </is>
      </c>
      <c r="B69" s="30" t="n">
        <v>354935.5</v>
      </c>
      <c r="C69" s="30" t="n">
        <v>9249792.248</v>
      </c>
      <c r="D69" s="29" t="inlineStr">
        <is>
          <t>EJE-07</t>
        </is>
      </c>
      <c r="E69" s="29" t="inlineStr">
        <is>
          <t>Cerco sur junto a C14 (x = 935.5): al terreno exterior que baja al Jr. Alfonso Ugarte (183.00)</t>
        </is>
      </c>
    </row>
    <row r="70">
      <c r="A70" s="29" t="inlineStr">
        <is>
          <t>D4</t>
        </is>
      </c>
      <c r="B70" s="30" t="n">
        <v>354911</v>
      </c>
      <c r="C70" s="30" t="n">
        <v>9249854.699999999</v>
      </c>
      <c r="D70" s="29" t="inlineStr">
        <is>
          <t>EJE-17</t>
        </is>
      </c>
      <c r="E70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S-01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S-02</t>
        </is>
      </c>
      <c r="B6" s="4" t="inlineStr">
        <is>
          <t>EJE-01</t>
        </is>
      </c>
      <c r="C6" s="31" t="n">
        <v>31.9</v>
      </c>
      <c r="D6" s="31" t="n">
        <v>184.65</v>
      </c>
      <c r="E6" s="31" t="n">
        <v>184.191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/>
    </row>
    <row r="7">
      <c r="A7" s="4" t="inlineStr">
        <is>
          <t>S-03</t>
        </is>
      </c>
      <c r="B7" s="4" t="inlineStr">
        <is>
          <t>EJE-01</t>
        </is>
      </c>
      <c r="C7" s="31" t="n">
        <v>34.04</v>
      </c>
      <c r="D7" s="31" t="n">
        <v>184.65</v>
      </c>
      <c r="E7" s="31" t="n">
        <v>184.18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Entrega a EJE-02; caida 0.42 m</t>
        </is>
      </c>
    </row>
    <row r="8">
      <c r="A8" s="4" t="inlineStr">
        <is>
          <t>S-04</t>
        </is>
      </c>
      <c r="B8" s="4" t="inlineStr">
        <is>
          <t>EJE-02</t>
        </is>
      </c>
      <c r="C8" s="31" t="n">
        <v>0</v>
      </c>
      <c r="D8" s="31" t="n">
        <v>184.65</v>
      </c>
      <c r="E8" s="31" t="n">
        <v>184.35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Inicio del eje</t>
        </is>
      </c>
    </row>
    <row r="9">
      <c r="A9" s="4" t="inlineStr">
        <is>
          <t>S-05</t>
        </is>
      </c>
      <c r="B9" s="4" t="inlineStr">
        <is>
          <t>EJE-02</t>
        </is>
      </c>
      <c r="C9" s="31" t="n">
        <v>32.42</v>
      </c>
      <c r="D9" s="31" t="n">
        <v>184.65</v>
      </c>
      <c r="E9" s="31" t="n">
        <v>184.188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/>
    </row>
    <row r="10">
      <c r="A10" s="4" t="inlineStr">
        <is>
          <t>S-06</t>
        </is>
      </c>
      <c r="B10" s="4" t="inlineStr">
        <is>
          <t>EJE-02</t>
        </is>
      </c>
      <c r="C10" s="31" t="n">
        <v>43.95</v>
      </c>
      <c r="D10" s="31" t="n">
        <v>184.65</v>
      </c>
      <c r="E10" s="31" t="n">
        <v>184.13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EJE-03</t>
        </is>
      </c>
    </row>
    <row r="11">
      <c r="A11" s="4" t="inlineStr">
        <is>
          <t>S-07</t>
        </is>
      </c>
      <c r="B11" s="4" t="inlineStr">
        <is>
          <t>EJE-02</t>
        </is>
      </c>
      <c r="C11" s="31" t="n">
        <v>52.63</v>
      </c>
      <c r="D11" s="31" t="n">
        <v>184.65</v>
      </c>
      <c r="E11" s="31" t="n">
        <v>183.876</v>
      </c>
      <c r="F11" s="32">
        <f>D11-E11</f>
        <v/>
      </c>
      <c r="G11" s="31" t="n">
        <v>0.1</v>
      </c>
      <c r="H11" s="31" t="n">
        <v>0.1</v>
      </c>
      <c r="I11" s="4" t="inlineStr">
        <is>
          <t>CON REJILLA</t>
        </is>
      </c>
      <c r="J11" s="4" t="inlineStr">
        <is>
          <t>Llega EJE-04</t>
        </is>
      </c>
    </row>
    <row r="12">
      <c r="A12" s="4" t="inlineStr">
        <is>
          <t>S-08</t>
        </is>
      </c>
      <c r="B12" s="4" t="inlineStr">
        <is>
          <t>EJE-02</t>
        </is>
      </c>
      <c r="C12" s="31" t="n">
        <v>64.09999999999999</v>
      </c>
      <c r="D12" s="31" t="n">
        <v>184.65</v>
      </c>
      <c r="E12" s="31" t="n">
        <v>183.818</v>
      </c>
      <c r="F12" s="32">
        <f>D12-E12</f>
        <v/>
      </c>
      <c r="G12" s="31" t="n">
        <v>0.1</v>
      </c>
      <c r="H12" s="31" t="n">
        <v>0.1</v>
      </c>
      <c r="I12" s="4" t="inlineStr">
        <is>
          <t>CON REJILLA</t>
        </is>
      </c>
      <c r="J12" s="4" t="inlineStr">
        <is>
          <t>Llega EJE-05</t>
        </is>
      </c>
    </row>
    <row r="13">
      <c r="A13" s="4" t="inlineStr">
        <is>
          <t>S-09</t>
        </is>
      </c>
      <c r="B13" s="4" t="inlineStr">
        <is>
          <t>EJE-02</t>
        </is>
      </c>
      <c r="C13" s="31" t="n">
        <v>76.2</v>
      </c>
      <c r="D13" s="31" t="n">
        <v>184.65</v>
      </c>
      <c r="E13" s="31" t="n">
        <v>183.758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Llega EJE-01; Inicio de tapado</t>
        </is>
      </c>
    </row>
    <row r="14">
      <c r="A14" s="4" t="inlineStr">
        <is>
          <t>S-10</t>
        </is>
      </c>
      <c r="B14" s="4" t="inlineStr">
        <is>
          <t>EJE-02</t>
        </is>
      </c>
      <c r="C14" s="31" t="n">
        <v>76.8</v>
      </c>
      <c r="D14" s="31" t="n">
        <v>184.65</v>
      </c>
      <c r="E14" s="31" t="n">
        <v>183.755</v>
      </c>
      <c r="F14" s="32">
        <f>D14-E14</f>
        <v/>
      </c>
      <c r="G14" s="31" t="n">
        <v>0.1</v>
      </c>
      <c r="H14" s="31" t="n">
        <v>0.1</v>
      </c>
      <c r="I14" s="4" t="inlineStr">
        <is>
          <t>TAPADA</t>
        </is>
      </c>
      <c r="J14" s="4" t="inlineStr">
        <is>
          <t>Descarga D1</t>
        </is>
      </c>
    </row>
    <row r="15">
      <c r="A15" s="4" t="inlineStr">
        <is>
          <t>S-11</t>
        </is>
      </c>
      <c r="B15" s="4" t="inlineStr">
        <is>
          <t>EJE-03</t>
        </is>
      </c>
      <c r="C15" s="31" t="n">
        <v>0</v>
      </c>
      <c r="D15" s="31" t="n">
        <v>184.65</v>
      </c>
      <c r="E15" s="31" t="n">
        <v>184.35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Inicio del eje</t>
        </is>
      </c>
    </row>
    <row r="16">
      <c r="A16" s="4" t="inlineStr">
        <is>
          <t>S-12</t>
        </is>
      </c>
      <c r="B16" s="4" t="inlineStr">
        <is>
          <t>EJE-03</t>
        </is>
      </c>
      <c r="C16" s="31" t="n">
        <v>32.31</v>
      </c>
      <c r="D16" s="31" t="n">
        <v>184.65</v>
      </c>
      <c r="E16" s="31" t="n">
        <v>184.188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Entrega a EJE-02; caida 0.06 m</t>
        </is>
      </c>
    </row>
    <row r="17">
      <c r="A17" s="4" t="inlineStr">
        <is>
          <t>S-13</t>
        </is>
      </c>
      <c r="B17" s="4" t="inlineStr">
        <is>
          <t>EJE-04</t>
        </is>
      </c>
      <c r="C17" s="31" t="n">
        <v>0</v>
      </c>
      <c r="D17" s="31" t="n">
        <v>184.65</v>
      </c>
      <c r="E17" s="31" t="n">
        <v>184.35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Inicio del eje</t>
        </is>
      </c>
    </row>
    <row r="18">
      <c r="A18" s="4" t="inlineStr">
        <is>
          <t>S-14</t>
        </is>
      </c>
      <c r="B18" s="4" t="inlineStr">
        <is>
          <t>EJE-04</t>
        </is>
      </c>
      <c r="C18" s="31" t="n">
        <v>26.1</v>
      </c>
      <c r="D18" s="31" t="n">
        <v>184.65</v>
      </c>
      <c r="E18" s="31" t="n">
        <v>184.22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/>
    </row>
    <row r="19">
      <c r="A19" s="4" t="inlineStr">
        <is>
          <t>S-15</t>
        </is>
      </c>
      <c r="B19" s="4" t="inlineStr">
        <is>
          <t>EJE-04</t>
        </is>
      </c>
      <c r="C19" s="31" t="n">
        <v>35.53</v>
      </c>
      <c r="D19" s="31" t="n">
        <v>184.65</v>
      </c>
      <c r="E19" s="31" t="n">
        <v>184.172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Llega EJE-06</t>
        </is>
      </c>
    </row>
    <row r="20">
      <c r="A20" s="4" t="inlineStr">
        <is>
          <t>S-16</t>
        </is>
      </c>
      <c r="B20" s="4" t="inlineStr">
        <is>
          <t>EJE-04</t>
        </is>
      </c>
      <c r="C20" s="31" t="n">
        <v>39.31</v>
      </c>
      <c r="D20" s="31" t="n">
        <v>184.65</v>
      </c>
      <c r="E20" s="31" t="n">
        <v>184.153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/>
    </row>
    <row r="21">
      <c r="A21" s="4" t="inlineStr">
        <is>
          <t>S-17</t>
        </is>
      </c>
      <c r="B21" s="4" t="inlineStr">
        <is>
          <t>EJE-04</t>
        </is>
      </c>
      <c r="C21" s="31" t="n">
        <v>55.28</v>
      </c>
      <c r="D21" s="31" t="n">
        <v>184.65</v>
      </c>
      <c r="E21" s="31" t="n">
        <v>184.074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/>
    </row>
    <row r="22">
      <c r="A22" s="4" t="inlineStr">
        <is>
          <t>S-18</t>
        </is>
      </c>
      <c r="B22" s="4" t="inlineStr">
        <is>
          <t>EJE-04</t>
        </is>
      </c>
      <c r="C22" s="31" t="n">
        <v>62.07</v>
      </c>
      <c r="D22" s="31" t="n">
        <v>184.65</v>
      </c>
      <c r="E22" s="31" t="n">
        <v>184.04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/>
    </row>
    <row r="23">
      <c r="A23" s="4" t="inlineStr">
        <is>
          <t>S-19</t>
        </is>
      </c>
      <c r="B23" s="4" t="inlineStr">
        <is>
          <t>EJE-04</t>
        </is>
      </c>
      <c r="C23" s="31" t="n">
        <v>94.88</v>
      </c>
      <c r="D23" s="31" t="n">
        <v>184.65</v>
      </c>
      <c r="E23" s="31" t="n">
        <v>183.876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Entrega a EJE-02</t>
        </is>
      </c>
    </row>
    <row r="24">
      <c r="A24" s="4" t="inlineStr">
        <is>
          <t>S-20</t>
        </is>
      </c>
      <c r="B24" s="4" t="inlineStr">
        <is>
          <t>EJE-05</t>
        </is>
      </c>
      <c r="C24" s="31" t="n">
        <v>0</v>
      </c>
      <c r="D24" s="31" t="n">
        <v>184.65</v>
      </c>
      <c r="E24" s="31" t="n">
        <v>184.35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Inicio del eje</t>
        </is>
      </c>
    </row>
    <row r="25">
      <c r="A25" s="4" t="inlineStr">
        <is>
          <t>S-21</t>
        </is>
      </c>
      <c r="B25" s="4" t="inlineStr">
        <is>
          <t>EJE-05</t>
        </is>
      </c>
      <c r="C25" s="31" t="n">
        <v>21.32</v>
      </c>
      <c r="D25" s="31" t="n">
        <v>184.65</v>
      </c>
      <c r="E25" s="31" t="n">
        <v>184.243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/>
    </row>
    <row r="26">
      <c r="A26" s="4" t="inlineStr">
        <is>
          <t>S-22</t>
        </is>
      </c>
      <c r="B26" s="4" t="inlineStr">
        <is>
          <t>EJE-05</t>
        </is>
      </c>
      <c r="C26" s="31" t="n">
        <v>27.21</v>
      </c>
      <c r="D26" s="31" t="n">
        <v>184.65</v>
      </c>
      <c r="E26" s="31" t="n">
        <v>184.214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/>
    </row>
    <row r="27">
      <c r="A27" s="4" t="inlineStr">
        <is>
          <t>S-23</t>
        </is>
      </c>
      <c r="B27" s="4" t="inlineStr">
        <is>
          <t>EJE-05</t>
        </is>
      </c>
      <c r="C27" s="31" t="n">
        <v>45.04</v>
      </c>
      <c r="D27" s="31" t="n">
        <v>184.65</v>
      </c>
      <c r="E27" s="31" t="n">
        <v>184.125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/>
    </row>
    <row r="28">
      <c r="A28" s="4" t="inlineStr">
        <is>
          <t>S-24</t>
        </is>
      </c>
      <c r="B28" s="4" t="inlineStr">
        <is>
          <t>EJE-05</t>
        </is>
      </c>
      <c r="C28" s="31" t="n">
        <v>50.81</v>
      </c>
      <c r="D28" s="31" t="n">
        <v>184.65</v>
      </c>
      <c r="E28" s="31" t="n">
        <v>184.096</v>
      </c>
      <c r="F28" s="32">
        <f>D28-E28</f>
        <v/>
      </c>
      <c r="G28" s="31" t="n">
        <v>0.1</v>
      </c>
      <c r="H28" s="31" t="n">
        <v>0.1</v>
      </c>
      <c r="I28" s="4" t="inlineStr">
        <is>
          <t>CON REJILLA</t>
        </is>
      </c>
      <c r="J28" s="4" t="inlineStr"/>
    </row>
    <row r="29">
      <c r="A29" s="4" t="inlineStr">
        <is>
          <t>S-25</t>
        </is>
      </c>
      <c r="B29" s="4" t="inlineStr">
        <is>
          <t>EJE-05</t>
        </is>
      </c>
      <c r="C29" s="31" t="n">
        <v>89.97</v>
      </c>
      <c r="D29" s="31" t="n">
        <v>184.65</v>
      </c>
      <c r="E29" s="31" t="n">
        <v>183.9</v>
      </c>
      <c r="F29" s="32">
        <f>D29-E29</f>
        <v/>
      </c>
      <c r="G29" s="31" t="n">
        <v>0.1</v>
      </c>
      <c r="H29" s="31" t="n">
        <v>0.1</v>
      </c>
      <c r="I29" s="4" t="inlineStr">
        <is>
          <t>CON REJILLA</t>
        </is>
      </c>
      <c r="J29" s="4" t="inlineStr">
        <is>
          <t>Entrega a EJE-02; caida 0.08 m</t>
        </is>
      </c>
    </row>
    <row r="30">
      <c r="A30" s="4" t="inlineStr">
        <is>
          <t>S-26</t>
        </is>
      </c>
      <c r="B30" s="4" t="inlineStr">
        <is>
          <t>EJE-06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S-27</t>
        </is>
      </c>
      <c r="B31" s="4" t="inlineStr">
        <is>
          <t>EJE-06</t>
        </is>
      </c>
      <c r="C31" s="31" t="n">
        <v>11.74</v>
      </c>
      <c r="D31" s="31" t="n">
        <v>184.65</v>
      </c>
      <c r="E31" s="31" t="n">
        <v>184.291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EJE-04; caida 0.12 m</t>
        </is>
      </c>
    </row>
    <row r="32">
      <c r="A32" s="4" t="inlineStr">
        <is>
          <t>S-28</t>
        </is>
      </c>
      <c r="B32" s="4" t="inlineStr">
        <is>
          <t>EJE-07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S-29</t>
        </is>
      </c>
      <c r="B33" s="4" t="inlineStr">
        <is>
          <t>EJE-07</t>
        </is>
      </c>
      <c r="C33" s="31" t="n">
        <v>11.51</v>
      </c>
      <c r="D33" s="31" t="n">
        <v>184.65</v>
      </c>
      <c r="E33" s="31" t="n">
        <v>184.152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Llega EJE-08</t>
        </is>
      </c>
    </row>
    <row r="34">
      <c r="A34" s="4" t="inlineStr">
        <is>
          <t>S-30</t>
        </is>
      </c>
      <c r="B34" s="4" t="inlineStr">
        <is>
          <t>EJE-07</t>
        </is>
      </c>
      <c r="C34" s="31" t="n">
        <v>29.36</v>
      </c>
      <c r="D34" s="31" t="n">
        <v>184.65</v>
      </c>
      <c r="E34" s="31" t="n">
        <v>184.062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Llega EJE-09</t>
        </is>
      </c>
    </row>
    <row r="35">
      <c r="A35" s="4" t="inlineStr">
        <is>
          <t>S-31</t>
        </is>
      </c>
      <c r="B35" s="4" t="inlineStr">
        <is>
          <t>EJE-07</t>
        </is>
      </c>
      <c r="C35" s="31" t="n">
        <v>35.48</v>
      </c>
      <c r="D35" s="31" t="n">
        <v>184.65</v>
      </c>
      <c r="E35" s="31" t="n">
        <v>184.032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/>
    </row>
    <row r="36">
      <c r="A36" s="4" t="inlineStr">
        <is>
          <t>S-32</t>
        </is>
      </c>
      <c r="B36" s="4" t="inlineStr">
        <is>
          <t>EJE-07</t>
        </is>
      </c>
      <c r="C36" s="31" t="n">
        <v>58.25</v>
      </c>
      <c r="D36" s="31" t="n">
        <v>184.65</v>
      </c>
      <c r="E36" s="31" t="n">
        <v>183.918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Llega EJE-10</t>
        </is>
      </c>
    </row>
    <row r="37">
      <c r="A37" s="4" t="inlineStr">
        <is>
          <t>S-33</t>
        </is>
      </c>
      <c r="B37" s="4" t="inlineStr">
        <is>
          <t>EJE-07</t>
        </is>
      </c>
      <c r="C37" s="31" t="n">
        <v>70.02</v>
      </c>
      <c r="D37" s="31" t="n">
        <v>184.65</v>
      </c>
      <c r="E37" s="31" t="n">
        <v>183.859</v>
      </c>
      <c r="F37" s="32">
        <f>D37-E37</f>
        <v/>
      </c>
      <c r="G37" s="31" t="n">
        <v>0.1</v>
      </c>
      <c r="H37" s="31" t="n">
        <v>0.1</v>
      </c>
      <c r="I37" s="4" t="inlineStr">
        <is>
          <t>CON REJILLA</t>
        </is>
      </c>
      <c r="J37" s="4" t="inlineStr">
        <is>
          <t>Llega EJE-11</t>
        </is>
      </c>
    </row>
    <row r="38">
      <c r="A38" s="4" t="inlineStr">
        <is>
          <t>S-34</t>
        </is>
      </c>
      <c r="B38" s="4" t="inlineStr">
        <is>
          <t>EJE-07</t>
        </is>
      </c>
      <c r="C38" s="31" t="n">
        <v>73.09</v>
      </c>
      <c r="D38" s="31" t="n">
        <v>184.65</v>
      </c>
      <c r="E38" s="31" t="n">
        <v>183.844</v>
      </c>
      <c r="F38" s="32">
        <f>D38-E38</f>
        <v/>
      </c>
      <c r="G38" s="31" t="n">
        <v>0.1</v>
      </c>
      <c r="H38" s="31" t="n">
        <v>0.1</v>
      </c>
      <c r="I38" s="4" t="inlineStr">
        <is>
          <t>TAPADA</t>
        </is>
      </c>
      <c r="J38" s="4" t="inlineStr">
        <is>
          <t>Inicio de tapado</t>
        </is>
      </c>
    </row>
    <row r="39">
      <c r="A39" s="4" t="inlineStr">
        <is>
          <t>S-35</t>
        </is>
      </c>
      <c r="B39" s="4" t="inlineStr">
        <is>
          <t>EJE-07</t>
        </is>
      </c>
      <c r="C39" s="31" t="n">
        <v>81.05</v>
      </c>
      <c r="D39" s="31" t="n">
        <v>184.65</v>
      </c>
      <c r="E39" s="31" t="n">
        <v>183.804</v>
      </c>
      <c r="F39" s="32">
        <f>D39-E39</f>
        <v/>
      </c>
      <c r="G39" s="31" t="n">
        <v>0.1</v>
      </c>
      <c r="H39" s="31" t="n">
        <v>0.1</v>
      </c>
      <c r="I39" s="4" t="inlineStr">
        <is>
          <t>TAPADA</t>
        </is>
      </c>
      <c r="J39" s="4" t="inlineStr"/>
    </row>
    <row r="40">
      <c r="A40" s="4" t="inlineStr">
        <is>
          <t>S-36</t>
        </is>
      </c>
      <c r="B40" s="4" t="inlineStr">
        <is>
          <t>EJE-07</t>
        </is>
      </c>
      <c r="C40" s="31" t="n">
        <v>87.73999999999999</v>
      </c>
      <c r="D40" s="31" t="n">
        <v>184.65</v>
      </c>
      <c r="E40" s="31" t="n">
        <v>183.77</v>
      </c>
      <c r="F40" s="32">
        <f>D40-E40</f>
        <v/>
      </c>
      <c r="G40" s="31" t="n">
        <v>0.1</v>
      </c>
      <c r="H40" s="31" t="n">
        <v>0.1</v>
      </c>
      <c r="I40" s="4" t="inlineStr">
        <is>
          <t>TAPADA</t>
        </is>
      </c>
      <c r="J40" s="4" t="inlineStr"/>
    </row>
    <row r="41">
      <c r="A41" s="4" t="inlineStr">
        <is>
          <t>S-37</t>
        </is>
      </c>
      <c r="B41" s="4" t="inlineStr">
        <is>
          <t>EJE-07</t>
        </is>
      </c>
      <c r="C41" s="31" t="n">
        <v>95.95</v>
      </c>
      <c r="D41" s="31" t="n">
        <v>184.65</v>
      </c>
      <c r="E41" s="31" t="n">
        <v>183.729</v>
      </c>
      <c r="F41" s="32">
        <f>D41-E41</f>
        <v/>
      </c>
      <c r="G41" s="31" t="n">
        <v>0.1</v>
      </c>
      <c r="H41" s="31" t="n">
        <v>0.1</v>
      </c>
      <c r="I41" s="4" t="inlineStr">
        <is>
          <t>TAPADA</t>
        </is>
      </c>
      <c r="J41" s="4" t="inlineStr"/>
    </row>
    <row r="42">
      <c r="A42" s="4" t="inlineStr">
        <is>
          <t>S-38</t>
        </is>
      </c>
      <c r="B42" s="4" t="inlineStr">
        <is>
          <t>EJE-07</t>
        </is>
      </c>
      <c r="C42" s="31" t="n">
        <v>96.54000000000001</v>
      </c>
      <c r="D42" s="31" t="n">
        <v>184.65</v>
      </c>
      <c r="E42" s="31" t="n">
        <v>183.726</v>
      </c>
      <c r="F42" s="32">
        <f>D42-E42</f>
        <v/>
      </c>
      <c r="G42" s="31" t="n">
        <v>0.1</v>
      </c>
      <c r="H42" s="31" t="n">
        <v>0.1</v>
      </c>
      <c r="I42" s="4" t="inlineStr">
        <is>
          <t>TAPADA</t>
        </is>
      </c>
      <c r="J42" s="4" t="inlineStr">
        <is>
          <t>Descarga D3</t>
        </is>
      </c>
    </row>
    <row r="43">
      <c r="A43" s="4" t="inlineStr">
        <is>
          <t>S-39</t>
        </is>
      </c>
      <c r="B43" s="4" t="inlineStr">
        <is>
          <t>EJE-08</t>
        </is>
      </c>
      <c r="C43" s="31" t="n">
        <v>0</v>
      </c>
      <c r="D43" s="31" t="n">
        <v>184.65</v>
      </c>
      <c r="E43" s="31" t="n">
        <v>184.35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Inicio del eje</t>
        </is>
      </c>
    </row>
    <row r="44">
      <c r="A44" s="4" t="inlineStr">
        <is>
          <t>S-40</t>
        </is>
      </c>
      <c r="B44" s="4" t="inlineStr">
        <is>
          <t>EJE-08</t>
        </is>
      </c>
      <c r="C44" s="31" t="n">
        <v>3.88</v>
      </c>
      <c r="D44" s="31" t="n">
        <v>184.65</v>
      </c>
      <c r="E44" s="31" t="n">
        <v>184.331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/>
    </row>
    <row r="45">
      <c r="A45" s="4" t="inlineStr">
        <is>
          <t>S-41</t>
        </is>
      </c>
      <c r="B45" s="4" t="inlineStr">
        <is>
          <t>EJE-08</t>
        </is>
      </c>
      <c r="C45" s="31" t="n">
        <v>39.68</v>
      </c>
      <c r="D45" s="31" t="n">
        <v>184.65</v>
      </c>
      <c r="E45" s="31" t="n">
        <v>184.152</v>
      </c>
      <c r="F45" s="32">
        <f>D45-E45</f>
        <v/>
      </c>
      <c r="G45" s="31" t="n">
        <v>0.1</v>
      </c>
      <c r="H45" s="31" t="n">
        <v>0.1</v>
      </c>
      <c r="I45" s="4" t="inlineStr">
        <is>
          <t>CON REJILLA</t>
        </is>
      </c>
      <c r="J45" s="4" t="inlineStr">
        <is>
          <t>Entrega a EJE-07</t>
        </is>
      </c>
    </row>
    <row r="46">
      <c r="A46" s="4" t="inlineStr">
        <is>
          <t>S-42</t>
        </is>
      </c>
      <c r="B46" s="4" t="inlineStr">
        <is>
          <t>EJE-09</t>
        </is>
      </c>
      <c r="C46" s="31" t="n">
        <v>0</v>
      </c>
      <c r="D46" s="31" t="n">
        <v>184.65</v>
      </c>
      <c r="E46" s="31" t="n">
        <v>184.35</v>
      </c>
      <c r="F46" s="32">
        <f>D46-E46</f>
        <v/>
      </c>
      <c r="G46" s="31" t="n">
        <v>0.1</v>
      </c>
      <c r="H46" s="31" t="n">
        <v>0.1</v>
      </c>
      <c r="I46" s="4" t="inlineStr">
        <is>
          <t>CON REJILLA</t>
        </is>
      </c>
      <c r="J46" s="4" t="inlineStr">
        <is>
          <t>Inicio del eje</t>
        </is>
      </c>
    </row>
    <row r="47">
      <c r="A47" s="4" t="inlineStr">
        <is>
          <t>S-43</t>
        </is>
      </c>
      <c r="B47" s="4" t="inlineStr">
        <is>
          <t>EJE-09</t>
        </is>
      </c>
      <c r="C47" s="31" t="n">
        <v>35.8</v>
      </c>
      <c r="D47" s="31" t="n">
        <v>184.65</v>
      </c>
      <c r="E47" s="31" t="n">
        <v>184.171</v>
      </c>
      <c r="F47" s="32">
        <f>D47-E47</f>
        <v/>
      </c>
      <c r="G47" s="31" t="n">
        <v>0.1</v>
      </c>
      <c r="H47" s="31" t="n">
        <v>0.1</v>
      </c>
      <c r="I47" s="4" t="inlineStr">
        <is>
          <t>CON REJILLA</t>
        </is>
      </c>
      <c r="J47" s="4" t="inlineStr">
        <is>
          <t>Entrega a EJE-07; caida 0.11 m</t>
        </is>
      </c>
    </row>
    <row r="48">
      <c r="A48" s="4" t="inlineStr">
        <is>
          <t>S-44</t>
        </is>
      </c>
      <c r="B48" s="4" t="inlineStr">
        <is>
          <t>EJE-10</t>
        </is>
      </c>
      <c r="C48" s="31" t="n">
        <v>0</v>
      </c>
      <c r="D48" s="31" t="n">
        <v>184.65</v>
      </c>
      <c r="E48" s="31" t="n">
        <v>184.35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S-45</t>
        </is>
      </c>
      <c r="B49" s="4" t="inlineStr">
        <is>
          <t>EJE-10</t>
        </is>
      </c>
      <c r="C49" s="31" t="n">
        <v>17.85</v>
      </c>
      <c r="D49" s="31" t="n">
        <v>184.65</v>
      </c>
      <c r="E49" s="31" t="n">
        <v>184.261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/>
    </row>
    <row r="50">
      <c r="A50" s="4" t="inlineStr">
        <is>
          <t>S-46</t>
        </is>
      </c>
      <c r="B50" s="4" t="inlineStr">
        <is>
          <t>EJE-10</t>
        </is>
      </c>
      <c r="C50" s="31" t="n">
        <v>23.97</v>
      </c>
      <c r="D50" s="31" t="n">
        <v>184.65</v>
      </c>
      <c r="E50" s="31" t="n">
        <v>184.23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/>
    </row>
    <row r="51">
      <c r="A51" s="4" t="inlineStr">
        <is>
          <t>S-47</t>
        </is>
      </c>
      <c r="B51" s="4" t="inlineStr">
        <is>
          <t>EJE-10</t>
        </is>
      </c>
      <c r="C51" s="31" t="n">
        <v>37</v>
      </c>
      <c r="D51" s="31" t="n">
        <v>184.65</v>
      </c>
      <c r="E51" s="31" t="n">
        <v>184.165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Entrega a EJE-07; caida 0.25 m</t>
        </is>
      </c>
    </row>
    <row r="52">
      <c r="A52" s="4" t="inlineStr">
        <is>
          <t>S-48</t>
        </is>
      </c>
      <c r="B52" s="4" t="inlineStr">
        <is>
          <t>EJE-11</t>
        </is>
      </c>
      <c r="C52" s="31" t="n">
        <v>0</v>
      </c>
      <c r="D52" s="31" t="n">
        <v>184.65</v>
      </c>
      <c r="E52" s="31" t="n">
        <v>184.35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Inicio del eje</t>
        </is>
      </c>
    </row>
    <row r="53">
      <c r="A53" s="4" t="inlineStr">
        <is>
          <t>S-49</t>
        </is>
      </c>
      <c r="B53" s="4" t="inlineStr">
        <is>
          <t>EJE-11</t>
        </is>
      </c>
      <c r="C53" s="31" t="n">
        <v>19.41</v>
      </c>
      <c r="D53" s="31" t="n">
        <v>184.65</v>
      </c>
      <c r="E53" s="31" t="n">
        <v>184.253</v>
      </c>
      <c r="F53" s="32">
        <f>D53-E53</f>
        <v/>
      </c>
      <c r="G53" s="31" t="n">
        <v>0.1</v>
      </c>
      <c r="H53" s="31" t="n">
        <v>0.1</v>
      </c>
      <c r="I53" s="4" t="inlineStr">
        <is>
          <t>TAPADA</t>
        </is>
      </c>
      <c r="J53" s="4" t="inlineStr">
        <is>
          <t>Inicio de tapado</t>
        </is>
      </c>
    </row>
    <row r="54">
      <c r="A54" s="4" t="inlineStr">
        <is>
          <t>S-50</t>
        </is>
      </c>
      <c r="B54" s="4" t="inlineStr">
        <is>
          <t>EJE-11</t>
        </is>
      </c>
      <c r="C54" s="31" t="n">
        <v>19.91</v>
      </c>
      <c r="D54" s="31" t="n">
        <v>184.65</v>
      </c>
      <c r="E54" s="31" t="n">
        <v>184.25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Fin de tapado</t>
        </is>
      </c>
    </row>
    <row r="55">
      <c r="A55" s="4" t="inlineStr">
        <is>
          <t>S-51</t>
        </is>
      </c>
      <c r="B55" s="4" t="inlineStr">
        <is>
          <t>EJE-11</t>
        </is>
      </c>
      <c r="C55" s="31" t="n">
        <v>30.36</v>
      </c>
      <c r="D55" s="31" t="n">
        <v>184.65</v>
      </c>
      <c r="E55" s="31" t="n">
        <v>184.198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Entrega a EJE-07; caida 0.34 m</t>
        </is>
      </c>
    </row>
    <row r="56">
      <c r="A56" s="4" t="inlineStr">
        <is>
          <t>S-52</t>
        </is>
      </c>
      <c r="B56" s="4" t="inlineStr">
        <is>
          <t>EJE-12</t>
        </is>
      </c>
      <c r="C56" s="31" t="n">
        <v>0</v>
      </c>
      <c r="D56" s="31" t="n">
        <v>184.65</v>
      </c>
      <c r="E56" s="31" t="n">
        <v>184.35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Inicio del eje</t>
        </is>
      </c>
    </row>
    <row r="57">
      <c r="A57" s="4" t="inlineStr">
        <is>
          <t>S-53</t>
        </is>
      </c>
      <c r="B57" s="4" t="inlineStr">
        <is>
          <t>EJE-12</t>
        </is>
      </c>
      <c r="C57" s="31" t="n">
        <v>15.66</v>
      </c>
      <c r="D57" s="31" t="n">
        <v>184.65</v>
      </c>
      <c r="E57" s="31" t="n">
        <v>184.272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S-54</t>
        </is>
      </c>
      <c r="B58" s="4" t="inlineStr">
        <is>
          <t>EJE-12</t>
        </is>
      </c>
      <c r="C58" s="31" t="n">
        <v>39.36</v>
      </c>
      <c r="D58" s="31" t="n">
        <v>184.65</v>
      </c>
      <c r="E58" s="31" t="n">
        <v>184.153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/>
    </row>
    <row r="59">
      <c r="A59" s="4" t="inlineStr">
        <is>
          <t>S-55</t>
        </is>
      </c>
      <c r="B59" s="4" t="inlineStr">
        <is>
          <t>EJE-12</t>
        </is>
      </c>
      <c r="C59" s="31" t="n">
        <v>74.14</v>
      </c>
      <c r="D59" s="31" t="n">
        <v>184.65</v>
      </c>
      <c r="E59" s="31" t="n">
        <v>183.979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Cambio de borde</t>
        </is>
      </c>
    </row>
    <row r="60">
      <c r="A60" s="4" t="inlineStr">
        <is>
          <t>S-56</t>
        </is>
      </c>
      <c r="B60" s="4" t="inlineStr">
        <is>
          <t>EJE-12</t>
        </is>
      </c>
      <c r="C60" s="31" t="n">
        <v>74.64</v>
      </c>
      <c r="D60" s="31" t="n">
        <v>184.5</v>
      </c>
      <c r="E60" s="31" t="n">
        <v>183.977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Llega EJE-13; Cambio de borde</t>
        </is>
      </c>
    </row>
    <row r="61">
      <c r="A61" s="4" t="inlineStr">
        <is>
          <t>S-57</t>
        </is>
      </c>
      <c r="B61" s="4" t="inlineStr">
        <is>
          <t>EJE-12</t>
        </is>
      </c>
      <c r="C61" s="31" t="n">
        <v>83.3</v>
      </c>
      <c r="D61" s="31" t="n">
        <v>184.5</v>
      </c>
      <c r="E61" s="31" t="n">
        <v>183.933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Llega EJE-14</t>
        </is>
      </c>
    </row>
    <row r="62">
      <c r="A62" s="4" t="inlineStr">
        <is>
          <t>S-58</t>
        </is>
      </c>
      <c r="B62" s="4" t="inlineStr">
        <is>
          <t>EJE-12</t>
        </is>
      </c>
      <c r="C62" s="31" t="n">
        <v>95.23</v>
      </c>
      <c r="D62" s="31" t="n">
        <v>184.5</v>
      </c>
      <c r="E62" s="31" t="n">
        <v>183.874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Llega EJE-15</t>
        </is>
      </c>
    </row>
    <row r="63">
      <c r="A63" s="4" t="inlineStr">
        <is>
          <t>S-59</t>
        </is>
      </c>
      <c r="B63" s="4" t="inlineStr">
        <is>
          <t>EJE-12</t>
        </is>
      </c>
      <c r="C63" s="31" t="n">
        <v>103.86</v>
      </c>
      <c r="D63" s="31" t="n">
        <v>184.5</v>
      </c>
      <c r="E63" s="31" t="n">
        <v>183.831</v>
      </c>
      <c r="F63" s="32">
        <f>D63-E63</f>
        <v/>
      </c>
      <c r="G63" s="31" t="n">
        <v>0.1</v>
      </c>
      <c r="H63" s="31" t="n">
        <v>0.1</v>
      </c>
      <c r="I63" s="4" t="inlineStr">
        <is>
          <t>TAPADA</t>
        </is>
      </c>
      <c r="J63" s="4" t="inlineStr">
        <is>
          <t>Inicio de tapado</t>
        </is>
      </c>
    </row>
    <row r="64">
      <c r="A64" s="4" t="inlineStr">
        <is>
          <t>S-60</t>
        </is>
      </c>
      <c r="B64" s="4" t="inlineStr">
        <is>
          <t>EJE-12</t>
        </is>
      </c>
      <c r="C64" s="31" t="n">
        <v>116.15</v>
      </c>
      <c r="D64" s="31" t="n">
        <v>184.5</v>
      </c>
      <c r="E64" s="31" t="n">
        <v>183.769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/>
    </row>
    <row r="65">
      <c r="A65" s="4" t="inlineStr">
        <is>
          <t>S-61</t>
        </is>
      </c>
      <c r="B65" s="4" t="inlineStr">
        <is>
          <t>EJE-12</t>
        </is>
      </c>
      <c r="C65" s="31" t="n">
        <v>118.65</v>
      </c>
      <c r="D65" s="31" t="n">
        <v>184.5</v>
      </c>
      <c r="E65" s="31" t="n">
        <v>183.757</v>
      </c>
      <c r="F65" s="32">
        <f>D65-E65</f>
        <v/>
      </c>
      <c r="G65" s="31" t="n">
        <v>0.1</v>
      </c>
      <c r="H65" s="31" t="n">
        <v>0.1</v>
      </c>
      <c r="I65" s="4" t="inlineStr">
        <is>
          <t>TAPADA</t>
        </is>
      </c>
      <c r="J65" s="4" t="inlineStr">
        <is>
          <t>Llega EJE-16</t>
        </is>
      </c>
    </row>
    <row r="66">
      <c r="A66" s="4" t="inlineStr">
        <is>
          <t>S-62</t>
        </is>
      </c>
      <c r="B66" s="4" t="inlineStr">
        <is>
          <t>EJE-12</t>
        </is>
      </c>
      <c r="C66" s="31" t="n">
        <v>119.25</v>
      </c>
      <c r="D66" s="31" t="n">
        <v>184.5</v>
      </c>
      <c r="E66" s="31" t="n">
        <v>183.754</v>
      </c>
      <c r="F66" s="32">
        <f>D66-E66</f>
        <v/>
      </c>
      <c r="G66" s="31" t="n">
        <v>0.1</v>
      </c>
      <c r="H66" s="31" t="n">
        <v>0.1</v>
      </c>
      <c r="I66" s="4" t="inlineStr">
        <is>
          <t>TAPADA</t>
        </is>
      </c>
      <c r="J66" s="4" t="inlineStr">
        <is>
          <t>Descarga D2</t>
        </is>
      </c>
    </row>
    <row r="67">
      <c r="A67" s="4" t="inlineStr">
        <is>
          <t>S-63</t>
        </is>
      </c>
      <c r="B67" s="4" t="inlineStr">
        <is>
          <t>EJE-13</t>
        </is>
      </c>
      <c r="C67" s="31" t="n">
        <v>0</v>
      </c>
      <c r="D67" s="31" t="n">
        <v>184.5</v>
      </c>
      <c r="E67" s="31" t="n">
        <v>184.2</v>
      </c>
      <c r="F67" s="32">
        <f>D67-E67</f>
        <v/>
      </c>
      <c r="G67" s="31" t="n">
        <v>0.1</v>
      </c>
      <c r="H67" s="31" t="n">
        <v>0.1</v>
      </c>
      <c r="I67" s="4" t="inlineStr">
        <is>
          <t>CON REJILLA</t>
        </is>
      </c>
      <c r="J67" s="4" t="inlineStr">
        <is>
          <t>Inicio del eje</t>
        </is>
      </c>
    </row>
    <row r="68">
      <c r="A68" s="4" t="inlineStr">
        <is>
          <t>S-64</t>
        </is>
      </c>
      <c r="B68" s="4" t="inlineStr">
        <is>
          <t>EJE-13</t>
        </is>
      </c>
      <c r="C68" s="31" t="n">
        <v>24.38</v>
      </c>
      <c r="D68" s="31" t="n">
        <v>184.5</v>
      </c>
      <c r="E68" s="31" t="n">
        <v>184.078</v>
      </c>
      <c r="F68" s="32">
        <f>D68-E68</f>
        <v/>
      </c>
      <c r="G68" s="31" t="n">
        <v>0.1</v>
      </c>
      <c r="H68" s="31" t="n">
        <v>0.1</v>
      </c>
      <c r="I68" s="4" t="inlineStr">
        <is>
          <t>CON REJILLA</t>
        </is>
      </c>
      <c r="J68" s="4" t="inlineStr">
        <is>
          <t>Entrega a EJE-12; caida 0.10 m</t>
        </is>
      </c>
    </row>
    <row r="69">
      <c r="A69" s="4" t="inlineStr">
        <is>
          <t>S-65</t>
        </is>
      </c>
      <c r="B69" s="4" t="inlineStr">
        <is>
          <t>EJE-14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S-66</t>
        </is>
      </c>
      <c r="B70" s="4" t="inlineStr">
        <is>
          <t>EJE-14</t>
        </is>
      </c>
      <c r="C70" s="31" t="n">
        <v>17.06</v>
      </c>
      <c r="D70" s="31" t="n">
        <v>184.65</v>
      </c>
      <c r="E70" s="31" t="n">
        <v>184.265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/>
    </row>
    <row r="71">
      <c r="A71" s="4" t="inlineStr">
        <is>
          <t>S-67</t>
        </is>
      </c>
      <c r="B71" s="4" t="inlineStr">
        <is>
          <t>EJE-14</t>
        </is>
      </c>
      <c r="C71" s="31" t="n">
        <v>31.47</v>
      </c>
      <c r="D71" s="31" t="n">
        <v>184.65</v>
      </c>
      <c r="E71" s="31" t="n">
        <v>184.193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Cambio de borde</t>
        </is>
      </c>
    </row>
    <row r="72">
      <c r="A72" s="4" t="inlineStr">
        <is>
          <t>S-68</t>
        </is>
      </c>
      <c r="B72" s="4" t="inlineStr">
        <is>
          <t>EJE-14</t>
        </is>
      </c>
      <c r="C72" s="31" t="n">
        <v>31.96</v>
      </c>
      <c r="D72" s="31" t="n">
        <v>184.5</v>
      </c>
      <c r="E72" s="31" t="n">
        <v>184.19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Cambio de borde</t>
        </is>
      </c>
    </row>
    <row r="73">
      <c r="A73" s="4" t="inlineStr">
        <is>
          <t>S-69</t>
        </is>
      </c>
      <c r="B73" s="4" t="inlineStr">
        <is>
          <t>EJE-14</t>
        </is>
      </c>
      <c r="C73" s="31" t="n">
        <v>39.91</v>
      </c>
      <c r="D73" s="31" t="n">
        <v>184.5</v>
      </c>
      <c r="E73" s="31" t="n">
        <v>184.15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/>
    </row>
    <row r="74">
      <c r="A74" s="4" t="inlineStr">
        <is>
          <t>S-70</t>
        </is>
      </c>
      <c r="B74" s="4" t="inlineStr">
        <is>
          <t>EJE-14</t>
        </is>
      </c>
      <c r="C74" s="31" t="n">
        <v>41.03</v>
      </c>
      <c r="D74" s="31" t="n">
        <v>184.5</v>
      </c>
      <c r="E74" s="31" t="n">
        <v>184.145</v>
      </c>
      <c r="F74" s="32">
        <f>D74-E74</f>
        <v/>
      </c>
      <c r="G74" s="31" t="n">
        <v>0.1</v>
      </c>
      <c r="H74" s="31" t="n">
        <v>0.1</v>
      </c>
      <c r="I74" s="4" t="inlineStr">
        <is>
          <t>CON REJILLA</t>
        </is>
      </c>
      <c r="J74" s="4" t="inlineStr"/>
    </row>
    <row r="75">
      <c r="A75" s="4" t="inlineStr">
        <is>
          <t>S-71</t>
        </is>
      </c>
      <c r="B75" s="4" t="inlineStr">
        <is>
          <t>EJE-14</t>
        </is>
      </c>
      <c r="C75" s="31" t="n">
        <v>60.42</v>
      </c>
      <c r="D75" s="31" t="n">
        <v>184.5</v>
      </c>
      <c r="E75" s="31" t="n">
        <v>184.048</v>
      </c>
      <c r="F75" s="32">
        <f>D75-E75</f>
        <v/>
      </c>
      <c r="G75" s="31" t="n">
        <v>0.1</v>
      </c>
      <c r="H75" s="31" t="n">
        <v>0.1</v>
      </c>
      <c r="I75" s="4" t="inlineStr">
        <is>
          <t>CON REJILLA</t>
        </is>
      </c>
      <c r="J75" s="4" t="inlineStr"/>
    </row>
    <row r="76">
      <c r="A76" s="4" t="inlineStr">
        <is>
          <t>S-72</t>
        </is>
      </c>
      <c r="B76" s="4" t="inlineStr">
        <is>
          <t>EJE-14</t>
        </is>
      </c>
      <c r="C76" s="31" t="n">
        <v>65.61</v>
      </c>
      <c r="D76" s="31" t="n">
        <v>184.5</v>
      </c>
      <c r="E76" s="31" t="n">
        <v>184.022</v>
      </c>
      <c r="F76" s="32">
        <f>D76-E76</f>
        <v/>
      </c>
      <c r="G76" s="31" t="n">
        <v>0.1</v>
      </c>
      <c r="H76" s="31" t="n">
        <v>0.1</v>
      </c>
      <c r="I76" s="4" t="inlineStr">
        <is>
          <t>CON REJILLA</t>
        </is>
      </c>
      <c r="J76" s="4" t="inlineStr">
        <is>
          <t>Entrega a EJE-12; caida 0.09 m</t>
        </is>
      </c>
    </row>
    <row r="77">
      <c r="A77" s="4" t="inlineStr">
        <is>
          <t>S-73</t>
        </is>
      </c>
      <c r="B77" s="4" t="inlineStr">
        <is>
          <t>EJE-15</t>
        </is>
      </c>
      <c r="C77" s="31" t="n">
        <v>0</v>
      </c>
      <c r="D77" s="31" t="n">
        <v>184.65</v>
      </c>
      <c r="E77" s="31" t="n">
        <v>184.35</v>
      </c>
      <c r="F77" s="32">
        <f>D77-E77</f>
        <v/>
      </c>
      <c r="G77" s="31" t="n">
        <v>0.1</v>
      </c>
      <c r="H77" s="31" t="n">
        <v>0.1</v>
      </c>
      <c r="I77" s="4" t="inlineStr">
        <is>
          <t>CON REJILLA</t>
        </is>
      </c>
      <c r="J77" s="4" t="inlineStr">
        <is>
          <t>Inicio del eje</t>
        </is>
      </c>
    </row>
    <row r="78">
      <c r="A78" s="4" t="inlineStr">
        <is>
          <t>S-74</t>
        </is>
      </c>
      <c r="B78" s="4" t="inlineStr">
        <is>
          <t>EJE-15</t>
        </is>
      </c>
      <c r="C78" s="31" t="n">
        <v>13.05</v>
      </c>
      <c r="D78" s="31" t="n">
        <v>184.65</v>
      </c>
      <c r="E78" s="31" t="n">
        <v>184.285</v>
      </c>
      <c r="F78" s="32">
        <f>D78-E78</f>
        <v/>
      </c>
      <c r="G78" s="31" t="n">
        <v>0.1</v>
      </c>
      <c r="H78" s="31" t="n">
        <v>0.1</v>
      </c>
      <c r="I78" s="4" t="inlineStr">
        <is>
          <t>CON REJILLA</t>
        </is>
      </c>
      <c r="J78" s="4" t="inlineStr"/>
    </row>
    <row r="79">
      <c r="A79" s="4" t="inlineStr">
        <is>
          <t>S-75</t>
        </is>
      </c>
      <c r="B79" s="4" t="inlineStr">
        <is>
          <t>EJE-15</t>
        </is>
      </c>
      <c r="C79" s="31" t="n">
        <v>16</v>
      </c>
      <c r="D79" s="31" t="n">
        <v>184.65</v>
      </c>
      <c r="E79" s="31" t="n">
        <v>184.27</v>
      </c>
      <c r="F79" s="32">
        <f>D79-E79</f>
        <v/>
      </c>
      <c r="G79" s="31" t="n">
        <v>0.1</v>
      </c>
      <c r="H79" s="31" t="n">
        <v>0.1</v>
      </c>
      <c r="I79" s="4" t="inlineStr">
        <is>
          <t>CON REJILLA</t>
        </is>
      </c>
      <c r="J79" s="4" t="inlineStr">
        <is>
          <t>Cambio de borde</t>
        </is>
      </c>
    </row>
    <row r="80">
      <c r="A80" s="4" t="inlineStr">
        <is>
          <t>S-76</t>
        </is>
      </c>
      <c r="B80" s="4" t="inlineStr">
        <is>
          <t>EJE-15</t>
        </is>
      </c>
      <c r="C80" s="31" t="n">
        <v>16.49</v>
      </c>
      <c r="D80" s="31" t="n">
        <v>184.5</v>
      </c>
      <c r="E80" s="31" t="n">
        <v>184.25</v>
      </c>
      <c r="F80" s="32">
        <f>D80-E80</f>
        <v/>
      </c>
      <c r="G80" s="31" t="n">
        <v>0.1</v>
      </c>
      <c r="H80" s="31" t="n">
        <v>0.1</v>
      </c>
      <c r="I80" s="4" t="inlineStr">
        <is>
          <t>CON REJILLA</t>
        </is>
      </c>
      <c r="J80" s="4" t="inlineStr">
        <is>
          <t>Cambio de borde</t>
        </is>
      </c>
    </row>
    <row r="81">
      <c r="A81" s="4" t="inlineStr">
        <is>
          <t>S-77</t>
        </is>
      </c>
      <c r="B81" s="4" t="inlineStr">
        <is>
          <t>EJE-15</t>
        </is>
      </c>
      <c r="C81" s="31" t="n">
        <v>36.63</v>
      </c>
      <c r="D81" s="31" t="n">
        <v>184.5</v>
      </c>
      <c r="E81" s="31" t="n">
        <v>184.149</v>
      </c>
      <c r="F81" s="32">
        <f>D81-E81</f>
        <v/>
      </c>
      <c r="G81" s="31" t="n">
        <v>0.1</v>
      </c>
      <c r="H81" s="31" t="n">
        <v>0.1</v>
      </c>
      <c r="I81" s="4" t="inlineStr">
        <is>
          <t>CON REJILLA</t>
        </is>
      </c>
      <c r="J81" s="4" t="inlineStr"/>
    </row>
    <row r="82">
      <c r="A82" s="4" t="inlineStr">
        <is>
          <t>S-78</t>
        </is>
      </c>
      <c r="B82" s="4" t="inlineStr">
        <is>
          <t>EJE-15</t>
        </is>
      </c>
      <c r="C82" s="31" t="n">
        <v>41.82</v>
      </c>
      <c r="D82" s="31" t="n">
        <v>184.5</v>
      </c>
      <c r="E82" s="31" t="n">
        <v>184.123</v>
      </c>
      <c r="F82" s="32">
        <f>D82-E82</f>
        <v/>
      </c>
      <c r="G82" s="31" t="n">
        <v>0.1</v>
      </c>
      <c r="H82" s="31" t="n">
        <v>0.1</v>
      </c>
      <c r="I82" s="4" t="inlineStr">
        <is>
          <t>CON REJILLA</t>
        </is>
      </c>
      <c r="J82" s="4" t="inlineStr">
        <is>
          <t>Entrega a EJE-12; caida 0.25 m</t>
        </is>
      </c>
    </row>
    <row r="83">
      <c r="A83" s="4" t="inlineStr">
        <is>
          <t>S-79</t>
        </is>
      </c>
      <c r="B83" s="4" t="inlineStr">
        <is>
          <t>EJE-16</t>
        </is>
      </c>
      <c r="C83" s="31" t="n">
        <v>0</v>
      </c>
      <c r="D83" s="31" t="n">
        <v>184.65</v>
      </c>
      <c r="E83" s="31" t="n">
        <v>184.35</v>
      </c>
      <c r="F83" s="32">
        <f>D83-E83</f>
        <v/>
      </c>
      <c r="G83" s="31" t="n">
        <v>0.1</v>
      </c>
      <c r="H83" s="31" t="n">
        <v>0.1</v>
      </c>
      <c r="I83" s="4" t="inlineStr">
        <is>
          <t>CON REJILLA</t>
        </is>
      </c>
      <c r="J83" s="4" t="inlineStr">
        <is>
          <t>Inicio del eje</t>
        </is>
      </c>
    </row>
    <row r="84">
      <c r="A84" s="4" t="inlineStr">
        <is>
          <t>S-80</t>
        </is>
      </c>
      <c r="B84" s="4" t="inlineStr">
        <is>
          <t>EJE-16</t>
        </is>
      </c>
      <c r="C84" s="31" t="n">
        <v>31.2</v>
      </c>
      <c r="D84" s="31" t="n">
        <v>184.65</v>
      </c>
      <c r="E84" s="31" t="n">
        <v>184.194</v>
      </c>
      <c r="F84" s="32">
        <f>D84-E84</f>
        <v/>
      </c>
      <c r="G84" s="31" t="n">
        <v>0.1</v>
      </c>
      <c r="H84" s="31" t="n">
        <v>0.1</v>
      </c>
      <c r="I84" s="4" t="inlineStr">
        <is>
          <t>CON REJILLA</t>
        </is>
      </c>
      <c r="J84" s="4" t="inlineStr"/>
    </row>
    <row r="85">
      <c r="A85" s="4" t="inlineStr">
        <is>
          <t>S-81</t>
        </is>
      </c>
      <c r="B85" s="4" t="inlineStr">
        <is>
          <t>EJE-16</t>
        </is>
      </c>
      <c r="C85" s="31" t="n">
        <v>35.13</v>
      </c>
      <c r="D85" s="31" t="n">
        <v>184.65</v>
      </c>
      <c r="E85" s="31" t="n">
        <v>184.174</v>
      </c>
      <c r="F85" s="32">
        <f>D85-E85</f>
        <v/>
      </c>
      <c r="G85" s="31" t="n">
        <v>0.1</v>
      </c>
      <c r="H85" s="31" t="n">
        <v>0.1</v>
      </c>
      <c r="I85" s="4" t="inlineStr">
        <is>
          <t>CON REJILLA</t>
        </is>
      </c>
      <c r="J85" s="4" t="inlineStr"/>
    </row>
    <row r="86">
      <c r="A86" s="4" t="inlineStr">
        <is>
          <t>S-82</t>
        </is>
      </c>
      <c r="B86" s="4" t="inlineStr">
        <is>
          <t>EJE-16</t>
        </is>
      </c>
      <c r="C86" s="31" t="n">
        <v>35.62</v>
      </c>
      <c r="D86" s="31" t="n">
        <v>184.65</v>
      </c>
      <c r="E86" s="31" t="n">
        <v>184.172</v>
      </c>
      <c r="F86" s="32">
        <f>D86-E86</f>
        <v/>
      </c>
      <c r="G86" s="31" t="n">
        <v>0.1</v>
      </c>
      <c r="H86" s="31" t="n">
        <v>0.1</v>
      </c>
      <c r="I86" s="4" t="inlineStr">
        <is>
          <t>CON REJILLA</t>
        </is>
      </c>
      <c r="J86" s="4" t="inlineStr">
        <is>
          <t>Cambio de borde</t>
        </is>
      </c>
    </row>
    <row r="87">
      <c r="A87" s="4" t="inlineStr">
        <is>
          <t>S-83</t>
        </is>
      </c>
      <c r="B87" s="4" t="inlineStr">
        <is>
          <t>EJE-16</t>
        </is>
      </c>
      <c r="C87" s="31" t="n">
        <v>36.12</v>
      </c>
      <c r="D87" s="31" t="n">
        <v>184.5</v>
      </c>
      <c r="E87" s="31" t="n">
        <v>184.169</v>
      </c>
      <c r="F87" s="32">
        <f>D87-E87</f>
        <v/>
      </c>
      <c r="G87" s="31" t="n">
        <v>0.1</v>
      </c>
      <c r="H87" s="31" t="n">
        <v>0.1</v>
      </c>
      <c r="I87" s="4" t="inlineStr">
        <is>
          <t>CON REJILLA</t>
        </is>
      </c>
      <c r="J87" s="4" t="inlineStr">
        <is>
          <t>Cambio de borde</t>
        </is>
      </c>
    </row>
    <row r="88">
      <c r="A88" s="4" t="inlineStr">
        <is>
          <t>S-84</t>
        </is>
      </c>
      <c r="B88" s="4" t="inlineStr">
        <is>
          <t>EJE-16</t>
        </is>
      </c>
      <c r="C88" s="31" t="n">
        <v>50.03</v>
      </c>
      <c r="D88" s="31" t="n">
        <v>184.5</v>
      </c>
      <c r="E88" s="31" t="n">
        <v>184.1</v>
      </c>
      <c r="F88" s="32">
        <f>D88-E88</f>
        <v/>
      </c>
      <c r="G88" s="31" t="n">
        <v>0.1</v>
      </c>
      <c r="H88" s="31" t="n">
        <v>0.1</v>
      </c>
      <c r="I88" s="4" t="inlineStr">
        <is>
          <t>CON REJILLA</t>
        </is>
      </c>
      <c r="J88" s="4" t="inlineStr">
        <is>
          <t>Entrega a EJE-12; caida 0.34 m</t>
        </is>
      </c>
    </row>
    <row r="89">
      <c r="A89" s="4" t="inlineStr">
        <is>
          <t>S-85</t>
        </is>
      </c>
      <c r="B89" s="4" t="inlineStr">
        <is>
          <t>EJE-17</t>
        </is>
      </c>
      <c r="C89" s="31" t="n">
        <v>0</v>
      </c>
      <c r="D89" s="31" t="n">
        <v>184.65</v>
      </c>
      <c r="E89" s="31" t="n">
        <v>184.35</v>
      </c>
      <c r="F89" s="32">
        <f>D89-E89</f>
        <v/>
      </c>
      <c r="G89" s="31" t="n">
        <v>0.1</v>
      </c>
      <c r="H89" s="31" t="n">
        <v>0.1</v>
      </c>
      <c r="I89" s="4" t="inlineStr">
        <is>
          <t>CON REJILLA</t>
        </is>
      </c>
      <c r="J89" s="4" t="inlineStr">
        <is>
          <t>Inicio del eje</t>
        </is>
      </c>
    </row>
    <row r="90">
      <c r="A90" s="4" t="inlineStr">
        <is>
          <t>S-86</t>
        </is>
      </c>
      <c r="B90" s="4" t="inlineStr">
        <is>
          <t>EJE-17</t>
        </is>
      </c>
      <c r="C90" s="31" t="n">
        <v>8.890000000000001</v>
      </c>
      <c r="D90" s="31" t="n">
        <v>184.65</v>
      </c>
      <c r="E90" s="31" t="n">
        <v>184.3</v>
      </c>
      <c r="F90" s="32">
        <f>D90-E90</f>
        <v/>
      </c>
      <c r="G90" s="31" t="n">
        <v>0.1</v>
      </c>
      <c r="H90" s="31" t="n">
        <v>0.1</v>
      </c>
      <c r="I90" s="4" t="inlineStr">
        <is>
          <t>TAPADA</t>
        </is>
      </c>
      <c r="J90" s="4" t="inlineStr">
        <is>
          <t>Inicio de tapado</t>
        </is>
      </c>
    </row>
    <row r="91">
      <c r="A91" s="4" t="inlineStr">
        <is>
          <t>S-87</t>
        </is>
      </c>
      <c r="B91" s="4" t="inlineStr">
        <is>
          <t>EJE-17</t>
        </is>
      </c>
      <c r="C91" s="31" t="n">
        <v>12.85</v>
      </c>
      <c r="D91" s="31" t="n">
        <v>184.65</v>
      </c>
      <c r="E91" s="31" t="n">
        <v>184.28</v>
      </c>
      <c r="F91" s="32">
        <f>D91-E91</f>
        <v/>
      </c>
      <c r="G91" s="31" t="n">
        <v>0.1</v>
      </c>
      <c r="H91" s="31" t="n">
        <v>0.1</v>
      </c>
      <c r="I91" s="4" t="inlineStr">
        <is>
          <t>CON REJILLA</t>
        </is>
      </c>
      <c r="J91" s="4" t="inlineStr">
        <is>
          <t>Fin de tapado</t>
        </is>
      </c>
    </row>
    <row r="92">
      <c r="A92" s="4" t="inlineStr">
        <is>
          <t>S-88</t>
        </is>
      </c>
      <c r="B92" s="4" t="inlineStr">
        <is>
          <t>EJE-17</t>
        </is>
      </c>
      <c r="C92" s="31" t="n">
        <v>39.03</v>
      </c>
      <c r="D92" s="31" t="n">
        <v>184.65</v>
      </c>
      <c r="E92" s="31" t="n">
        <v>184.149</v>
      </c>
      <c r="F92" s="32">
        <f>D92-E92</f>
        <v/>
      </c>
      <c r="G92" s="31" t="n">
        <v>0.1</v>
      </c>
      <c r="H92" s="31" t="n">
        <v>0.1</v>
      </c>
      <c r="I92" s="4" t="inlineStr">
        <is>
          <t>CON REJILLA</t>
        </is>
      </c>
      <c r="J92" s="4" t="inlineStr">
        <is>
          <t>Llega EJE-18</t>
        </is>
      </c>
    </row>
    <row r="93">
      <c r="A93" s="4" t="inlineStr">
        <is>
          <t>S-89</t>
        </is>
      </c>
      <c r="B93" s="4" t="inlineStr">
        <is>
          <t>EJE-17</t>
        </is>
      </c>
      <c r="C93" s="31" t="n">
        <v>39.53</v>
      </c>
      <c r="D93" s="31" t="n">
        <v>184.65</v>
      </c>
      <c r="E93" s="31" t="n">
        <v>184.147</v>
      </c>
      <c r="F93" s="32">
        <f>D93-E93</f>
        <v/>
      </c>
      <c r="G93" s="31" t="n">
        <v>0.1</v>
      </c>
      <c r="H93" s="31" t="n">
        <v>0.1</v>
      </c>
      <c r="I93" s="4" t="inlineStr">
        <is>
          <t>TAPADA</t>
        </is>
      </c>
      <c r="J93" s="4" t="inlineStr">
        <is>
          <t>Inicio de tapado</t>
        </is>
      </c>
    </row>
    <row r="94">
      <c r="A94" s="4" t="inlineStr">
        <is>
          <t>S-90</t>
        </is>
      </c>
      <c r="B94" s="4" t="inlineStr">
        <is>
          <t>EJE-17</t>
        </is>
      </c>
      <c r="C94" s="31" t="n">
        <v>40.13</v>
      </c>
      <c r="D94" s="31" t="n">
        <v>184.65</v>
      </c>
      <c r="E94" s="31" t="n">
        <v>184.144</v>
      </c>
      <c r="F94" s="32">
        <f>D94-E94</f>
        <v/>
      </c>
      <c r="G94" s="31" t="n">
        <v>0.1</v>
      </c>
      <c r="H94" s="31" t="n">
        <v>0.1</v>
      </c>
      <c r="I94" s="4" t="inlineStr">
        <is>
          <t>TAPADA</t>
        </is>
      </c>
      <c r="J94" s="4" t="inlineStr">
        <is>
          <t>Descarga D4</t>
        </is>
      </c>
    </row>
    <row r="95">
      <c r="A95" s="4" t="inlineStr">
        <is>
          <t>S-91</t>
        </is>
      </c>
      <c r="B95" s="4" t="inlineStr">
        <is>
          <t>EJE-18</t>
        </is>
      </c>
      <c r="C95" s="31" t="n">
        <v>0</v>
      </c>
      <c r="D95" s="31" t="n">
        <v>184.65</v>
      </c>
      <c r="E95" s="31" t="n">
        <v>184.35</v>
      </c>
      <c r="F95" s="32">
        <f>D95-E95</f>
        <v/>
      </c>
      <c r="G95" s="31" t="n">
        <v>0.1</v>
      </c>
      <c r="H95" s="31" t="n">
        <v>0.1</v>
      </c>
      <c r="I95" s="4" t="inlineStr">
        <is>
          <t>CON REJILLA</t>
        </is>
      </c>
      <c r="J95" s="4" t="inlineStr">
        <is>
          <t>Inicio del eje</t>
        </is>
      </c>
    </row>
    <row r="96">
      <c r="A96" s="4" t="inlineStr">
        <is>
          <t>S-92</t>
        </is>
      </c>
      <c r="B96" s="4" t="inlineStr">
        <is>
          <t>EJE-18</t>
        </is>
      </c>
      <c r="C96" s="31" t="n">
        <v>11.75</v>
      </c>
      <c r="D96" s="31" t="n">
        <v>184.65</v>
      </c>
      <c r="E96" s="31" t="n">
        <v>184.291</v>
      </c>
      <c r="F96" s="32">
        <f>D96-E96</f>
        <v/>
      </c>
      <c r="G96" s="31" t="n">
        <v>0.1</v>
      </c>
      <c r="H96" s="31" t="n">
        <v>0.1</v>
      </c>
      <c r="I96" s="4" t="inlineStr">
        <is>
          <t>CON REJILLA</t>
        </is>
      </c>
      <c r="J96" s="4" t="inlineStr"/>
    </row>
    <row r="97">
      <c r="A97" s="4" t="inlineStr">
        <is>
          <t>S-93</t>
        </is>
      </c>
      <c r="B97" s="4" t="inlineStr">
        <is>
          <t>EJE-18</t>
        </is>
      </c>
      <c r="C97" s="31" t="n">
        <v>37.22</v>
      </c>
      <c r="D97" s="31" t="n">
        <v>184.65</v>
      </c>
      <c r="E97" s="31" t="n">
        <v>184.164</v>
      </c>
      <c r="F97" s="32">
        <f>D97-E97</f>
        <v/>
      </c>
      <c r="G97" s="31" t="n">
        <v>0.1</v>
      </c>
      <c r="H97" s="31" t="n">
        <v>0.1</v>
      </c>
      <c r="I97" s="4" t="inlineStr">
        <is>
          <t>CON REJILLA</t>
        </is>
      </c>
      <c r="J97" s="4" t="inlineStr">
        <is>
          <t>Llega EJE-19</t>
        </is>
      </c>
    </row>
    <row r="98">
      <c r="A98" s="4" t="inlineStr">
        <is>
          <t>S-94</t>
        </is>
      </c>
      <c r="B98" s="4" t="inlineStr">
        <is>
          <t>EJE-18</t>
        </is>
      </c>
      <c r="C98" s="31" t="n">
        <v>39.13</v>
      </c>
      <c r="D98" s="31" t="n">
        <v>184.65</v>
      </c>
      <c r="E98" s="31" t="n">
        <v>184.154</v>
      </c>
      <c r="F98" s="32">
        <f>D98-E98</f>
        <v/>
      </c>
      <c r="G98" s="31" t="n">
        <v>0.1</v>
      </c>
      <c r="H98" s="31" t="n">
        <v>0.1</v>
      </c>
      <c r="I98" s="4" t="inlineStr">
        <is>
          <t>CON REJILLA</t>
        </is>
      </c>
      <c r="J98" s="4" t="inlineStr">
        <is>
          <t>Entrega a EJE-17</t>
        </is>
      </c>
    </row>
    <row r="99">
      <c r="A99" s="4" t="inlineStr">
        <is>
          <t>S-95</t>
        </is>
      </c>
      <c r="B99" s="4" t="inlineStr">
        <is>
          <t>EJE-19</t>
        </is>
      </c>
      <c r="C99" s="31" t="n">
        <v>0</v>
      </c>
      <c r="D99" s="31" t="n">
        <v>184.65</v>
      </c>
      <c r="E99" s="31" t="n">
        <v>184.35</v>
      </c>
      <c r="F99" s="32">
        <f>D99-E99</f>
        <v/>
      </c>
      <c r="G99" s="31" t="n">
        <v>0.1</v>
      </c>
      <c r="H99" s="31" t="n">
        <v>0.1</v>
      </c>
      <c r="I99" s="4" t="inlineStr">
        <is>
          <t>CON REJILLA</t>
        </is>
      </c>
      <c r="J99" s="4" t="inlineStr">
        <is>
          <t>Inicio del eje</t>
        </is>
      </c>
    </row>
    <row r="100">
      <c r="A100" s="4" t="inlineStr">
        <is>
          <t>S-96</t>
        </is>
      </c>
      <c r="B100" s="4" t="inlineStr">
        <is>
          <t>EJE-19</t>
        </is>
      </c>
      <c r="C100" s="31" t="n">
        <v>13.84</v>
      </c>
      <c r="D100" s="31" t="n">
        <v>184.65</v>
      </c>
      <c r="E100" s="31" t="n">
        <v>184.281</v>
      </c>
      <c r="F100" s="32">
        <f>D100-E100</f>
        <v/>
      </c>
      <c r="G100" s="31" t="n">
        <v>0.1</v>
      </c>
      <c r="H100" s="31" t="n">
        <v>0.1</v>
      </c>
      <c r="I100" s="4" t="inlineStr">
        <is>
          <t>CON REJILLA</t>
        </is>
      </c>
      <c r="J100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2026-10-21T01:09:23Z</dcterms:created>
  <dcterms:modified xmlns:dcterms="http://purl.org/dc/terms/" xmlns:xsi="http://www.w3.org/2001/XMLSchema-instance" xsi:type="dcterms:W3CDTF">2026-10-21T01:09:23Z</dcterms:modified>
</cp:coreProperties>
</file>