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  <sheet xmlns:r="http://schemas.openxmlformats.org/officeDocument/2006/relationships" name="TAPAS INSPEC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cortes generales del terreno y la red; DC-16 detalle de la descarga d1 por el cerco; DC-17 detalle de la descarga d2 por el cerco; DC-18 detalle de la descarga d3 por el cerco; DC-19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289 mm/h, C ponderado = 0.76, area total 9393 m2; menor borde libre 0.129 m en EJE-11 P-48-P-33 (Q 18.8 l/s, y 0.071,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1.97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ponderado (escorrentia)</t>
        </is>
      </c>
      <c r="B4" s="13" t="n">
        <v>0.761</v>
      </c>
    </row>
    <row r="5">
      <c r="A5" s="16" t="inlineStr">
        <is>
          <t>I (mm/h), T = 25 anos, tc = 10 min</t>
        </is>
      </c>
      <c r="B5" s="13" t="n">
        <v>288.63</v>
      </c>
    </row>
    <row r="6">
      <c r="A6" s="16" t="inlineStr">
        <is>
          <t>P max 24 h, T = 25 anos, Pongo de Caynarachi (mm)</t>
        </is>
      </c>
      <c r="B6" s="13" t="n">
        <v>166.64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48.11 mm (estacion Pongo de Caynarachi, SENAMHI 003317, 1989-2013; Dick y Peschke).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0.094</v>
      </c>
      <c r="H11" s="17" t="n">
        <v>0.3</v>
      </c>
      <c r="I11" s="19">
        <f>H11-G11</f>
        <v/>
      </c>
      <c r="J11" s="6" t="n">
        <v>0.83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0.096</v>
      </c>
      <c r="H12" s="17" t="n">
        <v>0.46</v>
      </c>
      <c r="I12" s="19">
        <f>H12-G12</f>
        <v/>
      </c>
      <c r="J12" s="6" t="n">
        <v>0.84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0.083</v>
      </c>
      <c r="H13" s="17" t="n">
        <v>0.3</v>
      </c>
      <c r="I13" s="19">
        <f>H13-G13</f>
        <v/>
      </c>
      <c r="J13" s="6" t="n">
        <v>0.78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0.08599999999999999</v>
      </c>
      <c r="H14" s="17" t="n">
        <v>0.46</v>
      </c>
      <c r="I14" s="19">
        <f>H14-G14</f>
        <v/>
      </c>
      <c r="J14" s="6" t="n">
        <v>0.8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0.103</v>
      </c>
      <c r="H15" s="17" t="n">
        <v>0.46</v>
      </c>
      <c r="I15" s="19">
        <f>H15-G15</f>
        <v/>
      </c>
      <c r="J15" s="6" t="n">
        <v>0.87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0.09</v>
      </c>
      <c r="H16" s="17" t="n">
        <v>0.52</v>
      </c>
      <c r="I16" s="19">
        <f>H16-G16</f>
        <v/>
      </c>
      <c r="J16" s="6" t="n">
        <v>1.97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0.314</v>
      </c>
      <c r="H17" s="17" t="n">
        <v>0.77</v>
      </c>
      <c r="I17" s="19">
        <f>H17-G17</f>
        <v/>
      </c>
      <c r="J17" s="6" t="n">
        <v>1.3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0.314</v>
      </c>
      <c r="H18" s="17" t="n">
        <v>0.83</v>
      </c>
      <c r="I18" s="19">
        <f>H18-G18</f>
        <v/>
      </c>
      <c r="J18" s="6" t="n">
        <v>1.3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0.399</v>
      </c>
      <c r="H19" s="17" t="n">
        <v>0.83</v>
      </c>
      <c r="I19" s="19">
        <f>H19-G19</f>
        <v/>
      </c>
      <c r="J19" s="6" t="n">
        <v>1.38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0.399</v>
      </c>
      <c r="H20" s="17" t="n">
        <v>0.79</v>
      </c>
      <c r="I20" s="19">
        <f>H20-G20</f>
        <v/>
      </c>
      <c r="J20" s="6" t="n">
        <v>1.38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0.448</v>
      </c>
      <c r="H21" s="17" t="n">
        <v>0.79</v>
      </c>
      <c r="I21" s="19">
        <f>H21-G21</f>
        <v/>
      </c>
      <c r="J21" s="6" t="n">
        <v>1.42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0.091</v>
      </c>
      <c r="H22" s="17" t="n">
        <v>0.3</v>
      </c>
      <c r="I22" s="19">
        <f>H22-G22</f>
        <v/>
      </c>
      <c r="J22" s="6" t="n">
        <v>0.82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0.077</v>
      </c>
      <c r="H23" s="17" t="n">
        <v>0.3</v>
      </c>
      <c r="I23" s="19">
        <f>H23-G23</f>
        <v/>
      </c>
      <c r="J23" s="6" t="n">
        <v>0.75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0.08400000000000001</v>
      </c>
      <c r="H24" s="17" t="n">
        <v>0.43</v>
      </c>
      <c r="I24" s="19">
        <f>H24-G24</f>
        <v/>
      </c>
      <c r="J24" s="6" t="n">
        <v>0.79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0.08400000000000001</v>
      </c>
      <c r="H25" s="17" t="n">
        <v>0.47</v>
      </c>
      <c r="I25" s="19">
        <f>H25-G25</f>
        <v/>
      </c>
      <c r="J25" s="6" t="n">
        <v>0.79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0.104</v>
      </c>
      <c r="H26" s="17" t="n">
        <v>0.48</v>
      </c>
      <c r="I26" s="19">
        <f>H26-G26</f>
        <v/>
      </c>
      <c r="J26" s="6" t="n">
        <v>0.87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0.129</v>
      </c>
      <c r="H27" s="17" t="n">
        <v>0.49</v>
      </c>
      <c r="I27" s="19">
        <f>H27-G27</f>
        <v/>
      </c>
      <c r="J27" s="6" t="n">
        <v>0.96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0.139</v>
      </c>
      <c r="H28" s="17" t="n">
        <v>0.57</v>
      </c>
      <c r="I28" s="19">
        <f>H28-G28</f>
        <v/>
      </c>
      <c r="J28" s="6" t="n">
        <v>0.99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0.186</v>
      </c>
      <c r="H29" s="17" t="n">
        <v>0.61</v>
      </c>
      <c r="I29" s="19">
        <f>H29-G29</f>
        <v/>
      </c>
      <c r="J29" s="6" t="n">
        <v>1.1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0.059</v>
      </c>
      <c r="H30" s="17" t="n">
        <v>0.3</v>
      </c>
      <c r="I30" s="19">
        <f>H30-G30</f>
        <v/>
      </c>
      <c r="J30" s="6" t="n">
        <v>0.66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0.064</v>
      </c>
      <c r="H31" s="17" t="n">
        <v>0.41</v>
      </c>
      <c r="I31" s="19">
        <f>H31-G31</f>
        <v/>
      </c>
      <c r="J31" s="6" t="n">
        <v>0.6899999999999999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0.08799999999999999</v>
      </c>
      <c r="H32" s="17" t="n">
        <v>0.44</v>
      </c>
      <c r="I32" s="19">
        <f>H32-G32</f>
        <v/>
      </c>
      <c r="J32" s="6" t="n">
        <v>0.8100000000000001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0.093</v>
      </c>
      <c r="H33" s="17" t="n">
        <v>0.53</v>
      </c>
      <c r="I33" s="19">
        <f>H33-G33</f>
        <v/>
      </c>
      <c r="J33" s="6" t="n">
        <v>0.83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0.135</v>
      </c>
      <c r="H34" s="17" t="n">
        <v>0.55</v>
      </c>
      <c r="I34" s="19">
        <f>H34-G34</f>
        <v/>
      </c>
      <c r="J34" s="6" t="n">
        <v>0.97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0.038</v>
      </c>
      <c r="H35" s="17" t="n">
        <v>0.3</v>
      </c>
      <c r="I35" s="19">
        <f>H35-G35</f>
        <v/>
      </c>
      <c r="J35" s="6" t="n">
        <v>0.52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0.029</v>
      </c>
      <c r="H36" s="17" t="n">
        <v>0.3</v>
      </c>
      <c r="I36" s="19">
        <f>H36-G36</f>
        <v/>
      </c>
      <c r="J36" s="6" t="n">
        <v>0.83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0.165</v>
      </c>
      <c r="H37" s="17" t="n">
        <v>0.5</v>
      </c>
      <c r="I37" s="19">
        <f>H37-G37</f>
        <v/>
      </c>
      <c r="J37" s="6" t="n">
        <v>1.05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0.219</v>
      </c>
      <c r="H38" s="17" t="n">
        <v>0.59</v>
      </c>
      <c r="I38" s="19">
        <f>H38-G38</f>
        <v/>
      </c>
      <c r="J38" s="6" t="n">
        <v>1.16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0.219</v>
      </c>
      <c r="H39" s="17" t="n">
        <v>0.61</v>
      </c>
      <c r="I39" s="19">
        <f>H39-G39</f>
        <v/>
      </c>
      <c r="J39" s="6" t="n">
        <v>1.17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0.246</v>
      </c>
      <c r="H40" s="17" t="n">
        <v>0.62</v>
      </c>
      <c r="I40" s="19">
        <f>H40-G40</f>
        <v/>
      </c>
      <c r="J40" s="6" t="n">
        <v>1.21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0.246</v>
      </c>
      <c r="H41" s="17" t="n">
        <v>0.73</v>
      </c>
      <c r="I41" s="19">
        <f>H41-G41</f>
        <v/>
      </c>
      <c r="J41" s="6" t="n">
        <v>1.21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0.304</v>
      </c>
      <c r="H42" s="17" t="n">
        <v>0.73</v>
      </c>
      <c r="I42" s="19">
        <f>H42-G42</f>
        <v/>
      </c>
      <c r="J42" s="6" t="n">
        <v>1.29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0.338</v>
      </c>
      <c r="H43" s="17" t="n">
        <v>0.79</v>
      </c>
      <c r="I43" s="19">
        <f>H43-G43</f>
        <v/>
      </c>
      <c r="J43" s="6" t="n">
        <v>1.32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0.338</v>
      </c>
      <c r="H44" s="17" t="n">
        <v>0.7</v>
      </c>
      <c r="I44" s="19">
        <f>H44-G44</f>
        <v/>
      </c>
      <c r="J44" s="6" t="n">
        <v>1.32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0.338</v>
      </c>
      <c r="H45" s="17" t="n">
        <v>0.7</v>
      </c>
      <c r="I45" s="19">
        <f>H45-G45</f>
        <v/>
      </c>
      <c r="J45" s="6" t="n">
        <v>1.33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0.339</v>
      </c>
      <c r="H46" s="17" t="n">
        <v>0.74</v>
      </c>
      <c r="I46" s="19">
        <f>H46-G46</f>
        <v/>
      </c>
      <c r="J46" s="6" t="n">
        <v>1.33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0.34</v>
      </c>
      <c r="H47" s="17" t="n">
        <v>0.74</v>
      </c>
      <c r="I47" s="19">
        <f>H47-G47</f>
        <v/>
      </c>
      <c r="J47" s="6" t="n">
        <v>1.33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0.34</v>
      </c>
      <c r="H48" s="17" t="n">
        <v>0.77</v>
      </c>
      <c r="I48" s="19">
        <f>H48-G48</f>
        <v/>
      </c>
      <c r="J48" s="6" t="n">
        <v>1.33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0.343</v>
      </c>
      <c r="H49" s="17" t="n">
        <v>0.77</v>
      </c>
      <c r="I49" s="19">
        <f>H49-G49</f>
        <v/>
      </c>
      <c r="J49" s="6" t="n">
        <v>1.33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0.344</v>
      </c>
      <c r="H50" s="17" t="n">
        <v>0.8100000000000001</v>
      </c>
      <c r="I50" s="19">
        <f>H50-G50</f>
        <v/>
      </c>
      <c r="J50" s="6" t="n">
        <v>1.33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0.344</v>
      </c>
      <c r="H51" s="17" t="n">
        <v>0.8100000000000001</v>
      </c>
      <c r="I51" s="19">
        <f>H51-G51</f>
        <v/>
      </c>
      <c r="J51" s="6" t="n">
        <v>1.33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0.025</v>
      </c>
      <c r="H52" s="17" t="n">
        <v>0.3</v>
      </c>
      <c r="I52" s="19">
        <f>H52-G52</f>
        <v/>
      </c>
      <c r="J52" s="6" t="n">
        <v>0.41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0.119</v>
      </c>
      <c r="H53" s="17" t="n">
        <v>0.32</v>
      </c>
      <c r="I53" s="19">
        <f>H53-G53</f>
        <v/>
      </c>
      <c r="J53" s="6" t="n">
        <v>0.92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0.093</v>
      </c>
      <c r="H54" s="17" t="n">
        <v>0.3</v>
      </c>
      <c r="I54" s="19">
        <f>H54-G54</f>
        <v/>
      </c>
      <c r="J54" s="6" t="n">
        <v>0.83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0.063</v>
      </c>
      <c r="H55" s="17" t="n">
        <v>0.3</v>
      </c>
      <c r="I55" s="19">
        <f>H55-G55</f>
        <v/>
      </c>
      <c r="J55" s="6" t="n">
        <v>0.6899999999999999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0.06900000000000001</v>
      </c>
      <c r="H56" s="17" t="n">
        <v>0.39</v>
      </c>
      <c r="I56" s="19">
        <f>H56-G56</f>
        <v/>
      </c>
      <c r="J56" s="6" t="n">
        <v>0.71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0.07099999999999999</v>
      </c>
      <c r="H57" s="17" t="n">
        <v>0.42</v>
      </c>
      <c r="I57" s="19">
        <f>H57-G57</f>
        <v/>
      </c>
      <c r="J57" s="6" t="n">
        <v>0.73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0.089</v>
      </c>
      <c r="H58" s="17" t="n">
        <v>0.42</v>
      </c>
      <c r="I58" s="19">
        <f>H58-G58</f>
        <v/>
      </c>
      <c r="J58" s="6" t="n">
        <v>0.8100000000000001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0.089</v>
      </c>
      <c r="H59" s="17" t="n">
        <v>0.48</v>
      </c>
      <c r="I59" s="19">
        <f>H59-G59</f>
        <v/>
      </c>
      <c r="J59" s="6" t="n">
        <v>0.8100000000000001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0.07099999999999999</v>
      </c>
      <c r="H60" s="17" t="n">
        <v>0.2</v>
      </c>
      <c r="I60" s="19">
        <f>H60-G60</f>
        <v/>
      </c>
      <c r="J60" s="6" t="n">
        <v>0.73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0.07000000000000001</v>
      </c>
      <c r="H61" s="17" t="n">
        <v>0.3</v>
      </c>
      <c r="I61" s="19">
        <f>H61-G61</f>
        <v/>
      </c>
      <c r="J61" s="6" t="n">
        <v>0.72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0.07199999999999999</v>
      </c>
      <c r="H62" s="17" t="n">
        <v>0.38</v>
      </c>
      <c r="I62" s="19">
        <f>H62-G62</f>
        <v/>
      </c>
      <c r="J62" s="6" t="n">
        <v>0.73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0.111</v>
      </c>
      <c r="H63" s="17" t="n">
        <v>0.38</v>
      </c>
      <c r="I63" s="19">
        <f>H63-G63</f>
        <v/>
      </c>
      <c r="J63" s="6" t="n">
        <v>0.9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0.111</v>
      </c>
      <c r="H64" s="17" t="n">
        <v>0.49</v>
      </c>
      <c r="I64" s="19">
        <f>H64-G64</f>
        <v/>
      </c>
      <c r="J64" s="6" t="n">
        <v>0.9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0.161</v>
      </c>
      <c r="H65" s="17" t="n">
        <v>0.5</v>
      </c>
      <c r="I65" s="19">
        <f>H65-G65</f>
        <v/>
      </c>
      <c r="J65" s="6" t="n">
        <v>1.04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0.202</v>
      </c>
      <c r="H66" s="17" t="n">
        <v>0.52</v>
      </c>
      <c r="I66" s="19">
        <f>H66-G66</f>
        <v/>
      </c>
      <c r="J66" s="6" t="n">
        <v>1.13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0.306</v>
      </c>
      <c r="H67" s="17" t="n">
        <v>0.5600000000000001</v>
      </c>
      <c r="I67" s="19">
        <f>H67-G67</f>
        <v/>
      </c>
      <c r="J67" s="6" t="n">
        <v>1.29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0.372</v>
      </c>
      <c r="H68" s="17" t="n">
        <v>0.62</v>
      </c>
      <c r="I68" s="19">
        <f>H68-G68</f>
        <v/>
      </c>
      <c r="J68" s="6" t="n">
        <v>1.36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0.389</v>
      </c>
      <c r="H69" s="17" t="n">
        <v>0.57</v>
      </c>
      <c r="I69" s="19">
        <f>H69-G69</f>
        <v/>
      </c>
      <c r="J69" s="6" t="n">
        <v>1.37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0.39</v>
      </c>
      <c r="H70" s="17" t="n">
        <v>0.63</v>
      </c>
      <c r="I70" s="19">
        <f>H70-G70</f>
        <v/>
      </c>
      <c r="J70" s="6" t="n">
        <v>1.37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0.39</v>
      </c>
      <c r="H71" s="17" t="n">
        <v>0.64</v>
      </c>
      <c r="I71" s="19">
        <f>H71-G71</f>
        <v/>
      </c>
      <c r="J71" s="6" t="n">
        <v>1.37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0.447</v>
      </c>
      <c r="H72" s="17" t="n">
        <v>0.64</v>
      </c>
      <c r="I72" s="19">
        <f>H72-G72</f>
        <v/>
      </c>
      <c r="J72" s="6" t="n">
        <v>1.42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0.074</v>
      </c>
      <c r="H73" s="17" t="n">
        <v>0.3</v>
      </c>
      <c r="I73" s="19">
        <f>H73-G73</f>
        <v/>
      </c>
      <c r="J73" s="6" t="n">
        <v>0.74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0.064</v>
      </c>
      <c r="H74" s="17" t="n">
        <v>0.3</v>
      </c>
      <c r="I74" s="19">
        <f>H74-G74</f>
        <v/>
      </c>
      <c r="J74" s="6" t="n">
        <v>0.6899999999999999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0.06900000000000001</v>
      </c>
      <c r="H75" s="17" t="n">
        <v>0.38</v>
      </c>
      <c r="I75" s="19">
        <f>H75-G75</f>
        <v/>
      </c>
      <c r="J75" s="6" t="n">
        <v>0.72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0.116</v>
      </c>
      <c r="H76" s="17" t="n">
        <v>0.35</v>
      </c>
      <c r="I76" s="19">
        <f>H76-G76</f>
        <v/>
      </c>
      <c r="J76" s="6" t="n">
        <v>0.91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0.116</v>
      </c>
      <c r="H77" s="17" t="n">
        <v>0.35</v>
      </c>
      <c r="I77" s="19">
        <f>H77-G77</f>
        <v/>
      </c>
      <c r="J77" s="6" t="n">
        <v>0.91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0.117</v>
      </c>
      <c r="H78" s="17" t="n">
        <v>0.35</v>
      </c>
      <c r="I78" s="19">
        <f>H78-G78</f>
        <v/>
      </c>
      <c r="J78" s="6" t="n">
        <v>0.92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0.147</v>
      </c>
      <c r="H79" s="17" t="n">
        <v>0.35</v>
      </c>
      <c r="I79" s="19">
        <f>H79-G79</f>
        <v/>
      </c>
      <c r="J79" s="6" t="n">
        <v>1.01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0.151</v>
      </c>
      <c r="H80" s="17" t="n">
        <v>0.45</v>
      </c>
      <c r="I80" s="19">
        <f>H80-G80</f>
        <v/>
      </c>
      <c r="J80" s="6" t="n">
        <v>1.02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0.054</v>
      </c>
      <c r="H81" s="17" t="n">
        <v>0.3</v>
      </c>
      <c r="I81" s="19">
        <f>H81-G81</f>
        <v/>
      </c>
      <c r="J81" s="6" t="n">
        <v>0.63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0.055</v>
      </c>
      <c r="H82" s="17" t="n">
        <v>0.36</v>
      </c>
      <c r="I82" s="19">
        <f>H82-G82</f>
        <v/>
      </c>
      <c r="J82" s="6" t="n">
        <v>0.63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0.102</v>
      </c>
      <c r="H83" s="17" t="n">
        <v>0.35</v>
      </c>
      <c r="I83" s="19">
        <f>H83-G83</f>
        <v/>
      </c>
      <c r="J83" s="6" t="n">
        <v>0.93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0.112</v>
      </c>
      <c r="H84" s="17" t="n">
        <v>0.35</v>
      </c>
      <c r="I84" s="19">
        <f>H84-G84</f>
        <v/>
      </c>
      <c r="J84" s="6" t="n">
        <v>0.9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0.081</v>
      </c>
      <c r="H85" s="17" t="n">
        <v>0.3</v>
      </c>
      <c r="I85" s="19">
        <f>H85-G85</f>
        <v/>
      </c>
      <c r="J85" s="6" t="n">
        <v>0.78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0.08500000000000001</v>
      </c>
      <c r="H86" s="17" t="n">
        <v>0.45</v>
      </c>
      <c r="I86" s="19">
        <f>H86-G86</f>
        <v/>
      </c>
      <c r="J86" s="6" t="n">
        <v>0.79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0.08699999999999999</v>
      </c>
      <c r="H87" s="17" t="n">
        <v>0.46</v>
      </c>
      <c r="I87" s="19">
        <f>H87-G87</f>
        <v/>
      </c>
      <c r="J87" s="6" t="n">
        <v>0.8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0.08699999999999999</v>
      </c>
      <c r="H88" s="17" t="n">
        <v>0.47</v>
      </c>
      <c r="I88" s="19">
        <f>H88-G88</f>
        <v/>
      </c>
      <c r="J88" s="6" t="n">
        <v>0.8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0.107</v>
      </c>
      <c r="H89" s="17" t="n">
        <v>0.4</v>
      </c>
      <c r="I89" s="19">
        <f>H89-G89</f>
        <v/>
      </c>
      <c r="J89" s="6" t="n">
        <v>0.88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0.107</v>
      </c>
      <c r="H90" s="17" t="n">
        <v>0.4</v>
      </c>
      <c r="I90" s="19">
        <f>H90-G90</f>
        <v/>
      </c>
      <c r="J90" s="6" t="n">
        <v>0.88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0.07000000000000001</v>
      </c>
      <c r="H91" s="17" t="n">
        <v>0.2</v>
      </c>
      <c r="I91" s="19">
        <f>H91-G91</f>
        <v/>
      </c>
      <c r="J91" s="6" t="n">
        <v>0.73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0.07099999999999999</v>
      </c>
      <c r="H92" s="17" t="n">
        <v>0.5</v>
      </c>
      <c r="I92" s="19">
        <f>H92-G92</f>
        <v/>
      </c>
      <c r="J92" s="6" t="n">
        <v>0.72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0.129</v>
      </c>
      <c r="H93" s="17" t="n">
        <v>0.5</v>
      </c>
      <c r="I93" s="19">
        <f>H93-G93</f>
        <v/>
      </c>
      <c r="J93" s="6" t="n">
        <v>0.96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0.129</v>
      </c>
      <c r="H94" s="17" t="n">
        <v>0.4</v>
      </c>
      <c r="I94" s="19">
        <f>H94-G94</f>
        <v/>
      </c>
      <c r="J94" s="6" t="n">
        <v>0.96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0.037</v>
      </c>
      <c r="H95" s="17" t="n">
        <v>0.3</v>
      </c>
      <c r="I95" s="19">
        <f>H95-G95</f>
        <v/>
      </c>
      <c r="J95" s="6" t="n">
        <v>0.51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0.037</v>
      </c>
      <c r="H96" s="17" t="n">
        <v>0.36</v>
      </c>
      <c r="I96" s="19">
        <f>H96-G96</f>
        <v/>
      </c>
      <c r="J96" s="6" t="n">
        <v>0.51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0.07099999999999999</v>
      </c>
      <c r="H97" s="17" t="n">
        <v>0.36</v>
      </c>
      <c r="I97" s="19">
        <f>H97-G97</f>
        <v/>
      </c>
      <c r="J97" s="6" t="n">
        <v>0.73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0.07099999999999999</v>
      </c>
      <c r="H98" s="17" t="n">
        <v>0.48</v>
      </c>
      <c r="I98" s="19">
        <f>H98-G98</f>
        <v/>
      </c>
      <c r="J98" s="6" t="n">
        <v>0.73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0.089</v>
      </c>
      <c r="H99" s="17" t="n">
        <v>0.49</v>
      </c>
      <c r="I99" s="19">
        <f>H99-G99</f>
        <v/>
      </c>
      <c r="J99" s="6" t="n">
        <v>0.8100000000000001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0.038</v>
      </c>
      <c r="H100" s="17" t="n">
        <v>0.3</v>
      </c>
      <c r="I100" s="19">
        <f>H100-G100</f>
        <v/>
      </c>
      <c r="J100" s="6" t="n">
        <v>0.52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0.038</v>
      </c>
      <c r="H101" s="17" t="n">
        <v>0.37</v>
      </c>
      <c r="I101" s="19">
        <f>H101-G101</f>
        <v/>
      </c>
      <c r="J101" s="6" t="n">
        <v>0.52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norte, tramo oeste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central, bajada al atrio de ingreso y salida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central, bajada al atrio de ingreso y salida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central, bajada al atrio de ingreso y salida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central, bajada al atrio de ingreso y salida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central, bajada al atrio de ingreso y salida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central, bajada al atrio de ingreso y salida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central, bajada al atrio de ingreso y salida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central, bajada al atrio de ingreso y salida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central, bajada al atrio de ingreso y salida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central, bajada al atrio de ingreso y salida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central, bajada al atrio de ingreso y salida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central, bajada al atrio de ingreso y salida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central, bajada al atrio de ingreso y salida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central, bajada al atrio de ingreso y salida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central, bajada al atrio de ingreso y salida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central, bajada al atrio de ingreso y salida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Bloque del frente: lado norte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Bloque del frente: lado norte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Bloque del frente: lado norte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Bloque del frente: lado norte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Bloque del frente: lado norte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Bloque nor-este: lado sur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Bloque nor-este: lado sur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Bloque nor-este: lado sur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Bloque nor-este: lado sur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Bloque nor-este: lado sur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Bloque nor-este: lado sur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Bloque nor-este: lado sur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lados oeste y norte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lados oeste y norte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lados oeste y norte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lados oeste y norte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lados este y norte,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lados este y norte,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lados este y norte,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lados este y norte,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lados este y norte,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5" customWidth="1" min="4" max="4"/>
    <col width="15" customWidth="1" min="5" max="5"/>
    <col width="46" customWidth="1" min="6" max="6"/>
  </cols>
  <sheetData>
    <row r="1">
      <c r="A1" s="1" t="inlineStr">
        <is>
          <t>TAPAS DE INSPECCION EN TRAMOS TAPADOS (0.60 x 0.60, CONCRETO REMOVIBLE)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ESTE (m)</t>
        </is>
      </c>
      <c r="E4" s="3" t="inlineStr">
        <is>
          <t>NORTE (m)</t>
        </is>
      </c>
      <c r="F4" s="3" t="inlineStr">
        <is>
          <t>UBICACION</t>
        </is>
      </c>
    </row>
    <row r="5">
      <c r="A5" s="4" t="inlineStr">
        <is>
          <t>T-01</t>
        </is>
      </c>
      <c r="B5" s="4" t="inlineStr">
        <is>
          <t>EJE-02</t>
        </is>
      </c>
      <c r="C5" s="31" t="n">
        <v>75.73999999999999</v>
      </c>
      <c r="D5" s="28" t="n">
        <v>354820.328</v>
      </c>
      <c r="E5" s="28" t="n">
        <v>9249849.642999999</v>
      </c>
      <c r="F5" s="4" t="inlineStr">
        <is>
          <t>Inicio / fin de tramo tapado, empalme o a 10 m como maximo</t>
        </is>
      </c>
    </row>
    <row r="6">
      <c r="A6" s="4" t="inlineStr">
        <is>
          <t>T-02</t>
        </is>
      </c>
      <c r="B6" s="4" t="inlineStr">
        <is>
          <t>EJE-07</t>
        </is>
      </c>
      <c r="C6" s="31" t="n">
        <v>72.19</v>
      </c>
      <c r="D6" s="28" t="n">
        <v>354919.895</v>
      </c>
      <c r="E6" s="28" t="n">
        <v>9249801.445</v>
      </c>
      <c r="F6" s="4" t="inlineStr">
        <is>
          <t>Inicio / fin de tramo tapado, empalme o a 10 m como maximo</t>
        </is>
      </c>
    </row>
    <row r="7">
      <c r="A7" s="4" t="inlineStr">
        <is>
          <t>T-03</t>
        </is>
      </c>
      <c r="B7" s="4" t="inlineStr">
        <is>
          <t>EJE-07</t>
        </is>
      </c>
      <c r="C7" s="31" t="n">
        <v>79.41</v>
      </c>
      <c r="D7" s="28" t="n">
        <v>354926.978</v>
      </c>
      <c r="E7" s="28" t="n">
        <v>9249801.122</v>
      </c>
      <c r="F7" s="4" t="inlineStr">
        <is>
          <t>Inicio / fin de tramo tapado, empalme o a 10 m como maximo</t>
        </is>
      </c>
    </row>
    <row r="8">
      <c r="A8" s="4" t="inlineStr">
        <is>
          <t>T-04</t>
        </is>
      </c>
      <c r="B8" s="4" t="inlineStr">
        <is>
          <t>EJE-07</t>
        </is>
      </c>
      <c r="C8" s="31" t="n">
        <v>86.62</v>
      </c>
      <c r="D8" s="28" t="n">
        <v>354928.135</v>
      </c>
      <c r="E8" s="28" t="n">
        <v>9249794.353</v>
      </c>
      <c r="F8" s="4" t="inlineStr">
        <is>
          <t>Inicio / fin de tramo tapado, empalme o a 10 m como maximo</t>
        </is>
      </c>
    </row>
    <row r="9">
      <c r="A9" s="4" t="inlineStr">
        <is>
          <t>T-05</t>
        </is>
      </c>
      <c r="B9" s="4" t="inlineStr">
        <is>
          <t>EJE-07</t>
        </is>
      </c>
      <c r="C9" s="31" t="n">
        <v>93.84</v>
      </c>
      <c r="D9" s="28" t="n">
        <v>354935.2</v>
      </c>
      <c r="E9" s="28" t="n">
        <v>9249792.92</v>
      </c>
      <c r="F9" s="4" t="inlineStr">
        <is>
          <t>Inicio / fin de tramo tapado, empalme o a 10 m como maximo</t>
        </is>
      </c>
    </row>
    <row r="10">
      <c r="A10" s="4" t="inlineStr">
        <is>
          <t>T-06</t>
        </is>
      </c>
      <c r="B10" s="4" t="inlineStr">
        <is>
          <t>EJE-12</t>
        </is>
      </c>
      <c r="C10" s="31" t="n">
        <v>103.56</v>
      </c>
      <c r="D10" s="28" t="n">
        <v>354976.611</v>
      </c>
      <c r="E10" s="28" t="n">
        <v>9249860.776000001</v>
      </c>
      <c r="F10" s="4" t="inlineStr">
        <is>
          <t>Inicio / fin de tramo tapado, empalme o a 10 m como maximo</t>
        </is>
      </c>
    </row>
    <row r="11">
      <c r="A11" s="4" t="inlineStr">
        <is>
          <t>T-07</t>
        </is>
      </c>
      <c r="B11" s="4" t="inlineStr">
        <is>
          <t>EJE-12</t>
        </is>
      </c>
      <c r="C11" s="31" t="n">
        <v>110.54</v>
      </c>
      <c r="D11" s="28" t="n">
        <v>354971.554</v>
      </c>
      <c r="E11" s="28" t="n">
        <v>9249865.593</v>
      </c>
      <c r="F11" s="4" t="inlineStr">
        <is>
          <t>Inicio / fin de tramo tapado, empalme o a 10 m como maximo</t>
        </is>
      </c>
    </row>
    <row r="12">
      <c r="A12" s="4" t="inlineStr">
        <is>
          <t>T-08</t>
        </is>
      </c>
      <c r="B12" s="4" t="inlineStr">
        <is>
          <t>EJE-12</t>
        </is>
      </c>
      <c r="C12" s="31" t="n">
        <v>117.53</v>
      </c>
      <c r="D12" s="28" t="n">
        <v>354965.926</v>
      </c>
      <c r="E12" s="28" t="n">
        <v>9249868.98</v>
      </c>
      <c r="F12" s="4" t="inlineStr">
        <is>
          <t>Inicio / fin de tramo tapado, empalme o a 10 m como maximo</t>
        </is>
      </c>
    </row>
    <row r="13">
      <c r="A13" s="4" t="inlineStr">
        <is>
          <t>T-09</t>
        </is>
      </c>
      <c r="B13" s="4" t="inlineStr">
        <is>
          <t>EJE-17</t>
        </is>
      </c>
      <c r="C13" s="31" t="n">
        <v>9.35</v>
      </c>
      <c r="D13" s="28" t="n">
        <v>354940.68</v>
      </c>
      <c r="E13" s="28" t="n">
        <v>9249853.501</v>
      </c>
      <c r="F13" s="4" t="inlineStr">
        <is>
          <t>Inicio / fin de tramo tapado, empalme o a 10 m como maximo</t>
        </is>
      </c>
    </row>
    <row r="14">
      <c r="A14" s="4" t="inlineStr">
        <is>
          <t>T-10</t>
        </is>
      </c>
      <c r="B14" s="4" t="inlineStr">
        <is>
          <t>EJE-17</t>
        </is>
      </c>
      <c r="C14" s="31" t="n">
        <v>12.53</v>
      </c>
      <c r="D14" s="28" t="n">
        <v>354937.5</v>
      </c>
      <c r="E14" s="28" t="n">
        <v>9249853.512</v>
      </c>
      <c r="F14" s="4" t="inlineStr">
        <is>
          <t>Inicio / fin de tramo tapado, empalme o a 10 m como maximo</t>
        </is>
      </c>
    </row>
    <row r="15">
      <c r="B15" s="7" t="inlineStr">
        <is>
          <t>TOTAL</t>
        </is>
      </c>
      <c r="C15" s="29">
        <f>COUNTA(B5:B14)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2026-10-21T16:11:43Z</dcterms:created>
  <dcterms:modified xmlns:dcterms="http://purl.org/dc/terms/" xmlns:xsi="http://www.w3.org/2001/XMLSchema-instance" xsi:type="dcterms:W3CDTF">2026-10-21T16:11:43Z</dcterms:modified>
</cp:coreProperties>
</file>