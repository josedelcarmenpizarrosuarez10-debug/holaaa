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RIFICACION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HIDRAULICA" sheetId="4" state="visible" r:id="rId4"/>
    <sheet xmlns:r="http://schemas.openxmlformats.org/officeDocument/2006/relationships" name="TRAMOS" sheetId="5" state="visible" r:id="rId5"/>
    <sheet xmlns:r="http://schemas.openxmlformats.org/officeDocument/2006/relationships" name="NUDOS" sheetId="6" state="visible" r:id="rId6"/>
    <sheet xmlns:r="http://schemas.openxmlformats.org/officeDocument/2006/relationships" name="SE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sz val="8"/>
    </font>
    <font>
      <name val="Arial"/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5" fillId="0" borderId="0" pivotButton="0" quotePrefix="0" xfId="0"/>
    <xf numFmtId="2" fontId="5" fillId="4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2" fontId="4" fillId="0" borderId="1" pivotButton="0" quotePrefix="0" xfId="0"/>
    <xf numFmtId="2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5" customWidth="1" min="3" max="3"/>
    <col width="13" customWidth="1" min="4" max="4"/>
    <col width="13" customWidth="1" min="5" max="5"/>
    <col width="70" customWidth="1" min="6" max="6"/>
  </cols>
  <sheetData>
    <row r="1">
      <c r="A1" s="1" t="inlineStr">
        <is>
          <t>RESUMEN DEL PLANTEAMIENTO PRELIMINAR DE CUNETAS POR SISTEMA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 ht="30" customHeight="1">
      <c r="A4" s="3" t="inlineStr">
        <is>
          <t>SISTEMA</t>
        </is>
      </c>
      <c r="B4" s="3" t="inlineStr">
        <is>
          <t>LONGITUD (m)</t>
        </is>
      </c>
      <c r="C4" s="3" t="inlineStr">
        <is>
          <t>CON REJILLA (m)</t>
        </is>
      </c>
      <c r="D4" s="3" t="inlineStr">
        <is>
          <t>TAPADO (m)</t>
        </is>
      </c>
      <c r="E4" s="3" t="inlineStr">
        <is>
          <t>h MAXIMA (m)</t>
        </is>
      </c>
      <c r="F4" s="3" t="inlineStr">
        <is>
          <t>DESCARGA</t>
        </is>
      </c>
    </row>
    <row r="5">
      <c r="A5" s="4" t="inlineStr">
        <is>
          <t>SISTEMA 1 - OESTE (descarga D1)</t>
        </is>
      </c>
      <c r="B5" s="5">
        <f>SUMIF(TRAMOS!$A$5:$A$70,1,TRAMOS!$E$5:$E$70)</f>
        <v/>
      </c>
      <c r="C5" s="5">
        <f>SUMIF(TRAMOS!$A$5:$A$70,1,TRAMOS!$N$5:$N$70)</f>
        <v/>
      </c>
      <c r="D5" s="5">
        <f>SUMIF(TRAMOS!$A$5:$A$70,1,TRAMOS!$M$5:$M$70)</f>
        <v/>
      </c>
      <c r="E5" s="6" t="n">
        <v>0.894</v>
      </c>
      <c r="F5" s="4" t="inlineStr">
        <is>
          <t>D1: Cerco sur-oeste (lado C22-C1, x = 820.1): al talud natural que baja a la quebrada del oeste</t>
        </is>
      </c>
    </row>
    <row r="6">
      <c r="A6" s="4" t="inlineStr">
        <is>
          <t>SISTEMA 2 - CENTRO Y FRENTE SUR (descarga D3)</t>
        </is>
      </c>
      <c r="B6" s="5">
        <f>SUMIF(TRAMOS!$A$5:$A$70,2,TRAMOS!$E$5:$E$70)</f>
        <v/>
      </c>
      <c r="C6" s="5">
        <f>SUMIF(TRAMOS!$A$5:$A$70,2,TRAMOS!$N$5:$N$70)</f>
        <v/>
      </c>
      <c r="D6" s="5">
        <f>SUMIF(TRAMOS!$A$5:$A$70,2,TRAMOS!$M$5:$M$70)</f>
        <v/>
      </c>
      <c r="E6" s="6" t="n">
        <v>0.922</v>
      </c>
      <c r="F6" s="4" t="inlineStr">
        <is>
          <t>D3: Cerco sur junto a C14 (x = 935.5): al terreno exterior que baja al Jr. Alfonso Ugarte (183.00)</t>
        </is>
      </c>
    </row>
    <row r="7">
      <c r="A7" s="4" t="inlineStr">
        <is>
          <t>SISTEMA 3 - NOR-ESTE Y LOSA (descarga D2)</t>
        </is>
      </c>
      <c r="B7" s="5">
        <f>SUMIF(TRAMOS!$A$5:$A$70,3,TRAMOS!$E$5:$E$70)</f>
        <v/>
      </c>
      <c r="C7" s="5">
        <f>SUMIF(TRAMOS!$A$5:$A$70,3,TRAMOS!$N$5:$N$70)</f>
        <v/>
      </c>
      <c r="D7" s="5">
        <f>SUMIF(TRAMOS!$A$5:$A$70,3,TRAMOS!$M$5:$M$70)</f>
        <v/>
      </c>
      <c r="E7" s="6" t="n">
        <v>0.796</v>
      </c>
      <c r="F7" s="4" t="inlineStr">
        <is>
          <t>D2: Cerco norte (x = 965.5): pase en el cimiento del cerco al terreno exterior que baja a la quebrada del norte</t>
        </is>
      </c>
    </row>
    <row r="8">
      <c r="A8" s="4" t="inlineStr">
        <is>
          <t>SISTEMA 4 - NORTE (descarga D4)</t>
        </is>
      </c>
      <c r="B8" s="5">
        <f>SUMIF(TRAMOS!$A$5:$A$70,4,TRAMOS!$E$5:$E$70)</f>
        <v/>
      </c>
      <c r="C8" s="5">
        <f>SUMIF(TRAMOS!$A$5:$A$70,4,TRAMOS!$N$5:$N$70)</f>
        <v/>
      </c>
      <c r="D8" s="5">
        <f>SUMIF(TRAMOS!$A$5:$A$70,4,TRAMOS!$M$5:$M$70)</f>
        <v/>
      </c>
      <c r="E8" s="6" t="n">
        <v>0.501</v>
      </c>
      <c r="F8" s="4" t="inlineStr">
        <is>
          <t>D4: Cerco norte (lado C3-C4, x = 911.0): al talud natural que baja a la quebrada del norte</t>
        </is>
      </c>
    </row>
    <row r="9">
      <c r="A9" s="7" t="inlineStr">
        <is>
          <t>TOTAL</t>
        </is>
      </c>
      <c r="B9" s="8">
        <f>SUM(B5:B8)</f>
        <v/>
      </c>
      <c r="C9" s="8">
        <f>SUM(C5:C8)</f>
        <v/>
      </c>
      <c r="D9" s="8">
        <f>SUM(D5:D8)</f>
        <v/>
      </c>
    </row>
    <row r="11">
      <c r="A11" s="9" t="inlineStr">
        <is>
          <t>NOTAS</t>
        </is>
      </c>
    </row>
    <row r="12">
      <c r="A12" s="10" t="inlineStr">
        <is>
          <t>1. Planteamiento preliminar: ejes de cuneta en las lineas magenta del plano PLANTA_GENERAL_590 ULTIMA VERSION (lados de cada bloque, techos a dos aguas) y uniones hasta las descargas.</t>
        </is>
      </c>
    </row>
    <row r="13">
      <c r="A13" s="10" t="inlineStr">
        <is>
          <t>2. Sentidos de flujo y descargas segun las curvas de nivel C-TOPO del mismo plano. Techos a dos aguas: cada alero descarga a su lado.</t>
        </is>
      </c>
    </row>
    <row r="14">
      <c r="A14" s="10" t="inlineStr">
        <is>
          <t>3. Area de intervencion = interior del cerco perimetrico: todas las cunetas quedan dentro del cerco (las perimetrales a 0.60 m de su eje).</t>
        </is>
      </c>
    </row>
    <row r="15">
      <c r="A15" s="10" t="inlineStr">
        <is>
          <t>4. Interior del cerco nivelado: pisos y pasadizos NPT +184.65; borde de cuneta +184.60; areas verdes +184.55; patio de maniobra +184.50 (cuneta al ras, con rejilla). Fuera del cerco, el terreno natural.</t>
        </is>
      </c>
    </row>
    <row r="16">
      <c r="A16" s="10" t="inlineStr">
        <is>
          <t>5. D1, D2, D3 y D4 salen por un pase en el cimiento del cerco. Fuera del cerco no hay obra.</t>
        </is>
      </c>
    </row>
    <row r="17">
      <c r="A17" s="10" t="inlineStr">
        <is>
          <t>6. Tramos de fuerte pendiente con V &gt; 3.0 m/s: gradas de concreto (hoja HIDRAULICA). Verificacion completa en la hoja VERIFICACION.</t>
        </is>
      </c>
    </row>
    <row r="18">
      <c r="A18" s="10" t="inlineStr">
        <is>
          <t>7. Ver planos PLANTEAMIENTO_CUNETAS_IE0590_BARRANQUITA.dxf: DC-01 planta general de cunetas - planteamiento preliminar; DC-02 cuadro de tramos y secciones tipicas de cuneta; DC-03 a DC-11 perfiles longitudinales de cunetas por eje; DC-12 a DC-15 secciones transversales de cunetas; DC-16 isometrico de la red - vista desde el sur; DC-17 isometrico de la red - vista desde el norte; DC-18 cortes por las descargas d1, d2, d3 y d4; DC-19 cortes generales del terreno y la red; DC-20 detalle isometrico de las descargas por el cerco.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20" customWidth="1" min="4" max="4"/>
  </cols>
  <sheetData>
    <row r="1">
      <c r="A1" s="1" t="inlineStr">
        <is>
          <t>VERIFICACION DEL PLANTEAMIENTO (11 COMPROBACIONES)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 ht="30" customHeight="1">
      <c r="A4" s="3" t="inlineStr">
        <is>
          <t>N.</t>
        </is>
      </c>
      <c r="B4" s="3" t="inlineStr">
        <is>
          <t>COMPROBACION</t>
        </is>
      </c>
      <c r="C4" s="3" t="inlineStr">
        <is>
          <t>RESULTADO</t>
        </is>
      </c>
      <c r="D4" s="3" t="inlineStr">
        <is>
          <t>DETALLE</t>
        </is>
      </c>
    </row>
    <row r="5" ht="45" customHeight="1">
      <c r="A5" s="11" t="n">
        <v>1</v>
      </c>
      <c r="B5" s="11" t="inlineStr">
        <is>
          <t>Conectividad: todos los ramales llegan a una descarga</t>
        </is>
      </c>
      <c r="C5" s="12" t="inlineStr">
        <is>
          <t>CUMPLE</t>
        </is>
      </c>
      <c r="D5" s="11" t="inlineStr">
        <is>
          <t>19 ramales: EJE-01-&gt;D1, EJE-02-&gt;D1, EJE-03-&gt;D1, EJE-04-&gt;D1, EJE-05-&gt;D1, EJE-06-&gt;D1, EJE-07-&gt;D3, EJE-08-&gt;D3, EJE-09-&gt;D3, EJE-10-&gt;D3, EJE-11-&gt;D3, EJE-12-&gt;D2, EJE-13-&gt;D2, EJE-14-&gt;D2, EJE-15-&gt;D2, EJE-16-&gt;D2, EJE-17-&gt;D4, EJE-18-&gt;D4, EJE-19-&gt;D4</t>
        </is>
      </c>
    </row>
    <row r="6" ht="15" customHeight="1">
      <c r="A6" s="11" t="n">
        <v>2</v>
      </c>
      <c r="B6" s="11" t="inlineStr">
        <is>
          <t>Sin contrapendiente en la cota de fondo (cada 0.50 m)</t>
        </is>
      </c>
      <c r="C6" s="12" t="inlineStr">
        <is>
          <t>CUMPLE</t>
        </is>
      </c>
      <c r="D6" s="11" t="inlineStr">
        <is>
          <t>la cota de fondo baja en todos los puntos</t>
        </is>
      </c>
    </row>
    <row r="7" ht="15" customHeight="1">
      <c r="A7" s="11" t="n">
        <v>3</v>
      </c>
      <c r="B7" s="11" t="inlineStr">
        <is>
          <t>Pendiente minima de la cota de fondo &gt;= 0.5 %</t>
        </is>
      </c>
      <c r="C7" s="12" t="inlineStr">
        <is>
          <t>CUMPLE</t>
        </is>
      </c>
      <c r="D7" s="11" t="inlineStr">
        <is>
          <t>minima 0.50 % (EJE-01 P-01-P-02); maxima 20.16 %</t>
        </is>
      </c>
    </row>
    <row r="8" ht="15" customHeight="1">
      <c r="A8" s="11" t="n">
        <v>4</v>
      </c>
      <c r="B8" s="11" t="inlineStr">
        <is>
          <t>Profundidad: 0.30 m al inicio y &gt;= 0.25 m en todo el recorrido</t>
        </is>
      </c>
      <c r="C8" s="12" t="inlineStr">
        <is>
          <t>CUMPLE</t>
        </is>
      </c>
      <c r="D8" s="11" t="inlineStr">
        <is>
          <t>inicio 0.30 a 0.30; minima 0.25 (EJE-01); maxima 0.92 (EJE-07, prog 96.2)</t>
        </is>
      </c>
    </row>
    <row r="9" ht="15" customHeight="1">
      <c r="A9" s="11" t="n">
        <v>5</v>
      </c>
      <c r="B9" s="11" t="inlineStr">
        <is>
          <t>Empalmes: la cuneta que llega no queda por debajo de la que recibe</t>
        </is>
      </c>
      <c r="C9" s="12" t="inlineStr">
        <is>
          <t>CUMPLE</t>
        </is>
      </c>
      <c r="D9" s="11" t="inlineStr">
        <is>
          <t>15 empalmes; caida maxima 0.34 m (EJE-16 en P-44)</t>
        </is>
      </c>
    </row>
    <row r="10" ht="75" customHeight="1">
      <c r="A10" s="11" t="n">
        <v>6</v>
      </c>
      <c r="B10" s="11" t="inlineStr">
        <is>
          <t>Descargas por el cerco: el agua sale por gravedad al terreno exterior sin obras fuera del cerco</t>
        </is>
      </c>
      <c r="C10" s="12" t="inlineStr">
        <is>
          <t>CUMPLE</t>
        </is>
      </c>
      <c r="D10" s="11" t="inlineStr">
        <is>
          <t>D1 C.F. 183.660: pase en el cimiento del cerco; el terreno exterior queda bajo la C.F. a 0.5 m del cerco; D2 C.F. 183.704: pase en el cimiento del cerco; el terreno exterior queda bajo la C.F. a 0.2 m del cerco; D3 C.F. 183.576: pase en el cimiento del cerco; el terreno exterior queda bajo la C.F. a 1.0 m del cerco; D4 C.F. 184.099: pase en el cimiento del cerco; el terreno exterior queda bajo la C.F. a 0.5 m del cerco</t>
        </is>
      </c>
    </row>
    <row r="11" ht="30" customHeight="1">
      <c r="A11" s="11" t="n">
        <v>7</v>
      </c>
      <c r="B11" s="11" t="inlineStr">
        <is>
          <t>Borde de la cuneta 0.05 m bajo el NPT (+184.65) y 0.05 m sobre el area verde (+184.55)</t>
        </is>
      </c>
      <c r="C11" s="12" t="inlineStr">
        <is>
          <t>CUMPLE</t>
        </is>
      </c>
      <c r="D11" s="11" t="inlineStr">
        <is>
          <t>borde de cuneta +184.60 en la red dentro del cerco (NPT +184.65, area verde +184.55); junto al patio de maniobra (NTN +184.50) borde al ras +184.50 en 292 puntos</t>
        </is>
      </c>
    </row>
    <row r="12" ht="30" customHeight="1">
      <c r="A12" s="11" t="n">
        <v>8</v>
      </c>
      <c r="B12" s="11" t="inlineStr">
        <is>
          <t>Capacidad con el caudal de diseno (borde libre &gt;= 0.05 m)</t>
        </is>
      </c>
      <c r="C12" s="12" t="inlineStr">
        <is>
          <t>CUMPLE</t>
        </is>
      </c>
      <c r="D12" s="11" t="inlineStr">
        <is>
          <t>I = 211 mm/h, C = 0.80, area total 9393 m2; menor borde libre 0.115 m en EJE-01 P-03-D1 (Q 190.8 l/s, y 0.135, h 0.25)</t>
        </is>
      </c>
    </row>
    <row r="13" ht="30" customHeight="1">
      <c r="A13" s="11" t="n">
        <v>9</v>
      </c>
      <c r="B13" s="11" t="inlineStr">
        <is>
          <t>Velocidad maxima 3.0 m/s (concreto)</t>
        </is>
      </c>
      <c r="C13" s="13" t="inlineStr">
        <is>
          <t>CUMPLE CON GRADAS</t>
        </is>
      </c>
      <c r="D13" s="11" t="inlineStr">
        <is>
          <t>tramos de fuerte pendiente con V &gt; 3.0 m/s: EJE-01 P-03-D1 (S 8.0 %, V 3.91), EJE-07 P-30-D3 (S 17.2 %, V 4.37) -&gt; gradas (escalones) de concreto</t>
        </is>
      </c>
    </row>
    <row r="14" ht="15" customHeight="1">
      <c r="A14" s="11" t="n">
        <v>10</v>
      </c>
      <c r="B14" s="11" t="inlineStr">
        <is>
          <t>El eje no corta muros de los bloques (&gt;= 0.30 m)</t>
        </is>
      </c>
      <c r="C14" s="12" t="inlineStr">
        <is>
          <t>CUMPLE</t>
        </is>
      </c>
      <c r="D14" s="11" t="inlineStr">
        <is>
          <t>distancia minima eje-muro 1.22 m en 1993 puntos revisados</t>
        </is>
      </c>
    </row>
    <row r="15" ht="15" customHeight="1">
      <c r="A15" s="11" t="n">
        <v>11</v>
      </c>
      <c r="B15" s="11" t="inlineStr">
        <is>
          <t>Toda la red dentro del cerco perimetrico (limite de intervencion)</t>
        </is>
      </c>
      <c r="C15" s="12" t="inlineStr">
        <is>
          <t>CUMPLE</t>
        </is>
      </c>
      <c r="D15" s="11" t="inlineStr">
        <is>
          <t>ningun borde de cuneta pasa el cerco; solo las 4 salidas lo atraviesan</t>
        </is>
      </c>
    </row>
    <row r="17">
      <c r="B17" s="9" t="inlineStr">
        <is>
          <t>DESCARGAS</t>
        </is>
      </c>
    </row>
    <row r="18" ht="30" customHeight="1">
      <c r="A18" s="3" t="inlineStr"/>
      <c r="B18" s="3" t="inlineStr">
        <is>
          <t>DESCARGA</t>
        </is>
      </c>
      <c r="C18" s="3" t="inlineStr">
        <is>
          <t>COTA DE FONDO</t>
        </is>
      </c>
      <c r="D18" s="3" t="inlineStr">
        <is>
          <t>SALIDA POR GRAVEDAD</t>
        </is>
      </c>
    </row>
    <row r="19">
      <c r="A19" s="4" t="inlineStr"/>
      <c r="B19" s="4" t="inlineStr">
        <is>
          <t>D1</t>
        </is>
      </c>
      <c r="C19" s="4" t="n">
        <v>183.66</v>
      </c>
      <c r="D19" s="4" t="inlineStr">
        <is>
          <t>pase en el cimiento del cerco: el terreno exterior queda bajo la C.F. a 0.5 m (perfilado maximo 0.11 m, sin obra)</t>
        </is>
      </c>
    </row>
    <row r="20">
      <c r="A20" s="4" t="inlineStr"/>
      <c r="B20" s="4" t="inlineStr">
        <is>
          <t>D2</t>
        </is>
      </c>
      <c r="C20" s="4" t="n">
        <v>183.704</v>
      </c>
      <c r="D20" s="4" t="inlineStr">
        <is>
          <t>pase en el cimiento del cerco: el terreno exterior queda bajo la C.F. a 0.2 m (perfilado maximo 0.00 m, sin obra)</t>
        </is>
      </c>
    </row>
    <row r="21">
      <c r="A21" s="4" t="inlineStr"/>
      <c r="B21" s="4" t="inlineStr">
        <is>
          <t>D3</t>
        </is>
      </c>
      <c r="C21" s="4" t="n">
        <v>183.576</v>
      </c>
      <c r="D21" s="4" t="inlineStr">
        <is>
          <t>pase en el cimiento del cerco: el terreno exterior queda bajo la C.F. a 1.0 m (perfilado maximo 0.16 m, sin obra)</t>
        </is>
      </c>
    </row>
    <row r="22">
      <c r="A22" s="4" t="inlineStr"/>
      <c r="B22" s="4" t="inlineStr">
        <is>
          <t>D4</t>
        </is>
      </c>
      <c r="C22" s="4" t="n">
        <v>184.099</v>
      </c>
      <c r="D22" s="4" t="inlineStr">
        <is>
          <t>pase en el cimiento del cerco: el terreno exterior queda bajo la C.F. a 0.5 m (perfilado maximo 0.15 m, sin obra)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8" customWidth="1" min="3" max="3"/>
    <col width="70" customWidth="1" min="4" max="4"/>
  </cols>
  <sheetData>
    <row r="1">
      <c r="A1" s="1" t="inlineStr">
        <is>
          <t>CRITERIOS DEL PLANTEAMIENTO PRELIMINAR DE CUNETAS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 ht="30" customHeight="1">
      <c r="A4" s="3" t="inlineStr">
        <is>
          <t>PARAMETRO</t>
        </is>
      </c>
      <c r="B4" s="3" t="inlineStr">
        <is>
          <t>VALOR</t>
        </is>
      </c>
      <c r="C4" s="3" t="inlineStr">
        <is>
          <t>UND</t>
        </is>
      </c>
      <c r="D4" s="3" t="inlineStr">
        <is>
          <t>OBSERVACION</t>
        </is>
      </c>
    </row>
    <row r="5">
      <c r="A5" s="4" t="inlineStr">
        <is>
          <t>Ancho libre de la cuneta (b)</t>
        </is>
      </c>
      <c r="B5" s="14" t="n">
        <v>0.4</v>
      </c>
      <c r="C5" s="4" t="inlineStr">
        <is>
          <t>m</t>
        </is>
      </c>
      <c r="D5" s="4" t="inlineStr">
        <is>
          <t>Seccion rectangular de concreto</t>
        </is>
      </c>
    </row>
    <row r="6">
      <c r="A6" s="4" t="inlineStr">
        <is>
          <t>Espesor de muros</t>
        </is>
      </c>
      <c r="B6" s="14" t="n">
        <v>0.1</v>
      </c>
      <c r="C6" s="4" t="inlineStr">
        <is>
          <t>m</t>
        </is>
      </c>
      <c r="D6" s="4" t="inlineStr">
        <is>
          <t>Ancho total = b + 2 muros</t>
        </is>
      </c>
    </row>
    <row r="7">
      <c r="A7" s="4" t="inlineStr">
        <is>
          <t>Ancho total</t>
        </is>
      </c>
      <c r="B7" s="15">
        <f>B5+2*B6</f>
        <v/>
      </c>
      <c r="C7" s="4" t="inlineStr">
        <is>
          <t>m</t>
        </is>
      </c>
      <c r="D7" s="4" t="inlineStr">
        <is>
          <t>Criterio del usuario: 0.60 m</t>
        </is>
      </c>
    </row>
    <row r="8">
      <c r="A8" s="4" t="inlineStr">
        <is>
          <t>Profundidad al inicio de cada ramal</t>
        </is>
      </c>
      <c r="B8" s="14" t="n">
        <v>0.3</v>
      </c>
      <c r="C8" s="4" t="inlineStr">
        <is>
          <t>m</t>
        </is>
      </c>
      <c r="D8" s="4" t="inlineStr">
        <is>
          <t>Criterio del usuario</t>
        </is>
      </c>
    </row>
    <row r="9">
      <c r="A9" s="4" t="inlineStr">
        <is>
          <t>Profundidad minima</t>
        </is>
      </c>
      <c r="B9" s="14" t="n">
        <v>0.25</v>
      </c>
      <c r="C9" s="4" t="inlineStr">
        <is>
          <t>m</t>
        </is>
      </c>
      <c r="D9" s="4" t="inlineStr">
        <is>
          <t>Donde el terreno cae mas que la cuneta</t>
        </is>
      </c>
    </row>
    <row r="10">
      <c r="A10" s="4" t="inlineStr">
        <is>
          <t>Pendiente de la cota de fondo</t>
        </is>
      </c>
      <c r="B10" s="14" t="n">
        <v>0.005</v>
      </c>
      <c r="C10" s="4" t="inlineStr">
        <is>
          <t>m/m</t>
        </is>
      </c>
      <c r="D10" s="4" t="inlineStr">
        <is>
          <t>0.5 %; mayor donde el terreno cae mas</t>
        </is>
      </c>
    </row>
    <row r="11">
      <c r="A11" s="4" t="inlineStr">
        <is>
          <t>Borde superior de la cuneta (rasante)</t>
        </is>
      </c>
      <c r="B11" s="14" t="n">
        <v>184.6</v>
      </c>
      <c r="C11" s="4" t="inlineStr">
        <is>
          <t>m</t>
        </is>
      </c>
      <c r="D11" s="4" t="inlineStr">
        <is>
          <t>Indicacion del usuario: NPT +184.65 (pisos y pasadizos), area verde +184.55</t>
        </is>
      </c>
    </row>
    <row r="12">
      <c r="A12" s="4" t="inlineStr">
        <is>
          <t>Coeficiente de Manning (concreto)</t>
        </is>
      </c>
      <c r="B12" s="14" t="n">
        <v>0.013</v>
      </c>
      <c r="C12" s="4" t="inlineStr"/>
      <c r="D12" s="4" t="inlineStr">
        <is>
          <t>Para la capacidad de cada tramo</t>
        </is>
      </c>
    </row>
    <row r="13">
      <c r="A13" s="4" t="inlineStr">
        <is>
          <t>Borde libre</t>
        </is>
      </c>
      <c r="B13" s="14" t="n">
        <v>0.05</v>
      </c>
      <c r="C13" s="4" t="inlineStr">
        <is>
          <t>m</t>
        </is>
      </c>
      <c r="D13" s="4" t="inlineStr">
        <is>
          <t>Tirante maximo = h - borde libre</t>
        </is>
      </c>
    </row>
    <row r="15">
      <c r="A15" s="16" t="inlineStr">
        <is>
          <t>Celda amarilla = dato; celda verde = formula. Los cambios de criterio se reflejan en las capacidades (hoja TRAMOS); las cotas de fondo vienen del trazo (rehacer el calculo si cambian h inicial o S).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6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1" customWidth="1" min="4" max="4"/>
    <col width="10" customWidth="1" min="5" max="5"/>
    <col width="8" customWidth="1" min="6" max="6"/>
    <col width="12" customWidth="1" min="7" max="7"/>
    <col width="8" customWidth="1" min="8" max="8"/>
    <col width="13" customWidth="1" min="9" max="9"/>
    <col width="9" customWidth="1" min="10" max="10"/>
    <col width="12" customWidth="1" min="11" max="11"/>
    <col width="12" customWidth="1" min="12" max="12"/>
    <col width="46" customWidth="1" min="13" max="13"/>
  </cols>
  <sheetData>
    <row r="1">
      <c r="A1" s="1" t="inlineStr">
        <is>
          <t>CAUDAL DE DISENO, TIRANTE Y VELOCIDAD POR TRAMO (REFERENCIAL)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>
      <c r="A4" s="17" t="inlineStr">
        <is>
          <t>C (escorrentia)</t>
        </is>
      </c>
      <c r="B4" s="14" t="n">
        <v>0.8</v>
      </c>
    </row>
    <row r="5">
      <c r="A5" s="17" t="inlineStr">
        <is>
          <t>I (mm/h)</t>
        </is>
      </c>
      <c r="B5" s="14" t="n">
        <v>211</v>
      </c>
    </row>
    <row r="6">
      <c r="A6" s="17" t="inlineStr">
        <is>
          <t>Factor de seguridad</t>
        </is>
      </c>
      <c r="B6" s="14" t="n">
        <v>1.15</v>
      </c>
    </row>
    <row r="7">
      <c r="A7" s="17" t="inlineStr">
        <is>
          <t>Velocidad maxima (m/s)</t>
        </is>
      </c>
      <c r="B7" s="14" t="n">
        <v>3</v>
      </c>
    </row>
    <row r="8">
      <c r="A8" s="16" t="inlineStr">
        <is>
          <t>I: tc = 10 min, TR = 25 anos, P10 = 35.16 mm (estacion usada en el Hogar de Refugio - Morales); reemplazar por la del proyecto. Area tributaria: cada m2 dentro del cerco a la cuneta mas cercana.</t>
        </is>
      </c>
    </row>
    <row r="10" ht="30" customHeight="1">
      <c r="A10" s="3" t="inlineStr">
        <is>
          <t>EJE</t>
        </is>
      </c>
      <c r="B10" s="3" t="inlineStr">
        <is>
          <t>DE</t>
        </is>
      </c>
      <c r="C10" s="3" t="inlineStr">
        <is>
          <t>A</t>
        </is>
      </c>
      <c r="D10" s="3" t="inlineStr">
        <is>
          <t>AREA (m2)</t>
        </is>
      </c>
      <c r="E10" s="3" t="inlineStr">
        <is>
          <t>Q (l/s)</t>
        </is>
      </c>
      <c r="F10" s="3" t="inlineStr">
        <is>
          <t>S (%)</t>
        </is>
      </c>
      <c r="G10" s="3" t="inlineStr">
        <is>
          <t>TIRANTE y (m)</t>
        </is>
      </c>
      <c r="H10" s="3" t="inlineStr">
        <is>
          <t>h (m)</t>
        </is>
      </c>
      <c r="I10" s="3" t="inlineStr">
        <is>
          <t>BORDE LIBRE (m)</t>
        </is>
      </c>
      <c r="J10" s="3" t="inlineStr">
        <is>
          <t>V (m/s)</t>
        </is>
      </c>
      <c r="K10" s="3" t="inlineStr">
        <is>
          <t>CAPACIDAD</t>
        </is>
      </c>
      <c r="L10" s="3" t="inlineStr">
        <is>
          <t>VELOCIDAD</t>
        </is>
      </c>
      <c r="M10" s="3" t="inlineStr">
        <is>
          <t>OBSERVACION</t>
        </is>
      </c>
    </row>
    <row r="11">
      <c r="A11" s="18" t="inlineStr">
        <is>
          <t>EJE-01</t>
        </is>
      </c>
      <c r="B11" s="18" t="inlineStr">
        <is>
          <t>P-01</t>
        </is>
      </c>
      <c r="C11" s="18" t="inlineStr">
        <is>
          <t>P-02</t>
        </is>
      </c>
      <c r="D11" s="18" t="n">
        <v>533</v>
      </c>
      <c r="E11" s="5">
        <f>1000*$B$4*$B$5*D11/3600000*$B$6</f>
        <v/>
      </c>
      <c r="F11" s="18" t="n">
        <v>0.5</v>
      </c>
      <c r="G11" s="19" t="n">
        <v>0.095</v>
      </c>
      <c r="H11" s="18" t="n">
        <v>0.3</v>
      </c>
      <c r="I11" s="20">
        <f>H11-G11</f>
        <v/>
      </c>
      <c r="J11" s="6" t="n">
        <v>0.84</v>
      </c>
      <c r="K11" s="21">
        <f>IF(I11&gt;=0.05,"CUMPLE","NO CUMPLE")</f>
        <v/>
      </c>
      <c r="L11" s="21">
        <f>IF(J11&lt;=$B$7,"CUMPLE","GRADAS")</f>
        <v/>
      </c>
      <c r="M11" s="22" t="inlineStr"/>
    </row>
    <row r="12">
      <c r="A12" s="18" t="inlineStr">
        <is>
          <t>EJE-01</t>
        </is>
      </c>
      <c r="B12" s="18" t="inlineStr">
        <is>
          <t>P-02</t>
        </is>
      </c>
      <c r="C12" s="18" t="inlineStr">
        <is>
          <t>P-03</t>
        </is>
      </c>
      <c r="D12" s="18" t="n">
        <v>553</v>
      </c>
      <c r="E12" s="5">
        <f>1000*$B$4*$B$5*D12/3600000*$B$6</f>
        <v/>
      </c>
      <c r="F12" s="18" t="n">
        <v>20.16</v>
      </c>
      <c r="G12" s="19" t="n">
        <v>0.029</v>
      </c>
      <c r="H12" s="18" t="n">
        <v>0.46</v>
      </c>
      <c r="I12" s="20">
        <f>H12-G12</f>
        <v/>
      </c>
      <c r="J12" s="6" t="n">
        <v>2.82</v>
      </c>
      <c r="K12" s="21">
        <f>IF(I12&gt;=0.05,"CUMPLE","NO CUMPLE")</f>
        <v/>
      </c>
      <c r="L12" s="21">
        <f>IF(J12&lt;=$B$7,"CUMPLE","GRADAS")</f>
        <v/>
      </c>
      <c r="M12" s="22" t="inlineStr"/>
    </row>
    <row r="13">
      <c r="A13" s="18" t="inlineStr">
        <is>
          <t>EJE-01</t>
        </is>
      </c>
      <c r="B13" s="18" t="inlineStr">
        <is>
          <t>P-03</t>
        </is>
      </c>
      <c r="C13" s="18" t="inlineStr">
        <is>
          <t>D1</t>
        </is>
      </c>
      <c r="D13" s="18" t="n">
        <v>3539</v>
      </c>
      <c r="E13" s="5">
        <f>1000*$B$4*$B$5*D13/3600000*$B$6</f>
        <v/>
      </c>
      <c r="F13" s="18" t="n">
        <v>8.029999999999999</v>
      </c>
      <c r="G13" s="19" t="n">
        <v>0.135</v>
      </c>
      <c r="H13" s="18" t="n">
        <v>0.25</v>
      </c>
      <c r="I13" s="20">
        <f>H13-G13</f>
        <v/>
      </c>
      <c r="J13" s="6" t="n">
        <v>3.91</v>
      </c>
      <c r="K13" s="21">
        <f>IF(I13&gt;=0.05,"CUMPLE","NO CUMPLE")</f>
        <v/>
      </c>
      <c r="L13" s="21">
        <f>IF(J13&lt;=$B$7,"CUMPLE","GRADAS")</f>
        <v/>
      </c>
      <c r="M13" s="22" t="inlineStr">
        <is>
          <t>gradas de concreto (escalones) en este tramo</t>
        </is>
      </c>
    </row>
    <row r="14">
      <c r="A14" s="18" t="inlineStr">
        <is>
          <t>EJE-02</t>
        </is>
      </c>
      <c r="B14" s="18" t="inlineStr">
        <is>
          <t>P-04</t>
        </is>
      </c>
      <c r="C14" s="18" t="inlineStr">
        <is>
          <t>P-05</t>
        </is>
      </c>
      <c r="D14" s="18" t="n">
        <v>436</v>
      </c>
      <c r="E14" s="5">
        <f>1000*$B$4*$B$5*D14/3600000*$B$6</f>
        <v/>
      </c>
      <c r="F14" s="18" t="n">
        <v>0.5</v>
      </c>
      <c r="G14" s="19" t="n">
        <v>0.083</v>
      </c>
      <c r="H14" s="18" t="n">
        <v>0.3</v>
      </c>
      <c r="I14" s="20">
        <f>H14-G14</f>
        <v/>
      </c>
      <c r="J14" s="6" t="n">
        <v>0.78</v>
      </c>
      <c r="K14" s="21">
        <f>IF(I14&gt;=0.05,"CUMPLE","NO CUMPLE")</f>
        <v/>
      </c>
      <c r="L14" s="21">
        <f>IF(J14&lt;=$B$7,"CUMPLE","GRADAS")</f>
        <v/>
      </c>
      <c r="M14" s="22" t="inlineStr"/>
    </row>
    <row r="15">
      <c r="A15" s="18" t="inlineStr">
        <is>
          <t>EJE-02</t>
        </is>
      </c>
      <c r="B15" s="18" t="inlineStr">
        <is>
          <t>P-05</t>
        </is>
      </c>
      <c r="C15" s="18" t="inlineStr">
        <is>
          <t>P-06</t>
        </is>
      </c>
      <c r="D15" s="18" t="n">
        <v>528</v>
      </c>
      <c r="E15" s="5">
        <f>1000*$B$4*$B$5*D15/3600000*$B$6</f>
        <v/>
      </c>
      <c r="F15" s="18" t="n">
        <v>0.5</v>
      </c>
      <c r="G15" s="19" t="n">
        <v>0.094</v>
      </c>
      <c r="H15" s="18" t="n">
        <v>0.46</v>
      </c>
      <c r="I15" s="20">
        <f>H15-G15</f>
        <v/>
      </c>
      <c r="J15" s="6" t="n">
        <v>0.83</v>
      </c>
      <c r="K15" s="21">
        <f>IF(I15&gt;=0.05,"CUMPLE","NO CUMPLE")</f>
        <v/>
      </c>
      <c r="L15" s="21">
        <f>IF(J15&lt;=$B$7,"CUMPLE","GRADAS")</f>
        <v/>
      </c>
      <c r="M15" s="22" t="inlineStr"/>
    </row>
    <row r="16">
      <c r="A16" s="18" t="inlineStr">
        <is>
          <t>EJE-02</t>
        </is>
      </c>
      <c r="B16" s="18" t="inlineStr">
        <is>
          <t>P-06</t>
        </is>
      </c>
      <c r="C16" s="18" t="inlineStr">
        <is>
          <t>P-07</t>
        </is>
      </c>
      <c r="D16" s="18" t="n">
        <v>965</v>
      </c>
      <c r="E16" s="5">
        <f>1000*$B$4*$B$5*D16/3600000*$B$6</f>
        <v/>
      </c>
      <c r="F16" s="18" t="n">
        <v>2.93</v>
      </c>
      <c r="G16" s="19" t="n">
        <v>0.078</v>
      </c>
      <c r="H16" s="18" t="n">
        <v>0.52</v>
      </c>
      <c r="I16" s="20">
        <f>H16-G16</f>
        <v/>
      </c>
      <c r="J16" s="6" t="n">
        <v>1.84</v>
      </c>
      <c r="K16" s="21">
        <f>IF(I16&gt;=0.05,"CUMPLE","NO CUMPLE")</f>
        <v/>
      </c>
      <c r="L16" s="21">
        <f>IF(J16&lt;=$B$7,"CUMPLE","GRADAS")</f>
        <v/>
      </c>
      <c r="M16" s="22" t="inlineStr"/>
    </row>
    <row r="17">
      <c r="A17" s="18" t="inlineStr">
        <is>
          <t>EJE-02</t>
        </is>
      </c>
      <c r="B17" s="18" t="inlineStr">
        <is>
          <t>P-07</t>
        </is>
      </c>
      <c r="C17" s="18" t="inlineStr">
        <is>
          <t>P-08</t>
        </is>
      </c>
      <c r="D17" s="18" t="n">
        <v>2216</v>
      </c>
      <c r="E17" s="5">
        <f>1000*$B$4*$B$5*D17/3600000*$B$6</f>
        <v/>
      </c>
      <c r="F17" s="18" t="n">
        <v>0.5</v>
      </c>
      <c r="G17" s="19" t="n">
        <v>0.269</v>
      </c>
      <c r="H17" s="18" t="n">
        <v>0.77</v>
      </c>
      <c r="I17" s="20">
        <f>H17-G17</f>
        <v/>
      </c>
      <c r="J17" s="6" t="n">
        <v>1.24</v>
      </c>
      <c r="K17" s="21">
        <f>IF(I17&gt;=0.05,"CUMPLE","NO CUMPLE")</f>
        <v/>
      </c>
      <c r="L17" s="21">
        <f>IF(J17&lt;=$B$7,"CUMPLE","GRADAS")</f>
        <v/>
      </c>
      <c r="M17" s="22" t="inlineStr"/>
    </row>
    <row r="18">
      <c r="A18" s="18" t="inlineStr">
        <is>
          <t>EJE-02</t>
        </is>
      </c>
      <c r="B18" s="18" t="inlineStr">
        <is>
          <t>P-08</t>
        </is>
      </c>
      <c r="C18" s="18" t="inlineStr">
        <is>
          <t>P-03</t>
        </is>
      </c>
      <c r="D18" s="18" t="n">
        <v>2979</v>
      </c>
      <c r="E18" s="5">
        <f>1000*$B$4*$B$5*D18/3600000*$B$6</f>
        <v/>
      </c>
      <c r="F18" s="18" t="n">
        <v>0.5</v>
      </c>
      <c r="G18" s="19" t="n">
        <v>0.339</v>
      </c>
      <c r="H18" s="18" t="n">
        <v>0.83</v>
      </c>
      <c r="I18" s="20">
        <f>H18-G18</f>
        <v/>
      </c>
      <c r="J18" s="6" t="n">
        <v>1.33</v>
      </c>
      <c r="K18" s="21">
        <f>IF(I18&gt;=0.05,"CUMPLE","NO CUMPLE")</f>
        <v/>
      </c>
      <c r="L18" s="21">
        <f>IF(J18&lt;=$B$7,"CUMPLE","GRADAS")</f>
        <v/>
      </c>
      <c r="M18" s="22" t="inlineStr"/>
    </row>
    <row r="19">
      <c r="A19" s="18" t="inlineStr">
        <is>
          <t>EJE-03</t>
        </is>
      </c>
      <c r="B19" s="18" t="inlineStr">
        <is>
          <t>P-09</t>
        </is>
      </c>
      <c r="C19" s="18" t="inlineStr">
        <is>
          <t>P-06</t>
        </is>
      </c>
      <c r="D19" s="18" t="n">
        <v>368</v>
      </c>
      <c r="E19" s="5">
        <f>1000*$B$4*$B$5*D19/3600000*$B$6</f>
        <v/>
      </c>
      <c r="F19" s="18" t="n">
        <v>0.5</v>
      </c>
      <c r="G19" s="19" t="n">
        <v>0.074</v>
      </c>
      <c r="H19" s="18" t="n">
        <v>0.3</v>
      </c>
      <c r="I19" s="20">
        <f>H19-G19</f>
        <v/>
      </c>
      <c r="J19" s="6" t="n">
        <v>0.74</v>
      </c>
      <c r="K19" s="21">
        <f>IF(I19&gt;=0.05,"CUMPLE","NO CUMPLE")</f>
        <v/>
      </c>
      <c r="L19" s="21">
        <f>IF(J19&lt;=$B$7,"CUMPLE","GRADAS")</f>
        <v/>
      </c>
      <c r="M19" s="22" t="inlineStr"/>
    </row>
    <row r="20">
      <c r="A20" s="18" t="inlineStr">
        <is>
          <t>EJE-04</t>
        </is>
      </c>
      <c r="B20" s="18" t="inlineStr">
        <is>
          <t>P-10</t>
        </is>
      </c>
      <c r="C20" s="18" t="inlineStr">
        <is>
          <t>P-11</t>
        </is>
      </c>
      <c r="D20" s="18" t="n">
        <v>383</v>
      </c>
      <c r="E20" s="5">
        <f>1000*$B$4*$B$5*D20/3600000*$B$6</f>
        <v/>
      </c>
      <c r="F20" s="18" t="n">
        <v>0.5</v>
      </c>
      <c r="G20" s="19" t="n">
        <v>0.076</v>
      </c>
      <c r="H20" s="18" t="n">
        <v>0.3</v>
      </c>
      <c r="I20" s="20">
        <f>H20-G20</f>
        <v/>
      </c>
      <c r="J20" s="6" t="n">
        <v>0.75</v>
      </c>
      <c r="K20" s="21">
        <f>IF(I20&gt;=0.05,"CUMPLE","NO CUMPLE")</f>
        <v/>
      </c>
      <c r="L20" s="21">
        <f>IF(J20&lt;=$B$7,"CUMPLE","GRADAS")</f>
        <v/>
      </c>
      <c r="M20" s="22" t="inlineStr"/>
    </row>
    <row r="21">
      <c r="A21" s="18" t="inlineStr">
        <is>
          <t>EJE-04</t>
        </is>
      </c>
      <c r="B21" s="18" t="inlineStr">
        <is>
          <t>P-11</t>
        </is>
      </c>
      <c r="C21" s="18" t="inlineStr">
        <is>
          <t>P-12</t>
        </is>
      </c>
      <c r="D21" s="18" t="n">
        <v>456</v>
      </c>
      <c r="E21" s="5">
        <f>1000*$B$4*$B$5*D21/3600000*$B$6</f>
        <v/>
      </c>
      <c r="F21" s="18" t="n">
        <v>0.5</v>
      </c>
      <c r="G21" s="19" t="n">
        <v>0.08500000000000001</v>
      </c>
      <c r="H21" s="18" t="n">
        <v>0.43</v>
      </c>
      <c r="I21" s="20">
        <f>H21-G21</f>
        <v/>
      </c>
      <c r="J21" s="6" t="n">
        <v>0.79</v>
      </c>
      <c r="K21" s="21">
        <f>IF(I21&gt;=0.05,"CUMPLE","NO CUMPLE")</f>
        <v/>
      </c>
      <c r="L21" s="21">
        <f>IF(J21&lt;=$B$7,"CUMPLE","GRADAS")</f>
        <v/>
      </c>
      <c r="M21" s="22" t="inlineStr"/>
    </row>
    <row r="22">
      <c r="A22" s="18" t="inlineStr">
        <is>
          <t>EJE-04</t>
        </is>
      </c>
      <c r="B22" s="18" t="inlineStr">
        <is>
          <t>P-12</t>
        </is>
      </c>
      <c r="C22" s="18" t="inlineStr">
        <is>
          <t>P-13</t>
        </is>
      </c>
      <c r="D22" s="18" t="n">
        <v>585</v>
      </c>
      <c r="E22" s="5">
        <f>1000*$B$4*$B$5*D22/3600000*$B$6</f>
        <v/>
      </c>
      <c r="F22" s="18" t="n">
        <v>0.5</v>
      </c>
      <c r="G22" s="19" t="n">
        <v>0.101</v>
      </c>
      <c r="H22" s="18" t="n">
        <v>0.48</v>
      </c>
      <c r="I22" s="20">
        <f>H22-G22</f>
        <v/>
      </c>
      <c r="J22" s="6" t="n">
        <v>0.86</v>
      </c>
      <c r="K22" s="21">
        <f>IF(I22&gt;=0.05,"CUMPLE","NO CUMPLE")</f>
        <v/>
      </c>
      <c r="L22" s="21">
        <f>IF(J22&lt;=$B$7,"CUMPLE","GRADAS")</f>
        <v/>
      </c>
      <c r="M22" s="22" t="inlineStr"/>
    </row>
    <row r="23">
      <c r="A23" s="18" t="inlineStr">
        <is>
          <t>EJE-04</t>
        </is>
      </c>
      <c r="B23" s="18" t="inlineStr">
        <is>
          <t>P-13</t>
        </is>
      </c>
      <c r="C23" s="18" t="inlineStr">
        <is>
          <t>P-14</t>
        </is>
      </c>
      <c r="D23" s="18" t="n">
        <v>782</v>
      </c>
      <c r="E23" s="5">
        <f>1000*$B$4*$B$5*D23/3600000*$B$6</f>
        <v/>
      </c>
      <c r="F23" s="18" t="n">
        <v>0.5</v>
      </c>
      <c r="G23" s="19" t="n">
        <v>0.124</v>
      </c>
      <c r="H23" s="18" t="n">
        <v>0.5</v>
      </c>
      <c r="I23" s="20">
        <f>H23-G23</f>
        <v/>
      </c>
      <c r="J23" s="6" t="n">
        <v>0.9399999999999999</v>
      </c>
      <c r="K23" s="21">
        <f>IF(I23&gt;=0.05,"CUMPLE","NO CUMPLE")</f>
        <v/>
      </c>
      <c r="L23" s="21">
        <f>IF(J23&lt;=$B$7,"CUMPLE","GRADAS")</f>
        <v/>
      </c>
      <c r="M23" s="22" t="inlineStr"/>
    </row>
    <row r="24">
      <c r="A24" s="18" t="inlineStr">
        <is>
          <t>EJE-04</t>
        </is>
      </c>
      <c r="B24" s="18" t="inlineStr">
        <is>
          <t>P-14</t>
        </is>
      </c>
      <c r="C24" s="18" t="inlineStr">
        <is>
          <t>P-15</t>
        </is>
      </c>
      <c r="D24" s="18" t="n">
        <v>858</v>
      </c>
      <c r="E24" s="5">
        <f>1000*$B$4*$B$5*D24/3600000*$B$6</f>
        <v/>
      </c>
      <c r="F24" s="18" t="n">
        <v>0.5</v>
      </c>
      <c r="G24" s="19" t="n">
        <v>0.132</v>
      </c>
      <c r="H24" s="18" t="n">
        <v>0.58</v>
      </c>
      <c r="I24" s="20">
        <f>H24-G24</f>
        <v/>
      </c>
      <c r="J24" s="6" t="n">
        <v>0.97</v>
      </c>
      <c r="K24" s="21">
        <f>IF(I24&gt;=0.05,"CUMPLE","NO CUMPLE")</f>
        <v/>
      </c>
      <c r="L24" s="21">
        <f>IF(J24&lt;=$B$7,"CUMPLE","GRADAS")</f>
        <v/>
      </c>
      <c r="M24" s="22" t="inlineStr"/>
    </row>
    <row r="25">
      <c r="A25" s="18" t="inlineStr">
        <is>
          <t>EJE-04</t>
        </is>
      </c>
      <c r="B25" s="18" t="inlineStr">
        <is>
          <t>P-15</t>
        </is>
      </c>
      <c r="C25" s="18" t="inlineStr">
        <is>
          <t>P-07</t>
        </is>
      </c>
      <c r="D25" s="18" t="n">
        <v>1161</v>
      </c>
      <c r="E25" s="5">
        <f>1000*$B$4*$B$5*D25/3600000*$B$6</f>
        <v/>
      </c>
      <c r="F25" s="18" t="n">
        <v>0.5</v>
      </c>
      <c r="G25" s="19" t="n">
        <v>0.165</v>
      </c>
      <c r="H25" s="18" t="n">
        <v>0.61</v>
      </c>
      <c r="I25" s="20">
        <f>H25-G25</f>
        <v/>
      </c>
      <c r="J25" s="6" t="n">
        <v>1.05</v>
      </c>
      <c r="K25" s="21">
        <f>IF(I25&gt;=0.05,"CUMPLE","NO CUMPLE")</f>
        <v/>
      </c>
      <c r="L25" s="21">
        <f>IF(J25&lt;=$B$7,"CUMPLE","GRADAS")</f>
        <v/>
      </c>
      <c r="M25" s="22" t="inlineStr"/>
    </row>
    <row r="26">
      <c r="A26" s="18" t="inlineStr">
        <is>
          <t>EJE-05</t>
        </is>
      </c>
      <c r="B26" s="18" t="inlineStr">
        <is>
          <t>P-16</t>
        </is>
      </c>
      <c r="C26" s="18" t="inlineStr">
        <is>
          <t>P-17</t>
        </is>
      </c>
      <c r="D26" s="18" t="n">
        <v>188</v>
      </c>
      <c r="E26" s="5">
        <f>1000*$B$4*$B$5*D26/3600000*$B$6</f>
        <v/>
      </c>
      <c r="F26" s="18" t="n">
        <v>0.5</v>
      </c>
      <c r="G26" s="19" t="n">
        <v>0.047</v>
      </c>
      <c r="H26" s="18" t="n">
        <v>0.3</v>
      </c>
      <c r="I26" s="20">
        <f>H26-G26</f>
        <v/>
      </c>
      <c r="J26" s="6" t="n">
        <v>0.59</v>
      </c>
      <c r="K26" s="21">
        <f>IF(I26&gt;=0.05,"CUMPLE","NO CUMPLE")</f>
        <v/>
      </c>
      <c r="L26" s="21">
        <f>IF(J26&lt;=$B$7,"CUMPLE","GRADAS")</f>
        <v/>
      </c>
      <c r="M26" s="22" t="inlineStr"/>
    </row>
    <row r="27">
      <c r="A27" s="18" t="inlineStr">
        <is>
          <t>EJE-05</t>
        </is>
      </c>
      <c r="B27" s="18" t="inlineStr">
        <is>
          <t>P-17</t>
        </is>
      </c>
      <c r="C27" s="18" t="inlineStr">
        <is>
          <t>P-18</t>
        </is>
      </c>
      <c r="D27" s="18" t="n">
        <v>229</v>
      </c>
      <c r="E27" s="5">
        <f>1000*$B$4*$B$5*D27/3600000*$B$6</f>
        <v/>
      </c>
      <c r="F27" s="18" t="n">
        <v>0.5</v>
      </c>
      <c r="G27" s="19" t="n">
        <v>0.054</v>
      </c>
      <c r="H27" s="18" t="n">
        <v>0.41</v>
      </c>
      <c r="I27" s="20">
        <f>H27-G27</f>
        <v/>
      </c>
      <c r="J27" s="6" t="n">
        <v>0.63</v>
      </c>
      <c r="K27" s="21">
        <f>IF(I27&gt;=0.05,"CUMPLE","NO CUMPLE")</f>
        <v/>
      </c>
      <c r="L27" s="21">
        <f>IF(J27&lt;=$B$7,"CUMPLE","GRADAS")</f>
        <v/>
      </c>
      <c r="M27" s="22" t="inlineStr"/>
    </row>
    <row r="28">
      <c r="A28" s="18" t="inlineStr">
        <is>
          <t>EJE-05</t>
        </is>
      </c>
      <c r="B28" s="18" t="inlineStr">
        <is>
          <t>P-18</t>
        </is>
      </c>
      <c r="C28" s="18" t="inlineStr">
        <is>
          <t>P-19</t>
        </is>
      </c>
      <c r="D28" s="18" t="n">
        <v>366</v>
      </c>
      <c r="E28" s="5">
        <f>1000*$B$4*$B$5*D28/3600000*$B$6</f>
        <v/>
      </c>
      <c r="F28" s="18" t="n">
        <v>0.5</v>
      </c>
      <c r="G28" s="19" t="n">
        <v>0.073</v>
      </c>
      <c r="H28" s="18" t="n">
        <v>0.44</v>
      </c>
      <c r="I28" s="20">
        <f>H28-G28</f>
        <v/>
      </c>
      <c r="J28" s="6" t="n">
        <v>0.74</v>
      </c>
      <c r="K28" s="21">
        <f>IF(I28&gt;=0.05,"CUMPLE","NO CUMPLE")</f>
        <v/>
      </c>
      <c r="L28" s="21">
        <f>IF(J28&lt;=$B$7,"CUMPLE","GRADAS")</f>
        <v/>
      </c>
      <c r="M28" s="22" t="inlineStr"/>
    </row>
    <row r="29">
      <c r="A29" s="18" t="inlineStr">
        <is>
          <t>EJE-05</t>
        </is>
      </c>
      <c r="B29" s="18" t="inlineStr">
        <is>
          <t>P-19</t>
        </is>
      </c>
      <c r="C29" s="18" t="inlineStr">
        <is>
          <t>P-20</t>
        </is>
      </c>
      <c r="D29" s="18" t="n">
        <v>410</v>
      </c>
      <c r="E29" s="5">
        <f>1000*$B$4*$B$5*D29/3600000*$B$6</f>
        <v/>
      </c>
      <c r="F29" s="18" t="n">
        <v>0.5</v>
      </c>
      <c r="G29" s="19" t="n">
        <v>0.079</v>
      </c>
      <c r="H29" s="18" t="n">
        <v>0.53</v>
      </c>
      <c r="I29" s="20">
        <f>H29-G29</f>
        <v/>
      </c>
      <c r="J29" s="6" t="n">
        <v>0.77</v>
      </c>
      <c r="K29" s="21">
        <f>IF(I29&gt;=0.05,"CUMPLE","NO CUMPLE")</f>
        <v/>
      </c>
      <c r="L29" s="21">
        <f>IF(J29&lt;=$B$7,"CUMPLE","GRADAS")</f>
        <v/>
      </c>
      <c r="M29" s="22" t="inlineStr"/>
    </row>
    <row r="30">
      <c r="A30" s="18" t="inlineStr">
        <is>
          <t>EJE-05</t>
        </is>
      </c>
      <c r="B30" s="18" t="inlineStr">
        <is>
          <t>P-20</t>
        </is>
      </c>
      <c r="C30" s="18" t="inlineStr">
        <is>
          <t>P-08</t>
        </is>
      </c>
      <c r="D30" s="18" t="n">
        <v>705</v>
      </c>
      <c r="E30" s="5">
        <f>1000*$B$4*$B$5*D30/3600000*$B$6</f>
        <v/>
      </c>
      <c r="F30" s="18" t="n">
        <v>0.5</v>
      </c>
      <c r="G30" s="19" t="n">
        <v>0.115</v>
      </c>
      <c r="H30" s="18" t="n">
        <v>0.55</v>
      </c>
      <c r="I30" s="20">
        <f>H30-G30</f>
        <v/>
      </c>
      <c r="J30" s="6" t="n">
        <v>0.91</v>
      </c>
      <c r="K30" s="21">
        <f>IF(I30&gt;=0.05,"CUMPLE","NO CUMPLE")</f>
        <v/>
      </c>
      <c r="L30" s="21">
        <f>IF(J30&lt;=$B$7,"CUMPLE","GRADAS")</f>
        <v/>
      </c>
      <c r="M30" s="22" t="inlineStr"/>
    </row>
    <row r="31">
      <c r="A31" s="18" t="inlineStr">
        <is>
          <t>EJE-06</t>
        </is>
      </c>
      <c r="B31" s="18" t="inlineStr">
        <is>
          <t>P-21</t>
        </is>
      </c>
      <c r="C31" s="18" t="inlineStr">
        <is>
          <t>P-12</t>
        </is>
      </c>
      <c r="D31" s="18" t="n">
        <v>102</v>
      </c>
      <c r="E31" s="5">
        <f>1000*$B$4*$B$5*D31/3600000*$B$6</f>
        <v/>
      </c>
      <c r="F31" s="18" t="n">
        <v>0.5</v>
      </c>
      <c r="G31" s="19" t="n">
        <v>0.032</v>
      </c>
      <c r="H31" s="18" t="n">
        <v>0.3</v>
      </c>
      <c r="I31" s="20">
        <f>H31-G31</f>
        <v/>
      </c>
      <c r="J31" s="6" t="n">
        <v>0.47</v>
      </c>
      <c r="K31" s="21">
        <f>IF(I31&gt;=0.05,"CUMPLE","NO CUMPLE")</f>
        <v/>
      </c>
      <c r="L31" s="21">
        <f>IF(J31&lt;=$B$7,"CUMPLE","GRADAS")</f>
        <v/>
      </c>
      <c r="M31" s="22" t="inlineStr"/>
    </row>
    <row r="32">
      <c r="A32" s="18" t="inlineStr">
        <is>
          <t>EJE-07</t>
        </is>
      </c>
      <c r="B32" s="18" t="inlineStr">
        <is>
          <t>P-22</t>
        </is>
      </c>
      <c r="C32" s="18" t="inlineStr">
        <is>
          <t>P-23</t>
        </is>
      </c>
      <c r="D32" s="18" t="n">
        <v>116</v>
      </c>
      <c r="E32" s="5">
        <f>1000*$B$4*$B$5*D32/3600000*$B$6</f>
        <v/>
      </c>
      <c r="F32" s="18" t="n">
        <v>1.72</v>
      </c>
      <c r="G32" s="19" t="n">
        <v>0.023</v>
      </c>
      <c r="H32" s="18" t="n">
        <v>0.3</v>
      </c>
      <c r="I32" s="20">
        <f>H32-G32</f>
        <v/>
      </c>
      <c r="J32" s="6" t="n">
        <v>0.73</v>
      </c>
      <c r="K32" s="21">
        <f>IF(I32&gt;=0.05,"CUMPLE","NO CUMPLE")</f>
        <v/>
      </c>
      <c r="L32" s="21">
        <f>IF(J32&lt;=$B$7,"CUMPLE","GRADAS")</f>
        <v/>
      </c>
      <c r="M32" s="22" t="inlineStr"/>
    </row>
    <row r="33">
      <c r="A33" s="18" t="inlineStr">
        <is>
          <t>EJE-07</t>
        </is>
      </c>
      <c r="B33" s="18" t="inlineStr">
        <is>
          <t>P-23</t>
        </is>
      </c>
      <c r="C33" s="18" t="inlineStr">
        <is>
          <t>P-24</t>
        </is>
      </c>
      <c r="D33" s="18" t="n">
        <v>784</v>
      </c>
      <c r="E33" s="5">
        <f>1000*$B$4*$B$5*D33/3600000*$B$6</f>
        <v/>
      </c>
      <c r="F33" s="18" t="n">
        <v>0.5</v>
      </c>
      <c r="G33" s="19" t="n">
        <v>0.124</v>
      </c>
      <c r="H33" s="18" t="n">
        <v>0.5</v>
      </c>
      <c r="I33" s="20">
        <f>H33-G33</f>
        <v/>
      </c>
      <c r="J33" s="6" t="n">
        <v>0.9399999999999999</v>
      </c>
      <c r="K33" s="21">
        <f>IF(I33&gt;=0.05,"CUMPLE","NO CUMPLE")</f>
        <v/>
      </c>
      <c r="L33" s="21">
        <f>IF(J33&lt;=$B$7,"CUMPLE","GRADAS")</f>
        <v/>
      </c>
      <c r="M33" s="22" t="inlineStr"/>
    </row>
    <row r="34">
      <c r="A34" s="18" t="inlineStr">
        <is>
          <t>EJE-07</t>
        </is>
      </c>
      <c r="B34" s="18" t="inlineStr">
        <is>
          <t>P-24</t>
        </is>
      </c>
      <c r="C34" s="18" t="inlineStr">
        <is>
          <t>P-21</t>
        </is>
      </c>
      <c r="D34" s="18" t="n">
        <v>1153</v>
      </c>
      <c r="E34" s="5">
        <f>1000*$B$4*$B$5*D34/3600000*$B$6</f>
        <v/>
      </c>
      <c r="F34" s="18" t="n">
        <v>0.5</v>
      </c>
      <c r="G34" s="19" t="n">
        <v>0.164</v>
      </c>
      <c r="H34" s="18" t="n">
        <v>0.59</v>
      </c>
      <c r="I34" s="20">
        <f>H34-G34</f>
        <v/>
      </c>
      <c r="J34" s="6" t="n">
        <v>1.05</v>
      </c>
      <c r="K34" s="21">
        <f>IF(I34&gt;=0.05,"CUMPLE","NO CUMPLE")</f>
        <v/>
      </c>
      <c r="L34" s="21">
        <f>IF(J34&lt;=$B$7,"CUMPLE","GRADAS")</f>
        <v/>
      </c>
      <c r="M34" s="22" t="inlineStr"/>
    </row>
    <row r="35">
      <c r="A35" s="18" t="inlineStr">
        <is>
          <t>EJE-07</t>
        </is>
      </c>
      <c r="B35" s="18" t="inlineStr">
        <is>
          <t>P-21</t>
        </is>
      </c>
      <c r="C35" s="18" t="inlineStr">
        <is>
          <t>P-25</t>
        </is>
      </c>
      <c r="D35" s="18" t="n">
        <v>1339</v>
      </c>
      <c r="E35" s="5">
        <f>1000*$B$4*$B$5*D35/3600000*$B$6</f>
        <v/>
      </c>
      <c r="F35" s="18" t="n">
        <v>0.5</v>
      </c>
      <c r="G35" s="19" t="n">
        <v>0.183</v>
      </c>
      <c r="H35" s="18" t="n">
        <v>0.62</v>
      </c>
      <c r="I35" s="20">
        <f>H35-G35</f>
        <v/>
      </c>
      <c r="J35" s="6" t="n">
        <v>1.1</v>
      </c>
      <c r="K35" s="21">
        <f>IF(I35&gt;=0.05,"CUMPLE","NO CUMPLE")</f>
        <v/>
      </c>
      <c r="L35" s="21">
        <f>IF(J35&lt;=$B$7,"CUMPLE","GRADAS")</f>
        <v/>
      </c>
      <c r="M35" s="22" t="inlineStr"/>
    </row>
    <row r="36">
      <c r="A36" s="18" t="inlineStr">
        <is>
          <t>EJE-07</t>
        </is>
      </c>
      <c r="B36" s="18" t="inlineStr">
        <is>
          <t>P-25</t>
        </is>
      </c>
      <c r="C36" s="18" t="inlineStr">
        <is>
          <t>P-26</t>
        </is>
      </c>
      <c r="D36" s="18" t="n">
        <v>1768</v>
      </c>
      <c r="E36" s="5">
        <f>1000*$B$4*$B$5*D36/3600000*$B$6</f>
        <v/>
      </c>
      <c r="F36" s="18" t="n">
        <v>0.5</v>
      </c>
      <c r="G36" s="19" t="n">
        <v>0.226</v>
      </c>
      <c r="H36" s="18" t="n">
        <v>0.73</v>
      </c>
      <c r="I36" s="20">
        <f>H36-G36</f>
        <v/>
      </c>
      <c r="J36" s="6" t="n">
        <v>1.18</v>
      </c>
      <c r="K36" s="21">
        <f>IF(I36&gt;=0.05,"CUMPLE","NO CUMPLE")</f>
        <v/>
      </c>
      <c r="L36" s="21">
        <f>IF(J36&lt;=$B$7,"CUMPLE","GRADAS")</f>
        <v/>
      </c>
      <c r="M36" s="22" t="inlineStr"/>
    </row>
    <row r="37">
      <c r="A37" s="18" t="inlineStr">
        <is>
          <t>EJE-07</t>
        </is>
      </c>
      <c r="B37" s="18" t="inlineStr">
        <is>
          <t>P-26</t>
        </is>
      </c>
      <c r="C37" s="18" t="inlineStr">
        <is>
          <t>P-27</t>
        </is>
      </c>
      <c r="D37" s="18" t="n">
        <v>2084</v>
      </c>
      <c r="E37" s="5">
        <f>1000*$B$4*$B$5*D37/3600000*$B$6</f>
        <v/>
      </c>
      <c r="F37" s="18" t="n">
        <v>0.5</v>
      </c>
      <c r="G37" s="19" t="n">
        <v>0.256</v>
      </c>
      <c r="H37" s="18" t="n">
        <v>0.79</v>
      </c>
      <c r="I37" s="20">
        <f>H37-G37</f>
        <v/>
      </c>
      <c r="J37" s="6" t="n">
        <v>1.22</v>
      </c>
      <c r="K37" s="21">
        <f>IF(I37&gt;=0.05,"CUMPLE","NO CUMPLE")</f>
        <v/>
      </c>
      <c r="L37" s="21">
        <f>IF(J37&lt;=$B$7,"CUMPLE","GRADAS")</f>
        <v/>
      </c>
      <c r="M37" s="22" t="inlineStr"/>
    </row>
    <row r="38">
      <c r="A38" s="18" t="inlineStr">
        <is>
          <t>EJE-07</t>
        </is>
      </c>
      <c r="B38" s="18" t="inlineStr">
        <is>
          <t>P-27</t>
        </is>
      </c>
      <c r="C38" s="18" t="inlineStr">
        <is>
          <t>P-28</t>
        </is>
      </c>
      <c r="D38" s="18" t="n">
        <v>2102</v>
      </c>
      <c r="E38" s="5">
        <f>1000*$B$4*$B$5*D38/3600000*$B$6</f>
        <v/>
      </c>
      <c r="F38" s="18" t="n">
        <v>0.5</v>
      </c>
      <c r="G38" s="19" t="n">
        <v>0.258</v>
      </c>
      <c r="H38" s="18" t="n">
        <v>0.8100000000000001</v>
      </c>
      <c r="I38" s="20">
        <f>H38-G38</f>
        <v/>
      </c>
      <c r="J38" s="6" t="n">
        <v>1.23</v>
      </c>
      <c r="K38" s="21">
        <f>IF(I38&gt;=0.05,"CUMPLE","NO CUMPLE")</f>
        <v/>
      </c>
      <c r="L38" s="21">
        <f>IF(J38&lt;=$B$7,"CUMPLE","GRADAS")</f>
        <v/>
      </c>
      <c r="M38" s="22" t="inlineStr"/>
    </row>
    <row r="39">
      <c r="A39" s="18" t="inlineStr">
        <is>
          <t>EJE-07</t>
        </is>
      </c>
      <c r="B39" s="18" t="inlineStr">
        <is>
          <t>P-28</t>
        </is>
      </c>
      <c r="C39" s="18" t="inlineStr">
        <is>
          <t>P-29</t>
        </is>
      </c>
      <c r="D39" s="18" t="n">
        <v>2127</v>
      </c>
      <c r="E39" s="5">
        <f>1000*$B$4*$B$5*D39/3600000*$B$6</f>
        <v/>
      </c>
      <c r="F39" s="18" t="n">
        <v>0.5</v>
      </c>
      <c r="G39" s="19" t="n">
        <v>0.26</v>
      </c>
      <c r="H39" s="18" t="n">
        <v>0.85</v>
      </c>
      <c r="I39" s="20">
        <f>H39-G39</f>
        <v/>
      </c>
      <c r="J39" s="6" t="n">
        <v>1.23</v>
      </c>
      <c r="K39" s="21">
        <f>IF(I39&gt;=0.05,"CUMPLE","NO CUMPLE")</f>
        <v/>
      </c>
      <c r="L39" s="21">
        <f>IF(J39&lt;=$B$7,"CUMPLE","GRADAS")</f>
        <v/>
      </c>
      <c r="M39" s="22" t="inlineStr"/>
    </row>
    <row r="40">
      <c r="A40" s="18" t="inlineStr">
        <is>
          <t>EJE-07</t>
        </is>
      </c>
      <c r="B40" s="18" t="inlineStr">
        <is>
          <t>P-29</t>
        </is>
      </c>
      <c r="C40" s="18" t="inlineStr">
        <is>
          <t>P-30</t>
        </is>
      </c>
      <c r="D40" s="18" t="n">
        <v>2191</v>
      </c>
      <c r="E40" s="5">
        <f>1000*$B$4*$B$5*D40/3600000*$B$6</f>
        <v/>
      </c>
      <c r="F40" s="18" t="n">
        <v>0.5</v>
      </c>
      <c r="G40" s="19" t="n">
        <v>0.266</v>
      </c>
      <c r="H40" s="18" t="n">
        <v>0.88</v>
      </c>
      <c r="I40" s="20">
        <f>H40-G40</f>
        <v/>
      </c>
      <c r="J40" s="6" t="n">
        <v>1.24</v>
      </c>
      <c r="K40" s="21">
        <f>IF(I40&gt;=0.05,"CUMPLE","NO CUMPLE")</f>
        <v/>
      </c>
      <c r="L40" s="21">
        <f>IF(J40&lt;=$B$7,"CUMPLE","GRADAS")</f>
        <v/>
      </c>
      <c r="M40" s="22" t="inlineStr"/>
    </row>
    <row r="41">
      <c r="A41" s="18" t="inlineStr">
        <is>
          <t>EJE-07</t>
        </is>
      </c>
      <c r="B41" s="18" t="inlineStr">
        <is>
          <t>P-30</t>
        </is>
      </c>
      <c r="C41" s="18" t="inlineStr">
        <is>
          <t>D3</t>
        </is>
      </c>
      <c r="D41" s="18" t="n">
        <v>2193</v>
      </c>
      <c r="E41" s="5">
        <f>1000*$B$4*$B$5*D41/3600000*$B$6</f>
        <v/>
      </c>
      <c r="F41" s="18" t="n">
        <v>17.21</v>
      </c>
      <c r="G41" s="19" t="n">
        <v>0.075</v>
      </c>
      <c r="H41" s="18" t="n">
        <v>0.25</v>
      </c>
      <c r="I41" s="20">
        <f>H41-G41</f>
        <v/>
      </c>
      <c r="J41" s="6" t="n">
        <v>4.37</v>
      </c>
      <c r="K41" s="21">
        <f>IF(I41&gt;=0.05,"CUMPLE","NO CUMPLE")</f>
        <v/>
      </c>
      <c r="L41" s="21">
        <f>IF(J41&lt;=$B$7,"CUMPLE","GRADAS")</f>
        <v/>
      </c>
      <c r="M41" s="22" t="inlineStr">
        <is>
          <t>gradas de concreto (escalones) en este tramo</t>
        </is>
      </c>
    </row>
    <row r="42">
      <c r="A42" s="18" t="inlineStr">
        <is>
          <t>EJE-08</t>
        </is>
      </c>
      <c r="B42" s="18" t="inlineStr">
        <is>
          <t>P-31</t>
        </is>
      </c>
      <c r="C42" s="18" t="inlineStr">
        <is>
          <t>P-32</t>
        </is>
      </c>
      <c r="D42" s="18" t="n">
        <v>47</v>
      </c>
      <c r="E42" s="5">
        <f>1000*$B$4*$B$5*D42/3600000*$B$6</f>
        <v/>
      </c>
      <c r="F42" s="18" t="n">
        <v>0.5</v>
      </c>
      <c r="G42" s="19" t="n">
        <v>0.02</v>
      </c>
      <c r="H42" s="18" t="n">
        <v>0.3</v>
      </c>
      <c r="I42" s="20">
        <f>H42-G42</f>
        <v/>
      </c>
      <c r="J42" s="6" t="n">
        <v>0.35</v>
      </c>
      <c r="K42" s="21">
        <f>IF(I42&gt;=0.05,"CUMPLE","NO CUMPLE")</f>
        <v/>
      </c>
      <c r="L42" s="21">
        <f>IF(J42&lt;=$B$7,"CUMPLE","GRADAS")</f>
        <v/>
      </c>
      <c r="M42" s="22" t="inlineStr"/>
    </row>
    <row r="43">
      <c r="A43" s="18" t="inlineStr">
        <is>
          <t>EJE-08</t>
        </is>
      </c>
      <c r="B43" s="18" t="inlineStr">
        <is>
          <t>P-32</t>
        </is>
      </c>
      <c r="C43" s="18" t="inlineStr">
        <is>
          <t>P-23</t>
        </is>
      </c>
      <c r="D43" s="18" t="n">
        <v>488</v>
      </c>
      <c r="E43" s="5">
        <f>1000*$B$4*$B$5*D43/3600000*$B$6</f>
        <v/>
      </c>
      <c r="F43" s="18" t="n">
        <v>0.5</v>
      </c>
      <c r="G43" s="19" t="n">
        <v>0.089</v>
      </c>
      <c r="H43" s="18" t="n">
        <v>0.32</v>
      </c>
      <c r="I43" s="20">
        <f>H43-G43</f>
        <v/>
      </c>
      <c r="J43" s="6" t="n">
        <v>0.8100000000000001</v>
      </c>
      <c r="K43" s="21">
        <f>IF(I43&gt;=0.05,"CUMPLE","NO CUMPLE")</f>
        <v/>
      </c>
      <c r="L43" s="21">
        <f>IF(J43&lt;=$B$7,"CUMPLE","GRADAS")</f>
        <v/>
      </c>
      <c r="M43" s="22" t="inlineStr"/>
    </row>
    <row r="44">
      <c r="A44" s="18" t="inlineStr">
        <is>
          <t>EJE-09</t>
        </is>
      </c>
      <c r="B44" s="18" t="inlineStr">
        <is>
          <t>P-33</t>
        </is>
      </c>
      <c r="C44" s="18" t="inlineStr">
        <is>
          <t>P-24</t>
        </is>
      </c>
      <c r="D44" s="18" t="n">
        <v>342</v>
      </c>
      <c r="E44" s="5">
        <f>1000*$B$4*$B$5*D44/3600000*$B$6</f>
        <v/>
      </c>
      <c r="F44" s="18" t="n">
        <v>0.5</v>
      </c>
      <c r="G44" s="19" t="n">
        <v>0.07000000000000001</v>
      </c>
      <c r="H44" s="18" t="n">
        <v>0.3</v>
      </c>
      <c r="I44" s="20">
        <f>H44-G44</f>
        <v/>
      </c>
      <c r="J44" s="6" t="n">
        <v>0.72</v>
      </c>
      <c r="K44" s="21">
        <f>IF(I44&gt;=0.05,"CUMPLE","NO CUMPLE")</f>
        <v/>
      </c>
      <c r="L44" s="21">
        <f>IF(J44&lt;=$B$7,"CUMPLE","GRADAS")</f>
        <v/>
      </c>
      <c r="M44" s="22" t="inlineStr"/>
    </row>
    <row r="45">
      <c r="A45" s="18" t="inlineStr">
        <is>
          <t>EJE-10</t>
        </is>
      </c>
      <c r="B45" s="18" t="inlineStr">
        <is>
          <t>P-32</t>
        </is>
      </c>
      <c r="C45" s="18" t="inlineStr">
        <is>
          <t>P-33</t>
        </is>
      </c>
      <c r="D45" s="18" t="n">
        <v>205</v>
      </c>
      <c r="E45" s="5">
        <f>1000*$B$4*$B$5*D45/3600000*$B$6</f>
        <v/>
      </c>
      <c r="F45" s="18" t="n">
        <v>0.5</v>
      </c>
      <c r="G45" s="19" t="n">
        <v>0.05</v>
      </c>
      <c r="H45" s="18" t="n">
        <v>0.3</v>
      </c>
      <c r="I45" s="20">
        <f>H45-G45</f>
        <v/>
      </c>
      <c r="J45" s="6" t="n">
        <v>0.61</v>
      </c>
      <c r="K45" s="21">
        <f>IF(I45&gt;=0.05,"CUMPLE","NO CUMPLE")</f>
        <v/>
      </c>
      <c r="L45" s="21">
        <f>IF(J45&lt;=$B$7,"CUMPLE","GRADAS")</f>
        <v/>
      </c>
      <c r="M45" s="22" t="inlineStr"/>
    </row>
    <row r="46">
      <c r="A46" s="18" t="inlineStr">
        <is>
          <t>EJE-10</t>
        </is>
      </c>
      <c r="B46" s="18" t="inlineStr">
        <is>
          <t>P-33</t>
        </is>
      </c>
      <c r="C46" s="18" t="inlineStr">
        <is>
          <t>P-34</t>
        </is>
      </c>
      <c r="D46" s="18" t="n">
        <v>239</v>
      </c>
      <c r="E46" s="5">
        <f>1000*$B$4*$B$5*D46/3600000*$B$6</f>
        <v/>
      </c>
      <c r="F46" s="18" t="n">
        <v>0.5</v>
      </c>
      <c r="G46" s="19" t="n">
        <v>0.055</v>
      </c>
      <c r="H46" s="18" t="n">
        <v>0.39</v>
      </c>
      <c r="I46" s="20">
        <f>H46-G46</f>
        <v/>
      </c>
      <c r="J46" s="6" t="n">
        <v>0.64</v>
      </c>
      <c r="K46" s="21">
        <f>IF(I46&gt;=0.05,"CUMPLE","NO CUMPLE")</f>
        <v/>
      </c>
      <c r="L46" s="21">
        <f>IF(J46&lt;=$B$7,"CUMPLE","GRADAS")</f>
        <v/>
      </c>
      <c r="M46" s="22" t="inlineStr"/>
    </row>
    <row r="47">
      <c r="A47" s="18" t="inlineStr">
        <is>
          <t>EJE-10</t>
        </is>
      </c>
      <c r="B47" s="18" t="inlineStr">
        <is>
          <t>P-34</t>
        </is>
      </c>
      <c r="C47" s="18" t="inlineStr">
        <is>
          <t>P-25</t>
        </is>
      </c>
      <c r="D47" s="18" t="n">
        <v>335</v>
      </c>
      <c r="E47" s="5">
        <f>1000*$B$4*$B$5*D47/3600000*$B$6</f>
        <v/>
      </c>
      <c r="F47" s="18" t="n">
        <v>0.5</v>
      </c>
      <c r="G47" s="19" t="n">
        <v>0.06900000000000001</v>
      </c>
      <c r="H47" s="18" t="n">
        <v>0.42</v>
      </c>
      <c r="I47" s="20">
        <f>H47-G47</f>
        <v/>
      </c>
      <c r="J47" s="6" t="n">
        <v>0.72</v>
      </c>
      <c r="K47" s="21">
        <f>IF(I47&gt;=0.05,"CUMPLE","NO CUMPLE")</f>
        <v/>
      </c>
      <c r="L47" s="21">
        <f>IF(J47&lt;=$B$7,"CUMPLE","GRADAS")</f>
        <v/>
      </c>
      <c r="M47" s="22" t="inlineStr"/>
    </row>
    <row r="48">
      <c r="A48" s="18" t="inlineStr">
        <is>
          <t>EJE-11</t>
        </is>
      </c>
      <c r="B48" s="18" t="inlineStr">
        <is>
          <t>P-35</t>
        </is>
      </c>
      <c r="C48" s="18" t="inlineStr">
        <is>
          <t>P-26</t>
        </is>
      </c>
      <c r="D48" s="18" t="n">
        <v>301</v>
      </c>
      <c r="E48" s="5">
        <f>1000*$B$4*$B$5*D48/3600000*$B$6</f>
        <v/>
      </c>
      <c r="F48" s="18" t="n">
        <v>0.5</v>
      </c>
      <c r="G48" s="19" t="n">
        <v>0.064</v>
      </c>
      <c r="H48" s="18" t="n">
        <v>0.3</v>
      </c>
      <c r="I48" s="20">
        <f>H48-G48</f>
        <v/>
      </c>
      <c r="J48" s="6" t="n">
        <v>0.6899999999999999</v>
      </c>
      <c r="K48" s="21">
        <f>IF(I48&gt;=0.05,"CUMPLE","NO CUMPLE")</f>
        <v/>
      </c>
      <c r="L48" s="21">
        <f>IF(J48&lt;=$B$7,"CUMPLE","GRADAS")</f>
        <v/>
      </c>
      <c r="M48" s="22" t="inlineStr"/>
    </row>
    <row r="49">
      <c r="A49" s="18" t="inlineStr">
        <is>
          <t>EJE-12</t>
        </is>
      </c>
      <c r="B49" s="18" t="inlineStr">
        <is>
          <t>P-36</t>
        </is>
      </c>
      <c r="C49" s="18" t="inlineStr">
        <is>
          <t>P-37</t>
        </is>
      </c>
      <c r="D49" s="18" t="n">
        <v>242</v>
      </c>
      <c r="E49" s="5">
        <f>1000*$B$4*$B$5*D49/3600000*$B$6</f>
        <v/>
      </c>
      <c r="F49" s="18" t="n">
        <v>0.5</v>
      </c>
      <c r="G49" s="19" t="n">
        <v>0.056</v>
      </c>
      <c r="H49" s="18" t="n">
        <v>0.3</v>
      </c>
      <c r="I49" s="20">
        <f>H49-G49</f>
        <v/>
      </c>
      <c r="J49" s="6" t="n">
        <v>0.64</v>
      </c>
      <c r="K49" s="21">
        <f>IF(I49&gt;=0.05,"CUMPLE","NO CUMPLE")</f>
        <v/>
      </c>
      <c r="L49" s="21">
        <f>IF(J49&lt;=$B$7,"CUMPLE","GRADAS")</f>
        <v/>
      </c>
      <c r="M49" s="22" t="inlineStr"/>
    </row>
    <row r="50">
      <c r="A50" s="18" t="inlineStr">
        <is>
          <t>EJE-12</t>
        </is>
      </c>
      <c r="B50" s="18" t="inlineStr">
        <is>
          <t>P-37</t>
        </is>
      </c>
      <c r="C50" s="18" t="inlineStr">
        <is>
          <t>P-38</t>
        </is>
      </c>
      <c r="D50" s="18" t="n">
        <v>532</v>
      </c>
      <c r="E50" s="5">
        <f>1000*$B$4*$B$5*D50/3600000*$B$6</f>
        <v/>
      </c>
      <c r="F50" s="18" t="n">
        <v>0.5</v>
      </c>
      <c r="G50" s="19" t="n">
        <v>0.095</v>
      </c>
      <c r="H50" s="18" t="n">
        <v>0.38</v>
      </c>
      <c r="I50" s="20">
        <f>H50-G50</f>
        <v/>
      </c>
      <c r="J50" s="6" t="n">
        <v>0.83</v>
      </c>
      <c r="K50" s="21">
        <f>IF(I50&gt;=0.05,"CUMPLE","NO CUMPLE")</f>
        <v/>
      </c>
      <c r="L50" s="21">
        <f>IF(J50&lt;=$B$7,"CUMPLE","GRADAS")</f>
        <v/>
      </c>
      <c r="M50" s="22" t="inlineStr"/>
    </row>
    <row r="51">
      <c r="A51" s="18" t="inlineStr">
        <is>
          <t>EJE-12</t>
        </is>
      </c>
      <c r="B51" s="18" t="inlineStr">
        <is>
          <t>P-38</t>
        </is>
      </c>
      <c r="C51" s="18" t="inlineStr">
        <is>
          <t>P-39</t>
        </is>
      </c>
      <c r="D51" s="18" t="n">
        <v>855</v>
      </c>
      <c r="E51" s="5">
        <f>1000*$B$4*$B$5*D51/3600000*$B$6</f>
        <v/>
      </c>
      <c r="F51" s="18" t="n">
        <v>0.5</v>
      </c>
      <c r="G51" s="19" t="n">
        <v>0.132</v>
      </c>
      <c r="H51" s="18" t="n">
        <v>0.5</v>
      </c>
      <c r="I51" s="20">
        <f>H51-G51</f>
        <v/>
      </c>
      <c r="J51" s="6" t="n">
        <v>0.97</v>
      </c>
      <c r="K51" s="21">
        <f>IF(I51&gt;=0.05,"CUMPLE","NO CUMPLE")</f>
        <v/>
      </c>
      <c r="L51" s="21">
        <f>IF(J51&lt;=$B$7,"CUMPLE","GRADAS")</f>
        <v/>
      </c>
      <c r="M51" s="22" t="inlineStr"/>
    </row>
    <row r="52">
      <c r="A52" s="18" t="inlineStr">
        <is>
          <t>EJE-12</t>
        </is>
      </c>
      <c r="B52" s="18" t="inlineStr">
        <is>
          <t>P-39</t>
        </is>
      </c>
      <c r="C52" s="18" t="inlineStr">
        <is>
          <t>P-40</t>
        </is>
      </c>
      <c r="D52" s="18" t="n">
        <v>1128</v>
      </c>
      <c r="E52" s="5">
        <f>1000*$B$4*$B$5*D52/3600000*$B$6</f>
        <v/>
      </c>
      <c r="F52" s="18" t="n">
        <v>0.5</v>
      </c>
      <c r="G52" s="19" t="n">
        <v>0.161</v>
      </c>
      <c r="H52" s="18" t="n">
        <v>0.57</v>
      </c>
      <c r="I52" s="20">
        <f>H52-G52</f>
        <v/>
      </c>
      <c r="J52" s="6" t="n">
        <v>1.05</v>
      </c>
      <c r="K52" s="21">
        <f>IF(I52&gt;=0.05,"CUMPLE","NO CUMPLE")</f>
        <v/>
      </c>
      <c r="L52" s="21">
        <f>IF(J52&lt;=$B$7,"CUMPLE","GRADAS")</f>
        <v/>
      </c>
      <c r="M52" s="22" t="inlineStr"/>
    </row>
    <row r="53">
      <c r="A53" s="18" t="inlineStr">
        <is>
          <t>EJE-12</t>
        </is>
      </c>
      <c r="B53" s="18" t="inlineStr">
        <is>
          <t>P-40</t>
        </is>
      </c>
      <c r="C53" s="18" t="inlineStr">
        <is>
          <t>P-41</t>
        </is>
      </c>
      <c r="D53" s="18" t="n">
        <v>1869</v>
      </c>
      <c r="E53" s="5">
        <f>1000*$B$4*$B$5*D53/3600000*$B$6</f>
        <v/>
      </c>
      <c r="F53" s="18" t="n">
        <v>0.5</v>
      </c>
      <c r="G53" s="19" t="n">
        <v>0.235</v>
      </c>
      <c r="H53" s="18" t="n">
        <v>0.62</v>
      </c>
      <c r="I53" s="20">
        <f>H53-G53</f>
        <v/>
      </c>
      <c r="J53" s="6" t="n">
        <v>1.19</v>
      </c>
      <c r="K53" s="21">
        <f>IF(I53&gt;=0.05,"CUMPLE","NO CUMPLE")</f>
        <v/>
      </c>
      <c r="L53" s="21">
        <f>IF(J53&lt;=$B$7,"CUMPLE","GRADAS")</f>
        <v/>
      </c>
      <c r="M53" s="22" t="inlineStr"/>
    </row>
    <row r="54">
      <c r="A54" s="18" t="inlineStr">
        <is>
          <t>EJE-12</t>
        </is>
      </c>
      <c r="B54" s="18" t="inlineStr">
        <is>
          <t>P-41</t>
        </is>
      </c>
      <c r="C54" s="18" t="inlineStr">
        <is>
          <t>P-42</t>
        </is>
      </c>
      <c r="D54" s="18" t="n">
        <v>2361</v>
      </c>
      <c r="E54" s="5">
        <f>1000*$B$4*$B$5*D54/3600000*$B$6</f>
        <v/>
      </c>
      <c r="F54" s="18" t="n">
        <v>0.5</v>
      </c>
      <c r="G54" s="19" t="n">
        <v>0.282</v>
      </c>
      <c r="H54" s="18" t="n">
        <v>0.68</v>
      </c>
      <c r="I54" s="20">
        <f>H54-G54</f>
        <v/>
      </c>
      <c r="J54" s="6" t="n">
        <v>1.26</v>
      </c>
      <c r="K54" s="21">
        <f>IF(I54&gt;=0.05,"CUMPLE","NO CUMPLE")</f>
        <v/>
      </c>
      <c r="L54" s="21">
        <f>IF(J54&lt;=$B$7,"CUMPLE","GRADAS")</f>
        <v/>
      </c>
      <c r="M54" s="22" t="inlineStr"/>
    </row>
    <row r="55">
      <c r="A55" s="18" t="inlineStr">
        <is>
          <t>EJE-12</t>
        </is>
      </c>
      <c r="B55" s="18" t="inlineStr">
        <is>
          <t>P-42</t>
        </is>
      </c>
      <c r="C55" s="18" t="inlineStr">
        <is>
          <t>P-43</t>
        </is>
      </c>
      <c r="D55" s="18" t="n">
        <v>2487</v>
      </c>
      <c r="E55" s="5">
        <f>1000*$B$4*$B$5*D55/3600000*$B$6</f>
        <v/>
      </c>
      <c r="F55" s="18" t="n">
        <v>0.5</v>
      </c>
      <c r="G55" s="19" t="n">
        <v>0.294</v>
      </c>
      <c r="H55" s="18" t="n">
        <v>0.72</v>
      </c>
      <c r="I55" s="20">
        <f>H55-G55</f>
        <v/>
      </c>
      <c r="J55" s="6" t="n">
        <v>1.28</v>
      </c>
      <c r="K55" s="21">
        <f>IF(I55&gt;=0.05,"CUMPLE","NO CUMPLE")</f>
        <v/>
      </c>
      <c r="L55" s="21">
        <f>IF(J55&lt;=$B$7,"CUMPLE","GRADAS")</f>
        <v/>
      </c>
      <c r="M55" s="22" t="inlineStr"/>
    </row>
    <row r="56">
      <c r="A56" s="18" t="inlineStr">
        <is>
          <t>EJE-12</t>
        </is>
      </c>
      <c r="B56" s="18" t="inlineStr">
        <is>
          <t>P-43</t>
        </is>
      </c>
      <c r="C56" s="18" t="inlineStr">
        <is>
          <t>P-44</t>
        </is>
      </c>
      <c r="D56" s="18" t="n">
        <v>2500</v>
      </c>
      <c r="E56" s="5">
        <f>1000*$B$4*$B$5*D56/3600000*$B$6</f>
        <v/>
      </c>
      <c r="F56" s="18" t="n">
        <v>0.5</v>
      </c>
      <c r="G56" s="19" t="n">
        <v>0.295</v>
      </c>
      <c r="H56" s="18" t="n">
        <v>0.78</v>
      </c>
      <c r="I56" s="20">
        <f>H56-G56</f>
        <v/>
      </c>
      <c r="J56" s="6" t="n">
        <v>1.28</v>
      </c>
      <c r="K56" s="21">
        <f>IF(I56&gt;=0.05,"CUMPLE","NO CUMPLE")</f>
        <v/>
      </c>
      <c r="L56" s="21">
        <f>IF(J56&lt;=$B$7,"CUMPLE","GRADAS")</f>
        <v/>
      </c>
      <c r="M56" s="22" t="inlineStr"/>
    </row>
    <row r="57">
      <c r="A57" s="18" t="inlineStr">
        <is>
          <t>EJE-12</t>
        </is>
      </c>
      <c r="B57" s="18" t="inlineStr">
        <is>
          <t>P-44</t>
        </is>
      </c>
      <c r="C57" s="18" t="inlineStr">
        <is>
          <t>D2</t>
        </is>
      </c>
      <c r="D57" s="18" t="n">
        <v>3029</v>
      </c>
      <c r="E57" s="5">
        <f>1000*$B$4*$B$5*D57/3600000*$B$6</f>
        <v/>
      </c>
      <c r="F57" s="18" t="n">
        <v>0.5</v>
      </c>
      <c r="G57" s="19" t="n">
        <v>0.344</v>
      </c>
      <c r="H57" s="18" t="n">
        <v>0.79</v>
      </c>
      <c r="I57" s="20">
        <f>H57-G57</f>
        <v/>
      </c>
      <c r="J57" s="6" t="n">
        <v>1.33</v>
      </c>
      <c r="K57" s="21">
        <f>IF(I57&gt;=0.05,"CUMPLE","NO CUMPLE")</f>
        <v/>
      </c>
      <c r="L57" s="21">
        <f>IF(J57&lt;=$B$7,"CUMPLE","GRADAS")</f>
        <v/>
      </c>
      <c r="M57" s="22" t="inlineStr"/>
    </row>
    <row r="58">
      <c r="A58" s="18" t="inlineStr">
        <is>
          <t>EJE-13</t>
        </is>
      </c>
      <c r="B58" s="18" t="inlineStr">
        <is>
          <t>P-45</t>
        </is>
      </c>
      <c r="C58" s="18" t="inlineStr">
        <is>
          <t>P-39</t>
        </is>
      </c>
      <c r="D58" s="18" t="n">
        <v>244</v>
      </c>
      <c r="E58" s="5">
        <f>1000*$B$4*$B$5*D58/3600000*$B$6</f>
        <v/>
      </c>
      <c r="F58" s="18" t="n">
        <v>0.5</v>
      </c>
      <c r="G58" s="19" t="n">
        <v>0.056</v>
      </c>
      <c r="H58" s="18" t="n">
        <v>0.3</v>
      </c>
      <c r="I58" s="20">
        <f>H58-G58</f>
        <v/>
      </c>
      <c r="J58" s="6" t="n">
        <v>0.64</v>
      </c>
      <c r="K58" s="21">
        <f>IF(I58&gt;=0.05,"CUMPLE","NO CUMPLE")</f>
        <v/>
      </c>
      <c r="L58" s="21">
        <f>IF(J58&lt;=$B$7,"CUMPLE","GRADAS")</f>
        <v/>
      </c>
      <c r="M58" s="22" t="inlineStr"/>
    </row>
    <row r="59">
      <c r="A59" s="18" t="inlineStr">
        <is>
          <t>EJE-14</t>
        </is>
      </c>
      <c r="B59" s="18" t="inlineStr">
        <is>
          <t>P-46</t>
        </is>
      </c>
      <c r="C59" s="18" t="inlineStr">
        <is>
          <t>P-47</t>
        </is>
      </c>
      <c r="D59" s="18" t="n">
        <v>211</v>
      </c>
      <c r="E59" s="5">
        <f>1000*$B$4*$B$5*D59/3600000*$B$6</f>
        <v/>
      </c>
      <c r="F59" s="18" t="n">
        <v>0.5</v>
      </c>
      <c r="G59" s="19" t="n">
        <v>0.051</v>
      </c>
      <c r="H59" s="18" t="n">
        <v>0.3</v>
      </c>
      <c r="I59" s="20">
        <f>H59-G59</f>
        <v/>
      </c>
      <c r="J59" s="6" t="n">
        <v>0.61</v>
      </c>
      <c r="K59" s="21">
        <f>IF(I59&gt;=0.05,"CUMPLE","NO CUMPLE")</f>
        <v/>
      </c>
      <c r="L59" s="21">
        <f>IF(J59&lt;=$B$7,"CUMPLE","GRADAS")</f>
        <v/>
      </c>
      <c r="M59" s="22" t="inlineStr"/>
    </row>
    <row r="60">
      <c r="A60" s="18" t="inlineStr">
        <is>
          <t>EJE-14</t>
        </is>
      </c>
      <c r="B60" s="18" t="inlineStr">
        <is>
          <t>P-47</t>
        </is>
      </c>
      <c r="C60" s="18" t="inlineStr">
        <is>
          <t>P-48</t>
        </is>
      </c>
      <c r="D60" s="18" t="n">
        <v>480</v>
      </c>
      <c r="E60" s="5">
        <f>1000*$B$4*$B$5*D60/3600000*$B$6</f>
        <v/>
      </c>
      <c r="F60" s="18" t="n">
        <v>0.5</v>
      </c>
      <c r="G60" s="19" t="n">
        <v>0.08799999999999999</v>
      </c>
      <c r="H60" s="18" t="n">
        <v>0.39</v>
      </c>
      <c r="I60" s="20">
        <f>H60-G60</f>
        <v/>
      </c>
      <c r="J60" s="6" t="n">
        <v>0.8100000000000001</v>
      </c>
      <c r="K60" s="21">
        <f>IF(I60&gt;=0.05,"CUMPLE","NO CUMPLE")</f>
        <v/>
      </c>
      <c r="L60" s="21">
        <f>IF(J60&lt;=$B$7,"CUMPLE","GRADAS")</f>
        <v/>
      </c>
      <c r="M60" s="22" t="inlineStr"/>
    </row>
    <row r="61">
      <c r="A61" s="18" t="inlineStr">
        <is>
          <t>EJE-14</t>
        </is>
      </c>
      <c r="B61" s="18" t="inlineStr">
        <is>
          <t>P-48</t>
        </is>
      </c>
      <c r="C61" s="18" t="inlineStr">
        <is>
          <t>P-49</t>
        </is>
      </c>
      <c r="D61" s="18" t="n">
        <v>487</v>
      </c>
      <c r="E61" s="5">
        <f>1000*$B$4*$B$5*D61/3600000*$B$6</f>
        <v/>
      </c>
      <c r="F61" s="18" t="n">
        <v>0.5</v>
      </c>
      <c r="G61" s="19" t="n">
        <v>0.089</v>
      </c>
      <c r="H61" s="18" t="n">
        <v>0.4</v>
      </c>
      <c r="I61" s="20">
        <f>H61-G61</f>
        <v/>
      </c>
      <c r="J61" s="6" t="n">
        <v>0.8100000000000001</v>
      </c>
      <c r="K61" s="21">
        <f>IF(I61&gt;=0.05,"CUMPLE","NO CUMPLE")</f>
        <v/>
      </c>
      <c r="L61" s="21">
        <f>IF(J61&lt;=$B$7,"CUMPLE","GRADAS")</f>
        <v/>
      </c>
      <c r="M61" s="22" t="inlineStr"/>
    </row>
    <row r="62">
      <c r="A62" s="18" t="inlineStr">
        <is>
          <t>EJE-14</t>
        </is>
      </c>
      <c r="B62" s="18" t="inlineStr">
        <is>
          <t>P-49</t>
        </is>
      </c>
      <c r="C62" s="18" t="inlineStr">
        <is>
          <t>P-50</t>
        </is>
      </c>
      <c r="D62" s="18" t="n">
        <v>673</v>
      </c>
      <c r="E62" s="5">
        <f>1000*$B$4*$B$5*D62/3600000*$B$6</f>
        <v/>
      </c>
      <c r="F62" s="18" t="n">
        <v>0.5</v>
      </c>
      <c r="G62" s="19" t="n">
        <v>0.112</v>
      </c>
      <c r="H62" s="18" t="n">
        <v>0.41</v>
      </c>
      <c r="I62" s="20">
        <f>H62-G62</f>
        <v/>
      </c>
      <c r="J62" s="6" t="n">
        <v>0.9</v>
      </c>
      <c r="K62" s="21">
        <f>IF(I62&gt;=0.05,"CUMPLE","NO CUMPLE")</f>
        <v/>
      </c>
      <c r="L62" s="21">
        <f>IF(J62&lt;=$B$7,"CUMPLE","GRADAS")</f>
        <v/>
      </c>
      <c r="M62" s="22" t="inlineStr"/>
    </row>
    <row r="63">
      <c r="A63" s="18" t="inlineStr">
        <is>
          <t>EJE-14</t>
        </is>
      </c>
      <c r="B63" s="18" t="inlineStr">
        <is>
          <t>P-50</t>
        </is>
      </c>
      <c r="C63" s="18" t="inlineStr">
        <is>
          <t>P-40</t>
        </is>
      </c>
      <c r="D63" s="18" t="n">
        <v>693</v>
      </c>
      <c r="E63" s="5">
        <f>1000*$B$4*$B$5*D63/3600000*$B$6</f>
        <v/>
      </c>
      <c r="F63" s="18" t="n">
        <v>0.5</v>
      </c>
      <c r="G63" s="19" t="n">
        <v>0.114</v>
      </c>
      <c r="H63" s="18" t="n">
        <v>0.5</v>
      </c>
      <c r="I63" s="20">
        <f>H63-G63</f>
        <v/>
      </c>
      <c r="J63" s="6" t="n">
        <v>0.91</v>
      </c>
      <c r="K63" s="21">
        <f>IF(I63&gt;=0.05,"CUMPLE","NO CUMPLE")</f>
        <v/>
      </c>
      <c r="L63" s="21">
        <f>IF(J63&lt;=$B$7,"CUMPLE","GRADAS")</f>
        <v/>
      </c>
      <c r="M63" s="22" t="inlineStr"/>
    </row>
    <row r="64">
      <c r="A64" s="18" t="inlineStr">
        <is>
          <t>EJE-15</t>
        </is>
      </c>
      <c r="B64" s="18" t="inlineStr">
        <is>
          <t>P-51</t>
        </is>
      </c>
      <c r="C64" s="18" t="inlineStr">
        <is>
          <t>P-52</t>
        </is>
      </c>
      <c r="D64" s="18" t="n">
        <v>156</v>
      </c>
      <c r="E64" s="5">
        <f>1000*$B$4*$B$5*D64/3600000*$B$6</f>
        <v/>
      </c>
      <c r="F64" s="18" t="n">
        <v>0.5</v>
      </c>
      <c r="G64" s="19" t="n">
        <v>0.042</v>
      </c>
      <c r="H64" s="18" t="n">
        <v>0.3</v>
      </c>
      <c r="I64" s="20">
        <f>H64-G64</f>
        <v/>
      </c>
      <c r="J64" s="6" t="n">
        <v>0.55</v>
      </c>
      <c r="K64" s="21">
        <f>IF(I64&gt;=0.05,"CUMPLE","NO CUMPLE")</f>
        <v/>
      </c>
      <c r="L64" s="21">
        <f>IF(J64&lt;=$B$7,"CUMPLE","GRADAS")</f>
        <v/>
      </c>
      <c r="M64" s="22" t="inlineStr"/>
    </row>
    <row r="65">
      <c r="A65" s="18" t="inlineStr">
        <is>
          <t>EJE-15</t>
        </is>
      </c>
      <c r="B65" s="18" t="inlineStr">
        <is>
          <t>P-52</t>
        </is>
      </c>
      <c r="C65" s="18" t="inlineStr">
        <is>
          <t>P-53</t>
        </is>
      </c>
      <c r="D65" s="18" t="n">
        <v>430</v>
      </c>
      <c r="E65" s="5">
        <f>1000*$B$4*$B$5*D65/3600000*$B$6</f>
        <v/>
      </c>
      <c r="F65" s="18" t="n">
        <v>0.5</v>
      </c>
      <c r="G65" s="19" t="n">
        <v>0.082</v>
      </c>
      <c r="H65" s="18" t="n">
        <v>0.36</v>
      </c>
      <c r="I65" s="20">
        <f>H65-G65</f>
        <v/>
      </c>
      <c r="J65" s="6" t="n">
        <v>0.78</v>
      </c>
      <c r="K65" s="21">
        <f>IF(I65&gt;=0.05,"CUMPLE","NO CUMPLE")</f>
        <v/>
      </c>
      <c r="L65" s="21">
        <f>IF(J65&lt;=$B$7,"CUMPLE","GRADAS")</f>
        <v/>
      </c>
      <c r="M65" s="22" t="inlineStr"/>
    </row>
    <row r="66">
      <c r="A66" s="18" t="inlineStr">
        <is>
          <t>EJE-15</t>
        </is>
      </c>
      <c r="B66" s="18" t="inlineStr">
        <is>
          <t>P-53</t>
        </is>
      </c>
      <c r="C66" s="18" t="inlineStr">
        <is>
          <t>P-41</t>
        </is>
      </c>
      <c r="D66" s="18" t="n">
        <v>455</v>
      </c>
      <c r="E66" s="5">
        <f>1000*$B$4*$B$5*D66/3600000*$B$6</f>
        <v/>
      </c>
      <c r="F66" s="18" t="n">
        <v>0.5</v>
      </c>
      <c r="G66" s="19" t="n">
        <v>0.08500000000000001</v>
      </c>
      <c r="H66" s="18" t="n">
        <v>0.38</v>
      </c>
      <c r="I66" s="20">
        <f>H66-G66</f>
        <v/>
      </c>
      <c r="J66" s="6" t="n">
        <v>0.79</v>
      </c>
      <c r="K66" s="21">
        <f>IF(I66&gt;=0.05,"CUMPLE","NO CUMPLE")</f>
        <v/>
      </c>
      <c r="L66" s="21">
        <f>IF(J66&lt;=$B$7,"CUMPLE","GRADAS")</f>
        <v/>
      </c>
      <c r="M66" s="22" t="inlineStr"/>
    </row>
    <row r="67">
      <c r="A67" s="18" t="inlineStr">
        <is>
          <t>EJE-16</t>
        </is>
      </c>
      <c r="B67" s="18" t="inlineStr">
        <is>
          <t>P-54</t>
        </is>
      </c>
      <c r="C67" s="18" t="inlineStr">
        <is>
          <t>P-55</t>
        </is>
      </c>
      <c r="D67" s="18" t="n">
        <v>398</v>
      </c>
      <c r="E67" s="5">
        <f>1000*$B$4*$B$5*D67/3600000*$B$6</f>
        <v/>
      </c>
      <c r="F67" s="18" t="n">
        <v>0.5</v>
      </c>
      <c r="G67" s="19" t="n">
        <v>0.078</v>
      </c>
      <c r="H67" s="18" t="n">
        <v>0.3</v>
      </c>
      <c r="I67" s="20">
        <f>H67-G67</f>
        <v/>
      </c>
      <c r="J67" s="6" t="n">
        <v>0.76</v>
      </c>
      <c r="K67" s="21">
        <f>IF(I67&gt;=0.05,"CUMPLE","NO CUMPLE")</f>
        <v/>
      </c>
      <c r="L67" s="21">
        <f>IF(J67&lt;=$B$7,"CUMPLE","GRADAS")</f>
        <v/>
      </c>
      <c r="M67" s="22" t="inlineStr"/>
    </row>
    <row r="68">
      <c r="A68" s="18" t="inlineStr">
        <is>
          <t>EJE-16</t>
        </is>
      </c>
      <c r="B68" s="18" t="inlineStr">
        <is>
          <t>P-55</t>
        </is>
      </c>
      <c r="C68" s="18" t="inlineStr">
        <is>
          <t>P-56</t>
        </is>
      </c>
      <c r="D68" s="18" t="n">
        <v>419</v>
      </c>
      <c r="E68" s="5">
        <f>1000*$B$4*$B$5*D68/3600000*$B$6</f>
        <v/>
      </c>
      <c r="F68" s="18" t="n">
        <v>0.5</v>
      </c>
      <c r="G68" s="19" t="n">
        <v>0.081</v>
      </c>
      <c r="H68" s="18" t="n">
        <v>0.46</v>
      </c>
      <c r="I68" s="20">
        <f>H68-G68</f>
        <v/>
      </c>
      <c r="J68" s="6" t="n">
        <v>0.77</v>
      </c>
      <c r="K68" s="21">
        <f>IF(I68&gt;=0.05,"CUMPLE","NO CUMPLE")</f>
        <v/>
      </c>
      <c r="L68" s="21">
        <f>IF(J68&lt;=$B$7,"CUMPLE","GRADAS")</f>
        <v/>
      </c>
      <c r="M68" s="22" t="inlineStr"/>
    </row>
    <row r="69">
      <c r="A69" s="18" t="inlineStr">
        <is>
          <t>EJE-16</t>
        </is>
      </c>
      <c r="B69" s="18" t="inlineStr">
        <is>
          <t>P-56</t>
        </is>
      </c>
      <c r="C69" s="18" t="inlineStr">
        <is>
          <t>P-44</t>
        </is>
      </c>
      <c r="D69" s="18" t="n">
        <v>528</v>
      </c>
      <c r="E69" s="5">
        <f>1000*$B$4*$B$5*D69/3600000*$B$6</f>
        <v/>
      </c>
      <c r="F69" s="18" t="n">
        <v>0.5</v>
      </c>
      <c r="G69" s="19" t="n">
        <v>0.094</v>
      </c>
      <c r="H69" s="18" t="n">
        <v>0.45</v>
      </c>
      <c r="I69" s="20">
        <f>H69-G69</f>
        <v/>
      </c>
      <c r="J69" s="6" t="n">
        <v>0.83</v>
      </c>
      <c r="K69" s="21">
        <f>IF(I69&gt;=0.05,"CUMPLE","NO CUMPLE")</f>
        <v/>
      </c>
      <c r="L69" s="21">
        <f>IF(J69&lt;=$B$7,"CUMPLE","GRADAS")</f>
        <v/>
      </c>
      <c r="M69" s="22" t="inlineStr"/>
    </row>
    <row r="70">
      <c r="A70" s="18" t="inlineStr">
        <is>
          <t>EJE-17</t>
        </is>
      </c>
      <c r="B70" s="18" t="inlineStr">
        <is>
          <t>P-57</t>
        </is>
      </c>
      <c r="C70" s="18" t="inlineStr">
        <is>
          <t>P-58</t>
        </is>
      </c>
      <c r="D70" s="18" t="n">
        <v>263</v>
      </c>
      <c r="E70" s="5">
        <f>1000*$B$4*$B$5*D70/3600000*$B$6</f>
        <v/>
      </c>
      <c r="F70" s="18" t="n">
        <v>0.5</v>
      </c>
      <c r="G70" s="19" t="n">
        <v>0.059</v>
      </c>
      <c r="H70" s="18" t="n">
        <v>0.3</v>
      </c>
      <c r="I70" s="20">
        <f>H70-G70</f>
        <v/>
      </c>
      <c r="J70" s="6" t="n">
        <v>0.66</v>
      </c>
      <c r="K70" s="21">
        <f>IF(I70&gt;=0.05,"CUMPLE","NO CUMPLE")</f>
        <v/>
      </c>
      <c r="L70" s="21">
        <f>IF(J70&lt;=$B$7,"CUMPLE","GRADAS")</f>
        <v/>
      </c>
      <c r="M70" s="22" t="inlineStr"/>
    </row>
    <row r="71">
      <c r="A71" s="18" t="inlineStr">
        <is>
          <t>EJE-17</t>
        </is>
      </c>
      <c r="B71" s="18" t="inlineStr">
        <is>
          <t>P-58</t>
        </is>
      </c>
      <c r="C71" s="18" t="inlineStr">
        <is>
          <t>P-59</t>
        </is>
      </c>
      <c r="D71" s="18" t="n">
        <v>628</v>
      </c>
      <c r="E71" s="5">
        <f>1000*$B$4*$B$5*D71/3600000*$B$6</f>
        <v/>
      </c>
      <c r="F71" s="18" t="n">
        <v>0.5</v>
      </c>
      <c r="G71" s="19" t="n">
        <v>0.106</v>
      </c>
      <c r="H71" s="18" t="n">
        <v>0.5</v>
      </c>
      <c r="I71" s="20">
        <f>H71-G71</f>
        <v/>
      </c>
      <c r="J71" s="6" t="n">
        <v>0.88</v>
      </c>
      <c r="K71" s="21">
        <f>IF(I71&gt;=0.05,"CUMPLE","NO CUMPLE")</f>
        <v/>
      </c>
      <c r="L71" s="21">
        <f>IF(J71&lt;=$B$7,"CUMPLE","GRADAS")</f>
        <v/>
      </c>
      <c r="M71" s="22" t="inlineStr"/>
    </row>
    <row r="72">
      <c r="A72" s="18" t="inlineStr">
        <is>
          <t>EJE-17</t>
        </is>
      </c>
      <c r="B72" s="18" t="inlineStr">
        <is>
          <t>P-59</t>
        </is>
      </c>
      <c r="C72" s="18" t="inlineStr">
        <is>
          <t>D4</t>
        </is>
      </c>
      <c r="D72" s="18" t="n">
        <v>632</v>
      </c>
      <c r="E72" s="5">
        <f>1000*$B$4*$B$5*D72/3600000*$B$6</f>
        <v/>
      </c>
      <c r="F72" s="18" t="n">
        <v>0.5</v>
      </c>
      <c r="G72" s="19" t="n">
        <v>0.107</v>
      </c>
      <c r="H72" s="18" t="n">
        <v>0.5</v>
      </c>
      <c r="I72" s="20">
        <f>H72-G72</f>
        <v/>
      </c>
      <c r="J72" s="6" t="n">
        <v>0.88</v>
      </c>
      <c r="K72" s="21">
        <f>IF(I72&gt;=0.05,"CUMPLE","NO CUMPLE")</f>
        <v/>
      </c>
      <c r="L72" s="21">
        <f>IF(J72&lt;=$B$7,"CUMPLE","GRADAS")</f>
        <v/>
      </c>
      <c r="M72" s="22" t="inlineStr"/>
    </row>
    <row r="73">
      <c r="A73" s="18" t="inlineStr">
        <is>
          <t>EJE-18</t>
        </is>
      </c>
      <c r="B73" s="18" t="inlineStr">
        <is>
          <t>P-31</t>
        </is>
      </c>
      <c r="C73" s="18" t="inlineStr">
        <is>
          <t>P-60</t>
        </is>
      </c>
      <c r="D73" s="18" t="n">
        <v>93</v>
      </c>
      <c r="E73" s="5">
        <f>1000*$B$4*$B$5*D73/3600000*$B$6</f>
        <v/>
      </c>
      <c r="F73" s="18" t="n">
        <v>0.5</v>
      </c>
      <c r="G73" s="19" t="n">
        <v>0.03</v>
      </c>
      <c r="H73" s="18" t="n">
        <v>0.3</v>
      </c>
      <c r="I73" s="20">
        <f>H73-G73</f>
        <v/>
      </c>
      <c r="J73" s="6" t="n">
        <v>0.46</v>
      </c>
      <c r="K73" s="21">
        <f>IF(I73&gt;=0.05,"CUMPLE","NO CUMPLE")</f>
        <v/>
      </c>
      <c r="L73" s="21">
        <f>IF(J73&lt;=$B$7,"CUMPLE","GRADAS")</f>
        <v/>
      </c>
      <c r="M73" s="22" t="inlineStr"/>
    </row>
    <row r="74">
      <c r="A74" s="18" t="inlineStr">
        <is>
          <t>EJE-18</t>
        </is>
      </c>
      <c r="B74" s="18" t="inlineStr">
        <is>
          <t>P-60</t>
        </is>
      </c>
      <c r="C74" s="18" t="inlineStr">
        <is>
          <t>P-61</t>
        </is>
      </c>
      <c r="D74" s="18" t="n">
        <v>252</v>
      </c>
      <c r="E74" s="5">
        <f>1000*$B$4*$B$5*D74/3600000*$B$6</f>
        <v/>
      </c>
      <c r="F74" s="18" t="n">
        <v>0.5</v>
      </c>
      <c r="G74" s="19" t="n">
        <v>0.057</v>
      </c>
      <c r="H74" s="18" t="n">
        <v>0.36</v>
      </c>
      <c r="I74" s="20">
        <f>H74-G74</f>
        <v/>
      </c>
      <c r="J74" s="6" t="n">
        <v>0.65</v>
      </c>
      <c r="K74" s="21">
        <f>IF(I74&gt;=0.05,"CUMPLE","NO CUMPLE")</f>
        <v/>
      </c>
      <c r="L74" s="21">
        <f>IF(J74&lt;=$B$7,"CUMPLE","GRADAS")</f>
        <v/>
      </c>
      <c r="M74" s="22" t="inlineStr"/>
    </row>
    <row r="75">
      <c r="A75" s="18" t="inlineStr">
        <is>
          <t>EJE-18</t>
        </is>
      </c>
      <c r="B75" s="18" t="inlineStr">
        <is>
          <t>P-61</t>
        </is>
      </c>
      <c r="C75" s="18" t="inlineStr">
        <is>
          <t>P-58</t>
        </is>
      </c>
      <c r="D75" s="18" t="n">
        <v>365</v>
      </c>
      <c r="E75" s="5">
        <f>1000*$B$4*$B$5*D75/3600000*$B$6</f>
        <v/>
      </c>
      <c r="F75" s="18" t="n">
        <v>0.5</v>
      </c>
      <c r="G75" s="19" t="n">
        <v>0.073</v>
      </c>
      <c r="H75" s="18" t="n">
        <v>0.49</v>
      </c>
      <c r="I75" s="20">
        <f>H75-G75</f>
        <v/>
      </c>
      <c r="J75" s="6" t="n">
        <v>0.74</v>
      </c>
      <c r="K75" s="21">
        <f>IF(I75&gt;=0.05,"CUMPLE","NO CUMPLE")</f>
        <v/>
      </c>
      <c r="L75" s="21">
        <f>IF(J75&lt;=$B$7,"CUMPLE","GRADAS")</f>
        <v/>
      </c>
      <c r="M75" s="22" t="inlineStr"/>
    </row>
    <row r="76">
      <c r="A76" s="18" t="inlineStr">
        <is>
          <t>EJE-19</t>
        </is>
      </c>
      <c r="B76" s="18" t="inlineStr">
        <is>
          <t>P-62</t>
        </is>
      </c>
      <c r="C76" s="18" t="inlineStr">
        <is>
          <t>P-61</t>
        </is>
      </c>
      <c r="D76" s="18" t="n">
        <v>109</v>
      </c>
      <c r="E76" s="5">
        <f>1000*$B$4*$B$5*D76/3600000*$B$6</f>
        <v/>
      </c>
      <c r="F76" s="18" t="n">
        <v>0.5</v>
      </c>
      <c r="G76" s="19" t="n">
        <v>0.033</v>
      </c>
      <c r="H76" s="18" t="n">
        <v>0.3</v>
      </c>
      <c r="I76" s="20">
        <f>H76-G76</f>
        <v/>
      </c>
      <c r="J76" s="6" t="n">
        <v>0.48</v>
      </c>
      <c r="K76" s="21">
        <f>IF(I76&gt;=0.05,"CUMPLE","NO CUMPLE")</f>
        <v/>
      </c>
      <c r="L76" s="21">
        <f>IF(J76&lt;=$B$7,"CUMPLE","GRADAS")</f>
        <v/>
      </c>
      <c r="M76" s="22" t="inlineStr"/>
    </row>
  </sheetData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7" customWidth="1" min="4" max="4"/>
    <col width="9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9" customWidth="1" min="11" max="11"/>
    <col width="8" customWidth="1" min="12" max="12"/>
    <col width="10" customWidth="1" min="13" max="13"/>
    <col width="11" customWidth="1" min="14" max="14"/>
    <col width="11" customWidth="1" min="15" max="15"/>
    <col width="12" customWidth="1" min="16" max="16"/>
    <col width="60" customWidth="1" min="17" max="17"/>
  </cols>
  <sheetData>
    <row r="1">
      <c r="A1" s="1" t="inlineStr">
        <is>
          <t>CUADRO DE TRAMOS DE CUNETAS - COTAS DE FONDO, PROFUNDIDADES, PENDIENTES Y CAPACIDAD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 ht="30" customHeight="1">
      <c r="A4" s="3" t="inlineStr">
        <is>
          <t>SISTEMA</t>
        </is>
      </c>
      <c r="B4" s="3" t="inlineStr">
        <is>
          <t>EJE</t>
        </is>
      </c>
      <c r="C4" s="3" t="inlineStr">
        <is>
          <t>DE</t>
        </is>
      </c>
      <c r="D4" s="3" t="inlineStr">
        <is>
          <t>A</t>
        </is>
      </c>
      <c r="E4" s="3" t="inlineStr">
        <is>
          <t>L (m)</t>
        </is>
      </c>
      <c r="F4" s="3" t="inlineStr">
        <is>
          <t>RASANTE DE</t>
        </is>
      </c>
      <c r="G4" s="3" t="inlineStr">
        <is>
          <t>RASANTE A</t>
        </is>
      </c>
      <c r="H4" s="3" t="inlineStr">
        <is>
          <t>COTA DE FONDO DE</t>
        </is>
      </c>
      <c r="I4" s="3" t="inlineStr">
        <is>
          <t>COTA DE FONDO A</t>
        </is>
      </c>
      <c r="J4" s="3" t="inlineStr">
        <is>
          <t>h DE (m)</t>
        </is>
      </c>
      <c r="K4" s="3" t="inlineStr">
        <is>
          <t>h A (m)</t>
        </is>
      </c>
      <c r="L4" s="3" t="inlineStr">
        <is>
          <t>S (%)</t>
        </is>
      </c>
      <c r="M4" s="3" t="inlineStr">
        <is>
          <t>TAPADO (m)</t>
        </is>
      </c>
      <c r="N4" s="3" t="inlineStr">
        <is>
          <t>CON REJILLA (m)</t>
        </is>
      </c>
      <c r="O4" s="3" t="inlineStr">
        <is>
          <t>TIRANTE MAX. (m)</t>
        </is>
      </c>
      <c r="P4" s="3" t="inlineStr">
        <is>
          <t>Q CAPACIDAD (l/s)</t>
        </is>
      </c>
      <c r="Q4" s="3" t="inlineStr">
        <is>
          <t>DESCRIPCION DEL EJE</t>
        </is>
      </c>
    </row>
    <row r="5">
      <c r="A5" s="23" t="n">
        <v>1</v>
      </c>
      <c r="B5" s="23" t="inlineStr">
        <is>
          <t>EJE-01</t>
        </is>
      </c>
      <c r="C5" s="23" t="inlineStr">
        <is>
          <t>P-01</t>
        </is>
      </c>
      <c r="D5" s="23" t="inlineStr">
        <is>
          <t>P-02</t>
        </is>
      </c>
      <c r="E5" s="24" t="n">
        <v>31.9</v>
      </c>
      <c r="F5" s="24" t="n">
        <v>184.6</v>
      </c>
      <c r="G5" s="24" t="n">
        <v>184.6</v>
      </c>
      <c r="H5" s="25" t="n">
        <v>184.3</v>
      </c>
      <c r="I5" s="25" t="n">
        <v>184.141</v>
      </c>
      <c r="J5" s="26">
        <f>F5-H5</f>
        <v/>
      </c>
      <c r="K5" s="26">
        <f>G5-I5</f>
        <v/>
      </c>
      <c r="L5" s="26">
        <f>100*(H5-I5)/E5</f>
        <v/>
      </c>
      <c r="M5" s="24" t="n">
        <v>0</v>
      </c>
      <c r="N5" s="26">
        <f>E5-M5</f>
        <v/>
      </c>
      <c r="O5" s="26">
        <f>MAX(MIN(J5,K5)-CRITERIOS!$B$13,0.01)</f>
        <v/>
      </c>
      <c r="P5" s="27">
        <f>1000*CRITERIOS!$B$5*O5*((CRITERIOS!$B$5*O5)/(CRITERIOS!$B$5+2*O5))^(2/3)*SQRT(MAX(L5/100,CRITERIOS!$B$10))/CRITERIOS!$B$12</f>
        <v/>
      </c>
      <c r="Q5" s="28" t="inlineStr">
        <is>
          <t>Pabellon oeste A: lado nor-oeste y salida D1</t>
        </is>
      </c>
    </row>
    <row r="6">
      <c r="A6" s="23" t="n">
        <v>1</v>
      </c>
      <c r="B6" s="23" t="inlineStr">
        <is>
          <t>EJE-01</t>
        </is>
      </c>
      <c r="C6" s="23" t="inlineStr">
        <is>
          <t>P-02</t>
        </is>
      </c>
      <c r="D6" s="23" t="inlineStr">
        <is>
          <t>P-03</t>
        </is>
      </c>
      <c r="E6" s="24" t="n">
        <v>2.15</v>
      </c>
      <c r="F6" s="24" t="n">
        <v>184.6</v>
      </c>
      <c r="G6" s="24" t="n">
        <v>184.6</v>
      </c>
      <c r="H6" s="25" t="n">
        <v>184.141</v>
      </c>
      <c r="I6" s="25" t="n">
        <v>183.708</v>
      </c>
      <c r="J6" s="26">
        <f>F6-H6</f>
        <v/>
      </c>
      <c r="K6" s="26">
        <f>G6-I6</f>
        <v/>
      </c>
      <c r="L6" s="26">
        <f>100*(H6-I6)/E6</f>
        <v/>
      </c>
      <c r="M6" s="24" t="n">
        <v>0</v>
      </c>
      <c r="N6" s="26">
        <f>E6-M6</f>
        <v/>
      </c>
      <c r="O6" s="26">
        <f>MAX(MIN(J6,K6)-CRITERIOS!$B$13,0.01)</f>
        <v/>
      </c>
      <c r="P6" s="27">
        <f>1000*CRITERIOS!$B$5*O6*((CRITERIOS!$B$5*O6)/(CRITERIOS!$B$5+2*O6))^(2/3)*SQRT(MAX(L6/100,CRITERIOS!$B$10))/CRITERIOS!$B$12</f>
        <v/>
      </c>
      <c r="Q6" s="28" t="inlineStr">
        <is>
          <t>Pabellon oeste A: lado nor-oeste y salida D1</t>
        </is>
      </c>
    </row>
    <row r="7">
      <c r="A7" s="23" t="n">
        <v>1</v>
      </c>
      <c r="B7" s="23" t="inlineStr">
        <is>
          <t>EJE-01</t>
        </is>
      </c>
      <c r="C7" s="23" t="inlineStr">
        <is>
          <t>P-03</t>
        </is>
      </c>
      <c r="D7" s="23" t="inlineStr">
        <is>
          <t>D1</t>
        </is>
      </c>
      <c r="E7" s="24" t="n">
        <v>0.6</v>
      </c>
      <c r="F7" s="24" t="n">
        <v>184.6</v>
      </c>
      <c r="G7" s="24" t="n">
        <v>183.91</v>
      </c>
      <c r="H7" s="25" t="n">
        <v>183.708</v>
      </c>
      <c r="I7" s="25" t="n">
        <v>183.66</v>
      </c>
      <c r="J7" s="26">
        <f>F7-H7</f>
        <v/>
      </c>
      <c r="K7" s="26">
        <f>G7-I7</f>
        <v/>
      </c>
      <c r="L7" s="26">
        <f>100*(H7-I7)/E7</f>
        <v/>
      </c>
      <c r="M7" s="24" t="n">
        <v>0.6</v>
      </c>
      <c r="N7" s="26">
        <f>E7-M7</f>
        <v/>
      </c>
      <c r="O7" s="26">
        <f>MAX(MIN(J7,K7)-CRITERIOS!$B$13,0.01)</f>
        <v/>
      </c>
      <c r="P7" s="27">
        <f>1000*CRITERIOS!$B$5*O7*((CRITERIOS!$B$5*O7)/(CRITERIOS!$B$5+2*O7))^(2/3)*SQRT(MAX(L7/100,CRITERIOS!$B$10))/CRITERIOS!$B$12</f>
        <v/>
      </c>
      <c r="Q7" s="28" t="inlineStr">
        <is>
          <t>Pabellon oeste A: lado nor-oeste y salida D1</t>
        </is>
      </c>
    </row>
    <row r="8">
      <c r="A8" s="23" t="n">
        <v>1</v>
      </c>
      <c r="B8" s="23" t="inlineStr">
        <is>
          <t>EJE-02</t>
        </is>
      </c>
      <c r="C8" s="23" t="inlineStr">
        <is>
          <t>P-04</t>
        </is>
      </c>
      <c r="D8" s="23" t="inlineStr">
        <is>
          <t>P-05</t>
        </is>
      </c>
      <c r="E8" s="24" t="n">
        <v>32.42</v>
      </c>
      <c r="F8" s="24" t="n">
        <v>184.6</v>
      </c>
      <c r="G8" s="24" t="n">
        <v>184.6</v>
      </c>
      <c r="H8" s="25" t="n">
        <v>184.3</v>
      </c>
      <c r="I8" s="25" t="n">
        <v>184.138</v>
      </c>
      <c r="J8" s="26">
        <f>F8-H8</f>
        <v/>
      </c>
      <c r="K8" s="26">
        <f>G8-I8</f>
        <v/>
      </c>
      <c r="L8" s="26">
        <f>100*(H8-I8)/E8</f>
        <v/>
      </c>
      <c r="M8" s="24" t="n">
        <v>0</v>
      </c>
      <c r="N8" s="26">
        <f>E8-M8</f>
        <v/>
      </c>
      <c r="O8" s="26">
        <f>MAX(MIN(J8,K8)-CRITERIOS!$B$13,0.01)</f>
        <v/>
      </c>
      <c r="P8" s="27">
        <f>1000*CRITERIOS!$B$5*O8*((CRITERIOS!$B$5*O8)/(CRITERIOS!$B$5+2*O8))^(2/3)*SQRT(MAX(L8/100,CRITERIOS!$B$10))/CRITERIOS!$B$12</f>
        <v/>
      </c>
      <c r="Q8" s="28" t="inlineStr">
        <is>
          <t>Pabellon oeste B: lado nor-este; pabellon A: lado sur-este; union a D1</t>
        </is>
      </c>
    </row>
    <row r="9">
      <c r="A9" s="23" t="n">
        <v>1</v>
      </c>
      <c r="B9" s="23" t="inlineStr">
        <is>
          <t>EJE-02</t>
        </is>
      </c>
      <c r="C9" s="23" t="inlineStr">
        <is>
          <t>P-05</t>
        </is>
      </c>
      <c r="D9" s="23" t="inlineStr">
        <is>
          <t>P-06</t>
        </is>
      </c>
      <c r="E9" s="24" t="n">
        <v>11.53</v>
      </c>
      <c r="F9" s="24" t="n">
        <v>184.6</v>
      </c>
      <c r="G9" s="24" t="n">
        <v>184.6</v>
      </c>
      <c r="H9" s="25" t="n">
        <v>184.138</v>
      </c>
      <c r="I9" s="25" t="n">
        <v>184.08</v>
      </c>
      <c r="J9" s="26">
        <f>F9-H9</f>
        <v/>
      </c>
      <c r="K9" s="26">
        <f>G9-I9</f>
        <v/>
      </c>
      <c r="L9" s="26">
        <f>100*(H9-I9)/E9</f>
        <v/>
      </c>
      <c r="M9" s="24" t="n">
        <v>0</v>
      </c>
      <c r="N9" s="26">
        <f>E9-M9</f>
        <v/>
      </c>
      <c r="O9" s="26">
        <f>MAX(MIN(J9,K9)-CRITERIOS!$B$13,0.01)</f>
        <v/>
      </c>
      <c r="P9" s="27">
        <f>1000*CRITERIOS!$B$5*O9*((CRITERIOS!$B$5*O9)/(CRITERIOS!$B$5+2*O9))^(2/3)*SQRT(MAX(L9/100,CRITERIOS!$B$10))/CRITERIOS!$B$12</f>
        <v/>
      </c>
      <c r="Q9" s="28" t="inlineStr">
        <is>
          <t>Pabellon oeste B: lado nor-este; pabellon A: lado sur-este; union a D1</t>
        </is>
      </c>
    </row>
    <row r="10">
      <c r="A10" s="23" t="n">
        <v>1</v>
      </c>
      <c r="B10" s="23" t="inlineStr">
        <is>
          <t>EJE-02</t>
        </is>
      </c>
      <c r="C10" s="23" t="inlineStr">
        <is>
          <t>P-06</t>
        </is>
      </c>
      <c r="D10" s="23" t="inlineStr">
        <is>
          <t>P-07</t>
        </is>
      </c>
      <c r="E10" s="24" t="n">
        <v>8.68</v>
      </c>
      <c r="F10" s="24" t="n">
        <v>184.6</v>
      </c>
      <c r="G10" s="24" t="n">
        <v>184.6</v>
      </c>
      <c r="H10" s="25" t="n">
        <v>184.08</v>
      </c>
      <c r="I10" s="25" t="n">
        <v>183.826</v>
      </c>
      <c r="J10" s="26">
        <f>F10-H10</f>
        <v/>
      </c>
      <c r="K10" s="26">
        <f>G10-I10</f>
        <v/>
      </c>
      <c r="L10" s="26">
        <f>100*(H10-I10)/E10</f>
        <v/>
      </c>
      <c r="M10" s="24" t="n">
        <v>0</v>
      </c>
      <c r="N10" s="26">
        <f>E10-M10</f>
        <v/>
      </c>
      <c r="O10" s="26">
        <f>MAX(MIN(J10,K10)-CRITERIOS!$B$13,0.01)</f>
        <v/>
      </c>
      <c r="P10" s="27">
        <f>1000*CRITERIOS!$B$5*O10*((CRITERIOS!$B$5*O10)/(CRITERIOS!$B$5+2*O10))^(2/3)*SQRT(MAX(L10/100,CRITERIOS!$B$10))/CRITERIOS!$B$12</f>
        <v/>
      </c>
      <c r="Q10" s="28" t="inlineStr">
        <is>
          <t>Pabellon oeste B: lado nor-este; pabellon A: lado sur-este; union a D1</t>
        </is>
      </c>
    </row>
    <row r="11">
      <c r="A11" s="23" t="n">
        <v>1</v>
      </c>
      <c r="B11" s="23" t="inlineStr">
        <is>
          <t>EJE-02</t>
        </is>
      </c>
      <c r="C11" s="23" t="inlineStr">
        <is>
          <t>P-07</t>
        </is>
      </c>
      <c r="D11" s="23" t="inlineStr">
        <is>
          <t>P-08</t>
        </is>
      </c>
      <c r="E11" s="24" t="n">
        <v>11.47</v>
      </c>
      <c r="F11" s="24" t="n">
        <v>184.6</v>
      </c>
      <c r="G11" s="24" t="n">
        <v>184.6</v>
      </c>
      <c r="H11" s="25" t="n">
        <v>183.826</v>
      </c>
      <c r="I11" s="25" t="n">
        <v>183.768</v>
      </c>
      <c r="J11" s="26">
        <f>F11-H11</f>
        <v/>
      </c>
      <c r="K11" s="26">
        <f>G11-I11</f>
        <v/>
      </c>
      <c r="L11" s="26">
        <f>100*(H11-I11)/E11</f>
        <v/>
      </c>
      <c r="M11" s="24" t="n">
        <v>0</v>
      </c>
      <c r="N11" s="26">
        <f>E11-M11</f>
        <v/>
      </c>
      <c r="O11" s="26">
        <f>MAX(MIN(J11,K11)-CRITERIOS!$B$13,0.01)</f>
        <v/>
      </c>
      <c r="P11" s="27">
        <f>1000*CRITERIOS!$B$5*O11*((CRITERIOS!$B$5*O11)/(CRITERIOS!$B$5+2*O11))^(2/3)*SQRT(MAX(L11/100,CRITERIOS!$B$10))/CRITERIOS!$B$12</f>
        <v/>
      </c>
      <c r="Q11" s="28" t="inlineStr">
        <is>
          <t>Pabellon oeste B: lado nor-este; pabellon A: lado sur-este; union a D1</t>
        </is>
      </c>
    </row>
    <row r="12">
      <c r="A12" s="23" t="n">
        <v>1</v>
      </c>
      <c r="B12" s="23" t="inlineStr">
        <is>
          <t>EJE-02</t>
        </is>
      </c>
      <c r="C12" s="23" t="inlineStr">
        <is>
          <t>P-08</t>
        </is>
      </c>
      <c r="D12" s="23" t="inlineStr">
        <is>
          <t>P-03</t>
        </is>
      </c>
      <c r="E12" s="24" t="n">
        <v>12.1</v>
      </c>
      <c r="F12" s="24" t="n">
        <v>184.6</v>
      </c>
      <c r="G12" s="24" t="n">
        <v>184.6</v>
      </c>
      <c r="H12" s="25" t="n">
        <v>183.768</v>
      </c>
      <c r="I12" s="25" t="n">
        <v>183.708</v>
      </c>
      <c r="J12" s="26">
        <f>F12-H12</f>
        <v/>
      </c>
      <c r="K12" s="26">
        <f>G12-I12</f>
        <v/>
      </c>
      <c r="L12" s="26">
        <f>100*(H12-I12)/E12</f>
        <v/>
      </c>
      <c r="M12" s="24" t="n">
        <v>0</v>
      </c>
      <c r="N12" s="26">
        <f>E12-M12</f>
        <v/>
      </c>
      <c r="O12" s="26">
        <f>MAX(MIN(J12,K12)-CRITERIOS!$B$13,0.01)</f>
        <v/>
      </c>
      <c r="P12" s="27">
        <f>1000*CRITERIOS!$B$5*O12*((CRITERIOS!$B$5*O12)/(CRITERIOS!$B$5+2*O12))^(2/3)*SQRT(MAX(L12/100,CRITERIOS!$B$10))/CRITERIOS!$B$12</f>
        <v/>
      </c>
      <c r="Q12" s="28" t="inlineStr">
        <is>
          <t>Pabellon oeste B: lado nor-este; pabellon A: lado sur-este; union a D1</t>
        </is>
      </c>
    </row>
    <row r="13">
      <c r="A13" s="23" t="n">
        <v>1</v>
      </c>
      <c r="B13" s="23" t="inlineStr">
        <is>
          <t>EJE-03</t>
        </is>
      </c>
      <c r="C13" s="23" t="inlineStr">
        <is>
          <t>P-09</t>
        </is>
      </c>
      <c r="D13" s="23" t="inlineStr">
        <is>
          <t>P-06</t>
        </is>
      </c>
      <c r="E13" s="24" t="n">
        <v>32.31</v>
      </c>
      <c r="F13" s="24" t="n">
        <v>184.6</v>
      </c>
      <c r="G13" s="24" t="n">
        <v>184.6</v>
      </c>
      <c r="H13" s="25" t="n">
        <v>184.3</v>
      </c>
      <c r="I13" s="25" t="n">
        <v>184.138</v>
      </c>
      <c r="J13" s="26">
        <f>F13-H13</f>
        <v/>
      </c>
      <c r="K13" s="26">
        <f>G13-I13</f>
        <v/>
      </c>
      <c r="L13" s="26">
        <f>100*(H13-I13)/E13</f>
        <v/>
      </c>
      <c r="M13" s="24" t="n">
        <v>0</v>
      </c>
      <c r="N13" s="26">
        <f>E13-M13</f>
        <v/>
      </c>
      <c r="O13" s="26">
        <f>MAX(MIN(J13,K13)-CRITERIOS!$B$13,0.01)</f>
        <v/>
      </c>
      <c r="P13" s="27">
        <f>1000*CRITERIOS!$B$5*O13*((CRITERIOS!$B$5*O13)/(CRITERIOS!$B$5+2*O13))^(2/3)*SQRT(MAX(L13/100,CRITERIOS!$B$10))/CRITERIOS!$B$12</f>
        <v/>
      </c>
      <c r="Q13" s="28" t="inlineStr">
        <is>
          <t>Pabellon oeste B: lado sur-oeste (patio)</t>
        </is>
      </c>
    </row>
    <row r="14">
      <c r="A14" s="23" t="n">
        <v>1</v>
      </c>
      <c r="B14" s="23" t="inlineStr">
        <is>
          <t>EJE-04</t>
        </is>
      </c>
      <c r="C14" s="23" t="inlineStr">
        <is>
          <t>P-10</t>
        </is>
      </c>
      <c r="D14" s="23" t="inlineStr">
        <is>
          <t>P-11</t>
        </is>
      </c>
      <c r="E14" s="24" t="n">
        <v>26.1</v>
      </c>
      <c r="F14" s="24" t="n">
        <v>184.6</v>
      </c>
      <c r="G14" s="24" t="n">
        <v>184.6</v>
      </c>
      <c r="H14" s="25" t="n">
        <v>184.3</v>
      </c>
      <c r="I14" s="25" t="n">
        <v>184.17</v>
      </c>
      <c r="J14" s="26">
        <f>F14-H14</f>
        <v/>
      </c>
      <c r="K14" s="26">
        <f>G14-I14</f>
        <v/>
      </c>
      <c r="L14" s="26">
        <f>100*(H14-I14)/E14</f>
        <v/>
      </c>
      <c r="M14" s="24" t="n">
        <v>0</v>
      </c>
      <c r="N14" s="26">
        <f>E14-M14</f>
        <v/>
      </c>
      <c r="O14" s="26">
        <f>MAX(MIN(J14,K14)-CRITERIOS!$B$13,0.01)</f>
        <v/>
      </c>
      <c r="P14" s="27">
        <f>1000*CRITERIOS!$B$5*O14*((CRITERIOS!$B$5*O14)/(CRITERIOS!$B$5+2*O14))^(2/3)*SQRT(MAX(L14/100,CRITERIOS!$B$10))/CRITERIOS!$B$12</f>
        <v/>
      </c>
      <c r="Q14" s="28" t="inlineStr">
        <is>
          <t>Bloque x=884.9 (lado oeste), bloque D (lado norte) y pabellon C (lado nor-este)</t>
        </is>
      </c>
    </row>
    <row r="15">
      <c r="A15" s="23" t="n">
        <v>1</v>
      </c>
      <c r="B15" s="23" t="inlineStr">
        <is>
          <t>EJE-04</t>
        </is>
      </c>
      <c r="C15" s="23" t="inlineStr">
        <is>
          <t>P-11</t>
        </is>
      </c>
      <c r="D15" s="23" t="inlineStr">
        <is>
          <t>P-12</t>
        </is>
      </c>
      <c r="E15" s="24" t="n">
        <v>9.43</v>
      </c>
      <c r="F15" s="24" t="n">
        <v>184.6</v>
      </c>
      <c r="G15" s="24" t="n">
        <v>184.6</v>
      </c>
      <c r="H15" s="25" t="n">
        <v>184.17</v>
      </c>
      <c r="I15" s="25" t="n">
        <v>184.122</v>
      </c>
      <c r="J15" s="26">
        <f>F15-H15</f>
        <v/>
      </c>
      <c r="K15" s="26">
        <f>G15-I15</f>
        <v/>
      </c>
      <c r="L15" s="26">
        <f>100*(H15-I15)/E15</f>
        <v/>
      </c>
      <c r="M15" s="24" t="n">
        <v>0</v>
      </c>
      <c r="N15" s="26">
        <f>E15-M15</f>
        <v/>
      </c>
      <c r="O15" s="26">
        <f>MAX(MIN(J15,K15)-CRITERIOS!$B$13,0.01)</f>
        <v/>
      </c>
      <c r="P15" s="27">
        <f>1000*CRITERIOS!$B$5*O15*((CRITERIOS!$B$5*O15)/(CRITERIOS!$B$5+2*O15))^(2/3)*SQRT(MAX(L15/100,CRITERIOS!$B$10))/CRITERIOS!$B$12</f>
        <v/>
      </c>
      <c r="Q15" s="28" t="inlineStr">
        <is>
          <t>Bloque x=884.9 (lado oeste), bloque D (lado norte) y pabellon C (lado nor-este)</t>
        </is>
      </c>
    </row>
    <row r="16">
      <c r="A16" s="23" t="n">
        <v>1</v>
      </c>
      <c r="B16" s="23" t="inlineStr">
        <is>
          <t>EJE-04</t>
        </is>
      </c>
      <c r="C16" s="23" t="inlineStr">
        <is>
          <t>P-12</t>
        </is>
      </c>
      <c r="D16" s="23" t="inlineStr">
        <is>
          <t>P-13</t>
        </is>
      </c>
      <c r="E16" s="24" t="n">
        <v>3.78</v>
      </c>
      <c r="F16" s="24" t="n">
        <v>184.6</v>
      </c>
      <c r="G16" s="24" t="n">
        <v>184.6</v>
      </c>
      <c r="H16" s="25" t="n">
        <v>184.122</v>
      </c>
      <c r="I16" s="25" t="n">
        <v>184.103</v>
      </c>
      <c r="J16" s="26">
        <f>F16-H16</f>
        <v/>
      </c>
      <c r="K16" s="26">
        <f>G16-I16</f>
        <v/>
      </c>
      <c r="L16" s="26">
        <f>100*(H16-I16)/E16</f>
        <v/>
      </c>
      <c r="M16" s="24" t="n">
        <v>0</v>
      </c>
      <c r="N16" s="26">
        <f>E16-M16</f>
        <v/>
      </c>
      <c r="O16" s="26">
        <f>MAX(MIN(J16,K16)-CRITERIOS!$B$13,0.01)</f>
        <v/>
      </c>
      <c r="P16" s="27">
        <f>1000*CRITERIOS!$B$5*O16*((CRITERIOS!$B$5*O16)/(CRITERIOS!$B$5+2*O16))^(2/3)*SQRT(MAX(L16/100,CRITERIOS!$B$10))/CRITERIOS!$B$12</f>
        <v/>
      </c>
      <c r="Q16" s="28" t="inlineStr">
        <is>
          <t>Bloque x=884.9 (lado oeste), bloque D (lado norte) y pabellon C (lado nor-este)</t>
        </is>
      </c>
    </row>
    <row r="17">
      <c r="A17" s="23" t="n">
        <v>1</v>
      </c>
      <c r="B17" s="23" t="inlineStr">
        <is>
          <t>EJE-04</t>
        </is>
      </c>
      <c r="C17" s="23" t="inlineStr">
        <is>
          <t>P-13</t>
        </is>
      </c>
      <c r="D17" s="23" t="inlineStr">
        <is>
          <t>P-14</t>
        </is>
      </c>
      <c r="E17" s="24" t="n">
        <v>15.97</v>
      </c>
      <c r="F17" s="24" t="n">
        <v>184.6</v>
      </c>
      <c r="G17" s="24" t="n">
        <v>184.6</v>
      </c>
      <c r="H17" s="25" t="n">
        <v>184.103</v>
      </c>
      <c r="I17" s="25" t="n">
        <v>184.024</v>
      </c>
      <c r="J17" s="26">
        <f>F17-H17</f>
        <v/>
      </c>
      <c r="K17" s="26">
        <f>G17-I17</f>
        <v/>
      </c>
      <c r="L17" s="26">
        <f>100*(H17-I17)/E17</f>
        <v/>
      </c>
      <c r="M17" s="24" t="n">
        <v>0</v>
      </c>
      <c r="N17" s="26">
        <f>E17-M17</f>
        <v/>
      </c>
      <c r="O17" s="26">
        <f>MAX(MIN(J17,K17)-CRITERIOS!$B$13,0.01)</f>
        <v/>
      </c>
      <c r="P17" s="27">
        <f>1000*CRITERIOS!$B$5*O17*((CRITERIOS!$B$5*O17)/(CRITERIOS!$B$5+2*O17))^(2/3)*SQRT(MAX(L17/100,CRITERIOS!$B$10))/CRITERIOS!$B$12</f>
        <v/>
      </c>
      <c r="Q17" s="28" t="inlineStr">
        <is>
          <t>Bloque x=884.9 (lado oeste), bloque D (lado norte) y pabellon C (lado nor-este)</t>
        </is>
      </c>
    </row>
    <row r="18">
      <c r="A18" s="23" t="n">
        <v>1</v>
      </c>
      <c r="B18" s="23" t="inlineStr">
        <is>
          <t>EJE-04</t>
        </is>
      </c>
      <c r="C18" s="23" t="inlineStr">
        <is>
          <t>P-14</t>
        </is>
      </c>
      <c r="D18" s="23" t="inlineStr">
        <is>
          <t>P-15</t>
        </is>
      </c>
      <c r="E18" s="24" t="n">
        <v>6.79</v>
      </c>
      <c r="F18" s="24" t="n">
        <v>184.6</v>
      </c>
      <c r="G18" s="24" t="n">
        <v>184.6</v>
      </c>
      <c r="H18" s="25" t="n">
        <v>184.024</v>
      </c>
      <c r="I18" s="25" t="n">
        <v>183.99</v>
      </c>
      <c r="J18" s="26">
        <f>F18-H18</f>
        <v/>
      </c>
      <c r="K18" s="26">
        <f>G18-I18</f>
        <v/>
      </c>
      <c r="L18" s="26">
        <f>100*(H18-I18)/E18</f>
        <v/>
      </c>
      <c r="M18" s="24" t="n">
        <v>0</v>
      </c>
      <c r="N18" s="26">
        <f>E18-M18</f>
        <v/>
      </c>
      <c r="O18" s="26">
        <f>MAX(MIN(J18,K18)-CRITERIOS!$B$13,0.01)</f>
        <v/>
      </c>
      <c r="P18" s="27">
        <f>1000*CRITERIOS!$B$5*O18*((CRITERIOS!$B$5*O18)/(CRITERIOS!$B$5+2*O18))^(2/3)*SQRT(MAX(L18/100,CRITERIOS!$B$10))/CRITERIOS!$B$12</f>
        <v/>
      </c>
      <c r="Q18" s="28" t="inlineStr">
        <is>
          <t>Bloque x=884.9 (lado oeste), bloque D (lado norte) y pabellon C (lado nor-este)</t>
        </is>
      </c>
    </row>
    <row r="19">
      <c r="A19" s="23" t="n">
        <v>1</v>
      </c>
      <c r="B19" s="23" t="inlineStr">
        <is>
          <t>EJE-04</t>
        </is>
      </c>
      <c r="C19" s="23" t="inlineStr">
        <is>
          <t>P-15</t>
        </is>
      </c>
      <c r="D19" s="23" t="inlineStr">
        <is>
          <t>P-07</t>
        </is>
      </c>
      <c r="E19" s="24" t="n">
        <v>32.81</v>
      </c>
      <c r="F19" s="24" t="n">
        <v>184.6</v>
      </c>
      <c r="G19" s="24" t="n">
        <v>184.6</v>
      </c>
      <c r="H19" s="25" t="n">
        <v>183.99</v>
      </c>
      <c r="I19" s="25" t="n">
        <v>183.826</v>
      </c>
      <c r="J19" s="26">
        <f>F19-H19</f>
        <v/>
      </c>
      <c r="K19" s="26">
        <f>G19-I19</f>
        <v/>
      </c>
      <c r="L19" s="26">
        <f>100*(H19-I19)/E19</f>
        <v/>
      </c>
      <c r="M19" s="24" t="n">
        <v>0</v>
      </c>
      <c r="N19" s="26">
        <f>E19-M19</f>
        <v/>
      </c>
      <c r="O19" s="26">
        <f>MAX(MIN(J19,K19)-CRITERIOS!$B$13,0.01)</f>
        <v/>
      </c>
      <c r="P19" s="27">
        <f>1000*CRITERIOS!$B$5*O19*((CRITERIOS!$B$5*O19)/(CRITERIOS!$B$5+2*O19))^(2/3)*SQRT(MAX(L19/100,CRITERIOS!$B$10))/CRITERIOS!$B$12</f>
        <v/>
      </c>
      <c r="Q19" s="28" t="inlineStr">
        <is>
          <t>Bloque x=884.9 (lado oeste), bloque D (lado norte) y pabellon C (lado nor-este)</t>
        </is>
      </c>
    </row>
    <row r="20">
      <c r="A20" s="23" t="n">
        <v>1</v>
      </c>
      <c r="B20" s="23" t="inlineStr">
        <is>
          <t>EJE-05</t>
        </is>
      </c>
      <c r="C20" s="23" t="inlineStr">
        <is>
          <t>P-16</t>
        </is>
      </c>
      <c r="D20" s="23" t="inlineStr">
        <is>
          <t>P-17</t>
        </is>
      </c>
      <c r="E20" s="24" t="n">
        <v>21.32</v>
      </c>
      <c r="F20" s="24" t="n">
        <v>184.6</v>
      </c>
      <c r="G20" s="24" t="n">
        <v>184.6</v>
      </c>
      <c r="H20" s="25" t="n">
        <v>184.3</v>
      </c>
      <c r="I20" s="25" t="n">
        <v>184.193</v>
      </c>
      <c r="J20" s="26">
        <f>F20-H20</f>
        <v/>
      </c>
      <c r="K20" s="26">
        <f>G20-I20</f>
        <v/>
      </c>
      <c r="L20" s="26">
        <f>100*(H20-I20)/E20</f>
        <v/>
      </c>
      <c r="M20" s="24" t="n">
        <v>0</v>
      </c>
      <c r="N20" s="26">
        <f>E20-M20</f>
        <v/>
      </c>
      <c r="O20" s="26">
        <f>MAX(MIN(J20,K20)-CRITERIOS!$B$13,0.01)</f>
        <v/>
      </c>
      <c r="P20" s="27">
        <f>1000*CRITERIOS!$B$5*O20*((CRITERIOS!$B$5*O20)/(CRITERIOS!$B$5+2*O20))^(2/3)*SQRT(MAX(L20/100,CRITERIOS!$B$10))/CRITERIOS!$B$12</f>
        <v/>
      </c>
      <c r="Q20" s="28" t="inlineStr">
        <is>
          <t>Bloque del ingreso (lado sur), bloque D (lado sur) y pabellon C (lado sur-oeste)</t>
        </is>
      </c>
    </row>
    <row r="21">
      <c r="A21" s="23" t="n">
        <v>1</v>
      </c>
      <c r="B21" s="23" t="inlineStr">
        <is>
          <t>EJE-05</t>
        </is>
      </c>
      <c r="C21" s="23" t="inlineStr">
        <is>
          <t>P-17</t>
        </is>
      </c>
      <c r="D21" s="23" t="inlineStr">
        <is>
          <t>P-18</t>
        </is>
      </c>
      <c r="E21" s="24" t="n">
        <v>5.89</v>
      </c>
      <c r="F21" s="24" t="n">
        <v>184.6</v>
      </c>
      <c r="G21" s="24" t="n">
        <v>184.6</v>
      </c>
      <c r="H21" s="25" t="n">
        <v>184.193</v>
      </c>
      <c r="I21" s="25" t="n">
        <v>184.164</v>
      </c>
      <c r="J21" s="26">
        <f>F21-H21</f>
        <v/>
      </c>
      <c r="K21" s="26">
        <f>G21-I21</f>
        <v/>
      </c>
      <c r="L21" s="26">
        <f>100*(H21-I21)/E21</f>
        <v/>
      </c>
      <c r="M21" s="24" t="n">
        <v>0</v>
      </c>
      <c r="N21" s="26">
        <f>E21-M21</f>
        <v/>
      </c>
      <c r="O21" s="26">
        <f>MAX(MIN(J21,K21)-CRITERIOS!$B$13,0.01)</f>
        <v/>
      </c>
      <c r="P21" s="27">
        <f>1000*CRITERIOS!$B$5*O21*((CRITERIOS!$B$5*O21)/(CRITERIOS!$B$5+2*O21))^(2/3)*SQRT(MAX(L21/100,CRITERIOS!$B$10))/CRITERIOS!$B$12</f>
        <v/>
      </c>
      <c r="Q21" s="28" t="inlineStr">
        <is>
          <t>Bloque del ingreso (lado sur), bloque D (lado sur) y pabellon C (lado sur-oeste)</t>
        </is>
      </c>
    </row>
    <row r="22">
      <c r="A22" s="23" t="n">
        <v>1</v>
      </c>
      <c r="B22" s="23" t="inlineStr">
        <is>
          <t>EJE-05</t>
        </is>
      </c>
      <c r="C22" s="23" t="inlineStr">
        <is>
          <t>P-18</t>
        </is>
      </c>
      <c r="D22" s="23" t="inlineStr">
        <is>
          <t>P-19</t>
        </is>
      </c>
      <c r="E22" s="24" t="n">
        <v>17.83</v>
      </c>
      <c r="F22" s="24" t="n">
        <v>184.6</v>
      </c>
      <c r="G22" s="24" t="n">
        <v>184.6</v>
      </c>
      <c r="H22" s="25" t="n">
        <v>184.164</v>
      </c>
      <c r="I22" s="25" t="n">
        <v>184.075</v>
      </c>
      <c r="J22" s="26">
        <f>F22-H22</f>
        <v/>
      </c>
      <c r="K22" s="26">
        <f>G22-I22</f>
        <v/>
      </c>
      <c r="L22" s="26">
        <f>100*(H22-I22)/E22</f>
        <v/>
      </c>
      <c r="M22" s="24" t="n">
        <v>0</v>
      </c>
      <c r="N22" s="26">
        <f>E22-M22</f>
        <v/>
      </c>
      <c r="O22" s="26">
        <f>MAX(MIN(J22,K22)-CRITERIOS!$B$13,0.01)</f>
        <v/>
      </c>
      <c r="P22" s="27">
        <f>1000*CRITERIOS!$B$5*O22*((CRITERIOS!$B$5*O22)/(CRITERIOS!$B$5+2*O22))^(2/3)*SQRT(MAX(L22/100,CRITERIOS!$B$10))/CRITERIOS!$B$12</f>
        <v/>
      </c>
      <c r="Q22" s="28" t="inlineStr">
        <is>
          <t>Bloque del ingreso (lado sur), bloque D (lado sur) y pabellon C (lado sur-oeste)</t>
        </is>
      </c>
    </row>
    <row r="23">
      <c r="A23" s="23" t="n">
        <v>1</v>
      </c>
      <c r="B23" s="23" t="inlineStr">
        <is>
          <t>EJE-05</t>
        </is>
      </c>
      <c r="C23" s="23" t="inlineStr">
        <is>
          <t>P-19</t>
        </is>
      </c>
      <c r="D23" s="23" t="inlineStr">
        <is>
          <t>P-20</t>
        </is>
      </c>
      <c r="E23" s="24" t="n">
        <v>5.77</v>
      </c>
      <c r="F23" s="24" t="n">
        <v>184.6</v>
      </c>
      <c r="G23" s="24" t="n">
        <v>184.6</v>
      </c>
      <c r="H23" s="25" t="n">
        <v>184.075</v>
      </c>
      <c r="I23" s="25" t="n">
        <v>184.046</v>
      </c>
      <c r="J23" s="26">
        <f>F23-H23</f>
        <v/>
      </c>
      <c r="K23" s="26">
        <f>G23-I23</f>
        <v/>
      </c>
      <c r="L23" s="26">
        <f>100*(H23-I23)/E23</f>
        <v/>
      </c>
      <c r="M23" s="24" t="n">
        <v>0</v>
      </c>
      <c r="N23" s="26">
        <f>E23-M23</f>
        <v/>
      </c>
      <c r="O23" s="26">
        <f>MAX(MIN(J23,K23)-CRITERIOS!$B$13,0.01)</f>
        <v/>
      </c>
      <c r="P23" s="27">
        <f>1000*CRITERIOS!$B$5*O23*((CRITERIOS!$B$5*O23)/(CRITERIOS!$B$5+2*O23))^(2/3)*SQRT(MAX(L23/100,CRITERIOS!$B$10))/CRITERIOS!$B$12</f>
        <v/>
      </c>
      <c r="Q23" s="28" t="inlineStr">
        <is>
          <t>Bloque del ingreso (lado sur), bloque D (lado sur) y pabellon C (lado sur-oeste)</t>
        </is>
      </c>
    </row>
    <row r="24">
      <c r="A24" s="23" t="n">
        <v>1</v>
      </c>
      <c r="B24" s="23" t="inlineStr">
        <is>
          <t>EJE-05</t>
        </is>
      </c>
      <c r="C24" s="23" t="inlineStr">
        <is>
          <t>P-20</t>
        </is>
      </c>
      <c r="D24" s="23" t="inlineStr">
        <is>
          <t>P-08</t>
        </is>
      </c>
      <c r="E24" s="24" t="n">
        <v>39.15</v>
      </c>
      <c r="F24" s="24" t="n">
        <v>184.6</v>
      </c>
      <c r="G24" s="24" t="n">
        <v>184.6</v>
      </c>
      <c r="H24" s="25" t="n">
        <v>184.046</v>
      </c>
      <c r="I24" s="25" t="n">
        <v>183.85</v>
      </c>
      <c r="J24" s="26">
        <f>F24-H24</f>
        <v/>
      </c>
      <c r="K24" s="26">
        <f>G24-I24</f>
        <v/>
      </c>
      <c r="L24" s="26">
        <f>100*(H24-I24)/E24</f>
        <v/>
      </c>
      <c r="M24" s="24" t="n">
        <v>0</v>
      </c>
      <c r="N24" s="26">
        <f>E24-M24</f>
        <v/>
      </c>
      <c r="O24" s="26">
        <f>MAX(MIN(J24,K24)-CRITERIOS!$B$13,0.01)</f>
        <v/>
      </c>
      <c r="P24" s="27">
        <f>1000*CRITERIOS!$B$5*O24*((CRITERIOS!$B$5*O24)/(CRITERIOS!$B$5+2*O24))^(2/3)*SQRT(MAX(L24/100,CRITERIOS!$B$10))/CRITERIOS!$B$12</f>
        <v/>
      </c>
      <c r="Q24" s="28" t="inlineStr">
        <is>
          <t>Bloque del ingreso (lado sur), bloque D (lado sur) y pabellon C (lado sur-oeste)</t>
        </is>
      </c>
    </row>
    <row r="25">
      <c r="A25" s="23" t="n">
        <v>1</v>
      </c>
      <c r="B25" s="23" t="inlineStr">
        <is>
          <t>EJE-06</t>
        </is>
      </c>
      <c r="C25" s="23" t="inlineStr">
        <is>
          <t>P-21</t>
        </is>
      </c>
      <c r="D25" s="23" t="inlineStr">
        <is>
          <t>P-12</t>
        </is>
      </c>
      <c r="E25" s="24" t="n">
        <v>11.74</v>
      </c>
      <c r="F25" s="24" t="n">
        <v>184.6</v>
      </c>
      <c r="G25" s="24" t="n">
        <v>184.6</v>
      </c>
      <c r="H25" s="25" t="n">
        <v>184.3</v>
      </c>
      <c r="I25" s="25" t="n">
        <v>184.241</v>
      </c>
      <c r="J25" s="26">
        <f>F25-H25</f>
        <v/>
      </c>
      <c r="K25" s="26">
        <f>G25-I25</f>
        <v/>
      </c>
      <c r="L25" s="26">
        <f>100*(H25-I25)/E25</f>
        <v/>
      </c>
      <c r="M25" s="24" t="n">
        <v>0</v>
      </c>
      <c r="N25" s="26">
        <f>E25-M25</f>
        <v/>
      </c>
      <c r="O25" s="26">
        <f>MAX(MIN(J25,K25)-CRITERIOS!$B$13,0.01)</f>
        <v/>
      </c>
      <c r="P25" s="27">
        <f>1000*CRITERIOS!$B$5*O25*((CRITERIOS!$B$5*O25)/(CRITERIOS!$B$5+2*O25))^(2/3)*SQRT(MAX(L25/100,CRITERIOS!$B$10))/CRITERIOS!$B$12</f>
        <v/>
      </c>
      <c r="Q25" s="28" t="inlineStr">
        <is>
          <t>Bloque del ingreso: lado norte (y=815.97) al oeste de x=896.8</t>
        </is>
      </c>
    </row>
    <row r="26">
      <c r="A26" s="23" t="n">
        <v>2</v>
      </c>
      <c r="B26" s="23" t="inlineStr">
        <is>
          <t>EJE-07</t>
        </is>
      </c>
      <c r="C26" s="23" t="inlineStr">
        <is>
          <t>P-22</t>
        </is>
      </c>
      <c r="D26" s="23" t="inlineStr">
        <is>
          <t>P-23</t>
        </is>
      </c>
      <c r="E26" s="24" t="n">
        <v>11.51</v>
      </c>
      <c r="F26" s="24" t="n">
        <v>184.6</v>
      </c>
      <c r="G26" s="24" t="n">
        <v>184.6</v>
      </c>
      <c r="H26" s="25" t="n">
        <v>184.3</v>
      </c>
      <c r="I26" s="25" t="n">
        <v>184.102</v>
      </c>
      <c r="J26" s="26">
        <f>F26-H26</f>
        <v/>
      </c>
      <c r="K26" s="26">
        <f>G26-I26</f>
        <v/>
      </c>
      <c r="L26" s="26">
        <f>100*(H26-I26)/E26</f>
        <v/>
      </c>
      <c r="M26" s="24" t="n">
        <v>0</v>
      </c>
      <c r="N26" s="26">
        <f>E26-M26</f>
        <v/>
      </c>
      <c r="O26" s="26">
        <f>MAX(MIN(J26,K26)-CRITERIOS!$B$13,0.01)</f>
        <v/>
      </c>
      <c r="P26" s="27">
        <f>1000*CRITERIOS!$B$5*O26*((CRITERIOS!$B$5*O26)/(CRITERIOS!$B$5+2*O26))^(2/3)*SQRT(MAX(L26/100,CRITERIOS!$B$10))/CRITERIOS!$B$12</f>
        <v/>
      </c>
      <c r="Q26" s="28" t="inlineStr">
        <is>
          <t>Patio central (x=896.8), y=815.97, bajada x=919.6 y atrio de ingreso a D3</t>
        </is>
      </c>
    </row>
    <row r="27">
      <c r="A27" s="23" t="n">
        <v>2</v>
      </c>
      <c r="B27" s="23" t="inlineStr">
        <is>
          <t>EJE-07</t>
        </is>
      </c>
      <c r="C27" s="23" t="inlineStr">
        <is>
          <t>P-23</t>
        </is>
      </c>
      <c r="D27" s="23" t="inlineStr">
        <is>
          <t>P-24</t>
        </is>
      </c>
      <c r="E27" s="24" t="n">
        <v>17.85</v>
      </c>
      <c r="F27" s="24" t="n">
        <v>184.6</v>
      </c>
      <c r="G27" s="24" t="n">
        <v>184.6</v>
      </c>
      <c r="H27" s="25" t="n">
        <v>184.102</v>
      </c>
      <c r="I27" s="25" t="n">
        <v>184.012</v>
      </c>
      <c r="J27" s="26">
        <f>F27-H27</f>
        <v/>
      </c>
      <c r="K27" s="26">
        <f>G27-I27</f>
        <v/>
      </c>
      <c r="L27" s="26">
        <f>100*(H27-I27)/E27</f>
        <v/>
      </c>
      <c r="M27" s="24" t="n">
        <v>0</v>
      </c>
      <c r="N27" s="26">
        <f>E27-M27</f>
        <v/>
      </c>
      <c r="O27" s="26">
        <f>MAX(MIN(J27,K27)-CRITERIOS!$B$13,0.01)</f>
        <v/>
      </c>
      <c r="P27" s="27">
        <f>1000*CRITERIOS!$B$5*O27*((CRITERIOS!$B$5*O27)/(CRITERIOS!$B$5+2*O27))^(2/3)*SQRT(MAX(L27/100,CRITERIOS!$B$10))/CRITERIOS!$B$12</f>
        <v/>
      </c>
      <c r="Q27" s="28" t="inlineStr">
        <is>
          <t>Patio central (x=896.8), y=815.97, bajada x=919.6 y atrio de ingreso a D3</t>
        </is>
      </c>
    </row>
    <row r="28">
      <c r="A28" s="23" t="n">
        <v>2</v>
      </c>
      <c r="B28" s="23" t="inlineStr">
        <is>
          <t>EJE-07</t>
        </is>
      </c>
      <c r="C28" s="23" t="inlineStr">
        <is>
          <t>P-24</t>
        </is>
      </c>
      <c r="D28" s="23" t="inlineStr">
        <is>
          <t>P-21</t>
        </is>
      </c>
      <c r="E28" s="24" t="n">
        <v>6.12</v>
      </c>
      <c r="F28" s="24" t="n">
        <v>184.6</v>
      </c>
      <c r="G28" s="24" t="n">
        <v>184.6</v>
      </c>
      <c r="H28" s="25" t="n">
        <v>184.012</v>
      </c>
      <c r="I28" s="25" t="n">
        <v>183.982</v>
      </c>
      <c r="J28" s="26">
        <f>F28-H28</f>
        <v/>
      </c>
      <c r="K28" s="26">
        <f>G28-I28</f>
        <v/>
      </c>
      <c r="L28" s="26">
        <f>100*(H28-I28)/E28</f>
        <v/>
      </c>
      <c r="M28" s="24" t="n">
        <v>0</v>
      </c>
      <c r="N28" s="26">
        <f>E28-M28</f>
        <v/>
      </c>
      <c r="O28" s="26">
        <f>MAX(MIN(J28,K28)-CRITERIOS!$B$13,0.01)</f>
        <v/>
      </c>
      <c r="P28" s="27">
        <f>1000*CRITERIOS!$B$5*O28*((CRITERIOS!$B$5*O28)/(CRITERIOS!$B$5+2*O28))^(2/3)*SQRT(MAX(L28/100,CRITERIOS!$B$10))/CRITERIOS!$B$12</f>
        <v/>
      </c>
      <c r="Q28" s="28" t="inlineStr">
        <is>
          <t>Patio central (x=896.8), y=815.97, bajada x=919.6 y atrio de ingreso a D3</t>
        </is>
      </c>
    </row>
    <row r="29">
      <c r="A29" s="23" t="n">
        <v>2</v>
      </c>
      <c r="B29" s="23" t="inlineStr">
        <is>
          <t>EJE-07</t>
        </is>
      </c>
      <c r="C29" s="23" t="inlineStr">
        <is>
          <t>P-21</t>
        </is>
      </c>
      <c r="D29" s="23" t="inlineStr">
        <is>
          <t>P-25</t>
        </is>
      </c>
      <c r="E29" s="24" t="n">
        <v>22.77</v>
      </c>
      <c r="F29" s="24" t="n">
        <v>184.6</v>
      </c>
      <c r="G29" s="24" t="n">
        <v>184.6</v>
      </c>
      <c r="H29" s="25" t="n">
        <v>183.982</v>
      </c>
      <c r="I29" s="25" t="n">
        <v>183.868</v>
      </c>
      <c r="J29" s="26">
        <f>F29-H29</f>
        <v/>
      </c>
      <c r="K29" s="26">
        <f>G29-I29</f>
        <v/>
      </c>
      <c r="L29" s="26">
        <f>100*(H29-I29)/E29</f>
        <v/>
      </c>
      <c r="M29" s="24" t="n">
        <v>0</v>
      </c>
      <c r="N29" s="26">
        <f>E29-M29</f>
        <v/>
      </c>
      <c r="O29" s="26">
        <f>MAX(MIN(J29,K29)-CRITERIOS!$B$13,0.01)</f>
        <v/>
      </c>
      <c r="P29" s="27">
        <f>1000*CRITERIOS!$B$5*O29*((CRITERIOS!$B$5*O29)/(CRITERIOS!$B$5+2*O29))^(2/3)*SQRT(MAX(L29/100,CRITERIOS!$B$10))/CRITERIOS!$B$12</f>
        <v/>
      </c>
      <c r="Q29" s="28" t="inlineStr">
        <is>
          <t>Patio central (x=896.8), y=815.97, bajada x=919.6 y atrio de ingreso a D3</t>
        </is>
      </c>
    </row>
    <row r="30">
      <c r="A30" s="23" t="n">
        <v>2</v>
      </c>
      <c r="B30" s="23" t="inlineStr">
        <is>
          <t>EJE-07</t>
        </is>
      </c>
      <c r="C30" s="23" t="inlineStr">
        <is>
          <t>P-25</t>
        </is>
      </c>
      <c r="D30" s="23" t="inlineStr">
        <is>
          <t>P-26</t>
        </is>
      </c>
      <c r="E30" s="24" t="n">
        <v>11.77</v>
      </c>
      <c r="F30" s="24" t="n">
        <v>184.6</v>
      </c>
      <c r="G30" s="24" t="n">
        <v>184.6</v>
      </c>
      <c r="H30" s="25" t="n">
        <v>183.868</v>
      </c>
      <c r="I30" s="25" t="n">
        <v>183.809</v>
      </c>
      <c r="J30" s="26">
        <f>F30-H30</f>
        <v/>
      </c>
      <c r="K30" s="26">
        <f>G30-I30</f>
        <v/>
      </c>
      <c r="L30" s="26">
        <f>100*(H30-I30)/E30</f>
        <v/>
      </c>
      <c r="M30" s="24" t="n">
        <v>0</v>
      </c>
      <c r="N30" s="26">
        <f>E30-M30</f>
        <v/>
      </c>
      <c r="O30" s="26">
        <f>MAX(MIN(J30,K30)-CRITERIOS!$B$13,0.01)</f>
        <v/>
      </c>
      <c r="P30" s="27">
        <f>1000*CRITERIOS!$B$5*O30*((CRITERIOS!$B$5*O30)/(CRITERIOS!$B$5+2*O30))^(2/3)*SQRT(MAX(L30/100,CRITERIOS!$B$10))/CRITERIOS!$B$12</f>
        <v/>
      </c>
      <c r="Q30" s="28" t="inlineStr">
        <is>
          <t>Patio central (x=896.8), y=815.97, bajada x=919.6 y atrio de ingreso a D3</t>
        </is>
      </c>
    </row>
    <row r="31">
      <c r="A31" s="23" t="n">
        <v>2</v>
      </c>
      <c r="B31" s="23" t="inlineStr">
        <is>
          <t>EJE-07</t>
        </is>
      </c>
      <c r="C31" s="23" t="inlineStr">
        <is>
          <t>P-26</t>
        </is>
      </c>
      <c r="D31" s="23" t="inlineStr">
        <is>
          <t>P-27</t>
        </is>
      </c>
      <c r="E31" s="24" t="n">
        <v>3.07</v>
      </c>
      <c r="F31" s="24" t="n">
        <v>184.6</v>
      </c>
      <c r="G31" s="24" t="n">
        <v>184.6</v>
      </c>
      <c r="H31" s="25" t="n">
        <v>183.809</v>
      </c>
      <c r="I31" s="25" t="n">
        <v>183.794</v>
      </c>
      <c r="J31" s="26">
        <f>F31-H31</f>
        <v/>
      </c>
      <c r="K31" s="26">
        <f>G31-I31</f>
        <v/>
      </c>
      <c r="L31" s="26">
        <f>100*(H31-I31)/E31</f>
        <v/>
      </c>
      <c r="M31" s="24" t="n">
        <v>0</v>
      </c>
      <c r="N31" s="26">
        <f>E31-M31</f>
        <v/>
      </c>
      <c r="O31" s="26">
        <f>MAX(MIN(J31,K31)-CRITERIOS!$B$13,0.01)</f>
        <v/>
      </c>
      <c r="P31" s="27">
        <f>1000*CRITERIOS!$B$5*O31*((CRITERIOS!$B$5*O31)/(CRITERIOS!$B$5+2*O31))^(2/3)*SQRT(MAX(L31/100,CRITERIOS!$B$10))/CRITERIOS!$B$12</f>
        <v/>
      </c>
      <c r="Q31" s="28" t="inlineStr">
        <is>
          <t>Patio central (x=896.8), y=815.97, bajada x=919.6 y atrio de ingreso a D3</t>
        </is>
      </c>
    </row>
    <row r="32">
      <c r="A32" s="23" t="n">
        <v>2</v>
      </c>
      <c r="B32" s="23" t="inlineStr">
        <is>
          <t>EJE-07</t>
        </is>
      </c>
      <c r="C32" s="23" t="inlineStr">
        <is>
          <t>P-27</t>
        </is>
      </c>
      <c r="D32" s="23" t="inlineStr">
        <is>
          <t>P-28</t>
        </is>
      </c>
      <c r="E32" s="24" t="n">
        <v>7.96</v>
      </c>
      <c r="F32" s="24" t="n">
        <v>184.6</v>
      </c>
      <c r="G32" s="24" t="n">
        <v>184.6</v>
      </c>
      <c r="H32" s="25" t="n">
        <v>183.794</v>
      </c>
      <c r="I32" s="25" t="n">
        <v>183.754</v>
      </c>
      <c r="J32" s="26">
        <f>F32-H32</f>
        <v/>
      </c>
      <c r="K32" s="26">
        <f>G32-I32</f>
        <v/>
      </c>
      <c r="L32" s="26">
        <f>100*(H32-I32)/E32</f>
        <v/>
      </c>
      <c r="M32" s="24" t="n">
        <v>7.96</v>
      </c>
      <c r="N32" s="26">
        <f>E32-M32</f>
        <v/>
      </c>
      <c r="O32" s="26">
        <f>MAX(MIN(J32,K32)-CRITERIOS!$B$13,0.01)</f>
        <v/>
      </c>
      <c r="P32" s="27">
        <f>1000*CRITERIOS!$B$5*O32*((CRITERIOS!$B$5*O32)/(CRITERIOS!$B$5+2*O32))^(2/3)*SQRT(MAX(L32/100,CRITERIOS!$B$10))/CRITERIOS!$B$12</f>
        <v/>
      </c>
      <c r="Q32" s="28" t="inlineStr">
        <is>
          <t>Patio central (x=896.8), y=815.97, bajada x=919.6 y atrio de ingreso a D3</t>
        </is>
      </c>
    </row>
    <row r="33">
      <c r="A33" s="23" t="n">
        <v>2</v>
      </c>
      <c r="B33" s="23" t="inlineStr">
        <is>
          <t>EJE-07</t>
        </is>
      </c>
      <c r="C33" s="23" t="inlineStr">
        <is>
          <t>P-28</t>
        </is>
      </c>
      <c r="D33" s="23" t="inlineStr">
        <is>
          <t>P-29</t>
        </is>
      </c>
      <c r="E33" s="24" t="n">
        <v>6.69</v>
      </c>
      <c r="F33" s="24" t="n">
        <v>184.6</v>
      </c>
      <c r="G33" s="24" t="n">
        <v>184.6</v>
      </c>
      <c r="H33" s="25" t="n">
        <v>183.754</v>
      </c>
      <c r="I33" s="25" t="n">
        <v>183.72</v>
      </c>
      <c r="J33" s="26">
        <f>F33-H33</f>
        <v/>
      </c>
      <c r="K33" s="26">
        <f>G33-I33</f>
        <v/>
      </c>
      <c r="L33" s="26">
        <f>100*(H33-I33)/E33</f>
        <v/>
      </c>
      <c r="M33" s="24" t="n">
        <v>6.69</v>
      </c>
      <c r="N33" s="26">
        <f>E33-M33</f>
        <v/>
      </c>
      <c r="O33" s="26">
        <f>MAX(MIN(J33,K33)-CRITERIOS!$B$13,0.01)</f>
        <v/>
      </c>
      <c r="P33" s="27">
        <f>1000*CRITERIOS!$B$5*O33*((CRITERIOS!$B$5*O33)/(CRITERIOS!$B$5+2*O33))^(2/3)*SQRT(MAX(L33/100,CRITERIOS!$B$10))/CRITERIOS!$B$12</f>
        <v/>
      </c>
      <c r="Q33" s="28" t="inlineStr">
        <is>
          <t>Patio central (x=896.8), y=815.97, bajada x=919.6 y atrio de ingreso a D3</t>
        </is>
      </c>
    </row>
    <row r="34">
      <c r="A34" s="23" t="n">
        <v>2</v>
      </c>
      <c r="B34" s="23" t="inlineStr">
        <is>
          <t>EJE-07</t>
        </is>
      </c>
      <c r="C34" s="23" t="inlineStr">
        <is>
          <t>P-29</t>
        </is>
      </c>
      <c r="D34" s="23" t="inlineStr">
        <is>
          <t>P-30</t>
        </is>
      </c>
      <c r="E34" s="24" t="n">
        <v>8.210000000000001</v>
      </c>
      <c r="F34" s="24" t="n">
        <v>184.6</v>
      </c>
      <c r="G34" s="24" t="n">
        <v>184.6</v>
      </c>
      <c r="H34" s="25" t="n">
        <v>183.72</v>
      </c>
      <c r="I34" s="25" t="n">
        <v>183.679</v>
      </c>
      <c r="J34" s="26">
        <f>F34-H34</f>
        <v/>
      </c>
      <c r="K34" s="26">
        <f>G34-I34</f>
        <v/>
      </c>
      <c r="L34" s="26">
        <f>100*(H34-I34)/E34</f>
        <v/>
      </c>
      <c r="M34" s="24" t="n">
        <v>8.210000000000001</v>
      </c>
      <c r="N34" s="26">
        <f>E34-M34</f>
        <v/>
      </c>
      <c r="O34" s="26">
        <f>MAX(MIN(J34,K34)-CRITERIOS!$B$13,0.01)</f>
        <v/>
      </c>
      <c r="P34" s="27">
        <f>1000*CRITERIOS!$B$5*O34*((CRITERIOS!$B$5*O34)/(CRITERIOS!$B$5+2*O34))^(2/3)*SQRT(MAX(L34/100,CRITERIOS!$B$10))/CRITERIOS!$B$12</f>
        <v/>
      </c>
      <c r="Q34" s="28" t="inlineStr">
        <is>
          <t>Patio central (x=896.8), y=815.97, bajada x=919.6 y atrio de ingreso a D3</t>
        </is>
      </c>
    </row>
    <row r="35">
      <c r="A35" s="23" t="n">
        <v>2</v>
      </c>
      <c r="B35" s="23" t="inlineStr">
        <is>
          <t>EJE-07</t>
        </is>
      </c>
      <c r="C35" s="23" t="inlineStr">
        <is>
          <t>P-30</t>
        </is>
      </c>
      <c r="D35" s="23" t="inlineStr">
        <is>
          <t>D3</t>
        </is>
      </c>
      <c r="E35" s="24" t="n">
        <v>0.6</v>
      </c>
      <c r="F35" s="24" t="n">
        <v>184.6</v>
      </c>
      <c r="G35" s="24" t="n">
        <v>183.826</v>
      </c>
      <c r="H35" s="25" t="n">
        <v>183.679</v>
      </c>
      <c r="I35" s="25" t="n">
        <v>183.576</v>
      </c>
      <c r="J35" s="26">
        <f>F35-H35</f>
        <v/>
      </c>
      <c r="K35" s="26">
        <f>G35-I35</f>
        <v/>
      </c>
      <c r="L35" s="26">
        <f>100*(H35-I35)/E35</f>
        <v/>
      </c>
      <c r="M35" s="24" t="n">
        <v>0.6</v>
      </c>
      <c r="N35" s="26">
        <f>E35-M35</f>
        <v/>
      </c>
      <c r="O35" s="26">
        <f>MAX(MIN(J35,K35)-CRITERIOS!$B$13,0.01)</f>
        <v/>
      </c>
      <c r="P35" s="27">
        <f>1000*CRITERIOS!$B$5*O35*((CRITERIOS!$B$5*O35)/(CRITERIOS!$B$5+2*O35))^(2/3)*SQRT(MAX(L35/100,CRITERIOS!$B$10))/CRITERIOS!$B$12</f>
        <v/>
      </c>
      <c r="Q35" s="28" t="inlineStr">
        <is>
          <t>Patio central (x=896.8), y=815.97, bajada x=919.6 y atrio de ingreso a D3</t>
        </is>
      </c>
    </row>
    <row r="36">
      <c r="A36" s="23" t="n">
        <v>2</v>
      </c>
      <c r="B36" s="23" t="inlineStr">
        <is>
          <t>EJE-08</t>
        </is>
      </c>
      <c r="C36" s="23" t="inlineStr">
        <is>
          <t>P-31</t>
        </is>
      </c>
      <c r="D36" s="23" t="inlineStr">
        <is>
          <t>P-32</t>
        </is>
      </c>
      <c r="E36" s="24" t="n">
        <v>3.88</v>
      </c>
      <c r="F36" s="24" t="n">
        <v>184.6</v>
      </c>
      <c r="G36" s="24" t="n">
        <v>184.6</v>
      </c>
      <c r="H36" s="25" t="n">
        <v>184.3</v>
      </c>
      <c r="I36" s="25" t="n">
        <v>184.281</v>
      </c>
      <c r="J36" s="26">
        <f>F36-H36</f>
        <v/>
      </c>
      <c r="K36" s="26">
        <f>G36-I36</f>
        <v/>
      </c>
      <c r="L36" s="26">
        <f>100*(H36-I36)/E36</f>
        <v/>
      </c>
      <c r="M36" s="24" t="n">
        <v>0</v>
      </c>
      <c r="N36" s="26">
        <f>E36-M36</f>
        <v/>
      </c>
      <c r="O36" s="26">
        <f>MAX(MIN(J36,K36)-CRITERIOS!$B$13,0.01)</f>
        <v/>
      </c>
      <c r="P36" s="27">
        <f>1000*CRITERIOS!$B$5*O36*((CRITERIOS!$B$5*O36)/(CRITERIOS!$B$5+2*O36))^(2/3)*SQRT(MAX(L36/100,CRITERIOS!$B$10))/CRITERIOS!$B$12</f>
        <v/>
      </c>
      <c r="Q36" s="28" t="inlineStr">
        <is>
          <t>Bloque del centro: lado sur (y=839.94)</t>
        </is>
      </c>
    </row>
    <row r="37">
      <c r="A37" s="23" t="n">
        <v>2</v>
      </c>
      <c r="B37" s="23" t="inlineStr">
        <is>
          <t>EJE-08</t>
        </is>
      </c>
      <c r="C37" s="23" t="inlineStr">
        <is>
          <t>P-32</t>
        </is>
      </c>
      <c r="D37" s="23" t="inlineStr">
        <is>
          <t>P-23</t>
        </is>
      </c>
      <c r="E37" s="24" t="n">
        <v>35.8</v>
      </c>
      <c r="F37" s="24" t="n">
        <v>184.6</v>
      </c>
      <c r="G37" s="24" t="n">
        <v>184.6</v>
      </c>
      <c r="H37" s="25" t="n">
        <v>184.281</v>
      </c>
      <c r="I37" s="25" t="n">
        <v>184.102</v>
      </c>
      <c r="J37" s="26">
        <f>F37-H37</f>
        <v/>
      </c>
      <c r="K37" s="26">
        <f>G37-I37</f>
        <v/>
      </c>
      <c r="L37" s="26">
        <f>100*(H37-I37)/E37</f>
        <v/>
      </c>
      <c r="M37" s="24" t="n">
        <v>0</v>
      </c>
      <c r="N37" s="26">
        <f>E37-M37</f>
        <v/>
      </c>
      <c r="O37" s="26">
        <f>MAX(MIN(J37,K37)-CRITERIOS!$B$13,0.01)</f>
        <v/>
      </c>
      <c r="P37" s="27">
        <f>1000*CRITERIOS!$B$5*O37*((CRITERIOS!$B$5*O37)/(CRITERIOS!$B$5+2*O37))^(2/3)*SQRT(MAX(L37/100,CRITERIOS!$B$10))/CRITERIOS!$B$12</f>
        <v/>
      </c>
      <c r="Q37" s="28" t="inlineStr">
        <is>
          <t>Bloque del centro: lado sur (y=839.94)</t>
        </is>
      </c>
    </row>
    <row r="38">
      <c r="A38" s="23" t="n">
        <v>2</v>
      </c>
      <c r="B38" s="23" t="inlineStr">
        <is>
          <t>EJE-09</t>
        </is>
      </c>
      <c r="C38" s="23" t="inlineStr">
        <is>
          <t>P-33</t>
        </is>
      </c>
      <c r="D38" s="23" t="inlineStr">
        <is>
          <t>P-24</t>
        </is>
      </c>
      <c r="E38" s="24" t="n">
        <v>35.8</v>
      </c>
      <c r="F38" s="24" t="n">
        <v>184.6</v>
      </c>
      <c r="G38" s="24" t="n">
        <v>184.6</v>
      </c>
      <c r="H38" s="25" t="n">
        <v>184.3</v>
      </c>
      <c r="I38" s="25" t="n">
        <v>184.121</v>
      </c>
      <c r="J38" s="26">
        <f>F38-H38</f>
        <v/>
      </c>
      <c r="K38" s="26">
        <f>G38-I38</f>
        <v/>
      </c>
      <c r="L38" s="26">
        <f>100*(H38-I38)/E38</f>
        <v/>
      </c>
      <c r="M38" s="24" t="n">
        <v>0</v>
      </c>
      <c r="N38" s="26">
        <f>E38-M38</f>
        <v/>
      </c>
      <c r="O38" s="26">
        <f>MAX(MIN(J38,K38)-CRITERIOS!$B$13,0.01)</f>
        <v/>
      </c>
      <c r="P38" s="27">
        <f>1000*CRITERIOS!$B$5*O38*((CRITERIOS!$B$5*O38)/(CRITERIOS!$B$5+2*O38))^(2/3)*SQRT(MAX(L38/100,CRITERIOS!$B$10))/CRITERIOS!$B$12</f>
        <v/>
      </c>
      <c r="Q38" s="28" t="inlineStr">
        <is>
          <t>Patio central: y=822.09</t>
        </is>
      </c>
    </row>
    <row r="39">
      <c r="A39" s="23" t="n">
        <v>2</v>
      </c>
      <c r="B39" s="23" t="inlineStr">
        <is>
          <t>EJE-10</t>
        </is>
      </c>
      <c r="C39" s="23" t="inlineStr">
        <is>
          <t>P-32</t>
        </is>
      </c>
      <c r="D39" s="23" t="inlineStr">
        <is>
          <t>P-33</t>
        </is>
      </c>
      <c r="E39" s="24" t="n">
        <v>17.85</v>
      </c>
      <c r="F39" s="24" t="n">
        <v>184.6</v>
      </c>
      <c r="G39" s="24" t="n">
        <v>184.6</v>
      </c>
      <c r="H39" s="25" t="n">
        <v>184.3</v>
      </c>
      <c r="I39" s="25" t="n">
        <v>184.211</v>
      </c>
      <c r="J39" s="26">
        <f>F39-H39</f>
        <v/>
      </c>
      <c r="K39" s="26">
        <f>G39-I39</f>
        <v/>
      </c>
      <c r="L39" s="26">
        <f>100*(H39-I39)/E39</f>
        <v/>
      </c>
      <c r="M39" s="24" t="n">
        <v>0</v>
      </c>
      <c r="N39" s="26">
        <f>E39-M39</f>
        <v/>
      </c>
      <c r="O39" s="26">
        <f>MAX(MIN(J39,K39)-CRITERIOS!$B$13,0.01)</f>
        <v/>
      </c>
      <c r="P39" s="27">
        <f>1000*CRITERIOS!$B$5*O39*((CRITERIOS!$B$5*O39)/(CRITERIOS!$B$5+2*O39))^(2/3)*SQRT(MAX(L39/100,CRITERIOS!$B$10))/CRITERIOS!$B$12</f>
        <v/>
      </c>
      <c r="Q39" s="28" t="inlineStr">
        <is>
          <t>x=932.6 y bloque del frente: lado norte (y=815.97)</t>
        </is>
      </c>
    </row>
    <row r="40">
      <c r="A40" s="23" t="n">
        <v>2</v>
      </c>
      <c r="B40" s="23" t="inlineStr">
        <is>
          <t>EJE-10</t>
        </is>
      </c>
      <c r="C40" s="23" t="inlineStr">
        <is>
          <t>P-33</t>
        </is>
      </c>
      <c r="D40" s="23" t="inlineStr">
        <is>
          <t>P-34</t>
        </is>
      </c>
      <c r="E40" s="24" t="n">
        <v>6.12</v>
      </c>
      <c r="F40" s="24" t="n">
        <v>184.6</v>
      </c>
      <c r="G40" s="24" t="n">
        <v>184.6</v>
      </c>
      <c r="H40" s="25" t="n">
        <v>184.211</v>
      </c>
      <c r="I40" s="25" t="n">
        <v>184.18</v>
      </c>
      <c r="J40" s="26">
        <f>F40-H40</f>
        <v/>
      </c>
      <c r="K40" s="26">
        <f>G40-I40</f>
        <v/>
      </c>
      <c r="L40" s="26">
        <f>100*(H40-I40)/E40</f>
        <v/>
      </c>
      <c r="M40" s="24" t="n">
        <v>0</v>
      </c>
      <c r="N40" s="26">
        <f>E40-M40</f>
        <v/>
      </c>
      <c r="O40" s="26">
        <f>MAX(MIN(J40,K40)-CRITERIOS!$B$13,0.01)</f>
        <v/>
      </c>
      <c r="P40" s="27">
        <f>1000*CRITERIOS!$B$5*O40*((CRITERIOS!$B$5*O40)/(CRITERIOS!$B$5+2*O40))^(2/3)*SQRT(MAX(L40/100,CRITERIOS!$B$10))/CRITERIOS!$B$12</f>
        <v/>
      </c>
      <c r="Q40" s="28" t="inlineStr">
        <is>
          <t>x=932.6 y bloque del frente: lado norte (y=815.97)</t>
        </is>
      </c>
    </row>
    <row r="41">
      <c r="A41" s="23" t="n">
        <v>2</v>
      </c>
      <c r="B41" s="23" t="inlineStr">
        <is>
          <t>EJE-10</t>
        </is>
      </c>
      <c r="C41" s="23" t="inlineStr">
        <is>
          <t>P-34</t>
        </is>
      </c>
      <c r="D41" s="23" t="inlineStr">
        <is>
          <t>P-25</t>
        </is>
      </c>
      <c r="E41" s="24" t="n">
        <v>13.03</v>
      </c>
      <c r="F41" s="24" t="n">
        <v>184.6</v>
      </c>
      <c r="G41" s="24" t="n">
        <v>184.6</v>
      </c>
      <c r="H41" s="25" t="n">
        <v>184.18</v>
      </c>
      <c r="I41" s="25" t="n">
        <v>184.115</v>
      </c>
      <c r="J41" s="26">
        <f>F41-H41</f>
        <v/>
      </c>
      <c r="K41" s="26">
        <f>G41-I41</f>
        <v/>
      </c>
      <c r="L41" s="26">
        <f>100*(H41-I41)/E41</f>
        <v/>
      </c>
      <c r="M41" s="24" t="n">
        <v>0</v>
      </c>
      <c r="N41" s="26">
        <f>E41-M41</f>
        <v/>
      </c>
      <c r="O41" s="26">
        <f>MAX(MIN(J41,K41)-CRITERIOS!$B$13,0.01)</f>
        <v/>
      </c>
      <c r="P41" s="27">
        <f>1000*CRITERIOS!$B$5*O41*((CRITERIOS!$B$5*O41)/(CRITERIOS!$B$5+2*O41))^(2/3)*SQRT(MAX(L41/100,CRITERIOS!$B$10))/CRITERIOS!$B$12</f>
        <v/>
      </c>
      <c r="Q41" s="28" t="inlineStr">
        <is>
          <t>x=932.6 y bloque del frente: lado norte (y=815.97)</t>
        </is>
      </c>
    </row>
    <row r="42">
      <c r="A42" s="23" t="n">
        <v>2</v>
      </c>
      <c r="B42" s="23" t="inlineStr">
        <is>
          <t>EJE-11</t>
        </is>
      </c>
      <c r="C42" s="23" t="inlineStr">
        <is>
          <t>P-35</t>
        </is>
      </c>
      <c r="D42" s="23" t="inlineStr">
        <is>
          <t>P-26</t>
        </is>
      </c>
      <c r="E42" s="24" t="n">
        <v>30.36</v>
      </c>
      <c r="F42" s="24" t="n">
        <v>184.6</v>
      </c>
      <c r="G42" s="24" t="n">
        <v>184.6</v>
      </c>
      <c r="H42" s="25" t="n">
        <v>184.3</v>
      </c>
      <c r="I42" s="25" t="n">
        <v>184.148</v>
      </c>
      <c r="J42" s="26">
        <f>F42-H42</f>
        <v/>
      </c>
      <c r="K42" s="26">
        <f>G42-I42</f>
        <v/>
      </c>
      <c r="L42" s="26">
        <f>100*(H42-I42)/E42</f>
        <v/>
      </c>
      <c r="M42" s="24" t="n">
        <v>0.5</v>
      </c>
      <c r="N42" s="26">
        <f>E42-M42</f>
        <v/>
      </c>
      <c r="O42" s="26">
        <f>MAX(MIN(J42,K42)-CRITERIOS!$B$13,0.01)</f>
        <v/>
      </c>
      <c r="P42" s="27">
        <f>1000*CRITERIOS!$B$5*O42*((CRITERIOS!$B$5*O42)/(CRITERIOS!$B$5+2*O42))^(2/3)*SQRT(MAX(L42/100,CRITERIOS!$B$10))/CRITERIOS!$B$12</f>
        <v/>
      </c>
      <c r="Q42" s="28" t="inlineStr">
        <is>
          <t>Bloque del frente: lado sur (y=804.1)</t>
        </is>
      </c>
    </row>
    <row r="43">
      <c r="A43" s="23" t="n">
        <v>3</v>
      </c>
      <c r="B43" s="23" t="inlineStr">
        <is>
          <t>EJE-12</t>
        </is>
      </c>
      <c r="C43" s="23" t="inlineStr">
        <is>
          <t>P-36</t>
        </is>
      </c>
      <c r="D43" s="23" t="inlineStr">
        <is>
          <t>P-37</t>
        </is>
      </c>
      <c r="E43" s="24" t="n">
        <v>15.66</v>
      </c>
      <c r="F43" s="24" t="n">
        <v>184.6</v>
      </c>
      <c r="G43" s="24" t="n">
        <v>184.6</v>
      </c>
      <c r="H43" s="25" t="n">
        <v>184.3</v>
      </c>
      <c r="I43" s="25" t="n">
        <v>184.222</v>
      </c>
      <c r="J43" s="26">
        <f>F43-H43</f>
        <v/>
      </c>
      <c r="K43" s="26">
        <f>G43-I43</f>
        <v/>
      </c>
      <c r="L43" s="26">
        <f>100*(H43-I43)/E43</f>
        <v/>
      </c>
      <c r="M43" s="24" t="n">
        <v>0</v>
      </c>
      <c r="N43" s="26">
        <f>E43-M43</f>
        <v/>
      </c>
      <c r="O43" s="26">
        <f>MAX(MIN(J43,K43)-CRITERIOS!$B$13,0.01)</f>
        <v/>
      </c>
      <c r="P43" s="27">
        <f>1000*CRITERIOS!$B$5*O43*((CRITERIOS!$B$5*O43)/(CRITERIOS!$B$5+2*O43))^(2/3)*SQRT(MAX(L43/100,CRITERIOS!$B$10))/CRITERIOS!$B$12</f>
        <v/>
      </c>
      <c r="Q43" s="28" t="inlineStr">
        <is>
          <t>Losa: lados oeste, sur y este; union por dentro del cerco a D2</t>
        </is>
      </c>
    </row>
    <row r="44">
      <c r="A44" s="23" t="n">
        <v>3</v>
      </c>
      <c r="B44" s="23" t="inlineStr">
        <is>
          <t>EJE-12</t>
        </is>
      </c>
      <c r="C44" s="23" t="inlineStr">
        <is>
          <t>P-37</t>
        </is>
      </c>
      <c r="D44" s="23" t="inlineStr">
        <is>
          <t>P-38</t>
        </is>
      </c>
      <c r="E44" s="24" t="n">
        <v>23.7</v>
      </c>
      <c r="F44" s="24" t="n">
        <v>184.6</v>
      </c>
      <c r="G44" s="24" t="n">
        <v>184.6</v>
      </c>
      <c r="H44" s="25" t="n">
        <v>184.222</v>
      </c>
      <c r="I44" s="25" t="n">
        <v>184.103</v>
      </c>
      <c r="J44" s="26">
        <f>F44-H44</f>
        <v/>
      </c>
      <c r="K44" s="26">
        <f>G44-I44</f>
        <v/>
      </c>
      <c r="L44" s="26">
        <f>100*(H44-I44)/E44</f>
        <v/>
      </c>
      <c r="M44" s="24" t="n">
        <v>0</v>
      </c>
      <c r="N44" s="26">
        <f>E44-M44</f>
        <v/>
      </c>
      <c r="O44" s="26">
        <f>MAX(MIN(J44,K44)-CRITERIOS!$B$13,0.01)</f>
        <v/>
      </c>
      <c r="P44" s="27">
        <f>1000*CRITERIOS!$B$5*O44*((CRITERIOS!$B$5*O44)/(CRITERIOS!$B$5+2*O44))^(2/3)*SQRT(MAX(L44/100,CRITERIOS!$B$10))/CRITERIOS!$B$12</f>
        <v/>
      </c>
      <c r="Q44" s="28" t="inlineStr">
        <is>
          <t>Losa: lados oeste, sur y este; union por dentro del cerco a D2</t>
        </is>
      </c>
    </row>
    <row r="45">
      <c r="A45" s="23" t="n">
        <v>3</v>
      </c>
      <c r="B45" s="23" t="inlineStr">
        <is>
          <t>EJE-12</t>
        </is>
      </c>
      <c r="C45" s="23" t="inlineStr">
        <is>
          <t>P-38</t>
        </is>
      </c>
      <c r="D45" s="23" t="inlineStr">
        <is>
          <t>P-39</t>
        </is>
      </c>
      <c r="E45" s="24" t="n">
        <v>35.28</v>
      </c>
      <c r="F45" s="24" t="n">
        <v>184.6</v>
      </c>
      <c r="G45" s="24" t="n">
        <v>184.5</v>
      </c>
      <c r="H45" s="25" t="n">
        <v>184.103</v>
      </c>
      <c r="I45" s="25" t="n">
        <v>183.927</v>
      </c>
      <c r="J45" s="26">
        <f>F45-H45</f>
        <v/>
      </c>
      <c r="K45" s="26">
        <f>G45-I45</f>
        <v/>
      </c>
      <c r="L45" s="26">
        <f>100*(H45-I45)/E45</f>
        <v/>
      </c>
      <c r="M45" s="24" t="n">
        <v>0</v>
      </c>
      <c r="N45" s="26">
        <f>E45-M45</f>
        <v/>
      </c>
      <c r="O45" s="26">
        <f>MAX(MIN(J45,K45)-CRITERIOS!$B$13,0.01)</f>
        <v/>
      </c>
      <c r="P45" s="27">
        <f>1000*CRITERIOS!$B$5*O45*((CRITERIOS!$B$5*O45)/(CRITERIOS!$B$5+2*O45))^(2/3)*SQRT(MAX(L45/100,CRITERIOS!$B$10))/CRITERIOS!$B$12</f>
        <v/>
      </c>
      <c r="Q45" s="28" t="inlineStr">
        <is>
          <t>Losa: lados oeste, sur y este; union por dentro del cerco a D2</t>
        </is>
      </c>
    </row>
    <row r="46">
      <c r="A46" s="23" t="n">
        <v>3</v>
      </c>
      <c r="B46" s="23" t="inlineStr">
        <is>
          <t>EJE-12</t>
        </is>
      </c>
      <c r="C46" s="23" t="inlineStr">
        <is>
          <t>P-39</t>
        </is>
      </c>
      <c r="D46" s="23" t="inlineStr">
        <is>
          <t>P-40</t>
        </is>
      </c>
      <c r="E46" s="24" t="n">
        <v>8.66</v>
      </c>
      <c r="F46" s="24" t="n">
        <v>184.5</v>
      </c>
      <c r="G46" s="24" t="n">
        <v>184.5</v>
      </c>
      <c r="H46" s="25" t="n">
        <v>183.927</v>
      </c>
      <c r="I46" s="25" t="n">
        <v>183.883</v>
      </c>
      <c r="J46" s="26">
        <f>F46-H46</f>
        <v/>
      </c>
      <c r="K46" s="26">
        <f>G46-I46</f>
        <v/>
      </c>
      <c r="L46" s="26">
        <f>100*(H46-I46)/E46</f>
        <v/>
      </c>
      <c r="M46" s="24" t="n">
        <v>0</v>
      </c>
      <c r="N46" s="26">
        <f>E46-M46</f>
        <v/>
      </c>
      <c r="O46" s="26">
        <f>MAX(MIN(J46,K46)-CRITERIOS!$B$13,0.01)</f>
        <v/>
      </c>
      <c r="P46" s="27">
        <f>1000*CRITERIOS!$B$5*O46*((CRITERIOS!$B$5*O46)/(CRITERIOS!$B$5+2*O46))^(2/3)*SQRT(MAX(L46/100,CRITERIOS!$B$10))/CRITERIOS!$B$12</f>
        <v/>
      </c>
      <c r="Q46" s="28" t="inlineStr">
        <is>
          <t>Losa: lados oeste, sur y este; union por dentro del cerco a D2</t>
        </is>
      </c>
    </row>
    <row r="47">
      <c r="A47" s="23" t="n">
        <v>3</v>
      </c>
      <c r="B47" s="23" t="inlineStr">
        <is>
          <t>EJE-12</t>
        </is>
      </c>
      <c r="C47" s="23" t="inlineStr">
        <is>
          <t>P-40</t>
        </is>
      </c>
      <c r="D47" s="23" t="inlineStr">
        <is>
          <t>P-41</t>
        </is>
      </c>
      <c r="E47" s="24" t="n">
        <v>11.93</v>
      </c>
      <c r="F47" s="24" t="n">
        <v>184.5</v>
      </c>
      <c r="G47" s="24" t="n">
        <v>184.5</v>
      </c>
      <c r="H47" s="25" t="n">
        <v>183.883</v>
      </c>
      <c r="I47" s="25" t="n">
        <v>183.824</v>
      </c>
      <c r="J47" s="26">
        <f>F47-H47</f>
        <v/>
      </c>
      <c r="K47" s="26">
        <f>G47-I47</f>
        <v/>
      </c>
      <c r="L47" s="26">
        <f>100*(H47-I47)/E47</f>
        <v/>
      </c>
      <c r="M47" s="24" t="n">
        <v>0</v>
      </c>
      <c r="N47" s="26">
        <f>E47-M47</f>
        <v/>
      </c>
      <c r="O47" s="26">
        <f>MAX(MIN(J47,K47)-CRITERIOS!$B$13,0.01)</f>
        <v/>
      </c>
      <c r="P47" s="27">
        <f>1000*CRITERIOS!$B$5*O47*((CRITERIOS!$B$5*O47)/(CRITERIOS!$B$5+2*O47))^(2/3)*SQRT(MAX(L47/100,CRITERIOS!$B$10))/CRITERIOS!$B$12</f>
        <v/>
      </c>
      <c r="Q47" s="28" t="inlineStr">
        <is>
          <t>Losa: lados oeste, sur y este; union por dentro del cerco a D2</t>
        </is>
      </c>
    </row>
    <row r="48">
      <c r="A48" s="23" t="n">
        <v>3</v>
      </c>
      <c r="B48" s="23" t="inlineStr">
        <is>
          <t>EJE-12</t>
        </is>
      </c>
      <c r="C48" s="23" t="inlineStr">
        <is>
          <t>P-41</t>
        </is>
      </c>
      <c r="D48" s="23" t="inlineStr">
        <is>
          <t>P-42</t>
        </is>
      </c>
      <c r="E48" s="24" t="n">
        <v>8.630000000000001</v>
      </c>
      <c r="F48" s="24" t="n">
        <v>184.5</v>
      </c>
      <c r="G48" s="24" t="n">
        <v>184.5</v>
      </c>
      <c r="H48" s="25" t="n">
        <v>183.824</v>
      </c>
      <c r="I48" s="25" t="n">
        <v>183.781</v>
      </c>
      <c r="J48" s="26">
        <f>F48-H48</f>
        <v/>
      </c>
      <c r="K48" s="26">
        <f>G48-I48</f>
        <v/>
      </c>
      <c r="L48" s="26">
        <f>100*(H48-I48)/E48</f>
        <v/>
      </c>
      <c r="M48" s="24" t="n">
        <v>0</v>
      </c>
      <c r="N48" s="26">
        <f>E48-M48</f>
        <v/>
      </c>
      <c r="O48" s="26">
        <f>MAX(MIN(J48,K48)-CRITERIOS!$B$13,0.01)</f>
        <v/>
      </c>
      <c r="P48" s="27">
        <f>1000*CRITERIOS!$B$5*O48*((CRITERIOS!$B$5*O48)/(CRITERIOS!$B$5+2*O48))^(2/3)*SQRT(MAX(L48/100,CRITERIOS!$B$10))/CRITERIOS!$B$12</f>
        <v/>
      </c>
      <c r="Q48" s="28" t="inlineStr">
        <is>
          <t>Losa: lados oeste, sur y este; union por dentro del cerco a D2</t>
        </is>
      </c>
    </row>
    <row r="49">
      <c r="A49" s="23" t="n">
        <v>3</v>
      </c>
      <c r="B49" s="23" t="inlineStr">
        <is>
          <t>EJE-12</t>
        </is>
      </c>
      <c r="C49" s="23" t="inlineStr">
        <is>
          <t>P-42</t>
        </is>
      </c>
      <c r="D49" s="23" t="inlineStr">
        <is>
          <t>P-43</t>
        </is>
      </c>
      <c r="E49" s="24" t="n">
        <v>12.29</v>
      </c>
      <c r="F49" s="24" t="n">
        <v>184.5</v>
      </c>
      <c r="G49" s="24" t="n">
        <v>184.5</v>
      </c>
      <c r="H49" s="25" t="n">
        <v>183.781</v>
      </c>
      <c r="I49" s="25" t="n">
        <v>183.719</v>
      </c>
      <c r="J49" s="26">
        <f>F49-H49</f>
        <v/>
      </c>
      <c r="K49" s="26">
        <f>G49-I49</f>
        <v/>
      </c>
      <c r="L49" s="26">
        <f>100*(H49-I49)/E49</f>
        <v/>
      </c>
      <c r="M49" s="24" t="n">
        <v>12.29</v>
      </c>
      <c r="N49" s="26">
        <f>E49-M49</f>
        <v/>
      </c>
      <c r="O49" s="26">
        <f>MAX(MIN(J49,K49)-CRITERIOS!$B$13,0.01)</f>
        <v/>
      </c>
      <c r="P49" s="27">
        <f>1000*CRITERIOS!$B$5*O49*((CRITERIOS!$B$5*O49)/(CRITERIOS!$B$5+2*O49))^(2/3)*SQRT(MAX(L49/100,CRITERIOS!$B$10))/CRITERIOS!$B$12</f>
        <v/>
      </c>
      <c r="Q49" s="28" t="inlineStr">
        <is>
          <t>Losa: lados oeste, sur y este; union por dentro del cerco a D2</t>
        </is>
      </c>
    </row>
    <row r="50">
      <c r="A50" s="23" t="n">
        <v>3</v>
      </c>
      <c r="B50" s="23" t="inlineStr">
        <is>
          <t>EJE-12</t>
        </is>
      </c>
      <c r="C50" s="23" t="inlineStr">
        <is>
          <t>P-43</t>
        </is>
      </c>
      <c r="D50" s="23" t="inlineStr">
        <is>
          <t>P-44</t>
        </is>
      </c>
      <c r="E50" s="24" t="n">
        <v>2.5</v>
      </c>
      <c r="F50" s="24" t="n">
        <v>184.5</v>
      </c>
      <c r="G50" s="24" t="n">
        <v>184.5</v>
      </c>
      <c r="H50" s="25" t="n">
        <v>183.719</v>
      </c>
      <c r="I50" s="25" t="n">
        <v>183.707</v>
      </c>
      <c r="J50" s="26">
        <f>F50-H50</f>
        <v/>
      </c>
      <c r="K50" s="26">
        <f>G50-I50</f>
        <v/>
      </c>
      <c r="L50" s="26">
        <f>100*(H50-I50)/E50</f>
        <v/>
      </c>
      <c r="M50" s="24" t="n">
        <v>2.5</v>
      </c>
      <c r="N50" s="26">
        <f>E50-M50</f>
        <v/>
      </c>
      <c r="O50" s="26">
        <f>MAX(MIN(J50,K50)-CRITERIOS!$B$13,0.01)</f>
        <v/>
      </c>
      <c r="P50" s="27">
        <f>1000*CRITERIOS!$B$5*O50*((CRITERIOS!$B$5*O50)/(CRITERIOS!$B$5+2*O50))^(2/3)*SQRT(MAX(L50/100,CRITERIOS!$B$10))/CRITERIOS!$B$12</f>
        <v/>
      </c>
      <c r="Q50" s="28" t="inlineStr">
        <is>
          <t>Losa: lados oeste, sur y este; union por dentro del cerco a D2</t>
        </is>
      </c>
    </row>
    <row r="51">
      <c r="A51" s="23" t="n">
        <v>3</v>
      </c>
      <c r="B51" s="23" t="inlineStr">
        <is>
          <t>EJE-12</t>
        </is>
      </c>
      <c r="C51" s="23" t="inlineStr">
        <is>
          <t>P-44</t>
        </is>
      </c>
      <c r="D51" s="23" t="inlineStr">
        <is>
          <t>D2</t>
        </is>
      </c>
      <c r="E51" s="24" t="n">
        <v>0.6</v>
      </c>
      <c r="F51" s="24" t="n">
        <v>184.5</v>
      </c>
      <c r="G51" s="24" t="n">
        <v>184.5</v>
      </c>
      <c r="H51" s="25" t="n">
        <v>183.707</v>
      </c>
      <c r="I51" s="25" t="n">
        <v>183.704</v>
      </c>
      <c r="J51" s="26">
        <f>F51-H51</f>
        <v/>
      </c>
      <c r="K51" s="26">
        <f>G51-I51</f>
        <v/>
      </c>
      <c r="L51" s="26">
        <f>100*(H51-I51)/E51</f>
        <v/>
      </c>
      <c r="M51" s="24" t="n">
        <v>0.6</v>
      </c>
      <c r="N51" s="26">
        <f>E51-M51</f>
        <v/>
      </c>
      <c r="O51" s="26">
        <f>MAX(MIN(J51,K51)-CRITERIOS!$B$13,0.01)</f>
        <v/>
      </c>
      <c r="P51" s="27">
        <f>1000*CRITERIOS!$B$5*O51*((CRITERIOS!$B$5*O51)/(CRITERIOS!$B$5+2*O51))^(2/3)*SQRT(MAX(L51/100,CRITERIOS!$B$10))/CRITERIOS!$B$12</f>
        <v/>
      </c>
      <c r="Q51" s="28" t="inlineStr">
        <is>
          <t>Losa: lados oeste, sur y este; union por dentro del cerco a D2</t>
        </is>
      </c>
    </row>
    <row r="52">
      <c r="A52" s="23" t="n">
        <v>3</v>
      </c>
      <c r="B52" s="23" t="inlineStr">
        <is>
          <t>EJE-13</t>
        </is>
      </c>
      <c r="C52" s="23" t="inlineStr">
        <is>
          <t>P-45</t>
        </is>
      </c>
      <c r="D52" s="23" t="inlineStr">
        <is>
          <t>P-39</t>
        </is>
      </c>
      <c r="E52" s="24" t="n">
        <v>24.38</v>
      </c>
      <c r="F52" s="24" t="n">
        <v>184.5</v>
      </c>
      <c r="G52" s="24" t="n">
        <v>184.5</v>
      </c>
      <c r="H52" s="25" t="n">
        <v>184.2</v>
      </c>
      <c r="I52" s="25" t="n">
        <v>184.078</v>
      </c>
      <c r="J52" s="26">
        <f>F52-H52</f>
        <v/>
      </c>
      <c r="K52" s="26">
        <f>G52-I52</f>
        <v/>
      </c>
      <c r="L52" s="26">
        <f>100*(H52-I52)/E52</f>
        <v/>
      </c>
      <c r="M52" s="24" t="n">
        <v>0</v>
      </c>
      <c r="N52" s="26">
        <f>E52-M52</f>
        <v/>
      </c>
      <c r="O52" s="26">
        <f>MAX(MIN(J52,K52)-CRITERIOS!$B$13,0.01)</f>
        <v/>
      </c>
      <c r="P52" s="27">
        <f>1000*CRITERIOS!$B$5*O52*((CRITERIOS!$B$5*O52)/(CRITERIOS!$B$5+2*O52))^(2/3)*SQRT(MAX(L52/100,CRITERIOS!$B$10))/CRITERIOS!$B$12</f>
        <v/>
      </c>
      <c r="Q52" s="28" t="inlineStr">
        <is>
          <t>Losa: lado norte (y=831.3)</t>
        </is>
      </c>
    </row>
    <row r="53">
      <c r="A53" s="23" t="n">
        <v>3</v>
      </c>
      <c r="B53" s="23" t="inlineStr">
        <is>
          <t>EJE-14</t>
        </is>
      </c>
      <c r="C53" s="23" t="inlineStr">
        <is>
          <t>P-46</t>
        </is>
      </c>
      <c r="D53" s="23" t="inlineStr">
        <is>
          <t>P-47</t>
        </is>
      </c>
      <c r="E53" s="24" t="n">
        <v>17.06</v>
      </c>
      <c r="F53" s="24" t="n">
        <v>184.6</v>
      </c>
      <c r="G53" s="24" t="n">
        <v>184.6</v>
      </c>
      <c r="H53" s="25" t="n">
        <v>184.3</v>
      </c>
      <c r="I53" s="25" t="n">
        <v>184.215</v>
      </c>
      <c r="J53" s="26">
        <f>F53-H53</f>
        <v/>
      </c>
      <c r="K53" s="26">
        <f>G53-I53</f>
        <v/>
      </c>
      <c r="L53" s="26">
        <f>100*(H53-I53)/E53</f>
        <v/>
      </c>
      <c r="M53" s="24" t="n">
        <v>0</v>
      </c>
      <c r="N53" s="26">
        <f>E53-M53</f>
        <v/>
      </c>
      <c r="O53" s="26">
        <f>MAX(MIN(J53,K53)-CRITERIOS!$B$13,0.01)</f>
        <v/>
      </c>
      <c r="P53" s="27">
        <f>1000*CRITERIOS!$B$5*O53*((CRITERIOS!$B$5*O53)/(CRITERIOS!$B$5+2*O53))^(2/3)*SQRT(MAX(L53/100,CRITERIOS!$B$10))/CRITERIOS!$B$12</f>
        <v/>
      </c>
      <c r="Q53" s="28" t="inlineStr">
        <is>
          <t>y=815.97, x=952.3 y bloque nor-este: lado sur (y=839.9)</t>
        </is>
      </c>
    </row>
    <row r="54">
      <c r="A54" s="23" t="n">
        <v>3</v>
      </c>
      <c r="B54" s="23" t="inlineStr">
        <is>
          <t>EJE-14</t>
        </is>
      </c>
      <c r="C54" s="23" t="inlineStr">
        <is>
          <t>P-47</t>
        </is>
      </c>
      <c r="D54" s="23" t="inlineStr">
        <is>
          <t>P-48</t>
        </is>
      </c>
      <c r="E54" s="24" t="n">
        <v>22.85</v>
      </c>
      <c r="F54" s="24" t="n">
        <v>184.6</v>
      </c>
      <c r="G54" s="24" t="n">
        <v>184.5</v>
      </c>
      <c r="H54" s="25" t="n">
        <v>184.215</v>
      </c>
      <c r="I54" s="25" t="n">
        <v>184.1</v>
      </c>
      <c r="J54" s="26">
        <f>F54-H54</f>
        <v/>
      </c>
      <c r="K54" s="26">
        <f>G54-I54</f>
        <v/>
      </c>
      <c r="L54" s="26">
        <f>100*(H54-I54)/E54</f>
        <v/>
      </c>
      <c r="M54" s="24" t="n">
        <v>0</v>
      </c>
      <c r="N54" s="26">
        <f>E54-M54</f>
        <v/>
      </c>
      <c r="O54" s="26">
        <f>MAX(MIN(J54,K54)-CRITERIOS!$B$13,0.01)</f>
        <v/>
      </c>
      <c r="P54" s="27">
        <f>1000*CRITERIOS!$B$5*O54*((CRITERIOS!$B$5*O54)/(CRITERIOS!$B$5+2*O54))^(2/3)*SQRT(MAX(L54/100,CRITERIOS!$B$10))/CRITERIOS!$B$12</f>
        <v/>
      </c>
      <c r="Q54" s="28" t="inlineStr">
        <is>
          <t>y=815.97, x=952.3 y bloque nor-este: lado sur (y=839.9)</t>
        </is>
      </c>
    </row>
    <row r="55">
      <c r="A55" s="23" t="n">
        <v>3</v>
      </c>
      <c r="B55" s="23" t="inlineStr">
        <is>
          <t>EJE-14</t>
        </is>
      </c>
      <c r="C55" s="23" t="inlineStr">
        <is>
          <t>P-48</t>
        </is>
      </c>
      <c r="D55" s="23" t="inlineStr">
        <is>
          <t>P-49</t>
        </is>
      </c>
      <c r="E55" s="24" t="n">
        <v>1.12</v>
      </c>
      <c r="F55" s="24" t="n">
        <v>184.5</v>
      </c>
      <c r="G55" s="24" t="n">
        <v>184.5</v>
      </c>
      <c r="H55" s="25" t="n">
        <v>184.1</v>
      </c>
      <c r="I55" s="25" t="n">
        <v>184.095</v>
      </c>
      <c r="J55" s="26">
        <f>F55-H55</f>
        <v/>
      </c>
      <c r="K55" s="26">
        <f>G55-I55</f>
        <v/>
      </c>
      <c r="L55" s="26">
        <f>100*(H55-I55)/E55</f>
        <v/>
      </c>
      <c r="M55" s="24" t="n">
        <v>0</v>
      </c>
      <c r="N55" s="26">
        <f>E55-M55</f>
        <v/>
      </c>
      <c r="O55" s="26">
        <f>MAX(MIN(J55,K55)-CRITERIOS!$B$13,0.01)</f>
        <v/>
      </c>
      <c r="P55" s="27">
        <f>1000*CRITERIOS!$B$5*O55*((CRITERIOS!$B$5*O55)/(CRITERIOS!$B$5+2*O55))^(2/3)*SQRT(MAX(L55/100,CRITERIOS!$B$10))/CRITERIOS!$B$12</f>
        <v/>
      </c>
      <c r="Q55" s="28" t="inlineStr">
        <is>
          <t>y=815.97, x=952.3 y bloque nor-este: lado sur (y=839.9)</t>
        </is>
      </c>
    </row>
    <row r="56">
      <c r="A56" s="23" t="n">
        <v>3</v>
      </c>
      <c r="B56" s="23" t="inlineStr">
        <is>
          <t>EJE-14</t>
        </is>
      </c>
      <c r="C56" s="23" t="inlineStr">
        <is>
          <t>P-49</t>
        </is>
      </c>
      <c r="D56" s="23" t="inlineStr">
        <is>
          <t>P-50</t>
        </is>
      </c>
      <c r="E56" s="24" t="n">
        <v>19.39</v>
      </c>
      <c r="F56" s="24" t="n">
        <v>184.5</v>
      </c>
      <c r="G56" s="24" t="n">
        <v>184.5</v>
      </c>
      <c r="H56" s="25" t="n">
        <v>184.095</v>
      </c>
      <c r="I56" s="25" t="n">
        <v>183.998</v>
      </c>
      <c r="J56" s="26">
        <f>F56-H56</f>
        <v/>
      </c>
      <c r="K56" s="26">
        <f>G56-I56</f>
        <v/>
      </c>
      <c r="L56" s="26">
        <f>100*(H56-I56)/E56</f>
        <v/>
      </c>
      <c r="M56" s="24" t="n">
        <v>0</v>
      </c>
      <c r="N56" s="26">
        <f>E56-M56</f>
        <v/>
      </c>
      <c r="O56" s="26">
        <f>MAX(MIN(J56,K56)-CRITERIOS!$B$13,0.01)</f>
        <v/>
      </c>
      <c r="P56" s="27">
        <f>1000*CRITERIOS!$B$5*O56*((CRITERIOS!$B$5*O56)/(CRITERIOS!$B$5+2*O56))^(2/3)*SQRT(MAX(L56/100,CRITERIOS!$B$10))/CRITERIOS!$B$12</f>
        <v/>
      </c>
      <c r="Q56" s="28" t="inlineStr">
        <is>
          <t>y=815.97, x=952.3 y bloque nor-este: lado sur (y=839.9)</t>
        </is>
      </c>
    </row>
    <row r="57">
      <c r="A57" s="23" t="n">
        <v>3</v>
      </c>
      <c r="B57" s="23" t="inlineStr">
        <is>
          <t>EJE-14</t>
        </is>
      </c>
      <c r="C57" s="23" t="inlineStr">
        <is>
          <t>P-50</t>
        </is>
      </c>
      <c r="D57" s="23" t="inlineStr">
        <is>
          <t>P-40</t>
        </is>
      </c>
      <c r="E57" s="24" t="n">
        <v>5.19</v>
      </c>
      <c r="F57" s="24" t="n">
        <v>184.5</v>
      </c>
      <c r="G57" s="24" t="n">
        <v>184.5</v>
      </c>
      <c r="H57" s="25" t="n">
        <v>183.998</v>
      </c>
      <c r="I57" s="25" t="n">
        <v>183.972</v>
      </c>
      <c r="J57" s="26">
        <f>F57-H57</f>
        <v/>
      </c>
      <c r="K57" s="26">
        <f>G57-I57</f>
        <v/>
      </c>
      <c r="L57" s="26">
        <f>100*(H57-I57)/E57</f>
        <v/>
      </c>
      <c r="M57" s="24" t="n">
        <v>0</v>
      </c>
      <c r="N57" s="26">
        <f>E57-M57</f>
        <v/>
      </c>
      <c r="O57" s="26">
        <f>MAX(MIN(J57,K57)-CRITERIOS!$B$13,0.01)</f>
        <v/>
      </c>
      <c r="P57" s="27">
        <f>1000*CRITERIOS!$B$5*O57*((CRITERIOS!$B$5*O57)/(CRITERIOS!$B$5+2*O57))^(2/3)*SQRT(MAX(L57/100,CRITERIOS!$B$10))/CRITERIOS!$B$12</f>
        <v/>
      </c>
      <c r="Q57" s="28" t="inlineStr">
        <is>
          <t>y=815.97, x=952.3 y bloque nor-este: lado sur (y=839.9)</t>
        </is>
      </c>
    </row>
    <row r="58">
      <c r="A58" s="23" t="n">
        <v>3</v>
      </c>
      <c r="B58" s="23" t="inlineStr">
        <is>
          <t>EJE-15</t>
        </is>
      </c>
      <c r="C58" s="23" t="inlineStr">
        <is>
          <t>P-51</t>
        </is>
      </c>
      <c r="D58" s="23" t="inlineStr">
        <is>
          <t>P-52</t>
        </is>
      </c>
      <c r="E58" s="24" t="n">
        <v>13.05</v>
      </c>
      <c r="F58" s="24" t="n">
        <v>184.6</v>
      </c>
      <c r="G58" s="24" t="n">
        <v>184.6</v>
      </c>
      <c r="H58" s="25" t="n">
        <v>184.3</v>
      </c>
      <c r="I58" s="25" t="n">
        <v>184.235</v>
      </c>
      <c r="J58" s="26">
        <f>F58-H58</f>
        <v/>
      </c>
      <c r="K58" s="26">
        <f>G58-I58</f>
        <v/>
      </c>
      <c r="L58" s="26">
        <f>100*(H58-I58)/E58</f>
        <v/>
      </c>
      <c r="M58" s="24" t="n">
        <v>0</v>
      </c>
      <c r="N58" s="26">
        <f>E58-M58</f>
        <v/>
      </c>
      <c r="O58" s="26">
        <f>MAX(MIN(J58,K58)-CRITERIOS!$B$13,0.01)</f>
        <v/>
      </c>
      <c r="P58" s="27">
        <f>1000*CRITERIOS!$B$5*O58*((CRITERIOS!$B$5*O58)/(CRITERIOS!$B$5+2*O58))^(2/3)*SQRT(MAX(L58/100,CRITERIOS!$B$10))/CRITERIOS!$B$12</f>
        <v/>
      </c>
      <c r="Q58" s="28" t="inlineStr">
        <is>
          <t>Bloque nor-este: lado oeste (x=948.1) y lado norte (y=851.9)</t>
        </is>
      </c>
    </row>
    <row r="59">
      <c r="A59" s="23" t="n">
        <v>3</v>
      </c>
      <c r="B59" s="23" t="inlineStr">
        <is>
          <t>EJE-15</t>
        </is>
      </c>
      <c r="C59" s="23" t="inlineStr">
        <is>
          <t>P-52</t>
        </is>
      </c>
      <c r="D59" s="23" t="inlineStr">
        <is>
          <t>P-53</t>
        </is>
      </c>
      <c r="E59" s="24" t="n">
        <v>23.58</v>
      </c>
      <c r="F59" s="24" t="n">
        <v>184.6</v>
      </c>
      <c r="G59" s="24" t="n">
        <v>184.5</v>
      </c>
      <c r="H59" s="25" t="n">
        <v>184.235</v>
      </c>
      <c r="I59" s="25" t="n">
        <v>184.117</v>
      </c>
      <c r="J59" s="26">
        <f>F59-H59</f>
        <v/>
      </c>
      <c r="K59" s="26">
        <f>G59-I59</f>
        <v/>
      </c>
      <c r="L59" s="26">
        <f>100*(H59-I59)/E59</f>
        <v/>
      </c>
      <c r="M59" s="24" t="n">
        <v>0</v>
      </c>
      <c r="N59" s="26">
        <f>E59-M59</f>
        <v/>
      </c>
      <c r="O59" s="26">
        <f>MAX(MIN(J59,K59)-CRITERIOS!$B$13,0.01)</f>
        <v/>
      </c>
      <c r="P59" s="27">
        <f>1000*CRITERIOS!$B$5*O59*((CRITERIOS!$B$5*O59)/(CRITERIOS!$B$5+2*O59))^(2/3)*SQRT(MAX(L59/100,CRITERIOS!$B$10))/CRITERIOS!$B$12</f>
        <v/>
      </c>
      <c r="Q59" s="28" t="inlineStr">
        <is>
          <t>Bloque nor-este: lado oeste (x=948.1) y lado norte (y=851.9)</t>
        </is>
      </c>
    </row>
    <row r="60">
      <c r="A60" s="23" t="n">
        <v>3</v>
      </c>
      <c r="B60" s="23" t="inlineStr">
        <is>
          <t>EJE-15</t>
        </is>
      </c>
      <c r="C60" s="23" t="inlineStr">
        <is>
          <t>P-53</t>
        </is>
      </c>
      <c r="D60" s="23" t="inlineStr">
        <is>
          <t>P-41</t>
        </is>
      </c>
      <c r="E60" s="24" t="n">
        <v>5.19</v>
      </c>
      <c r="F60" s="24" t="n">
        <v>184.5</v>
      </c>
      <c r="G60" s="24" t="n">
        <v>184.5</v>
      </c>
      <c r="H60" s="25" t="n">
        <v>184.117</v>
      </c>
      <c r="I60" s="25" t="n">
        <v>184.091</v>
      </c>
      <c r="J60" s="26">
        <f>F60-H60</f>
        <v/>
      </c>
      <c r="K60" s="26">
        <f>G60-I60</f>
        <v/>
      </c>
      <c r="L60" s="26">
        <f>100*(H60-I60)/E60</f>
        <v/>
      </c>
      <c r="M60" s="24" t="n">
        <v>0</v>
      </c>
      <c r="N60" s="26">
        <f>E60-M60</f>
        <v/>
      </c>
      <c r="O60" s="26">
        <f>MAX(MIN(J60,K60)-CRITERIOS!$B$13,0.01)</f>
        <v/>
      </c>
      <c r="P60" s="27">
        <f>1000*CRITERIOS!$B$5*O60*((CRITERIOS!$B$5*O60)/(CRITERIOS!$B$5+2*O60))^(2/3)*SQRT(MAX(L60/100,CRITERIOS!$B$10))/CRITERIOS!$B$12</f>
        <v/>
      </c>
      <c r="Q60" s="28" t="inlineStr">
        <is>
          <t>Bloque nor-este: lado oeste (x=948.1) y lado norte (y=851.9)</t>
        </is>
      </c>
    </row>
    <row r="61">
      <c r="A61" s="23" t="n">
        <v>3</v>
      </c>
      <c r="B61" s="23" t="inlineStr">
        <is>
          <t>EJE-16</t>
        </is>
      </c>
      <c r="C61" s="23" t="inlineStr">
        <is>
          <t>P-54</t>
        </is>
      </c>
      <c r="D61" s="23" t="inlineStr">
        <is>
          <t>P-55</t>
        </is>
      </c>
      <c r="E61" s="24" t="n">
        <v>31.2</v>
      </c>
      <c r="F61" s="24" t="n">
        <v>184.6</v>
      </c>
      <c r="G61" s="24" t="n">
        <v>184.6</v>
      </c>
      <c r="H61" s="25" t="n">
        <v>184.3</v>
      </c>
      <c r="I61" s="25" t="n">
        <v>184.144</v>
      </c>
      <c r="J61" s="26">
        <f>F61-H61</f>
        <v/>
      </c>
      <c r="K61" s="26">
        <f>G61-I61</f>
        <v/>
      </c>
      <c r="L61" s="26">
        <f>100*(H61-I61)/E61</f>
        <v/>
      </c>
      <c r="M61" s="24" t="n">
        <v>0</v>
      </c>
      <c r="N61" s="26">
        <f>E61-M61</f>
        <v/>
      </c>
      <c r="O61" s="26">
        <f>MAX(MIN(J61,K61)-CRITERIOS!$B$13,0.01)</f>
        <v/>
      </c>
      <c r="P61" s="27">
        <f>1000*CRITERIOS!$B$5*O61*((CRITERIOS!$B$5*O61)/(CRITERIOS!$B$5+2*O61))^(2/3)*SQRT(MAX(L61/100,CRITERIOS!$B$10))/CRITERIOS!$B$12</f>
        <v/>
      </c>
      <c r="Q61" s="28" t="inlineStr">
        <is>
          <t>Bloque norte: lado norte (y=865.1) y union a D2 por el norte de la planta de tratamiento</t>
        </is>
      </c>
    </row>
    <row r="62">
      <c r="A62" s="23" t="n">
        <v>3</v>
      </c>
      <c r="B62" s="23" t="inlineStr">
        <is>
          <t>EJE-16</t>
        </is>
      </c>
      <c r="C62" s="23" t="inlineStr">
        <is>
          <t>P-55</t>
        </is>
      </c>
      <c r="D62" s="23" t="inlineStr">
        <is>
          <t>P-56</t>
        </is>
      </c>
      <c r="E62" s="24" t="n">
        <v>3.93</v>
      </c>
      <c r="F62" s="24" t="n">
        <v>184.6</v>
      </c>
      <c r="G62" s="24" t="n">
        <v>184.6</v>
      </c>
      <c r="H62" s="25" t="n">
        <v>184.144</v>
      </c>
      <c r="I62" s="25" t="n">
        <v>184.124</v>
      </c>
      <c r="J62" s="26">
        <f>F62-H62</f>
        <v/>
      </c>
      <c r="K62" s="26">
        <f>G62-I62</f>
        <v/>
      </c>
      <c r="L62" s="26">
        <f>100*(H62-I62)/E62</f>
        <v/>
      </c>
      <c r="M62" s="24" t="n">
        <v>0</v>
      </c>
      <c r="N62" s="26">
        <f>E62-M62</f>
        <v/>
      </c>
      <c r="O62" s="26">
        <f>MAX(MIN(J62,K62)-CRITERIOS!$B$13,0.01)</f>
        <v/>
      </c>
      <c r="P62" s="27">
        <f>1000*CRITERIOS!$B$5*O62*((CRITERIOS!$B$5*O62)/(CRITERIOS!$B$5+2*O62))^(2/3)*SQRT(MAX(L62/100,CRITERIOS!$B$10))/CRITERIOS!$B$12</f>
        <v/>
      </c>
      <c r="Q62" s="28" t="inlineStr">
        <is>
          <t>Bloque norte: lado norte (y=865.1) y union a D2 por el norte de la planta de tratamiento</t>
        </is>
      </c>
    </row>
    <row r="63">
      <c r="A63" s="23" t="n">
        <v>3</v>
      </c>
      <c r="B63" s="23" t="inlineStr">
        <is>
          <t>EJE-16</t>
        </is>
      </c>
      <c r="C63" s="23" t="inlineStr">
        <is>
          <t>P-56</t>
        </is>
      </c>
      <c r="D63" s="23" t="inlineStr">
        <is>
          <t>P-44</t>
        </is>
      </c>
      <c r="E63" s="24" t="n">
        <v>14.9</v>
      </c>
      <c r="F63" s="24" t="n">
        <v>184.6</v>
      </c>
      <c r="G63" s="24" t="n">
        <v>184.5</v>
      </c>
      <c r="H63" s="25" t="n">
        <v>184.124</v>
      </c>
      <c r="I63" s="25" t="n">
        <v>184.05</v>
      </c>
      <c r="J63" s="26">
        <f>F63-H63</f>
        <v/>
      </c>
      <c r="K63" s="26">
        <f>G63-I63</f>
        <v/>
      </c>
      <c r="L63" s="26">
        <f>100*(H63-I63)/E63</f>
        <v/>
      </c>
      <c r="M63" s="24" t="n">
        <v>0</v>
      </c>
      <c r="N63" s="26">
        <f>E63-M63</f>
        <v/>
      </c>
      <c r="O63" s="26">
        <f>MAX(MIN(J63,K63)-CRITERIOS!$B$13,0.01)</f>
        <v/>
      </c>
      <c r="P63" s="27">
        <f>1000*CRITERIOS!$B$5*O63*((CRITERIOS!$B$5*O63)/(CRITERIOS!$B$5+2*O63))^(2/3)*SQRT(MAX(L63/100,CRITERIOS!$B$10))/CRITERIOS!$B$12</f>
        <v/>
      </c>
      <c r="Q63" s="28" t="inlineStr">
        <is>
          <t>Bloque norte: lado norte (y=865.1) y union a D2 por el norte de la planta de tratamiento</t>
        </is>
      </c>
    </row>
    <row r="64">
      <c r="A64" s="23" t="n">
        <v>4</v>
      </c>
      <c r="B64" s="23" t="inlineStr">
        <is>
          <t>EJE-17</t>
        </is>
      </c>
      <c r="C64" s="23" t="inlineStr">
        <is>
          <t>P-57</t>
        </is>
      </c>
      <c r="D64" s="23" t="inlineStr">
        <is>
          <t>P-58</t>
        </is>
      </c>
      <c r="E64" s="24" t="n">
        <v>39.03</v>
      </c>
      <c r="F64" s="24" t="n">
        <v>184.6</v>
      </c>
      <c r="G64" s="24" t="n">
        <v>184.6</v>
      </c>
      <c r="H64" s="25" t="n">
        <v>184.3</v>
      </c>
      <c r="I64" s="25" t="n">
        <v>184.104</v>
      </c>
      <c r="J64" s="26">
        <f>F64-H64</f>
        <v/>
      </c>
      <c r="K64" s="26">
        <f>G64-I64</f>
        <v/>
      </c>
      <c r="L64" s="26">
        <f>100*(H64-I64)/E64</f>
        <v/>
      </c>
      <c r="M64" s="24" t="n">
        <v>3.95</v>
      </c>
      <c r="N64" s="26">
        <f>E64-M64</f>
        <v/>
      </c>
      <c r="O64" s="26">
        <f>MAX(MIN(J64,K64)-CRITERIOS!$B$13,0.01)</f>
        <v/>
      </c>
      <c r="P64" s="27">
        <f>1000*CRITERIOS!$B$5*O64*((CRITERIOS!$B$5*O64)/(CRITERIOS!$B$5+2*O64))^(2/3)*SQRT(MAX(L64/100,CRITERIOS!$B$10))/CRITERIOS!$B$12</f>
        <v/>
      </c>
      <c r="Q64" s="28" t="inlineStr">
        <is>
          <t>Bloque norte: lado sur (y=853.5) y salida D4</t>
        </is>
      </c>
    </row>
    <row r="65">
      <c r="A65" s="23" t="n">
        <v>4</v>
      </c>
      <c r="B65" s="23" t="inlineStr">
        <is>
          <t>EJE-17</t>
        </is>
      </c>
      <c r="C65" s="23" t="inlineStr">
        <is>
          <t>P-58</t>
        </is>
      </c>
      <c r="D65" s="23" t="inlineStr">
        <is>
          <t>P-59</t>
        </is>
      </c>
      <c r="E65" s="24" t="n">
        <v>0.5</v>
      </c>
      <c r="F65" s="24" t="n">
        <v>184.6</v>
      </c>
      <c r="G65" s="24" t="n">
        <v>184.6</v>
      </c>
      <c r="H65" s="25" t="n">
        <v>184.104</v>
      </c>
      <c r="I65" s="25" t="n">
        <v>184.102</v>
      </c>
      <c r="J65" s="26">
        <f>F65-H65</f>
        <v/>
      </c>
      <c r="K65" s="26">
        <f>G65-I65</f>
        <v/>
      </c>
      <c r="L65" s="26">
        <f>100*(H65-I65)/E65</f>
        <v/>
      </c>
      <c r="M65" s="24" t="n">
        <v>0</v>
      </c>
      <c r="N65" s="26">
        <f>E65-M65</f>
        <v/>
      </c>
      <c r="O65" s="26">
        <f>MAX(MIN(J65,K65)-CRITERIOS!$B$13,0.01)</f>
        <v/>
      </c>
      <c r="P65" s="27">
        <f>1000*CRITERIOS!$B$5*O65*((CRITERIOS!$B$5*O65)/(CRITERIOS!$B$5+2*O65))^(2/3)*SQRT(MAX(L65/100,CRITERIOS!$B$10))/CRITERIOS!$B$12</f>
        <v/>
      </c>
      <c r="Q65" s="28" t="inlineStr">
        <is>
          <t>Bloque norte: lado sur (y=853.5) y salida D4</t>
        </is>
      </c>
    </row>
    <row r="66">
      <c r="A66" s="23" t="n">
        <v>4</v>
      </c>
      <c r="B66" s="23" t="inlineStr">
        <is>
          <t>EJE-17</t>
        </is>
      </c>
      <c r="C66" s="23" t="inlineStr">
        <is>
          <t>P-59</t>
        </is>
      </c>
      <c r="D66" s="23" t="inlineStr">
        <is>
          <t>D4</t>
        </is>
      </c>
      <c r="E66" s="24" t="n">
        <v>0.6</v>
      </c>
      <c r="F66" s="24" t="n">
        <v>184.6</v>
      </c>
      <c r="G66" s="24" t="n">
        <v>184.6</v>
      </c>
      <c r="H66" s="25" t="n">
        <v>184.102</v>
      </c>
      <c r="I66" s="25" t="n">
        <v>184.099</v>
      </c>
      <c r="J66" s="26">
        <f>F66-H66</f>
        <v/>
      </c>
      <c r="K66" s="26">
        <f>G66-I66</f>
        <v/>
      </c>
      <c r="L66" s="26">
        <f>100*(H66-I66)/E66</f>
        <v/>
      </c>
      <c r="M66" s="24" t="n">
        <v>0.6</v>
      </c>
      <c r="N66" s="26">
        <f>E66-M66</f>
        <v/>
      </c>
      <c r="O66" s="26">
        <f>MAX(MIN(J66,K66)-CRITERIOS!$B$13,0.01)</f>
        <v/>
      </c>
      <c r="P66" s="27">
        <f>1000*CRITERIOS!$B$5*O66*((CRITERIOS!$B$5*O66)/(CRITERIOS!$B$5+2*O66))^(2/3)*SQRT(MAX(L66/100,CRITERIOS!$B$10))/CRITERIOS!$B$12</f>
        <v/>
      </c>
      <c r="Q66" s="28" t="inlineStr">
        <is>
          <t>Bloque norte: lado sur (y=853.5) y salida D4</t>
        </is>
      </c>
    </row>
    <row r="67">
      <c r="A67" s="23" t="n">
        <v>4</v>
      </c>
      <c r="B67" s="23" t="inlineStr">
        <is>
          <t>EJE-18</t>
        </is>
      </c>
      <c r="C67" s="23" t="inlineStr">
        <is>
          <t>P-31</t>
        </is>
      </c>
      <c r="D67" s="23" t="inlineStr">
        <is>
          <t>P-60</t>
        </is>
      </c>
      <c r="E67" s="24" t="n">
        <v>11.75</v>
      </c>
      <c r="F67" s="24" t="n">
        <v>184.6</v>
      </c>
      <c r="G67" s="24" t="n">
        <v>184.6</v>
      </c>
      <c r="H67" s="25" t="n">
        <v>184.3</v>
      </c>
      <c r="I67" s="25" t="n">
        <v>184.241</v>
      </c>
      <c r="J67" s="26">
        <f>F67-H67</f>
        <v/>
      </c>
      <c r="K67" s="26">
        <f>G67-I67</f>
        <v/>
      </c>
      <c r="L67" s="26">
        <f>100*(H67-I67)/E67</f>
        <v/>
      </c>
      <c r="M67" s="24" t="n">
        <v>0</v>
      </c>
      <c r="N67" s="26">
        <f>E67-M67</f>
        <v/>
      </c>
      <c r="O67" s="26">
        <f>MAX(MIN(J67,K67)-CRITERIOS!$B$13,0.01)</f>
        <v/>
      </c>
      <c r="P67" s="27">
        <f>1000*CRITERIOS!$B$5*O67*((CRITERIOS!$B$5*O67)/(CRITERIOS!$B$5+2*O67))^(2/3)*SQRT(MAX(L67/100,CRITERIOS!$B$10))/CRITERIOS!$B$12</f>
        <v/>
      </c>
      <c r="Q67" s="28" t="inlineStr">
        <is>
          <t>Bloque del centro: lado este (x=936.5) y lado norte (y=851.7), tramo este</t>
        </is>
      </c>
    </row>
    <row r="68">
      <c r="A68" s="23" t="n">
        <v>4</v>
      </c>
      <c r="B68" s="23" t="inlineStr">
        <is>
          <t>EJE-18</t>
        </is>
      </c>
      <c r="C68" s="23" t="inlineStr">
        <is>
          <t>P-60</t>
        </is>
      </c>
      <c r="D68" s="23" t="inlineStr">
        <is>
          <t>P-61</t>
        </is>
      </c>
      <c r="E68" s="24" t="n">
        <v>25.47</v>
      </c>
      <c r="F68" s="24" t="n">
        <v>184.6</v>
      </c>
      <c r="G68" s="24" t="n">
        <v>184.6</v>
      </c>
      <c r="H68" s="25" t="n">
        <v>184.241</v>
      </c>
      <c r="I68" s="25" t="n">
        <v>184.114</v>
      </c>
      <c r="J68" s="26">
        <f>F68-H68</f>
        <v/>
      </c>
      <c r="K68" s="26">
        <f>G68-I68</f>
        <v/>
      </c>
      <c r="L68" s="26">
        <f>100*(H68-I68)/E68</f>
        <v/>
      </c>
      <c r="M68" s="24" t="n">
        <v>0</v>
      </c>
      <c r="N68" s="26">
        <f>E68-M68</f>
        <v/>
      </c>
      <c r="O68" s="26">
        <f>MAX(MIN(J68,K68)-CRITERIOS!$B$13,0.01)</f>
        <v/>
      </c>
      <c r="P68" s="27">
        <f>1000*CRITERIOS!$B$5*O68*((CRITERIOS!$B$5*O68)/(CRITERIOS!$B$5+2*O68))^(2/3)*SQRT(MAX(L68/100,CRITERIOS!$B$10))/CRITERIOS!$B$12</f>
        <v/>
      </c>
      <c r="Q68" s="28" t="inlineStr">
        <is>
          <t>Bloque del centro: lado este (x=936.5) y lado norte (y=851.7), tramo este</t>
        </is>
      </c>
    </row>
    <row r="69">
      <c r="A69" s="23" t="n">
        <v>4</v>
      </c>
      <c r="B69" s="23" t="inlineStr">
        <is>
          <t>EJE-18</t>
        </is>
      </c>
      <c r="C69" s="23" t="inlineStr">
        <is>
          <t>P-61</t>
        </is>
      </c>
      <c r="D69" s="23" t="inlineStr">
        <is>
          <t>P-58</t>
        </is>
      </c>
      <c r="E69" s="24" t="n">
        <v>1.91</v>
      </c>
      <c r="F69" s="24" t="n">
        <v>184.6</v>
      </c>
      <c r="G69" s="24" t="n">
        <v>184.6</v>
      </c>
      <c r="H69" s="25" t="n">
        <v>184.114</v>
      </c>
      <c r="I69" s="25" t="n">
        <v>184.104</v>
      </c>
      <c r="J69" s="26">
        <f>F69-H69</f>
        <v/>
      </c>
      <c r="K69" s="26">
        <f>G69-I69</f>
        <v/>
      </c>
      <c r="L69" s="26">
        <f>100*(H69-I69)/E69</f>
        <v/>
      </c>
      <c r="M69" s="24" t="n">
        <v>0</v>
      </c>
      <c r="N69" s="26">
        <f>E69-M69</f>
        <v/>
      </c>
      <c r="O69" s="26">
        <f>MAX(MIN(J69,K69)-CRITERIOS!$B$13,0.01)</f>
        <v/>
      </c>
      <c r="P69" s="27">
        <f>1000*CRITERIOS!$B$5*O69*((CRITERIOS!$B$5*O69)/(CRITERIOS!$B$5+2*O69))^(2/3)*SQRT(MAX(L69/100,CRITERIOS!$B$10))/CRITERIOS!$B$12</f>
        <v/>
      </c>
      <c r="Q69" s="28" t="inlineStr">
        <is>
          <t>Bloque del centro: lado este (x=936.5) y lado norte (y=851.7), tramo este</t>
        </is>
      </c>
    </row>
    <row r="70">
      <c r="A70" s="23" t="n">
        <v>4</v>
      </c>
      <c r="B70" s="23" t="inlineStr">
        <is>
          <t>EJE-19</t>
        </is>
      </c>
      <c r="C70" s="23" t="inlineStr">
        <is>
          <t>P-62</t>
        </is>
      </c>
      <c r="D70" s="23" t="inlineStr">
        <is>
          <t>P-61</t>
        </is>
      </c>
      <c r="E70" s="24" t="n">
        <v>13.84</v>
      </c>
      <c r="F70" s="24" t="n">
        <v>184.6</v>
      </c>
      <c r="G70" s="24" t="n">
        <v>184.6</v>
      </c>
      <c r="H70" s="25" t="n">
        <v>184.3</v>
      </c>
      <c r="I70" s="25" t="n">
        <v>184.231</v>
      </c>
      <c r="J70" s="26">
        <f>F70-H70</f>
        <v/>
      </c>
      <c r="K70" s="26">
        <f>G70-I70</f>
        <v/>
      </c>
      <c r="L70" s="26">
        <f>100*(H70-I70)/E70</f>
        <v/>
      </c>
      <c r="M70" s="24" t="n">
        <v>0</v>
      </c>
      <c r="N70" s="26">
        <f>E70-M70</f>
        <v/>
      </c>
      <c r="O70" s="26">
        <f>MAX(MIN(J70,K70)-CRITERIOS!$B$13,0.01)</f>
        <v/>
      </c>
      <c r="P70" s="27">
        <f>1000*CRITERIOS!$B$5*O70*((CRITERIOS!$B$5*O70)/(CRITERIOS!$B$5+2*O70))^(2/3)*SQRT(MAX(L70/100,CRITERIOS!$B$10))/CRITERIOS!$B$12</f>
        <v/>
      </c>
      <c r="Q70" s="28" t="inlineStr">
        <is>
          <t>Bloque del centro: lado norte (y=851.7), tramo oeste</t>
        </is>
      </c>
    </row>
    <row r="71">
      <c r="D71" s="7" t="inlineStr">
        <is>
          <t>TOTAL</t>
        </is>
      </c>
      <c r="E71" s="8">
        <f>SUM(E5:E70)</f>
        <v/>
      </c>
      <c r="M71" s="8">
        <f>SUM(M5:M70)</f>
        <v/>
      </c>
      <c r="N71" s="8">
        <f>SUM(N5:N70)</f>
        <v/>
      </c>
    </row>
  </sheetData>
  <mergeCells count="2">
    <mergeCell ref="A2:Q2"/>
    <mergeCell ref="A1:Q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28" customWidth="1" min="4" max="4"/>
    <col width="70" customWidth="1" min="5" max="5"/>
  </cols>
  <sheetData>
    <row r="1">
      <c r="A1" s="1" t="inlineStr">
        <is>
          <t>NUDOS DE LA RED (COORDENADAS UTM WGS84 DEL PLANO DE ARQUITECTURA)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 ht="30" customHeight="1">
      <c r="A4" s="3" t="inlineStr">
        <is>
          <t>NUDO</t>
        </is>
      </c>
      <c r="B4" s="3" t="inlineStr">
        <is>
          <t>ESTE (m)</t>
        </is>
      </c>
      <c r="C4" s="3" t="inlineStr">
        <is>
          <t>NORTE (m)</t>
        </is>
      </c>
      <c r="D4" s="3" t="inlineStr">
        <is>
          <t>EJES QUE PASAN</t>
        </is>
      </c>
      <c r="E4" s="3" t="inlineStr">
        <is>
          <t>DESCARGA / OBSERVACION</t>
        </is>
      </c>
    </row>
    <row r="5">
      <c r="A5" s="4" t="inlineStr">
        <is>
          <t>P-01</t>
        </is>
      </c>
      <c r="B5" s="29" t="n">
        <v>354844.67</v>
      </c>
      <c r="C5" s="29" t="n">
        <v>9249873.869999999</v>
      </c>
      <c r="D5" s="4" t="inlineStr">
        <is>
          <t>EJE-01</t>
        </is>
      </c>
      <c r="E5" s="4" t="inlineStr"/>
    </row>
    <row r="6">
      <c r="A6" s="4" t="inlineStr">
        <is>
          <t>P-02</t>
        </is>
      </c>
      <c r="B6" s="29" t="n">
        <v>354822.02</v>
      </c>
      <c r="C6" s="29" t="n">
        <v>9249851.41</v>
      </c>
      <c r="D6" s="4" t="inlineStr">
        <is>
          <t>EJE-01</t>
        </is>
      </c>
      <c r="E6" s="4" t="inlineStr"/>
    </row>
    <row r="7">
      <c r="A7" s="4" t="inlineStr">
        <is>
          <t>P-03</t>
        </is>
      </c>
      <c r="B7" s="29" t="n">
        <v>354820.536</v>
      </c>
      <c r="C7" s="29" t="n">
        <v>9249849.859999999</v>
      </c>
      <c r="D7" s="4" t="inlineStr">
        <is>
          <t>EJE-01, EJE-02</t>
        </is>
      </c>
      <c r="E7" s="4" t="inlineStr"/>
    </row>
    <row r="8">
      <c r="A8" s="4" t="inlineStr">
        <is>
          <t>P-04</t>
        </is>
      </c>
      <c r="B8" s="29" t="n">
        <v>354876.15</v>
      </c>
      <c r="C8" s="29" t="n">
        <v>9249842.9</v>
      </c>
      <c r="D8" s="4" t="inlineStr">
        <is>
          <t>EJE-02</t>
        </is>
      </c>
      <c r="E8" s="4" t="inlineStr"/>
    </row>
    <row r="9">
      <c r="A9" s="4" t="inlineStr">
        <is>
          <t>P-05</t>
        </is>
      </c>
      <c r="B9" s="29" t="n">
        <v>354853.1</v>
      </c>
      <c r="C9" s="29" t="n">
        <v>9249865.699999999</v>
      </c>
      <c r="D9" s="4" t="inlineStr">
        <is>
          <t>EJE-02</t>
        </is>
      </c>
      <c r="E9" s="4" t="inlineStr"/>
    </row>
    <row r="10">
      <c r="A10" s="4" t="inlineStr">
        <is>
          <t>P-06</t>
        </is>
      </c>
      <c r="B10" s="29" t="n">
        <v>354844.95</v>
      </c>
      <c r="C10" s="29" t="n">
        <v>9249857.550000001</v>
      </c>
      <c r="D10" s="4" t="inlineStr">
        <is>
          <t>EJE-02, EJE-03</t>
        </is>
      </c>
      <c r="E10" s="4" t="inlineStr"/>
    </row>
    <row r="11">
      <c r="A11" s="4" t="inlineStr">
        <is>
          <t>P-07</t>
        </is>
      </c>
      <c r="B11" s="29" t="n">
        <v>354838.81</v>
      </c>
      <c r="C11" s="29" t="n">
        <v>9249851.41</v>
      </c>
      <c r="D11" s="4" t="inlineStr">
        <is>
          <t>EJE-02, EJE-04</t>
        </is>
      </c>
      <c r="E11" s="4" t="inlineStr"/>
    </row>
    <row r="12">
      <c r="A12" s="4" t="inlineStr">
        <is>
          <t>P-08</t>
        </is>
      </c>
      <c r="B12" s="29" t="n">
        <v>354830.7</v>
      </c>
      <c r="C12" s="29" t="n">
        <v>9249843.300000001</v>
      </c>
      <c r="D12" s="4" t="inlineStr">
        <is>
          <t>EJE-02, EJE-05</t>
        </is>
      </c>
      <c r="E12" s="4" t="inlineStr"/>
    </row>
    <row r="13">
      <c r="A13" s="4" t="inlineStr">
        <is>
          <t>P-09</t>
        </is>
      </c>
      <c r="B13" s="29" t="n">
        <v>354867.8</v>
      </c>
      <c r="C13" s="29" t="n">
        <v>9249834.699999999</v>
      </c>
      <c r="D13" s="4" t="inlineStr">
        <is>
          <t>EJE-03</t>
        </is>
      </c>
      <c r="E13" s="4" t="inlineStr"/>
    </row>
    <row r="14">
      <c r="A14" s="4" t="inlineStr">
        <is>
          <t>P-10</t>
        </is>
      </c>
      <c r="B14" s="29" t="n">
        <v>354884.91</v>
      </c>
      <c r="C14" s="29" t="n">
        <v>9249851.5</v>
      </c>
      <c r="D14" s="4" t="inlineStr">
        <is>
          <t>EJE-04</t>
        </is>
      </c>
      <c r="E14" s="4" t="inlineStr"/>
    </row>
    <row r="15">
      <c r="A15" s="4" t="inlineStr">
        <is>
          <t>P-11</t>
        </is>
      </c>
      <c r="B15" s="29" t="n">
        <v>354884.91</v>
      </c>
      <c r="C15" s="29" t="n">
        <v>9249825.4</v>
      </c>
      <c r="D15" s="4" t="inlineStr">
        <is>
          <t>EJE-04</t>
        </is>
      </c>
      <c r="E15" s="4" t="inlineStr"/>
    </row>
    <row r="16">
      <c r="A16" s="4" t="inlineStr">
        <is>
          <t>P-12</t>
        </is>
      </c>
      <c r="B16" s="29" t="n">
        <v>354885.1</v>
      </c>
      <c r="C16" s="29" t="n">
        <v>9249815.970000001</v>
      </c>
      <c r="D16" s="4" t="inlineStr">
        <is>
          <t>EJE-04, EJE-06</t>
        </is>
      </c>
      <c r="E16" s="4" t="inlineStr"/>
    </row>
    <row r="17">
      <c r="A17" s="4" t="inlineStr">
        <is>
          <t>P-13</t>
        </is>
      </c>
      <c r="B17" s="29" t="n">
        <v>354881.6</v>
      </c>
      <c r="C17" s="29" t="n">
        <v>9249817.4</v>
      </c>
      <c r="D17" s="4" t="inlineStr">
        <is>
          <t>EJE-04</t>
        </is>
      </c>
      <c r="E17" s="4" t="inlineStr"/>
    </row>
    <row r="18">
      <c r="A18" s="4" t="inlineStr">
        <is>
          <t>P-14</t>
        </is>
      </c>
      <c r="B18" s="29" t="n">
        <v>354866.8</v>
      </c>
      <c r="C18" s="29" t="n">
        <v>9249823.4</v>
      </c>
      <c r="D18" s="4" t="inlineStr">
        <is>
          <t>EJE-04</t>
        </is>
      </c>
      <c r="E18" s="4" t="inlineStr"/>
    </row>
    <row r="19">
      <c r="A19" s="4" t="inlineStr">
        <is>
          <t>P-15</t>
        </is>
      </c>
      <c r="B19" s="29" t="n">
        <v>354862</v>
      </c>
      <c r="C19" s="29" t="n">
        <v>9249828.199999999</v>
      </c>
      <c r="D19" s="4" t="inlineStr">
        <is>
          <t>EJE-04</t>
        </is>
      </c>
      <c r="E19" s="4" t="inlineStr"/>
    </row>
    <row r="20">
      <c r="A20" s="4" t="inlineStr">
        <is>
          <t>P-16</t>
        </is>
      </c>
      <c r="B20" s="29" t="n">
        <v>354906.62</v>
      </c>
      <c r="C20" s="29" t="n">
        <v>9249804.220000001</v>
      </c>
      <c r="D20" s="4" t="inlineStr">
        <is>
          <t>EJE-05</t>
        </is>
      </c>
      <c r="E20" s="4" t="inlineStr"/>
    </row>
    <row r="21">
      <c r="A21" s="4" t="inlineStr">
        <is>
          <t>P-17</t>
        </is>
      </c>
      <c r="B21" s="29" t="n">
        <v>354885.3</v>
      </c>
      <c r="C21" s="29" t="n">
        <v>9249804.18</v>
      </c>
      <c r="D21" s="4" t="inlineStr">
        <is>
          <t>EJE-05</t>
        </is>
      </c>
      <c r="E21" s="4" t="inlineStr"/>
    </row>
    <row r="22">
      <c r="A22" s="4" t="inlineStr">
        <is>
          <t>P-18</t>
        </is>
      </c>
      <c r="B22" s="29" t="n">
        <v>354879.56</v>
      </c>
      <c r="C22" s="29" t="n">
        <v>9249805.51</v>
      </c>
      <c r="D22" s="4" t="inlineStr">
        <is>
          <t>EJE-05</t>
        </is>
      </c>
      <c r="E22" s="4" t="inlineStr"/>
    </row>
    <row r="23">
      <c r="A23" s="4" t="inlineStr">
        <is>
          <t>P-19</t>
        </is>
      </c>
      <c r="B23" s="29" t="n">
        <v>354863.11</v>
      </c>
      <c r="C23" s="29" t="n">
        <v>9249812.4</v>
      </c>
      <c r="D23" s="4" t="inlineStr">
        <is>
          <t>EJE-05</t>
        </is>
      </c>
      <c r="E23" s="4" t="inlineStr"/>
    </row>
    <row r="24">
      <c r="A24" s="4" t="inlineStr">
        <is>
          <t>P-20</t>
        </is>
      </c>
      <c r="B24" s="29" t="n">
        <v>354858.19</v>
      </c>
      <c r="C24" s="29" t="n">
        <v>9249815.42</v>
      </c>
      <c r="D24" s="4" t="inlineStr">
        <is>
          <t>EJE-05</t>
        </is>
      </c>
      <c r="E24" s="4" t="inlineStr"/>
    </row>
    <row r="25">
      <c r="A25" s="4" t="inlineStr">
        <is>
          <t>P-21</t>
        </is>
      </c>
      <c r="B25" s="29" t="n">
        <v>354896.84</v>
      </c>
      <c r="C25" s="29" t="n">
        <v>9249815.970000001</v>
      </c>
      <c r="D25" s="4" t="inlineStr">
        <is>
          <t>EJE-06, EJE-07</t>
        </is>
      </c>
      <c r="E25" s="4" t="inlineStr"/>
    </row>
    <row r="26">
      <c r="A26" s="4" t="inlineStr">
        <is>
          <t>P-22</t>
        </is>
      </c>
      <c r="B26" s="29" t="n">
        <v>354896.84</v>
      </c>
      <c r="C26" s="29" t="n">
        <v>9249851.449999999</v>
      </c>
      <c r="D26" s="4" t="inlineStr">
        <is>
          <t>EJE-07</t>
        </is>
      </c>
      <c r="E26" s="4" t="inlineStr"/>
    </row>
    <row r="27">
      <c r="A27" s="4" t="inlineStr">
        <is>
          <t>P-23</t>
        </is>
      </c>
      <c r="B27" s="29" t="n">
        <v>354896.84</v>
      </c>
      <c r="C27" s="29" t="n">
        <v>9249839.939999999</v>
      </c>
      <c r="D27" s="4" t="inlineStr">
        <is>
          <t>EJE-07, EJE-08</t>
        </is>
      </c>
      <c r="E27" s="4" t="inlineStr"/>
    </row>
    <row r="28">
      <c r="A28" s="4" t="inlineStr">
        <is>
          <t>P-24</t>
        </is>
      </c>
      <c r="B28" s="29" t="n">
        <v>354896.84</v>
      </c>
      <c r="C28" s="29" t="n">
        <v>9249822.09</v>
      </c>
      <c r="D28" s="4" t="inlineStr">
        <is>
          <t>EJE-07, EJE-09</t>
        </is>
      </c>
      <c r="E28" s="4" t="inlineStr"/>
    </row>
    <row r="29">
      <c r="A29" s="4" t="inlineStr">
        <is>
          <t>P-25</t>
        </is>
      </c>
      <c r="B29" s="29" t="n">
        <v>354919.61</v>
      </c>
      <c r="C29" s="29" t="n">
        <v>9249815.970000001</v>
      </c>
      <c r="D29" s="4" t="inlineStr">
        <is>
          <t>EJE-07, EJE-10</t>
        </is>
      </c>
      <c r="E29" s="4" t="inlineStr"/>
    </row>
    <row r="30">
      <c r="A30" s="4" t="inlineStr">
        <is>
          <t>P-26</t>
        </is>
      </c>
      <c r="B30" s="29" t="n">
        <v>354919.61</v>
      </c>
      <c r="C30" s="29" t="n">
        <v>9249804.199999999</v>
      </c>
      <c r="D30" s="4" t="inlineStr">
        <is>
          <t>EJE-07, EJE-11</t>
        </is>
      </c>
      <c r="E30" s="4" t="inlineStr"/>
    </row>
    <row r="31">
      <c r="A31" s="4" t="inlineStr">
        <is>
          <t>P-27</t>
        </is>
      </c>
      <c r="B31" s="29" t="n">
        <v>354919.61</v>
      </c>
      <c r="C31" s="29" t="n">
        <v>9249801.130000001</v>
      </c>
      <c r="D31" s="4" t="inlineStr">
        <is>
          <t>EJE-07</t>
        </is>
      </c>
      <c r="E31" s="4" t="inlineStr"/>
    </row>
    <row r="32">
      <c r="A32" s="4" t="inlineStr">
        <is>
          <t>P-28</t>
        </is>
      </c>
      <c r="B32" s="29" t="n">
        <v>354927.57</v>
      </c>
      <c r="C32" s="29" t="n">
        <v>9249801.130000001</v>
      </c>
      <c r="D32" s="4" t="inlineStr">
        <is>
          <t>EJE-07</t>
        </is>
      </c>
      <c r="E32" s="4" t="inlineStr"/>
    </row>
    <row r="33">
      <c r="A33" s="4" t="inlineStr">
        <is>
          <t>P-29</t>
        </is>
      </c>
      <c r="B33" s="29" t="n">
        <v>354927.57</v>
      </c>
      <c r="C33" s="29" t="n">
        <v>9249794.442</v>
      </c>
      <c r="D33" s="4" t="inlineStr">
        <is>
          <t>EJE-07</t>
        </is>
      </c>
      <c r="E33" s="4" t="inlineStr"/>
    </row>
    <row r="34">
      <c r="A34" s="4" t="inlineStr">
        <is>
          <t>P-30</t>
        </is>
      </c>
      <c r="B34" s="29" t="n">
        <v>354935.617</v>
      </c>
      <c r="C34" s="29" t="n">
        <v>9249792.835999999</v>
      </c>
      <c r="D34" s="4" t="inlineStr">
        <is>
          <t>EJE-07</t>
        </is>
      </c>
      <c r="E34" s="4" t="inlineStr"/>
    </row>
    <row r="35">
      <c r="A35" s="4" t="inlineStr">
        <is>
          <t>P-31</t>
        </is>
      </c>
      <c r="B35" s="29" t="n">
        <v>354936.52</v>
      </c>
      <c r="C35" s="29" t="n">
        <v>9249839.939999999</v>
      </c>
      <c r="D35" s="4" t="inlineStr">
        <is>
          <t>EJE-08, EJE-18</t>
        </is>
      </c>
      <c r="E35" s="4" t="inlineStr"/>
    </row>
    <row r="36">
      <c r="A36" s="4" t="inlineStr">
        <is>
          <t>P-32</t>
        </is>
      </c>
      <c r="B36" s="29" t="n">
        <v>354932.64</v>
      </c>
      <c r="C36" s="29" t="n">
        <v>9249839.939999999</v>
      </c>
      <c r="D36" s="4" t="inlineStr">
        <is>
          <t>EJE-08, EJE-10</t>
        </is>
      </c>
      <c r="E36" s="4" t="inlineStr"/>
    </row>
    <row r="37">
      <c r="A37" s="4" t="inlineStr">
        <is>
          <t>P-33</t>
        </is>
      </c>
      <c r="B37" s="29" t="n">
        <v>354932.64</v>
      </c>
      <c r="C37" s="29" t="n">
        <v>9249822.09</v>
      </c>
      <c r="D37" s="4" t="inlineStr">
        <is>
          <t>EJE-09, EJE-10</t>
        </is>
      </c>
      <c r="E37" s="4" t="inlineStr"/>
    </row>
    <row r="38">
      <c r="A38" s="4" t="inlineStr">
        <is>
          <t>P-34</t>
        </is>
      </c>
      <c r="B38" s="29" t="n">
        <v>354932.64</v>
      </c>
      <c r="C38" s="29" t="n">
        <v>9249815.970000001</v>
      </c>
      <c r="D38" s="4" t="inlineStr">
        <is>
          <t>EJE-10</t>
        </is>
      </c>
      <c r="E38" s="4" t="inlineStr"/>
    </row>
    <row r="39">
      <c r="A39" s="4" t="inlineStr">
        <is>
          <t>P-35</t>
        </is>
      </c>
      <c r="B39" s="29" t="n">
        <v>354949.97</v>
      </c>
      <c r="C39" s="29" t="n">
        <v>9249804.09</v>
      </c>
      <c r="D39" s="4" t="inlineStr">
        <is>
          <t>EJE-11</t>
        </is>
      </c>
      <c r="E39" s="4" t="inlineStr"/>
    </row>
    <row r="40">
      <c r="A40" s="4" t="inlineStr">
        <is>
          <t>P-36</t>
        </is>
      </c>
      <c r="B40" s="29" t="n">
        <v>354953.1</v>
      </c>
      <c r="C40" s="29" t="n">
        <v>9249811.689999999</v>
      </c>
      <c r="D40" s="4" t="inlineStr">
        <is>
          <t>EJE-12</t>
        </is>
      </c>
      <c r="E40" s="4" t="inlineStr"/>
    </row>
    <row r="41">
      <c r="A41" s="4" t="inlineStr">
        <is>
          <t>P-37</t>
        </is>
      </c>
      <c r="B41" s="29" t="n">
        <v>354953.2</v>
      </c>
      <c r="C41" s="29" t="n">
        <v>9249796.029999999</v>
      </c>
      <c r="D41" s="4" t="inlineStr">
        <is>
          <t>EJE-12</t>
        </is>
      </c>
      <c r="E41" s="4" t="inlineStr"/>
    </row>
    <row r="42">
      <c r="A42" s="4" t="inlineStr">
        <is>
          <t>P-38</t>
        </is>
      </c>
      <c r="B42" s="29" t="n">
        <v>354976.9</v>
      </c>
      <c r="C42" s="29" t="n">
        <v>9249796</v>
      </c>
      <c r="D42" s="4" t="inlineStr">
        <is>
          <t>EJE-12</t>
        </is>
      </c>
      <c r="E42" s="4" t="inlineStr"/>
    </row>
    <row r="43">
      <c r="A43" s="4" t="inlineStr">
        <is>
          <t>P-39</t>
        </is>
      </c>
      <c r="B43" s="29" t="n">
        <v>354976.9</v>
      </c>
      <c r="C43" s="29" t="n">
        <v>9249831.279999999</v>
      </c>
      <c r="D43" s="4" t="inlineStr">
        <is>
          <t>EJE-12, EJE-13</t>
        </is>
      </c>
      <c r="E43" s="4" t="inlineStr"/>
    </row>
    <row r="44">
      <c r="A44" s="4" t="inlineStr">
        <is>
          <t>P-40</t>
        </is>
      </c>
      <c r="B44" s="29" t="n">
        <v>354976.9</v>
      </c>
      <c r="C44" s="29" t="n">
        <v>9249839.939999999</v>
      </c>
      <c r="D44" s="4" t="inlineStr">
        <is>
          <t>EJE-12, EJE-14</t>
        </is>
      </c>
      <c r="E44" s="4" t="inlineStr"/>
    </row>
    <row r="45">
      <c r="A45" s="4" t="inlineStr">
        <is>
          <t>P-41</t>
        </is>
      </c>
      <c r="B45" s="29" t="n">
        <v>354976.9</v>
      </c>
      <c r="C45" s="29" t="n">
        <v>9249851.869999999</v>
      </c>
      <c r="D45" s="4" t="inlineStr">
        <is>
          <t>EJE-12, EJE-15</t>
        </is>
      </c>
      <c r="E45" s="4" t="inlineStr"/>
    </row>
    <row r="46">
      <c r="A46" s="4" t="inlineStr">
        <is>
          <t>P-42</t>
        </is>
      </c>
      <c r="B46" s="29" t="n">
        <v>354976.9</v>
      </c>
      <c r="C46" s="29" t="n">
        <v>9249860.5</v>
      </c>
      <c r="D46" s="4" t="inlineStr">
        <is>
          <t>EJE-12</t>
        </is>
      </c>
      <c r="E46" s="4" t="inlineStr"/>
    </row>
    <row r="47">
      <c r="A47" s="4" t="inlineStr">
        <is>
          <t>P-43</t>
        </is>
      </c>
      <c r="B47" s="29" t="n">
        <v>354968</v>
      </c>
      <c r="C47" s="29" t="n">
        <v>9249868.98</v>
      </c>
      <c r="D47" s="4" t="inlineStr">
        <is>
          <t>EJE-12</t>
        </is>
      </c>
      <c r="E47" s="4" t="inlineStr"/>
    </row>
    <row r="48">
      <c r="A48" s="4" t="inlineStr">
        <is>
          <t>P-44</t>
        </is>
      </c>
      <c r="B48" s="29" t="n">
        <v>354965.5</v>
      </c>
      <c r="C48" s="29" t="n">
        <v>9249868.98</v>
      </c>
      <c r="D48" s="4" t="inlineStr">
        <is>
          <t>EJE-12, EJE-16</t>
        </is>
      </c>
      <c r="E48" s="4" t="inlineStr"/>
    </row>
    <row r="49">
      <c r="A49" s="4" t="inlineStr">
        <is>
          <t>P-45</t>
        </is>
      </c>
      <c r="B49" s="29" t="n">
        <v>354952.52</v>
      </c>
      <c r="C49" s="29" t="n">
        <v>9249831.279999999</v>
      </c>
      <c r="D49" s="4" t="inlineStr">
        <is>
          <t>EJE-13</t>
        </is>
      </c>
      <c r="E49" s="4" t="inlineStr"/>
    </row>
    <row r="50">
      <c r="A50" s="4" t="inlineStr">
        <is>
          <t>P-46</t>
        </is>
      </c>
      <c r="B50" s="29" t="n">
        <v>354935.26</v>
      </c>
      <c r="C50" s="29" t="n">
        <v>9249815.970000001</v>
      </c>
      <c r="D50" s="4" t="inlineStr">
        <is>
          <t>EJE-14</t>
        </is>
      </c>
      <c r="E50" s="4" t="inlineStr"/>
    </row>
    <row r="51">
      <c r="A51" s="4" t="inlineStr">
        <is>
          <t>P-47</t>
        </is>
      </c>
      <c r="B51" s="29" t="n">
        <v>354952.32</v>
      </c>
      <c r="C51" s="29" t="n">
        <v>9249815.970000001</v>
      </c>
      <c r="D51" s="4" t="inlineStr">
        <is>
          <t>EJE-14</t>
        </is>
      </c>
      <c r="E51" s="4" t="inlineStr"/>
    </row>
    <row r="52">
      <c r="A52" s="4" t="inlineStr">
        <is>
          <t>P-48</t>
        </is>
      </c>
      <c r="B52" s="29" t="n">
        <v>354952.32</v>
      </c>
      <c r="C52" s="29" t="n">
        <v>9249838.82</v>
      </c>
      <c r="D52" s="4" t="inlineStr">
        <is>
          <t>EJE-14</t>
        </is>
      </c>
      <c r="E52" s="4" t="inlineStr"/>
    </row>
    <row r="53">
      <c r="A53" s="4" t="inlineStr">
        <is>
          <t>P-49</t>
        </is>
      </c>
      <c r="B53" s="29" t="n">
        <v>354952.32</v>
      </c>
      <c r="C53" s="29" t="n">
        <v>9249839.939999999</v>
      </c>
      <c r="D53" s="4" t="inlineStr">
        <is>
          <t>EJE-14</t>
        </is>
      </c>
      <c r="E53" s="4" t="inlineStr"/>
    </row>
    <row r="54">
      <c r="A54" s="4" t="inlineStr">
        <is>
          <t>P-50</t>
        </is>
      </c>
      <c r="B54" s="29" t="n">
        <v>354971.71</v>
      </c>
      <c r="C54" s="29" t="n">
        <v>9249839.939999999</v>
      </c>
      <c r="D54" s="4" t="inlineStr">
        <is>
          <t>EJE-14</t>
        </is>
      </c>
      <c r="E54" s="4" t="inlineStr"/>
    </row>
    <row r="55">
      <c r="A55" s="4" t="inlineStr">
        <is>
          <t>P-51</t>
        </is>
      </c>
      <c r="B55" s="29" t="n">
        <v>354948.13</v>
      </c>
      <c r="C55" s="29" t="n">
        <v>9249838.82</v>
      </c>
      <c r="D55" s="4" t="inlineStr">
        <is>
          <t>EJE-15</t>
        </is>
      </c>
      <c r="E55" s="4" t="inlineStr"/>
    </row>
    <row r="56">
      <c r="A56" s="4" t="inlineStr">
        <is>
          <t>P-52</t>
        </is>
      </c>
      <c r="B56" s="29" t="n">
        <v>354948.13</v>
      </c>
      <c r="C56" s="29" t="n">
        <v>9249851.869999999</v>
      </c>
      <c r="D56" s="4" t="inlineStr">
        <is>
          <t>EJE-15</t>
        </is>
      </c>
      <c r="E56" s="4" t="inlineStr"/>
    </row>
    <row r="57">
      <c r="A57" s="4" t="inlineStr">
        <is>
          <t>P-53</t>
        </is>
      </c>
      <c r="B57" s="29" t="n">
        <v>354971.71</v>
      </c>
      <c r="C57" s="29" t="n">
        <v>9249851.869999999</v>
      </c>
      <c r="D57" s="4" t="inlineStr">
        <is>
          <t>EJE-15</t>
        </is>
      </c>
      <c r="E57" s="4" t="inlineStr"/>
    </row>
    <row r="58">
      <c r="A58" s="4" t="inlineStr">
        <is>
          <t>P-54</t>
        </is>
      </c>
      <c r="B58" s="29" t="n">
        <v>354918.93</v>
      </c>
      <c r="C58" s="29" t="n">
        <v>9249865.08</v>
      </c>
      <c r="D58" s="4" t="inlineStr">
        <is>
          <t>EJE-16</t>
        </is>
      </c>
      <c r="E58" s="4" t="inlineStr"/>
    </row>
    <row r="59">
      <c r="A59" s="4" t="inlineStr">
        <is>
          <t>P-55</t>
        </is>
      </c>
      <c r="B59" s="29" t="n">
        <v>354950.13</v>
      </c>
      <c r="C59" s="29" t="n">
        <v>9249865.08</v>
      </c>
      <c r="D59" s="4" t="inlineStr">
        <is>
          <t>EJE-16</t>
        </is>
      </c>
      <c r="E59" s="4" t="inlineStr"/>
    </row>
    <row r="60">
      <c r="A60" s="4" t="inlineStr">
        <is>
          <t>P-56</t>
        </is>
      </c>
      <c r="B60" s="29" t="n">
        <v>354950.6</v>
      </c>
      <c r="C60" s="29" t="n">
        <v>9249868.98</v>
      </c>
      <c r="D60" s="4" t="inlineStr">
        <is>
          <t>EJE-16</t>
        </is>
      </c>
      <c r="E60" s="4" t="inlineStr"/>
    </row>
    <row r="61">
      <c r="A61" s="4" t="inlineStr">
        <is>
          <t>P-57</t>
        </is>
      </c>
      <c r="B61" s="29" t="n">
        <v>354950.03</v>
      </c>
      <c r="C61" s="29" t="n">
        <v>9249853.470000001</v>
      </c>
      <c r="D61" s="4" t="inlineStr">
        <is>
          <t>EJE-17</t>
        </is>
      </c>
      <c r="E61" s="4" t="inlineStr"/>
    </row>
    <row r="62">
      <c r="A62" s="4" t="inlineStr">
        <is>
          <t>P-58</t>
        </is>
      </c>
      <c r="B62" s="29" t="n">
        <v>354911</v>
      </c>
      <c r="C62" s="29" t="n">
        <v>9249853.6</v>
      </c>
      <c r="D62" s="4" t="inlineStr">
        <is>
          <t>EJE-17, EJE-18</t>
        </is>
      </c>
      <c r="E62" s="4" t="inlineStr"/>
    </row>
    <row r="63">
      <c r="A63" s="4" t="inlineStr">
        <is>
          <t>P-59</t>
        </is>
      </c>
      <c r="B63" s="29" t="n">
        <v>354911</v>
      </c>
      <c r="C63" s="29" t="n">
        <v>9249854.1</v>
      </c>
      <c r="D63" s="4" t="inlineStr">
        <is>
          <t>EJE-17</t>
        </is>
      </c>
      <c r="E63" s="4" t="inlineStr"/>
    </row>
    <row r="64">
      <c r="A64" s="4" t="inlineStr">
        <is>
          <t>P-60</t>
        </is>
      </c>
      <c r="B64" s="29" t="n">
        <v>354936.47</v>
      </c>
      <c r="C64" s="29" t="n">
        <v>9249851.689999999</v>
      </c>
      <c r="D64" s="4" t="inlineStr">
        <is>
          <t>EJE-18</t>
        </is>
      </c>
      <c r="E64" s="4" t="inlineStr"/>
    </row>
    <row r="65">
      <c r="A65" s="4" t="inlineStr">
        <is>
          <t>P-61</t>
        </is>
      </c>
      <c r="B65" s="29" t="n">
        <v>354911</v>
      </c>
      <c r="C65" s="29" t="n">
        <v>9249851.689999999</v>
      </c>
      <c r="D65" s="4" t="inlineStr">
        <is>
          <t>EJE-18, EJE-19</t>
        </is>
      </c>
      <c r="E65" s="4" t="inlineStr"/>
    </row>
    <row r="66">
      <c r="A66" s="4" t="inlineStr">
        <is>
          <t>P-62</t>
        </is>
      </c>
      <c r="B66" s="29" t="n">
        <v>354897.16</v>
      </c>
      <c r="C66" s="29" t="n">
        <v>9249851.689999999</v>
      </c>
      <c r="D66" s="4" t="inlineStr">
        <is>
          <t>EJE-19</t>
        </is>
      </c>
      <c r="E66" s="4" t="inlineStr"/>
    </row>
    <row r="67">
      <c r="A67" s="30" t="inlineStr">
        <is>
          <t>D1</t>
        </is>
      </c>
      <c r="B67" s="31" t="n">
        <v>354820.121</v>
      </c>
      <c r="C67" s="31" t="n">
        <v>9249849.426000001</v>
      </c>
      <c r="D67" s="30" t="inlineStr">
        <is>
          <t>EJE-01</t>
        </is>
      </c>
      <c r="E67" s="30" t="inlineStr">
        <is>
          <t>Cerco sur-oeste (lado C22-C1, x = 820.1): al talud natural que baja a la quebrada del oeste</t>
        </is>
      </c>
    </row>
    <row r="68">
      <c r="A68" s="30" t="inlineStr">
        <is>
          <t>D2</t>
        </is>
      </c>
      <c r="B68" s="31" t="n">
        <v>354965.5</v>
      </c>
      <c r="C68" s="31" t="n">
        <v>9249869.58</v>
      </c>
      <c r="D68" s="30" t="inlineStr">
        <is>
          <t>EJE-12</t>
        </is>
      </c>
      <c r="E68" s="30" t="inlineStr">
        <is>
          <t>Cerco norte (x = 965.5): pase en el cimiento del cerco al terreno exterior que baja a la quebrada del norte</t>
        </is>
      </c>
    </row>
    <row r="69">
      <c r="A69" s="30" t="inlineStr">
        <is>
          <t>D3</t>
        </is>
      </c>
      <c r="B69" s="31" t="n">
        <v>354935.5</v>
      </c>
      <c r="C69" s="31" t="n">
        <v>9249792.248</v>
      </c>
      <c r="D69" s="30" t="inlineStr">
        <is>
          <t>EJE-07</t>
        </is>
      </c>
      <c r="E69" s="30" t="inlineStr">
        <is>
          <t>Cerco sur junto a C14 (x = 935.5): al terreno exterior que baja al Jr. Alfonso Ugarte (183.00)</t>
        </is>
      </c>
    </row>
    <row r="70">
      <c r="A70" s="30" t="inlineStr">
        <is>
          <t>D4</t>
        </is>
      </c>
      <c r="B70" s="31" t="n">
        <v>354911</v>
      </c>
      <c r="C70" s="31" t="n">
        <v>9249854.699999999</v>
      </c>
      <c r="D70" s="30" t="inlineStr">
        <is>
          <t>EJE-17</t>
        </is>
      </c>
      <c r="E70" s="30" t="inlineStr">
        <is>
          <t>Cerco norte (lado C3-C4, x = 911.0): al talud natural que baja a la quebrada del norte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14" customWidth="1" min="9" max="9"/>
    <col width="40" customWidth="1" min="10" max="10"/>
  </cols>
  <sheetData>
    <row r="1">
      <c r="A1" s="1" t="inlineStr">
        <is>
          <t>SECCIONES DE LOS PERFILES LONGITUDINALES POR EJE</t>
        </is>
      </c>
    </row>
    <row r="2" ht="24" customHeight="1">
      <c r="A2" s="2" t="inlineStr">
        <is>
          <t>MEJORAMIENTO Y AMPLIACION DEL SERVICIO DE EDUCACION PRIMARIA EN LA I.E. N.° 0590, DISTRITO DE BARRANQUITA, PROVINCIA DE LAMAS, DEPARTAMENTO DE SAN MARTIN - C.I. N.° 468901</t>
        </is>
      </c>
    </row>
    <row r="4" ht="30" customHeight="1">
      <c r="A4" s="3" t="inlineStr">
        <is>
          <t>SECCION</t>
        </is>
      </c>
      <c r="B4" s="3" t="inlineStr">
        <is>
          <t>EJE</t>
        </is>
      </c>
      <c r="C4" s="3" t="inlineStr">
        <is>
          <t>PROGRESIVA (m)</t>
        </is>
      </c>
      <c r="D4" s="3" t="inlineStr">
        <is>
          <t>NCT</t>
        </is>
      </c>
      <c r="E4" s="3" t="inlineStr">
        <is>
          <t>NCF</t>
        </is>
      </c>
      <c r="F4" s="3" t="inlineStr">
        <is>
          <t>H (m)</t>
        </is>
      </c>
      <c r="G4" s="3" t="inlineStr">
        <is>
          <t>EL (m)</t>
        </is>
      </c>
      <c r="H4" s="3" t="inlineStr">
        <is>
          <t>EM (m)</t>
        </is>
      </c>
      <c r="I4" s="3" t="inlineStr">
        <is>
          <t>TIPO</t>
        </is>
      </c>
      <c r="J4" s="3" t="inlineStr">
        <is>
          <t>OBSERVACION</t>
        </is>
      </c>
    </row>
    <row r="5">
      <c r="A5" s="4" t="inlineStr">
        <is>
          <t>S-01</t>
        </is>
      </c>
      <c r="B5" s="4" t="inlineStr">
        <is>
          <t>EJE-01</t>
        </is>
      </c>
      <c r="C5" s="32" t="n">
        <v>0</v>
      </c>
      <c r="D5" s="32" t="n">
        <v>184.6</v>
      </c>
      <c r="E5" s="32" t="n">
        <v>184.3</v>
      </c>
      <c r="F5" s="33">
        <f>D5-E5</f>
        <v/>
      </c>
      <c r="G5" s="32" t="n">
        <v>0.1</v>
      </c>
      <c r="H5" s="32" t="n">
        <v>0.1</v>
      </c>
      <c r="I5" s="4" t="inlineStr">
        <is>
          <t>CON REJILLA</t>
        </is>
      </c>
      <c r="J5" s="4" t="inlineStr">
        <is>
          <t>Inicio del eje</t>
        </is>
      </c>
    </row>
    <row r="6">
      <c r="A6" s="4" t="inlineStr">
        <is>
          <t>S-02</t>
        </is>
      </c>
      <c r="B6" s="4" t="inlineStr">
        <is>
          <t>EJE-01</t>
        </is>
      </c>
      <c r="C6" s="32" t="n">
        <v>31.9</v>
      </c>
      <c r="D6" s="32" t="n">
        <v>184.6</v>
      </c>
      <c r="E6" s="32" t="n">
        <v>184.141</v>
      </c>
      <c r="F6" s="33">
        <f>D6-E6</f>
        <v/>
      </c>
      <c r="G6" s="32" t="n">
        <v>0.1</v>
      </c>
      <c r="H6" s="32" t="n">
        <v>0.1</v>
      </c>
      <c r="I6" s="4" t="inlineStr">
        <is>
          <t>CON REJILLA</t>
        </is>
      </c>
      <c r="J6" s="4" t="inlineStr"/>
    </row>
    <row r="7">
      <c r="A7" s="4" t="inlineStr">
        <is>
          <t>S-03</t>
        </is>
      </c>
      <c r="B7" s="4" t="inlineStr">
        <is>
          <t>EJE-01</t>
        </is>
      </c>
      <c r="C7" s="32" t="n">
        <v>34.05</v>
      </c>
      <c r="D7" s="32" t="n">
        <v>184.6</v>
      </c>
      <c r="E7" s="32" t="n">
        <v>183.708</v>
      </c>
      <c r="F7" s="33">
        <f>D7-E7</f>
        <v/>
      </c>
      <c r="G7" s="32" t="n">
        <v>0.1</v>
      </c>
      <c r="H7" s="32" t="n">
        <v>0.1</v>
      </c>
      <c r="I7" s="4" t="inlineStr">
        <is>
          <t>TAPADA</t>
        </is>
      </c>
      <c r="J7" s="4" t="inlineStr">
        <is>
          <t>Llega EJE-02</t>
        </is>
      </c>
    </row>
    <row r="8">
      <c r="A8" s="4" t="inlineStr">
        <is>
          <t>S-04</t>
        </is>
      </c>
      <c r="B8" s="4" t="inlineStr">
        <is>
          <t>EJE-01</t>
        </is>
      </c>
      <c r="C8" s="32" t="n">
        <v>34.64</v>
      </c>
      <c r="D8" s="32" t="n">
        <v>183.91</v>
      </c>
      <c r="E8" s="32" t="n">
        <v>183.66</v>
      </c>
      <c r="F8" s="33">
        <f>D8-E8</f>
        <v/>
      </c>
      <c r="G8" s="32" t="n">
        <v>0.1</v>
      </c>
      <c r="H8" s="32" t="n">
        <v>0.1</v>
      </c>
      <c r="I8" s="4" t="inlineStr">
        <is>
          <t>TAPADA</t>
        </is>
      </c>
      <c r="J8" s="4" t="inlineStr">
        <is>
          <t>Descarga D1</t>
        </is>
      </c>
    </row>
    <row r="9">
      <c r="A9" s="4" t="inlineStr">
        <is>
          <t>S-05</t>
        </is>
      </c>
      <c r="B9" s="4" t="inlineStr">
        <is>
          <t>EJE-02</t>
        </is>
      </c>
      <c r="C9" s="32" t="n">
        <v>0</v>
      </c>
      <c r="D9" s="32" t="n">
        <v>184.6</v>
      </c>
      <c r="E9" s="32" t="n">
        <v>184.3</v>
      </c>
      <c r="F9" s="33">
        <f>D9-E9</f>
        <v/>
      </c>
      <c r="G9" s="32" t="n">
        <v>0.1</v>
      </c>
      <c r="H9" s="32" t="n">
        <v>0.1</v>
      </c>
      <c r="I9" s="4" t="inlineStr">
        <is>
          <t>CON REJILLA</t>
        </is>
      </c>
      <c r="J9" s="4" t="inlineStr">
        <is>
          <t>Inicio del eje</t>
        </is>
      </c>
    </row>
    <row r="10">
      <c r="A10" s="4" t="inlineStr">
        <is>
          <t>S-06</t>
        </is>
      </c>
      <c r="B10" s="4" t="inlineStr">
        <is>
          <t>EJE-02</t>
        </is>
      </c>
      <c r="C10" s="32" t="n">
        <v>32.42</v>
      </c>
      <c r="D10" s="32" t="n">
        <v>184.6</v>
      </c>
      <c r="E10" s="32" t="n">
        <v>184.138</v>
      </c>
      <c r="F10" s="33">
        <f>D10-E10</f>
        <v/>
      </c>
      <c r="G10" s="32" t="n">
        <v>0.1</v>
      </c>
      <c r="H10" s="32" t="n">
        <v>0.1</v>
      </c>
      <c r="I10" s="4" t="inlineStr">
        <is>
          <t>CON REJILLA</t>
        </is>
      </c>
      <c r="J10" s="4" t="inlineStr"/>
    </row>
    <row r="11">
      <c r="A11" s="4" t="inlineStr">
        <is>
          <t>S-07</t>
        </is>
      </c>
      <c r="B11" s="4" t="inlineStr">
        <is>
          <t>EJE-02</t>
        </is>
      </c>
      <c r="C11" s="32" t="n">
        <v>43.95</v>
      </c>
      <c r="D11" s="32" t="n">
        <v>184.6</v>
      </c>
      <c r="E11" s="32" t="n">
        <v>184.08</v>
      </c>
      <c r="F11" s="33">
        <f>D11-E11</f>
        <v/>
      </c>
      <c r="G11" s="32" t="n">
        <v>0.1</v>
      </c>
      <c r="H11" s="32" t="n">
        <v>0.1</v>
      </c>
      <c r="I11" s="4" t="inlineStr">
        <is>
          <t>CON REJILLA</t>
        </is>
      </c>
      <c r="J11" s="4" t="inlineStr">
        <is>
          <t>Llega EJE-03</t>
        </is>
      </c>
    </row>
    <row r="12">
      <c r="A12" s="4" t="inlineStr">
        <is>
          <t>S-08</t>
        </is>
      </c>
      <c r="B12" s="4" t="inlineStr">
        <is>
          <t>EJE-02</t>
        </is>
      </c>
      <c r="C12" s="32" t="n">
        <v>52.63</v>
      </c>
      <c r="D12" s="32" t="n">
        <v>184.6</v>
      </c>
      <c r="E12" s="32" t="n">
        <v>183.826</v>
      </c>
      <c r="F12" s="33">
        <f>D12-E12</f>
        <v/>
      </c>
      <c r="G12" s="32" t="n">
        <v>0.1</v>
      </c>
      <c r="H12" s="32" t="n">
        <v>0.1</v>
      </c>
      <c r="I12" s="4" t="inlineStr">
        <is>
          <t>CON REJILLA</t>
        </is>
      </c>
      <c r="J12" s="4" t="inlineStr">
        <is>
          <t>Llega EJE-04</t>
        </is>
      </c>
    </row>
    <row r="13">
      <c r="A13" s="4" t="inlineStr">
        <is>
          <t>S-09</t>
        </is>
      </c>
      <c r="B13" s="4" t="inlineStr">
        <is>
          <t>EJE-02</t>
        </is>
      </c>
      <c r="C13" s="32" t="n">
        <v>64.09999999999999</v>
      </c>
      <c r="D13" s="32" t="n">
        <v>184.6</v>
      </c>
      <c r="E13" s="32" t="n">
        <v>183.768</v>
      </c>
      <c r="F13" s="33">
        <f>D13-E13</f>
        <v/>
      </c>
      <c r="G13" s="32" t="n">
        <v>0.1</v>
      </c>
      <c r="H13" s="32" t="n">
        <v>0.1</v>
      </c>
      <c r="I13" s="4" t="inlineStr">
        <is>
          <t>CON REJILLA</t>
        </is>
      </c>
      <c r="J13" s="4" t="inlineStr">
        <is>
          <t>Llega EJE-05</t>
        </is>
      </c>
    </row>
    <row r="14">
      <c r="A14" s="4" t="inlineStr">
        <is>
          <t>S-10</t>
        </is>
      </c>
      <c r="B14" s="4" t="inlineStr">
        <is>
          <t>EJE-02</t>
        </is>
      </c>
      <c r="C14" s="32" t="n">
        <v>76.2</v>
      </c>
      <c r="D14" s="32" t="n">
        <v>184.6</v>
      </c>
      <c r="E14" s="32" t="n">
        <v>183.708</v>
      </c>
      <c r="F14" s="33">
        <f>D14-E14</f>
        <v/>
      </c>
      <c r="G14" s="32" t="n">
        <v>0.1</v>
      </c>
      <c r="H14" s="32" t="n">
        <v>0.1</v>
      </c>
      <c r="I14" s="4" t="inlineStr">
        <is>
          <t>CON REJILLA</t>
        </is>
      </c>
      <c r="J14" s="4" t="inlineStr">
        <is>
          <t>Entrega a EJE-01</t>
        </is>
      </c>
    </row>
    <row r="15">
      <c r="A15" s="4" t="inlineStr">
        <is>
          <t>S-11</t>
        </is>
      </c>
      <c r="B15" s="4" t="inlineStr">
        <is>
          <t>EJE-03</t>
        </is>
      </c>
      <c r="C15" s="32" t="n">
        <v>0</v>
      </c>
      <c r="D15" s="32" t="n">
        <v>184.6</v>
      </c>
      <c r="E15" s="32" t="n">
        <v>184.3</v>
      </c>
      <c r="F15" s="33">
        <f>D15-E15</f>
        <v/>
      </c>
      <c r="G15" s="32" t="n">
        <v>0.1</v>
      </c>
      <c r="H15" s="32" t="n">
        <v>0.1</v>
      </c>
      <c r="I15" s="4" t="inlineStr">
        <is>
          <t>CON REJILLA</t>
        </is>
      </c>
      <c r="J15" s="4" t="inlineStr">
        <is>
          <t>Inicio del eje</t>
        </is>
      </c>
    </row>
    <row r="16">
      <c r="A16" s="4" t="inlineStr">
        <is>
          <t>S-12</t>
        </is>
      </c>
      <c r="B16" s="4" t="inlineStr">
        <is>
          <t>EJE-03</t>
        </is>
      </c>
      <c r="C16" s="32" t="n">
        <v>32.31</v>
      </c>
      <c r="D16" s="32" t="n">
        <v>184.6</v>
      </c>
      <c r="E16" s="32" t="n">
        <v>184.138</v>
      </c>
      <c r="F16" s="33">
        <f>D16-E16</f>
        <v/>
      </c>
      <c r="G16" s="32" t="n">
        <v>0.1</v>
      </c>
      <c r="H16" s="32" t="n">
        <v>0.1</v>
      </c>
      <c r="I16" s="4" t="inlineStr">
        <is>
          <t>CON REJILLA</t>
        </is>
      </c>
      <c r="J16" s="4" t="inlineStr">
        <is>
          <t>Entrega a EJE-02</t>
        </is>
      </c>
    </row>
    <row r="17">
      <c r="A17" s="4" t="inlineStr">
        <is>
          <t>S-13</t>
        </is>
      </c>
      <c r="B17" s="4" t="inlineStr">
        <is>
          <t>EJE-04</t>
        </is>
      </c>
      <c r="C17" s="32" t="n">
        <v>0</v>
      </c>
      <c r="D17" s="32" t="n">
        <v>184.6</v>
      </c>
      <c r="E17" s="32" t="n">
        <v>184.3</v>
      </c>
      <c r="F17" s="33">
        <f>D17-E17</f>
        <v/>
      </c>
      <c r="G17" s="32" t="n">
        <v>0.1</v>
      </c>
      <c r="H17" s="32" t="n">
        <v>0.1</v>
      </c>
      <c r="I17" s="4" t="inlineStr">
        <is>
          <t>CON REJILLA</t>
        </is>
      </c>
      <c r="J17" s="4" t="inlineStr">
        <is>
          <t>Inicio del eje</t>
        </is>
      </c>
    </row>
    <row r="18">
      <c r="A18" s="4" t="inlineStr">
        <is>
          <t>S-14</t>
        </is>
      </c>
      <c r="B18" s="4" t="inlineStr">
        <is>
          <t>EJE-04</t>
        </is>
      </c>
      <c r="C18" s="32" t="n">
        <v>26.1</v>
      </c>
      <c r="D18" s="32" t="n">
        <v>184.6</v>
      </c>
      <c r="E18" s="32" t="n">
        <v>184.17</v>
      </c>
      <c r="F18" s="33">
        <f>D18-E18</f>
        <v/>
      </c>
      <c r="G18" s="32" t="n">
        <v>0.1</v>
      </c>
      <c r="H18" s="32" t="n">
        <v>0.1</v>
      </c>
      <c r="I18" s="4" t="inlineStr">
        <is>
          <t>CON REJILLA</t>
        </is>
      </c>
      <c r="J18" s="4" t="inlineStr"/>
    </row>
    <row r="19">
      <c r="A19" s="4" t="inlineStr">
        <is>
          <t>S-15</t>
        </is>
      </c>
      <c r="B19" s="4" t="inlineStr">
        <is>
          <t>EJE-04</t>
        </is>
      </c>
      <c r="C19" s="32" t="n">
        <v>35.53</v>
      </c>
      <c r="D19" s="32" t="n">
        <v>184.6</v>
      </c>
      <c r="E19" s="32" t="n">
        <v>184.122</v>
      </c>
      <c r="F19" s="33">
        <f>D19-E19</f>
        <v/>
      </c>
      <c r="G19" s="32" t="n">
        <v>0.1</v>
      </c>
      <c r="H19" s="32" t="n">
        <v>0.1</v>
      </c>
      <c r="I19" s="4" t="inlineStr">
        <is>
          <t>CON REJILLA</t>
        </is>
      </c>
      <c r="J19" s="4" t="inlineStr">
        <is>
          <t>Llega EJE-06</t>
        </is>
      </c>
    </row>
    <row r="20">
      <c r="A20" s="4" t="inlineStr">
        <is>
          <t>S-16</t>
        </is>
      </c>
      <c r="B20" s="4" t="inlineStr">
        <is>
          <t>EJE-04</t>
        </is>
      </c>
      <c r="C20" s="32" t="n">
        <v>39.31</v>
      </c>
      <c r="D20" s="32" t="n">
        <v>184.6</v>
      </c>
      <c r="E20" s="32" t="n">
        <v>184.103</v>
      </c>
      <c r="F20" s="33">
        <f>D20-E20</f>
        <v/>
      </c>
      <c r="G20" s="32" t="n">
        <v>0.1</v>
      </c>
      <c r="H20" s="32" t="n">
        <v>0.1</v>
      </c>
      <c r="I20" s="4" t="inlineStr">
        <is>
          <t>CON REJILLA</t>
        </is>
      </c>
      <c r="J20" s="4" t="inlineStr"/>
    </row>
    <row r="21">
      <c r="A21" s="4" t="inlineStr">
        <is>
          <t>S-17</t>
        </is>
      </c>
      <c r="B21" s="4" t="inlineStr">
        <is>
          <t>EJE-04</t>
        </is>
      </c>
      <c r="C21" s="32" t="n">
        <v>55.28</v>
      </c>
      <c r="D21" s="32" t="n">
        <v>184.6</v>
      </c>
      <c r="E21" s="32" t="n">
        <v>184.024</v>
      </c>
      <c r="F21" s="33">
        <f>D21-E21</f>
        <v/>
      </c>
      <c r="G21" s="32" t="n">
        <v>0.1</v>
      </c>
      <c r="H21" s="32" t="n">
        <v>0.1</v>
      </c>
      <c r="I21" s="4" t="inlineStr">
        <is>
          <t>CON REJILLA</t>
        </is>
      </c>
      <c r="J21" s="4" t="inlineStr"/>
    </row>
    <row r="22">
      <c r="A22" s="4" t="inlineStr">
        <is>
          <t>S-18</t>
        </is>
      </c>
      <c r="B22" s="4" t="inlineStr">
        <is>
          <t>EJE-04</t>
        </is>
      </c>
      <c r="C22" s="32" t="n">
        <v>62.07</v>
      </c>
      <c r="D22" s="32" t="n">
        <v>184.6</v>
      </c>
      <c r="E22" s="32" t="n">
        <v>183.99</v>
      </c>
      <c r="F22" s="33">
        <f>D22-E22</f>
        <v/>
      </c>
      <c r="G22" s="32" t="n">
        <v>0.1</v>
      </c>
      <c r="H22" s="32" t="n">
        <v>0.1</v>
      </c>
      <c r="I22" s="4" t="inlineStr">
        <is>
          <t>CON REJILLA</t>
        </is>
      </c>
      <c r="J22" s="4" t="inlineStr"/>
    </row>
    <row r="23">
      <c r="A23" s="4" t="inlineStr">
        <is>
          <t>S-19</t>
        </is>
      </c>
      <c r="B23" s="4" t="inlineStr">
        <is>
          <t>EJE-04</t>
        </is>
      </c>
      <c r="C23" s="32" t="n">
        <v>94.88</v>
      </c>
      <c r="D23" s="32" t="n">
        <v>184.6</v>
      </c>
      <c r="E23" s="32" t="n">
        <v>183.826</v>
      </c>
      <c r="F23" s="33">
        <f>D23-E23</f>
        <v/>
      </c>
      <c r="G23" s="32" t="n">
        <v>0.1</v>
      </c>
      <c r="H23" s="32" t="n">
        <v>0.1</v>
      </c>
      <c r="I23" s="4" t="inlineStr">
        <is>
          <t>CON REJILLA</t>
        </is>
      </c>
      <c r="J23" s="4" t="inlineStr">
        <is>
          <t>Entrega a EJE-02</t>
        </is>
      </c>
    </row>
    <row r="24">
      <c r="A24" s="4" t="inlineStr">
        <is>
          <t>S-20</t>
        </is>
      </c>
      <c r="B24" s="4" t="inlineStr">
        <is>
          <t>EJE-05</t>
        </is>
      </c>
      <c r="C24" s="32" t="n">
        <v>0</v>
      </c>
      <c r="D24" s="32" t="n">
        <v>184.6</v>
      </c>
      <c r="E24" s="32" t="n">
        <v>184.3</v>
      </c>
      <c r="F24" s="33">
        <f>D24-E24</f>
        <v/>
      </c>
      <c r="G24" s="32" t="n">
        <v>0.1</v>
      </c>
      <c r="H24" s="32" t="n">
        <v>0.1</v>
      </c>
      <c r="I24" s="4" t="inlineStr">
        <is>
          <t>CON REJILLA</t>
        </is>
      </c>
      <c r="J24" s="4" t="inlineStr">
        <is>
          <t>Inicio del eje</t>
        </is>
      </c>
    </row>
    <row r="25">
      <c r="A25" s="4" t="inlineStr">
        <is>
          <t>S-21</t>
        </is>
      </c>
      <c r="B25" s="4" t="inlineStr">
        <is>
          <t>EJE-05</t>
        </is>
      </c>
      <c r="C25" s="32" t="n">
        <v>21.32</v>
      </c>
      <c r="D25" s="32" t="n">
        <v>184.6</v>
      </c>
      <c r="E25" s="32" t="n">
        <v>184.193</v>
      </c>
      <c r="F25" s="33">
        <f>D25-E25</f>
        <v/>
      </c>
      <c r="G25" s="32" t="n">
        <v>0.1</v>
      </c>
      <c r="H25" s="32" t="n">
        <v>0.1</v>
      </c>
      <c r="I25" s="4" t="inlineStr">
        <is>
          <t>CON REJILLA</t>
        </is>
      </c>
      <c r="J25" s="4" t="inlineStr"/>
    </row>
    <row r="26">
      <c r="A26" s="4" t="inlineStr">
        <is>
          <t>S-22</t>
        </is>
      </c>
      <c r="B26" s="4" t="inlineStr">
        <is>
          <t>EJE-05</t>
        </is>
      </c>
      <c r="C26" s="32" t="n">
        <v>27.21</v>
      </c>
      <c r="D26" s="32" t="n">
        <v>184.6</v>
      </c>
      <c r="E26" s="32" t="n">
        <v>184.164</v>
      </c>
      <c r="F26" s="33">
        <f>D26-E26</f>
        <v/>
      </c>
      <c r="G26" s="32" t="n">
        <v>0.1</v>
      </c>
      <c r="H26" s="32" t="n">
        <v>0.1</v>
      </c>
      <c r="I26" s="4" t="inlineStr">
        <is>
          <t>CON REJILLA</t>
        </is>
      </c>
      <c r="J26" s="4" t="inlineStr"/>
    </row>
    <row r="27">
      <c r="A27" s="4" t="inlineStr">
        <is>
          <t>S-23</t>
        </is>
      </c>
      <c r="B27" s="4" t="inlineStr">
        <is>
          <t>EJE-05</t>
        </is>
      </c>
      <c r="C27" s="32" t="n">
        <v>45.04</v>
      </c>
      <c r="D27" s="32" t="n">
        <v>184.6</v>
      </c>
      <c r="E27" s="32" t="n">
        <v>184.075</v>
      </c>
      <c r="F27" s="33">
        <f>D27-E27</f>
        <v/>
      </c>
      <c r="G27" s="32" t="n">
        <v>0.1</v>
      </c>
      <c r="H27" s="32" t="n">
        <v>0.1</v>
      </c>
      <c r="I27" s="4" t="inlineStr">
        <is>
          <t>CON REJILLA</t>
        </is>
      </c>
      <c r="J27" s="4" t="inlineStr"/>
    </row>
    <row r="28">
      <c r="A28" s="4" t="inlineStr">
        <is>
          <t>S-24</t>
        </is>
      </c>
      <c r="B28" s="4" t="inlineStr">
        <is>
          <t>EJE-05</t>
        </is>
      </c>
      <c r="C28" s="32" t="n">
        <v>50.81</v>
      </c>
      <c r="D28" s="32" t="n">
        <v>184.6</v>
      </c>
      <c r="E28" s="32" t="n">
        <v>184.046</v>
      </c>
      <c r="F28" s="33">
        <f>D28-E28</f>
        <v/>
      </c>
      <c r="G28" s="32" t="n">
        <v>0.1</v>
      </c>
      <c r="H28" s="32" t="n">
        <v>0.1</v>
      </c>
      <c r="I28" s="4" t="inlineStr">
        <is>
          <t>CON REJILLA</t>
        </is>
      </c>
      <c r="J28" s="4" t="inlineStr"/>
    </row>
    <row r="29">
      <c r="A29" s="4" t="inlineStr">
        <is>
          <t>S-25</t>
        </is>
      </c>
      <c r="B29" s="4" t="inlineStr">
        <is>
          <t>EJE-05</t>
        </is>
      </c>
      <c r="C29" s="32" t="n">
        <v>89.97</v>
      </c>
      <c r="D29" s="32" t="n">
        <v>184.6</v>
      </c>
      <c r="E29" s="32" t="n">
        <v>183.85</v>
      </c>
      <c r="F29" s="33">
        <f>D29-E29</f>
        <v/>
      </c>
      <c r="G29" s="32" t="n">
        <v>0.1</v>
      </c>
      <c r="H29" s="32" t="n">
        <v>0.1</v>
      </c>
      <c r="I29" s="4" t="inlineStr">
        <is>
          <t>CON REJILLA</t>
        </is>
      </c>
      <c r="J29" s="4" t="inlineStr">
        <is>
          <t>Entrega a EJE-02</t>
        </is>
      </c>
    </row>
    <row r="30">
      <c r="A30" s="4" t="inlineStr">
        <is>
          <t>S-26</t>
        </is>
      </c>
      <c r="B30" s="4" t="inlineStr">
        <is>
          <t>EJE-06</t>
        </is>
      </c>
      <c r="C30" s="32" t="n">
        <v>0</v>
      </c>
      <c r="D30" s="32" t="n">
        <v>184.6</v>
      </c>
      <c r="E30" s="32" t="n">
        <v>184.3</v>
      </c>
      <c r="F30" s="33">
        <f>D30-E30</f>
        <v/>
      </c>
      <c r="G30" s="32" t="n">
        <v>0.1</v>
      </c>
      <c r="H30" s="32" t="n">
        <v>0.1</v>
      </c>
      <c r="I30" s="4" t="inlineStr">
        <is>
          <t>CON REJILLA</t>
        </is>
      </c>
      <c r="J30" s="4" t="inlineStr">
        <is>
          <t>Inicio del eje</t>
        </is>
      </c>
    </row>
    <row r="31">
      <c r="A31" s="4" t="inlineStr">
        <is>
          <t>S-27</t>
        </is>
      </c>
      <c r="B31" s="4" t="inlineStr">
        <is>
          <t>EJE-06</t>
        </is>
      </c>
      <c r="C31" s="32" t="n">
        <v>11.74</v>
      </c>
      <c r="D31" s="32" t="n">
        <v>184.6</v>
      </c>
      <c r="E31" s="32" t="n">
        <v>184.241</v>
      </c>
      <c r="F31" s="33">
        <f>D31-E31</f>
        <v/>
      </c>
      <c r="G31" s="32" t="n">
        <v>0.1</v>
      </c>
      <c r="H31" s="32" t="n">
        <v>0.1</v>
      </c>
      <c r="I31" s="4" t="inlineStr">
        <is>
          <t>CON REJILLA</t>
        </is>
      </c>
      <c r="J31" s="4" t="inlineStr">
        <is>
          <t>Entrega a EJE-04</t>
        </is>
      </c>
    </row>
    <row r="32">
      <c r="A32" s="4" t="inlineStr">
        <is>
          <t>S-28</t>
        </is>
      </c>
      <c r="B32" s="4" t="inlineStr">
        <is>
          <t>EJE-07</t>
        </is>
      </c>
      <c r="C32" s="32" t="n">
        <v>0</v>
      </c>
      <c r="D32" s="32" t="n">
        <v>184.6</v>
      </c>
      <c r="E32" s="32" t="n">
        <v>184.3</v>
      </c>
      <c r="F32" s="33">
        <f>D32-E32</f>
        <v/>
      </c>
      <c r="G32" s="32" t="n">
        <v>0.1</v>
      </c>
      <c r="H32" s="32" t="n">
        <v>0.1</v>
      </c>
      <c r="I32" s="4" t="inlineStr">
        <is>
          <t>CON REJILLA</t>
        </is>
      </c>
      <c r="J32" s="4" t="inlineStr">
        <is>
          <t>Inicio del eje</t>
        </is>
      </c>
    </row>
    <row r="33">
      <c r="A33" s="4" t="inlineStr">
        <is>
          <t>S-29</t>
        </is>
      </c>
      <c r="B33" s="4" t="inlineStr">
        <is>
          <t>EJE-07</t>
        </is>
      </c>
      <c r="C33" s="32" t="n">
        <v>11.51</v>
      </c>
      <c r="D33" s="32" t="n">
        <v>184.6</v>
      </c>
      <c r="E33" s="32" t="n">
        <v>184.102</v>
      </c>
      <c r="F33" s="33">
        <f>D33-E33</f>
        <v/>
      </c>
      <c r="G33" s="32" t="n">
        <v>0.1</v>
      </c>
      <c r="H33" s="32" t="n">
        <v>0.1</v>
      </c>
      <c r="I33" s="4" t="inlineStr">
        <is>
          <t>CON REJILLA</t>
        </is>
      </c>
      <c r="J33" s="4" t="inlineStr">
        <is>
          <t>Llega EJE-08</t>
        </is>
      </c>
    </row>
    <row r="34">
      <c r="A34" s="4" t="inlineStr">
        <is>
          <t>S-30</t>
        </is>
      </c>
      <c r="B34" s="4" t="inlineStr">
        <is>
          <t>EJE-07</t>
        </is>
      </c>
      <c r="C34" s="32" t="n">
        <v>29.36</v>
      </c>
      <c r="D34" s="32" t="n">
        <v>184.6</v>
      </c>
      <c r="E34" s="32" t="n">
        <v>184.012</v>
      </c>
      <c r="F34" s="33">
        <f>D34-E34</f>
        <v/>
      </c>
      <c r="G34" s="32" t="n">
        <v>0.1</v>
      </c>
      <c r="H34" s="32" t="n">
        <v>0.1</v>
      </c>
      <c r="I34" s="4" t="inlineStr">
        <is>
          <t>CON REJILLA</t>
        </is>
      </c>
      <c r="J34" s="4" t="inlineStr">
        <is>
          <t>Llega EJE-09</t>
        </is>
      </c>
    </row>
    <row r="35">
      <c r="A35" s="4" t="inlineStr">
        <is>
          <t>S-31</t>
        </is>
      </c>
      <c r="B35" s="4" t="inlineStr">
        <is>
          <t>EJE-07</t>
        </is>
      </c>
      <c r="C35" s="32" t="n">
        <v>35.48</v>
      </c>
      <c r="D35" s="32" t="n">
        <v>184.6</v>
      </c>
      <c r="E35" s="32" t="n">
        <v>183.982</v>
      </c>
      <c r="F35" s="33">
        <f>D35-E35</f>
        <v/>
      </c>
      <c r="G35" s="32" t="n">
        <v>0.1</v>
      </c>
      <c r="H35" s="32" t="n">
        <v>0.1</v>
      </c>
      <c r="I35" s="4" t="inlineStr">
        <is>
          <t>CON REJILLA</t>
        </is>
      </c>
      <c r="J35" s="4" t="inlineStr"/>
    </row>
    <row r="36">
      <c r="A36" s="4" t="inlineStr">
        <is>
          <t>S-32</t>
        </is>
      </c>
      <c r="B36" s="4" t="inlineStr">
        <is>
          <t>EJE-07</t>
        </is>
      </c>
      <c r="C36" s="32" t="n">
        <v>58.25</v>
      </c>
      <c r="D36" s="32" t="n">
        <v>184.6</v>
      </c>
      <c r="E36" s="32" t="n">
        <v>183.868</v>
      </c>
      <c r="F36" s="33">
        <f>D36-E36</f>
        <v/>
      </c>
      <c r="G36" s="32" t="n">
        <v>0.1</v>
      </c>
      <c r="H36" s="32" t="n">
        <v>0.1</v>
      </c>
      <c r="I36" s="4" t="inlineStr">
        <is>
          <t>CON REJILLA</t>
        </is>
      </c>
      <c r="J36" s="4" t="inlineStr">
        <is>
          <t>Llega EJE-10</t>
        </is>
      </c>
    </row>
    <row r="37">
      <c r="A37" s="4" t="inlineStr">
        <is>
          <t>S-33</t>
        </is>
      </c>
      <c r="B37" s="4" t="inlineStr">
        <is>
          <t>EJE-07</t>
        </is>
      </c>
      <c r="C37" s="32" t="n">
        <v>70.02</v>
      </c>
      <c r="D37" s="32" t="n">
        <v>184.6</v>
      </c>
      <c r="E37" s="32" t="n">
        <v>183.809</v>
      </c>
      <c r="F37" s="33">
        <f>D37-E37</f>
        <v/>
      </c>
      <c r="G37" s="32" t="n">
        <v>0.1</v>
      </c>
      <c r="H37" s="32" t="n">
        <v>0.1</v>
      </c>
      <c r="I37" s="4" t="inlineStr">
        <is>
          <t>CON REJILLA</t>
        </is>
      </c>
      <c r="J37" s="4" t="inlineStr">
        <is>
          <t>Llega EJE-11</t>
        </is>
      </c>
    </row>
    <row r="38">
      <c r="A38" s="4" t="inlineStr">
        <is>
          <t>S-34</t>
        </is>
      </c>
      <c r="B38" s="4" t="inlineStr">
        <is>
          <t>EJE-07</t>
        </is>
      </c>
      <c r="C38" s="32" t="n">
        <v>73.09</v>
      </c>
      <c r="D38" s="32" t="n">
        <v>184.6</v>
      </c>
      <c r="E38" s="32" t="n">
        <v>183.794</v>
      </c>
      <c r="F38" s="33">
        <f>D38-E38</f>
        <v/>
      </c>
      <c r="G38" s="32" t="n">
        <v>0.1</v>
      </c>
      <c r="H38" s="32" t="n">
        <v>0.1</v>
      </c>
      <c r="I38" s="4" t="inlineStr">
        <is>
          <t>TAPADA</t>
        </is>
      </c>
      <c r="J38" s="4" t="inlineStr"/>
    </row>
    <row r="39">
      <c r="A39" s="4" t="inlineStr">
        <is>
          <t>S-35</t>
        </is>
      </c>
      <c r="B39" s="4" t="inlineStr">
        <is>
          <t>EJE-07</t>
        </is>
      </c>
      <c r="C39" s="32" t="n">
        <v>81.05</v>
      </c>
      <c r="D39" s="32" t="n">
        <v>184.6</v>
      </c>
      <c r="E39" s="32" t="n">
        <v>183.754</v>
      </c>
      <c r="F39" s="33">
        <f>D39-E39</f>
        <v/>
      </c>
      <c r="G39" s="32" t="n">
        <v>0.1</v>
      </c>
      <c r="H39" s="32" t="n">
        <v>0.1</v>
      </c>
      <c r="I39" s="4" t="inlineStr">
        <is>
          <t>TAPADA</t>
        </is>
      </c>
      <c r="J39" s="4" t="inlineStr"/>
    </row>
    <row r="40">
      <c r="A40" s="4" t="inlineStr">
        <is>
          <t>S-36</t>
        </is>
      </c>
      <c r="B40" s="4" t="inlineStr">
        <is>
          <t>EJE-07</t>
        </is>
      </c>
      <c r="C40" s="32" t="n">
        <v>87.73999999999999</v>
      </c>
      <c r="D40" s="32" t="n">
        <v>184.6</v>
      </c>
      <c r="E40" s="32" t="n">
        <v>183.72</v>
      </c>
      <c r="F40" s="33">
        <f>D40-E40</f>
        <v/>
      </c>
      <c r="G40" s="32" t="n">
        <v>0.1</v>
      </c>
      <c r="H40" s="32" t="n">
        <v>0.1</v>
      </c>
      <c r="I40" s="4" t="inlineStr">
        <is>
          <t>TAPADA</t>
        </is>
      </c>
      <c r="J40" s="4" t="inlineStr"/>
    </row>
    <row r="41">
      <c r="A41" s="4" t="inlineStr">
        <is>
          <t>S-37</t>
        </is>
      </c>
      <c r="B41" s="4" t="inlineStr">
        <is>
          <t>EJE-07</t>
        </is>
      </c>
      <c r="C41" s="32" t="n">
        <v>95.95</v>
      </c>
      <c r="D41" s="32" t="n">
        <v>184.6</v>
      </c>
      <c r="E41" s="32" t="n">
        <v>183.679</v>
      </c>
      <c r="F41" s="33">
        <f>D41-E41</f>
        <v/>
      </c>
      <c r="G41" s="32" t="n">
        <v>0.1</v>
      </c>
      <c r="H41" s="32" t="n">
        <v>0.1</v>
      </c>
      <c r="I41" s="4" t="inlineStr">
        <is>
          <t>TAPADA</t>
        </is>
      </c>
      <c r="J41" s="4" t="inlineStr"/>
    </row>
    <row r="42">
      <c r="A42" s="4" t="inlineStr">
        <is>
          <t>S-38</t>
        </is>
      </c>
      <c r="B42" s="4" t="inlineStr">
        <is>
          <t>EJE-07</t>
        </is>
      </c>
      <c r="C42" s="32" t="n">
        <v>96.54000000000001</v>
      </c>
      <c r="D42" s="32" t="n">
        <v>183.826</v>
      </c>
      <c r="E42" s="32" t="n">
        <v>183.576</v>
      </c>
      <c r="F42" s="33">
        <f>D42-E42</f>
        <v/>
      </c>
      <c r="G42" s="32" t="n">
        <v>0.1</v>
      </c>
      <c r="H42" s="32" t="n">
        <v>0.1</v>
      </c>
      <c r="I42" s="4" t="inlineStr">
        <is>
          <t>TAPADA</t>
        </is>
      </c>
      <c r="J42" s="4" t="inlineStr">
        <is>
          <t>Descarga D3</t>
        </is>
      </c>
    </row>
    <row r="43">
      <c r="A43" s="4" t="inlineStr">
        <is>
          <t>S-39</t>
        </is>
      </c>
      <c r="B43" s="4" t="inlineStr">
        <is>
          <t>EJE-08</t>
        </is>
      </c>
      <c r="C43" s="32" t="n">
        <v>0</v>
      </c>
      <c r="D43" s="32" t="n">
        <v>184.6</v>
      </c>
      <c r="E43" s="32" t="n">
        <v>184.3</v>
      </c>
      <c r="F43" s="33">
        <f>D43-E43</f>
        <v/>
      </c>
      <c r="G43" s="32" t="n">
        <v>0.1</v>
      </c>
      <c r="H43" s="32" t="n">
        <v>0.1</v>
      </c>
      <c r="I43" s="4" t="inlineStr">
        <is>
          <t>CON REJILLA</t>
        </is>
      </c>
      <c r="J43" s="4" t="inlineStr">
        <is>
          <t>Inicio del eje</t>
        </is>
      </c>
    </row>
    <row r="44">
      <c r="A44" s="4" t="inlineStr">
        <is>
          <t>S-40</t>
        </is>
      </c>
      <c r="B44" s="4" t="inlineStr">
        <is>
          <t>EJE-08</t>
        </is>
      </c>
      <c r="C44" s="32" t="n">
        <v>3.88</v>
      </c>
      <c r="D44" s="32" t="n">
        <v>184.6</v>
      </c>
      <c r="E44" s="32" t="n">
        <v>184.281</v>
      </c>
      <c r="F44" s="33">
        <f>D44-E44</f>
        <v/>
      </c>
      <c r="G44" s="32" t="n">
        <v>0.1</v>
      </c>
      <c r="H44" s="32" t="n">
        <v>0.1</v>
      </c>
      <c r="I44" s="4" t="inlineStr">
        <is>
          <t>CON REJILLA</t>
        </is>
      </c>
      <c r="J44" s="4" t="inlineStr"/>
    </row>
    <row r="45">
      <c r="A45" s="4" t="inlineStr">
        <is>
          <t>S-41</t>
        </is>
      </c>
      <c r="B45" s="4" t="inlineStr">
        <is>
          <t>EJE-08</t>
        </is>
      </c>
      <c r="C45" s="32" t="n">
        <v>39.68</v>
      </c>
      <c r="D45" s="32" t="n">
        <v>184.6</v>
      </c>
      <c r="E45" s="32" t="n">
        <v>184.102</v>
      </c>
      <c r="F45" s="33">
        <f>D45-E45</f>
        <v/>
      </c>
      <c r="G45" s="32" t="n">
        <v>0.1</v>
      </c>
      <c r="H45" s="32" t="n">
        <v>0.1</v>
      </c>
      <c r="I45" s="4" t="inlineStr">
        <is>
          <t>CON REJILLA</t>
        </is>
      </c>
      <c r="J45" s="4" t="inlineStr">
        <is>
          <t>Entrega a EJE-07</t>
        </is>
      </c>
    </row>
    <row r="46">
      <c r="A46" s="4" t="inlineStr">
        <is>
          <t>S-42</t>
        </is>
      </c>
      <c r="B46" s="4" t="inlineStr">
        <is>
          <t>EJE-09</t>
        </is>
      </c>
      <c r="C46" s="32" t="n">
        <v>0</v>
      </c>
      <c r="D46" s="32" t="n">
        <v>184.6</v>
      </c>
      <c r="E46" s="32" t="n">
        <v>184.3</v>
      </c>
      <c r="F46" s="33">
        <f>D46-E46</f>
        <v/>
      </c>
      <c r="G46" s="32" t="n">
        <v>0.1</v>
      </c>
      <c r="H46" s="32" t="n">
        <v>0.1</v>
      </c>
      <c r="I46" s="4" t="inlineStr">
        <is>
          <t>CON REJILLA</t>
        </is>
      </c>
      <c r="J46" s="4" t="inlineStr">
        <is>
          <t>Inicio del eje</t>
        </is>
      </c>
    </row>
    <row r="47">
      <c r="A47" s="4" t="inlineStr">
        <is>
          <t>S-43</t>
        </is>
      </c>
      <c r="B47" s="4" t="inlineStr">
        <is>
          <t>EJE-09</t>
        </is>
      </c>
      <c r="C47" s="32" t="n">
        <v>35.8</v>
      </c>
      <c r="D47" s="32" t="n">
        <v>184.6</v>
      </c>
      <c r="E47" s="32" t="n">
        <v>184.121</v>
      </c>
      <c r="F47" s="33">
        <f>D47-E47</f>
        <v/>
      </c>
      <c r="G47" s="32" t="n">
        <v>0.1</v>
      </c>
      <c r="H47" s="32" t="n">
        <v>0.1</v>
      </c>
      <c r="I47" s="4" t="inlineStr">
        <is>
          <t>CON REJILLA</t>
        </is>
      </c>
      <c r="J47" s="4" t="inlineStr">
        <is>
          <t>Entrega a EJE-07</t>
        </is>
      </c>
    </row>
    <row r="48">
      <c r="A48" s="4" t="inlineStr">
        <is>
          <t>S-44</t>
        </is>
      </c>
      <c r="B48" s="4" t="inlineStr">
        <is>
          <t>EJE-10</t>
        </is>
      </c>
      <c r="C48" s="32" t="n">
        <v>0</v>
      </c>
      <c r="D48" s="32" t="n">
        <v>184.6</v>
      </c>
      <c r="E48" s="32" t="n">
        <v>184.3</v>
      </c>
      <c r="F48" s="33">
        <f>D48-E48</f>
        <v/>
      </c>
      <c r="G48" s="32" t="n">
        <v>0.1</v>
      </c>
      <c r="H48" s="32" t="n">
        <v>0.1</v>
      </c>
      <c r="I48" s="4" t="inlineStr">
        <is>
          <t>CON REJILLA</t>
        </is>
      </c>
      <c r="J48" s="4" t="inlineStr">
        <is>
          <t>Inicio del eje</t>
        </is>
      </c>
    </row>
    <row r="49">
      <c r="A49" s="4" t="inlineStr">
        <is>
          <t>S-45</t>
        </is>
      </c>
      <c r="B49" s="4" t="inlineStr">
        <is>
          <t>EJE-10</t>
        </is>
      </c>
      <c r="C49" s="32" t="n">
        <v>17.85</v>
      </c>
      <c r="D49" s="32" t="n">
        <v>184.6</v>
      </c>
      <c r="E49" s="32" t="n">
        <v>184.211</v>
      </c>
      <c r="F49" s="33">
        <f>D49-E49</f>
        <v/>
      </c>
      <c r="G49" s="32" t="n">
        <v>0.1</v>
      </c>
      <c r="H49" s="32" t="n">
        <v>0.1</v>
      </c>
      <c r="I49" s="4" t="inlineStr">
        <is>
          <t>CON REJILLA</t>
        </is>
      </c>
      <c r="J49" s="4" t="inlineStr"/>
    </row>
    <row r="50">
      <c r="A50" s="4" t="inlineStr">
        <is>
          <t>S-46</t>
        </is>
      </c>
      <c r="B50" s="4" t="inlineStr">
        <is>
          <t>EJE-10</t>
        </is>
      </c>
      <c r="C50" s="32" t="n">
        <v>23.97</v>
      </c>
      <c r="D50" s="32" t="n">
        <v>184.6</v>
      </c>
      <c r="E50" s="32" t="n">
        <v>184.18</v>
      </c>
      <c r="F50" s="33">
        <f>D50-E50</f>
        <v/>
      </c>
      <c r="G50" s="32" t="n">
        <v>0.1</v>
      </c>
      <c r="H50" s="32" t="n">
        <v>0.1</v>
      </c>
      <c r="I50" s="4" t="inlineStr">
        <is>
          <t>CON REJILLA</t>
        </is>
      </c>
      <c r="J50" s="4" t="inlineStr"/>
    </row>
    <row r="51">
      <c r="A51" s="4" t="inlineStr">
        <is>
          <t>S-47</t>
        </is>
      </c>
      <c r="B51" s="4" t="inlineStr">
        <is>
          <t>EJE-10</t>
        </is>
      </c>
      <c r="C51" s="32" t="n">
        <v>37</v>
      </c>
      <c r="D51" s="32" t="n">
        <v>184.6</v>
      </c>
      <c r="E51" s="32" t="n">
        <v>184.115</v>
      </c>
      <c r="F51" s="33">
        <f>D51-E51</f>
        <v/>
      </c>
      <c r="G51" s="32" t="n">
        <v>0.1</v>
      </c>
      <c r="H51" s="32" t="n">
        <v>0.1</v>
      </c>
      <c r="I51" s="4" t="inlineStr">
        <is>
          <t>CON REJILLA</t>
        </is>
      </c>
      <c r="J51" s="4" t="inlineStr">
        <is>
          <t>Entrega a EJE-07</t>
        </is>
      </c>
    </row>
    <row r="52">
      <c r="A52" s="4" t="inlineStr">
        <is>
          <t>S-48</t>
        </is>
      </c>
      <c r="B52" s="4" t="inlineStr">
        <is>
          <t>EJE-11</t>
        </is>
      </c>
      <c r="C52" s="32" t="n">
        <v>0</v>
      </c>
      <c r="D52" s="32" t="n">
        <v>184.6</v>
      </c>
      <c r="E52" s="32" t="n">
        <v>184.3</v>
      </c>
      <c r="F52" s="33">
        <f>D52-E52</f>
        <v/>
      </c>
      <c r="G52" s="32" t="n">
        <v>0.1</v>
      </c>
      <c r="H52" s="32" t="n">
        <v>0.1</v>
      </c>
      <c r="I52" s="4" t="inlineStr">
        <is>
          <t>CON REJILLA</t>
        </is>
      </c>
      <c r="J52" s="4" t="inlineStr">
        <is>
          <t>Inicio del eje</t>
        </is>
      </c>
    </row>
    <row r="53">
      <c r="A53" s="4" t="inlineStr">
        <is>
          <t>S-49</t>
        </is>
      </c>
      <c r="B53" s="4" t="inlineStr">
        <is>
          <t>EJE-11</t>
        </is>
      </c>
      <c r="C53" s="32" t="n">
        <v>19.41</v>
      </c>
      <c r="D53" s="32" t="n">
        <v>184.6</v>
      </c>
      <c r="E53" s="32" t="n">
        <v>184.203</v>
      </c>
      <c r="F53" s="33">
        <f>D53-E53</f>
        <v/>
      </c>
      <c r="G53" s="32" t="n">
        <v>0.1</v>
      </c>
      <c r="H53" s="32" t="n">
        <v>0.1</v>
      </c>
      <c r="I53" s="4" t="inlineStr">
        <is>
          <t>TAPADA</t>
        </is>
      </c>
      <c r="J53" s="4" t="inlineStr">
        <is>
          <t>Inicio de tapado</t>
        </is>
      </c>
    </row>
    <row r="54">
      <c r="A54" s="4" t="inlineStr">
        <is>
          <t>S-50</t>
        </is>
      </c>
      <c r="B54" s="4" t="inlineStr">
        <is>
          <t>EJE-11</t>
        </is>
      </c>
      <c r="C54" s="32" t="n">
        <v>19.91</v>
      </c>
      <c r="D54" s="32" t="n">
        <v>184.6</v>
      </c>
      <c r="E54" s="32" t="n">
        <v>184.2</v>
      </c>
      <c r="F54" s="33">
        <f>D54-E54</f>
        <v/>
      </c>
      <c r="G54" s="32" t="n">
        <v>0.1</v>
      </c>
      <c r="H54" s="32" t="n">
        <v>0.1</v>
      </c>
      <c r="I54" s="4" t="inlineStr">
        <is>
          <t>CON REJILLA</t>
        </is>
      </c>
      <c r="J54" s="4" t="inlineStr">
        <is>
          <t>Fin de tapado</t>
        </is>
      </c>
    </row>
    <row r="55">
      <c r="A55" s="4" t="inlineStr">
        <is>
          <t>S-51</t>
        </is>
      </c>
      <c r="B55" s="4" t="inlineStr">
        <is>
          <t>EJE-11</t>
        </is>
      </c>
      <c r="C55" s="32" t="n">
        <v>30.36</v>
      </c>
      <c r="D55" s="32" t="n">
        <v>184.6</v>
      </c>
      <c r="E55" s="32" t="n">
        <v>184.148</v>
      </c>
      <c r="F55" s="33">
        <f>D55-E55</f>
        <v/>
      </c>
      <c r="G55" s="32" t="n">
        <v>0.1</v>
      </c>
      <c r="H55" s="32" t="n">
        <v>0.1</v>
      </c>
      <c r="I55" s="4" t="inlineStr">
        <is>
          <t>CON REJILLA</t>
        </is>
      </c>
      <c r="J55" s="4" t="inlineStr">
        <is>
          <t>Entrega a EJE-07</t>
        </is>
      </c>
    </row>
    <row r="56">
      <c r="A56" s="4" t="inlineStr">
        <is>
          <t>S-52</t>
        </is>
      </c>
      <c r="B56" s="4" t="inlineStr">
        <is>
          <t>EJE-12</t>
        </is>
      </c>
      <c r="C56" s="32" t="n">
        <v>0</v>
      </c>
      <c r="D56" s="32" t="n">
        <v>184.6</v>
      </c>
      <c r="E56" s="32" t="n">
        <v>184.3</v>
      </c>
      <c r="F56" s="33">
        <f>D56-E56</f>
        <v/>
      </c>
      <c r="G56" s="32" t="n">
        <v>0.1</v>
      </c>
      <c r="H56" s="32" t="n">
        <v>0.1</v>
      </c>
      <c r="I56" s="4" t="inlineStr">
        <is>
          <t>CON REJILLA</t>
        </is>
      </c>
      <c r="J56" s="4" t="inlineStr">
        <is>
          <t>Inicio del eje</t>
        </is>
      </c>
    </row>
    <row r="57">
      <c r="A57" s="4" t="inlineStr">
        <is>
          <t>S-53</t>
        </is>
      </c>
      <c r="B57" s="4" t="inlineStr">
        <is>
          <t>EJE-12</t>
        </is>
      </c>
      <c r="C57" s="32" t="n">
        <v>15.66</v>
      </c>
      <c r="D57" s="32" t="n">
        <v>184.6</v>
      </c>
      <c r="E57" s="32" t="n">
        <v>184.222</v>
      </c>
      <c r="F57" s="33">
        <f>D57-E57</f>
        <v/>
      </c>
      <c r="G57" s="32" t="n">
        <v>0.1</v>
      </c>
      <c r="H57" s="32" t="n">
        <v>0.1</v>
      </c>
      <c r="I57" s="4" t="inlineStr">
        <is>
          <t>CON REJILLA</t>
        </is>
      </c>
      <c r="J57" s="4" t="inlineStr"/>
    </row>
    <row r="58">
      <c r="A58" s="4" t="inlineStr">
        <is>
          <t>S-54</t>
        </is>
      </c>
      <c r="B58" s="4" t="inlineStr">
        <is>
          <t>EJE-12</t>
        </is>
      </c>
      <c r="C58" s="32" t="n">
        <v>39.36</v>
      </c>
      <c r="D58" s="32" t="n">
        <v>184.6</v>
      </c>
      <c r="E58" s="32" t="n">
        <v>184.103</v>
      </c>
      <c r="F58" s="33">
        <f>D58-E58</f>
        <v/>
      </c>
      <c r="G58" s="32" t="n">
        <v>0.1</v>
      </c>
      <c r="H58" s="32" t="n">
        <v>0.1</v>
      </c>
      <c r="I58" s="4" t="inlineStr">
        <is>
          <t>CON REJILLA</t>
        </is>
      </c>
      <c r="J58" s="4" t="inlineStr"/>
    </row>
    <row r="59">
      <c r="A59" s="4" t="inlineStr">
        <is>
          <t>S-55</t>
        </is>
      </c>
      <c r="B59" s="4" t="inlineStr">
        <is>
          <t>EJE-12</t>
        </is>
      </c>
      <c r="C59" s="32" t="n">
        <v>74.14</v>
      </c>
      <c r="D59" s="32" t="n">
        <v>184.6</v>
      </c>
      <c r="E59" s="32" t="n">
        <v>183.929</v>
      </c>
      <c r="F59" s="33">
        <f>D59-E59</f>
        <v/>
      </c>
      <c r="G59" s="32" t="n">
        <v>0.1</v>
      </c>
      <c r="H59" s="32" t="n">
        <v>0.1</v>
      </c>
      <c r="I59" s="4" t="inlineStr">
        <is>
          <t>CON REJILLA</t>
        </is>
      </c>
      <c r="J59" s="4" t="inlineStr">
        <is>
          <t>Cambio de borde</t>
        </is>
      </c>
    </row>
    <row r="60">
      <c r="A60" s="4" t="inlineStr">
        <is>
          <t>S-56</t>
        </is>
      </c>
      <c r="B60" s="4" t="inlineStr">
        <is>
          <t>EJE-12</t>
        </is>
      </c>
      <c r="C60" s="32" t="n">
        <v>74.64</v>
      </c>
      <c r="D60" s="32" t="n">
        <v>184.5</v>
      </c>
      <c r="E60" s="32" t="n">
        <v>183.927</v>
      </c>
      <c r="F60" s="33">
        <f>D60-E60</f>
        <v/>
      </c>
      <c r="G60" s="32" t="n">
        <v>0.1</v>
      </c>
      <c r="H60" s="32" t="n">
        <v>0.1</v>
      </c>
      <c r="I60" s="4" t="inlineStr">
        <is>
          <t>CON REJILLA</t>
        </is>
      </c>
      <c r="J60" s="4" t="inlineStr">
        <is>
          <t>Llega EJE-13</t>
        </is>
      </c>
    </row>
    <row r="61">
      <c r="A61" s="4" t="inlineStr">
        <is>
          <t>S-57</t>
        </is>
      </c>
      <c r="B61" s="4" t="inlineStr">
        <is>
          <t>EJE-12</t>
        </is>
      </c>
      <c r="C61" s="32" t="n">
        <v>83.3</v>
      </c>
      <c r="D61" s="32" t="n">
        <v>184.5</v>
      </c>
      <c r="E61" s="32" t="n">
        <v>183.883</v>
      </c>
      <c r="F61" s="33">
        <f>D61-E61</f>
        <v/>
      </c>
      <c r="G61" s="32" t="n">
        <v>0.1</v>
      </c>
      <c r="H61" s="32" t="n">
        <v>0.1</v>
      </c>
      <c r="I61" s="4" t="inlineStr">
        <is>
          <t>CON REJILLA</t>
        </is>
      </c>
      <c r="J61" s="4" t="inlineStr">
        <is>
          <t>Llega EJE-14</t>
        </is>
      </c>
    </row>
    <row r="62">
      <c r="A62" s="4" t="inlineStr">
        <is>
          <t>S-58</t>
        </is>
      </c>
      <c r="B62" s="4" t="inlineStr">
        <is>
          <t>EJE-12</t>
        </is>
      </c>
      <c r="C62" s="32" t="n">
        <v>95.23</v>
      </c>
      <c r="D62" s="32" t="n">
        <v>184.5</v>
      </c>
      <c r="E62" s="32" t="n">
        <v>183.824</v>
      </c>
      <c r="F62" s="33">
        <f>D62-E62</f>
        <v/>
      </c>
      <c r="G62" s="32" t="n">
        <v>0.1</v>
      </c>
      <c r="H62" s="32" t="n">
        <v>0.1</v>
      </c>
      <c r="I62" s="4" t="inlineStr">
        <is>
          <t>CON REJILLA</t>
        </is>
      </c>
      <c r="J62" s="4" t="inlineStr">
        <is>
          <t>Llega EJE-15</t>
        </is>
      </c>
    </row>
    <row r="63">
      <c r="A63" s="4" t="inlineStr">
        <is>
          <t>S-59</t>
        </is>
      </c>
      <c r="B63" s="4" t="inlineStr">
        <is>
          <t>EJE-12</t>
        </is>
      </c>
      <c r="C63" s="32" t="n">
        <v>103.86</v>
      </c>
      <c r="D63" s="32" t="n">
        <v>184.5</v>
      </c>
      <c r="E63" s="32" t="n">
        <v>183.781</v>
      </c>
      <c r="F63" s="33">
        <f>D63-E63</f>
        <v/>
      </c>
      <c r="G63" s="32" t="n">
        <v>0.1</v>
      </c>
      <c r="H63" s="32" t="n">
        <v>0.1</v>
      </c>
      <c r="I63" s="4" t="inlineStr">
        <is>
          <t>TAPADA</t>
        </is>
      </c>
      <c r="J63" s="4" t="inlineStr"/>
    </row>
    <row r="64">
      <c r="A64" s="4" t="inlineStr">
        <is>
          <t>S-60</t>
        </is>
      </c>
      <c r="B64" s="4" t="inlineStr">
        <is>
          <t>EJE-12</t>
        </is>
      </c>
      <c r="C64" s="32" t="n">
        <v>116.15</v>
      </c>
      <c r="D64" s="32" t="n">
        <v>184.5</v>
      </c>
      <c r="E64" s="32" t="n">
        <v>183.719</v>
      </c>
      <c r="F64" s="33">
        <f>D64-E64</f>
        <v/>
      </c>
      <c r="G64" s="32" t="n">
        <v>0.1</v>
      </c>
      <c r="H64" s="32" t="n">
        <v>0.1</v>
      </c>
      <c r="I64" s="4" t="inlineStr">
        <is>
          <t>TAPADA</t>
        </is>
      </c>
      <c r="J64" s="4" t="inlineStr"/>
    </row>
    <row r="65">
      <c r="A65" s="4" t="inlineStr">
        <is>
          <t>S-61</t>
        </is>
      </c>
      <c r="B65" s="4" t="inlineStr">
        <is>
          <t>EJE-12</t>
        </is>
      </c>
      <c r="C65" s="32" t="n">
        <v>118.65</v>
      </c>
      <c r="D65" s="32" t="n">
        <v>184.5</v>
      </c>
      <c r="E65" s="32" t="n">
        <v>183.707</v>
      </c>
      <c r="F65" s="33">
        <f>D65-E65</f>
        <v/>
      </c>
      <c r="G65" s="32" t="n">
        <v>0.1</v>
      </c>
      <c r="H65" s="32" t="n">
        <v>0.1</v>
      </c>
      <c r="I65" s="4" t="inlineStr">
        <is>
          <t>TAPADA</t>
        </is>
      </c>
      <c r="J65" s="4" t="inlineStr">
        <is>
          <t>Llega EJE-16</t>
        </is>
      </c>
    </row>
    <row r="66">
      <c r="A66" s="4" t="inlineStr">
        <is>
          <t>S-62</t>
        </is>
      </c>
      <c r="B66" s="4" t="inlineStr">
        <is>
          <t>EJE-12</t>
        </is>
      </c>
      <c r="C66" s="32" t="n">
        <v>119.25</v>
      </c>
      <c r="D66" s="32" t="n">
        <v>184.5</v>
      </c>
      <c r="E66" s="32" t="n">
        <v>183.704</v>
      </c>
      <c r="F66" s="33">
        <f>D66-E66</f>
        <v/>
      </c>
      <c r="G66" s="32" t="n">
        <v>0.1</v>
      </c>
      <c r="H66" s="32" t="n">
        <v>0.1</v>
      </c>
      <c r="I66" s="4" t="inlineStr">
        <is>
          <t>TAPADA</t>
        </is>
      </c>
      <c r="J66" s="4" t="inlineStr">
        <is>
          <t>Descarga D2</t>
        </is>
      </c>
    </row>
    <row r="67">
      <c r="A67" s="4" t="inlineStr">
        <is>
          <t>S-63</t>
        </is>
      </c>
      <c r="B67" s="4" t="inlineStr">
        <is>
          <t>EJE-13</t>
        </is>
      </c>
      <c r="C67" s="32" t="n">
        <v>0</v>
      </c>
      <c r="D67" s="32" t="n">
        <v>184.5</v>
      </c>
      <c r="E67" s="32" t="n">
        <v>184.2</v>
      </c>
      <c r="F67" s="33">
        <f>D67-E67</f>
        <v/>
      </c>
      <c r="G67" s="32" t="n">
        <v>0.1</v>
      </c>
      <c r="H67" s="32" t="n">
        <v>0.1</v>
      </c>
      <c r="I67" s="4" t="inlineStr">
        <is>
          <t>CON REJILLA</t>
        </is>
      </c>
      <c r="J67" s="4" t="inlineStr">
        <is>
          <t>Inicio del eje</t>
        </is>
      </c>
    </row>
    <row r="68">
      <c r="A68" s="4" t="inlineStr">
        <is>
          <t>S-64</t>
        </is>
      </c>
      <c r="B68" s="4" t="inlineStr">
        <is>
          <t>EJE-13</t>
        </is>
      </c>
      <c r="C68" s="32" t="n">
        <v>24.38</v>
      </c>
      <c r="D68" s="32" t="n">
        <v>184.5</v>
      </c>
      <c r="E68" s="32" t="n">
        <v>184.078</v>
      </c>
      <c r="F68" s="33">
        <f>D68-E68</f>
        <v/>
      </c>
      <c r="G68" s="32" t="n">
        <v>0.1</v>
      </c>
      <c r="H68" s="32" t="n">
        <v>0.1</v>
      </c>
      <c r="I68" s="4" t="inlineStr">
        <is>
          <t>CON REJILLA</t>
        </is>
      </c>
      <c r="J68" s="4" t="inlineStr">
        <is>
          <t>Entrega a EJE-12</t>
        </is>
      </c>
    </row>
    <row r="69">
      <c r="A69" s="4" t="inlineStr">
        <is>
          <t>S-65</t>
        </is>
      </c>
      <c r="B69" s="4" t="inlineStr">
        <is>
          <t>EJE-14</t>
        </is>
      </c>
      <c r="C69" s="32" t="n">
        <v>0</v>
      </c>
      <c r="D69" s="32" t="n">
        <v>184.6</v>
      </c>
      <c r="E69" s="32" t="n">
        <v>184.3</v>
      </c>
      <c r="F69" s="33">
        <f>D69-E69</f>
        <v/>
      </c>
      <c r="G69" s="32" t="n">
        <v>0.1</v>
      </c>
      <c r="H69" s="32" t="n">
        <v>0.1</v>
      </c>
      <c r="I69" s="4" t="inlineStr">
        <is>
          <t>CON REJILLA</t>
        </is>
      </c>
      <c r="J69" s="4" t="inlineStr">
        <is>
          <t>Inicio del eje</t>
        </is>
      </c>
    </row>
    <row r="70">
      <c r="A70" s="4" t="inlineStr">
        <is>
          <t>S-66</t>
        </is>
      </c>
      <c r="B70" s="4" t="inlineStr">
        <is>
          <t>EJE-14</t>
        </is>
      </c>
      <c r="C70" s="32" t="n">
        <v>17.06</v>
      </c>
      <c r="D70" s="32" t="n">
        <v>184.6</v>
      </c>
      <c r="E70" s="32" t="n">
        <v>184.215</v>
      </c>
      <c r="F70" s="33">
        <f>D70-E70</f>
        <v/>
      </c>
      <c r="G70" s="32" t="n">
        <v>0.1</v>
      </c>
      <c r="H70" s="32" t="n">
        <v>0.1</v>
      </c>
      <c r="I70" s="4" t="inlineStr">
        <is>
          <t>CON REJILLA</t>
        </is>
      </c>
      <c r="J70" s="4" t="inlineStr"/>
    </row>
    <row r="71">
      <c r="A71" s="4" t="inlineStr">
        <is>
          <t>S-67</t>
        </is>
      </c>
      <c r="B71" s="4" t="inlineStr">
        <is>
          <t>EJE-14</t>
        </is>
      </c>
      <c r="C71" s="32" t="n">
        <v>31.47</v>
      </c>
      <c r="D71" s="32" t="n">
        <v>184.6</v>
      </c>
      <c r="E71" s="32" t="n">
        <v>184.143</v>
      </c>
      <c r="F71" s="33">
        <f>D71-E71</f>
        <v/>
      </c>
      <c r="G71" s="32" t="n">
        <v>0.1</v>
      </c>
      <c r="H71" s="32" t="n">
        <v>0.1</v>
      </c>
      <c r="I71" s="4" t="inlineStr">
        <is>
          <t>CON REJILLA</t>
        </is>
      </c>
      <c r="J71" s="4" t="inlineStr">
        <is>
          <t>Cambio de borde</t>
        </is>
      </c>
    </row>
    <row r="72">
      <c r="A72" s="4" t="inlineStr">
        <is>
          <t>S-68</t>
        </is>
      </c>
      <c r="B72" s="4" t="inlineStr">
        <is>
          <t>EJE-14</t>
        </is>
      </c>
      <c r="C72" s="32" t="n">
        <v>31.96</v>
      </c>
      <c r="D72" s="32" t="n">
        <v>184.5</v>
      </c>
      <c r="E72" s="32" t="n">
        <v>184.14</v>
      </c>
      <c r="F72" s="33">
        <f>D72-E72</f>
        <v/>
      </c>
      <c r="G72" s="32" t="n">
        <v>0.1</v>
      </c>
      <c r="H72" s="32" t="n">
        <v>0.1</v>
      </c>
      <c r="I72" s="4" t="inlineStr">
        <is>
          <t>CON REJILLA</t>
        </is>
      </c>
      <c r="J72" s="4" t="inlineStr">
        <is>
          <t>Cambio de borde</t>
        </is>
      </c>
    </row>
    <row r="73">
      <c r="A73" s="4" t="inlineStr">
        <is>
          <t>S-69</t>
        </is>
      </c>
      <c r="B73" s="4" t="inlineStr">
        <is>
          <t>EJE-14</t>
        </is>
      </c>
      <c r="C73" s="32" t="n">
        <v>39.91</v>
      </c>
      <c r="D73" s="32" t="n">
        <v>184.5</v>
      </c>
      <c r="E73" s="32" t="n">
        <v>184.1</v>
      </c>
      <c r="F73" s="33">
        <f>D73-E73</f>
        <v/>
      </c>
      <c r="G73" s="32" t="n">
        <v>0.1</v>
      </c>
      <c r="H73" s="32" t="n">
        <v>0.1</v>
      </c>
      <c r="I73" s="4" t="inlineStr">
        <is>
          <t>CON REJILLA</t>
        </is>
      </c>
      <c r="J73" s="4" t="inlineStr"/>
    </row>
    <row r="74">
      <c r="A74" s="4" t="inlineStr">
        <is>
          <t>S-70</t>
        </is>
      </c>
      <c r="B74" s="4" t="inlineStr">
        <is>
          <t>EJE-14</t>
        </is>
      </c>
      <c r="C74" s="32" t="n">
        <v>41.03</v>
      </c>
      <c r="D74" s="32" t="n">
        <v>184.5</v>
      </c>
      <c r="E74" s="32" t="n">
        <v>184.095</v>
      </c>
      <c r="F74" s="33">
        <f>D74-E74</f>
        <v/>
      </c>
      <c r="G74" s="32" t="n">
        <v>0.1</v>
      </c>
      <c r="H74" s="32" t="n">
        <v>0.1</v>
      </c>
      <c r="I74" s="4" t="inlineStr">
        <is>
          <t>CON REJILLA</t>
        </is>
      </c>
      <c r="J74" s="4" t="inlineStr"/>
    </row>
    <row r="75">
      <c r="A75" s="4" t="inlineStr">
        <is>
          <t>S-71</t>
        </is>
      </c>
      <c r="B75" s="4" t="inlineStr">
        <is>
          <t>EJE-14</t>
        </is>
      </c>
      <c r="C75" s="32" t="n">
        <v>60.42</v>
      </c>
      <c r="D75" s="32" t="n">
        <v>184.5</v>
      </c>
      <c r="E75" s="32" t="n">
        <v>183.998</v>
      </c>
      <c r="F75" s="33">
        <f>D75-E75</f>
        <v/>
      </c>
      <c r="G75" s="32" t="n">
        <v>0.1</v>
      </c>
      <c r="H75" s="32" t="n">
        <v>0.1</v>
      </c>
      <c r="I75" s="4" t="inlineStr">
        <is>
          <t>CON REJILLA</t>
        </is>
      </c>
      <c r="J75" s="4" t="inlineStr"/>
    </row>
    <row r="76">
      <c r="A76" s="4" t="inlineStr">
        <is>
          <t>S-72</t>
        </is>
      </c>
      <c r="B76" s="4" t="inlineStr">
        <is>
          <t>EJE-14</t>
        </is>
      </c>
      <c r="C76" s="32" t="n">
        <v>65.61</v>
      </c>
      <c r="D76" s="32" t="n">
        <v>184.5</v>
      </c>
      <c r="E76" s="32" t="n">
        <v>183.972</v>
      </c>
      <c r="F76" s="33">
        <f>D76-E76</f>
        <v/>
      </c>
      <c r="G76" s="32" t="n">
        <v>0.1</v>
      </c>
      <c r="H76" s="32" t="n">
        <v>0.1</v>
      </c>
      <c r="I76" s="4" t="inlineStr">
        <is>
          <t>CON REJILLA</t>
        </is>
      </c>
      <c r="J76" s="4" t="inlineStr">
        <is>
          <t>Entrega a EJE-12</t>
        </is>
      </c>
    </row>
    <row r="77">
      <c r="A77" s="4" t="inlineStr">
        <is>
          <t>S-73</t>
        </is>
      </c>
      <c r="B77" s="4" t="inlineStr">
        <is>
          <t>EJE-15</t>
        </is>
      </c>
      <c r="C77" s="32" t="n">
        <v>0</v>
      </c>
      <c r="D77" s="32" t="n">
        <v>184.6</v>
      </c>
      <c r="E77" s="32" t="n">
        <v>184.3</v>
      </c>
      <c r="F77" s="33">
        <f>D77-E77</f>
        <v/>
      </c>
      <c r="G77" s="32" t="n">
        <v>0.1</v>
      </c>
      <c r="H77" s="32" t="n">
        <v>0.1</v>
      </c>
      <c r="I77" s="4" t="inlineStr">
        <is>
          <t>CON REJILLA</t>
        </is>
      </c>
      <c r="J77" s="4" t="inlineStr">
        <is>
          <t>Inicio del eje</t>
        </is>
      </c>
    </row>
    <row r="78">
      <c r="A78" s="4" t="inlineStr">
        <is>
          <t>S-74</t>
        </is>
      </c>
      <c r="B78" s="4" t="inlineStr">
        <is>
          <t>EJE-15</t>
        </is>
      </c>
      <c r="C78" s="32" t="n">
        <v>13.05</v>
      </c>
      <c r="D78" s="32" t="n">
        <v>184.6</v>
      </c>
      <c r="E78" s="32" t="n">
        <v>184.235</v>
      </c>
      <c r="F78" s="33">
        <f>D78-E78</f>
        <v/>
      </c>
      <c r="G78" s="32" t="n">
        <v>0.1</v>
      </c>
      <c r="H78" s="32" t="n">
        <v>0.1</v>
      </c>
      <c r="I78" s="4" t="inlineStr">
        <is>
          <t>CON REJILLA</t>
        </is>
      </c>
      <c r="J78" s="4" t="inlineStr"/>
    </row>
    <row r="79">
      <c r="A79" s="4" t="inlineStr">
        <is>
          <t>S-75</t>
        </is>
      </c>
      <c r="B79" s="4" t="inlineStr">
        <is>
          <t>EJE-15</t>
        </is>
      </c>
      <c r="C79" s="32" t="n">
        <v>16</v>
      </c>
      <c r="D79" s="32" t="n">
        <v>184.6</v>
      </c>
      <c r="E79" s="32" t="n">
        <v>184.22</v>
      </c>
      <c r="F79" s="33">
        <f>D79-E79</f>
        <v/>
      </c>
      <c r="G79" s="32" t="n">
        <v>0.1</v>
      </c>
      <c r="H79" s="32" t="n">
        <v>0.1</v>
      </c>
      <c r="I79" s="4" t="inlineStr">
        <is>
          <t>CON REJILLA</t>
        </is>
      </c>
      <c r="J79" s="4" t="inlineStr">
        <is>
          <t>Cambio de borde</t>
        </is>
      </c>
    </row>
    <row r="80">
      <c r="A80" s="4" t="inlineStr">
        <is>
          <t>S-76</t>
        </is>
      </c>
      <c r="B80" s="4" t="inlineStr">
        <is>
          <t>EJE-15</t>
        </is>
      </c>
      <c r="C80" s="32" t="n">
        <v>16.49</v>
      </c>
      <c r="D80" s="32" t="n">
        <v>184.5</v>
      </c>
      <c r="E80" s="32" t="n">
        <v>184.218</v>
      </c>
      <c r="F80" s="33">
        <f>D80-E80</f>
        <v/>
      </c>
      <c r="G80" s="32" t="n">
        <v>0.1</v>
      </c>
      <c r="H80" s="32" t="n">
        <v>0.1</v>
      </c>
      <c r="I80" s="4" t="inlineStr">
        <is>
          <t>CON REJILLA</t>
        </is>
      </c>
      <c r="J80" s="4" t="inlineStr">
        <is>
          <t>Cambio de borde</t>
        </is>
      </c>
    </row>
    <row r="81">
      <c r="A81" s="4" t="inlineStr">
        <is>
          <t>S-77</t>
        </is>
      </c>
      <c r="B81" s="4" t="inlineStr">
        <is>
          <t>EJE-15</t>
        </is>
      </c>
      <c r="C81" s="32" t="n">
        <v>36.63</v>
      </c>
      <c r="D81" s="32" t="n">
        <v>184.5</v>
      </c>
      <c r="E81" s="32" t="n">
        <v>184.117</v>
      </c>
      <c r="F81" s="33">
        <f>D81-E81</f>
        <v/>
      </c>
      <c r="G81" s="32" t="n">
        <v>0.1</v>
      </c>
      <c r="H81" s="32" t="n">
        <v>0.1</v>
      </c>
      <c r="I81" s="4" t="inlineStr">
        <is>
          <t>CON REJILLA</t>
        </is>
      </c>
      <c r="J81" s="4" t="inlineStr"/>
    </row>
    <row r="82">
      <c r="A82" s="4" t="inlineStr">
        <is>
          <t>S-78</t>
        </is>
      </c>
      <c r="B82" s="4" t="inlineStr">
        <is>
          <t>EJE-15</t>
        </is>
      </c>
      <c r="C82" s="32" t="n">
        <v>41.82</v>
      </c>
      <c r="D82" s="32" t="n">
        <v>184.5</v>
      </c>
      <c r="E82" s="32" t="n">
        <v>184.091</v>
      </c>
      <c r="F82" s="33">
        <f>D82-E82</f>
        <v/>
      </c>
      <c r="G82" s="32" t="n">
        <v>0.1</v>
      </c>
      <c r="H82" s="32" t="n">
        <v>0.1</v>
      </c>
      <c r="I82" s="4" t="inlineStr">
        <is>
          <t>CON REJILLA</t>
        </is>
      </c>
      <c r="J82" s="4" t="inlineStr">
        <is>
          <t>Entrega a EJE-12</t>
        </is>
      </c>
    </row>
    <row r="83">
      <c r="A83" s="4" t="inlineStr">
        <is>
          <t>S-79</t>
        </is>
      </c>
      <c r="B83" s="4" t="inlineStr">
        <is>
          <t>EJE-16</t>
        </is>
      </c>
      <c r="C83" s="32" t="n">
        <v>0</v>
      </c>
      <c r="D83" s="32" t="n">
        <v>184.6</v>
      </c>
      <c r="E83" s="32" t="n">
        <v>184.3</v>
      </c>
      <c r="F83" s="33">
        <f>D83-E83</f>
        <v/>
      </c>
      <c r="G83" s="32" t="n">
        <v>0.1</v>
      </c>
      <c r="H83" s="32" t="n">
        <v>0.1</v>
      </c>
      <c r="I83" s="4" t="inlineStr">
        <is>
          <t>CON REJILLA</t>
        </is>
      </c>
      <c r="J83" s="4" t="inlineStr">
        <is>
          <t>Inicio del eje</t>
        </is>
      </c>
    </row>
    <row r="84">
      <c r="A84" s="4" t="inlineStr">
        <is>
          <t>S-80</t>
        </is>
      </c>
      <c r="B84" s="4" t="inlineStr">
        <is>
          <t>EJE-16</t>
        </is>
      </c>
      <c r="C84" s="32" t="n">
        <v>31.2</v>
      </c>
      <c r="D84" s="32" t="n">
        <v>184.6</v>
      </c>
      <c r="E84" s="32" t="n">
        <v>184.144</v>
      </c>
      <c r="F84" s="33">
        <f>D84-E84</f>
        <v/>
      </c>
      <c r="G84" s="32" t="n">
        <v>0.1</v>
      </c>
      <c r="H84" s="32" t="n">
        <v>0.1</v>
      </c>
      <c r="I84" s="4" t="inlineStr">
        <is>
          <t>CON REJILLA</t>
        </is>
      </c>
      <c r="J84" s="4" t="inlineStr"/>
    </row>
    <row r="85">
      <c r="A85" s="4" t="inlineStr">
        <is>
          <t>S-81</t>
        </is>
      </c>
      <c r="B85" s="4" t="inlineStr">
        <is>
          <t>EJE-16</t>
        </is>
      </c>
      <c r="C85" s="32" t="n">
        <v>35.13</v>
      </c>
      <c r="D85" s="32" t="n">
        <v>184.6</v>
      </c>
      <c r="E85" s="32" t="n">
        <v>184.124</v>
      </c>
      <c r="F85" s="33">
        <f>D85-E85</f>
        <v/>
      </c>
      <c r="G85" s="32" t="n">
        <v>0.1</v>
      </c>
      <c r="H85" s="32" t="n">
        <v>0.1</v>
      </c>
      <c r="I85" s="4" t="inlineStr">
        <is>
          <t>CON REJILLA</t>
        </is>
      </c>
      <c r="J85" s="4" t="inlineStr"/>
    </row>
    <row r="86">
      <c r="A86" s="4" t="inlineStr">
        <is>
          <t>S-82</t>
        </is>
      </c>
      <c r="B86" s="4" t="inlineStr">
        <is>
          <t>EJE-16</t>
        </is>
      </c>
      <c r="C86" s="32" t="n">
        <v>35.62</v>
      </c>
      <c r="D86" s="32" t="n">
        <v>184.6</v>
      </c>
      <c r="E86" s="32" t="n">
        <v>184.122</v>
      </c>
      <c r="F86" s="33">
        <f>D86-E86</f>
        <v/>
      </c>
      <c r="G86" s="32" t="n">
        <v>0.1</v>
      </c>
      <c r="H86" s="32" t="n">
        <v>0.1</v>
      </c>
      <c r="I86" s="4" t="inlineStr">
        <is>
          <t>CON REJILLA</t>
        </is>
      </c>
      <c r="J86" s="4" t="inlineStr">
        <is>
          <t>Cambio de borde</t>
        </is>
      </c>
    </row>
    <row r="87">
      <c r="A87" s="4" t="inlineStr">
        <is>
          <t>S-83</t>
        </is>
      </c>
      <c r="B87" s="4" t="inlineStr">
        <is>
          <t>EJE-16</t>
        </is>
      </c>
      <c r="C87" s="32" t="n">
        <v>36.12</v>
      </c>
      <c r="D87" s="32" t="n">
        <v>184.5</v>
      </c>
      <c r="E87" s="32" t="n">
        <v>184.119</v>
      </c>
      <c r="F87" s="33">
        <f>D87-E87</f>
        <v/>
      </c>
      <c r="G87" s="32" t="n">
        <v>0.1</v>
      </c>
      <c r="H87" s="32" t="n">
        <v>0.1</v>
      </c>
      <c r="I87" s="4" t="inlineStr">
        <is>
          <t>CON REJILLA</t>
        </is>
      </c>
      <c r="J87" s="4" t="inlineStr">
        <is>
          <t>Cambio de borde</t>
        </is>
      </c>
    </row>
    <row r="88">
      <c r="A88" s="4" t="inlineStr">
        <is>
          <t>S-84</t>
        </is>
      </c>
      <c r="B88" s="4" t="inlineStr">
        <is>
          <t>EJE-16</t>
        </is>
      </c>
      <c r="C88" s="32" t="n">
        <v>50.03</v>
      </c>
      <c r="D88" s="32" t="n">
        <v>184.5</v>
      </c>
      <c r="E88" s="32" t="n">
        <v>184.05</v>
      </c>
      <c r="F88" s="33">
        <f>D88-E88</f>
        <v/>
      </c>
      <c r="G88" s="32" t="n">
        <v>0.1</v>
      </c>
      <c r="H88" s="32" t="n">
        <v>0.1</v>
      </c>
      <c r="I88" s="4" t="inlineStr">
        <is>
          <t>CON REJILLA</t>
        </is>
      </c>
      <c r="J88" s="4" t="inlineStr">
        <is>
          <t>Entrega a EJE-12</t>
        </is>
      </c>
    </row>
    <row r="89">
      <c r="A89" s="4" t="inlineStr">
        <is>
          <t>S-85</t>
        </is>
      </c>
      <c r="B89" s="4" t="inlineStr">
        <is>
          <t>EJE-17</t>
        </is>
      </c>
      <c r="C89" s="32" t="n">
        <v>0</v>
      </c>
      <c r="D89" s="32" t="n">
        <v>184.6</v>
      </c>
      <c r="E89" s="32" t="n">
        <v>184.3</v>
      </c>
      <c r="F89" s="33">
        <f>D89-E89</f>
        <v/>
      </c>
      <c r="G89" s="32" t="n">
        <v>0.1</v>
      </c>
      <c r="H89" s="32" t="n">
        <v>0.1</v>
      </c>
      <c r="I89" s="4" t="inlineStr">
        <is>
          <t>CON REJILLA</t>
        </is>
      </c>
      <c r="J89" s="4" t="inlineStr">
        <is>
          <t>Inicio del eje</t>
        </is>
      </c>
    </row>
    <row r="90">
      <c r="A90" s="4" t="inlineStr">
        <is>
          <t>S-86</t>
        </is>
      </c>
      <c r="B90" s="4" t="inlineStr">
        <is>
          <t>EJE-17</t>
        </is>
      </c>
      <c r="C90" s="32" t="n">
        <v>8.890000000000001</v>
      </c>
      <c r="D90" s="32" t="n">
        <v>184.6</v>
      </c>
      <c r="E90" s="32" t="n">
        <v>184.256</v>
      </c>
      <c r="F90" s="33">
        <f>D90-E90</f>
        <v/>
      </c>
      <c r="G90" s="32" t="n">
        <v>0.1</v>
      </c>
      <c r="H90" s="32" t="n">
        <v>0.1</v>
      </c>
      <c r="I90" s="4" t="inlineStr">
        <is>
          <t>TAPADA</t>
        </is>
      </c>
      <c r="J90" s="4" t="inlineStr">
        <is>
          <t>Inicio de tapado</t>
        </is>
      </c>
    </row>
    <row r="91">
      <c r="A91" s="4" t="inlineStr">
        <is>
          <t>S-87</t>
        </is>
      </c>
      <c r="B91" s="4" t="inlineStr">
        <is>
          <t>EJE-17</t>
        </is>
      </c>
      <c r="C91" s="32" t="n">
        <v>12.85</v>
      </c>
      <c r="D91" s="32" t="n">
        <v>184.6</v>
      </c>
      <c r="E91" s="32" t="n">
        <v>184.236</v>
      </c>
      <c r="F91" s="33">
        <f>D91-E91</f>
        <v/>
      </c>
      <c r="G91" s="32" t="n">
        <v>0.1</v>
      </c>
      <c r="H91" s="32" t="n">
        <v>0.1</v>
      </c>
      <c r="I91" s="4" t="inlineStr">
        <is>
          <t>CON REJILLA</t>
        </is>
      </c>
      <c r="J91" s="4" t="inlineStr">
        <is>
          <t>Fin de tapado</t>
        </is>
      </c>
    </row>
    <row r="92">
      <c r="A92" s="4" t="inlineStr">
        <is>
          <t>S-88</t>
        </is>
      </c>
      <c r="B92" s="4" t="inlineStr">
        <is>
          <t>EJE-17</t>
        </is>
      </c>
      <c r="C92" s="32" t="n">
        <v>39.03</v>
      </c>
      <c r="D92" s="32" t="n">
        <v>184.6</v>
      </c>
      <c r="E92" s="32" t="n">
        <v>184.104</v>
      </c>
      <c r="F92" s="33">
        <f>D92-E92</f>
        <v/>
      </c>
      <c r="G92" s="32" t="n">
        <v>0.1</v>
      </c>
      <c r="H92" s="32" t="n">
        <v>0.1</v>
      </c>
      <c r="I92" s="4" t="inlineStr">
        <is>
          <t>CON REJILLA</t>
        </is>
      </c>
      <c r="J92" s="4" t="inlineStr">
        <is>
          <t>Llega EJE-18</t>
        </is>
      </c>
    </row>
    <row r="93">
      <c r="A93" s="4" t="inlineStr">
        <is>
          <t>S-89</t>
        </is>
      </c>
      <c r="B93" s="4" t="inlineStr">
        <is>
          <t>EJE-17</t>
        </is>
      </c>
      <c r="C93" s="32" t="n">
        <v>39.53</v>
      </c>
      <c r="D93" s="32" t="n">
        <v>184.6</v>
      </c>
      <c r="E93" s="32" t="n">
        <v>184.102</v>
      </c>
      <c r="F93" s="33">
        <f>D93-E93</f>
        <v/>
      </c>
      <c r="G93" s="32" t="n">
        <v>0.1</v>
      </c>
      <c r="H93" s="32" t="n">
        <v>0.1</v>
      </c>
      <c r="I93" s="4" t="inlineStr">
        <is>
          <t>TAPADA</t>
        </is>
      </c>
      <c r="J93" s="4" t="inlineStr"/>
    </row>
    <row r="94">
      <c r="A94" s="4" t="inlineStr">
        <is>
          <t>S-90</t>
        </is>
      </c>
      <c r="B94" s="4" t="inlineStr">
        <is>
          <t>EJE-17</t>
        </is>
      </c>
      <c r="C94" s="32" t="n">
        <v>40.13</v>
      </c>
      <c r="D94" s="32" t="n">
        <v>184.6</v>
      </c>
      <c r="E94" s="32" t="n">
        <v>184.099</v>
      </c>
      <c r="F94" s="33">
        <f>D94-E94</f>
        <v/>
      </c>
      <c r="G94" s="32" t="n">
        <v>0.1</v>
      </c>
      <c r="H94" s="32" t="n">
        <v>0.1</v>
      </c>
      <c r="I94" s="4" t="inlineStr">
        <is>
          <t>TAPADA</t>
        </is>
      </c>
      <c r="J94" s="4" t="inlineStr">
        <is>
          <t>Descarga D4</t>
        </is>
      </c>
    </row>
    <row r="95">
      <c r="A95" s="4" t="inlineStr">
        <is>
          <t>S-91</t>
        </is>
      </c>
      <c r="B95" s="4" t="inlineStr">
        <is>
          <t>EJE-18</t>
        </is>
      </c>
      <c r="C95" s="32" t="n">
        <v>0</v>
      </c>
      <c r="D95" s="32" t="n">
        <v>184.6</v>
      </c>
      <c r="E95" s="32" t="n">
        <v>184.3</v>
      </c>
      <c r="F95" s="33">
        <f>D95-E95</f>
        <v/>
      </c>
      <c r="G95" s="32" t="n">
        <v>0.1</v>
      </c>
      <c r="H95" s="32" t="n">
        <v>0.1</v>
      </c>
      <c r="I95" s="4" t="inlineStr">
        <is>
          <t>CON REJILLA</t>
        </is>
      </c>
      <c r="J95" s="4" t="inlineStr">
        <is>
          <t>Inicio del eje</t>
        </is>
      </c>
    </row>
    <row r="96">
      <c r="A96" s="4" t="inlineStr">
        <is>
          <t>S-92</t>
        </is>
      </c>
      <c r="B96" s="4" t="inlineStr">
        <is>
          <t>EJE-18</t>
        </is>
      </c>
      <c r="C96" s="32" t="n">
        <v>11.75</v>
      </c>
      <c r="D96" s="32" t="n">
        <v>184.6</v>
      </c>
      <c r="E96" s="32" t="n">
        <v>184.241</v>
      </c>
      <c r="F96" s="33">
        <f>D96-E96</f>
        <v/>
      </c>
      <c r="G96" s="32" t="n">
        <v>0.1</v>
      </c>
      <c r="H96" s="32" t="n">
        <v>0.1</v>
      </c>
      <c r="I96" s="4" t="inlineStr">
        <is>
          <t>CON REJILLA</t>
        </is>
      </c>
      <c r="J96" s="4" t="inlineStr"/>
    </row>
    <row r="97">
      <c r="A97" s="4" t="inlineStr">
        <is>
          <t>S-93</t>
        </is>
      </c>
      <c r="B97" s="4" t="inlineStr">
        <is>
          <t>EJE-18</t>
        </is>
      </c>
      <c r="C97" s="32" t="n">
        <v>37.22</v>
      </c>
      <c r="D97" s="32" t="n">
        <v>184.6</v>
      </c>
      <c r="E97" s="32" t="n">
        <v>184.114</v>
      </c>
      <c r="F97" s="33">
        <f>D97-E97</f>
        <v/>
      </c>
      <c r="G97" s="32" t="n">
        <v>0.1</v>
      </c>
      <c r="H97" s="32" t="n">
        <v>0.1</v>
      </c>
      <c r="I97" s="4" t="inlineStr">
        <is>
          <t>CON REJILLA</t>
        </is>
      </c>
      <c r="J97" s="4" t="inlineStr">
        <is>
          <t>Llega EJE-19</t>
        </is>
      </c>
    </row>
    <row r="98">
      <c r="A98" s="4" t="inlineStr">
        <is>
          <t>S-94</t>
        </is>
      </c>
      <c r="B98" s="4" t="inlineStr">
        <is>
          <t>EJE-18</t>
        </is>
      </c>
      <c r="C98" s="32" t="n">
        <v>39.13</v>
      </c>
      <c r="D98" s="32" t="n">
        <v>184.6</v>
      </c>
      <c r="E98" s="32" t="n">
        <v>184.104</v>
      </c>
      <c r="F98" s="33">
        <f>D98-E98</f>
        <v/>
      </c>
      <c r="G98" s="32" t="n">
        <v>0.1</v>
      </c>
      <c r="H98" s="32" t="n">
        <v>0.1</v>
      </c>
      <c r="I98" s="4" t="inlineStr">
        <is>
          <t>CON REJILLA</t>
        </is>
      </c>
      <c r="J98" s="4" t="inlineStr">
        <is>
          <t>Entrega a EJE-17</t>
        </is>
      </c>
    </row>
    <row r="99">
      <c r="A99" s="4" t="inlineStr">
        <is>
          <t>S-95</t>
        </is>
      </c>
      <c r="B99" s="4" t="inlineStr">
        <is>
          <t>EJE-19</t>
        </is>
      </c>
      <c r="C99" s="32" t="n">
        <v>0</v>
      </c>
      <c r="D99" s="32" t="n">
        <v>184.6</v>
      </c>
      <c r="E99" s="32" t="n">
        <v>184.3</v>
      </c>
      <c r="F99" s="33">
        <f>D99-E99</f>
        <v/>
      </c>
      <c r="G99" s="32" t="n">
        <v>0.1</v>
      </c>
      <c r="H99" s="32" t="n">
        <v>0.1</v>
      </c>
      <c r="I99" s="4" t="inlineStr">
        <is>
          <t>CON REJILLA</t>
        </is>
      </c>
      <c r="J99" s="4" t="inlineStr">
        <is>
          <t>Inicio del eje</t>
        </is>
      </c>
    </row>
    <row r="100">
      <c r="A100" s="4" t="inlineStr">
        <is>
          <t>S-96</t>
        </is>
      </c>
      <c r="B100" s="4" t="inlineStr">
        <is>
          <t>EJE-19</t>
        </is>
      </c>
      <c r="C100" s="32" t="n">
        <v>13.84</v>
      </c>
      <c r="D100" s="32" t="n">
        <v>184.6</v>
      </c>
      <c r="E100" s="32" t="n">
        <v>184.231</v>
      </c>
      <c r="F100" s="33">
        <f>D100-E100</f>
        <v/>
      </c>
      <c r="G100" s="32" t="n">
        <v>0.1</v>
      </c>
      <c r="H100" s="32" t="n">
        <v>0.1</v>
      </c>
      <c r="I100" s="4" t="inlineStr">
        <is>
          <t>CON REJILLA</t>
        </is>
      </c>
      <c r="J100" s="4" t="inlineStr">
        <is>
          <t>Entrega a EJE-18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2026-10-21T00:26:03Z</dcterms:created>
  <dcterms:modified xmlns:dcterms="http://purl.org/dc/terms/" xmlns:xsi="http://www.w3.org/2001/XMLSchema-instance" xsi:type="dcterms:W3CDTF">2026-10-21T00:26:03Z</dcterms:modified>
</cp:coreProperties>
</file>