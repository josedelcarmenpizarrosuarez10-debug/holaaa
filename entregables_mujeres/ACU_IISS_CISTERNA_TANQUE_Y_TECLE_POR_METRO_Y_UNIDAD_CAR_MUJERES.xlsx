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MANO DE OBRA 2026" sheetId="2" state="visible" r:id="rId4"/>
    <sheet name="PRECIOS DE INSUMOS" sheetId="3" state="visible" r:id="rId5"/>
    <sheet name="4.2.3.1.1" sheetId="4" state="visible" r:id="rId6"/>
    <sheet name="4.2.3.1.2" sheetId="5" state="visible" r:id="rId7"/>
    <sheet name="4.2.3.1.3" sheetId="6" state="visible" r:id="rId8"/>
    <sheet name="4.2.3.1.4" sheetId="7" state="visible" r:id="rId9"/>
    <sheet name="4.2.3.1.5" sheetId="8" state="visible" r:id="rId10"/>
    <sheet name="4.2.3.1.6" sheetId="9" state="visible" r:id="rId11"/>
    <sheet name="4.2.3.1.7" sheetId="10" state="visible" r:id="rId12"/>
    <sheet name="4.3.6.3.3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<sst xmlns="http://schemas.openxmlformats.org/spreadsheetml/2006/main" count="3610" uniqueCount="732">
  <si>
    <t xml:space="preserve">ANÁLISIS DE COSTOS UNITARIOS - CISTERNA, TANQUE ELEVADO Y TECLE (SIN PARTIDAS GLOBALES)</t>
  </si>
  <si>
    <t xml:space="preserve">CREACIÓN DEL SERVICIO DE PROTECCIÓN INTEGRAL A NIÑAS, NIÑOS Y ADOLESCENTES SIN CUIDADOS PARENTALES O EN RIESGO DE PERDERLOS EN CENTRO DE ACOGIDA RESIDENCIAL - MUJERES, DISTRITO DE MORALES, PROVINCIA Y DEPARTAMENTO DE SAN MARTÍN (CAR Mujeres, CUI 2717013)</t>
  </si>
  <si>
    <t xml:space="preserve">Las 8 partidas que la planilla de IISS tiene en glb se desagregan para valorizar: tubería por metro, accesorios por unidad, prueba de cisterna y tanque por m³ y tecle por unidad. Los metrados son los del desagregado de la planilla (sin cambios). Lugar: San Martín - San Martín - Morales. Fecha: Octubre 2026.</t>
  </si>
  <si>
    <t xml:space="preserve">ÍTEM</t>
  </si>
  <si>
    <t xml:space="preserve">DESCRIPCIÓN</t>
  </si>
  <si>
    <t xml:space="preserve">UND</t>
  </si>
  <si>
    <t xml:space="preserve">METRADO</t>
  </si>
  <si>
    <t xml:space="preserve">PRECIO UNIT. (S/)</t>
  </si>
  <si>
    <t xml:space="preserve">PARCIAL (S/)</t>
  </si>
  <si>
    <t xml:space="preserve">SUSTENTO DEL METRADO</t>
  </si>
  <si>
    <t xml:space="preserve">4.2.3.1.1</t>
  </si>
  <si>
    <t xml:space="preserve">SUM. E INST. DE LINEA DE INGRESO A LA CISTERNA DE PVC SP D=1 1/4"</t>
  </si>
  <si>
    <t xml:space="preserve">subtotal</t>
  </si>
  <si>
    <t xml:space="preserve">en la planilla: 1 glb</t>
  </si>
  <si>
    <t xml:space="preserve">4.2.3.1.1.01</t>
  </si>
  <si>
    <t xml:space="preserve">Tubería PVC SP C-10 de Ø=1" - NTP 399.002:2015</t>
  </si>
  <si>
    <t xml:space="preserve">m</t>
  </si>
  <si>
    <t xml:space="preserve">planilla fila 438</t>
  </si>
  <si>
    <t xml:space="preserve">4.2.3.1.1.02</t>
  </si>
  <si>
    <t xml:space="preserve">Válvula Flotadora de Bronce de Ø=1"</t>
  </si>
  <si>
    <t xml:space="preserve">und</t>
  </si>
  <si>
    <t xml:space="preserve">planilla fila 439</t>
  </si>
  <si>
    <t xml:space="preserve">4.2.3.1.1.03</t>
  </si>
  <si>
    <t xml:space="preserve">Unión roscado de F°G°de Ø=1"</t>
  </si>
  <si>
    <t xml:space="preserve">planilla fila 440</t>
  </si>
  <si>
    <t xml:space="preserve">4.2.3.1.1.04</t>
  </si>
  <si>
    <t xml:space="preserve">Brida Rompe agua de Ø=1" PL=0.15x0.15m e=1/8" (Niple F°G°= 3/4", L=0.35 m) Rosca Ambos Lados</t>
  </si>
  <si>
    <t xml:space="preserve">planilla fila 441</t>
  </si>
  <si>
    <t xml:space="preserve">4.2.3.1.2</t>
  </si>
  <si>
    <t xml:space="preserve">SUM. E INST. DE LINEA DE SUCCIÓN SISTEMA DE BOMBEO DE PVC SP D=1 1/2"</t>
  </si>
  <si>
    <t xml:space="preserve">4.2.3.1.2.01</t>
  </si>
  <si>
    <t xml:space="preserve">Tubería PVC SP C-10 de Ø=1 1/2" - tramo de succión (planilla: «Canastilla de PVC-U Ø1 1/2"» 4.64 m)</t>
  </si>
  <si>
    <t xml:space="preserve">planilla fila 445</t>
  </si>
  <si>
    <t xml:space="preserve">4.2.3.1.2.02</t>
  </si>
  <si>
    <t xml:space="preserve">Brida Rompe agua de Ø=1 1/2" PL=0.15x0.15m e=1/8" (Niple F°G°= 1 1/2", L=0.25 m) Rosca Ambos Lados</t>
  </si>
  <si>
    <t xml:space="preserve">planilla fila 444</t>
  </si>
  <si>
    <t xml:space="preserve">4.2.3.1.2.03</t>
  </si>
  <si>
    <t xml:space="preserve">Canastilla de succión PVC Ø1 1/2"</t>
  </si>
  <si>
    <t xml:space="preserve">planilla fila 445 (ver obs.)</t>
  </si>
  <si>
    <t xml:space="preserve">4.2.3.1.2.04</t>
  </si>
  <si>
    <t xml:space="preserve">Unión Socket PVC C-10 de ∅=1 1/2" (Rosca Hembra)</t>
  </si>
  <si>
    <t xml:space="preserve">planilla fila 446</t>
  </si>
  <si>
    <t xml:space="preserve">4.2.3.1.2.05</t>
  </si>
  <si>
    <t xml:space="preserve">Tee PVC SP C-10 de Ø=1 1/2"</t>
  </si>
  <si>
    <t xml:space="preserve">planilla fila 447</t>
  </si>
  <si>
    <t xml:space="preserve">4.2.3.1.2.06</t>
  </si>
  <si>
    <t xml:space="preserve">Tapón hembra de PVC SP C-10 de Ø=1 1/2"</t>
  </si>
  <si>
    <t xml:space="preserve">planilla fila 448</t>
  </si>
  <si>
    <t xml:space="preserve">4.2.3.1.2.07</t>
  </si>
  <si>
    <t xml:space="preserve">Electronivel conectado a bombas</t>
  </si>
  <si>
    <t xml:space="preserve">planilla fila 449</t>
  </si>
  <si>
    <t xml:space="preserve">4.2.3.1.3</t>
  </si>
  <si>
    <t xml:space="preserve">SUM. E INST. DE LINEA DE IMPULSIÓN SISTEMA DE BOMBEO DE PVC SP D=1"</t>
  </si>
  <si>
    <t xml:space="preserve">4.2.3.1.3.01</t>
  </si>
  <si>
    <t xml:space="preserve">Tubería PVC SP C-10 de Ø=1 1/2" - NTP 399.002:2015</t>
  </si>
  <si>
    <t xml:space="preserve">planilla fila 458</t>
  </si>
  <si>
    <t xml:space="preserve">4.2.3.1.3.02</t>
  </si>
  <si>
    <t xml:space="preserve">Codo PVC SP C-10 de Ø=1 1/2" x 90°</t>
  </si>
  <si>
    <t xml:space="preserve">planilla fila 453</t>
  </si>
  <si>
    <t xml:space="preserve">4.2.3.1.3.03</t>
  </si>
  <si>
    <t xml:space="preserve">Válvula Check de PVC Ø=1 1/2"</t>
  </si>
  <si>
    <t xml:space="preserve">planilla fila 454</t>
  </si>
  <si>
    <t xml:space="preserve">4.2.3.1.3.04</t>
  </si>
  <si>
    <t xml:space="preserve">Unión universal roscado de PVC C-10 de Ø=1 1/2"</t>
  </si>
  <si>
    <t xml:space="preserve">planilla fila 455, fila 461</t>
  </si>
  <si>
    <t xml:space="preserve">4.2.3.1.3.05</t>
  </si>
  <si>
    <t xml:space="preserve">Válvula Esferica de PVC Ø=1 1/2"</t>
  </si>
  <si>
    <t xml:space="preserve">planilla fila 456</t>
  </si>
  <si>
    <t xml:space="preserve">4.2.3.1.3.06</t>
  </si>
  <si>
    <t xml:space="preserve">planilla fila 457</t>
  </si>
  <si>
    <t xml:space="preserve">4.2.3.1.3.07</t>
  </si>
  <si>
    <t xml:space="preserve">Niple roscado de PVC C-10 de Ø=1 1/2" x 2"</t>
  </si>
  <si>
    <t xml:space="preserve">planilla fila 459, fila 464</t>
  </si>
  <si>
    <t xml:space="preserve">4.2.3.1.3.08</t>
  </si>
  <si>
    <t xml:space="preserve">Reducción PVC SP C-10 de Ø=1 1/2" x 3/4"</t>
  </si>
  <si>
    <t xml:space="preserve">planilla fila 460</t>
  </si>
  <si>
    <t xml:space="preserve">4.2.3.1.3.09</t>
  </si>
  <si>
    <t xml:space="preserve">Válvula esférica roscado de Bronce Pesado de Ø=1 1/2"</t>
  </si>
  <si>
    <t xml:space="preserve">planilla fila 462</t>
  </si>
  <si>
    <t xml:space="preserve">4.2.3.1.3.10</t>
  </si>
  <si>
    <t xml:space="preserve">Tapón Hembra PVC Ø=1 1/2"</t>
  </si>
  <si>
    <t xml:space="preserve">planilla fila 463</t>
  </si>
  <si>
    <t xml:space="preserve">4.2.3.1.3.11</t>
  </si>
  <si>
    <t xml:space="preserve">Abrazadera de F°G° e= 1/8" P/Tubería de Ø 1 1/2"</t>
  </si>
  <si>
    <t xml:space="preserve">planilla fila 465</t>
  </si>
  <si>
    <t xml:space="preserve">4.2.3.1.3.12</t>
  </si>
  <si>
    <t xml:space="preserve">planilla fila 466</t>
  </si>
  <si>
    <t xml:space="preserve">4.2.3.1.3.13</t>
  </si>
  <si>
    <t xml:space="preserve">Codo roscado de F°G° de Ø=1 1/2" x 90°</t>
  </si>
  <si>
    <t xml:space="preserve">planilla fila 467</t>
  </si>
  <si>
    <t xml:space="preserve">4.2.3.1.3.14</t>
  </si>
  <si>
    <t xml:space="preserve">Brida Rompe agua de Ø=1 1/2" PL=0.15x0.15m e=1/8" (Niple F°G°= 1", L=0.25 m) Rosca Ambos Lados</t>
  </si>
  <si>
    <t xml:space="preserve">planilla fila 468</t>
  </si>
  <si>
    <t xml:space="preserve">4.2.3.1.3.15</t>
  </si>
  <si>
    <t xml:space="preserve">Niple Roscado de F°G° de Ø=1 1/2", L=0.60 m - Rosca Ambos Lados - Norma ISO 65 - Serie I (Estándar)</t>
  </si>
  <si>
    <t xml:space="preserve">planilla fila 469</t>
  </si>
  <si>
    <t xml:space="preserve">4.2.3.1.3.16</t>
  </si>
  <si>
    <t xml:space="preserve">Unión roscado de F°G°de Ø=1 1/2"</t>
  </si>
  <si>
    <t xml:space="preserve">planilla fila 470</t>
  </si>
  <si>
    <t xml:space="preserve">4.2.3.1.3.17</t>
  </si>
  <si>
    <t xml:space="preserve">Válvula Flotadora de Bronce de Ø=1 1/2"</t>
  </si>
  <si>
    <t xml:space="preserve">planilla fila 471</t>
  </si>
  <si>
    <t xml:space="preserve">4.2.3.1.3.18</t>
  </si>
  <si>
    <t xml:space="preserve">planilla fila 472</t>
  </si>
  <si>
    <t xml:space="preserve">4.2.3.1.4</t>
  </si>
  <si>
    <t xml:space="preserve">SUM. E INST. DE LINEA DE DISTRIBUCION SISTEMA DE BOMBEO DE PVC SP D=2"</t>
  </si>
  <si>
    <t xml:space="preserve">4.2.3.1.4.01</t>
  </si>
  <si>
    <t xml:space="preserve">Tubería PVC SP C-10 de Ø=2" - NTP 399.002:2015</t>
  </si>
  <si>
    <t xml:space="preserve">planilla fila 478</t>
  </si>
  <si>
    <t xml:space="preserve">4.2.3.1.4.02</t>
  </si>
  <si>
    <t xml:space="preserve">Brida Rompe agua de Ø=2" PL=0.25x0.25m e=1/8" (Niple F°G°=2", L=0.40 m) Rosca Ambos Lados</t>
  </si>
  <si>
    <t xml:space="preserve">planilla fila 475</t>
  </si>
  <si>
    <t xml:space="preserve">4.2.3.1.4.03</t>
  </si>
  <si>
    <t xml:space="preserve">Unión Socket PVC C-10 de ∅=2" (Rosca Hembra)</t>
  </si>
  <si>
    <t xml:space="preserve">planilla fila 476</t>
  </si>
  <si>
    <t xml:space="preserve">4.2.3.1.4.04</t>
  </si>
  <si>
    <t xml:space="preserve">Codo PVC SP C-10 de Ø=2" x 90°</t>
  </si>
  <si>
    <t xml:space="preserve">planilla fila 477</t>
  </si>
  <si>
    <t xml:space="preserve">4.2.3.1.4.05</t>
  </si>
  <si>
    <t xml:space="preserve">Adaptador UPR PVC C-10 de Ø=2"</t>
  </si>
  <si>
    <t xml:space="preserve">planilla fila 479</t>
  </si>
  <si>
    <t xml:space="preserve">4.2.3.1.4.06</t>
  </si>
  <si>
    <t xml:space="preserve">Unión universal roscado de PVC C-10 de Ø=2"</t>
  </si>
  <si>
    <t xml:space="preserve">planilla fila 480</t>
  </si>
  <si>
    <t xml:space="preserve">4.2.3.1.4.07</t>
  </si>
  <si>
    <t xml:space="preserve">Niple roscado de PVC C-10 de Ø=2" x 6"</t>
  </si>
  <si>
    <t xml:space="preserve">planilla fila 481</t>
  </si>
  <si>
    <t xml:space="preserve">4.2.3.1.4.08</t>
  </si>
  <si>
    <t xml:space="preserve">Válvula compuerta roscado de Bronce Pesado de Ø=2"</t>
  </si>
  <si>
    <t xml:space="preserve">planilla fila 482</t>
  </si>
  <si>
    <t xml:space="preserve">4.2.3.1.4.09</t>
  </si>
  <si>
    <t xml:space="preserve">Abrazadera de F°G e= 1/8" P/Tubería de Ø 2"</t>
  </si>
  <si>
    <t xml:space="preserve">planilla fila 483</t>
  </si>
  <si>
    <t xml:space="preserve">4.2.3.1.4.10</t>
  </si>
  <si>
    <t xml:space="preserve">Tee PVC SP C-10 de Ø=2"</t>
  </si>
  <si>
    <t xml:space="preserve">planilla fila 484</t>
  </si>
  <si>
    <t xml:space="preserve">4.2.3.1.4.11</t>
  </si>
  <si>
    <t xml:space="preserve">Codo PVC SP C-10 de Ø=2" x 45°</t>
  </si>
  <si>
    <t xml:space="preserve">planilla fila 485</t>
  </si>
  <si>
    <t xml:space="preserve">4.2.3.1.5</t>
  </si>
  <si>
    <t xml:space="preserve">SUM. E INST. DE LINEA DE REBOSE TANQUE ELEVADO DE PVC SP D=2"</t>
  </si>
  <si>
    <t xml:space="preserve">4.2.3.1.5.01</t>
  </si>
  <si>
    <t xml:space="preserve">planilla fila 489</t>
  </si>
  <si>
    <t xml:space="preserve">4.2.3.1.5.02</t>
  </si>
  <si>
    <t xml:space="preserve">planilla fila 497</t>
  </si>
  <si>
    <t xml:space="preserve">4.2.3.1.5.03</t>
  </si>
  <si>
    <t xml:space="preserve">Reducción PVC SP C-10 de Ø=2" x 1"</t>
  </si>
  <si>
    <t xml:space="preserve">planilla fila 488</t>
  </si>
  <si>
    <t xml:space="preserve">4.2.3.1.5.04</t>
  </si>
  <si>
    <t xml:space="preserve">Abrazadera de F°G° e= 1/8" P/Tubería de Ø 1"</t>
  </si>
  <si>
    <t xml:space="preserve">planilla fila 490</t>
  </si>
  <si>
    <t xml:space="preserve">4.2.3.1.5.05</t>
  </si>
  <si>
    <t xml:space="preserve">Codo PVC SP C-10 de Ø=1" x 90°</t>
  </si>
  <si>
    <t xml:space="preserve">planilla fila 491</t>
  </si>
  <si>
    <t xml:space="preserve">4.2.3.1.5.06</t>
  </si>
  <si>
    <t xml:space="preserve">Brida Rompe agua de Ø=2" PL=0.15x0.15m e=1/8" (Niple F°G°= 2", L=0.25 m) Rosca Ambos Lados</t>
  </si>
  <si>
    <t xml:space="preserve">planilla fila 492</t>
  </si>
  <si>
    <t xml:space="preserve">4.2.3.1.5.07</t>
  </si>
  <si>
    <t xml:space="preserve">Tee PVC Roscada C-10 de Ø=2"</t>
  </si>
  <si>
    <t xml:space="preserve">planilla fila 493</t>
  </si>
  <si>
    <t xml:space="preserve">4.2.3.1.5.08</t>
  </si>
  <si>
    <t xml:space="preserve">Niple roscado de PVC C-10 de Ø=2" x 4"</t>
  </si>
  <si>
    <t xml:space="preserve">planilla fila 494</t>
  </si>
  <si>
    <t xml:space="preserve">4.2.3.1.5.09</t>
  </si>
  <si>
    <t xml:space="preserve">planilla fila 495</t>
  </si>
  <si>
    <t xml:space="preserve">4.2.3.1.5.10</t>
  </si>
  <si>
    <t xml:space="preserve">Abrazadera de F°G° e= 1/8" P/Tubería de Ø 2"</t>
  </si>
  <si>
    <t xml:space="preserve">planilla fila 496</t>
  </si>
  <si>
    <t xml:space="preserve">4.2.3.1.5.11</t>
  </si>
  <si>
    <t xml:space="preserve">Sombrero de Ventilación PVC-SAP Ø2"</t>
  </si>
  <si>
    <t xml:space="preserve">planilla fila 498</t>
  </si>
  <si>
    <t xml:space="preserve">4.2.3.1.5.12</t>
  </si>
  <si>
    <t xml:space="preserve">planilla fila 499</t>
  </si>
  <si>
    <t xml:space="preserve">4.2.3.1.5.13</t>
  </si>
  <si>
    <t xml:space="preserve">planilla fila 500</t>
  </si>
  <si>
    <t xml:space="preserve">4.2.3.1.5.14</t>
  </si>
  <si>
    <t xml:space="preserve">planilla fila 501</t>
  </si>
  <si>
    <t xml:space="preserve">4.2.3.1.5.15</t>
  </si>
  <si>
    <t xml:space="preserve">planilla fila 502</t>
  </si>
  <si>
    <t xml:space="preserve">4.2.3.1.5.16</t>
  </si>
  <si>
    <t xml:space="preserve">planilla fila 503</t>
  </si>
  <si>
    <t xml:space="preserve">4.2.3.1.5.17</t>
  </si>
  <si>
    <t xml:space="preserve">planilla fila 504</t>
  </si>
  <si>
    <t xml:space="preserve">4.2.3.1.6</t>
  </si>
  <si>
    <t xml:space="preserve">SUM. E INST. DE LINEA DE LIMPIA Y VENTILACION CISTERNA DE PVC SP D=2"</t>
  </si>
  <si>
    <t xml:space="preserve">4.2.3.1.6.01</t>
  </si>
  <si>
    <t xml:space="preserve">Brida Rompe agua de Ø=2" PL=0.20x0.20m e=1/8" (Niple F°G°= 2", L=0.45 m) Rosca a un Lado</t>
  </si>
  <si>
    <t xml:space="preserve">planilla fila 507</t>
  </si>
  <si>
    <t xml:space="preserve">4.2.3.1.6.02</t>
  </si>
  <si>
    <t xml:space="preserve">Codo de PVC de Ø=2" x 90°</t>
  </si>
  <si>
    <t xml:space="preserve">planilla fila 508</t>
  </si>
  <si>
    <t xml:space="preserve">4.2.3.1.6.03</t>
  </si>
  <si>
    <t xml:space="preserve">Niple roscado de PVC de Ø=2" x 6"</t>
  </si>
  <si>
    <t xml:space="preserve">planilla fila 509</t>
  </si>
  <si>
    <t xml:space="preserve">4.2.3.1.6.04</t>
  </si>
  <si>
    <t xml:space="preserve">Codo de PVC de Ø=2" x 90° - Inc. Malla Galvanizada Soldada</t>
  </si>
  <si>
    <t xml:space="preserve">planilla fila 510</t>
  </si>
  <si>
    <t xml:space="preserve">4.2.3.1.7</t>
  </si>
  <si>
    <t xml:space="preserve">PRUEBA HIDRÁULICA DE ESTANQUEIDAD Y DESINFECCIÓN DE CISTERNA Y TANQUE ELEVADO</t>
  </si>
  <si>
    <t xml:space="preserve">4.2.3.1.7.01</t>
  </si>
  <si>
    <t xml:space="preserve">Prueba hidráulica de estanqueidad y desinfección de cisterna (32 m³) y tanque elevado (15 m³)</t>
  </si>
  <si>
    <t xml:space="preserve">m3</t>
  </si>
  <si>
    <t xml:space="preserve">programa arquitectónico: 32 + 15 m³</t>
  </si>
  <si>
    <t xml:space="preserve">4.3.6.3.3</t>
  </si>
  <si>
    <t xml:space="preserve">TECLE DE PALANCA P/CABALLETE</t>
  </si>
  <si>
    <t xml:space="preserve">4.3.6.3.3.01</t>
  </si>
  <si>
    <t xml:space="preserve">Caballete móvil de IPN 100 con 4 ruedas con freno y tecle de palanca</t>
  </si>
  <si>
    <t xml:space="preserve">planilla filas 1022-1029</t>
  </si>
  <si>
    <t xml:space="preserve">COSTO DIRECTO TOTAL (S/, sin IGV)</t>
  </si>
  <si>
    <t xml:space="preserve">NOTAS</t>
  </si>
  <si>
    <t xml:space="preserve">• Valorización: la tubería se paga por metro instalado y cada accesorio, válvula, brida, abrazadera, electronivel o canastilla por unidad instalada; la prueba de cisterna y tanque por m³ probado y desinfectado; el caballete con tecle por unidad.</t>
  </si>
  <si>
    <t xml:space="preserve">• Cada sub-partida sale de una fila del desagregado de la planilla (columna SUSTENTO). Filas con unidad o parcial irregular: ver las observaciones de cada ACU.</t>
  </si>
  <si>
    <t xml:space="preserve">• La partida 4.2.3.1.8 (prueba hidráulica de las líneas, 67 m) no se toca: corresponde a impulsión 15 + distribución 17 + rebose 17 + 18 = 67 m (no incluye ingreso 6 m ni succión 4.64 m).</t>
  </si>
  <si>
    <t xml:space="preserve">• Mano de obra: tabla oficial CAPECO - FTCCP 2026 (operario S/ 28.95, oficial S/ 22.68, peón S/ 20.54 por hora). Materiales: hoja PRECIOS DE INSUMOS (tienda y enlace).</t>
  </si>
  <si>
    <t xml:space="preserve">• Costo directo sin IGV; gastos generales, utilidad e IGV van en el presupuesto.</t>
  </si>
  <si>
    <t xml:space="preserve">COSTO DE LA HORA-HOMBRE 2026 - RÉGIMEN DE CONSTRUCCIÓN CIVIL</t>
  </si>
  <si>
    <t xml:space="preserve">Tabla oficial CAPECO - FTCCP «Remuneración y condiciones de trabajo en construcción civil 2026» (Acta final de negociación colectiva, Exp. N.° 339-2025-MTPE/2.14-NC), costo hora-hombre en edificación del 01.01.2026 al 31.12.2026.</t>
  </si>
  <si>
    <t xml:space="preserve">DESGLOSE DEL COSTO DIARIO EN EDIFICACIÓN (S/ por día de 8 horas)</t>
  </si>
  <si>
    <t xml:space="preserve">N.°</t>
  </si>
  <si>
    <t xml:space="preserve">CONCEPTO</t>
  </si>
  <si>
    <t xml:space="preserve">OPERARIO</t>
  </si>
  <si>
    <t xml:space="preserve">OFICIAL</t>
  </si>
  <si>
    <t xml:space="preserve">PEÓN</t>
  </si>
  <si>
    <t xml:space="preserve">SUSTENTO</t>
  </si>
  <si>
    <t xml:space="preserve">Remuneración básica (jornal diario)</t>
  </si>
  <si>
    <t xml:space="preserve">R.M. 197-2025-TR; tabla oficial</t>
  </si>
  <si>
    <t xml:space="preserve">Leyes y beneficios sociales sobre el jornal básico (112.20 %)</t>
  </si>
  <si>
    <t xml:space="preserve">tabla oficial</t>
  </si>
  <si>
    <t xml:space="preserve">Bonificación unificada de construcción BUC (32 % / 30 % / 30 %)</t>
  </si>
  <si>
    <t xml:space="preserve">Leyes y beneficios sociales sobre el BUC (12.25 %)</t>
  </si>
  <si>
    <t xml:space="preserve">Seguro de vida ESSALUD + Vida</t>
  </si>
  <si>
    <t xml:space="preserve">Fondo de capacitación</t>
  </si>
  <si>
    <t xml:space="preserve">Bonificación por movilidad (R.M. N.° 139-2024-TR)</t>
  </si>
  <si>
    <t xml:space="preserve">S/ 8.60 por día laborado</t>
  </si>
  <si>
    <t xml:space="preserve">Overol (R.D. N.° 777-87-DR-LIM): (2 x S/ 132.80) / 300</t>
  </si>
  <si>
    <t xml:space="preserve">Total por día de 8 horas (S/)</t>
  </si>
  <si>
    <t xml:space="preserve">COSTO DE LA HORA-HOMBRE (S/ hh) = total / 8</t>
  </si>
  <si>
    <t xml:space="preserve">tabla oficial: 231.62 / 181.46 / 164.34 y 28.95 / 22.68 / 20.54</t>
  </si>
  <si>
    <t xml:space="preserve">PRECIOS DE INSUMOS (materiales y equipos) - SUSTENTO</t>
  </si>
  <si>
    <t xml:space="preserve">Precio publicado con IGV en la tienda indicada (venta nacional; Sodimac y Promart tienen tienda en Tarapoto) y precio unitario sin IGV = precio publicado / contenido / 1.18. Las ACU leen la columna H. Celda amarilla = dato editable (el ingeniero de costos puede reemplazarlo por su cotización y todo se recalcula); verde = fórmula.</t>
  </si>
  <si>
    <t xml:space="preserve">CÓDIGO</t>
  </si>
  <si>
    <t xml:space="preserve">INSUMO (como figura en la ACU)</t>
  </si>
  <si>
    <t xml:space="preserve">PRODUCTO PUBLICADO</t>
  </si>
  <si>
    <t xml:space="preserve">PRESENTACIÓN</t>
  </si>
  <si>
    <t xml:space="preserve">PRECIO CON IGV (S/)</t>
  </si>
  <si>
    <t xml:space="preserve">CONTENIDO (und ACU)</t>
  </si>
  <si>
    <t xml:space="preserve">PRECIO UNIT. SIN IGV (S/)</t>
  </si>
  <si>
    <t xml:space="preserve">TIENDA / FUENTE</t>
  </si>
  <si>
    <t xml:space="preserve">ENLACE</t>
  </si>
  <si>
    <t xml:space="preserve">ESTADO</t>
  </si>
  <si>
    <t xml:space="preserve">1. INSUMOS COMERCIALES</t>
  </si>
  <si>
    <t xml:space="preserve">TB1</t>
  </si>
  <si>
    <t xml:space="preserve">Tubería PVC SP C-10 Ø1"</t>
  </si>
  <si>
    <t xml:space="preserve">Tubo agua PVC 1" x 5 m Pavco SP fría</t>
  </si>
  <si>
    <t xml:space="preserve">barra 5 m</t>
  </si>
  <si>
    <t xml:space="preserve">Sodimac Perú</t>
  </si>
  <si>
    <t xml:space="preserve">https://www.sodimac.com.pe/sodimac-pe/b/tubo-pvc-1-pulgada</t>
  </si>
  <si>
    <t xml:space="preserve">EXACTO</t>
  </si>
  <si>
    <t xml:space="preserve">TB15</t>
  </si>
  <si>
    <t xml:space="preserve">Tubería PVC SP C-10 Ø1 1/2"</t>
  </si>
  <si>
    <t xml:space="preserve">Tubo x 5 m 1 1/2" simple presión agua fría Pavco (C-10)</t>
  </si>
  <si>
    <t xml:space="preserve">Promart / Sodimac</t>
  </si>
  <si>
    <t xml:space="preserve">https://www.promart.pe/tubo-presion-c-10-ec-1-1-2-go/p</t>
  </si>
  <si>
    <t xml:space="preserve">EXACTO (mismo precio en ambas)</t>
  </si>
  <si>
    <t xml:space="preserve">TB2</t>
  </si>
  <si>
    <t xml:space="preserve">Tubería PVC SP C-10 Ø2"</t>
  </si>
  <si>
    <t xml:space="preserve">Tubo x 5 m 2" simple presión agua fría Pavco (C-10)</t>
  </si>
  <si>
    <t xml:space="preserve">Promart</t>
  </si>
  <si>
    <t xml:space="preserve">https://www.promart.pe/tubo-presion-c-10-ec-2-go/p</t>
  </si>
  <si>
    <t xml:space="preserve">EXACTO (Sodimac S/ 85.90)</t>
  </si>
  <si>
    <t xml:space="preserve">CD1</t>
  </si>
  <si>
    <t xml:space="preserve">Codo PVC SP Ø1" x 90°</t>
  </si>
  <si>
    <t xml:space="preserve">Codo 90° 1" simple presión agua fría Pavco</t>
  </si>
  <si>
    <t xml:space="preserve">https://www.promart.pe/codo-pvc-90--sp-1-go/p</t>
  </si>
  <si>
    <t xml:space="preserve">CD15</t>
  </si>
  <si>
    <t xml:space="preserve">Codo PVC SP Ø1 1/2" x 90°</t>
  </si>
  <si>
    <t xml:space="preserve">Codo PVC 1 1/2" 90° Pavco SP agua fría</t>
  </si>
  <si>
    <t xml:space="preserve">Sodimac / Promart</t>
  </si>
  <si>
    <t xml:space="preserve">https://www.sodimac.com.pe/sodimac-pe/b/codo-1-1-2</t>
  </si>
  <si>
    <t xml:space="preserve">CD2</t>
  </si>
  <si>
    <t xml:space="preserve">Codo PVC SP Ø2" x 90°</t>
  </si>
  <si>
    <t xml:space="preserve">Codo 2" 90° SP agua fría Matusita</t>
  </si>
  <si>
    <t xml:space="preserve">https://www.sodimac.com.pe/sodimac-pe/b/codo-2-x-90</t>
  </si>
  <si>
    <t xml:space="preserve">EXACTO (otra marca)</t>
  </si>
  <si>
    <t xml:space="preserve">CD245</t>
  </si>
  <si>
    <t xml:space="preserve">Codo PVC SP Ø2" x 45°</t>
  </si>
  <si>
    <t xml:space="preserve">Codo 45° 2" simple presión agua fría Pavco</t>
  </si>
  <si>
    <t xml:space="preserve">https://www.promart.pe/codo-45-sp-2/p</t>
  </si>
  <si>
    <t xml:space="preserve">EXACTO (sin stock en línea)</t>
  </si>
  <si>
    <t xml:space="preserve">TE15</t>
  </si>
  <si>
    <t xml:space="preserve">Tee PVC SP Ø1 1/2"</t>
  </si>
  <si>
    <t xml:space="preserve">Tee 1 1/2" simple presión agua fría Pavco</t>
  </si>
  <si>
    <t xml:space="preserve">https://www.promart.pe/tee-pvc-sp-1-1-2-go/p</t>
  </si>
  <si>
    <t xml:space="preserve">EXACTO (venta en tienda)</t>
  </si>
  <si>
    <t xml:space="preserve">TE2</t>
  </si>
  <si>
    <t xml:space="preserve">Tee PVC SP Ø2"</t>
  </si>
  <si>
    <t xml:space="preserve">Tee 2" PVC SP agua fría Pavco</t>
  </si>
  <si>
    <t xml:space="preserve">https://www.sodimac.com.pe/sodimac-pe/seleccion/conexiones</t>
  </si>
  <si>
    <t xml:space="preserve">UU15</t>
  </si>
  <si>
    <t xml:space="preserve">Unión universal PVC roscada Ø1 1/2"</t>
  </si>
  <si>
    <t xml:space="preserve">Unión universal 1 1/2" PVC Sanking (agua fría, 150 psi)</t>
  </si>
  <si>
    <t xml:space="preserve">https://www.sodimac.com.pe/sodimac-pe/product/217298/union-universal-1-1-2/217298/</t>
  </si>
  <si>
    <t xml:space="preserve">UU2</t>
  </si>
  <si>
    <t xml:space="preserve">Unión universal PVC roscada Ø2"</t>
  </si>
  <si>
    <t xml:space="preserve">Sanking unión universal 2" PVC C/R</t>
  </si>
  <si>
    <t xml:space="preserve">Falabella (vende Sodimac)</t>
  </si>
  <si>
    <t xml:space="preserve">https://www.falabella.com.pe/falabella-pe/brand/SANKING</t>
  </si>
  <si>
    <t xml:space="preserve">UPR2</t>
  </si>
  <si>
    <t xml:space="preserve">Adaptador UPR PVC Ø2"</t>
  </si>
  <si>
    <t xml:space="preserve">Adaptador PVC enroscado Pavco 2" (PR)</t>
  </si>
  <si>
    <t xml:space="preserve">https://www.promart.pe/adaptador-pr-2/p</t>
  </si>
  <si>
    <t xml:space="preserve">EST. (adaptador PR equivalente al UPR)</t>
  </si>
  <si>
    <t xml:space="preserve">SK15</t>
  </si>
  <si>
    <t xml:space="preserve">Unión socket PVC Ø1 1/2" (rosca hembra)</t>
  </si>
  <si>
    <t xml:space="preserve">Unión SP Pavco 1 1/2"</t>
  </si>
  <si>
    <t xml:space="preserve">https://www.promart.pe/union-pvc-sp-1-1-2-go/p</t>
  </si>
  <si>
    <t xml:space="preserve">EST. (unión SP de igual diámetro)</t>
  </si>
  <si>
    <t xml:space="preserve">SK2</t>
  </si>
  <si>
    <t xml:space="preserve">Unión socket PVC Ø2" (rosca hembra)</t>
  </si>
  <si>
    <t xml:space="preserve">Unión SP Pavco 2"</t>
  </si>
  <si>
    <t xml:space="preserve">https://www.promart.pe/union-pvc-sp-2-go/p</t>
  </si>
  <si>
    <t xml:space="preserve">TP15</t>
  </si>
  <si>
    <t xml:space="preserve">Tapón hembra PVC Ø1 1/2"</t>
  </si>
  <si>
    <t xml:space="preserve">Tapón hembra 1 1/2" agua fría sin rosca Pavco</t>
  </si>
  <si>
    <t xml:space="preserve">https://www.promart.pe/tapon-hembra-1-1-2-agua-fria-sin-rosca-pavco/p</t>
  </si>
  <si>
    <t xml:space="preserve">EXACTO (SP)</t>
  </si>
  <si>
    <t xml:space="preserve">NP15</t>
  </si>
  <si>
    <t xml:space="preserve">Niple roscado PVC Ø1 1/2" x 2"</t>
  </si>
  <si>
    <t xml:space="preserve">Niple 1 1/2" x 2" roscado agua fría Nicoll</t>
  </si>
  <si>
    <t xml:space="preserve">https://www.promart.pe/niple-1-1-2--x-2--c-r---term/p</t>
  </si>
  <si>
    <t xml:space="preserve">NP2</t>
  </si>
  <si>
    <t xml:space="preserve">Niple roscado PVC Ø2" (x 4" y x 6")</t>
  </si>
  <si>
    <t xml:space="preserve">Tubo PVC C-10 roscado 2" x 5 m, cortado en niples de 6" (33 por tubo)</t>
  </si>
  <si>
    <t xml:space="preserve">EST. (no se publica el niple PVC 2"; roscado con tarraja incluido en la mano de obra)</t>
  </si>
  <si>
    <t xml:space="preserve">RD15</t>
  </si>
  <si>
    <t xml:space="preserve">Reducción PVC SP Ø1 1/2" x 3/4"</t>
  </si>
  <si>
    <t xml:space="preserve">Reducción simple presión 2" x 3/4" Nicoll (referencia)</t>
  </si>
  <si>
    <t xml:space="preserve">https://www.promart.pe/reduccion-simple-presion-2--x-3-4/p</t>
  </si>
  <si>
    <t xml:space="preserve">EST. (la de 1 1/2" x 3/4" figura sin precio)</t>
  </si>
  <si>
    <t xml:space="preserve">RD2</t>
  </si>
  <si>
    <t xml:space="preserve">Reducción PVC SP Ø2" x 1"</t>
  </si>
  <si>
    <t xml:space="preserve">Reducción SP 2" a 1" agua fría Pavco</t>
  </si>
  <si>
    <t xml:space="preserve">https://www.promart.pe/reduccion-sp-2-1/p</t>
  </si>
  <si>
    <t xml:space="preserve">VCH15</t>
  </si>
  <si>
    <t xml:space="preserve">Válvula check Ø1 1/2"</t>
  </si>
  <si>
    <t xml:space="preserve">Válvula check swing 1 1/2" bronce ITAP (NPT)</t>
  </si>
  <si>
    <t xml:space="preserve">https://www.sodimac.com.pe/sodimac-pe/articulo/113306910/Valvula-Check-Swing-1-1-2-/113306914</t>
  </si>
  <si>
    <t xml:space="preserve">EST. (no se vende check de PVC 1 1/2"; se toma la de bronce)</t>
  </si>
  <si>
    <t xml:space="preserve">VEP15</t>
  </si>
  <si>
    <t xml:space="preserve">Válvula esférica PVC Ø1 1/2"</t>
  </si>
  <si>
    <t xml:space="preserve">Válvula bola PVC con rosca 1 1/2" Sanking (145 psi)</t>
  </si>
  <si>
    <t xml:space="preserve">https://www.promart.pe/valvula-bola-pvc-1-1-2--con-rosca/p</t>
  </si>
  <si>
    <t xml:space="preserve">VEB15</t>
  </si>
  <si>
    <t xml:space="preserve">Válvula esférica bronce pesado Ø1 1/2"</t>
  </si>
  <si>
    <t xml:space="preserve">Válvula esférica bronce NPT 1 1/2" CIM 400 psi</t>
  </si>
  <si>
    <t xml:space="preserve">https://www.promart.pe/valvula-esferica-p-total-400-lbs-1-1-2-/p</t>
  </si>
  <si>
    <t xml:space="preserve">EXACTO (agotada en línea)</t>
  </si>
  <si>
    <t xml:space="preserve">VCB2</t>
  </si>
  <si>
    <t xml:space="preserve">Válvula compuerta bronce pesado Ø2"</t>
  </si>
  <si>
    <t xml:space="preserve">Válvula compuerta bronce 2" CIM, rosca NPT</t>
  </si>
  <si>
    <t xml:space="preserve">Icofesa</t>
  </si>
  <si>
    <t xml:space="preserve">https://icofesa.com/producto.php?id=15544</t>
  </si>
  <si>
    <t xml:space="preserve">EXACTO (confirmar que sea pesada)</t>
  </si>
  <si>
    <t xml:space="preserve">VF1</t>
  </si>
  <si>
    <t xml:space="preserve">Válvula flotadora bronce Ø1"</t>
  </si>
  <si>
    <t xml:space="preserve">Galusa válvula para cisterna con boya 1"</t>
  </si>
  <si>
    <t xml:space="preserve">https://www.sodimac.com.pe/sodimac-pe/b/boya-para-tanque-de-agua</t>
  </si>
  <si>
    <t xml:space="preserve">EST. (la ficha no indica el material)</t>
  </si>
  <si>
    <t xml:space="preserve">VF15</t>
  </si>
  <si>
    <t xml:space="preserve">Válvula flotadora bronce Ø1 1/2"</t>
  </si>
  <si>
    <t xml:space="preserve">Válvula flotadora 1 1/2" bronce con boya de cobre Helbert</t>
  </si>
  <si>
    <t xml:space="preserve">Maveri</t>
  </si>
  <si>
    <t xml:space="preserve">https://maveri.com/producto/valvula-flotadora-de-1-1-2-bronce-c-boya-de-cobre-helbert/</t>
  </si>
  <si>
    <t xml:space="preserve">CAN15</t>
  </si>
  <si>
    <t xml:space="preserve">Canastilla de succión Ø1 1/2"</t>
  </si>
  <si>
    <t xml:space="preserve">ITAP válvula check de pie 1 1/2" con canastilla</t>
  </si>
  <si>
    <t xml:space="preserve">https://www.sodimac.com.pe/sodimac-pe/marca/ITAP</t>
  </si>
  <si>
    <t xml:space="preserve">EST. (no se vende canastilla PVC 1 1/2"; válvula de pie con canastilla)</t>
  </si>
  <si>
    <t xml:space="preserve">ELN</t>
  </si>
  <si>
    <t xml:space="preserve">Electronivel (interruptor de nivel tipo pera)</t>
  </si>
  <si>
    <t xml:space="preserve">Electronivel 3 m Rotoplas (hasta 1 HP a 220 V)</t>
  </si>
  <si>
    <t xml:space="preserve">https://www.promart.pe/electronivel-de-3-metros-23057/p</t>
  </si>
  <si>
    <t xml:space="preserve">EXACTO (se toma el mayor de S/ 68.00 a 89.90)</t>
  </si>
  <si>
    <t xml:space="preserve">UFG1</t>
  </si>
  <si>
    <t xml:space="preserve">Unión F°G° roscada Ø1"</t>
  </si>
  <si>
    <t xml:space="preserve">Unión simple galvanizada 1" Magnum Mech</t>
  </si>
  <si>
    <t xml:space="preserve">https://www.sodimac.com.pe/sodimac-pe/b/union-universal-1-pulgada</t>
  </si>
  <si>
    <t xml:space="preserve">UFG15</t>
  </si>
  <si>
    <t xml:space="preserve">Unión F°G° roscada Ø1 1/2"</t>
  </si>
  <si>
    <t xml:space="preserve">Unión simple galvanizada 1 1/2" Magnum Mech</t>
  </si>
  <si>
    <t xml:space="preserve">https://www.sodimac.com.pe/sodimac-pe/articulo/113328852/Union-Simple-Galvanizado-1-1-2-/113328853</t>
  </si>
  <si>
    <t xml:space="preserve">CFG15</t>
  </si>
  <si>
    <t xml:space="preserve">Codo F°G° roscado Ø1 1/2" x 90°</t>
  </si>
  <si>
    <t xml:space="preserve">Codo galvanizado 90° x 1 1/2" Magnum Mech</t>
  </si>
  <si>
    <t xml:space="preserve">https://sodimac.falabella.com.pe/sodimac-pe/product/113326757/Codo-Galvanizado-90%C2%B0x1-1-2-/113326759</t>
  </si>
  <si>
    <t xml:space="preserve">TFG34</t>
  </si>
  <si>
    <t xml:space="preserve">Tubo F°G° Ø3/4" ISO 65 serie I (para niples)</t>
  </si>
  <si>
    <t xml:space="preserve">Tubo galvanizado 3/4" estándar ISO 65, 6.40 m</t>
  </si>
  <si>
    <t xml:space="preserve">barra 6.40 m</t>
  </si>
  <si>
    <t xml:space="preserve">https://maveri.com/categoria-producto/niples/niples-de-fierro-galvanizado/</t>
  </si>
  <si>
    <t xml:space="preserve">TFG15</t>
  </si>
  <si>
    <t xml:space="preserve">Tubo F°G° Ø1 1/2" ISO 65 serie I (para niples)</t>
  </si>
  <si>
    <t xml:space="preserve">Tubo galvanizado 1 1/2" estándar ISO 65, 6.40 m</t>
  </si>
  <si>
    <t xml:space="preserve">https://maveri.com/producto/tubo-galvanizado-1-1-2-standard-iso-65/</t>
  </si>
  <si>
    <t xml:space="preserve">TFG2</t>
  </si>
  <si>
    <t xml:space="preserve">Tubo F°G° Ø2" ISO 65 serie I (para niples)</t>
  </si>
  <si>
    <t xml:space="preserve">Tubo galvanizado 2" estándar ISO 65, 6.40 m</t>
  </si>
  <si>
    <t xml:space="preserve">https://maveri.com/producto/tubo-galvanizado-2-standard-iso-65/</t>
  </si>
  <si>
    <t xml:space="preserve">AB1</t>
  </si>
  <si>
    <t xml:space="preserve">Abrazadera metálica p/ tubo Ø1"</t>
  </si>
  <si>
    <t xml:space="preserve">Abrazadera de 1 1/2" con 2 orejas de 2 mm (referencia)</t>
  </si>
  <si>
    <t xml:space="preserve">https://www.promart.pe/abrazadera-de-1-1-2--con-2-orejas-de-2-mm/p</t>
  </si>
  <si>
    <t xml:space="preserve">EST. (la de 1" no figura; se toma la de 1 1/2")</t>
  </si>
  <si>
    <t xml:space="preserve">AB15</t>
  </si>
  <si>
    <t xml:space="preserve">Abrazadera metálica p/ tubo Ø1 1/2"</t>
  </si>
  <si>
    <t xml:space="preserve">Abrazadera de 1 1/2" con 2 orejas de 2 mm</t>
  </si>
  <si>
    <t xml:space="preserve">EST. (2 mm; la planilla pide F°G° e=1/8")</t>
  </si>
  <si>
    <t xml:space="preserve">AB2</t>
  </si>
  <si>
    <t xml:space="preserve">Abrazadera metálica p/ tubo Ø2"</t>
  </si>
  <si>
    <t xml:space="preserve">Abrazadera de 2" con 2 orejas de 2 mm</t>
  </si>
  <si>
    <t xml:space="preserve">https://www.promart.pe/abrazadera-de-2--con-2-orejas-de-2-mm/p</t>
  </si>
  <si>
    <t xml:space="preserve">TAR</t>
  </si>
  <si>
    <t xml:space="preserve">Perno de anclaje 3/8" para fijar abrazaderas</t>
  </si>
  <si>
    <t xml:space="preserve">Perno de anclaje 3/8" x 3 3/4" FIXSER (paquete x 4)</t>
  </si>
  <si>
    <t xml:space="preserve">paquete x 4</t>
  </si>
  <si>
    <t xml:space="preserve">https://www.falabella.com.pe/falabella-pe/product/113091980/Perno-de-Anclaje-3-8x3-3-4-Pulgadas-x-4-unid/113092005</t>
  </si>
  <si>
    <t xml:space="preserve">EXACTO (conservador; con tarugo y tornillo sale más barato)</t>
  </si>
  <si>
    <t xml:space="preserve">PLA</t>
  </si>
  <si>
    <t xml:space="preserve">Plancha LAC 1/8" (24.91 kg/m²)</t>
  </si>
  <si>
    <t xml:space="preserve">kg</t>
  </si>
  <si>
    <t xml:space="preserve">Plancha LAC 1/8" x 4' x 8' (1.20 x 2.40 m)</t>
  </si>
  <si>
    <t xml:space="preserve">plancha</t>
  </si>
  <si>
    <t xml:space="preserve">Huval</t>
  </si>
  <si>
    <t xml:space="preserve">https://www.huvalnegocios.com/product/plancha-lac-316x4x8-44</t>
  </si>
  <si>
    <t xml:space="preserve">COTIZAR (precio tomado de productos relacionados)</t>
  </si>
  <si>
    <t xml:space="preserve">SOMB2</t>
  </si>
  <si>
    <t xml:space="preserve">Sombrero de ventilación PVC Ø2"</t>
  </si>
  <si>
    <t xml:space="preserve">Sombrero de ventilación PVC 2" Pavco</t>
  </si>
  <si>
    <t xml:space="preserve">https://sodimac.falabella.com.pe/sodimac-pe/product/113328544/Sombrero-de-Ventilacion-PVC-2-Desague/113328546</t>
  </si>
  <si>
    <t xml:space="preserve">MALLA</t>
  </si>
  <si>
    <t xml:space="preserve">Malla mosquitero metálica</t>
  </si>
  <si>
    <t xml:space="preserve">m2</t>
  </si>
  <si>
    <t xml:space="preserve">Malla mosquitero metálica Prodac 0.90 x 30 m</t>
  </si>
  <si>
    <t xml:space="preserve">rollo 27 m²</t>
  </si>
  <si>
    <t xml:space="preserve">https://www.sodimac.com.pe/sodimac-pe/lista/CATG15054/Mallas</t>
  </si>
  <si>
    <t xml:space="preserve">PEG</t>
  </si>
  <si>
    <t xml:space="preserve">Pegamento para PVC</t>
  </si>
  <si>
    <t xml:space="preserve">gal</t>
  </si>
  <si>
    <t xml:space="preserve">Pegamento PVC Oatey dorado 946 ml (1/4 gal)</t>
  </si>
  <si>
    <t xml:space="preserve">1/4 gal</t>
  </si>
  <si>
    <t xml:space="preserve">https://www.sodimac.com.pe/sodimac-pe/b/pegamento-para-pvc-1-4</t>
  </si>
  <si>
    <t xml:space="preserve">TEF</t>
  </si>
  <si>
    <t xml:space="preserve">Cinta teflón 3/4" x 10 m</t>
  </si>
  <si>
    <t xml:space="preserve">Cinta teflón Topex 3/4" x 10 m</t>
  </si>
  <si>
    <t xml:space="preserve">rollo</t>
  </si>
  <si>
    <t xml:space="preserve">https://www.sodimac.com.pe/sodimac-pe/lista/CATG14985/Teflones-y-sellos</t>
  </si>
  <si>
    <t xml:space="preserve">SOLD</t>
  </si>
  <si>
    <t xml:space="preserve">Soldadura cellocord E6011 1/8"</t>
  </si>
  <si>
    <t xml:space="preserve">Soldadura Cellocord 1/8" (E-6011) Oerlikon</t>
  </si>
  <si>
    <t xml:space="preserve">caja 5 kg</t>
  </si>
  <si>
    <t xml:space="preserve">https://www.sodimac.com.pe/sodimac-pe/articulo/113780372/Soldadura-Cellocord-1-8-Oerlikon-5KG/113780373</t>
  </si>
  <si>
    <t xml:space="preserve">SOLM</t>
  </si>
  <si>
    <t xml:space="preserve">Máquina de soldar eléctrica 250 A</t>
  </si>
  <si>
    <t xml:space="preserve">hm</t>
  </si>
  <si>
    <t xml:space="preserve">Alquiler de máquina de soldar (por día de 8 h)</t>
  </si>
  <si>
    <t xml:space="preserve">día</t>
  </si>
  <si>
    <t xml:space="preserve">ST América</t>
  </si>
  <si>
    <t xml:space="preserve">https://stamerica.com.pe/alquiler_maquina_soldar</t>
  </si>
  <si>
    <t xml:space="preserve">REFERENCIA (tarifa de Lima; compra Truper 200 A S/ 469.90)</t>
  </si>
  <si>
    <t xml:space="preserve">AGUA</t>
  </si>
  <si>
    <t xml:space="preserve">Agua</t>
  </si>
  <si>
    <t xml:space="preserve">EMAPA San Martín, categoría comercial y otros, tramo de 30 m³ a más: agua 6.80 + alcantarillado 1.53</t>
  </si>
  <si>
    <t xml:space="preserve">Res. 00077-2024-SUNASS-CD (tarifa sin IGV)</t>
  </si>
  <si>
    <t xml:space="preserve">https://www.emapasanmartin.com/uploads/Gobernanza%20Gobernabilidad/Gobernabilidad/transparencia-informacion/indicador-8/2025/Publicacion%20Oficial%20-%20Diario%20Oficial%20El%20Peruano%20ESTRUCTURA%20TARIFARIA.pdf</t>
  </si>
  <si>
    <t xml:space="preserve">COMPROBADO (mismo valor que la planilla del Hogar de Refugio)</t>
  </si>
  <si>
    <t xml:space="preserve">HIPO</t>
  </si>
  <si>
    <t xml:space="preserve">Hipoclorito de calcio 70 %</t>
  </si>
  <si>
    <t xml:space="preserve">Hipoclorito de calcio granulado 65-70 %</t>
  </si>
  <si>
    <t xml:space="preserve">1 kg</t>
  </si>
  <si>
    <t xml:space="preserve">Purificare</t>
  </si>
  <si>
    <t xml:space="preserve">https://purificare.mitienda.pe/producto/hipoclorito-de-calcio</t>
  </si>
  <si>
    <t xml:space="preserve">EXACTO (el saco de 45 kg sale a S/ 10.53 el kg)</t>
  </si>
  <si>
    <t xml:space="preserve">KIT</t>
  </si>
  <si>
    <t xml:space="preserve">Comparador de cloro residual y pH</t>
  </si>
  <si>
    <t xml:space="preserve">Analizador de cloro y pH (kit con reactivos)</t>
  </si>
  <si>
    <t xml:space="preserve">kit</t>
  </si>
  <si>
    <t xml:space="preserve">https://www.sodimac.com.pe/sodimac-pe/lista/CATG15346/Kits-de-Testeo-y-Termometros</t>
  </si>
  <si>
    <t xml:space="preserve">IPN</t>
  </si>
  <si>
    <t xml:space="preserve">Perfil IPN 100 (8.34 kg/m)</t>
  </si>
  <si>
    <t xml:space="preserve">Barra de 6 m valorizada al precio por kg del ángulo 1 1/2" x 1/8" (S/ 39.90 / 10.98 kg)</t>
  </si>
  <si>
    <t xml:space="preserve">barra 6 m</t>
  </si>
  <si>
    <t xml:space="preserve">Sodimac Perú (precio por kg)</t>
  </si>
  <si>
    <t xml:space="preserve">https://sodimac.falabella.com.pe/sodimac-pe/product/126996349/Angulo-de-Acero-1-1-2-x-1-1-2-x-1-8-x-6M/126996350</t>
  </si>
  <si>
    <t xml:space="preserve">COTIZAR (ninguna tienda publica la IPN 100 en soles)</t>
  </si>
  <si>
    <t xml:space="preserve">TECLE</t>
  </si>
  <si>
    <t xml:space="preserve">Tecle de palanca 1.5 t</t>
  </si>
  <si>
    <t xml:space="preserve">Tecle de cadena con palanca 1.5 t Total THSLB1501</t>
  </si>
  <si>
    <t xml:space="preserve">https://www.promart.pe/c/tecles-con-cadena</t>
  </si>
  <si>
    <t xml:space="preserve">RUEDA</t>
  </si>
  <si>
    <t xml:space="preserve">Rueda giratoria 360° con freno</t>
  </si>
  <si>
    <t xml:space="preserve">Garrucha plataforma con freno industrial 4", 200 kg</t>
  </si>
  <si>
    <t xml:space="preserve">https://www.promart.pe/garrucha-plataforma-con-freno-ind-200-kg-4-22868/p</t>
  </si>
  <si>
    <t xml:space="preserve">ANTI</t>
  </si>
  <si>
    <t xml:space="preserve">Pintura anticorrosiva</t>
  </si>
  <si>
    <t xml:space="preserve">Anticorrosivo Vencedor 1 gal</t>
  </si>
  <si>
    <t xml:space="preserve">galón</t>
  </si>
  <si>
    <t xml:space="preserve">https://www.promart.pe/anticorrosivo-1-gal-34189/p</t>
  </si>
  <si>
    <t xml:space="preserve">ESM</t>
  </si>
  <si>
    <t xml:space="preserve">Esmalte sintético</t>
  </si>
  <si>
    <t xml:space="preserve">Esmalte sintético CPP negro 1 gal (cód. 30635)</t>
  </si>
  <si>
    <t xml:space="preserve">https://www.promart.pe/esmalte-sintetico-pintor-negro-1-gl-30635/p</t>
  </si>
  <si>
    <t xml:space="preserve">THIN</t>
  </si>
  <si>
    <t xml:space="preserve">Thinner acrílico</t>
  </si>
  <si>
    <t xml:space="preserve">TOPEX thinner acrílico 3.5 L</t>
  </si>
  <si>
    <t xml:space="preserve">envase 3.5 L</t>
  </si>
  <si>
    <t xml:space="preserve">https://www.sodimac.com.pe/sodimac-pe/b/thinner-acrilico</t>
  </si>
  <si>
    <t xml:space="preserve">LIJA</t>
  </si>
  <si>
    <t xml:space="preserve">Lija para fierro N.° 80</t>
  </si>
  <si>
    <t xml:space="preserve">Lija fierro 3M ASA grano 80</t>
  </si>
  <si>
    <t xml:space="preserve">pliego</t>
  </si>
  <si>
    <t xml:space="preserve">https://www.sodimac.com.pe/sodimac-pe/b/lija-para-fierro</t>
  </si>
  <si>
    <t xml:space="preserve">2. BRIDAS ROMPE AGUA (insumo compuesto, fabricado en obra): plancha LAC 1/8" (24.91 kg/m²) + niple F°G° + soldadura</t>
  </si>
  <si>
    <t xml:space="preserve">BRIDA</t>
  </si>
  <si>
    <t xml:space="preserve">PLANCHA (m x m)</t>
  </si>
  <si>
    <t xml:space="preserve">PLANCHA (kg)</t>
  </si>
  <si>
    <t xml:space="preserve">NIPLE F°G° (Ø)</t>
  </si>
  <si>
    <t xml:space="preserve">NIPLE L (m)</t>
  </si>
  <si>
    <t xml:space="preserve">PRECIO SIN IGV (S/)</t>
  </si>
  <si>
    <t xml:space="preserve">SOLDADURA (kg)</t>
  </si>
  <si>
    <t xml:space="preserve">CÁLCULO</t>
  </si>
  <si>
    <t xml:space="preserve">OBS.</t>
  </si>
  <si>
    <t xml:space="preserve">BR01</t>
  </si>
  <si>
    <t xml:space="preserve">Brida rompe agua Ø1" PL 0.15x0.15 e=1/8" (niple F°G° 3/4" L=0.35)</t>
  </si>
  <si>
    <t xml:space="preserve">Tubo F°G° Ø3/4" ISO 65 serie I</t>
  </si>
  <si>
    <t xml:space="preserve">plancha kg x precio kg + niple m x precio m del tubo F°G° + soldadura kg x precio kg</t>
  </si>
  <si>
    <t xml:space="preserve">BR02</t>
  </si>
  <si>
    <t xml:space="preserve">Brida rompe agua Ø1 1/2" PL 0.15x0.15 e=1/8" (niple F°G° 1 1/2" L=0.25)</t>
  </si>
  <si>
    <t xml:space="preserve">Tubo F°G° Ø1 1/2" ISO 65 serie I</t>
  </si>
  <si>
    <t xml:space="preserve">BR03</t>
  </si>
  <si>
    <t xml:space="preserve">Brida rompe agua Ø2" PL 0.25x0.25 e=1/8" (niple F°G° 2" L=0.40)</t>
  </si>
  <si>
    <t xml:space="preserve">Tubo F°G° Ø2" ISO 65 serie I</t>
  </si>
  <si>
    <t xml:space="preserve">BR04</t>
  </si>
  <si>
    <t xml:space="preserve">Brida rompe agua Ø2" PL 0.15x0.15 e=1/8" (niple F°G° 2" L=0.25)</t>
  </si>
  <si>
    <t xml:space="preserve">BR05</t>
  </si>
  <si>
    <t xml:space="preserve">Brida rompe agua Ø2" PL 0.20x0.20 e=1/8" (niple F°G° 2" L=0.45)</t>
  </si>
  <si>
    <t xml:space="preserve">rosca a un lado</t>
  </si>
  <si>
    <t xml:space="preserve">ANÁLISIS DE COSTOS UNITARIOS</t>
  </si>
  <si>
    <t xml:space="preserve">Lugar: San Martín - San Martín - Morales.   Fecha: Octubre 2026.   Precios sin IGV.</t>
  </si>
  <si>
    <t xml:space="preserve">4.2.3.1.1 SUM. E INST. DE LINEA DE INGRESO A LA CISTERNA DE PVC SP D=1 1/4"  (en la planilla: 1 glb)</t>
  </si>
  <si>
    <t xml:space="preserve">Ingreso a cisterna. El título dice D=1 1/4" pero el desagregado de la planilla es de Ø1"; se analiza lo desagregado.</t>
  </si>
  <si>
    <t xml:space="preserve">4.2.3.1.1.01   Tubería PVC SP C-10 de Ø=1" - NTP 399.002:2015</t>
  </si>
  <si>
    <t xml:space="preserve">Rend.</t>
  </si>
  <si>
    <t xml:space="preserve">MO</t>
  </si>
  <si>
    <t xml:space="preserve">EQ</t>
  </si>
  <si>
    <t xml:space="preserve">Costo unit. por m (S/)</t>
  </si>
  <si>
    <t xml:space="preserve">Metrado</t>
  </si>
  <si>
    <t xml:space="preserve">Rendimiento: Tubería PVC SP Ø1" (tendido, corte, unión y fijación) (25 m/día, cuadrilla 1 operario + 0.5 peón; referencial, editable).</t>
  </si>
  <si>
    <t xml:space="preserve">DESCRIPCIÓN DEL RECURSO</t>
  </si>
  <si>
    <t xml:space="preserve">CUADRILLA</t>
  </si>
  <si>
    <t xml:space="preserve">CANTIDAD</t>
  </si>
  <si>
    <t xml:space="preserve">PRECIO S/</t>
  </si>
  <si>
    <t xml:space="preserve">PARCIAL S/</t>
  </si>
  <si>
    <t xml:space="preserve">MANO DE OBRA</t>
  </si>
  <si>
    <t xml:space="preserve">47-0001</t>
  </si>
  <si>
    <t xml:space="preserve">Operario</t>
  </si>
  <si>
    <t xml:space="preserve">hh</t>
  </si>
  <si>
    <t xml:space="preserve">cuadrilla x 8 h / rendimiento; HH CAPECO - FTCCP 2026</t>
  </si>
  <si>
    <t xml:space="preserve">47-0003</t>
  </si>
  <si>
    <t xml:space="preserve">Peón</t>
  </si>
  <si>
    <t xml:space="preserve">Subtotal mano de obra</t>
  </si>
  <si>
    <t xml:space="preserve">MATERIALES</t>
  </si>
  <si>
    <t xml:space="preserve">1 m + 5 % de desperdicio</t>
  </si>
  <si>
    <t xml:space="preserve">0.2 uniones pegadas por m x 0.003 gal</t>
  </si>
  <si>
    <t xml:space="preserve">Subtotal materiales</t>
  </si>
  <si>
    <t xml:space="preserve">EQUIPOS Y HERRAMIENTAS</t>
  </si>
  <si>
    <t xml:space="preserve">37-0001</t>
  </si>
  <si>
    <t xml:space="preserve">Herramientas manuales</t>
  </si>
  <si>
    <t xml:space="preserve">%MO</t>
  </si>
  <si>
    <t xml:space="preserve">3 % de la mano de obra</t>
  </si>
  <si>
    <t xml:space="preserve">Subtotal equipos y herramientas</t>
  </si>
  <si>
    <t xml:space="preserve">COSTO UNITARIO DIRECTO POR m (S/)</t>
  </si>
  <si>
    <t xml:space="preserve">4.2.3.1.1.02   Válvula Flotadora de Bronce de Ø=1"</t>
  </si>
  <si>
    <t xml:space="preserve">Costo unit. por und (S/)</t>
  </si>
  <si>
    <t xml:space="preserve">Rendimiento: Válvula flotadora con boya (instalación y regulación) (4 und/día, cuadrilla 1 operario + 0.5 peón; referencial, editable).</t>
  </si>
  <si>
    <t xml:space="preserve">1 und</t>
  </si>
  <si>
    <t xml:space="preserve">1 extremos roscados; 1 rollo cada 4 roscas macho</t>
  </si>
  <si>
    <t xml:space="preserve">COSTO UNITARIO DIRECTO POR und (S/)</t>
  </si>
  <si>
    <t xml:space="preserve">4.2.3.1.1.03   Unión roscado de F°G°de Ø=1"</t>
  </si>
  <si>
    <t xml:space="preserve">Rendimiento: Accesorio F°G° roscado (unión, codo, niple) (16 und/día, cuadrilla 1 operario + 0.5 peón; referencial, editable).</t>
  </si>
  <si>
    <t xml:space="preserve">2 extremos roscados; 1 rollo cada 4 roscas macho</t>
  </si>
  <si>
    <t xml:space="preserve">• fila 440: la planilla no lleva el parcial (columna I vacía); se toma N.° veces 1 x cantidad 1 = 1 und</t>
  </si>
  <si>
    <t xml:space="preserve">4.2.3.1.1.04   Brida Rompe agua de Ø=1" PL=0.15x0.15m e=1/8" (Niple F°G°= 3/4", L=0.35 m) Rosca Ambos Lados</t>
  </si>
  <si>
    <t xml:space="preserve">Rendimiento: Brida rompe agua (corte, soldadura, roscado y fijación al encofrado) (3 und/día, cuadrilla 1 operario + 0.5 peón; referencial, editable).</t>
  </si>
  <si>
    <t xml:space="preserve">0.5 h por brida (soldadura de la plancha al niple)</t>
  </si>
  <si>
    <t xml:space="preserve">4.2.3.1.2 SUM. E INST. DE LINEA DE SUCCIÓN SISTEMA DE BOMBEO DE PVC SP D=1 1/2"  (en la planilla: 1 glb)</t>
  </si>
  <si>
    <t xml:space="preserve">4.2.3.1.2.01   Tubería PVC SP C-10 de Ø=1 1/2" - tramo de succión (planilla: «Canastilla de PVC-U Ø1 1/2"» 4.64 m)</t>
  </si>
  <si>
    <t xml:space="preserve">Rendimiento: Tubería PVC SP Ø1 1/2" (20 m/día, cuadrilla 1 operario + 0.5 peón; referencial, editable).</t>
  </si>
  <si>
    <t xml:space="preserve">0.2 uniones pegadas por m x 0.005 gal</t>
  </si>
  <si>
    <t xml:space="preserve">• fila 445: «Canastilla de PVC-U Ø1 1/2"» figura con 4.64 m; se analiza como 4.64 m de tubería Ø1 1/2" del tramo de succión + 2 canastillas (una por bomba, igual que las 2 tees, 2 tapones y 2 electroniveles)</t>
  </si>
  <si>
    <t xml:space="preserve">4.2.3.1.2.02   Brida Rompe agua de Ø=1 1/2" PL=0.15x0.15m e=1/8" (Niple F°G°= 1 1/2", L=0.25 m) Rosca Ambos Lados</t>
  </si>
  <si>
    <t xml:space="preserve">4.2.3.1.2.03   Canastilla de succión PVC Ø1 1/2"</t>
  </si>
  <si>
    <t xml:space="preserve">Rendimiento: Canastilla de succión (8 und/día, cuadrilla 1 operario + 0.5 peón; referencial, editable).</t>
  </si>
  <si>
    <t xml:space="preserve">4.2.3.1.2.04   Unión Socket PVC C-10 de ∅=1 1/2" (Rosca Hembra)</t>
  </si>
  <si>
    <t xml:space="preserve">Rendimiento: Accesorio PVC hasta Ø1 1/2" (codo, tee, unión, niple, reducción, tapón) (20 und/día, cuadrilla 1 operario + 0.5 peón; referencial, editable).</t>
  </si>
  <si>
    <t xml:space="preserve">1 uniones pegadas x 0.005 gal</t>
  </si>
  <si>
    <t xml:space="preserve">4.2.3.1.2.05   Tee PVC SP C-10 de Ø=1 1/2"</t>
  </si>
  <si>
    <t xml:space="preserve">3 uniones pegadas x 0.005 gal</t>
  </si>
  <si>
    <t xml:space="preserve">4.2.3.1.2.06   Tapón hembra de PVC SP C-10 de Ø=1 1/2"</t>
  </si>
  <si>
    <t xml:space="preserve">4.2.3.1.2.07   Electronivel conectado a bombas</t>
  </si>
  <si>
    <t xml:space="preserve">Rendimiento: Electronivel (montaje, regulación y conexión al tablero de bombas) (3 und/día, cuadrilla 1 operario + 0.5 peón; referencial, editable).</t>
  </si>
  <si>
    <t xml:space="preserve">4.2.3.1.3 SUM. E INST. DE LINEA DE IMPULSIÓN SISTEMA DE BOMBEO DE PVC SP D=1"  (en la planilla: 1 glb)</t>
  </si>
  <si>
    <t xml:space="preserve">Impulsión. El título dice D=1" pero el desagregado de la planilla es de Ø1 1/2"; se analiza lo desagregado.</t>
  </si>
  <si>
    <t xml:space="preserve">4.2.3.1.3.01   Tubería PVC SP C-10 de Ø=1 1/2" - NTP 399.002:2015</t>
  </si>
  <si>
    <t xml:space="preserve">4.2.3.1.3.02   Codo PVC SP C-10 de Ø=1 1/2" x 90°</t>
  </si>
  <si>
    <t xml:space="preserve">2 uniones pegadas x 0.005 gal</t>
  </si>
  <si>
    <t xml:space="preserve">4.2.3.1.3.03   Válvula Check de PVC Ø=1 1/2"</t>
  </si>
  <si>
    <t xml:space="preserve">Rendimiento: Válvula roscada (compuerta, esférica, check) (8 und/día, cuadrilla 1 operario + 0.5 peón; referencial, editable).</t>
  </si>
  <si>
    <t xml:space="preserve">4.2.3.1.3.04   Unión universal roscado de PVC C-10 de Ø=1 1/2"</t>
  </si>
  <si>
    <t xml:space="preserve">4.2.3.1.3.05   Válvula Esferica de PVC Ø=1 1/2"</t>
  </si>
  <si>
    <t xml:space="preserve">4.2.3.1.3.06   Tee PVC SP C-10 de Ø=1 1/2"</t>
  </si>
  <si>
    <t xml:space="preserve">4.2.3.1.3.07   Niple roscado de PVC C-10 de Ø=1 1/2" x 2"</t>
  </si>
  <si>
    <t xml:space="preserve">4.2.3.1.3.08   Reducción PVC SP C-10 de Ø=1 1/2" x 3/4"</t>
  </si>
  <si>
    <t xml:space="preserve">4.2.3.1.3.09   Válvula esférica roscado de Bronce Pesado de Ø=1 1/2"</t>
  </si>
  <si>
    <t xml:space="preserve">4.2.3.1.3.10   Tapón Hembra PVC Ø=1 1/2"</t>
  </si>
  <si>
    <t xml:space="preserve">4.2.3.1.3.11   Abrazadera de F°G° e= 1/8" P/Tubería de Ø 1 1/2"</t>
  </si>
  <si>
    <t xml:space="preserve">Rendimiento: Abrazadera F°G° (perforación, tarugo y fijación) (16 und/día, cuadrilla 1 operario + 0.5 peón; referencial, editable).</t>
  </si>
  <si>
    <t xml:space="preserve">una por oreja</t>
  </si>
  <si>
    <t xml:space="preserve">4.2.3.1.3.12   Unión Socket PVC C-10 de ∅=1 1/2" (Rosca Hembra)</t>
  </si>
  <si>
    <t xml:space="preserve">4.2.3.1.3.13   Codo roscado de F°G° de Ø=1 1/2" x 90°</t>
  </si>
  <si>
    <t xml:space="preserve">4.2.3.1.3.14   Brida Rompe agua de Ø=1 1/2" PL=0.15x0.15m e=1/8" (Niple F°G°= 1", L=0.25 m) Rosca Ambos Lados</t>
  </si>
  <si>
    <t xml:space="preserve">• fila 468: la brida es Ø1 1/2" pero el texto dice niple F°G° 1"; se analiza con niple Ø1 1/2" (el del diámetro de la línea)</t>
  </si>
  <si>
    <t xml:space="preserve">4.2.3.1.3.15   Niple Roscado de F°G° de Ø=1 1/2", L=0.60 m - Rosca Ambos Lados - Norma ISO 65 - Serie I (Estándar)</t>
  </si>
  <si>
    <t xml:space="preserve">NFG15</t>
  </si>
  <si>
    <t xml:space="preserve">niple de L = 0.60 m cortado y roscado del tubo</t>
  </si>
  <si>
    <t xml:space="preserve">4.2.3.1.3.16   Unión roscado de F°G°de Ø=1 1/2"</t>
  </si>
  <si>
    <t xml:space="preserve">4.2.3.1.3.17   Válvula Flotadora de Bronce de Ø=1 1/2"</t>
  </si>
  <si>
    <t xml:space="preserve">4.2.3.1.3.18   Electronivel conectado a bombas</t>
  </si>
  <si>
    <t xml:space="preserve">4.2.3.1.4 SUM. E INST. DE LINEA DE DISTRIBUCION SISTEMA DE BOMBEO DE PVC SP D=2"  (en la planilla: 1 glb)</t>
  </si>
  <si>
    <t xml:space="preserve">4.2.3.1.4.01   Tubería PVC SP C-10 de Ø=2" - NTP 399.002:2015</t>
  </si>
  <si>
    <t xml:space="preserve">Rendimiento: Tubería PVC SP Ø2" (18 m/día, cuadrilla 1 operario + 0.5 peón; referencial, editable).</t>
  </si>
  <si>
    <t xml:space="preserve">0.2 uniones pegadas por m x 0.007 gal</t>
  </si>
  <si>
    <t xml:space="preserve">4.2.3.1.4.02   Brida Rompe agua de Ø=2" PL=0.25x0.25m e=1/8" (Niple F°G°=2", L=0.40 m) Rosca Ambos Lados</t>
  </si>
  <si>
    <t xml:space="preserve">4.2.3.1.4.03   Unión Socket PVC C-10 de ∅=2" (Rosca Hembra)</t>
  </si>
  <si>
    <t xml:space="preserve">Rendimiento: Accesorio PVC Ø2" (codo, tee, unión, adaptador, niple) (16 und/día, cuadrilla 1 operario + 0.5 peón; referencial, editable).</t>
  </si>
  <si>
    <t xml:space="preserve">1 uniones pegadas x 0.007 gal</t>
  </si>
  <si>
    <t xml:space="preserve">4.2.3.1.4.04   Codo PVC SP C-10 de Ø=2" x 90°</t>
  </si>
  <si>
    <t xml:space="preserve">2 uniones pegadas x 0.007 gal</t>
  </si>
  <si>
    <t xml:space="preserve">• filas 477-478: las unidades están cruzadas (codo 2" con 17 «m» y tubería 2" con 1 «und»); se analiza tubería Ø2" = 17 m (la medida está en la columna LARGO) y codo Ø2" x 90° = 1 und</t>
  </si>
  <si>
    <t xml:space="preserve">4.2.3.1.4.05   Adaptador UPR PVC C-10 de Ø=2"</t>
  </si>
  <si>
    <t xml:space="preserve">4.2.3.1.4.06   Unión universal roscado de PVC C-10 de Ø=2"</t>
  </si>
  <si>
    <t xml:space="preserve">4.2.3.1.4.07   Niple roscado de PVC C-10 de Ø=2" x 6"</t>
  </si>
  <si>
    <t xml:space="preserve">4.2.3.1.4.08   Válvula compuerta roscado de Bronce Pesado de Ø=2"</t>
  </si>
  <si>
    <t xml:space="preserve">4.2.3.1.4.09   Abrazadera de F°G e= 1/8" P/Tubería de Ø 2"</t>
  </si>
  <si>
    <t xml:space="preserve">4.2.3.1.4.10   Tee PVC SP C-10 de Ø=2"</t>
  </si>
  <si>
    <t xml:space="preserve">3 uniones pegadas x 0.007 gal</t>
  </si>
  <si>
    <t xml:space="preserve">4.2.3.1.4.11   Codo PVC SP C-10 de Ø=2" x 45°</t>
  </si>
  <si>
    <t xml:space="preserve">4.2.3.1.5 SUM. E INST. DE LINEA DE REBOSE TANQUE ELEVADO DE PVC SP D=2"  (en la planilla: 1 glb)</t>
  </si>
  <si>
    <t xml:space="preserve">4.2.3.1.5.01   Tubería PVC SP C-10 de Ø=1" - NTP 399.002:2015</t>
  </si>
  <si>
    <t xml:space="preserve">4.2.3.1.5.02   Tubería PVC SP C-10 de Ø=2" - NTP 399.002:2015</t>
  </si>
  <si>
    <t xml:space="preserve">4.2.3.1.5.03   Reducción PVC SP C-10 de Ø=2" x 1"</t>
  </si>
  <si>
    <t xml:space="preserve">4.2.3.1.5.04   Abrazadera de F°G° e= 1/8" P/Tubería de Ø 1"</t>
  </si>
  <si>
    <t xml:space="preserve">4.2.3.1.5.05   Codo PVC SP C-10 de Ø=1" x 90°</t>
  </si>
  <si>
    <t xml:space="preserve">2 uniones pegadas x 0.003 gal</t>
  </si>
  <si>
    <t xml:space="preserve">4.2.3.1.5.06   Brida Rompe agua de Ø=2" PL=0.15x0.15m e=1/8" (Niple F°G°= 2", L=0.25 m) Rosca Ambos Lados</t>
  </si>
  <si>
    <t xml:space="preserve">4.2.3.1.5.07   Tee PVC Roscada C-10 de Ø=2"</t>
  </si>
  <si>
    <t xml:space="preserve">4.2.3.1.5.08   Niple roscado de PVC C-10 de Ø=2" x 4"</t>
  </si>
  <si>
    <t xml:space="preserve">4.2.3.1.5.09   Unión Socket PVC C-10 de ∅=2" (Rosca Hembra)</t>
  </si>
  <si>
    <t xml:space="preserve">4.2.3.1.5.10   Abrazadera de F°G° e= 1/8" P/Tubería de Ø 2"</t>
  </si>
  <si>
    <t xml:space="preserve">4.2.3.1.5.11   Sombrero de Ventilación PVC-SAP Ø2"</t>
  </si>
  <si>
    <t xml:space="preserve">Rendimiento: Sombrero de ventilación (10 und/día, cuadrilla 1 operario + 0.5 peón; referencial, editable).</t>
  </si>
  <si>
    <t xml:space="preserve">4.2.3.1.5.12   Tee PVC SP C-10 de Ø=2"</t>
  </si>
  <si>
    <t xml:space="preserve">4.2.3.1.5.13   Adaptador UPR PVC C-10 de Ø=2"</t>
  </si>
  <si>
    <t xml:space="preserve">4.2.3.1.5.14   Unión universal roscado de PVC C-10 de Ø=2"</t>
  </si>
  <si>
    <t xml:space="preserve">4.2.3.1.5.15   Niple roscado de PVC C-10 de Ø=2" x 6"</t>
  </si>
  <si>
    <t xml:space="preserve">4.2.3.1.5.16   Válvula compuerta roscado de Bronce Pesado de Ø=2"</t>
  </si>
  <si>
    <t xml:space="preserve">4.2.3.1.5.17   Codo PVC SP C-10 de Ø=2" x 90°</t>
  </si>
  <si>
    <t xml:space="preserve">4.2.3.1.6 SUM. E INST. DE LINEA DE LIMPIA Y VENTILACION CISTERNA DE PVC SP D=2"  (en la planilla: 1 glb)</t>
  </si>
  <si>
    <t xml:space="preserve">4.2.3.1.6.01   Brida Rompe agua de Ø=2" PL=0.20x0.20m e=1/8" (Niple F°G°= 2", L=0.45 m) Rosca a un Lado</t>
  </si>
  <si>
    <t xml:space="preserve">• fila 507: la planilla no lleva el parcial; se toma N.° veces 1 x cantidad 2 = 2 und</t>
  </si>
  <si>
    <t xml:space="preserve">4.2.3.1.6.02   Codo de PVC de Ø=2" x 90°</t>
  </si>
  <si>
    <t xml:space="preserve">4.2.3.1.6.03   Niple roscado de PVC de Ø=2" x 6"</t>
  </si>
  <si>
    <t xml:space="preserve">4.2.3.1.6.04   Codo de PVC de Ø=2" x 90° - Inc. Malla Galvanizada Soldada</t>
  </si>
  <si>
    <t xml:space="preserve">codo de ventilación</t>
  </si>
  <si>
    <t xml:space="preserve">malla galvanizada soldada en la boca del codo</t>
  </si>
  <si>
    <t xml:space="preserve">• fila 510: la planilla no lleva el parcial; se toma 2 und (codo Ø2" + malla galvanizada soldada)</t>
  </si>
  <si>
    <t xml:space="preserve">4.2.3.1.7 PRUEBA HIDRÁULICA DE ESTANQUEIDAD Y DESINFECCIÓN DE CISTERNA Y TANQUE ELEVADO  (en la planilla: 1 glb)</t>
  </si>
  <si>
    <t xml:space="preserve">4.2.3.1.7   Prueba hidráulica de estanqueidad y desinfección de cisterna y tanque elevado</t>
  </si>
  <si>
    <t xml:space="preserve">Costo unit. por m3 (S/)</t>
  </si>
  <si>
    <t xml:space="preserve">Rendimiento: 47 m³ en 2 días de cuadrilla (llenado, lectura a 24 h, desinfección, vaciado y limpieza) = 23.5 m³/día; editable.</t>
  </si>
  <si>
    <t xml:space="preserve">Agua (llenado + 10 % de enjuague)</t>
  </si>
  <si>
    <t xml:space="preserve">1 m³ de volumen + 10 % para enjuague</t>
  </si>
  <si>
    <t xml:space="preserve">Hipoclorito de calcio al 70 %</t>
  </si>
  <si>
    <t xml:space="preserve">50 mg/l de cloro libre durante 24 h (RNE IS.010): 50 g/m³ / 0.70</t>
  </si>
  <si>
    <t xml:space="preserve">1 kit para los 47 m³</t>
  </si>
  <si>
    <t xml:space="preserve">COSTO UNITARIO DIRECTO POR m3 (S/)</t>
  </si>
  <si>
    <t xml:space="preserve">• Metrado: cisterna 32 m³ + tanque elevado 15 m³ = 47 m³ (programa arquitectónico del perfil). La planilla tiene esta partida como 1 glb sin desagregado.</t>
  </si>
  <si>
    <t xml:space="preserve">• Se llena una sola vez: la desinfección usa el agua de la prueba; el vaciado se hace con las electrobombas de la partida 4.2.3.2.1.</t>
  </si>
  <si>
    <t xml:space="preserve">• Agua con la tarifa oficial de EMAPA San Martín (categoría comercial, tramo de 30 m³ a más), sin IGV.</t>
  </si>
  <si>
    <t xml:space="preserve">4.3.6.3.3 TECLE DE PALANCA P/CABALLETE  (en la planilla: 1 glb)</t>
  </si>
  <si>
    <t xml:space="preserve">4.3.6.3.3   Caballete móvil de IPN 100 con tecle de palanca</t>
  </si>
  <si>
    <t xml:space="preserve">Rendimiento calculado por componentes (tabla al pie del análisis).</t>
  </si>
  <si>
    <t xml:space="preserve">planilla filas 1022-1026: 11.80 m; + 5 % de desperdicio</t>
  </si>
  <si>
    <t xml:space="preserve">planilla fila 1027</t>
  </si>
  <si>
    <t xml:space="preserve">Tapa: plancha LAC 1/8" 0.40 x 0.40 m (24.91 kg/m²)</t>
  </si>
  <si>
    <t xml:space="preserve">planilla fila 1028: «Tapa» 1 und; medida adoptada, confirmar con el plano</t>
  </si>
  <si>
    <t xml:space="preserve">planilla fila 1029</t>
  </si>
  <si>
    <t xml:space="preserve">≈2.5 % del peso del caballete; incluye las placas de las ruedas</t>
  </si>
  <si>
    <t xml:space="preserve">≈4.7 m² a 2 manos, 32 m²/gal</t>
  </si>
  <si>
    <t xml:space="preserve">dilución y limpieza</t>
  </si>
  <si>
    <t xml:space="preserve">preparación de superficie</t>
  </si>
  <si>
    <t xml:space="preserve">5 % de la mano de obra (amoladora, discos, escuadras, prensas)</t>
  </si>
  <si>
    <t xml:space="preserve">horas de fabricación del caballete</t>
  </si>
  <si>
    <t xml:space="preserve">TIPO</t>
  </si>
  <si>
    <t xml:space="preserve">COMPONENTE</t>
  </si>
  <si>
    <t xml:space="preserve">REND. (und/día)</t>
  </si>
  <si>
    <t xml:space="preserve">DÍAS</t>
  </si>
  <si>
    <t xml:space="preserve">CRITERIO</t>
  </si>
  <si>
    <t xml:space="preserve">fab</t>
  </si>
  <si>
    <t xml:space="preserve">Habilitado, corte y soldadura del caballete de IPN 100</t>
  </si>
  <si>
    <t xml:space="preserve">60 kg/día de estructura liviana</t>
  </si>
  <si>
    <t xml:space="preserve">pin</t>
  </si>
  <si>
    <t xml:space="preserve">Limpieza, lijado y pintura (anticorrosivo + esmalte)</t>
  </si>
  <si>
    <t xml:space="preserve">25 m²/día</t>
  </si>
  <si>
    <t xml:space="preserve">rue</t>
  </si>
  <si>
    <t xml:space="preserve">Montaje de ruedas con freno</t>
  </si>
  <si>
    <t xml:space="preserve">8 und/día</t>
  </si>
  <si>
    <t xml:space="preserve">tec</t>
  </si>
  <si>
    <t xml:space="preserve">Montaje y prueba del tecle de palanca y de la tapa</t>
  </si>
  <si>
    <t xml:space="preserve">1/2 día</t>
  </si>
  <si>
    <t xml:space="preserve">Rendimiento = 1 / total días (und/día)</t>
  </si>
  <si>
    <t xml:space="preserve">• Caballete móvil de IPN 100 con 4 ruedas con freno y tecle de palanca para levantar las tapas del tanque séptico (≈480 kg): tecle de 1.5 t.</t>
  </si>
  <si>
    <t xml:space="preserve">• La planilla pone «Tapa» 1 und sin medida; se analiza como plancha LAC 1/8" de 0.40 x 0.40 m. Confirmar con el plano.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</si>
</sst>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0"/>
    <numFmt numFmtId="167" formatCode="0.000"/>
    <numFmt numFmtId="168" formatCode="0.0000&quot; m/día&quot;"/>
    <numFmt numFmtId="169" formatCode="0.0000"/>
    <numFmt numFmtId="170" formatCode="0.00&quot; m&quot;"/>
    <numFmt numFmtId="171" formatCode="0.0000&quot; und/día&quot;"/>
    <numFmt numFmtId="172" formatCode="0.00&quot; und&quot;"/>
    <numFmt numFmtId="173" formatCode="0.0000&quot; m3/día&quot;"/>
    <numFmt numFmtId="174" formatCode="0.00&quot; m3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home/user/holaaa/entregables_mujeres/ACU_IISS_CISTERNA_TANQUE_Y_TECLE_POR_METRO_Y_UNIDAD_CAR_MUJERES.xlsx" TargetMode="External"/><Relationship Id="rId2" Type="http://schemas.openxmlformats.org/officeDocument/2006/relationships/hyperlink" Target="../../home/user/holaaa/entregables_mujeres/ACU_IISS_CISTERNA_TANQUE_Y_TECLE_POR_METRO_Y_UNIDAD_CAR_MUJERES.xlsx" TargetMode="External"/><Relationship Id="rId3" Type="http://schemas.openxmlformats.org/officeDocument/2006/relationships/hyperlink" Target="../../home/user/holaaa/entregables_mujeres/ACU_IISS_CISTERNA_TANQUE_Y_TECLE_POR_METRO_Y_UNIDAD_CAR_MUJERES.xlsx" TargetMode="External"/><Relationship Id="rId4" Type="http://schemas.openxmlformats.org/officeDocument/2006/relationships/hyperlink" Target="../../home/user/holaaa/entregables_mujeres/ACU_IISS_CISTERNA_TANQUE_Y_TECLE_POR_METRO_Y_UNIDAD_CAR_MUJERES.xlsx" TargetMode="External"/><Relationship Id="rId5" Type="http://schemas.openxmlformats.org/officeDocument/2006/relationships/hyperlink" Target="../../home/user/holaaa/entregables_mujeres/ACU_IISS_CISTERNA_TANQUE_Y_TECLE_POR_METRO_Y_UNIDAD_CAR_MUJERES.xlsx" TargetMode="External"/><Relationship Id="rId6" Type="http://schemas.openxmlformats.org/officeDocument/2006/relationships/hyperlink" Target="../../home/user/holaaa/entregables_mujeres/ACU_IISS_CISTERNA_TANQUE_Y_TECLE_POR_METRO_Y_UNIDAD_CAR_MUJERES.xlsx" TargetMode="External"/><Relationship Id="rId7" Type="http://schemas.openxmlformats.org/officeDocument/2006/relationships/hyperlink" Target="../../home/user/holaaa/entregables_mujeres/ACU_IISS_CISTERNA_TANQUE_Y_TECLE_POR_METRO_Y_UNIDAD_CAR_MUJERES.xlsx" TargetMode="External"/><Relationship Id="rId8" Type="http://schemas.openxmlformats.org/officeDocument/2006/relationships/hyperlink" Target="../../home/user/holaaa/entregables_mujeres/ACU_IISS_CISTERNA_TANQUE_Y_TECLE_POR_METRO_Y_UNIDAD_CAR_MUJERE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6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5.5" hidden="false" customHeight="true" outlineLevel="0" collapsed="false">
      <c r="A6" s="5" t="s">
        <v>10</v>
      </c>
      <c r="B6" s="6" t="s">
        <v>11</v>
      </c>
      <c r="C6" s="7"/>
      <c r="D6" s="7"/>
      <c r="E6" s="8" t="s">
        <v>12</v>
      </c>
      <c r="F6" s="9" t="n">
        <f aca="false">SUM(F7:F10)</f>
        <v>475.61</v>
      </c>
      <c r="G6" s="10" t="s">
        <v>13</v>
      </c>
    </row>
    <row r="7" customFormat="false" ht="15" hidden="false" customHeight="true" outlineLevel="0" collapsed="false">
      <c r="A7" s="11" t="s">
        <v>14</v>
      </c>
      <c r="B7" s="12" t="s">
        <v>15</v>
      </c>
      <c r="C7" s="11" t="s">
        <v>16</v>
      </c>
      <c r="D7" s="13" t="n">
        <v>6</v>
      </c>
      <c r="E7" s="14" t="n">
        <f aca="false">'4.2.3.1.1'!$G$23</f>
        <v>17.85</v>
      </c>
      <c r="F7" s="14" t="n">
        <f aca="false">ROUND(D7*E7,2)</f>
        <v>107.1</v>
      </c>
      <c r="G7" s="15" t="s">
        <v>17</v>
      </c>
    </row>
    <row r="8" customFormat="false" ht="15" hidden="false" customHeight="true" outlineLevel="0" collapsed="false">
      <c r="A8" s="11" t="s">
        <v>18</v>
      </c>
      <c r="B8" s="12" t="s">
        <v>19</v>
      </c>
      <c r="C8" s="11" t="s">
        <v>20</v>
      </c>
      <c r="D8" s="13" t="n">
        <v>1</v>
      </c>
      <c r="E8" s="14" t="n">
        <f aca="false">'4.2.3.1.1'!$G$41</f>
        <v>225.08</v>
      </c>
      <c r="F8" s="14" t="n">
        <f aca="false">ROUND(D8*E8,2)</f>
        <v>225.08</v>
      </c>
      <c r="G8" s="15" t="s">
        <v>21</v>
      </c>
    </row>
    <row r="9" customFormat="false" ht="15" hidden="false" customHeight="true" outlineLevel="0" collapsed="false">
      <c r="A9" s="11" t="s">
        <v>22</v>
      </c>
      <c r="B9" s="12" t="s">
        <v>23</v>
      </c>
      <c r="C9" s="11" t="s">
        <v>20</v>
      </c>
      <c r="D9" s="13" t="n">
        <v>1</v>
      </c>
      <c r="E9" s="14" t="n">
        <f aca="false">'4.2.3.1.1'!$G$59</f>
        <v>26.68</v>
      </c>
      <c r="F9" s="14" t="n">
        <f aca="false">ROUND(D9*E9,2)</f>
        <v>26.68</v>
      </c>
      <c r="G9" s="15" t="s">
        <v>24</v>
      </c>
    </row>
    <row r="10" customFormat="false" ht="24" hidden="false" customHeight="true" outlineLevel="0" collapsed="false">
      <c r="A10" s="11" t="s">
        <v>25</v>
      </c>
      <c r="B10" s="12" t="s">
        <v>26</v>
      </c>
      <c r="C10" s="11" t="s">
        <v>20</v>
      </c>
      <c r="D10" s="13" t="n">
        <v>1</v>
      </c>
      <c r="E10" s="14" t="n">
        <f aca="false">'4.2.3.1.1'!$G$79</f>
        <v>116.75</v>
      </c>
      <c r="F10" s="14" t="n">
        <f aca="false">ROUND(D10*E10,2)</f>
        <v>116.75</v>
      </c>
      <c r="G10" s="15" t="s">
        <v>27</v>
      </c>
    </row>
    <row r="11" customFormat="false" ht="25.5" hidden="false" customHeight="true" outlineLevel="0" collapsed="false">
      <c r="A11" s="5" t="s">
        <v>28</v>
      </c>
      <c r="B11" s="6" t="s">
        <v>29</v>
      </c>
      <c r="C11" s="7"/>
      <c r="D11" s="7"/>
      <c r="E11" s="8" t="s">
        <v>12</v>
      </c>
      <c r="F11" s="9" t="n">
        <f aca="false">SUM(F12:F18)</f>
        <v>1131.15</v>
      </c>
      <c r="G11" s="10" t="s">
        <v>13</v>
      </c>
    </row>
    <row r="12" customFormat="false" ht="24" hidden="false" customHeight="true" outlineLevel="0" collapsed="false">
      <c r="A12" s="11" t="s">
        <v>30</v>
      </c>
      <c r="B12" s="12" t="s">
        <v>31</v>
      </c>
      <c r="C12" s="11" t="s">
        <v>16</v>
      </c>
      <c r="D12" s="13" t="n">
        <v>4.64</v>
      </c>
      <c r="E12" s="14" t="n">
        <f aca="false">'4.2.3.1.2'!$G$22</f>
        <v>25.61</v>
      </c>
      <c r="F12" s="14" t="n">
        <f aca="false">ROUND(D12*E12,2)</f>
        <v>118.83</v>
      </c>
      <c r="G12" s="15" t="s">
        <v>32</v>
      </c>
    </row>
    <row r="13" customFormat="false" ht="24" hidden="false" customHeight="true" outlineLevel="0" collapsed="false">
      <c r="A13" s="11" t="s">
        <v>33</v>
      </c>
      <c r="B13" s="12" t="s">
        <v>34</v>
      </c>
      <c r="C13" s="11" t="s">
        <v>20</v>
      </c>
      <c r="D13" s="13" t="n">
        <v>2</v>
      </c>
      <c r="E13" s="14" t="n">
        <f aca="false">'4.2.3.1.2'!$G$42</f>
        <v>118.56</v>
      </c>
      <c r="F13" s="14" t="n">
        <f aca="false">ROUND(D13*E13,2)</f>
        <v>237.12</v>
      </c>
      <c r="G13" s="15" t="s">
        <v>35</v>
      </c>
    </row>
    <row r="14" customFormat="false" ht="15" hidden="false" customHeight="true" outlineLevel="0" collapsed="false">
      <c r="A14" s="11" t="s">
        <v>36</v>
      </c>
      <c r="B14" s="12" t="s">
        <v>37</v>
      </c>
      <c r="C14" s="11" t="s">
        <v>20</v>
      </c>
      <c r="D14" s="13" t="n">
        <v>2</v>
      </c>
      <c r="E14" s="14" t="n">
        <f aca="false">'4.2.3.1.2'!$G$60</f>
        <v>121.98</v>
      </c>
      <c r="F14" s="14" t="n">
        <f aca="false">ROUND(D14*E14,2)</f>
        <v>243.96</v>
      </c>
      <c r="G14" s="15" t="s">
        <v>38</v>
      </c>
    </row>
    <row r="15" customFormat="false" ht="15" hidden="false" customHeight="true" outlineLevel="0" collapsed="false">
      <c r="A15" s="11" t="s">
        <v>39</v>
      </c>
      <c r="B15" s="12" t="s">
        <v>40</v>
      </c>
      <c r="C15" s="11" t="s">
        <v>20</v>
      </c>
      <c r="D15" s="13" t="n">
        <v>2</v>
      </c>
      <c r="E15" s="14" t="n">
        <f aca="false">'4.2.3.1.2'!$G$79</f>
        <v>24.64</v>
      </c>
      <c r="F15" s="14" t="n">
        <f aca="false">ROUND(D15*E15,2)</f>
        <v>49.28</v>
      </c>
      <c r="G15" s="15" t="s">
        <v>41</v>
      </c>
    </row>
    <row r="16" customFormat="false" ht="15" hidden="false" customHeight="true" outlineLevel="0" collapsed="false">
      <c r="A16" s="11" t="s">
        <v>42</v>
      </c>
      <c r="B16" s="12" t="s">
        <v>43</v>
      </c>
      <c r="C16" s="11" t="s">
        <v>20</v>
      </c>
      <c r="D16" s="13" t="n">
        <v>2</v>
      </c>
      <c r="E16" s="14" t="n">
        <f aca="false">'4.2.3.1.2'!$G$97</f>
        <v>32.45</v>
      </c>
      <c r="F16" s="14" t="n">
        <f aca="false">ROUND(D16*E16,2)</f>
        <v>64.9</v>
      </c>
      <c r="G16" s="15" t="s">
        <v>44</v>
      </c>
    </row>
    <row r="17" customFormat="false" ht="15" hidden="false" customHeight="true" outlineLevel="0" collapsed="false">
      <c r="A17" s="11" t="s">
        <v>45</v>
      </c>
      <c r="B17" s="12" t="s">
        <v>46</v>
      </c>
      <c r="C17" s="11" t="s">
        <v>20</v>
      </c>
      <c r="D17" s="13" t="n">
        <v>2</v>
      </c>
      <c r="E17" s="14" t="n">
        <f aca="false">'4.2.3.1.2'!$G$115</f>
        <v>24.61</v>
      </c>
      <c r="F17" s="14" t="n">
        <f aca="false">ROUND(D17*E17,2)</f>
        <v>49.22</v>
      </c>
      <c r="G17" s="15" t="s">
        <v>47</v>
      </c>
    </row>
    <row r="18" customFormat="false" ht="15" hidden="false" customHeight="true" outlineLevel="0" collapsed="false">
      <c r="A18" s="11" t="s">
        <v>48</v>
      </c>
      <c r="B18" s="12" t="s">
        <v>49</v>
      </c>
      <c r="C18" s="11" t="s">
        <v>20</v>
      </c>
      <c r="D18" s="13" t="n">
        <v>2</v>
      </c>
      <c r="E18" s="14" t="n">
        <f aca="false">'4.2.3.1.2'!$G$132</f>
        <v>183.92</v>
      </c>
      <c r="F18" s="14" t="n">
        <f aca="false">ROUND(D18*E18,2)</f>
        <v>367.84</v>
      </c>
      <c r="G18" s="15" t="s">
        <v>50</v>
      </c>
    </row>
    <row r="19" customFormat="false" ht="25.5" hidden="false" customHeight="true" outlineLevel="0" collapsed="false">
      <c r="A19" s="5" t="s">
        <v>51</v>
      </c>
      <c r="B19" s="6" t="s">
        <v>52</v>
      </c>
      <c r="C19" s="7"/>
      <c r="D19" s="7"/>
      <c r="E19" s="8" t="s">
        <v>12</v>
      </c>
      <c r="F19" s="9" t="n">
        <f aca="false">SUM(F20:F37)</f>
        <v>2304.99</v>
      </c>
      <c r="G19" s="10" t="s">
        <v>13</v>
      </c>
    </row>
    <row r="20" customFormat="false" ht="15" hidden="false" customHeight="true" outlineLevel="0" collapsed="false">
      <c r="A20" s="11" t="s">
        <v>53</v>
      </c>
      <c r="B20" s="12" t="s">
        <v>54</v>
      </c>
      <c r="C20" s="11" t="s">
        <v>16</v>
      </c>
      <c r="D20" s="13" t="n">
        <v>15</v>
      </c>
      <c r="E20" s="14" t="n">
        <f aca="false">'4.2.3.1.3'!$G$23</f>
        <v>25.61</v>
      </c>
      <c r="F20" s="14" t="n">
        <f aca="false">ROUND(D20*E20,2)</f>
        <v>384.15</v>
      </c>
      <c r="G20" s="15" t="s">
        <v>55</v>
      </c>
    </row>
    <row r="21" customFormat="false" ht="15" hidden="false" customHeight="true" outlineLevel="0" collapsed="false">
      <c r="A21" s="11" t="s">
        <v>56</v>
      </c>
      <c r="B21" s="12" t="s">
        <v>57</v>
      </c>
      <c r="C21" s="11" t="s">
        <v>20</v>
      </c>
      <c r="D21" s="13" t="n">
        <v>3</v>
      </c>
      <c r="E21" s="14" t="n">
        <f aca="false">'4.2.3.1.3'!$G$41</f>
        <v>27.5</v>
      </c>
      <c r="F21" s="14" t="n">
        <f aca="false">ROUND(D21*E21,2)</f>
        <v>82.5</v>
      </c>
      <c r="G21" s="15" t="s">
        <v>58</v>
      </c>
    </row>
    <row r="22" customFormat="false" ht="15" hidden="false" customHeight="true" outlineLevel="0" collapsed="false">
      <c r="A22" s="11" t="s">
        <v>59</v>
      </c>
      <c r="B22" s="12" t="s">
        <v>60</v>
      </c>
      <c r="C22" s="11" t="s">
        <v>20</v>
      </c>
      <c r="D22" s="13" t="n">
        <v>1</v>
      </c>
      <c r="E22" s="14" t="n">
        <f aca="false">'4.2.3.1.3'!$G$59</f>
        <v>134.16</v>
      </c>
      <c r="F22" s="14" t="n">
        <f aca="false">ROUND(D22*E22,2)</f>
        <v>134.16</v>
      </c>
      <c r="G22" s="15" t="s">
        <v>61</v>
      </c>
    </row>
    <row r="23" customFormat="false" ht="15" hidden="false" customHeight="true" outlineLevel="0" collapsed="false">
      <c r="A23" s="11" t="s">
        <v>62</v>
      </c>
      <c r="B23" s="12" t="s">
        <v>63</v>
      </c>
      <c r="C23" s="11" t="s">
        <v>20</v>
      </c>
      <c r="D23" s="13" t="n">
        <v>3</v>
      </c>
      <c r="E23" s="14" t="n">
        <f aca="false">'4.2.3.1.3'!$G$77</f>
        <v>33.73</v>
      </c>
      <c r="F23" s="14" t="n">
        <f aca="false">ROUND(D23*E23,2)</f>
        <v>101.19</v>
      </c>
      <c r="G23" s="15" t="s">
        <v>64</v>
      </c>
    </row>
    <row r="24" customFormat="false" ht="15" hidden="false" customHeight="true" outlineLevel="0" collapsed="false">
      <c r="A24" s="11" t="s">
        <v>65</v>
      </c>
      <c r="B24" s="12" t="s">
        <v>66</v>
      </c>
      <c r="C24" s="11" t="s">
        <v>20</v>
      </c>
      <c r="D24" s="13" t="n">
        <v>1</v>
      </c>
      <c r="E24" s="14" t="n">
        <f aca="false">'4.2.3.1.3'!$G$95</f>
        <v>62.12</v>
      </c>
      <c r="F24" s="14" t="n">
        <f aca="false">ROUND(D24*E24,2)</f>
        <v>62.12</v>
      </c>
      <c r="G24" s="15" t="s">
        <v>67</v>
      </c>
    </row>
    <row r="25" customFormat="false" ht="15" hidden="false" customHeight="true" outlineLevel="0" collapsed="false">
      <c r="A25" s="11" t="s">
        <v>68</v>
      </c>
      <c r="B25" s="12" t="s">
        <v>43</v>
      </c>
      <c r="C25" s="11" t="s">
        <v>20</v>
      </c>
      <c r="D25" s="13" t="n">
        <v>1</v>
      </c>
      <c r="E25" s="14" t="n">
        <f aca="false">'4.2.3.1.3'!$G$113</f>
        <v>32.45</v>
      </c>
      <c r="F25" s="14" t="n">
        <f aca="false">ROUND(D25*E25,2)</f>
        <v>32.45</v>
      </c>
      <c r="G25" s="15" t="s">
        <v>69</v>
      </c>
    </row>
    <row r="26" customFormat="false" ht="15" hidden="false" customHeight="true" outlineLevel="0" collapsed="false">
      <c r="A26" s="11" t="s">
        <v>70</v>
      </c>
      <c r="B26" s="12" t="s">
        <v>71</v>
      </c>
      <c r="C26" s="11" t="s">
        <v>20</v>
      </c>
      <c r="D26" s="13" t="n">
        <v>7</v>
      </c>
      <c r="E26" s="14" t="n">
        <f aca="false">'4.2.3.1.3'!$G$131</f>
        <v>20.51</v>
      </c>
      <c r="F26" s="14" t="n">
        <f aca="false">ROUND(D26*E26,2)</f>
        <v>143.57</v>
      </c>
      <c r="G26" s="15" t="s">
        <v>72</v>
      </c>
    </row>
    <row r="27" customFormat="false" ht="15" hidden="false" customHeight="true" outlineLevel="0" collapsed="false">
      <c r="A27" s="11" t="s">
        <v>73</v>
      </c>
      <c r="B27" s="12" t="s">
        <v>74</v>
      </c>
      <c r="C27" s="11" t="s">
        <v>20</v>
      </c>
      <c r="D27" s="13" t="n">
        <v>1</v>
      </c>
      <c r="E27" s="14" t="n">
        <f aca="false">'4.2.3.1.3'!$G$149</f>
        <v>26.73</v>
      </c>
      <c r="F27" s="14" t="n">
        <f aca="false">ROUND(D27*E27,2)</f>
        <v>26.73</v>
      </c>
      <c r="G27" s="15" t="s">
        <v>75</v>
      </c>
    </row>
    <row r="28" customFormat="false" ht="15" hidden="false" customHeight="true" outlineLevel="0" collapsed="false">
      <c r="A28" s="11" t="s">
        <v>76</v>
      </c>
      <c r="B28" s="12" t="s">
        <v>77</v>
      </c>
      <c r="C28" s="11" t="s">
        <v>20</v>
      </c>
      <c r="D28" s="13" t="n">
        <v>1</v>
      </c>
      <c r="E28" s="14" t="n">
        <f aca="false">'4.2.3.1.3'!$G$167</f>
        <v>193.48</v>
      </c>
      <c r="F28" s="14" t="n">
        <f aca="false">ROUND(D28*E28,2)</f>
        <v>193.48</v>
      </c>
      <c r="G28" s="15" t="s">
        <v>78</v>
      </c>
    </row>
    <row r="29" customFormat="false" ht="15" hidden="false" customHeight="true" outlineLevel="0" collapsed="false">
      <c r="A29" s="11" t="s">
        <v>79</v>
      </c>
      <c r="B29" s="12" t="s">
        <v>80</v>
      </c>
      <c r="C29" s="11" t="s">
        <v>20</v>
      </c>
      <c r="D29" s="13" t="n">
        <v>1</v>
      </c>
      <c r="E29" s="14" t="n">
        <f aca="false">'4.2.3.1.3'!$G$185</f>
        <v>24.61</v>
      </c>
      <c r="F29" s="14" t="n">
        <f aca="false">ROUND(D29*E29,2)</f>
        <v>24.61</v>
      </c>
      <c r="G29" s="15" t="s">
        <v>81</v>
      </c>
    </row>
    <row r="30" customFormat="false" ht="15" hidden="false" customHeight="true" outlineLevel="0" collapsed="false">
      <c r="A30" s="11" t="s">
        <v>82</v>
      </c>
      <c r="B30" s="12" t="s">
        <v>83</v>
      </c>
      <c r="C30" s="11" t="s">
        <v>20</v>
      </c>
      <c r="D30" s="13" t="n">
        <v>8</v>
      </c>
      <c r="E30" s="14" t="n">
        <f aca="false">'4.2.3.1.3'!$G$203</f>
        <v>37.46</v>
      </c>
      <c r="F30" s="14" t="n">
        <f aca="false">ROUND(D30*E30,2)</f>
        <v>299.68</v>
      </c>
      <c r="G30" s="15" t="s">
        <v>84</v>
      </c>
    </row>
    <row r="31" customFormat="false" ht="15" hidden="false" customHeight="true" outlineLevel="0" collapsed="false">
      <c r="A31" s="11" t="s">
        <v>85</v>
      </c>
      <c r="B31" s="12" t="s">
        <v>40</v>
      </c>
      <c r="C31" s="11" t="s">
        <v>20</v>
      </c>
      <c r="D31" s="13" t="n">
        <v>1</v>
      </c>
      <c r="E31" s="14" t="n">
        <f aca="false">'4.2.3.1.3'!$G$222</f>
        <v>24.64</v>
      </c>
      <c r="F31" s="14" t="n">
        <f aca="false">ROUND(D31*E31,2)</f>
        <v>24.64</v>
      </c>
      <c r="G31" s="15" t="s">
        <v>86</v>
      </c>
    </row>
    <row r="32" customFormat="false" ht="15" hidden="false" customHeight="true" outlineLevel="0" collapsed="false">
      <c r="A32" s="11" t="s">
        <v>87</v>
      </c>
      <c r="B32" s="12" t="s">
        <v>88</v>
      </c>
      <c r="C32" s="11" t="s">
        <v>20</v>
      </c>
      <c r="D32" s="13" t="n">
        <v>1</v>
      </c>
      <c r="E32" s="14" t="n">
        <f aca="false">'4.2.3.1.3'!$G$240</f>
        <v>35.15</v>
      </c>
      <c r="F32" s="14" t="n">
        <f aca="false">ROUND(D32*E32,2)</f>
        <v>35.15</v>
      </c>
      <c r="G32" s="15" t="s">
        <v>89</v>
      </c>
    </row>
    <row r="33" customFormat="false" ht="24" hidden="false" customHeight="true" outlineLevel="0" collapsed="false">
      <c r="A33" s="11" t="s">
        <v>90</v>
      </c>
      <c r="B33" s="12" t="s">
        <v>91</v>
      </c>
      <c r="C33" s="11" t="s">
        <v>20</v>
      </c>
      <c r="D33" s="13" t="n">
        <v>1</v>
      </c>
      <c r="E33" s="14" t="n">
        <f aca="false">'4.2.3.1.3'!$G$259</f>
        <v>118.56</v>
      </c>
      <c r="F33" s="14" t="n">
        <f aca="false">ROUND(D33*E33,2)</f>
        <v>118.56</v>
      </c>
      <c r="G33" s="15" t="s">
        <v>92</v>
      </c>
    </row>
    <row r="34" customFormat="false" ht="24" hidden="false" customHeight="true" outlineLevel="0" collapsed="false">
      <c r="A34" s="11" t="s">
        <v>93</v>
      </c>
      <c r="B34" s="12" t="s">
        <v>94</v>
      </c>
      <c r="C34" s="11" t="s">
        <v>20</v>
      </c>
      <c r="D34" s="13" t="n">
        <v>1</v>
      </c>
      <c r="E34" s="14" t="n">
        <f aca="false">'4.2.3.1.3'!$G$278</f>
        <v>29.96</v>
      </c>
      <c r="F34" s="14" t="n">
        <f aca="false">ROUND(D34*E34,2)</f>
        <v>29.96</v>
      </c>
      <c r="G34" s="15" t="s">
        <v>95</v>
      </c>
    </row>
    <row r="35" customFormat="false" ht="15" hidden="false" customHeight="true" outlineLevel="0" collapsed="false">
      <c r="A35" s="11" t="s">
        <v>96</v>
      </c>
      <c r="B35" s="12" t="s">
        <v>97</v>
      </c>
      <c r="C35" s="11" t="s">
        <v>20</v>
      </c>
      <c r="D35" s="13" t="n">
        <v>1</v>
      </c>
      <c r="E35" s="14" t="n">
        <f aca="false">'4.2.3.1.3'!$G$296</f>
        <v>33.46</v>
      </c>
      <c r="F35" s="14" t="n">
        <f aca="false">ROUND(D35*E35,2)</f>
        <v>33.46</v>
      </c>
      <c r="G35" s="15" t="s">
        <v>98</v>
      </c>
    </row>
    <row r="36" customFormat="false" ht="15" hidden="false" customHeight="true" outlineLevel="0" collapsed="false">
      <c r="A36" s="11" t="s">
        <v>99</v>
      </c>
      <c r="B36" s="12" t="s">
        <v>100</v>
      </c>
      <c r="C36" s="11" t="s">
        <v>20</v>
      </c>
      <c r="D36" s="13" t="n">
        <v>1</v>
      </c>
      <c r="E36" s="14" t="n">
        <f aca="false">'4.2.3.1.3'!$G$314</f>
        <v>394.66</v>
      </c>
      <c r="F36" s="14" t="n">
        <f aca="false">ROUND(D36*E36,2)</f>
        <v>394.66</v>
      </c>
      <c r="G36" s="15" t="s">
        <v>101</v>
      </c>
    </row>
    <row r="37" customFormat="false" ht="15" hidden="false" customHeight="true" outlineLevel="0" collapsed="false">
      <c r="A37" s="11" t="s">
        <v>102</v>
      </c>
      <c r="B37" s="12" t="s">
        <v>49</v>
      </c>
      <c r="C37" s="11" t="s">
        <v>20</v>
      </c>
      <c r="D37" s="13" t="n">
        <v>1</v>
      </c>
      <c r="E37" s="14" t="n">
        <f aca="false">'4.2.3.1.3'!$G$331</f>
        <v>183.92</v>
      </c>
      <c r="F37" s="14" t="n">
        <f aca="false">ROUND(D37*E37,2)</f>
        <v>183.92</v>
      </c>
      <c r="G37" s="15" t="s">
        <v>103</v>
      </c>
    </row>
    <row r="38" customFormat="false" ht="25.5" hidden="false" customHeight="true" outlineLevel="0" collapsed="false">
      <c r="A38" s="5" t="s">
        <v>104</v>
      </c>
      <c r="B38" s="6" t="s">
        <v>105</v>
      </c>
      <c r="C38" s="7"/>
      <c r="D38" s="7"/>
      <c r="E38" s="8" t="s">
        <v>12</v>
      </c>
      <c r="F38" s="9" t="n">
        <f aca="false">SUM(F39:F49)</f>
        <v>1418.28</v>
      </c>
      <c r="G38" s="10" t="s">
        <v>13</v>
      </c>
    </row>
    <row r="39" customFormat="false" ht="15" hidden="false" customHeight="true" outlineLevel="0" collapsed="false">
      <c r="A39" s="11" t="s">
        <v>106</v>
      </c>
      <c r="B39" s="12" t="s">
        <v>107</v>
      </c>
      <c r="C39" s="11" t="s">
        <v>16</v>
      </c>
      <c r="D39" s="13" t="n">
        <v>17</v>
      </c>
      <c r="E39" s="14" t="n">
        <f aca="false">'4.2.3.1.4'!$G$22</f>
        <v>29.97</v>
      </c>
      <c r="F39" s="14" t="n">
        <f aca="false">ROUND(D39*E39,2)</f>
        <v>509.49</v>
      </c>
      <c r="G39" s="15" t="s">
        <v>108</v>
      </c>
    </row>
    <row r="40" customFormat="false" ht="24" hidden="false" customHeight="true" outlineLevel="0" collapsed="false">
      <c r="A40" s="11" t="s">
        <v>109</v>
      </c>
      <c r="B40" s="12" t="s">
        <v>110</v>
      </c>
      <c r="C40" s="11" t="s">
        <v>20</v>
      </c>
      <c r="D40" s="13" t="n">
        <v>1</v>
      </c>
      <c r="E40" s="14" t="n">
        <f aca="false">'4.2.3.1.4'!$G$41</f>
        <v>125.5</v>
      </c>
      <c r="F40" s="14" t="n">
        <f aca="false">ROUND(D40*E40,2)</f>
        <v>125.5</v>
      </c>
      <c r="G40" s="15" t="s">
        <v>111</v>
      </c>
    </row>
    <row r="41" customFormat="false" ht="15" hidden="false" customHeight="true" outlineLevel="0" collapsed="false">
      <c r="A41" s="11" t="s">
        <v>112</v>
      </c>
      <c r="B41" s="12" t="s">
        <v>113</v>
      </c>
      <c r="C41" s="11" t="s">
        <v>20</v>
      </c>
      <c r="D41" s="13" t="n">
        <v>1</v>
      </c>
      <c r="E41" s="14" t="n">
        <f aca="false">'4.2.3.1.4'!$G$60</f>
        <v>30.63</v>
      </c>
      <c r="F41" s="14" t="n">
        <f aca="false">ROUND(D41*E41,2)</f>
        <v>30.63</v>
      </c>
      <c r="G41" s="15" t="s">
        <v>114</v>
      </c>
    </row>
    <row r="42" customFormat="false" ht="15" hidden="false" customHeight="true" outlineLevel="0" collapsed="false">
      <c r="A42" s="11" t="s">
        <v>115</v>
      </c>
      <c r="B42" s="12" t="s">
        <v>116</v>
      </c>
      <c r="C42" s="11" t="s">
        <v>20</v>
      </c>
      <c r="D42" s="13" t="n">
        <v>1</v>
      </c>
      <c r="E42" s="14" t="n">
        <f aca="false">'4.2.3.1.4'!$G$78</f>
        <v>36.62</v>
      </c>
      <c r="F42" s="14" t="n">
        <f aca="false">ROUND(D42*E42,2)</f>
        <v>36.62</v>
      </c>
      <c r="G42" s="15" t="s">
        <v>117</v>
      </c>
    </row>
    <row r="43" customFormat="false" ht="15" hidden="false" customHeight="true" outlineLevel="0" collapsed="false">
      <c r="A43" s="11" t="s">
        <v>118</v>
      </c>
      <c r="B43" s="12" t="s">
        <v>119</v>
      </c>
      <c r="C43" s="11" t="s">
        <v>20</v>
      </c>
      <c r="D43" s="13" t="n">
        <v>2</v>
      </c>
      <c r="E43" s="14" t="n">
        <f aca="false">'4.2.3.1.4'!$G$98</f>
        <v>31.23</v>
      </c>
      <c r="F43" s="14" t="n">
        <f aca="false">ROUND(D43*E43,2)</f>
        <v>62.46</v>
      </c>
      <c r="G43" s="15" t="s">
        <v>120</v>
      </c>
    </row>
    <row r="44" customFormat="false" ht="15" hidden="false" customHeight="true" outlineLevel="0" collapsed="false">
      <c r="A44" s="11" t="s">
        <v>121</v>
      </c>
      <c r="B44" s="12" t="s">
        <v>122</v>
      </c>
      <c r="C44" s="11" t="s">
        <v>20</v>
      </c>
      <c r="D44" s="13" t="n">
        <v>2</v>
      </c>
      <c r="E44" s="14" t="n">
        <f aca="false">'4.2.3.1.4'!$G$116</f>
        <v>63.12</v>
      </c>
      <c r="F44" s="14" t="n">
        <f aca="false">ROUND(D44*E44,2)</f>
        <v>126.24</v>
      </c>
      <c r="G44" s="15" t="s">
        <v>123</v>
      </c>
    </row>
    <row r="45" customFormat="false" ht="15" hidden="false" customHeight="true" outlineLevel="0" collapsed="false">
      <c r="A45" s="11" t="s">
        <v>124</v>
      </c>
      <c r="B45" s="12" t="s">
        <v>125</v>
      </c>
      <c r="C45" s="11" t="s">
        <v>20</v>
      </c>
      <c r="D45" s="13" t="n">
        <v>2</v>
      </c>
      <c r="E45" s="14" t="n">
        <f aca="false">'4.2.3.1.4'!$G$134</f>
        <v>23.24</v>
      </c>
      <c r="F45" s="14" t="n">
        <f aca="false">ROUND(D45*E45,2)</f>
        <v>46.48</v>
      </c>
      <c r="G45" s="15" t="s">
        <v>126</v>
      </c>
    </row>
    <row r="46" customFormat="false" ht="15" hidden="false" customHeight="true" outlineLevel="0" collapsed="false">
      <c r="A46" s="11" t="s">
        <v>127</v>
      </c>
      <c r="B46" s="12" t="s">
        <v>128</v>
      </c>
      <c r="C46" s="11" t="s">
        <v>20</v>
      </c>
      <c r="D46" s="13" t="n">
        <v>1</v>
      </c>
      <c r="E46" s="14" t="n">
        <f aca="false">'4.2.3.1.4'!$G$152</f>
        <v>108.82</v>
      </c>
      <c r="F46" s="14" t="n">
        <f aca="false">ROUND(D46*E46,2)</f>
        <v>108.82</v>
      </c>
      <c r="G46" s="15" t="s">
        <v>129</v>
      </c>
    </row>
    <row r="47" customFormat="false" ht="15" hidden="false" customHeight="true" outlineLevel="0" collapsed="false">
      <c r="A47" s="11" t="s">
        <v>130</v>
      </c>
      <c r="B47" s="12" t="s">
        <v>131</v>
      </c>
      <c r="C47" s="11" t="s">
        <v>20</v>
      </c>
      <c r="D47" s="13" t="n">
        <v>7</v>
      </c>
      <c r="E47" s="14" t="n">
        <f aca="false">'4.2.3.1.4'!$G$170</f>
        <v>37.63</v>
      </c>
      <c r="F47" s="14" t="n">
        <f aca="false">ROUND(D47*E47,2)</f>
        <v>263.41</v>
      </c>
      <c r="G47" s="15" t="s">
        <v>132</v>
      </c>
    </row>
    <row r="48" customFormat="false" ht="15" hidden="false" customHeight="true" outlineLevel="0" collapsed="false">
      <c r="A48" s="11" t="s">
        <v>133</v>
      </c>
      <c r="B48" s="12" t="s">
        <v>134</v>
      </c>
      <c r="C48" s="11" t="s">
        <v>20</v>
      </c>
      <c r="D48" s="13" t="n">
        <v>1</v>
      </c>
      <c r="E48" s="14" t="n">
        <f aca="false">'4.2.3.1.4'!$G$188</f>
        <v>44.03</v>
      </c>
      <c r="F48" s="14" t="n">
        <f aca="false">ROUND(D48*E48,2)</f>
        <v>44.03</v>
      </c>
      <c r="G48" s="15" t="s">
        <v>135</v>
      </c>
    </row>
    <row r="49" customFormat="false" ht="15" hidden="false" customHeight="true" outlineLevel="0" collapsed="false">
      <c r="A49" s="11" t="s">
        <v>136</v>
      </c>
      <c r="B49" s="12" t="s">
        <v>137</v>
      </c>
      <c r="C49" s="11" t="s">
        <v>20</v>
      </c>
      <c r="D49" s="13" t="n">
        <v>2</v>
      </c>
      <c r="E49" s="14" t="n">
        <f aca="false">'4.2.3.1.4'!$G$206</f>
        <v>32.3</v>
      </c>
      <c r="F49" s="14" t="n">
        <f aca="false">ROUND(D49*E49,2)</f>
        <v>64.6</v>
      </c>
      <c r="G49" s="15" t="s">
        <v>138</v>
      </c>
    </row>
    <row r="50" customFormat="false" ht="25.5" hidden="false" customHeight="true" outlineLevel="0" collapsed="false">
      <c r="A50" s="5" t="s">
        <v>139</v>
      </c>
      <c r="B50" s="6" t="s">
        <v>140</v>
      </c>
      <c r="C50" s="7"/>
      <c r="D50" s="7"/>
      <c r="E50" s="8" t="s">
        <v>12</v>
      </c>
      <c r="F50" s="9" t="n">
        <f aca="false">SUM(F51:F67)</f>
        <v>2562.37</v>
      </c>
      <c r="G50" s="10" t="s">
        <v>13</v>
      </c>
    </row>
    <row r="51" customFormat="false" ht="15" hidden="false" customHeight="true" outlineLevel="0" collapsed="false">
      <c r="A51" s="11" t="s">
        <v>141</v>
      </c>
      <c r="B51" s="12" t="s">
        <v>15</v>
      </c>
      <c r="C51" s="11" t="s">
        <v>16</v>
      </c>
      <c r="D51" s="13" t="n">
        <v>17</v>
      </c>
      <c r="E51" s="14" t="n">
        <f aca="false">'4.2.3.1.5'!$G$22</f>
        <v>17.85</v>
      </c>
      <c r="F51" s="14" t="n">
        <f aca="false">ROUND(D51*E51,2)</f>
        <v>303.45</v>
      </c>
      <c r="G51" s="15" t="s">
        <v>142</v>
      </c>
    </row>
    <row r="52" customFormat="false" ht="15" hidden="false" customHeight="true" outlineLevel="0" collapsed="false">
      <c r="A52" s="11" t="s">
        <v>143</v>
      </c>
      <c r="B52" s="12" t="s">
        <v>107</v>
      </c>
      <c r="C52" s="11" t="s">
        <v>16</v>
      </c>
      <c r="D52" s="13" t="n">
        <v>18</v>
      </c>
      <c r="E52" s="14" t="n">
        <f aca="false">'4.2.3.1.5'!$G$40</f>
        <v>29.97</v>
      </c>
      <c r="F52" s="14" t="n">
        <f aca="false">ROUND(D52*E52,2)</f>
        <v>539.46</v>
      </c>
      <c r="G52" s="15" t="s">
        <v>144</v>
      </c>
    </row>
    <row r="53" customFormat="false" ht="15" hidden="false" customHeight="true" outlineLevel="0" collapsed="false">
      <c r="A53" s="11" t="s">
        <v>145</v>
      </c>
      <c r="B53" s="12" t="s">
        <v>146</v>
      </c>
      <c r="C53" s="11" t="s">
        <v>20</v>
      </c>
      <c r="D53" s="13" t="n">
        <v>1</v>
      </c>
      <c r="E53" s="14" t="n">
        <f aca="false">'4.2.3.1.5'!$G$58</f>
        <v>31.54</v>
      </c>
      <c r="F53" s="14" t="n">
        <f aca="false">ROUND(D53*E53,2)</f>
        <v>31.54</v>
      </c>
      <c r="G53" s="15" t="s">
        <v>147</v>
      </c>
    </row>
    <row r="54" customFormat="false" ht="15" hidden="false" customHeight="true" outlineLevel="0" collapsed="false">
      <c r="A54" s="11" t="s">
        <v>148</v>
      </c>
      <c r="B54" s="12" t="s">
        <v>149</v>
      </c>
      <c r="C54" s="11" t="s">
        <v>20</v>
      </c>
      <c r="D54" s="13" t="n">
        <v>4</v>
      </c>
      <c r="E54" s="14" t="n">
        <f aca="false">'4.2.3.1.5'!$G$76</f>
        <v>37.46</v>
      </c>
      <c r="F54" s="14" t="n">
        <f aca="false">ROUND(D54*E54,2)</f>
        <v>149.84</v>
      </c>
      <c r="G54" s="15" t="s">
        <v>150</v>
      </c>
    </row>
    <row r="55" customFormat="false" ht="15" hidden="false" customHeight="true" outlineLevel="0" collapsed="false">
      <c r="A55" s="11" t="s">
        <v>151</v>
      </c>
      <c r="B55" s="12" t="s">
        <v>152</v>
      </c>
      <c r="C55" s="11" t="s">
        <v>20</v>
      </c>
      <c r="D55" s="13" t="n">
        <v>4</v>
      </c>
      <c r="E55" s="14" t="n">
        <f aca="false">'4.2.3.1.5'!$G$94</f>
        <v>22.25</v>
      </c>
      <c r="F55" s="14" t="n">
        <f aca="false">ROUND(D55*E55,2)</f>
        <v>89</v>
      </c>
      <c r="G55" s="15" t="s">
        <v>153</v>
      </c>
    </row>
    <row r="56" customFormat="false" ht="24" hidden="false" customHeight="true" outlineLevel="0" collapsed="false">
      <c r="A56" s="11" t="s">
        <v>154</v>
      </c>
      <c r="B56" s="12" t="s">
        <v>155</v>
      </c>
      <c r="C56" s="11" t="s">
        <v>20</v>
      </c>
      <c r="D56" s="13" t="n">
        <v>2</v>
      </c>
      <c r="E56" s="14" t="n">
        <f aca="false">'4.2.3.1.5'!$G$113</f>
        <v>120.28</v>
      </c>
      <c r="F56" s="14" t="n">
        <f aca="false">ROUND(D56*E56,2)</f>
        <v>240.56</v>
      </c>
      <c r="G56" s="15" t="s">
        <v>156</v>
      </c>
    </row>
    <row r="57" customFormat="false" ht="15" hidden="false" customHeight="true" outlineLevel="0" collapsed="false">
      <c r="A57" s="11" t="s">
        <v>157</v>
      </c>
      <c r="B57" s="12" t="s">
        <v>158</v>
      </c>
      <c r="C57" s="11" t="s">
        <v>20</v>
      </c>
      <c r="D57" s="13" t="n">
        <v>1</v>
      </c>
      <c r="E57" s="14" t="n">
        <f aca="false">'4.2.3.1.5'!$G$131</f>
        <v>44.03</v>
      </c>
      <c r="F57" s="14" t="n">
        <f aca="false">ROUND(D57*E57,2)</f>
        <v>44.03</v>
      </c>
      <c r="G57" s="15" t="s">
        <v>159</v>
      </c>
    </row>
    <row r="58" customFormat="false" ht="15" hidden="false" customHeight="true" outlineLevel="0" collapsed="false">
      <c r="A58" s="11" t="s">
        <v>160</v>
      </c>
      <c r="B58" s="12" t="s">
        <v>161</v>
      </c>
      <c r="C58" s="11" t="s">
        <v>20</v>
      </c>
      <c r="D58" s="13" t="n">
        <v>2</v>
      </c>
      <c r="E58" s="14" t="n">
        <f aca="false">'4.2.3.1.5'!$G$149</f>
        <v>23.24</v>
      </c>
      <c r="F58" s="14" t="n">
        <f aca="false">ROUND(D58*E58,2)</f>
        <v>46.48</v>
      </c>
      <c r="G58" s="15" t="s">
        <v>162</v>
      </c>
    </row>
    <row r="59" customFormat="false" ht="15" hidden="false" customHeight="true" outlineLevel="0" collapsed="false">
      <c r="A59" s="11" t="s">
        <v>163</v>
      </c>
      <c r="B59" s="12" t="s">
        <v>113</v>
      </c>
      <c r="C59" s="11" t="s">
        <v>20</v>
      </c>
      <c r="D59" s="13" t="n">
        <v>3</v>
      </c>
      <c r="E59" s="14" t="n">
        <f aca="false">'4.2.3.1.5'!$G$168</f>
        <v>30.63</v>
      </c>
      <c r="F59" s="14" t="n">
        <f aca="false">ROUND(D59*E59,2)</f>
        <v>91.89</v>
      </c>
      <c r="G59" s="15" t="s">
        <v>164</v>
      </c>
    </row>
    <row r="60" customFormat="false" ht="15" hidden="false" customHeight="true" outlineLevel="0" collapsed="false">
      <c r="A60" s="11" t="s">
        <v>165</v>
      </c>
      <c r="B60" s="12" t="s">
        <v>166</v>
      </c>
      <c r="C60" s="11" t="s">
        <v>20</v>
      </c>
      <c r="D60" s="13" t="n">
        <v>13</v>
      </c>
      <c r="E60" s="14" t="n">
        <f aca="false">'4.2.3.1.5'!$G$186</f>
        <v>37.63</v>
      </c>
      <c r="F60" s="14" t="n">
        <f aca="false">ROUND(D60*E60,2)</f>
        <v>489.19</v>
      </c>
      <c r="G60" s="15" t="s">
        <v>167</v>
      </c>
    </row>
    <row r="61" customFormat="false" ht="15" hidden="false" customHeight="true" outlineLevel="0" collapsed="false">
      <c r="A61" s="11" t="s">
        <v>168</v>
      </c>
      <c r="B61" s="12" t="s">
        <v>169</v>
      </c>
      <c r="C61" s="11" t="s">
        <v>20</v>
      </c>
      <c r="D61" s="13" t="n">
        <v>1</v>
      </c>
      <c r="E61" s="14" t="n">
        <f aca="false">'4.2.3.1.5'!$G$204</f>
        <v>39.04</v>
      </c>
      <c r="F61" s="14" t="n">
        <f aca="false">ROUND(D61*E61,2)</f>
        <v>39.04</v>
      </c>
      <c r="G61" s="15" t="s">
        <v>170</v>
      </c>
    </row>
    <row r="62" customFormat="false" ht="15" hidden="false" customHeight="true" outlineLevel="0" collapsed="false">
      <c r="A62" s="11" t="s">
        <v>171</v>
      </c>
      <c r="B62" s="12" t="s">
        <v>134</v>
      </c>
      <c r="C62" s="11" t="s">
        <v>20</v>
      </c>
      <c r="D62" s="13" t="n">
        <v>1</v>
      </c>
      <c r="E62" s="14" t="n">
        <f aca="false">'4.2.3.1.5'!$G$222</f>
        <v>44.03</v>
      </c>
      <c r="F62" s="14" t="n">
        <f aca="false">ROUND(D62*E62,2)</f>
        <v>44.03</v>
      </c>
      <c r="G62" s="15" t="s">
        <v>172</v>
      </c>
    </row>
    <row r="63" customFormat="false" ht="15" hidden="false" customHeight="true" outlineLevel="0" collapsed="false">
      <c r="A63" s="11" t="s">
        <v>173</v>
      </c>
      <c r="B63" s="12" t="s">
        <v>119</v>
      </c>
      <c r="C63" s="11" t="s">
        <v>20</v>
      </c>
      <c r="D63" s="13" t="n">
        <v>2</v>
      </c>
      <c r="E63" s="14" t="n">
        <f aca="false">'4.2.3.1.5'!$G$241</f>
        <v>31.23</v>
      </c>
      <c r="F63" s="14" t="n">
        <f aca="false">ROUND(D63*E63,2)</f>
        <v>62.46</v>
      </c>
      <c r="G63" s="15" t="s">
        <v>174</v>
      </c>
    </row>
    <row r="64" customFormat="false" ht="15" hidden="false" customHeight="true" outlineLevel="0" collapsed="false">
      <c r="A64" s="11" t="s">
        <v>175</v>
      </c>
      <c r="B64" s="12" t="s">
        <v>122</v>
      </c>
      <c r="C64" s="11" t="s">
        <v>20</v>
      </c>
      <c r="D64" s="13" t="n">
        <v>2</v>
      </c>
      <c r="E64" s="14" t="n">
        <f aca="false">'4.2.3.1.5'!$G$259</f>
        <v>63.12</v>
      </c>
      <c r="F64" s="14" t="n">
        <f aca="false">ROUND(D64*E64,2)</f>
        <v>126.24</v>
      </c>
      <c r="G64" s="15" t="s">
        <v>176</v>
      </c>
    </row>
    <row r="65" customFormat="false" ht="15" hidden="false" customHeight="true" outlineLevel="0" collapsed="false">
      <c r="A65" s="11" t="s">
        <v>177</v>
      </c>
      <c r="B65" s="12" t="s">
        <v>125</v>
      </c>
      <c r="C65" s="11" t="s">
        <v>20</v>
      </c>
      <c r="D65" s="13" t="n">
        <v>2</v>
      </c>
      <c r="E65" s="14" t="n">
        <f aca="false">'4.2.3.1.5'!$G$277</f>
        <v>23.24</v>
      </c>
      <c r="F65" s="14" t="n">
        <f aca="false">ROUND(D65*E65,2)</f>
        <v>46.48</v>
      </c>
      <c r="G65" s="15" t="s">
        <v>178</v>
      </c>
    </row>
    <row r="66" customFormat="false" ht="15" hidden="false" customHeight="true" outlineLevel="0" collapsed="false">
      <c r="A66" s="11" t="s">
        <v>179</v>
      </c>
      <c r="B66" s="12" t="s">
        <v>128</v>
      </c>
      <c r="C66" s="11" t="s">
        <v>20</v>
      </c>
      <c r="D66" s="13" t="n">
        <v>1</v>
      </c>
      <c r="E66" s="14" t="n">
        <f aca="false">'4.2.3.1.5'!$G$295</f>
        <v>108.82</v>
      </c>
      <c r="F66" s="14" t="n">
        <f aca="false">ROUND(D66*E66,2)</f>
        <v>108.82</v>
      </c>
      <c r="G66" s="15" t="s">
        <v>180</v>
      </c>
    </row>
    <row r="67" customFormat="false" ht="15" hidden="false" customHeight="true" outlineLevel="0" collapsed="false">
      <c r="A67" s="11" t="s">
        <v>181</v>
      </c>
      <c r="B67" s="12" t="s">
        <v>116</v>
      </c>
      <c r="C67" s="11" t="s">
        <v>20</v>
      </c>
      <c r="D67" s="13" t="n">
        <v>3</v>
      </c>
      <c r="E67" s="14" t="n">
        <f aca="false">'4.2.3.1.5'!$G$313</f>
        <v>36.62</v>
      </c>
      <c r="F67" s="14" t="n">
        <f aca="false">ROUND(D67*E67,2)</f>
        <v>109.86</v>
      </c>
      <c r="G67" s="15" t="s">
        <v>182</v>
      </c>
    </row>
    <row r="68" customFormat="false" ht="25.5" hidden="false" customHeight="true" outlineLevel="0" collapsed="false">
      <c r="A68" s="5" t="s">
        <v>183</v>
      </c>
      <c r="B68" s="6" t="s">
        <v>184</v>
      </c>
      <c r="C68" s="7"/>
      <c r="D68" s="7"/>
      <c r="E68" s="8" t="s">
        <v>12</v>
      </c>
      <c r="F68" s="9" t="n">
        <f aca="false">SUM(F69:F72)</f>
        <v>443.22</v>
      </c>
      <c r="G68" s="10" t="s">
        <v>13</v>
      </c>
    </row>
    <row r="69" customFormat="false" ht="24" hidden="false" customHeight="true" outlineLevel="0" collapsed="false">
      <c r="A69" s="11" t="s">
        <v>185</v>
      </c>
      <c r="B69" s="12" t="s">
        <v>186</v>
      </c>
      <c r="C69" s="11" t="s">
        <v>20</v>
      </c>
      <c r="D69" s="13" t="n">
        <v>2</v>
      </c>
      <c r="E69" s="14" t="n">
        <f aca="false">'4.2.3.1.6'!$G$23</f>
        <v>124.93</v>
      </c>
      <c r="F69" s="14" t="n">
        <f aca="false">ROUND(D69*E69,2)</f>
        <v>249.86</v>
      </c>
      <c r="G69" s="15" t="s">
        <v>187</v>
      </c>
    </row>
    <row r="70" customFormat="false" ht="15" hidden="false" customHeight="true" outlineLevel="0" collapsed="false">
      <c r="A70" s="11" t="s">
        <v>188</v>
      </c>
      <c r="B70" s="12" t="s">
        <v>189</v>
      </c>
      <c r="C70" s="11" t="s">
        <v>20</v>
      </c>
      <c r="D70" s="13" t="n">
        <v>2</v>
      </c>
      <c r="E70" s="14" t="n">
        <f aca="false">'4.2.3.1.6'!$G$42</f>
        <v>36.62</v>
      </c>
      <c r="F70" s="14" t="n">
        <f aca="false">ROUND(D70*E70,2)</f>
        <v>73.24</v>
      </c>
      <c r="G70" s="15" t="s">
        <v>190</v>
      </c>
    </row>
    <row r="71" customFormat="false" ht="15" hidden="false" customHeight="true" outlineLevel="0" collapsed="false">
      <c r="A71" s="11" t="s">
        <v>191</v>
      </c>
      <c r="B71" s="12" t="s">
        <v>192</v>
      </c>
      <c r="C71" s="11" t="s">
        <v>20</v>
      </c>
      <c r="D71" s="13" t="n">
        <v>2</v>
      </c>
      <c r="E71" s="14" t="n">
        <f aca="false">'4.2.3.1.6'!$G$60</f>
        <v>23.24</v>
      </c>
      <c r="F71" s="14" t="n">
        <f aca="false">ROUND(D71*E71,2)</f>
        <v>46.48</v>
      </c>
      <c r="G71" s="15" t="s">
        <v>193</v>
      </c>
    </row>
    <row r="72" customFormat="false" ht="15" hidden="false" customHeight="true" outlineLevel="0" collapsed="false">
      <c r="A72" s="11" t="s">
        <v>194</v>
      </c>
      <c r="B72" s="12" t="s">
        <v>195</v>
      </c>
      <c r="C72" s="11" t="s">
        <v>20</v>
      </c>
      <c r="D72" s="13" t="n">
        <v>2</v>
      </c>
      <c r="E72" s="14" t="n">
        <f aca="false">'4.2.3.1.6'!$G$79</f>
        <v>36.82</v>
      </c>
      <c r="F72" s="14" t="n">
        <f aca="false">ROUND(D72*E72,2)</f>
        <v>73.64</v>
      </c>
      <c r="G72" s="15" t="s">
        <v>196</v>
      </c>
    </row>
    <row r="73" customFormat="false" ht="25.5" hidden="false" customHeight="true" outlineLevel="0" collapsed="false">
      <c r="A73" s="5" t="s">
        <v>197</v>
      </c>
      <c r="B73" s="6" t="s">
        <v>198</v>
      </c>
      <c r="C73" s="7"/>
      <c r="D73" s="7"/>
      <c r="E73" s="8" t="s">
        <v>12</v>
      </c>
      <c r="F73" s="9" t="n">
        <f aca="false">SUM(F74:F74)</f>
        <v>1386.97</v>
      </c>
      <c r="G73" s="10" t="s">
        <v>13</v>
      </c>
    </row>
    <row r="74" customFormat="false" ht="24" hidden="false" customHeight="true" outlineLevel="0" collapsed="false">
      <c r="A74" s="11" t="s">
        <v>199</v>
      </c>
      <c r="B74" s="12" t="s">
        <v>200</v>
      </c>
      <c r="C74" s="11" t="s">
        <v>201</v>
      </c>
      <c r="D74" s="13" t="n">
        <v>47</v>
      </c>
      <c r="E74" s="14" t="n">
        <f aca="false">'4.2.3.1.7'!$G$23</f>
        <v>29.51</v>
      </c>
      <c r="F74" s="14" t="n">
        <f aca="false">ROUND(D74*E74,2)</f>
        <v>1386.97</v>
      </c>
      <c r="G74" s="15" t="s">
        <v>202</v>
      </c>
    </row>
    <row r="75" customFormat="false" ht="25.5" hidden="false" customHeight="true" outlineLevel="0" collapsed="false">
      <c r="A75" s="5" t="s">
        <v>203</v>
      </c>
      <c r="B75" s="6" t="s">
        <v>204</v>
      </c>
      <c r="C75" s="7"/>
      <c r="D75" s="7"/>
      <c r="E75" s="8" t="s">
        <v>12</v>
      </c>
      <c r="F75" s="9" t="n">
        <f aca="false">SUM(F76:F76)</f>
        <v>2274.97</v>
      </c>
      <c r="G75" s="10" t="s">
        <v>13</v>
      </c>
    </row>
    <row r="76" customFormat="false" ht="15" hidden="false" customHeight="true" outlineLevel="0" collapsed="false">
      <c r="A76" s="11" t="s">
        <v>205</v>
      </c>
      <c r="B76" s="12" t="s">
        <v>206</v>
      </c>
      <c r="C76" s="11" t="s">
        <v>20</v>
      </c>
      <c r="D76" s="13" t="n">
        <v>1</v>
      </c>
      <c r="E76" s="14" t="n">
        <f aca="false">'4.3.6.3.3'!$G$30</f>
        <v>2274.97</v>
      </c>
      <c r="F76" s="14" t="n">
        <f aca="false">ROUND(D76*E76,2)</f>
        <v>2274.97</v>
      </c>
      <c r="G76" s="15" t="s">
        <v>207</v>
      </c>
    </row>
    <row r="77" customFormat="false" ht="15" hidden="false" customHeight="false" outlineLevel="0" collapsed="false">
      <c r="A77" s="16" t="s">
        <v>208</v>
      </c>
      <c r="B77" s="16"/>
      <c r="C77" s="16"/>
      <c r="D77" s="16"/>
      <c r="E77" s="16"/>
      <c r="F77" s="17" t="n">
        <f aca="false">F6+F11+F19+F38+F50+F68+F73+F75</f>
        <v>11997.56</v>
      </c>
      <c r="G77" s="18"/>
    </row>
    <row r="79" customFormat="false" ht="18" hidden="false" customHeight="true" outlineLevel="0" collapsed="false">
      <c r="A79" s="6" t="s">
        <v>209</v>
      </c>
      <c r="B79" s="6"/>
      <c r="C79" s="6"/>
      <c r="D79" s="6"/>
      <c r="E79" s="6"/>
      <c r="F79" s="6"/>
      <c r="G79" s="6"/>
    </row>
    <row r="80" customFormat="false" ht="27.75" hidden="false" customHeight="true" outlineLevel="0" collapsed="false">
      <c r="A80" s="3" t="s">
        <v>210</v>
      </c>
      <c r="B80" s="3"/>
      <c r="C80" s="3"/>
      <c r="D80" s="3"/>
      <c r="E80" s="3"/>
      <c r="F80" s="3"/>
      <c r="G80" s="3"/>
    </row>
    <row r="81" customFormat="false" ht="27.75" hidden="false" customHeight="true" outlineLevel="0" collapsed="false">
      <c r="A81" s="3" t="s">
        <v>211</v>
      </c>
      <c r="B81" s="3"/>
      <c r="C81" s="3"/>
      <c r="D81" s="3"/>
      <c r="E81" s="3"/>
      <c r="F81" s="3"/>
      <c r="G81" s="3"/>
    </row>
    <row r="82" customFormat="false" ht="27.75" hidden="false" customHeight="true" outlineLevel="0" collapsed="false">
      <c r="A82" s="3" t="s">
        <v>212</v>
      </c>
      <c r="B82" s="3"/>
      <c r="C82" s="3"/>
      <c r="D82" s="3"/>
      <c r="E82" s="3"/>
      <c r="F82" s="3"/>
      <c r="G82" s="3"/>
    </row>
    <row r="83" customFormat="false" ht="27.75" hidden="false" customHeight="true" outlineLevel="0" collapsed="false">
      <c r="A83" s="3" t="s">
        <v>213</v>
      </c>
      <c r="B83" s="3"/>
      <c r="C83" s="3"/>
      <c r="D83" s="3"/>
      <c r="E83" s="3"/>
      <c r="F83" s="3"/>
      <c r="G83" s="3"/>
    </row>
    <row r="84" customFormat="false" ht="27.75" hidden="false" customHeight="true" outlineLevel="0" collapsed="false">
      <c r="A84" s="3" t="s">
        <v>214</v>
      </c>
      <c r="B84" s="3"/>
      <c r="C84" s="3"/>
      <c r="D84" s="3"/>
      <c r="E84" s="3"/>
      <c r="F84" s="3"/>
      <c r="G84" s="3"/>
    </row>
  </sheetData>
  <mergeCells count="10">
    <mergeCell ref="A1:G1"/>
    <mergeCell ref="A2:G2"/>
    <mergeCell ref="A3:G3"/>
    <mergeCell ref="A77:E77"/>
    <mergeCell ref="A79:G79"/>
    <mergeCell ref="A80:G80"/>
    <mergeCell ref="A81:G81"/>
    <mergeCell ref="A82:G82"/>
    <mergeCell ref="A83:G83"/>
    <mergeCell ref="A84:G84"/>
  </mergeCells>
  <hyperlinks>
    <hyperlink ref="A6" r:id="rId1" location="'4.2.3.1.1'!A1" display="4.2.3.1.1"/>
    <hyperlink ref="A11" r:id="rId2" location="'4.2.3.1.2'!A1" display="4.2.3.1.2"/>
    <hyperlink ref="A19" r:id="rId3" location="'4.2.3.1.3'!A1" display="4.2.3.1.3"/>
    <hyperlink ref="A38" r:id="rId4" location="'4.2.3.1.4'!A1" display="4.2.3.1.4"/>
    <hyperlink ref="A50" r:id="rId5" location="'4.2.3.1.5'!A1" display="4.2.3.1.5"/>
    <hyperlink ref="A68" r:id="rId6" location="'4.2.3.1.6'!A1" display="4.2.3.1.6"/>
    <hyperlink ref="A73" r:id="rId7" location="'4.2.3.1.7'!A1" display="4.2.3.1.7"/>
    <hyperlink ref="A75" r:id="rId8" location="'4.3.6.3.3'!A1" display="4.3.6.3.3"/>
  </hyperlink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4"/>
    <col collapsed="false" customWidth="true" hidden="false" outlineLevel="0" max="5" min="3" style="0" width="13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215</v>
      </c>
      <c r="B1" s="1"/>
      <c r="C1" s="1"/>
      <c r="D1" s="1"/>
      <c r="E1" s="1"/>
      <c r="F1" s="1"/>
    </row>
    <row r="2" customFormat="false" ht="36" hidden="false" customHeight="true" outlineLevel="0" collapsed="false">
      <c r="A2" s="19" t="s">
        <v>1</v>
      </c>
      <c r="B2" s="19"/>
      <c r="C2" s="19"/>
      <c r="D2" s="19"/>
      <c r="E2" s="19"/>
      <c r="F2" s="19"/>
    </row>
    <row r="3" customFormat="false" ht="30" hidden="false" customHeight="true" outlineLevel="0" collapsed="false">
      <c r="A3" s="19" t="s">
        <v>216</v>
      </c>
      <c r="B3" s="19"/>
      <c r="C3" s="19"/>
      <c r="D3" s="19"/>
      <c r="E3" s="19"/>
      <c r="F3" s="19"/>
    </row>
    <row r="5" customFormat="false" ht="18" hidden="false" customHeight="true" outlineLevel="0" collapsed="false">
      <c r="A5" s="6" t="s">
        <v>217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20" t="s">
        <v>218</v>
      </c>
      <c r="B6" s="20" t="s">
        <v>219</v>
      </c>
      <c r="C6" s="20" t="s">
        <v>220</v>
      </c>
      <c r="D6" s="20" t="s">
        <v>221</v>
      </c>
      <c r="E6" s="20" t="s">
        <v>222</v>
      </c>
      <c r="F6" s="20" t="s">
        <v>223</v>
      </c>
    </row>
    <row r="7" customFormat="false" ht="15" hidden="false" customHeight="false" outlineLevel="0" collapsed="false">
      <c r="A7" s="11" t="n">
        <v>1</v>
      </c>
      <c r="B7" s="12" t="s">
        <v>224</v>
      </c>
      <c r="C7" s="13" t="n">
        <v>89.3</v>
      </c>
      <c r="D7" s="13" t="n">
        <v>69.75</v>
      </c>
      <c r="E7" s="13" t="n">
        <v>62.8</v>
      </c>
      <c r="F7" s="15" t="s">
        <v>225</v>
      </c>
    </row>
    <row r="8" customFormat="false" ht="15" hidden="false" customHeight="false" outlineLevel="0" collapsed="false">
      <c r="A8" s="11" t="n">
        <v>2</v>
      </c>
      <c r="B8" s="12" t="s">
        <v>226</v>
      </c>
      <c r="C8" s="21" t="n">
        <f aca="false">ROUND(C7*112.2/100,2)</f>
        <v>100.19</v>
      </c>
      <c r="D8" s="21" t="n">
        <f aca="false">ROUND(D7*112.2/100,2)</f>
        <v>78.26</v>
      </c>
      <c r="E8" s="21" t="n">
        <f aca="false">ROUND(E7*112.2/100,2)</f>
        <v>70.46</v>
      </c>
      <c r="F8" s="15" t="s">
        <v>227</v>
      </c>
    </row>
    <row r="9" customFormat="false" ht="15" hidden="false" customHeight="false" outlineLevel="0" collapsed="false">
      <c r="A9" s="11" t="n">
        <v>3</v>
      </c>
      <c r="B9" s="12" t="s">
        <v>228</v>
      </c>
      <c r="C9" s="21" t="n">
        <f aca="false">ROUND(C7*0.32,2)</f>
        <v>28.58</v>
      </c>
      <c r="D9" s="21" t="n">
        <f aca="false">ROUND(D7*0.3,2)</f>
        <v>20.93</v>
      </c>
      <c r="E9" s="21" t="n">
        <f aca="false">ROUND(E7*0.3,2)</f>
        <v>18.84</v>
      </c>
      <c r="F9" s="15" t="s">
        <v>227</v>
      </c>
    </row>
    <row r="10" customFormat="false" ht="15" hidden="false" customHeight="false" outlineLevel="0" collapsed="false">
      <c r="A10" s="11" t="n">
        <v>4</v>
      </c>
      <c r="B10" s="12" t="s">
        <v>229</v>
      </c>
      <c r="C10" s="21" t="n">
        <f aca="false">ROUND(C9*12.25/100,2)</f>
        <v>3.5</v>
      </c>
      <c r="D10" s="21" t="n">
        <f aca="false">ROUND(D9*12.25/100,2)</f>
        <v>2.56</v>
      </c>
      <c r="E10" s="21" t="n">
        <f aca="false">ROUND(E9*12.25/100,2)</f>
        <v>2.31</v>
      </c>
      <c r="F10" s="15" t="s">
        <v>227</v>
      </c>
    </row>
    <row r="11" customFormat="false" ht="15" hidden="false" customHeight="false" outlineLevel="0" collapsed="false">
      <c r="A11" s="11" t="n">
        <v>5</v>
      </c>
      <c r="B11" s="12" t="s">
        <v>230</v>
      </c>
      <c r="C11" s="13" t="n">
        <v>0.16</v>
      </c>
      <c r="D11" s="13" t="n">
        <v>0.16</v>
      </c>
      <c r="E11" s="13" t="n">
        <v>0.16</v>
      </c>
      <c r="F11" s="15" t="s">
        <v>227</v>
      </c>
    </row>
    <row r="12" customFormat="false" ht="15" hidden="false" customHeight="false" outlineLevel="0" collapsed="false">
      <c r="A12" s="11" t="n">
        <v>6</v>
      </c>
      <c r="B12" s="12" t="s">
        <v>231</v>
      </c>
      <c r="C12" s="13" t="n">
        <v>0.4</v>
      </c>
      <c r="D12" s="13" t="n">
        <v>0.31</v>
      </c>
      <c r="E12" s="13" t="n">
        <v>0.28</v>
      </c>
      <c r="F12" s="15" t="s">
        <v>227</v>
      </c>
    </row>
    <row r="13" customFormat="false" ht="15" hidden="false" customHeight="false" outlineLevel="0" collapsed="false">
      <c r="A13" s="11" t="n">
        <v>7</v>
      </c>
      <c r="B13" s="12" t="s">
        <v>232</v>
      </c>
      <c r="C13" s="13" t="n">
        <v>8.6</v>
      </c>
      <c r="D13" s="13" t="n">
        <v>8.6</v>
      </c>
      <c r="E13" s="13" t="n">
        <v>8.6</v>
      </c>
      <c r="F13" s="15" t="s">
        <v>233</v>
      </c>
    </row>
    <row r="14" customFormat="false" ht="15" hidden="false" customHeight="false" outlineLevel="0" collapsed="false">
      <c r="A14" s="11" t="n">
        <v>8</v>
      </c>
      <c r="B14" s="12" t="s">
        <v>234</v>
      </c>
      <c r="C14" s="21" t="n">
        <f aca="false">ROUND(2*132.8/300,2)</f>
        <v>0.89</v>
      </c>
      <c r="D14" s="21" t="n">
        <f aca="false">ROUND(2*132.8/300,2)</f>
        <v>0.89</v>
      </c>
      <c r="E14" s="21" t="n">
        <f aca="false">ROUND(2*132.8/300,2)</f>
        <v>0.89</v>
      </c>
      <c r="F14" s="15" t="s">
        <v>227</v>
      </c>
    </row>
    <row r="15" customFormat="false" ht="15" hidden="false" customHeight="false" outlineLevel="0" collapsed="false">
      <c r="A15" s="22"/>
      <c r="B15" s="23" t="s">
        <v>235</v>
      </c>
      <c r="C15" s="24" t="n">
        <f aca="false">SUM(C7:C14)</f>
        <v>231.62</v>
      </c>
      <c r="D15" s="24" t="n">
        <f aca="false">SUM(D7:D14)</f>
        <v>181.46</v>
      </c>
      <c r="E15" s="24" t="n">
        <f aca="false">SUM(E7:E14)</f>
        <v>164.34</v>
      </c>
      <c r="F15" s="25"/>
    </row>
    <row r="16" customFormat="false" ht="15" hidden="false" customHeight="false" outlineLevel="0" collapsed="false">
      <c r="A16" s="22"/>
      <c r="B16" s="23" t="s">
        <v>236</v>
      </c>
      <c r="C16" s="24" t="n">
        <f aca="false">ROUND(C15/8,2)</f>
        <v>28.95</v>
      </c>
      <c r="D16" s="24" t="n">
        <f aca="false">ROUND(D15/8,2)</f>
        <v>22.68</v>
      </c>
      <c r="E16" s="24" t="n">
        <f aca="false">ROUND(E15/8,2)</f>
        <v>20.54</v>
      </c>
      <c r="F16" s="25" t="s">
        <v>237</v>
      </c>
    </row>
  </sheetData>
  <mergeCells count="4">
    <mergeCell ref="A1:F1"/>
    <mergeCell ref="A2:F2"/>
    <mergeCell ref="A3:F3"/>
    <mergeCell ref="A5:F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0"/>
    <col collapsed="false" customWidth="true" hidden="false" outlineLevel="0" max="10" min="10" style="0" width="50"/>
    <col collapsed="false" customWidth="true" hidden="false" outlineLevel="0" max="11" min="11" style="0" width="26"/>
  </cols>
  <sheetData>
    <row r="1" customFormat="false" ht="24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30" hidden="false" customHeight="true" outlineLevel="0" collapsed="false">
      <c r="A3" s="19" t="s">
        <v>239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5" customFormat="false" ht="30" hidden="false" customHeight="true" outlineLevel="0" collapsed="false">
      <c r="A5" s="20" t="s">
        <v>240</v>
      </c>
      <c r="B5" s="20" t="s">
        <v>241</v>
      </c>
      <c r="C5" s="20" t="s">
        <v>5</v>
      </c>
      <c r="D5" s="20" t="s">
        <v>242</v>
      </c>
      <c r="E5" s="20" t="s">
        <v>243</v>
      </c>
      <c r="F5" s="20" t="s">
        <v>244</v>
      </c>
      <c r="G5" s="20" t="s">
        <v>245</v>
      </c>
      <c r="H5" s="20" t="s">
        <v>246</v>
      </c>
      <c r="I5" s="20" t="s">
        <v>247</v>
      </c>
      <c r="J5" s="20" t="s">
        <v>248</v>
      </c>
      <c r="K5" s="20" t="s">
        <v>249</v>
      </c>
    </row>
    <row r="6" customFormat="false" ht="18" hidden="false" customHeight="true" outlineLevel="0" collapsed="false">
      <c r="A6" s="6" t="s">
        <v>250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30" hidden="false" customHeight="true" outlineLevel="0" collapsed="false">
      <c r="A7" s="11" t="s">
        <v>251</v>
      </c>
      <c r="B7" s="12" t="s">
        <v>252</v>
      </c>
      <c r="C7" s="11" t="s">
        <v>16</v>
      </c>
      <c r="D7" s="12" t="s">
        <v>253</v>
      </c>
      <c r="E7" s="11" t="s">
        <v>254</v>
      </c>
      <c r="F7" s="26" t="n">
        <v>26.9</v>
      </c>
      <c r="G7" s="27" t="n">
        <v>5</v>
      </c>
      <c r="H7" s="28" t="n">
        <f aca="false">ROUND(F7/G7/1.18,2)</f>
        <v>4.56</v>
      </c>
      <c r="I7" s="15" t="s">
        <v>255</v>
      </c>
      <c r="J7" s="15" t="s">
        <v>256</v>
      </c>
      <c r="K7" s="15" t="s">
        <v>257</v>
      </c>
    </row>
    <row r="8" customFormat="false" ht="30" hidden="false" customHeight="true" outlineLevel="0" collapsed="false">
      <c r="A8" s="11" t="s">
        <v>258</v>
      </c>
      <c r="B8" s="12" t="s">
        <v>259</v>
      </c>
      <c r="C8" s="11" t="s">
        <v>16</v>
      </c>
      <c r="D8" s="12" t="s">
        <v>260</v>
      </c>
      <c r="E8" s="11" t="s">
        <v>254</v>
      </c>
      <c r="F8" s="26" t="n">
        <v>51.9</v>
      </c>
      <c r="G8" s="27" t="n">
        <v>5</v>
      </c>
      <c r="H8" s="28" t="n">
        <f aca="false">ROUND(F8/G8/1.18,2)</f>
        <v>8.8</v>
      </c>
      <c r="I8" s="15" t="s">
        <v>261</v>
      </c>
      <c r="J8" s="15" t="s">
        <v>262</v>
      </c>
      <c r="K8" s="15" t="s">
        <v>263</v>
      </c>
    </row>
    <row r="9" customFormat="false" ht="30" hidden="false" customHeight="true" outlineLevel="0" collapsed="false">
      <c r="A9" s="11" t="s">
        <v>264</v>
      </c>
      <c r="B9" s="12" t="s">
        <v>265</v>
      </c>
      <c r="C9" s="11" t="s">
        <v>16</v>
      </c>
      <c r="D9" s="12" t="s">
        <v>266</v>
      </c>
      <c r="E9" s="11" t="s">
        <v>254</v>
      </c>
      <c r="F9" s="26" t="n">
        <v>65.9</v>
      </c>
      <c r="G9" s="27" t="n">
        <v>5</v>
      </c>
      <c r="H9" s="28" t="n">
        <f aca="false">ROUND(F9/G9/1.18,2)</f>
        <v>11.17</v>
      </c>
      <c r="I9" s="15" t="s">
        <v>267</v>
      </c>
      <c r="J9" s="15" t="s">
        <v>268</v>
      </c>
      <c r="K9" s="15" t="s">
        <v>269</v>
      </c>
    </row>
    <row r="10" customFormat="false" ht="30" hidden="false" customHeight="true" outlineLevel="0" collapsed="false">
      <c r="A10" s="11" t="s">
        <v>270</v>
      </c>
      <c r="B10" s="12" t="s">
        <v>271</v>
      </c>
      <c r="C10" s="11" t="s">
        <v>20</v>
      </c>
      <c r="D10" s="12" t="s">
        <v>272</v>
      </c>
      <c r="E10" s="11" t="s">
        <v>20</v>
      </c>
      <c r="F10" s="26" t="n">
        <v>5.7</v>
      </c>
      <c r="G10" s="27" t="n">
        <v>1</v>
      </c>
      <c r="H10" s="28" t="n">
        <f aca="false">ROUND(F10/G10/1.18,2)</f>
        <v>4.83</v>
      </c>
      <c r="I10" s="15" t="s">
        <v>261</v>
      </c>
      <c r="J10" s="15" t="s">
        <v>273</v>
      </c>
      <c r="K10" s="15" t="s">
        <v>257</v>
      </c>
    </row>
    <row r="11" customFormat="false" ht="30" hidden="false" customHeight="true" outlineLevel="0" collapsed="false">
      <c r="A11" s="11" t="s">
        <v>274</v>
      </c>
      <c r="B11" s="12" t="s">
        <v>275</v>
      </c>
      <c r="C11" s="11" t="s">
        <v>20</v>
      </c>
      <c r="D11" s="12" t="s">
        <v>276</v>
      </c>
      <c r="E11" s="11" t="s">
        <v>20</v>
      </c>
      <c r="F11" s="26" t="n">
        <v>10.9</v>
      </c>
      <c r="G11" s="27" t="n">
        <v>1</v>
      </c>
      <c r="H11" s="28" t="n">
        <f aca="false">ROUND(F11/G11/1.18,2)</f>
        <v>9.24</v>
      </c>
      <c r="I11" s="15" t="s">
        <v>277</v>
      </c>
      <c r="J11" s="15" t="s">
        <v>278</v>
      </c>
      <c r="K11" s="15" t="s">
        <v>257</v>
      </c>
    </row>
    <row r="12" customFormat="false" ht="30" hidden="false" customHeight="true" outlineLevel="0" collapsed="false">
      <c r="A12" s="11" t="s">
        <v>279</v>
      </c>
      <c r="B12" s="12" t="s">
        <v>280</v>
      </c>
      <c r="C12" s="11" t="s">
        <v>20</v>
      </c>
      <c r="D12" s="12" t="s">
        <v>281</v>
      </c>
      <c r="E12" s="11" t="s">
        <v>20</v>
      </c>
      <c r="F12" s="26" t="n">
        <v>15.9</v>
      </c>
      <c r="G12" s="27" t="n">
        <v>1</v>
      </c>
      <c r="H12" s="28" t="n">
        <f aca="false">ROUND(F12/G12/1.18,2)</f>
        <v>13.47</v>
      </c>
      <c r="I12" s="15" t="s">
        <v>255</v>
      </c>
      <c r="J12" s="15" t="s">
        <v>282</v>
      </c>
      <c r="K12" s="15" t="s">
        <v>283</v>
      </c>
    </row>
    <row r="13" customFormat="false" ht="30" hidden="false" customHeight="true" outlineLevel="0" collapsed="false">
      <c r="A13" s="11" t="s">
        <v>284</v>
      </c>
      <c r="B13" s="12" t="s">
        <v>285</v>
      </c>
      <c r="C13" s="11" t="s">
        <v>20</v>
      </c>
      <c r="D13" s="12" t="s">
        <v>286</v>
      </c>
      <c r="E13" s="11" t="s">
        <v>20</v>
      </c>
      <c r="F13" s="26" t="n">
        <v>10.8</v>
      </c>
      <c r="G13" s="27" t="n">
        <v>1</v>
      </c>
      <c r="H13" s="28" t="n">
        <f aca="false">ROUND(F13/G13/1.18,2)</f>
        <v>9.15</v>
      </c>
      <c r="I13" s="15" t="s">
        <v>267</v>
      </c>
      <c r="J13" s="15" t="s">
        <v>287</v>
      </c>
      <c r="K13" s="15" t="s">
        <v>288</v>
      </c>
    </row>
    <row r="14" customFormat="false" ht="30" hidden="false" customHeight="true" outlineLevel="0" collapsed="false">
      <c r="A14" s="11" t="s">
        <v>289</v>
      </c>
      <c r="B14" s="12" t="s">
        <v>290</v>
      </c>
      <c r="C14" s="11" t="s">
        <v>20</v>
      </c>
      <c r="D14" s="12" t="s">
        <v>291</v>
      </c>
      <c r="E14" s="11" t="s">
        <v>20</v>
      </c>
      <c r="F14" s="26" t="n">
        <v>15.5</v>
      </c>
      <c r="G14" s="27" t="n">
        <v>1</v>
      </c>
      <c r="H14" s="28" t="n">
        <f aca="false">ROUND(F14/G14/1.18,2)</f>
        <v>13.14</v>
      </c>
      <c r="I14" s="15" t="s">
        <v>267</v>
      </c>
      <c r="J14" s="15" t="s">
        <v>292</v>
      </c>
      <c r="K14" s="15" t="s">
        <v>293</v>
      </c>
    </row>
    <row r="15" customFormat="false" ht="30" hidden="false" customHeight="true" outlineLevel="0" collapsed="false">
      <c r="A15" s="11" t="s">
        <v>294</v>
      </c>
      <c r="B15" s="12" t="s">
        <v>295</v>
      </c>
      <c r="C15" s="11" t="s">
        <v>20</v>
      </c>
      <c r="D15" s="12" t="s">
        <v>296</v>
      </c>
      <c r="E15" s="11" t="s">
        <v>20</v>
      </c>
      <c r="F15" s="26" t="n">
        <v>22.9</v>
      </c>
      <c r="G15" s="27" t="n">
        <v>1</v>
      </c>
      <c r="H15" s="28" t="n">
        <f aca="false">ROUND(F15/G15/1.18,2)</f>
        <v>19.41</v>
      </c>
      <c r="I15" s="15" t="s">
        <v>255</v>
      </c>
      <c r="J15" s="15" t="s">
        <v>297</v>
      </c>
      <c r="K15" s="15" t="s">
        <v>257</v>
      </c>
    </row>
    <row r="16" customFormat="false" ht="30" hidden="false" customHeight="true" outlineLevel="0" collapsed="false">
      <c r="A16" s="11" t="s">
        <v>298</v>
      </c>
      <c r="B16" s="12" t="s">
        <v>299</v>
      </c>
      <c r="C16" s="11" t="s">
        <v>20</v>
      </c>
      <c r="D16" s="12" t="s">
        <v>300</v>
      </c>
      <c r="E16" s="11" t="s">
        <v>20</v>
      </c>
      <c r="F16" s="26" t="n">
        <v>20</v>
      </c>
      <c r="G16" s="27" t="n">
        <v>1</v>
      </c>
      <c r="H16" s="28" t="n">
        <f aca="false">ROUND(F16/G16/1.18,2)</f>
        <v>16.95</v>
      </c>
      <c r="I16" s="15" t="s">
        <v>255</v>
      </c>
      <c r="J16" s="15" t="s">
        <v>301</v>
      </c>
      <c r="K16" s="15" t="s">
        <v>257</v>
      </c>
    </row>
    <row r="17" customFormat="false" ht="30" hidden="false" customHeight="true" outlineLevel="0" collapsed="false">
      <c r="A17" s="11" t="s">
        <v>302</v>
      </c>
      <c r="B17" s="12" t="s">
        <v>303</v>
      </c>
      <c r="C17" s="11" t="s">
        <v>20</v>
      </c>
      <c r="D17" s="12" t="s">
        <v>304</v>
      </c>
      <c r="E17" s="11" t="s">
        <v>20</v>
      </c>
      <c r="F17" s="26" t="n">
        <v>49.9</v>
      </c>
      <c r="G17" s="27" t="n">
        <v>1</v>
      </c>
      <c r="H17" s="28" t="n">
        <f aca="false">ROUND(F17/G17/1.18,2)</f>
        <v>42.29</v>
      </c>
      <c r="I17" s="15" t="s">
        <v>305</v>
      </c>
      <c r="J17" s="15" t="s">
        <v>306</v>
      </c>
      <c r="K17" s="15" t="s">
        <v>257</v>
      </c>
    </row>
    <row r="18" customFormat="false" ht="30" hidden="false" customHeight="true" outlineLevel="0" collapsed="false">
      <c r="A18" s="11" t="s">
        <v>307</v>
      </c>
      <c r="B18" s="12" t="s">
        <v>308</v>
      </c>
      <c r="C18" s="11" t="s">
        <v>20</v>
      </c>
      <c r="D18" s="12" t="s">
        <v>309</v>
      </c>
      <c r="E18" s="11" t="s">
        <v>20</v>
      </c>
      <c r="F18" s="26" t="n">
        <v>10.9</v>
      </c>
      <c r="G18" s="27" t="n">
        <v>1</v>
      </c>
      <c r="H18" s="28" t="n">
        <f aca="false">ROUND(F18/G18/1.18,2)</f>
        <v>9.24</v>
      </c>
      <c r="I18" s="15" t="s">
        <v>261</v>
      </c>
      <c r="J18" s="15" t="s">
        <v>310</v>
      </c>
      <c r="K18" s="15" t="s">
        <v>311</v>
      </c>
    </row>
    <row r="19" customFormat="false" ht="30" hidden="false" customHeight="true" outlineLevel="0" collapsed="false">
      <c r="A19" s="11" t="s">
        <v>312</v>
      </c>
      <c r="B19" s="12" t="s">
        <v>313</v>
      </c>
      <c r="C19" s="11" t="s">
        <v>20</v>
      </c>
      <c r="D19" s="12" t="s">
        <v>314</v>
      </c>
      <c r="E19" s="11" t="s">
        <v>20</v>
      </c>
      <c r="F19" s="26" t="n">
        <v>8.4</v>
      </c>
      <c r="G19" s="27" t="n">
        <v>1</v>
      </c>
      <c r="H19" s="28" t="n">
        <f aca="false">ROUND(F19/G19/1.18,2)</f>
        <v>7.12</v>
      </c>
      <c r="I19" s="15" t="s">
        <v>267</v>
      </c>
      <c r="J19" s="15" t="s">
        <v>315</v>
      </c>
      <c r="K19" s="15" t="s">
        <v>316</v>
      </c>
    </row>
    <row r="20" customFormat="false" ht="30" hidden="false" customHeight="true" outlineLevel="0" collapsed="false">
      <c r="A20" s="11" t="s">
        <v>317</v>
      </c>
      <c r="B20" s="12" t="s">
        <v>318</v>
      </c>
      <c r="C20" s="11" t="s">
        <v>20</v>
      </c>
      <c r="D20" s="12" t="s">
        <v>319</v>
      </c>
      <c r="E20" s="11" t="s">
        <v>20</v>
      </c>
      <c r="F20" s="26" t="n">
        <v>10.2</v>
      </c>
      <c r="G20" s="27" t="n">
        <v>1</v>
      </c>
      <c r="H20" s="28" t="n">
        <f aca="false">ROUND(F20/G20/1.18,2)</f>
        <v>8.64</v>
      </c>
      <c r="I20" s="15" t="s">
        <v>267</v>
      </c>
      <c r="J20" s="15" t="s">
        <v>320</v>
      </c>
      <c r="K20" s="15" t="s">
        <v>316</v>
      </c>
    </row>
    <row r="21" customFormat="false" ht="30" hidden="false" customHeight="true" outlineLevel="0" collapsed="false">
      <c r="A21" s="11" t="s">
        <v>321</v>
      </c>
      <c r="B21" s="12" t="s">
        <v>322</v>
      </c>
      <c r="C21" s="11" t="s">
        <v>20</v>
      </c>
      <c r="D21" s="12" t="s">
        <v>323</v>
      </c>
      <c r="E21" s="11" t="s">
        <v>20</v>
      </c>
      <c r="F21" s="26" t="n">
        <v>9.6</v>
      </c>
      <c r="G21" s="27" t="n">
        <v>1</v>
      </c>
      <c r="H21" s="28" t="n">
        <f aca="false">ROUND(F21/G21/1.18,2)</f>
        <v>8.14</v>
      </c>
      <c r="I21" s="15" t="s">
        <v>267</v>
      </c>
      <c r="J21" s="15" t="s">
        <v>324</v>
      </c>
      <c r="K21" s="15" t="s">
        <v>325</v>
      </c>
    </row>
    <row r="22" customFormat="false" ht="30" hidden="false" customHeight="true" outlineLevel="0" collapsed="false">
      <c r="A22" s="11" t="s">
        <v>326</v>
      </c>
      <c r="B22" s="12" t="s">
        <v>327</v>
      </c>
      <c r="C22" s="11" t="s">
        <v>20</v>
      </c>
      <c r="D22" s="12" t="s">
        <v>328</v>
      </c>
      <c r="E22" s="11" t="s">
        <v>20</v>
      </c>
      <c r="F22" s="26" t="n">
        <v>4.4</v>
      </c>
      <c r="G22" s="27" t="n">
        <v>1</v>
      </c>
      <c r="H22" s="28" t="n">
        <f aca="false">ROUND(F22/G22/1.18,2)</f>
        <v>3.73</v>
      </c>
      <c r="I22" s="15" t="s">
        <v>267</v>
      </c>
      <c r="J22" s="15" t="s">
        <v>329</v>
      </c>
      <c r="K22" s="15" t="s">
        <v>257</v>
      </c>
    </row>
    <row r="23" customFormat="false" ht="30" hidden="false" customHeight="true" outlineLevel="0" collapsed="false">
      <c r="A23" s="11" t="s">
        <v>330</v>
      </c>
      <c r="B23" s="12" t="s">
        <v>331</v>
      </c>
      <c r="C23" s="11" t="s">
        <v>20</v>
      </c>
      <c r="D23" s="12" t="s">
        <v>332</v>
      </c>
      <c r="E23" s="11" t="s">
        <v>254</v>
      </c>
      <c r="F23" s="26" t="n">
        <v>94.9</v>
      </c>
      <c r="G23" s="29" t="n">
        <f aca="false">5/0.15</f>
        <v>33.3333333333333</v>
      </c>
      <c r="H23" s="28" t="n">
        <f aca="false">ROUND(F23/G23/1.18,2)</f>
        <v>2.41</v>
      </c>
      <c r="I23" s="15" t="s">
        <v>267</v>
      </c>
      <c r="J23" s="15" t="s">
        <v>268</v>
      </c>
      <c r="K23" s="15" t="s">
        <v>333</v>
      </c>
    </row>
    <row r="24" customFormat="false" ht="30" hidden="false" customHeight="true" outlineLevel="0" collapsed="false">
      <c r="A24" s="11" t="s">
        <v>334</v>
      </c>
      <c r="B24" s="12" t="s">
        <v>335</v>
      </c>
      <c r="C24" s="11" t="s">
        <v>20</v>
      </c>
      <c r="D24" s="12" t="s">
        <v>336</v>
      </c>
      <c r="E24" s="11" t="s">
        <v>20</v>
      </c>
      <c r="F24" s="26" t="n">
        <v>10</v>
      </c>
      <c r="G24" s="27" t="n">
        <v>1</v>
      </c>
      <c r="H24" s="28" t="n">
        <f aca="false">ROUND(F24/G24/1.18,2)</f>
        <v>8.47</v>
      </c>
      <c r="I24" s="15" t="s">
        <v>267</v>
      </c>
      <c r="J24" s="15" t="s">
        <v>337</v>
      </c>
      <c r="K24" s="15" t="s">
        <v>338</v>
      </c>
    </row>
    <row r="25" customFormat="false" ht="30" hidden="false" customHeight="true" outlineLevel="0" collapsed="false">
      <c r="A25" s="11" t="s">
        <v>339</v>
      </c>
      <c r="B25" s="12" t="s">
        <v>340</v>
      </c>
      <c r="C25" s="11" t="s">
        <v>20</v>
      </c>
      <c r="D25" s="12" t="s">
        <v>341</v>
      </c>
      <c r="E25" s="11" t="s">
        <v>20</v>
      </c>
      <c r="F25" s="26" t="n">
        <v>9.9</v>
      </c>
      <c r="G25" s="27" t="n">
        <v>1</v>
      </c>
      <c r="H25" s="28" t="n">
        <f aca="false">ROUND(F25/G25/1.18,2)</f>
        <v>8.39</v>
      </c>
      <c r="I25" s="15" t="s">
        <v>267</v>
      </c>
      <c r="J25" s="15" t="s">
        <v>342</v>
      </c>
      <c r="K25" s="15" t="s">
        <v>257</v>
      </c>
    </row>
    <row r="26" customFormat="false" ht="30" hidden="false" customHeight="true" outlineLevel="0" collapsed="false">
      <c r="A26" s="11" t="s">
        <v>343</v>
      </c>
      <c r="B26" s="12" t="s">
        <v>344</v>
      </c>
      <c r="C26" s="11" t="s">
        <v>20</v>
      </c>
      <c r="D26" s="12" t="s">
        <v>345</v>
      </c>
      <c r="E26" s="11" t="s">
        <v>20</v>
      </c>
      <c r="F26" s="26" t="n">
        <v>109.9</v>
      </c>
      <c r="G26" s="27" t="n">
        <v>1</v>
      </c>
      <c r="H26" s="28" t="n">
        <f aca="false">ROUND(F26/G26/1.18,2)</f>
        <v>93.14</v>
      </c>
      <c r="I26" s="15" t="s">
        <v>255</v>
      </c>
      <c r="J26" s="15" t="s">
        <v>346</v>
      </c>
      <c r="K26" s="15" t="s">
        <v>347</v>
      </c>
    </row>
    <row r="27" customFormat="false" ht="30" hidden="false" customHeight="true" outlineLevel="0" collapsed="false">
      <c r="A27" s="11" t="s">
        <v>348</v>
      </c>
      <c r="B27" s="12" t="s">
        <v>349</v>
      </c>
      <c r="C27" s="11" t="s">
        <v>20</v>
      </c>
      <c r="D27" s="12" t="s">
        <v>350</v>
      </c>
      <c r="E27" s="11" t="s">
        <v>20</v>
      </c>
      <c r="F27" s="26" t="n">
        <v>24.9</v>
      </c>
      <c r="G27" s="27" t="n">
        <v>1</v>
      </c>
      <c r="H27" s="28" t="n">
        <f aca="false">ROUND(F27/G27/1.18,2)</f>
        <v>21.1</v>
      </c>
      <c r="I27" s="15" t="s">
        <v>267</v>
      </c>
      <c r="J27" s="15" t="s">
        <v>351</v>
      </c>
      <c r="K27" s="15" t="s">
        <v>257</v>
      </c>
    </row>
    <row r="28" customFormat="false" ht="30" hidden="false" customHeight="true" outlineLevel="0" collapsed="false">
      <c r="A28" s="11" t="s">
        <v>352</v>
      </c>
      <c r="B28" s="12" t="s">
        <v>353</v>
      </c>
      <c r="C28" s="11" t="s">
        <v>20</v>
      </c>
      <c r="D28" s="12" t="s">
        <v>354</v>
      </c>
      <c r="E28" s="11" t="s">
        <v>20</v>
      </c>
      <c r="F28" s="26" t="n">
        <v>179.9</v>
      </c>
      <c r="G28" s="27" t="n">
        <v>1</v>
      </c>
      <c r="H28" s="28" t="n">
        <f aca="false">ROUND(F28/G28/1.18,2)</f>
        <v>152.46</v>
      </c>
      <c r="I28" s="15" t="s">
        <v>267</v>
      </c>
      <c r="J28" s="15" t="s">
        <v>355</v>
      </c>
      <c r="K28" s="15" t="s">
        <v>356</v>
      </c>
    </row>
    <row r="29" customFormat="false" ht="30" hidden="false" customHeight="true" outlineLevel="0" collapsed="false">
      <c r="A29" s="11" t="s">
        <v>357</v>
      </c>
      <c r="B29" s="12" t="s">
        <v>358</v>
      </c>
      <c r="C29" s="11" t="s">
        <v>20</v>
      </c>
      <c r="D29" s="12" t="s">
        <v>359</v>
      </c>
      <c r="E29" s="11" t="s">
        <v>20</v>
      </c>
      <c r="F29" s="26" t="n">
        <v>80</v>
      </c>
      <c r="G29" s="27" t="n">
        <v>1</v>
      </c>
      <c r="H29" s="28" t="n">
        <f aca="false">ROUND(F29/G29/1.18,2)</f>
        <v>67.8</v>
      </c>
      <c r="I29" s="15" t="s">
        <v>360</v>
      </c>
      <c r="J29" s="15" t="s">
        <v>361</v>
      </c>
      <c r="K29" s="15" t="s">
        <v>362</v>
      </c>
    </row>
    <row r="30" customFormat="false" ht="30" hidden="false" customHeight="true" outlineLevel="0" collapsed="false">
      <c r="A30" s="11" t="s">
        <v>363</v>
      </c>
      <c r="B30" s="12" t="s">
        <v>364</v>
      </c>
      <c r="C30" s="11" t="s">
        <v>20</v>
      </c>
      <c r="D30" s="12" t="s">
        <v>365</v>
      </c>
      <c r="E30" s="11" t="s">
        <v>20</v>
      </c>
      <c r="F30" s="26" t="n">
        <v>169.9</v>
      </c>
      <c r="G30" s="27" t="n">
        <v>1</v>
      </c>
      <c r="H30" s="28" t="n">
        <f aca="false">ROUND(F30/G30/1.18,2)</f>
        <v>143.98</v>
      </c>
      <c r="I30" s="15" t="s">
        <v>255</v>
      </c>
      <c r="J30" s="15" t="s">
        <v>366</v>
      </c>
      <c r="K30" s="15" t="s">
        <v>367</v>
      </c>
    </row>
    <row r="31" customFormat="false" ht="30" hidden="false" customHeight="true" outlineLevel="0" collapsed="false">
      <c r="A31" s="11" t="s">
        <v>368</v>
      </c>
      <c r="B31" s="12" t="s">
        <v>369</v>
      </c>
      <c r="C31" s="11" t="s">
        <v>20</v>
      </c>
      <c r="D31" s="12" t="s">
        <v>370</v>
      </c>
      <c r="E31" s="11" t="s">
        <v>20</v>
      </c>
      <c r="F31" s="26" t="n">
        <v>370</v>
      </c>
      <c r="G31" s="27" t="n">
        <v>1</v>
      </c>
      <c r="H31" s="28" t="n">
        <f aca="false">ROUND(F31/G31/1.18,2)</f>
        <v>313.56</v>
      </c>
      <c r="I31" s="15" t="s">
        <v>371</v>
      </c>
      <c r="J31" s="15" t="s">
        <v>372</v>
      </c>
      <c r="K31" s="15" t="s">
        <v>257</v>
      </c>
    </row>
    <row r="32" customFormat="false" ht="30" hidden="false" customHeight="true" outlineLevel="0" collapsed="false">
      <c r="A32" s="11" t="s">
        <v>373</v>
      </c>
      <c r="B32" s="12" t="s">
        <v>374</v>
      </c>
      <c r="C32" s="11" t="s">
        <v>20</v>
      </c>
      <c r="D32" s="12" t="s">
        <v>375</v>
      </c>
      <c r="E32" s="11" t="s">
        <v>20</v>
      </c>
      <c r="F32" s="26" t="n">
        <v>95.9</v>
      </c>
      <c r="G32" s="27" t="n">
        <v>1</v>
      </c>
      <c r="H32" s="28" t="n">
        <f aca="false">ROUND(F32/G32/1.18,2)</f>
        <v>81.27</v>
      </c>
      <c r="I32" s="15" t="s">
        <v>255</v>
      </c>
      <c r="J32" s="15" t="s">
        <v>376</v>
      </c>
      <c r="K32" s="15" t="s">
        <v>377</v>
      </c>
    </row>
    <row r="33" customFormat="false" ht="30" hidden="false" customHeight="true" outlineLevel="0" collapsed="false">
      <c r="A33" s="11" t="s">
        <v>378</v>
      </c>
      <c r="B33" s="12" t="s">
        <v>379</v>
      </c>
      <c r="C33" s="11" t="s">
        <v>20</v>
      </c>
      <c r="D33" s="12" t="s">
        <v>380</v>
      </c>
      <c r="E33" s="11" t="s">
        <v>20</v>
      </c>
      <c r="F33" s="26" t="n">
        <v>89.9</v>
      </c>
      <c r="G33" s="27" t="n">
        <v>1</v>
      </c>
      <c r="H33" s="28" t="n">
        <f aca="false">ROUND(F33/G33/1.18,2)</f>
        <v>76.19</v>
      </c>
      <c r="I33" s="15" t="s">
        <v>267</v>
      </c>
      <c r="J33" s="15" t="s">
        <v>381</v>
      </c>
      <c r="K33" s="15" t="s">
        <v>382</v>
      </c>
    </row>
    <row r="34" customFormat="false" ht="30" hidden="false" customHeight="true" outlineLevel="0" collapsed="false">
      <c r="A34" s="11" t="s">
        <v>383</v>
      </c>
      <c r="B34" s="12" t="s">
        <v>384</v>
      </c>
      <c r="C34" s="11" t="s">
        <v>20</v>
      </c>
      <c r="D34" s="12" t="s">
        <v>385</v>
      </c>
      <c r="E34" s="11" t="s">
        <v>20</v>
      </c>
      <c r="F34" s="26" t="n">
        <v>6.9</v>
      </c>
      <c r="G34" s="27" t="n">
        <v>1</v>
      </c>
      <c r="H34" s="28" t="n">
        <f aca="false">ROUND(F34/G34/1.18,2)</f>
        <v>5.85</v>
      </c>
      <c r="I34" s="15" t="s">
        <v>255</v>
      </c>
      <c r="J34" s="15" t="s">
        <v>386</v>
      </c>
      <c r="K34" s="15" t="s">
        <v>257</v>
      </c>
    </row>
    <row r="35" customFormat="false" ht="30" hidden="false" customHeight="true" outlineLevel="0" collapsed="false">
      <c r="A35" s="11" t="s">
        <v>387</v>
      </c>
      <c r="B35" s="12" t="s">
        <v>388</v>
      </c>
      <c r="C35" s="11" t="s">
        <v>20</v>
      </c>
      <c r="D35" s="12" t="s">
        <v>389</v>
      </c>
      <c r="E35" s="11" t="s">
        <v>20</v>
      </c>
      <c r="F35" s="26" t="n">
        <v>14.9</v>
      </c>
      <c r="G35" s="27" t="n">
        <v>1</v>
      </c>
      <c r="H35" s="28" t="n">
        <f aca="false">ROUND(F35/G35/1.18,2)</f>
        <v>12.63</v>
      </c>
      <c r="I35" s="15" t="s">
        <v>255</v>
      </c>
      <c r="J35" s="15" t="s">
        <v>390</v>
      </c>
      <c r="K35" s="15" t="s">
        <v>257</v>
      </c>
    </row>
    <row r="36" customFormat="false" ht="30" hidden="false" customHeight="true" outlineLevel="0" collapsed="false">
      <c r="A36" s="11" t="s">
        <v>391</v>
      </c>
      <c r="B36" s="12" t="s">
        <v>392</v>
      </c>
      <c r="C36" s="11" t="s">
        <v>20</v>
      </c>
      <c r="D36" s="12" t="s">
        <v>393</v>
      </c>
      <c r="E36" s="11" t="s">
        <v>20</v>
      </c>
      <c r="F36" s="26" t="n">
        <v>16.9</v>
      </c>
      <c r="G36" s="27" t="n">
        <v>1</v>
      </c>
      <c r="H36" s="28" t="n">
        <f aca="false">ROUND(F36/G36/1.18,2)</f>
        <v>14.32</v>
      </c>
      <c r="I36" s="15" t="s">
        <v>255</v>
      </c>
      <c r="J36" s="15" t="s">
        <v>394</v>
      </c>
      <c r="K36" s="15" t="s">
        <v>257</v>
      </c>
    </row>
    <row r="37" customFormat="false" ht="30" hidden="false" customHeight="true" outlineLevel="0" collapsed="false">
      <c r="A37" s="11" t="s">
        <v>395</v>
      </c>
      <c r="B37" s="12" t="s">
        <v>396</v>
      </c>
      <c r="C37" s="11" t="s">
        <v>16</v>
      </c>
      <c r="D37" s="12" t="s">
        <v>397</v>
      </c>
      <c r="E37" s="11" t="s">
        <v>398</v>
      </c>
      <c r="F37" s="26" t="n">
        <v>50.9</v>
      </c>
      <c r="G37" s="27" t="n">
        <v>6.4</v>
      </c>
      <c r="H37" s="28" t="n">
        <f aca="false">ROUND(F37/G37/1.18,2)</f>
        <v>6.74</v>
      </c>
      <c r="I37" s="15" t="s">
        <v>371</v>
      </c>
      <c r="J37" s="15" t="s">
        <v>399</v>
      </c>
      <c r="K37" s="15" t="s">
        <v>257</v>
      </c>
    </row>
    <row r="38" customFormat="false" ht="30" hidden="false" customHeight="true" outlineLevel="0" collapsed="false">
      <c r="A38" s="11" t="s">
        <v>400</v>
      </c>
      <c r="B38" s="12" t="s">
        <v>401</v>
      </c>
      <c r="C38" s="11" t="s">
        <v>16</v>
      </c>
      <c r="D38" s="12" t="s">
        <v>402</v>
      </c>
      <c r="E38" s="11" t="s">
        <v>398</v>
      </c>
      <c r="F38" s="26" t="n">
        <v>114.9</v>
      </c>
      <c r="G38" s="27" t="n">
        <v>6.4</v>
      </c>
      <c r="H38" s="28" t="n">
        <f aca="false">ROUND(F38/G38/1.18,2)</f>
        <v>15.21</v>
      </c>
      <c r="I38" s="15" t="s">
        <v>371</v>
      </c>
      <c r="J38" s="15" t="s">
        <v>403</v>
      </c>
      <c r="K38" s="15" t="s">
        <v>257</v>
      </c>
    </row>
    <row r="39" customFormat="false" ht="30" hidden="false" customHeight="true" outlineLevel="0" collapsed="false">
      <c r="A39" s="11" t="s">
        <v>404</v>
      </c>
      <c r="B39" s="12" t="s">
        <v>405</v>
      </c>
      <c r="C39" s="11" t="s">
        <v>16</v>
      </c>
      <c r="D39" s="12" t="s">
        <v>406</v>
      </c>
      <c r="E39" s="11" t="s">
        <v>398</v>
      </c>
      <c r="F39" s="26" t="n">
        <v>149.9</v>
      </c>
      <c r="G39" s="27" t="n">
        <v>6.4</v>
      </c>
      <c r="H39" s="28" t="n">
        <f aca="false">ROUND(F39/G39/1.18,2)</f>
        <v>19.85</v>
      </c>
      <c r="I39" s="15" t="s">
        <v>371</v>
      </c>
      <c r="J39" s="15" t="s">
        <v>407</v>
      </c>
      <c r="K39" s="15" t="s">
        <v>257</v>
      </c>
    </row>
    <row r="40" customFormat="false" ht="30" hidden="false" customHeight="true" outlineLevel="0" collapsed="false">
      <c r="A40" s="11" t="s">
        <v>408</v>
      </c>
      <c r="B40" s="12" t="s">
        <v>409</v>
      </c>
      <c r="C40" s="11" t="s">
        <v>20</v>
      </c>
      <c r="D40" s="12" t="s">
        <v>410</v>
      </c>
      <c r="E40" s="11" t="s">
        <v>20</v>
      </c>
      <c r="F40" s="26" t="n">
        <v>1.4</v>
      </c>
      <c r="G40" s="27" t="n">
        <v>1</v>
      </c>
      <c r="H40" s="28" t="n">
        <f aca="false">ROUND(F40/G40/1.18,2)</f>
        <v>1.19</v>
      </c>
      <c r="I40" s="15" t="s">
        <v>267</v>
      </c>
      <c r="J40" s="15" t="s">
        <v>411</v>
      </c>
      <c r="K40" s="15" t="s">
        <v>412</v>
      </c>
    </row>
    <row r="41" customFormat="false" ht="30" hidden="false" customHeight="true" outlineLevel="0" collapsed="false">
      <c r="A41" s="11" t="s">
        <v>413</v>
      </c>
      <c r="B41" s="12" t="s">
        <v>414</v>
      </c>
      <c r="C41" s="11" t="s">
        <v>20</v>
      </c>
      <c r="D41" s="12" t="s">
        <v>415</v>
      </c>
      <c r="E41" s="11" t="s">
        <v>20</v>
      </c>
      <c r="F41" s="26" t="n">
        <v>1.4</v>
      </c>
      <c r="G41" s="27" t="n">
        <v>1</v>
      </c>
      <c r="H41" s="28" t="n">
        <f aca="false">ROUND(F41/G41/1.18,2)</f>
        <v>1.19</v>
      </c>
      <c r="I41" s="15" t="s">
        <v>267</v>
      </c>
      <c r="J41" s="15" t="s">
        <v>411</v>
      </c>
      <c r="K41" s="15" t="s">
        <v>416</v>
      </c>
    </row>
    <row r="42" customFormat="false" ht="30" hidden="false" customHeight="true" outlineLevel="0" collapsed="false">
      <c r="A42" s="11" t="s">
        <v>417</v>
      </c>
      <c r="B42" s="12" t="s">
        <v>418</v>
      </c>
      <c r="C42" s="11" t="s">
        <v>20</v>
      </c>
      <c r="D42" s="12" t="s">
        <v>419</v>
      </c>
      <c r="E42" s="11" t="s">
        <v>20</v>
      </c>
      <c r="F42" s="26" t="n">
        <v>1.6</v>
      </c>
      <c r="G42" s="27" t="n">
        <v>1</v>
      </c>
      <c r="H42" s="28" t="n">
        <f aca="false">ROUND(F42/G42/1.18,2)</f>
        <v>1.36</v>
      </c>
      <c r="I42" s="15" t="s">
        <v>267</v>
      </c>
      <c r="J42" s="15" t="s">
        <v>420</v>
      </c>
      <c r="K42" s="15" t="s">
        <v>416</v>
      </c>
    </row>
    <row r="43" customFormat="false" ht="30" hidden="false" customHeight="true" outlineLevel="0" collapsed="false">
      <c r="A43" s="11" t="s">
        <v>421</v>
      </c>
      <c r="B43" s="12" t="s">
        <v>422</v>
      </c>
      <c r="C43" s="11" t="s">
        <v>20</v>
      </c>
      <c r="D43" s="12" t="s">
        <v>423</v>
      </c>
      <c r="E43" s="11" t="s">
        <v>424</v>
      </c>
      <c r="F43" s="26" t="n">
        <v>37.9</v>
      </c>
      <c r="G43" s="27" t="n">
        <v>4</v>
      </c>
      <c r="H43" s="28" t="n">
        <f aca="false">ROUND(F43/G43/1.18,2)</f>
        <v>8.03</v>
      </c>
      <c r="I43" s="15" t="s">
        <v>305</v>
      </c>
      <c r="J43" s="15" t="s">
        <v>425</v>
      </c>
      <c r="K43" s="15" t="s">
        <v>426</v>
      </c>
    </row>
    <row r="44" customFormat="false" ht="30" hidden="false" customHeight="true" outlineLevel="0" collapsed="false">
      <c r="A44" s="11" t="s">
        <v>427</v>
      </c>
      <c r="B44" s="12" t="s">
        <v>428</v>
      </c>
      <c r="C44" s="11" t="s">
        <v>429</v>
      </c>
      <c r="D44" s="12" t="s">
        <v>430</v>
      </c>
      <c r="E44" s="11" t="s">
        <v>431</v>
      </c>
      <c r="F44" s="26" t="n">
        <v>189.93</v>
      </c>
      <c r="G44" s="29" t="n">
        <f aca="false">1.2*2.4*24.91</f>
        <v>71.7408</v>
      </c>
      <c r="H44" s="28" t="n">
        <f aca="false">ROUND(F44/G44/1.18,2)</f>
        <v>2.24</v>
      </c>
      <c r="I44" s="15" t="s">
        <v>432</v>
      </c>
      <c r="J44" s="15" t="s">
        <v>433</v>
      </c>
      <c r="K44" s="15" t="s">
        <v>434</v>
      </c>
    </row>
    <row r="45" customFormat="false" ht="30" hidden="false" customHeight="true" outlineLevel="0" collapsed="false">
      <c r="A45" s="11" t="s">
        <v>435</v>
      </c>
      <c r="B45" s="12" t="s">
        <v>436</v>
      </c>
      <c r="C45" s="11" t="s">
        <v>20</v>
      </c>
      <c r="D45" s="12" t="s">
        <v>437</v>
      </c>
      <c r="E45" s="11" t="s">
        <v>20</v>
      </c>
      <c r="F45" s="26" t="n">
        <v>6.2</v>
      </c>
      <c r="G45" s="27" t="n">
        <v>1</v>
      </c>
      <c r="H45" s="28" t="n">
        <f aca="false">ROUND(F45/G45/1.18,2)</f>
        <v>5.25</v>
      </c>
      <c r="I45" s="15" t="s">
        <v>255</v>
      </c>
      <c r="J45" s="15" t="s">
        <v>438</v>
      </c>
      <c r="K45" s="15" t="s">
        <v>257</v>
      </c>
    </row>
    <row r="46" customFormat="false" ht="30" hidden="false" customHeight="true" outlineLevel="0" collapsed="false">
      <c r="A46" s="11" t="s">
        <v>439</v>
      </c>
      <c r="B46" s="12" t="s">
        <v>440</v>
      </c>
      <c r="C46" s="11" t="s">
        <v>441</v>
      </c>
      <c r="D46" s="12" t="s">
        <v>442</v>
      </c>
      <c r="E46" s="11" t="s">
        <v>443</v>
      </c>
      <c r="F46" s="26" t="n">
        <v>129.9</v>
      </c>
      <c r="G46" s="27" t="n">
        <v>27</v>
      </c>
      <c r="H46" s="28" t="n">
        <f aca="false">ROUND(F46/G46/1.18,2)</f>
        <v>4.08</v>
      </c>
      <c r="I46" s="15" t="s">
        <v>255</v>
      </c>
      <c r="J46" s="15" t="s">
        <v>444</v>
      </c>
      <c r="K46" s="15" t="s">
        <v>257</v>
      </c>
    </row>
    <row r="47" customFormat="false" ht="30" hidden="false" customHeight="true" outlineLevel="0" collapsed="false">
      <c r="A47" s="11" t="s">
        <v>445</v>
      </c>
      <c r="B47" s="12" t="s">
        <v>446</v>
      </c>
      <c r="C47" s="11" t="s">
        <v>447</v>
      </c>
      <c r="D47" s="12" t="s">
        <v>448</v>
      </c>
      <c r="E47" s="11" t="s">
        <v>449</v>
      </c>
      <c r="F47" s="26" t="n">
        <v>61.9</v>
      </c>
      <c r="G47" s="27" t="n">
        <v>0.25</v>
      </c>
      <c r="H47" s="28" t="n">
        <f aca="false">ROUND(F47/G47/1.18,2)</f>
        <v>209.83</v>
      </c>
      <c r="I47" s="15" t="s">
        <v>255</v>
      </c>
      <c r="J47" s="15" t="s">
        <v>450</v>
      </c>
      <c r="K47" s="15" t="s">
        <v>257</v>
      </c>
    </row>
    <row r="48" customFormat="false" ht="30" hidden="false" customHeight="true" outlineLevel="0" collapsed="false">
      <c r="A48" s="11" t="s">
        <v>451</v>
      </c>
      <c r="B48" s="12" t="s">
        <v>452</v>
      </c>
      <c r="C48" s="11" t="s">
        <v>20</v>
      </c>
      <c r="D48" s="12" t="s">
        <v>453</v>
      </c>
      <c r="E48" s="11" t="s">
        <v>454</v>
      </c>
      <c r="F48" s="26" t="n">
        <v>2.9</v>
      </c>
      <c r="G48" s="27" t="n">
        <v>1</v>
      </c>
      <c r="H48" s="28" t="n">
        <f aca="false">ROUND(F48/G48/1.18,2)</f>
        <v>2.46</v>
      </c>
      <c r="I48" s="15" t="s">
        <v>255</v>
      </c>
      <c r="J48" s="15" t="s">
        <v>455</v>
      </c>
      <c r="K48" s="15" t="s">
        <v>257</v>
      </c>
    </row>
    <row r="49" customFormat="false" ht="30" hidden="false" customHeight="true" outlineLevel="0" collapsed="false">
      <c r="A49" s="11" t="s">
        <v>456</v>
      </c>
      <c r="B49" s="12" t="s">
        <v>457</v>
      </c>
      <c r="C49" s="11" t="s">
        <v>429</v>
      </c>
      <c r="D49" s="12" t="s">
        <v>458</v>
      </c>
      <c r="E49" s="11" t="s">
        <v>459</v>
      </c>
      <c r="F49" s="26" t="n">
        <v>109.9</v>
      </c>
      <c r="G49" s="27" t="n">
        <v>5</v>
      </c>
      <c r="H49" s="28" t="n">
        <f aca="false">ROUND(F49/G49/1.18,2)</f>
        <v>18.63</v>
      </c>
      <c r="I49" s="15" t="s">
        <v>255</v>
      </c>
      <c r="J49" s="15" t="s">
        <v>460</v>
      </c>
      <c r="K49" s="15" t="s">
        <v>257</v>
      </c>
    </row>
    <row r="50" customFormat="false" ht="30" hidden="false" customHeight="true" outlineLevel="0" collapsed="false">
      <c r="A50" s="11" t="s">
        <v>461</v>
      </c>
      <c r="B50" s="12" t="s">
        <v>462</v>
      </c>
      <c r="C50" s="11" t="s">
        <v>463</v>
      </c>
      <c r="D50" s="12" t="s">
        <v>464</v>
      </c>
      <c r="E50" s="11" t="s">
        <v>465</v>
      </c>
      <c r="F50" s="26" t="n">
        <v>55</v>
      </c>
      <c r="G50" s="27" t="n">
        <v>8</v>
      </c>
      <c r="H50" s="28" t="n">
        <f aca="false">ROUND(F50/G50/1.18,2)</f>
        <v>5.83</v>
      </c>
      <c r="I50" s="15" t="s">
        <v>466</v>
      </c>
      <c r="J50" s="15" t="s">
        <v>467</v>
      </c>
      <c r="K50" s="15" t="s">
        <v>468</v>
      </c>
    </row>
    <row r="51" customFormat="false" ht="30" hidden="false" customHeight="true" outlineLevel="0" collapsed="false">
      <c r="A51" s="11" t="s">
        <v>469</v>
      </c>
      <c r="B51" s="12" t="s">
        <v>470</v>
      </c>
      <c r="C51" s="11" t="s">
        <v>201</v>
      </c>
      <c r="D51" s="12" t="s">
        <v>471</v>
      </c>
      <c r="E51" s="11" t="s">
        <v>201</v>
      </c>
      <c r="F51" s="26" t="n">
        <v>8.33</v>
      </c>
      <c r="G51" s="27" t="n">
        <v>1</v>
      </c>
      <c r="H51" s="28" t="n">
        <f aca="false">ROUND(F51/G51/1,2)</f>
        <v>8.33</v>
      </c>
      <c r="I51" s="15" t="s">
        <v>472</v>
      </c>
      <c r="J51" s="15" t="s">
        <v>473</v>
      </c>
      <c r="K51" s="15" t="s">
        <v>474</v>
      </c>
    </row>
    <row r="52" customFormat="false" ht="30" hidden="false" customHeight="true" outlineLevel="0" collapsed="false">
      <c r="A52" s="11" t="s">
        <v>475</v>
      </c>
      <c r="B52" s="12" t="s">
        <v>476</v>
      </c>
      <c r="C52" s="11" t="s">
        <v>429</v>
      </c>
      <c r="D52" s="12" t="s">
        <v>477</v>
      </c>
      <c r="E52" s="11" t="s">
        <v>478</v>
      </c>
      <c r="F52" s="26" t="n">
        <v>35</v>
      </c>
      <c r="G52" s="27" t="n">
        <v>1</v>
      </c>
      <c r="H52" s="28" t="n">
        <f aca="false">ROUND(F52/G52/1.18,2)</f>
        <v>29.66</v>
      </c>
      <c r="I52" s="15" t="s">
        <v>479</v>
      </c>
      <c r="J52" s="15" t="s">
        <v>480</v>
      </c>
      <c r="K52" s="15" t="s">
        <v>481</v>
      </c>
    </row>
    <row r="53" customFormat="false" ht="30" hidden="false" customHeight="true" outlineLevel="0" collapsed="false">
      <c r="A53" s="11" t="s">
        <v>482</v>
      </c>
      <c r="B53" s="12" t="s">
        <v>483</v>
      </c>
      <c r="C53" s="11" t="s">
        <v>20</v>
      </c>
      <c r="D53" s="12" t="s">
        <v>484</v>
      </c>
      <c r="E53" s="11" t="s">
        <v>485</v>
      </c>
      <c r="F53" s="26" t="n">
        <v>49</v>
      </c>
      <c r="G53" s="27" t="n">
        <v>1</v>
      </c>
      <c r="H53" s="28" t="n">
        <f aca="false">ROUND(F53/G53/1.18,2)</f>
        <v>41.53</v>
      </c>
      <c r="I53" s="15" t="s">
        <v>255</v>
      </c>
      <c r="J53" s="15" t="s">
        <v>486</v>
      </c>
      <c r="K53" s="15" t="s">
        <v>257</v>
      </c>
    </row>
    <row r="54" customFormat="false" ht="30" hidden="false" customHeight="true" outlineLevel="0" collapsed="false">
      <c r="A54" s="11" t="s">
        <v>487</v>
      </c>
      <c r="B54" s="12" t="s">
        <v>488</v>
      </c>
      <c r="C54" s="11" t="s">
        <v>16</v>
      </c>
      <c r="D54" s="12" t="s">
        <v>489</v>
      </c>
      <c r="E54" s="11" t="s">
        <v>490</v>
      </c>
      <c r="F54" s="26" t="n">
        <f aca="false">ROUND(39.9/10.98*8.34*6,2)</f>
        <v>181.84</v>
      </c>
      <c r="G54" s="27" t="n">
        <v>6</v>
      </c>
      <c r="H54" s="28" t="n">
        <f aca="false">ROUND(F54/G54/1.18,2)</f>
        <v>25.68</v>
      </c>
      <c r="I54" s="15" t="s">
        <v>491</v>
      </c>
      <c r="J54" s="15" t="s">
        <v>492</v>
      </c>
      <c r="K54" s="15" t="s">
        <v>493</v>
      </c>
    </row>
    <row r="55" customFormat="false" ht="30" hidden="false" customHeight="true" outlineLevel="0" collapsed="false">
      <c r="A55" s="11" t="s">
        <v>494</v>
      </c>
      <c r="B55" s="12" t="s">
        <v>495</v>
      </c>
      <c r="C55" s="11" t="s">
        <v>20</v>
      </c>
      <c r="D55" s="12" t="s">
        <v>496</v>
      </c>
      <c r="E55" s="11" t="s">
        <v>20</v>
      </c>
      <c r="F55" s="26" t="n">
        <v>469.9</v>
      </c>
      <c r="G55" s="27" t="n">
        <v>1</v>
      </c>
      <c r="H55" s="28" t="n">
        <f aca="false">ROUND(F55/G55/1.18,2)</f>
        <v>398.22</v>
      </c>
      <c r="I55" s="15" t="s">
        <v>267</v>
      </c>
      <c r="J55" s="15" t="s">
        <v>497</v>
      </c>
      <c r="K55" s="15" t="s">
        <v>257</v>
      </c>
    </row>
    <row r="56" customFormat="false" ht="30" hidden="false" customHeight="true" outlineLevel="0" collapsed="false">
      <c r="A56" s="11" t="s">
        <v>498</v>
      </c>
      <c r="B56" s="12" t="s">
        <v>499</v>
      </c>
      <c r="C56" s="11" t="s">
        <v>20</v>
      </c>
      <c r="D56" s="12" t="s">
        <v>500</v>
      </c>
      <c r="E56" s="11" t="s">
        <v>20</v>
      </c>
      <c r="F56" s="26" t="n">
        <v>49.9</v>
      </c>
      <c r="G56" s="27" t="n">
        <v>1</v>
      </c>
      <c r="H56" s="28" t="n">
        <f aca="false">ROUND(F56/G56/1.18,2)</f>
        <v>42.29</v>
      </c>
      <c r="I56" s="15" t="s">
        <v>267</v>
      </c>
      <c r="J56" s="15" t="s">
        <v>501</v>
      </c>
      <c r="K56" s="15" t="s">
        <v>257</v>
      </c>
    </row>
    <row r="57" customFormat="false" ht="30" hidden="false" customHeight="true" outlineLevel="0" collapsed="false">
      <c r="A57" s="11" t="s">
        <v>502</v>
      </c>
      <c r="B57" s="12" t="s">
        <v>503</v>
      </c>
      <c r="C57" s="11" t="s">
        <v>447</v>
      </c>
      <c r="D57" s="12" t="s">
        <v>504</v>
      </c>
      <c r="E57" s="11" t="s">
        <v>505</v>
      </c>
      <c r="F57" s="26" t="n">
        <v>62</v>
      </c>
      <c r="G57" s="27" t="n">
        <v>1</v>
      </c>
      <c r="H57" s="28" t="n">
        <f aca="false">ROUND(F57/G57/1.18,2)</f>
        <v>52.54</v>
      </c>
      <c r="I57" s="15" t="s">
        <v>267</v>
      </c>
      <c r="J57" s="15" t="s">
        <v>506</v>
      </c>
      <c r="K57" s="15" t="s">
        <v>257</v>
      </c>
    </row>
    <row r="58" customFormat="false" ht="30" hidden="false" customHeight="true" outlineLevel="0" collapsed="false">
      <c r="A58" s="11" t="s">
        <v>507</v>
      </c>
      <c r="B58" s="12" t="s">
        <v>508</v>
      </c>
      <c r="C58" s="11" t="s">
        <v>447</v>
      </c>
      <c r="D58" s="12" t="s">
        <v>509</v>
      </c>
      <c r="E58" s="11" t="s">
        <v>505</v>
      </c>
      <c r="F58" s="26" t="n">
        <v>57</v>
      </c>
      <c r="G58" s="27" t="n">
        <v>1</v>
      </c>
      <c r="H58" s="28" t="n">
        <f aca="false">ROUND(F58/G58/1.18,2)</f>
        <v>48.31</v>
      </c>
      <c r="I58" s="15" t="s">
        <v>267</v>
      </c>
      <c r="J58" s="15" t="s">
        <v>510</v>
      </c>
      <c r="K58" s="15" t="s">
        <v>257</v>
      </c>
    </row>
    <row r="59" customFormat="false" ht="30" hidden="false" customHeight="true" outlineLevel="0" collapsed="false">
      <c r="A59" s="11" t="s">
        <v>511</v>
      </c>
      <c r="B59" s="12" t="s">
        <v>512</v>
      </c>
      <c r="C59" s="11" t="s">
        <v>447</v>
      </c>
      <c r="D59" s="12" t="s">
        <v>513</v>
      </c>
      <c r="E59" s="11" t="s">
        <v>514</v>
      </c>
      <c r="F59" s="26" t="n">
        <v>38.9</v>
      </c>
      <c r="G59" s="29" t="n">
        <f aca="false">3.5/3.785</f>
        <v>0.924702774108322</v>
      </c>
      <c r="H59" s="28" t="n">
        <f aca="false">ROUND(F59/G59/1.18,2)</f>
        <v>35.65</v>
      </c>
      <c r="I59" s="15" t="s">
        <v>255</v>
      </c>
      <c r="J59" s="15" t="s">
        <v>515</v>
      </c>
      <c r="K59" s="15" t="s">
        <v>257</v>
      </c>
    </row>
    <row r="60" customFormat="false" ht="30" hidden="false" customHeight="true" outlineLevel="0" collapsed="false">
      <c r="A60" s="11" t="s">
        <v>516</v>
      </c>
      <c r="B60" s="12" t="s">
        <v>517</v>
      </c>
      <c r="C60" s="11" t="s">
        <v>20</v>
      </c>
      <c r="D60" s="12" t="s">
        <v>518</v>
      </c>
      <c r="E60" s="11" t="s">
        <v>519</v>
      </c>
      <c r="F60" s="26" t="n">
        <v>2.5</v>
      </c>
      <c r="G60" s="27" t="n">
        <v>1</v>
      </c>
      <c r="H60" s="28" t="n">
        <f aca="false">ROUND(F60/G60/1.18,2)</f>
        <v>2.12</v>
      </c>
      <c r="I60" s="15" t="s">
        <v>255</v>
      </c>
      <c r="J60" s="15" t="s">
        <v>520</v>
      </c>
      <c r="K60" s="15" t="s">
        <v>257</v>
      </c>
    </row>
    <row r="62" customFormat="false" ht="18" hidden="false" customHeight="true" outlineLevel="0" collapsed="false">
      <c r="A62" s="6" t="s">
        <v>521</v>
      </c>
      <c r="B62" s="6"/>
      <c r="C62" s="6"/>
      <c r="D62" s="6"/>
      <c r="E62" s="6"/>
      <c r="F62" s="6"/>
      <c r="G62" s="6"/>
      <c r="H62" s="6"/>
      <c r="I62" s="6"/>
      <c r="J62" s="6"/>
      <c r="K62" s="6"/>
    </row>
    <row r="63" customFormat="false" ht="22.35" hidden="false" customHeight="false" outlineLevel="0" collapsed="false">
      <c r="A63" s="20" t="s">
        <v>240</v>
      </c>
      <c r="B63" s="20" t="s">
        <v>522</v>
      </c>
      <c r="C63" s="20" t="s">
        <v>5</v>
      </c>
      <c r="D63" s="20" t="s">
        <v>523</v>
      </c>
      <c r="E63" s="20" t="s">
        <v>524</v>
      </c>
      <c r="F63" s="20" t="s">
        <v>525</v>
      </c>
      <c r="G63" s="20" t="s">
        <v>526</v>
      </c>
      <c r="H63" s="20" t="s">
        <v>527</v>
      </c>
      <c r="I63" s="20" t="s">
        <v>528</v>
      </c>
      <c r="J63" s="20" t="s">
        <v>529</v>
      </c>
      <c r="K63" s="20" t="s">
        <v>530</v>
      </c>
    </row>
    <row r="64" customFormat="false" ht="30" hidden="false" customHeight="true" outlineLevel="0" collapsed="false">
      <c r="A64" s="11" t="s">
        <v>531</v>
      </c>
      <c r="B64" s="12" t="s">
        <v>532</v>
      </c>
      <c r="C64" s="11" t="s">
        <v>20</v>
      </c>
      <c r="D64" s="13" t="n">
        <v>0.15</v>
      </c>
      <c r="E64" s="21" t="n">
        <f aca="false">ROUND(D64^2*24.91,2)</f>
        <v>0.56</v>
      </c>
      <c r="F64" s="11" t="s">
        <v>533</v>
      </c>
      <c r="G64" s="13" t="n">
        <v>0.35</v>
      </c>
      <c r="H64" s="28" t="n">
        <f aca="false">ROUND(E64*'PRECIOS DE INSUMOS'!$H$44+G64*'PRECIOS DE INSUMOS'!$H$37+I64*'PRECIOS DE INSUMOS'!$H$49,2)</f>
        <v>5.48</v>
      </c>
      <c r="I64" s="13" t="n">
        <v>0.1</v>
      </c>
      <c r="J64" s="15" t="s">
        <v>534</v>
      </c>
      <c r="K64" s="15"/>
    </row>
    <row r="65" customFormat="false" ht="30" hidden="false" customHeight="true" outlineLevel="0" collapsed="false">
      <c r="A65" s="11" t="s">
        <v>535</v>
      </c>
      <c r="B65" s="12" t="s">
        <v>536</v>
      </c>
      <c r="C65" s="11" t="s">
        <v>20</v>
      </c>
      <c r="D65" s="13" t="n">
        <v>0.15</v>
      </c>
      <c r="E65" s="21" t="n">
        <f aca="false">ROUND(D65^2*24.91,2)</f>
        <v>0.56</v>
      </c>
      <c r="F65" s="11" t="s">
        <v>537</v>
      </c>
      <c r="G65" s="13" t="n">
        <v>0.25</v>
      </c>
      <c r="H65" s="28" t="n">
        <f aca="false">ROUND(E65*'PRECIOS DE INSUMOS'!$H$44+G65*'PRECIOS DE INSUMOS'!$H$38+I65*'PRECIOS DE INSUMOS'!$H$49,2)</f>
        <v>7.29</v>
      </c>
      <c r="I65" s="13" t="n">
        <v>0.12</v>
      </c>
      <c r="J65" s="15" t="s">
        <v>534</v>
      </c>
      <c r="K65" s="15"/>
    </row>
    <row r="66" customFormat="false" ht="30" hidden="false" customHeight="true" outlineLevel="0" collapsed="false">
      <c r="A66" s="11" t="s">
        <v>538</v>
      </c>
      <c r="B66" s="12" t="s">
        <v>539</v>
      </c>
      <c r="C66" s="11" t="s">
        <v>20</v>
      </c>
      <c r="D66" s="13" t="n">
        <v>0.25</v>
      </c>
      <c r="E66" s="21" t="n">
        <f aca="false">ROUND(D66^2*24.91,2)</f>
        <v>1.56</v>
      </c>
      <c r="F66" s="11" t="s">
        <v>540</v>
      </c>
      <c r="G66" s="13" t="n">
        <v>0.4</v>
      </c>
      <c r="H66" s="28" t="n">
        <f aca="false">ROUND(E66*'PRECIOS DE INSUMOS'!$H$44+G66*'PRECIOS DE INSUMOS'!$H$39+I66*'PRECIOS DE INSUMOS'!$H$49,2)</f>
        <v>14.23</v>
      </c>
      <c r="I66" s="13" t="n">
        <v>0.15</v>
      </c>
      <c r="J66" s="15" t="s">
        <v>534</v>
      </c>
      <c r="K66" s="15"/>
    </row>
    <row r="67" customFormat="false" ht="30" hidden="false" customHeight="true" outlineLevel="0" collapsed="false">
      <c r="A67" s="11" t="s">
        <v>541</v>
      </c>
      <c r="B67" s="12" t="s">
        <v>542</v>
      </c>
      <c r="C67" s="11" t="s">
        <v>20</v>
      </c>
      <c r="D67" s="13" t="n">
        <v>0.15</v>
      </c>
      <c r="E67" s="21" t="n">
        <f aca="false">ROUND(D67^2*24.91,2)</f>
        <v>0.56</v>
      </c>
      <c r="F67" s="11" t="s">
        <v>540</v>
      </c>
      <c r="G67" s="13" t="n">
        <v>0.25</v>
      </c>
      <c r="H67" s="28" t="n">
        <f aca="false">ROUND(E67*'PRECIOS DE INSUMOS'!$H$44+G67*'PRECIOS DE INSUMOS'!$H$39+I67*'PRECIOS DE INSUMOS'!$H$49,2)</f>
        <v>9.01</v>
      </c>
      <c r="I67" s="13" t="n">
        <v>0.15</v>
      </c>
      <c r="J67" s="15" t="s">
        <v>534</v>
      </c>
      <c r="K67" s="15"/>
    </row>
    <row r="68" customFormat="false" ht="30" hidden="false" customHeight="true" outlineLevel="0" collapsed="false">
      <c r="A68" s="11" t="s">
        <v>543</v>
      </c>
      <c r="B68" s="12" t="s">
        <v>544</v>
      </c>
      <c r="C68" s="11" t="s">
        <v>20</v>
      </c>
      <c r="D68" s="13" t="n">
        <v>0.2</v>
      </c>
      <c r="E68" s="21" t="n">
        <f aca="false">ROUND(D68^2*24.91,2)</f>
        <v>1</v>
      </c>
      <c r="F68" s="11" t="s">
        <v>540</v>
      </c>
      <c r="G68" s="13" t="n">
        <v>0.45</v>
      </c>
      <c r="H68" s="28" t="n">
        <f aca="false">ROUND(E68*'PRECIOS DE INSUMOS'!$H$44+G68*'PRECIOS DE INSUMOS'!$H$39+I68*'PRECIOS DE INSUMOS'!$H$49,2)</f>
        <v>13.97</v>
      </c>
      <c r="I68" s="13" t="n">
        <v>0.15</v>
      </c>
      <c r="J68" s="15" t="s">
        <v>534</v>
      </c>
      <c r="K68" s="15" t="s">
        <v>545</v>
      </c>
    </row>
  </sheetData>
  <mergeCells count="5">
    <mergeCell ref="A1:K1"/>
    <mergeCell ref="A2:K2"/>
    <mergeCell ref="A3:K3"/>
    <mergeCell ref="A6:K6"/>
    <mergeCell ref="A62:K6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548</v>
      </c>
      <c r="B5" s="30"/>
      <c r="C5" s="30"/>
      <c r="D5" s="30"/>
      <c r="E5" s="30"/>
      <c r="F5" s="30"/>
      <c r="G5" s="30"/>
      <c r="H5" s="30"/>
    </row>
    <row r="6" customFormat="false" ht="25.5" hidden="false" customHeight="true" outlineLevel="0" collapsed="false">
      <c r="A6" s="31" t="s">
        <v>549</v>
      </c>
      <c r="B6" s="31"/>
      <c r="C6" s="31"/>
      <c r="D6" s="31"/>
      <c r="E6" s="31"/>
      <c r="F6" s="31"/>
      <c r="G6" s="31"/>
      <c r="H6" s="31"/>
    </row>
    <row r="8" customFormat="false" ht="30" hidden="false" customHeight="true" outlineLevel="0" collapsed="false">
      <c r="A8" s="6" t="s">
        <v>550</v>
      </c>
      <c r="B8" s="6"/>
      <c r="C8" s="6"/>
      <c r="D8" s="6"/>
      <c r="E8" s="6"/>
      <c r="F8" s="6"/>
      <c r="G8" s="6"/>
      <c r="H8" s="6"/>
    </row>
    <row r="9" customFormat="false" ht="25.5" hidden="false" customHeight="true" outlineLevel="0" collapsed="false">
      <c r="A9" s="23" t="s">
        <v>551</v>
      </c>
      <c r="B9" s="32" t="n">
        <v>25</v>
      </c>
      <c r="C9" s="20" t="s">
        <v>552</v>
      </c>
      <c r="D9" s="33" t="n">
        <f aca="false">SUM(E13:E14)</f>
        <v>0.48</v>
      </c>
      <c r="E9" s="20" t="s">
        <v>553</v>
      </c>
      <c r="F9" s="33" t="n">
        <f aca="false">SUMIF(C21:C21,"hm",E21:E21)</f>
        <v>0</v>
      </c>
      <c r="G9" s="20" t="s">
        <v>554</v>
      </c>
      <c r="H9" s="34" t="n">
        <f aca="false">G23</f>
        <v>17.85</v>
      </c>
    </row>
    <row r="10" customFormat="false" ht="15" hidden="false" customHeight="true" outlineLevel="0" collapsed="false">
      <c r="A10" s="23" t="s">
        <v>555</v>
      </c>
      <c r="B10" s="35" t="n">
        <v>6</v>
      </c>
      <c r="C10" s="36" t="s">
        <v>556</v>
      </c>
      <c r="D10" s="36"/>
      <c r="E10" s="36"/>
      <c r="F10" s="36"/>
      <c r="G10" s="36"/>
      <c r="H10" s="36"/>
    </row>
    <row r="11" customFormat="false" ht="15" hidden="false" customHeight="false" outlineLevel="0" collapsed="false">
      <c r="A11" s="4" t="s">
        <v>240</v>
      </c>
      <c r="B11" s="4" t="s">
        <v>557</v>
      </c>
      <c r="C11" s="4" t="s">
        <v>5</v>
      </c>
      <c r="D11" s="4" t="s">
        <v>558</v>
      </c>
      <c r="E11" s="4" t="s">
        <v>559</v>
      </c>
      <c r="F11" s="4" t="s">
        <v>560</v>
      </c>
      <c r="G11" s="4" t="s">
        <v>561</v>
      </c>
      <c r="H11" s="4" t="s">
        <v>223</v>
      </c>
    </row>
    <row r="12" customFormat="false" ht="15" hidden="false" customHeight="true" outlineLevel="0" collapsed="false">
      <c r="A12" s="23" t="s">
        <v>562</v>
      </c>
      <c r="B12" s="23"/>
      <c r="C12" s="23"/>
      <c r="D12" s="23"/>
      <c r="E12" s="23"/>
      <c r="F12" s="23"/>
      <c r="G12" s="23"/>
      <c r="H12" s="23"/>
    </row>
    <row r="13" customFormat="false" ht="15" hidden="false" customHeight="false" outlineLevel="0" collapsed="false">
      <c r="A13" s="11" t="s">
        <v>563</v>
      </c>
      <c r="B13" s="12" t="s">
        <v>564</v>
      </c>
      <c r="C13" s="11" t="s">
        <v>565</v>
      </c>
      <c r="D13" s="13" t="n">
        <v>1</v>
      </c>
      <c r="E13" s="37" t="n">
        <f aca="false">ROUND(D13*8/$B$9,4)</f>
        <v>0.32</v>
      </c>
      <c r="F13" s="21" t="n">
        <f aca="false">'MANO DE OBRA 2026'!$C$16</f>
        <v>28.95</v>
      </c>
      <c r="G13" s="14" t="n">
        <f aca="false">ROUND(E13*F13,2)</f>
        <v>9.26</v>
      </c>
      <c r="H13" s="15" t="s">
        <v>566</v>
      </c>
    </row>
    <row r="14" customFormat="false" ht="15" hidden="false" customHeight="false" outlineLevel="0" collapsed="false">
      <c r="A14" s="11" t="s">
        <v>567</v>
      </c>
      <c r="B14" s="12" t="s">
        <v>568</v>
      </c>
      <c r="C14" s="11" t="s">
        <v>565</v>
      </c>
      <c r="D14" s="13" t="n">
        <v>0.5</v>
      </c>
      <c r="E14" s="37" t="n">
        <f aca="false">ROUND(D14*8/$B$9,4)</f>
        <v>0.16</v>
      </c>
      <c r="F14" s="21" t="n">
        <f aca="false">'MANO DE OBRA 2026'!$E$16</f>
        <v>20.54</v>
      </c>
      <c r="G14" s="14" t="n">
        <f aca="false">ROUND(E14*F14,2)</f>
        <v>3.29</v>
      </c>
      <c r="H14" s="15" t="s">
        <v>566</v>
      </c>
    </row>
    <row r="15" customFormat="false" ht="15" hidden="false" customHeight="false" outlineLevel="0" collapsed="false">
      <c r="A15" s="22"/>
      <c r="B15" s="23" t="s">
        <v>569</v>
      </c>
      <c r="C15" s="22"/>
      <c r="D15" s="22"/>
      <c r="E15" s="22"/>
      <c r="F15" s="22"/>
      <c r="G15" s="28" t="n">
        <f aca="false">SUM(G13:G14)</f>
        <v>12.55</v>
      </c>
      <c r="H15" s="22"/>
    </row>
    <row r="16" customFormat="false" ht="15" hidden="false" customHeight="true" outlineLevel="0" collapsed="false">
      <c r="A16" s="23" t="s">
        <v>570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true" outlineLevel="0" collapsed="false">
      <c r="A17" s="11" t="s">
        <v>251</v>
      </c>
      <c r="B17" s="12" t="s">
        <v>252</v>
      </c>
      <c r="C17" s="11" t="s">
        <v>16</v>
      </c>
      <c r="D17" s="12"/>
      <c r="E17" s="38" t="n">
        <v>1.05</v>
      </c>
      <c r="F17" s="14" t="n">
        <f aca="false">'PRECIOS DE INSUMOS'!$H$7</f>
        <v>4.56</v>
      </c>
      <c r="G17" s="14" t="n">
        <f aca="false">ROUND(E17*F17,2)</f>
        <v>4.79</v>
      </c>
      <c r="H17" s="15" t="s">
        <v>571</v>
      </c>
    </row>
    <row r="18" customFormat="false" ht="15" hidden="false" customHeight="true" outlineLevel="0" collapsed="false">
      <c r="A18" s="11" t="s">
        <v>445</v>
      </c>
      <c r="B18" s="12" t="s">
        <v>446</v>
      </c>
      <c r="C18" s="11" t="s">
        <v>447</v>
      </c>
      <c r="D18" s="12"/>
      <c r="E18" s="38" t="n">
        <v>0.0006</v>
      </c>
      <c r="F18" s="14" t="n">
        <f aca="false">'PRECIOS DE INSUMOS'!$H$47</f>
        <v>209.83</v>
      </c>
      <c r="G18" s="14" t="n">
        <f aca="false">ROUND(E18*F18,2)</f>
        <v>0.13</v>
      </c>
      <c r="H18" s="15" t="s">
        <v>572</v>
      </c>
    </row>
    <row r="19" customFormat="false" ht="15" hidden="false" customHeight="false" outlineLevel="0" collapsed="false">
      <c r="A19" s="22"/>
      <c r="B19" s="23" t="s">
        <v>573</v>
      </c>
      <c r="C19" s="22"/>
      <c r="D19" s="22"/>
      <c r="E19" s="22"/>
      <c r="F19" s="22"/>
      <c r="G19" s="28" t="n">
        <f aca="false">SUM(G17:G18)</f>
        <v>4.92</v>
      </c>
      <c r="H19" s="22"/>
    </row>
    <row r="20" customFormat="false" ht="15" hidden="false" customHeight="true" outlineLevel="0" collapsed="false">
      <c r="A20" s="23" t="s">
        <v>574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11" t="s">
        <v>575</v>
      </c>
      <c r="B21" s="12" t="s">
        <v>576</v>
      </c>
      <c r="C21" s="11" t="s">
        <v>577</v>
      </c>
      <c r="D21" s="12"/>
      <c r="E21" s="13" t="n">
        <v>3</v>
      </c>
      <c r="F21" s="14" t="n">
        <f aca="false">G15</f>
        <v>12.55</v>
      </c>
      <c r="G21" s="14" t="n">
        <f aca="false">ROUND(E21/100*F21,2)</f>
        <v>0.38</v>
      </c>
      <c r="H21" s="15" t="s">
        <v>578</v>
      </c>
    </row>
    <row r="22" customFormat="false" ht="15" hidden="false" customHeight="false" outlineLevel="0" collapsed="false">
      <c r="A22" s="22"/>
      <c r="B22" s="23" t="s">
        <v>579</v>
      </c>
      <c r="C22" s="22"/>
      <c r="D22" s="22"/>
      <c r="E22" s="22"/>
      <c r="F22" s="22"/>
      <c r="G22" s="28" t="n">
        <f aca="false">SUM(G21:G21)</f>
        <v>0.38</v>
      </c>
      <c r="H22" s="22"/>
    </row>
    <row r="23" customFormat="false" ht="15" hidden="false" customHeight="false" outlineLevel="0" collapsed="false">
      <c r="A23" s="16" t="s">
        <v>580</v>
      </c>
      <c r="B23" s="16"/>
      <c r="C23" s="16"/>
      <c r="D23" s="16"/>
      <c r="E23" s="16"/>
      <c r="F23" s="16"/>
      <c r="G23" s="17" t="n">
        <f aca="false">G15+G19+G22</f>
        <v>17.85</v>
      </c>
      <c r="H23" s="18"/>
    </row>
    <row r="26" customFormat="false" ht="30" hidden="false" customHeight="true" outlineLevel="0" collapsed="false">
      <c r="A26" s="6" t="s">
        <v>581</v>
      </c>
      <c r="B26" s="6"/>
      <c r="C26" s="6"/>
      <c r="D26" s="6"/>
      <c r="E26" s="6"/>
      <c r="F26" s="6"/>
      <c r="G26" s="6"/>
      <c r="H26" s="6"/>
    </row>
    <row r="27" customFormat="false" ht="25.5" hidden="false" customHeight="true" outlineLevel="0" collapsed="false">
      <c r="A27" s="23" t="s">
        <v>551</v>
      </c>
      <c r="B27" s="39" t="n">
        <v>4</v>
      </c>
      <c r="C27" s="20" t="s">
        <v>552</v>
      </c>
      <c r="D27" s="33" t="n">
        <f aca="false">SUM(E31:E32)</f>
        <v>3</v>
      </c>
      <c r="E27" s="20" t="s">
        <v>553</v>
      </c>
      <c r="F27" s="33" t="n">
        <f aca="false">SUMIF(C39:C39,"hm",E39:E39)</f>
        <v>0</v>
      </c>
      <c r="G27" s="20" t="s">
        <v>582</v>
      </c>
      <c r="H27" s="34" t="n">
        <f aca="false">G41</f>
        <v>225.08</v>
      </c>
    </row>
    <row r="28" customFormat="false" ht="15" hidden="false" customHeight="true" outlineLevel="0" collapsed="false">
      <c r="A28" s="23" t="s">
        <v>555</v>
      </c>
      <c r="B28" s="40" t="n">
        <v>1</v>
      </c>
      <c r="C28" s="36" t="s">
        <v>583</v>
      </c>
      <c r="D28" s="36"/>
      <c r="E28" s="36"/>
      <c r="F28" s="36"/>
      <c r="G28" s="36"/>
      <c r="H28" s="36"/>
    </row>
    <row r="29" customFormat="false" ht="15" hidden="false" customHeight="false" outlineLevel="0" collapsed="false">
      <c r="A29" s="4" t="s">
        <v>240</v>
      </c>
      <c r="B29" s="4" t="s">
        <v>557</v>
      </c>
      <c r="C29" s="4" t="s">
        <v>5</v>
      </c>
      <c r="D29" s="4" t="s">
        <v>558</v>
      </c>
      <c r="E29" s="4" t="s">
        <v>559</v>
      </c>
      <c r="F29" s="4" t="s">
        <v>560</v>
      </c>
      <c r="G29" s="4" t="s">
        <v>561</v>
      </c>
      <c r="H29" s="4" t="s">
        <v>223</v>
      </c>
    </row>
    <row r="30" customFormat="false" ht="15" hidden="false" customHeight="true" outlineLevel="0" collapsed="false">
      <c r="A30" s="23" t="s">
        <v>562</v>
      </c>
      <c r="B30" s="23"/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11" t="s">
        <v>563</v>
      </c>
      <c r="B31" s="12" t="s">
        <v>564</v>
      </c>
      <c r="C31" s="11" t="s">
        <v>565</v>
      </c>
      <c r="D31" s="13" t="n">
        <v>1</v>
      </c>
      <c r="E31" s="37" t="n">
        <f aca="false">ROUND(D31*8/$B$27,4)</f>
        <v>2</v>
      </c>
      <c r="F31" s="21" t="n">
        <f aca="false">'MANO DE OBRA 2026'!$C$16</f>
        <v>28.95</v>
      </c>
      <c r="G31" s="14" t="n">
        <f aca="false">ROUND(E31*F31,2)</f>
        <v>57.9</v>
      </c>
      <c r="H31" s="15" t="s">
        <v>566</v>
      </c>
    </row>
    <row r="32" customFormat="false" ht="15" hidden="false" customHeight="false" outlineLevel="0" collapsed="false">
      <c r="A32" s="11" t="s">
        <v>567</v>
      </c>
      <c r="B32" s="12" t="s">
        <v>568</v>
      </c>
      <c r="C32" s="11" t="s">
        <v>565</v>
      </c>
      <c r="D32" s="13" t="n">
        <v>0.5</v>
      </c>
      <c r="E32" s="37" t="n">
        <f aca="false">ROUND(D32*8/$B$27,4)</f>
        <v>1</v>
      </c>
      <c r="F32" s="21" t="n">
        <f aca="false">'MANO DE OBRA 2026'!$E$16</f>
        <v>20.54</v>
      </c>
      <c r="G32" s="14" t="n">
        <f aca="false">ROUND(E32*F32,2)</f>
        <v>20.54</v>
      </c>
      <c r="H32" s="15" t="s">
        <v>566</v>
      </c>
    </row>
    <row r="33" customFormat="false" ht="15" hidden="false" customHeight="false" outlineLevel="0" collapsed="false">
      <c r="A33" s="22"/>
      <c r="B33" s="23" t="s">
        <v>569</v>
      </c>
      <c r="C33" s="22"/>
      <c r="D33" s="22"/>
      <c r="E33" s="22"/>
      <c r="F33" s="22"/>
      <c r="G33" s="28" t="n">
        <f aca="false">SUM(G31:G32)</f>
        <v>78.44</v>
      </c>
      <c r="H33" s="22"/>
    </row>
    <row r="34" customFormat="false" ht="15" hidden="false" customHeight="true" outlineLevel="0" collapsed="false">
      <c r="A34" s="23" t="s">
        <v>570</v>
      </c>
      <c r="B34" s="23"/>
      <c r="C34" s="23"/>
      <c r="D34" s="23"/>
      <c r="E34" s="23"/>
      <c r="F34" s="23"/>
      <c r="G34" s="23"/>
      <c r="H34" s="23"/>
    </row>
    <row r="35" customFormat="false" ht="15" hidden="false" customHeight="true" outlineLevel="0" collapsed="false">
      <c r="A35" s="11" t="s">
        <v>363</v>
      </c>
      <c r="B35" s="12" t="s">
        <v>364</v>
      </c>
      <c r="C35" s="11" t="s">
        <v>20</v>
      </c>
      <c r="D35" s="12"/>
      <c r="E35" s="38" t="n">
        <v>1</v>
      </c>
      <c r="F35" s="14" t="n">
        <f aca="false">'PRECIOS DE INSUMOS'!$H$30</f>
        <v>143.98</v>
      </c>
      <c r="G35" s="14" t="n">
        <f aca="false">ROUND(E35*F35,2)</f>
        <v>143.98</v>
      </c>
      <c r="H35" s="15" t="s">
        <v>584</v>
      </c>
    </row>
    <row r="36" customFormat="false" ht="15" hidden="false" customHeight="true" outlineLevel="0" collapsed="false">
      <c r="A36" s="11" t="s">
        <v>451</v>
      </c>
      <c r="B36" s="12" t="s">
        <v>452</v>
      </c>
      <c r="C36" s="11" t="s">
        <v>20</v>
      </c>
      <c r="D36" s="12"/>
      <c r="E36" s="38" t="n">
        <v>0.125</v>
      </c>
      <c r="F36" s="14" t="n">
        <f aca="false">'PRECIOS DE INSUMOS'!$H$48</f>
        <v>2.46</v>
      </c>
      <c r="G36" s="14" t="n">
        <f aca="false">ROUND(E36*F36,2)</f>
        <v>0.31</v>
      </c>
      <c r="H36" s="15" t="s">
        <v>585</v>
      </c>
    </row>
    <row r="37" customFormat="false" ht="15" hidden="false" customHeight="false" outlineLevel="0" collapsed="false">
      <c r="A37" s="22"/>
      <c r="B37" s="23" t="s">
        <v>573</v>
      </c>
      <c r="C37" s="22"/>
      <c r="D37" s="22"/>
      <c r="E37" s="22"/>
      <c r="F37" s="22"/>
      <c r="G37" s="28" t="n">
        <f aca="false">SUM(G35:G36)</f>
        <v>144.29</v>
      </c>
      <c r="H37" s="22"/>
    </row>
    <row r="38" customFormat="false" ht="15" hidden="false" customHeight="true" outlineLevel="0" collapsed="false">
      <c r="A38" s="23" t="s">
        <v>574</v>
      </c>
      <c r="B38" s="23"/>
      <c r="C38" s="23"/>
      <c r="D38" s="23"/>
      <c r="E38" s="23"/>
      <c r="F38" s="23"/>
      <c r="G38" s="23"/>
      <c r="H38" s="23"/>
    </row>
    <row r="39" customFormat="false" ht="15" hidden="false" customHeight="false" outlineLevel="0" collapsed="false">
      <c r="A39" s="11" t="s">
        <v>575</v>
      </c>
      <c r="B39" s="12" t="s">
        <v>576</v>
      </c>
      <c r="C39" s="11" t="s">
        <v>577</v>
      </c>
      <c r="D39" s="12"/>
      <c r="E39" s="13" t="n">
        <v>3</v>
      </c>
      <c r="F39" s="14" t="n">
        <f aca="false">G33</f>
        <v>78.44</v>
      </c>
      <c r="G39" s="14" t="n">
        <f aca="false">ROUND(E39/100*F39,2)</f>
        <v>2.35</v>
      </c>
      <c r="H39" s="15" t="s">
        <v>578</v>
      </c>
    </row>
    <row r="40" customFormat="false" ht="15" hidden="false" customHeight="false" outlineLevel="0" collapsed="false">
      <c r="A40" s="22"/>
      <c r="B40" s="23" t="s">
        <v>579</v>
      </c>
      <c r="C40" s="22"/>
      <c r="D40" s="22"/>
      <c r="E40" s="22"/>
      <c r="F40" s="22"/>
      <c r="G40" s="28" t="n">
        <f aca="false">SUM(G39:G39)</f>
        <v>2.35</v>
      </c>
      <c r="H40" s="22"/>
    </row>
    <row r="41" customFormat="false" ht="15" hidden="false" customHeight="false" outlineLevel="0" collapsed="false">
      <c r="A41" s="16" t="s">
        <v>586</v>
      </c>
      <c r="B41" s="16"/>
      <c r="C41" s="16"/>
      <c r="D41" s="16"/>
      <c r="E41" s="16"/>
      <c r="F41" s="16"/>
      <c r="G41" s="17" t="n">
        <f aca="false">G33+G37+G40</f>
        <v>225.08</v>
      </c>
      <c r="H41" s="18"/>
    </row>
    <row r="44" customFormat="false" ht="30" hidden="false" customHeight="true" outlineLevel="0" collapsed="false">
      <c r="A44" s="6" t="s">
        <v>587</v>
      </c>
      <c r="B44" s="6"/>
      <c r="C44" s="6"/>
      <c r="D44" s="6"/>
      <c r="E44" s="6"/>
      <c r="F44" s="6"/>
      <c r="G44" s="6"/>
      <c r="H44" s="6"/>
    </row>
    <row r="45" customFormat="false" ht="25.5" hidden="false" customHeight="true" outlineLevel="0" collapsed="false">
      <c r="A45" s="23" t="s">
        <v>551</v>
      </c>
      <c r="B45" s="39" t="n">
        <v>16</v>
      </c>
      <c r="C45" s="20" t="s">
        <v>552</v>
      </c>
      <c r="D45" s="33" t="n">
        <f aca="false">SUM(E49:E50)</f>
        <v>0.75</v>
      </c>
      <c r="E45" s="20" t="s">
        <v>553</v>
      </c>
      <c r="F45" s="33" t="n">
        <f aca="false">SUMIF(C57:C57,"hm",E57:E57)</f>
        <v>0</v>
      </c>
      <c r="G45" s="20" t="s">
        <v>582</v>
      </c>
      <c r="H45" s="34" t="n">
        <f aca="false">G59</f>
        <v>26.68</v>
      </c>
    </row>
    <row r="46" customFormat="false" ht="15" hidden="false" customHeight="true" outlineLevel="0" collapsed="false">
      <c r="A46" s="23" t="s">
        <v>555</v>
      </c>
      <c r="B46" s="40" t="n">
        <v>1</v>
      </c>
      <c r="C46" s="36" t="s">
        <v>588</v>
      </c>
      <c r="D46" s="36"/>
      <c r="E46" s="36"/>
      <c r="F46" s="36"/>
      <c r="G46" s="36"/>
      <c r="H46" s="36"/>
    </row>
    <row r="47" customFormat="false" ht="15" hidden="false" customHeight="false" outlineLevel="0" collapsed="false">
      <c r="A47" s="4" t="s">
        <v>240</v>
      </c>
      <c r="B47" s="4" t="s">
        <v>557</v>
      </c>
      <c r="C47" s="4" t="s">
        <v>5</v>
      </c>
      <c r="D47" s="4" t="s">
        <v>558</v>
      </c>
      <c r="E47" s="4" t="s">
        <v>559</v>
      </c>
      <c r="F47" s="4" t="s">
        <v>560</v>
      </c>
      <c r="G47" s="4" t="s">
        <v>561</v>
      </c>
      <c r="H47" s="4" t="s">
        <v>223</v>
      </c>
    </row>
    <row r="48" customFormat="false" ht="15" hidden="false" customHeight="true" outlineLevel="0" collapsed="false">
      <c r="A48" s="23" t="s">
        <v>562</v>
      </c>
      <c r="B48" s="23"/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11" t="s">
        <v>563</v>
      </c>
      <c r="B49" s="12" t="s">
        <v>564</v>
      </c>
      <c r="C49" s="11" t="s">
        <v>565</v>
      </c>
      <c r="D49" s="13" t="n">
        <v>1</v>
      </c>
      <c r="E49" s="37" t="n">
        <f aca="false">ROUND(D49*8/$B$45,4)</f>
        <v>0.5</v>
      </c>
      <c r="F49" s="21" t="n">
        <f aca="false">'MANO DE OBRA 2026'!$C$16</f>
        <v>28.95</v>
      </c>
      <c r="G49" s="14" t="n">
        <f aca="false">ROUND(E49*F49,2)</f>
        <v>14.48</v>
      </c>
      <c r="H49" s="15" t="s">
        <v>566</v>
      </c>
    </row>
    <row r="50" customFormat="false" ht="15" hidden="false" customHeight="false" outlineLevel="0" collapsed="false">
      <c r="A50" s="11" t="s">
        <v>567</v>
      </c>
      <c r="B50" s="12" t="s">
        <v>568</v>
      </c>
      <c r="C50" s="11" t="s">
        <v>565</v>
      </c>
      <c r="D50" s="13" t="n">
        <v>0.5</v>
      </c>
      <c r="E50" s="37" t="n">
        <f aca="false">ROUND(D50*8/$B$45,4)</f>
        <v>0.25</v>
      </c>
      <c r="F50" s="21" t="n">
        <f aca="false">'MANO DE OBRA 2026'!$E$16</f>
        <v>20.54</v>
      </c>
      <c r="G50" s="14" t="n">
        <f aca="false">ROUND(E50*F50,2)</f>
        <v>5.14</v>
      </c>
      <c r="H50" s="15" t="s">
        <v>566</v>
      </c>
    </row>
    <row r="51" customFormat="false" ht="15" hidden="false" customHeight="false" outlineLevel="0" collapsed="false">
      <c r="A51" s="22"/>
      <c r="B51" s="23" t="s">
        <v>569</v>
      </c>
      <c r="C51" s="22"/>
      <c r="D51" s="22"/>
      <c r="E51" s="22"/>
      <c r="F51" s="22"/>
      <c r="G51" s="28" t="n">
        <f aca="false">SUM(G49:G50)</f>
        <v>19.62</v>
      </c>
      <c r="H51" s="22"/>
    </row>
    <row r="52" customFormat="false" ht="15" hidden="false" customHeight="true" outlineLevel="0" collapsed="false">
      <c r="A52" s="23" t="s">
        <v>570</v>
      </c>
      <c r="B52" s="23"/>
      <c r="C52" s="23"/>
      <c r="D52" s="23"/>
      <c r="E52" s="23"/>
      <c r="F52" s="23"/>
      <c r="G52" s="23"/>
      <c r="H52" s="23"/>
    </row>
    <row r="53" customFormat="false" ht="15" hidden="false" customHeight="true" outlineLevel="0" collapsed="false">
      <c r="A53" s="11" t="s">
        <v>383</v>
      </c>
      <c r="B53" s="12" t="s">
        <v>384</v>
      </c>
      <c r="C53" s="11" t="s">
        <v>20</v>
      </c>
      <c r="D53" s="12"/>
      <c r="E53" s="38" t="n">
        <v>1</v>
      </c>
      <c r="F53" s="14" t="n">
        <f aca="false">'PRECIOS DE INSUMOS'!$H$34</f>
        <v>5.85</v>
      </c>
      <c r="G53" s="14" t="n">
        <f aca="false">ROUND(E53*F53,2)</f>
        <v>5.85</v>
      </c>
      <c r="H53" s="15" t="s">
        <v>584</v>
      </c>
    </row>
    <row r="54" customFormat="false" ht="15" hidden="false" customHeight="true" outlineLevel="0" collapsed="false">
      <c r="A54" s="11" t="s">
        <v>451</v>
      </c>
      <c r="B54" s="12" t="s">
        <v>452</v>
      </c>
      <c r="C54" s="11" t="s">
        <v>20</v>
      </c>
      <c r="D54" s="12"/>
      <c r="E54" s="38" t="n">
        <v>0.25</v>
      </c>
      <c r="F54" s="14" t="n">
        <f aca="false">'PRECIOS DE INSUMOS'!$H$48</f>
        <v>2.46</v>
      </c>
      <c r="G54" s="14" t="n">
        <f aca="false">ROUND(E54*F54,2)</f>
        <v>0.62</v>
      </c>
      <c r="H54" s="15" t="s">
        <v>589</v>
      </c>
    </row>
    <row r="55" customFormat="false" ht="15" hidden="false" customHeight="false" outlineLevel="0" collapsed="false">
      <c r="A55" s="22"/>
      <c r="B55" s="23" t="s">
        <v>573</v>
      </c>
      <c r="C55" s="22"/>
      <c r="D55" s="22"/>
      <c r="E55" s="22"/>
      <c r="F55" s="22"/>
      <c r="G55" s="28" t="n">
        <f aca="false">SUM(G53:G54)</f>
        <v>6.47</v>
      </c>
      <c r="H55" s="22"/>
    </row>
    <row r="56" customFormat="false" ht="15" hidden="false" customHeight="true" outlineLevel="0" collapsed="false">
      <c r="A56" s="23" t="s">
        <v>574</v>
      </c>
      <c r="B56" s="23"/>
      <c r="C56" s="23"/>
      <c r="D56" s="23"/>
      <c r="E56" s="23"/>
      <c r="F56" s="23"/>
      <c r="G56" s="23"/>
      <c r="H56" s="23"/>
    </row>
    <row r="57" customFormat="false" ht="15" hidden="false" customHeight="false" outlineLevel="0" collapsed="false">
      <c r="A57" s="11" t="s">
        <v>575</v>
      </c>
      <c r="B57" s="12" t="s">
        <v>576</v>
      </c>
      <c r="C57" s="11" t="s">
        <v>577</v>
      </c>
      <c r="D57" s="12"/>
      <c r="E57" s="13" t="n">
        <v>3</v>
      </c>
      <c r="F57" s="14" t="n">
        <f aca="false">G51</f>
        <v>19.62</v>
      </c>
      <c r="G57" s="14" t="n">
        <f aca="false">ROUND(E57/100*F57,2)</f>
        <v>0.59</v>
      </c>
      <c r="H57" s="15" t="s">
        <v>578</v>
      </c>
    </row>
    <row r="58" customFormat="false" ht="15" hidden="false" customHeight="false" outlineLevel="0" collapsed="false">
      <c r="A58" s="22"/>
      <c r="B58" s="23" t="s">
        <v>579</v>
      </c>
      <c r="C58" s="22"/>
      <c r="D58" s="22"/>
      <c r="E58" s="22"/>
      <c r="F58" s="22"/>
      <c r="G58" s="28" t="n">
        <f aca="false">SUM(G57:G57)</f>
        <v>0.59</v>
      </c>
      <c r="H58" s="22"/>
    </row>
    <row r="59" customFormat="false" ht="15" hidden="false" customHeight="false" outlineLevel="0" collapsed="false">
      <c r="A59" s="16" t="s">
        <v>586</v>
      </c>
      <c r="B59" s="16"/>
      <c r="C59" s="16"/>
      <c r="D59" s="16"/>
      <c r="E59" s="16"/>
      <c r="F59" s="16"/>
      <c r="G59" s="17" t="n">
        <f aca="false">G51+G55+G58</f>
        <v>26.68</v>
      </c>
      <c r="H59" s="18"/>
    </row>
    <row r="60" customFormat="false" ht="15" hidden="false" customHeight="true" outlineLevel="0" collapsed="false">
      <c r="A60" s="31" t="s">
        <v>590</v>
      </c>
      <c r="B60" s="31"/>
      <c r="C60" s="31"/>
      <c r="D60" s="31"/>
      <c r="E60" s="31"/>
      <c r="F60" s="31"/>
      <c r="G60" s="31"/>
      <c r="H60" s="31"/>
    </row>
    <row r="63" customFormat="false" ht="30" hidden="false" customHeight="true" outlineLevel="0" collapsed="false">
      <c r="A63" s="6" t="s">
        <v>591</v>
      </c>
      <c r="B63" s="6"/>
      <c r="C63" s="6"/>
      <c r="D63" s="6"/>
      <c r="E63" s="6"/>
      <c r="F63" s="6"/>
      <c r="G63" s="6"/>
      <c r="H63" s="6"/>
    </row>
    <row r="64" customFormat="false" ht="25.5" hidden="false" customHeight="true" outlineLevel="0" collapsed="false">
      <c r="A64" s="23" t="s">
        <v>551</v>
      </c>
      <c r="B64" s="39" t="n">
        <v>3</v>
      </c>
      <c r="C64" s="20" t="s">
        <v>552</v>
      </c>
      <c r="D64" s="33" t="n">
        <f aca="false">SUM(E68:E69)</f>
        <v>4</v>
      </c>
      <c r="E64" s="20" t="s">
        <v>553</v>
      </c>
      <c r="F64" s="33" t="n">
        <f aca="false">SUMIF(C76:C77,"hm",E76:E77)</f>
        <v>0.5</v>
      </c>
      <c r="G64" s="20" t="s">
        <v>582</v>
      </c>
      <c r="H64" s="34" t="n">
        <f aca="false">G79</f>
        <v>116.75</v>
      </c>
    </row>
    <row r="65" customFormat="false" ht="15" hidden="false" customHeight="true" outlineLevel="0" collapsed="false">
      <c r="A65" s="23" t="s">
        <v>555</v>
      </c>
      <c r="B65" s="40" t="n">
        <v>1</v>
      </c>
      <c r="C65" s="36" t="s">
        <v>592</v>
      </c>
      <c r="D65" s="36"/>
      <c r="E65" s="36"/>
      <c r="F65" s="36"/>
      <c r="G65" s="36"/>
      <c r="H65" s="36"/>
    </row>
    <row r="66" customFormat="false" ht="15" hidden="false" customHeight="false" outlineLevel="0" collapsed="false">
      <c r="A66" s="4" t="s">
        <v>240</v>
      </c>
      <c r="B66" s="4" t="s">
        <v>557</v>
      </c>
      <c r="C66" s="4" t="s">
        <v>5</v>
      </c>
      <c r="D66" s="4" t="s">
        <v>558</v>
      </c>
      <c r="E66" s="4" t="s">
        <v>559</v>
      </c>
      <c r="F66" s="4" t="s">
        <v>560</v>
      </c>
      <c r="G66" s="4" t="s">
        <v>561</v>
      </c>
      <c r="H66" s="4" t="s">
        <v>223</v>
      </c>
    </row>
    <row r="67" customFormat="false" ht="15" hidden="false" customHeight="true" outlineLevel="0" collapsed="false">
      <c r="A67" s="23" t="s">
        <v>562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11" t="s">
        <v>563</v>
      </c>
      <c r="B68" s="12" t="s">
        <v>564</v>
      </c>
      <c r="C68" s="11" t="s">
        <v>565</v>
      </c>
      <c r="D68" s="13" t="n">
        <v>1</v>
      </c>
      <c r="E68" s="37" t="n">
        <f aca="false">ROUND(D68*8/$B$64,4)</f>
        <v>2.6667</v>
      </c>
      <c r="F68" s="21" t="n">
        <f aca="false">'MANO DE OBRA 2026'!$C$16</f>
        <v>28.95</v>
      </c>
      <c r="G68" s="14" t="n">
        <f aca="false">ROUND(E68*F68,2)</f>
        <v>77.2</v>
      </c>
      <c r="H68" s="15" t="s">
        <v>566</v>
      </c>
    </row>
    <row r="69" customFormat="false" ht="15" hidden="false" customHeight="false" outlineLevel="0" collapsed="false">
      <c r="A69" s="11" t="s">
        <v>567</v>
      </c>
      <c r="B69" s="12" t="s">
        <v>568</v>
      </c>
      <c r="C69" s="11" t="s">
        <v>565</v>
      </c>
      <c r="D69" s="13" t="n">
        <v>0.5</v>
      </c>
      <c r="E69" s="37" t="n">
        <f aca="false">ROUND(D69*8/$B$64,4)</f>
        <v>1.3333</v>
      </c>
      <c r="F69" s="21" t="n">
        <f aca="false">'MANO DE OBRA 2026'!$E$16</f>
        <v>20.54</v>
      </c>
      <c r="G69" s="14" t="n">
        <f aca="false">ROUND(E69*F69,2)</f>
        <v>27.39</v>
      </c>
      <c r="H69" s="15" t="s">
        <v>566</v>
      </c>
    </row>
    <row r="70" customFormat="false" ht="15" hidden="false" customHeight="false" outlineLevel="0" collapsed="false">
      <c r="A70" s="22"/>
      <c r="B70" s="23" t="s">
        <v>569</v>
      </c>
      <c r="C70" s="22"/>
      <c r="D70" s="22"/>
      <c r="E70" s="22"/>
      <c r="F70" s="22"/>
      <c r="G70" s="28" t="n">
        <f aca="false">SUM(G68:G69)</f>
        <v>104.59</v>
      </c>
      <c r="H70" s="22"/>
    </row>
    <row r="71" customFormat="false" ht="15" hidden="false" customHeight="true" outlineLevel="0" collapsed="false">
      <c r="A71" s="23" t="s">
        <v>570</v>
      </c>
      <c r="B71" s="23"/>
      <c r="C71" s="23"/>
      <c r="D71" s="23"/>
      <c r="E71" s="23"/>
      <c r="F71" s="23"/>
      <c r="G71" s="23"/>
      <c r="H71" s="23"/>
    </row>
    <row r="72" customFormat="false" ht="24" hidden="false" customHeight="true" outlineLevel="0" collapsed="false">
      <c r="A72" s="11" t="s">
        <v>531</v>
      </c>
      <c r="B72" s="12" t="s">
        <v>532</v>
      </c>
      <c r="C72" s="11" t="s">
        <v>20</v>
      </c>
      <c r="D72" s="12"/>
      <c r="E72" s="38" t="n">
        <v>1</v>
      </c>
      <c r="F72" s="14" t="n">
        <f aca="false">'PRECIOS DE INSUMOS'!$H$64</f>
        <v>5.48</v>
      </c>
      <c r="G72" s="14" t="n">
        <f aca="false">ROUND(E72*F72,2)</f>
        <v>5.48</v>
      </c>
      <c r="H72" s="15" t="s">
        <v>584</v>
      </c>
    </row>
    <row r="73" customFormat="false" ht="15" hidden="false" customHeight="true" outlineLevel="0" collapsed="false">
      <c r="A73" s="11" t="s">
        <v>451</v>
      </c>
      <c r="B73" s="12" t="s">
        <v>452</v>
      </c>
      <c r="C73" s="11" t="s">
        <v>20</v>
      </c>
      <c r="D73" s="12"/>
      <c r="E73" s="38" t="n">
        <v>0.25</v>
      </c>
      <c r="F73" s="14" t="n">
        <f aca="false">'PRECIOS DE INSUMOS'!$H$48</f>
        <v>2.46</v>
      </c>
      <c r="G73" s="14" t="n">
        <f aca="false">ROUND(E73*F73,2)</f>
        <v>0.62</v>
      </c>
      <c r="H73" s="15" t="s">
        <v>589</v>
      </c>
    </row>
    <row r="74" customFormat="false" ht="15" hidden="false" customHeight="false" outlineLevel="0" collapsed="false">
      <c r="A74" s="22"/>
      <c r="B74" s="23" t="s">
        <v>573</v>
      </c>
      <c r="C74" s="22"/>
      <c r="D74" s="22"/>
      <c r="E74" s="22"/>
      <c r="F74" s="22"/>
      <c r="G74" s="28" t="n">
        <f aca="false">SUM(G72:G73)</f>
        <v>6.1</v>
      </c>
      <c r="H74" s="22"/>
    </row>
    <row r="75" customFormat="false" ht="15" hidden="false" customHeight="true" outlineLevel="0" collapsed="false">
      <c r="A75" s="23" t="s">
        <v>574</v>
      </c>
      <c r="B75" s="23"/>
      <c r="C75" s="23"/>
      <c r="D75" s="23"/>
      <c r="E75" s="23"/>
      <c r="F75" s="23"/>
      <c r="G75" s="23"/>
      <c r="H75" s="23"/>
    </row>
    <row r="76" customFormat="false" ht="15" hidden="false" customHeight="false" outlineLevel="0" collapsed="false">
      <c r="A76" s="11" t="s">
        <v>575</v>
      </c>
      <c r="B76" s="12" t="s">
        <v>576</v>
      </c>
      <c r="C76" s="11" t="s">
        <v>577</v>
      </c>
      <c r="D76" s="12"/>
      <c r="E76" s="13" t="n">
        <v>3</v>
      </c>
      <c r="F76" s="14" t="n">
        <f aca="false">G70</f>
        <v>104.59</v>
      </c>
      <c r="G76" s="14" t="n">
        <f aca="false">ROUND(E76/100*F76,2)</f>
        <v>3.14</v>
      </c>
      <c r="H76" s="15" t="s">
        <v>578</v>
      </c>
    </row>
    <row r="77" customFormat="false" ht="15" hidden="false" customHeight="false" outlineLevel="0" collapsed="false">
      <c r="A77" s="11" t="s">
        <v>461</v>
      </c>
      <c r="B77" s="12" t="s">
        <v>462</v>
      </c>
      <c r="C77" s="11" t="s">
        <v>463</v>
      </c>
      <c r="D77" s="12"/>
      <c r="E77" s="38" t="n">
        <v>0.5</v>
      </c>
      <c r="F77" s="14" t="n">
        <f aca="false">'PRECIOS DE INSUMOS'!$H$50</f>
        <v>5.83</v>
      </c>
      <c r="G77" s="14" t="n">
        <f aca="false">ROUND(E77*F77,2)</f>
        <v>2.92</v>
      </c>
      <c r="H77" s="15" t="s">
        <v>593</v>
      </c>
    </row>
    <row r="78" customFormat="false" ht="15" hidden="false" customHeight="false" outlineLevel="0" collapsed="false">
      <c r="A78" s="22"/>
      <c r="B78" s="23" t="s">
        <v>579</v>
      </c>
      <c r="C78" s="22"/>
      <c r="D78" s="22"/>
      <c r="E78" s="22"/>
      <c r="F78" s="22"/>
      <c r="G78" s="28" t="n">
        <f aca="false">SUM(G76:G77)</f>
        <v>6.06</v>
      </c>
      <c r="H78" s="22"/>
    </row>
    <row r="79" customFormat="false" ht="15" hidden="false" customHeight="false" outlineLevel="0" collapsed="false">
      <c r="A79" s="16" t="s">
        <v>586</v>
      </c>
      <c r="B79" s="16"/>
      <c r="C79" s="16"/>
      <c r="D79" s="16"/>
      <c r="E79" s="16"/>
      <c r="F79" s="16"/>
      <c r="G79" s="17" t="n">
        <f aca="false">G70+G74+G78</f>
        <v>116.75</v>
      </c>
      <c r="H79" s="18"/>
    </row>
  </sheetData>
  <mergeCells count="30">
    <mergeCell ref="A1:H1"/>
    <mergeCell ref="A2:H2"/>
    <mergeCell ref="A3:H3"/>
    <mergeCell ref="A5:H5"/>
    <mergeCell ref="A6:H6"/>
    <mergeCell ref="A8:H8"/>
    <mergeCell ref="C10:H10"/>
    <mergeCell ref="A12:H12"/>
    <mergeCell ref="A16:H16"/>
    <mergeCell ref="A20:H20"/>
    <mergeCell ref="A23:F23"/>
    <mergeCell ref="A26:H26"/>
    <mergeCell ref="C28:H28"/>
    <mergeCell ref="A30:H30"/>
    <mergeCell ref="A34:H34"/>
    <mergeCell ref="A38:H38"/>
    <mergeCell ref="A41:F41"/>
    <mergeCell ref="A44:H44"/>
    <mergeCell ref="C46:H46"/>
    <mergeCell ref="A48:H48"/>
    <mergeCell ref="A52:H52"/>
    <mergeCell ref="A56:H56"/>
    <mergeCell ref="A59:F59"/>
    <mergeCell ref="A60:H60"/>
    <mergeCell ref="A63:H63"/>
    <mergeCell ref="C65:H65"/>
    <mergeCell ref="A67:H67"/>
    <mergeCell ref="A71:H71"/>
    <mergeCell ref="A75:H75"/>
    <mergeCell ref="A79:F7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594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595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32" t="n">
        <v>20</v>
      </c>
      <c r="C8" s="20" t="s">
        <v>552</v>
      </c>
      <c r="D8" s="33" t="n">
        <f aca="false">SUM(E12:E13)</f>
        <v>0.6</v>
      </c>
      <c r="E8" s="20" t="s">
        <v>553</v>
      </c>
      <c r="F8" s="33" t="n">
        <f aca="false">SUMIF(C20:C20,"hm",E20:E20)</f>
        <v>0</v>
      </c>
      <c r="G8" s="20" t="s">
        <v>554</v>
      </c>
      <c r="H8" s="34" t="n">
        <f aca="false">G22</f>
        <v>25.61</v>
      </c>
    </row>
    <row r="9" customFormat="false" ht="15" hidden="false" customHeight="true" outlineLevel="0" collapsed="false">
      <c r="A9" s="23" t="s">
        <v>555</v>
      </c>
      <c r="B9" s="35" t="n">
        <v>4.64</v>
      </c>
      <c r="C9" s="36" t="s">
        <v>596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0.4</v>
      </c>
      <c r="F12" s="21" t="n">
        <f aca="false">'MANO DE OBRA 2026'!$C$16</f>
        <v>28.95</v>
      </c>
      <c r="G12" s="14" t="n">
        <f aca="false">ROUND(E12*F12,2)</f>
        <v>11.58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0.5</v>
      </c>
      <c r="E13" s="37" t="n">
        <f aca="false">ROUND(D13*8/$B$8,4)</f>
        <v>0.2</v>
      </c>
      <c r="F13" s="21" t="n">
        <f aca="false">'MANO DE OBRA 2026'!$E$16</f>
        <v>20.54</v>
      </c>
      <c r="G13" s="14" t="n">
        <f aca="false">ROUND(E13*F13,2)</f>
        <v>4.11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15.69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11" t="s">
        <v>258</v>
      </c>
      <c r="B16" s="12" t="s">
        <v>259</v>
      </c>
      <c r="C16" s="11" t="s">
        <v>16</v>
      </c>
      <c r="D16" s="12"/>
      <c r="E16" s="38" t="n">
        <v>1.05</v>
      </c>
      <c r="F16" s="14" t="n">
        <f aca="false">'PRECIOS DE INSUMOS'!$H$8</f>
        <v>8.8</v>
      </c>
      <c r="G16" s="14" t="n">
        <f aca="false">ROUND(E16*F16,2)</f>
        <v>9.24</v>
      </c>
      <c r="H16" s="15" t="s">
        <v>571</v>
      </c>
    </row>
    <row r="17" customFormat="false" ht="15" hidden="false" customHeight="true" outlineLevel="0" collapsed="false">
      <c r="A17" s="11" t="s">
        <v>445</v>
      </c>
      <c r="B17" s="12" t="s">
        <v>446</v>
      </c>
      <c r="C17" s="11" t="s">
        <v>447</v>
      </c>
      <c r="D17" s="12"/>
      <c r="E17" s="38" t="n">
        <v>0.001</v>
      </c>
      <c r="F17" s="14" t="n">
        <f aca="false">'PRECIOS DE INSUMOS'!$H$47</f>
        <v>209.83</v>
      </c>
      <c r="G17" s="14" t="n">
        <f aca="false">ROUND(E17*F17,2)</f>
        <v>0.21</v>
      </c>
      <c r="H17" s="15" t="s">
        <v>597</v>
      </c>
    </row>
    <row r="18" customFormat="false" ht="15" hidden="false" customHeight="false" outlineLevel="0" collapsed="false">
      <c r="A18" s="22"/>
      <c r="B18" s="23" t="s">
        <v>573</v>
      </c>
      <c r="C18" s="22"/>
      <c r="D18" s="22"/>
      <c r="E18" s="22"/>
      <c r="F18" s="22"/>
      <c r="G18" s="28" t="n">
        <f aca="false">SUM(G16:G17)</f>
        <v>9.45</v>
      </c>
      <c r="H18" s="22"/>
    </row>
    <row r="19" customFormat="false" ht="15" hidden="false" customHeight="true" outlineLevel="0" collapsed="false">
      <c r="A19" s="23" t="s">
        <v>574</v>
      </c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11" t="s">
        <v>575</v>
      </c>
      <c r="B20" s="12" t="s">
        <v>576</v>
      </c>
      <c r="C20" s="11" t="s">
        <v>577</v>
      </c>
      <c r="D20" s="12"/>
      <c r="E20" s="13" t="n">
        <v>3</v>
      </c>
      <c r="F20" s="14" t="n">
        <f aca="false">G14</f>
        <v>15.69</v>
      </c>
      <c r="G20" s="14" t="n">
        <f aca="false">ROUND(E20/100*F20,2)</f>
        <v>0.47</v>
      </c>
      <c r="H20" s="15" t="s">
        <v>578</v>
      </c>
    </row>
    <row r="21" customFormat="false" ht="15" hidden="false" customHeight="false" outlineLevel="0" collapsed="false">
      <c r="A21" s="22"/>
      <c r="B21" s="23" t="s">
        <v>579</v>
      </c>
      <c r="C21" s="22"/>
      <c r="D21" s="22"/>
      <c r="E21" s="22"/>
      <c r="F21" s="22"/>
      <c r="G21" s="28" t="n">
        <f aca="false">SUM(G20:G20)</f>
        <v>0.47</v>
      </c>
      <c r="H21" s="22"/>
    </row>
    <row r="22" customFormat="false" ht="15" hidden="false" customHeight="false" outlineLevel="0" collapsed="false">
      <c r="A22" s="16" t="s">
        <v>580</v>
      </c>
      <c r="B22" s="16"/>
      <c r="C22" s="16"/>
      <c r="D22" s="16"/>
      <c r="E22" s="16"/>
      <c r="F22" s="16"/>
      <c r="G22" s="17" t="n">
        <f aca="false">G14+G18+G21</f>
        <v>25.61</v>
      </c>
      <c r="H22" s="18"/>
    </row>
    <row r="23" customFormat="false" ht="25.5" hidden="false" customHeight="true" outlineLevel="0" collapsed="false">
      <c r="A23" s="31" t="s">
        <v>598</v>
      </c>
      <c r="B23" s="31"/>
      <c r="C23" s="31"/>
      <c r="D23" s="31"/>
      <c r="E23" s="31"/>
      <c r="F23" s="31"/>
      <c r="G23" s="31"/>
      <c r="H23" s="31"/>
    </row>
    <row r="26" customFormat="false" ht="30" hidden="false" customHeight="true" outlineLevel="0" collapsed="false">
      <c r="A26" s="6" t="s">
        <v>599</v>
      </c>
      <c r="B26" s="6"/>
      <c r="C26" s="6"/>
      <c r="D26" s="6"/>
      <c r="E26" s="6"/>
      <c r="F26" s="6"/>
      <c r="G26" s="6"/>
      <c r="H26" s="6"/>
    </row>
    <row r="27" customFormat="false" ht="25.5" hidden="false" customHeight="true" outlineLevel="0" collapsed="false">
      <c r="A27" s="23" t="s">
        <v>551</v>
      </c>
      <c r="B27" s="39" t="n">
        <v>3</v>
      </c>
      <c r="C27" s="20" t="s">
        <v>552</v>
      </c>
      <c r="D27" s="33" t="n">
        <f aca="false">SUM(E31:E32)</f>
        <v>4</v>
      </c>
      <c r="E27" s="20" t="s">
        <v>553</v>
      </c>
      <c r="F27" s="33" t="n">
        <f aca="false">SUMIF(C39:C40,"hm",E39:E40)</f>
        <v>0.5</v>
      </c>
      <c r="G27" s="20" t="s">
        <v>582</v>
      </c>
      <c r="H27" s="34" t="n">
        <f aca="false">G42</f>
        <v>118.56</v>
      </c>
    </row>
    <row r="28" customFormat="false" ht="15" hidden="false" customHeight="true" outlineLevel="0" collapsed="false">
      <c r="A28" s="23" t="s">
        <v>555</v>
      </c>
      <c r="B28" s="40" t="n">
        <v>2</v>
      </c>
      <c r="C28" s="36" t="s">
        <v>592</v>
      </c>
      <c r="D28" s="36"/>
      <c r="E28" s="36"/>
      <c r="F28" s="36"/>
      <c r="G28" s="36"/>
      <c r="H28" s="36"/>
    </row>
    <row r="29" customFormat="false" ht="15" hidden="false" customHeight="false" outlineLevel="0" collapsed="false">
      <c r="A29" s="4" t="s">
        <v>240</v>
      </c>
      <c r="B29" s="4" t="s">
        <v>557</v>
      </c>
      <c r="C29" s="4" t="s">
        <v>5</v>
      </c>
      <c r="D29" s="4" t="s">
        <v>558</v>
      </c>
      <c r="E29" s="4" t="s">
        <v>559</v>
      </c>
      <c r="F29" s="4" t="s">
        <v>560</v>
      </c>
      <c r="G29" s="4" t="s">
        <v>561</v>
      </c>
      <c r="H29" s="4" t="s">
        <v>223</v>
      </c>
    </row>
    <row r="30" customFormat="false" ht="15" hidden="false" customHeight="true" outlineLevel="0" collapsed="false">
      <c r="A30" s="23" t="s">
        <v>562</v>
      </c>
      <c r="B30" s="23"/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11" t="s">
        <v>563</v>
      </c>
      <c r="B31" s="12" t="s">
        <v>564</v>
      </c>
      <c r="C31" s="11" t="s">
        <v>565</v>
      </c>
      <c r="D31" s="13" t="n">
        <v>1</v>
      </c>
      <c r="E31" s="37" t="n">
        <f aca="false">ROUND(D31*8/$B$27,4)</f>
        <v>2.6667</v>
      </c>
      <c r="F31" s="21" t="n">
        <f aca="false">'MANO DE OBRA 2026'!$C$16</f>
        <v>28.95</v>
      </c>
      <c r="G31" s="14" t="n">
        <f aca="false">ROUND(E31*F31,2)</f>
        <v>77.2</v>
      </c>
      <c r="H31" s="15" t="s">
        <v>566</v>
      </c>
    </row>
    <row r="32" customFormat="false" ht="15" hidden="false" customHeight="false" outlineLevel="0" collapsed="false">
      <c r="A32" s="11" t="s">
        <v>567</v>
      </c>
      <c r="B32" s="12" t="s">
        <v>568</v>
      </c>
      <c r="C32" s="11" t="s">
        <v>565</v>
      </c>
      <c r="D32" s="13" t="n">
        <v>0.5</v>
      </c>
      <c r="E32" s="37" t="n">
        <f aca="false">ROUND(D32*8/$B$27,4)</f>
        <v>1.3333</v>
      </c>
      <c r="F32" s="21" t="n">
        <f aca="false">'MANO DE OBRA 2026'!$E$16</f>
        <v>20.54</v>
      </c>
      <c r="G32" s="14" t="n">
        <f aca="false">ROUND(E32*F32,2)</f>
        <v>27.39</v>
      </c>
      <c r="H32" s="15" t="s">
        <v>566</v>
      </c>
    </row>
    <row r="33" customFormat="false" ht="15" hidden="false" customHeight="false" outlineLevel="0" collapsed="false">
      <c r="A33" s="22"/>
      <c r="B33" s="23" t="s">
        <v>569</v>
      </c>
      <c r="C33" s="22"/>
      <c r="D33" s="22"/>
      <c r="E33" s="22"/>
      <c r="F33" s="22"/>
      <c r="G33" s="28" t="n">
        <f aca="false">SUM(G31:G32)</f>
        <v>104.59</v>
      </c>
      <c r="H33" s="22"/>
    </row>
    <row r="34" customFormat="false" ht="15" hidden="false" customHeight="true" outlineLevel="0" collapsed="false">
      <c r="A34" s="23" t="s">
        <v>570</v>
      </c>
      <c r="B34" s="23"/>
      <c r="C34" s="23"/>
      <c r="D34" s="23"/>
      <c r="E34" s="23"/>
      <c r="F34" s="23"/>
      <c r="G34" s="23"/>
      <c r="H34" s="23"/>
    </row>
    <row r="35" customFormat="false" ht="24" hidden="false" customHeight="true" outlineLevel="0" collapsed="false">
      <c r="A35" s="11" t="s">
        <v>535</v>
      </c>
      <c r="B35" s="12" t="s">
        <v>536</v>
      </c>
      <c r="C35" s="11" t="s">
        <v>20</v>
      </c>
      <c r="D35" s="12"/>
      <c r="E35" s="38" t="n">
        <v>1</v>
      </c>
      <c r="F35" s="14" t="n">
        <f aca="false">'PRECIOS DE INSUMOS'!$H$65</f>
        <v>7.29</v>
      </c>
      <c r="G35" s="14" t="n">
        <f aca="false">ROUND(E35*F35,2)</f>
        <v>7.29</v>
      </c>
      <c r="H35" s="15" t="s">
        <v>584</v>
      </c>
    </row>
    <row r="36" customFormat="false" ht="15" hidden="false" customHeight="true" outlineLevel="0" collapsed="false">
      <c r="A36" s="11" t="s">
        <v>451</v>
      </c>
      <c r="B36" s="12" t="s">
        <v>452</v>
      </c>
      <c r="C36" s="11" t="s">
        <v>20</v>
      </c>
      <c r="D36" s="12"/>
      <c r="E36" s="38" t="n">
        <v>0.25</v>
      </c>
      <c r="F36" s="14" t="n">
        <f aca="false">'PRECIOS DE INSUMOS'!$H$48</f>
        <v>2.46</v>
      </c>
      <c r="G36" s="14" t="n">
        <f aca="false">ROUND(E36*F36,2)</f>
        <v>0.62</v>
      </c>
      <c r="H36" s="15" t="s">
        <v>589</v>
      </c>
    </row>
    <row r="37" customFormat="false" ht="15" hidden="false" customHeight="false" outlineLevel="0" collapsed="false">
      <c r="A37" s="22"/>
      <c r="B37" s="23" t="s">
        <v>573</v>
      </c>
      <c r="C37" s="22"/>
      <c r="D37" s="22"/>
      <c r="E37" s="22"/>
      <c r="F37" s="22"/>
      <c r="G37" s="28" t="n">
        <f aca="false">SUM(G35:G36)</f>
        <v>7.91</v>
      </c>
      <c r="H37" s="22"/>
    </row>
    <row r="38" customFormat="false" ht="15" hidden="false" customHeight="true" outlineLevel="0" collapsed="false">
      <c r="A38" s="23" t="s">
        <v>574</v>
      </c>
      <c r="B38" s="23"/>
      <c r="C38" s="23"/>
      <c r="D38" s="23"/>
      <c r="E38" s="23"/>
      <c r="F38" s="23"/>
      <c r="G38" s="23"/>
      <c r="H38" s="23"/>
    </row>
    <row r="39" customFormat="false" ht="15" hidden="false" customHeight="false" outlineLevel="0" collapsed="false">
      <c r="A39" s="11" t="s">
        <v>575</v>
      </c>
      <c r="B39" s="12" t="s">
        <v>576</v>
      </c>
      <c r="C39" s="11" t="s">
        <v>577</v>
      </c>
      <c r="D39" s="12"/>
      <c r="E39" s="13" t="n">
        <v>3</v>
      </c>
      <c r="F39" s="14" t="n">
        <f aca="false">G33</f>
        <v>104.59</v>
      </c>
      <c r="G39" s="14" t="n">
        <f aca="false">ROUND(E39/100*F39,2)</f>
        <v>3.14</v>
      </c>
      <c r="H39" s="15" t="s">
        <v>578</v>
      </c>
    </row>
    <row r="40" customFormat="false" ht="15" hidden="false" customHeight="false" outlineLevel="0" collapsed="false">
      <c r="A40" s="11" t="s">
        <v>461</v>
      </c>
      <c r="B40" s="12" t="s">
        <v>462</v>
      </c>
      <c r="C40" s="11" t="s">
        <v>463</v>
      </c>
      <c r="D40" s="12"/>
      <c r="E40" s="38" t="n">
        <v>0.5</v>
      </c>
      <c r="F40" s="14" t="n">
        <f aca="false">'PRECIOS DE INSUMOS'!$H$50</f>
        <v>5.83</v>
      </c>
      <c r="G40" s="14" t="n">
        <f aca="false">ROUND(E40*F40,2)</f>
        <v>2.92</v>
      </c>
      <c r="H40" s="15" t="s">
        <v>593</v>
      </c>
    </row>
    <row r="41" customFormat="false" ht="15" hidden="false" customHeight="false" outlineLevel="0" collapsed="false">
      <c r="A41" s="22"/>
      <c r="B41" s="23" t="s">
        <v>579</v>
      </c>
      <c r="C41" s="22"/>
      <c r="D41" s="22"/>
      <c r="E41" s="22"/>
      <c r="F41" s="22"/>
      <c r="G41" s="28" t="n">
        <f aca="false">SUM(G39:G40)</f>
        <v>6.06</v>
      </c>
      <c r="H41" s="22"/>
    </row>
    <row r="42" customFormat="false" ht="15" hidden="false" customHeight="false" outlineLevel="0" collapsed="false">
      <c r="A42" s="16" t="s">
        <v>586</v>
      </c>
      <c r="B42" s="16"/>
      <c r="C42" s="16"/>
      <c r="D42" s="16"/>
      <c r="E42" s="16"/>
      <c r="F42" s="16"/>
      <c r="G42" s="17" t="n">
        <f aca="false">G33+G37+G41</f>
        <v>118.56</v>
      </c>
      <c r="H42" s="18"/>
    </row>
    <row r="45" customFormat="false" ht="30" hidden="false" customHeight="true" outlineLevel="0" collapsed="false">
      <c r="A45" s="6" t="s">
        <v>600</v>
      </c>
      <c r="B45" s="6"/>
      <c r="C45" s="6"/>
      <c r="D45" s="6"/>
      <c r="E45" s="6"/>
      <c r="F45" s="6"/>
      <c r="G45" s="6"/>
      <c r="H45" s="6"/>
    </row>
    <row r="46" customFormat="false" ht="25.5" hidden="false" customHeight="true" outlineLevel="0" collapsed="false">
      <c r="A46" s="23" t="s">
        <v>551</v>
      </c>
      <c r="B46" s="39" t="n">
        <v>8</v>
      </c>
      <c r="C46" s="20" t="s">
        <v>552</v>
      </c>
      <c r="D46" s="33" t="n">
        <f aca="false">SUM(E50:E51)</f>
        <v>1.5</v>
      </c>
      <c r="E46" s="20" t="s">
        <v>553</v>
      </c>
      <c r="F46" s="33" t="n">
        <f aca="false">SUMIF(C58:C58,"hm",E58:E58)</f>
        <v>0</v>
      </c>
      <c r="G46" s="20" t="s">
        <v>582</v>
      </c>
      <c r="H46" s="34" t="n">
        <f aca="false">G60</f>
        <v>121.98</v>
      </c>
    </row>
    <row r="47" customFormat="false" ht="15" hidden="false" customHeight="true" outlineLevel="0" collapsed="false">
      <c r="A47" s="23" t="s">
        <v>555</v>
      </c>
      <c r="B47" s="40" t="n">
        <v>2</v>
      </c>
      <c r="C47" s="36" t="s">
        <v>601</v>
      </c>
      <c r="D47" s="36"/>
      <c r="E47" s="36"/>
      <c r="F47" s="36"/>
      <c r="G47" s="36"/>
      <c r="H47" s="36"/>
    </row>
    <row r="48" customFormat="false" ht="15" hidden="false" customHeight="false" outlineLevel="0" collapsed="false">
      <c r="A48" s="4" t="s">
        <v>240</v>
      </c>
      <c r="B48" s="4" t="s">
        <v>557</v>
      </c>
      <c r="C48" s="4" t="s">
        <v>5</v>
      </c>
      <c r="D48" s="4" t="s">
        <v>558</v>
      </c>
      <c r="E48" s="4" t="s">
        <v>559</v>
      </c>
      <c r="F48" s="4" t="s">
        <v>560</v>
      </c>
      <c r="G48" s="4" t="s">
        <v>561</v>
      </c>
      <c r="H48" s="4" t="s">
        <v>223</v>
      </c>
    </row>
    <row r="49" customFormat="false" ht="15" hidden="false" customHeight="true" outlineLevel="0" collapsed="false">
      <c r="A49" s="23" t="s">
        <v>562</v>
      </c>
      <c r="B49" s="23"/>
      <c r="C49" s="23"/>
      <c r="D49" s="23"/>
      <c r="E49" s="23"/>
      <c r="F49" s="23"/>
      <c r="G49" s="23"/>
      <c r="H49" s="23"/>
    </row>
    <row r="50" customFormat="false" ht="15" hidden="false" customHeight="false" outlineLevel="0" collapsed="false">
      <c r="A50" s="11" t="s">
        <v>563</v>
      </c>
      <c r="B50" s="12" t="s">
        <v>564</v>
      </c>
      <c r="C50" s="11" t="s">
        <v>565</v>
      </c>
      <c r="D50" s="13" t="n">
        <v>1</v>
      </c>
      <c r="E50" s="37" t="n">
        <f aca="false">ROUND(D50*8/$B$46,4)</f>
        <v>1</v>
      </c>
      <c r="F50" s="21" t="n">
        <f aca="false">'MANO DE OBRA 2026'!$C$16</f>
        <v>28.95</v>
      </c>
      <c r="G50" s="14" t="n">
        <f aca="false">ROUND(E50*F50,2)</f>
        <v>28.95</v>
      </c>
      <c r="H50" s="15" t="s">
        <v>566</v>
      </c>
    </row>
    <row r="51" customFormat="false" ht="15" hidden="false" customHeight="false" outlineLevel="0" collapsed="false">
      <c r="A51" s="11" t="s">
        <v>567</v>
      </c>
      <c r="B51" s="12" t="s">
        <v>568</v>
      </c>
      <c r="C51" s="11" t="s">
        <v>565</v>
      </c>
      <c r="D51" s="13" t="n">
        <v>0.5</v>
      </c>
      <c r="E51" s="37" t="n">
        <f aca="false">ROUND(D51*8/$B$46,4)</f>
        <v>0.5</v>
      </c>
      <c r="F51" s="21" t="n">
        <f aca="false">'MANO DE OBRA 2026'!$E$16</f>
        <v>20.54</v>
      </c>
      <c r="G51" s="14" t="n">
        <f aca="false">ROUND(E51*F51,2)</f>
        <v>10.27</v>
      </c>
      <c r="H51" s="15" t="s">
        <v>566</v>
      </c>
    </row>
    <row r="52" customFormat="false" ht="15" hidden="false" customHeight="false" outlineLevel="0" collapsed="false">
      <c r="A52" s="22"/>
      <c r="B52" s="23" t="s">
        <v>569</v>
      </c>
      <c r="C52" s="22"/>
      <c r="D52" s="22"/>
      <c r="E52" s="22"/>
      <c r="F52" s="22"/>
      <c r="G52" s="28" t="n">
        <f aca="false">SUM(G50:G51)</f>
        <v>39.22</v>
      </c>
      <c r="H52" s="22"/>
    </row>
    <row r="53" customFormat="false" ht="15" hidden="false" customHeight="true" outlineLevel="0" collapsed="false">
      <c r="A53" s="23" t="s">
        <v>570</v>
      </c>
      <c r="B53" s="23"/>
      <c r="C53" s="23"/>
      <c r="D53" s="23"/>
      <c r="E53" s="23"/>
      <c r="F53" s="23"/>
      <c r="G53" s="23"/>
      <c r="H53" s="23"/>
    </row>
    <row r="54" customFormat="false" ht="15" hidden="false" customHeight="true" outlineLevel="0" collapsed="false">
      <c r="A54" s="11" t="s">
        <v>373</v>
      </c>
      <c r="B54" s="12" t="s">
        <v>374</v>
      </c>
      <c r="C54" s="11" t="s">
        <v>20</v>
      </c>
      <c r="D54" s="12"/>
      <c r="E54" s="38" t="n">
        <v>1</v>
      </c>
      <c r="F54" s="14" t="n">
        <f aca="false">'PRECIOS DE INSUMOS'!$H$32</f>
        <v>81.27</v>
      </c>
      <c r="G54" s="14" t="n">
        <f aca="false">ROUND(E54*F54,2)</f>
        <v>81.27</v>
      </c>
      <c r="H54" s="15" t="s">
        <v>584</v>
      </c>
    </row>
    <row r="55" customFormat="false" ht="15" hidden="false" customHeight="true" outlineLevel="0" collapsed="false">
      <c r="A55" s="11" t="s">
        <v>451</v>
      </c>
      <c r="B55" s="12" t="s">
        <v>452</v>
      </c>
      <c r="C55" s="11" t="s">
        <v>20</v>
      </c>
      <c r="D55" s="12"/>
      <c r="E55" s="38" t="n">
        <v>0.125</v>
      </c>
      <c r="F55" s="14" t="n">
        <f aca="false">'PRECIOS DE INSUMOS'!$H$48</f>
        <v>2.46</v>
      </c>
      <c r="G55" s="14" t="n">
        <f aca="false">ROUND(E55*F55,2)</f>
        <v>0.31</v>
      </c>
      <c r="H55" s="15" t="s">
        <v>585</v>
      </c>
    </row>
    <row r="56" customFormat="false" ht="15" hidden="false" customHeight="false" outlineLevel="0" collapsed="false">
      <c r="A56" s="22"/>
      <c r="B56" s="23" t="s">
        <v>573</v>
      </c>
      <c r="C56" s="22"/>
      <c r="D56" s="22"/>
      <c r="E56" s="22"/>
      <c r="F56" s="22"/>
      <c r="G56" s="28" t="n">
        <f aca="false">SUM(G54:G55)</f>
        <v>81.58</v>
      </c>
      <c r="H56" s="22"/>
    </row>
    <row r="57" customFormat="false" ht="15" hidden="false" customHeight="true" outlineLevel="0" collapsed="false">
      <c r="A57" s="23" t="s">
        <v>574</v>
      </c>
      <c r="B57" s="23"/>
      <c r="C57" s="23"/>
      <c r="D57" s="23"/>
      <c r="E57" s="23"/>
      <c r="F57" s="23"/>
      <c r="G57" s="23"/>
      <c r="H57" s="23"/>
    </row>
    <row r="58" customFormat="false" ht="15" hidden="false" customHeight="false" outlineLevel="0" collapsed="false">
      <c r="A58" s="11" t="s">
        <v>575</v>
      </c>
      <c r="B58" s="12" t="s">
        <v>576</v>
      </c>
      <c r="C58" s="11" t="s">
        <v>577</v>
      </c>
      <c r="D58" s="12"/>
      <c r="E58" s="13" t="n">
        <v>3</v>
      </c>
      <c r="F58" s="14" t="n">
        <f aca="false">G52</f>
        <v>39.22</v>
      </c>
      <c r="G58" s="14" t="n">
        <f aca="false">ROUND(E58/100*F58,2)</f>
        <v>1.18</v>
      </c>
      <c r="H58" s="15" t="s">
        <v>578</v>
      </c>
    </row>
    <row r="59" customFormat="false" ht="15" hidden="false" customHeight="false" outlineLevel="0" collapsed="false">
      <c r="A59" s="22"/>
      <c r="B59" s="23" t="s">
        <v>579</v>
      </c>
      <c r="C59" s="22"/>
      <c r="D59" s="22"/>
      <c r="E59" s="22"/>
      <c r="F59" s="22"/>
      <c r="G59" s="28" t="n">
        <f aca="false">SUM(G58:G58)</f>
        <v>1.18</v>
      </c>
      <c r="H59" s="22"/>
    </row>
    <row r="60" customFormat="false" ht="15" hidden="false" customHeight="false" outlineLevel="0" collapsed="false">
      <c r="A60" s="16" t="s">
        <v>586</v>
      </c>
      <c r="B60" s="16"/>
      <c r="C60" s="16"/>
      <c r="D60" s="16"/>
      <c r="E60" s="16"/>
      <c r="F60" s="16"/>
      <c r="G60" s="17" t="n">
        <f aca="false">G52+G56+G59</f>
        <v>121.98</v>
      </c>
      <c r="H60" s="18"/>
    </row>
    <row r="63" customFormat="false" ht="30" hidden="false" customHeight="true" outlineLevel="0" collapsed="false">
      <c r="A63" s="6" t="s">
        <v>602</v>
      </c>
      <c r="B63" s="6"/>
      <c r="C63" s="6"/>
      <c r="D63" s="6"/>
      <c r="E63" s="6"/>
      <c r="F63" s="6"/>
      <c r="G63" s="6"/>
      <c r="H63" s="6"/>
    </row>
    <row r="64" customFormat="false" ht="25.5" hidden="false" customHeight="true" outlineLevel="0" collapsed="false">
      <c r="A64" s="23" t="s">
        <v>551</v>
      </c>
      <c r="B64" s="39" t="n">
        <v>20</v>
      </c>
      <c r="C64" s="20" t="s">
        <v>552</v>
      </c>
      <c r="D64" s="33" t="n">
        <f aca="false">SUM(E68:E69)</f>
        <v>0.6</v>
      </c>
      <c r="E64" s="20" t="s">
        <v>553</v>
      </c>
      <c r="F64" s="33" t="n">
        <f aca="false">SUMIF(C77:C77,"hm",E77:E77)</f>
        <v>0</v>
      </c>
      <c r="G64" s="20" t="s">
        <v>582</v>
      </c>
      <c r="H64" s="34" t="n">
        <f aca="false">G79</f>
        <v>24.64</v>
      </c>
    </row>
    <row r="65" customFormat="false" ht="15" hidden="false" customHeight="true" outlineLevel="0" collapsed="false">
      <c r="A65" s="23" t="s">
        <v>555</v>
      </c>
      <c r="B65" s="40" t="n">
        <v>2</v>
      </c>
      <c r="C65" s="36" t="s">
        <v>603</v>
      </c>
      <c r="D65" s="36"/>
      <c r="E65" s="36"/>
      <c r="F65" s="36"/>
      <c r="G65" s="36"/>
      <c r="H65" s="36"/>
    </row>
    <row r="66" customFormat="false" ht="15" hidden="false" customHeight="false" outlineLevel="0" collapsed="false">
      <c r="A66" s="4" t="s">
        <v>240</v>
      </c>
      <c r="B66" s="4" t="s">
        <v>557</v>
      </c>
      <c r="C66" s="4" t="s">
        <v>5</v>
      </c>
      <c r="D66" s="4" t="s">
        <v>558</v>
      </c>
      <c r="E66" s="4" t="s">
        <v>559</v>
      </c>
      <c r="F66" s="4" t="s">
        <v>560</v>
      </c>
      <c r="G66" s="4" t="s">
        <v>561</v>
      </c>
      <c r="H66" s="4" t="s">
        <v>223</v>
      </c>
    </row>
    <row r="67" customFormat="false" ht="15" hidden="false" customHeight="true" outlineLevel="0" collapsed="false">
      <c r="A67" s="23" t="s">
        <v>562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11" t="s">
        <v>563</v>
      </c>
      <c r="B68" s="12" t="s">
        <v>564</v>
      </c>
      <c r="C68" s="11" t="s">
        <v>565</v>
      </c>
      <c r="D68" s="13" t="n">
        <v>1</v>
      </c>
      <c r="E68" s="37" t="n">
        <f aca="false">ROUND(D68*8/$B$64,4)</f>
        <v>0.4</v>
      </c>
      <c r="F68" s="21" t="n">
        <f aca="false">'MANO DE OBRA 2026'!$C$16</f>
        <v>28.95</v>
      </c>
      <c r="G68" s="14" t="n">
        <f aca="false">ROUND(E68*F68,2)</f>
        <v>11.58</v>
      </c>
      <c r="H68" s="15" t="s">
        <v>566</v>
      </c>
    </row>
    <row r="69" customFormat="false" ht="15" hidden="false" customHeight="false" outlineLevel="0" collapsed="false">
      <c r="A69" s="11" t="s">
        <v>567</v>
      </c>
      <c r="B69" s="12" t="s">
        <v>568</v>
      </c>
      <c r="C69" s="11" t="s">
        <v>565</v>
      </c>
      <c r="D69" s="13" t="n">
        <v>0.5</v>
      </c>
      <c r="E69" s="37" t="n">
        <f aca="false">ROUND(D69*8/$B$64,4)</f>
        <v>0.2</v>
      </c>
      <c r="F69" s="21" t="n">
        <f aca="false">'MANO DE OBRA 2026'!$E$16</f>
        <v>20.54</v>
      </c>
      <c r="G69" s="14" t="n">
        <f aca="false">ROUND(E69*F69,2)</f>
        <v>4.11</v>
      </c>
      <c r="H69" s="15" t="s">
        <v>566</v>
      </c>
    </row>
    <row r="70" customFormat="false" ht="15" hidden="false" customHeight="false" outlineLevel="0" collapsed="false">
      <c r="A70" s="22"/>
      <c r="B70" s="23" t="s">
        <v>569</v>
      </c>
      <c r="C70" s="22"/>
      <c r="D70" s="22"/>
      <c r="E70" s="22"/>
      <c r="F70" s="22"/>
      <c r="G70" s="28" t="n">
        <f aca="false">SUM(G68:G69)</f>
        <v>15.69</v>
      </c>
      <c r="H70" s="22"/>
    </row>
    <row r="71" customFormat="false" ht="15" hidden="false" customHeight="true" outlineLevel="0" collapsed="false">
      <c r="A71" s="23" t="s">
        <v>570</v>
      </c>
      <c r="B71" s="23"/>
      <c r="C71" s="23"/>
      <c r="D71" s="23"/>
      <c r="E71" s="23"/>
      <c r="F71" s="23"/>
      <c r="G71" s="23"/>
      <c r="H71" s="23"/>
    </row>
    <row r="72" customFormat="false" ht="15" hidden="false" customHeight="true" outlineLevel="0" collapsed="false">
      <c r="A72" s="11" t="s">
        <v>312</v>
      </c>
      <c r="B72" s="12" t="s">
        <v>313</v>
      </c>
      <c r="C72" s="11" t="s">
        <v>20</v>
      </c>
      <c r="D72" s="12"/>
      <c r="E72" s="38" t="n">
        <v>1</v>
      </c>
      <c r="F72" s="14" t="n">
        <f aca="false">'PRECIOS DE INSUMOS'!$H$19</f>
        <v>7.12</v>
      </c>
      <c r="G72" s="14" t="n">
        <f aca="false">ROUND(E72*F72,2)</f>
        <v>7.12</v>
      </c>
      <c r="H72" s="15" t="s">
        <v>584</v>
      </c>
    </row>
    <row r="73" customFormat="false" ht="15" hidden="false" customHeight="true" outlineLevel="0" collapsed="false">
      <c r="A73" s="11" t="s">
        <v>445</v>
      </c>
      <c r="B73" s="12" t="s">
        <v>446</v>
      </c>
      <c r="C73" s="11" t="s">
        <v>447</v>
      </c>
      <c r="D73" s="12"/>
      <c r="E73" s="38" t="n">
        <v>0.005</v>
      </c>
      <c r="F73" s="14" t="n">
        <f aca="false">'PRECIOS DE INSUMOS'!$H$47</f>
        <v>209.83</v>
      </c>
      <c r="G73" s="14" t="n">
        <f aca="false">ROUND(E73*F73,2)</f>
        <v>1.05</v>
      </c>
      <c r="H73" s="15" t="s">
        <v>604</v>
      </c>
    </row>
    <row r="74" customFormat="false" ht="15" hidden="false" customHeight="true" outlineLevel="0" collapsed="false">
      <c r="A74" s="11" t="s">
        <v>451</v>
      </c>
      <c r="B74" s="12" t="s">
        <v>452</v>
      </c>
      <c r="C74" s="11" t="s">
        <v>20</v>
      </c>
      <c r="D74" s="12"/>
      <c r="E74" s="38" t="n">
        <v>0.125</v>
      </c>
      <c r="F74" s="14" t="n">
        <f aca="false">'PRECIOS DE INSUMOS'!$H$48</f>
        <v>2.46</v>
      </c>
      <c r="G74" s="14" t="n">
        <f aca="false">ROUND(E74*F74,2)</f>
        <v>0.31</v>
      </c>
      <c r="H74" s="15" t="s">
        <v>585</v>
      </c>
    </row>
    <row r="75" customFormat="false" ht="15" hidden="false" customHeight="false" outlineLevel="0" collapsed="false">
      <c r="A75" s="22"/>
      <c r="B75" s="23" t="s">
        <v>573</v>
      </c>
      <c r="C75" s="22"/>
      <c r="D75" s="22"/>
      <c r="E75" s="22"/>
      <c r="F75" s="22"/>
      <c r="G75" s="28" t="n">
        <f aca="false">SUM(G72:G74)</f>
        <v>8.48</v>
      </c>
      <c r="H75" s="22"/>
    </row>
    <row r="76" customFormat="false" ht="15" hidden="false" customHeight="true" outlineLevel="0" collapsed="false">
      <c r="A76" s="23" t="s">
        <v>574</v>
      </c>
      <c r="B76" s="23"/>
      <c r="C76" s="23"/>
      <c r="D76" s="23"/>
      <c r="E76" s="23"/>
      <c r="F76" s="23"/>
      <c r="G76" s="23"/>
      <c r="H76" s="23"/>
    </row>
    <row r="77" customFormat="false" ht="15" hidden="false" customHeight="false" outlineLevel="0" collapsed="false">
      <c r="A77" s="11" t="s">
        <v>575</v>
      </c>
      <c r="B77" s="12" t="s">
        <v>576</v>
      </c>
      <c r="C77" s="11" t="s">
        <v>577</v>
      </c>
      <c r="D77" s="12"/>
      <c r="E77" s="13" t="n">
        <v>3</v>
      </c>
      <c r="F77" s="14" t="n">
        <f aca="false">G70</f>
        <v>15.69</v>
      </c>
      <c r="G77" s="14" t="n">
        <f aca="false">ROUND(E77/100*F77,2)</f>
        <v>0.47</v>
      </c>
      <c r="H77" s="15" t="s">
        <v>578</v>
      </c>
    </row>
    <row r="78" customFormat="false" ht="15" hidden="false" customHeight="false" outlineLevel="0" collapsed="false">
      <c r="A78" s="22"/>
      <c r="B78" s="23" t="s">
        <v>579</v>
      </c>
      <c r="C78" s="22"/>
      <c r="D78" s="22"/>
      <c r="E78" s="22"/>
      <c r="F78" s="22"/>
      <c r="G78" s="28" t="n">
        <f aca="false">SUM(G77:G77)</f>
        <v>0.47</v>
      </c>
      <c r="H78" s="22"/>
    </row>
    <row r="79" customFormat="false" ht="15" hidden="false" customHeight="false" outlineLevel="0" collapsed="false">
      <c r="A79" s="16" t="s">
        <v>586</v>
      </c>
      <c r="B79" s="16"/>
      <c r="C79" s="16"/>
      <c r="D79" s="16"/>
      <c r="E79" s="16"/>
      <c r="F79" s="16"/>
      <c r="G79" s="17" t="n">
        <f aca="false">G70+G75+G78</f>
        <v>24.64</v>
      </c>
      <c r="H79" s="18"/>
    </row>
    <row r="82" customFormat="false" ht="30" hidden="false" customHeight="true" outlineLevel="0" collapsed="false">
      <c r="A82" s="6" t="s">
        <v>605</v>
      </c>
      <c r="B82" s="6"/>
      <c r="C82" s="6"/>
      <c r="D82" s="6"/>
      <c r="E82" s="6"/>
      <c r="F82" s="6"/>
      <c r="G82" s="6"/>
      <c r="H82" s="6"/>
    </row>
    <row r="83" customFormat="false" ht="25.5" hidden="false" customHeight="true" outlineLevel="0" collapsed="false">
      <c r="A83" s="23" t="s">
        <v>551</v>
      </c>
      <c r="B83" s="39" t="n">
        <v>20</v>
      </c>
      <c r="C83" s="20" t="s">
        <v>552</v>
      </c>
      <c r="D83" s="33" t="n">
        <f aca="false">SUM(E87:E88)</f>
        <v>0.6</v>
      </c>
      <c r="E83" s="20" t="s">
        <v>553</v>
      </c>
      <c r="F83" s="33" t="n">
        <f aca="false">SUMIF(C95:C95,"hm",E95:E95)</f>
        <v>0</v>
      </c>
      <c r="G83" s="20" t="s">
        <v>582</v>
      </c>
      <c r="H83" s="34" t="n">
        <f aca="false">G97</f>
        <v>32.45</v>
      </c>
    </row>
    <row r="84" customFormat="false" ht="15" hidden="false" customHeight="true" outlineLevel="0" collapsed="false">
      <c r="A84" s="23" t="s">
        <v>555</v>
      </c>
      <c r="B84" s="40" t="n">
        <v>2</v>
      </c>
      <c r="C84" s="36" t="s">
        <v>603</v>
      </c>
      <c r="D84" s="36"/>
      <c r="E84" s="36"/>
      <c r="F84" s="36"/>
      <c r="G84" s="36"/>
      <c r="H84" s="36"/>
    </row>
    <row r="85" customFormat="false" ht="15" hidden="false" customHeight="false" outlineLevel="0" collapsed="false">
      <c r="A85" s="4" t="s">
        <v>240</v>
      </c>
      <c r="B85" s="4" t="s">
        <v>557</v>
      </c>
      <c r="C85" s="4" t="s">
        <v>5</v>
      </c>
      <c r="D85" s="4" t="s">
        <v>558</v>
      </c>
      <c r="E85" s="4" t="s">
        <v>559</v>
      </c>
      <c r="F85" s="4" t="s">
        <v>560</v>
      </c>
      <c r="G85" s="4" t="s">
        <v>561</v>
      </c>
      <c r="H85" s="4" t="s">
        <v>223</v>
      </c>
    </row>
    <row r="86" customFormat="false" ht="15" hidden="false" customHeight="true" outlineLevel="0" collapsed="false">
      <c r="A86" s="23" t="s">
        <v>562</v>
      </c>
      <c r="B86" s="23"/>
      <c r="C86" s="23"/>
      <c r="D86" s="23"/>
      <c r="E86" s="23"/>
      <c r="F86" s="23"/>
      <c r="G86" s="23"/>
      <c r="H86" s="23"/>
    </row>
    <row r="87" customFormat="false" ht="15" hidden="false" customHeight="false" outlineLevel="0" collapsed="false">
      <c r="A87" s="11" t="s">
        <v>563</v>
      </c>
      <c r="B87" s="12" t="s">
        <v>564</v>
      </c>
      <c r="C87" s="11" t="s">
        <v>565</v>
      </c>
      <c r="D87" s="13" t="n">
        <v>1</v>
      </c>
      <c r="E87" s="37" t="n">
        <f aca="false">ROUND(D87*8/$B$83,4)</f>
        <v>0.4</v>
      </c>
      <c r="F87" s="21" t="n">
        <f aca="false">'MANO DE OBRA 2026'!$C$16</f>
        <v>28.95</v>
      </c>
      <c r="G87" s="14" t="n">
        <f aca="false">ROUND(E87*F87,2)</f>
        <v>11.58</v>
      </c>
      <c r="H87" s="15" t="s">
        <v>566</v>
      </c>
    </row>
    <row r="88" customFormat="false" ht="15" hidden="false" customHeight="false" outlineLevel="0" collapsed="false">
      <c r="A88" s="11" t="s">
        <v>567</v>
      </c>
      <c r="B88" s="12" t="s">
        <v>568</v>
      </c>
      <c r="C88" s="11" t="s">
        <v>565</v>
      </c>
      <c r="D88" s="13" t="n">
        <v>0.5</v>
      </c>
      <c r="E88" s="37" t="n">
        <f aca="false">ROUND(D88*8/$B$83,4)</f>
        <v>0.2</v>
      </c>
      <c r="F88" s="21" t="n">
        <f aca="false">'MANO DE OBRA 2026'!$E$16</f>
        <v>20.54</v>
      </c>
      <c r="G88" s="14" t="n">
        <f aca="false">ROUND(E88*F88,2)</f>
        <v>4.11</v>
      </c>
      <c r="H88" s="15" t="s">
        <v>566</v>
      </c>
    </row>
    <row r="89" customFormat="false" ht="15" hidden="false" customHeight="false" outlineLevel="0" collapsed="false">
      <c r="A89" s="22"/>
      <c r="B89" s="23" t="s">
        <v>569</v>
      </c>
      <c r="C89" s="22"/>
      <c r="D89" s="22"/>
      <c r="E89" s="22"/>
      <c r="F89" s="22"/>
      <c r="G89" s="28" t="n">
        <f aca="false">SUM(G87:G88)</f>
        <v>15.69</v>
      </c>
      <c r="H89" s="22"/>
    </row>
    <row r="90" customFormat="false" ht="15" hidden="false" customHeight="true" outlineLevel="0" collapsed="false">
      <c r="A90" s="23" t="s">
        <v>570</v>
      </c>
      <c r="B90" s="23"/>
      <c r="C90" s="23"/>
      <c r="D90" s="23"/>
      <c r="E90" s="23"/>
      <c r="F90" s="23"/>
      <c r="G90" s="23"/>
      <c r="H90" s="23"/>
    </row>
    <row r="91" customFormat="false" ht="15" hidden="false" customHeight="true" outlineLevel="0" collapsed="false">
      <c r="A91" s="11" t="s">
        <v>289</v>
      </c>
      <c r="B91" s="12" t="s">
        <v>290</v>
      </c>
      <c r="C91" s="11" t="s">
        <v>20</v>
      </c>
      <c r="D91" s="12"/>
      <c r="E91" s="38" t="n">
        <v>1</v>
      </c>
      <c r="F91" s="14" t="n">
        <f aca="false">'PRECIOS DE INSUMOS'!$H$14</f>
        <v>13.14</v>
      </c>
      <c r="G91" s="14" t="n">
        <f aca="false">ROUND(E91*F91,2)</f>
        <v>13.14</v>
      </c>
      <c r="H91" s="15" t="s">
        <v>584</v>
      </c>
    </row>
    <row r="92" customFormat="false" ht="15" hidden="false" customHeight="true" outlineLevel="0" collapsed="false">
      <c r="A92" s="11" t="s">
        <v>445</v>
      </c>
      <c r="B92" s="12" t="s">
        <v>446</v>
      </c>
      <c r="C92" s="11" t="s">
        <v>447</v>
      </c>
      <c r="D92" s="12"/>
      <c r="E92" s="38" t="n">
        <v>0.015</v>
      </c>
      <c r="F92" s="14" t="n">
        <f aca="false">'PRECIOS DE INSUMOS'!$H$47</f>
        <v>209.83</v>
      </c>
      <c r="G92" s="14" t="n">
        <f aca="false">ROUND(E92*F92,2)</f>
        <v>3.15</v>
      </c>
      <c r="H92" s="15" t="s">
        <v>606</v>
      </c>
    </row>
    <row r="93" customFormat="false" ht="15" hidden="false" customHeight="false" outlineLevel="0" collapsed="false">
      <c r="A93" s="22"/>
      <c r="B93" s="23" t="s">
        <v>573</v>
      </c>
      <c r="C93" s="22"/>
      <c r="D93" s="22"/>
      <c r="E93" s="22"/>
      <c r="F93" s="22"/>
      <c r="G93" s="28" t="n">
        <f aca="false">SUM(G91:G92)</f>
        <v>16.29</v>
      </c>
      <c r="H93" s="22"/>
    </row>
    <row r="94" customFormat="false" ht="15" hidden="false" customHeight="true" outlineLevel="0" collapsed="false">
      <c r="A94" s="23" t="s">
        <v>574</v>
      </c>
      <c r="B94" s="23"/>
      <c r="C94" s="23"/>
      <c r="D94" s="23"/>
      <c r="E94" s="23"/>
      <c r="F94" s="23"/>
      <c r="G94" s="23"/>
      <c r="H94" s="23"/>
    </row>
    <row r="95" customFormat="false" ht="15" hidden="false" customHeight="false" outlineLevel="0" collapsed="false">
      <c r="A95" s="11" t="s">
        <v>575</v>
      </c>
      <c r="B95" s="12" t="s">
        <v>576</v>
      </c>
      <c r="C95" s="11" t="s">
        <v>577</v>
      </c>
      <c r="D95" s="12"/>
      <c r="E95" s="13" t="n">
        <v>3</v>
      </c>
      <c r="F95" s="14" t="n">
        <f aca="false">G89</f>
        <v>15.69</v>
      </c>
      <c r="G95" s="14" t="n">
        <f aca="false">ROUND(E95/100*F95,2)</f>
        <v>0.47</v>
      </c>
      <c r="H95" s="15" t="s">
        <v>578</v>
      </c>
    </row>
    <row r="96" customFormat="false" ht="15" hidden="false" customHeight="false" outlineLevel="0" collapsed="false">
      <c r="A96" s="22"/>
      <c r="B96" s="23" t="s">
        <v>579</v>
      </c>
      <c r="C96" s="22"/>
      <c r="D96" s="22"/>
      <c r="E96" s="22"/>
      <c r="F96" s="22"/>
      <c r="G96" s="28" t="n">
        <f aca="false">SUM(G95:G95)</f>
        <v>0.47</v>
      </c>
      <c r="H96" s="22"/>
    </row>
    <row r="97" customFormat="false" ht="15" hidden="false" customHeight="false" outlineLevel="0" collapsed="false">
      <c r="A97" s="16" t="s">
        <v>586</v>
      </c>
      <c r="B97" s="16"/>
      <c r="C97" s="16"/>
      <c r="D97" s="16"/>
      <c r="E97" s="16"/>
      <c r="F97" s="16"/>
      <c r="G97" s="17" t="n">
        <f aca="false">G89+G93+G96</f>
        <v>32.45</v>
      </c>
      <c r="H97" s="18"/>
    </row>
    <row r="100" customFormat="false" ht="30" hidden="false" customHeight="true" outlineLevel="0" collapsed="false">
      <c r="A100" s="6" t="s">
        <v>607</v>
      </c>
      <c r="B100" s="6"/>
      <c r="C100" s="6"/>
      <c r="D100" s="6"/>
      <c r="E100" s="6"/>
      <c r="F100" s="6"/>
      <c r="G100" s="6"/>
      <c r="H100" s="6"/>
    </row>
    <row r="101" customFormat="false" ht="25.5" hidden="false" customHeight="true" outlineLevel="0" collapsed="false">
      <c r="A101" s="23" t="s">
        <v>551</v>
      </c>
      <c r="B101" s="39" t="n">
        <v>20</v>
      </c>
      <c r="C101" s="20" t="s">
        <v>552</v>
      </c>
      <c r="D101" s="33" t="n">
        <f aca="false">SUM(E105:E106)</f>
        <v>0.6</v>
      </c>
      <c r="E101" s="20" t="s">
        <v>553</v>
      </c>
      <c r="F101" s="33" t="n">
        <f aca="false">SUMIF(C113:C113,"hm",E113:E113)</f>
        <v>0</v>
      </c>
      <c r="G101" s="20" t="s">
        <v>582</v>
      </c>
      <c r="H101" s="34" t="n">
        <f aca="false">G115</f>
        <v>24.61</v>
      </c>
    </row>
    <row r="102" customFormat="false" ht="15" hidden="false" customHeight="true" outlineLevel="0" collapsed="false">
      <c r="A102" s="23" t="s">
        <v>555</v>
      </c>
      <c r="B102" s="40" t="n">
        <v>2</v>
      </c>
      <c r="C102" s="36" t="s">
        <v>603</v>
      </c>
      <c r="D102" s="36"/>
      <c r="E102" s="36"/>
      <c r="F102" s="36"/>
      <c r="G102" s="36"/>
      <c r="H102" s="36"/>
    </row>
    <row r="103" customFormat="false" ht="15" hidden="false" customHeight="false" outlineLevel="0" collapsed="false">
      <c r="A103" s="4" t="s">
        <v>240</v>
      </c>
      <c r="B103" s="4" t="s">
        <v>557</v>
      </c>
      <c r="C103" s="4" t="s">
        <v>5</v>
      </c>
      <c r="D103" s="4" t="s">
        <v>558</v>
      </c>
      <c r="E103" s="4" t="s">
        <v>559</v>
      </c>
      <c r="F103" s="4" t="s">
        <v>560</v>
      </c>
      <c r="G103" s="4" t="s">
        <v>561</v>
      </c>
      <c r="H103" s="4" t="s">
        <v>223</v>
      </c>
    </row>
    <row r="104" customFormat="false" ht="15" hidden="false" customHeight="true" outlineLevel="0" collapsed="false">
      <c r="A104" s="23" t="s">
        <v>562</v>
      </c>
      <c r="B104" s="23"/>
      <c r="C104" s="23"/>
      <c r="D104" s="23"/>
      <c r="E104" s="23"/>
      <c r="F104" s="23"/>
      <c r="G104" s="23"/>
      <c r="H104" s="23"/>
    </row>
    <row r="105" customFormat="false" ht="15" hidden="false" customHeight="false" outlineLevel="0" collapsed="false">
      <c r="A105" s="11" t="s">
        <v>563</v>
      </c>
      <c r="B105" s="12" t="s">
        <v>564</v>
      </c>
      <c r="C105" s="11" t="s">
        <v>565</v>
      </c>
      <c r="D105" s="13" t="n">
        <v>1</v>
      </c>
      <c r="E105" s="37" t="n">
        <f aca="false">ROUND(D105*8/$B$101,4)</f>
        <v>0.4</v>
      </c>
      <c r="F105" s="21" t="n">
        <f aca="false">'MANO DE OBRA 2026'!$C$16</f>
        <v>28.95</v>
      </c>
      <c r="G105" s="14" t="n">
        <f aca="false">ROUND(E105*F105,2)</f>
        <v>11.58</v>
      </c>
      <c r="H105" s="15" t="s">
        <v>566</v>
      </c>
    </row>
    <row r="106" customFormat="false" ht="15" hidden="false" customHeight="false" outlineLevel="0" collapsed="false">
      <c r="A106" s="11" t="s">
        <v>567</v>
      </c>
      <c r="B106" s="12" t="s">
        <v>568</v>
      </c>
      <c r="C106" s="11" t="s">
        <v>565</v>
      </c>
      <c r="D106" s="13" t="n">
        <v>0.5</v>
      </c>
      <c r="E106" s="37" t="n">
        <f aca="false">ROUND(D106*8/$B$101,4)</f>
        <v>0.2</v>
      </c>
      <c r="F106" s="21" t="n">
        <f aca="false">'MANO DE OBRA 2026'!$E$16</f>
        <v>20.54</v>
      </c>
      <c r="G106" s="14" t="n">
        <f aca="false">ROUND(E106*F106,2)</f>
        <v>4.11</v>
      </c>
      <c r="H106" s="15" t="s">
        <v>566</v>
      </c>
    </row>
    <row r="107" customFormat="false" ht="15" hidden="false" customHeight="false" outlineLevel="0" collapsed="false">
      <c r="A107" s="22"/>
      <c r="B107" s="23" t="s">
        <v>569</v>
      </c>
      <c r="C107" s="22"/>
      <c r="D107" s="22"/>
      <c r="E107" s="22"/>
      <c r="F107" s="22"/>
      <c r="G107" s="28" t="n">
        <f aca="false">SUM(G105:G106)</f>
        <v>15.69</v>
      </c>
      <c r="H107" s="22"/>
    </row>
    <row r="108" customFormat="false" ht="15" hidden="false" customHeight="true" outlineLevel="0" collapsed="false">
      <c r="A108" s="23" t="s">
        <v>570</v>
      </c>
      <c r="B108" s="23"/>
      <c r="C108" s="23"/>
      <c r="D108" s="23"/>
      <c r="E108" s="23"/>
      <c r="F108" s="23"/>
      <c r="G108" s="23"/>
      <c r="H108" s="23"/>
    </row>
    <row r="109" customFormat="false" ht="15" hidden="false" customHeight="true" outlineLevel="0" collapsed="false">
      <c r="A109" s="11" t="s">
        <v>321</v>
      </c>
      <c r="B109" s="12" t="s">
        <v>322</v>
      </c>
      <c r="C109" s="11" t="s">
        <v>20</v>
      </c>
      <c r="D109" s="12"/>
      <c r="E109" s="38" t="n">
        <v>1</v>
      </c>
      <c r="F109" s="14" t="n">
        <f aca="false">'PRECIOS DE INSUMOS'!$H$21</f>
        <v>8.14</v>
      </c>
      <c r="G109" s="14" t="n">
        <f aca="false">ROUND(E109*F109,2)</f>
        <v>8.14</v>
      </c>
      <c r="H109" s="15" t="s">
        <v>584</v>
      </c>
    </row>
    <row r="110" customFormat="false" ht="15" hidden="false" customHeight="true" outlineLevel="0" collapsed="false">
      <c r="A110" s="11" t="s">
        <v>451</v>
      </c>
      <c r="B110" s="12" t="s">
        <v>452</v>
      </c>
      <c r="C110" s="11" t="s">
        <v>20</v>
      </c>
      <c r="D110" s="12"/>
      <c r="E110" s="38" t="n">
        <v>0.125</v>
      </c>
      <c r="F110" s="14" t="n">
        <f aca="false">'PRECIOS DE INSUMOS'!$H$48</f>
        <v>2.46</v>
      </c>
      <c r="G110" s="14" t="n">
        <f aca="false">ROUND(E110*F110,2)</f>
        <v>0.31</v>
      </c>
      <c r="H110" s="15" t="s">
        <v>585</v>
      </c>
    </row>
    <row r="111" customFormat="false" ht="15" hidden="false" customHeight="false" outlineLevel="0" collapsed="false">
      <c r="A111" s="22"/>
      <c r="B111" s="23" t="s">
        <v>573</v>
      </c>
      <c r="C111" s="22"/>
      <c r="D111" s="22"/>
      <c r="E111" s="22"/>
      <c r="F111" s="22"/>
      <c r="G111" s="28" t="n">
        <f aca="false">SUM(G109:G110)</f>
        <v>8.45</v>
      </c>
      <c r="H111" s="22"/>
    </row>
    <row r="112" customFormat="false" ht="15" hidden="false" customHeight="true" outlineLevel="0" collapsed="false">
      <c r="A112" s="23" t="s">
        <v>574</v>
      </c>
      <c r="B112" s="23"/>
      <c r="C112" s="23"/>
      <c r="D112" s="23"/>
      <c r="E112" s="23"/>
      <c r="F112" s="23"/>
      <c r="G112" s="23"/>
      <c r="H112" s="23"/>
    </row>
    <row r="113" customFormat="false" ht="15" hidden="false" customHeight="false" outlineLevel="0" collapsed="false">
      <c r="A113" s="11" t="s">
        <v>575</v>
      </c>
      <c r="B113" s="12" t="s">
        <v>576</v>
      </c>
      <c r="C113" s="11" t="s">
        <v>577</v>
      </c>
      <c r="D113" s="12"/>
      <c r="E113" s="13" t="n">
        <v>3</v>
      </c>
      <c r="F113" s="14" t="n">
        <f aca="false">G107</f>
        <v>15.69</v>
      </c>
      <c r="G113" s="14" t="n">
        <f aca="false">ROUND(E113/100*F113,2)</f>
        <v>0.47</v>
      </c>
      <c r="H113" s="15" t="s">
        <v>578</v>
      </c>
    </row>
    <row r="114" customFormat="false" ht="15" hidden="false" customHeight="false" outlineLevel="0" collapsed="false">
      <c r="A114" s="22"/>
      <c r="B114" s="23" t="s">
        <v>579</v>
      </c>
      <c r="C114" s="22"/>
      <c r="D114" s="22"/>
      <c r="E114" s="22"/>
      <c r="F114" s="22"/>
      <c r="G114" s="28" t="n">
        <f aca="false">SUM(G113:G113)</f>
        <v>0.47</v>
      </c>
      <c r="H114" s="22"/>
    </row>
    <row r="115" customFormat="false" ht="15" hidden="false" customHeight="false" outlineLevel="0" collapsed="false">
      <c r="A115" s="16" t="s">
        <v>586</v>
      </c>
      <c r="B115" s="16"/>
      <c r="C115" s="16"/>
      <c r="D115" s="16"/>
      <c r="E115" s="16"/>
      <c r="F115" s="16"/>
      <c r="G115" s="17" t="n">
        <f aca="false">G107+G111+G114</f>
        <v>24.61</v>
      </c>
      <c r="H115" s="18"/>
    </row>
    <row r="118" customFormat="false" ht="30" hidden="false" customHeight="true" outlineLevel="0" collapsed="false">
      <c r="A118" s="6" t="s">
        <v>608</v>
      </c>
      <c r="B118" s="6"/>
      <c r="C118" s="6"/>
      <c r="D118" s="6"/>
      <c r="E118" s="6"/>
      <c r="F118" s="6"/>
      <c r="G118" s="6"/>
      <c r="H118" s="6"/>
    </row>
    <row r="119" customFormat="false" ht="25.5" hidden="false" customHeight="true" outlineLevel="0" collapsed="false">
      <c r="A119" s="23" t="s">
        <v>551</v>
      </c>
      <c r="B119" s="39" t="n">
        <v>3</v>
      </c>
      <c r="C119" s="20" t="s">
        <v>552</v>
      </c>
      <c r="D119" s="33" t="n">
        <f aca="false">SUM(E123:E124)</f>
        <v>4</v>
      </c>
      <c r="E119" s="20" t="s">
        <v>553</v>
      </c>
      <c r="F119" s="33" t="n">
        <f aca="false">SUMIF(C130:C130,"hm",E130:E130)</f>
        <v>0</v>
      </c>
      <c r="G119" s="20" t="s">
        <v>582</v>
      </c>
      <c r="H119" s="34" t="n">
        <f aca="false">G132</f>
        <v>183.92</v>
      </c>
    </row>
    <row r="120" customFormat="false" ht="15" hidden="false" customHeight="true" outlineLevel="0" collapsed="false">
      <c r="A120" s="23" t="s">
        <v>555</v>
      </c>
      <c r="B120" s="40" t="n">
        <v>2</v>
      </c>
      <c r="C120" s="36" t="s">
        <v>609</v>
      </c>
      <c r="D120" s="36"/>
      <c r="E120" s="36"/>
      <c r="F120" s="36"/>
      <c r="G120" s="36"/>
      <c r="H120" s="36"/>
    </row>
    <row r="121" customFormat="false" ht="15" hidden="false" customHeight="false" outlineLevel="0" collapsed="false">
      <c r="A121" s="4" t="s">
        <v>240</v>
      </c>
      <c r="B121" s="4" t="s">
        <v>557</v>
      </c>
      <c r="C121" s="4" t="s">
        <v>5</v>
      </c>
      <c r="D121" s="4" t="s">
        <v>558</v>
      </c>
      <c r="E121" s="4" t="s">
        <v>559</v>
      </c>
      <c r="F121" s="4" t="s">
        <v>560</v>
      </c>
      <c r="G121" s="4" t="s">
        <v>561</v>
      </c>
      <c r="H121" s="4" t="s">
        <v>223</v>
      </c>
    </row>
    <row r="122" customFormat="false" ht="15" hidden="false" customHeight="true" outlineLevel="0" collapsed="false">
      <c r="A122" s="23" t="s">
        <v>562</v>
      </c>
      <c r="B122" s="23"/>
      <c r="C122" s="23"/>
      <c r="D122" s="23"/>
      <c r="E122" s="23"/>
      <c r="F122" s="23"/>
      <c r="G122" s="23"/>
      <c r="H122" s="23"/>
    </row>
    <row r="123" customFormat="false" ht="15" hidden="false" customHeight="false" outlineLevel="0" collapsed="false">
      <c r="A123" s="11" t="s">
        <v>563</v>
      </c>
      <c r="B123" s="12" t="s">
        <v>564</v>
      </c>
      <c r="C123" s="11" t="s">
        <v>565</v>
      </c>
      <c r="D123" s="13" t="n">
        <v>1</v>
      </c>
      <c r="E123" s="37" t="n">
        <f aca="false">ROUND(D123*8/$B$119,4)</f>
        <v>2.6667</v>
      </c>
      <c r="F123" s="21" t="n">
        <f aca="false">'MANO DE OBRA 2026'!$C$16</f>
        <v>28.95</v>
      </c>
      <c r="G123" s="14" t="n">
        <f aca="false">ROUND(E123*F123,2)</f>
        <v>77.2</v>
      </c>
      <c r="H123" s="15" t="s">
        <v>566</v>
      </c>
    </row>
    <row r="124" customFormat="false" ht="15" hidden="false" customHeight="false" outlineLevel="0" collapsed="false">
      <c r="A124" s="11" t="s">
        <v>567</v>
      </c>
      <c r="B124" s="12" t="s">
        <v>568</v>
      </c>
      <c r="C124" s="11" t="s">
        <v>565</v>
      </c>
      <c r="D124" s="13" t="n">
        <v>0.5</v>
      </c>
      <c r="E124" s="37" t="n">
        <f aca="false">ROUND(D124*8/$B$119,4)</f>
        <v>1.3333</v>
      </c>
      <c r="F124" s="21" t="n">
        <f aca="false">'MANO DE OBRA 2026'!$E$16</f>
        <v>20.54</v>
      </c>
      <c r="G124" s="14" t="n">
        <f aca="false">ROUND(E124*F124,2)</f>
        <v>27.39</v>
      </c>
      <c r="H124" s="15" t="s">
        <v>566</v>
      </c>
    </row>
    <row r="125" customFormat="false" ht="15" hidden="false" customHeight="false" outlineLevel="0" collapsed="false">
      <c r="A125" s="22"/>
      <c r="B125" s="23" t="s">
        <v>569</v>
      </c>
      <c r="C125" s="22"/>
      <c r="D125" s="22"/>
      <c r="E125" s="22"/>
      <c r="F125" s="22"/>
      <c r="G125" s="28" t="n">
        <f aca="false">SUM(G123:G124)</f>
        <v>104.59</v>
      </c>
      <c r="H125" s="22"/>
    </row>
    <row r="126" customFormat="false" ht="15" hidden="false" customHeight="true" outlineLevel="0" collapsed="false">
      <c r="A126" s="23" t="s">
        <v>570</v>
      </c>
      <c r="B126" s="23"/>
      <c r="C126" s="23"/>
      <c r="D126" s="23"/>
      <c r="E126" s="23"/>
      <c r="F126" s="23"/>
      <c r="G126" s="23"/>
      <c r="H126" s="23"/>
    </row>
    <row r="127" customFormat="false" ht="15" hidden="false" customHeight="true" outlineLevel="0" collapsed="false">
      <c r="A127" s="11" t="s">
        <v>378</v>
      </c>
      <c r="B127" s="12" t="s">
        <v>379</v>
      </c>
      <c r="C127" s="11" t="s">
        <v>20</v>
      </c>
      <c r="D127" s="12"/>
      <c r="E127" s="38" t="n">
        <v>1</v>
      </c>
      <c r="F127" s="14" t="n">
        <f aca="false">'PRECIOS DE INSUMOS'!$H$33</f>
        <v>76.19</v>
      </c>
      <c r="G127" s="14" t="n">
        <f aca="false">ROUND(E127*F127,2)</f>
        <v>76.19</v>
      </c>
      <c r="H127" s="15" t="s">
        <v>584</v>
      </c>
    </row>
    <row r="128" customFormat="false" ht="15" hidden="false" customHeight="false" outlineLevel="0" collapsed="false">
      <c r="A128" s="22"/>
      <c r="B128" s="23" t="s">
        <v>573</v>
      </c>
      <c r="C128" s="22"/>
      <c r="D128" s="22"/>
      <c r="E128" s="22"/>
      <c r="F128" s="22"/>
      <c r="G128" s="28" t="n">
        <f aca="false">SUM(G127:G127)</f>
        <v>76.19</v>
      </c>
      <c r="H128" s="22"/>
    </row>
    <row r="129" customFormat="false" ht="15" hidden="false" customHeight="true" outlineLevel="0" collapsed="false">
      <c r="A129" s="23" t="s">
        <v>574</v>
      </c>
      <c r="B129" s="23"/>
      <c r="C129" s="23"/>
      <c r="D129" s="23"/>
      <c r="E129" s="23"/>
      <c r="F129" s="23"/>
      <c r="G129" s="23"/>
      <c r="H129" s="23"/>
    </row>
    <row r="130" customFormat="false" ht="15" hidden="false" customHeight="false" outlineLevel="0" collapsed="false">
      <c r="A130" s="11" t="s">
        <v>575</v>
      </c>
      <c r="B130" s="12" t="s">
        <v>576</v>
      </c>
      <c r="C130" s="11" t="s">
        <v>577</v>
      </c>
      <c r="D130" s="12"/>
      <c r="E130" s="13" t="n">
        <v>3</v>
      </c>
      <c r="F130" s="14" t="n">
        <f aca="false">G125</f>
        <v>104.59</v>
      </c>
      <c r="G130" s="14" t="n">
        <f aca="false">ROUND(E130/100*F130,2)</f>
        <v>3.14</v>
      </c>
      <c r="H130" s="15" t="s">
        <v>578</v>
      </c>
    </row>
    <row r="131" customFormat="false" ht="15" hidden="false" customHeight="false" outlineLevel="0" collapsed="false">
      <c r="A131" s="22"/>
      <c r="B131" s="23" t="s">
        <v>579</v>
      </c>
      <c r="C131" s="22"/>
      <c r="D131" s="22"/>
      <c r="E131" s="22"/>
      <c r="F131" s="22"/>
      <c r="G131" s="28" t="n">
        <f aca="false">SUM(G130:G130)</f>
        <v>3.14</v>
      </c>
      <c r="H131" s="22"/>
    </row>
    <row r="132" customFormat="false" ht="15" hidden="false" customHeight="false" outlineLevel="0" collapsed="false">
      <c r="A132" s="16" t="s">
        <v>586</v>
      </c>
      <c r="B132" s="16"/>
      <c r="C132" s="16"/>
      <c r="D132" s="16"/>
      <c r="E132" s="16"/>
      <c r="F132" s="16"/>
      <c r="G132" s="17" t="n">
        <f aca="false">G125+G128+G131</f>
        <v>183.92</v>
      </c>
      <c r="H132" s="18"/>
    </row>
  </sheetData>
  <mergeCells count="47">
    <mergeCell ref="A1:H1"/>
    <mergeCell ref="A2:H2"/>
    <mergeCell ref="A3:H3"/>
    <mergeCell ref="A5:H5"/>
    <mergeCell ref="A7:H7"/>
    <mergeCell ref="C9:H9"/>
    <mergeCell ref="A11:H11"/>
    <mergeCell ref="A15:H15"/>
    <mergeCell ref="A19:H19"/>
    <mergeCell ref="A22:F22"/>
    <mergeCell ref="A23:H23"/>
    <mergeCell ref="A26:H26"/>
    <mergeCell ref="C28:H28"/>
    <mergeCell ref="A30:H30"/>
    <mergeCell ref="A34:H34"/>
    <mergeCell ref="A38:H38"/>
    <mergeCell ref="A42:F42"/>
    <mergeCell ref="A45:H45"/>
    <mergeCell ref="C47:H47"/>
    <mergeCell ref="A49:H49"/>
    <mergeCell ref="A53:H53"/>
    <mergeCell ref="A57:H57"/>
    <mergeCell ref="A60:F60"/>
    <mergeCell ref="A63:H63"/>
    <mergeCell ref="C65:H65"/>
    <mergeCell ref="A67:H67"/>
    <mergeCell ref="A71:H71"/>
    <mergeCell ref="A76:H76"/>
    <mergeCell ref="A79:F79"/>
    <mergeCell ref="A82:H82"/>
    <mergeCell ref="C84:H84"/>
    <mergeCell ref="A86:H86"/>
    <mergeCell ref="A90:H90"/>
    <mergeCell ref="A94:H94"/>
    <mergeCell ref="A97:F97"/>
    <mergeCell ref="A100:H100"/>
    <mergeCell ref="C102:H102"/>
    <mergeCell ref="A104:H104"/>
    <mergeCell ref="A108:H108"/>
    <mergeCell ref="A112:H112"/>
    <mergeCell ref="A115:F115"/>
    <mergeCell ref="A118:H118"/>
    <mergeCell ref="C120:H120"/>
    <mergeCell ref="A122:H122"/>
    <mergeCell ref="A126:H126"/>
    <mergeCell ref="A129:H129"/>
    <mergeCell ref="A132:F13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610</v>
      </c>
      <c r="B5" s="30"/>
      <c r="C5" s="30"/>
      <c r="D5" s="30"/>
      <c r="E5" s="30"/>
      <c r="F5" s="30"/>
      <c r="G5" s="30"/>
      <c r="H5" s="30"/>
    </row>
    <row r="6" customFormat="false" ht="25.5" hidden="false" customHeight="true" outlineLevel="0" collapsed="false">
      <c r="A6" s="31" t="s">
        <v>611</v>
      </c>
      <c r="B6" s="31"/>
      <c r="C6" s="31"/>
      <c r="D6" s="31"/>
      <c r="E6" s="31"/>
      <c r="F6" s="31"/>
      <c r="G6" s="31"/>
      <c r="H6" s="31"/>
    </row>
    <row r="8" customFormat="false" ht="30" hidden="false" customHeight="true" outlineLevel="0" collapsed="false">
      <c r="A8" s="6" t="s">
        <v>612</v>
      </c>
      <c r="B8" s="6"/>
      <c r="C8" s="6"/>
      <c r="D8" s="6"/>
      <c r="E8" s="6"/>
      <c r="F8" s="6"/>
      <c r="G8" s="6"/>
      <c r="H8" s="6"/>
    </row>
    <row r="9" customFormat="false" ht="25.5" hidden="false" customHeight="true" outlineLevel="0" collapsed="false">
      <c r="A9" s="23" t="s">
        <v>551</v>
      </c>
      <c r="B9" s="32" t="n">
        <v>20</v>
      </c>
      <c r="C9" s="20" t="s">
        <v>552</v>
      </c>
      <c r="D9" s="33" t="n">
        <f aca="false">SUM(E13:E14)</f>
        <v>0.6</v>
      </c>
      <c r="E9" s="20" t="s">
        <v>553</v>
      </c>
      <c r="F9" s="33" t="n">
        <f aca="false">SUMIF(C21:C21,"hm",E21:E21)</f>
        <v>0</v>
      </c>
      <c r="G9" s="20" t="s">
        <v>554</v>
      </c>
      <c r="H9" s="34" t="n">
        <f aca="false">G23</f>
        <v>25.61</v>
      </c>
    </row>
    <row r="10" customFormat="false" ht="15" hidden="false" customHeight="true" outlineLevel="0" collapsed="false">
      <c r="A10" s="23" t="s">
        <v>555</v>
      </c>
      <c r="B10" s="35" t="n">
        <v>15</v>
      </c>
      <c r="C10" s="36" t="s">
        <v>596</v>
      </c>
      <c r="D10" s="36"/>
      <c r="E10" s="36"/>
      <c r="F10" s="36"/>
      <c r="G10" s="36"/>
      <c r="H10" s="36"/>
    </row>
    <row r="11" customFormat="false" ht="15" hidden="false" customHeight="false" outlineLevel="0" collapsed="false">
      <c r="A11" s="4" t="s">
        <v>240</v>
      </c>
      <c r="B11" s="4" t="s">
        <v>557</v>
      </c>
      <c r="C11" s="4" t="s">
        <v>5</v>
      </c>
      <c r="D11" s="4" t="s">
        <v>558</v>
      </c>
      <c r="E11" s="4" t="s">
        <v>559</v>
      </c>
      <c r="F11" s="4" t="s">
        <v>560</v>
      </c>
      <c r="G11" s="4" t="s">
        <v>561</v>
      </c>
      <c r="H11" s="4" t="s">
        <v>223</v>
      </c>
    </row>
    <row r="12" customFormat="false" ht="15" hidden="false" customHeight="true" outlineLevel="0" collapsed="false">
      <c r="A12" s="23" t="s">
        <v>562</v>
      </c>
      <c r="B12" s="23"/>
      <c r="C12" s="23"/>
      <c r="D12" s="23"/>
      <c r="E12" s="23"/>
      <c r="F12" s="23"/>
      <c r="G12" s="23"/>
      <c r="H12" s="23"/>
    </row>
    <row r="13" customFormat="false" ht="15" hidden="false" customHeight="false" outlineLevel="0" collapsed="false">
      <c r="A13" s="11" t="s">
        <v>563</v>
      </c>
      <c r="B13" s="12" t="s">
        <v>564</v>
      </c>
      <c r="C13" s="11" t="s">
        <v>565</v>
      </c>
      <c r="D13" s="13" t="n">
        <v>1</v>
      </c>
      <c r="E13" s="37" t="n">
        <f aca="false">ROUND(D13*8/$B$9,4)</f>
        <v>0.4</v>
      </c>
      <c r="F13" s="21" t="n">
        <f aca="false">'MANO DE OBRA 2026'!$C$16</f>
        <v>28.95</v>
      </c>
      <c r="G13" s="14" t="n">
        <f aca="false">ROUND(E13*F13,2)</f>
        <v>11.58</v>
      </c>
      <c r="H13" s="15" t="s">
        <v>566</v>
      </c>
    </row>
    <row r="14" customFormat="false" ht="15" hidden="false" customHeight="false" outlineLevel="0" collapsed="false">
      <c r="A14" s="11" t="s">
        <v>567</v>
      </c>
      <c r="B14" s="12" t="s">
        <v>568</v>
      </c>
      <c r="C14" s="11" t="s">
        <v>565</v>
      </c>
      <c r="D14" s="13" t="n">
        <v>0.5</v>
      </c>
      <c r="E14" s="37" t="n">
        <f aca="false">ROUND(D14*8/$B$9,4)</f>
        <v>0.2</v>
      </c>
      <c r="F14" s="21" t="n">
        <f aca="false">'MANO DE OBRA 2026'!$E$16</f>
        <v>20.54</v>
      </c>
      <c r="G14" s="14" t="n">
        <f aca="false">ROUND(E14*F14,2)</f>
        <v>4.11</v>
      </c>
      <c r="H14" s="15" t="s">
        <v>566</v>
      </c>
    </row>
    <row r="15" customFormat="false" ht="15" hidden="false" customHeight="false" outlineLevel="0" collapsed="false">
      <c r="A15" s="22"/>
      <c r="B15" s="23" t="s">
        <v>569</v>
      </c>
      <c r="C15" s="22"/>
      <c r="D15" s="22"/>
      <c r="E15" s="22"/>
      <c r="F15" s="22"/>
      <c r="G15" s="28" t="n">
        <f aca="false">SUM(G13:G14)</f>
        <v>15.69</v>
      </c>
      <c r="H15" s="22"/>
    </row>
    <row r="16" customFormat="false" ht="15" hidden="false" customHeight="true" outlineLevel="0" collapsed="false">
      <c r="A16" s="23" t="s">
        <v>570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true" outlineLevel="0" collapsed="false">
      <c r="A17" s="11" t="s">
        <v>258</v>
      </c>
      <c r="B17" s="12" t="s">
        <v>259</v>
      </c>
      <c r="C17" s="11" t="s">
        <v>16</v>
      </c>
      <c r="D17" s="12"/>
      <c r="E17" s="38" t="n">
        <v>1.05</v>
      </c>
      <c r="F17" s="14" t="n">
        <f aca="false">'PRECIOS DE INSUMOS'!$H$8</f>
        <v>8.8</v>
      </c>
      <c r="G17" s="14" t="n">
        <f aca="false">ROUND(E17*F17,2)</f>
        <v>9.24</v>
      </c>
      <c r="H17" s="15" t="s">
        <v>571</v>
      </c>
    </row>
    <row r="18" customFormat="false" ht="15" hidden="false" customHeight="true" outlineLevel="0" collapsed="false">
      <c r="A18" s="11" t="s">
        <v>445</v>
      </c>
      <c r="B18" s="12" t="s">
        <v>446</v>
      </c>
      <c r="C18" s="11" t="s">
        <v>447</v>
      </c>
      <c r="D18" s="12"/>
      <c r="E18" s="38" t="n">
        <v>0.001</v>
      </c>
      <c r="F18" s="14" t="n">
        <f aca="false">'PRECIOS DE INSUMOS'!$H$47</f>
        <v>209.83</v>
      </c>
      <c r="G18" s="14" t="n">
        <f aca="false">ROUND(E18*F18,2)</f>
        <v>0.21</v>
      </c>
      <c r="H18" s="15" t="s">
        <v>597</v>
      </c>
    </row>
    <row r="19" customFormat="false" ht="15" hidden="false" customHeight="false" outlineLevel="0" collapsed="false">
      <c r="A19" s="22"/>
      <c r="B19" s="23" t="s">
        <v>573</v>
      </c>
      <c r="C19" s="22"/>
      <c r="D19" s="22"/>
      <c r="E19" s="22"/>
      <c r="F19" s="22"/>
      <c r="G19" s="28" t="n">
        <f aca="false">SUM(G17:G18)</f>
        <v>9.45</v>
      </c>
      <c r="H19" s="22"/>
    </row>
    <row r="20" customFormat="false" ht="15" hidden="false" customHeight="true" outlineLevel="0" collapsed="false">
      <c r="A20" s="23" t="s">
        <v>574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11" t="s">
        <v>575</v>
      </c>
      <c r="B21" s="12" t="s">
        <v>576</v>
      </c>
      <c r="C21" s="11" t="s">
        <v>577</v>
      </c>
      <c r="D21" s="12"/>
      <c r="E21" s="13" t="n">
        <v>3</v>
      </c>
      <c r="F21" s="14" t="n">
        <f aca="false">G15</f>
        <v>15.69</v>
      </c>
      <c r="G21" s="14" t="n">
        <f aca="false">ROUND(E21/100*F21,2)</f>
        <v>0.47</v>
      </c>
      <c r="H21" s="15" t="s">
        <v>578</v>
      </c>
    </row>
    <row r="22" customFormat="false" ht="15" hidden="false" customHeight="false" outlineLevel="0" collapsed="false">
      <c r="A22" s="22"/>
      <c r="B22" s="23" t="s">
        <v>579</v>
      </c>
      <c r="C22" s="22"/>
      <c r="D22" s="22"/>
      <c r="E22" s="22"/>
      <c r="F22" s="22"/>
      <c r="G22" s="28" t="n">
        <f aca="false">SUM(G21:G21)</f>
        <v>0.47</v>
      </c>
      <c r="H22" s="22"/>
    </row>
    <row r="23" customFormat="false" ht="15" hidden="false" customHeight="false" outlineLevel="0" collapsed="false">
      <c r="A23" s="16" t="s">
        <v>580</v>
      </c>
      <c r="B23" s="16"/>
      <c r="C23" s="16"/>
      <c r="D23" s="16"/>
      <c r="E23" s="16"/>
      <c r="F23" s="16"/>
      <c r="G23" s="17" t="n">
        <f aca="false">G15+G19+G22</f>
        <v>25.61</v>
      </c>
      <c r="H23" s="18"/>
    </row>
    <row r="26" customFormat="false" ht="30" hidden="false" customHeight="true" outlineLevel="0" collapsed="false">
      <c r="A26" s="6" t="s">
        <v>613</v>
      </c>
      <c r="B26" s="6"/>
      <c r="C26" s="6"/>
      <c r="D26" s="6"/>
      <c r="E26" s="6"/>
      <c r="F26" s="6"/>
      <c r="G26" s="6"/>
      <c r="H26" s="6"/>
    </row>
    <row r="27" customFormat="false" ht="25.5" hidden="false" customHeight="true" outlineLevel="0" collapsed="false">
      <c r="A27" s="23" t="s">
        <v>551</v>
      </c>
      <c r="B27" s="39" t="n">
        <v>20</v>
      </c>
      <c r="C27" s="20" t="s">
        <v>552</v>
      </c>
      <c r="D27" s="33" t="n">
        <f aca="false">SUM(E31:E32)</f>
        <v>0.6</v>
      </c>
      <c r="E27" s="20" t="s">
        <v>553</v>
      </c>
      <c r="F27" s="33" t="n">
        <f aca="false">SUMIF(C39:C39,"hm",E39:E39)</f>
        <v>0</v>
      </c>
      <c r="G27" s="20" t="s">
        <v>582</v>
      </c>
      <c r="H27" s="34" t="n">
        <f aca="false">G41</f>
        <v>27.5</v>
      </c>
    </row>
    <row r="28" customFormat="false" ht="15" hidden="false" customHeight="true" outlineLevel="0" collapsed="false">
      <c r="A28" s="23" t="s">
        <v>555</v>
      </c>
      <c r="B28" s="40" t="n">
        <v>3</v>
      </c>
      <c r="C28" s="36" t="s">
        <v>603</v>
      </c>
      <c r="D28" s="36"/>
      <c r="E28" s="36"/>
      <c r="F28" s="36"/>
      <c r="G28" s="36"/>
      <c r="H28" s="36"/>
    </row>
    <row r="29" customFormat="false" ht="15" hidden="false" customHeight="false" outlineLevel="0" collapsed="false">
      <c r="A29" s="4" t="s">
        <v>240</v>
      </c>
      <c r="B29" s="4" t="s">
        <v>557</v>
      </c>
      <c r="C29" s="4" t="s">
        <v>5</v>
      </c>
      <c r="D29" s="4" t="s">
        <v>558</v>
      </c>
      <c r="E29" s="4" t="s">
        <v>559</v>
      </c>
      <c r="F29" s="4" t="s">
        <v>560</v>
      </c>
      <c r="G29" s="4" t="s">
        <v>561</v>
      </c>
      <c r="H29" s="4" t="s">
        <v>223</v>
      </c>
    </row>
    <row r="30" customFormat="false" ht="15" hidden="false" customHeight="true" outlineLevel="0" collapsed="false">
      <c r="A30" s="23" t="s">
        <v>562</v>
      </c>
      <c r="B30" s="23"/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11" t="s">
        <v>563</v>
      </c>
      <c r="B31" s="12" t="s">
        <v>564</v>
      </c>
      <c r="C31" s="11" t="s">
        <v>565</v>
      </c>
      <c r="D31" s="13" t="n">
        <v>1</v>
      </c>
      <c r="E31" s="37" t="n">
        <f aca="false">ROUND(D31*8/$B$27,4)</f>
        <v>0.4</v>
      </c>
      <c r="F31" s="21" t="n">
        <f aca="false">'MANO DE OBRA 2026'!$C$16</f>
        <v>28.95</v>
      </c>
      <c r="G31" s="14" t="n">
        <f aca="false">ROUND(E31*F31,2)</f>
        <v>11.58</v>
      </c>
      <c r="H31" s="15" t="s">
        <v>566</v>
      </c>
    </row>
    <row r="32" customFormat="false" ht="15" hidden="false" customHeight="false" outlineLevel="0" collapsed="false">
      <c r="A32" s="11" t="s">
        <v>567</v>
      </c>
      <c r="B32" s="12" t="s">
        <v>568</v>
      </c>
      <c r="C32" s="11" t="s">
        <v>565</v>
      </c>
      <c r="D32" s="13" t="n">
        <v>0.5</v>
      </c>
      <c r="E32" s="37" t="n">
        <f aca="false">ROUND(D32*8/$B$27,4)</f>
        <v>0.2</v>
      </c>
      <c r="F32" s="21" t="n">
        <f aca="false">'MANO DE OBRA 2026'!$E$16</f>
        <v>20.54</v>
      </c>
      <c r="G32" s="14" t="n">
        <f aca="false">ROUND(E32*F32,2)</f>
        <v>4.11</v>
      </c>
      <c r="H32" s="15" t="s">
        <v>566</v>
      </c>
    </row>
    <row r="33" customFormat="false" ht="15" hidden="false" customHeight="false" outlineLevel="0" collapsed="false">
      <c r="A33" s="22"/>
      <c r="B33" s="23" t="s">
        <v>569</v>
      </c>
      <c r="C33" s="22"/>
      <c r="D33" s="22"/>
      <c r="E33" s="22"/>
      <c r="F33" s="22"/>
      <c r="G33" s="28" t="n">
        <f aca="false">SUM(G31:G32)</f>
        <v>15.69</v>
      </c>
      <c r="H33" s="22"/>
    </row>
    <row r="34" customFormat="false" ht="15" hidden="false" customHeight="true" outlineLevel="0" collapsed="false">
      <c r="A34" s="23" t="s">
        <v>570</v>
      </c>
      <c r="B34" s="23"/>
      <c r="C34" s="23"/>
      <c r="D34" s="23"/>
      <c r="E34" s="23"/>
      <c r="F34" s="23"/>
      <c r="G34" s="23"/>
      <c r="H34" s="23"/>
    </row>
    <row r="35" customFormat="false" ht="15" hidden="false" customHeight="true" outlineLevel="0" collapsed="false">
      <c r="A35" s="11" t="s">
        <v>274</v>
      </c>
      <c r="B35" s="12" t="s">
        <v>275</v>
      </c>
      <c r="C35" s="11" t="s">
        <v>20</v>
      </c>
      <c r="D35" s="12"/>
      <c r="E35" s="38" t="n">
        <v>1</v>
      </c>
      <c r="F35" s="14" t="n">
        <f aca="false">'PRECIOS DE INSUMOS'!$H$11</f>
        <v>9.24</v>
      </c>
      <c r="G35" s="14" t="n">
        <f aca="false">ROUND(E35*F35,2)</f>
        <v>9.24</v>
      </c>
      <c r="H35" s="15" t="s">
        <v>584</v>
      </c>
    </row>
    <row r="36" customFormat="false" ht="15" hidden="false" customHeight="true" outlineLevel="0" collapsed="false">
      <c r="A36" s="11" t="s">
        <v>445</v>
      </c>
      <c r="B36" s="12" t="s">
        <v>446</v>
      </c>
      <c r="C36" s="11" t="s">
        <v>447</v>
      </c>
      <c r="D36" s="12"/>
      <c r="E36" s="38" t="n">
        <v>0.01</v>
      </c>
      <c r="F36" s="14" t="n">
        <f aca="false">'PRECIOS DE INSUMOS'!$H$47</f>
        <v>209.83</v>
      </c>
      <c r="G36" s="14" t="n">
        <f aca="false">ROUND(E36*F36,2)</f>
        <v>2.1</v>
      </c>
      <c r="H36" s="15" t="s">
        <v>614</v>
      </c>
    </row>
    <row r="37" customFormat="false" ht="15" hidden="false" customHeight="false" outlineLevel="0" collapsed="false">
      <c r="A37" s="22"/>
      <c r="B37" s="23" t="s">
        <v>573</v>
      </c>
      <c r="C37" s="22"/>
      <c r="D37" s="22"/>
      <c r="E37" s="22"/>
      <c r="F37" s="22"/>
      <c r="G37" s="28" t="n">
        <f aca="false">SUM(G35:G36)</f>
        <v>11.34</v>
      </c>
      <c r="H37" s="22"/>
    </row>
    <row r="38" customFormat="false" ht="15" hidden="false" customHeight="true" outlineLevel="0" collapsed="false">
      <c r="A38" s="23" t="s">
        <v>574</v>
      </c>
      <c r="B38" s="23"/>
      <c r="C38" s="23"/>
      <c r="D38" s="23"/>
      <c r="E38" s="23"/>
      <c r="F38" s="23"/>
      <c r="G38" s="23"/>
      <c r="H38" s="23"/>
    </row>
    <row r="39" customFormat="false" ht="15" hidden="false" customHeight="false" outlineLevel="0" collapsed="false">
      <c r="A39" s="11" t="s">
        <v>575</v>
      </c>
      <c r="B39" s="12" t="s">
        <v>576</v>
      </c>
      <c r="C39" s="11" t="s">
        <v>577</v>
      </c>
      <c r="D39" s="12"/>
      <c r="E39" s="13" t="n">
        <v>3</v>
      </c>
      <c r="F39" s="14" t="n">
        <f aca="false">G33</f>
        <v>15.69</v>
      </c>
      <c r="G39" s="14" t="n">
        <f aca="false">ROUND(E39/100*F39,2)</f>
        <v>0.47</v>
      </c>
      <c r="H39" s="15" t="s">
        <v>578</v>
      </c>
    </row>
    <row r="40" customFormat="false" ht="15" hidden="false" customHeight="false" outlineLevel="0" collapsed="false">
      <c r="A40" s="22"/>
      <c r="B40" s="23" t="s">
        <v>579</v>
      </c>
      <c r="C40" s="22"/>
      <c r="D40" s="22"/>
      <c r="E40" s="22"/>
      <c r="F40" s="22"/>
      <c r="G40" s="28" t="n">
        <f aca="false">SUM(G39:G39)</f>
        <v>0.47</v>
      </c>
      <c r="H40" s="22"/>
    </row>
    <row r="41" customFormat="false" ht="15" hidden="false" customHeight="false" outlineLevel="0" collapsed="false">
      <c r="A41" s="16" t="s">
        <v>586</v>
      </c>
      <c r="B41" s="16"/>
      <c r="C41" s="16"/>
      <c r="D41" s="16"/>
      <c r="E41" s="16"/>
      <c r="F41" s="16"/>
      <c r="G41" s="17" t="n">
        <f aca="false">G33+G37+G40</f>
        <v>27.5</v>
      </c>
      <c r="H41" s="18"/>
    </row>
    <row r="44" customFormat="false" ht="30" hidden="false" customHeight="true" outlineLevel="0" collapsed="false">
      <c r="A44" s="6" t="s">
        <v>615</v>
      </c>
      <c r="B44" s="6"/>
      <c r="C44" s="6"/>
      <c r="D44" s="6"/>
      <c r="E44" s="6"/>
      <c r="F44" s="6"/>
      <c r="G44" s="6"/>
      <c r="H44" s="6"/>
    </row>
    <row r="45" customFormat="false" ht="25.5" hidden="false" customHeight="true" outlineLevel="0" collapsed="false">
      <c r="A45" s="23" t="s">
        <v>551</v>
      </c>
      <c r="B45" s="39" t="n">
        <v>8</v>
      </c>
      <c r="C45" s="20" t="s">
        <v>552</v>
      </c>
      <c r="D45" s="33" t="n">
        <f aca="false">SUM(E49:E50)</f>
        <v>1.5</v>
      </c>
      <c r="E45" s="20" t="s">
        <v>553</v>
      </c>
      <c r="F45" s="33" t="n">
        <f aca="false">SUMIF(C57:C57,"hm",E57:E57)</f>
        <v>0</v>
      </c>
      <c r="G45" s="20" t="s">
        <v>582</v>
      </c>
      <c r="H45" s="34" t="n">
        <f aca="false">G59</f>
        <v>134.16</v>
      </c>
    </row>
    <row r="46" customFormat="false" ht="15" hidden="false" customHeight="true" outlineLevel="0" collapsed="false">
      <c r="A46" s="23" t="s">
        <v>555</v>
      </c>
      <c r="B46" s="40" t="n">
        <v>1</v>
      </c>
      <c r="C46" s="36" t="s">
        <v>616</v>
      </c>
      <c r="D46" s="36"/>
      <c r="E46" s="36"/>
      <c r="F46" s="36"/>
      <c r="G46" s="36"/>
      <c r="H46" s="36"/>
    </row>
    <row r="47" customFormat="false" ht="15" hidden="false" customHeight="false" outlineLevel="0" collapsed="false">
      <c r="A47" s="4" t="s">
        <v>240</v>
      </c>
      <c r="B47" s="4" t="s">
        <v>557</v>
      </c>
      <c r="C47" s="4" t="s">
        <v>5</v>
      </c>
      <c r="D47" s="4" t="s">
        <v>558</v>
      </c>
      <c r="E47" s="4" t="s">
        <v>559</v>
      </c>
      <c r="F47" s="4" t="s">
        <v>560</v>
      </c>
      <c r="G47" s="4" t="s">
        <v>561</v>
      </c>
      <c r="H47" s="4" t="s">
        <v>223</v>
      </c>
    </row>
    <row r="48" customFormat="false" ht="15" hidden="false" customHeight="true" outlineLevel="0" collapsed="false">
      <c r="A48" s="23" t="s">
        <v>562</v>
      </c>
      <c r="B48" s="23"/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11" t="s">
        <v>563</v>
      </c>
      <c r="B49" s="12" t="s">
        <v>564</v>
      </c>
      <c r="C49" s="11" t="s">
        <v>565</v>
      </c>
      <c r="D49" s="13" t="n">
        <v>1</v>
      </c>
      <c r="E49" s="37" t="n">
        <f aca="false">ROUND(D49*8/$B$45,4)</f>
        <v>1</v>
      </c>
      <c r="F49" s="21" t="n">
        <f aca="false">'MANO DE OBRA 2026'!$C$16</f>
        <v>28.95</v>
      </c>
      <c r="G49" s="14" t="n">
        <f aca="false">ROUND(E49*F49,2)</f>
        <v>28.95</v>
      </c>
      <c r="H49" s="15" t="s">
        <v>566</v>
      </c>
    </row>
    <row r="50" customFormat="false" ht="15" hidden="false" customHeight="false" outlineLevel="0" collapsed="false">
      <c r="A50" s="11" t="s">
        <v>567</v>
      </c>
      <c r="B50" s="12" t="s">
        <v>568</v>
      </c>
      <c r="C50" s="11" t="s">
        <v>565</v>
      </c>
      <c r="D50" s="13" t="n">
        <v>0.5</v>
      </c>
      <c r="E50" s="37" t="n">
        <f aca="false">ROUND(D50*8/$B$45,4)</f>
        <v>0.5</v>
      </c>
      <c r="F50" s="21" t="n">
        <f aca="false">'MANO DE OBRA 2026'!$E$16</f>
        <v>20.54</v>
      </c>
      <c r="G50" s="14" t="n">
        <f aca="false">ROUND(E50*F50,2)</f>
        <v>10.27</v>
      </c>
      <c r="H50" s="15" t="s">
        <v>566</v>
      </c>
    </row>
    <row r="51" customFormat="false" ht="15" hidden="false" customHeight="false" outlineLevel="0" collapsed="false">
      <c r="A51" s="22"/>
      <c r="B51" s="23" t="s">
        <v>569</v>
      </c>
      <c r="C51" s="22"/>
      <c r="D51" s="22"/>
      <c r="E51" s="22"/>
      <c r="F51" s="22"/>
      <c r="G51" s="28" t="n">
        <f aca="false">SUM(G49:G50)</f>
        <v>39.22</v>
      </c>
      <c r="H51" s="22"/>
    </row>
    <row r="52" customFormat="false" ht="15" hidden="false" customHeight="true" outlineLevel="0" collapsed="false">
      <c r="A52" s="23" t="s">
        <v>570</v>
      </c>
      <c r="B52" s="23"/>
      <c r="C52" s="23"/>
      <c r="D52" s="23"/>
      <c r="E52" s="23"/>
      <c r="F52" s="23"/>
      <c r="G52" s="23"/>
      <c r="H52" s="23"/>
    </row>
    <row r="53" customFormat="false" ht="15" hidden="false" customHeight="true" outlineLevel="0" collapsed="false">
      <c r="A53" s="11" t="s">
        <v>343</v>
      </c>
      <c r="B53" s="12" t="s">
        <v>344</v>
      </c>
      <c r="C53" s="11" t="s">
        <v>20</v>
      </c>
      <c r="D53" s="12"/>
      <c r="E53" s="38" t="n">
        <v>1</v>
      </c>
      <c r="F53" s="14" t="n">
        <f aca="false">'PRECIOS DE INSUMOS'!$H$26</f>
        <v>93.14</v>
      </c>
      <c r="G53" s="14" t="n">
        <f aca="false">ROUND(E53*F53,2)</f>
        <v>93.14</v>
      </c>
      <c r="H53" s="15" t="s">
        <v>584</v>
      </c>
    </row>
    <row r="54" customFormat="false" ht="15" hidden="false" customHeight="true" outlineLevel="0" collapsed="false">
      <c r="A54" s="11" t="s">
        <v>451</v>
      </c>
      <c r="B54" s="12" t="s">
        <v>452</v>
      </c>
      <c r="C54" s="11" t="s">
        <v>20</v>
      </c>
      <c r="D54" s="12"/>
      <c r="E54" s="38" t="n">
        <v>0.25</v>
      </c>
      <c r="F54" s="14" t="n">
        <f aca="false">'PRECIOS DE INSUMOS'!$H$48</f>
        <v>2.46</v>
      </c>
      <c r="G54" s="14" t="n">
        <f aca="false">ROUND(E54*F54,2)</f>
        <v>0.62</v>
      </c>
      <c r="H54" s="15" t="s">
        <v>589</v>
      </c>
    </row>
    <row r="55" customFormat="false" ht="15" hidden="false" customHeight="false" outlineLevel="0" collapsed="false">
      <c r="A55" s="22"/>
      <c r="B55" s="23" t="s">
        <v>573</v>
      </c>
      <c r="C55" s="22"/>
      <c r="D55" s="22"/>
      <c r="E55" s="22"/>
      <c r="F55" s="22"/>
      <c r="G55" s="28" t="n">
        <f aca="false">SUM(G53:G54)</f>
        <v>93.76</v>
      </c>
      <c r="H55" s="22"/>
    </row>
    <row r="56" customFormat="false" ht="15" hidden="false" customHeight="true" outlineLevel="0" collapsed="false">
      <c r="A56" s="23" t="s">
        <v>574</v>
      </c>
      <c r="B56" s="23"/>
      <c r="C56" s="23"/>
      <c r="D56" s="23"/>
      <c r="E56" s="23"/>
      <c r="F56" s="23"/>
      <c r="G56" s="23"/>
      <c r="H56" s="23"/>
    </row>
    <row r="57" customFormat="false" ht="15" hidden="false" customHeight="false" outlineLevel="0" collapsed="false">
      <c r="A57" s="11" t="s">
        <v>575</v>
      </c>
      <c r="B57" s="12" t="s">
        <v>576</v>
      </c>
      <c r="C57" s="11" t="s">
        <v>577</v>
      </c>
      <c r="D57" s="12"/>
      <c r="E57" s="13" t="n">
        <v>3</v>
      </c>
      <c r="F57" s="14" t="n">
        <f aca="false">G51</f>
        <v>39.22</v>
      </c>
      <c r="G57" s="14" t="n">
        <f aca="false">ROUND(E57/100*F57,2)</f>
        <v>1.18</v>
      </c>
      <c r="H57" s="15" t="s">
        <v>578</v>
      </c>
    </row>
    <row r="58" customFormat="false" ht="15" hidden="false" customHeight="false" outlineLevel="0" collapsed="false">
      <c r="A58" s="22"/>
      <c r="B58" s="23" t="s">
        <v>579</v>
      </c>
      <c r="C58" s="22"/>
      <c r="D58" s="22"/>
      <c r="E58" s="22"/>
      <c r="F58" s="22"/>
      <c r="G58" s="28" t="n">
        <f aca="false">SUM(G57:G57)</f>
        <v>1.18</v>
      </c>
      <c r="H58" s="22"/>
    </row>
    <row r="59" customFormat="false" ht="15" hidden="false" customHeight="false" outlineLevel="0" collapsed="false">
      <c r="A59" s="16" t="s">
        <v>586</v>
      </c>
      <c r="B59" s="16"/>
      <c r="C59" s="16"/>
      <c r="D59" s="16"/>
      <c r="E59" s="16"/>
      <c r="F59" s="16"/>
      <c r="G59" s="17" t="n">
        <f aca="false">G51+G55+G58</f>
        <v>134.16</v>
      </c>
      <c r="H59" s="18"/>
    </row>
    <row r="62" customFormat="false" ht="30" hidden="false" customHeight="true" outlineLevel="0" collapsed="false">
      <c r="A62" s="6" t="s">
        <v>617</v>
      </c>
      <c r="B62" s="6"/>
      <c r="C62" s="6"/>
      <c r="D62" s="6"/>
      <c r="E62" s="6"/>
      <c r="F62" s="6"/>
      <c r="G62" s="6"/>
      <c r="H62" s="6"/>
    </row>
    <row r="63" customFormat="false" ht="25.5" hidden="false" customHeight="true" outlineLevel="0" collapsed="false">
      <c r="A63" s="23" t="s">
        <v>551</v>
      </c>
      <c r="B63" s="39" t="n">
        <v>20</v>
      </c>
      <c r="C63" s="20" t="s">
        <v>552</v>
      </c>
      <c r="D63" s="33" t="n">
        <f aca="false">SUM(E67:E68)</f>
        <v>0.6</v>
      </c>
      <c r="E63" s="20" t="s">
        <v>553</v>
      </c>
      <c r="F63" s="33" t="n">
        <f aca="false">SUMIF(C75:C75,"hm",E75:E75)</f>
        <v>0</v>
      </c>
      <c r="G63" s="20" t="s">
        <v>582</v>
      </c>
      <c r="H63" s="34" t="n">
        <f aca="false">G77</f>
        <v>33.73</v>
      </c>
    </row>
    <row r="64" customFormat="false" ht="15" hidden="false" customHeight="true" outlineLevel="0" collapsed="false">
      <c r="A64" s="23" t="s">
        <v>555</v>
      </c>
      <c r="B64" s="40" t="n">
        <v>3</v>
      </c>
      <c r="C64" s="36" t="s">
        <v>603</v>
      </c>
      <c r="D64" s="36"/>
      <c r="E64" s="36"/>
      <c r="F64" s="36"/>
      <c r="G64" s="36"/>
      <c r="H64" s="36"/>
    </row>
    <row r="65" customFormat="false" ht="15" hidden="false" customHeight="false" outlineLevel="0" collapsed="false">
      <c r="A65" s="4" t="s">
        <v>240</v>
      </c>
      <c r="B65" s="4" t="s">
        <v>557</v>
      </c>
      <c r="C65" s="4" t="s">
        <v>5</v>
      </c>
      <c r="D65" s="4" t="s">
        <v>558</v>
      </c>
      <c r="E65" s="4" t="s">
        <v>559</v>
      </c>
      <c r="F65" s="4" t="s">
        <v>560</v>
      </c>
      <c r="G65" s="4" t="s">
        <v>561</v>
      </c>
      <c r="H65" s="4" t="s">
        <v>223</v>
      </c>
    </row>
    <row r="66" customFormat="false" ht="15" hidden="false" customHeight="true" outlineLevel="0" collapsed="false">
      <c r="A66" s="23" t="s">
        <v>562</v>
      </c>
      <c r="B66" s="23"/>
      <c r="C66" s="23"/>
      <c r="D66" s="23"/>
      <c r="E66" s="23"/>
      <c r="F66" s="23"/>
      <c r="G66" s="23"/>
      <c r="H66" s="23"/>
    </row>
    <row r="67" customFormat="false" ht="15" hidden="false" customHeight="false" outlineLevel="0" collapsed="false">
      <c r="A67" s="11" t="s">
        <v>563</v>
      </c>
      <c r="B67" s="12" t="s">
        <v>564</v>
      </c>
      <c r="C67" s="11" t="s">
        <v>565</v>
      </c>
      <c r="D67" s="13" t="n">
        <v>1</v>
      </c>
      <c r="E67" s="37" t="n">
        <f aca="false">ROUND(D67*8/$B$63,4)</f>
        <v>0.4</v>
      </c>
      <c r="F67" s="21" t="n">
        <f aca="false">'MANO DE OBRA 2026'!$C$16</f>
        <v>28.95</v>
      </c>
      <c r="G67" s="14" t="n">
        <f aca="false">ROUND(E67*F67,2)</f>
        <v>11.58</v>
      </c>
      <c r="H67" s="15" t="s">
        <v>566</v>
      </c>
    </row>
    <row r="68" customFormat="false" ht="15" hidden="false" customHeight="false" outlineLevel="0" collapsed="false">
      <c r="A68" s="11" t="s">
        <v>567</v>
      </c>
      <c r="B68" s="12" t="s">
        <v>568</v>
      </c>
      <c r="C68" s="11" t="s">
        <v>565</v>
      </c>
      <c r="D68" s="13" t="n">
        <v>0.5</v>
      </c>
      <c r="E68" s="37" t="n">
        <f aca="false">ROUND(D68*8/$B$63,4)</f>
        <v>0.2</v>
      </c>
      <c r="F68" s="21" t="n">
        <f aca="false">'MANO DE OBRA 2026'!$E$16</f>
        <v>20.54</v>
      </c>
      <c r="G68" s="14" t="n">
        <f aca="false">ROUND(E68*F68,2)</f>
        <v>4.11</v>
      </c>
      <c r="H68" s="15" t="s">
        <v>566</v>
      </c>
    </row>
    <row r="69" customFormat="false" ht="15" hidden="false" customHeight="false" outlineLevel="0" collapsed="false">
      <c r="A69" s="22"/>
      <c r="B69" s="23" t="s">
        <v>569</v>
      </c>
      <c r="C69" s="22"/>
      <c r="D69" s="22"/>
      <c r="E69" s="22"/>
      <c r="F69" s="22"/>
      <c r="G69" s="28" t="n">
        <f aca="false">SUM(G67:G68)</f>
        <v>15.69</v>
      </c>
      <c r="H69" s="22"/>
    </row>
    <row r="70" customFormat="false" ht="15" hidden="false" customHeight="true" outlineLevel="0" collapsed="false">
      <c r="A70" s="23" t="s">
        <v>570</v>
      </c>
      <c r="B70" s="23"/>
      <c r="C70" s="23"/>
      <c r="D70" s="23"/>
      <c r="E70" s="23"/>
      <c r="F70" s="23"/>
      <c r="G70" s="23"/>
      <c r="H70" s="23"/>
    </row>
    <row r="71" customFormat="false" ht="15" hidden="false" customHeight="true" outlineLevel="0" collapsed="false">
      <c r="A71" s="11" t="s">
        <v>298</v>
      </c>
      <c r="B71" s="12" t="s">
        <v>299</v>
      </c>
      <c r="C71" s="11" t="s">
        <v>20</v>
      </c>
      <c r="D71" s="12"/>
      <c r="E71" s="38" t="n">
        <v>1</v>
      </c>
      <c r="F71" s="14" t="n">
        <f aca="false">'PRECIOS DE INSUMOS'!$H$16</f>
        <v>16.95</v>
      </c>
      <c r="G71" s="14" t="n">
        <f aca="false">ROUND(E71*F71,2)</f>
        <v>16.95</v>
      </c>
      <c r="H71" s="15" t="s">
        <v>584</v>
      </c>
    </row>
    <row r="72" customFormat="false" ht="15" hidden="false" customHeight="true" outlineLevel="0" collapsed="false">
      <c r="A72" s="11" t="s">
        <v>451</v>
      </c>
      <c r="B72" s="12" t="s">
        <v>452</v>
      </c>
      <c r="C72" s="11" t="s">
        <v>20</v>
      </c>
      <c r="D72" s="12"/>
      <c r="E72" s="38" t="n">
        <v>0.25</v>
      </c>
      <c r="F72" s="14" t="n">
        <f aca="false">'PRECIOS DE INSUMOS'!$H$48</f>
        <v>2.46</v>
      </c>
      <c r="G72" s="14" t="n">
        <f aca="false">ROUND(E72*F72,2)</f>
        <v>0.62</v>
      </c>
      <c r="H72" s="15" t="s">
        <v>589</v>
      </c>
    </row>
    <row r="73" customFormat="false" ht="15" hidden="false" customHeight="false" outlineLevel="0" collapsed="false">
      <c r="A73" s="22"/>
      <c r="B73" s="23" t="s">
        <v>573</v>
      </c>
      <c r="C73" s="22"/>
      <c r="D73" s="22"/>
      <c r="E73" s="22"/>
      <c r="F73" s="22"/>
      <c r="G73" s="28" t="n">
        <f aca="false">SUM(G71:G72)</f>
        <v>17.57</v>
      </c>
      <c r="H73" s="22"/>
    </row>
    <row r="74" customFormat="false" ht="15" hidden="false" customHeight="true" outlineLevel="0" collapsed="false">
      <c r="A74" s="23" t="s">
        <v>574</v>
      </c>
      <c r="B74" s="23"/>
      <c r="C74" s="23"/>
      <c r="D74" s="23"/>
      <c r="E74" s="23"/>
      <c r="F74" s="23"/>
      <c r="G74" s="23"/>
      <c r="H74" s="23"/>
    </row>
    <row r="75" customFormat="false" ht="15" hidden="false" customHeight="false" outlineLevel="0" collapsed="false">
      <c r="A75" s="11" t="s">
        <v>575</v>
      </c>
      <c r="B75" s="12" t="s">
        <v>576</v>
      </c>
      <c r="C75" s="11" t="s">
        <v>577</v>
      </c>
      <c r="D75" s="12"/>
      <c r="E75" s="13" t="n">
        <v>3</v>
      </c>
      <c r="F75" s="14" t="n">
        <f aca="false">G69</f>
        <v>15.69</v>
      </c>
      <c r="G75" s="14" t="n">
        <f aca="false">ROUND(E75/100*F75,2)</f>
        <v>0.47</v>
      </c>
      <c r="H75" s="15" t="s">
        <v>578</v>
      </c>
    </row>
    <row r="76" customFormat="false" ht="15" hidden="false" customHeight="false" outlineLevel="0" collapsed="false">
      <c r="A76" s="22"/>
      <c r="B76" s="23" t="s">
        <v>579</v>
      </c>
      <c r="C76" s="22"/>
      <c r="D76" s="22"/>
      <c r="E76" s="22"/>
      <c r="F76" s="22"/>
      <c r="G76" s="28" t="n">
        <f aca="false">SUM(G75:G75)</f>
        <v>0.47</v>
      </c>
      <c r="H76" s="22"/>
    </row>
    <row r="77" customFormat="false" ht="15" hidden="false" customHeight="false" outlineLevel="0" collapsed="false">
      <c r="A77" s="16" t="s">
        <v>586</v>
      </c>
      <c r="B77" s="16"/>
      <c r="C77" s="16"/>
      <c r="D77" s="16"/>
      <c r="E77" s="16"/>
      <c r="F77" s="16"/>
      <c r="G77" s="17" t="n">
        <f aca="false">G69+G73+G76</f>
        <v>33.73</v>
      </c>
      <c r="H77" s="18"/>
    </row>
    <row r="80" customFormat="false" ht="30" hidden="false" customHeight="true" outlineLevel="0" collapsed="false">
      <c r="A80" s="6" t="s">
        <v>618</v>
      </c>
      <c r="B80" s="6"/>
      <c r="C80" s="6"/>
      <c r="D80" s="6"/>
      <c r="E80" s="6"/>
      <c r="F80" s="6"/>
      <c r="G80" s="6"/>
      <c r="H80" s="6"/>
    </row>
    <row r="81" customFormat="false" ht="25.5" hidden="false" customHeight="true" outlineLevel="0" collapsed="false">
      <c r="A81" s="23" t="s">
        <v>551</v>
      </c>
      <c r="B81" s="39" t="n">
        <v>8</v>
      </c>
      <c r="C81" s="20" t="s">
        <v>552</v>
      </c>
      <c r="D81" s="33" t="n">
        <f aca="false">SUM(E85:E86)</f>
        <v>1.5</v>
      </c>
      <c r="E81" s="20" t="s">
        <v>553</v>
      </c>
      <c r="F81" s="33" t="n">
        <f aca="false">SUMIF(C93:C93,"hm",E93:E93)</f>
        <v>0</v>
      </c>
      <c r="G81" s="20" t="s">
        <v>582</v>
      </c>
      <c r="H81" s="34" t="n">
        <f aca="false">G95</f>
        <v>62.12</v>
      </c>
    </row>
    <row r="82" customFormat="false" ht="15" hidden="false" customHeight="true" outlineLevel="0" collapsed="false">
      <c r="A82" s="23" t="s">
        <v>555</v>
      </c>
      <c r="B82" s="40" t="n">
        <v>1</v>
      </c>
      <c r="C82" s="36" t="s">
        <v>616</v>
      </c>
      <c r="D82" s="36"/>
      <c r="E82" s="36"/>
      <c r="F82" s="36"/>
      <c r="G82" s="36"/>
      <c r="H82" s="36"/>
    </row>
    <row r="83" customFormat="false" ht="15" hidden="false" customHeight="false" outlineLevel="0" collapsed="false">
      <c r="A83" s="4" t="s">
        <v>240</v>
      </c>
      <c r="B83" s="4" t="s">
        <v>557</v>
      </c>
      <c r="C83" s="4" t="s">
        <v>5</v>
      </c>
      <c r="D83" s="4" t="s">
        <v>558</v>
      </c>
      <c r="E83" s="4" t="s">
        <v>559</v>
      </c>
      <c r="F83" s="4" t="s">
        <v>560</v>
      </c>
      <c r="G83" s="4" t="s">
        <v>561</v>
      </c>
      <c r="H83" s="4" t="s">
        <v>223</v>
      </c>
    </row>
    <row r="84" customFormat="false" ht="15" hidden="false" customHeight="true" outlineLevel="0" collapsed="false">
      <c r="A84" s="23" t="s">
        <v>562</v>
      </c>
      <c r="B84" s="23"/>
      <c r="C84" s="23"/>
      <c r="D84" s="23"/>
      <c r="E84" s="23"/>
      <c r="F84" s="23"/>
      <c r="G84" s="23"/>
      <c r="H84" s="23"/>
    </row>
    <row r="85" customFormat="false" ht="15" hidden="false" customHeight="false" outlineLevel="0" collapsed="false">
      <c r="A85" s="11" t="s">
        <v>563</v>
      </c>
      <c r="B85" s="12" t="s">
        <v>564</v>
      </c>
      <c r="C85" s="11" t="s">
        <v>565</v>
      </c>
      <c r="D85" s="13" t="n">
        <v>1</v>
      </c>
      <c r="E85" s="37" t="n">
        <f aca="false">ROUND(D85*8/$B$81,4)</f>
        <v>1</v>
      </c>
      <c r="F85" s="21" t="n">
        <f aca="false">'MANO DE OBRA 2026'!$C$16</f>
        <v>28.95</v>
      </c>
      <c r="G85" s="14" t="n">
        <f aca="false">ROUND(E85*F85,2)</f>
        <v>28.95</v>
      </c>
      <c r="H85" s="15" t="s">
        <v>566</v>
      </c>
    </row>
    <row r="86" customFormat="false" ht="15" hidden="false" customHeight="false" outlineLevel="0" collapsed="false">
      <c r="A86" s="11" t="s">
        <v>567</v>
      </c>
      <c r="B86" s="12" t="s">
        <v>568</v>
      </c>
      <c r="C86" s="11" t="s">
        <v>565</v>
      </c>
      <c r="D86" s="13" t="n">
        <v>0.5</v>
      </c>
      <c r="E86" s="37" t="n">
        <f aca="false">ROUND(D86*8/$B$81,4)</f>
        <v>0.5</v>
      </c>
      <c r="F86" s="21" t="n">
        <f aca="false">'MANO DE OBRA 2026'!$E$16</f>
        <v>20.54</v>
      </c>
      <c r="G86" s="14" t="n">
        <f aca="false">ROUND(E86*F86,2)</f>
        <v>10.27</v>
      </c>
      <c r="H86" s="15" t="s">
        <v>566</v>
      </c>
    </row>
    <row r="87" customFormat="false" ht="15" hidden="false" customHeight="false" outlineLevel="0" collapsed="false">
      <c r="A87" s="22"/>
      <c r="B87" s="23" t="s">
        <v>569</v>
      </c>
      <c r="C87" s="22"/>
      <c r="D87" s="22"/>
      <c r="E87" s="22"/>
      <c r="F87" s="22"/>
      <c r="G87" s="28" t="n">
        <f aca="false">SUM(G85:G86)</f>
        <v>39.22</v>
      </c>
      <c r="H87" s="22"/>
    </row>
    <row r="88" customFormat="false" ht="15" hidden="false" customHeight="true" outlineLevel="0" collapsed="false">
      <c r="A88" s="23" t="s">
        <v>570</v>
      </c>
      <c r="B88" s="23"/>
      <c r="C88" s="23"/>
      <c r="D88" s="23"/>
      <c r="E88" s="23"/>
      <c r="F88" s="23"/>
      <c r="G88" s="23"/>
      <c r="H88" s="23"/>
    </row>
    <row r="89" customFormat="false" ht="15" hidden="false" customHeight="true" outlineLevel="0" collapsed="false">
      <c r="A89" s="11" t="s">
        <v>348</v>
      </c>
      <c r="B89" s="12" t="s">
        <v>349</v>
      </c>
      <c r="C89" s="11" t="s">
        <v>20</v>
      </c>
      <c r="D89" s="12"/>
      <c r="E89" s="38" t="n">
        <v>1</v>
      </c>
      <c r="F89" s="14" t="n">
        <f aca="false">'PRECIOS DE INSUMOS'!$H$27</f>
        <v>21.1</v>
      </c>
      <c r="G89" s="14" t="n">
        <f aca="false">ROUND(E89*F89,2)</f>
        <v>21.1</v>
      </c>
      <c r="H89" s="15" t="s">
        <v>584</v>
      </c>
    </row>
    <row r="90" customFormat="false" ht="15" hidden="false" customHeight="true" outlineLevel="0" collapsed="false">
      <c r="A90" s="11" t="s">
        <v>451</v>
      </c>
      <c r="B90" s="12" t="s">
        <v>452</v>
      </c>
      <c r="C90" s="11" t="s">
        <v>20</v>
      </c>
      <c r="D90" s="12"/>
      <c r="E90" s="38" t="n">
        <v>0.25</v>
      </c>
      <c r="F90" s="14" t="n">
        <f aca="false">'PRECIOS DE INSUMOS'!$H$48</f>
        <v>2.46</v>
      </c>
      <c r="G90" s="14" t="n">
        <f aca="false">ROUND(E90*F90,2)</f>
        <v>0.62</v>
      </c>
      <c r="H90" s="15" t="s">
        <v>589</v>
      </c>
    </row>
    <row r="91" customFormat="false" ht="15" hidden="false" customHeight="false" outlineLevel="0" collapsed="false">
      <c r="A91" s="22"/>
      <c r="B91" s="23" t="s">
        <v>573</v>
      </c>
      <c r="C91" s="22"/>
      <c r="D91" s="22"/>
      <c r="E91" s="22"/>
      <c r="F91" s="22"/>
      <c r="G91" s="28" t="n">
        <f aca="false">SUM(G89:G90)</f>
        <v>21.72</v>
      </c>
      <c r="H91" s="22"/>
    </row>
    <row r="92" customFormat="false" ht="15" hidden="false" customHeight="true" outlineLevel="0" collapsed="false">
      <c r="A92" s="23" t="s">
        <v>574</v>
      </c>
      <c r="B92" s="23"/>
      <c r="C92" s="23"/>
      <c r="D92" s="23"/>
      <c r="E92" s="23"/>
      <c r="F92" s="23"/>
      <c r="G92" s="23"/>
      <c r="H92" s="23"/>
    </row>
    <row r="93" customFormat="false" ht="15" hidden="false" customHeight="false" outlineLevel="0" collapsed="false">
      <c r="A93" s="11" t="s">
        <v>575</v>
      </c>
      <c r="B93" s="12" t="s">
        <v>576</v>
      </c>
      <c r="C93" s="11" t="s">
        <v>577</v>
      </c>
      <c r="D93" s="12"/>
      <c r="E93" s="13" t="n">
        <v>3</v>
      </c>
      <c r="F93" s="14" t="n">
        <f aca="false">G87</f>
        <v>39.22</v>
      </c>
      <c r="G93" s="14" t="n">
        <f aca="false">ROUND(E93/100*F93,2)</f>
        <v>1.18</v>
      </c>
      <c r="H93" s="15" t="s">
        <v>578</v>
      </c>
    </row>
    <row r="94" customFormat="false" ht="15" hidden="false" customHeight="false" outlineLevel="0" collapsed="false">
      <c r="A94" s="22"/>
      <c r="B94" s="23" t="s">
        <v>579</v>
      </c>
      <c r="C94" s="22"/>
      <c r="D94" s="22"/>
      <c r="E94" s="22"/>
      <c r="F94" s="22"/>
      <c r="G94" s="28" t="n">
        <f aca="false">SUM(G93:G93)</f>
        <v>1.18</v>
      </c>
      <c r="H94" s="22"/>
    </row>
    <row r="95" customFormat="false" ht="15" hidden="false" customHeight="false" outlineLevel="0" collapsed="false">
      <c r="A95" s="16" t="s">
        <v>586</v>
      </c>
      <c r="B95" s="16"/>
      <c r="C95" s="16"/>
      <c r="D95" s="16"/>
      <c r="E95" s="16"/>
      <c r="F95" s="16"/>
      <c r="G95" s="17" t="n">
        <f aca="false">G87+G91+G94</f>
        <v>62.12</v>
      </c>
      <c r="H95" s="18"/>
    </row>
    <row r="98" customFormat="false" ht="30" hidden="false" customHeight="true" outlineLevel="0" collapsed="false">
      <c r="A98" s="6" t="s">
        <v>619</v>
      </c>
      <c r="B98" s="6"/>
      <c r="C98" s="6"/>
      <c r="D98" s="6"/>
      <c r="E98" s="6"/>
      <c r="F98" s="6"/>
      <c r="G98" s="6"/>
      <c r="H98" s="6"/>
    </row>
    <row r="99" customFormat="false" ht="25.5" hidden="false" customHeight="true" outlineLevel="0" collapsed="false">
      <c r="A99" s="23" t="s">
        <v>551</v>
      </c>
      <c r="B99" s="39" t="n">
        <v>20</v>
      </c>
      <c r="C99" s="20" t="s">
        <v>552</v>
      </c>
      <c r="D99" s="33" t="n">
        <f aca="false">SUM(E103:E104)</f>
        <v>0.6</v>
      </c>
      <c r="E99" s="20" t="s">
        <v>553</v>
      </c>
      <c r="F99" s="33" t="n">
        <f aca="false">SUMIF(C111:C111,"hm",E111:E111)</f>
        <v>0</v>
      </c>
      <c r="G99" s="20" t="s">
        <v>582</v>
      </c>
      <c r="H99" s="34" t="n">
        <f aca="false">G113</f>
        <v>32.45</v>
      </c>
    </row>
    <row r="100" customFormat="false" ht="15" hidden="false" customHeight="true" outlineLevel="0" collapsed="false">
      <c r="A100" s="23" t="s">
        <v>555</v>
      </c>
      <c r="B100" s="40" t="n">
        <v>1</v>
      </c>
      <c r="C100" s="36" t="s">
        <v>603</v>
      </c>
      <c r="D100" s="36"/>
      <c r="E100" s="36"/>
      <c r="F100" s="36"/>
      <c r="G100" s="36"/>
      <c r="H100" s="36"/>
    </row>
    <row r="101" customFormat="false" ht="15" hidden="false" customHeight="false" outlineLevel="0" collapsed="false">
      <c r="A101" s="4" t="s">
        <v>240</v>
      </c>
      <c r="B101" s="4" t="s">
        <v>557</v>
      </c>
      <c r="C101" s="4" t="s">
        <v>5</v>
      </c>
      <c r="D101" s="4" t="s">
        <v>558</v>
      </c>
      <c r="E101" s="4" t="s">
        <v>559</v>
      </c>
      <c r="F101" s="4" t="s">
        <v>560</v>
      </c>
      <c r="G101" s="4" t="s">
        <v>561</v>
      </c>
      <c r="H101" s="4" t="s">
        <v>223</v>
      </c>
    </row>
    <row r="102" customFormat="false" ht="15" hidden="false" customHeight="true" outlineLevel="0" collapsed="false">
      <c r="A102" s="23" t="s">
        <v>562</v>
      </c>
      <c r="B102" s="23"/>
      <c r="C102" s="23"/>
      <c r="D102" s="23"/>
      <c r="E102" s="23"/>
      <c r="F102" s="23"/>
      <c r="G102" s="23"/>
      <c r="H102" s="23"/>
    </row>
    <row r="103" customFormat="false" ht="15" hidden="false" customHeight="false" outlineLevel="0" collapsed="false">
      <c r="A103" s="11" t="s">
        <v>563</v>
      </c>
      <c r="B103" s="12" t="s">
        <v>564</v>
      </c>
      <c r="C103" s="11" t="s">
        <v>565</v>
      </c>
      <c r="D103" s="13" t="n">
        <v>1</v>
      </c>
      <c r="E103" s="37" t="n">
        <f aca="false">ROUND(D103*8/$B$99,4)</f>
        <v>0.4</v>
      </c>
      <c r="F103" s="21" t="n">
        <f aca="false">'MANO DE OBRA 2026'!$C$16</f>
        <v>28.95</v>
      </c>
      <c r="G103" s="14" t="n">
        <f aca="false">ROUND(E103*F103,2)</f>
        <v>11.58</v>
      </c>
      <c r="H103" s="15" t="s">
        <v>566</v>
      </c>
    </row>
    <row r="104" customFormat="false" ht="15" hidden="false" customHeight="false" outlineLevel="0" collapsed="false">
      <c r="A104" s="11" t="s">
        <v>567</v>
      </c>
      <c r="B104" s="12" t="s">
        <v>568</v>
      </c>
      <c r="C104" s="11" t="s">
        <v>565</v>
      </c>
      <c r="D104" s="13" t="n">
        <v>0.5</v>
      </c>
      <c r="E104" s="37" t="n">
        <f aca="false">ROUND(D104*8/$B$99,4)</f>
        <v>0.2</v>
      </c>
      <c r="F104" s="21" t="n">
        <f aca="false">'MANO DE OBRA 2026'!$E$16</f>
        <v>20.54</v>
      </c>
      <c r="G104" s="14" t="n">
        <f aca="false">ROUND(E104*F104,2)</f>
        <v>4.11</v>
      </c>
      <c r="H104" s="15" t="s">
        <v>566</v>
      </c>
    </row>
    <row r="105" customFormat="false" ht="15" hidden="false" customHeight="false" outlineLevel="0" collapsed="false">
      <c r="A105" s="22"/>
      <c r="B105" s="23" t="s">
        <v>569</v>
      </c>
      <c r="C105" s="22"/>
      <c r="D105" s="22"/>
      <c r="E105" s="22"/>
      <c r="F105" s="22"/>
      <c r="G105" s="28" t="n">
        <f aca="false">SUM(G103:G104)</f>
        <v>15.69</v>
      </c>
      <c r="H105" s="22"/>
    </row>
    <row r="106" customFormat="false" ht="15" hidden="false" customHeight="true" outlineLevel="0" collapsed="false">
      <c r="A106" s="23" t="s">
        <v>570</v>
      </c>
      <c r="B106" s="23"/>
      <c r="C106" s="23"/>
      <c r="D106" s="23"/>
      <c r="E106" s="23"/>
      <c r="F106" s="23"/>
      <c r="G106" s="23"/>
      <c r="H106" s="23"/>
    </row>
    <row r="107" customFormat="false" ht="15" hidden="false" customHeight="true" outlineLevel="0" collapsed="false">
      <c r="A107" s="11" t="s">
        <v>289</v>
      </c>
      <c r="B107" s="12" t="s">
        <v>290</v>
      </c>
      <c r="C107" s="11" t="s">
        <v>20</v>
      </c>
      <c r="D107" s="12"/>
      <c r="E107" s="38" t="n">
        <v>1</v>
      </c>
      <c r="F107" s="14" t="n">
        <f aca="false">'PRECIOS DE INSUMOS'!$H$14</f>
        <v>13.14</v>
      </c>
      <c r="G107" s="14" t="n">
        <f aca="false">ROUND(E107*F107,2)</f>
        <v>13.14</v>
      </c>
      <c r="H107" s="15" t="s">
        <v>584</v>
      </c>
    </row>
    <row r="108" customFormat="false" ht="15" hidden="false" customHeight="true" outlineLevel="0" collapsed="false">
      <c r="A108" s="11" t="s">
        <v>445</v>
      </c>
      <c r="B108" s="12" t="s">
        <v>446</v>
      </c>
      <c r="C108" s="11" t="s">
        <v>447</v>
      </c>
      <c r="D108" s="12"/>
      <c r="E108" s="38" t="n">
        <v>0.015</v>
      </c>
      <c r="F108" s="14" t="n">
        <f aca="false">'PRECIOS DE INSUMOS'!$H$47</f>
        <v>209.83</v>
      </c>
      <c r="G108" s="14" t="n">
        <f aca="false">ROUND(E108*F108,2)</f>
        <v>3.15</v>
      </c>
      <c r="H108" s="15" t="s">
        <v>606</v>
      </c>
    </row>
    <row r="109" customFormat="false" ht="15" hidden="false" customHeight="false" outlineLevel="0" collapsed="false">
      <c r="A109" s="22"/>
      <c r="B109" s="23" t="s">
        <v>573</v>
      </c>
      <c r="C109" s="22"/>
      <c r="D109" s="22"/>
      <c r="E109" s="22"/>
      <c r="F109" s="22"/>
      <c r="G109" s="28" t="n">
        <f aca="false">SUM(G107:G108)</f>
        <v>16.29</v>
      </c>
      <c r="H109" s="22"/>
    </row>
    <row r="110" customFormat="false" ht="15" hidden="false" customHeight="true" outlineLevel="0" collapsed="false">
      <c r="A110" s="23" t="s">
        <v>574</v>
      </c>
      <c r="B110" s="23"/>
      <c r="C110" s="23"/>
      <c r="D110" s="23"/>
      <c r="E110" s="23"/>
      <c r="F110" s="23"/>
      <c r="G110" s="23"/>
      <c r="H110" s="23"/>
    </row>
    <row r="111" customFormat="false" ht="15" hidden="false" customHeight="false" outlineLevel="0" collapsed="false">
      <c r="A111" s="11" t="s">
        <v>575</v>
      </c>
      <c r="B111" s="12" t="s">
        <v>576</v>
      </c>
      <c r="C111" s="11" t="s">
        <v>577</v>
      </c>
      <c r="D111" s="12"/>
      <c r="E111" s="13" t="n">
        <v>3</v>
      </c>
      <c r="F111" s="14" t="n">
        <f aca="false">G105</f>
        <v>15.69</v>
      </c>
      <c r="G111" s="14" t="n">
        <f aca="false">ROUND(E111/100*F111,2)</f>
        <v>0.47</v>
      </c>
      <c r="H111" s="15" t="s">
        <v>578</v>
      </c>
    </row>
    <row r="112" customFormat="false" ht="15" hidden="false" customHeight="false" outlineLevel="0" collapsed="false">
      <c r="A112" s="22"/>
      <c r="B112" s="23" t="s">
        <v>579</v>
      </c>
      <c r="C112" s="22"/>
      <c r="D112" s="22"/>
      <c r="E112" s="22"/>
      <c r="F112" s="22"/>
      <c r="G112" s="28" t="n">
        <f aca="false">SUM(G111:G111)</f>
        <v>0.47</v>
      </c>
      <c r="H112" s="22"/>
    </row>
    <row r="113" customFormat="false" ht="15" hidden="false" customHeight="false" outlineLevel="0" collapsed="false">
      <c r="A113" s="16" t="s">
        <v>586</v>
      </c>
      <c r="B113" s="16"/>
      <c r="C113" s="16"/>
      <c r="D113" s="16"/>
      <c r="E113" s="16"/>
      <c r="F113" s="16"/>
      <c r="G113" s="17" t="n">
        <f aca="false">G105+G109+G112</f>
        <v>32.45</v>
      </c>
      <c r="H113" s="18"/>
    </row>
    <row r="116" customFormat="false" ht="30" hidden="false" customHeight="true" outlineLevel="0" collapsed="false">
      <c r="A116" s="6" t="s">
        <v>620</v>
      </c>
      <c r="B116" s="6"/>
      <c r="C116" s="6"/>
      <c r="D116" s="6"/>
      <c r="E116" s="6"/>
      <c r="F116" s="6"/>
      <c r="G116" s="6"/>
      <c r="H116" s="6"/>
    </row>
    <row r="117" customFormat="false" ht="25.5" hidden="false" customHeight="true" outlineLevel="0" collapsed="false">
      <c r="A117" s="23" t="s">
        <v>551</v>
      </c>
      <c r="B117" s="39" t="n">
        <v>20</v>
      </c>
      <c r="C117" s="20" t="s">
        <v>552</v>
      </c>
      <c r="D117" s="33" t="n">
        <f aca="false">SUM(E121:E122)</f>
        <v>0.6</v>
      </c>
      <c r="E117" s="20" t="s">
        <v>553</v>
      </c>
      <c r="F117" s="33" t="n">
        <f aca="false">SUMIF(C129:C129,"hm",E129:E129)</f>
        <v>0</v>
      </c>
      <c r="G117" s="20" t="s">
        <v>582</v>
      </c>
      <c r="H117" s="34" t="n">
        <f aca="false">G131</f>
        <v>20.51</v>
      </c>
    </row>
    <row r="118" customFormat="false" ht="15" hidden="false" customHeight="true" outlineLevel="0" collapsed="false">
      <c r="A118" s="23" t="s">
        <v>555</v>
      </c>
      <c r="B118" s="40" t="n">
        <v>7</v>
      </c>
      <c r="C118" s="36" t="s">
        <v>603</v>
      </c>
      <c r="D118" s="36"/>
      <c r="E118" s="36"/>
      <c r="F118" s="36"/>
      <c r="G118" s="36"/>
      <c r="H118" s="36"/>
    </row>
    <row r="119" customFormat="false" ht="15" hidden="false" customHeight="false" outlineLevel="0" collapsed="false">
      <c r="A119" s="4" t="s">
        <v>240</v>
      </c>
      <c r="B119" s="4" t="s">
        <v>557</v>
      </c>
      <c r="C119" s="4" t="s">
        <v>5</v>
      </c>
      <c r="D119" s="4" t="s">
        <v>558</v>
      </c>
      <c r="E119" s="4" t="s">
        <v>559</v>
      </c>
      <c r="F119" s="4" t="s">
        <v>560</v>
      </c>
      <c r="G119" s="4" t="s">
        <v>561</v>
      </c>
      <c r="H119" s="4" t="s">
        <v>223</v>
      </c>
    </row>
    <row r="120" customFormat="false" ht="15" hidden="false" customHeight="true" outlineLevel="0" collapsed="false">
      <c r="A120" s="23" t="s">
        <v>562</v>
      </c>
      <c r="B120" s="23"/>
      <c r="C120" s="23"/>
      <c r="D120" s="23"/>
      <c r="E120" s="23"/>
      <c r="F120" s="23"/>
      <c r="G120" s="23"/>
      <c r="H120" s="23"/>
    </row>
    <row r="121" customFormat="false" ht="15" hidden="false" customHeight="false" outlineLevel="0" collapsed="false">
      <c r="A121" s="11" t="s">
        <v>563</v>
      </c>
      <c r="B121" s="12" t="s">
        <v>564</v>
      </c>
      <c r="C121" s="11" t="s">
        <v>565</v>
      </c>
      <c r="D121" s="13" t="n">
        <v>1</v>
      </c>
      <c r="E121" s="37" t="n">
        <f aca="false">ROUND(D121*8/$B$117,4)</f>
        <v>0.4</v>
      </c>
      <c r="F121" s="21" t="n">
        <f aca="false">'MANO DE OBRA 2026'!$C$16</f>
        <v>28.95</v>
      </c>
      <c r="G121" s="14" t="n">
        <f aca="false">ROUND(E121*F121,2)</f>
        <v>11.58</v>
      </c>
      <c r="H121" s="15" t="s">
        <v>566</v>
      </c>
    </row>
    <row r="122" customFormat="false" ht="15" hidden="false" customHeight="false" outlineLevel="0" collapsed="false">
      <c r="A122" s="11" t="s">
        <v>567</v>
      </c>
      <c r="B122" s="12" t="s">
        <v>568</v>
      </c>
      <c r="C122" s="11" t="s">
        <v>565</v>
      </c>
      <c r="D122" s="13" t="n">
        <v>0.5</v>
      </c>
      <c r="E122" s="37" t="n">
        <f aca="false">ROUND(D122*8/$B$117,4)</f>
        <v>0.2</v>
      </c>
      <c r="F122" s="21" t="n">
        <f aca="false">'MANO DE OBRA 2026'!$E$16</f>
        <v>20.54</v>
      </c>
      <c r="G122" s="14" t="n">
        <f aca="false">ROUND(E122*F122,2)</f>
        <v>4.11</v>
      </c>
      <c r="H122" s="15" t="s">
        <v>566</v>
      </c>
    </row>
    <row r="123" customFormat="false" ht="15" hidden="false" customHeight="false" outlineLevel="0" collapsed="false">
      <c r="A123" s="22"/>
      <c r="B123" s="23" t="s">
        <v>569</v>
      </c>
      <c r="C123" s="22"/>
      <c r="D123" s="22"/>
      <c r="E123" s="22"/>
      <c r="F123" s="22"/>
      <c r="G123" s="28" t="n">
        <f aca="false">SUM(G121:G122)</f>
        <v>15.69</v>
      </c>
      <c r="H123" s="22"/>
    </row>
    <row r="124" customFormat="false" ht="15" hidden="false" customHeight="true" outlineLevel="0" collapsed="false">
      <c r="A124" s="23" t="s">
        <v>570</v>
      </c>
      <c r="B124" s="23"/>
      <c r="C124" s="23"/>
      <c r="D124" s="23"/>
      <c r="E124" s="23"/>
      <c r="F124" s="23"/>
      <c r="G124" s="23"/>
      <c r="H124" s="23"/>
    </row>
    <row r="125" customFormat="false" ht="15" hidden="false" customHeight="true" outlineLevel="0" collapsed="false">
      <c r="A125" s="11" t="s">
        <v>326</v>
      </c>
      <c r="B125" s="12" t="s">
        <v>327</v>
      </c>
      <c r="C125" s="11" t="s">
        <v>20</v>
      </c>
      <c r="D125" s="12"/>
      <c r="E125" s="38" t="n">
        <v>1</v>
      </c>
      <c r="F125" s="14" t="n">
        <f aca="false">'PRECIOS DE INSUMOS'!$H$22</f>
        <v>3.73</v>
      </c>
      <c r="G125" s="14" t="n">
        <f aca="false">ROUND(E125*F125,2)</f>
        <v>3.73</v>
      </c>
      <c r="H125" s="15" t="s">
        <v>584</v>
      </c>
    </row>
    <row r="126" customFormat="false" ht="15" hidden="false" customHeight="true" outlineLevel="0" collapsed="false">
      <c r="A126" s="11" t="s">
        <v>451</v>
      </c>
      <c r="B126" s="12" t="s">
        <v>452</v>
      </c>
      <c r="C126" s="11" t="s">
        <v>20</v>
      </c>
      <c r="D126" s="12"/>
      <c r="E126" s="38" t="n">
        <v>0.25</v>
      </c>
      <c r="F126" s="14" t="n">
        <f aca="false">'PRECIOS DE INSUMOS'!$H$48</f>
        <v>2.46</v>
      </c>
      <c r="G126" s="14" t="n">
        <f aca="false">ROUND(E126*F126,2)</f>
        <v>0.62</v>
      </c>
      <c r="H126" s="15" t="s">
        <v>589</v>
      </c>
    </row>
    <row r="127" customFormat="false" ht="15" hidden="false" customHeight="false" outlineLevel="0" collapsed="false">
      <c r="A127" s="22"/>
      <c r="B127" s="23" t="s">
        <v>573</v>
      </c>
      <c r="C127" s="22"/>
      <c r="D127" s="22"/>
      <c r="E127" s="22"/>
      <c r="F127" s="22"/>
      <c r="G127" s="28" t="n">
        <f aca="false">SUM(G125:G126)</f>
        <v>4.35</v>
      </c>
      <c r="H127" s="22"/>
    </row>
    <row r="128" customFormat="false" ht="15" hidden="false" customHeight="true" outlineLevel="0" collapsed="false">
      <c r="A128" s="23" t="s">
        <v>574</v>
      </c>
      <c r="B128" s="23"/>
      <c r="C128" s="23"/>
      <c r="D128" s="23"/>
      <c r="E128" s="23"/>
      <c r="F128" s="23"/>
      <c r="G128" s="23"/>
      <c r="H128" s="23"/>
    </row>
    <row r="129" customFormat="false" ht="15" hidden="false" customHeight="false" outlineLevel="0" collapsed="false">
      <c r="A129" s="11" t="s">
        <v>575</v>
      </c>
      <c r="B129" s="12" t="s">
        <v>576</v>
      </c>
      <c r="C129" s="11" t="s">
        <v>577</v>
      </c>
      <c r="D129" s="12"/>
      <c r="E129" s="13" t="n">
        <v>3</v>
      </c>
      <c r="F129" s="14" t="n">
        <f aca="false">G123</f>
        <v>15.69</v>
      </c>
      <c r="G129" s="14" t="n">
        <f aca="false">ROUND(E129/100*F129,2)</f>
        <v>0.47</v>
      </c>
      <c r="H129" s="15" t="s">
        <v>578</v>
      </c>
    </row>
    <row r="130" customFormat="false" ht="15" hidden="false" customHeight="false" outlineLevel="0" collapsed="false">
      <c r="A130" s="22"/>
      <c r="B130" s="23" t="s">
        <v>579</v>
      </c>
      <c r="C130" s="22"/>
      <c r="D130" s="22"/>
      <c r="E130" s="22"/>
      <c r="F130" s="22"/>
      <c r="G130" s="28" t="n">
        <f aca="false">SUM(G129:G129)</f>
        <v>0.47</v>
      </c>
      <c r="H130" s="22"/>
    </row>
    <row r="131" customFormat="false" ht="15" hidden="false" customHeight="false" outlineLevel="0" collapsed="false">
      <c r="A131" s="16" t="s">
        <v>586</v>
      </c>
      <c r="B131" s="16"/>
      <c r="C131" s="16"/>
      <c r="D131" s="16"/>
      <c r="E131" s="16"/>
      <c r="F131" s="16"/>
      <c r="G131" s="17" t="n">
        <f aca="false">G123+G127+G130</f>
        <v>20.51</v>
      </c>
      <c r="H131" s="18"/>
    </row>
    <row r="134" customFormat="false" ht="30" hidden="false" customHeight="true" outlineLevel="0" collapsed="false">
      <c r="A134" s="6" t="s">
        <v>621</v>
      </c>
      <c r="B134" s="6"/>
      <c r="C134" s="6"/>
      <c r="D134" s="6"/>
      <c r="E134" s="6"/>
      <c r="F134" s="6"/>
      <c r="G134" s="6"/>
      <c r="H134" s="6"/>
    </row>
    <row r="135" customFormat="false" ht="25.5" hidden="false" customHeight="true" outlineLevel="0" collapsed="false">
      <c r="A135" s="23" t="s">
        <v>551</v>
      </c>
      <c r="B135" s="39" t="n">
        <v>20</v>
      </c>
      <c r="C135" s="20" t="s">
        <v>552</v>
      </c>
      <c r="D135" s="33" t="n">
        <f aca="false">SUM(E139:E140)</f>
        <v>0.6</v>
      </c>
      <c r="E135" s="20" t="s">
        <v>553</v>
      </c>
      <c r="F135" s="33" t="n">
        <f aca="false">SUMIF(C147:C147,"hm",E147:E147)</f>
        <v>0</v>
      </c>
      <c r="G135" s="20" t="s">
        <v>582</v>
      </c>
      <c r="H135" s="34" t="n">
        <f aca="false">G149</f>
        <v>26.73</v>
      </c>
    </row>
    <row r="136" customFormat="false" ht="15" hidden="false" customHeight="true" outlineLevel="0" collapsed="false">
      <c r="A136" s="23" t="s">
        <v>555</v>
      </c>
      <c r="B136" s="40" t="n">
        <v>1</v>
      </c>
      <c r="C136" s="36" t="s">
        <v>603</v>
      </c>
      <c r="D136" s="36"/>
      <c r="E136" s="36"/>
      <c r="F136" s="36"/>
      <c r="G136" s="36"/>
      <c r="H136" s="36"/>
    </row>
    <row r="137" customFormat="false" ht="15" hidden="false" customHeight="false" outlineLevel="0" collapsed="false">
      <c r="A137" s="4" t="s">
        <v>240</v>
      </c>
      <c r="B137" s="4" t="s">
        <v>557</v>
      </c>
      <c r="C137" s="4" t="s">
        <v>5</v>
      </c>
      <c r="D137" s="4" t="s">
        <v>558</v>
      </c>
      <c r="E137" s="4" t="s">
        <v>559</v>
      </c>
      <c r="F137" s="4" t="s">
        <v>560</v>
      </c>
      <c r="G137" s="4" t="s">
        <v>561</v>
      </c>
      <c r="H137" s="4" t="s">
        <v>223</v>
      </c>
    </row>
    <row r="138" customFormat="false" ht="15" hidden="false" customHeight="true" outlineLevel="0" collapsed="false">
      <c r="A138" s="23" t="s">
        <v>562</v>
      </c>
      <c r="B138" s="23"/>
      <c r="C138" s="23"/>
      <c r="D138" s="23"/>
      <c r="E138" s="23"/>
      <c r="F138" s="23"/>
      <c r="G138" s="23"/>
      <c r="H138" s="23"/>
    </row>
    <row r="139" customFormat="false" ht="15" hidden="false" customHeight="false" outlineLevel="0" collapsed="false">
      <c r="A139" s="11" t="s">
        <v>563</v>
      </c>
      <c r="B139" s="12" t="s">
        <v>564</v>
      </c>
      <c r="C139" s="11" t="s">
        <v>565</v>
      </c>
      <c r="D139" s="13" t="n">
        <v>1</v>
      </c>
      <c r="E139" s="37" t="n">
        <f aca="false">ROUND(D139*8/$B$135,4)</f>
        <v>0.4</v>
      </c>
      <c r="F139" s="21" t="n">
        <f aca="false">'MANO DE OBRA 2026'!$C$16</f>
        <v>28.95</v>
      </c>
      <c r="G139" s="14" t="n">
        <f aca="false">ROUND(E139*F139,2)</f>
        <v>11.58</v>
      </c>
      <c r="H139" s="15" t="s">
        <v>566</v>
      </c>
    </row>
    <row r="140" customFormat="false" ht="15" hidden="false" customHeight="false" outlineLevel="0" collapsed="false">
      <c r="A140" s="11" t="s">
        <v>567</v>
      </c>
      <c r="B140" s="12" t="s">
        <v>568</v>
      </c>
      <c r="C140" s="11" t="s">
        <v>565</v>
      </c>
      <c r="D140" s="13" t="n">
        <v>0.5</v>
      </c>
      <c r="E140" s="37" t="n">
        <f aca="false">ROUND(D140*8/$B$135,4)</f>
        <v>0.2</v>
      </c>
      <c r="F140" s="21" t="n">
        <f aca="false">'MANO DE OBRA 2026'!$E$16</f>
        <v>20.54</v>
      </c>
      <c r="G140" s="14" t="n">
        <f aca="false">ROUND(E140*F140,2)</f>
        <v>4.11</v>
      </c>
      <c r="H140" s="15" t="s">
        <v>566</v>
      </c>
    </row>
    <row r="141" customFormat="false" ht="15" hidden="false" customHeight="false" outlineLevel="0" collapsed="false">
      <c r="A141" s="22"/>
      <c r="B141" s="23" t="s">
        <v>569</v>
      </c>
      <c r="C141" s="22"/>
      <c r="D141" s="22"/>
      <c r="E141" s="22"/>
      <c r="F141" s="22"/>
      <c r="G141" s="28" t="n">
        <f aca="false">SUM(G139:G140)</f>
        <v>15.69</v>
      </c>
      <c r="H141" s="22"/>
    </row>
    <row r="142" customFormat="false" ht="15" hidden="false" customHeight="true" outlineLevel="0" collapsed="false">
      <c r="A142" s="23" t="s">
        <v>570</v>
      </c>
      <c r="B142" s="23"/>
      <c r="C142" s="23"/>
      <c r="D142" s="23"/>
      <c r="E142" s="23"/>
      <c r="F142" s="23"/>
      <c r="G142" s="23"/>
      <c r="H142" s="23"/>
    </row>
    <row r="143" customFormat="false" ht="15" hidden="false" customHeight="true" outlineLevel="0" collapsed="false">
      <c r="A143" s="11" t="s">
        <v>334</v>
      </c>
      <c r="B143" s="12" t="s">
        <v>335</v>
      </c>
      <c r="C143" s="11" t="s">
        <v>20</v>
      </c>
      <c r="D143" s="12"/>
      <c r="E143" s="38" t="n">
        <v>1</v>
      </c>
      <c r="F143" s="14" t="n">
        <f aca="false">'PRECIOS DE INSUMOS'!$H$24</f>
        <v>8.47</v>
      </c>
      <c r="G143" s="14" t="n">
        <f aca="false">ROUND(E143*F143,2)</f>
        <v>8.47</v>
      </c>
      <c r="H143" s="15" t="s">
        <v>584</v>
      </c>
    </row>
    <row r="144" customFormat="false" ht="15" hidden="false" customHeight="true" outlineLevel="0" collapsed="false">
      <c r="A144" s="11" t="s">
        <v>445</v>
      </c>
      <c r="B144" s="12" t="s">
        <v>446</v>
      </c>
      <c r="C144" s="11" t="s">
        <v>447</v>
      </c>
      <c r="D144" s="12"/>
      <c r="E144" s="38" t="n">
        <v>0.01</v>
      </c>
      <c r="F144" s="14" t="n">
        <f aca="false">'PRECIOS DE INSUMOS'!$H$47</f>
        <v>209.83</v>
      </c>
      <c r="G144" s="14" t="n">
        <f aca="false">ROUND(E144*F144,2)</f>
        <v>2.1</v>
      </c>
      <c r="H144" s="15" t="s">
        <v>614</v>
      </c>
    </row>
    <row r="145" customFormat="false" ht="15" hidden="false" customHeight="false" outlineLevel="0" collapsed="false">
      <c r="A145" s="22"/>
      <c r="B145" s="23" t="s">
        <v>573</v>
      </c>
      <c r="C145" s="22"/>
      <c r="D145" s="22"/>
      <c r="E145" s="22"/>
      <c r="F145" s="22"/>
      <c r="G145" s="28" t="n">
        <f aca="false">SUM(G143:G144)</f>
        <v>10.57</v>
      </c>
      <c r="H145" s="22"/>
    </row>
    <row r="146" customFormat="false" ht="15" hidden="false" customHeight="true" outlineLevel="0" collapsed="false">
      <c r="A146" s="23" t="s">
        <v>574</v>
      </c>
      <c r="B146" s="23"/>
      <c r="C146" s="23"/>
      <c r="D146" s="23"/>
      <c r="E146" s="23"/>
      <c r="F146" s="23"/>
      <c r="G146" s="23"/>
      <c r="H146" s="23"/>
    </row>
    <row r="147" customFormat="false" ht="15" hidden="false" customHeight="false" outlineLevel="0" collapsed="false">
      <c r="A147" s="11" t="s">
        <v>575</v>
      </c>
      <c r="B147" s="12" t="s">
        <v>576</v>
      </c>
      <c r="C147" s="11" t="s">
        <v>577</v>
      </c>
      <c r="D147" s="12"/>
      <c r="E147" s="13" t="n">
        <v>3</v>
      </c>
      <c r="F147" s="14" t="n">
        <f aca="false">G141</f>
        <v>15.69</v>
      </c>
      <c r="G147" s="14" t="n">
        <f aca="false">ROUND(E147/100*F147,2)</f>
        <v>0.47</v>
      </c>
      <c r="H147" s="15" t="s">
        <v>578</v>
      </c>
    </row>
    <row r="148" customFormat="false" ht="15" hidden="false" customHeight="false" outlineLevel="0" collapsed="false">
      <c r="A148" s="22"/>
      <c r="B148" s="23" t="s">
        <v>579</v>
      </c>
      <c r="C148" s="22"/>
      <c r="D148" s="22"/>
      <c r="E148" s="22"/>
      <c r="F148" s="22"/>
      <c r="G148" s="28" t="n">
        <f aca="false">SUM(G147:G147)</f>
        <v>0.47</v>
      </c>
      <c r="H148" s="22"/>
    </row>
    <row r="149" customFormat="false" ht="15" hidden="false" customHeight="false" outlineLevel="0" collapsed="false">
      <c r="A149" s="16" t="s">
        <v>586</v>
      </c>
      <c r="B149" s="16"/>
      <c r="C149" s="16"/>
      <c r="D149" s="16"/>
      <c r="E149" s="16"/>
      <c r="F149" s="16"/>
      <c r="G149" s="17" t="n">
        <f aca="false">G141+G145+G148</f>
        <v>26.73</v>
      </c>
      <c r="H149" s="18"/>
    </row>
    <row r="152" customFormat="false" ht="30" hidden="false" customHeight="true" outlineLevel="0" collapsed="false">
      <c r="A152" s="6" t="s">
        <v>622</v>
      </c>
      <c r="B152" s="6"/>
      <c r="C152" s="6"/>
      <c r="D152" s="6"/>
      <c r="E152" s="6"/>
      <c r="F152" s="6"/>
      <c r="G152" s="6"/>
      <c r="H152" s="6"/>
    </row>
    <row r="153" customFormat="false" ht="25.5" hidden="false" customHeight="true" outlineLevel="0" collapsed="false">
      <c r="A153" s="23" t="s">
        <v>551</v>
      </c>
      <c r="B153" s="39" t="n">
        <v>8</v>
      </c>
      <c r="C153" s="20" t="s">
        <v>552</v>
      </c>
      <c r="D153" s="33" t="n">
        <f aca="false">SUM(E157:E158)</f>
        <v>1.5</v>
      </c>
      <c r="E153" s="20" t="s">
        <v>553</v>
      </c>
      <c r="F153" s="33" t="n">
        <f aca="false">SUMIF(C165:C165,"hm",E165:E165)</f>
        <v>0</v>
      </c>
      <c r="G153" s="20" t="s">
        <v>582</v>
      </c>
      <c r="H153" s="34" t="n">
        <f aca="false">G167</f>
        <v>193.48</v>
      </c>
    </row>
    <row r="154" customFormat="false" ht="15" hidden="false" customHeight="true" outlineLevel="0" collapsed="false">
      <c r="A154" s="23" t="s">
        <v>555</v>
      </c>
      <c r="B154" s="40" t="n">
        <v>1</v>
      </c>
      <c r="C154" s="36" t="s">
        <v>616</v>
      </c>
      <c r="D154" s="36"/>
      <c r="E154" s="36"/>
      <c r="F154" s="36"/>
      <c r="G154" s="36"/>
      <c r="H154" s="36"/>
    </row>
    <row r="155" customFormat="false" ht="15" hidden="false" customHeight="false" outlineLevel="0" collapsed="false">
      <c r="A155" s="4" t="s">
        <v>240</v>
      </c>
      <c r="B155" s="4" t="s">
        <v>557</v>
      </c>
      <c r="C155" s="4" t="s">
        <v>5</v>
      </c>
      <c r="D155" s="4" t="s">
        <v>558</v>
      </c>
      <c r="E155" s="4" t="s">
        <v>559</v>
      </c>
      <c r="F155" s="4" t="s">
        <v>560</v>
      </c>
      <c r="G155" s="4" t="s">
        <v>561</v>
      </c>
      <c r="H155" s="4" t="s">
        <v>223</v>
      </c>
    </row>
    <row r="156" customFormat="false" ht="15" hidden="false" customHeight="true" outlineLevel="0" collapsed="false">
      <c r="A156" s="23" t="s">
        <v>562</v>
      </c>
      <c r="B156" s="23"/>
      <c r="C156" s="23"/>
      <c r="D156" s="23"/>
      <c r="E156" s="23"/>
      <c r="F156" s="23"/>
      <c r="G156" s="23"/>
      <c r="H156" s="23"/>
    </row>
    <row r="157" customFormat="false" ht="15" hidden="false" customHeight="false" outlineLevel="0" collapsed="false">
      <c r="A157" s="11" t="s">
        <v>563</v>
      </c>
      <c r="B157" s="12" t="s">
        <v>564</v>
      </c>
      <c r="C157" s="11" t="s">
        <v>565</v>
      </c>
      <c r="D157" s="13" t="n">
        <v>1</v>
      </c>
      <c r="E157" s="37" t="n">
        <f aca="false">ROUND(D157*8/$B$153,4)</f>
        <v>1</v>
      </c>
      <c r="F157" s="21" t="n">
        <f aca="false">'MANO DE OBRA 2026'!$C$16</f>
        <v>28.95</v>
      </c>
      <c r="G157" s="14" t="n">
        <f aca="false">ROUND(E157*F157,2)</f>
        <v>28.95</v>
      </c>
      <c r="H157" s="15" t="s">
        <v>566</v>
      </c>
    </row>
    <row r="158" customFormat="false" ht="15" hidden="false" customHeight="false" outlineLevel="0" collapsed="false">
      <c r="A158" s="11" t="s">
        <v>567</v>
      </c>
      <c r="B158" s="12" t="s">
        <v>568</v>
      </c>
      <c r="C158" s="11" t="s">
        <v>565</v>
      </c>
      <c r="D158" s="13" t="n">
        <v>0.5</v>
      </c>
      <c r="E158" s="37" t="n">
        <f aca="false">ROUND(D158*8/$B$153,4)</f>
        <v>0.5</v>
      </c>
      <c r="F158" s="21" t="n">
        <f aca="false">'MANO DE OBRA 2026'!$E$16</f>
        <v>20.54</v>
      </c>
      <c r="G158" s="14" t="n">
        <f aca="false">ROUND(E158*F158,2)</f>
        <v>10.27</v>
      </c>
      <c r="H158" s="15" t="s">
        <v>566</v>
      </c>
    </row>
    <row r="159" customFormat="false" ht="15" hidden="false" customHeight="false" outlineLevel="0" collapsed="false">
      <c r="A159" s="22"/>
      <c r="B159" s="23" t="s">
        <v>569</v>
      </c>
      <c r="C159" s="22"/>
      <c r="D159" s="22"/>
      <c r="E159" s="22"/>
      <c r="F159" s="22"/>
      <c r="G159" s="28" t="n">
        <f aca="false">SUM(G157:G158)</f>
        <v>39.22</v>
      </c>
      <c r="H159" s="22"/>
    </row>
    <row r="160" customFormat="false" ht="15" hidden="false" customHeight="true" outlineLevel="0" collapsed="false">
      <c r="A160" s="23" t="s">
        <v>570</v>
      </c>
      <c r="B160" s="23"/>
      <c r="C160" s="23"/>
      <c r="D160" s="23"/>
      <c r="E160" s="23"/>
      <c r="F160" s="23"/>
      <c r="G160" s="23"/>
      <c r="H160" s="23"/>
    </row>
    <row r="161" customFormat="false" ht="15" hidden="false" customHeight="true" outlineLevel="0" collapsed="false">
      <c r="A161" s="11" t="s">
        <v>352</v>
      </c>
      <c r="B161" s="12" t="s">
        <v>353</v>
      </c>
      <c r="C161" s="11" t="s">
        <v>20</v>
      </c>
      <c r="D161" s="12"/>
      <c r="E161" s="38" t="n">
        <v>1</v>
      </c>
      <c r="F161" s="14" t="n">
        <f aca="false">'PRECIOS DE INSUMOS'!$H$28</f>
        <v>152.46</v>
      </c>
      <c r="G161" s="14" t="n">
        <f aca="false">ROUND(E161*F161,2)</f>
        <v>152.46</v>
      </c>
      <c r="H161" s="15" t="s">
        <v>584</v>
      </c>
    </row>
    <row r="162" customFormat="false" ht="15" hidden="false" customHeight="true" outlineLevel="0" collapsed="false">
      <c r="A162" s="11" t="s">
        <v>451</v>
      </c>
      <c r="B162" s="12" t="s">
        <v>452</v>
      </c>
      <c r="C162" s="11" t="s">
        <v>20</v>
      </c>
      <c r="D162" s="12"/>
      <c r="E162" s="38" t="n">
        <v>0.25</v>
      </c>
      <c r="F162" s="14" t="n">
        <f aca="false">'PRECIOS DE INSUMOS'!$H$48</f>
        <v>2.46</v>
      </c>
      <c r="G162" s="14" t="n">
        <f aca="false">ROUND(E162*F162,2)</f>
        <v>0.62</v>
      </c>
      <c r="H162" s="15" t="s">
        <v>589</v>
      </c>
    </row>
    <row r="163" customFormat="false" ht="15" hidden="false" customHeight="false" outlineLevel="0" collapsed="false">
      <c r="A163" s="22"/>
      <c r="B163" s="23" t="s">
        <v>573</v>
      </c>
      <c r="C163" s="22"/>
      <c r="D163" s="22"/>
      <c r="E163" s="22"/>
      <c r="F163" s="22"/>
      <c r="G163" s="28" t="n">
        <f aca="false">SUM(G161:G162)</f>
        <v>153.08</v>
      </c>
      <c r="H163" s="22"/>
    </row>
    <row r="164" customFormat="false" ht="15" hidden="false" customHeight="true" outlineLevel="0" collapsed="false">
      <c r="A164" s="23" t="s">
        <v>574</v>
      </c>
      <c r="B164" s="23"/>
      <c r="C164" s="23"/>
      <c r="D164" s="23"/>
      <c r="E164" s="23"/>
      <c r="F164" s="23"/>
      <c r="G164" s="23"/>
      <c r="H164" s="23"/>
    </row>
    <row r="165" customFormat="false" ht="15" hidden="false" customHeight="false" outlineLevel="0" collapsed="false">
      <c r="A165" s="11" t="s">
        <v>575</v>
      </c>
      <c r="B165" s="12" t="s">
        <v>576</v>
      </c>
      <c r="C165" s="11" t="s">
        <v>577</v>
      </c>
      <c r="D165" s="12"/>
      <c r="E165" s="13" t="n">
        <v>3</v>
      </c>
      <c r="F165" s="14" t="n">
        <f aca="false">G159</f>
        <v>39.22</v>
      </c>
      <c r="G165" s="14" t="n">
        <f aca="false">ROUND(E165/100*F165,2)</f>
        <v>1.18</v>
      </c>
      <c r="H165" s="15" t="s">
        <v>578</v>
      </c>
    </row>
    <row r="166" customFormat="false" ht="15" hidden="false" customHeight="false" outlineLevel="0" collapsed="false">
      <c r="A166" s="22"/>
      <c r="B166" s="23" t="s">
        <v>579</v>
      </c>
      <c r="C166" s="22"/>
      <c r="D166" s="22"/>
      <c r="E166" s="22"/>
      <c r="F166" s="22"/>
      <c r="G166" s="28" t="n">
        <f aca="false">SUM(G165:G165)</f>
        <v>1.18</v>
      </c>
      <c r="H166" s="22"/>
    </row>
    <row r="167" customFormat="false" ht="15" hidden="false" customHeight="false" outlineLevel="0" collapsed="false">
      <c r="A167" s="16" t="s">
        <v>586</v>
      </c>
      <c r="B167" s="16"/>
      <c r="C167" s="16"/>
      <c r="D167" s="16"/>
      <c r="E167" s="16"/>
      <c r="F167" s="16"/>
      <c r="G167" s="17" t="n">
        <f aca="false">G159+G163+G166</f>
        <v>193.48</v>
      </c>
      <c r="H167" s="18"/>
    </row>
    <row r="170" customFormat="false" ht="30" hidden="false" customHeight="true" outlineLevel="0" collapsed="false">
      <c r="A170" s="6" t="s">
        <v>623</v>
      </c>
      <c r="B170" s="6"/>
      <c r="C170" s="6"/>
      <c r="D170" s="6"/>
      <c r="E170" s="6"/>
      <c r="F170" s="6"/>
      <c r="G170" s="6"/>
      <c r="H170" s="6"/>
    </row>
    <row r="171" customFormat="false" ht="25.5" hidden="false" customHeight="true" outlineLevel="0" collapsed="false">
      <c r="A171" s="23" t="s">
        <v>551</v>
      </c>
      <c r="B171" s="39" t="n">
        <v>20</v>
      </c>
      <c r="C171" s="20" t="s">
        <v>552</v>
      </c>
      <c r="D171" s="33" t="n">
        <f aca="false">SUM(E175:E176)</f>
        <v>0.6</v>
      </c>
      <c r="E171" s="20" t="s">
        <v>553</v>
      </c>
      <c r="F171" s="33" t="n">
        <f aca="false">SUMIF(C183:C183,"hm",E183:E183)</f>
        <v>0</v>
      </c>
      <c r="G171" s="20" t="s">
        <v>582</v>
      </c>
      <c r="H171" s="34" t="n">
        <f aca="false">G185</f>
        <v>24.61</v>
      </c>
    </row>
    <row r="172" customFormat="false" ht="15" hidden="false" customHeight="true" outlineLevel="0" collapsed="false">
      <c r="A172" s="23" t="s">
        <v>555</v>
      </c>
      <c r="B172" s="40" t="n">
        <v>1</v>
      </c>
      <c r="C172" s="36" t="s">
        <v>603</v>
      </c>
      <c r="D172" s="36"/>
      <c r="E172" s="36"/>
      <c r="F172" s="36"/>
      <c r="G172" s="36"/>
      <c r="H172" s="36"/>
    </row>
    <row r="173" customFormat="false" ht="15" hidden="false" customHeight="false" outlineLevel="0" collapsed="false">
      <c r="A173" s="4" t="s">
        <v>240</v>
      </c>
      <c r="B173" s="4" t="s">
        <v>557</v>
      </c>
      <c r="C173" s="4" t="s">
        <v>5</v>
      </c>
      <c r="D173" s="4" t="s">
        <v>558</v>
      </c>
      <c r="E173" s="4" t="s">
        <v>559</v>
      </c>
      <c r="F173" s="4" t="s">
        <v>560</v>
      </c>
      <c r="G173" s="4" t="s">
        <v>561</v>
      </c>
      <c r="H173" s="4" t="s">
        <v>223</v>
      </c>
    </row>
    <row r="174" customFormat="false" ht="15" hidden="false" customHeight="true" outlineLevel="0" collapsed="false">
      <c r="A174" s="23" t="s">
        <v>562</v>
      </c>
      <c r="B174" s="23"/>
      <c r="C174" s="23"/>
      <c r="D174" s="23"/>
      <c r="E174" s="23"/>
      <c r="F174" s="23"/>
      <c r="G174" s="23"/>
      <c r="H174" s="23"/>
    </row>
    <row r="175" customFormat="false" ht="15" hidden="false" customHeight="false" outlineLevel="0" collapsed="false">
      <c r="A175" s="11" t="s">
        <v>563</v>
      </c>
      <c r="B175" s="12" t="s">
        <v>564</v>
      </c>
      <c r="C175" s="11" t="s">
        <v>565</v>
      </c>
      <c r="D175" s="13" t="n">
        <v>1</v>
      </c>
      <c r="E175" s="37" t="n">
        <f aca="false">ROUND(D175*8/$B$171,4)</f>
        <v>0.4</v>
      </c>
      <c r="F175" s="21" t="n">
        <f aca="false">'MANO DE OBRA 2026'!$C$16</f>
        <v>28.95</v>
      </c>
      <c r="G175" s="14" t="n">
        <f aca="false">ROUND(E175*F175,2)</f>
        <v>11.58</v>
      </c>
      <c r="H175" s="15" t="s">
        <v>566</v>
      </c>
    </row>
    <row r="176" customFormat="false" ht="15" hidden="false" customHeight="false" outlineLevel="0" collapsed="false">
      <c r="A176" s="11" t="s">
        <v>567</v>
      </c>
      <c r="B176" s="12" t="s">
        <v>568</v>
      </c>
      <c r="C176" s="11" t="s">
        <v>565</v>
      </c>
      <c r="D176" s="13" t="n">
        <v>0.5</v>
      </c>
      <c r="E176" s="37" t="n">
        <f aca="false">ROUND(D176*8/$B$171,4)</f>
        <v>0.2</v>
      </c>
      <c r="F176" s="21" t="n">
        <f aca="false">'MANO DE OBRA 2026'!$E$16</f>
        <v>20.54</v>
      </c>
      <c r="G176" s="14" t="n">
        <f aca="false">ROUND(E176*F176,2)</f>
        <v>4.11</v>
      </c>
      <c r="H176" s="15" t="s">
        <v>566</v>
      </c>
    </row>
    <row r="177" customFormat="false" ht="15" hidden="false" customHeight="false" outlineLevel="0" collapsed="false">
      <c r="A177" s="22"/>
      <c r="B177" s="23" t="s">
        <v>569</v>
      </c>
      <c r="C177" s="22"/>
      <c r="D177" s="22"/>
      <c r="E177" s="22"/>
      <c r="F177" s="22"/>
      <c r="G177" s="28" t="n">
        <f aca="false">SUM(G175:G176)</f>
        <v>15.69</v>
      </c>
      <c r="H177" s="22"/>
    </row>
    <row r="178" customFormat="false" ht="15" hidden="false" customHeight="true" outlineLevel="0" collapsed="false">
      <c r="A178" s="23" t="s">
        <v>570</v>
      </c>
      <c r="B178" s="23"/>
      <c r="C178" s="23"/>
      <c r="D178" s="23"/>
      <c r="E178" s="23"/>
      <c r="F178" s="23"/>
      <c r="G178" s="23"/>
      <c r="H178" s="23"/>
    </row>
    <row r="179" customFormat="false" ht="15" hidden="false" customHeight="true" outlineLevel="0" collapsed="false">
      <c r="A179" s="11" t="s">
        <v>321</v>
      </c>
      <c r="B179" s="12" t="s">
        <v>322</v>
      </c>
      <c r="C179" s="11" t="s">
        <v>20</v>
      </c>
      <c r="D179" s="12"/>
      <c r="E179" s="38" t="n">
        <v>1</v>
      </c>
      <c r="F179" s="14" t="n">
        <f aca="false">'PRECIOS DE INSUMOS'!$H$21</f>
        <v>8.14</v>
      </c>
      <c r="G179" s="14" t="n">
        <f aca="false">ROUND(E179*F179,2)</f>
        <v>8.14</v>
      </c>
      <c r="H179" s="15" t="s">
        <v>584</v>
      </c>
    </row>
    <row r="180" customFormat="false" ht="15" hidden="false" customHeight="true" outlineLevel="0" collapsed="false">
      <c r="A180" s="11" t="s">
        <v>451</v>
      </c>
      <c r="B180" s="12" t="s">
        <v>452</v>
      </c>
      <c r="C180" s="11" t="s">
        <v>20</v>
      </c>
      <c r="D180" s="12"/>
      <c r="E180" s="38" t="n">
        <v>0.125</v>
      </c>
      <c r="F180" s="14" t="n">
        <f aca="false">'PRECIOS DE INSUMOS'!$H$48</f>
        <v>2.46</v>
      </c>
      <c r="G180" s="14" t="n">
        <f aca="false">ROUND(E180*F180,2)</f>
        <v>0.31</v>
      </c>
      <c r="H180" s="15" t="s">
        <v>585</v>
      </c>
    </row>
    <row r="181" customFormat="false" ht="15" hidden="false" customHeight="false" outlineLevel="0" collapsed="false">
      <c r="A181" s="22"/>
      <c r="B181" s="23" t="s">
        <v>573</v>
      </c>
      <c r="C181" s="22"/>
      <c r="D181" s="22"/>
      <c r="E181" s="22"/>
      <c r="F181" s="22"/>
      <c r="G181" s="28" t="n">
        <f aca="false">SUM(G179:G180)</f>
        <v>8.45</v>
      </c>
      <c r="H181" s="22"/>
    </row>
    <row r="182" customFormat="false" ht="15" hidden="false" customHeight="true" outlineLevel="0" collapsed="false">
      <c r="A182" s="23" t="s">
        <v>574</v>
      </c>
      <c r="B182" s="23"/>
      <c r="C182" s="23"/>
      <c r="D182" s="23"/>
      <c r="E182" s="23"/>
      <c r="F182" s="23"/>
      <c r="G182" s="23"/>
      <c r="H182" s="23"/>
    </row>
    <row r="183" customFormat="false" ht="15" hidden="false" customHeight="false" outlineLevel="0" collapsed="false">
      <c r="A183" s="11" t="s">
        <v>575</v>
      </c>
      <c r="B183" s="12" t="s">
        <v>576</v>
      </c>
      <c r="C183" s="11" t="s">
        <v>577</v>
      </c>
      <c r="D183" s="12"/>
      <c r="E183" s="13" t="n">
        <v>3</v>
      </c>
      <c r="F183" s="14" t="n">
        <f aca="false">G177</f>
        <v>15.69</v>
      </c>
      <c r="G183" s="14" t="n">
        <f aca="false">ROUND(E183/100*F183,2)</f>
        <v>0.47</v>
      </c>
      <c r="H183" s="15" t="s">
        <v>578</v>
      </c>
    </row>
    <row r="184" customFormat="false" ht="15" hidden="false" customHeight="false" outlineLevel="0" collapsed="false">
      <c r="A184" s="22"/>
      <c r="B184" s="23" t="s">
        <v>579</v>
      </c>
      <c r="C184" s="22"/>
      <c r="D184" s="22"/>
      <c r="E184" s="22"/>
      <c r="F184" s="22"/>
      <c r="G184" s="28" t="n">
        <f aca="false">SUM(G183:G183)</f>
        <v>0.47</v>
      </c>
      <c r="H184" s="22"/>
    </row>
    <row r="185" customFormat="false" ht="15" hidden="false" customHeight="false" outlineLevel="0" collapsed="false">
      <c r="A185" s="16" t="s">
        <v>586</v>
      </c>
      <c r="B185" s="16"/>
      <c r="C185" s="16"/>
      <c r="D185" s="16"/>
      <c r="E185" s="16"/>
      <c r="F185" s="16"/>
      <c r="G185" s="17" t="n">
        <f aca="false">G177+G181+G184</f>
        <v>24.61</v>
      </c>
      <c r="H185" s="18"/>
    </row>
    <row r="188" customFormat="false" ht="30" hidden="false" customHeight="true" outlineLevel="0" collapsed="false">
      <c r="A188" s="6" t="s">
        <v>624</v>
      </c>
      <c r="B188" s="6"/>
      <c r="C188" s="6"/>
      <c r="D188" s="6"/>
      <c r="E188" s="6"/>
      <c r="F188" s="6"/>
      <c r="G188" s="6"/>
      <c r="H188" s="6"/>
    </row>
    <row r="189" customFormat="false" ht="25.5" hidden="false" customHeight="true" outlineLevel="0" collapsed="false">
      <c r="A189" s="23" t="s">
        <v>551</v>
      </c>
      <c r="B189" s="39" t="n">
        <v>16</v>
      </c>
      <c r="C189" s="20" t="s">
        <v>552</v>
      </c>
      <c r="D189" s="33" t="n">
        <f aca="false">SUM(E193:E194)</f>
        <v>0.75</v>
      </c>
      <c r="E189" s="20" t="s">
        <v>553</v>
      </c>
      <c r="F189" s="33" t="n">
        <f aca="false">SUMIF(C201:C201,"hm",E201:E201)</f>
        <v>0</v>
      </c>
      <c r="G189" s="20" t="s">
        <v>582</v>
      </c>
      <c r="H189" s="34" t="n">
        <f aca="false">G203</f>
        <v>37.46</v>
      </c>
    </row>
    <row r="190" customFormat="false" ht="15" hidden="false" customHeight="true" outlineLevel="0" collapsed="false">
      <c r="A190" s="23" t="s">
        <v>555</v>
      </c>
      <c r="B190" s="40" t="n">
        <v>8</v>
      </c>
      <c r="C190" s="36" t="s">
        <v>625</v>
      </c>
      <c r="D190" s="36"/>
      <c r="E190" s="36"/>
      <c r="F190" s="36"/>
      <c r="G190" s="36"/>
      <c r="H190" s="36"/>
    </row>
    <row r="191" customFormat="false" ht="15" hidden="false" customHeight="false" outlineLevel="0" collapsed="false">
      <c r="A191" s="4" t="s">
        <v>240</v>
      </c>
      <c r="B191" s="4" t="s">
        <v>557</v>
      </c>
      <c r="C191" s="4" t="s">
        <v>5</v>
      </c>
      <c r="D191" s="4" t="s">
        <v>558</v>
      </c>
      <c r="E191" s="4" t="s">
        <v>559</v>
      </c>
      <c r="F191" s="4" t="s">
        <v>560</v>
      </c>
      <c r="G191" s="4" t="s">
        <v>561</v>
      </c>
      <c r="H191" s="4" t="s">
        <v>223</v>
      </c>
    </row>
    <row r="192" customFormat="false" ht="15" hidden="false" customHeight="true" outlineLevel="0" collapsed="false">
      <c r="A192" s="23" t="s">
        <v>562</v>
      </c>
      <c r="B192" s="23"/>
      <c r="C192" s="23"/>
      <c r="D192" s="23"/>
      <c r="E192" s="23"/>
      <c r="F192" s="23"/>
      <c r="G192" s="23"/>
      <c r="H192" s="23"/>
    </row>
    <row r="193" customFormat="false" ht="15" hidden="false" customHeight="false" outlineLevel="0" collapsed="false">
      <c r="A193" s="11" t="s">
        <v>563</v>
      </c>
      <c r="B193" s="12" t="s">
        <v>564</v>
      </c>
      <c r="C193" s="11" t="s">
        <v>565</v>
      </c>
      <c r="D193" s="13" t="n">
        <v>1</v>
      </c>
      <c r="E193" s="37" t="n">
        <f aca="false">ROUND(D193*8/$B$189,4)</f>
        <v>0.5</v>
      </c>
      <c r="F193" s="21" t="n">
        <f aca="false">'MANO DE OBRA 2026'!$C$16</f>
        <v>28.95</v>
      </c>
      <c r="G193" s="14" t="n">
        <f aca="false">ROUND(E193*F193,2)</f>
        <v>14.48</v>
      </c>
      <c r="H193" s="15" t="s">
        <v>566</v>
      </c>
    </row>
    <row r="194" customFormat="false" ht="15" hidden="false" customHeight="false" outlineLevel="0" collapsed="false">
      <c r="A194" s="11" t="s">
        <v>567</v>
      </c>
      <c r="B194" s="12" t="s">
        <v>568</v>
      </c>
      <c r="C194" s="11" t="s">
        <v>565</v>
      </c>
      <c r="D194" s="13" t="n">
        <v>0.5</v>
      </c>
      <c r="E194" s="37" t="n">
        <f aca="false">ROUND(D194*8/$B$189,4)</f>
        <v>0.25</v>
      </c>
      <c r="F194" s="21" t="n">
        <f aca="false">'MANO DE OBRA 2026'!$E$16</f>
        <v>20.54</v>
      </c>
      <c r="G194" s="14" t="n">
        <f aca="false">ROUND(E194*F194,2)</f>
        <v>5.14</v>
      </c>
      <c r="H194" s="15" t="s">
        <v>566</v>
      </c>
    </row>
    <row r="195" customFormat="false" ht="15" hidden="false" customHeight="false" outlineLevel="0" collapsed="false">
      <c r="A195" s="22"/>
      <c r="B195" s="23" t="s">
        <v>569</v>
      </c>
      <c r="C195" s="22"/>
      <c r="D195" s="22"/>
      <c r="E195" s="22"/>
      <c r="F195" s="22"/>
      <c r="G195" s="28" t="n">
        <f aca="false">SUM(G193:G194)</f>
        <v>19.62</v>
      </c>
      <c r="H195" s="22"/>
    </row>
    <row r="196" customFormat="false" ht="15" hidden="false" customHeight="true" outlineLevel="0" collapsed="false">
      <c r="A196" s="23" t="s">
        <v>570</v>
      </c>
      <c r="B196" s="23"/>
      <c r="C196" s="23"/>
      <c r="D196" s="23"/>
      <c r="E196" s="23"/>
      <c r="F196" s="23"/>
      <c r="G196" s="23"/>
      <c r="H196" s="23"/>
    </row>
    <row r="197" customFormat="false" ht="15" hidden="false" customHeight="true" outlineLevel="0" collapsed="false">
      <c r="A197" s="11" t="s">
        <v>413</v>
      </c>
      <c r="B197" s="12" t="s">
        <v>414</v>
      </c>
      <c r="C197" s="11" t="s">
        <v>20</v>
      </c>
      <c r="D197" s="12"/>
      <c r="E197" s="38" t="n">
        <v>1</v>
      </c>
      <c r="F197" s="14" t="n">
        <f aca="false">'PRECIOS DE INSUMOS'!$H$41</f>
        <v>1.19</v>
      </c>
      <c r="G197" s="14" t="n">
        <f aca="false">ROUND(E197*F197,2)</f>
        <v>1.19</v>
      </c>
      <c r="H197" s="15" t="s">
        <v>584</v>
      </c>
    </row>
    <row r="198" customFormat="false" ht="15" hidden="false" customHeight="true" outlineLevel="0" collapsed="false">
      <c r="A198" s="11" t="s">
        <v>421</v>
      </c>
      <c r="B198" s="12" t="s">
        <v>422</v>
      </c>
      <c r="C198" s="11" t="s">
        <v>20</v>
      </c>
      <c r="D198" s="12"/>
      <c r="E198" s="38" t="n">
        <v>2</v>
      </c>
      <c r="F198" s="14" t="n">
        <f aca="false">'PRECIOS DE INSUMOS'!$H$43</f>
        <v>8.03</v>
      </c>
      <c r="G198" s="14" t="n">
        <f aca="false">ROUND(E198*F198,2)</f>
        <v>16.06</v>
      </c>
      <c r="H198" s="15" t="s">
        <v>626</v>
      </c>
    </row>
    <row r="199" customFormat="false" ht="15" hidden="false" customHeight="false" outlineLevel="0" collapsed="false">
      <c r="A199" s="22"/>
      <c r="B199" s="23" t="s">
        <v>573</v>
      </c>
      <c r="C199" s="22"/>
      <c r="D199" s="22"/>
      <c r="E199" s="22"/>
      <c r="F199" s="22"/>
      <c r="G199" s="28" t="n">
        <f aca="false">SUM(G197:G198)</f>
        <v>17.25</v>
      </c>
      <c r="H199" s="22"/>
    </row>
    <row r="200" customFormat="false" ht="15" hidden="false" customHeight="true" outlineLevel="0" collapsed="false">
      <c r="A200" s="23" t="s">
        <v>574</v>
      </c>
      <c r="B200" s="23"/>
      <c r="C200" s="23"/>
      <c r="D200" s="23"/>
      <c r="E200" s="23"/>
      <c r="F200" s="23"/>
      <c r="G200" s="23"/>
      <c r="H200" s="23"/>
    </row>
    <row r="201" customFormat="false" ht="15" hidden="false" customHeight="false" outlineLevel="0" collapsed="false">
      <c r="A201" s="11" t="s">
        <v>575</v>
      </c>
      <c r="B201" s="12" t="s">
        <v>576</v>
      </c>
      <c r="C201" s="11" t="s">
        <v>577</v>
      </c>
      <c r="D201" s="12"/>
      <c r="E201" s="13" t="n">
        <v>3</v>
      </c>
      <c r="F201" s="14" t="n">
        <f aca="false">G195</f>
        <v>19.62</v>
      </c>
      <c r="G201" s="14" t="n">
        <f aca="false">ROUND(E201/100*F201,2)</f>
        <v>0.59</v>
      </c>
      <c r="H201" s="15" t="s">
        <v>578</v>
      </c>
    </row>
    <row r="202" customFormat="false" ht="15" hidden="false" customHeight="false" outlineLevel="0" collapsed="false">
      <c r="A202" s="22"/>
      <c r="B202" s="23" t="s">
        <v>579</v>
      </c>
      <c r="C202" s="22"/>
      <c r="D202" s="22"/>
      <c r="E202" s="22"/>
      <c r="F202" s="22"/>
      <c r="G202" s="28" t="n">
        <f aca="false">SUM(G201:G201)</f>
        <v>0.59</v>
      </c>
      <c r="H202" s="22"/>
    </row>
    <row r="203" customFormat="false" ht="15" hidden="false" customHeight="false" outlineLevel="0" collapsed="false">
      <c r="A203" s="16" t="s">
        <v>586</v>
      </c>
      <c r="B203" s="16"/>
      <c r="C203" s="16"/>
      <c r="D203" s="16"/>
      <c r="E203" s="16"/>
      <c r="F203" s="16"/>
      <c r="G203" s="17" t="n">
        <f aca="false">G195+G199+G202</f>
        <v>37.46</v>
      </c>
      <c r="H203" s="18"/>
    </row>
    <row r="206" customFormat="false" ht="30" hidden="false" customHeight="true" outlineLevel="0" collapsed="false">
      <c r="A206" s="6" t="s">
        <v>627</v>
      </c>
      <c r="B206" s="6"/>
      <c r="C206" s="6"/>
      <c r="D206" s="6"/>
      <c r="E206" s="6"/>
      <c r="F206" s="6"/>
      <c r="G206" s="6"/>
      <c r="H206" s="6"/>
    </row>
    <row r="207" customFormat="false" ht="25.5" hidden="false" customHeight="true" outlineLevel="0" collapsed="false">
      <c r="A207" s="23" t="s">
        <v>551</v>
      </c>
      <c r="B207" s="39" t="n">
        <v>20</v>
      </c>
      <c r="C207" s="20" t="s">
        <v>552</v>
      </c>
      <c r="D207" s="33" t="n">
        <f aca="false">SUM(E211:E212)</f>
        <v>0.6</v>
      </c>
      <c r="E207" s="20" t="s">
        <v>553</v>
      </c>
      <c r="F207" s="33" t="n">
        <f aca="false">SUMIF(C220:C220,"hm",E220:E220)</f>
        <v>0</v>
      </c>
      <c r="G207" s="20" t="s">
        <v>582</v>
      </c>
      <c r="H207" s="34" t="n">
        <f aca="false">G222</f>
        <v>24.64</v>
      </c>
    </row>
    <row r="208" customFormat="false" ht="15" hidden="false" customHeight="true" outlineLevel="0" collapsed="false">
      <c r="A208" s="23" t="s">
        <v>555</v>
      </c>
      <c r="B208" s="40" t="n">
        <v>1</v>
      </c>
      <c r="C208" s="36" t="s">
        <v>603</v>
      </c>
      <c r="D208" s="36"/>
      <c r="E208" s="36"/>
      <c r="F208" s="36"/>
      <c r="G208" s="36"/>
      <c r="H208" s="36"/>
    </row>
    <row r="209" customFormat="false" ht="15" hidden="false" customHeight="false" outlineLevel="0" collapsed="false">
      <c r="A209" s="4" t="s">
        <v>240</v>
      </c>
      <c r="B209" s="4" t="s">
        <v>557</v>
      </c>
      <c r="C209" s="4" t="s">
        <v>5</v>
      </c>
      <c r="D209" s="4" t="s">
        <v>558</v>
      </c>
      <c r="E209" s="4" t="s">
        <v>559</v>
      </c>
      <c r="F209" s="4" t="s">
        <v>560</v>
      </c>
      <c r="G209" s="4" t="s">
        <v>561</v>
      </c>
      <c r="H209" s="4" t="s">
        <v>223</v>
      </c>
    </row>
    <row r="210" customFormat="false" ht="15" hidden="false" customHeight="true" outlineLevel="0" collapsed="false">
      <c r="A210" s="23" t="s">
        <v>562</v>
      </c>
      <c r="B210" s="23"/>
      <c r="C210" s="23"/>
      <c r="D210" s="23"/>
      <c r="E210" s="23"/>
      <c r="F210" s="23"/>
      <c r="G210" s="23"/>
      <c r="H210" s="23"/>
    </row>
    <row r="211" customFormat="false" ht="15" hidden="false" customHeight="false" outlineLevel="0" collapsed="false">
      <c r="A211" s="11" t="s">
        <v>563</v>
      </c>
      <c r="B211" s="12" t="s">
        <v>564</v>
      </c>
      <c r="C211" s="11" t="s">
        <v>565</v>
      </c>
      <c r="D211" s="13" t="n">
        <v>1</v>
      </c>
      <c r="E211" s="37" t="n">
        <f aca="false">ROUND(D211*8/$B$207,4)</f>
        <v>0.4</v>
      </c>
      <c r="F211" s="21" t="n">
        <f aca="false">'MANO DE OBRA 2026'!$C$16</f>
        <v>28.95</v>
      </c>
      <c r="G211" s="14" t="n">
        <f aca="false">ROUND(E211*F211,2)</f>
        <v>11.58</v>
      </c>
      <c r="H211" s="15" t="s">
        <v>566</v>
      </c>
    </row>
    <row r="212" customFormat="false" ht="15" hidden="false" customHeight="false" outlineLevel="0" collapsed="false">
      <c r="A212" s="11" t="s">
        <v>567</v>
      </c>
      <c r="B212" s="12" t="s">
        <v>568</v>
      </c>
      <c r="C212" s="11" t="s">
        <v>565</v>
      </c>
      <c r="D212" s="13" t="n">
        <v>0.5</v>
      </c>
      <c r="E212" s="37" t="n">
        <f aca="false">ROUND(D212*8/$B$207,4)</f>
        <v>0.2</v>
      </c>
      <c r="F212" s="21" t="n">
        <f aca="false">'MANO DE OBRA 2026'!$E$16</f>
        <v>20.54</v>
      </c>
      <c r="G212" s="14" t="n">
        <f aca="false">ROUND(E212*F212,2)</f>
        <v>4.11</v>
      </c>
      <c r="H212" s="15" t="s">
        <v>566</v>
      </c>
    </row>
    <row r="213" customFormat="false" ht="15" hidden="false" customHeight="false" outlineLevel="0" collapsed="false">
      <c r="A213" s="22"/>
      <c r="B213" s="23" t="s">
        <v>569</v>
      </c>
      <c r="C213" s="22"/>
      <c r="D213" s="22"/>
      <c r="E213" s="22"/>
      <c r="F213" s="22"/>
      <c r="G213" s="28" t="n">
        <f aca="false">SUM(G211:G212)</f>
        <v>15.69</v>
      </c>
      <c r="H213" s="22"/>
    </row>
    <row r="214" customFormat="false" ht="15" hidden="false" customHeight="true" outlineLevel="0" collapsed="false">
      <c r="A214" s="23" t="s">
        <v>570</v>
      </c>
      <c r="B214" s="23"/>
      <c r="C214" s="23"/>
      <c r="D214" s="23"/>
      <c r="E214" s="23"/>
      <c r="F214" s="23"/>
      <c r="G214" s="23"/>
      <c r="H214" s="23"/>
    </row>
    <row r="215" customFormat="false" ht="15" hidden="false" customHeight="true" outlineLevel="0" collapsed="false">
      <c r="A215" s="11" t="s">
        <v>312</v>
      </c>
      <c r="B215" s="12" t="s">
        <v>313</v>
      </c>
      <c r="C215" s="11" t="s">
        <v>20</v>
      </c>
      <c r="D215" s="12"/>
      <c r="E215" s="38" t="n">
        <v>1</v>
      </c>
      <c r="F215" s="14" t="n">
        <f aca="false">'PRECIOS DE INSUMOS'!$H$19</f>
        <v>7.12</v>
      </c>
      <c r="G215" s="14" t="n">
        <f aca="false">ROUND(E215*F215,2)</f>
        <v>7.12</v>
      </c>
      <c r="H215" s="15" t="s">
        <v>584</v>
      </c>
    </row>
    <row r="216" customFormat="false" ht="15" hidden="false" customHeight="true" outlineLevel="0" collapsed="false">
      <c r="A216" s="11" t="s">
        <v>445</v>
      </c>
      <c r="B216" s="12" t="s">
        <v>446</v>
      </c>
      <c r="C216" s="11" t="s">
        <v>447</v>
      </c>
      <c r="D216" s="12"/>
      <c r="E216" s="38" t="n">
        <v>0.005</v>
      </c>
      <c r="F216" s="14" t="n">
        <f aca="false">'PRECIOS DE INSUMOS'!$H$47</f>
        <v>209.83</v>
      </c>
      <c r="G216" s="14" t="n">
        <f aca="false">ROUND(E216*F216,2)</f>
        <v>1.05</v>
      </c>
      <c r="H216" s="15" t="s">
        <v>604</v>
      </c>
    </row>
    <row r="217" customFormat="false" ht="15" hidden="false" customHeight="true" outlineLevel="0" collapsed="false">
      <c r="A217" s="11" t="s">
        <v>451</v>
      </c>
      <c r="B217" s="12" t="s">
        <v>452</v>
      </c>
      <c r="C217" s="11" t="s">
        <v>20</v>
      </c>
      <c r="D217" s="12"/>
      <c r="E217" s="38" t="n">
        <v>0.125</v>
      </c>
      <c r="F217" s="14" t="n">
        <f aca="false">'PRECIOS DE INSUMOS'!$H$48</f>
        <v>2.46</v>
      </c>
      <c r="G217" s="14" t="n">
        <f aca="false">ROUND(E217*F217,2)</f>
        <v>0.31</v>
      </c>
      <c r="H217" s="15" t="s">
        <v>585</v>
      </c>
    </row>
    <row r="218" customFormat="false" ht="15" hidden="false" customHeight="false" outlineLevel="0" collapsed="false">
      <c r="A218" s="22"/>
      <c r="B218" s="23" t="s">
        <v>573</v>
      </c>
      <c r="C218" s="22"/>
      <c r="D218" s="22"/>
      <c r="E218" s="22"/>
      <c r="F218" s="22"/>
      <c r="G218" s="28" t="n">
        <f aca="false">SUM(G215:G217)</f>
        <v>8.48</v>
      </c>
      <c r="H218" s="22"/>
    </row>
    <row r="219" customFormat="false" ht="15" hidden="false" customHeight="true" outlineLevel="0" collapsed="false">
      <c r="A219" s="23" t="s">
        <v>574</v>
      </c>
      <c r="B219" s="23"/>
      <c r="C219" s="23"/>
      <c r="D219" s="23"/>
      <c r="E219" s="23"/>
      <c r="F219" s="23"/>
      <c r="G219" s="23"/>
      <c r="H219" s="23"/>
    </row>
    <row r="220" customFormat="false" ht="15" hidden="false" customHeight="false" outlineLevel="0" collapsed="false">
      <c r="A220" s="11" t="s">
        <v>575</v>
      </c>
      <c r="B220" s="12" t="s">
        <v>576</v>
      </c>
      <c r="C220" s="11" t="s">
        <v>577</v>
      </c>
      <c r="D220" s="12"/>
      <c r="E220" s="13" t="n">
        <v>3</v>
      </c>
      <c r="F220" s="14" t="n">
        <f aca="false">G213</f>
        <v>15.69</v>
      </c>
      <c r="G220" s="14" t="n">
        <f aca="false">ROUND(E220/100*F220,2)</f>
        <v>0.47</v>
      </c>
      <c r="H220" s="15" t="s">
        <v>578</v>
      </c>
    </row>
    <row r="221" customFormat="false" ht="15" hidden="false" customHeight="false" outlineLevel="0" collapsed="false">
      <c r="A221" s="22"/>
      <c r="B221" s="23" t="s">
        <v>579</v>
      </c>
      <c r="C221" s="22"/>
      <c r="D221" s="22"/>
      <c r="E221" s="22"/>
      <c r="F221" s="22"/>
      <c r="G221" s="28" t="n">
        <f aca="false">SUM(G220:G220)</f>
        <v>0.47</v>
      </c>
      <c r="H221" s="22"/>
    </row>
    <row r="222" customFormat="false" ht="15" hidden="false" customHeight="false" outlineLevel="0" collapsed="false">
      <c r="A222" s="16" t="s">
        <v>586</v>
      </c>
      <c r="B222" s="16"/>
      <c r="C222" s="16"/>
      <c r="D222" s="16"/>
      <c r="E222" s="16"/>
      <c r="F222" s="16"/>
      <c r="G222" s="17" t="n">
        <f aca="false">G213+G218+G221</f>
        <v>24.64</v>
      </c>
      <c r="H222" s="18"/>
    </row>
    <row r="225" customFormat="false" ht="30" hidden="false" customHeight="true" outlineLevel="0" collapsed="false">
      <c r="A225" s="6" t="s">
        <v>628</v>
      </c>
      <c r="B225" s="6"/>
      <c r="C225" s="6"/>
      <c r="D225" s="6"/>
      <c r="E225" s="6"/>
      <c r="F225" s="6"/>
      <c r="G225" s="6"/>
      <c r="H225" s="6"/>
    </row>
    <row r="226" customFormat="false" ht="25.5" hidden="false" customHeight="true" outlineLevel="0" collapsed="false">
      <c r="A226" s="23" t="s">
        <v>551</v>
      </c>
      <c r="B226" s="39" t="n">
        <v>16</v>
      </c>
      <c r="C226" s="20" t="s">
        <v>552</v>
      </c>
      <c r="D226" s="33" t="n">
        <f aca="false">SUM(E230:E231)</f>
        <v>0.75</v>
      </c>
      <c r="E226" s="20" t="s">
        <v>553</v>
      </c>
      <c r="F226" s="33" t="n">
        <f aca="false">SUMIF(C238:C238,"hm",E238:E238)</f>
        <v>0</v>
      </c>
      <c r="G226" s="20" t="s">
        <v>582</v>
      </c>
      <c r="H226" s="34" t="n">
        <f aca="false">G240</f>
        <v>35.15</v>
      </c>
    </row>
    <row r="227" customFormat="false" ht="15" hidden="false" customHeight="true" outlineLevel="0" collapsed="false">
      <c r="A227" s="23" t="s">
        <v>555</v>
      </c>
      <c r="B227" s="40" t="n">
        <v>1</v>
      </c>
      <c r="C227" s="36" t="s">
        <v>588</v>
      </c>
      <c r="D227" s="36"/>
      <c r="E227" s="36"/>
      <c r="F227" s="36"/>
      <c r="G227" s="36"/>
      <c r="H227" s="36"/>
    </row>
    <row r="228" customFormat="false" ht="15" hidden="false" customHeight="false" outlineLevel="0" collapsed="false">
      <c r="A228" s="4" t="s">
        <v>240</v>
      </c>
      <c r="B228" s="4" t="s">
        <v>557</v>
      </c>
      <c r="C228" s="4" t="s">
        <v>5</v>
      </c>
      <c r="D228" s="4" t="s">
        <v>558</v>
      </c>
      <c r="E228" s="4" t="s">
        <v>559</v>
      </c>
      <c r="F228" s="4" t="s">
        <v>560</v>
      </c>
      <c r="G228" s="4" t="s">
        <v>561</v>
      </c>
      <c r="H228" s="4" t="s">
        <v>223</v>
      </c>
    </row>
    <row r="229" customFormat="false" ht="15" hidden="false" customHeight="true" outlineLevel="0" collapsed="false">
      <c r="A229" s="23" t="s">
        <v>562</v>
      </c>
      <c r="B229" s="23"/>
      <c r="C229" s="23"/>
      <c r="D229" s="23"/>
      <c r="E229" s="23"/>
      <c r="F229" s="23"/>
      <c r="G229" s="23"/>
      <c r="H229" s="23"/>
    </row>
    <row r="230" customFormat="false" ht="15" hidden="false" customHeight="false" outlineLevel="0" collapsed="false">
      <c r="A230" s="11" t="s">
        <v>563</v>
      </c>
      <c r="B230" s="12" t="s">
        <v>564</v>
      </c>
      <c r="C230" s="11" t="s">
        <v>565</v>
      </c>
      <c r="D230" s="13" t="n">
        <v>1</v>
      </c>
      <c r="E230" s="37" t="n">
        <f aca="false">ROUND(D230*8/$B$226,4)</f>
        <v>0.5</v>
      </c>
      <c r="F230" s="21" t="n">
        <f aca="false">'MANO DE OBRA 2026'!$C$16</f>
        <v>28.95</v>
      </c>
      <c r="G230" s="14" t="n">
        <f aca="false">ROUND(E230*F230,2)</f>
        <v>14.48</v>
      </c>
      <c r="H230" s="15" t="s">
        <v>566</v>
      </c>
    </row>
    <row r="231" customFormat="false" ht="15" hidden="false" customHeight="false" outlineLevel="0" collapsed="false">
      <c r="A231" s="11" t="s">
        <v>567</v>
      </c>
      <c r="B231" s="12" t="s">
        <v>568</v>
      </c>
      <c r="C231" s="11" t="s">
        <v>565</v>
      </c>
      <c r="D231" s="13" t="n">
        <v>0.5</v>
      </c>
      <c r="E231" s="37" t="n">
        <f aca="false">ROUND(D231*8/$B$226,4)</f>
        <v>0.25</v>
      </c>
      <c r="F231" s="21" t="n">
        <f aca="false">'MANO DE OBRA 2026'!$E$16</f>
        <v>20.54</v>
      </c>
      <c r="G231" s="14" t="n">
        <f aca="false">ROUND(E231*F231,2)</f>
        <v>5.14</v>
      </c>
      <c r="H231" s="15" t="s">
        <v>566</v>
      </c>
    </row>
    <row r="232" customFormat="false" ht="15" hidden="false" customHeight="false" outlineLevel="0" collapsed="false">
      <c r="A232" s="22"/>
      <c r="B232" s="23" t="s">
        <v>569</v>
      </c>
      <c r="C232" s="22"/>
      <c r="D232" s="22"/>
      <c r="E232" s="22"/>
      <c r="F232" s="22"/>
      <c r="G232" s="28" t="n">
        <f aca="false">SUM(G230:G231)</f>
        <v>19.62</v>
      </c>
      <c r="H232" s="22"/>
    </row>
    <row r="233" customFormat="false" ht="15" hidden="false" customHeight="true" outlineLevel="0" collapsed="false">
      <c r="A233" s="23" t="s">
        <v>570</v>
      </c>
      <c r="B233" s="23"/>
      <c r="C233" s="23"/>
      <c r="D233" s="23"/>
      <c r="E233" s="23"/>
      <c r="F233" s="23"/>
      <c r="G233" s="23"/>
      <c r="H233" s="23"/>
    </row>
    <row r="234" customFormat="false" ht="15" hidden="false" customHeight="true" outlineLevel="0" collapsed="false">
      <c r="A234" s="11" t="s">
        <v>391</v>
      </c>
      <c r="B234" s="12" t="s">
        <v>392</v>
      </c>
      <c r="C234" s="11" t="s">
        <v>20</v>
      </c>
      <c r="D234" s="12"/>
      <c r="E234" s="38" t="n">
        <v>1</v>
      </c>
      <c r="F234" s="14" t="n">
        <f aca="false">'PRECIOS DE INSUMOS'!$H$36</f>
        <v>14.32</v>
      </c>
      <c r="G234" s="14" t="n">
        <f aca="false">ROUND(E234*F234,2)</f>
        <v>14.32</v>
      </c>
      <c r="H234" s="15" t="s">
        <v>584</v>
      </c>
    </row>
    <row r="235" customFormat="false" ht="15" hidden="false" customHeight="true" outlineLevel="0" collapsed="false">
      <c r="A235" s="11" t="s">
        <v>451</v>
      </c>
      <c r="B235" s="12" t="s">
        <v>452</v>
      </c>
      <c r="C235" s="11" t="s">
        <v>20</v>
      </c>
      <c r="D235" s="12"/>
      <c r="E235" s="38" t="n">
        <v>0.25</v>
      </c>
      <c r="F235" s="14" t="n">
        <f aca="false">'PRECIOS DE INSUMOS'!$H$48</f>
        <v>2.46</v>
      </c>
      <c r="G235" s="14" t="n">
        <f aca="false">ROUND(E235*F235,2)</f>
        <v>0.62</v>
      </c>
      <c r="H235" s="15" t="s">
        <v>589</v>
      </c>
    </row>
    <row r="236" customFormat="false" ht="15" hidden="false" customHeight="false" outlineLevel="0" collapsed="false">
      <c r="A236" s="22"/>
      <c r="B236" s="23" t="s">
        <v>573</v>
      </c>
      <c r="C236" s="22"/>
      <c r="D236" s="22"/>
      <c r="E236" s="22"/>
      <c r="F236" s="22"/>
      <c r="G236" s="28" t="n">
        <f aca="false">SUM(G234:G235)</f>
        <v>14.94</v>
      </c>
      <c r="H236" s="22"/>
    </row>
    <row r="237" customFormat="false" ht="15" hidden="false" customHeight="true" outlineLevel="0" collapsed="false">
      <c r="A237" s="23" t="s">
        <v>574</v>
      </c>
      <c r="B237" s="23"/>
      <c r="C237" s="23"/>
      <c r="D237" s="23"/>
      <c r="E237" s="23"/>
      <c r="F237" s="23"/>
      <c r="G237" s="23"/>
      <c r="H237" s="23"/>
    </row>
    <row r="238" customFormat="false" ht="15" hidden="false" customHeight="false" outlineLevel="0" collapsed="false">
      <c r="A238" s="11" t="s">
        <v>575</v>
      </c>
      <c r="B238" s="12" t="s">
        <v>576</v>
      </c>
      <c r="C238" s="11" t="s">
        <v>577</v>
      </c>
      <c r="D238" s="12"/>
      <c r="E238" s="13" t="n">
        <v>3</v>
      </c>
      <c r="F238" s="14" t="n">
        <f aca="false">G232</f>
        <v>19.62</v>
      </c>
      <c r="G238" s="14" t="n">
        <f aca="false">ROUND(E238/100*F238,2)</f>
        <v>0.59</v>
      </c>
      <c r="H238" s="15" t="s">
        <v>578</v>
      </c>
    </row>
    <row r="239" customFormat="false" ht="15" hidden="false" customHeight="false" outlineLevel="0" collapsed="false">
      <c r="A239" s="22"/>
      <c r="B239" s="23" t="s">
        <v>579</v>
      </c>
      <c r="C239" s="22"/>
      <c r="D239" s="22"/>
      <c r="E239" s="22"/>
      <c r="F239" s="22"/>
      <c r="G239" s="28" t="n">
        <f aca="false">SUM(G238:G238)</f>
        <v>0.59</v>
      </c>
      <c r="H239" s="22"/>
    </row>
    <row r="240" customFormat="false" ht="15" hidden="false" customHeight="false" outlineLevel="0" collapsed="false">
      <c r="A240" s="16" t="s">
        <v>586</v>
      </c>
      <c r="B240" s="16"/>
      <c r="C240" s="16"/>
      <c r="D240" s="16"/>
      <c r="E240" s="16"/>
      <c r="F240" s="16"/>
      <c r="G240" s="17" t="n">
        <f aca="false">G232+G236+G239</f>
        <v>35.15</v>
      </c>
      <c r="H240" s="18"/>
    </row>
    <row r="243" customFormat="false" ht="30" hidden="false" customHeight="true" outlineLevel="0" collapsed="false">
      <c r="A243" s="6" t="s">
        <v>629</v>
      </c>
      <c r="B243" s="6"/>
      <c r="C243" s="6"/>
      <c r="D243" s="6"/>
      <c r="E243" s="6"/>
      <c r="F243" s="6"/>
      <c r="G243" s="6"/>
      <c r="H243" s="6"/>
    </row>
    <row r="244" customFormat="false" ht="25.5" hidden="false" customHeight="true" outlineLevel="0" collapsed="false">
      <c r="A244" s="23" t="s">
        <v>551</v>
      </c>
      <c r="B244" s="39" t="n">
        <v>3</v>
      </c>
      <c r="C244" s="20" t="s">
        <v>552</v>
      </c>
      <c r="D244" s="33" t="n">
        <f aca="false">SUM(E248:E249)</f>
        <v>4</v>
      </c>
      <c r="E244" s="20" t="s">
        <v>553</v>
      </c>
      <c r="F244" s="33" t="n">
        <f aca="false">SUMIF(C256:C257,"hm",E256:E257)</f>
        <v>0.5</v>
      </c>
      <c r="G244" s="20" t="s">
        <v>582</v>
      </c>
      <c r="H244" s="34" t="n">
        <f aca="false">G259</f>
        <v>118.56</v>
      </c>
    </row>
    <row r="245" customFormat="false" ht="15" hidden="false" customHeight="true" outlineLevel="0" collapsed="false">
      <c r="A245" s="23" t="s">
        <v>555</v>
      </c>
      <c r="B245" s="40" t="n">
        <v>1</v>
      </c>
      <c r="C245" s="36" t="s">
        <v>592</v>
      </c>
      <c r="D245" s="36"/>
      <c r="E245" s="36"/>
      <c r="F245" s="36"/>
      <c r="G245" s="36"/>
      <c r="H245" s="36"/>
    </row>
    <row r="246" customFormat="false" ht="15" hidden="false" customHeight="false" outlineLevel="0" collapsed="false">
      <c r="A246" s="4" t="s">
        <v>240</v>
      </c>
      <c r="B246" s="4" t="s">
        <v>557</v>
      </c>
      <c r="C246" s="4" t="s">
        <v>5</v>
      </c>
      <c r="D246" s="4" t="s">
        <v>558</v>
      </c>
      <c r="E246" s="4" t="s">
        <v>559</v>
      </c>
      <c r="F246" s="4" t="s">
        <v>560</v>
      </c>
      <c r="G246" s="4" t="s">
        <v>561</v>
      </c>
      <c r="H246" s="4" t="s">
        <v>223</v>
      </c>
    </row>
    <row r="247" customFormat="false" ht="15" hidden="false" customHeight="true" outlineLevel="0" collapsed="false">
      <c r="A247" s="23" t="s">
        <v>562</v>
      </c>
      <c r="B247" s="23"/>
      <c r="C247" s="23"/>
      <c r="D247" s="23"/>
      <c r="E247" s="23"/>
      <c r="F247" s="23"/>
      <c r="G247" s="23"/>
      <c r="H247" s="23"/>
    </row>
    <row r="248" customFormat="false" ht="15" hidden="false" customHeight="false" outlineLevel="0" collapsed="false">
      <c r="A248" s="11" t="s">
        <v>563</v>
      </c>
      <c r="B248" s="12" t="s">
        <v>564</v>
      </c>
      <c r="C248" s="11" t="s">
        <v>565</v>
      </c>
      <c r="D248" s="13" t="n">
        <v>1</v>
      </c>
      <c r="E248" s="37" t="n">
        <f aca="false">ROUND(D248*8/$B$244,4)</f>
        <v>2.6667</v>
      </c>
      <c r="F248" s="21" t="n">
        <f aca="false">'MANO DE OBRA 2026'!$C$16</f>
        <v>28.95</v>
      </c>
      <c r="G248" s="14" t="n">
        <f aca="false">ROUND(E248*F248,2)</f>
        <v>77.2</v>
      </c>
      <c r="H248" s="15" t="s">
        <v>566</v>
      </c>
    </row>
    <row r="249" customFormat="false" ht="15" hidden="false" customHeight="false" outlineLevel="0" collapsed="false">
      <c r="A249" s="11" t="s">
        <v>567</v>
      </c>
      <c r="B249" s="12" t="s">
        <v>568</v>
      </c>
      <c r="C249" s="11" t="s">
        <v>565</v>
      </c>
      <c r="D249" s="13" t="n">
        <v>0.5</v>
      </c>
      <c r="E249" s="37" t="n">
        <f aca="false">ROUND(D249*8/$B$244,4)</f>
        <v>1.3333</v>
      </c>
      <c r="F249" s="21" t="n">
        <f aca="false">'MANO DE OBRA 2026'!$E$16</f>
        <v>20.54</v>
      </c>
      <c r="G249" s="14" t="n">
        <f aca="false">ROUND(E249*F249,2)</f>
        <v>27.39</v>
      </c>
      <c r="H249" s="15" t="s">
        <v>566</v>
      </c>
    </row>
    <row r="250" customFormat="false" ht="15" hidden="false" customHeight="false" outlineLevel="0" collapsed="false">
      <c r="A250" s="22"/>
      <c r="B250" s="23" t="s">
        <v>569</v>
      </c>
      <c r="C250" s="22"/>
      <c r="D250" s="22"/>
      <c r="E250" s="22"/>
      <c r="F250" s="22"/>
      <c r="G250" s="28" t="n">
        <f aca="false">SUM(G248:G249)</f>
        <v>104.59</v>
      </c>
      <c r="H250" s="22"/>
    </row>
    <row r="251" customFormat="false" ht="15" hidden="false" customHeight="true" outlineLevel="0" collapsed="false">
      <c r="A251" s="23" t="s">
        <v>570</v>
      </c>
      <c r="B251" s="23"/>
      <c r="C251" s="23"/>
      <c r="D251" s="23"/>
      <c r="E251" s="23"/>
      <c r="F251" s="23"/>
      <c r="G251" s="23"/>
      <c r="H251" s="23"/>
    </row>
    <row r="252" customFormat="false" ht="24" hidden="false" customHeight="true" outlineLevel="0" collapsed="false">
      <c r="A252" s="11" t="s">
        <v>535</v>
      </c>
      <c r="B252" s="12" t="s">
        <v>536</v>
      </c>
      <c r="C252" s="11" t="s">
        <v>20</v>
      </c>
      <c r="D252" s="12"/>
      <c r="E252" s="38" t="n">
        <v>1</v>
      </c>
      <c r="F252" s="14" t="n">
        <f aca="false">'PRECIOS DE INSUMOS'!$H$65</f>
        <v>7.29</v>
      </c>
      <c r="G252" s="14" t="n">
        <f aca="false">ROUND(E252*F252,2)</f>
        <v>7.29</v>
      </c>
      <c r="H252" s="15" t="s">
        <v>584</v>
      </c>
    </row>
    <row r="253" customFormat="false" ht="15" hidden="false" customHeight="true" outlineLevel="0" collapsed="false">
      <c r="A253" s="11" t="s">
        <v>451</v>
      </c>
      <c r="B253" s="12" t="s">
        <v>452</v>
      </c>
      <c r="C253" s="11" t="s">
        <v>20</v>
      </c>
      <c r="D253" s="12"/>
      <c r="E253" s="38" t="n">
        <v>0.25</v>
      </c>
      <c r="F253" s="14" t="n">
        <f aca="false">'PRECIOS DE INSUMOS'!$H$48</f>
        <v>2.46</v>
      </c>
      <c r="G253" s="14" t="n">
        <f aca="false">ROUND(E253*F253,2)</f>
        <v>0.62</v>
      </c>
      <c r="H253" s="15" t="s">
        <v>589</v>
      </c>
    </row>
    <row r="254" customFormat="false" ht="15" hidden="false" customHeight="false" outlineLevel="0" collapsed="false">
      <c r="A254" s="22"/>
      <c r="B254" s="23" t="s">
        <v>573</v>
      </c>
      <c r="C254" s="22"/>
      <c r="D254" s="22"/>
      <c r="E254" s="22"/>
      <c r="F254" s="22"/>
      <c r="G254" s="28" t="n">
        <f aca="false">SUM(G252:G253)</f>
        <v>7.91</v>
      </c>
      <c r="H254" s="22"/>
    </row>
    <row r="255" customFormat="false" ht="15" hidden="false" customHeight="true" outlineLevel="0" collapsed="false">
      <c r="A255" s="23" t="s">
        <v>574</v>
      </c>
      <c r="B255" s="23"/>
      <c r="C255" s="23"/>
      <c r="D255" s="23"/>
      <c r="E255" s="23"/>
      <c r="F255" s="23"/>
      <c r="G255" s="23"/>
      <c r="H255" s="23"/>
    </row>
    <row r="256" customFormat="false" ht="15" hidden="false" customHeight="false" outlineLevel="0" collapsed="false">
      <c r="A256" s="11" t="s">
        <v>575</v>
      </c>
      <c r="B256" s="12" t="s">
        <v>576</v>
      </c>
      <c r="C256" s="11" t="s">
        <v>577</v>
      </c>
      <c r="D256" s="12"/>
      <c r="E256" s="13" t="n">
        <v>3</v>
      </c>
      <c r="F256" s="14" t="n">
        <f aca="false">G250</f>
        <v>104.59</v>
      </c>
      <c r="G256" s="14" t="n">
        <f aca="false">ROUND(E256/100*F256,2)</f>
        <v>3.14</v>
      </c>
      <c r="H256" s="15" t="s">
        <v>578</v>
      </c>
    </row>
    <row r="257" customFormat="false" ht="15" hidden="false" customHeight="false" outlineLevel="0" collapsed="false">
      <c r="A257" s="11" t="s">
        <v>461</v>
      </c>
      <c r="B257" s="12" t="s">
        <v>462</v>
      </c>
      <c r="C257" s="11" t="s">
        <v>463</v>
      </c>
      <c r="D257" s="12"/>
      <c r="E257" s="38" t="n">
        <v>0.5</v>
      </c>
      <c r="F257" s="14" t="n">
        <f aca="false">'PRECIOS DE INSUMOS'!$H$50</f>
        <v>5.83</v>
      </c>
      <c r="G257" s="14" t="n">
        <f aca="false">ROUND(E257*F257,2)</f>
        <v>2.92</v>
      </c>
      <c r="H257" s="15" t="s">
        <v>593</v>
      </c>
    </row>
    <row r="258" customFormat="false" ht="15" hidden="false" customHeight="false" outlineLevel="0" collapsed="false">
      <c r="A258" s="22"/>
      <c r="B258" s="23" t="s">
        <v>579</v>
      </c>
      <c r="C258" s="22"/>
      <c r="D258" s="22"/>
      <c r="E258" s="22"/>
      <c r="F258" s="22"/>
      <c r="G258" s="28" t="n">
        <f aca="false">SUM(G256:G257)</f>
        <v>6.06</v>
      </c>
      <c r="H258" s="22"/>
    </row>
    <row r="259" customFormat="false" ht="15" hidden="false" customHeight="false" outlineLevel="0" collapsed="false">
      <c r="A259" s="16" t="s">
        <v>586</v>
      </c>
      <c r="B259" s="16"/>
      <c r="C259" s="16"/>
      <c r="D259" s="16"/>
      <c r="E259" s="16"/>
      <c r="F259" s="16"/>
      <c r="G259" s="17" t="n">
        <f aca="false">G250+G254+G258</f>
        <v>118.56</v>
      </c>
      <c r="H259" s="18"/>
    </row>
    <row r="260" customFormat="false" ht="15" hidden="false" customHeight="true" outlineLevel="0" collapsed="false">
      <c r="A260" s="31" t="s">
        <v>630</v>
      </c>
      <c r="B260" s="31"/>
      <c r="C260" s="31"/>
      <c r="D260" s="31"/>
      <c r="E260" s="31"/>
      <c r="F260" s="31"/>
      <c r="G260" s="31"/>
      <c r="H260" s="31"/>
    </row>
    <row r="263" customFormat="false" ht="30" hidden="false" customHeight="true" outlineLevel="0" collapsed="false">
      <c r="A263" s="6" t="s">
        <v>631</v>
      </c>
      <c r="B263" s="6"/>
      <c r="C263" s="6"/>
      <c r="D263" s="6"/>
      <c r="E263" s="6"/>
      <c r="F263" s="6"/>
      <c r="G263" s="6"/>
      <c r="H263" s="6"/>
    </row>
    <row r="264" customFormat="false" ht="25.5" hidden="false" customHeight="true" outlineLevel="0" collapsed="false">
      <c r="A264" s="23" t="s">
        <v>551</v>
      </c>
      <c r="B264" s="39" t="n">
        <v>16</v>
      </c>
      <c r="C264" s="20" t="s">
        <v>552</v>
      </c>
      <c r="D264" s="33" t="n">
        <f aca="false">SUM(E268:E269)</f>
        <v>0.75</v>
      </c>
      <c r="E264" s="20" t="s">
        <v>553</v>
      </c>
      <c r="F264" s="33" t="n">
        <f aca="false">SUMIF(C276:C276,"hm",E276:E276)</f>
        <v>0</v>
      </c>
      <c r="G264" s="20" t="s">
        <v>582</v>
      </c>
      <c r="H264" s="34" t="n">
        <f aca="false">G278</f>
        <v>29.96</v>
      </c>
    </row>
    <row r="265" customFormat="false" ht="15" hidden="false" customHeight="true" outlineLevel="0" collapsed="false">
      <c r="A265" s="23" t="s">
        <v>555</v>
      </c>
      <c r="B265" s="40" t="n">
        <v>1</v>
      </c>
      <c r="C265" s="36" t="s">
        <v>588</v>
      </c>
      <c r="D265" s="36"/>
      <c r="E265" s="36"/>
      <c r="F265" s="36"/>
      <c r="G265" s="36"/>
      <c r="H265" s="36"/>
    </row>
    <row r="266" customFormat="false" ht="15" hidden="false" customHeight="false" outlineLevel="0" collapsed="false">
      <c r="A266" s="4" t="s">
        <v>240</v>
      </c>
      <c r="B266" s="4" t="s">
        <v>557</v>
      </c>
      <c r="C266" s="4" t="s">
        <v>5</v>
      </c>
      <c r="D266" s="4" t="s">
        <v>558</v>
      </c>
      <c r="E266" s="4" t="s">
        <v>559</v>
      </c>
      <c r="F266" s="4" t="s">
        <v>560</v>
      </c>
      <c r="G266" s="4" t="s">
        <v>561</v>
      </c>
      <c r="H266" s="4" t="s">
        <v>223</v>
      </c>
    </row>
    <row r="267" customFormat="false" ht="15" hidden="false" customHeight="true" outlineLevel="0" collapsed="false">
      <c r="A267" s="23" t="s">
        <v>562</v>
      </c>
      <c r="B267" s="23"/>
      <c r="C267" s="23"/>
      <c r="D267" s="23"/>
      <c r="E267" s="23"/>
      <c r="F267" s="23"/>
      <c r="G267" s="23"/>
      <c r="H267" s="23"/>
    </row>
    <row r="268" customFormat="false" ht="15" hidden="false" customHeight="false" outlineLevel="0" collapsed="false">
      <c r="A268" s="11" t="s">
        <v>563</v>
      </c>
      <c r="B268" s="12" t="s">
        <v>564</v>
      </c>
      <c r="C268" s="11" t="s">
        <v>565</v>
      </c>
      <c r="D268" s="13" t="n">
        <v>1</v>
      </c>
      <c r="E268" s="37" t="n">
        <f aca="false">ROUND(D268*8/$B$264,4)</f>
        <v>0.5</v>
      </c>
      <c r="F268" s="21" t="n">
        <f aca="false">'MANO DE OBRA 2026'!$C$16</f>
        <v>28.95</v>
      </c>
      <c r="G268" s="14" t="n">
        <f aca="false">ROUND(E268*F268,2)</f>
        <v>14.48</v>
      </c>
      <c r="H268" s="15" t="s">
        <v>566</v>
      </c>
    </row>
    <row r="269" customFormat="false" ht="15" hidden="false" customHeight="false" outlineLevel="0" collapsed="false">
      <c r="A269" s="11" t="s">
        <v>567</v>
      </c>
      <c r="B269" s="12" t="s">
        <v>568</v>
      </c>
      <c r="C269" s="11" t="s">
        <v>565</v>
      </c>
      <c r="D269" s="13" t="n">
        <v>0.5</v>
      </c>
      <c r="E269" s="37" t="n">
        <f aca="false">ROUND(D269*8/$B$264,4)</f>
        <v>0.25</v>
      </c>
      <c r="F269" s="21" t="n">
        <f aca="false">'MANO DE OBRA 2026'!$E$16</f>
        <v>20.54</v>
      </c>
      <c r="G269" s="14" t="n">
        <f aca="false">ROUND(E269*F269,2)</f>
        <v>5.14</v>
      </c>
      <c r="H269" s="15" t="s">
        <v>566</v>
      </c>
    </row>
    <row r="270" customFormat="false" ht="15" hidden="false" customHeight="false" outlineLevel="0" collapsed="false">
      <c r="A270" s="22"/>
      <c r="B270" s="23" t="s">
        <v>569</v>
      </c>
      <c r="C270" s="22"/>
      <c r="D270" s="22"/>
      <c r="E270" s="22"/>
      <c r="F270" s="22"/>
      <c r="G270" s="28" t="n">
        <f aca="false">SUM(G268:G269)</f>
        <v>19.62</v>
      </c>
      <c r="H270" s="22"/>
    </row>
    <row r="271" customFormat="false" ht="15" hidden="false" customHeight="true" outlineLevel="0" collapsed="false">
      <c r="A271" s="23" t="s">
        <v>570</v>
      </c>
      <c r="B271" s="23"/>
      <c r="C271" s="23"/>
      <c r="D271" s="23"/>
      <c r="E271" s="23"/>
      <c r="F271" s="23"/>
      <c r="G271" s="23"/>
      <c r="H271" s="23"/>
    </row>
    <row r="272" customFormat="false" ht="15" hidden="false" customHeight="true" outlineLevel="0" collapsed="false">
      <c r="A272" s="11" t="s">
        <v>632</v>
      </c>
      <c r="B272" s="12" t="s">
        <v>401</v>
      </c>
      <c r="C272" s="11" t="s">
        <v>16</v>
      </c>
      <c r="D272" s="12"/>
      <c r="E272" s="38" t="n">
        <v>0.6</v>
      </c>
      <c r="F272" s="14" t="n">
        <f aca="false">'PRECIOS DE INSUMOS'!$H$38</f>
        <v>15.21</v>
      </c>
      <c r="G272" s="14" t="n">
        <f aca="false">ROUND(E272*F272,2)</f>
        <v>9.13</v>
      </c>
      <c r="H272" s="15" t="s">
        <v>633</v>
      </c>
    </row>
    <row r="273" customFormat="false" ht="15" hidden="false" customHeight="true" outlineLevel="0" collapsed="false">
      <c r="A273" s="11" t="s">
        <v>451</v>
      </c>
      <c r="B273" s="12" t="s">
        <v>452</v>
      </c>
      <c r="C273" s="11" t="s">
        <v>20</v>
      </c>
      <c r="D273" s="12"/>
      <c r="E273" s="38" t="n">
        <v>0.25</v>
      </c>
      <c r="F273" s="14" t="n">
        <f aca="false">'PRECIOS DE INSUMOS'!$H$48</f>
        <v>2.46</v>
      </c>
      <c r="G273" s="14" t="n">
        <f aca="false">ROUND(E273*F273,2)</f>
        <v>0.62</v>
      </c>
      <c r="H273" s="15" t="s">
        <v>589</v>
      </c>
    </row>
    <row r="274" customFormat="false" ht="15" hidden="false" customHeight="false" outlineLevel="0" collapsed="false">
      <c r="A274" s="22"/>
      <c r="B274" s="23" t="s">
        <v>573</v>
      </c>
      <c r="C274" s="22"/>
      <c r="D274" s="22"/>
      <c r="E274" s="22"/>
      <c r="F274" s="22"/>
      <c r="G274" s="28" t="n">
        <f aca="false">SUM(G272:G273)</f>
        <v>9.75</v>
      </c>
      <c r="H274" s="22"/>
    </row>
    <row r="275" customFormat="false" ht="15" hidden="false" customHeight="true" outlineLevel="0" collapsed="false">
      <c r="A275" s="23" t="s">
        <v>574</v>
      </c>
      <c r="B275" s="23"/>
      <c r="C275" s="23"/>
      <c r="D275" s="23"/>
      <c r="E275" s="23"/>
      <c r="F275" s="23"/>
      <c r="G275" s="23"/>
      <c r="H275" s="23"/>
    </row>
    <row r="276" customFormat="false" ht="15" hidden="false" customHeight="false" outlineLevel="0" collapsed="false">
      <c r="A276" s="11" t="s">
        <v>575</v>
      </c>
      <c r="B276" s="12" t="s">
        <v>576</v>
      </c>
      <c r="C276" s="11" t="s">
        <v>577</v>
      </c>
      <c r="D276" s="12"/>
      <c r="E276" s="13" t="n">
        <v>3</v>
      </c>
      <c r="F276" s="14" t="n">
        <f aca="false">G270</f>
        <v>19.62</v>
      </c>
      <c r="G276" s="14" t="n">
        <f aca="false">ROUND(E276/100*F276,2)</f>
        <v>0.59</v>
      </c>
      <c r="H276" s="15" t="s">
        <v>578</v>
      </c>
    </row>
    <row r="277" customFormat="false" ht="15" hidden="false" customHeight="false" outlineLevel="0" collapsed="false">
      <c r="A277" s="22"/>
      <c r="B277" s="23" t="s">
        <v>579</v>
      </c>
      <c r="C277" s="22"/>
      <c r="D277" s="22"/>
      <c r="E277" s="22"/>
      <c r="F277" s="22"/>
      <c r="G277" s="28" t="n">
        <f aca="false">SUM(G276:G276)</f>
        <v>0.59</v>
      </c>
      <c r="H277" s="22"/>
    </row>
    <row r="278" customFormat="false" ht="15" hidden="false" customHeight="false" outlineLevel="0" collapsed="false">
      <c r="A278" s="16" t="s">
        <v>586</v>
      </c>
      <c r="B278" s="16"/>
      <c r="C278" s="16"/>
      <c r="D278" s="16"/>
      <c r="E278" s="16"/>
      <c r="F278" s="16"/>
      <c r="G278" s="17" t="n">
        <f aca="false">G270+G274+G277</f>
        <v>29.96</v>
      </c>
      <c r="H278" s="18"/>
    </row>
    <row r="281" customFormat="false" ht="30" hidden="false" customHeight="true" outlineLevel="0" collapsed="false">
      <c r="A281" s="6" t="s">
        <v>634</v>
      </c>
      <c r="B281" s="6"/>
      <c r="C281" s="6"/>
      <c r="D281" s="6"/>
      <c r="E281" s="6"/>
      <c r="F281" s="6"/>
      <c r="G281" s="6"/>
      <c r="H281" s="6"/>
    </row>
    <row r="282" customFormat="false" ht="25.5" hidden="false" customHeight="true" outlineLevel="0" collapsed="false">
      <c r="A282" s="23" t="s">
        <v>551</v>
      </c>
      <c r="B282" s="39" t="n">
        <v>16</v>
      </c>
      <c r="C282" s="20" t="s">
        <v>552</v>
      </c>
      <c r="D282" s="33" t="n">
        <f aca="false">SUM(E286:E287)</f>
        <v>0.75</v>
      </c>
      <c r="E282" s="20" t="s">
        <v>553</v>
      </c>
      <c r="F282" s="33" t="n">
        <f aca="false">SUMIF(C294:C294,"hm",E294:E294)</f>
        <v>0</v>
      </c>
      <c r="G282" s="20" t="s">
        <v>582</v>
      </c>
      <c r="H282" s="34" t="n">
        <f aca="false">G296</f>
        <v>33.46</v>
      </c>
    </row>
    <row r="283" customFormat="false" ht="15" hidden="false" customHeight="true" outlineLevel="0" collapsed="false">
      <c r="A283" s="23" t="s">
        <v>555</v>
      </c>
      <c r="B283" s="40" t="n">
        <v>1</v>
      </c>
      <c r="C283" s="36" t="s">
        <v>588</v>
      </c>
      <c r="D283" s="36"/>
      <c r="E283" s="36"/>
      <c r="F283" s="36"/>
      <c r="G283" s="36"/>
      <c r="H283" s="36"/>
    </row>
    <row r="284" customFormat="false" ht="15" hidden="false" customHeight="false" outlineLevel="0" collapsed="false">
      <c r="A284" s="4" t="s">
        <v>240</v>
      </c>
      <c r="B284" s="4" t="s">
        <v>557</v>
      </c>
      <c r="C284" s="4" t="s">
        <v>5</v>
      </c>
      <c r="D284" s="4" t="s">
        <v>558</v>
      </c>
      <c r="E284" s="4" t="s">
        <v>559</v>
      </c>
      <c r="F284" s="4" t="s">
        <v>560</v>
      </c>
      <c r="G284" s="4" t="s">
        <v>561</v>
      </c>
      <c r="H284" s="4" t="s">
        <v>223</v>
      </c>
    </row>
    <row r="285" customFormat="false" ht="15" hidden="false" customHeight="true" outlineLevel="0" collapsed="false">
      <c r="A285" s="23" t="s">
        <v>562</v>
      </c>
      <c r="B285" s="23"/>
      <c r="C285" s="23"/>
      <c r="D285" s="23"/>
      <c r="E285" s="23"/>
      <c r="F285" s="23"/>
      <c r="G285" s="23"/>
      <c r="H285" s="23"/>
    </row>
    <row r="286" customFormat="false" ht="15" hidden="false" customHeight="false" outlineLevel="0" collapsed="false">
      <c r="A286" s="11" t="s">
        <v>563</v>
      </c>
      <c r="B286" s="12" t="s">
        <v>564</v>
      </c>
      <c r="C286" s="11" t="s">
        <v>565</v>
      </c>
      <c r="D286" s="13" t="n">
        <v>1</v>
      </c>
      <c r="E286" s="37" t="n">
        <f aca="false">ROUND(D286*8/$B$282,4)</f>
        <v>0.5</v>
      </c>
      <c r="F286" s="21" t="n">
        <f aca="false">'MANO DE OBRA 2026'!$C$16</f>
        <v>28.95</v>
      </c>
      <c r="G286" s="14" t="n">
        <f aca="false">ROUND(E286*F286,2)</f>
        <v>14.48</v>
      </c>
      <c r="H286" s="15" t="s">
        <v>566</v>
      </c>
    </row>
    <row r="287" customFormat="false" ht="15" hidden="false" customHeight="false" outlineLevel="0" collapsed="false">
      <c r="A287" s="11" t="s">
        <v>567</v>
      </c>
      <c r="B287" s="12" t="s">
        <v>568</v>
      </c>
      <c r="C287" s="11" t="s">
        <v>565</v>
      </c>
      <c r="D287" s="13" t="n">
        <v>0.5</v>
      </c>
      <c r="E287" s="37" t="n">
        <f aca="false">ROUND(D287*8/$B$282,4)</f>
        <v>0.25</v>
      </c>
      <c r="F287" s="21" t="n">
        <f aca="false">'MANO DE OBRA 2026'!$E$16</f>
        <v>20.54</v>
      </c>
      <c r="G287" s="14" t="n">
        <f aca="false">ROUND(E287*F287,2)</f>
        <v>5.14</v>
      </c>
      <c r="H287" s="15" t="s">
        <v>566</v>
      </c>
    </row>
    <row r="288" customFormat="false" ht="15" hidden="false" customHeight="false" outlineLevel="0" collapsed="false">
      <c r="A288" s="22"/>
      <c r="B288" s="23" t="s">
        <v>569</v>
      </c>
      <c r="C288" s="22"/>
      <c r="D288" s="22"/>
      <c r="E288" s="22"/>
      <c r="F288" s="22"/>
      <c r="G288" s="28" t="n">
        <f aca="false">SUM(G286:G287)</f>
        <v>19.62</v>
      </c>
      <c r="H288" s="22"/>
    </row>
    <row r="289" customFormat="false" ht="15" hidden="false" customHeight="true" outlineLevel="0" collapsed="false">
      <c r="A289" s="23" t="s">
        <v>570</v>
      </c>
      <c r="B289" s="23"/>
      <c r="C289" s="23"/>
      <c r="D289" s="23"/>
      <c r="E289" s="23"/>
      <c r="F289" s="23"/>
      <c r="G289" s="23"/>
      <c r="H289" s="23"/>
    </row>
    <row r="290" customFormat="false" ht="15" hidden="false" customHeight="true" outlineLevel="0" collapsed="false">
      <c r="A290" s="11" t="s">
        <v>387</v>
      </c>
      <c r="B290" s="12" t="s">
        <v>388</v>
      </c>
      <c r="C290" s="11" t="s">
        <v>20</v>
      </c>
      <c r="D290" s="12"/>
      <c r="E290" s="38" t="n">
        <v>1</v>
      </c>
      <c r="F290" s="14" t="n">
        <f aca="false">'PRECIOS DE INSUMOS'!$H$35</f>
        <v>12.63</v>
      </c>
      <c r="G290" s="14" t="n">
        <f aca="false">ROUND(E290*F290,2)</f>
        <v>12.63</v>
      </c>
      <c r="H290" s="15" t="s">
        <v>584</v>
      </c>
    </row>
    <row r="291" customFormat="false" ht="15" hidden="false" customHeight="true" outlineLevel="0" collapsed="false">
      <c r="A291" s="11" t="s">
        <v>451</v>
      </c>
      <c r="B291" s="12" t="s">
        <v>452</v>
      </c>
      <c r="C291" s="11" t="s">
        <v>20</v>
      </c>
      <c r="D291" s="12"/>
      <c r="E291" s="38" t="n">
        <v>0.25</v>
      </c>
      <c r="F291" s="14" t="n">
        <f aca="false">'PRECIOS DE INSUMOS'!$H$48</f>
        <v>2.46</v>
      </c>
      <c r="G291" s="14" t="n">
        <f aca="false">ROUND(E291*F291,2)</f>
        <v>0.62</v>
      </c>
      <c r="H291" s="15" t="s">
        <v>589</v>
      </c>
    </row>
    <row r="292" customFormat="false" ht="15" hidden="false" customHeight="false" outlineLevel="0" collapsed="false">
      <c r="A292" s="22"/>
      <c r="B292" s="23" t="s">
        <v>573</v>
      </c>
      <c r="C292" s="22"/>
      <c r="D292" s="22"/>
      <c r="E292" s="22"/>
      <c r="F292" s="22"/>
      <c r="G292" s="28" t="n">
        <f aca="false">SUM(G290:G291)</f>
        <v>13.25</v>
      </c>
      <c r="H292" s="22"/>
    </row>
    <row r="293" customFormat="false" ht="15" hidden="false" customHeight="true" outlineLevel="0" collapsed="false">
      <c r="A293" s="23" t="s">
        <v>574</v>
      </c>
      <c r="B293" s="23"/>
      <c r="C293" s="23"/>
      <c r="D293" s="23"/>
      <c r="E293" s="23"/>
      <c r="F293" s="23"/>
      <c r="G293" s="23"/>
      <c r="H293" s="23"/>
    </row>
    <row r="294" customFormat="false" ht="15" hidden="false" customHeight="false" outlineLevel="0" collapsed="false">
      <c r="A294" s="11" t="s">
        <v>575</v>
      </c>
      <c r="B294" s="12" t="s">
        <v>576</v>
      </c>
      <c r="C294" s="11" t="s">
        <v>577</v>
      </c>
      <c r="D294" s="12"/>
      <c r="E294" s="13" t="n">
        <v>3</v>
      </c>
      <c r="F294" s="14" t="n">
        <f aca="false">G288</f>
        <v>19.62</v>
      </c>
      <c r="G294" s="14" t="n">
        <f aca="false">ROUND(E294/100*F294,2)</f>
        <v>0.59</v>
      </c>
      <c r="H294" s="15" t="s">
        <v>578</v>
      </c>
    </row>
    <row r="295" customFormat="false" ht="15" hidden="false" customHeight="false" outlineLevel="0" collapsed="false">
      <c r="A295" s="22"/>
      <c r="B295" s="23" t="s">
        <v>579</v>
      </c>
      <c r="C295" s="22"/>
      <c r="D295" s="22"/>
      <c r="E295" s="22"/>
      <c r="F295" s="22"/>
      <c r="G295" s="28" t="n">
        <f aca="false">SUM(G294:G294)</f>
        <v>0.59</v>
      </c>
      <c r="H295" s="22"/>
    </row>
    <row r="296" customFormat="false" ht="15" hidden="false" customHeight="false" outlineLevel="0" collapsed="false">
      <c r="A296" s="16" t="s">
        <v>586</v>
      </c>
      <c r="B296" s="16"/>
      <c r="C296" s="16"/>
      <c r="D296" s="16"/>
      <c r="E296" s="16"/>
      <c r="F296" s="16"/>
      <c r="G296" s="17" t="n">
        <f aca="false">G288+G292+G295</f>
        <v>33.46</v>
      </c>
      <c r="H296" s="18"/>
    </row>
    <row r="299" customFormat="false" ht="30" hidden="false" customHeight="true" outlineLevel="0" collapsed="false">
      <c r="A299" s="6" t="s">
        <v>635</v>
      </c>
      <c r="B299" s="6"/>
      <c r="C299" s="6"/>
      <c r="D299" s="6"/>
      <c r="E299" s="6"/>
      <c r="F299" s="6"/>
      <c r="G299" s="6"/>
      <c r="H299" s="6"/>
    </row>
    <row r="300" customFormat="false" ht="25.5" hidden="false" customHeight="true" outlineLevel="0" collapsed="false">
      <c r="A300" s="23" t="s">
        <v>551</v>
      </c>
      <c r="B300" s="39" t="n">
        <v>4</v>
      </c>
      <c r="C300" s="20" t="s">
        <v>552</v>
      </c>
      <c r="D300" s="33" t="n">
        <f aca="false">SUM(E304:E305)</f>
        <v>3</v>
      </c>
      <c r="E300" s="20" t="s">
        <v>553</v>
      </c>
      <c r="F300" s="33" t="n">
        <f aca="false">SUMIF(C312:C312,"hm",E312:E312)</f>
        <v>0</v>
      </c>
      <c r="G300" s="20" t="s">
        <v>582</v>
      </c>
      <c r="H300" s="34" t="n">
        <f aca="false">G314</f>
        <v>394.66</v>
      </c>
    </row>
    <row r="301" customFormat="false" ht="15" hidden="false" customHeight="true" outlineLevel="0" collapsed="false">
      <c r="A301" s="23" t="s">
        <v>555</v>
      </c>
      <c r="B301" s="40" t="n">
        <v>1</v>
      </c>
      <c r="C301" s="36" t="s">
        <v>583</v>
      </c>
      <c r="D301" s="36"/>
      <c r="E301" s="36"/>
      <c r="F301" s="36"/>
      <c r="G301" s="36"/>
      <c r="H301" s="36"/>
    </row>
    <row r="302" customFormat="false" ht="15" hidden="false" customHeight="false" outlineLevel="0" collapsed="false">
      <c r="A302" s="4" t="s">
        <v>240</v>
      </c>
      <c r="B302" s="4" t="s">
        <v>557</v>
      </c>
      <c r="C302" s="4" t="s">
        <v>5</v>
      </c>
      <c r="D302" s="4" t="s">
        <v>558</v>
      </c>
      <c r="E302" s="4" t="s">
        <v>559</v>
      </c>
      <c r="F302" s="4" t="s">
        <v>560</v>
      </c>
      <c r="G302" s="4" t="s">
        <v>561</v>
      </c>
      <c r="H302" s="4" t="s">
        <v>223</v>
      </c>
    </row>
    <row r="303" customFormat="false" ht="15" hidden="false" customHeight="true" outlineLevel="0" collapsed="false">
      <c r="A303" s="23" t="s">
        <v>562</v>
      </c>
      <c r="B303" s="23"/>
      <c r="C303" s="23"/>
      <c r="D303" s="23"/>
      <c r="E303" s="23"/>
      <c r="F303" s="23"/>
      <c r="G303" s="23"/>
      <c r="H303" s="23"/>
    </row>
    <row r="304" customFormat="false" ht="15" hidden="false" customHeight="false" outlineLevel="0" collapsed="false">
      <c r="A304" s="11" t="s">
        <v>563</v>
      </c>
      <c r="B304" s="12" t="s">
        <v>564</v>
      </c>
      <c r="C304" s="11" t="s">
        <v>565</v>
      </c>
      <c r="D304" s="13" t="n">
        <v>1</v>
      </c>
      <c r="E304" s="37" t="n">
        <f aca="false">ROUND(D304*8/$B$300,4)</f>
        <v>2</v>
      </c>
      <c r="F304" s="21" t="n">
        <f aca="false">'MANO DE OBRA 2026'!$C$16</f>
        <v>28.95</v>
      </c>
      <c r="G304" s="14" t="n">
        <f aca="false">ROUND(E304*F304,2)</f>
        <v>57.9</v>
      </c>
      <c r="H304" s="15" t="s">
        <v>566</v>
      </c>
    </row>
    <row r="305" customFormat="false" ht="15" hidden="false" customHeight="false" outlineLevel="0" collapsed="false">
      <c r="A305" s="11" t="s">
        <v>567</v>
      </c>
      <c r="B305" s="12" t="s">
        <v>568</v>
      </c>
      <c r="C305" s="11" t="s">
        <v>565</v>
      </c>
      <c r="D305" s="13" t="n">
        <v>0.5</v>
      </c>
      <c r="E305" s="37" t="n">
        <f aca="false">ROUND(D305*8/$B$300,4)</f>
        <v>1</v>
      </c>
      <c r="F305" s="21" t="n">
        <f aca="false">'MANO DE OBRA 2026'!$E$16</f>
        <v>20.54</v>
      </c>
      <c r="G305" s="14" t="n">
        <f aca="false">ROUND(E305*F305,2)</f>
        <v>20.54</v>
      </c>
      <c r="H305" s="15" t="s">
        <v>566</v>
      </c>
    </row>
    <row r="306" customFormat="false" ht="15" hidden="false" customHeight="false" outlineLevel="0" collapsed="false">
      <c r="A306" s="22"/>
      <c r="B306" s="23" t="s">
        <v>569</v>
      </c>
      <c r="C306" s="22"/>
      <c r="D306" s="22"/>
      <c r="E306" s="22"/>
      <c r="F306" s="22"/>
      <c r="G306" s="28" t="n">
        <f aca="false">SUM(G304:G305)</f>
        <v>78.44</v>
      </c>
      <c r="H306" s="22"/>
    </row>
    <row r="307" customFormat="false" ht="15" hidden="false" customHeight="true" outlineLevel="0" collapsed="false">
      <c r="A307" s="23" t="s">
        <v>570</v>
      </c>
      <c r="B307" s="23"/>
      <c r="C307" s="23"/>
      <c r="D307" s="23"/>
      <c r="E307" s="23"/>
      <c r="F307" s="23"/>
      <c r="G307" s="23"/>
      <c r="H307" s="23"/>
    </row>
    <row r="308" customFormat="false" ht="15" hidden="false" customHeight="true" outlineLevel="0" collapsed="false">
      <c r="A308" s="11" t="s">
        <v>368</v>
      </c>
      <c r="B308" s="12" t="s">
        <v>369</v>
      </c>
      <c r="C308" s="11" t="s">
        <v>20</v>
      </c>
      <c r="D308" s="12"/>
      <c r="E308" s="38" t="n">
        <v>1</v>
      </c>
      <c r="F308" s="14" t="n">
        <f aca="false">'PRECIOS DE INSUMOS'!$H$31</f>
        <v>313.56</v>
      </c>
      <c r="G308" s="14" t="n">
        <f aca="false">ROUND(E308*F308,2)</f>
        <v>313.56</v>
      </c>
      <c r="H308" s="15" t="s">
        <v>584</v>
      </c>
    </row>
    <row r="309" customFormat="false" ht="15" hidden="false" customHeight="true" outlineLevel="0" collapsed="false">
      <c r="A309" s="11" t="s">
        <v>451</v>
      </c>
      <c r="B309" s="12" t="s">
        <v>452</v>
      </c>
      <c r="C309" s="11" t="s">
        <v>20</v>
      </c>
      <c r="D309" s="12"/>
      <c r="E309" s="38" t="n">
        <v>0.125</v>
      </c>
      <c r="F309" s="14" t="n">
        <f aca="false">'PRECIOS DE INSUMOS'!$H$48</f>
        <v>2.46</v>
      </c>
      <c r="G309" s="14" t="n">
        <f aca="false">ROUND(E309*F309,2)</f>
        <v>0.31</v>
      </c>
      <c r="H309" s="15" t="s">
        <v>585</v>
      </c>
    </row>
    <row r="310" customFormat="false" ht="15" hidden="false" customHeight="false" outlineLevel="0" collapsed="false">
      <c r="A310" s="22"/>
      <c r="B310" s="23" t="s">
        <v>573</v>
      </c>
      <c r="C310" s="22"/>
      <c r="D310" s="22"/>
      <c r="E310" s="22"/>
      <c r="F310" s="22"/>
      <c r="G310" s="28" t="n">
        <f aca="false">SUM(G308:G309)</f>
        <v>313.87</v>
      </c>
      <c r="H310" s="22"/>
    </row>
    <row r="311" customFormat="false" ht="15" hidden="false" customHeight="true" outlineLevel="0" collapsed="false">
      <c r="A311" s="23" t="s">
        <v>574</v>
      </c>
      <c r="B311" s="23"/>
      <c r="C311" s="23"/>
      <c r="D311" s="23"/>
      <c r="E311" s="23"/>
      <c r="F311" s="23"/>
      <c r="G311" s="23"/>
      <c r="H311" s="23"/>
    </row>
    <row r="312" customFormat="false" ht="15" hidden="false" customHeight="false" outlineLevel="0" collapsed="false">
      <c r="A312" s="11" t="s">
        <v>575</v>
      </c>
      <c r="B312" s="12" t="s">
        <v>576</v>
      </c>
      <c r="C312" s="11" t="s">
        <v>577</v>
      </c>
      <c r="D312" s="12"/>
      <c r="E312" s="13" t="n">
        <v>3</v>
      </c>
      <c r="F312" s="14" t="n">
        <f aca="false">G306</f>
        <v>78.44</v>
      </c>
      <c r="G312" s="14" t="n">
        <f aca="false">ROUND(E312/100*F312,2)</f>
        <v>2.35</v>
      </c>
      <c r="H312" s="15" t="s">
        <v>578</v>
      </c>
    </row>
    <row r="313" customFormat="false" ht="15" hidden="false" customHeight="false" outlineLevel="0" collapsed="false">
      <c r="A313" s="22"/>
      <c r="B313" s="23" t="s">
        <v>579</v>
      </c>
      <c r="C313" s="22"/>
      <c r="D313" s="22"/>
      <c r="E313" s="22"/>
      <c r="F313" s="22"/>
      <c r="G313" s="28" t="n">
        <f aca="false">SUM(G312:G312)</f>
        <v>2.35</v>
      </c>
      <c r="H313" s="22"/>
    </row>
    <row r="314" customFormat="false" ht="15" hidden="false" customHeight="false" outlineLevel="0" collapsed="false">
      <c r="A314" s="16" t="s">
        <v>586</v>
      </c>
      <c r="B314" s="16"/>
      <c r="C314" s="16"/>
      <c r="D314" s="16"/>
      <c r="E314" s="16"/>
      <c r="F314" s="16"/>
      <c r="G314" s="17" t="n">
        <f aca="false">G306+G310+G313</f>
        <v>394.66</v>
      </c>
      <c r="H314" s="18"/>
    </row>
    <row r="317" customFormat="false" ht="30" hidden="false" customHeight="true" outlineLevel="0" collapsed="false">
      <c r="A317" s="6" t="s">
        <v>636</v>
      </c>
      <c r="B317" s="6"/>
      <c r="C317" s="6"/>
      <c r="D317" s="6"/>
      <c r="E317" s="6"/>
      <c r="F317" s="6"/>
      <c r="G317" s="6"/>
      <c r="H317" s="6"/>
    </row>
    <row r="318" customFormat="false" ht="25.5" hidden="false" customHeight="true" outlineLevel="0" collapsed="false">
      <c r="A318" s="23" t="s">
        <v>551</v>
      </c>
      <c r="B318" s="39" t="n">
        <v>3</v>
      </c>
      <c r="C318" s="20" t="s">
        <v>552</v>
      </c>
      <c r="D318" s="33" t="n">
        <f aca="false">SUM(E322:E323)</f>
        <v>4</v>
      </c>
      <c r="E318" s="20" t="s">
        <v>553</v>
      </c>
      <c r="F318" s="33" t="n">
        <f aca="false">SUMIF(C329:C329,"hm",E329:E329)</f>
        <v>0</v>
      </c>
      <c r="G318" s="20" t="s">
        <v>582</v>
      </c>
      <c r="H318" s="34" t="n">
        <f aca="false">G331</f>
        <v>183.92</v>
      </c>
    </row>
    <row r="319" customFormat="false" ht="15" hidden="false" customHeight="true" outlineLevel="0" collapsed="false">
      <c r="A319" s="23" t="s">
        <v>555</v>
      </c>
      <c r="B319" s="40" t="n">
        <v>1</v>
      </c>
      <c r="C319" s="36" t="s">
        <v>609</v>
      </c>
      <c r="D319" s="36"/>
      <c r="E319" s="36"/>
      <c r="F319" s="36"/>
      <c r="G319" s="36"/>
      <c r="H319" s="36"/>
    </row>
    <row r="320" customFormat="false" ht="15" hidden="false" customHeight="false" outlineLevel="0" collapsed="false">
      <c r="A320" s="4" t="s">
        <v>240</v>
      </c>
      <c r="B320" s="4" t="s">
        <v>557</v>
      </c>
      <c r="C320" s="4" t="s">
        <v>5</v>
      </c>
      <c r="D320" s="4" t="s">
        <v>558</v>
      </c>
      <c r="E320" s="4" t="s">
        <v>559</v>
      </c>
      <c r="F320" s="4" t="s">
        <v>560</v>
      </c>
      <c r="G320" s="4" t="s">
        <v>561</v>
      </c>
      <c r="H320" s="4" t="s">
        <v>223</v>
      </c>
    </row>
    <row r="321" customFormat="false" ht="15" hidden="false" customHeight="true" outlineLevel="0" collapsed="false">
      <c r="A321" s="23" t="s">
        <v>562</v>
      </c>
      <c r="B321" s="23"/>
      <c r="C321" s="23"/>
      <c r="D321" s="23"/>
      <c r="E321" s="23"/>
      <c r="F321" s="23"/>
      <c r="G321" s="23"/>
      <c r="H321" s="23"/>
    </row>
    <row r="322" customFormat="false" ht="15" hidden="false" customHeight="false" outlineLevel="0" collapsed="false">
      <c r="A322" s="11" t="s">
        <v>563</v>
      </c>
      <c r="B322" s="12" t="s">
        <v>564</v>
      </c>
      <c r="C322" s="11" t="s">
        <v>565</v>
      </c>
      <c r="D322" s="13" t="n">
        <v>1</v>
      </c>
      <c r="E322" s="37" t="n">
        <f aca="false">ROUND(D322*8/$B$318,4)</f>
        <v>2.6667</v>
      </c>
      <c r="F322" s="21" t="n">
        <f aca="false">'MANO DE OBRA 2026'!$C$16</f>
        <v>28.95</v>
      </c>
      <c r="G322" s="14" t="n">
        <f aca="false">ROUND(E322*F322,2)</f>
        <v>77.2</v>
      </c>
      <c r="H322" s="15" t="s">
        <v>566</v>
      </c>
    </row>
    <row r="323" customFormat="false" ht="15" hidden="false" customHeight="false" outlineLevel="0" collapsed="false">
      <c r="A323" s="11" t="s">
        <v>567</v>
      </c>
      <c r="B323" s="12" t="s">
        <v>568</v>
      </c>
      <c r="C323" s="11" t="s">
        <v>565</v>
      </c>
      <c r="D323" s="13" t="n">
        <v>0.5</v>
      </c>
      <c r="E323" s="37" t="n">
        <f aca="false">ROUND(D323*8/$B$318,4)</f>
        <v>1.3333</v>
      </c>
      <c r="F323" s="21" t="n">
        <f aca="false">'MANO DE OBRA 2026'!$E$16</f>
        <v>20.54</v>
      </c>
      <c r="G323" s="14" t="n">
        <f aca="false">ROUND(E323*F323,2)</f>
        <v>27.39</v>
      </c>
      <c r="H323" s="15" t="s">
        <v>566</v>
      </c>
    </row>
    <row r="324" customFormat="false" ht="15" hidden="false" customHeight="false" outlineLevel="0" collapsed="false">
      <c r="A324" s="22"/>
      <c r="B324" s="23" t="s">
        <v>569</v>
      </c>
      <c r="C324" s="22"/>
      <c r="D324" s="22"/>
      <c r="E324" s="22"/>
      <c r="F324" s="22"/>
      <c r="G324" s="28" t="n">
        <f aca="false">SUM(G322:G323)</f>
        <v>104.59</v>
      </c>
      <c r="H324" s="22"/>
    </row>
    <row r="325" customFormat="false" ht="15" hidden="false" customHeight="true" outlineLevel="0" collapsed="false">
      <c r="A325" s="23" t="s">
        <v>570</v>
      </c>
      <c r="B325" s="23"/>
      <c r="C325" s="23"/>
      <c r="D325" s="23"/>
      <c r="E325" s="23"/>
      <c r="F325" s="23"/>
      <c r="G325" s="23"/>
      <c r="H325" s="23"/>
    </row>
    <row r="326" customFormat="false" ht="15" hidden="false" customHeight="true" outlineLevel="0" collapsed="false">
      <c r="A326" s="11" t="s">
        <v>378</v>
      </c>
      <c r="B326" s="12" t="s">
        <v>379</v>
      </c>
      <c r="C326" s="11" t="s">
        <v>20</v>
      </c>
      <c r="D326" s="12"/>
      <c r="E326" s="38" t="n">
        <v>1</v>
      </c>
      <c r="F326" s="14" t="n">
        <f aca="false">'PRECIOS DE INSUMOS'!$H$33</f>
        <v>76.19</v>
      </c>
      <c r="G326" s="14" t="n">
        <f aca="false">ROUND(E326*F326,2)</f>
        <v>76.19</v>
      </c>
      <c r="H326" s="15" t="s">
        <v>584</v>
      </c>
    </row>
    <row r="327" customFormat="false" ht="15" hidden="false" customHeight="false" outlineLevel="0" collapsed="false">
      <c r="A327" s="22"/>
      <c r="B327" s="23" t="s">
        <v>573</v>
      </c>
      <c r="C327" s="22"/>
      <c r="D327" s="22"/>
      <c r="E327" s="22"/>
      <c r="F327" s="22"/>
      <c r="G327" s="28" t="n">
        <f aca="false">SUM(G326:G326)</f>
        <v>76.19</v>
      </c>
      <c r="H327" s="22"/>
    </row>
    <row r="328" customFormat="false" ht="15" hidden="false" customHeight="true" outlineLevel="0" collapsed="false">
      <c r="A328" s="23" t="s">
        <v>574</v>
      </c>
      <c r="B328" s="23"/>
      <c r="C328" s="23"/>
      <c r="D328" s="23"/>
      <c r="E328" s="23"/>
      <c r="F328" s="23"/>
      <c r="G328" s="23"/>
      <c r="H328" s="23"/>
    </row>
    <row r="329" customFormat="false" ht="15" hidden="false" customHeight="false" outlineLevel="0" collapsed="false">
      <c r="A329" s="11" t="s">
        <v>575</v>
      </c>
      <c r="B329" s="12" t="s">
        <v>576</v>
      </c>
      <c r="C329" s="11" t="s">
        <v>577</v>
      </c>
      <c r="D329" s="12"/>
      <c r="E329" s="13" t="n">
        <v>3</v>
      </c>
      <c r="F329" s="14" t="n">
        <f aca="false">G324</f>
        <v>104.59</v>
      </c>
      <c r="G329" s="14" t="n">
        <f aca="false">ROUND(E329/100*F329,2)</f>
        <v>3.14</v>
      </c>
      <c r="H329" s="15" t="s">
        <v>578</v>
      </c>
    </row>
    <row r="330" customFormat="false" ht="15" hidden="false" customHeight="false" outlineLevel="0" collapsed="false">
      <c r="A330" s="22"/>
      <c r="B330" s="23" t="s">
        <v>579</v>
      </c>
      <c r="C330" s="22"/>
      <c r="D330" s="22"/>
      <c r="E330" s="22"/>
      <c r="F330" s="22"/>
      <c r="G330" s="28" t="n">
        <f aca="false">SUM(G329:G329)</f>
        <v>3.14</v>
      </c>
      <c r="H330" s="22"/>
    </row>
    <row r="331" customFormat="false" ht="15" hidden="false" customHeight="false" outlineLevel="0" collapsed="false">
      <c r="A331" s="16" t="s">
        <v>586</v>
      </c>
      <c r="B331" s="16"/>
      <c r="C331" s="16"/>
      <c r="D331" s="16"/>
      <c r="E331" s="16"/>
      <c r="F331" s="16"/>
      <c r="G331" s="17" t="n">
        <f aca="false">G324+G327+G330</f>
        <v>183.92</v>
      </c>
      <c r="H331" s="18"/>
    </row>
  </sheetData>
  <mergeCells count="114">
    <mergeCell ref="A1:H1"/>
    <mergeCell ref="A2:H2"/>
    <mergeCell ref="A3:H3"/>
    <mergeCell ref="A5:H5"/>
    <mergeCell ref="A6:H6"/>
    <mergeCell ref="A8:H8"/>
    <mergeCell ref="C10:H10"/>
    <mergeCell ref="A12:H12"/>
    <mergeCell ref="A16:H16"/>
    <mergeCell ref="A20:H20"/>
    <mergeCell ref="A23:F23"/>
    <mergeCell ref="A26:H26"/>
    <mergeCell ref="C28:H28"/>
    <mergeCell ref="A30:H30"/>
    <mergeCell ref="A34:H34"/>
    <mergeCell ref="A38:H38"/>
    <mergeCell ref="A41:F41"/>
    <mergeCell ref="A44:H44"/>
    <mergeCell ref="C46:H46"/>
    <mergeCell ref="A48:H48"/>
    <mergeCell ref="A52:H52"/>
    <mergeCell ref="A56:H56"/>
    <mergeCell ref="A59:F59"/>
    <mergeCell ref="A62:H62"/>
    <mergeCell ref="C64:H64"/>
    <mergeCell ref="A66:H66"/>
    <mergeCell ref="A70:H70"/>
    <mergeCell ref="A74:H74"/>
    <mergeCell ref="A77:F77"/>
    <mergeCell ref="A80:H80"/>
    <mergeCell ref="C82:H82"/>
    <mergeCell ref="A84:H84"/>
    <mergeCell ref="A88:H88"/>
    <mergeCell ref="A92:H92"/>
    <mergeCell ref="A95:F95"/>
    <mergeCell ref="A98:H98"/>
    <mergeCell ref="C100:H100"/>
    <mergeCell ref="A102:H102"/>
    <mergeCell ref="A106:H106"/>
    <mergeCell ref="A110:H110"/>
    <mergeCell ref="A113:F113"/>
    <mergeCell ref="A116:H116"/>
    <mergeCell ref="C118:H118"/>
    <mergeCell ref="A120:H120"/>
    <mergeCell ref="A124:H124"/>
    <mergeCell ref="A128:H128"/>
    <mergeCell ref="A131:F131"/>
    <mergeCell ref="A134:H134"/>
    <mergeCell ref="C136:H136"/>
    <mergeCell ref="A138:H138"/>
    <mergeCell ref="A142:H142"/>
    <mergeCell ref="A146:H146"/>
    <mergeCell ref="A149:F149"/>
    <mergeCell ref="A152:H152"/>
    <mergeCell ref="C154:H154"/>
    <mergeCell ref="A156:H156"/>
    <mergeCell ref="A160:H160"/>
    <mergeCell ref="A164:H164"/>
    <mergeCell ref="A167:F167"/>
    <mergeCell ref="A170:H170"/>
    <mergeCell ref="C172:H172"/>
    <mergeCell ref="A174:H174"/>
    <mergeCell ref="A178:H178"/>
    <mergeCell ref="A182:H182"/>
    <mergeCell ref="A185:F185"/>
    <mergeCell ref="A188:H188"/>
    <mergeCell ref="C190:H190"/>
    <mergeCell ref="A192:H192"/>
    <mergeCell ref="A196:H196"/>
    <mergeCell ref="A200:H200"/>
    <mergeCell ref="A203:F203"/>
    <mergeCell ref="A206:H206"/>
    <mergeCell ref="C208:H208"/>
    <mergeCell ref="A210:H210"/>
    <mergeCell ref="A214:H214"/>
    <mergeCell ref="A219:H219"/>
    <mergeCell ref="A222:F222"/>
    <mergeCell ref="A225:H225"/>
    <mergeCell ref="C227:H227"/>
    <mergeCell ref="A229:H229"/>
    <mergeCell ref="A233:H233"/>
    <mergeCell ref="A237:H237"/>
    <mergeCell ref="A240:F240"/>
    <mergeCell ref="A243:H243"/>
    <mergeCell ref="C245:H245"/>
    <mergeCell ref="A247:H247"/>
    <mergeCell ref="A251:H251"/>
    <mergeCell ref="A255:H255"/>
    <mergeCell ref="A259:F259"/>
    <mergeCell ref="A260:H260"/>
    <mergeCell ref="A263:H263"/>
    <mergeCell ref="C265:H265"/>
    <mergeCell ref="A267:H267"/>
    <mergeCell ref="A271:H271"/>
    <mergeCell ref="A275:H275"/>
    <mergeCell ref="A278:F278"/>
    <mergeCell ref="A281:H281"/>
    <mergeCell ref="C283:H283"/>
    <mergeCell ref="A285:H285"/>
    <mergeCell ref="A289:H289"/>
    <mergeCell ref="A293:H293"/>
    <mergeCell ref="A296:F296"/>
    <mergeCell ref="A299:H299"/>
    <mergeCell ref="C301:H301"/>
    <mergeCell ref="A303:H303"/>
    <mergeCell ref="A307:H307"/>
    <mergeCell ref="A311:H311"/>
    <mergeCell ref="A314:F314"/>
    <mergeCell ref="A317:H317"/>
    <mergeCell ref="C319:H319"/>
    <mergeCell ref="A321:H321"/>
    <mergeCell ref="A325:H325"/>
    <mergeCell ref="A328:H328"/>
    <mergeCell ref="A331:F331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637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638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32" t="n">
        <v>18</v>
      </c>
      <c r="C8" s="20" t="s">
        <v>552</v>
      </c>
      <c r="D8" s="33" t="n">
        <f aca="false">SUM(E12:E13)</f>
        <v>0.6666</v>
      </c>
      <c r="E8" s="20" t="s">
        <v>553</v>
      </c>
      <c r="F8" s="33" t="n">
        <f aca="false">SUMIF(C20:C20,"hm",E20:E20)</f>
        <v>0</v>
      </c>
      <c r="G8" s="20" t="s">
        <v>554</v>
      </c>
      <c r="H8" s="34" t="n">
        <f aca="false">G22</f>
        <v>29.97</v>
      </c>
    </row>
    <row r="9" customFormat="false" ht="15" hidden="false" customHeight="true" outlineLevel="0" collapsed="false">
      <c r="A9" s="23" t="s">
        <v>555</v>
      </c>
      <c r="B9" s="35" t="n">
        <v>17</v>
      </c>
      <c r="C9" s="36" t="s">
        <v>639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0.4444</v>
      </c>
      <c r="F12" s="21" t="n">
        <f aca="false">'MANO DE OBRA 2026'!$C$16</f>
        <v>28.95</v>
      </c>
      <c r="G12" s="14" t="n">
        <f aca="false">ROUND(E12*F12,2)</f>
        <v>12.87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0.5</v>
      </c>
      <c r="E13" s="37" t="n">
        <f aca="false">ROUND(D13*8/$B$8,4)</f>
        <v>0.2222</v>
      </c>
      <c r="F13" s="21" t="n">
        <f aca="false">'MANO DE OBRA 2026'!$E$16</f>
        <v>20.54</v>
      </c>
      <c r="G13" s="14" t="n">
        <f aca="false">ROUND(E13*F13,2)</f>
        <v>4.56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17.43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11" t="s">
        <v>264</v>
      </c>
      <c r="B16" s="12" t="s">
        <v>265</v>
      </c>
      <c r="C16" s="11" t="s">
        <v>16</v>
      </c>
      <c r="D16" s="12"/>
      <c r="E16" s="38" t="n">
        <v>1.05</v>
      </c>
      <c r="F16" s="14" t="n">
        <f aca="false">'PRECIOS DE INSUMOS'!$H$9</f>
        <v>11.17</v>
      </c>
      <c r="G16" s="14" t="n">
        <f aca="false">ROUND(E16*F16,2)</f>
        <v>11.73</v>
      </c>
      <c r="H16" s="15" t="s">
        <v>571</v>
      </c>
    </row>
    <row r="17" customFormat="false" ht="15" hidden="false" customHeight="true" outlineLevel="0" collapsed="false">
      <c r="A17" s="11" t="s">
        <v>445</v>
      </c>
      <c r="B17" s="12" t="s">
        <v>446</v>
      </c>
      <c r="C17" s="11" t="s">
        <v>447</v>
      </c>
      <c r="D17" s="12"/>
      <c r="E17" s="38" t="n">
        <v>0.0014</v>
      </c>
      <c r="F17" s="14" t="n">
        <f aca="false">'PRECIOS DE INSUMOS'!$H$47</f>
        <v>209.83</v>
      </c>
      <c r="G17" s="14" t="n">
        <f aca="false">ROUND(E17*F17,2)</f>
        <v>0.29</v>
      </c>
      <c r="H17" s="15" t="s">
        <v>640</v>
      </c>
    </row>
    <row r="18" customFormat="false" ht="15" hidden="false" customHeight="false" outlineLevel="0" collapsed="false">
      <c r="A18" s="22"/>
      <c r="B18" s="23" t="s">
        <v>573</v>
      </c>
      <c r="C18" s="22"/>
      <c r="D18" s="22"/>
      <c r="E18" s="22"/>
      <c r="F18" s="22"/>
      <c r="G18" s="28" t="n">
        <f aca="false">SUM(G16:G17)</f>
        <v>12.02</v>
      </c>
      <c r="H18" s="22"/>
    </row>
    <row r="19" customFormat="false" ht="15" hidden="false" customHeight="true" outlineLevel="0" collapsed="false">
      <c r="A19" s="23" t="s">
        <v>574</v>
      </c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11" t="s">
        <v>575</v>
      </c>
      <c r="B20" s="12" t="s">
        <v>576</v>
      </c>
      <c r="C20" s="11" t="s">
        <v>577</v>
      </c>
      <c r="D20" s="12"/>
      <c r="E20" s="13" t="n">
        <v>3</v>
      </c>
      <c r="F20" s="14" t="n">
        <f aca="false">G14</f>
        <v>17.43</v>
      </c>
      <c r="G20" s="14" t="n">
        <f aca="false">ROUND(E20/100*F20,2)</f>
        <v>0.52</v>
      </c>
      <c r="H20" s="15" t="s">
        <v>578</v>
      </c>
    </row>
    <row r="21" customFormat="false" ht="15" hidden="false" customHeight="false" outlineLevel="0" collapsed="false">
      <c r="A21" s="22"/>
      <c r="B21" s="23" t="s">
        <v>579</v>
      </c>
      <c r="C21" s="22"/>
      <c r="D21" s="22"/>
      <c r="E21" s="22"/>
      <c r="F21" s="22"/>
      <c r="G21" s="28" t="n">
        <f aca="false">SUM(G20:G20)</f>
        <v>0.52</v>
      </c>
      <c r="H21" s="22"/>
    </row>
    <row r="22" customFormat="false" ht="15" hidden="false" customHeight="false" outlineLevel="0" collapsed="false">
      <c r="A22" s="16" t="s">
        <v>580</v>
      </c>
      <c r="B22" s="16"/>
      <c r="C22" s="16"/>
      <c r="D22" s="16"/>
      <c r="E22" s="16"/>
      <c r="F22" s="16"/>
      <c r="G22" s="17" t="n">
        <f aca="false">G14+G18+G21</f>
        <v>29.97</v>
      </c>
      <c r="H22" s="18"/>
    </row>
    <row r="25" customFormat="false" ht="30" hidden="false" customHeight="true" outlineLevel="0" collapsed="false">
      <c r="A25" s="6" t="s">
        <v>641</v>
      </c>
      <c r="B25" s="6"/>
      <c r="C25" s="6"/>
      <c r="D25" s="6"/>
      <c r="E25" s="6"/>
      <c r="F25" s="6"/>
      <c r="G25" s="6"/>
      <c r="H25" s="6"/>
    </row>
    <row r="26" customFormat="false" ht="25.5" hidden="false" customHeight="true" outlineLevel="0" collapsed="false">
      <c r="A26" s="23" t="s">
        <v>551</v>
      </c>
      <c r="B26" s="39" t="n">
        <v>3</v>
      </c>
      <c r="C26" s="20" t="s">
        <v>552</v>
      </c>
      <c r="D26" s="33" t="n">
        <f aca="false">SUM(E30:E31)</f>
        <v>4</v>
      </c>
      <c r="E26" s="20" t="s">
        <v>553</v>
      </c>
      <c r="F26" s="33" t="n">
        <f aca="false">SUMIF(C38:C39,"hm",E38:E39)</f>
        <v>0.5</v>
      </c>
      <c r="G26" s="20" t="s">
        <v>582</v>
      </c>
      <c r="H26" s="34" t="n">
        <f aca="false">G41</f>
        <v>125.5</v>
      </c>
    </row>
    <row r="27" customFormat="false" ht="15" hidden="false" customHeight="true" outlineLevel="0" collapsed="false">
      <c r="A27" s="23" t="s">
        <v>555</v>
      </c>
      <c r="B27" s="40" t="n">
        <v>1</v>
      </c>
      <c r="C27" s="36" t="s">
        <v>592</v>
      </c>
      <c r="D27" s="36"/>
      <c r="E27" s="36"/>
      <c r="F27" s="36"/>
      <c r="G27" s="36"/>
      <c r="H27" s="36"/>
    </row>
    <row r="28" customFormat="false" ht="15" hidden="false" customHeight="false" outlineLevel="0" collapsed="false">
      <c r="A28" s="4" t="s">
        <v>240</v>
      </c>
      <c r="B28" s="4" t="s">
        <v>557</v>
      </c>
      <c r="C28" s="4" t="s">
        <v>5</v>
      </c>
      <c r="D28" s="4" t="s">
        <v>558</v>
      </c>
      <c r="E28" s="4" t="s">
        <v>559</v>
      </c>
      <c r="F28" s="4" t="s">
        <v>560</v>
      </c>
      <c r="G28" s="4" t="s">
        <v>561</v>
      </c>
      <c r="H28" s="4" t="s">
        <v>223</v>
      </c>
    </row>
    <row r="29" customFormat="false" ht="15" hidden="false" customHeight="true" outlineLevel="0" collapsed="false">
      <c r="A29" s="23" t="s">
        <v>562</v>
      </c>
      <c r="B29" s="23"/>
      <c r="C29" s="23"/>
      <c r="D29" s="23"/>
      <c r="E29" s="23"/>
      <c r="F29" s="23"/>
      <c r="G29" s="23"/>
      <c r="H29" s="23"/>
    </row>
    <row r="30" customFormat="false" ht="15" hidden="false" customHeight="false" outlineLevel="0" collapsed="false">
      <c r="A30" s="11" t="s">
        <v>563</v>
      </c>
      <c r="B30" s="12" t="s">
        <v>564</v>
      </c>
      <c r="C30" s="11" t="s">
        <v>565</v>
      </c>
      <c r="D30" s="13" t="n">
        <v>1</v>
      </c>
      <c r="E30" s="37" t="n">
        <f aca="false">ROUND(D30*8/$B$26,4)</f>
        <v>2.6667</v>
      </c>
      <c r="F30" s="21" t="n">
        <f aca="false">'MANO DE OBRA 2026'!$C$16</f>
        <v>28.95</v>
      </c>
      <c r="G30" s="14" t="n">
        <f aca="false">ROUND(E30*F30,2)</f>
        <v>77.2</v>
      </c>
      <c r="H30" s="15" t="s">
        <v>566</v>
      </c>
    </row>
    <row r="31" customFormat="false" ht="15" hidden="false" customHeight="false" outlineLevel="0" collapsed="false">
      <c r="A31" s="11" t="s">
        <v>567</v>
      </c>
      <c r="B31" s="12" t="s">
        <v>568</v>
      </c>
      <c r="C31" s="11" t="s">
        <v>565</v>
      </c>
      <c r="D31" s="13" t="n">
        <v>0.5</v>
      </c>
      <c r="E31" s="37" t="n">
        <f aca="false">ROUND(D31*8/$B$26,4)</f>
        <v>1.3333</v>
      </c>
      <c r="F31" s="21" t="n">
        <f aca="false">'MANO DE OBRA 2026'!$E$16</f>
        <v>20.54</v>
      </c>
      <c r="G31" s="14" t="n">
        <f aca="false">ROUND(E31*F31,2)</f>
        <v>27.39</v>
      </c>
      <c r="H31" s="15" t="s">
        <v>566</v>
      </c>
    </row>
    <row r="32" customFormat="false" ht="15" hidden="false" customHeight="false" outlineLevel="0" collapsed="false">
      <c r="A32" s="22"/>
      <c r="B32" s="23" t="s">
        <v>569</v>
      </c>
      <c r="C32" s="22"/>
      <c r="D32" s="22"/>
      <c r="E32" s="22"/>
      <c r="F32" s="22"/>
      <c r="G32" s="28" t="n">
        <f aca="false">SUM(G30:G31)</f>
        <v>104.59</v>
      </c>
      <c r="H32" s="22"/>
    </row>
    <row r="33" customFormat="false" ht="15" hidden="false" customHeight="true" outlineLevel="0" collapsed="false">
      <c r="A33" s="23" t="s">
        <v>570</v>
      </c>
      <c r="B33" s="23"/>
      <c r="C33" s="23"/>
      <c r="D33" s="23"/>
      <c r="E33" s="23"/>
      <c r="F33" s="23"/>
      <c r="G33" s="23"/>
      <c r="H33" s="23"/>
    </row>
    <row r="34" customFormat="false" ht="24" hidden="false" customHeight="true" outlineLevel="0" collapsed="false">
      <c r="A34" s="11" t="s">
        <v>538</v>
      </c>
      <c r="B34" s="12" t="s">
        <v>539</v>
      </c>
      <c r="C34" s="11" t="s">
        <v>20</v>
      </c>
      <c r="D34" s="12"/>
      <c r="E34" s="38" t="n">
        <v>1</v>
      </c>
      <c r="F34" s="14" t="n">
        <f aca="false">'PRECIOS DE INSUMOS'!$H$66</f>
        <v>14.23</v>
      </c>
      <c r="G34" s="14" t="n">
        <f aca="false">ROUND(E34*F34,2)</f>
        <v>14.23</v>
      </c>
      <c r="H34" s="15" t="s">
        <v>584</v>
      </c>
    </row>
    <row r="35" customFormat="false" ht="15" hidden="false" customHeight="true" outlineLevel="0" collapsed="false">
      <c r="A35" s="11" t="s">
        <v>451</v>
      </c>
      <c r="B35" s="12" t="s">
        <v>452</v>
      </c>
      <c r="C35" s="11" t="s">
        <v>20</v>
      </c>
      <c r="D35" s="12"/>
      <c r="E35" s="38" t="n">
        <v>0.25</v>
      </c>
      <c r="F35" s="14" t="n">
        <f aca="false">'PRECIOS DE INSUMOS'!$H$48</f>
        <v>2.46</v>
      </c>
      <c r="G35" s="14" t="n">
        <f aca="false">ROUND(E35*F35,2)</f>
        <v>0.62</v>
      </c>
      <c r="H35" s="15" t="s">
        <v>589</v>
      </c>
    </row>
    <row r="36" customFormat="false" ht="15" hidden="false" customHeight="false" outlineLevel="0" collapsed="false">
      <c r="A36" s="22"/>
      <c r="B36" s="23" t="s">
        <v>573</v>
      </c>
      <c r="C36" s="22"/>
      <c r="D36" s="22"/>
      <c r="E36" s="22"/>
      <c r="F36" s="22"/>
      <c r="G36" s="28" t="n">
        <f aca="false">SUM(G34:G35)</f>
        <v>14.85</v>
      </c>
      <c r="H36" s="22"/>
    </row>
    <row r="37" customFormat="false" ht="15" hidden="false" customHeight="true" outlineLevel="0" collapsed="false">
      <c r="A37" s="23" t="s">
        <v>574</v>
      </c>
      <c r="B37" s="23"/>
      <c r="C37" s="23"/>
      <c r="D37" s="23"/>
      <c r="E37" s="23"/>
      <c r="F37" s="23"/>
      <c r="G37" s="23"/>
      <c r="H37" s="23"/>
    </row>
    <row r="38" customFormat="false" ht="15" hidden="false" customHeight="false" outlineLevel="0" collapsed="false">
      <c r="A38" s="11" t="s">
        <v>575</v>
      </c>
      <c r="B38" s="12" t="s">
        <v>576</v>
      </c>
      <c r="C38" s="11" t="s">
        <v>577</v>
      </c>
      <c r="D38" s="12"/>
      <c r="E38" s="13" t="n">
        <v>3</v>
      </c>
      <c r="F38" s="14" t="n">
        <f aca="false">G32</f>
        <v>104.59</v>
      </c>
      <c r="G38" s="14" t="n">
        <f aca="false">ROUND(E38/100*F38,2)</f>
        <v>3.14</v>
      </c>
      <c r="H38" s="15" t="s">
        <v>578</v>
      </c>
    </row>
    <row r="39" customFormat="false" ht="15" hidden="false" customHeight="false" outlineLevel="0" collapsed="false">
      <c r="A39" s="11" t="s">
        <v>461</v>
      </c>
      <c r="B39" s="12" t="s">
        <v>462</v>
      </c>
      <c r="C39" s="11" t="s">
        <v>463</v>
      </c>
      <c r="D39" s="12"/>
      <c r="E39" s="38" t="n">
        <v>0.5</v>
      </c>
      <c r="F39" s="14" t="n">
        <f aca="false">'PRECIOS DE INSUMOS'!$H$50</f>
        <v>5.83</v>
      </c>
      <c r="G39" s="14" t="n">
        <f aca="false">ROUND(E39*F39,2)</f>
        <v>2.92</v>
      </c>
      <c r="H39" s="15" t="s">
        <v>593</v>
      </c>
    </row>
    <row r="40" customFormat="false" ht="15" hidden="false" customHeight="false" outlineLevel="0" collapsed="false">
      <c r="A40" s="22"/>
      <c r="B40" s="23" t="s">
        <v>579</v>
      </c>
      <c r="C40" s="22"/>
      <c r="D40" s="22"/>
      <c r="E40" s="22"/>
      <c r="F40" s="22"/>
      <c r="G40" s="28" t="n">
        <f aca="false">SUM(G38:G39)</f>
        <v>6.06</v>
      </c>
      <c r="H40" s="22"/>
    </row>
    <row r="41" customFormat="false" ht="15" hidden="false" customHeight="false" outlineLevel="0" collapsed="false">
      <c r="A41" s="16" t="s">
        <v>586</v>
      </c>
      <c r="B41" s="16"/>
      <c r="C41" s="16"/>
      <c r="D41" s="16"/>
      <c r="E41" s="16"/>
      <c r="F41" s="16"/>
      <c r="G41" s="17" t="n">
        <f aca="false">G32+G36+G40</f>
        <v>125.5</v>
      </c>
      <c r="H41" s="18"/>
    </row>
    <row r="44" customFormat="false" ht="30" hidden="false" customHeight="true" outlineLevel="0" collapsed="false">
      <c r="A44" s="6" t="s">
        <v>642</v>
      </c>
      <c r="B44" s="6"/>
      <c r="C44" s="6"/>
      <c r="D44" s="6"/>
      <c r="E44" s="6"/>
      <c r="F44" s="6"/>
      <c r="G44" s="6"/>
      <c r="H44" s="6"/>
    </row>
    <row r="45" customFormat="false" ht="25.5" hidden="false" customHeight="true" outlineLevel="0" collapsed="false">
      <c r="A45" s="23" t="s">
        <v>551</v>
      </c>
      <c r="B45" s="39" t="n">
        <v>16</v>
      </c>
      <c r="C45" s="20" t="s">
        <v>552</v>
      </c>
      <c r="D45" s="33" t="n">
        <f aca="false">SUM(E49:E50)</f>
        <v>0.75</v>
      </c>
      <c r="E45" s="20" t="s">
        <v>553</v>
      </c>
      <c r="F45" s="33" t="n">
        <f aca="false">SUMIF(C58:C58,"hm",E58:E58)</f>
        <v>0</v>
      </c>
      <c r="G45" s="20" t="s">
        <v>582</v>
      </c>
      <c r="H45" s="34" t="n">
        <f aca="false">G60</f>
        <v>30.63</v>
      </c>
    </row>
    <row r="46" customFormat="false" ht="15" hidden="false" customHeight="true" outlineLevel="0" collapsed="false">
      <c r="A46" s="23" t="s">
        <v>555</v>
      </c>
      <c r="B46" s="40" t="n">
        <v>1</v>
      </c>
      <c r="C46" s="36" t="s">
        <v>643</v>
      </c>
      <c r="D46" s="36"/>
      <c r="E46" s="36"/>
      <c r="F46" s="36"/>
      <c r="G46" s="36"/>
      <c r="H46" s="36"/>
    </row>
    <row r="47" customFormat="false" ht="15" hidden="false" customHeight="false" outlineLevel="0" collapsed="false">
      <c r="A47" s="4" t="s">
        <v>240</v>
      </c>
      <c r="B47" s="4" t="s">
        <v>557</v>
      </c>
      <c r="C47" s="4" t="s">
        <v>5</v>
      </c>
      <c r="D47" s="4" t="s">
        <v>558</v>
      </c>
      <c r="E47" s="4" t="s">
        <v>559</v>
      </c>
      <c r="F47" s="4" t="s">
        <v>560</v>
      </c>
      <c r="G47" s="4" t="s">
        <v>561</v>
      </c>
      <c r="H47" s="4" t="s">
        <v>223</v>
      </c>
    </row>
    <row r="48" customFormat="false" ht="15" hidden="false" customHeight="true" outlineLevel="0" collapsed="false">
      <c r="A48" s="23" t="s">
        <v>562</v>
      </c>
      <c r="B48" s="23"/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11" t="s">
        <v>563</v>
      </c>
      <c r="B49" s="12" t="s">
        <v>564</v>
      </c>
      <c r="C49" s="11" t="s">
        <v>565</v>
      </c>
      <c r="D49" s="13" t="n">
        <v>1</v>
      </c>
      <c r="E49" s="37" t="n">
        <f aca="false">ROUND(D49*8/$B$45,4)</f>
        <v>0.5</v>
      </c>
      <c r="F49" s="21" t="n">
        <f aca="false">'MANO DE OBRA 2026'!$C$16</f>
        <v>28.95</v>
      </c>
      <c r="G49" s="14" t="n">
        <f aca="false">ROUND(E49*F49,2)</f>
        <v>14.48</v>
      </c>
      <c r="H49" s="15" t="s">
        <v>566</v>
      </c>
    </row>
    <row r="50" customFormat="false" ht="15" hidden="false" customHeight="false" outlineLevel="0" collapsed="false">
      <c r="A50" s="11" t="s">
        <v>567</v>
      </c>
      <c r="B50" s="12" t="s">
        <v>568</v>
      </c>
      <c r="C50" s="11" t="s">
        <v>565</v>
      </c>
      <c r="D50" s="13" t="n">
        <v>0.5</v>
      </c>
      <c r="E50" s="37" t="n">
        <f aca="false">ROUND(D50*8/$B$45,4)</f>
        <v>0.25</v>
      </c>
      <c r="F50" s="21" t="n">
        <f aca="false">'MANO DE OBRA 2026'!$E$16</f>
        <v>20.54</v>
      </c>
      <c r="G50" s="14" t="n">
        <f aca="false">ROUND(E50*F50,2)</f>
        <v>5.14</v>
      </c>
      <c r="H50" s="15" t="s">
        <v>566</v>
      </c>
    </row>
    <row r="51" customFormat="false" ht="15" hidden="false" customHeight="false" outlineLevel="0" collapsed="false">
      <c r="A51" s="22"/>
      <c r="B51" s="23" t="s">
        <v>569</v>
      </c>
      <c r="C51" s="22"/>
      <c r="D51" s="22"/>
      <c r="E51" s="22"/>
      <c r="F51" s="22"/>
      <c r="G51" s="28" t="n">
        <f aca="false">SUM(G49:G50)</f>
        <v>19.62</v>
      </c>
      <c r="H51" s="22"/>
    </row>
    <row r="52" customFormat="false" ht="15" hidden="false" customHeight="true" outlineLevel="0" collapsed="false">
      <c r="A52" s="23" t="s">
        <v>570</v>
      </c>
      <c r="B52" s="23"/>
      <c r="C52" s="23"/>
      <c r="D52" s="23"/>
      <c r="E52" s="23"/>
      <c r="F52" s="23"/>
      <c r="G52" s="23"/>
      <c r="H52" s="23"/>
    </row>
    <row r="53" customFormat="false" ht="15" hidden="false" customHeight="true" outlineLevel="0" collapsed="false">
      <c r="A53" s="11" t="s">
        <v>317</v>
      </c>
      <c r="B53" s="12" t="s">
        <v>318</v>
      </c>
      <c r="C53" s="11" t="s">
        <v>20</v>
      </c>
      <c r="D53" s="12"/>
      <c r="E53" s="38" t="n">
        <v>1</v>
      </c>
      <c r="F53" s="14" t="n">
        <f aca="false">'PRECIOS DE INSUMOS'!$H$20</f>
        <v>8.64</v>
      </c>
      <c r="G53" s="14" t="n">
        <f aca="false">ROUND(E53*F53,2)</f>
        <v>8.64</v>
      </c>
      <c r="H53" s="15" t="s">
        <v>584</v>
      </c>
    </row>
    <row r="54" customFormat="false" ht="15" hidden="false" customHeight="true" outlineLevel="0" collapsed="false">
      <c r="A54" s="11" t="s">
        <v>445</v>
      </c>
      <c r="B54" s="12" t="s">
        <v>446</v>
      </c>
      <c r="C54" s="11" t="s">
        <v>447</v>
      </c>
      <c r="D54" s="12"/>
      <c r="E54" s="38" t="n">
        <v>0.007</v>
      </c>
      <c r="F54" s="14" t="n">
        <f aca="false">'PRECIOS DE INSUMOS'!$H$47</f>
        <v>209.83</v>
      </c>
      <c r="G54" s="14" t="n">
        <f aca="false">ROUND(E54*F54,2)</f>
        <v>1.47</v>
      </c>
      <c r="H54" s="15" t="s">
        <v>644</v>
      </c>
    </row>
    <row r="55" customFormat="false" ht="15" hidden="false" customHeight="true" outlineLevel="0" collapsed="false">
      <c r="A55" s="11" t="s">
        <v>451</v>
      </c>
      <c r="B55" s="12" t="s">
        <v>452</v>
      </c>
      <c r="C55" s="11" t="s">
        <v>20</v>
      </c>
      <c r="D55" s="12"/>
      <c r="E55" s="38" t="n">
        <v>0.125</v>
      </c>
      <c r="F55" s="14" t="n">
        <f aca="false">'PRECIOS DE INSUMOS'!$H$48</f>
        <v>2.46</v>
      </c>
      <c r="G55" s="14" t="n">
        <f aca="false">ROUND(E55*F55,2)</f>
        <v>0.31</v>
      </c>
      <c r="H55" s="15" t="s">
        <v>585</v>
      </c>
    </row>
    <row r="56" customFormat="false" ht="15" hidden="false" customHeight="false" outlineLevel="0" collapsed="false">
      <c r="A56" s="22"/>
      <c r="B56" s="23" t="s">
        <v>573</v>
      </c>
      <c r="C56" s="22"/>
      <c r="D56" s="22"/>
      <c r="E56" s="22"/>
      <c r="F56" s="22"/>
      <c r="G56" s="28" t="n">
        <f aca="false">SUM(G53:G55)</f>
        <v>10.42</v>
      </c>
      <c r="H56" s="22"/>
    </row>
    <row r="57" customFormat="false" ht="15" hidden="false" customHeight="true" outlineLevel="0" collapsed="false">
      <c r="A57" s="23" t="s">
        <v>574</v>
      </c>
      <c r="B57" s="23"/>
      <c r="C57" s="23"/>
      <c r="D57" s="23"/>
      <c r="E57" s="23"/>
      <c r="F57" s="23"/>
      <c r="G57" s="23"/>
      <c r="H57" s="23"/>
    </row>
    <row r="58" customFormat="false" ht="15" hidden="false" customHeight="false" outlineLevel="0" collapsed="false">
      <c r="A58" s="11" t="s">
        <v>575</v>
      </c>
      <c r="B58" s="12" t="s">
        <v>576</v>
      </c>
      <c r="C58" s="11" t="s">
        <v>577</v>
      </c>
      <c r="D58" s="12"/>
      <c r="E58" s="13" t="n">
        <v>3</v>
      </c>
      <c r="F58" s="14" t="n">
        <f aca="false">G51</f>
        <v>19.62</v>
      </c>
      <c r="G58" s="14" t="n">
        <f aca="false">ROUND(E58/100*F58,2)</f>
        <v>0.59</v>
      </c>
      <c r="H58" s="15" t="s">
        <v>578</v>
      </c>
    </row>
    <row r="59" customFormat="false" ht="15" hidden="false" customHeight="false" outlineLevel="0" collapsed="false">
      <c r="A59" s="22"/>
      <c r="B59" s="23" t="s">
        <v>579</v>
      </c>
      <c r="C59" s="22"/>
      <c r="D59" s="22"/>
      <c r="E59" s="22"/>
      <c r="F59" s="22"/>
      <c r="G59" s="28" t="n">
        <f aca="false">SUM(G58:G58)</f>
        <v>0.59</v>
      </c>
      <c r="H59" s="22"/>
    </row>
    <row r="60" customFormat="false" ht="15" hidden="false" customHeight="false" outlineLevel="0" collapsed="false">
      <c r="A60" s="16" t="s">
        <v>586</v>
      </c>
      <c r="B60" s="16"/>
      <c r="C60" s="16"/>
      <c r="D60" s="16"/>
      <c r="E60" s="16"/>
      <c r="F60" s="16"/>
      <c r="G60" s="17" t="n">
        <f aca="false">G51+G56+G59</f>
        <v>30.63</v>
      </c>
      <c r="H60" s="18"/>
    </row>
    <row r="63" customFormat="false" ht="30" hidden="false" customHeight="true" outlineLevel="0" collapsed="false">
      <c r="A63" s="6" t="s">
        <v>645</v>
      </c>
      <c r="B63" s="6"/>
      <c r="C63" s="6"/>
      <c r="D63" s="6"/>
      <c r="E63" s="6"/>
      <c r="F63" s="6"/>
      <c r="G63" s="6"/>
      <c r="H63" s="6"/>
    </row>
    <row r="64" customFormat="false" ht="25.5" hidden="false" customHeight="true" outlineLevel="0" collapsed="false">
      <c r="A64" s="23" t="s">
        <v>551</v>
      </c>
      <c r="B64" s="39" t="n">
        <v>16</v>
      </c>
      <c r="C64" s="20" t="s">
        <v>552</v>
      </c>
      <c r="D64" s="33" t="n">
        <f aca="false">SUM(E68:E69)</f>
        <v>0.75</v>
      </c>
      <c r="E64" s="20" t="s">
        <v>553</v>
      </c>
      <c r="F64" s="33" t="n">
        <f aca="false">SUMIF(C76:C76,"hm",E76:E76)</f>
        <v>0</v>
      </c>
      <c r="G64" s="20" t="s">
        <v>582</v>
      </c>
      <c r="H64" s="34" t="n">
        <f aca="false">G78</f>
        <v>36.62</v>
      </c>
    </row>
    <row r="65" customFormat="false" ht="15" hidden="false" customHeight="true" outlineLevel="0" collapsed="false">
      <c r="A65" s="23" t="s">
        <v>555</v>
      </c>
      <c r="B65" s="40" t="n">
        <v>1</v>
      </c>
      <c r="C65" s="36" t="s">
        <v>643</v>
      </c>
      <c r="D65" s="36"/>
      <c r="E65" s="36"/>
      <c r="F65" s="36"/>
      <c r="G65" s="36"/>
      <c r="H65" s="36"/>
    </row>
    <row r="66" customFormat="false" ht="15" hidden="false" customHeight="false" outlineLevel="0" collapsed="false">
      <c r="A66" s="4" t="s">
        <v>240</v>
      </c>
      <c r="B66" s="4" t="s">
        <v>557</v>
      </c>
      <c r="C66" s="4" t="s">
        <v>5</v>
      </c>
      <c r="D66" s="4" t="s">
        <v>558</v>
      </c>
      <c r="E66" s="4" t="s">
        <v>559</v>
      </c>
      <c r="F66" s="4" t="s">
        <v>560</v>
      </c>
      <c r="G66" s="4" t="s">
        <v>561</v>
      </c>
      <c r="H66" s="4" t="s">
        <v>223</v>
      </c>
    </row>
    <row r="67" customFormat="false" ht="15" hidden="false" customHeight="true" outlineLevel="0" collapsed="false">
      <c r="A67" s="23" t="s">
        <v>562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11" t="s">
        <v>563</v>
      </c>
      <c r="B68" s="12" t="s">
        <v>564</v>
      </c>
      <c r="C68" s="11" t="s">
        <v>565</v>
      </c>
      <c r="D68" s="13" t="n">
        <v>1</v>
      </c>
      <c r="E68" s="37" t="n">
        <f aca="false">ROUND(D68*8/$B$64,4)</f>
        <v>0.5</v>
      </c>
      <c r="F68" s="21" t="n">
        <f aca="false">'MANO DE OBRA 2026'!$C$16</f>
        <v>28.95</v>
      </c>
      <c r="G68" s="14" t="n">
        <f aca="false">ROUND(E68*F68,2)</f>
        <v>14.48</v>
      </c>
      <c r="H68" s="15" t="s">
        <v>566</v>
      </c>
    </row>
    <row r="69" customFormat="false" ht="15" hidden="false" customHeight="false" outlineLevel="0" collapsed="false">
      <c r="A69" s="11" t="s">
        <v>567</v>
      </c>
      <c r="B69" s="12" t="s">
        <v>568</v>
      </c>
      <c r="C69" s="11" t="s">
        <v>565</v>
      </c>
      <c r="D69" s="13" t="n">
        <v>0.5</v>
      </c>
      <c r="E69" s="37" t="n">
        <f aca="false">ROUND(D69*8/$B$64,4)</f>
        <v>0.25</v>
      </c>
      <c r="F69" s="21" t="n">
        <f aca="false">'MANO DE OBRA 2026'!$E$16</f>
        <v>20.54</v>
      </c>
      <c r="G69" s="14" t="n">
        <f aca="false">ROUND(E69*F69,2)</f>
        <v>5.14</v>
      </c>
      <c r="H69" s="15" t="s">
        <v>566</v>
      </c>
    </row>
    <row r="70" customFormat="false" ht="15" hidden="false" customHeight="false" outlineLevel="0" collapsed="false">
      <c r="A70" s="22"/>
      <c r="B70" s="23" t="s">
        <v>569</v>
      </c>
      <c r="C70" s="22"/>
      <c r="D70" s="22"/>
      <c r="E70" s="22"/>
      <c r="F70" s="22"/>
      <c r="G70" s="28" t="n">
        <f aca="false">SUM(G68:G69)</f>
        <v>19.62</v>
      </c>
      <c r="H70" s="22"/>
    </row>
    <row r="71" customFormat="false" ht="15" hidden="false" customHeight="true" outlineLevel="0" collapsed="false">
      <c r="A71" s="23" t="s">
        <v>570</v>
      </c>
      <c r="B71" s="23"/>
      <c r="C71" s="23"/>
      <c r="D71" s="23"/>
      <c r="E71" s="23"/>
      <c r="F71" s="23"/>
      <c r="G71" s="23"/>
      <c r="H71" s="23"/>
    </row>
    <row r="72" customFormat="false" ht="15" hidden="false" customHeight="true" outlineLevel="0" collapsed="false">
      <c r="A72" s="11" t="s">
        <v>279</v>
      </c>
      <c r="B72" s="12" t="s">
        <v>280</v>
      </c>
      <c r="C72" s="11" t="s">
        <v>20</v>
      </c>
      <c r="D72" s="12"/>
      <c r="E72" s="38" t="n">
        <v>1</v>
      </c>
      <c r="F72" s="14" t="n">
        <f aca="false">'PRECIOS DE INSUMOS'!$H$12</f>
        <v>13.47</v>
      </c>
      <c r="G72" s="14" t="n">
        <f aca="false">ROUND(E72*F72,2)</f>
        <v>13.47</v>
      </c>
      <c r="H72" s="15" t="s">
        <v>584</v>
      </c>
    </row>
    <row r="73" customFormat="false" ht="15" hidden="false" customHeight="true" outlineLevel="0" collapsed="false">
      <c r="A73" s="11" t="s">
        <v>445</v>
      </c>
      <c r="B73" s="12" t="s">
        <v>446</v>
      </c>
      <c r="C73" s="11" t="s">
        <v>447</v>
      </c>
      <c r="D73" s="12"/>
      <c r="E73" s="38" t="n">
        <v>0.014</v>
      </c>
      <c r="F73" s="14" t="n">
        <f aca="false">'PRECIOS DE INSUMOS'!$H$47</f>
        <v>209.83</v>
      </c>
      <c r="G73" s="14" t="n">
        <f aca="false">ROUND(E73*F73,2)</f>
        <v>2.94</v>
      </c>
      <c r="H73" s="15" t="s">
        <v>646</v>
      </c>
    </row>
    <row r="74" customFormat="false" ht="15" hidden="false" customHeight="false" outlineLevel="0" collapsed="false">
      <c r="A74" s="22"/>
      <c r="B74" s="23" t="s">
        <v>573</v>
      </c>
      <c r="C74" s="22"/>
      <c r="D74" s="22"/>
      <c r="E74" s="22"/>
      <c r="F74" s="22"/>
      <c r="G74" s="28" t="n">
        <f aca="false">SUM(G72:G73)</f>
        <v>16.41</v>
      </c>
      <c r="H74" s="22"/>
    </row>
    <row r="75" customFormat="false" ht="15" hidden="false" customHeight="true" outlineLevel="0" collapsed="false">
      <c r="A75" s="23" t="s">
        <v>574</v>
      </c>
      <c r="B75" s="23"/>
      <c r="C75" s="23"/>
      <c r="D75" s="23"/>
      <c r="E75" s="23"/>
      <c r="F75" s="23"/>
      <c r="G75" s="23"/>
      <c r="H75" s="23"/>
    </row>
    <row r="76" customFormat="false" ht="15" hidden="false" customHeight="false" outlineLevel="0" collapsed="false">
      <c r="A76" s="11" t="s">
        <v>575</v>
      </c>
      <c r="B76" s="12" t="s">
        <v>576</v>
      </c>
      <c r="C76" s="11" t="s">
        <v>577</v>
      </c>
      <c r="D76" s="12"/>
      <c r="E76" s="13" t="n">
        <v>3</v>
      </c>
      <c r="F76" s="14" t="n">
        <f aca="false">G70</f>
        <v>19.62</v>
      </c>
      <c r="G76" s="14" t="n">
        <f aca="false">ROUND(E76/100*F76,2)</f>
        <v>0.59</v>
      </c>
      <c r="H76" s="15" t="s">
        <v>578</v>
      </c>
    </row>
    <row r="77" customFormat="false" ht="15" hidden="false" customHeight="false" outlineLevel="0" collapsed="false">
      <c r="A77" s="22"/>
      <c r="B77" s="23" t="s">
        <v>579</v>
      </c>
      <c r="C77" s="22"/>
      <c r="D77" s="22"/>
      <c r="E77" s="22"/>
      <c r="F77" s="22"/>
      <c r="G77" s="28" t="n">
        <f aca="false">SUM(G76:G76)</f>
        <v>0.59</v>
      </c>
      <c r="H77" s="22"/>
    </row>
    <row r="78" customFormat="false" ht="15" hidden="false" customHeight="false" outlineLevel="0" collapsed="false">
      <c r="A78" s="16" t="s">
        <v>586</v>
      </c>
      <c r="B78" s="16"/>
      <c r="C78" s="16"/>
      <c r="D78" s="16"/>
      <c r="E78" s="16"/>
      <c r="F78" s="16"/>
      <c r="G78" s="17" t="n">
        <f aca="false">G70+G74+G77</f>
        <v>36.62</v>
      </c>
      <c r="H78" s="18"/>
    </row>
    <row r="79" customFormat="false" ht="25.5" hidden="false" customHeight="true" outlineLevel="0" collapsed="false">
      <c r="A79" s="31" t="s">
        <v>647</v>
      </c>
      <c r="B79" s="31"/>
      <c r="C79" s="31"/>
      <c r="D79" s="31"/>
      <c r="E79" s="31"/>
      <c r="F79" s="31"/>
      <c r="G79" s="31"/>
      <c r="H79" s="31"/>
    </row>
    <row r="82" customFormat="false" ht="30" hidden="false" customHeight="true" outlineLevel="0" collapsed="false">
      <c r="A82" s="6" t="s">
        <v>648</v>
      </c>
      <c r="B82" s="6"/>
      <c r="C82" s="6"/>
      <c r="D82" s="6"/>
      <c r="E82" s="6"/>
      <c r="F82" s="6"/>
      <c r="G82" s="6"/>
      <c r="H82" s="6"/>
    </row>
    <row r="83" customFormat="false" ht="25.5" hidden="false" customHeight="true" outlineLevel="0" collapsed="false">
      <c r="A83" s="23" t="s">
        <v>551</v>
      </c>
      <c r="B83" s="39" t="n">
        <v>16</v>
      </c>
      <c r="C83" s="20" t="s">
        <v>552</v>
      </c>
      <c r="D83" s="33" t="n">
        <f aca="false">SUM(E87:E88)</f>
        <v>0.75</v>
      </c>
      <c r="E83" s="20" t="s">
        <v>553</v>
      </c>
      <c r="F83" s="33" t="n">
        <f aca="false">SUMIF(C96:C96,"hm",E96:E96)</f>
        <v>0</v>
      </c>
      <c r="G83" s="20" t="s">
        <v>582</v>
      </c>
      <c r="H83" s="34" t="n">
        <f aca="false">G98</f>
        <v>31.23</v>
      </c>
    </row>
    <row r="84" customFormat="false" ht="15" hidden="false" customHeight="true" outlineLevel="0" collapsed="false">
      <c r="A84" s="23" t="s">
        <v>555</v>
      </c>
      <c r="B84" s="40" t="n">
        <v>2</v>
      </c>
      <c r="C84" s="36" t="s">
        <v>643</v>
      </c>
      <c r="D84" s="36"/>
      <c r="E84" s="36"/>
      <c r="F84" s="36"/>
      <c r="G84" s="36"/>
      <c r="H84" s="36"/>
    </row>
    <row r="85" customFormat="false" ht="15" hidden="false" customHeight="false" outlineLevel="0" collapsed="false">
      <c r="A85" s="4" t="s">
        <v>240</v>
      </c>
      <c r="B85" s="4" t="s">
        <v>557</v>
      </c>
      <c r="C85" s="4" t="s">
        <v>5</v>
      </c>
      <c r="D85" s="4" t="s">
        <v>558</v>
      </c>
      <c r="E85" s="4" t="s">
        <v>559</v>
      </c>
      <c r="F85" s="4" t="s">
        <v>560</v>
      </c>
      <c r="G85" s="4" t="s">
        <v>561</v>
      </c>
      <c r="H85" s="4" t="s">
        <v>223</v>
      </c>
    </row>
    <row r="86" customFormat="false" ht="15" hidden="false" customHeight="true" outlineLevel="0" collapsed="false">
      <c r="A86" s="23" t="s">
        <v>562</v>
      </c>
      <c r="B86" s="23"/>
      <c r="C86" s="23"/>
      <c r="D86" s="23"/>
      <c r="E86" s="23"/>
      <c r="F86" s="23"/>
      <c r="G86" s="23"/>
      <c r="H86" s="23"/>
    </row>
    <row r="87" customFormat="false" ht="15" hidden="false" customHeight="false" outlineLevel="0" collapsed="false">
      <c r="A87" s="11" t="s">
        <v>563</v>
      </c>
      <c r="B87" s="12" t="s">
        <v>564</v>
      </c>
      <c r="C87" s="11" t="s">
        <v>565</v>
      </c>
      <c r="D87" s="13" t="n">
        <v>1</v>
      </c>
      <c r="E87" s="37" t="n">
        <f aca="false">ROUND(D87*8/$B$83,4)</f>
        <v>0.5</v>
      </c>
      <c r="F87" s="21" t="n">
        <f aca="false">'MANO DE OBRA 2026'!$C$16</f>
        <v>28.95</v>
      </c>
      <c r="G87" s="14" t="n">
        <f aca="false">ROUND(E87*F87,2)</f>
        <v>14.48</v>
      </c>
      <c r="H87" s="15" t="s">
        <v>566</v>
      </c>
    </row>
    <row r="88" customFormat="false" ht="15" hidden="false" customHeight="false" outlineLevel="0" collapsed="false">
      <c r="A88" s="11" t="s">
        <v>567</v>
      </c>
      <c r="B88" s="12" t="s">
        <v>568</v>
      </c>
      <c r="C88" s="11" t="s">
        <v>565</v>
      </c>
      <c r="D88" s="13" t="n">
        <v>0.5</v>
      </c>
      <c r="E88" s="37" t="n">
        <f aca="false">ROUND(D88*8/$B$83,4)</f>
        <v>0.25</v>
      </c>
      <c r="F88" s="21" t="n">
        <f aca="false">'MANO DE OBRA 2026'!$E$16</f>
        <v>20.54</v>
      </c>
      <c r="G88" s="14" t="n">
        <f aca="false">ROUND(E88*F88,2)</f>
        <v>5.14</v>
      </c>
      <c r="H88" s="15" t="s">
        <v>566</v>
      </c>
    </row>
    <row r="89" customFormat="false" ht="15" hidden="false" customHeight="false" outlineLevel="0" collapsed="false">
      <c r="A89" s="22"/>
      <c r="B89" s="23" t="s">
        <v>569</v>
      </c>
      <c r="C89" s="22"/>
      <c r="D89" s="22"/>
      <c r="E89" s="22"/>
      <c r="F89" s="22"/>
      <c r="G89" s="28" t="n">
        <f aca="false">SUM(G87:G88)</f>
        <v>19.62</v>
      </c>
      <c r="H89" s="22"/>
    </row>
    <row r="90" customFormat="false" ht="15" hidden="false" customHeight="true" outlineLevel="0" collapsed="false">
      <c r="A90" s="23" t="s">
        <v>570</v>
      </c>
      <c r="B90" s="23"/>
      <c r="C90" s="23"/>
      <c r="D90" s="23"/>
      <c r="E90" s="23"/>
      <c r="F90" s="23"/>
      <c r="G90" s="23"/>
      <c r="H90" s="23"/>
    </row>
    <row r="91" customFormat="false" ht="15" hidden="false" customHeight="true" outlineLevel="0" collapsed="false">
      <c r="A91" s="11" t="s">
        <v>307</v>
      </c>
      <c r="B91" s="12" t="s">
        <v>308</v>
      </c>
      <c r="C91" s="11" t="s">
        <v>20</v>
      </c>
      <c r="D91" s="12"/>
      <c r="E91" s="38" t="n">
        <v>1</v>
      </c>
      <c r="F91" s="14" t="n">
        <f aca="false">'PRECIOS DE INSUMOS'!$H$18</f>
        <v>9.24</v>
      </c>
      <c r="G91" s="14" t="n">
        <f aca="false">ROUND(E91*F91,2)</f>
        <v>9.24</v>
      </c>
      <c r="H91" s="15" t="s">
        <v>584</v>
      </c>
    </row>
    <row r="92" customFormat="false" ht="15" hidden="false" customHeight="true" outlineLevel="0" collapsed="false">
      <c r="A92" s="11" t="s">
        <v>445</v>
      </c>
      <c r="B92" s="12" t="s">
        <v>446</v>
      </c>
      <c r="C92" s="11" t="s">
        <v>447</v>
      </c>
      <c r="D92" s="12"/>
      <c r="E92" s="38" t="n">
        <v>0.007</v>
      </c>
      <c r="F92" s="14" t="n">
        <f aca="false">'PRECIOS DE INSUMOS'!$H$47</f>
        <v>209.83</v>
      </c>
      <c r="G92" s="14" t="n">
        <f aca="false">ROUND(E92*F92,2)</f>
        <v>1.47</v>
      </c>
      <c r="H92" s="15" t="s">
        <v>644</v>
      </c>
    </row>
    <row r="93" customFormat="false" ht="15" hidden="false" customHeight="true" outlineLevel="0" collapsed="false">
      <c r="A93" s="11" t="s">
        <v>451</v>
      </c>
      <c r="B93" s="12" t="s">
        <v>452</v>
      </c>
      <c r="C93" s="11" t="s">
        <v>20</v>
      </c>
      <c r="D93" s="12"/>
      <c r="E93" s="38" t="n">
        <v>0.125</v>
      </c>
      <c r="F93" s="14" t="n">
        <f aca="false">'PRECIOS DE INSUMOS'!$H$48</f>
        <v>2.46</v>
      </c>
      <c r="G93" s="14" t="n">
        <f aca="false">ROUND(E93*F93,2)</f>
        <v>0.31</v>
      </c>
      <c r="H93" s="15" t="s">
        <v>585</v>
      </c>
    </row>
    <row r="94" customFormat="false" ht="15" hidden="false" customHeight="false" outlineLevel="0" collapsed="false">
      <c r="A94" s="22"/>
      <c r="B94" s="23" t="s">
        <v>573</v>
      </c>
      <c r="C94" s="22"/>
      <c r="D94" s="22"/>
      <c r="E94" s="22"/>
      <c r="F94" s="22"/>
      <c r="G94" s="28" t="n">
        <f aca="false">SUM(G91:G93)</f>
        <v>11.02</v>
      </c>
      <c r="H94" s="22"/>
    </row>
    <row r="95" customFormat="false" ht="15" hidden="false" customHeight="true" outlineLevel="0" collapsed="false">
      <c r="A95" s="23" t="s">
        <v>574</v>
      </c>
      <c r="B95" s="23"/>
      <c r="C95" s="23"/>
      <c r="D95" s="23"/>
      <c r="E95" s="23"/>
      <c r="F95" s="23"/>
      <c r="G95" s="23"/>
      <c r="H95" s="23"/>
    </row>
    <row r="96" customFormat="false" ht="15" hidden="false" customHeight="false" outlineLevel="0" collapsed="false">
      <c r="A96" s="11" t="s">
        <v>575</v>
      </c>
      <c r="B96" s="12" t="s">
        <v>576</v>
      </c>
      <c r="C96" s="11" t="s">
        <v>577</v>
      </c>
      <c r="D96" s="12"/>
      <c r="E96" s="13" t="n">
        <v>3</v>
      </c>
      <c r="F96" s="14" t="n">
        <f aca="false">G89</f>
        <v>19.62</v>
      </c>
      <c r="G96" s="14" t="n">
        <f aca="false">ROUND(E96/100*F96,2)</f>
        <v>0.59</v>
      </c>
      <c r="H96" s="15" t="s">
        <v>578</v>
      </c>
    </row>
    <row r="97" customFormat="false" ht="15" hidden="false" customHeight="false" outlineLevel="0" collapsed="false">
      <c r="A97" s="22"/>
      <c r="B97" s="23" t="s">
        <v>579</v>
      </c>
      <c r="C97" s="22"/>
      <c r="D97" s="22"/>
      <c r="E97" s="22"/>
      <c r="F97" s="22"/>
      <c r="G97" s="28" t="n">
        <f aca="false">SUM(G96:G96)</f>
        <v>0.59</v>
      </c>
      <c r="H97" s="22"/>
    </row>
    <row r="98" customFormat="false" ht="15" hidden="false" customHeight="false" outlineLevel="0" collapsed="false">
      <c r="A98" s="16" t="s">
        <v>586</v>
      </c>
      <c r="B98" s="16"/>
      <c r="C98" s="16"/>
      <c r="D98" s="16"/>
      <c r="E98" s="16"/>
      <c r="F98" s="16"/>
      <c r="G98" s="17" t="n">
        <f aca="false">G89+G94+G97</f>
        <v>31.23</v>
      </c>
      <c r="H98" s="18"/>
    </row>
    <row r="101" customFormat="false" ht="30" hidden="false" customHeight="true" outlineLevel="0" collapsed="false">
      <c r="A101" s="6" t="s">
        <v>649</v>
      </c>
      <c r="B101" s="6"/>
      <c r="C101" s="6"/>
      <c r="D101" s="6"/>
      <c r="E101" s="6"/>
      <c r="F101" s="6"/>
      <c r="G101" s="6"/>
      <c r="H101" s="6"/>
    </row>
    <row r="102" customFormat="false" ht="25.5" hidden="false" customHeight="true" outlineLevel="0" collapsed="false">
      <c r="A102" s="23" t="s">
        <v>551</v>
      </c>
      <c r="B102" s="39" t="n">
        <v>16</v>
      </c>
      <c r="C102" s="20" t="s">
        <v>552</v>
      </c>
      <c r="D102" s="33" t="n">
        <f aca="false">SUM(E106:E107)</f>
        <v>0.75</v>
      </c>
      <c r="E102" s="20" t="s">
        <v>553</v>
      </c>
      <c r="F102" s="33" t="n">
        <f aca="false">SUMIF(C114:C114,"hm",E114:E114)</f>
        <v>0</v>
      </c>
      <c r="G102" s="20" t="s">
        <v>582</v>
      </c>
      <c r="H102" s="34" t="n">
        <f aca="false">G116</f>
        <v>63.12</v>
      </c>
    </row>
    <row r="103" customFormat="false" ht="15" hidden="false" customHeight="true" outlineLevel="0" collapsed="false">
      <c r="A103" s="23" t="s">
        <v>555</v>
      </c>
      <c r="B103" s="40" t="n">
        <v>2</v>
      </c>
      <c r="C103" s="36" t="s">
        <v>643</v>
      </c>
      <c r="D103" s="36"/>
      <c r="E103" s="36"/>
      <c r="F103" s="36"/>
      <c r="G103" s="36"/>
      <c r="H103" s="36"/>
    </row>
    <row r="104" customFormat="false" ht="15" hidden="false" customHeight="false" outlineLevel="0" collapsed="false">
      <c r="A104" s="4" t="s">
        <v>240</v>
      </c>
      <c r="B104" s="4" t="s">
        <v>557</v>
      </c>
      <c r="C104" s="4" t="s">
        <v>5</v>
      </c>
      <c r="D104" s="4" t="s">
        <v>558</v>
      </c>
      <c r="E104" s="4" t="s">
        <v>559</v>
      </c>
      <c r="F104" s="4" t="s">
        <v>560</v>
      </c>
      <c r="G104" s="4" t="s">
        <v>561</v>
      </c>
      <c r="H104" s="4" t="s">
        <v>223</v>
      </c>
    </row>
    <row r="105" customFormat="false" ht="15" hidden="false" customHeight="true" outlineLevel="0" collapsed="false">
      <c r="A105" s="23" t="s">
        <v>562</v>
      </c>
      <c r="B105" s="23"/>
      <c r="C105" s="23"/>
      <c r="D105" s="23"/>
      <c r="E105" s="23"/>
      <c r="F105" s="23"/>
      <c r="G105" s="23"/>
      <c r="H105" s="23"/>
    </row>
    <row r="106" customFormat="false" ht="15" hidden="false" customHeight="false" outlineLevel="0" collapsed="false">
      <c r="A106" s="11" t="s">
        <v>563</v>
      </c>
      <c r="B106" s="12" t="s">
        <v>564</v>
      </c>
      <c r="C106" s="11" t="s">
        <v>565</v>
      </c>
      <c r="D106" s="13" t="n">
        <v>1</v>
      </c>
      <c r="E106" s="37" t="n">
        <f aca="false">ROUND(D106*8/$B$102,4)</f>
        <v>0.5</v>
      </c>
      <c r="F106" s="21" t="n">
        <f aca="false">'MANO DE OBRA 2026'!$C$16</f>
        <v>28.95</v>
      </c>
      <c r="G106" s="14" t="n">
        <f aca="false">ROUND(E106*F106,2)</f>
        <v>14.48</v>
      </c>
      <c r="H106" s="15" t="s">
        <v>566</v>
      </c>
    </row>
    <row r="107" customFormat="false" ht="15" hidden="false" customHeight="false" outlineLevel="0" collapsed="false">
      <c r="A107" s="11" t="s">
        <v>567</v>
      </c>
      <c r="B107" s="12" t="s">
        <v>568</v>
      </c>
      <c r="C107" s="11" t="s">
        <v>565</v>
      </c>
      <c r="D107" s="13" t="n">
        <v>0.5</v>
      </c>
      <c r="E107" s="37" t="n">
        <f aca="false">ROUND(D107*8/$B$102,4)</f>
        <v>0.25</v>
      </c>
      <c r="F107" s="21" t="n">
        <f aca="false">'MANO DE OBRA 2026'!$E$16</f>
        <v>20.54</v>
      </c>
      <c r="G107" s="14" t="n">
        <f aca="false">ROUND(E107*F107,2)</f>
        <v>5.14</v>
      </c>
      <c r="H107" s="15" t="s">
        <v>566</v>
      </c>
    </row>
    <row r="108" customFormat="false" ht="15" hidden="false" customHeight="false" outlineLevel="0" collapsed="false">
      <c r="A108" s="22"/>
      <c r="B108" s="23" t="s">
        <v>569</v>
      </c>
      <c r="C108" s="22"/>
      <c r="D108" s="22"/>
      <c r="E108" s="22"/>
      <c r="F108" s="22"/>
      <c r="G108" s="28" t="n">
        <f aca="false">SUM(G106:G107)</f>
        <v>19.62</v>
      </c>
      <c r="H108" s="22"/>
    </row>
    <row r="109" customFormat="false" ht="15" hidden="false" customHeight="true" outlineLevel="0" collapsed="false">
      <c r="A109" s="23" t="s">
        <v>570</v>
      </c>
      <c r="B109" s="23"/>
      <c r="C109" s="23"/>
      <c r="D109" s="23"/>
      <c r="E109" s="23"/>
      <c r="F109" s="23"/>
      <c r="G109" s="23"/>
      <c r="H109" s="23"/>
    </row>
    <row r="110" customFormat="false" ht="15" hidden="false" customHeight="true" outlineLevel="0" collapsed="false">
      <c r="A110" s="11" t="s">
        <v>302</v>
      </c>
      <c r="B110" s="12" t="s">
        <v>303</v>
      </c>
      <c r="C110" s="11" t="s">
        <v>20</v>
      </c>
      <c r="D110" s="12"/>
      <c r="E110" s="38" t="n">
        <v>1</v>
      </c>
      <c r="F110" s="14" t="n">
        <f aca="false">'PRECIOS DE INSUMOS'!$H$17</f>
        <v>42.29</v>
      </c>
      <c r="G110" s="14" t="n">
        <f aca="false">ROUND(E110*F110,2)</f>
        <v>42.29</v>
      </c>
      <c r="H110" s="15" t="s">
        <v>584</v>
      </c>
    </row>
    <row r="111" customFormat="false" ht="15" hidden="false" customHeight="true" outlineLevel="0" collapsed="false">
      <c r="A111" s="11" t="s">
        <v>451</v>
      </c>
      <c r="B111" s="12" t="s">
        <v>452</v>
      </c>
      <c r="C111" s="11" t="s">
        <v>20</v>
      </c>
      <c r="D111" s="12"/>
      <c r="E111" s="38" t="n">
        <v>0.25</v>
      </c>
      <c r="F111" s="14" t="n">
        <f aca="false">'PRECIOS DE INSUMOS'!$H$48</f>
        <v>2.46</v>
      </c>
      <c r="G111" s="14" t="n">
        <f aca="false">ROUND(E111*F111,2)</f>
        <v>0.62</v>
      </c>
      <c r="H111" s="15" t="s">
        <v>589</v>
      </c>
    </row>
    <row r="112" customFormat="false" ht="15" hidden="false" customHeight="false" outlineLevel="0" collapsed="false">
      <c r="A112" s="22"/>
      <c r="B112" s="23" t="s">
        <v>573</v>
      </c>
      <c r="C112" s="22"/>
      <c r="D112" s="22"/>
      <c r="E112" s="22"/>
      <c r="F112" s="22"/>
      <c r="G112" s="28" t="n">
        <f aca="false">SUM(G110:G111)</f>
        <v>42.91</v>
      </c>
      <c r="H112" s="22"/>
    </row>
    <row r="113" customFormat="false" ht="15" hidden="false" customHeight="true" outlineLevel="0" collapsed="false">
      <c r="A113" s="23" t="s">
        <v>574</v>
      </c>
      <c r="B113" s="23"/>
      <c r="C113" s="23"/>
      <c r="D113" s="23"/>
      <c r="E113" s="23"/>
      <c r="F113" s="23"/>
      <c r="G113" s="23"/>
      <c r="H113" s="23"/>
    </row>
    <row r="114" customFormat="false" ht="15" hidden="false" customHeight="false" outlineLevel="0" collapsed="false">
      <c r="A114" s="11" t="s">
        <v>575</v>
      </c>
      <c r="B114" s="12" t="s">
        <v>576</v>
      </c>
      <c r="C114" s="11" t="s">
        <v>577</v>
      </c>
      <c r="D114" s="12"/>
      <c r="E114" s="13" t="n">
        <v>3</v>
      </c>
      <c r="F114" s="14" t="n">
        <f aca="false">G108</f>
        <v>19.62</v>
      </c>
      <c r="G114" s="14" t="n">
        <f aca="false">ROUND(E114/100*F114,2)</f>
        <v>0.59</v>
      </c>
      <c r="H114" s="15" t="s">
        <v>578</v>
      </c>
    </row>
    <row r="115" customFormat="false" ht="15" hidden="false" customHeight="false" outlineLevel="0" collapsed="false">
      <c r="A115" s="22"/>
      <c r="B115" s="23" t="s">
        <v>579</v>
      </c>
      <c r="C115" s="22"/>
      <c r="D115" s="22"/>
      <c r="E115" s="22"/>
      <c r="F115" s="22"/>
      <c r="G115" s="28" t="n">
        <f aca="false">SUM(G114:G114)</f>
        <v>0.59</v>
      </c>
      <c r="H115" s="22"/>
    </row>
    <row r="116" customFormat="false" ht="15" hidden="false" customHeight="false" outlineLevel="0" collapsed="false">
      <c r="A116" s="16" t="s">
        <v>586</v>
      </c>
      <c r="B116" s="16"/>
      <c r="C116" s="16"/>
      <c r="D116" s="16"/>
      <c r="E116" s="16"/>
      <c r="F116" s="16"/>
      <c r="G116" s="17" t="n">
        <f aca="false">G108+G112+G115</f>
        <v>63.12</v>
      </c>
      <c r="H116" s="18"/>
    </row>
    <row r="119" customFormat="false" ht="30" hidden="false" customHeight="true" outlineLevel="0" collapsed="false">
      <c r="A119" s="6" t="s">
        <v>650</v>
      </c>
      <c r="B119" s="6"/>
      <c r="C119" s="6"/>
      <c r="D119" s="6"/>
      <c r="E119" s="6"/>
      <c r="F119" s="6"/>
      <c r="G119" s="6"/>
      <c r="H119" s="6"/>
    </row>
    <row r="120" customFormat="false" ht="25.5" hidden="false" customHeight="true" outlineLevel="0" collapsed="false">
      <c r="A120" s="23" t="s">
        <v>551</v>
      </c>
      <c r="B120" s="39" t="n">
        <v>16</v>
      </c>
      <c r="C120" s="20" t="s">
        <v>552</v>
      </c>
      <c r="D120" s="33" t="n">
        <f aca="false">SUM(E124:E125)</f>
        <v>0.75</v>
      </c>
      <c r="E120" s="20" t="s">
        <v>553</v>
      </c>
      <c r="F120" s="33" t="n">
        <f aca="false">SUMIF(C132:C132,"hm",E132:E132)</f>
        <v>0</v>
      </c>
      <c r="G120" s="20" t="s">
        <v>582</v>
      </c>
      <c r="H120" s="34" t="n">
        <f aca="false">G134</f>
        <v>23.24</v>
      </c>
    </row>
    <row r="121" customFormat="false" ht="15" hidden="false" customHeight="true" outlineLevel="0" collapsed="false">
      <c r="A121" s="23" t="s">
        <v>555</v>
      </c>
      <c r="B121" s="40" t="n">
        <v>2</v>
      </c>
      <c r="C121" s="36" t="s">
        <v>643</v>
      </c>
      <c r="D121" s="36"/>
      <c r="E121" s="36"/>
      <c r="F121" s="36"/>
      <c r="G121" s="36"/>
      <c r="H121" s="36"/>
    </row>
    <row r="122" customFormat="false" ht="15" hidden="false" customHeight="false" outlineLevel="0" collapsed="false">
      <c r="A122" s="4" t="s">
        <v>240</v>
      </c>
      <c r="B122" s="4" t="s">
        <v>557</v>
      </c>
      <c r="C122" s="4" t="s">
        <v>5</v>
      </c>
      <c r="D122" s="4" t="s">
        <v>558</v>
      </c>
      <c r="E122" s="4" t="s">
        <v>559</v>
      </c>
      <c r="F122" s="4" t="s">
        <v>560</v>
      </c>
      <c r="G122" s="4" t="s">
        <v>561</v>
      </c>
      <c r="H122" s="4" t="s">
        <v>223</v>
      </c>
    </row>
    <row r="123" customFormat="false" ht="15" hidden="false" customHeight="true" outlineLevel="0" collapsed="false">
      <c r="A123" s="23" t="s">
        <v>562</v>
      </c>
      <c r="B123" s="23"/>
      <c r="C123" s="23"/>
      <c r="D123" s="23"/>
      <c r="E123" s="23"/>
      <c r="F123" s="23"/>
      <c r="G123" s="23"/>
      <c r="H123" s="23"/>
    </row>
    <row r="124" customFormat="false" ht="15" hidden="false" customHeight="false" outlineLevel="0" collapsed="false">
      <c r="A124" s="11" t="s">
        <v>563</v>
      </c>
      <c r="B124" s="12" t="s">
        <v>564</v>
      </c>
      <c r="C124" s="11" t="s">
        <v>565</v>
      </c>
      <c r="D124" s="13" t="n">
        <v>1</v>
      </c>
      <c r="E124" s="37" t="n">
        <f aca="false">ROUND(D124*8/$B$120,4)</f>
        <v>0.5</v>
      </c>
      <c r="F124" s="21" t="n">
        <f aca="false">'MANO DE OBRA 2026'!$C$16</f>
        <v>28.95</v>
      </c>
      <c r="G124" s="14" t="n">
        <f aca="false">ROUND(E124*F124,2)</f>
        <v>14.48</v>
      </c>
      <c r="H124" s="15" t="s">
        <v>566</v>
      </c>
    </row>
    <row r="125" customFormat="false" ht="15" hidden="false" customHeight="false" outlineLevel="0" collapsed="false">
      <c r="A125" s="11" t="s">
        <v>567</v>
      </c>
      <c r="B125" s="12" t="s">
        <v>568</v>
      </c>
      <c r="C125" s="11" t="s">
        <v>565</v>
      </c>
      <c r="D125" s="13" t="n">
        <v>0.5</v>
      </c>
      <c r="E125" s="37" t="n">
        <f aca="false">ROUND(D125*8/$B$120,4)</f>
        <v>0.25</v>
      </c>
      <c r="F125" s="21" t="n">
        <f aca="false">'MANO DE OBRA 2026'!$E$16</f>
        <v>20.54</v>
      </c>
      <c r="G125" s="14" t="n">
        <f aca="false">ROUND(E125*F125,2)</f>
        <v>5.14</v>
      </c>
      <c r="H125" s="15" t="s">
        <v>566</v>
      </c>
    </row>
    <row r="126" customFormat="false" ht="15" hidden="false" customHeight="false" outlineLevel="0" collapsed="false">
      <c r="A126" s="22"/>
      <c r="B126" s="23" t="s">
        <v>569</v>
      </c>
      <c r="C126" s="22"/>
      <c r="D126" s="22"/>
      <c r="E126" s="22"/>
      <c r="F126" s="22"/>
      <c r="G126" s="28" t="n">
        <f aca="false">SUM(G124:G125)</f>
        <v>19.62</v>
      </c>
      <c r="H126" s="22"/>
    </row>
    <row r="127" customFormat="false" ht="15" hidden="false" customHeight="true" outlineLevel="0" collapsed="false">
      <c r="A127" s="23" t="s">
        <v>570</v>
      </c>
      <c r="B127" s="23"/>
      <c r="C127" s="23"/>
      <c r="D127" s="23"/>
      <c r="E127" s="23"/>
      <c r="F127" s="23"/>
      <c r="G127" s="23"/>
      <c r="H127" s="23"/>
    </row>
    <row r="128" customFormat="false" ht="15" hidden="false" customHeight="true" outlineLevel="0" collapsed="false">
      <c r="A128" s="11" t="s">
        <v>330</v>
      </c>
      <c r="B128" s="12" t="s">
        <v>331</v>
      </c>
      <c r="C128" s="11" t="s">
        <v>20</v>
      </c>
      <c r="D128" s="12"/>
      <c r="E128" s="38" t="n">
        <v>1</v>
      </c>
      <c r="F128" s="14" t="n">
        <f aca="false">'PRECIOS DE INSUMOS'!$H$23</f>
        <v>2.41</v>
      </c>
      <c r="G128" s="14" t="n">
        <f aca="false">ROUND(E128*F128,2)</f>
        <v>2.41</v>
      </c>
      <c r="H128" s="15" t="s">
        <v>584</v>
      </c>
    </row>
    <row r="129" customFormat="false" ht="15" hidden="false" customHeight="true" outlineLevel="0" collapsed="false">
      <c r="A129" s="11" t="s">
        <v>451</v>
      </c>
      <c r="B129" s="12" t="s">
        <v>452</v>
      </c>
      <c r="C129" s="11" t="s">
        <v>20</v>
      </c>
      <c r="D129" s="12"/>
      <c r="E129" s="38" t="n">
        <v>0.25</v>
      </c>
      <c r="F129" s="14" t="n">
        <f aca="false">'PRECIOS DE INSUMOS'!$H$48</f>
        <v>2.46</v>
      </c>
      <c r="G129" s="14" t="n">
        <f aca="false">ROUND(E129*F129,2)</f>
        <v>0.62</v>
      </c>
      <c r="H129" s="15" t="s">
        <v>589</v>
      </c>
    </row>
    <row r="130" customFormat="false" ht="15" hidden="false" customHeight="false" outlineLevel="0" collapsed="false">
      <c r="A130" s="22"/>
      <c r="B130" s="23" t="s">
        <v>573</v>
      </c>
      <c r="C130" s="22"/>
      <c r="D130" s="22"/>
      <c r="E130" s="22"/>
      <c r="F130" s="22"/>
      <c r="G130" s="28" t="n">
        <f aca="false">SUM(G128:G129)</f>
        <v>3.03</v>
      </c>
      <c r="H130" s="22"/>
    </row>
    <row r="131" customFormat="false" ht="15" hidden="false" customHeight="true" outlineLevel="0" collapsed="false">
      <c r="A131" s="23" t="s">
        <v>574</v>
      </c>
      <c r="B131" s="23"/>
      <c r="C131" s="23"/>
      <c r="D131" s="23"/>
      <c r="E131" s="23"/>
      <c r="F131" s="23"/>
      <c r="G131" s="23"/>
      <c r="H131" s="23"/>
    </row>
    <row r="132" customFormat="false" ht="15" hidden="false" customHeight="false" outlineLevel="0" collapsed="false">
      <c r="A132" s="11" t="s">
        <v>575</v>
      </c>
      <c r="B132" s="12" t="s">
        <v>576</v>
      </c>
      <c r="C132" s="11" t="s">
        <v>577</v>
      </c>
      <c r="D132" s="12"/>
      <c r="E132" s="13" t="n">
        <v>3</v>
      </c>
      <c r="F132" s="14" t="n">
        <f aca="false">G126</f>
        <v>19.62</v>
      </c>
      <c r="G132" s="14" t="n">
        <f aca="false">ROUND(E132/100*F132,2)</f>
        <v>0.59</v>
      </c>
      <c r="H132" s="15" t="s">
        <v>578</v>
      </c>
    </row>
    <row r="133" customFormat="false" ht="15" hidden="false" customHeight="false" outlineLevel="0" collapsed="false">
      <c r="A133" s="22"/>
      <c r="B133" s="23" t="s">
        <v>579</v>
      </c>
      <c r="C133" s="22"/>
      <c r="D133" s="22"/>
      <c r="E133" s="22"/>
      <c r="F133" s="22"/>
      <c r="G133" s="28" t="n">
        <f aca="false">SUM(G132:G132)</f>
        <v>0.59</v>
      </c>
      <c r="H133" s="22"/>
    </row>
    <row r="134" customFormat="false" ht="15" hidden="false" customHeight="false" outlineLevel="0" collapsed="false">
      <c r="A134" s="16" t="s">
        <v>586</v>
      </c>
      <c r="B134" s="16"/>
      <c r="C134" s="16"/>
      <c r="D134" s="16"/>
      <c r="E134" s="16"/>
      <c r="F134" s="16"/>
      <c r="G134" s="17" t="n">
        <f aca="false">G126+G130+G133</f>
        <v>23.24</v>
      </c>
      <c r="H134" s="18"/>
    </row>
    <row r="137" customFormat="false" ht="30" hidden="false" customHeight="true" outlineLevel="0" collapsed="false">
      <c r="A137" s="6" t="s">
        <v>651</v>
      </c>
      <c r="B137" s="6"/>
      <c r="C137" s="6"/>
      <c r="D137" s="6"/>
      <c r="E137" s="6"/>
      <c r="F137" s="6"/>
      <c r="G137" s="6"/>
      <c r="H137" s="6"/>
    </row>
    <row r="138" customFormat="false" ht="25.5" hidden="false" customHeight="true" outlineLevel="0" collapsed="false">
      <c r="A138" s="23" t="s">
        <v>551</v>
      </c>
      <c r="B138" s="39" t="n">
        <v>8</v>
      </c>
      <c r="C138" s="20" t="s">
        <v>552</v>
      </c>
      <c r="D138" s="33" t="n">
        <f aca="false">SUM(E142:E143)</f>
        <v>1.5</v>
      </c>
      <c r="E138" s="20" t="s">
        <v>553</v>
      </c>
      <c r="F138" s="33" t="n">
        <f aca="false">SUMIF(C150:C150,"hm",E150:E150)</f>
        <v>0</v>
      </c>
      <c r="G138" s="20" t="s">
        <v>582</v>
      </c>
      <c r="H138" s="34" t="n">
        <f aca="false">G152</f>
        <v>108.82</v>
      </c>
    </row>
    <row r="139" customFormat="false" ht="15" hidden="false" customHeight="true" outlineLevel="0" collapsed="false">
      <c r="A139" s="23" t="s">
        <v>555</v>
      </c>
      <c r="B139" s="40" t="n">
        <v>1</v>
      </c>
      <c r="C139" s="36" t="s">
        <v>616</v>
      </c>
      <c r="D139" s="36"/>
      <c r="E139" s="36"/>
      <c r="F139" s="36"/>
      <c r="G139" s="36"/>
      <c r="H139" s="36"/>
    </row>
    <row r="140" customFormat="false" ht="15" hidden="false" customHeight="false" outlineLevel="0" collapsed="false">
      <c r="A140" s="4" t="s">
        <v>240</v>
      </c>
      <c r="B140" s="4" t="s">
        <v>557</v>
      </c>
      <c r="C140" s="4" t="s">
        <v>5</v>
      </c>
      <c r="D140" s="4" t="s">
        <v>558</v>
      </c>
      <c r="E140" s="4" t="s">
        <v>559</v>
      </c>
      <c r="F140" s="4" t="s">
        <v>560</v>
      </c>
      <c r="G140" s="4" t="s">
        <v>561</v>
      </c>
      <c r="H140" s="4" t="s">
        <v>223</v>
      </c>
    </row>
    <row r="141" customFormat="false" ht="15" hidden="false" customHeight="true" outlineLevel="0" collapsed="false">
      <c r="A141" s="23" t="s">
        <v>562</v>
      </c>
      <c r="B141" s="23"/>
      <c r="C141" s="23"/>
      <c r="D141" s="23"/>
      <c r="E141" s="23"/>
      <c r="F141" s="23"/>
      <c r="G141" s="23"/>
      <c r="H141" s="23"/>
    </row>
    <row r="142" customFormat="false" ht="15" hidden="false" customHeight="false" outlineLevel="0" collapsed="false">
      <c r="A142" s="11" t="s">
        <v>563</v>
      </c>
      <c r="B142" s="12" t="s">
        <v>564</v>
      </c>
      <c r="C142" s="11" t="s">
        <v>565</v>
      </c>
      <c r="D142" s="13" t="n">
        <v>1</v>
      </c>
      <c r="E142" s="37" t="n">
        <f aca="false">ROUND(D142*8/$B$138,4)</f>
        <v>1</v>
      </c>
      <c r="F142" s="21" t="n">
        <f aca="false">'MANO DE OBRA 2026'!$C$16</f>
        <v>28.95</v>
      </c>
      <c r="G142" s="14" t="n">
        <f aca="false">ROUND(E142*F142,2)</f>
        <v>28.95</v>
      </c>
      <c r="H142" s="15" t="s">
        <v>566</v>
      </c>
    </row>
    <row r="143" customFormat="false" ht="15" hidden="false" customHeight="false" outlineLevel="0" collapsed="false">
      <c r="A143" s="11" t="s">
        <v>567</v>
      </c>
      <c r="B143" s="12" t="s">
        <v>568</v>
      </c>
      <c r="C143" s="11" t="s">
        <v>565</v>
      </c>
      <c r="D143" s="13" t="n">
        <v>0.5</v>
      </c>
      <c r="E143" s="37" t="n">
        <f aca="false">ROUND(D143*8/$B$138,4)</f>
        <v>0.5</v>
      </c>
      <c r="F143" s="21" t="n">
        <f aca="false">'MANO DE OBRA 2026'!$E$16</f>
        <v>20.54</v>
      </c>
      <c r="G143" s="14" t="n">
        <f aca="false">ROUND(E143*F143,2)</f>
        <v>10.27</v>
      </c>
      <c r="H143" s="15" t="s">
        <v>566</v>
      </c>
    </row>
    <row r="144" customFormat="false" ht="15" hidden="false" customHeight="false" outlineLevel="0" collapsed="false">
      <c r="A144" s="22"/>
      <c r="B144" s="23" t="s">
        <v>569</v>
      </c>
      <c r="C144" s="22"/>
      <c r="D144" s="22"/>
      <c r="E144" s="22"/>
      <c r="F144" s="22"/>
      <c r="G144" s="28" t="n">
        <f aca="false">SUM(G142:G143)</f>
        <v>39.22</v>
      </c>
      <c r="H144" s="22"/>
    </row>
    <row r="145" customFormat="false" ht="15" hidden="false" customHeight="true" outlineLevel="0" collapsed="false">
      <c r="A145" s="23" t="s">
        <v>570</v>
      </c>
      <c r="B145" s="23"/>
      <c r="C145" s="23"/>
      <c r="D145" s="23"/>
      <c r="E145" s="23"/>
      <c r="F145" s="23"/>
      <c r="G145" s="23"/>
      <c r="H145" s="23"/>
    </row>
    <row r="146" customFormat="false" ht="15" hidden="false" customHeight="true" outlineLevel="0" collapsed="false">
      <c r="A146" s="11" t="s">
        <v>357</v>
      </c>
      <c r="B146" s="12" t="s">
        <v>358</v>
      </c>
      <c r="C146" s="11" t="s">
        <v>20</v>
      </c>
      <c r="D146" s="12"/>
      <c r="E146" s="38" t="n">
        <v>1</v>
      </c>
      <c r="F146" s="14" t="n">
        <f aca="false">'PRECIOS DE INSUMOS'!$H$29</f>
        <v>67.8</v>
      </c>
      <c r="G146" s="14" t="n">
        <f aca="false">ROUND(E146*F146,2)</f>
        <v>67.8</v>
      </c>
      <c r="H146" s="15" t="s">
        <v>584</v>
      </c>
    </row>
    <row r="147" customFormat="false" ht="15" hidden="false" customHeight="true" outlineLevel="0" collapsed="false">
      <c r="A147" s="11" t="s">
        <v>451</v>
      </c>
      <c r="B147" s="12" t="s">
        <v>452</v>
      </c>
      <c r="C147" s="11" t="s">
        <v>20</v>
      </c>
      <c r="D147" s="12"/>
      <c r="E147" s="38" t="n">
        <v>0.25</v>
      </c>
      <c r="F147" s="14" t="n">
        <f aca="false">'PRECIOS DE INSUMOS'!$H$48</f>
        <v>2.46</v>
      </c>
      <c r="G147" s="14" t="n">
        <f aca="false">ROUND(E147*F147,2)</f>
        <v>0.62</v>
      </c>
      <c r="H147" s="15" t="s">
        <v>589</v>
      </c>
    </row>
    <row r="148" customFormat="false" ht="15" hidden="false" customHeight="false" outlineLevel="0" collapsed="false">
      <c r="A148" s="22"/>
      <c r="B148" s="23" t="s">
        <v>573</v>
      </c>
      <c r="C148" s="22"/>
      <c r="D148" s="22"/>
      <c r="E148" s="22"/>
      <c r="F148" s="22"/>
      <c r="G148" s="28" t="n">
        <f aca="false">SUM(G146:G147)</f>
        <v>68.42</v>
      </c>
      <c r="H148" s="22"/>
    </row>
    <row r="149" customFormat="false" ht="15" hidden="false" customHeight="true" outlineLevel="0" collapsed="false">
      <c r="A149" s="23" t="s">
        <v>574</v>
      </c>
      <c r="B149" s="23"/>
      <c r="C149" s="23"/>
      <c r="D149" s="23"/>
      <c r="E149" s="23"/>
      <c r="F149" s="23"/>
      <c r="G149" s="23"/>
      <c r="H149" s="23"/>
    </row>
    <row r="150" customFormat="false" ht="15" hidden="false" customHeight="false" outlineLevel="0" collapsed="false">
      <c r="A150" s="11" t="s">
        <v>575</v>
      </c>
      <c r="B150" s="12" t="s">
        <v>576</v>
      </c>
      <c r="C150" s="11" t="s">
        <v>577</v>
      </c>
      <c r="D150" s="12"/>
      <c r="E150" s="13" t="n">
        <v>3</v>
      </c>
      <c r="F150" s="14" t="n">
        <f aca="false">G144</f>
        <v>39.22</v>
      </c>
      <c r="G150" s="14" t="n">
        <f aca="false">ROUND(E150/100*F150,2)</f>
        <v>1.18</v>
      </c>
      <c r="H150" s="15" t="s">
        <v>578</v>
      </c>
    </row>
    <row r="151" customFormat="false" ht="15" hidden="false" customHeight="false" outlineLevel="0" collapsed="false">
      <c r="A151" s="22"/>
      <c r="B151" s="23" t="s">
        <v>579</v>
      </c>
      <c r="C151" s="22"/>
      <c r="D151" s="22"/>
      <c r="E151" s="22"/>
      <c r="F151" s="22"/>
      <c r="G151" s="28" t="n">
        <f aca="false">SUM(G150:G150)</f>
        <v>1.18</v>
      </c>
      <c r="H151" s="22"/>
    </row>
    <row r="152" customFormat="false" ht="15" hidden="false" customHeight="false" outlineLevel="0" collapsed="false">
      <c r="A152" s="16" t="s">
        <v>586</v>
      </c>
      <c r="B152" s="16"/>
      <c r="C152" s="16"/>
      <c r="D152" s="16"/>
      <c r="E152" s="16"/>
      <c r="F152" s="16"/>
      <c r="G152" s="17" t="n">
        <f aca="false">G144+G148+G151</f>
        <v>108.82</v>
      </c>
      <c r="H152" s="18"/>
    </row>
    <row r="155" customFormat="false" ht="30" hidden="false" customHeight="true" outlineLevel="0" collapsed="false">
      <c r="A155" s="6" t="s">
        <v>652</v>
      </c>
      <c r="B155" s="6"/>
      <c r="C155" s="6"/>
      <c r="D155" s="6"/>
      <c r="E155" s="6"/>
      <c r="F155" s="6"/>
      <c r="G155" s="6"/>
      <c r="H155" s="6"/>
    </row>
    <row r="156" customFormat="false" ht="25.5" hidden="false" customHeight="true" outlineLevel="0" collapsed="false">
      <c r="A156" s="23" t="s">
        <v>551</v>
      </c>
      <c r="B156" s="39" t="n">
        <v>16</v>
      </c>
      <c r="C156" s="20" t="s">
        <v>552</v>
      </c>
      <c r="D156" s="33" t="n">
        <f aca="false">SUM(E160:E161)</f>
        <v>0.75</v>
      </c>
      <c r="E156" s="20" t="s">
        <v>553</v>
      </c>
      <c r="F156" s="33" t="n">
        <f aca="false">SUMIF(C168:C168,"hm",E168:E168)</f>
        <v>0</v>
      </c>
      <c r="G156" s="20" t="s">
        <v>582</v>
      </c>
      <c r="H156" s="34" t="n">
        <f aca="false">G170</f>
        <v>37.63</v>
      </c>
    </row>
    <row r="157" customFormat="false" ht="15" hidden="false" customHeight="true" outlineLevel="0" collapsed="false">
      <c r="A157" s="23" t="s">
        <v>555</v>
      </c>
      <c r="B157" s="40" t="n">
        <v>7</v>
      </c>
      <c r="C157" s="36" t="s">
        <v>625</v>
      </c>
      <c r="D157" s="36"/>
      <c r="E157" s="36"/>
      <c r="F157" s="36"/>
      <c r="G157" s="36"/>
      <c r="H157" s="36"/>
    </row>
    <row r="158" customFormat="false" ht="15" hidden="false" customHeight="false" outlineLevel="0" collapsed="false">
      <c r="A158" s="4" t="s">
        <v>240</v>
      </c>
      <c r="B158" s="4" t="s">
        <v>557</v>
      </c>
      <c r="C158" s="4" t="s">
        <v>5</v>
      </c>
      <c r="D158" s="4" t="s">
        <v>558</v>
      </c>
      <c r="E158" s="4" t="s">
        <v>559</v>
      </c>
      <c r="F158" s="4" t="s">
        <v>560</v>
      </c>
      <c r="G158" s="4" t="s">
        <v>561</v>
      </c>
      <c r="H158" s="4" t="s">
        <v>223</v>
      </c>
    </row>
    <row r="159" customFormat="false" ht="15" hidden="false" customHeight="true" outlineLevel="0" collapsed="false">
      <c r="A159" s="23" t="s">
        <v>562</v>
      </c>
      <c r="B159" s="23"/>
      <c r="C159" s="23"/>
      <c r="D159" s="23"/>
      <c r="E159" s="23"/>
      <c r="F159" s="23"/>
      <c r="G159" s="23"/>
      <c r="H159" s="23"/>
    </row>
    <row r="160" customFormat="false" ht="15" hidden="false" customHeight="false" outlineLevel="0" collapsed="false">
      <c r="A160" s="11" t="s">
        <v>563</v>
      </c>
      <c r="B160" s="12" t="s">
        <v>564</v>
      </c>
      <c r="C160" s="11" t="s">
        <v>565</v>
      </c>
      <c r="D160" s="13" t="n">
        <v>1</v>
      </c>
      <c r="E160" s="37" t="n">
        <f aca="false">ROUND(D160*8/$B$156,4)</f>
        <v>0.5</v>
      </c>
      <c r="F160" s="21" t="n">
        <f aca="false">'MANO DE OBRA 2026'!$C$16</f>
        <v>28.95</v>
      </c>
      <c r="G160" s="14" t="n">
        <f aca="false">ROUND(E160*F160,2)</f>
        <v>14.48</v>
      </c>
      <c r="H160" s="15" t="s">
        <v>566</v>
      </c>
    </row>
    <row r="161" customFormat="false" ht="15" hidden="false" customHeight="false" outlineLevel="0" collapsed="false">
      <c r="A161" s="11" t="s">
        <v>567</v>
      </c>
      <c r="B161" s="12" t="s">
        <v>568</v>
      </c>
      <c r="C161" s="11" t="s">
        <v>565</v>
      </c>
      <c r="D161" s="13" t="n">
        <v>0.5</v>
      </c>
      <c r="E161" s="37" t="n">
        <f aca="false">ROUND(D161*8/$B$156,4)</f>
        <v>0.25</v>
      </c>
      <c r="F161" s="21" t="n">
        <f aca="false">'MANO DE OBRA 2026'!$E$16</f>
        <v>20.54</v>
      </c>
      <c r="G161" s="14" t="n">
        <f aca="false">ROUND(E161*F161,2)</f>
        <v>5.14</v>
      </c>
      <c r="H161" s="15" t="s">
        <v>566</v>
      </c>
    </row>
    <row r="162" customFormat="false" ht="15" hidden="false" customHeight="false" outlineLevel="0" collapsed="false">
      <c r="A162" s="22"/>
      <c r="B162" s="23" t="s">
        <v>569</v>
      </c>
      <c r="C162" s="22"/>
      <c r="D162" s="22"/>
      <c r="E162" s="22"/>
      <c r="F162" s="22"/>
      <c r="G162" s="28" t="n">
        <f aca="false">SUM(G160:G161)</f>
        <v>19.62</v>
      </c>
      <c r="H162" s="22"/>
    </row>
    <row r="163" customFormat="false" ht="15" hidden="false" customHeight="true" outlineLevel="0" collapsed="false">
      <c r="A163" s="23" t="s">
        <v>570</v>
      </c>
      <c r="B163" s="23"/>
      <c r="C163" s="23"/>
      <c r="D163" s="23"/>
      <c r="E163" s="23"/>
      <c r="F163" s="23"/>
      <c r="G163" s="23"/>
      <c r="H163" s="23"/>
    </row>
    <row r="164" customFormat="false" ht="15" hidden="false" customHeight="true" outlineLevel="0" collapsed="false">
      <c r="A164" s="11" t="s">
        <v>417</v>
      </c>
      <c r="B164" s="12" t="s">
        <v>418</v>
      </c>
      <c r="C164" s="11" t="s">
        <v>20</v>
      </c>
      <c r="D164" s="12"/>
      <c r="E164" s="38" t="n">
        <v>1</v>
      </c>
      <c r="F164" s="14" t="n">
        <f aca="false">'PRECIOS DE INSUMOS'!$H$42</f>
        <v>1.36</v>
      </c>
      <c r="G164" s="14" t="n">
        <f aca="false">ROUND(E164*F164,2)</f>
        <v>1.36</v>
      </c>
      <c r="H164" s="15" t="s">
        <v>584</v>
      </c>
    </row>
    <row r="165" customFormat="false" ht="15" hidden="false" customHeight="true" outlineLevel="0" collapsed="false">
      <c r="A165" s="11" t="s">
        <v>421</v>
      </c>
      <c r="B165" s="12" t="s">
        <v>422</v>
      </c>
      <c r="C165" s="11" t="s">
        <v>20</v>
      </c>
      <c r="D165" s="12"/>
      <c r="E165" s="38" t="n">
        <v>2</v>
      </c>
      <c r="F165" s="14" t="n">
        <f aca="false">'PRECIOS DE INSUMOS'!$H$43</f>
        <v>8.03</v>
      </c>
      <c r="G165" s="14" t="n">
        <f aca="false">ROUND(E165*F165,2)</f>
        <v>16.06</v>
      </c>
      <c r="H165" s="15" t="s">
        <v>626</v>
      </c>
    </row>
    <row r="166" customFormat="false" ht="15" hidden="false" customHeight="false" outlineLevel="0" collapsed="false">
      <c r="A166" s="22"/>
      <c r="B166" s="23" t="s">
        <v>573</v>
      </c>
      <c r="C166" s="22"/>
      <c r="D166" s="22"/>
      <c r="E166" s="22"/>
      <c r="F166" s="22"/>
      <c r="G166" s="28" t="n">
        <f aca="false">SUM(G164:G165)</f>
        <v>17.42</v>
      </c>
      <c r="H166" s="22"/>
    </row>
    <row r="167" customFormat="false" ht="15" hidden="false" customHeight="true" outlineLevel="0" collapsed="false">
      <c r="A167" s="23" t="s">
        <v>574</v>
      </c>
      <c r="B167" s="23"/>
      <c r="C167" s="23"/>
      <c r="D167" s="23"/>
      <c r="E167" s="23"/>
      <c r="F167" s="23"/>
      <c r="G167" s="23"/>
      <c r="H167" s="23"/>
    </row>
    <row r="168" customFormat="false" ht="15" hidden="false" customHeight="false" outlineLevel="0" collapsed="false">
      <c r="A168" s="11" t="s">
        <v>575</v>
      </c>
      <c r="B168" s="12" t="s">
        <v>576</v>
      </c>
      <c r="C168" s="11" t="s">
        <v>577</v>
      </c>
      <c r="D168" s="12"/>
      <c r="E168" s="13" t="n">
        <v>3</v>
      </c>
      <c r="F168" s="14" t="n">
        <f aca="false">G162</f>
        <v>19.62</v>
      </c>
      <c r="G168" s="14" t="n">
        <f aca="false">ROUND(E168/100*F168,2)</f>
        <v>0.59</v>
      </c>
      <c r="H168" s="15" t="s">
        <v>578</v>
      </c>
    </row>
    <row r="169" customFormat="false" ht="15" hidden="false" customHeight="false" outlineLevel="0" collapsed="false">
      <c r="A169" s="22"/>
      <c r="B169" s="23" t="s">
        <v>579</v>
      </c>
      <c r="C169" s="22"/>
      <c r="D169" s="22"/>
      <c r="E169" s="22"/>
      <c r="F169" s="22"/>
      <c r="G169" s="28" t="n">
        <f aca="false">SUM(G168:G168)</f>
        <v>0.59</v>
      </c>
      <c r="H169" s="22"/>
    </row>
    <row r="170" customFormat="false" ht="15" hidden="false" customHeight="false" outlineLevel="0" collapsed="false">
      <c r="A170" s="16" t="s">
        <v>586</v>
      </c>
      <c r="B170" s="16"/>
      <c r="C170" s="16"/>
      <c r="D170" s="16"/>
      <c r="E170" s="16"/>
      <c r="F170" s="16"/>
      <c r="G170" s="17" t="n">
        <f aca="false">G162+G166+G169</f>
        <v>37.63</v>
      </c>
      <c r="H170" s="18"/>
    </row>
    <row r="173" customFormat="false" ht="30" hidden="false" customHeight="true" outlineLevel="0" collapsed="false">
      <c r="A173" s="6" t="s">
        <v>653</v>
      </c>
      <c r="B173" s="6"/>
      <c r="C173" s="6"/>
      <c r="D173" s="6"/>
      <c r="E173" s="6"/>
      <c r="F173" s="6"/>
      <c r="G173" s="6"/>
      <c r="H173" s="6"/>
    </row>
    <row r="174" customFormat="false" ht="25.5" hidden="false" customHeight="true" outlineLevel="0" collapsed="false">
      <c r="A174" s="23" t="s">
        <v>551</v>
      </c>
      <c r="B174" s="39" t="n">
        <v>16</v>
      </c>
      <c r="C174" s="20" t="s">
        <v>552</v>
      </c>
      <c r="D174" s="33" t="n">
        <f aca="false">SUM(E178:E179)</f>
        <v>0.75</v>
      </c>
      <c r="E174" s="20" t="s">
        <v>553</v>
      </c>
      <c r="F174" s="33" t="n">
        <f aca="false">SUMIF(C186:C186,"hm",E186:E186)</f>
        <v>0</v>
      </c>
      <c r="G174" s="20" t="s">
        <v>582</v>
      </c>
      <c r="H174" s="34" t="n">
        <f aca="false">G188</f>
        <v>44.03</v>
      </c>
    </row>
    <row r="175" customFormat="false" ht="15" hidden="false" customHeight="true" outlineLevel="0" collapsed="false">
      <c r="A175" s="23" t="s">
        <v>555</v>
      </c>
      <c r="B175" s="40" t="n">
        <v>1</v>
      </c>
      <c r="C175" s="36" t="s">
        <v>643</v>
      </c>
      <c r="D175" s="36"/>
      <c r="E175" s="36"/>
      <c r="F175" s="36"/>
      <c r="G175" s="36"/>
      <c r="H175" s="36"/>
    </row>
    <row r="176" customFormat="false" ht="15" hidden="false" customHeight="false" outlineLevel="0" collapsed="false">
      <c r="A176" s="4" t="s">
        <v>240</v>
      </c>
      <c r="B176" s="4" t="s">
        <v>557</v>
      </c>
      <c r="C176" s="4" t="s">
        <v>5</v>
      </c>
      <c r="D176" s="4" t="s">
        <v>558</v>
      </c>
      <c r="E176" s="4" t="s">
        <v>559</v>
      </c>
      <c r="F176" s="4" t="s">
        <v>560</v>
      </c>
      <c r="G176" s="4" t="s">
        <v>561</v>
      </c>
      <c r="H176" s="4" t="s">
        <v>223</v>
      </c>
    </row>
    <row r="177" customFormat="false" ht="15" hidden="false" customHeight="true" outlineLevel="0" collapsed="false">
      <c r="A177" s="23" t="s">
        <v>562</v>
      </c>
      <c r="B177" s="23"/>
      <c r="C177" s="23"/>
      <c r="D177" s="23"/>
      <c r="E177" s="23"/>
      <c r="F177" s="23"/>
      <c r="G177" s="23"/>
      <c r="H177" s="23"/>
    </row>
    <row r="178" customFormat="false" ht="15" hidden="false" customHeight="false" outlineLevel="0" collapsed="false">
      <c r="A178" s="11" t="s">
        <v>563</v>
      </c>
      <c r="B178" s="12" t="s">
        <v>564</v>
      </c>
      <c r="C178" s="11" t="s">
        <v>565</v>
      </c>
      <c r="D178" s="13" t="n">
        <v>1</v>
      </c>
      <c r="E178" s="37" t="n">
        <f aca="false">ROUND(D178*8/$B$174,4)</f>
        <v>0.5</v>
      </c>
      <c r="F178" s="21" t="n">
        <f aca="false">'MANO DE OBRA 2026'!$C$16</f>
        <v>28.95</v>
      </c>
      <c r="G178" s="14" t="n">
        <f aca="false">ROUND(E178*F178,2)</f>
        <v>14.48</v>
      </c>
      <c r="H178" s="15" t="s">
        <v>566</v>
      </c>
    </row>
    <row r="179" customFormat="false" ht="15" hidden="false" customHeight="false" outlineLevel="0" collapsed="false">
      <c r="A179" s="11" t="s">
        <v>567</v>
      </c>
      <c r="B179" s="12" t="s">
        <v>568</v>
      </c>
      <c r="C179" s="11" t="s">
        <v>565</v>
      </c>
      <c r="D179" s="13" t="n">
        <v>0.5</v>
      </c>
      <c r="E179" s="37" t="n">
        <f aca="false">ROUND(D179*8/$B$174,4)</f>
        <v>0.25</v>
      </c>
      <c r="F179" s="21" t="n">
        <f aca="false">'MANO DE OBRA 2026'!$E$16</f>
        <v>20.54</v>
      </c>
      <c r="G179" s="14" t="n">
        <f aca="false">ROUND(E179*F179,2)</f>
        <v>5.14</v>
      </c>
      <c r="H179" s="15" t="s">
        <v>566</v>
      </c>
    </row>
    <row r="180" customFormat="false" ht="15" hidden="false" customHeight="false" outlineLevel="0" collapsed="false">
      <c r="A180" s="22"/>
      <c r="B180" s="23" t="s">
        <v>569</v>
      </c>
      <c r="C180" s="22"/>
      <c r="D180" s="22"/>
      <c r="E180" s="22"/>
      <c r="F180" s="22"/>
      <c r="G180" s="28" t="n">
        <f aca="false">SUM(G178:G179)</f>
        <v>19.62</v>
      </c>
      <c r="H180" s="22"/>
    </row>
    <row r="181" customFormat="false" ht="15" hidden="false" customHeight="true" outlineLevel="0" collapsed="false">
      <c r="A181" s="23" t="s">
        <v>570</v>
      </c>
      <c r="B181" s="23"/>
      <c r="C181" s="23"/>
      <c r="D181" s="23"/>
      <c r="E181" s="23"/>
      <c r="F181" s="23"/>
      <c r="G181" s="23"/>
      <c r="H181" s="23"/>
    </row>
    <row r="182" customFormat="false" ht="15" hidden="false" customHeight="true" outlineLevel="0" collapsed="false">
      <c r="A182" s="11" t="s">
        <v>294</v>
      </c>
      <c r="B182" s="12" t="s">
        <v>295</v>
      </c>
      <c r="C182" s="11" t="s">
        <v>20</v>
      </c>
      <c r="D182" s="12"/>
      <c r="E182" s="38" t="n">
        <v>1</v>
      </c>
      <c r="F182" s="14" t="n">
        <f aca="false">'PRECIOS DE INSUMOS'!$H$15</f>
        <v>19.41</v>
      </c>
      <c r="G182" s="14" t="n">
        <f aca="false">ROUND(E182*F182,2)</f>
        <v>19.41</v>
      </c>
      <c r="H182" s="15" t="s">
        <v>584</v>
      </c>
    </row>
    <row r="183" customFormat="false" ht="15" hidden="false" customHeight="true" outlineLevel="0" collapsed="false">
      <c r="A183" s="11" t="s">
        <v>445</v>
      </c>
      <c r="B183" s="12" t="s">
        <v>446</v>
      </c>
      <c r="C183" s="11" t="s">
        <v>447</v>
      </c>
      <c r="D183" s="12"/>
      <c r="E183" s="38" t="n">
        <v>0.021</v>
      </c>
      <c r="F183" s="14" t="n">
        <f aca="false">'PRECIOS DE INSUMOS'!$H$47</f>
        <v>209.83</v>
      </c>
      <c r="G183" s="14" t="n">
        <f aca="false">ROUND(E183*F183,2)</f>
        <v>4.41</v>
      </c>
      <c r="H183" s="15" t="s">
        <v>654</v>
      </c>
    </row>
    <row r="184" customFormat="false" ht="15" hidden="false" customHeight="false" outlineLevel="0" collapsed="false">
      <c r="A184" s="22"/>
      <c r="B184" s="23" t="s">
        <v>573</v>
      </c>
      <c r="C184" s="22"/>
      <c r="D184" s="22"/>
      <c r="E184" s="22"/>
      <c r="F184" s="22"/>
      <c r="G184" s="28" t="n">
        <f aca="false">SUM(G182:G183)</f>
        <v>23.82</v>
      </c>
      <c r="H184" s="22"/>
    </row>
    <row r="185" customFormat="false" ht="15" hidden="false" customHeight="true" outlineLevel="0" collapsed="false">
      <c r="A185" s="23" t="s">
        <v>574</v>
      </c>
      <c r="B185" s="23"/>
      <c r="C185" s="23"/>
      <c r="D185" s="23"/>
      <c r="E185" s="23"/>
      <c r="F185" s="23"/>
      <c r="G185" s="23"/>
      <c r="H185" s="23"/>
    </row>
    <row r="186" customFormat="false" ht="15" hidden="false" customHeight="false" outlineLevel="0" collapsed="false">
      <c r="A186" s="11" t="s">
        <v>575</v>
      </c>
      <c r="B186" s="12" t="s">
        <v>576</v>
      </c>
      <c r="C186" s="11" t="s">
        <v>577</v>
      </c>
      <c r="D186" s="12"/>
      <c r="E186" s="13" t="n">
        <v>3</v>
      </c>
      <c r="F186" s="14" t="n">
        <f aca="false">G180</f>
        <v>19.62</v>
      </c>
      <c r="G186" s="14" t="n">
        <f aca="false">ROUND(E186/100*F186,2)</f>
        <v>0.59</v>
      </c>
      <c r="H186" s="15" t="s">
        <v>578</v>
      </c>
    </row>
    <row r="187" customFormat="false" ht="15" hidden="false" customHeight="false" outlineLevel="0" collapsed="false">
      <c r="A187" s="22"/>
      <c r="B187" s="23" t="s">
        <v>579</v>
      </c>
      <c r="C187" s="22"/>
      <c r="D187" s="22"/>
      <c r="E187" s="22"/>
      <c r="F187" s="22"/>
      <c r="G187" s="28" t="n">
        <f aca="false">SUM(G186:G186)</f>
        <v>0.59</v>
      </c>
      <c r="H187" s="22"/>
    </row>
    <row r="188" customFormat="false" ht="15" hidden="false" customHeight="false" outlineLevel="0" collapsed="false">
      <c r="A188" s="16" t="s">
        <v>586</v>
      </c>
      <c r="B188" s="16"/>
      <c r="C188" s="16"/>
      <c r="D188" s="16"/>
      <c r="E188" s="16"/>
      <c r="F188" s="16"/>
      <c r="G188" s="17" t="n">
        <f aca="false">G180+G184+G187</f>
        <v>44.03</v>
      </c>
      <c r="H188" s="18"/>
    </row>
    <row r="191" customFormat="false" ht="30" hidden="false" customHeight="true" outlineLevel="0" collapsed="false">
      <c r="A191" s="6" t="s">
        <v>655</v>
      </c>
      <c r="B191" s="6"/>
      <c r="C191" s="6"/>
      <c r="D191" s="6"/>
      <c r="E191" s="6"/>
      <c r="F191" s="6"/>
      <c r="G191" s="6"/>
      <c r="H191" s="6"/>
    </row>
    <row r="192" customFormat="false" ht="25.5" hidden="false" customHeight="true" outlineLevel="0" collapsed="false">
      <c r="A192" s="23" t="s">
        <v>551</v>
      </c>
      <c r="B192" s="39" t="n">
        <v>16</v>
      </c>
      <c r="C192" s="20" t="s">
        <v>552</v>
      </c>
      <c r="D192" s="33" t="n">
        <f aca="false">SUM(E196:E197)</f>
        <v>0.75</v>
      </c>
      <c r="E192" s="20" t="s">
        <v>553</v>
      </c>
      <c r="F192" s="33" t="n">
        <f aca="false">SUMIF(C204:C204,"hm",E204:E204)</f>
        <v>0</v>
      </c>
      <c r="G192" s="20" t="s">
        <v>582</v>
      </c>
      <c r="H192" s="34" t="n">
        <f aca="false">G206</f>
        <v>32.3</v>
      </c>
    </row>
    <row r="193" customFormat="false" ht="15" hidden="false" customHeight="true" outlineLevel="0" collapsed="false">
      <c r="A193" s="23" t="s">
        <v>555</v>
      </c>
      <c r="B193" s="40" t="n">
        <v>2</v>
      </c>
      <c r="C193" s="36" t="s">
        <v>643</v>
      </c>
      <c r="D193" s="36"/>
      <c r="E193" s="36"/>
      <c r="F193" s="36"/>
      <c r="G193" s="36"/>
      <c r="H193" s="36"/>
    </row>
    <row r="194" customFormat="false" ht="15" hidden="false" customHeight="false" outlineLevel="0" collapsed="false">
      <c r="A194" s="4" t="s">
        <v>240</v>
      </c>
      <c r="B194" s="4" t="s">
        <v>557</v>
      </c>
      <c r="C194" s="4" t="s">
        <v>5</v>
      </c>
      <c r="D194" s="4" t="s">
        <v>558</v>
      </c>
      <c r="E194" s="4" t="s">
        <v>559</v>
      </c>
      <c r="F194" s="4" t="s">
        <v>560</v>
      </c>
      <c r="G194" s="4" t="s">
        <v>561</v>
      </c>
      <c r="H194" s="4" t="s">
        <v>223</v>
      </c>
    </row>
    <row r="195" customFormat="false" ht="15" hidden="false" customHeight="true" outlineLevel="0" collapsed="false">
      <c r="A195" s="23" t="s">
        <v>562</v>
      </c>
      <c r="B195" s="23"/>
      <c r="C195" s="23"/>
      <c r="D195" s="23"/>
      <c r="E195" s="23"/>
      <c r="F195" s="23"/>
      <c r="G195" s="23"/>
      <c r="H195" s="23"/>
    </row>
    <row r="196" customFormat="false" ht="15" hidden="false" customHeight="false" outlineLevel="0" collapsed="false">
      <c r="A196" s="11" t="s">
        <v>563</v>
      </c>
      <c r="B196" s="12" t="s">
        <v>564</v>
      </c>
      <c r="C196" s="11" t="s">
        <v>565</v>
      </c>
      <c r="D196" s="13" t="n">
        <v>1</v>
      </c>
      <c r="E196" s="37" t="n">
        <f aca="false">ROUND(D196*8/$B$192,4)</f>
        <v>0.5</v>
      </c>
      <c r="F196" s="21" t="n">
        <f aca="false">'MANO DE OBRA 2026'!$C$16</f>
        <v>28.95</v>
      </c>
      <c r="G196" s="14" t="n">
        <f aca="false">ROUND(E196*F196,2)</f>
        <v>14.48</v>
      </c>
      <c r="H196" s="15" t="s">
        <v>566</v>
      </c>
    </row>
    <row r="197" customFormat="false" ht="15" hidden="false" customHeight="false" outlineLevel="0" collapsed="false">
      <c r="A197" s="11" t="s">
        <v>567</v>
      </c>
      <c r="B197" s="12" t="s">
        <v>568</v>
      </c>
      <c r="C197" s="11" t="s">
        <v>565</v>
      </c>
      <c r="D197" s="13" t="n">
        <v>0.5</v>
      </c>
      <c r="E197" s="37" t="n">
        <f aca="false">ROUND(D197*8/$B$192,4)</f>
        <v>0.25</v>
      </c>
      <c r="F197" s="21" t="n">
        <f aca="false">'MANO DE OBRA 2026'!$E$16</f>
        <v>20.54</v>
      </c>
      <c r="G197" s="14" t="n">
        <f aca="false">ROUND(E197*F197,2)</f>
        <v>5.14</v>
      </c>
      <c r="H197" s="15" t="s">
        <v>566</v>
      </c>
    </row>
    <row r="198" customFormat="false" ht="15" hidden="false" customHeight="false" outlineLevel="0" collapsed="false">
      <c r="A198" s="22"/>
      <c r="B198" s="23" t="s">
        <v>569</v>
      </c>
      <c r="C198" s="22"/>
      <c r="D198" s="22"/>
      <c r="E198" s="22"/>
      <c r="F198" s="22"/>
      <c r="G198" s="28" t="n">
        <f aca="false">SUM(G196:G197)</f>
        <v>19.62</v>
      </c>
      <c r="H198" s="22"/>
    </row>
    <row r="199" customFormat="false" ht="15" hidden="false" customHeight="true" outlineLevel="0" collapsed="false">
      <c r="A199" s="23" t="s">
        <v>570</v>
      </c>
      <c r="B199" s="23"/>
      <c r="C199" s="23"/>
      <c r="D199" s="23"/>
      <c r="E199" s="23"/>
      <c r="F199" s="23"/>
      <c r="G199" s="23"/>
      <c r="H199" s="23"/>
    </row>
    <row r="200" customFormat="false" ht="15" hidden="false" customHeight="true" outlineLevel="0" collapsed="false">
      <c r="A200" s="11" t="s">
        <v>284</v>
      </c>
      <c r="B200" s="12" t="s">
        <v>285</v>
      </c>
      <c r="C200" s="11" t="s">
        <v>20</v>
      </c>
      <c r="D200" s="12"/>
      <c r="E200" s="38" t="n">
        <v>1</v>
      </c>
      <c r="F200" s="14" t="n">
        <f aca="false">'PRECIOS DE INSUMOS'!$H$13</f>
        <v>9.15</v>
      </c>
      <c r="G200" s="14" t="n">
        <f aca="false">ROUND(E200*F200,2)</f>
        <v>9.15</v>
      </c>
      <c r="H200" s="15" t="s">
        <v>584</v>
      </c>
    </row>
    <row r="201" customFormat="false" ht="15" hidden="false" customHeight="true" outlineLevel="0" collapsed="false">
      <c r="A201" s="11" t="s">
        <v>445</v>
      </c>
      <c r="B201" s="12" t="s">
        <v>446</v>
      </c>
      <c r="C201" s="11" t="s">
        <v>447</v>
      </c>
      <c r="D201" s="12"/>
      <c r="E201" s="38" t="n">
        <v>0.014</v>
      </c>
      <c r="F201" s="14" t="n">
        <f aca="false">'PRECIOS DE INSUMOS'!$H$47</f>
        <v>209.83</v>
      </c>
      <c r="G201" s="14" t="n">
        <f aca="false">ROUND(E201*F201,2)</f>
        <v>2.94</v>
      </c>
      <c r="H201" s="15" t="s">
        <v>646</v>
      </c>
    </row>
    <row r="202" customFormat="false" ht="15" hidden="false" customHeight="false" outlineLevel="0" collapsed="false">
      <c r="A202" s="22"/>
      <c r="B202" s="23" t="s">
        <v>573</v>
      </c>
      <c r="C202" s="22"/>
      <c r="D202" s="22"/>
      <c r="E202" s="22"/>
      <c r="F202" s="22"/>
      <c r="G202" s="28" t="n">
        <f aca="false">SUM(G200:G201)</f>
        <v>12.09</v>
      </c>
      <c r="H202" s="22"/>
    </row>
    <row r="203" customFormat="false" ht="15" hidden="false" customHeight="true" outlineLevel="0" collapsed="false">
      <c r="A203" s="23" t="s">
        <v>574</v>
      </c>
      <c r="B203" s="23"/>
      <c r="C203" s="23"/>
      <c r="D203" s="23"/>
      <c r="E203" s="23"/>
      <c r="F203" s="23"/>
      <c r="G203" s="23"/>
      <c r="H203" s="23"/>
    </row>
    <row r="204" customFormat="false" ht="15" hidden="false" customHeight="false" outlineLevel="0" collapsed="false">
      <c r="A204" s="11" t="s">
        <v>575</v>
      </c>
      <c r="B204" s="12" t="s">
        <v>576</v>
      </c>
      <c r="C204" s="11" t="s">
        <v>577</v>
      </c>
      <c r="D204" s="12"/>
      <c r="E204" s="13" t="n">
        <v>3</v>
      </c>
      <c r="F204" s="14" t="n">
        <f aca="false">G198</f>
        <v>19.62</v>
      </c>
      <c r="G204" s="14" t="n">
        <f aca="false">ROUND(E204/100*F204,2)</f>
        <v>0.59</v>
      </c>
      <c r="H204" s="15" t="s">
        <v>578</v>
      </c>
    </row>
    <row r="205" customFormat="false" ht="15" hidden="false" customHeight="false" outlineLevel="0" collapsed="false">
      <c r="A205" s="22"/>
      <c r="B205" s="23" t="s">
        <v>579</v>
      </c>
      <c r="C205" s="22"/>
      <c r="D205" s="22"/>
      <c r="E205" s="22"/>
      <c r="F205" s="22"/>
      <c r="G205" s="28" t="n">
        <f aca="false">SUM(G204:G204)</f>
        <v>0.59</v>
      </c>
      <c r="H205" s="22"/>
    </row>
    <row r="206" customFormat="false" ht="15" hidden="false" customHeight="false" outlineLevel="0" collapsed="false">
      <c r="A206" s="16" t="s">
        <v>586</v>
      </c>
      <c r="B206" s="16"/>
      <c r="C206" s="16"/>
      <c r="D206" s="16"/>
      <c r="E206" s="16"/>
      <c r="F206" s="16"/>
      <c r="G206" s="17" t="n">
        <f aca="false">G198+G202+G205</f>
        <v>32.3</v>
      </c>
      <c r="H206" s="18"/>
    </row>
  </sheetData>
  <mergeCells count="71">
    <mergeCell ref="A1:H1"/>
    <mergeCell ref="A2:H2"/>
    <mergeCell ref="A3:H3"/>
    <mergeCell ref="A5:H5"/>
    <mergeCell ref="A7:H7"/>
    <mergeCell ref="C9:H9"/>
    <mergeCell ref="A11:H11"/>
    <mergeCell ref="A15:H15"/>
    <mergeCell ref="A19:H19"/>
    <mergeCell ref="A22:F22"/>
    <mergeCell ref="A25:H25"/>
    <mergeCell ref="C27:H27"/>
    <mergeCell ref="A29:H29"/>
    <mergeCell ref="A33:H33"/>
    <mergeCell ref="A37:H37"/>
    <mergeCell ref="A41:F41"/>
    <mergeCell ref="A44:H44"/>
    <mergeCell ref="C46:H46"/>
    <mergeCell ref="A48:H48"/>
    <mergeCell ref="A52:H52"/>
    <mergeCell ref="A57:H57"/>
    <mergeCell ref="A60:F60"/>
    <mergeCell ref="A63:H63"/>
    <mergeCell ref="C65:H65"/>
    <mergeCell ref="A67:H67"/>
    <mergeCell ref="A71:H71"/>
    <mergeCell ref="A75:H75"/>
    <mergeCell ref="A78:F78"/>
    <mergeCell ref="A79:H79"/>
    <mergeCell ref="A82:H82"/>
    <mergeCell ref="C84:H84"/>
    <mergeCell ref="A86:H86"/>
    <mergeCell ref="A90:H90"/>
    <mergeCell ref="A95:H95"/>
    <mergeCell ref="A98:F98"/>
    <mergeCell ref="A101:H101"/>
    <mergeCell ref="C103:H103"/>
    <mergeCell ref="A105:H105"/>
    <mergeCell ref="A109:H109"/>
    <mergeCell ref="A113:H113"/>
    <mergeCell ref="A116:F116"/>
    <mergeCell ref="A119:H119"/>
    <mergeCell ref="C121:H121"/>
    <mergeCell ref="A123:H123"/>
    <mergeCell ref="A127:H127"/>
    <mergeCell ref="A131:H131"/>
    <mergeCell ref="A134:F134"/>
    <mergeCell ref="A137:H137"/>
    <mergeCell ref="C139:H139"/>
    <mergeCell ref="A141:H141"/>
    <mergeCell ref="A145:H145"/>
    <mergeCell ref="A149:H149"/>
    <mergeCell ref="A152:F152"/>
    <mergeCell ref="A155:H155"/>
    <mergeCell ref="C157:H157"/>
    <mergeCell ref="A159:H159"/>
    <mergeCell ref="A163:H163"/>
    <mergeCell ref="A167:H167"/>
    <mergeCell ref="A170:F170"/>
    <mergeCell ref="A173:H173"/>
    <mergeCell ref="C175:H175"/>
    <mergeCell ref="A177:H177"/>
    <mergeCell ref="A181:H181"/>
    <mergeCell ref="A185:H185"/>
    <mergeCell ref="A188:F188"/>
    <mergeCell ref="A191:H191"/>
    <mergeCell ref="C193:H193"/>
    <mergeCell ref="A195:H195"/>
    <mergeCell ref="A199:H199"/>
    <mergeCell ref="A203:H203"/>
    <mergeCell ref="A206:F20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656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657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32" t="n">
        <v>25</v>
      </c>
      <c r="C8" s="20" t="s">
        <v>552</v>
      </c>
      <c r="D8" s="33" t="n">
        <f aca="false">SUM(E12:E13)</f>
        <v>0.48</v>
      </c>
      <c r="E8" s="20" t="s">
        <v>553</v>
      </c>
      <c r="F8" s="33" t="n">
        <f aca="false">SUMIF(C20:C20,"hm",E20:E20)</f>
        <v>0</v>
      </c>
      <c r="G8" s="20" t="s">
        <v>554</v>
      </c>
      <c r="H8" s="34" t="n">
        <f aca="false">G22</f>
        <v>17.85</v>
      </c>
    </row>
    <row r="9" customFormat="false" ht="15" hidden="false" customHeight="true" outlineLevel="0" collapsed="false">
      <c r="A9" s="23" t="s">
        <v>555</v>
      </c>
      <c r="B9" s="35" t="n">
        <v>17</v>
      </c>
      <c r="C9" s="36" t="s">
        <v>556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0.32</v>
      </c>
      <c r="F12" s="21" t="n">
        <f aca="false">'MANO DE OBRA 2026'!$C$16</f>
        <v>28.95</v>
      </c>
      <c r="G12" s="14" t="n">
        <f aca="false">ROUND(E12*F12,2)</f>
        <v>9.26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0.5</v>
      </c>
      <c r="E13" s="37" t="n">
        <f aca="false">ROUND(D13*8/$B$8,4)</f>
        <v>0.16</v>
      </c>
      <c r="F13" s="21" t="n">
        <f aca="false">'MANO DE OBRA 2026'!$E$16</f>
        <v>20.54</v>
      </c>
      <c r="G13" s="14" t="n">
        <f aca="false">ROUND(E13*F13,2)</f>
        <v>3.29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12.55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11" t="s">
        <v>251</v>
      </c>
      <c r="B16" s="12" t="s">
        <v>252</v>
      </c>
      <c r="C16" s="11" t="s">
        <v>16</v>
      </c>
      <c r="D16" s="12"/>
      <c r="E16" s="38" t="n">
        <v>1.05</v>
      </c>
      <c r="F16" s="14" t="n">
        <f aca="false">'PRECIOS DE INSUMOS'!$H$7</f>
        <v>4.56</v>
      </c>
      <c r="G16" s="14" t="n">
        <f aca="false">ROUND(E16*F16,2)</f>
        <v>4.79</v>
      </c>
      <c r="H16" s="15" t="s">
        <v>571</v>
      </c>
    </row>
    <row r="17" customFormat="false" ht="15" hidden="false" customHeight="true" outlineLevel="0" collapsed="false">
      <c r="A17" s="11" t="s">
        <v>445</v>
      </c>
      <c r="B17" s="12" t="s">
        <v>446</v>
      </c>
      <c r="C17" s="11" t="s">
        <v>447</v>
      </c>
      <c r="D17" s="12"/>
      <c r="E17" s="38" t="n">
        <v>0.0006</v>
      </c>
      <c r="F17" s="14" t="n">
        <f aca="false">'PRECIOS DE INSUMOS'!$H$47</f>
        <v>209.83</v>
      </c>
      <c r="G17" s="14" t="n">
        <f aca="false">ROUND(E17*F17,2)</f>
        <v>0.13</v>
      </c>
      <c r="H17" s="15" t="s">
        <v>572</v>
      </c>
    </row>
    <row r="18" customFormat="false" ht="15" hidden="false" customHeight="false" outlineLevel="0" collapsed="false">
      <c r="A18" s="22"/>
      <c r="B18" s="23" t="s">
        <v>573</v>
      </c>
      <c r="C18" s="22"/>
      <c r="D18" s="22"/>
      <c r="E18" s="22"/>
      <c r="F18" s="22"/>
      <c r="G18" s="28" t="n">
        <f aca="false">SUM(G16:G17)</f>
        <v>4.92</v>
      </c>
      <c r="H18" s="22"/>
    </row>
    <row r="19" customFormat="false" ht="15" hidden="false" customHeight="true" outlineLevel="0" collapsed="false">
      <c r="A19" s="23" t="s">
        <v>574</v>
      </c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11" t="s">
        <v>575</v>
      </c>
      <c r="B20" s="12" t="s">
        <v>576</v>
      </c>
      <c r="C20" s="11" t="s">
        <v>577</v>
      </c>
      <c r="D20" s="12"/>
      <c r="E20" s="13" t="n">
        <v>3</v>
      </c>
      <c r="F20" s="14" t="n">
        <f aca="false">G14</f>
        <v>12.55</v>
      </c>
      <c r="G20" s="14" t="n">
        <f aca="false">ROUND(E20/100*F20,2)</f>
        <v>0.38</v>
      </c>
      <c r="H20" s="15" t="s">
        <v>578</v>
      </c>
    </row>
    <row r="21" customFormat="false" ht="15" hidden="false" customHeight="false" outlineLevel="0" collapsed="false">
      <c r="A21" s="22"/>
      <c r="B21" s="23" t="s">
        <v>579</v>
      </c>
      <c r="C21" s="22"/>
      <c r="D21" s="22"/>
      <c r="E21" s="22"/>
      <c r="F21" s="22"/>
      <c r="G21" s="28" t="n">
        <f aca="false">SUM(G20:G20)</f>
        <v>0.38</v>
      </c>
      <c r="H21" s="22"/>
    </row>
    <row r="22" customFormat="false" ht="15" hidden="false" customHeight="false" outlineLevel="0" collapsed="false">
      <c r="A22" s="16" t="s">
        <v>580</v>
      </c>
      <c r="B22" s="16"/>
      <c r="C22" s="16"/>
      <c r="D22" s="16"/>
      <c r="E22" s="16"/>
      <c r="F22" s="16"/>
      <c r="G22" s="17" t="n">
        <f aca="false">G14+G18+G21</f>
        <v>17.85</v>
      </c>
      <c r="H22" s="18"/>
    </row>
    <row r="25" customFormat="false" ht="30" hidden="false" customHeight="true" outlineLevel="0" collapsed="false">
      <c r="A25" s="6" t="s">
        <v>658</v>
      </c>
      <c r="B25" s="6"/>
      <c r="C25" s="6"/>
      <c r="D25" s="6"/>
      <c r="E25" s="6"/>
      <c r="F25" s="6"/>
      <c r="G25" s="6"/>
      <c r="H25" s="6"/>
    </row>
    <row r="26" customFormat="false" ht="25.5" hidden="false" customHeight="true" outlineLevel="0" collapsed="false">
      <c r="A26" s="23" t="s">
        <v>551</v>
      </c>
      <c r="B26" s="32" t="n">
        <v>18</v>
      </c>
      <c r="C26" s="20" t="s">
        <v>552</v>
      </c>
      <c r="D26" s="33" t="n">
        <f aca="false">SUM(E30:E31)</f>
        <v>0.6666</v>
      </c>
      <c r="E26" s="20" t="s">
        <v>553</v>
      </c>
      <c r="F26" s="33" t="n">
        <f aca="false">SUMIF(C38:C38,"hm",E38:E38)</f>
        <v>0</v>
      </c>
      <c r="G26" s="20" t="s">
        <v>554</v>
      </c>
      <c r="H26" s="34" t="n">
        <f aca="false">G40</f>
        <v>29.97</v>
      </c>
    </row>
    <row r="27" customFormat="false" ht="15" hidden="false" customHeight="true" outlineLevel="0" collapsed="false">
      <c r="A27" s="23" t="s">
        <v>555</v>
      </c>
      <c r="B27" s="35" t="n">
        <v>18</v>
      </c>
      <c r="C27" s="36" t="s">
        <v>639</v>
      </c>
      <c r="D27" s="36"/>
      <c r="E27" s="36"/>
      <c r="F27" s="36"/>
      <c r="G27" s="36"/>
      <c r="H27" s="36"/>
    </row>
    <row r="28" customFormat="false" ht="15" hidden="false" customHeight="false" outlineLevel="0" collapsed="false">
      <c r="A28" s="4" t="s">
        <v>240</v>
      </c>
      <c r="B28" s="4" t="s">
        <v>557</v>
      </c>
      <c r="C28" s="4" t="s">
        <v>5</v>
      </c>
      <c r="D28" s="4" t="s">
        <v>558</v>
      </c>
      <c r="E28" s="4" t="s">
        <v>559</v>
      </c>
      <c r="F28" s="4" t="s">
        <v>560</v>
      </c>
      <c r="G28" s="4" t="s">
        <v>561</v>
      </c>
      <c r="H28" s="4" t="s">
        <v>223</v>
      </c>
    </row>
    <row r="29" customFormat="false" ht="15" hidden="false" customHeight="true" outlineLevel="0" collapsed="false">
      <c r="A29" s="23" t="s">
        <v>562</v>
      </c>
      <c r="B29" s="23"/>
      <c r="C29" s="23"/>
      <c r="D29" s="23"/>
      <c r="E29" s="23"/>
      <c r="F29" s="23"/>
      <c r="G29" s="23"/>
      <c r="H29" s="23"/>
    </row>
    <row r="30" customFormat="false" ht="15" hidden="false" customHeight="false" outlineLevel="0" collapsed="false">
      <c r="A30" s="11" t="s">
        <v>563</v>
      </c>
      <c r="B30" s="12" t="s">
        <v>564</v>
      </c>
      <c r="C30" s="11" t="s">
        <v>565</v>
      </c>
      <c r="D30" s="13" t="n">
        <v>1</v>
      </c>
      <c r="E30" s="37" t="n">
        <f aca="false">ROUND(D30*8/$B$26,4)</f>
        <v>0.4444</v>
      </c>
      <c r="F30" s="21" t="n">
        <f aca="false">'MANO DE OBRA 2026'!$C$16</f>
        <v>28.95</v>
      </c>
      <c r="G30" s="14" t="n">
        <f aca="false">ROUND(E30*F30,2)</f>
        <v>12.87</v>
      </c>
      <c r="H30" s="15" t="s">
        <v>566</v>
      </c>
    </row>
    <row r="31" customFormat="false" ht="15" hidden="false" customHeight="false" outlineLevel="0" collapsed="false">
      <c r="A31" s="11" t="s">
        <v>567</v>
      </c>
      <c r="B31" s="12" t="s">
        <v>568</v>
      </c>
      <c r="C31" s="11" t="s">
        <v>565</v>
      </c>
      <c r="D31" s="13" t="n">
        <v>0.5</v>
      </c>
      <c r="E31" s="37" t="n">
        <f aca="false">ROUND(D31*8/$B$26,4)</f>
        <v>0.2222</v>
      </c>
      <c r="F31" s="21" t="n">
        <f aca="false">'MANO DE OBRA 2026'!$E$16</f>
        <v>20.54</v>
      </c>
      <c r="G31" s="14" t="n">
        <f aca="false">ROUND(E31*F31,2)</f>
        <v>4.56</v>
      </c>
      <c r="H31" s="15" t="s">
        <v>566</v>
      </c>
    </row>
    <row r="32" customFormat="false" ht="15" hidden="false" customHeight="false" outlineLevel="0" collapsed="false">
      <c r="A32" s="22"/>
      <c r="B32" s="23" t="s">
        <v>569</v>
      </c>
      <c r="C32" s="22"/>
      <c r="D32" s="22"/>
      <c r="E32" s="22"/>
      <c r="F32" s="22"/>
      <c r="G32" s="28" t="n">
        <f aca="false">SUM(G30:G31)</f>
        <v>17.43</v>
      </c>
      <c r="H32" s="22"/>
    </row>
    <row r="33" customFormat="false" ht="15" hidden="false" customHeight="true" outlineLevel="0" collapsed="false">
      <c r="A33" s="23" t="s">
        <v>570</v>
      </c>
      <c r="B33" s="23"/>
      <c r="C33" s="23"/>
      <c r="D33" s="23"/>
      <c r="E33" s="23"/>
      <c r="F33" s="23"/>
      <c r="G33" s="23"/>
      <c r="H33" s="23"/>
    </row>
    <row r="34" customFormat="false" ht="15" hidden="false" customHeight="true" outlineLevel="0" collapsed="false">
      <c r="A34" s="11" t="s">
        <v>264</v>
      </c>
      <c r="B34" s="12" t="s">
        <v>265</v>
      </c>
      <c r="C34" s="11" t="s">
        <v>16</v>
      </c>
      <c r="D34" s="12"/>
      <c r="E34" s="38" t="n">
        <v>1.05</v>
      </c>
      <c r="F34" s="14" t="n">
        <f aca="false">'PRECIOS DE INSUMOS'!$H$9</f>
        <v>11.17</v>
      </c>
      <c r="G34" s="14" t="n">
        <f aca="false">ROUND(E34*F34,2)</f>
        <v>11.73</v>
      </c>
      <c r="H34" s="15" t="s">
        <v>571</v>
      </c>
    </row>
    <row r="35" customFormat="false" ht="15" hidden="false" customHeight="true" outlineLevel="0" collapsed="false">
      <c r="A35" s="11" t="s">
        <v>445</v>
      </c>
      <c r="B35" s="12" t="s">
        <v>446</v>
      </c>
      <c r="C35" s="11" t="s">
        <v>447</v>
      </c>
      <c r="D35" s="12"/>
      <c r="E35" s="38" t="n">
        <v>0.0014</v>
      </c>
      <c r="F35" s="14" t="n">
        <f aca="false">'PRECIOS DE INSUMOS'!$H$47</f>
        <v>209.83</v>
      </c>
      <c r="G35" s="14" t="n">
        <f aca="false">ROUND(E35*F35,2)</f>
        <v>0.29</v>
      </c>
      <c r="H35" s="15" t="s">
        <v>640</v>
      </c>
    </row>
    <row r="36" customFormat="false" ht="15" hidden="false" customHeight="false" outlineLevel="0" collapsed="false">
      <c r="A36" s="22"/>
      <c r="B36" s="23" t="s">
        <v>573</v>
      </c>
      <c r="C36" s="22"/>
      <c r="D36" s="22"/>
      <c r="E36" s="22"/>
      <c r="F36" s="22"/>
      <c r="G36" s="28" t="n">
        <f aca="false">SUM(G34:G35)</f>
        <v>12.02</v>
      </c>
      <c r="H36" s="22"/>
    </row>
    <row r="37" customFormat="false" ht="15" hidden="false" customHeight="true" outlineLevel="0" collapsed="false">
      <c r="A37" s="23" t="s">
        <v>574</v>
      </c>
      <c r="B37" s="23"/>
      <c r="C37" s="23"/>
      <c r="D37" s="23"/>
      <c r="E37" s="23"/>
      <c r="F37" s="23"/>
      <c r="G37" s="23"/>
      <c r="H37" s="23"/>
    </row>
    <row r="38" customFormat="false" ht="15" hidden="false" customHeight="false" outlineLevel="0" collapsed="false">
      <c r="A38" s="11" t="s">
        <v>575</v>
      </c>
      <c r="B38" s="12" t="s">
        <v>576</v>
      </c>
      <c r="C38" s="11" t="s">
        <v>577</v>
      </c>
      <c r="D38" s="12"/>
      <c r="E38" s="13" t="n">
        <v>3</v>
      </c>
      <c r="F38" s="14" t="n">
        <f aca="false">G32</f>
        <v>17.43</v>
      </c>
      <c r="G38" s="14" t="n">
        <f aca="false">ROUND(E38/100*F38,2)</f>
        <v>0.52</v>
      </c>
      <c r="H38" s="15" t="s">
        <v>578</v>
      </c>
    </row>
    <row r="39" customFormat="false" ht="15" hidden="false" customHeight="false" outlineLevel="0" collapsed="false">
      <c r="A39" s="22"/>
      <c r="B39" s="23" t="s">
        <v>579</v>
      </c>
      <c r="C39" s="22"/>
      <c r="D39" s="22"/>
      <c r="E39" s="22"/>
      <c r="F39" s="22"/>
      <c r="G39" s="28" t="n">
        <f aca="false">SUM(G38:G38)</f>
        <v>0.52</v>
      </c>
      <c r="H39" s="22"/>
    </row>
    <row r="40" customFormat="false" ht="15" hidden="false" customHeight="false" outlineLevel="0" collapsed="false">
      <c r="A40" s="16" t="s">
        <v>580</v>
      </c>
      <c r="B40" s="16"/>
      <c r="C40" s="16"/>
      <c r="D40" s="16"/>
      <c r="E40" s="16"/>
      <c r="F40" s="16"/>
      <c r="G40" s="17" t="n">
        <f aca="false">G32+G36+G39</f>
        <v>29.97</v>
      </c>
      <c r="H40" s="18"/>
    </row>
    <row r="43" customFormat="false" ht="30" hidden="false" customHeight="true" outlineLevel="0" collapsed="false">
      <c r="A43" s="6" t="s">
        <v>659</v>
      </c>
      <c r="B43" s="6"/>
      <c r="C43" s="6"/>
      <c r="D43" s="6"/>
      <c r="E43" s="6"/>
      <c r="F43" s="6"/>
      <c r="G43" s="6"/>
      <c r="H43" s="6"/>
    </row>
    <row r="44" customFormat="false" ht="25.5" hidden="false" customHeight="true" outlineLevel="0" collapsed="false">
      <c r="A44" s="23" t="s">
        <v>551</v>
      </c>
      <c r="B44" s="39" t="n">
        <v>16</v>
      </c>
      <c r="C44" s="20" t="s">
        <v>552</v>
      </c>
      <c r="D44" s="33" t="n">
        <f aca="false">SUM(E48:E49)</f>
        <v>0.75</v>
      </c>
      <c r="E44" s="20" t="s">
        <v>553</v>
      </c>
      <c r="F44" s="33" t="n">
        <f aca="false">SUMIF(C56:C56,"hm",E56:E56)</f>
        <v>0</v>
      </c>
      <c r="G44" s="20" t="s">
        <v>582</v>
      </c>
      <c r="H44" s="34" t="n">
        <f aca="false">G58</f>
        <v>31.54</v>
      </c>
    </row>
    <row r="45" customFormat="false" ht="15" hidden="false" customHeight="true" outlineLevel="0" collapsed="false">
      <c r="A45" s="23" t="s">
        <v>555</v>
      </c>
      <c r="B45" s="40" t="n">
        <v>1</v>
      </c>
      <c r="C45" s="36" t="s">
        <v>643</v>
      </c>
      <c r="D45" s="36"/>
      <c r="E45" s="36"/>
      <c r="F45" s="36"/>
      <c r="G45" s="36"/>
      <c r="H45" s="36"/>
    </row>
    <row r="46" customFormat="false" ht="15" hidden="false" customHeight="false" outlineLevel="0" collapsed="false">
      <c r="A46" s="4" t="s">
        <v>240</v>
      </c>
      <c r="B46" s="4" t="s">
        <v>557</v>
      </c>
      <c r="C46" s="4" t="s">
        <v>5</v>
      </c>
      <c r="D46" s="4" t="s">
        <v>558</v>
      </c>
      <c r="E46" s="4" t="s">
        <v>559</v>
      </c>
      <c r="F46" s="4" t="s">
        <v>560</v>
      </c>
      <c r="G46" s="4" t="s">
        <v>561</v>
      </c>
      <c r="H46" s="4" t="s">
        <v>223</v>
      </c>
    </row>
    <row r="47" customFormat="false" ht="15" hidden="false" customHeight="true" outlineLevel="0" collapsed="false">
      <c r="A47" s="23" t="s">
        <v>562</v>
      </c>
      <c r="B47" s="23"/>
      <c r="C47" s="23"/>
      <c r="D47" s="23"/>
      <c r="E47" s="23"/>
      <c r="F47" s="23"/>
      <c r="G47" s="23"/>
      <c r="H47" s="23"/>
    </row>
    <row r="48" customFormat="false" ht="15" hidden="false" customHeight="false" outlineLevel="0" collapsed="false">
      <c r="A48" s="11" t="s">
        <v>563</v>
      </c>
      <c r="B48" s="12" t="s">
        <v>564</v>
      </c>
      <c r="C48" s="11" t="s">
        <v>565</v>
      </c>
      <c r="D48" s="13" t="n">
        <v>1</v>
      </c>
      <c r="E48" s="37" t="n">
        <f aca="false">ROUND(D48*8/$B$44,4)</f>
        <v>0.5</v>
      </c>
      <c r="F48" s="21" t="n">
        <f aca="false">'MANO DE OBRA 2026'!$C$16</f>
        <v>28.95</v>
      </c>
      <c r="G48" s="14" t="n">
        <f aca="false">ROUND(E48*F48,2)</f>
        <v>14.48</v>
      </c>
      <c r="H48" s="15" t="s">
        <v>566</v>
      </c>
    </row>
    <row r="49" customFormat="false" ht="15" hidden="false" customHeight="false" outlineLevel="0" collapsed="false">
      <c r="A49" s="11" t="s">
        <v>567</v>
      </c>
      <c r="B49" s="12" t="s">
        <v>568</v>
      </c>
      <c r="C49" s="11" t="s">
        <v>565</v>
      </c>
      <c r="D49" s="13" t="n">
        <v>0.5</v>
      </c>
      <c r="E49" s="37" t="n">
        <f aca="false">ROUND(D49*8/$B$44,4)</f>
        <v>0.25</v>
      </c>
      <c r="F49" s="21" t="n">
        <f aca="false">'MANO DE OBRA 2026'!$E$16</f>
        <v>20.54</v>
      </c>
      <c r="G49" s="14" t="n">
        <f aca="false">ROUND(E49*F49,2)</f>
        <v>5.14</v>
      </c>
      <c r="H49" s="15" t="s">
        <v>566</v>
      </c>
    </row>
    <row r="50" customFormat="false" ht="15" hidden="false" customHeight="false" outlineLevel="0" collapsed="false">
      <c r="A50" s="22"/>
      <c r="B50" s="23" t="s">
        <v>569</v>
      </c>
      <c r="C50" s="22"/>
      <c r="D50" s="22"/>
      <c r="E50" s="22"/>
      <c r="F50" s="22"/>
      <c r="G50" s="28" t="n">
        <f aca="false">SUM(G48:G49)</f>
        <v>19.62</v>
      </c>
      <c r="H50" s="22"/>
    </row>
    <row r="51" customFormat="false" ht="15" hidden="false" customHeight="true" outlineLevel="0" collapsed="false">
      <c r="A51" s="23" t="s">
        <v>570</v>
      </c>
      <c r="B51" s="23"/>
      <c r="C51" s="23"/>
      <c r="D51" s="23"/>
      <c r="E51" s="23"/>
      <c r="F51" s="23"/>
      <c r="G51" s="23"/>
      <c r="H51" s="23"/>
    </row>
    <row r="52" customFormat="false" ht="15" hidden="false" customHeight="true" outlineLevel="0" collapsed="false">
      <c r="A52" s="11" t="s">
        <v>339</v>
      </c>
      <c r="B52" s="12" t="s">
        <v>340</v>
      </c>
      <c r="C52" s="11" t="s">
        <v>20</v>
      </c>
      <c r="D52" s="12"/>
      <c r="E52" s="38" t="n">
        <v>1</v>
      </c>
      <c r="F52" s="14" t="n">
        <f aca="false">'PRECIOS DE INSUMOS'!$H$25</f>
        <v>8.39</v>
      </c>
      <c r="G52" s="14" t="n">
        <f aca="false">ROUND(E52*F52,2)</f>
        <v>8.39</v>
      </c>
      <c r="H52" s="15" t="s">
        <v>584</v>
      </c>
    </row>
    <row r="53" customFormat="false" ht="15" hidden="false" customHeight="true" outlineLevel="0" collapsed="false">
      <c r="A53" s="11" t="s">
        <v>445</v>
      </c>
      <c r="B53" s="12" t="s">
        <v>446</v>
      </c>
      <c r="C53" s="11" t="s">
        <v>447</v>
      </c>
      <c r="D53" s="12"/>
      <c r="E53" s="38" t="n">
        <v>0.014</v>
      </c>
      <c r="F53" s="14" t="n">
        <f aca="false">'PRECIOS DE INSUMOS'!$H$47</f>
        <v>209.83</v>
      </c>
      <c r="G53" s="14" t="n">
        <f aca="false">ROUND(E53*F53,2)</f>
        <v>2.94</v>
      </c>
      <c r="H53" s="15" t="s">
        <v>646</v>
      </c>
    </row>
    <row r="54" customFormat="false" ht="15" hidden="false" customHeight="false" outlineLevel="0" collapsed="false">
      <c r="A54" s="22"/>
      <c r="B54" s="23" t="s">
        <v>573</v>
      </c>
      <c r="C54" s="22"/>
      <c r="D54" s="22"/>
      <c r="E54" s="22"/>
      <c r="F54" s="22"/>
      <c r="G54" s="28" t="n">
        <f aca="false">SUM(G52:G53)</f>
        <v>11.33</v>
      </c>
      <c r="H54" s="22"/>
    </row>
    <row r="55" customFormat="false" ht="15" hidden="false" customHeight="true" outlineLevel="0" collapsed="false">
      <c r="A55" s="23" t="s">
        <v>574</v>
      </c>
      <c r="B55" s="23"/>
      <c r="C55" s="23"/>
      <c r="D55" s="23"/>
      <c r="E55" s="23"/>
      <c r="F55" s="23"/>
      <c r="G55" s="23"/>
      <c r="H55" s="23"/>
    </row>
    <row r="56" customFormat="false" ht="15" hidden="false" customHeight="false" outlineLevel="0" collapsed="false">
      <c r="A56" s="11" t="s">
        <v>575</v>
      </c>
      <c r="B56" s="12" t="s">
        <v>576</v>
      </c>
      <c r="C56" s="11" t="s">
        <v>577</v>
      </c>
      <c r="D56" s="12"/>
      <c r="E56" s="13" t="n">
        <v>3</v>
      </c>
      <c r="F56" s="14" t="n">
        <f aca="false">G50</f>
        <v>19.62</v>
      </c>
      <c r="G56" s="14" t="n">
        <f aca="false">ROUND(E56/100*F56,2)</f>
        <v>0.59</v>
      </c>
      <c r="H56" s="15" t="s">
        <v>578</v>
      </c>
    </row>
    <row r="57" customFormat="false" ht="15" hidden="false" customHeight="false" outlineLevel="0" collapsed="false">
      <c r="A57" s="22"/>
      <c r="B57" s="23" t="s">
        <v>579</v>
      </c>
      <c r="C57" s="22"/>
      <c r="D57" s="22"/>
      <c r="E57" s="22"/>
      <c r="F57" s="22"/>
      <c r="G57" s="28" t="n">
        <f aca="false">SUM(G56:G56)</f>
        <v>0.59</v>
      </c>
      <c r="H57" s="22"/>
    </row>
    <row r="58" customFormat="false" ht="15" hidden="false" customHeight="false" outlineLevel="0" collapsed="false">
      <c r="A58" s="16" t="s">
        <v>586</v>
      </c>
      <c r="B58" s="16"/>
      <c r="C58" s="16"/>
      <c r="D58" s="16"/>
      <c r="E58" s="16"/>
      <c r="F58" s="16"/>
      <c r="G58" s="17" t="n">
        <f aca="false">G50+G54+G57</f>
        <v>31.54</v>
      </c>
      <c r="H58" s="18"/>
    </row>
    <row r="61" customFormat="false" ht="30" hidden="false" customHeight="true" outlineLevel="0" collapsed="false">
      <c r="A61" s="6" t="s">
        <v>660</v>
      </c>
      <c r="B61" s="6"/>
      <c r="C61" s="6"/>
      <c r="D61" s="6"/>
      <c r="E61" s="6"/>
      <c r="F61" s="6"/>
      <c r="G61" s="6"/>
      <c r="H61" s="6"/>
    </row>
    <row r="62" customFormat="false" ht="25.5" hidden="false" customHeight="true" outlineLevel="0" collapsed="false">
      <c r="A62" s="23" t="s">
        <v>551</v>
      </c>
      <c r="B62" s="39" t="n">
        <v>16</v>
      </c>
      <c r="C62" s="20" t="s">
        <v>552</v>
      </c>
      <c r="D62" s="33" t="n">
        <f aca="false">SUM(E66:E67)</f>
        <v>0.75</v>
      </c>
      <c r="E62" s="20" t="s">
        <v>553</v>
      </c>
      <c r="F62" s="33" t="n">
        <f aca="false">SUMIF(C74:C74,"hm",E74:E74)</f>
        <v>0</v>
      </c>
      <c r="G62" s="20" t="s">
        <v>582</v>
      </c>
      <c r="H62" s="34" t="n">
        <f aca="false">G76</f>
        <v>37.46</v>
      </c>
    </row>
    <row r="63" customFormat="false" ht="15" hidden="false" customHeight="true" outlineLevel="0" collapsed="false">
      <c r="A63" s="23" t="s">
        <v>555</v>
      </c>
      <c r="B63" s="40" t="n">
        <v>4</v>
      </c>
      <c r="C63" s="36" t="s">
        <v>625</v>
      </c>
      <c r="D63" s="36"/>
      <c r="E63" s="36"/>
      <c r="F63" s="36"/>
      <c r="G63" s="36"/>
      <c r="H63" s="36"/>
    </row>
    <row r="64" customFormat="false" ht="15" hidden="false" customHeight="false" outlineLevel="0" collapsed="false">
      <c r="A64" s="4" t="s">
        <v>240</v>
      </c>
      <c r="B64" s="4" t="s">
        <v>557</v>
      </c>
      <c r="C64" s="4" t="s">
        <v>5</v>
      </c>
      <c r="D64" s="4" t="s">
        <v>558</v>
      </c>
      <c r="E64" s="4" t="s">
        <v>559</v>
      </c>
      <c r="F64" s="4" t="s">
        <v>560</v>
      </c>
      <c r="G64" s="4" t="s">
        <v>561</v>
      </c>
      <c r="H64" s="4" t="s">
        <v>223</v>
      </c>
    </row>
    <row r="65" customFormat="false" ht="15" hidden="false" customHeight="true" outlineLevel="0" collapsed="false">
      <c r="A65" s="23" t="s">
        <v>562</v>
      </c>
      <c r="B65" s="23"/>
      <c r="C65" s="23"/>
      <c r="D65" s="23"/>
      <c r="E65" s="23"/>
      <c r="F65" s="23"/>
      <c r="G65" s="23"/>
      <c r="H65" s="23"/>
    </row>
    <row r="66" customFormat="false" ht="15" hidden="false" customHeight="false" outlineLevel="0" collapsed="false">
      <c r="A66" s="11" t="s">
        <v>563</v>
      </c>
      <c r="B66" s="12" t="s">
        <v>564</v>
      </c>
      <c r="C66" s="11" t="s">
        <v>565</v>
      </c>
      <c r="D66" s="13" t="n">
        <v>1</v>
      </c>
      <c r="E66" s="37" t="n">
        <f aca="false">ROUND(D66*8/$B$62,4)</f>
        <v>0.5</v>
      </c>
      <c r="F66" s="21" t="n">
        <f aca="false">'MANO DE OBRA 2026'!$C$16</f>
        <v>28.95</v>
      </c>
      <c r="G66" s="14" t="n">
        <f aca="false">ROUND(E66*F66,2)</f>
        <v>14.48</v>
      </c>
      <c r="H66" s="15" t="s">
        <v>566</v>
      </c>
    </row>
    <row r="67" customFormat="false" ht="15" hidden="false" customHeight="false" outlineLevel="0" collapsed="false">
      <c r="A67" s="11" t="s">
        <v>567</v>
      </c>
      <c r="B67" s="12" t="s">
        <v>568</v>
      </c>
      <c r="C67" s="11" t="s">
        <v>565</v>
      </c>
      <c r="D67" s="13" t="n">
        <v>0.5</v>
      </c>
      <c r="E67" s="37" t="n">
        <f aca="false">ROUND(D67*8/$B$62,4)</f>
        <v>0.25</v>
      </c>
      <c r="F67" s="21" t="n">
        <f aca="false">'MANO DE OBRA 2026'!$E$16</f>
        <v>20.54</v>
      </c>
      <c r="G67" s="14" t="n">
        <f aca="false">ROUND(E67*F67,2)</f>
        <v>5.14</v>
      </c>
      <c r="H67" s="15" t="s">
        <v>566</v>
      </c>
    </row>
    <row r="68" customFormat="false" ht="15" hidden="false" customHeight="false" outlineLevel="0" collapsed="false">
      <c r="A68" s="22"/>
      <c r="B68" s="23" t="s">
        <v>569</v>
      </c>
      <c r="C68" s="22"/>
      <c r="D68" s="22"/>
      <c r="E68" s="22"/>
      <c r="F68" s="22"/>
      <c r="G68" s="28" t="n">
        <f aca="false">SUM(G66:G67)</f>
        <v>19.62</v>
      </c>
      <c r="H68" s="22"/>
    </row>
    <row r="69" customFormat="false" ht="15" hidden="false" customHeight="true" outlineLevel="0" collapsed="false">
      <c r="A69" s="23" t="s">
        <v>570</v>
      </c>
      <c r="B69" s="23"/>
      <c r="C69" s="23"/>
      <c r="D69" s="23"/>
      <c r="E69" s="23"/>
      <c r="F69" s="23"/>
      <c r="G69" s="23"/>
      <c r="H69" s="23"/>
    </row>
    <row r="70" customFormat="false" ht="15" hidden="false" customHeight="true" outlineLevel="0" collapsed="false">
      <c r="A70" s="11" t="s">
        <v>408</v>
      </c>
      <c r="B70" s="12" t="s">
        <v>409</v>
      </c>
      <c r="C70" s="11" t="s">
        <v>20</v>
      </c>
      <c r="D70" s="12"/>
      <c r="E70" s="38" t="n">
        <v>1</v>
      </c>
      <c r="F70" s="14" t="n">
        <f aca="false">'PRECIOS DE INSUMOS'!$H$40</f>
        <v>1.19</v>
      </c>
      <c r="G70" s="14" t="n">
        <f aca="false">ROUND(E70*F70,2)</f>
        <v>1.19</v>
      </c>
      <c r="H70" s="15" t="s">
        <v>584</v>
      </c>
    </row>
    <row r="71" customFormat="false" ht="15" hidden="false" customHeight="true" outlineLevel="0" collapsed="false">
      <c r="A71" s="11" t="s">
        <v>421</v>
      </c>
      <c r="B71" s="12" t="s">
        <v>422</v>
      </c>
      <c r="C71" s="11" t="s">
        <v>20</v>
      </c>
      <c r="D71" s="12"/>
      <c r="E71" s="38" t="n">
        <v>2</v>
      </c>
      <c r="F71" s="14" t="n">
        <f aca="false">'PRECIOS DE INSUMOS'!$H$43</f>
        <v>8.03</v>
      </c>
      <c r="G71" s="14" t="n">
        <f aca="false">ROUND(E71*F71,2)</f>
        <v>16.06</v>
      </c>
      <c r="H71" s="15" t="s">
        <v>626</v>
      </c>
    </row>
    <row r="72" customFormat="false" ht="15" hidden="false" customHeight="false" outlineLevel="0" collapsed="false">
      <c r="A72" s="22"/>
      <c r="B72" s="23" t="s">
        <v>573</v>
      </c>
      <c r="C72" s="22"/>
      <c r="D72" s="22"/>
      <c r="E72" s="22"/>
      <c r="F72" s="22"/>
      <c r="G72" s="28" t="n">
        <f aca="false">SUM(G70:G71)</f>
        <v>17.25</v>
      </c>
      <c r="H72" s="22"/>
    </row>
    <row r="73" customFormat="false" ht="15" hidden="false" customHeight="true" outlineLevel="0" collapsed="false">
      <c r="A73" s="23" t="s">
        <v>574</v>
      </c>
      <c r="B73" s="23"/>
      <c r="C73" s="23"/>
      <c r="D73" s="23"/>
      <c r="E73" s="23"/>
      <c r="F73" s="23"/>
      <c r="G73" s="23"/>
      <c r="H73" s="23"/>
    </row>
    <row r="74" customFormat="false" ht="15" hidden="false" customHeight="false" outlineLevel="0" collapsed="false">
      <c r="A74" s="11" t="s">
        <v>575</v>
      </c>
      <c r="B74" s="12" t="s">
        <v>576</v>
      </c>
      <c r="C74" s="11" t="s">
        <v>577</v>
      </c>
      <c r="D74" s="12"/>
      <c r="E74" s="13" t="n">
        <v>3</v>
      </c>
      <c r="F74" s="14" t="n">
        <f aca="false">G68</f>
        <v>19.62</v>
      </c>
      <c r="G74" s="14" t="n">
        <f aca="false">ROUND(E74/100*F74,2)</f>
        <v>0.59</v>
      </c>
      <c r="H74" s="15" t="s">
        <v>578</v>
      </c>
    </row>
    <row r="75" customFormat="false" ht="15" hidden="false" customHeight="false" outlineLevel="0" collapsed="false">
      <c r="A75" s="22"/>
      <c r="B75" s="23" t="s">
        <v>579</v>
      </c>
      <c r="C75" s="22"/>
      <c r="D75" s="22"/>
      <c r="E75" s="22"/>
      <c r="F75" s="22"/>
      <c r="G75" s="28" t="n">
        <f aca="false">SUM(G74:G74)</f>
        <v>0.59</v>
      </c>
      <c r="H75" s="22"/>
    </row>
    <row r="76" customFormat="false" ht="15" hidden="false" customHeight="false" outlineLevel="0" collapsed="false">
      <c r="A76" s="16" t="s">
        <v>586</v>
      </c>
      <c r="B76" s="16"/>
      <c r="C76" s="16"/>
      <c r="D76" s="16"/>
      <c r="E76" s="16"/>
      <c r="F76" s="16"/>
      <c r="G76" s="17" t="n">
        <f aca="false">G68+G72+G75</f>
        <v>37.46</v>
      </c>
      <c r="H76" s="18"/>
    </row>
    <row r="79" customFormat="false" ht="30" hidden="false" customHeight="true" outlineLevel="0" collapsed="false">
      <c r="A79" s="6" t="s">
        <v>661</v>
      </c>
      <c r="B79" s="6"/>
      <c r="C79" s="6"/>
      <c r="D79" s="6"/>
      <c r="E79" s="6"/>
      <c r="F79" s="6"/>
      <c r="G79" s="6"/>
      <c r="H79" s="6"/>
    </row>
    <row r="80" customFormat="false" ht="25.5" hidden="false" customHeight="true" outlineLevel="0" collapsed="false">
      <c r="A80" s="23" t="s">
        <v>551</v>
      </c>
      <c r="B80" s="39" t="n">
        <v>20</v>
      </c>
      <c r="C80" s="20" t="s">
        <v>552</v>
      </c>
      <c r="D80" s="33" t="n">
        <f aca="false">SUM(E84:E85)</f>
        <v>0.6</v>
      </c>
      <c r="E80" s="20" t="s">
        <v>553</v>
      </c>
      <c r="F80" s="33" t="n">
        <f aca="false">SUMIF(C92:C92,"hm",E92:E92)</f>
        <v>0</v>
      </c>
      <c r="G80" s="20" t="s">
        <v>582</v>
      </c>
      <c r="H80" s="34" t="n">
        <f aca="false">G94</f>
        <v>22.25</v>
      </c>
    </row>
    <row r="81" customFormat="false" ht="15" hidden="false" customHeight="true" outlineLevel="0" collapsed="false">
      <c r="A81" s="23" t="s">
        <v>555</v>
      </c>
      <c r="B81" s="40" t="n">
        <v>4</v>
      </c>
      <c r="C81" s="36" t="s">
        <v>603</v>
      </c>
      <c r="D81" s="36"/>
      <c r="E81" s="36"/>
      <c r="F81" s="36"/>
      <c r="G81" s="36"/>
      <c r="H81" s="36"/>
    </row>
    <row r="82" customFormat="false" ht="15" hidden="false" customHeight="false" outlineLevel="0" collapsed="false">
      <c r="A82" s="4" t="s">
        <v>240</v>
      </c>
      <c r="B82" s="4" t="s">
        <v>557</v>
      </c>
      <c r="C82" s="4" t="s">
        <v>5</v>
      </c>
      <c r="D82" s="4" t="s">
        <v>558</v>
      </c>
      <c r="E82" s="4" t="s">
        <v>559</v>
      </c>
      <c r="F82" s="4" t="s">
        <v>560</v>
      </c>
      <c r="G82" s="4" t="s">
        <v>561</v>
      </c>
      <c r="H82" s="4" t="s">
        <v>223</v>
      </c>
    </row>
    <row r="83" customFormat="false" ht="15" hidden="false" customHeight="true" outlineLevel="0" collapsed="false">
      <c r="A83" s="23" t="s">
        <v>562</v>
      </c>
      <c r="B83" s="23"/>
      <c r="C83" s="23"/>
      <c r="D83" s="23"/>
      <c r="E83" s="23"/>
      <c r="F83" s="23"/>
      <c r="G83" s="23"/>
      <c r="H83" s="23"/>
    </row>
    <row r="84" customFormat="false" ht="15" hidden="false" customHeight="false" outlineLevel="0" collapsed="false">
      <c r="A84" s="11" t="s">
        <v>563</v>
      </c>
      <c r="B84" s="12" t="s">
        <v>564</v>
      </c>
      <c r="C84" s="11" t="s">
        <v>565</v>
      </c>
      <c r="D84" s="13" t="n">
        <v>1</v>
      </c>
      <c r="E84" s="37" t="n">
        <f aca="false">ROUND(D84*8/$B$80,4)</f>
        <v>0.4</v>
      </c>
      <c r="F84" s="21" t="n">
        <f aca="false">'MANO DE OBRA 2026'!$C$16</f>
        <v>28.95</v>
      </c>
      <c r="G84" s="14" t="n">
        <f aca="false">ROUND(E84*F84,2)</f>
        <v>11.58</v>
      </c>
      <c r="H84" s="15" t="s">
        <v>566</v>
      </c>
    </row>
    <row r="85" customFormat="false" ht="15" hidden="false" customHeight="false" outlineLevel="0" collapsed="false">
      <c r="A85" s="11" t="s">
        <v>567</v>
      </c>
      <c r="B85" s="12" t="s">
        <v>568</v>
      </c>
      <c r="C85" s="11" t="s">
        <v>565</v>
      </c>
      <c r="D85" s="13" t="n">
        <v>0.5</v>
      </c>
      <c r="E85" s="37" t="n">
        <f aca="false">ROUND(D85*8/$B$80,4)</f>
        <v>0.2</v>
      </c>
      <c r="F85" s="21" t="n">
        <f aca="false">'MANO DE OBRA 2026'!$E$16</f>
        <v>20.54</v>
      </c>
      <c r="G85" s="14" t="n">
        <f aca="false">ROUND(E85*F85,2)</f>
        <v>4.11</v>
      </c>
      <c r="H85" s="15" t="s">
        <v>566</v>
      </c>
    </row>
    <row r="86" customFormat="false" ht="15" hidden="false" customHeight="false" outlineLevel="0" collapsed="false">
      <c r="A86" s="22"/>
      <c r="B86" s="23" t="s">
        <v>569</v>
      </c>
      <c r="C86" s="22"/>
      <c r="D86" s="22"/>
      <c r="E86" s="22"/>
      <c r="F86" s="22"/>
      <c r="G86" s="28" t="n">
        <f aca="false">SUM(G84:G85)</f>
        <v>15.69</v>
      </c>
      <c r="H86" s="22"/>
    </row>
    <row r="87" customFormat="false" ht="15" hidden="false" customHeight="true" outlineLevel="0" collapsed="false">
      <c r="A87" s="23" t="s">
        <v>570</v>
      </c>
      <c r="B87" s="23"/>
      <c r="C87" s="23"/>
      <c r="D87" s="23"/>
      <c r="E87" s="23"/>
      <c r="F87" s="23"/>
      <c r="G87" s="23"/>
      <c r="H87" s="23"/>
    </row>
    <row r="88" customFormat="false" ht="15" hidden="false" customHeight="true" outlineLevel="0" collapsed="false">
      <c r="A88" s="11" t="s">
        <v>270</v>
      </c>
      <c r="B88" s="12" t="s">
        <v>271</v>
      </c>
      <c r="C88" s="11" t="s">
        <v>20</v>
      </c>
      <c r="D88" s="12"/>
      <c r="E88" s="38" t="n">
        <v>1</v>
      </c>
      <c r="F88" s="14" t="n">
        <f aca="false">'PRECIOS DE INSUMOS'!$H$10</f>
        <v>4.83</v>
      </c>
      <c r="G88" s="14" t="n">
        <f aca="false">ROUND(E88*F88,2)</f>
        <v>4.83</v>
      </c>
      <c r="H88" s="15" t="s">
        <v>584</v>
      </c>
    </row>
    <row r="89" customFormat="false" ht="15" hidden="false" customHeight="true" outlineLevel="0" collapsed="false">
      <c r="A89" s="11" t="s">
        <v>445</v>
      </c>
      <c r="B89" s="12" t="s">
        <v>446</v>
      </c>
      <c r="C89" s="11" t="s">
        <v>447</v>
      </c>
      <c r="D89" s="12"/>
      <c r="E89" s="38" t="n">
        <v>0.006</v>
      </c>
      <c r="F89" s="14" t="n">
        <f aca="false">'PRECIOS DE INSUMOS'!$H$47</f>
        <v>209.83</v>
      </c>
      <c r="G89" s="14" t="n">
        <f aca="false">ROUND(E89*F89,2)</f>
        <v>1.26</v>
      </c>
      <c r="H89" s="15" t="s">
        <v>662</v>
      </c>
    </row>
    <row r="90" customFormat="false" ht="15" hidden="false" customHeight="false" outlineLevel="0" collapsed="false">
      <c r="A90" s="22"/>
      <c r="B90" s="23" t="s">
        <v>573</v>
      </c>
      <c r="C90" s="22"/>
      <c r="D90" s="22"/>
      <c r="E90" s="22"/>
      <c r="F90" s="22"/>
      <c r="G90" s="28" t="n">
        <f aca="false">SUM(G88:G89)</f>
        <v>6.09</v>
      </c>
      <c r="H90" s="22"/>
    </row>
    <row r="91" customFormat="false" ht="15" hidden="false" customHeight="true" outlineLevel="0" collapsed="false">
      <c r="A91" s="23" t="s">
        <v>574</v>
      </c>
      <c r="B91" s="23"/>
      <c r="C91" s="23"/>
      <c r="D91" s="23"/>
      <c r="E91" s="23"/>
      <c r="F91" s="23"/>
      <c r="G91" s="23"/>
      <c r="H91" s="23"/>
    </row>
    <row r="92" customFormat="false" ht="15" hidden="false" customHeight="false" outlineLevel="0" collapsed="false">
      <c r="A92" s="11" t="s">
        <v>575</v>
      </c>
      <c r="B92" s="12" t="s">
        <v>576</v>
      </c>
      <c r="C92" s="11" t="s">
        <v>577</v>
      </c>
      <c r="D92" s="12"/>
      <c r="E92" s="13" t="n">
        <v>3</v>
      </c>
      <c r="F92" s="14" t="n">
        <f aca="false">G86</f>
        <v>15.69</v>
      </c>
      <c r="G92" s="14" t="n">
        <f aca="false">ROUND(E92/100*F92,2)</f>
        <v>0.47</v>
      </c>
      <c r="H92" s="15" t="s">
        <v>578</v>
      </c>
    </row>
    <row r="93" customFormat="false" ht="15" hidden="false" customHeight="false" outlineLevel="0" collapsed="false">
      <c r="A93" s="22"/>
      <c r="B93" s="23" t="s">
        <v>579</v>
      </c>
      <c r="C93" s="22"/>
      <c r="D93" s="22"/>
      <c r="E93" s="22"/>
      <c r="F93" s="22"/>
      <c r="G93" s="28" t="n">
        <f aca="false">SUM(G92:G92)</f>
        <v>0.47</v>
      </c>
      <c r="H93" s="22"/>
    </row>
    <row r="94" customFormat="false" ht="15" hidden="false" customHeight="false" outlineLevel="0" collapsed="false">
      <c r="A94" s="16" t="s">
        <v>586</v>
      </c>
      <c r="B94" s="16"/>
      <c r="C94" s="16"/>
      <c r="D94" s="16"/>
      <c r="E94" s="16"/>
      <c r="F94" s="16"/>
      <c r="G94" s="17" t="n">
        <f aca="false">G86+G90+G93</f>
        <v>22.25</v>
      </c>
      <c r="H94" s="18"/>
    </row>
    <row r="97" customFormat="false" ht="30" hidden="false" customHeight="true" outlineLevel="0" collapsed="false">
      <c r="A97" s="6" t="s">
        <v>663</v>
      </c>
      <c r="B97" s="6"/>
      <c r="C97" s="6"/>
      <c r="D97" s="6"/>
      <c r="E97" s="6"/>
      <c r="F97" s="6"/>
      <c r="G97" s="6"/>
      <c r="H97" s="6"/>
    </row>
    <row r="98" customFormat="false" ht="25.5" hidden="false" customHeight="true" outlineLevel="0" collapsed="false">
      <c r="A98" s="23" t="s">
        <v>551</v>
      </c>
      <c r="B98" s="39" t="n">
        <v>3</v>
      </c>
      <c r="C98" s="20" t="s">
        <v>552</v>
      </c>
      <c r="D98" s="33" t="n">
        <f aca="false">SUM(E102:E103)</f>
        <v>4</v>
      </c>
      <c r="E98" s="20" t="s">
        <v>553</v>
      </c>
      <c r="F98" s="33" t="n">
        <f aca="false">SUMIF(C110:C111,"hm",E110:E111)</f>
        <v>0.5</v>
      </c>
      <c r="G98" s="20" t="s">
        <v>582</v>
      </c>
      <c r="H98" s="34" t="n">
        <f aca="false">G113</f>
        <v>120.28</v>
      </c>
    </row>
    <row r="99" customFormat="false" ht="15" hidden="false" customHeight="true" outlineLevel="0" collapsed="false">
      <c r="A99" s="23" t="s">
        <v>555</v>
      </c>
      <c r="B99" s="40" t="n">
        <v>2</v>
      </c>
      <c r="C99" s="36" t="s">
        <v>592</v>
      </c>
      <c r="D99" s="36"/>
      <c r="E99" s="36"/>
      <c r="F99" s="36"/>
      <c r="G99" s="36"/>
      <c r="H99" s="36"/>
    </row>
    <row r="100" customFormat="false" ht="15" hidden="false" customHeight="false" outlineLevel="0" collapsed="false">
      <c r="A100" s="4" t="s">
        <v>240</v>
      </c>
      <c r="B100" s="4" t="s">
        <v>557</v>
      </c>
      <c r="C100" s="4" t="s">
        <v>5</v>
      </c>
      <c r="D100" s="4" t="s">
        <v>558</v>
      </c>
      <c r="E100" s="4" t="s">
        <v>559</v>
      </c>
      <c r="F100" s="4" t="s">
        <v>560</v>
      </c>
      <c r="G100" s="4" t="s">
        <v>561</v>
      </c>
      <c r="H100" s="4" t="s">
        <v>223</v>
      </c>
    </row>
    <row r="101" customFormat="false" ht="15" hidden="false" customHeight="true" outlineLevel="0" collapsed="false">
      <c r="A101" s="23" t="s">
        <v>562</v>
      </c>
      <c r="B101" s="23"/>
      <c r="C101" s="23"/>
      <c r="D101" s="23"/>
      <c r="E101" s="23"/>
      <c r="F101" s="23"/>
      <c r="G101" s="23"/>
      <c r="H101" s="23"/>
    </row>
    <row r="102" customFormat="false" ht="15" hidden="false" customHeight="false" outlineLevel="0" collapsed="false">
      <c r="A102" s="11" t="s">
        <v>563</v>
      </c>
      <c r="B102" s="12" t="s">
        <v>564</v>
      </c>
      <c r="C102" s="11" t="s">
        <v>565</v>
      </c>
      <c r="D102" s="13" t="n">
        <v>1</v>
      </c>
      <c r="E102" s="37" t="n">
        <f aca="false">ROUND(D102*8/$B$98,4)</f>
        <v>2.6667</v>
      </c>
      <c r="F102" s="21" t="n">
        <f aca="false">'MANO DE OBRA 2026'!$C$16</f>
        <v>28.95</v>
      </c>
      <c r="G102" s="14" t="n">
        <f aca="false">ROUND(E102*F102,2)</f>
        <v>77.2</v>
      </c>
      <c r="H102" s="15" t="s">
        <v>566</v>
      </c>
    </row>
    <row r="103" customFormat="false" ht="15" hidden="false" customHeight="false" outlineLevel="0" collapsed="false">
      <c r="A103" s="11" t="s">
        <v>567</v>
      </c>
      <c r="B103" s="12" t="s">
        <v>568</v>
      </c>
      <c r="C103" s="11" t="s">
        <v>565</v>
      </c>
      <c r="D103" s="13" t="n">
        <v>0.5</v>
      </c>
      <c r="E103" s="37" t="n">
        <f aca="false">ROUND(D103*8/$B$98,4)</f>
        <v>1.3333</v>
      </c>
      <c r="F103" s="21" t="n">
        <f aca="false">'MANO DE OBRA 2026'!$E$16</f>
        <v>20.54</v>
      </c>
      <c r="G103" s="14" t="n">
        <f aca="false">ROUND(E103*F103,2)</f>
        <v>27.39</v>
      </c>
      <c r="H103" s="15" t="s">
        <v>566</v>
      </c>
    </row>
    <row r="104" customFormat="false" ht="15" hidden="false" customHeight="false" outlineLevel="0" collapsed="false">
      <c r="A104" s="22"/>
      <c r="B104" s="23" t="s">
        <v>569</v>
      </c>
      <c r="C104" s="22"/>
      <c r="D104" s="22"/>
      <c r="E104" s="22"/>
      <c r="F104" s="22"/>
      <c r="G104" s="28" t="n">
        <f aca="false">SUM(G102:G103)</f>
        <v>104.59</v>
      </c>
      <c r="H104" s="22"/>
    </row>
    <row r="105" customFormat="false" ht="15" hidden="false" customHeight="true" outlineLevel="0" collapsed="false">
      <c r="A105" s="23" t="s">
        <v>570</v>
      </c>
      <c r="B105" s="23"/>
      <c r="C105" s="23"/>
      <c r="D105" s="23"/>
      <c r="E105" s="23"/>
      <c r="F105" s="23"/>
      <c r="G105" s="23"/>
      <c r="H105" s="23"/>
    </row>
    <row r="106" customFormat="false" ht="24" hidden="false" customHeight="true" outlineLevel="0" collapsed="false">
      <c r="A106" s="11" t="s">
        <v>541</v>
      </c>
      <c r="B106" s="12" t="s">
        <v>542</v>
      </c>
      <c r="C106" s="11" t="s">
        <v>20</v>
      </c>
      <c r="D106" s="12"/>
      <c r="E106" s="38" t="n">
        <v>1</v>
      </c>
      <c r="F106" s="14" t="n">
        <f aca="false">'PRECIOS DE INSUMOS'!$H$67</f>
        <v>9.01</v>
      </c>
      <c r="G106" s="14" t="n">
        <f aca="false">ROUND(E106*F106,2)</f>
        <v>9.01</v>
      </c>
      <c r="H106" s="15" t="s">
        <v>584</v>
      </c>
    </row>
    <row r="107" customFormat="false" ht="15" hidden="false" customHeight="true" outlineLevel="0" collapsed="false">
      <c r="A107" s="11" t="s">
        <v>451</v>
      </c>
      <c r="B107" s="12" t="s">
        <v>452</v>
      </c>
      <c r="C107" s="11" t="s">
        <v>20</v>
      </c>
      <c r="D107" s="12"/>
      <c r="E107" s="38" t="n">
        <v>0.25</v>
      </c>
      <c r="F107" s="14" t="n">
        <f aca="false">'PRECIOS DE INSUMOS'!$H$48</f>
        <v>2.46</v>
      </c>
      <c r="G107" s="14" t="n">
        <f aca="false">ROUND(E107*F107,2)</f>
        <v>0.62</v>
      </c>
      <c r="H107" s="15" t="s">
        <v>589</v>
      </c>
    </row>
    <row r="108" customFormat="false" ht="15" hidden="false" customHeight="false" outlineLevel="0" collapsed="false">
      <c r="A108" s="22"/>
      <c r="B108" s="23" t="s">
        <v>573</v>
      </c>
      <c r="C108" s="22"/>
      <c r="D108" s="22"/>
      <c r="E108" s="22"/>
      <c r="F108" s="22"/>
      <c r="G108" s="28" t="n">
        <f aca="false">SUM(G106:G107)</f>
        <v>9.63</v>
      </c>
      <c r="H108" s="22"/>
    </row>
    <row r="109" customFormat="false" ht="15" hidden="false" customHeight="true" outlineLevel="0" collapsed="false">
      <c r="A109" s="23" t="s">
        <v>574</v>
      </c>
      <c r="B109" s="23"/>
      <c r="C109" s="23"/>
      <c r="D109" s="23"/>
      <c r="E109" s="23"/>
      <c r="F109" s="23"/>
      <c r="G109" s="23"/>
      <c r="H109" s="23"/>
    </row>
    <row r="110" customFormat="false" ht="15" hidden="false" customHeight="false" outlineLevel="0" collapsed="false">
      <c r="A110" s="11" t="s">
        <v>575</v>
      </c>
      <c r="B110" s="12" t="s">
        <v>576</v>
      </c>
      <c r="C110" s="11" t="s">
        <v>577</v>
      </c>
      <c r="D110" s="12"/>
      <c r="E110" s="13" t="n">
        <v>3</v>
      </c>
      <c r="F110" s="14" t="n">
        <f aca="false">G104</f>
        <v>104.59</v>
      </c>
      <c r="G110" s="14" t="n">
        <f aca="false">ROUND(E110/100*F110,2)</f>
        <v>3.14</v>
      </c>
      <c r="H110" s="15" t="s">
        <v>578</v>
      </c>
    </row>
    <row r="111" customFormat="false" ht="15" hidden="false" customHeight="false" outlineLevel="0" collapsed="false">
      <c r="A111" s="11" t="s">
        <v>461</v>
      </c>
      <c r="B111" s="12" t="s">
        <v>462</v>
      </c>
      <c r="C111" s="11" t="s">
        <v>463</v>
      </c>
      <c r="D111" s="12"/>
      <c r="E111" s="38" t="n">
        <v>0.5</v>
      </c>
      <c r="F111" s="14" t="n">
        <f aca="false">'PRECIOS DE INSUMOS'!$H$50</f>
        <v>5.83</v>
      </c>
      <c r="G111" s="14" t="n">
        <f aca="false">ROUND(E111*F111,2)</f>
        <v>2.92</v>
      </c>
      <c r="H111" s="15" t="s">
        <v>593</v>
      </c>
    </row>
    <row r="112" customFormat="false" ht="15" hidden="false" customHeight="false" outlineLevel="0" collapsed="false">
      <c r="A112" s="22"/>
      <c r="B112" s="23" t="s">
        <v>579</v>
      </c>
      <c r="C112" s="22"/>
      <c r="D112" s="22"/>
      <c r="E112" s="22"/>
      <c r="F112" s="22"/>
      <c r="G112" s="28" t="n">
        <f aca="false">SUM(G110:G111)</f>
        <v>6.06</v>
      </c>
      <c r="H112" s="22"/>
    </row>
    <row r="113" customFormat="false" ht="15" hidden="false" customHeight="false" outlineLevel="0" collapsed="false">
      <c r="A113" s="16" t="s">
        <v>586</v>
      </c>
      <c r="B113" s="16"/>
      <c r="C113" s="16"/>
      <c r="D113" s="16"/>
      <c r="E113" s="16"/>
      <c r="F113" s="16"/>
      <c r="G113" s="17" t="n">
        <f aca="false">G104+G108+G112</f>
        <v>120.28</v>
      </c>
      <c r="H113" s="18"/>
    </row>
    <row r="116" customFormat="false" ht="30" hidden="false" customHeight="true" outlineLevel="0" collapsed="false">
      <c r="A116" s="6" t="s">
        <v>664</v>
      </c>
      <c r="B116" s="6"/>
      <c r="C116" s="6"/>
      <c r="D116" s="6"/>
      <c r="E116" s="6"/>
      <c r="F116" s="6"/>
      <c r="G116" s="6"/>
      <c r="H116" s="6"/>
    </row>
    <row r="117" customFormat="false" ht="25.5" hidden="false" customHeight="true" outlineLevel="0" collapsed="false">
      <c r="A117" s="23" t="s">
        <v>551</v>
      </c>
      <c r="B117" s="39" t="n">
        <v>16</v>
      </c>
      <c r="C117" s="20" t="s">
        <v>552</v>
      </c>
      <c r="D117" s="33" t="n">
        <f aca="false">SUM(E121:E122)</f>
        <v>0.75</v>
      </c>
      <c r="E117" s="20" t="s">
        <v>553</v>
      </c>
      <c r="F117" s="33" t="n">
        <f aca="false">SUMIF(C129:C129,"hm",E129:E129)</f>
        <v>0</v>
      </c>
      <c r="G117" s="20" t="s">
        <v>582</v>
      </c>
      <c r="H117" s="34" t="n">
        <f aca="false">G131</f>
        <v>44.03</v>
      </c>
    </row>
    <row r="118" customFormat="false" ht="15" hidden="false" customHeight="true" outlineLevel="0" collapsed="false">
      <c r="A118" s="23" t="s">
        <v>555</v>
      </c>
      <c r="B118" s="40" t="n">
        <v>1</v>
      </c>
      <c r="C118" s="36" t="s">
        <v>643</v>
      </c>
      <c r="D118" s="36"/>
      <c r="E118" s="36"/>
      <c r="F118" s="36"/>
      <c r="G118" s="36"/>
      <c r="H118" s="36"/>
    </row>
    <row r="119" customFormat="false" ht="15" hidden="false" customHeight="false" outlineLevel="0" collapsed="false">
      <c r="A119" s="4" t="s">
        <v>240</v>
      </c>
      <c r="B119" s="4" t="s">
        <v>557</v>
      </c>
      <c r="C119" s="4" t="s">
        <v>5</v>
      </c>
      <c r="D119" s="4" t="s">
        <v>558</v>
      </c>
      <c r="E119" s="4" t="s">
        <v>559</v>
      </c>
      <c r="F119" s="4" t="s">
        <v>560</v>
      </c>
      <c r="G119" s="4" t="s">
        <v>561</v>
      </c>
      <c r="H119" s="4" t="s">
        <v>223</v>
      </c>
    </row>
    <row r="120" customFormat="false" ht="15" hidden="false" customHeight="true" outlineLevel="0" collapsed="false">
      <c r="A120" s="23" t="s">
        <v>562</v>
      </c>
      <c r="B120" s="23"/>
      <c r="C120" s="23"/>
      <c r="D120" s="23"/>
      <c r="E120" s="23"/>
      <c r="F120" s="23"/>
      <c r="G120" s="23"/>
      <c r="H120" s="23"/>
    </row>
    <row r="121" customFormat="false" ht="15" hidden="false" customHeight="false" outlineLevel="0" collapsed="false">
      <c r="A121" s="11" t="s">
        <v>563</v>
      </c>
      <c r="B121" s="12" t="s">
        <v>564</v>
      </c>
      <c r="C121" s="11" t="s">
        <v>565</v>
      </c>
      <c r="D121" s="13" t="n">
        <v>1</v>
      </c>
      <c r="E121" s="37" t="n">
        <f aca="false">ROUND(D121*8/$B$117,4)</f>
        <v>0.5</v>
      </c>
      <c r="F121" s="21" t="n">
        <f aca="false">'MANO DE OBRA 2026'!$C$16</f>
        <v>28.95</v>
      </c>
      <c r="G121" s="14" t="n">
        <f aca="false">ROUND(E121*F121,2)</f>
        <v>14.48</v>
      </c>
      <c r="H121" s="15" t="s">
        <v>566</v>
      </c>
    </row>
    <row r="122" customFormat="false" ht="15" hidden="false" customHeight="false" outlineLevel="0" collapsed="false">
      <c r="A122" s="11" t="s">
        <v>567</v>
      </c>
      <c r="B122" s="12" t="s">
        <v>568</v>
      </c>
      <c r="C122" s="11" t="s">
        <v>565</v>
      </c>
      <c r="D122" s="13" t="n">
        <v>0.5</v>
      </c>
      <c r="E122" s="37" t="n">
        <f aca="false">ROUND(D122*8/$B$117,4)</f>
        <v>0.25</v>
      </c>
      <c r="F122" s="21" t="n">
        <f aca="false">'MANO DE OBRA 2026'!$E$16</f>
        <v>20.54</v>
      </c>
      <c r="G122" s="14" t="n">
        <f aca="false">ROUND(E122*F122,2)</f>
        <v>5.14</v>
      </c>
      <c r="H122" s="15" t="s">
        <v>566</v>
      </c>
    </row>
    <row r="123" customFormat="false" ht="15" hidden="false" customHeight="false" outlineLevel="0" collapsed="false">
      <c r="A123" s="22"/>
      <c r="B123" s="23" t="s">
        <v>569</v>
      </c>
      <c r="C123" s="22"/>
      <c r="D123" s="22"/>
      <c r="E123" s="22"/>
      <c r="F123" s="22"/>
      <c r="G123" s="28" t="n">
        <f aca="false">SUM(G121:G122)</f>
        <v>19.62</v>
      </c>
      <c r="H123" s="22"/>
    </row>
    <row r="124" customFormat="false" ht="15" hidden="false" customHeight="true" outlineLevel="0" collapsed="false">
      <c r="A124" s="23" t="s">
        <v>570</v>
      </c>
      <c r="B124" s="23"/>
      <c r="C124" s="23"/>
      <c r="D124" s="23"/>
      <c r="E124" s="23"/>
      <c r="F124" s="23"/>
      <c r="G124" s="23"/>
      <c r="H124" s="23"/>
    </row>
    <row r="125" customFormat="false" ht="15" hidden="false" customHeight="true" outlineLevel="0" collapsed="false">
      <c r="A125" s="11" t="s">
        <v>294</v>
      </c>
      <c r="B125" s="12" t="s">
        <v>295</v>
      </c>
      <c r="C125" s="11" t="s">
        <v>20</v>
      </c>
      <c r="D125" s="12"/>
      <c r="E125" s="38" t="n">
        <v>1</v>
      </c>
      <c r="F125" s="14" t="n">
        <f aca="false">'PRECIOS DE INSUMOS'!$H$15</f>
        <v>19.41</v>
      </c>
      <c r="G125" s="14" t="n">
        <f aca="false">ROUND(E125*F125,2)</f>
        <v>19.41</v>
      </c>
      <c r="H125" s="15" t="s">
        <v>584</v>
      </c>
    </row>
    <row r="126" customFormat="false" ht="15" hidden="false" customHeight="true" outlineLevel="0" collapsed="false">
      <c r="A126" s="11" t="s">
        <v>445</v>
      </c>
      <c r="B126" s="12" t="s">
        <v>446</v>
      </c>
      <c r="C126" s="11" t="s">
        <v>447</v>
      </c>
      <c r="D126" s="12"/>
      <c r="E126" s="38" t="n">
        <v>0.021</v>
      </c>
      <c r="F126" s="14" t="n">
        <f aca="false">'PRECIOS DE INSUMOS'!$H$47</f>
        <v>209.83</v>
      </c>
      <c r="G126" s="14" t="n">
        <f aca="false">ROUND(E126*F126,2)</f>
        <v>4.41</v>
      </c>
      <c r="H126" s="15" t="s">
        <v>654</v>
      </c>
    </row>
    <row r="127" customFormat="false" ht="15" hidden="false" customHeight="false" outlineLevel="0" collapsed="false">
      <c r="A127" s="22"/>
      <c r="B127" s="23" t="s">
        <v>573</v>
      </c>
      <c r="C127" s="22"/>
      <c r="D127" s="22"/>
      <c r="E127" s="22"/>
      <c r="F127" s="22"/>
      <c r="G127" s="28" t="n">
        <f aca="false">SUM(G125:G126)</f>
        <v>23.82</v>
      </c>
      <c r="H127" s="22"/>
    </row>
    <row r="128" customFormat="false" ht="15" hidden="false" customHeight="true" outlineLevel="0" collapsed="false">
      <c r="A128" s="23" t="s">
        <v>574</v>
      </c>
      <c r="B128" s="23"/>
      <c r="C128" s="23"/>
      <c r="D128" s="23"/>
      <c r="E128" s="23"/>
      <c r="F128" s="23"/>
      <c r="G128" s="23"/>
      <c r="H128" s="23"/>
    </row>
    <row r="129" customFormat="false" ht="15" hidden="false" customHeight="false" outlineLevel="0" collapsed="false">
      <c r="A129" s="11" t="s">
        <v>575</v>
      </c>
      <c r="B129" s="12" t="s">
        <v>576</v>
      </c>
      <c r="C129" s="11" t="s">
        <v>577</v>
      </c>
      <c r="D129" s="12"/>
      <c r="E129" s="13" t="n">
        <v>3</v>
      </c>
      <c r="F129" s="14" t="n">
        <f aca="false">G123</f>
        <v>19.62</v>
      </c>
      <c r="G129" s="14" t="n">
        <f aca="false">ROUND(E129/100*F129,2)</f>
        <v>0.59</v>
      </c>
      <c r="H129" s="15" t="s">
        <v>578</v>
      </c>
    </row>
    <row r="130" customFormat="false" ht="15" hidden="false" customHeight="false" outlineLevel="0" collapsed="false">
      <c r="A130" s="22"/>
      <c r="B130" s="23" t="s">
        <v>579</v>
      </c>
      <c r="C130" s="22"/>
      <c r="D130" s="22"/>
      <c r="E130" s="22"/>
      <c r="F130" s="22"/>
      <c r="G130" s="28" t="n">
        <f aca="false">SUM(G129:G129)</f>
        <v>0.59</v>
      </c>
      <c r="H130" s="22"/>
    </row>
    <row r="131" customFormat="false" ht="15" hidden="false" customHeight="false" outlineLevel="0" collapsed="false">
      <c r="A131" s="16" t="s">
        <v>586</v>
      </c>
      <c r="B131" s="16"/>
      <c r="C131" s="16"/>
      <c r="D131" s="16"/>
      <c r="E131" s="16"/>
      <c r="F131" s="16"/>
      <c r="G131" s="17" t="n">
        <f aca="false">G123+G127+G130</f>
        <v>44.03</v>
      </c>
      <c r="H131" s="18"/>
    </row>
    <row r="134" customFormat="false" ht="30" hidden="false" customHeight="true" outlineLevel="0" collapsed="false">
      <c r="A134" s="6" t="s">
        <v>665</v>
      </c>
      <c r="B134" s="6"/>
      <c r="C134" s="6"/>
      <c r="D134" s="6"/>
      <c r="E134" s="6"/>
      <c r="F134" s="6"/>
      <c r="G134" s="6"/>
      <c r="H134" s="6"/>
    </row>
    <row r="135" customFormat="false" ht="25.5" hidden="false" customHeight="true" outlineLevel="0" collapsed="false">
      <c r="A135" s="23" t="s">
        <v>551</v>
      </c>
      <c r="B135" s="39" t="n">
        <v>16</v>
      </c>
      <c r="C135" s="20" t="s">
        <v>552</v>
      </c>
      <c r="D135" s="33" t="n">
        <f aca="false">SUM(E139:E140)</f>
        <v>0.75</v>
      </c>
      <c r="E135" s="20" t="s">
        <v>553</v>
      </c>
      <c r="F135" s="33" t="n">
        <f aca="false">SUMIF(C147:C147,"hm",E147:E147)</f>
        <v>0</v>
      </c>
      <c r="G135" s="20" t="s">
        <v>582</v>
      </c>
      <c r="H135" s="34" t="n">
        <f aca="false">G149</f>
        <v>23.24</v>
      </c>
    </row>
    <row r="136" customFormat="false" ht="15" hidden="false" customHeight="true" outlineLevel="0" collapsed="false">
      <c r="A136" s="23" t="s">
        <v>555</v>
      </c>
      <c r="B136" s="40" t="n">
        <v>2</v>
      </c>
      <c r="C136" s="36" t="s">
        <v>643</v>
      </c>
      <c r="D136" s="36"/>
      <c r="E136" s="36"/>
      <c r="F136" s="36"/>
      <c r="G136" s="36"/>
      <c r="H136" s="36"/>
    </row>
    <row r="137" customFormat="false" ht="15" hidden="false" customHeight="false" outlineLevel="0" collapsed="false">
      <c r="A137" s="4" t="s">
        <v>240</v>
      </c>
      <c r="B137" s="4" t="s">
        <v>557</v>
      </c>
      <c r="C137" s="4" t="s">
        <v>5</v>
      </c>
      <c r="D137" s="4" t="s">
        <v>558</v>
      </c>
      <c r="E137" s="4" t="s">
        <v>559</v>
      </c>
      <c r="F137" s="4" t="s">
        <v>560</v>
      </c>
      <c r="G137" s="4" t="s">
        <v>561</v>
      </c>
      <c r="H137" s="4" t="s">
        <v>223</v>
      </c>
    </row>
    <row r="138" customFormat="false" ht="15" hidden="false" customHeight="true" outlineLevel="0" collapsed="false">
      <c r="A138" s="23" t="s">
        <v>562</v>
      </c>
      <c r="B138" s="23"/>
      <c r="C138" s="23"/>
      <c r="D138" s="23"/>
      <c r="E138" s="23"/>
      <c r="F138" s="23"/>
      <c r="G138" s="23"/>
      <c r="H138" s="23"/>
    </row>
    <row r="139" customFormat="false" ht="15" hidden="false" customHeight="false" outlineLevel="0" collapsed="false">
      <c r="A139" s="11" t="s">
        <v>563</v>
      </c>
      <c r="B139" s="12" t="s">
        <v>564</v>
      </c>
      <c r="C139" s="11" t="s">
        <v>565</v>
      </c>
      <c r="D139" s="13" t="n">
        <v>1</v>
      </c>
      <c r="E139" s="37" t="n">
        <f aca="false">ROUND(D139*8/$B$135,4)</f>
        <v>0.5</v>
      </c>
      <c r="F139" s="21" t="n">
        <f aca="false">'MANO DE OBRA 2026'!$C$16</f>
        <v>28.95</v>
      </c>
      <c r="G139" s="14" t="n">
        <f aca="false">ROUND(E139*F139,2)</f>
        <v>14.48</v>
      </c>
      <c r="H139" s="15" t="s">
        <v>566</v>
      </c>
    </row>
    <row r="140" customFormat="false" ht="15" hidden="false" customHeight="false" outlineLevel="0" collapsed="false">
      <c r="A140" s="11" t="s">
        <v>567</v>
      </c>
      <c r="B140" s="12" t="s">
        <v>568</v>
      </c>
      <c r="C140" s="11" t="s">
        <v>565</v>
      </c>
      <c r="D140" s="13" t="n">
        <v>0.5</v>
      </c>
      <c r="E140" s="37" t="n">
        <f aca="false">ROUND(D140*8/$B$135,4)</f>
        <v>0.25</v>
      </c>
      <c r="F140" s="21" t="n">
        <f aca="false">'MANO DE OBRA 2026'!$E$16</f>
        <v>20.54</v>
      </c>
      <c r="G140" s="14" t="n">
        <f aca="false">ROUND(E140*F140,2)</f>
        <v>5.14</v>
      </c>
      <c r="H140" s="15" t="s">
        <v>566</v>
      </c>
    </row>
    <row r="141" customFormat="false" ht="15" hidden="false" customHeight="false" outlineLevel="0" collapsed="false">
      <c r="A141" s="22"/>
      <c r="B141" s="23" t="s">
        <v>569</v>
      </c>
      <c r="C141" s="22"/>
      <c r="D141" s="22"/>
      <c r="E141" s="22"/>
      <c r="F141" s="22"/>
      <c r="G141" s="28" t="n">
        <f aca="false">SUM(G139:G140)</f>
        <v>19.62</v>
      </c>
      <c r="H141" s="22"/>
    </row>
    <row r="142" customFormat="false" ht="15" hidden="false" customHeight="true" outlineLevel="0" collapsed="false">
      <c r="A142" s="23" t="s">
        <v>570</v>
      </c>
      <c r="B142" s="23"/>
      <c r="C142" s="23"/>
      <c r="D142" s="23"/>
      <c r="E142" s="23"/>
      <c r="F142" s="23"/>
      <c r="G142" s="23"/>
      <c r="H142" s="23"/>
    </row>
    <row r="143" customFormat="false" ht="15" hidden="false" customHeight="true" outlineLevel="0" collapsed="false">
      <c r="A143" s="11" t="s">
        <v>330</v>
      </c>
      <c r="B143" s="12" t="s">
        <v>331</v>
      </c>
      <c r="C143" s="11" t="s">
        <v>20</v>
      </c>
      <c r="D143" s="12"/>
      <c r="E143" s="38" t="n">
        <v>1</v>
      </c>
      <c r="F143" s="14" t="n">
        <f aca="false">'PRECIOS DE INSUMOS'!$H$23</f>
        <v>2.41</v>
      </c>
      <c r="G143" s="14" t="n">
        <f aca="false">ROUND(E143*F143,2)</f>
        <v>2.41</v>
      </c>
      <c r="H143" s="15" t="s">
        <v>584</v>
      </c>
    </row>
    <row r="144" customFormat="false" ht="15" hidden="false" customHeight="true" outlineLevel="0" collapsed="false">
      <c r="A144" s="11" t="s">
        <v>451</v>
      </c>
      <c r="B144" s="12" t="s">
        <v>452</v>
      </c>
      <c r="C144" s="11" t="s">
        <v>20</v>
      </c>
      <c r="D144" s="12"/>
      <c r="E144" s="38" t="n">
        <v>0.25</v>
      </c>
      <c r="F144" s="14" t="n">
        <f aca="false">'PRECIOS DE INSUMOS'!$H$48</f>
        <v>2.46</v>
      </c>
      <c r="G144" s="14" t="n">
        <f aca="false">ROUND(E144*F144,2)</f>
        <v>0.62</v>
      </c>
      <c r="H144" s="15" t="s">
        <v>589</v>
      </c>
    </row>
    <row r="145" customFormat="false" ht="15" hidden="false" customHeight="false" outlineLevel="0" collapsed="false">
      <c r="A145" s="22"/>
      <c r="B145" s="23" t="s">
        <v>573</v>
      </c>
      <c r="C145" s="22"/>
      <c r="D145" s="22"/>
      <c r="E145" s="22"/>
      <c r="F145" s="22"/>
      <c r="G145" s="28" t="n">
        <f aca="false">SUM(G143:G144)</f>
        <v>3.03</v>
      </c>
      <c r="H145" s="22"/>
    </row>
    <row r="146" customFormat="false" ht="15" hidden="false" customHeight="true" outlineLevel="0" collapsed="false">
      <c r="A146" s="23" t="s">
        <v>574</v>
      </c>
      <c r="B146" s="23"/>
      <c r="C146" s="23"/>
      <c r="D146" s="23"/>
      <c r="E146" s="23"/>
      <c r="F146" s="23"/>
      <c r="G146" s="23"/>
      <c r="H146" s="23"/>
    </row>
    <row r="147" customFormat="false" ht="15" hidden="false" customHeight="false" outlineLevel="0" collapsed="false">
      <c r="A147" s="11" t="s">
        <v>575</v>
      </c>
      <c r="B147" s="12" t="s">
        <v>576</v>
      </c>
      <c r="C147" s="11" t="s">
        <v>577</v>
      </c>
      <c r="D147" s="12"/>
      <c r="E147" s="13" t="n">
        <v>3</v>
      </c>
      <c r="F147" s="14" t="n">
        <f aca="false">G141</f>
        <v>19.62</v>
      </c>
      <c r="G147" s="14" t="n">
        <f aca="false">ROUND(E147/100*F147,2)</f>
        <v>0.59</v>
      </c>
      <c r="H147" s="15" t="s">
        <v>578</v>
      </c>
    </row>
    <row r="148" customFormat="false" ht="15" hidden="false" customHeight="false" outlineLevel="0" collapsed="false">
      <c r="A148" s="22"/>
      <c r="B148" s="23" t="s">
        <v>579</v>
      </c>
      <c r="C148" s="22"/>
      <c r="D148" s="22"/>
      <c r="E148" s="22"/>
      <c r="F148" s="22"/>
      <c r="G148" s="28" t="n">
        <f aca="false">SUM(G147:G147)</f>
        <v>0.59</v>
      </c>
      <c r="H148" s="22"/>
    </row>
    <row r="149" customFormat="false" ht="15" hidden="false" customHeight="false" outlineLevel="0" collapsed="false">
      <c r="A149" s="16" t="s">
        <v>586</v>
      </c>
      <c r="B149" s="16"/>
      <c r="C149" s="16"/>
      <c r="D149" s="16"/>
      <c r="E149" s="16"/>
      <c r="F149" s="16"/>
      <c r="G149" s="17" t="n">
        <f aca="false">G141+G145+G148</f>
        <v>23.24</v>
      </c>
      <c r="H149" s="18"/>
    </row>
    <row r="152" customFormat="false" ht="30" hidden="false" customHeight="true" outlineLevel="0" collapsed="false">
      <c r="A152" s="6" t="s">
        <v>666</v>
      </c>
      <c r="B152" s="6"/>
      <c r="C152" s="6"/>
      <c r="D152" s="6"/>
      <c r="E152" s="6"/>
      <c r="F152" s="6"/>
      <c r="G152" s="6"/>
      <c r="H152" s="6"/>
    </row>
    <row r="153" customFormat="false" ht="25.5" hidden="false" customHeight="true" outlineLevel="0" collapsed="false">
      <c r="A153" s="23" t="s">
        <v>551</v>
      </c>
      <c r="B153" s="39" t="n">
        <v>16</v>
      </c>
      <c r="C153" s="20" t="s">
        <v>552</v>
      </c>
      <c r="D153" s="33" t="n">
        <f aca="false">SUM(E157:E158)</f>
        <v>0.75</v>
      </c>
      <c r="E153" s="20" t="s">
        <v>553</v>
      </c>
      <c r="F153" s="33" t="n">
        <f aca="false">SUMIF(C166:C166,"hm",E166:E166)</f>
        <v>0</v>
      </c>
      <c r="G153" s="20" t="s">
        <v>582</v>
      </c>
      <c r="H153" s="34" t="n">
        <f aca="false">G168</f>
        <v>30.63</v>
      </c>
    </row>
    <row r="154" customFormat="false" ht="15" hidden="false" customHeight="true" outlineLevel="0" collapsed="false">
      <c r="A154" s="23" t="s">
        <v>555</v>
      </c>
      <c r="B154" s="40" t="n">
        <v>3</v>
      </c>
      <c r="C154" s="36" t="s">
        <v>643</v>
      </c>
      <c r="D154" s="36"/>
      <c r="E154" s="36"/>
      <c r="F154" s="36"/>
      <c r="G154" s="36"/>
      <c r="H154" s="36"/>
    </row>
    <row r="155" customFormat="false" ht="15" hidden="false" customHeight="false" outlineLevel="0" collapsed="false">
      <c r="A155" s="4" t="s">
        <v>240</v>
      </c>
      <c r="B155" s="4" t="s">
        <v>557</v>
      </c>
      <c r="C155" s="4" t="s">
        <v>5</v>
      </c>
      <c r="D155" s="4" t="s">
        <v>558</v>
      </c>
      <c r="E155" s="4" t="s">
        <v>559</v>
      </c>
      <c r="F155" s="4" t="s">
        <v>560</v>
      </c>
      <c r="G155" s="4" t="s">
        <v>561</v>
      </c>
      <c r="H155" s="4" t="s">
        <v>223</v>
      </c>
    </row>
    <row r="156" customFormat="false" ht="15" hidden="false" customHeight="true" outlineLevel="0" collapsed="false">
      <c r="A156" s="23" t="s">
        <v>562</v>
      </c>
      <c r="B156" s="23"/>
      <c r="C156" s="23"/>
      <c r="D156" s="23"/>
      <c r="E156" s="23"/>
      <c r="F156" s="23"/>
      <c r="G156" s="23"/>
      <c r="H156" s="23"/>
    </row>
    <row r="157" customFormat="false" ht="15" hidden="false" customHeight="false" outlineLevel="0" collapsed="false">
      <c r="A157" s="11" t="s">
        <v>563</v>
      </c>
      <c r="B157" s="12" t="s">
        <v>564</v>
      </c>
      <c r="C157" s="11" t="s">
        <v>565</v>
      </c>
      <c r="D157" s="13" t="n">
        <v>1</v>
      </c>
      <c r="E157" s="37" t="n">
        <f aca="false">ROUND(D157*8/$B$153,4)</f>
        <v>0.5</v>
      </c>
      <c r="F157" s="21" t="n">
        <f aca="false">'MANO DE OBRA 2026'!$C$16</f>
        <v>28.95</v>
      </c>
      <c r="G157" s="14" t="n">
        <f aca="false">ROUND(E157*F157,2)</f>
        <v>14.48</v>
      </c>
      <c r="H157" s="15" t="s">
        <v>566</v>
      </c>
    </row>
    <row r="158" customFormat="false" ht="15" hidden="false" customHeight="false" outlineLevel="0" collapsed="false">
      <c r="A158" s="11" t="s">
        <v>567</v>
      </c>
      <c r="B158" s="12" t="s">
        <v>568</v>
      </c>
      <c r="C158" s="11" t="s">
        <v>565</v>
      </c>
      <c r="D158" s="13" t="n">
        <v>0.5</v>
      </c>
      <c r="E158" s="37" t="n">
        <f aca="false">ROUND(D158*8/$B$153,4)</f>
        <v>0.25</v>
      </c>
      <c r="F158" s="21" t="n">
        <f aca="false">'MANO DE OBRA 2026'!$E$16</f>
        <v>20.54</v>
      </c>
      <c r="G158" s="14" t="n">
        <f aca="false">ROUND(E158*F158,2)</f>
        <v>5.14</v>
      </c>
      <c r="H158" s="15" t="s">
        <v>566</v>
      </c>
    </row>
    <row r="159" customFormat="false" ht="15" hidden="false" customHeight="false" outlineLevel="0" collapsed="false">
      <c r="A159" s="22"/>
      <c r="B159" s="23" t="s">
        <v>569</v>
      </c>
      <c r="C159" s="22"/>
      <c r="D159" s="22"/>
      <c r="E159" s="22"/>
      <c r="F159" s="22"/>
      <c r="G159" s="28" t="n">
        <f aca="false">SUM(G157:G158)</f>
        <v>19.62</v>
      </c>
      <c r="H159" s="22"/>
    </row>
    <row r="160" customFormat="false" ht="15" hidden="false" customHeight="true" outlineLevel="0" collapsed="false">
      <c r="A160" s="23" t="s">
        <v>570</v>
      </c>
      <c r="B160" s="23"/>
      <c r="C160" s="23"/>
      <c r="D160" s="23"/>
      <c r="E160" s="23"/>
      <c r="F160" s="23"/>
      <c r="G160" s="23"/>
      <c r="H160" s="23"/>
    </row>
    <row r="161" customFormat="false" ht="15" hidden="false" customHeight="true" outlineLevel="0" collapsed="false">
      <c r="A161" s="11" t="s">
        <v>317</v>
      </c>
      <c r="B161" s="12" t="s">
        <v>318</v>
      </c>
      <c r="C161" s="11" t="s">
        <v>20</v>
      </c>
      <c r="D161" s="12"/>
      <c r="E161" s="38" t="n">
        <v>1</v>
      </c>
      <c r="F161" s="14" t="n">
        <f aca="false">'PRECIOS DE INSUMOS'!$H$20</f>
        <v>8.64</v>
      </c>
      <c r="G161" s="14" t="n">
        <f aca="false">ROUND(E161*F161,2)</f>
        <v>8.64</v>
      </c>
      <c r="H161" s="15" t="s">
        <v>584</v>
      </c>
    </row>
    <row r="162" customFormat="false" ht="15" hidden="false" customHeight="true" outlineLevel="0" collapsed="false">
      <c r="A162" s="11" t="s">
        <v>445</v>
      </c>
      <c r="B162" s="12" t="s">
        <v>446</v>
      </c>
      <c r="C162" s="11" t="s">
        <v>447</v>
      </c>
      <c r="D162" s="12"/>
      <c r="E162" s="38" t="n">
        <v>0.007</v>
      </c>
      <c r="F162" s="14" t="n">
        <f aca="false">'PRECIOS DE INSUMOS'!$H$47</f>
        <v>209.83</v>
      </c>
      <c r="G162" s="14" t="n">
        <f aca="false">ROUND(E162*F162,2)</f>
        <v>1.47</v>
      </c>
      <c r="H162" s="15" t="s">
        <v>644</v>
      </c>
    </row>
    <row r="163" customFormat="false" ht="15" hidden="false" customHeight="true" outlineLevel="0" collapsed="false">
      <c r="A163" s="11" t="s">
        <v>451</v>
      </c>
      <c r="B163" s="12" t="s">
        <v>452</v>
      </c>
      <c r="C163" s="11" t="s">
        <v>20</v>
      </c>
      <c r="D163" s="12"/>
      <c r="E163" s="38" t="n">
        <v>0.125</v>
      </c>
      <c r="F163" s="14" t="n">
        <f aca="false">'PRECIOS DE INSUMOS'!$H$48</f>
        <v>2.46</v>
      </c>
      <c r="G163" s="14" t="n">
        <f aca="false">ROUND(E163*F163,2)</f>
        <v>0.31</v>
      </c>
      <c r="H163" s="15" t="s">
        <v>585</v>
      </c>
    </row>
    <row r="164" customFormat="false" ht="15" hidden="false" customHeight="false" outlineLevel="0" collapsed="false">
      <c r="A164" s="22"/>
      <c r="B164" s="23" t="s">
        <v>573</v>
      </c>
      <c r="C164" s="22"/>
      <c r="D164" s="22"/>
      <c r="E164" s="22"/>
      <c r="F164" s="22"/>
      <c r="G164" s="28" t="n">
        <f aca="false">SUM(G161:G163)</f>
        <v>10.42</v>
      </c>
      <c r="H164" s="22"/>
    </row>
    <row r="165" customFormat="false" ht="15" hidden="false" customHeight="true" outlineLevel="0" collapsed="false">
      <c r="A165" s="23" t="s">
        <v>574</v>
      </c>
      <c r="B165" s="23"/>
      <c r="C165" s="23"/>
      <c r="D165" s="23"/>
      <c r="E165" s="23"/>
      <c r="F165" s="23"/>
      <c r="G165" s="23"/>
      <c r="H165" s="23"/>
    </row>
    <row r="166" customFormat="false" ht="15" hidden="false" customHeight="false" outlineLevel="0" collapsed="false">
      <c r="A166" s="11" t="s">
        <v>575</v>
      </c>
      <c r="B166" s="12" t="s">
        <v>576</v>
      </c>
      <c r="C166" s="11" t="s">
        <v>577</v>
      </c>
      <c r="D166" s="12"/>
      <c r="E166" s="13" t="n">
        <v>3</v>
      </c>
      <c r="F166" s="14" t="n">
        <f aca="false">G159</f>
        <v>19.62</v>
      </c>
      <c r="G166" s="14" t="n">
        <f aca="false">ROUND(E166/100*F166,2)</f>
        <v>0.59</v>
      </c>
      <c r="H166" s="15" t="s">
        <v>578</v>
      </c>
    </row>
    <row r="167" customFormat="false" ht="15" hidden="false" customHeight="false" outlineLevel="0" collapsed="false">
      <c r="A167" s="22"/>
      <c r="B167" s="23" t="s">
        <v>579</v>
      </c>
      <c r="C167" s="22"/>
      <c r="D167" s="22"/>
      <c r="E167" s="22"/>
      <c r="F167" s="22"/>
      <c r="G167" s="28" t="n">
        <f aca="false">SUM(G166:G166)</f>
        <v>0.59</v>
      </c>
      <c r="H167" s="22"/>
    </row>
    <row r="168" customFormat="false" ht="15" hidden="false" customHeight="false" outlineLevel="0" collapsed="false">
      <c r="A168" s="16" t="s">
        <v>586</v>
      </c>
      <c r="B168" s="16"/>
      <c r="C168" s="16"/>
      <c r="D168" s="16"/>
      <c r="E168" s="16"/>
      <c r="F168" s="16"/>
      <c r="G168" s="17" t="n">
        <f aca="false">G159+G164+G167</f>
        <v>30.63</v>
      </c>
      <c r="H168" s="18"/>
    </row>
    <row r="171" customFormat="false" ht="30" hidden="false" customHeight="true" outlineLevel="0" collapsed="false">
      <c r="A171" s="6" t="s">
        <v>667</v>
      </c>
      <c r="B171" s="6"/>
      <c r="C171" s="6"/>
      <c r="D171" s="6"/>
      <c r="E171" s="6"/>
      <c r="F171" s="6"/>
      <c r="G171" s="6"/>
      <c r="H171" s="6"/>
    </row>
    <row r="172" customFormat="false" ht="25.5" hidden="false" customHeight="true" outlineLevel="0" collapsed="false">
      <c r="A172" s="23" t="s">
        <v>551</v>
      </c>
      <c r="B172" s="39" t="n">
        <v>16</v>
      </c>
      <c r="C172" s="20" t="s">
        <v>552</v>
      </c>
      <c r="D172" s="33" t="n">
        <f aca="false">SUM(E176:E177)</f>
        <v>0.75</v>
      </c>
      <c r="E172" s="20" t="s">
        <v>553</v>
      </c>
      <c r="F172" s="33" t="n">
        <f aca="false">SUMIF(C184:C184,"hm",E184:E184)</f>
        <v>0</v>
      </c>
      <c r="G172" s="20" t="s">
        <v>582</v>
      </c>
      <c r="H172" s="34" t="n">
        <f aca="false">G186</f>
        <v>37.63</v>
      </c>
    </row>
    <row r="173" customFormat="false" ht="15" hidden="false" customHeight="true" outlineLevel="0" collapsed="false">
      <c r="A173" s="23" t="s">
        <v>555</v>
      </c>
      <c r="B173" s="40" t="n">
        <v>13</v>
      </c>
      <c r="C173" s="36" t="s">
        <v>625</v>
      </c>
      <c r="D173" s="36"/>
      <c r="E173" s="36"/>
      <c r="F173" s="36"/>
      <c r="G173" s="36"/>
      <c r="H173" s="36"/>
    </row>
    <row r="174" customFormat="false" ht="15" hidden="false" customHeight="false" outlineLevel="0" collapsed="false">
      <c r="A174" s="4" t="s">
        <v>240</v>
      </c>
      <c r="B174" s="4" t="s">
        <v>557</v>
      </c>
      <c r="C174" s="4" t="s">
        <v>5</v>
      </c>
      <c r="D174" s="4" t="s">
        <v>558</v>
      </c>
      <c r="E174" s="4" t="s">
        <v>559</v>
      </c>
      <c r="F174" s="4" t="s">
        <v>560</v>
      </c>
      <c r="G174" s="4" t="s">
        <v>561</v>
      </c>
      <c r="H174" s="4" t="s">
        <v>223</v>
      </c>
    </row>
    <row r="175" customFormat="false" ht="15" hidden="false" customHeight="true" outlineLevel="0" collapsed="false">
      <c r="A175" s="23" t="s">
        <v>562</v>
      </c>
      <c r="B175" s="23"/>
      <c r="C175" s="23"/>
      <c r="D175" s="23"/>
      <c r="E175" s="23"/>
      <c r="F175" s="23"/>
      <c r="G175" s="23"/>
      <c r="H175" s="23"/>
    </row>
    <row r="176" customFormat="false" ht="15" hidden="false" customHeight="false" outlineLevel="0" collapsed="false">
      <c r="A176" s="11" t="s">
        <v>563</v>
      </c>
      <c r="B176" s="12" t="s">
        <v>564</v>
      </c>
      <c r="C176" s="11" t="s">
        <v>565</v>
      </c>
      <c r="D176" s="13" t="n">
        <v>1</v>
      </c>
      <c r="E176" s="37" t="n">
        <f aca="false">ROUND(D176*8/$B$172,4)</f>
        <v>0.5</v>
      </c>
      <c r="F176" s="21" t="n">
        <f aca="false">'MANO DE OBRA 2026'!$C$16</f>
        <v>28.95</v>
      </c>
      <c r="G176" s="14" t="n">
        <f aca="false">ROUND(E176*F176,2)</f>
        <v>14.48</v>
      </c>
      <c r="H176" s="15" t="s">
        <v>566</v>
      </c>
    </row>
    <row r="177" customFormat="false" ht="15" hidden="false" customHeight="false" outlineLevel="0" collapsed="false">
      <c r="A177" s="11" t="s">
        <v>567</v>
      </c>
      <c r="B177" s="12" t="s">
        <v>568</v>
      </c>
      <c r="C177" s="11" t="s">
        <v>565</v>
      </c>
      <c r="D177" s="13" t="n">
        <v>0.5</v>
      </c>
      <c r="E177" s="37" t="n">
        <f aca="false">ROUND(D177*8/$B$172,4)</f>
        <v>0.25</v>
      </c>
      <c r="F177" s="21" t="n">
        <f aca="false">'MANO DE OBRA 2026'!$E$16</f>
        <v>20.54</v>
      </c>
      <c r="G177" s="14" t="n">
        <f aca="false">ROUND(E177*F177,2)</f>
        <v>5.14</v>
      </c>
      <c r="H177" s="15" t="s">
        <v>566</v>
      </c>
    </row>
    <row r="178" customFormat="false" ht="15" hidden="false" customHeight="false" outlineLevel="0" collapsed="false">
      <c r="A178" s="22"/>
      <c r="B178" s="23" t="s">
        <v>569</v>
      </c>
      <c r="C178" s="22"/>
      <c r="D178" s="22"/>
      <c r="E178" s="22"/>
      <c r="F178" s="22"/>
      <c r="G178" s="28" t="n">
        <f aca="false">SUM(G176:G177)</f>
        <v>19.62</v>
      </c>
      <c r="H178" s="22"/>
    </row>
    <row r="179" customFormat="false" ht="15" hidden="false" customHeight="true" outlineLevel="0" collapsed="false">
      <c r="A179" s="23" t="s">
        <v>570</v>
      </c>
      <c r="B179" s="23"/>
      <c r="C179" s="23"/>
      <c r="D179" s="23"/>
      <c r="E179" s="23"/>
      <c r="F179" s="23"/>
      <c r="G179" s="23"/>
      <c r="H179" s="23"/>
    </row>
    <row r="180" customFormat="false" ht="15" hidden="false" customHeight="true" outlineLevel="0" collapsed="false">
      <c r="A180" s="11" t="s">
        <v>417</v>
      </c>
      <c r="B180" s="12" t="s">
        <v>418</v>
      </c>
      <c r="C180" s="11" t="s">
        <v>20</v>
      </c>
      <c r="D180" s="12"/>
      <c r="E180" s="38" t="n">
        <v>1</v>
      </c>
      <c r="F180" s="14" t="n">
        <f aca="false">'PRECIOS DE INSUMOS'!$H$42</f>
        <v>1.36</v>
      </c>
      <c r="G180" s="14" t="n">
        <f aca="false">ROUND(E180*F180,2)</f>
        <v>1.36</v>
      </c>
      <c r="H180" s="15" t="s">
        <v>584</v>
      </c>
    </row>
    <row r="181" customFormat="false" ht="15" hidden="false" customHeight="true" outlineLevel="0" collapsed="false">
      <c r="A181" s="11" t="s">
        <v>421</v>
      </c>
      <c r="B181" s="12" t="s">
        <v>422</v>
      </c>
      <c r="C181" s="11" t="s">
        <v>20</v>
      </c>
      <c r="D181" s="12"/>
      <c r="E181" s="38" t="n">
        <v>2</v>
      </c>
      <c r="F181" s="14" t="n">
        <f aca="false">'PRECIOS DE INSUMOS'!$H$43</f>
        <v>8.03</v>
      </c>
      <c r="G181" s="14" t="n">
        <f aca="false">ROUND(E181*F181,2)</f>
        <v>16.06</v>
      </c>
      <c r="H181" s="15" t="s">
        <v>626</v>
      </c>
    </row>
    <row r="182" customFormat="false" ht="15" hidden="false" customHeight="false" outlineLevel="0" collapsed="false">
      <c r="A182" s="22"/>
      <c r="B182" s="23" t="s">
        <v>573</v>
      </c>
      <c r="C182" s="22"/>
      <c r="D182" s="22"/>
      <c r="E182" s="22"/>
      <c r="F182" s="22"/>
      <c r="G182" s="28" t="n">
        <f aca="false">SUM(G180:G181)</f>
        <v>17.42</v>
      </c>
      <c r="H182" s="22"/>
    </row>
    <row r="183" customFormat="false" ht="15" hidden="false" customHeight="true" outlineLevel="0" collapsed="false">
      <c r="A183" s="23" t="s">
        <v>574</v>
      </c>
      <c r="B183" s="23"/>
      <c r="C183" s="23"/>
      <c r="D183" s="23"/>
      <c r="E183" s="23"/>
      <c r="F183" s="23"/>
      <c r="G183" s="23"/>
      <c r="H183" s="23"/>
    </row>
    <row r="184" customFormat="false" ht="15" hidden="false" customHeight="false" outlineLevel="0" collapsed="false">
      <c r="A184" s="11" t="s">
        <v>575</v>
      </c>
      <c r="B184" s="12" t="s">
        <v>576</v>
      </c>
      <c r="C184" s="11" t="s">
        <v>577</v>
      </c>
      <c r="D184" s="12"/>
      <c r="E184" s="13" t="n">
        <v>3</v>
      </c>
      <c r="F184" s="14" t="n">
        <f aca="false">G178</f>
        <v>19.62</v>
      </c>
      <c r="G184" s="14" t="n">
        <f aca="false">ROUND(E184/100*F184,2)</f>
        <v>0.59</v>
      </c>
      <c r="H184" s="15" t="s">
        <v>578</v>
      </c>
    </row>
    <row r="185" customFormat="false" ht="15" hidden="false" customHeight="false" outlineLevel="0" collapsed="false">
      <c r="A185" s="22"/>
      <c r="B185" s="23" t="s">
        <v>579</v>
      </c>
      <c r="C185" s="22"/>
      <c r="D185" s="22"/>
      <c r="E185" s="22"/>
      <c r="F185" s="22"/>
      <c r="G185" s="28" t="n">
        <f aca="false">SUM(G184:G184)</f>
        <v>0.59</v>
      </c>
      <c r="H185" s="22"/>
    </row>
    <row r="186" customFormat="false" ht="15" hidden="false" customHeight="false" outlineLevel="0" collapsed="false">
      <c r="A186" s="16" t="s">
        <v>586</v>
      </c>
      <c r="B186" s="16"/>
      <c r="C186" s="16"/>
      <c r="D186" s="16"/>
      <c r="E186" s="16"/>
      <c r="F186" s="16"/>
      <c r="G186" s="17" t="n">
        <f aca="false">G178+G182+G185</f>
        <v>37.63</v>
      </c>
      <c r="H186" s="18"/>
    </row>
    <row r="189" customFormat="false" ht="30" hidden="false" customHeight="true" outlineLevel="0" collapsed="false">
      <c r="A189" s="6" t="s">
        <v>668</v>
      </c>
      <c r="B189" s="6"/>
      <c r="C189" s="6"/>
      <c r="D189" s="6"/>
      <c r="E189" s="6"/>
      <c r="F189" s="6"/>
      <c r="G189" s="6"/>
      <c r="H189" s="6"/>
    </row>
    <row r="190" customFormat="false" ht="25.5" hidden="false" customHeight="true" outlineLevel="0" collapsed="false">
      <c r="A190" s="23" t="s">
        <v>551</v>
      </c>
      <c r="B190" s="39" t="n">
        <v>10</v>
      </c>
      <c r="C190" s="20" t="s">
        <v>552</v>
      </c>
      <c r="D190" s="33" t="n">
        <f aca="false">SUM(E194:E195)</f>
        <v>1.2</v>
      </c>
      <c r="E190" s="20" t="s">
        <v>553</v>
      </c>
      <c r="F190" s="33" t="n">
        <f aca="false">SUMIF(C202:C202,"hm",E202:E202)</f>
        <v>0</v>
      </c>
      <c r="G190" s="20" t="s">
        <v>582</v>
      </c>
      <c r="H190" s="34" t="n">
        <f aca="false">G204</f>
        <v>39.04</v>
      </c>
    </row>
    <row r="191" customFormat="false" ht="15" hidden="false" customHeight="true" outlineLevel="0" collapsed="false">
      <c r="A191" s="23" t="s">
        <v>555</v>
      </c>
      <c r="B191" s="40" t="n">
        <v>1</v>
      </c>
      <c r="C191" s="36" t="s">
        <v>669</v>
      </c>
      <c r="D191" s="36"/>
      <c r="E191" s="36"/>
      <c r="F191" s="36"/>
      <c r="G191" s="36"/>
      <c r="H191" s="36"/>
    </row>
    <row r="192" customFormat="false" ht="15" hidden="false" customHeight="false" outlineLevel="0" collapsed="false">
      <c r="A192" s="4" t="s">
        <v>240</v>
      </c>
      <c r="B192" s="4" t="s">
        <v>557</v>
      </c>
      <c r="C192" s="4" t="s">
        <v>5</v>
      </c>
      <c r="D192" s="4" t="s">
        <v>558</v>
      </c>
      <c r="E192" s="4" t="s">
        <v>559</v>
      </c>
      <c r="F192" s="4" t="s">
        <v>560</v>
      </c>
      <c r="G192" s="4" t="s">
        <v>561</v>
      </c>
      <c r="H192" s="4" t="s">
        <v>223</v>
      </c>
    </row>
    <row r="193" customFormat="false" ht="15" hidden="false" customHeight="true" outlineLevel="0" collapsed="false">
      <c r="A193" s="23" t="s">
        <v>562</v>
      </c>
      <c r="B193" s="23"/>
      <c r="C193" s="23"/>
      <c r="D193" s="23"/>
      <c r="E193" s="23"/>
      <c r="F193" s="23"/>
      <c r="G193" s="23"/>
      <c r="H193" s="23"/>
    </row>
    <row r="194" customFormat="false" ht="15" hidden="false" customHeight="false" outlineLevel="0" collapsed="false">
      <c r="A194" s="11" t="s">
        <v>563</v>
      </c>
      <c r="B194" s="12" t="s">
        <v>564</v>
      </c>
      <c r="C194" s="11" t="s">
        <v>565</v>
      </c>
      <c r="D194" s="13" t="n">
        <v>1</v>
      </c>
      <c r="E194" s="37" t="n">
        <f aca="false">ROUND(D194*8/$B$190,4)</f>
        <v>0.8</v>
      </c>
      <c r="F194" s="21" t="n">
        <f aca="false">'MANO DE OBRA 2026'!$C$16</f>
        <v>28.95</v>
      </c>
      <c r="G194" s="14" t="n">
        <f aca="false">ROUND(E194*F194,2)</f>
        <v>23.16</v>
      </c>
      <c r="H194" s="15" t="s">
        <v>566</v>
      </c>
    </row>
    <row r="195" customFormat="false" ht="15" hidden="false" customHeight="false" outlineLevel="0" collapsed="false">
      <c r="A195" s="11" t="s">
        <v>567</v>
      </c>
      <c r="B195" s="12" t="s">
        <v>568</v>
      </c>
      <c r="C195" s="11" t="s">
        <v>565</v>
      </c>
      <c r="D195" s="13" t="n">
        <v>0.5</v>
      </c>
      <c r="E195" s="37" t="n">
        <f aca="false">ROUND(D195*8/$B$190,4)</f>
        <v>0.4</v>
      </c>
      <c r="F195" s="21" t="n">
        <f aca="false">'MANO DE OBRA 2026'!$E$16</f>
        <v>20.54</v>
      </c>
      <c r="G195" s="14" t="n">
        <f aca="false">ROUND(E195*F195,2)</f>
        <v>8.22</v>
      </c>
      <c r="H195" s="15" t="s">
        <v>566</v>
      </c>
    </row>
    <row r="196" customFormat="false" ht="15" hidden="false" customHeight="false" outlineLevel="0" collapsed="false">
      <c r="A196" s="22"/>
      <c r="B196" s="23" t="s">
        <v>569</v>
      </c>
      <c r="C196" s="22"/>
      <c r="D196" s="22"/>
      <c r="E196" s="22"/>
      <c r="F196" s="22"/>
      <c r="G196" s="28" t="n">
        <f aca="false">SUM(G194:G195)</f>
        <v>31.38</v>
      </c>
      <c r="H196" s="22"/>
    </row>
    <row r="197" customFormat="false" ht="15" hidden="false" customHeight="true" outlineLevel="0" collapsed="false">
      <c r="A197" s="23" t="s">
        <v>570</v>
      </c>
      <c r="B197" s="23"/>
      <c r="C197" s="23"/>
      <c r="D197" s="23"/>
      <c r="E197" s="23"/>
      <c r="F197" s="23"/>
      <c r="G197" s="23"/>
      <c r="H197" s="23"/>
    </row>
    <row r="198" customFormat="false" ht="15" hidden="false" customHeight="true" outlineLevel="0" collapsed="false">
      <c r="A198" s="11" t="s">
        <v>435</v>
      </c>
      <c r="B198" s="12" t="s">
        <v>436</v>
      </c>
      <c r="C198" s="11" t="s">
        <v>20</v>
      </c>
      <c r="D198" s="12"/>
      <c r="E198" s="38" t="n">
        <v>1</v>
      </c>
      <c r="F198" s="14" t="n">
        <f aca="false">'PRECIOS DE INSUMOS'!$H$45</f>
        <v>5.25</v>
      </c>
      <c r="G198" s="14" t="n">
        <f aca="false">ROUND(E198*F198,2)</f>
        <v>5.25</v>
      </c>
      <c r="H198" s="15" t="s">
        <v>584</v>
      </c>
    </row>
    <row r="199" customFormat="false" ht="15" hidden="false" customHeight="true" outlineLevel="0" collapsed="false">
      <c r="A199" s="11" t="s">
        <v>445</v>
      </c>
      <c r="B199" s="12" t="s">
        <v>446</v>
      </c>
      <c r="C199" s="11" t="s">
        <v>447</v>
      </c>
      <c r="D199" s="12"/>
      <c r="E199" s="38" t="n">
        <v>0.007</v>
      </c>
      <c r="F199" s="14" t="n">
        <f aca="false">'PRECIOS DE INSUMOS'!$H$47</f>
        <v>209.83</v>
      </c>
      <c r="G199" s="14" t="n">
        <f aca="false">ROUND(E199*F199,2)</f>
        <v>1.47</v>
      </c>
      <c r="H199" s="15" t="s">
        <v>644</v>
      </c>
    </row>
    <row r="200" customFormat="false" ht="15" hidden="false" customHeight="false" outlineLevel="0" collapsed="false">
      <c r="A200" s="22"/>
      <c r="B200" s="23" t="s">
        <v>573</v>
      </c>
      <c r="C200" s="22"/>
      <c r="D200" s="22"/>
      <c r="E200" s="22"/>
      <c r="F200" s="22"/>
      <c r="G200" s="28" t="n">
        <f aca="false">SUM(G198:G199)</f>
        <v>6.72</v>
      </c>
      <c r="H200" s="22"/>
    </row>
    <row r="201" customFormat="false" ht="15" hidden="false" customHeight="true" outlineLevel="0" collapsed="false">
      <c r="A201" s="23" t="s">
        <v>574</v>
      </c>
      <c r="B201" s="23"/>
      <c r="C201" s="23"/>
      <c r="D201" s="23"/>
      <c r="E201" s="23"/>
      <c r="F201" s="23"/>
      <c r="G201" s="23"/>
      <c r="H201" s="23"/>
    </row>
    <row r="202" customFormat="false" ht="15" hidden="false" customHeight="false" outlineLevel="0" collapsed="false">
      <c r="A202" s="11" t="s">
        <v>575</v>
      </c>
      <c r="B202" s="12" t="s">
        <v>576</v>
      </c>
      <c r="C202" s="11" t="s">
        <v>577</v>
      </c>
      <c r="D202" s="12"/>
      <c r="E202" s="13" t="n">
        <v>3</v>
      </c>
      <c r="F202" s="14" t="n">
        <f aca="false">G196</f>
        <v>31.38</v>
      </c>
      <c r="G202" s="14" t="n">
        <f aca="false">ROUND(E202/100*F202,2)</f>
        <v>0.94</v>
      </c>
      <c r="H202" s="15" t="s">
        <v>578</v>
      </c>
    </row>
    <row r="203" customFormat="false" ht="15" hidden="false" customHeight="false" outlineLevel="0" collapsed="false">
      <c r="A203" s="22"/>
      <c r="B203" s="23" t="s">
        <v>579</v>
      </c>
      <c r="C203" s="22"/>
      <c r="D203" s="22"/>
      <c r="E203" s="22"/>
      <c r="F203" s="22"/>
      <c r="G203" s="28" t="n">
        <f aca="false">SUM(G202:G202)</f>
        <v>0.94</v>
      </c>
      <c r="H203" s="22"/>
    </row>
    <row r="204" customFormat="false" ht="15" hidden="false" customHeight="false" outlineLevel="0" collapsed="false">
      <c r="A204" s="16" t="s">
        <v>586</v>
      </c>
      <c r="B204" s="16"/>
      <c r="C204" s="16"/>
      <c r="D204" s="16"/>
      <c r="E204" s="16"/>
      <c r="F204" s="16"/>
      <c r="G204" s="17" t="n">
        <f aca="false">G196+G200+G203</f>
        <v>39.04</v>
      </c>
      <c r="H204" s="18"/>
    </row>
    <row r="207" customFormat="false" ht="30" hidden="false" customHeight="true" outlineLevel="0" collapsed="false">
      <c r="A207" s="6" t="s">
        <v>670</v>
      </c>
      <c r="B207" s="6"/>
      <c r="C207" s="6"/>
      <c r="D207" s="6"/>
      <c r="E207" s="6"/>
      <c r="F207" s="6"/>
      <c r="G207" s="6"/>
      <c r="H207" s="6"/>
    </row>
    <row r="208" customFormat="false" ht="25.5" hidden="false" customHeight="true" outlineLevel="0" collapsed="false">
      <c r="A208" s="23" t="s">
        <v>551</v>
      </c>
      <c r="B208" s="39" t="n">
        <v>16</v>
      </c>
      <c r="C208" s="20" t="s">
        <v>552</v>
      </c>
      <c r="D208" s="33" t="n">
        <f aca="false">SUM(E212:E213)</f>
        <v>0.75</v>
      </c>
      <c r="E208" s="20" t="s">
        <v>553</v>
      </c>
      <c r="F208" s="33" t="n">
        <f aca="false">SUMIF(C220:C220,"hm",E220:E220)</f>
        <v>0</v>
      </c>
      <c r="G208" s="20" t="s">
        <v>582</v>
      </c>
      <c r="H208" s="34" t="n">
        <f aca="false">G222</f>
        <v>44.03</v>
      </c>
    </row>
    <row r="209" customFormat="false" ht="15" hidden="false" customHeight="true" outlineLevel="0" collapsed="false">
      <c r="A209" s="23" t="s">
        <v>555</v>
      </c>
      <c r="B209" s="40" t="n">
        <v>1</v>
      </c>
      <c r="C209" s="36" t="s">
        <v>643</v>
      </c>
      <c r="D209" s="36"/>
      <c r="E209" s="36"/>
      <c r="F209" s="36"/>
      <c r="G209" s="36"/>
      <c r="H209" s="36"/>
    </row>
    <row r="210" customFormat="false" ht="15" hidden="false" customHeight="false" outlineLevel="0" collapsed="false">
      <c r="A210" s="4" t="s">
        <v>240</v>
      </c>
      <c r="B210" s="4" t="s">
        <v>557</v>
      </c>
      <c r="C210" s="4" t="s">
        <v>5</v>
      </c>
      <c r="D210" s="4" t="s">
        <v>558</v>
      </c>
      <c r="E210" s="4" t="s">
        <v>559</v>
      </c>
      <c r="F210" s="4" t="s">
        <v>560</v>
      </c>
      <c r="G210" s="4" t="s">
        <v>561</v>
      </c>
      <c r="H210" s="4" t="s">
        <v>223</v>
      </c>
    </row>
    <row r="211" customFormat="false" ht="15" hidden="false" customHeight="true" outlineLevel="0" collapsed="false">
      <c r="A211" s="23" t="s">
        <v>562</v>
      </c>
      <c r="B211" s="23"/>
      <c r="C211" s="23"/>
      <c r="D211" s="23"/>
      <c r="E211" s="23"/>
      <c r="F211" s="23"/>
      <c r="G211" s="23"/>
      <c r="H211" s="23"/>
    </row>
    <row r="212" customFormat="false" ht="15" hidden="false" customHeight="false" outlineLevel="0" collapsed="false">
      <c r="A212" s="11" t="s">
        <v>563</v>
      </c>
      <c r="B212" s="12" t="s">
        <v>564</v>
      </c>
      <c r="C212" s="11" t="s">
        <v>565</v>
      </c>
      <c r="D212" s="13" t="n">
        <v>1</v>
      </c>
      <c r="E212" s="37" t="n">
        <f aca="false">ROUND(D212*8/$B$208,4)</f>
        <v>0.5</v>
      </c>
      <c r="F212" s="21" t="n">
        <f aca="false">'MANO DE OBRA 2026'!$C$16</f>
        <v>28.95</v>
      </c>
      <c r="G212" s="14" t="n">
        <f aca="false">ROUND(E212*F212,2)</f>
        <v>14.48</v>
      </c>
      <c r="H212" s="15" t="s">
        <v>566</v>
      </c>
    </row>
    <row r="213" customFormat="false" ht="15" hidden="false" customHeight="false" outlineLevel="0" collapsed="false">
      <c r="A213" s="11" t="s">
        <v>567</v>
      </c>
      <c r="B213" s="12" t="s">
        <v>568</v>
      </c>
      <c r="C213" s="11" t="s">
        <v>565</v>
      </c>
      <c r="D213" s="13" t="n">
        <v>0.5</v>
      </c>
      <c r="E213" s="37" t="n">
        <f aca="false">ROUND(D213*8/$B$208,4)</f>
        <v>0.25</v>
      </c>
      <c r="F213" s="21" t="n">
        <f aca="false">'MANO DE OBRA 2026'!$E$16</f>
        <v>20.54</v>
      </c>
      <c r="G213" s="14" t="n">
        <f aca="false">ROUND(E213*F213,2)</f>
        <v>5.14</v>
      </c>
      <c r="H213" s="15" t="s">
        <v>566</v>
      </c>
    </row>
    <row r="214" customFormat="false" ht="15" hidden="false" customHeight="false" outlineLevel="0" collapsed="false">
      <c r="A214" s="22"/>
      <c r="B214" s="23" t="s">
        <v>569</v>
      </c>
      <c r="C214" s="22"/>
      <c r="D214" s="22"/>
      <c r="E214" s="22"/>
      <c r="F214" s="22"/>
      <c r="G214" s="28" t="n">
        <f aca="false">SUM(G212:G213)</f>
        <v>19.62</v>
      </c>
      <c r="H214" s="22"/>
    </row>
    <row r="215" customFormat="false" ht="15" hidden="false" customHeight="true" outlineLevel="0" collapsed="false">
      <c r="A215" s="23" t="s">
        <v>570</v>
      </c>
      <c r="B215" s="23"/>
      <c r="C215" s="23"/>
      <c r="D215" s="23"/>
      <c r="E215" s="23"/>
      <c r="F215" s="23"/>
      <c r="G215" s="23"/>
      <c r="H215" s="23"/>
    </row>
    <row r="216" customFormat="false" ht="15" hidden="false" customHeight="true" outlineLevel="0" collapsed="false">
      <c r="A216" s="11" t="s">
        <v>294</v>
      </c>
      <c r="B216" s="12" t="s">
        <v>295</v>
      </c>
      <c r="C216" s="11" t="s">
        <v>20</v>
      </c>
      <c r="D216" s="12"/>
      <c r="E216" s="38" t="n">
        <v>1</v>
      </c>
      <c r="F216" s="14" t="n">
        <f aca="false">'PRECIOS DE INSUMOS'!$H$15</f>
        <v>19.41</v>
      </c>
      <c r="G216" s="14" t="n">
        <f aca="false">ROUND(E216*F216,2)</f>
        <v>19.41</v>
      </c>
      <c r="H216" s="15" t="s">
        <v>584</v>
      </c>
    </row>
    <row r="217" customFormat="false" ht="15" hidden="false" customHeight="true" outlineLevel="0" collapsed="false">
      <c r="A217" s="11" t="s">
        <v>445</v>
      </c>
      <c r="B217" s="12" t="s">
        <v>446</v>
      </c>
      <c r="C217" s="11" t="s">
        <v>447</v>
      </c>
      <c r="D217" s="12"/>
      <c r="E217" s="38" t="n">
        <v>0.021</v>
      </c>
      <c r="F217" s="14" t="n">
        <f aca="false">'PRECIOS DE INSUMOS'!$H$47</f>
        <v>209.83</v>
      </c>
      <c r="G217" s="14" t="n">
        <f aca="false">ROUND(E217*F217,2)</f>
        <v>4.41</v>
      </c>
      <c r="H217" s="15" t="s">
        <v>654</v>
      </c>
    </row>
    <row r="218" customFormat="false" ht="15" hidden="false" customHeight="false" outlineLevel="0" collapsed="false">
      <c r="A218" s="22"/>
      <c r="B218" s="23" t="s">
        <v>573</v>
      </c>
      <c r="C218" s="22"/>
      <c r="D218" s="22"/>
      <c r="E218" s="22"/>
      <c r="F218" s="22"/>
      <c r="G218" s="28" t="n">
        <f aca="false">SUM(G216:G217)</f>
        <v>23.82</v>
      </c>
      <c r="H218" s="22"/>
    </row>
    <row r="219" customFormat="false" ht="15" hidden="false" customHeight="true" outlineLevel="0" collapsed="false">
      <c r="A219" s="23" t="s">
        <v>574</v>
      </c>
      <c r="B219" s="23"/>
      <c r="C219" s="23"/>
      <c r="D219" s="23"/>
      <c r="E219" s="23"/>
      <c r="F219" s="23"/>
      <c r="G219" s="23"/>
      <c r="H219" s="23"/>
    </row>
    <row r="220" customFormat="false" ht="15" hidden="false" customHeight="false" outlineLevel="0" collapsed="false">
      <c r="A220" s="11" t="s">
        <v>575</v>
      </c>
      <c r="B220" s="12" t="s">
        <v>576</v>
      </c>
      <c r="C220" s="11" t="s">
        <v>577</v>
      </c>
      <c r="D220" s="12"/>
      <c r="E220" s="13" t="n">
        <v>3</v>
      </c>
      <c r="F220" s="14" t="n">
        <f aca="false">G214</f>
        <v>19.62</v>
      </c>
      <c r="G220" s="14" t="n">
        <f aca="false">ROUND(E220/100*F220,2)</f>
        <v>0.59</v>
      </c>
      <c r="H220" s="15" t="s">
        <v>578</v>
      </c>
    </row>
    <row r="221" customFormat="false" ht="15" hidden="false" customHeight="false" outlineLevel="0" collapsed="false">
      <c r="A221" s="22"/>
      <c r="B221" s="23" t="s">
        <v>579</v>
      </c>
      <c r="C221" s="22"/>
      <c r="D221" s="22"/>
      <c r="E221" s="22"/>
      <c r="F221" s="22"/>
      <c r="G221" s="28" t="n">
        <f aca="false">SUM(G220:G220)</f>
        <v>0.59</v>
      </c>
      <c r="H221" s="22"/>
    </row>
    <row r="222" customFormat="false" ht="15" hidden="false" customHeight="false" outlineLevel="0" collapsed="false">
      <c r="A222" s="16" t="s">
        <v>586</v>
      </c>
      <c r="B222" s="16"/>
      <c r="C222" s="16"/>
      <c r="D222" s="16"/>
      <c r="E222" s="16"/>
      <c r="F222" s="16"/>
      <c r="G222" s="17" t="n">
        <f aca="false">G214+G218+G221</f>
        <v>44.03</v>
      </c>
      <c r="H222" s="18"/>
    </row>
    <row r="225" customFormat="false" ht="30" hidden="false" customHeight="true" outlineLevel="0" collapsed="false">
      <c r="A225" s="6" t="s">
        <v>671</v>
      </c>
      <c r="B225" s="6"/>
      <c r="C225" s="6"/>
      <c r="D225" s="6"/>
      <c r="E225" s="6"/>
      <c r="F225" s="6"/>
      <c r="G225" s="6"/>
      <c r="H225" s="6"/>
    </row>
    <row r="226" customFormat="false" ht="25.5" hidden="false" customHeight="true" outlineLevel="0" collapsed="false">
      <c r="A226" s="23" t="s">
        <v>551</v>
      </c>
      <c r="B226" s="39" t="n">
        <v>16</v>
      </c>
      <c r="C226" s="20" t="s">
        <v>552</v>
      </c>
      <c r="D226" s="33" t="n">
        <f aca="false">SUM(E230:E231)</f>
        <v>0.75</v>
      </c>
      <c r="E226" s="20" t="s">
        <v>553</v>
      </c>
      <c r="F226" s="33" t="n">
        <f aca="false">SUMIF(C239:C239,"hm",E239:E239)</f>
        <v>0</v>
      </c>
      <c r="G226" s="20" t="s">
        <v>582</v>
      </c>
      <c r="H226" s="34" t="n">
        <f aca="false">G241</f>
        <v>31.23</v>
      </c>
    </row>
    <row r="227" customFormat="false" ht="15" hidden="false" customHeight="true" outlineLevel="0" collapsed="false">
      <c r="A227" s="23" t="s">
        <v>555</v>
      </c>
      <c r="B227" s="40" t="n">
        <v>2</v>
      </c>
      <c r="C227" s="36" t="s">
        <v>643</v>
      </c>
      <c r="D227" s="36"/>
      <c r="E227" s="36"/>
      <c r="F227" s="36"/>
      <c r="G227" s="36"/>
      <c r="H227" s="36"/>
    </row>
    <row r="228" customFormat="false" ht="15" hidden="false" customHeight="false" outlineLevel="0" collapsed="false">
      <c r="A228" s="4" t="s">
        <v>240</v>
      </c>
      <c r="B228" s="4" t="s">
        <v>557</v>
      </c>
      <c r="C228" s="4" t="s">
        <v>5</v>
      </c>
      <c r="D228" s="4" t="s">
        <v>558</v>
      </c>
      <c r="E228" s="4" t="s">
        <v>559</v>
      </c>
      <c r="F228" s="4" t="s">
        <v>560</v>
      </c>
      <c r="G228" s="4" t="s">
        <v>561</v>
      </c>
      <c r="H228" s="4" t="s">
        <v>223</v>
      </c>
    </row>
    <row r="229" customFormat="false" ht="15" hidden="false" customHeight="true" outlineLevel="0" collapsed="false">
      <c r="A229" s="23" t="s">
        <v>562</v>
      </c>
      <c r="B229" s="23"/>
      <c r="C229" s="23"/>
      <c r="D229" s="23"/>
      <c r="E229" s="23"/>
      <c r="F229" s="23"/>
      <c r="G229" s="23"/>
      <c r="H229" s="23"/>
    </row>
    <row r="230" customFormat="false" ht="15" hidden="false" customHeight="false" outlineLevel="0" collapsed="false">
      <c r="A230" s="11" t="s">
        <v>563</v>
      </c>
      <c r="B230" s="12" t="s">
        <v>564</v>
      </c>
      <c r="C230" s="11" t="s">
        <v>565</v>
      </c>
      <c r="D230" s="13" t="n">
        <v>1</v>
      </c>
      <c r="E230" s="37" t="n">
        <f aca="false">ROUND(D230*8/$B$226,4)</f>
        <v>0.5</v>
      </c>
      <c r="F230" s="21" t="n">
        <f aca="false">'MANO DE OBRA 2026'!$C$16</f>
        <v>28.95</v>
      </c>
      <c r="G230" s="14" t="n">
        <f aca="false">ROUND(E230*F230,2)</f>
        <v>14.48</v>
      </c>
      <c r="H230" s="15" t="s">
        <v>566</v>
      </c>
    </row>
    <row r="231" customFormat="false" ht="15" hidden="false" customHeight="false" outlineLevel="0" collapsed="false">
      <c r="A231" s="11" t="s">
        <v>567</v>
      </c>
      <c r="B231" s="12" t="s">
        <v>568</v>
      </c>
      <c r="C231" s="11" t="s">
        <v>565</v>
      </c>
      <c r="D231" s="13" t="n">
        <v>0.5</v>
      </c>
      <c r="E231" s="37" t="n">
        <f aca="false">ROUND(D231*8/$B$226,4)</f>
        <v>0.25</v>
      </c>
      <c r="F231" s="21" t="n">
        <f aca="false">'MANO DE OBRA 2026'!$E$16</f>
        <v>20.54</v>
      </c>
      <c r="G231" s="14" t="n">
        <f aca="false">ROUND(E231*F231,2)</f>
        <v>5.14</v>
      </c>
      <c r="H231" s="15" t="s">
        <v>566</v>
      </c>
    </row>
    <row r="232" customFormat="false" ht="15" hidden="false" customHeight="false" outlineLevel="0" collapsed="false">
      <c r="A232" s="22"/>
      <c r="B232" s="23" t="s">
        <v>569</v>
      </c>
      <c r="C232" s="22"/>
      <c r="D232" s="22"/>
      <c r="E232" s="22"/>
      <c r="F232" s="22"/>
      <c r="G232" s="28" t="n">
        <f aca="false">SUM(G230:G231)</f>
        <v>19.62</v>
      </c>
      <c r="H232" s="22"/>
    </row>
    <row r="233" customFormat="false" ht="15" hidden="false" customHeight="true" outlineLevel="0" collapsed="false">
      <c r="A233" s="23" t="s">
        <v>570</v>
      </c>
      <c r="B233" s="23"/>
      <c r="C233" s="23"/>
      <c r="D233" s="23"/>
      <c r="E233" s="23"/>
      <c r="F233" s="23"/>
      <c r="G233" s="23"/>
      <c r="H233" s="23"/>
    </row>
    <row r="234" customFormat="false" ht="15" hidden="false" customHeight="true" outlineLevel="0" collapsed="false">
      <c r="A234" s="11" t="s">
        <v>307</v>
      </c>
      <c r="B234" s="12" t="s">
        <v>308</v>
      </c>
      <c r="C234" s="11" t="s">
        <v>20</v>
      </c>
      <c r="D234" s="12"/>
      <c r="E234" s="38" t="n">
        <v>1</v>
      </c>
      <c r="F234" s="14" t="n">
        <f aca="false">'PRECIOS DE INSUMOS'!$H$18</f>
        <v>9.24</v>
      </c>
      <c r="G234" s="14" t="n">
        <f aca="false">ROUND(E234*F234,2)</f>
        <v>9.24</v>
      </c>
      <c r="H234" s="15" t="s">
        <v>584</v>
      </c>
    </row>
    <row r="235" customFormat="false" ht="15" hidden="false" customHeight="true" outlineLevel="0" collapsed="false">
      <c r="A235" s="11" t="s">
        <v>445</v>
      </c>
      <c r="B235" s="12" t="s">
        <v>446</v>
      </c>
      <c r="C235" s="11" t="s">
        <v>447</v>
      </c>
      <c r="D235" s="12"/>
      <c r="E235" s="38" t="n">
        <v>0.007</v>
      </c>
      <c r="F235" s="14" t="n">
        <f aca="false">'PRECIOS DE INSUMOS'!$H$47</f>
        <v>209.83</v>
      </c>
      <c r="G235" s="14" t="n">
        <f aca="false">ROUND(E235*F235,2)</f>
        <v>1.47</v>
      </c>
      <c r="H235" s="15" t="s">
        <v>644</v>
      </c>
    </row>
    <row r="236" customFormat="false" ht="15" hidden="false" customHeight="true" outlineLevel="0" collapsed="false">
      <c r="A236" s="11" t="s">
        <v>451</v>
      </c>
      <c r="B236" s="12" t="s">
        <v>452</v>
      </c>
      <c r="C236" s="11" t="s">
        <v>20</v>
      </c>
      <c r="D236" s="12"/>
      <c r="E236" s="38" t="n">
        <v>0.125</v>
      </c>
      <c r="F236" s="14" t="n">
        <f aca="false">'PRECIOS DE INSUMOS'!$H$48</f>
        <v>2.46</v>
      </c>
      <c r="G236" s="14" t="n">
        <f aca="false">ROUND(E236*F236,2)</f>
        <v>0.31</v>
      </c>
      <c r="H236" s="15" t="s">
        <v>585</v>
      </c>
    </row>
    <row r="237" customFormat="false" ht="15" hidden="false" customHeight="false" outlineLevel="0" collapsed="false">
      <c r="A237" s="22"/>
      <c r="B237" s="23" t="s">
        <v>573</v>
      </c>
      <c r="C237" s="22"/>
      <c r="D237" s="22"/>
      <c r="E237" s="22"/>
      <c r="F237" s="22"/>
      <c r="G237" s="28" t="n">
        <f aca="false">SUM(G234:G236)</f>
        <v>11.02</v>
      </c>
      <c r="H237" s="22"/>
    </row>
    <row r="238" customFormat="false" ht="15" hidden="false" customHeight="true" outlineLevel="0" collapsed="false">
      <c r="A238" s="23" t="s">
        <v>574</v>
      </c>
      <c r="B238" s="23"/>
      <c r="C238" s="23"/>
      <c r="D238" s="23"/>
      <c r="E238" s="23"/>
      <c r="F238" s="23"/>
      <c r="G238" s="23"/>
      <c r="H238" s="23"/>
    </row>
    <row r="239" customFormat="false" ht="15" hidden="false" customHeight="false" outlineLevel="0" collapsed="false">
      <c r="A239" s="11" t="s">
        <v>575</v>
      </c>
      <c r="B239" s="12" t="s">
        <v>576</v>
      </c>
      <c r="C239" s="11" t="s">
        <v>577</v>
      </c>
      <c r="D239" s="12"/>
      <c r="E239" s="13" t="n">
        <v>3</v>
      </c>
      <c r="F239" s="14" t="n">
        <f aca="false">G232</f>
        <v>19.62</v>
      </c>
      <c r="G239" s="14" t="n">
        <f aca="false">ROUND(E239/100*F239,2)</f>
        <v>0.59</v>
      </c>
      <c r="H239" s="15" t="s">
        <v>578</v>
      </c>
    </row>
    <row r="240" customFormat="false" ht="15" hidden="false" customHeight="false" outlineLevel="0" collapsed="false">
      <c r="A240" s="22"/>
      <c r="B240" s="23" t="s">
        <v>579</v>
      </c>
      <c r="C240" s="22"/>
      <c r="D240" s="22"/>
      <c r="E240" s="22"/>
      <c r="F240" s="22"/>
      <c r="G240" s="28" t="n">
        <f aca="false">SUM(G239:G239)</f>
        <v>0.59</v>
      </c>
      <c r="H240" s="22"/>
    </row>
    <row r="241" customFormat="false" ht="15" hidden="false" customHeight="false" outlineLevel="0" collapsed="false">
      <c r="A241" s="16" t="s">
        <v>586</v>
      </c>
      <c r="B241" s="16"/>
      <c r="C241" s="16"/>
      <c r="D241" s="16"/>
      <c r="E241" s="16"/>
      <c r="F241" s="16"/>
      <c r="G241" s="17" t="n">
        <f aca="false">G232+G237+G240</f>
        <v>31.23</v>
      </c>
      <c r="H241" s="18"/>
    </row>
    <row r="244" customFormat="false" ht="30" hidden="false" customHeight="true" outlineLevel="0" collapsed="false">
      <c r="A244" s="6" t="s">
        <v>672</v>
      </c>
      <c r="B244" s="6"/>
      <c r="C244" s="6"/>
      <c r="D244" s="6"/>
      <c r="E244" s="6"/>
      <c r="F244" s="6"/>
      <c r="G244" s="6"/>
      <c r="H244" s="6"/>
    </row>
    <row r="245" customFormat="false" ht="25.5" hidden="false" customHeight="true" outlineLevel="0" collapsed="false">
      <c r="A245" s="23" t="s">
        <v>551</v>
      </c>
      <c r="B245" s="39" t="n">
        <v>16</v>
      </c>
      <c r="C245" s="20" t="s">
        <v>552</v>
      </c>
      <c r="D245" s="33" t="n">
        <f aca="false">SUM(E249:E250)</f>
        <v>0.75</v>
      </c>
      <c r="E245" s="20" t="s">
        <v>553</v>
      </c>
      <c r="F245" s="33" t="n">
        <f aca="false">SUMIF(C257:C257,"hm",E257:E257)</f>
        <v>0</v>
      </c>
      <c r="G245" s="20" t="s">
        <v>582</v>
      </c>
      <c r="H245" s="34" t="n">
        <f aca="false">G259</f>
        <v>63.12</v>
      </c>
    </row>
    <row r="246" customFormat="false" ht="15" hidden="false" customHeight="true" outlineLevel="0" collapsed="false">
      <c r="A246" s="23" t="s">
        <v>555</v>
      </c>
      <c r="B246" s="40" t="n">
        <v>2</v>
      </c>
      <c r="C246" s="36" t="s">
        <v>643</v>
      </c>
      <c r="D246" s="36"/>
      <c r="E246" s="36"/>
      <c r="F246" s="36"/>
      <c r="G246" s="36"/>
      <c r="H246" s="36"/>
    </row>
    <row r="247" customFormat="false" ht="15" hidden="false" customHeight="false" outlineLevel="0" collapsed="false">
      <c r="A247" s="4" t="s">
        <v>240</v>
      </c>
      <c r="B247" s="4" t="s">
        <v>557</v>
      </c>
      <c r="C247" s="4" t="s">
        <v>5</v>
      </c>
      <c r="D247" s="4" t="s">
        <v>558</v>
      </c>
      <c r="E247" s="4" t="s">
        <v>559</v>
      </c>
      <c r="F247" s="4" t="s">
        <v>560</v>
      </c>
      <c r="G247" s="4" t="s">
        <v>561</v>
      </c>
      <c r="H247" s="4" t="s">
        <v>223</v>
      </c>
    </row>
    <row r="248" customFormat="false" ht="15" hidden="false" customHeight="true" outlineLevel="0" collapsed="false">
      <c r="A248" s="23" t="s">
        <v>562</v>
      </c>
      <c r="B248" s="23"/>
      <c r="C248" s="23"/>
      <c r="D248" s="23"/>
      <c r="E248" s="23"/>
      <c r="F248" s="23"/>
      <c r="G248" s="23"/>
      <c r="H248" s="23"/>
    </row>
    <row r="249" customFormat="false" ht="15" hidden="false" customHeight="false" outlineLevel="0" collapsed="false">
      <c r="A249" s="11" t="s">
        <v>563</v>
      </c>
      <c r="B249" s="12" t="s">
        <v>564</v>
      </c>
      <c r="C249" s="11" t="s">
        <v>565</v>
      </c>
      <c r="D249" s="13" t="n">
        <v>1</v>
      </c>
      <c r="E249" s="37" t="n">
        <f aca="false">ROUND(D249*8/$B$245,4)</f>
        <v>0.5</v>
      </c>
      <c r="F249" s="21" t="n">
        <f aca="false">'MANO DE OBRA 2026'!$C$16</f>
        <v>28.95</v>
      </c>
      <c r="G249" s="14" t="n">
        <f aca="false">ROUND(E249*F249,2)</f>
        <v>14.48</v>
      </c>
      <c r="H249" s="15" t="s">
        <v>566</v>
      </c>
    </row>
    <row r="250" customFormat="false" ht="15" hidden="false" customHeight="false" outlineLevel="0" collapsed="false">
      <c r="A250" s="11" t="s">
        <v>567</v>
      </c>
      <c r="B250" s="12" t="s">
        <v>568</v>
      </c>
      <c r="C250" s="11" t="s">
        <v>565</v>
      </c>
      <c r="D250" s="13" t="n">
        <v>0.5</v>
      </c>
      <c r="E250" s="37" t="n">
        <f aca="false">ROUND(D250*8/$B$245,4)</f>
        <v>0.25</v>
      </c>
      <c r="F250" s="21" t="n">
        <f aca="false">'MANO DE OBRA 2026'!$E$16</f>
        <v>20.54</v>
      </c>
      <c r="G250" s="14" t="n">
        <f aca="false">ROUND(E250*F250,2)</f>
        <v>5.14</v>
      </c>
      <c r="H250" s="15" t="s">
        <v>566</v>
      </c>
    </row>
    <row r="251" customFormat="false" ht="15" hidden="false" customHeight="false" outlineLevel="0" collapsed="false">
      <c r="A251" s="22"/>
      <c r="B251" s="23" t="s">
        <v>569</v>
      </c>
      <c r="C251" s="22"/>
      <c r="D251" s="22"/>
      <c r="E251" s="22"/>
      <c r="F251" s="22"/>
      <c r="G251" s="28" t="n">
        <f aca="false">SUM(G249:G250)</f>
        <v>19.62</v>
      </c>
      <c r="H251" s="22"/>
    </row>
    <row r="252" customFormat="false" ht="15" hidden="false" customHeight="true" outlineLevel="0" collapsed="false">
      <c r="A252" s="23" t="s">
        <v>570</v>
      </c>
      <c r="B252" s="23"/>
      <c r="C252" s="23"/>
      <c r="D252" s="23"/>
      <c r="E252" s="23"/>
      <c r="F252" s="23"/>
      <c r="G252" s="23"/>
      <c r="H252" s="23"/>
    </row>
    <row r="253" customFormat="false" ht="15" hidden="false" customHeight="true" outlineLevel="0" collapsed="false">
      <c r="A253" s="11" t="s">
        <v>302</v>
      </c>
      <c r="B253" s="12" t="s">
        <v>303</v>
      </c>
      <c r="C253" s="11" t="s">
        <v>20</v>
      </c>
      <c r="D253" s="12"/>
      <c r="E253" s="38" t="n">
        <v>1</v>
      </c>
      <c r="F253" s="14" t="n">
        <f aca="false">'PRECIOS DE INSUMOS'!$H$17</f>
        <v>42.29</v>
      </c>
      <c r="G253" s="14" t="n">
        <f aca="false">ROUND(E253*F253,2)</f>
        <v>42.29</v>
      </c>
      <c r="H253" s="15" t="s">
        <v>584</v>
      </c>
    </row>
    <row r="254" customFormat="false" ht="15" hidden="false" customHeight="true" outlineLevel="0" collapsed="false">
      <c r="A254" s="11" t="s">
        <v>451</v>
      </c>
      <c r="B254" s="12" t="s">
        <v>452</v>
      </c>
      <c r="C254" s="11" t="s">
        <v>20</v>
      </c>
      <c r="D254" s="12"/>
      <c r="E254" s="38" t="n">
        <v>0.25</v>
      </c>
      <c r="F254" s="14" t="n">
        <f aca="false">'PRECIOS DE INSUMOS'!$H$48</f>
        <v>2.46</v>
      </c>
      <c r="G254" s="14" t="n">
        <f aca="false">ROUND(E254*F254,2)</f>
        <v>0.62</v>
      </c>
      <c r="H254" s="15" t="s">
        <v>589</v>
      </c>
    </row>
    <row r="255" customFormat="false" ht="15" hidden="false" customHeight="false" outlineLevel="0" collapsed="false">
      <c r="A255" s="22"/>
      <c r="B255" s="23" t="s">
        <v>573</v>
      </c>
      <c r="C255" s="22"/>
      <c r="D255" s="22"/>
      <c r="E255" s="22"/>
      <c r="F255" s="22"/>
      <c r="G255" s="28" t="n">
        <f aca="false">SUM(G253:G254)</f>
        <v>42.91</v>
      </c>
      <c r="H255" s="22"/>
    </row>
    <row r="256" customFormat="false" ht="15" hidden="false" customHeight="true" outlineLevel="0" collapsed="false">
      <c r="A256" s="23" t="s">
        <v>574</v>
      </c>
      <c r="B256" s="23"/>
      <c r="C256" s="23"/>
      <c r="D256" s="23"/>
      <c r="E256" s="23"/>
      <c r="F256" s="23"/>
      <c r="G256" s="23"/>
      <c r="H256" s="23"/>
    </row>
    <row r="257" customFormat="false" ht="15" hidden="false" customHeight="false" outlineLevel="0" collapsed="false">
      <c r="A257" s="11" t="s">
        <v>575</v>
      </c>
      <c r="B257" s="12" t="s">
        <v>576</v>
      </c>
      <c r="C257" s="11" t="s">
        <v>577</v>
      </c>
      <c r="D257" s="12"/>
      <c r="E257" s="13" t="n">
        <v>3</v>
      </c>
      <c r="F257" s="14" t="n">
        <f aca="false">G251</f>
        <v>19.62</v>
      </c>
      <c r="G257" s="14" t="n">
        <f aca="false">ROUND(E257/100*F257,2)</f>
        <v>0.59</v>
      </c>
      <c r="H257" s="15" t="s">
        <v>578</v>
      </c>
    </row>
    <row r="258" customFormat="false" ht="15" hidden="false" customHeight="false" outlineLevel="0" collapsed="false">
      <c r="A258" s="22"/>
      <c r="B258" s="23" t="s">
        <v>579</v>
      </c>
      <c r="C258" s="22"/>
      <c r="D258" s="22"/>
      <c r="E258" s="22"/>
      <c r="F258" s="22"/>
      <c r="G258" s="28" t="n">
        <f aca="false">SUM(G257:G257)</f>
        <v>0.59</v>
      </c>
      <c r="H258" s="22"/>
    </row>
    <row r="259" customFormat="false" ht="15" hidden="false" customHeight="false" outlineLevel="0" collapsed="false">
      <c r="A259" s="16" t="s">
        <v>586</v>
      </c>
      <c r="B259" s="16"/>
      <c r="C259" s="16"/>
      <c r="D259" s="16"/>
      <c r="E259" s="16"/>
      <c r="F259" s="16"/>
      <c r="G259" s="17" t="n">
        <f aca="false">G251+G255+G258</f>
        <v>63.12</v>
      </c>
      <c r="H259" s="18"/>
    </row>
    <row r="262" customFormat="false" ht="30" hidden="false" customHeight="true" outlineLevel="0" collapsed="false">
      <c r="A262" s="6" t="s">
        <v>673</v>
      </c>
      <c r="B262" s="6"/>
      <c r="C262" s="6"/>
      <c r="D262" s="6"/>
      <c r="E262" s="6"/>
      <c r="F262" s="6"/>
      <c r="G262" s="6"/>
      <c r="H262" s="6"/>
    </row>
    <row r="263" customFormat="false" ht="25.5" hidden="false" customHeight="true" outlineLevel="0" collapsed="false">
      <c r="A263" s="23" t="s">
        <v>551</v>
      </c>
      <c r="B263" s="39" t="n">
        <v>16</v>
      </c>
      <c r="C263" s="20" t="s">
        <v>552</v>
      </c>
      <c r="D263" s="33" t="n">
        <f aca="false">SUM(E267:E268)</f>
        <v>0.75</v>
      </c>
      <c r="E263" s="20" t="s">
        <v>553</v>
      </c>
      <c r="F263" s="33" t="n">
        <f aca="false">SUMIF(C275:C275,"hm",E275:E275)</f>
        <v>0</v>
      </c>
      <c r="G263" s="20" t="s">
        <v>582</v>
      </c>
      <c r="H263" s="34" t="n">
        <f aca="false">G277</f>
        <v>23.24</v>
      </c>
    </row>
    <row r="264" customFormat="false" ht="15" hidden="false" customHeight="true" outlineLevel="0" collapsed="false">
      <c r="A264" s="23" t="s">
        <v>555</v>
      </c>
      <c r="B264" s="40" t="n">
        <v>2</v>
      </c>
      <c r="C264" s="36" t="s">
        <v>643</v>
      </c>
      <c r="D264" s="36"/>
      <c r="E264" s="36"/>
      <c r="F264" s="36"/>
      <c r="G264" s="36"/>
      <c r="H264" s="36"/>
    </row>
    <row r="265" customFormat="false" ht="15" hidden="false" customHeight="false" outlineLevel="0" collapsed="false">
      <c r="A265" s="4" t="s">
        <v>240</v>
      </c>
      <c r="B265" s="4" t="s">
        <v>557</v>
      </c>
      <c r="C265" s="4" t="s">
        <v>5</v>
      </c>
      <c r="D265" s="4" t="s">
        <v>558</v>
      </c>
      <c r="E265" s="4" t="s">
        <v>559</v>
      </c>
      <c r="F265" s="4" t="s">
        <v>560</v>
      </c>
      <c r="G265" s="4" t="s">
        <v>561</v>
      </c>
      <c r="H265" s="4" t="s">
        <v>223</v>
      </c>
    </row>
    <row r="266" customFormat="false" ht="15" hidden="false" customHeight="true" outlineLevel="0" collapsed="false">
      <c r="A266" s="23" t="s">
        <v>562</v>
      </c>
      <c r="B266" s="23"/>
      <c r="C266" s="23"/>
      <c r="D266" s="23"/>
      <c r="E266" s="23"/>
      <c r="F266" s="23"/>
      <c r="G266" s="23"/>
      <c r="H266" s="23"/>
    </row>
    <row r="267" customFormat="false" ht="15" hidden="false" customHeight="false" outlineLevel="0" collapsed="false">
      <c r="A267" s="11" t="s">
        <v>563</v>
      </c>
      <c r="B267" s="12" t="s">
        <v>564</v>
      </c>
      <c r="C267" s="11" t="s">
        <v>565</v>
      </c>
      <c r="D267" s="13" t="n">
        <v>1</v>
      </c>
      <c r="E267" s="37" t="n">
        <f aca="false">ROUND(D267*8/$B$263,4)</f>
        <v>0.5</v>
      </c>
      <c r="F267" s="21" t="n">
        <f aca="false">'MANO DE OBRA 2026'!$C$16</f>
        <v>28.95</v>
      </c>
      <c r="G267" s="14" t="n">
        <f aca="false">ROUND(E267*F267,2)</f>
        <v>14.48</v>
      </c>
      <c r="H267" s="15" t="s">
        <v>566</v>
      </c>
    </row>
    <row r="268" customFormat="false" ht="15" hidden="false" customHeight="false" outlineLevel="0" collapsed="false">
      <c r="A268" s="11" t="s">
        <v>567</v>
      </c>
      <c r="B268" s="12" t="s">
        <v>568</v>
      </c>
      <c r="C268" s="11" t="s">
        <v>565</v>
      </c>
      <c r="D268" s="13" t="n">
        <v>0.5</v>
      </c>
      <c r="E268" s="37" t="n">
        <f aca="false">ROUND(D268*8/$B$263,4)</f>
        <v>0.25</v>
      </c>
      <c r="F268" s="21" t="n">
        <f aca="false">'MANO DE OBRA 2026'!$E$16</f>
        <v>20.54</v>
      </c>
      <c r="G268" s="14" t="n">
        <f aca="false">ROUND(E268*F268,2)</f>
        <v>5.14</v>
      </c>
      <c r="H268" s="15" t="s">
        <v>566</v>
      </c>
    </row>
    <row r="269" customFormat="false" ht="15" hidden="false" customHeight="false" outlineLevel="0" collapsed="false">
      <c r="A269" s="22"/>
      <c r="B269" s="23" t="s">
        <v>569</v>
      </c>
      <c r="C269" s="22"/>
      <c r="D269" s="22"/>
      <c r="E269" s="22"/>
      <c r="F269" s="22"/>
      <c r="G269" s="28" t="n">
        <f aca="false">SUM(G267:G268)</f>
        <v>19.62</v>
      </c>
      <c r="H269" s="22"/>
    </row>
    <row r="270" customFormat="false" ht="15" hidden="false" customHeight="true" outlineLevel="0" collapsed="false">
      <c r="A270" s="23" t="s">
        <v>570</v>
      </c>
      <c r="B270" s="23"/>
      <c r="C270" s="23"/>
      <c r="D270" s="23"/>
      <c r="E270" s="23"/>
      <c r="F270" s="23"/>
      <c r="G270" s="23"/>
      <c r="H270" s="23"/>
    </row>
    <row r="271" customFormat="false" ht="15" hidden="false" customHeight="true" outlineLevel="0" collapsed="false">
      <c r="A271" s="11" t="s">
        <v>330</v>
      </c>
      <c r="B271" s="12" t="s">
        <v>331</v>
      </c>
      <c r="C271" s="11" t="s">
        <v>20</v>
      </c>
      <c r="D271" s="12"/>
      <c r="E271" s="38" t="n">
        <v>1</v>
      </c>
      <c r="F271" s="14" t="n">
        <f aca="false">'PRECIOS DE INSUMOS'!$H$23</f>
        <v>2.41</v>
      </c>
      <c r="G271" s="14" t="n">
        <f aca="false">ROUND(E271*F271,2)</f>
        <v>2.41</v>
      </c>
      <c r="H271" s="15" t="s">
        <v>584</v>
      </c>
    </row>
    <row r="272" customFormat="false" ht="15" hidden="false" customHeight="true" outlineLevel="0" collapsed="false">
      <c r="A272" s="11" t="s">
        <v>451</v>
      </c>
      <c r="B272" s="12" t="s">
        <v>452</v>
      </c>
      <c r="C272" s="11" t="s">
        <v>20</v>
      </c>
      <c r="D272" s="12"/>
      <c r="E272" s="38" t="n">
        <v>0.25</v>
      </c>
      <c r="F272" s="14" t="n">
        <f aca="false">'PRECIOS DE INSUMOS'!$H$48</f>
        <v>2.46</v>
      </c>
      <c r="G272" s="14" t="n">
        <f aca="false">ROUND(E272*F272,2)</f>
        <v>0.62</v>
      </c>
      <c r="H272" s="15" t="s">
        <v>589</v>
      </c>
    </row>
    <row r="273" customFormat="false" ht="15" hidden="false" customHeight="false" outlineLevel="0" collapsed="false">
      <c r="A273" s="22"/>
      <c r="B273" s="23" t="s">
        <v>573</v>
      </c>
      <c r="C273" s="22"/>
      <c r="D273" s="22"/>
      <c r="E273" s="22"/>
      <c r="F273" s="22"/>
      <c r="G273" s="28" t="n">
        <f aca="false">SUM(G271:G272)</f>
        <v>3.03</v>
      </c>
      <c r="H273" s="22"/>
    </row>
    <row r="274" customFormat="false" ht="15" hidden="false" customHeight="true" outlineLevel="0" collapsed="false">
      <c r="A274" s="23" t="s">
        <v>574</v>
      </c>
      <c r="B274" s="23"/>
      <c r="C274" s="23"/>
      <c r="D274" s="23"/>
      <c r="E274" s="23"/>
      <c r="F274" s="23"/>
      <c r="G274" s="23"/>
      <c r="H274" s="23"/>
    </row>
    <row r="275" customFormat="false" ht="15" hidden="false" customHeight="false" outlineLevel="0" collapsed="false">
      <c r="A275" s="11" t="s">
        <v>575</v>
      </c>
      <c r="B275" s="12" t="s">
        <v>576</v>
      </c>
      <c r="C275" s="11" t="s">
        <v>577</v>
      </c>
      <c r="D275" s="12"/>
      <c r="E275" s="13" t="n">
        <v>3</v>
      </c>
      <c r="F275" s="14" t="n">
        <f aca="false">G269</f>
        <v>19.62</v>
      </c>
      <c r="G275" s="14" t="n">
        <f aca="false">ROUND(E275/100*F275,2)</f>
        <v>0.59</v>
      </c>
      <c r="H275" s="15" t="s">
        <v>578</v>
      </c>
    </row>
    <row r="276" customFormat="false" ht="15" hidden="false" customHeight="false" outlineLevel="0" collapsed="false">
      <c r="A276" s="22"/>
      <c r="B276" s="23" t="s">
        <v>579</v>
      </c>
      <c r="C276" s="22"/>
      <c r="D276" s="22"/>
      <c r="E276" s="22"/>
      <c r="F276" s="22"/>
      <c r="G276" s="28" t="n">
        <f aca="false">SUM(G275:G275)</f>
        <v>0.59</v>
      </c>
      <c r="H276" s="22"/>
    </row>
    <row r="277" customFormat="false" ht="15" hidden="false" customHeight="false" outlineLevel="0" collapsed="false">
      <c r="A277" s="16" t="s">
        <v>586</v>
      </c>
      <c r="B277" s="16"/>
      <c r="C277" s="16"/>
      <c r="D277" s="16"/>
      <c r="E277" s="16"/>
      <c r="F277" s="16"/>
      <c r="G277" s="17" t="n">
        <f aca="false">G269+G273+G276</f>
        <v>23.24</v>
      </c>
      <c r="H277" s="18"/>
    </row>
    <row r="280" customFormat="false" ht="30" hidden="false" customHeight="true" outlineLevel="0" collapsed="false">
      <c r="A280" s="6" t="s">
        <v>674</v>
      </c>
      <c r="B280" s="6"/>
      <c r="C280" s="6"/>
      <c r="D280" s="6"/>
      <c r="E280" s="6"/>
      <c r="F280" s="6"/>
      <c r="G280" s="6"/>
      <c r="H280" s="6"/>
    </row>
    <row r="281" customFormat="false" ht="25.5" hidden="false" customHeight="true" outlineLevel="0" collapsed="false">
      <c r="A281" s="23" t="s">
        <v>551</v>
      </c>
      <c r="B281" s="39" t="n">
        <v>8</v>
      </c>
      <c r="C281" s="20" t="s">
        <v>552</v>
      </c>
      <c r="D281" s="33" t="n">
        <f aca="false">SUM(E285:E286)</f>
        <v>1.5</v>
      </c>
      <c r="E281" s="20" t="s">
        <v>553</v>
      </c>
      <c r="F281" s="33" t="n">
        <f aca="false">SUMIF(C293:C293,"hm",E293:E293)</f>
        <v>0</v>
      </c>
      <c r="G281" s="20" t="s">
        <v>582</v>
      </c>
      <c r="H281" s="34" t="n">
        <f aca="false">G295</f>
        <v>108.82</v>
      </c>
    </row>
    <row r="282" customFormat="false" ht="15" hidden="false" customHeight="true" outlineLevel="0" collapsed="false">
      <c r="A282" s="23" t="s">
        <v>555</v>
      </c>
      <c r="B282" s="40" t="n">
        <v>1</v>
      </c>
      <c r="C282" s="36" t="s">
        <v>616</v>
      </c>
      <c r="D282" s="36"/>
      <c r="E282" s="36"/>
      <c r="F282" s="36"/>
      <c r="G282" s="36"/>
      <c r="H282" s="36"/>
    </row>
    <row r="283" customFormat="false" ht="15" hidden="false" customHeight="false" outlineLevel="0" collapsed="false">
      <c r="A283" s="4" t="s">
        <v>240</v>
      </c>
      <c r="B283" s="4" t="s">
        <v>557</v>
      </c>
      <c r="C283" s="4" t="s">
        <v>5</v>
      </c>
      <c r="D283" s="4" t="s">
        <v>558</v>
      </c>
      <c r="E283" s="4" t="s">
        <v>559</v>
      </c>
      <c r="F283" s="4" t="s">
        <v>560</v>
      </c>
      <c r="G283" s="4" t="s">
        <v>561</v>
      </c>
      <c r="H283" s="4" t="s">
        <v>223</v>
      </c>
    </row>
    <row r="284" customFormat="false" ht="15" hidden="false" customHeight="true" outlineLevel="0" collapsed="false">
      <c r="A284" s="23" t="s">
        <v>562</v>
      </c>
      <c r="B284" s="23"/>
      <c r="C284" s="23"/>
      <c r="D284" s="23"/>
      <c r="E284" s="23"/>
      <c r="F284" s="23"/>
      <c r="G284" s="23"/>
      <c r="H284" s="23"/>
    </row>
    <row r="285" customFormat="false" ht="15" hidden="false" customHeight="false" outlineLevel="0" collapsed="false">
      <c r="A285" s="11" t="s">
        <v>563</v>
      </c>
      <c r="B285" s="12" t="s">
        <v>564</v>
      </c>
      <c r="C285" s="11" t="s">
        <v>565</v>
      </c>
      <c r="D285" s="13" t="n">
        <v>1</v>
      </c>
      <c r="E285" s="37" t="n">
        <f aca="false">ROUND(D285*8/$B$281,4)</f>
        <v>1</v>
      </c>
      <c r="F285" s="21" t="n">
        <f aca="false">'MANO DE OBRA 2026'!$C$16</f>
        <v>28.95</v>
      </c>
      <c r="G285" s="14" t="n">
        <f aca="false">ROUND(E285*F285,2)</f>
        <v>28.95</v>
      </c>
      <c r="H285" s="15" t="s">
        <v>566</v>
      </c>
    </row>
    <row r="286" customFormat="false" ht="15" hidden="false" customHeight="false" outlineLevel="0" collapsed="false">
      <c r="A286" s="11" t="s">
        <v>567</v>
      </c>
      <c r="B286" s="12" t="s">
        <v>568</v>
      </c>
      <c r="C286" s="11" t="s">
        <v>565</v>
      </c>
      <c r="D286" s="13" t="n">
        <v>0.5</v>
      </c>
      <c r="E286" s="37" t="n">
        <f aca="false">ROUND(D286*8/$B$281,4)</f>
        <v>0.5</v>
      </c>
      <c r="F286" s="21" t="n">
        <f aca="false">'MANO DE OBRA 2026'!$E$16</f>
        <v>20.54</v>
      </c>
      <c r="G286" s="14" t="n">
        <f aca="false">ROUND(E286*F286,2)</f>
        <v>10.27</v>
      </c>
      <c r="H286" s="15" t="s">
        <v>566</v>
      </c>
    </row>
    <row r="287" customFormat="false" ht="15" hidden="false" customHeight="false" outlineLevel="0" collapsed="false">
      <c r="A287" s="22"/>
      <c r="B287" s="23" t="s">
        <v>569</v>
      </c>
      <c r="C287" s="22"/>
      <c r="D287" s="22"/>
      <c r="E287" s="22"/>
      <c r="F287" s="22"/>
      <c r="G287" s="28" t="n">
        <f aca="false">SUM(G285:G286)</f>
        <v>39.22</v>
      </c>
      <c r="H287" s="22"/>
    </row>
    <row r="288" customFormat="false" ht="15" hidden="false" customHeight="true" outlineLevel="0" collapsed="false">
      <c r="A288" s="23" t="s">
        <v>570</v>
      </c>
      <c r="B288" s="23"/>
      <c r="C288" s="23"/>
      <c r="D288" s="23"/>
      <c r="E288" s="23"/>
      <c r="F288" s="23"/>
      <c r="G288" s="23"/>
      <c r="H288" s="23"/>
    </row>
    <row r="289" customFormat="false" ht="15" hidden="false" customHeight="true" outlineLevel="0" collapsed="false">
      <c r="A289" s="11" t="s">
        <v>357</v>
      </c>
      <c r="B289" s="12" t="s">
        <v>358</v>
      </c>
      <c r="C289" s="11" t="s">
        <v>20</v>
      </c>
      <c r="D289" s="12"/>
      <c r="E289" s="38" t="n">
        <v>1</v>
      </c>
      <c r="F289" s="14" t="n">
        <f aca="false">'PRECIOS DE INSUMOS'!$H$29</f>
        <v>67.8</v>
      </c>
      <c r="G289" s="14" t="n">
        <f aca="false">ROUND(E289*F289,2)</f>
        <v>67.8</v>
      </c>
      <c r="H289" s="15" t="s">
        <v>584</v>
      </c>
    </row>
    <row r="290" customFormat="false" ht="15" hidden="false" customHeight="true" outlineLevel="0" collapsed="false">
      <c r="A290" s="11" t="s">
        <v>451</v>
      </c>
      <c r="B290" s="12" t="s">
        <v>452</v>
      </c>
      <c r="C290" s="11" t="s">
        <v>20</v>
      </c>
      <c r="D290" s="12"/>
      <c r="E290" s="38" t="n">
        <v>0.25</v>
      </c>
      <c r="F290" s="14" t="n">
        <f aca="false">'PRECIOS DE INSUMOS'!$H$48</f>
        <v>2.46</v>
      </c>
      <c r="G290" s="14" t="n">
        <f aca="false">ROUND(E290*F290,2)</f>
        <v>0.62</v>
      </c>
      <c r="H290" s="15" t="s">
        <v>589</v>
      </c>
    </row>
    <row r="291" customFormat="false" ht="15" hidden="false" customHeight="false" outlineLevel="0" collapsed="false">
      <c r="A291" s="22"/>
      <c r="B291" s="23" t="s">
        <v>573</v>
      </c>
      <c r="C291" s="22"/>
      <c r="D291" s="22"/>
      <c r="E291" s="22"/>
      <c r="F291" s="22"/>
      <c r="G291" s="28" t="n">
        <f aca="false">SUM(G289:G290)</f>
        <v>68.42</v>
      </c>
      <c r="H291" s="22"/>
    </row>
    <row r="292" customFormat="false" ht="15" hidden="false" customHeight="true" outlineLevel="0" collapsed="false">
      <c r="A292" s="23" t="s">
        <v>574</v>
      </c>
      <c r="B292" s="23"/>
      <c r="C292" s="23"/>
      <c r="D292" s="23"/>
      <c r="E292" s="23"/>
      <c r="F292" s="23"/>
      <c r="G292" s="23"/>
      <c r="H292" s="23"/>
    </row>
    <row r="293" customFormat="false" ht="15" hidden="false" customHeight="false" outlineLevel="0" collapsed="false">
      <c r="A293" s="11" t="s">
        <v>575</v>
      </c>
      <c r="B293" s="12" t="s">
        <v>576</v>
      </c>
      <c r="C293" s="11" t="s">
        <v>577</v>
      </c>
      <c r="D293" s="12"/>
      <c r="E293" s="13" t="n">
        <v>3</v>
      </c>
      <c r="F293" s="14" t="n">
        <f aca="false">G287</f>
        <v>39.22</v>
      </c>
      <c r="G293" s="14" t="n">
        <f aca="false">ROUND(E293/100*F293,2)</f>
        <v>1.18</v>
      </c>
      <c r="H293" s="15" t="s">
        <v>578</v>
      </c>
    </row>
    <row r="294" customFormat="false" ht="15" hidden="false" customHeight="false" outlineLevel="0" collapsed="false">
      <c r="A294" s="22"/>
      <c r="B294" s="23" t="s">
        <v>579</v>
      </c>
      <c r="C294" s="22"/>
      <c r="D294" s="22"/>
      <c r="E294" s="22"/>
      <c r="F294" s="22"/>
      <c r="G294" s="28" t="n">
        <f aca="false">SUM(G293:G293)</f>
        <v>1.18</v>
      </c>
      <c r="H294" s="22"/>
    </row>
    <row r="295" customFormat="false" ht="15" hidden="false" customHeight="false" outlineLevel="0" collapsed="false">
      <c r="A295" s="16" t="s">
        <v>586</v>
      </c>
      <c r="B295" s="16"/>
      <c r="C295" s="16"/>
      <c r="D295" s="16"/>
      <c r="E295" s="16"/>
      <c r="F295" s="16"/>
      <c r="G295" s="17" t="n">
        <f aca="false">G287+G291+G294</f>
        <v>108.82</v>
      </c>
      <c r="H295" s="18"/>
    </row>
    <row r="298" customFormat="false" ht="30" hidden="false" customHeight="true" outlineLevel="0" collapsed="false">
      <c r="A298" s="6" t="s">
        <v>675</v>
      </c>
      <c r="B298" s="6"/>
      <c r="C298" s="6"/>
      <c r="D298" s="6"/>
      <c r="E298" s="6"/>
      <c r="F298" s="6"/>
      <c r="G298" s="6"/>
      <c r="H298" s="6"/>
    </row>
    <row r="299" customFormat="false" ht="25.5" hidden="false" customHeight="true" outlineLevel="0" collapsed="false">
      <c r="A299" s="23" t="s">
        <v>551</v>
      </c>
      <c r="B299" s="39" t="n">
        <v>16</v>
      </c>
      <c r="C299" s="20" t="s">
        <v>552</v>
      </c>
      <c r="D299" s="33" t="n">
        <f aca="false">SUM(E303:E304)</f>
        <v>0.75</v>
      </c>
      <c r="E299" s="20" t="s">
        <v>553</v>
      </c>
      <c r="F299" s="33" t="n">
        <f aca="false">SUMIF(C311:C311,"hm",E311:E311)</f>
        <v>0</v>
      </c>
      <c r="G299" s="20" t="s">
        <v>582</v>
      </c>
      <c r="H299" s="34" t="n">
        <f aca="false">G313</f>
        <v>36.62</v>
      </c>
    </row>
    <row r="300" customFormat="false" ht="15" hidden="false" customHeight="true" outlineLevel="0" collapsed="false">
      <c r="A300" s="23" t="s">
        <v>555</v>
      </c>
      <c r="B300" s="40" t="n">
        <v>3</v>
      </c>
      <c r="C300" s="36" t="s">
        <v>643</v>
      </c>
      <c r="D300" s="36"/>
      <c r="E300" s="36"/>
      <c r="F300" s="36"/>
      <c r="G300" s="36"/>
      <c r="H300" s="36"/>
    </row>
    <row r="301" customFormat="false" ht="15" hidden="false" customHeight="false" outlineLevel="0" collapsed="false">
      <c r="A301" s="4" t="s">
        <v>240</v>
      </c>
      <c r="B301" s="4" t="s">
        <v>557</v>
      </c>
      <c r="C301" s="4" t="s">
        <v>5</v>
      </c>
      <c r="D301" s="4" t="s">
        <v>558</v>
      </c>
      <c r="E301" s="4" t="s">
        <v>559</v>
      </c>
      <c r="F301" s="4" t="s">
        <v>560</v>
      </c>
      <c r="G301" s="4" t="s">
        <v>561</v>
      </c>
      <c r="H301" s="4" t="s">
        <v>223</v>
      </c>
    </row>
    <row r="302" customFormat="false" ht="15" hidden="false" customHeight="true" outlineLevel="0" collapsed="false">
      <c r="A302" s="23" t="s">
        <v>562</v>
      </c>
      <c r="B302" s="23"/>
      <c r="C302" s="23"/>
      <c r="D302" s="23"/>
      <c r="E302" s="23"/>
      <c r="F302" s="23"/>
      <c r="G302" s="23"/>
      <c r="H302" s="23"/>
    </row>
    <row r="303" customFormat="false" ht="15" hidden="false" customHeight="false" outlineLevel="0" collapsed="false">
      <c r="A303" s="11" t="s">
        <v>563</v>
      </c>
      <c r="B303" s="12" t="s">
        <v>564</v>
      </c>
      <c r="C303" s="11" t="s">
        <v>565</v>
      </c>
      <c r="D303" s="13" t="n">
        <v>1</v>
      </c>
      <c r="E303" s="37" t="n">
        <f aca="false">ROUND(D303*8/$B$299,4)</f>
        <v>0.5</v>
      </c>
      <c r="F303" s="21" t="n">
        <f aca="false">'MANO DE OBRA 2026'!$C$16</f>
        <v>28.95</v>
      </c>
      <c r="G303" s="14" t="n">
        <f aca="false">ROUND(E303*F303,2)</f>
        <v>14.48</v>
      </c>
      <c r="H303" s="15" t="s">
        <v>566</v>
      </c>
    </row>
    <row r="304" customFormat="false" ht="15" hidden="false" customHeight="false" outlineLevel="0" collapsed="false">
      <c r="A304" s="11" t="s">
        <v>567</v>
      </c>
      <c r="B304" s="12" t="s">
        <v>568</v>
      </c>
      <c r="C304" s="11" t="s">
        <v>565</v>
      </c>
      <c r="D304" s="13" t="n">
        <v>0.5</v>
      </c>
      <c r="E304" s="37" t="n">
        <f aca="false">ROUND(D304*8/$B$299,4)</f>
        <v>0.25</v>
      </c>
      <c r="F304" s="21" t="n">
        <f aca="false">'MANO DE OBRA 2026'!$E$16</f>
        <v>20.54</v>
      </c>
      <c r="G304" s="14" t="n">
        <f aca="false">ROUND(E304*F304,2)</f>
        <v>5.14</v>
      </c>
      <c r="H304" s="15" t="s">
        <v>566</v>
      </c>
    </row>
    <row r="305" customFormat="false" ht="15" hidden="false" customHeight="false" outlineLevel="0" collapsed="false">
      <c r="A305" s="22"/>
      <c r="B305" s="23" t="s">
        <v>569</v>
      </c>
      <c r="C305" s="22"/>
      <c r="D305" s="22"/>
      <c r="E305" s="22"/>
      <c r="F305" s="22"/>
      <c r="G305" s="28" t="n">
        <f aca="false">SUM(G303:G304)</f>
        <v>19.62</v>
      </c>
      <c r="H305" s="22"/>
    </row>
    <row r="306" customFormat="false" ht="15" hidden="false" customHeight="true" outlineLevel="0" collapsed="false">
      <c r="A306" s="23" t="s">
        <v>570</v>
      </c>
      <c r="B306" s="23"/>
      <c r="C306" s="23"/>
      <c r="D306" s="23"/>
      <c r="E306" s="23"/>
      <c r="F306" s="23"/>
      <c r="G306" s="23"/>
      <c r="H306" s="23"/>
    </row>
    <row r="307" customFormat="false" ht="15" hidden="false" customHeight="true" outlineLevel="0" collapsed="false">
      <c r="A307" s="11" t="s">
        <v>279</v>
      </c>
      <c r="B307" s="12" t="s">
        <v>280</v>
      </c>
      <c r="C307" s="11" t="s">
        <v>20</v>
      </c>
      <c r="D307" s="12"/>
      <c r="E307" s="38" t="n">
        <v>1</v>
      </c>
      <c r="F307" s="14" t="n">
        <f aca="false">'PRECIOS DE INSUMOS'!$H$12</f>
        <v>13.47</v>
      </c>
      <c r="G307" s="14" t="n">
        <f aca="false">ROUND(E307*F307,2)</f>
        <v>13.47</v>
      </c>
      <c r="H307" s="15" t="s">
        <v>584</v>
      </c>
    </row>
    <row r="308" customFormat="false" ht="15" hidden="false" customHeight="true" outlineLevel="0" collapsed="false">
      <c r="A308" s="11" t="s">
        <v>445</v>
      </c>
      <c r="B308" s="12" t="s">
        <v>446</v>
      </c>
      <c r="C308" s="11" t="s">
        <v>447</v>
      </c>
      <c r="D308" s="12"/>
      <c r="E308" s="38" t="n">
        <v>0.014</v>
      </c>
      <c r="F308" s="14" t="n">
        <f aca="false">'PRECIOS DE INSUMOS'!$H$47</f>
        <v>209.83</v>
      </c>
      <c r="G308" s="14" t="n">
        <f aca="false">ROUND(E308*F308,2)</f>
        <v>2.94</v>
      </c>
      <c r="H308" s="15" t="s">
        <v>646</v>
      </c>
    </row>
    <row r="309" customFormat="false" ht="15" hidden="false" customHeight="false" outlineLevel="0" collapsed="false">
      <c r="A309" s="22"/>
      <c r="B309" s="23" t="s">
        <v>573</v>
      </c>
      <c r="C309" s="22"/>
      <c r="D309" s="22"/>
      <c r="E309" s="22"/>
      <c r="F309" s="22"/>
      <c r="G309" s="28" t="n">
        <f aca="false">SUM(G307:G308)</f>
        <v>16.41</v>
      </c>
      <c r="H309" s="22"/>
    </row>
    <row r="310" customFormat="false" ht="15" hidden="false" customHeight="true" outlineLevel="0" collapsed="false">
      <c r="A310" s="23" t="s">
        <v>574</v>
      </c>
      <c r="B310" s="23"/>
      <c r="C310" s="23"/>
      <c r="D310" s="23"/>
      <c r="E310" s="23"/>
      <c r="F310" s="23"/>
      <c r="G310" s="23"/>
      <c r="H310" s="23"/>
    </row>
    <row r="311" customFormat="false" ht="15" hidden="false" customHeight="false" outlineLevel="0" collapsed="false">
      <c r="A311" s="11" t="s">
        <v>575</v>
      </c>
      <c r="B311" s="12" t="s">
        <v>576</v>
      </c>
      <c r="C311" s="11" t="s">
        <v>577</v>
      </c>
      <c r="D311" s="12"/>
      <c r="E311" s="13" t="n">
        <v>3</v>
      </c>
      <c r="F311" s="14" t="n">
        <f aca="false">G305</f>
        <v>19.62</v>
      </c>
      <c r="G311" s="14" t="n">
        <f aca="false">ROUND(E311/100*F311,2)</f>
        <v>0.59</v>
      </c>
      <c r="H311" s="15" t="s">
        <v>578</v>
      </c>
    </row>
    <row r="312" customFormat="false" ht="15" hidden="false" customHeight="false" outlineLevel="0" collapsed="false">
      <c r="A312" s="22"/>
      <c r="B312" s="23" t="s">
        <v>579</v>
      </c>
      <c r="C312" s="22"/>
      <c r="D312" s="22"/>
      <c r="E312" s="22"/>
      <c r="F312" s="22"/>
      <c r="G312" s="28" t="n">
        <f aca="false">SUM(G311:G311)</f>
        <v>0.59</v>
      </c>
      <c r="H312" s="22"/>
    </row>
    <row r="313" customFormat="false" ht="15" hidden="false" customHeight="false" outlineLevel="0" collapsed="false">
      <c r="A313" s="16" t="s">
        <v>586</v>
      </c>
      <c r="B313" s="16"/>
      <c r="C313" s="16"/>
      <c r="D313" s="16"/>
      <c r="E313" s="16"/>
      <c r="F313" s="16"/>
      <c r="G313" s="17" t="n">
        <f aca="false">G305+G309+G312</f>
        <v>36.62</v>
      </c>
      <c r="H313" s="18"/>
    </row>
  </sheetData>
  <mergeCells count="106">
    <mergeCell ref="A1:H1"/>
    <mergeCell ref="A2:H2"/>
    <mergeCell ref="A3:H3"/>
    <mergeCell ref="A5:H5"/>
    <mergeCell ref="A7:H7"/>
    <mergeCell ref="C9:H9"/>
    <mergeCell ref="A11:H11"/>
    <mergeCell ref="A15:H15"/>
    <mergeCell ref="A19:H19"/>
    <mergeCell ref="A22:F22"/>
    <mergeCell ref="A25:H25"/>
    <mergeCell ref="C27:H27"/>
    <mergeCell ref="A29:H29"/>
    <mergeCell ref="A33:H33"/>
    <mergeCell ref="A37:H37"/>
    <mergeCell ref="A40:F40"/>
    <mergeCell ref="A43:H43"/>
    <mergeCell ref="C45:H45"/>
    <mergeCell ref="A47:H47"/>
    <mergeCell ref="A51:H51"/>
    <mergeCell ref="A55:H55"/>
    <mergeCell ref="A58:F58"/>
    <mergeCell ref="A61:H61"/>
    <mergeCell ref="C63:H63"/>
    <mergeCell ref="A65:H65"/>
    <mergeCell ref="A69:H69"/>
    <mergeCell ref="A73:H73"/>
    <mergeCell ref="A76:F76"/>
    <mergeCell ref="A79:H79"/>
    <mergeCell ref="C81:H81"/>
    <mergeCell ref="A83:H83"/>
    <mergeCell ref="A87:H87"/>
    <mergeCell ref="A91:H91"/>
    <mergeCell ref="A94:F94"/>
    <mergeCell ref="A97:H97"/>
    <mergeCell ref="C99:H99"/>
    <mergeCell ref="A101:H101"/>
    <mergeCell ref="A105:H105"/>
    <mergeCell ref="A109:H109"/>
    <mergeCell ref="A113:F113"/>
    <mergeCell ref="A116:H116"/>
    <mergeCell ref="C118:H118"/>
    <mergeCell ref="A120:H120"/>
    <mergeCell ref="A124:H124"/>
    <mergeCell ref="A128:H128"/>
    <mergeCell ref="A131:F131"/>
    <mergeCell ref="A134:H134"/>
    <mergeCell ref="C136:H136"/>
    <mergeCell ref="A138:H138"/>
    <mergeCell ref="A142:H142"/>
    <mergeCell ref="A146:H146"/>
    <mergeCell ref="A149:F149"/>
    <mergeCell ref="A152:H152"/>
    <mergeCell ref="C154:H154"/>
    <mergeCell ref="A156:H156"/>
    <mergeCell ref="A160:H160"/>
    <mergeCell ref="A165:H165"/>
    <mergeCell ref="A168:F168"/>
    <mergeCell ref="A171:H171"/>
    <mergeCell ref="C173:H173"/>
    <mergeCell ref="A175:H175"/>
    <mergeCell ref="A179:H179"/>
    <mergeCell ref="A183:H183"/>
    <mergeCell ref="A186:F186"/>
    <mergeCell ref="A189:H189"/>
    <mergeCell ref="C191:H191"/>
    <mergeCell ref="A193:H193"/>
    <mergeCell ref="A197:H197"/>
    <mergeCell ref="A201:H201"/>
    <mergeCell ref="A204:F204"/>
    <mergeCell ref="A207:H207"/>
    <mergeCell ref="C209:H209"/>
    <mergeCell ref="A211:H211"/>
    <mergeCell ref="A215:H215"/>
    <mergeCell ref="A219:H219"/>
    <mergeCell ref="A222:F222"/>
    <mergeCell ref="A225:H225"/>
    <mergeCell ref="C227:H227"/>
    <mergeCell ref="A229:H229"/>
    <mergeCell ref="A233:H233"/>
    <mergeCell ref="A238:H238"/>
    <mergeCell ref="A241:F241"/>
    <mergeCell ref="A244:H244"/>
    <mergeCell ref="C246:H246"/>
    <mergeCell ref="A248:H248"/>
    <mergeCell ref="A252:H252"/>
    <mergeCell ref="A256:H256"/>
    <mergeCell ref="A259:F259"/>
    <mergeCell ref="A262:H262"/>
    <mergeCell ref="C264:H264"/>
    <mergeCell ref="A266:H266"/>
    <mergeCell ref="A270:H270"/>
    <mergeCell ref="A274:H274"/>
    <mergeCell ref="A277:F277"/>
    <mergeCell ref="A280:H280"/>
    <mergeCell ref="C282:H282"/>
    <mergeCell ref="A284:H284"/>
    <mergeCell ref="A288:H288"/>
    <mergeCell ref="A292:H292"/>
    <mergeCell ref="A295:F295"/>
    <mergeCell ref="A298:H298"/>
    <mergeCell ref="C300:H300"/>
    <mergeCell ref="A302:H302"/>
    <mergeCell ref="A306:H306"/>
    <mergeCell ref="A310:H310"/>
    <mergeCell ref="A313:F31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676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677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39" t="n">
        <v>3</v>
      </c>
      <c r="C8" s="20" t="s">
        <v>552</v>
      </c>
      <c r="D8" s="33" t="n">
        <f aca="false">SUM(E12:E13)</f>
        <v>4</v>
      </c>
      <c r="E8" s="20" t="s">
        <v>553</v>
      </c>
      <c r="F8" s="33" t="n">
        <f aca="false">SUMIF(C20:C21,"hm",E20:E21)</f>
        <v>0.5</v>
      </c>
      <c r="G8" s="20" t="s">
        <v>582</v>
      </c>
      <c r="H8" s="34" t="n">
        <f aca="false">G23</f>
        <v>124.93</v>
      </c>
    </row>
    <row r="9" customFormat="false" ht="15" hidden="false" customHeight="true" outlineLevel="0" collapsed="false">
      <c r="A9" s="23" t="s">
        <v>555</v>
      </c>
      <c r="B9" s="40" t="n">
        <v>2</v>
      </c>
      <c r="C9" s="36" t="s">
        <v>592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2.6667</v>
      </c>
      <c r="F12" s="21" t="n">
        <f aca="false">'MANO DE OBRA 2026'!$C$16</f>
        <v>28.95</v>
      </c>
      <c r="G12" s="14" t="n">
        <f aca="false">ROUND(E12*F12,2)</f>
        <v>77.2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0.5</v>
      </c>
      <c r="E13" s="37" t="n">
        <f aca="false">ROUND(D13*8/$B$8,4)</f>
        <v>1.3333</v>
      </c>
      <c r="F13" s="21" t="n">
        <f aca="false">'MANO DE OBRA 2026'!$E$16</f>
        <v>20.54</v>
      </c>
      <c r="G13" s="14" t="n">
        <f aca="false">ROUND(E13*F13,2)</f>
        <v>27.39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104.59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24" hidden="false" customHeight="true" outlineLevel="0" collapsed="false">
      <c r="A16" s="11" t="s">
        <v>543</v>
      </c>
      <c r="B16" s="12" t="s">
        <v>544</v>
      </c>
      <c r="C16" s="11" t="s">
        <v>20</v>
      </c>
      <c r="D16" s="12"/>
      <c r="E16" s="38" t="n">
        <v>1</v>
      </c>
      <c r="F16" s="14" t="n">
        <f aca="false">'PRECIOS DE INSUMOS'!$H$68</f>
        <v>13.97</v>
      </c>
      <c r="G16" s="14" t="n">
        <f aca="false">ROUND(E16*F16,2)</f>
        <v>13.97</v>
      </c>
      <c r="H16" s="15" t="s">
        <v>584</v>
      </c>
    </row>
    <row r="17" customFormat="false" ht="15" hidden="false" customHeight="true" outlineLevel="0" collapsed="false">
      <c r="A17" s="11" t="s">
        <v>451</v>
      </c>
      <c r="B17" s="12" t="s">
        <v>452</v>
      </c>
      <c r="C17" s="11" t="s">
        <v>20</v>
      </c>
      <c r="D17" s="12"/>
      <c r="E17" s="38" t="n">
        <v>0.125</v>
      </c>
      <c r="F17" s="14" t="n">
        <f aca="false">'PRECIOS DE INSUMOS'!$H$48</f>
        <v>2.46</v>
      </c>
      <c r="G17" s="14" t="n">
        <f aca="false">ROUND(E17*F17,2)</f>
        <v>0.31</v>
      </c>
      <c r="H17" s="15" t="s">
        <v>585</v>
      </c>
    </row>
    <row r="18" customFormat="false" ht="15" hidden="false" customHeight="false" outlineLevel="0" collapsed="false">
      <c r="A18" s="22"/>
      <c r="B18" s="23" t="s">
        <v>573</v>
      </c>
      <c r="C18" s="22"/>
      <c r="D18" s="22"/>
      <c r="E18" s="22"/>
      <c r="F18" s="22"/>
      <c r="G18" s="28" t="n">
        <f aca="false">SUM(G16:G17)</f>
        <v>14.28</v>
      </c>
      <c r="H18" s="22"/>
    </row>
    <row r="19" customFormat="false" ht="15" hidden="false" customHeight="true" outlineLevel="0" collapsed="false">
      <c r="A19" s="23" t="s">
        <v>574</v>
      </c>
      <c r="B19" s="23"/>
      <c r="C19" s="23"/>
      <c r="D19" s="23"/>
      <c r="E19" s="23"/>
      <c r="F19" s="23"/>
      <c r="G19" s="23"/>
      <c r="H19" s="23"/>
    </row>
    <row r="20" customFormat="false" ht="15" hidden="false" customHeight="false" outlineLevel="0" collapsed="false">
      <c r="A20" s="11" t="s">
        <v>575</v>
      </c>
      <c r="B20" s="12" t="s">
        <v>576</v>
      </c>
      <c r="C20" s="11" t="s">
        <v>577</v>
      </c>
      <c r="D20" s="12"/>
      <c r="E20" s="13" t="n">
        <v>3</v>
      </c>
      <c r="F20" s="14" t="n">
        <f aca="false">G14</f>
        <v>104.59</v>
      </c>
      <c r="G20" s="14" t="n">
        <f aca="false">ROUND(E20/100*F20,2)</f>
        <v>3.14</v>
      </c>
      <c r="H20" s="15" t="s">
        <v>578</v>
      </c>
    </row>
    <row r="21" customFormat="false" ht="15" hidden="false" customHeight="false" outlineLevel="0" collapsed="false">
      <c r="A21" s="11" t="s">
        <v>461</v>
      </c>
      <c r="B21" s="12" t="s">
        <v>462</v>
      </c>
      <c r="C21" s="11" t="s">
        <v>463</v>
      </c>
      <c r="D21" s="12"/>
      <c r="E21" s="38" t="n">
        <v>0.5</v>
      </c>
      <c r="F21" s="14" t="n">
        <f aca="false">'PRECIOS DE INSUMOS'!$H$50</f>
        <v>5.83</v>
      </c>
      <c r="G21" s="14" t="n">
        <f aca="false">ROUND(E21*F21,2)</f>
        <v>2.92</v>
      </c>
      <c r="H21" s="15" t="s">
        <v>593</v>
      </c>
    </row>
    <row r="22" customFormat="false" ht="15" hidden="false" customHeight="false" outlineLevel="0" collapsed="false">
      <c r="A22" s="22"/>
      <c r="B22" s="23" t="s">
        <v>579</v>
      </c>
      <c r="C22" s="22"/>
      <c r="D22" s="22"/>
      <c r="E22" s="22"/>
      <c r="F22" s="22"/>
      <c r="G22" s="28" t="n">
        <f aca="false">SUM(G20:G21)</f>
        <v>6.06</v>
      </c>
      <c r="H22" s="22"/>
    </row>
    <row r="23" customFormat="false" ht="15" hidden="false" customHeight="false" outlineLevel="0" collapsed="false">
      <c r="A23" s="16" t="s">
        <v>586</v>
      </c>
      <c r="B23" s="16"/>
      <c r="C23" s="16"/>
      <c r="D23" s="16"/>
      <c r="E23" s="16"/>
      <c r="F23" s="16"/>
      <c r="G23" s="17" t="n">
        <f aca="false">G14+G18+G22</f>
        <v>124.93</v>
      </c>
      <c r="H23" s="18"/>
    </row>
    <row r="24" customFormat="false" ht="15" hidden="false" customHeight="true" outlineLevel="0" collapsed="false">
      <c r="A24" s="31" t="s">
        <v>678</v>
      </c>
      <c r="B24" s="31"/>
      <c r="C24" s="31"/>
      <c r="D24" s="31"/>
      <c r="E24" s="31"/>
      <c r="F24" s="31"/>
      <c r="G24" s="31"/>
      <c r="H24" s="31"/>
    </row>
    <row r="27" customFormat="false" ht="30" hidden="false" customHeight="true" outlineLevel="0" collapsed="false">
      <c r="A27" s="6" t="s">
        <v>679</v>
      </c>
      <c r="B27" s="6"/>
      <c r="C27" s="6"/>
      <c r="D27" s="6"/>
      <c r="E27" s="6"/>
      <c r="F27" s="6"/>
      <c r="G27" s="6"/>
      <c r="H27" s="6"/>
    </row>
    <row r="28" customFormat="false" ht="25.5" hidden="false" customHeight="true" outlineLevel="0" collapsed="false">
      <c r="A28" s="23" t="s">
        <v>551</v>
      </c>
      <c r="B28" s="39" t="n">
        <v>16</v>
      </c>
      <c r="C28" s="20" t="s">
        <v>552</v>
      </c>
      <c r="D28" s="33" t="n">
        <f aca="false">SUM(E32:E33)</f>
        <v>0.75</v>
      </c>
      <c r="E28" s="20" t="s">
        <v>553</v>
      </c>
      <c r="F28" s="33" t="n">
        <f aca="false">SUMIF(C40:C40,"hm",E40:E40)</f>
        <v>0</v>
      </c>
      <c r="G28" s="20" t="s">
        <v>582</v>
      </c>
      <c r="H28" s="34" t="n">
        <f aca="false">G42</f>
        <v>36.62</v>
      </c>
    </row>
    <row r="29" customFormat="false" ht="15" hidden="false" customHeight="true" outlineLevel="0" collapsed="false">
      <c r="A29" s="23" t="s">
        <v>555</v>
      </c>
      <c r="B29" s="40" t="n">
        <v>2</v>
      </c>
      <c r="C29" s="36" t="s">
        <v>643</v>
      </c>
      <c r="D29" s="36"/>
      <c r="E29" s="36"/>
      <c r="F29" s="36"/>
      <c r="G29" s="36"/>
      <c r="H29" s="36"/>
    </row>
    <row r="30" customFormat="false" ht="15" hidden="false" customHeight="false" outlineLevel="0" collapsed="false">
      <c r="A30" s="4" t="s">
        <v>240</v>
      </c>
      <c r="B30" s="4" t="s">
        <v>557</v>
      </c>
      <c r="C30" s="4" t="s">
        <v>5</v>
      </c>
      <c r="D30" s="4" t="s">
        <v>558</v>
      </c>
      <c r="E30" s="4" t="s">
        <v>559</v>
      </c>
      <c r="F30" s="4" t="s">
        <v>560</v>
      </c>
      <c r="G30" s="4" t="s">
        <v>561</v>
      </c>
      <c r="H30" s="4" t="s">
        <v>223</v>
      </c>
    </row>
    <row r="31" customFormat="false" ht="15" hidden="false" customHeight="true" outlineLevel="0" collapsed="false">
      <c r="A31" s="23" t="s">
        <v>562</v>
      </c>
      <c r="B31" s="23"/>
      <c r="C31" s="23"/>
      <c r="D31" s="23"/>
      <c r="E31" s="23"/>
      <c r="F31" s="23"/>
      <c r="G31" s="23"/>
      <c r="H31" s="23"/>
    </row>
    <row r="32" customFormat="false" ht="15" hidden="false" customHeight="false" outlineLevel="0" collapsed="false">
      <c r="A32" s="11" t="s">
        <v>563</v>
      </c>
      <c r="B32" s="12" t="s">
        <v>564</v>
      </c>
      <c r="C32" s="11" t="s">
        <v>565</v>
      </c>
      <c r="D32" s="13" t="n">
        <v>1</v>
      </c>
      <c r="E32" s="37" t="n">
        <f aca="false">ROUND(D32*8/$B$28,4)</f>
        <v>0.5</v>
      </c>
      <c r="F32" s="21" t="n">
        <f aca="false">'MANO DE OBRA 2026'!$C$16</f>
        <v>28.95</v>
      </c>
      <c r="G32" s="14" t="n">
        <f aca="false">ROUND(E32*F32,2)</f>
        <v>14.48</v>
      </c>
      <c r="H32" s="15" t="s">
        <v>566</v>
      </c>
    </row>
    <row r="33" customFormat="false" ht="15" hidden="false" customHeight="false" outlineLevel="0" collapsed="false">
      <c r="A33" s="11" t="s">
        <v>567</v>
      </c>
      <c r="B33" s="12" t="s">
        <v>568</v>
      </c>
      <c r="C33" s="11" t="s">
        <v>565</v>
      </c>
      <c r="D33" s="13" t="n">
        <v>0.5</v>
      </c>
      <c r="E33" s="37" t="n">
        <f aca="false">ROUND(D33*8/$B$28,4)</f>
        <v>0.25</v>
      </c>
      <c r="F33" s="21" t="n">
        <f aca="false">'MANO DE OBRA 2026'!$E$16</f>
        <v>20.54</v>
      </c>
      <c r="G33" s="14" t="n">
        <f aca="false">ROUND(E33*F33,2)</f>
        <v>5.14</v>
      </c>
      <c r="H33" s="15" t="s">
        <v>566</v>
      </c>
    </row>
    <row r="34" customFormat="false" ht="15" hidden="false" customHeight="false" outlineLevel="0" collapsed="false">
      <c r="A34" s="22"/>
      <c r="B34" s="23" t="s">
        <v>569</v>
      </c>
      <c r="C34" s="22"/>
      <c r="D34" s="22"/>
      <c r="E34" s="22"/>
      <c r="F34" s="22"/>
      <c r="G34" s="28" t="n">
        <f aca="false">SUM(G32:G33)</f>
        <v>19.62</v>
      </c>
      <c r="H34" s="22"/>
    </row>
    <row r="35" customFormat="false" ht="15" hidden="false" customHeight="true" outlineLevel="0" collapsed="false">
      <c r="A35" s="23" t="s">
        <v>570</v>
      </c>
      <c r="B35" s="23"/>
      <c r="C35" s="23"/>
      <c r="D35" s="23"/>
      <c r="E35" s="23"/>
      <c r="F35" s="23"/>
      <c r="G35" s="23"/>
      <c r="H35" s="23"/>
    </row>
    <row r="36" customFormat="false" ht="15" hidden="false" customHeight="true" outlineLevel="0" collapsed="false">
      <c r="A36" s="11" t="s">
        <v>279</v>
      </c>
      <c r="B36" s="12" t="s">
        <v>280</v>
      </c>
      <c r="C36" s="11" t="s">
        <v>20</v>
      </c>
      <c r="D36" s="12"/>
      <c r="E36" s="38" t="n">
        <v>1</v>
      </c>
      <c r="F36" s="14" t="n">
        <f aca="false">'PRECIOS DE INSUMOS'!$H$12</f>
        <v>13.47</v>
      </c>
      <c r="G36" s="14" t="n">
        <f aca="false">ROUND(E36*F36,2)</f>
        <v>13.47</v>
      </c>
      <c r="H36" s="15" t="s">
        <v>584</v>
      </c>
    </row>
    <row r="37" customFormat="false" ht="15" hidden="false" customHeight="true" outlineLevel="0" collapsed="false">
      <c r="A37" s="11" t="s">
        <v>445</v>
      </c>
      <c r="B37" s="12" t="s">
        <v>446</v>
      </c>
      <c r="C37" s="11" t="s">
        <v>447</v>
      </c>
      <c r="D37" s="12"/>
      <c r="E37" s="38" t="n">
        <v>0.014</v>
      </c>
      <c r="F37" s="14" t="n">
        <f aca="false">'PRECIOS DE INSUMOS'!$H$47</f>
        <v>209.83</v>
      </c>
      <c r="G37" s="14" t="n">
        <f aca="false">ROUND(E37*F37,2)</f>
        <v>2.94</v>
      </c>
      <c r="H37" s="15" t="s">
        <v>646</v>
      </c>
    </row>
    <row r="38" customFormat="false" ht="15" hidden="false" customHeight="false" outlineLevel="0" collapsed="false">
      <c r="A38" s="22"/>
      <c r="B38" s="23" t="s">
        <v>573</v>
      </c>
      <c r="C38" s="22"/>
      <c r="D38" s="22"/>
      <c r="E38" s="22"/>
      <c r="F38" s="22"/>
      <c r="G38" s="28" t="n">
        <f aca="false">SUM(G36:G37)</f>
        <v>16.41</v>
      </c>
      <c r="H38" s="22"/>
    </row>
    <row r="39" customFormat="false" ht="15" hidden="false" customHeight="true" outlineLevel="0" collapsed="false">
      <c r="A39" s="23" t="s">
        <v>574</v>
      </c>
      <c r="B39" s="23"/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A40" s="11" t="s">
        <v>575</v>
      </c>
      <c r="B40" s="12" t="s">
        <v>576</v>
      </c>
      <c r="C40" s="11" t="s">
        <v>577</v>
      </c>
      <c r="D40" s="12"/>
      <c r="E40" s="13" t="n">
        <v>3</v>
      </c>
      <c r="F40" s="14" t="n">
        <f aca="false">G34</f>
        <v>19.62</v>
      </c>
      <c r="G40" s="14" t="n">
        <f aca="false">ROUND(E40/100*F40,2)</f>
        <v>0.59</v>
      </c>
      <c r="H40" s="15" t="s">
        <v>578</v>
      </c>
    </row>
    <row r="41" customFormat="false" ht="15" hidden="false" customHeight="false" outlineLevel="0" collapsed="false">
      <c r="A41" s="22"/>
      <c r="B41" s="23" t="s">
        <v>579</v>
      </c>
      <c r="C41" s="22"/>
      <c r="D41" s="22"/>
      <c r="E41" s="22"/>
      <c r="F41" s="22"/>
      <c r="G41" s="28" t="n">
        <f aca="false">SUM(G40:G40)</f>
        <v>0.59</v>
      </c>
      <c r="H41" s="22"/>
    </row>
    <row r="42" customFormat="false" ht="15" hidden="false" customHeight="false" outlineLevel="0" collapsed="false">
      <c r="A42" s="16" t="s">
        <v>586</v>
      </c>
      <c r="B42" s="16"/>
      <c r="C42" s="16"/>
      <c r="D42" s="16"/>
      <c r="E42" s="16"/>
      <c r="F42" s="16"/>
      <c r="G42" s="17" t="n">
        <f aca="false">G34+G38+G41</f>
        <v>36.62</v>
      </c>
      <c r="H42" s="18"/>
    </row>
    <row r="45" customFormat="false" ht="30" hidden="false" customHeight="true" outlineLevel="0" collapsed="false">
      <c r="A45" s="6" t="s">
        <v>680</v>
      </c>
      <c r="B45" s="6"/>
      <c r="C45" s="6"/>
      <c r="D45" s="6"/>
      <c r="E45" s="6"/>
      <c r="F45" s="6"/>
      <c r="G45" s="6"/>
      <c r="H45" s="6"/>
    </row>
    <row r="46" customFormat="false" ht="25.5" hidden="false" customHeight="true" outlineLevel="0" collapsed="false">
      <c r="A46" s="23" t="s">
        <v>551</v>
      </c>
      <c r="B46" s="39" t="n">
        <v>16</v>
      </c>
      <c r="C46" s="20" t="s">
        <v>552</v>
      </c>
      <c r="D46" s="33" t="n">
        <f aca="false">SUM(E50:E51)</f>
        <v>0.75</v>
      </c>
      <c r="E46" s="20" t="s">
        <v>553</v>
      </c>
      <c r="F46" s="33" t="n">
        <f aca="false">SUMIF(C58:C58,"hm",E58:E58)</f>
        <v>0</v>
      </c>
      <c r="G46" s="20" t="s">
        <v>582</v>
      </c>
      <c r="H46" s="34" t="n">
        <f aca="false">G60</f>
        <v>23.24</v>
      </c>
    </row>
    <row r="47" customFormat="false" ht="15" hidden="false" customHeight="true" outlineLevel="0" collapsed="false">
      <c r="A47" s="23" t="s">
        <v>555</v>
      </c>
      <c r="B47" s="40" t="n">
        <v>2</v>
      </c>
      <c r="C47" s="36" t="s">
        <v>643</v>
      </c>
      <c r="D47" s="36"/>
      <c r="E47" s="36"/>
      <c r="F47" s="36"/>
      <c r="G47" s="36"/>
      <c r="H47" s="36"/>
    </row>
    <row r="48" customFormat="false" ht="15" hidden="false" customHeight="false" outlineLevel="0" collapsed="false">
      <c r="A48" s="4" t="s">
        <v>240</v>
      </c>
      <c r="B48" s="4" t="s">
        <v>557</v>
      </c>
      <c r="C48" s="4" t="s">
        <v>5</v>
      </c>
      <c r="D48" s="4" t="s">
        <v>558</v>
      </c>
      <c r="E48" s="4" t="s">
        <v>559</v>
      </c>
      <c r="F48" s="4" t="s">
        <v>560</v>
      </c>
      <c r="G48" s="4" t="s">
        <v>561</v>
      </c>
      <c r="H48" s="4" t="s">
        <v>223</v>
      </c>
    </row>
    <row r="49" customFormat="false" ht="15" hidden="false" customHeight="true" outlineLevel="0" collapsed="false">
      <c r="A49" s="23" t="s">
        <v>562</v>
      </c>
      <c r="B49" s="23"/>
      <c r="C49" s="23"/>
      <c r="D49" s="23"/>
      <c r="E49" s="23"/>
      <c r="F49" s="23"/>
      <c r="G49" s="23"/>
      <c r="H49" s="23"/>
    </row>
    <row r="50" customFormat="false" ht="15" hidden="false" customHeight="false" outlineLevel="0" collapsed="false">
      <c r="A50" s="11" t="s">
        <v>563</v>
      </c>
      <c r="B50" s="12" t="s">
        <v>564</v>
      </c>
      <c r="C50" s="11" t="s">
        <v>565</v>
      </c>
      <c r="D50" s="13" t="n">
        <v>1</v>
      </c>
      <c r="E50" s="37" t="n">
        <f aca="false">ROUND(D50*8/$B$46,4)</f>
        <v>0.5</v>
      </c>
      <c r="F50" s="21" t="n">
        <f aca="false">'MANO DE OBRA 2026'!$C$16</f>
        <v>28.95</v>
      </c>
      <c r="G50" s="14" t="n">
        <f aca="false">ROUND(E50*F50,2)</f>
        <v>14.48</v>
      </c>
      <c r="H50" s="15" t="s">
        <v>566</v>
      </c>
    </row>
    <row r="51" customFormat="false" ht="15" hidden="false" customHeight="false" outlineLevel="0" collapsed="false">
      <c r="A51" s="11" t="s">
        <v>567</v>
      </c>
      <c r="B51" s="12" t="s">
        <v>568</v>
      </c>
      <c r="C51" s="11" t="s">
        <v>565</v>
      </c>
      <c r="D51" s="13" t="n">
        <v>0.5</v>
      </c>
      <c r="E51" s="37" t="n">
        <f aca="false">ROUND(D51*8/$B$46,4)</f>
        <v>0.25</v>
      </c>
      <c r="F51" s="21" t="n">
        <f aca="false">'MANO DE OBRA 2026'!$E$16</f>
        <v>20.54</v>
      </c>
      <c r="G51" s="14" t="n">
        <f aca="false">ROUND(E51*F51,2)</f>
        <v>5.14</v>
      </c>
      <c r="H51" s="15" t="s">
        <v>566</v>
      </c>
    </row>
    <row r="52" customFormat="false" ht="15" hidden="false" customHeight="false" outlineLevel="0" collapsed="false">
      <c r="A52" s="22"/>
      <c r="B52" s="23" t="s">
        <v>569</v>
      </c>
      <c r="C52" s="22"/>
      <c r="D52" s="22"/>
      <c r="E52" s="22"/>
      <c r="F52" s="22"/>
      <c r="G52" s="28" t="n">
        <f aca="false">SUM(G50:G51)</f>
        <v>19.62</v>
      </c>
      <c r="H52" s="22"/>
    </row>
    <row r="53" customFormat="false" ht="15" hidden="false" customHeight="true" outlineLevel="0" collapsed="false">
      <c r="A53" s="23" t="s">
        <v>570</v>
      </c>
      <c r="B53" s="23"/>
      <c r="C53" s="23"/>
      <c r="D53" s="23"/>
      <c r="E53" s="23"/>
      <c r="F53" s="23"/>
      <c r="G53" s="23"/>
      <c r="H53" s="23"/>
    </row>
    <row r="54" customFormat="false" ht="15" hidden="false" customHeight="true" outlineLevel="0" collapsed="false">
      <c r="A54" s="11" t="s">
        <v>330</v>
      </c>
      <c r="B54" s="12" t="s">
        <v>331</v>
      </c>
      <c r="C54" s="11" t="s">
        <v>20</v>
      </c>
      <c r="D54" s="12"/>
      <c r="E54" s="38" t="n">
        <v>1</v>
      </c>
      <c r="F54" s="14" t="n">
        <f aca="false">'PRECIOS DE INSUMOS'!$H$23</f>
        <v>2.41</v>
      </c>
      <c r="G54" s="14" t="n">
        <f aca="false">ROUND(E54*F54,2)</f>
        <v>2.41</v>
      </c>
      <c r="H54" s="15" t="s">
        <v>584</v>
      </c>
    </row>
    <row r="55" customFormat="false" ht="15" hidden="false" customHeight="true" outlineLevel="0" collapsed="false">
      <c r="A55" s="11" t="s">
        <v>451</v>
      </c>
      <c r="B55" s="12" t="s">
        <v>452</v>
      </c>
      <c r="C55" s="11" t="s">
        <v>20</v>
      </c>
      <c r="D55" s="12"/>
      <c r="E55" s="38" t="n">
        <v>0.25</v>
      </c>
      <c r="F55" s="14" t="n">
        <f aca="false">'PRECIOS DE INSUMOS'!$H$48</f>
        <v>2.46</v>
      </c>
      <c r="G55" s="14" t="n">
        <f aca="false">ROUND(E55*F55,2)</f>
        <v>0.62</v>
      </c>
      <c r="H55" s="15" t="s">
        <v>589</v>
      </c>
    </row>
    <row r="56" customFormat="false" ht="15" hidden="false" customHeight="false" outlineLevel="0" collapsed="false">
      <c r="A56" s="22"/>
      <c r="B56" s="23" t="s">
        <v>573</v>
      </c>
      <c r="C56" s="22"/>
      <c r="D56" s="22"/>
      <c r="E56" s="22"/>
      <c r="F56" s="22"/>
      <c r="G56" s="28" t="n">
        <f aca="false">SUM(G54:G55)</f>
        <v>3.03</v>
      </c>
      <c r="H56" s="22"/>
    </row>
    <row r="57" customFormat="false" ht="15" hidden="false" customHeight="true" outlineLevel="0" collapsed="false">
      <c r="A57" s="23" t="s">
        <v>574</v>
      </c>
      <c r="B57" s="23"/>
      <c r="C57" s="23"/>
      <c r="D57" s="23"/>
      <c r="E57" s="23"/>
      <c r="F57" s="23"/>
      <c r="G57" s="23"/>
      <c r="H57" s="23"/>
    </row>
    <row r="58" customFormat="false" ht="15" hidden="false" customHeight="false" outlineLevel="0" collapsed="false">
      <c r="A58" s="11" t="s">
        <v>575</v>
      </c>
      <c r="B58" s="12" t="s">
        <v>576</v>
      </c>
      <c r="C58" s="11" t="s">
        <v>577</v>
      </c>
      <c r="D58" s="12"/>
      <c r="E58" s="13" t="n">
        <v>3</v>
      </c>
      <c r="F58" s="14" t="n">
        <f aca="false">G52</f>
        <v>19.62</v>
      </c>
      <c r="G58" s="14" t="n">
        <f aca="false">ROUND(E58/100*F58,2)</f>
        <v>0.59</v>
      </c>
      <c r="H58" s="15" t="s">
        <v>578</v>
      </c>
    </row>
    <row r="59" customFormat="false" ht="15" hidden="false" customHeight="false" outlineLevel="0" collapsed="false">
      <c r="A59" s="22"/>
      <c r="B59" s="23" t="s">
        <v>579</v>
      </c>
      <c r="C59" s="22"/>
      <c r="D59" s="22"/>
      <c r="E59" s="22"/>
      <c r="F59" s="22"/>
      <c r="G59" s="28" t="n">
        <f aca="false">SUM(G58:G58)</f>
        <v>0.59</v>
      </c>
      <c r="H59" s="22"/>
    </row>
    <row r="60" customFormat="false" ht="15" hidden="false" customHeight="false" outlineLevel="0" collapsed="false">
      <c r="A60" s="16" t="s">
        <v>586</v>
      </c>
      <c r="B60" s="16"/>
      <c r="C60" s="16"/>
      <c r="D60" s="16"/>
      <c r="E60" s="16"/>
      <c r="F60" s="16"/>
      <c r="G60" s="17" t="n">
        <f aca="false">G52+G56+G59</f>
        <v>23.24</v>
      </c>
      <c r="H60" s="18"/>
    </row>
    <row r="63" customFormat="false" ht="30" hidden="false" customHeight="true" outlineLevel="0" collapsed="false">
      <c r="A63" s="6" t="s">
        <v>681</v>
      </c>
      <c r="B63" s="6"/>
      <c r="C63" s="6"/>
      <c r="D63" s="6"/>
      <c r="E63" s="6"/>
      <c r="F63" s="6"/>
      <c r="G63" s="6"/>
      <c r="H63" s="6"/>
    </row>
    <row r="64" customFormat="false" ht="25.5" hidden="false" customHeight="true" outlineLevel="0" collapsed="false">
      <c r="A64" s="23" t="s">
        <v>551</v>
      </c>
      <c r="B64" s="39" t="n">
        <v>16</v>
      </c>
      <c r="C64" s="20" t="s">
        <v>552</v>
      </c>
      <c r="D64" s="33" t="n">
        <f aca="false">SUM(E68:E69)</f>
        <v>0.75</v>
      </c>
      <c r="E64" s="20" t="s">
        <v>553</v>
      </c>
      <c r="F64" s="33" t="n">
        <f aca="false">SUMIF(C77:C77,"hm",E77:E77)</f>
        <v>0</v>
      </c>
      <c r="G64" s="20" t="s">
        <v>582</v>
      </c>
      <c r="H64" s="34" t="n">
        <f aca="false">G79</f>
        <v>36.82</v>
      </c>
    </row>
    <row r="65" customFormat="false" ht="15" hidden="false" customHeight="true" outlineLevel="0" collapsed="false">
      <c r="A65" s="23" t="s">
        <v>555</v>
      </c>
      <c r="B65" s="40" t="n">
        <v>2</v>
      </c>
      <c r="C65" s="36" t="s">
        <v>643</v>
      </c>
      <c r="D65" s="36"/>
      <c r="E65" s="36"/>
      <c r="F65" s="36"/>
      <c r="G65" s="36"/>
      <c r="H65" s="36"/>
    </row>
    <row r="66" customFormat="false" ht="15" hidden="false" customHeight="false" outlineLevel="0" collapsed="false">
      <c r="A66" s="4" t="s">
        <v>240</v>
      </c>
      <c r="B66" s="4" t="s">
        <v>557</v>
      </c>
      <c r="C66" s="4" t="s">
        <v>5</v>
      </c>
      <c r="D66" s="4" t="s">
        <v>558</v>
      </c>
      <c r="E66" s="4" t="s">
        <v>559</v>
      </c>
      <c r="F66" s="4" t="s">
        <v>560</v>
      </c>
      <c r="G66" s="4" t="s">
        <v>561</v>
      </c>
      <c r="H66" s="4" t="s">
        <v>223</v>
      </c>
    </row>
    <row r="67" customFormat="false" ht="15" hidden="false" customHeight="true" outlineLevel="0" collapsed="false">
      <c r="A67" s="23" t="s">
        <v>562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11" t="s">
        <v>563</v>
      </c>
      <c r="B68" s="12" t="s">
        <v>564</v>
      </c>
      <c r="C68" s="11" t="s">
        <v>565</v>
      </c>
      <c r="D68" s="13" t="n">
        <v>1</v>
      </c>
      <c r="E68" s="37" t="n">
        <f aca="false">ROUND(D68*8/$B$64,4)</f>
        <v>0.5</v>
      </c>
      <c r="F68" s="21" t="n">
        <f aca="false">'MANO DE OBRA 2026'!$C$16</f>
        <v>28.95</v>
      </c>
      <c r="G68" s="14" t="n">
        <f aca="false">ROUND(E68*F68,2)</f>
        <v>14.48</v>
      </c>
      <c r="H68" s="15" t="s">
        <v>566</v>
      </c>
    </row>
    <row r="69" customFormat="false" ht="15" hidden="false" customHeight="false" outlineLevel="0" collapsed="false">
      <c r="A69" s="11" t="s">
        <v>567</v>
      </c>
      <c r="B69" s="12" t="s">
        <v>568</v>
      </c>
      <c r="C69" s="11" t="s">
        <v>565</v>
      </c>
      <c r="D69" s="13" t="n">
        <v>0.5</v>
      </c>
      <c r="E69" s="37" t="n">
        <f aca="false">ROUND(D69*8/$B$64,4)</f>
        <v>0.25</v>
      </c>
      <c r="F69" s="21" t="n">
        <f aca="false">'MANO DE OBRA 2026'!$E$16</f>
        <v>20.54</v>
      </c>
      <c r="G69" s="14" t="n">
        <f aca="false">ROUND(E69*F69,2)</f>
        <v>5.14</v>
      </c>
      <c r="H69" s="15" t="s">
        <v>566</v>
      </c>
    </row>
    <row r="70" customFormat="false" ht="15" hidden="false" customHeight="false" outlineLevel="0" collapsed="false">
      <c r="A70" s="22"/>
      <c r="B70" s="23" t="s">
        <v>569</v>
      </c>
      <c r="C70" s="22"/>
      <c r="D70" s="22"/>
      <c r="E70" s="22"/>
      <c r="F70" s="22"/>
      <c r="G70" s="28" t="n">
        <f aca="false">SUM(G68:G69)</f>
        <v>19.62</v>
      </c>
      <c r="H70" s="22"/>
    </row>
    <row r="71" customFormat="false" ht="15" hidden="false" customHeight="true" outlineLevel="0" collapsed="false">
      <c r="A71" s="23" t="s">
        <v>570</v>
      </c>
      <c r="B71" s="23"/>
      <c r="C71" s="23"/>
      <c r="D71" s="23"/>
      <c r="E71" s="23"/>
      <c r="F71" s="23"/>
      <c r="G71" s="23"/>
      <c r="H71" s="23"/>
    </row>
    <row r="72" customFormat="false" ht="15" hidden="false" customHeight="true" outlineLevel="0" collapsed="false">
      <c r="A72" s="11" t="s">
        <v>279</v>
      </c>
      <c r="B72" s="12" t="s">
        <v>280</v>
      </c>
      <c r="C72" s="11" t="s">
        <v>20</v>
      </c>
      <c r="D72" s="12"/>
      <c r="E72" s="38" t="n">
        <v>1</v>
      </c>
      <c r="F72" s="14" t="n">
        <f aca="false">'PRECIOS DE INSUMOS'!$H$12</f>
        <v>13.47</v>
      </c>
      <c r="G72" s="14" t="n">
        <f aca="false">ROUND(E72*F72,2)</f>
        <v>13.47</v>
      </c>
      <c r="H72" s="15" t="s">
        <v>682</v>
      </c>
    </row>
    <row r="73" customFormat="false" ht="15" hidden="false" customHeight="true" outlineLevel="0" collapsed="false">
      <c r="A73" s="11" t="s">
        <v>439</v>
      </c>
      <c r="B73" s="12" t="s">
        <v>440</v>
      </c>
      <c r="C73" s="11" t="s">
        <v>441</v>
      </c>
      <c r="D73" s="12"/>
      <c r="E73" s="38" t="n">
        <v>0.05</v>
      </c>
      <c r="F73" s="14" t="n">
        <f aca="false">'PRECIOS DE INSUMOS'!$H$46</f>
        <v>4.08</v>
      </c>
      <c r="G73" s="14" t="n">
        <f aca="false">ROUND(E73*F73,2)</f>
        <v>0.2</v>
      </c>
      <c r="H73" s="15" t="s">
        <v>683</v>
      </c>
    </row>
    <row r="74" customFormat="false" ht="15" hidden="false" customHeight="true" outlineLevel="0" collapsed="false">
      <c r="A74" s="11" t="s">
        <v>445</v>
      </c>
      <c r="B74" s="12" t="s">
        <v>446</v>
      </c>
      <c r="C74" s="11" t="s">
        <v>447</v>
      </c>
      <c r="D74" s="12"/>
      <c r="E74" s="38" t="n">
        <v>0.014</v>
      </c>
      <c r="F74" s="14" t="n">
        <f aca="false">'PRECIOS DE INSUMOS'!$H$47</f>
        <v>209.83</v>
      </c>
      <c r="G74" s="14" t="n">
        <f aca="false">ROUND(E74*F74,2)</f>
        <v>2.94</v>
      </c>
      <c r="H74" s="15" t="s">
        <v>646</v>
      </c>
    </row>
    <row r="75" customFormat="false" ht="15" hidden="false" customHeight="false" outlineLevel="0" collapsed="false">
      <c r="A75" s="22"/>
      <c r="B75" s="23" t="s">
        <v>573</v>
      </c>
      <c r="C75" s="22"/>
      <c r="D75" s="22"/>
      <c r="E75" s="22"/>
      <c r="F75" s="22"/>
      <c r="G75" s="28" t="n">
        <f aca="false">SUM(G72:G74)</f>
        <v>16.61</v>
      </c>
      <c r="H75" s="22"/>
    </row>
    <row r="76" customFormat="false" ht="15" hidden="false" customHeight="true" outlineLevel="0" collapsed="false">
      <c r="A76" s="23" t="s">
        <v>574</v>
      </c>
      <c r="B76" s="23"/>
      <c r="C76" s="23"/>
      <c r="D76" s="23"/>
      <c r="E76" s="23"/>
      <c r="F76" s="23"/>
      <c r="G76" s="23"/>
      <c r="H76" s="23"/>
    </row>
    <row r="77" customFormat="false" ht="15" hidden="false" customHeight="false" outlineLevel="0" collapsed="false">
      <c r="A77" s="11" t="s">
        <v>575</v>
      </c>
      <c r="B77" s="12" t="s">
        <v>576</v>
      </c>
      <c r="C77" s="11" t="s">
        <v>577</v>
      </c>
      <c r="D77" s="12"/>
      <c r="E77" s="13" t="n">
        <v>3</v>
      </c>
      <c r="F77" s="14" t="n">
        <f aca="false">G70</f>
        <v>19.62</v>
      </c>
      <c r="G77" s="14" t="n">
        <f aca="false">ROUND(E77/100*F77,2)</f>
        <v>0.59</v>
      </c>
      <c r="H77" s="15" t="s">
        <v>578</v>
      </c>
    </row>
    <row r="78" customFormat="false" ht="15" hidden="false" customHeight="false" outlineLevel="0" collapsed="false">
      <c r="A78" s="22"/>
      <c r="B78" s="23" t="s">
        <v>579</v>
      </c>
      <c r="C78" s="22"/>
      <c r="D78" s="22"/>
      <c r="E78" s="22"/>
      <c r="F78" s="22"/>
      <c r="G78" s="28" t="n">
        <f aca="false">SUM(G77:G77)</f>
        <v>0.59</v>
      </c>
      <c r="H78" s="22"/>
    </row>
    <row r="79" customFormat="false" ht="15" hidden="false" customHeight="false" outlineLevel="0" collapsed="false">
      <c r="A79" s="16" t="s">
        <v>586</v>
      </c>
      <c r="B79" s="16"/>
      <c r="C79" s="16"/>
      <c r="D79" s="16"/>
      <c r="E79" s="16"/>
      <c r="F79" s="16"/>
      <c r="G79" s="17" t="n">
        <f aca="false">G70+G75+G78</f>
        <v>36.82</v>
      </c>
      <c r="H79" s="18"/>
    </row>
    <row r="80" customFormat="false" ht="15" hidden="false" customHeight="true" outlineLevel="0" collapsed="false">
      <c r="A80" s="31" t="s">
        <v>684</v>
      </c>
      <c r="B80" s="31"/>
      <c r="C80" s="31"/>
      <c r="D80" s="31"/>
      <c r="E80" s="31"/>
      <c r="F80" s="31"/>
      <c r="G80" s="31"/>
      <c r="H80" s="31"/>
    </row>
  </sheetData>
  <mergeCells count="30">
    <mergeCell ref="A1:H1"/>
    <mergeCell ref="A2:H2"/>
    <mergeCell ref="A3:H3"/>
    <mergeCell ref="A5:H5"/>
    <mergeCell ref="A7:H7"/>
    <mergeCell ref="C9:H9"/>
    <mergeCell ref="A11:H11"/>
    <mergeCell ref="A15:H15"/>
    <mergeCell ref="A19:H19"/>
    <mergeCell ref="A23:F23"/>
    <mergeCell ref="A24:H24"/>
    <mergeCell ref="A27:H27"/>
    <mergeCell ref="C29:H29"/>
    <mergeCell ref="A31:H31"/>
    <mergeCell ref="A35:H35"/>
    <mergeCell ref="A39:H39"/>
    <mergeCell ref="A42:F42"/>
    <mergeCell ref="A45:H45"/>
    <mergeCell ref="C47:H47"/>
    <mergeCell ref="A49:H49"/>
    <mergeCell ref="A53:H53"/>
    <mergeCell ref="A57:H57"/>
    <mergeCell ref="A60:F60"/>
    <mergeCell ref="A63:H63"/>
    <mergeCell ref="C65:H65"/>
    <mergeCell ref="A67:H67"/>
    <mergeCell ref="A71:H71"/>
    <mergeCell ref="A76:H76"/>
    <mergeCell ref="A79:F79"/>
    <mergeCell ref="A80:H80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685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686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41" t="n">
        <v>23.5</v>
      </c>
      <c r="C8" s="20" t="s">
        <v>552</v>
      </c>
      <c r="D8" s="33" t="n">
        <f aca="false">SUM(E12:E13)</f>
        <v>0.6808</v>
      </c>
      <c r="E8" s="20" t="s">
        <v>553</v>
      </c>
      <c r="F8" s="33" t="n">
        <f aca="false">SUMIF(C21:C21,"hm",E21:E21)</f>
        <v>0</v>
      </c>
      <c r="G8" s="20" t="s">
        <v>687</v>
      </c>
      <c r="H8" s="34" t="n">
        <f aca="false">G23</f>
        <v>29.51</v>
      </c>
    </row>
    <row r="9" customFormat="false" ht="15" hidden="false" customHeight="true" outlineLevel="0" collapsed="false">
      <c r="A9" s="23" t="s">
        <v>555</v>
      </c>
      <c r="B9" s="42" t="n">
        <f aca="false">32+15</f>
        <v>47</v>
      </c>
      <c r="C9" s="36" t="s">
        <v>688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0.3404</v>
      </c>
      <c r="F12" s="21" t="n">
        <f aca="false">'MANO DE OBRA 2026'!$C$16</f>
        <v>28.95</v>
      </c>
      <c r="G12" s="14" t="n">
        <f aca="false">ROUND(E12*F12,2)</f>
        <v>9.85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1</v>
      </c>
      <c r="E13" s="37" t="n">
        <f aca="false">ROUND(D13*8/$B$8,4)</f>
        <v>0.3404</v>
      </c>
      <c r="F13" s="21" t="n">
        <f aca="false">'MANO DE OBRA 2026'!$E$16</f>
        <v>20.54</v>
      </c>
      <c r="G13" s="14" t="n">
        <f aca="false">ROUND(E13*F13,2)</f>
        <v>6.99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16.84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11" t="s">
        <v>469</v>
      </c>
      <c r="B16" s="12" t="s">
        <v>689</v>
      </c>
      <c r="C16" s="11" t="s">
        <v>201</v>
      </c>
      <c r="D16" s="12"/>
      <c r="E16" s="38" t="n">
        <v>1.1</v>
      </c>
      <c r="F16" s="14" t="n">
        <f aca="false">'PRECIOS DE INSUMOS'!$H$51</f>
        <v>8.33</v>
      </c>
      <c r="G16" s="14" t="n">
        <f aca="false">ROUND(E16*F16,2)</f>
        <v>9.16</v>
      </c>
      <c r="H16" s="15" t="s">
        <v>690</v>
      </c>
    </row>
    <row r="17" customFormat="false" ht="24" hidden="false" customHeight="true" outlineLevel="0" collapsed="false">
      <c r="A17" s="11" t="s">
        <v>475</v>
      </c>
      <c r="B17" s="12" t="s">
        <v>691</v>
      </c>
      <c r="C17" s="11" t="s">
        <v>429</v>
      </c>
      <c r="D17" s="12"/>
      <c r="E17" s="37" t="n">
        <f aca="false">ROUND(50/1000/0.7,4)</f>
        <v>0.0714</v>
      </c>
      <c r="F17" s="14" t="n">
        <f aca="false">'PRECIOS DE INSUMOS'!$H$52</f>
        <v>29.66</v>
      </c>
      <c r="G17" s="14" t="n">
        <f aca="false">ROUND(E17*F17,2)</f>
        <v>2.12</v>
      </c>
      <c r="H17" s="15" t="s">
        <v>692</v>
      </c>
    </row>
    <row r="18" customFormat="false" ht="15" hidden="false" customHeight="true" outlineLevel="0" collapsed="false">
      <c r="A18" s="11" t="s">
        <v>482</v>
      </c>
      <c r="B18" s="12" t="s">
        <v>483</v>
      </c>
      <c r="C18" s="11" t="s">
        <v>20</v>
      </c>
      <c r="D18" s="12"/>
      <c r="E18" s="37" t="n">
        <f aca="false">ROUND(1/47,4)</f>
        <v>0.0213</v>
      </c>
      <c r="F18" s="14" t="n">
        <f aca="false">'PRECIOS DE INSUMOS'!$H$53</f>
        <v>41.53</v>
      </c>
      <c r="G18" s="14" t="n">
        <f aca="false">ROUND(E18*F18,2)</f>
        <v>0.88</v>
      </c>
      <c r="H18" s="15" t="s">
        <v>693</v>
      </c>
    </row>
    <row r="19" customFormat="false" ht="15" hidden="false" customHeight="false" outlineLevel="0" collapsed="false">
      <c r="A19" s="22"/>
      <c r="B19" s="23" t="s">
        <v>573</v>
      </c>
      <c r="C19" s="22"/>
      <c r="D19" s="22"/>
      <c r="E19" s="22"/>
      <c r="F19" s="22"/>
      <c r="G19" s="28" t="n">
        <f aca="false">SUM(G16:G18)</f>
        <v>12.16</v>
      </c>
      <c r="H19" s="22"/>
    </row>
    <row r="20" customFormat="false" ht="15" hidden="false" customHeight="true" outlineLevel="0" collapsed="false">
      <c r="A20" s="23" t="s">
        <v>574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false" outlineLevel="0" collapsed="false">
      <c r="A21" s="11" t="s">
        <v>575</v>
      </c>
      <c r="B21" s="12" t="s">
        <v>576</v>
      </c>
      <c r="C21" s="11" t="s">
        <v>577</v>
      </c>
      <c r="D21" s="12"/>
      <c r="E21" s="13" t="n">
        <v>3</v>
      </c>
      <c r="F21" s="14" t="n">
        <f aca="false">G14</f>
        <v>16.84</v>
      </c>
      <c r="G21" s="14" t="n">
        <f aca="false">ROUND(E21/100*F21,2)</f>
        <v>0.51</v>
      </c>
      <c r="H21" s="15" t="s">
        <v>578</v>
      </c>
    </row>
    <row r="22" customFormat="false" ht="15" hidden="false" customHeight="false" outlineLevel="0" collapsed="false">
      <c r="A22" s="22"/>
      <c r="B22" s="23" t="s">
        <v>579</v>
      </c>
      <c r="C22" s="22"/>
      <c r="D22" s="22"/>
      <c r="E22" s="22"/>
      <c r="F22" s="22"/>
      <c r="G22" s="28" t="n">
        <f aca="false">SUM(G21:G21)</f>
        <v>0.51</v>
      </c>
      <c r="H22" s="22"/>
    </row>
    <row r="23" customFormat="false" ht="15" hidden="false" customHeight="false" outlineLevel="0" collapsed="false">
      <c r="A23" s="16" t="s">
        <v>694</v>
      </c>
      <c r="B23" s="16"/>
      <c r="C23" s="16"/>
      <c r="D23" s="16"/>
      <c r="E23" s="16"/>
      <c r="F23" s="16"/>
      <c r="G23" s="17" t="n">
        <f aca="false">G14+G19+G22</f>
        <v>29.51</v>
      </c>
      <c r="H23" s="18"/>
    </row>
    <row r="24" customFormat="false" ht="25.5" hidden="false" customHeight="true" outlineLevel="0" collapsed="false">
      <c r="A24" s="31" t="s">
        <v>695</v>
      </c>
      <c r="B24" s="31"/>
      <c r="C24" s="31"/>
      <c r="D24" s="31"/>
      <c r="E24" s="31"/>
      <c r="F24" s="31"/>
      <c r="G24" s="31"/>
      <c r="H24" s="31"/>
    </row>
    <row r="25" customFormat="false" ht="25.5" hidden="false" customHeight="true" outlineLevel="0" collapsed="false">
      <c r="A25" s="31" t="s">
        <v>696</v>
      </c>
      <c r="B25" s="31"/>
      <c r="C25" s="31"/>
      <c r="D25" s="31"/>
      <c r="E25" s="31"/>
      <c r="F25" s="31"/>
      <c r="G25" s="31"/>
      <c r="H25" s="31"/>
    </row>
    <row r="26" customFormat="false" ht="15" hidden="false" customHeight="true" outlineLevel="0" collapsed="false">
      <c r="A26" s="31" t="s">
        <v>697</v>
      </c>
      <c r="B26" s="31"/>
      <c r="C26" s="31"/>
      <c r="D26" s="31"/>
      <c r="E26" s="31"/>
      <c r="F26" s="31"/>
      <c r="G26" s="31"/>
      <c r="H26" s="31"/>
    </row>
  </sheetData>
  <mergeCells count="13">
    <mergeCell ref="A1:H1"/>
    <mergeCell ref="A2:H2"/>
    <mergeCell ref="A3:H3"/>
    <mergeCell ref="A5:H5"/>
    <mergeCell ref="A7:H7"/>
    <mergeCell ref="C9:H9"/>
    <mergeCell ref="A11:H11"/>
    <mergeCell ref="A15:H15"/>
    <mergeCell ref="A20:H20"/>
    <mergeCell ref="A23:F23"/>
    <mergeCell ref="A24:H24"/>
    <mergeCell ref="A25:H25"/>
    <mergeCell ref="A26:H2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24" hidden="false" customHeight="true" outlineLevel="0" collapsed="false">
      <c r="A1" s="1" t="s">
        <v>546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19" t="s">
        <v>1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 t="s">
        <v>547</v>
      </c>
      <c r="B3" s="19"/>
      <c r="C3" s="19"/>
      <c r="D3" s="19"/>
      <c r="E3" s="19"/>
      <c r="F3" s="19"/>
      <c r="G3" s="19"/>
      <c r="H3" s="19"/>
    </row>
    <row r="5" customFormat="false" ht="30" hidden="false" customHeight="true" outlineLevel="0" collapsed="false">
      <c r="A5" s="30" t="s">
        <v>698</v>
      </c>
      <c r="B5" s="30"/>
      <c r="C5" s="30"/>
      <c r="D5" s="30"/>
      <c r="E5" s="30"/>
      <c r="F5" s="30"/>
      <c r="G5" s="30"/>
      <c r="H5" s="30"/>
    </row>
    <row r="7" customFormat="false" ht="30" hidden="false" customHeight="true" outlineLevel="0" collapsed="false">
      <c r="A7" s="6" t="s">
        <v>699</v>
      </c>
      <c r="B7" s="6"/>
      <c r="C7" s="6"/>
      <c r="D7" s="6"/>
      <c r="E7" s="6"/>
      <c r="F7" s="6"/>
      <c r="G7" s="6"/>
      <c r="H7" s="6"/>
    </row>
    <row r="8" customFormat="false" ht="25.5" hidden="false" customHeight="true" outlineLevel="0" collapsed="false">
      <c r="A8" s="23" t="s">
        <v>551</v>
      </c>
      <c r="B8" s="43" t="n">
        <f aca="false">G37</f>
        <v>0.3437</v>
      </c>
      <c r="C8" s="20" t="s">
        <v>552</v>
      </c>
      <c r="D8" s="33" t="n">
        <f aca="false">SUM(E12:E13)</f>
        <v>46.5522</v>
      </c>
      <c r="E8" s="20" t="s">
        <v>553</v>
      </c>
      <c r="F8" s="33" t="n">
        <f aca="false">SUMIF(C27:C28,"hm",E27:E28)</f>
        <v>13.77</v>
      </c>
      <c r="G8" s="20" t="s">
        <v>582</v>
      </c>
      <c r="H8" s="34" t="n">
        <f aca="false">G30</f>
        <v>2274.97</v>
      </c>
    </row>
    <row r="9" customFormat="false" ht="15" hidden="false" customHeight="true" outlineLevel="0" collapsed="false">
      <c r="A9" s="23" t="s">
        <v>555</v>
      </c>
      <c r="B9" s="40" t="n">
        <v>1</v>
      </c>
      <c r="C9" s="36" t="s">
        <v>700</v>
      </c>
      <c r="D9" s="36"/>
      <c r="E9" s="36"/>
      <c r="F9" s="36"/>
      <c r="G9" s="36"/>
      <c r="H9" s="36"/>
    </row>
    <row r="10" customFormat="false" ht="15" hidden="false" customHeight="false" outlineLevel="0" collapsed="false">
      <c r="A10" s="4" t="s">
        <v>240</v>
      </c>
      <c r="B10" s="4" t="s">
        <v>557</v>
      </c>
      <c r="C10" s="4" t="s">
        <v>5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223</v>
      </c>
    </row>
    <row r="11" customFormat="false" ht="15" hidden="false" customHeight="true" outlineLevel="0" collapsed="false">
      <c r="A11" s="23" t="s">
        <v>562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11" t="s">
        <v>563</v>
      </c>
      <c r="B12" s="12" t="s">
        <v>564</v>
      </c>
      <c r="C12" s="11" t="s">
        <v>565</v>
      </c>
      <c r="D12" s="13" t="n">
        <v>1</v>
      </c>
      <c r="E12" s="37" t="n">
        <f aca="false">ROUND(D12*8/$B$8,4)</f>
        <v>23.2761</v>
      </c>
      <c r="F12" s="21" t="n">
        <f aca="false">'MANO DE OBRA 2026'!$C$16</f>
        <v>28.95</v>
      </c>
      <c r="G12" s="14" t="n">
        <f aca="false">ROUND(E12*F12,2)</f>
        <v>673.84</v>
      </c>
      <c r="H12" s="15" t="s">
        <v>566</v>
      </c>
    </row>
    <row r="13" customFormat="false" ht="15" hidden="false" customHeight="false" outlineLevel="0" collapsed="false">
      <c r="A13" s="11" t="s">
        <v>567</v>
      </c>
      <c r="B13" s="12" t="s">
        <v>568</v>
      </c>
      <c r="C13" s="11" t="s">
        <v>565</v>
      </c>
      <c r="D13" s="13" t="n">
        <v>1</v>
      </c>
      <c r="E13" s="37" t="n">
        <f aca="false">ROUND(D13*8/$B$8,4)</f>
        <v>23.2761</v>
      </c>
      <c r="F13" s="21" t="n">
        <f aca="false">'MANO DE OBRA 2026'!$E$16</f>
        <v>20.54</v>
      </c>
      <c r="G13" s="14" t="n">
        <f aca="false">ROUND(E13*F13,2)</f>
        <v>478.09</v>
      </c>
      <c r="H13" s="15" t="s">
        <v>566</v>
      </c>
    </row>
    <row r="14" customFormat="false" ht="15" hidden="false" customHeight="false" outlineLevel="0" collapsed="false">
      <c r="A14" s="22"/>
      <c r="B14" s="23" t="s">
        <v>569</v>
      </c>
      <c r="C14" s="22"/>
      <c r="D14" s="22"/>
      <c r="E14" s="22"/>
      <c r="F14" s="22"/>
      <c r="G14" s="28" t="n">
        <f aca="false">SUM(G12:G13)</f>
        <v>1151.93</v>
      </c>
      <c r="H14" s="22"/>
    </row>
    <row r="15" customFormat="false" ht="15" hidden="false" customHeight="true" outlineLevel="0" collapsed="false">
      <c r="A15" s="23" t="s">
        <v>570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11" t="s">
        <v>487</v>
      </c>
      <c r="B16" s="12" t="s">
        <v>488</v>
      </c>
      <c r="C16" s="11" t="s">
        <v>16</v>
      </c>
      <c r="D16" s="12"/>
      <c r="E16" s="37" t="n">
        <f aca="false">11.8*1.05</f>
        <v>12.39</v>
      </c>
      <c r="F16" s="14" t="n">
        <f aca="false">'PRECIOS DE INSUMOS'!$H$54</f>
        <v>25.68</v>
      </c>
      <c r="G16" s="14" t="n">
        <f aca="false">ROUND(E16*F16,2)</f>
        <v>318.18</v>
      </c>
      <c r="H16" s="15" t="s">
        <v>701</v>
      </c>
    </row>
    <row r="17" customFormat="false" ht="15" hidden="false" customHeight="true" outlineLevel="0" collapsed="false">
      <c r="A17" s="11" t="s">
        <v>494</v>
      </c>
      <c r="B17" s="12" t="s">
        <v>495</v>
      </c>
      <c r="C17" s="11" t="s">
        <v>20</v>
      </c>
      <c r="D17" s="12"/>
      <c r="E17" s="38" t="n">
        <v>1</v>
      </c>
      <c r="F17" s="14" t="n">
        <f aca="false">'PRECIOS DE INSUMOS'!$H$55</f>
        <v>398.22</v>
      </c>
      <c r="G17" s="14" t="n">
        <f aca="false">ROUND(E17*F17,2)</f>
        <v>398.22</v>
      </c>
      <c r="H17" s="15" t="s">
        <v>702</v>
      </c>
    </row>
    <row r="18" customFormat="false" ht="24" hidden="false" customHeight="true" outlineLevel="0" collapsed="false">
      <c r="A18" s="11" t="s">
        <v>427</v>
      </c>
      <c r="B18" s="12" t="s">
        <v>703</v>
      </c>
      <c r="C18" s="11" t="s">
        <v>429</v>
      </c>
      <c r="D18" s="12"/>
      <c r="E18" s="37" t="n">
        <f aca="false">ROUND(0.4*0.4*24.91,2)</f>
        <v>3.99</v>
      </c>
      <c r="F18" s="14" t="n">
        <f aca="false">'PRECIOS DE INSUMOS'!$H$44</f>
        <v>2.24</v>
      </c>
      <c r="G18" s="14" t="n">
        <f aca="false">ROUND(E18*F18,2)</f>
        <v>8.94</v>
      </c>
      <c r="H18" s="15" t="s">
        <v>704</v>
      </c>
    </row>
    <row r="19" customFormat="false" ht="15" hidden="false" customHeight="true" outlineLevel="0" collapsed="false">
      <c r="A19" s="11" t="s">
        <v>498</v>
      </c>
      <c r="B19" s="12" t="s">
        <v>499</v>
      </c>
      <c r="C19" s="11" t="s">
        <v>20</v>
      </c>
      <c r="D19" s="12"/>
      <c r="E19" s="38" t="n">
        <v>4</v>
      </c>
      <c r="F19" s="14" t="n">
        <f aca="false">'PRECIOS DE INSUMOS'!$H$56</f>
        <v>42.29</v>
      </c>
      <c r="G19" s="14" t="n">
        <f aca="false">ROUND(E19*F19,2)</f>
        <v>169.16</v>
      </c>
      <c r="H19" s="15" t="s">
        <v>705</v>
      </c>
    </row>
    <row r="20" customFormat="false" ht="24" hidden="false" customHeight="true" outlineLevel="0" collapsed="false">
      <c r="A20" s="11" t="s">
        <v>456</v>
      </c>
      <c r="B20" s="12" t="s">
        <v>457</v>
      </c>
      <c r="C20" s="11" t="s">
        <v>429</v>
      </c>
      <c r="D20" s="12"/>
      <c r="E20" s="38" t="n">
        <v>2.5</v>
      </c>
      <c r="F20" s="14" t="n">
        <f aca="false">'PRECIOS DE INSUMOS'!$H$49</f>
        <v>18.63</v>
      </c>
      <c r="G20" s="14" t="n">
        <f aca="false">ROUND(E20*F20,2)</f>
        <v>46.58</v>
      </c>
      <c r="H20" s="15" t="s">
        <v>706</v>
      </c>
    </row>
    <row r="21" customFormat="false" ht="15" hidden="false" customHeight="true" outlineLevel="0" collapsed="false">
      <c r="A21" s="11" t="s">
        <v>502</v>
      </c>
      <c r="B21" s="12" t="s">
        <v>503</v>
      </c>
      <c r="C21" s="11" t="s">
        <v>447</v>
      </c>
      <c r="D21" s="12"/>
      <c r="E21" s="38" t="n">
        <v>0.3</v>
      </c>
      <c r="F21" s="14" t="n">
        <f aca="false">'PRECIOS DE INSUMOS'!$H$57</f>
        <v>52.54</v>
      </c>
      <c r="G21" s="14" t="n">
        <f aca="false">ROUND(E21*F21,2)</f>
        <v>15.76</v>
      </c>
      <c r="H21" s="15" t="s">
        <v>707</v>
      </c>
    </row>
    <row r="22" customFormat="false" ht="15" hidden="false" customHeight="true" outlineLevel="0" collapsed="false">
      <c r="A22" s="11" t="s">
        <v>507</v>
      </c>
      <c r="B22" s="12" t="s">
        <v>508</v>
      </c>
      <c r="C22" s="11" t="s">
        <v>447</v>
      </c>
      <c r="D22" s="12"/>
      <c r="E22" s="38" t="n">
        <v>0.3</v>
      </c>
      <c r="F22" s="14" t="n">
        <f aca="false">'PRECIOS DE INSUMOS'!$H$58</f>
        <v>48.31</v>
      </c>
      <c r="G22" s="14" t="n">
        <f aca="false">ROUND(E22*F22,2)</f>
        <v>14.49</v>
      </c>
      <c r="H22" s="15" t="s">
        <v>707</v>
      </c>
    </row>
    <row r="23" customFormat="false" ht="15" hidden="false" customHeight="true" outlineLevel="0" collapsed="false">
      <c r="A23" s="11" t="s">
        <v>511</v>
      </c>
      <c r="B23" s="12" t="s">
        <v>512</v>
      </c>
      <c r="C23" s="11" t="s">
        <v>447</v>
      </c>
      <c r="D23" s="12"/>
      <c r="E23" s="38" t="n">
        <v>0.15</v>
      </c>
      <c r="F23" s="14" t="n">
        <f aca="false">'PRECIOS DE INSUMOS'!$H$59</f>
        <v>35.65</v>
      </c>
      <c r="G23" s="14" t="n">
        <f aca="false">ROUND(E23*F23,2)</f>
        <v>5.35</v>
      </c>
      <c r="H23" s="15" t="s">
        <v>708</v>
      </c>
    </row>
    <row r="24" customFormat="false" ht="15" hidden="false" customHeight="true" outlineLevel="0" collapsed="false">
      <c r="A24" s="11" t="s">
        <v>516</v>
      </c>
      <c r="B24" s="12" t="s">
        <v>517</v>
      </c>
      <c r="C24" s="11" t="s">
        <v>20</v>
      </c>
      <c r="D24" s="12"/>
      <c r="E24" s="38" t="n">
        <v>4</v>
      </c>
      <c r="F24" s="14" t="n">
        <f aca="false">'PRECIOS DE INSUMOS'!$H$60</f>
        <v>2.12</v>
      </c>
      <c r="G24" s="14" t="n">
        <f aca="false">ROUND(E24*F24,2)</f>
        <v>8.48</v>
      </c>
      <c r="H24" s="15" t="s">
        <v>709</v>
      </c>
    </row>
    <row r="25" customFormat="false" ht="15" hidden="false" customHeight="false" outlineLevel="0" collapsed="false">
      <c r="A25" s="22"/>
      <c r="B25" s="23" t="s">
        <v>573</v>
      </c>
      <c r="C25" s="22"/>
      <c r="D25" s="22"/>
      <c r="E25" s="22"/>
      <c r="F25" s="22"/>
      <c r="G25" s="28" t="n">
        <f aca="false">SUM(G16:G24)</f>
        <v>985.16</v>
      </c>
      <c r="H25" s="22"/>
    </row>
    <row r="26" customFormat="false" ht="15" hidden="false" customHeight="true" outlineLevel="0" collapsed="false">
      <c r="A26" s="23" t="s">
        <v>574</v>
      </c>
      <c r="B26" s="23"/>
      <c r="C26" s="23"/>
      <c r="D26" s="23"/>
      <c r="E26" s="23"/>
      <c r="F26" s="23"/>
      <c r="G26" s="23"/>
      <c r="H26" s="23"/>
    </row>
    <row r="27" customFormat="false" ht="15" hidden="false" customHeight="false" outlineLevel="0" collapsed="false">
      <c r="A27" s="11" t="s">
        <v>575</v>
      </c>
      <c r="B27" s="12" t="s">
        <v>576</v>
      </c>
      <c r="C27" s="11" t="s">
        <v>577</v>
      </c>
      <c r="D27" s="12"/>
      <c r="E27" s="13" t="n">
        <v>5</v>
      </c>
      <c r="F27" s="14" t="n">
        <f aca="false">G14</f>
        <v>1151.93</v>
      </c>
      <c r="G27" s="14" t="n">
        <f aca="false">ROUND(E27/100*F27,2)</f>
        <v>57.6</v>
      </c>
      <c r="H27" s="15" t="s">
        <v>710</v>
      </c>
    </row>
    <row r="28" customFormat="false" ht="15" hidden="false" customHeight="false" outlineLevel="0" collapsed="false">
      <c r="A28" s="11" t="s">
        <v>461</v>
      </c>
      <c r="B28" s="12" t="s">
        <v>462</v>
      </c>
      <c r="C28" s="11" t="s">
        <v>463</v>
      </c>
      <c r="D28" s="12"/>
      <c r="E28" s="37" t="n">
        <f aca="false">ROUND(ROUND(11.8*1.05*8.34,1)/60*8,2)</f>
        <v>13.77</v>
      </c>
      <c r="F28" s="14" t="n">
        <f aca="false">'PRECIOS DE INSUMOS'!$H$50</f>
        <v>5.83</v>
      </c>
      <c r="G28" s="14" t="n">
        <f aca="false">ROUND(E28*F28,2)</f>
        <v>80.28</v>
      </c>
      <c r="H28" s="15" t="s">
        <v>711</v>
      </c>
    </row>
    <row r="29" customFormat="false" ht="15" hidden="false" customHeight="false" outlineLevel="0" collapsed="false">
      <c r="A29" s="22"/>
      <c r="B29" s="23" t="s">
        <v>579</v>
      </c>
      <c r="C29" s="22"/>
      <c r="D29" s="22"/>
      <c r="E29" s="22"/>
      <c r="F29" s="22"/>
      <c r="G29" s="28" t="n">
        <f aca="false">SUM(G27:G28)</f>
        <v>137.88</v>
      </c>
      <c r="H29" s="22"/>
    </row>
    <row r="30" customFormat="false" ht="15" hidden="false" customHeight="false" outlineLevel="0" collapsed="false">
      <c r="A30" s="16" t="s">
        <v>586</v>
      </c>
      <c r="B30" s="16"/>
      <c r="C30" s="16"/>
      <c r="D30" s="16"/>
      <c r="E30" s="16"/>
      <c r="F30" s="16"/>
      <c r="G30" s="17" t="n">
        <f aca="false">G14+G25+G29</f>
        <v>2274.97</v>
      </c>
      <c r="H30" s="18"/>
    </row>
    <row r="32" customFormat="false" ht="15" hidden="false" customHeight="false" outlineLevel="0" collapsed="false">
      <c r="A32" s="20" t="s">
        <v>712</v>
      </c>
      <c r="B32" s="20" t="s">
        <v>713</v>
      </c>
      <c r="C32" s="20" t="s">
        <v>5</v>
      </c>
      <c r="D32" s="20"/>
      <c r="E32" s="20" t="s">
        <v>559</v>
      </c>
      <c r="F32" s="20" t="s">
        <v>714</v>
      </c>
      <c r="G32" s="20" t="s">
        <v>715</v>
      </c>
      <c r="H32" s="20" t="s">
        <v>716</v>
      </c>
    </row>
    <row r="33" customFormat="false" ht="15" hidden="false" customHeight="false" outlineLevel="0" collapsed="false">
      <c r="A33" s="11" t="s">
        <v>717</v>
      </c>
      <c r="B33" s="12" t="s">
        <v>718</v>
      </c>
      <c r="C33" s="11" t="s">
        <v>429</v>
      </c>
      <c r="D33" s="12"/>
      <c r="E33" s="21" t="n">
        <f aca="false">ROUND(11.8*1.05*8.34,1)</f>
        <v>103.3</v>
      </c>
      <c r="F33" s="13" t="n">
        <v>60</v>
      </c>
      <c r="G33" s="29" t="n">
        <f aca="false">E33/F33</f>
        <v>1.72166666666667</v>
      </c>
      <c r="H33" s="15" t="s">
        <v>719</v>
      </c>
    </row>
    <row r="34" customFormat="false" ht="15" hidden="false" customHeight="false" outlineLevel="0" collapsed="false">
      <c r="A34" s="11" t="s">
        <v>720</v>
      </c>
      <c r="B34" s="12" t="s">
        <v>721</v>
      </c>
      <c r="C34" s="11" t="s">
        <v>441</v>
      </c>
      <c r="D34" s="12"/>
      <c r="E34" s="13" t="n">
        <v>4.7</v>
      </c>
      <c r="F34" s="13" t="n">
        <v>25</v>
      </c>
      <c r="G34" s="29" t="n">
        <f aca="false">E34/F34</f>
        <v>0.188</v>
      </c>
      <c r="H34" s="15" t="s">
        <v>722</v>
      </c>
    </row>
    <row r="35" customFormat="false" ht="15" hidden="false" customHeight="false" outlineLevel="0" collapsed="false">
      <c r="A35" s="11" t="s">
        <v>723</v>
      </c>
      <c r="B35" s="12" t="s">
        <v>724</v>
      </c>
      <c r="C35" s="11" t="s">
        <v>20</v>
      </c>
      <c r="D35" s="12"/>
      <c r="E35" s="13" t="n">
        <v>4</v>
      </c>
      <c r="F35" s="13" t="n">
        <v>8</v>
      </c>
      <c r="G35" s="29" t="n">
        <f aca="false">E35/F35</f>
        <v>0.5</v>
      </c>
      <c r="H35" s="15" t="s">
        <v>725</v>
      </c>
    </row>
    <row r="36" customFormat="false" ht="15" hidden="false" customHeight="false" outlineLevel="0" collapsed="false">
      <c r="A36" s="11" t="s">
        <v>726</v>
      </c>
      <c r="B36" s="12" t="s">
        <v>727</v>
      </c>
      <c r="C36" s="11" t="s">
        <v>20</v>
      </c>
      <c r="D36" s="12"/>
      <c r="E36" s="13" t="n">
        <v>1</v>
      </c>
      <c r="F36" s="13" t="n">
        <v>2</v>
      </c>
      <c r="G36" s="29" t="n">
        <f aca="false">E36/F36</f>
        <v>0.5</v>
      </c>
      <c r="H36" s="15" t="s">
        <v>728</v>
      </c>
    </row>
    <row r="37" customFormat="false" ht="15" hidden="false" customHeight="false" outlineLevel="0" collapsed="false">
      <c r="A37" s="22"/>
      <c r="B37" s="23" t="s">
        <v>729</v>
      </c>
      <c r="C37" s="22"/>
      <c r="D37" s="22"/>
      <c r="E37" s="22"/>
      <c r="F37" s="22"/>
      <c r="G37" s="33" t="n">
        <f aca="false">ROUND(1/SUM(G33:G36),4)</f>
        <v>0.3437</v>
      </c>
      <c r="H37" s="22"/>
    </row>
    <row r="38" customFormat="false" ht="25.5" hidden="false" customHeight="true" outlineLevel="0" collapsed="false">
      <c r="A38" s="31" t="s">
        <v>730</v>
      </c>
      <c r="B38" s="31"/>
      <c r="C38" s="31"/>
      <c r="D38" s="31"/>
      <c r="E38" s="31"/>
      <c r="F38" s="31"/>
      <c r="G38" s="31"/>
      <c r="H38" s="31"/>
    </row>
    <row r="39" customFormat="false" ht="15" hidden="false" customHeight="true" outlineLevel="0" collapsed="false">
      <c r="A39" s="31" t="s">
        <v>731</v>
      </c>
      <c r="B39" s="31"/>
      <c r="C39" s="31"/>
      <c r="D39" s="31"/>
      <c r="E39" s="31"/>
      <c r="F39" s="31"/>
      <c r="G39" s="31"/>
      <c r="H39" s="31"/>
    </row>
  </sheetData>
  <mergeCells count="12">
    <mergeCell ref="A1:H1"/>
    <mergeCell ref="A2:H2"/>
    <mergeCell ref="A3:H3"/>
    <mergeCell ref="A5:H5"/>
    <mergeCell ref="A7:H7"/>
    <mergeCell ref="C9:H9"/>
    <mergeCell ref="A11:H11"/>
    <mergeCell ref="A15:H15"/>
    <mergeCell ref="A26:H26"/>
    <mergeCell ref="A30:F30"/>
    <mergeCell ref="A38:H38"/>
    <mergeCell ref="A39:H3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2026-10-15T15:04:53Z</dcterms:created>
  <dc:creator>openpyxl</dc:creator>
  <dc:description/>
  <dc:language>en-US</dc:language>
  <cp:lastModifiedBy/>
  <dcterms:modified xsi:type="dcterms:W3CDTF">2026-10-15T15:04:53Z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