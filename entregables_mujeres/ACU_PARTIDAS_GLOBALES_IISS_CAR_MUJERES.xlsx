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  <sheet name="MANO DE OBRA 2026" sheetId="2" state="visible" r:id="rId4"/>
    <sheet name="PRECIOS DE INSUMOS" sheetId="3" state="visible" r:id="rId5"/>
    <sheet name="4.2.3.1.1" sheetId="4" state="visible" r:id="rId6"/>
    <sheet name="4.2.3.1.2" sheetId="5" state="visible" r:id="rId7"/>
    <sheet name="4.2.3.1.3" sheetId="6" state="visible" r:id="rId8"/>
    <sheet name="4.2.3.1.4" sheetId="7" state="visible" r:id="rId9"/>
    <sheet name="4.2.3.1.5" sheetId="8" state="visible" r:id="rId10"/>
    <sheet name="4.2.3.1.6" sheetId="9" state="visible" r:id="rId11"/>
    <sheet name="4.2.3.1.7" sheetId="10" state="visible" r:id="rId12"/>
    <sheet name="4.3.6.3.3" sheetId="11" state="visible" r:id="rId13"/>
  </sheets>
  <definedNames>
    <definedName function="false" hidden="false" localSheetId="3" name="_xlnm.Print_Titles" vbProcedure="false">'4.2.3.1.1'!$7:$7</definedName>
    <definedName function="false" hidden="false" localSheetId="4" name="_xlnm.Print_Titles" vbProcedure="false">'4.2.3.1.2'!$7:$7</definedName>
    <definedName function="false" hidden="false" localSheetId="5" name="_xlnm.Print_Titles" vbProcedure="false">'4.2.3.1.3'!$7:$7</definedName>
    <definedName function="false" hidden="false" localSheetId="6" name="_xlnm.Print_Titles" vbProcedure="false">'4.2.3.1.4'!$7:$7</definedName>
    <definedName function="false" hidden="false" localSheetId="7" name="_xlnm.Print_Titles" vbProcedure="false">'4.2.3.1.5'!$7:$7</definedName>
    <definedName function="false" hidden="false" localSheetId="8" name="_xlnm.Print_Titles" vbProcedure="false">'4.2.3.1.6'!$7:$7</definedName>
    <definedName function="false" hidden="false" localSheetId="9" name="_xlnm.Print_Titles" vbProcedure="false">'4.2.3.1.7'!$7:$7</definedName>
    <definedName function="false" hidden="false" localSheetId="10" name="_xlnm.Print_Titles" vbProcedure="false">'4.3.6.3.3'!$7:$7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<sst xmlns="http://schemas.openxmlformats.org/spreadsheetml/2006/main" count="1514" uniqueCount="618">
  <si>
    <t xml:space="preserve">ANÁLISIS DE COSTOS UNITARIOS - PARTIDAS GLOBALES (glb) DE INSTALACIONES SANITARIAS</t>
  </si>
  <si>
    <t xml:space="preserve">CREACIÓN DEL SERVICIO DE PROTECCIÓN INTEGRAL A NIÑAS, NIÑOS Y ADOLESCENTES SIN CUIDADOS PARENTALES O EN RIESGO DE PERDERLOS EN CENTRO DE ACOGIDA RESIDENCIAL - MUJERES, DISTRITO DE MORALES, PROVINCIA Y DEPARTAMENTO DE SAN MARTÍN (CAR Mujeres, CUI 2717013)</t>
  </si>
  <si>
    <t xml:space="preserve">Lugar: San Martín - San Martín - Morales.   Fecha: Octubre 2026.   Metrado: hoja PLANILLA del metrado de IISS (sin cambios).</t>
  </si>
  <si>
    <t xml:space="preserve">ÍTEM</t>
  </si>
  <si>
    <t xml:space="preserve">DESCRIPCIÓN</t>
  </si>
  <si>
    <t xml:space="preserve">UND</t>
  </si>
  <si>
    <t xml:space="preserve">METRADO</t>
  </si>
  <si>
    <t xml:space="preserve">PRECIO UNIT. (S/)</t>
  </si>
  <si>
    <t xml:space="preserve">PARCIAL (S/)</t>
  </si>
  <si>
    <t xml:space="preserve">4.2.3.1.1</t>
  </si>
  <si>
    <t xml:space="preserve">SUM. E INST. DE LINEA DE INGRESO A LA CISTERNA DE PVC SP D=1 1/4"</t>
  </si>
  <si>
    <t xml:space="preserve">glb</t>
  </si>
  <si>
    <t xml:space="preserve">4.2.3.1.2</t>
  </si>
  <si>
    <t xml:space="preserve">SUM. E INST. DE LINEA DE SUCCIÓN SISTEMA DE BOMBEO DE PVC SP D=1 1/2"</t>
  </si>
  <si>
    <t xml:space="preserve">4.2.3.1.3</t>
  </si>
  <si>
    <t xml:space="preserve">SUM. E INST. DE LINEA DE IMPULSIÓN SISTEMA DE BOMBEO DE PVC SP D=1"</t>
  </si>
  <si>
    <t xml:space="preserve">4.2.3.1.4</t>
  </si>
  <si>
    <t xml:space="preserve">SUM. E INST. DE LINEA DE DISTRIBUCION SISTEMA DE BOMBEO DE PVC SP D=2"</t>
  </si>
  <si>
    <t xml:space="preserve">4.2.3.1.5</t>
  </si>
  <si>
    <t xml:space="preserve">SUM. E INST. DE LINEA DE REBOSE TANQUE ELEVADO DE PVC SP D=2"</t>
  </si>
  <si>
    <t xml:space="preserve">4.2.3.1.6</t>
  </si>
  <si>
    <t xml:space="preserve">SUM. E INST. DE LINEA DE LIMPIA Y VENTILACION CISTERNA DE PVC SP D=2"</t>
  </si>
  <si>
    <t xml:space="preserve">4.2.3.1.7</t>
  </si>
  <si>
    <t xml:space="preserve">PRUEBA HIDRÁULICA DE ESTANQUEIDAD Y DESINFECCIÓN DE CISTERNA Y TANQUE ELEVADO</t>
  </si>
  <si>
    <t xml:space="preserve">4.3.6.3.3</t>
  </si>
  <si>
    <t xml:space="preserve">TECLE DE PALANCA P/CABALLETE</t>
  </si>
  <si>
    <t xml:space="preserve">COSTO DIRECTO DE LAS PARTIDAS GLOBALES (S/, sin IGV)</t>
  </si>
  <si>
    <t xml:space="preserve">NOTAS</t>
  </si>
  <si>
    <t xml:space="preserve">• Mano de obra: costo hora-hombre 2026 de la tabla oficial CAPECO - FTCCP (operario S/ 28.95, oficial S/ 22.68, peón S/ 20.54); ver hoja MANO DE OBRA 2026.</t>
  </si>
  <si>
    <t xml:space="preserve">• Materiales: precios de venta publicados (con IGV) en tiendas de alcance nacional, pasados a precio sin IGV; cada precio tiene su tienda y enlace en la hoja PRECIOS DE INSUMOS.</t>
  </si>
  <si>
    <t xml:space="preserve">• Las cantidades de materiales son las del desagregado de la planilla (más 5 % de desperdicio en tuberías). Las filas con unidad o parcial irregular se explican en las observaciones de cada ACU; el metrado no se ha modificado.</t>
  </si>
  <si>
    <t xml:space="preserve">• Rendimientos: se calculan por componente (días-cuadrilla) en cada ACU; son referenciales y editables (celdas amarillas).</t>
  </si>
  <si>
    <t xml:space="preserve">• Los precios unitarios son costo directo sin IGV; gastos generales, utilidad e IGV se agregan en el presupuesto.</t>
  </si>
  <si>
    <t xml:space="preserve">COSTO DE LA HORA-HOMBRE 2026 - RÉGIMEN DE CONSTRUCCIÓN CIVIL</t>
  </si>
  <si>
    <t xml:space="preserve">Tabla oficial CAPECO - FTCCP «Remuneración y condiciones de trabajo en construcción civil 2026» (Acta final de negociación colectiva, Exp. N.° 339-2025-MTPE/2.14-NC), costo hora-hombre en edificación del 01.01.2026 al 31.12.2026.</t>
  </si>
  <si>
    <t xml:space="preserve">DESGLOSE DEL COSTO DIARIO EN EDIFICACIÓN (S/ por día de 8 horas)</t>
  </si>
  <si>
    <t xml:space="preserve">N.°</t>
  </si>
  <si>
    <t xml:space="preserve">CONCEPTO</t>
  </si>
  <si>
    <t xml:space="preserve">OPERARIO</t>
  </si>
  <si>
    <t xml:space="preserve">OFICIAL</t>
  </si>
  <si>
    <t xml:space="preserve">PEÓN</t>
  </si>
  <si>
    <t xml:space="preserve">SUSTENTO</t>
  </si>
  <si>
    <t xml:space="preserve">Remuneración básica (jornal diario)</t>
  </si>
  <si>
    <t xml:space="preserve">R.M. 197-2025-TR; tabla oficial</t>
  </si>
  <si>
    <t xml:space="preserve">Leyes y beneficios sociales sobre el jornal básico (112.20 %)</t>
  </si>
  <si>
    <t xml:space="preserve">tabla oficial</t>
  </si>
  <si>
    <t xml:space="preserve">Bonificación unificada de construcción BUC (32 % / 30 % / 30 %)</t>
  </si>
  <si>
    <t xml:space="preserve">Leyes y beneficios sociales sobre el BUC (12.25 %)</t>
  </si>
  <si>
    <t xml:space="preserve">Seguro de vida ESSALUD + Vida</t>
  </si>
  <si>
    <t xml:space="preserve">Fondo de capacitación</t>
  </si>
  <si>
    <t xml:space="preserve">Bonificación por movilidad (R.M. N.° 139-2024-TR)</t>
  </si>
  <si>
    <t xml:space="preserve">S/ 8.60 por día laborado</t>
  </si>
  <si>
    <t xml:space="preserve">Overol (R.D. N.° 777-87-DR-LIM): (2 x S/ 132.80) / 300</t>
  </si>
  <si>
    <t xml:space="preserve">Total por día de 8 horas (S/)</t>
  </si>
  <si>
    <t xml:space="preserve">COSTO DE LA HORA-HOMBRE (S/ hh) = total / 8</t>
  </si>
  <si>
    <t xml:space="preserve">tabla oficial: 231.62 / 181.46 / 164.34 y 28.95 / 22.68 / 20.54</t>
  </si>
  <si>
    <t xml:space="preserve">PRECIOS DE INSUMOS (materiales y equipos) - SUSTENTO</t>
  </si>
  <si>
    <t xml:space="preserve">Precio publicado con IGV en la tienda indicada (venta nacional; Sodimac y Promart tienen tienda en Tarapoto) y precio unitario sin IGV = precio publicado / contenido / 1.18. Las ACU leen la columna H. Celda amarilla = dato editable (el ingeniero de costos puede reemplazarlo por su cotización y todo se recalcula); verde = fórmula.</t>
  </si>
  <si>
    <t xml:space="preserve">CÓDIGO</t>
  </si>
  <si>
    <t xml:space="preserve">INSUMO (como figura en la ACU)</t>
  </si>
  <si>
    <t xml:space="preserve">PRODUCTO PUBLICADO</t>
  </si>
  <si>
    <t xml:space="preserve">PRESENTACIÓN</t>
  </si>
  <si>
    <t xml:space="preserve">PRECIO CON IGV (S/)</t>
  </si>
  <si>
    <t xml:space="preserve">CONTENIDO (und ACU)</t>
  </si>
  <si>
    <t xml:space="preserve">PRECIO UNIT. SIN IGV (S/)</t>
  </si>
  <si>
    <t xml:space="preserve">TIENDA / FUENTE</t>
  </si>
  <si>
    <t xml:space="preserve">ENLACE</t>
  </si>
  <si>
    <t xml:space="preserve">ESTADO</t>
  </si>
  <si>
    <t xml:space="preserve">1. INSUMOS COMERCIALES</t>
  </si>
  <si>
    <t xml:space="preserve">TB1</t>
  </si>
  <si>
    <t xml:space="preserve">Tubería PVC SP C-10 Ø1"</t>
  </si>
  <si>
    <t xml:space="preserve">m</t>
  </si>
  <si>
    <t xml:space="preserve">Tubo agua PVC 1" x 5 m Pavco SP fría</t>
  </si>
  <si>
    <t xml:space="preserve">barra 5 m</t>
  </si>
  <si>
    <t xml:space="preserve">Sodimac Perú</t>
  </si>
  <si>
    <t xml:space="preserve">https://www.sodimac.com.pe/sodimac-pe/b/tubo-pvc-1-pulgada</t>
  </si>
  <si>
    <t xml:space="preserve">EXACTO</t>
  </si>
  <si>
    <t xml:space="preserve">TB15</t>
  </si>
  <si>
    <t xml:space="preserve">Tubería PVC SP C-10 Ø1 1/2"</t>
  </si>
  <si>
    <t xml:space="preserve">Tubo x 5 m 1 1/2" simple presión agua fría Pavco (C-10)</t>
  </si>
  <si>
    <t xml:space="preserve">Promart / Sodimac</t>
  </si>
  <si>
    <t xml:space="preserve">https://www.promart.pe/tubo-presion-c-10-ec-1-1-2-go/p</t>
  </si>
  <si>
    <t xml:space="preserve">EXACTO (mismo precio en ambas)</t>
  </si>
  <si>
    <t xml:space="preserve">TB2</t>
  </si>
  <si>
    <t xml:space="preserve">Tubería PVC SP C-10 Ø2"</t>
  </si>
  <si>
    <t xml:space="preserve">Tubo x 5 m 2" simple presión agua fría Pavco (C-10)</t>
  </si>
  <si>
    <t xml:space="preserve">Promart</t>
  </si>
  <si>
    <t xml:space="preserve">https://www.promart.pe/tubo-presion-c-10-ec-2-go/p</t>
  </si>
  <si>
    <t xml:space="preserve">EXACTO (Sodimac S/ 85.90)</t>
  </si>
  <si>
    <t xml:space="preserve">CD1</t>
  </si>
  <si>
    <t xml:space="preserve">Codo PVC SP Ø1" x 90°</t>
  </si>
  <si>
    <t xml:space="preserve">und</t>
  </si>
  <si>
    <t xml:space="preserve">Codo 90° 1" simple presión agua fría Pavco</t>
  </si>
  <si>
    <t xml:space="preserve">https://www.promart.pe/codo-pvc-90--sp-1-go/p</t>
  </si>
  <si>
    <t xml:space="preserve">CD15</t>
  </si>
  <si>
    <t xml:space="preserve">Codo PVC SP Ø1 1/2" x 90°</t>
  </si>
  <si>
    <t xml:space="preserve">Codo PVC 1 1/2" 90° Pavco SP agua fría</t>
  </si>
  <si>
    <t xml:space="preserve">Sodimac / Promart</t>
  </si>
  <si>
    <t xml:space="preserve">https://www.sodimac.com.pe/sodimac-pe/b/codo-1-1-2</t>
  </si>
  <si>
    <t xml:space="preserve">CD2</t>
  </si>
  <si>
    <t xml:space="preserve">Codo PVC SP Ø2" x 90°</t>
  </si>
  <si>
    <t xml:space="preserve">Codo 2" 90° SP agua fría Matusita</t>
  </si>
  <si>
    <t xml:space="preserve">https://www.sodimac.com.pe/sodimac-pe/b/codo-2-x-90</t>
  </si>
  <si>
    <t xml:space="preserve">EXACTO (otra marca)</t>
  </si>
  <si>
    <t xml:space="preserve">CD245</t>
  </si>
  <si>
    <t xml:space="preserve">Codo PVC SP Ø2" x 45°</t>
  </si>
  <si>
    <t xml:space="preserve">Codo 45° 2" simple presión agua fría Pavco</t>
  </si>
  <si>
    <t xml:space="preserve">https://www.promart.pe/codo-45-sp-2/p</t>
  </si>
  <si>
    <t xml:space="preserve">EXACTO (sin stock en línea)</t>
  </si>
  <si>
    <t xml:space="preserve">TE15</t>
  </si>
  <si>
    <t xml:space="preserve">Tee PVC SP Ø1 1/2"</t>
  </si>
  <si>
    <t xml:space="preserve">Tee 1 1/2" simple presión agua fría Pavco</t>
  </si>
  <si>
    <t xml:space="preserve">https://www.promart.pe/tee-pvc-sp-1-1-2-go/p</t>
  </si>
  <si>
    <t xml:space="preserve">EXACTO (venta en tienda)</t>
  </si>
  <si>
    <t xml:space="preserve">TE2</t>
  </si>
  <si>
    <t xml:space="preserve">Tee PVC SP Ø2"</t>
  </si>
  <si>
    <t xml:space="preserve">Tee 2" PVC SP agua fría Pavco</t>
  </si>
  <si>
    <t xml:space="preserve">https://www.sodimac.com.pe/sodimac-pe/seleccion/conexiones</t>
  </si>
  <si>
    <t xml:space="preserve">UU15</t>
  </si>
  <si>
    <t xml:space="preserve">Unión universal PVC roscada Ø1 1/2"</t>
  </si>
  <si>
    <t xml:space="preserve">Unión universal 1 1/2" PVC Sanking (agua fría, 150 psi)</t>
  </si>
  <si>
    <t xml:space="preserve">https://www.sodimac.com.pe/sodimac-pe/product/217298/union-universal-1-1-2/217298/</t>
  </si>
  <si>
    <t xml:space="preserve">UU2</t>
  </si>
  <si>
    <t xml:space="preserve">Unión universal PVC roscada Ø2"</t>
  </si>
  <si>
    <t xml:space="preserve">Sanking unión universal 2" PVC C/R</t>
  </si>
  <si>
    <t xml:space="preserve">Falabella (vende Sodimac)</t>
  </si>
  <si>
    <t xml:space="preserve">https://www.falabella.com.pe/falabella-pe/brand/SANKING</t>
  </si>
  <si>
    <t xml:space="preserve">UPR2</t>
  </si>
  <si>
    <t xml:space="preserve">Adaptador UPR PVC Ø2"</t>
  </si>
  <si>
    <t xml:space="preserve">Adaptador PVC enroscado Pavco 2" (PR)</t>
  </si>
  <si>
    <t xml:space="preserve">https://www.promart.pe/adaptador-pr-2/p</t>
  </si>
  <si>
    <t xml:space="preserve">EST. (adaptador PR equivalente al UPR)</t>
  </si>
  <si>
    <t xml:space="preserve">SK15</t>
  </si>
  <si>
    <t xml:space="preserve">Unión socket PVC Ø1 1/2" (rosca hembra)</t>
  </si>
  <si>
    <t xml:space="preserve">Unión SP Pavco 1 1/2"</t>
  </si>
  <si>
    <t xml:space="preserve">https://www.promart.pe/union-pvc-sp-1-1-2-go/p</t>
  </si>
  <si>
    <t xml:space="preserve">EST. (unión SP de igual diámetro)</t>
  </si>
  <si>
    <t xml:space="preserve">SK2</t>
  </si>
  <si>
    <t xml:space="preserve">Unión socket PVC Ø2" (rosca hembra)</t>
  </si>
  <si>
    <t xml:space="preserve">Unión SP Pavco 2"</t>
  </si>
  <si>
    <t xml:space="preserve">https://www.promart.pe/union-pvc-sp-2-go/p</t>
  </si>
  <si>
    <t xml:space="preserve">TP15</t>
  </si>
  <si>
    <t xml:space="preserve">Tapón hembra PVC Ø1 1/2"</t>
  </si>
  <si>
    <t xml:space="preserve">Tapón hembra 1 1/2" agua fría sin rosca Pavco</t>
  </si>
  <si>
    <t xml:space="preserve">https://www.promart.pe/tapon-hembra-1-1-2-agua-fria-sin-rosca-pavco/p</t>
  </si>
  <si>
    <t xml:space="preserve">EXACTO (SP)</t>
  </si>
  <si>
    <t xml:space="preserve">NP15</t>
  </si>
  <si>
    <t xml:space="preserve">Niple roscado PVC Ø1 1/2" x 2"</t>
  </si>
  <si>
    <t xml:space="preserve">Niple 1 1/2" x 2" roscado agua fría Nicoll</t>
  </si>
  <si>
    <t xml:space="preserve">https://www.promart.pe/niple-1-1-2--x-2--c-r---term/p</t>
  </si>
  <si>
    <t xml:space="preserve">NP2</t>
  </si>
  <si>
    <t xml:space="preserve">Niple roscado PVC Ø2" (x 4" y x 6")</t>
  </si>
  <si>
    <t xml:space="preserve">Tubo PVC C-10 roscado 2" x 5 m, cortado en niples de 6" (33 por tubo)</t>
  </si>
  <si>
    <t xml:space="preserve">EST. (no se publica el niple PVC 2"; roscado con tarraja incluido en la mano de obra)</t>
  </si>
  <si>
    <t xml:space="preserve">RD15</t>
  </si>
  <si>
    <t xml:space="preserve">Reducción PVC SP Ø1 1/2" x 3/4"</t>
  </si>
  <si>
    <t xml:space="preserve">Reducción simple presión 2" x 3/4" Nicoll (referencia)</t>
  </si>
  <si>
    <t xml:space="preserve">https://www.promart.pe/reduccion-simple-presion-2--x-3-4/p</t>
  </si>
  <si>
    <t xml:space="preserve">EST. (la de 1 1/2" x 3/4" figura sin precio)</t>
  </si>
  <si>
    <t xml:space="preserve">RD2</t>
  </si>
  <si>
    <t xml:space="preserve">Reducción PVC SP Ø2" x 1"</t>
  </si>
  <si>
    <t xml:space="preserve">Reducción SP 2" a 1" agua fría Pavco</t>
  </si>
  <si>
    <t xml:space="preserve">https://www.promart.pe/reduccion-sp-2-1/p</t>
  </si>
  <si>
    <t xml:space="preserve">VCH15</t>
  </si>
  <si>
    <t xml:space="preserve">Válvula check Ø1 1/2"</t>
  </si>
  <si>
    <t xml:space="preserve">Válvula check swing 1 1/2" bronce ITAP (NPT)</t>
  </si>
  <si>
    <t xml:space="preserve">https://www.sodimac.com.pe/sodimac-pe/articulo/113306910/Valvula-Check-Swing-1-1-2-/113306914</t>
  </si>
  <si>
    <t xml:space="preserve">EST. (no se vende check de PVC 1 1/2"; se toma la de bronce)</t>
  </si>
  <si>
    <t xml:space="preserve">VEP15</t>
  </si>
  <si>
    <t xml:space="preserve">Válvula esférica PVC Ø1 1/2"</t>
  </si>
  <si>
    <t xml:space="preserve">Válvula bola PVC con rosca 1 1/2" Sanking (145 psi)</t>
  </si>
  <si>
    <t xml:space="preserve">https://www.promart.pe/valvula-bola-pvc-1-1-2--con-rosca/p</t>
  </si>
  <si>
    <t xml:space="preserve">VEB15</t>
  </si>
  <si>
    <t xml:space="preserve">Válvula esférica bronce pesado Ø1 1/2"</t>
  </si>
  <si>
    <t xml:space="preserve">Válvula esférica bronce NPT 1 1/2" CIM 400 psi</t>
  </si>
  <si>
    <t xml:space="preserve">https://www.promart.pe/valvula-esferica-p-total-400-lbs-1-1-2-/p</t>
  </si>
  <si>
    <t xml:space="preserve">EXACTO (agotada en línea)</t>
  </si>
  <si>
    <t xml:space="preserve">VCB2</t>
  </si>
  <si>
    <t xml:space="preserve">Válvula compuerta bronce pesado Ø2"</t>
  </si>
  <si>
    <t xml:space="preserve">Válvula compuerta bronce 2" CIM, rosca NPT</t>
  </si>
  <si>
    <t xml:space="preserve">Icofesa</t>
  </si>
  <si>
    <t xml:space="preserve">https://icofesa.com/producto.php?id=15544</t>
  </si>
  <si>
    <t xml:space="preserve">EXACTO (confirmar que sea pesada)</t>
  </si>
  <si>
    <t xml:space="preserve">VF1</t>
  </si>
  <si>
    <t xml:space="preserve">Válvula flotadora bronce Ø1"</t>
  </si>
  <si>
    <t xml:space="preserve">Galusa válvula para cisterna con boya 1"</t>
  </si>
  <si>
    <t xml:space="preserve">https://www.sodimac.com.pe/sodimac-pe/b/boya-para-tanque-de-agua</t>
  </si>
  <si>
    <t xml:space="preserve">EST. (la ficha no indica el material)</t>
  </si>
  <si>
    <t xml:space="preserve">VF15</t>
  </si>
  <si>
    <t xml:space="preserve">Válvula flotadora bronce Ø1 1/2"</t>
  </si>
  <si>
    <t xml:space="preserve">Válvula flotadora 1 1/2" bronce con boya de cobre Helbert</t>
  </si>
  <si>
    <t xml:space="preserve">Maveri</t>
  </si>
  <si>
    <t xml:space="preserve">https://maveri.com/producto/valvula-flotadora-de-1-1-2-bronce-c-boya-de-cobre-helbert/</t>
  </si>
  <si>
    <t xml:space="preserve">CAN15</t>
  </si>
  <si>
    <t xml:space="preserve">Canastilla de succión Ø1 1/2"</t>
  </si>
  <si>
    <t xml:space="preserve">ITAP válvula check de pie 1 1/2" con canastilla</t>
  </si>
  <si>
    <t xml:space="preserve">https://www.sodimac.com.pe/sodimac-pe/marca/ITAP</t>
  </si>
  <si>
    <t xml:space="preserve">EST. (no se vende canastilla PVC 1 1/2"; válvula de pie con canastilla)</t>
  </si>
  <si>
    <t xml:space="preserve">ELN</t>
  </si>
  <si>
    <t xml:space="preserve">Electronivel (interruptor de nivel tipo pera)</t>
  </si>
  <si>
    <t xml:space="preserve">Electronivel 3 m Rotoplas (hasta 1 HP a 220 V)</t>
  </si>
  <si>
    <t xml:space="preserve">https://www.promart.pe/electronivel-de-3-metros-23057/p</t>
  </si>
  <si>
    <t xml:space="preserve">EXACTO (se toma el mayor de S/ 68.00 a 89.90)</t>
  </si>
  <si>
    <t xml:space="preserve">UFG1</t>
  </si>
  <si>
    <t xml:space="preserve">Unión F°G° roscada Ø1"</t>
  </si>
  <si>
    <t xml:space="preserve">Unión simple galvanizada 1" Magnum Mech</t>
  </si>
  <si>
    <t xml:space="preserve">https://www.sodimac.com.pe/sodimac-pe/b/union-universal-1-pulgada</t>
  </si>
  <si>
    <t xml:space="preserve">UFG15</t>
  </si>
  <si>
    <t xml:space="preserve">Unión F°G° roscada Ø1 1/2"</t>
  </si>
  <si>
    <t xml:space="preserve">Unión simple galvanizada 1 1/2" Magnum Mech</t>
  </si>
  <si>
    <t xml:space="preserve">https://www.sodimac.com.pe/sodimac-pe/articulo/113328852/Union-Simple-Galvanizado-1-1-2-/113328853</t>
  </si>
  <si>
    <t xml:space="preserve">CFG15</t>
  </si>
  <si>
    <t xml:space="preserve">Codo F°G° roscado Ø1 1/2" x 90°</t>
  </si>
  <si>
    <t xml:space="preserve">Codo galvanizado 90° x 1 1/2" Magnum Mech</t>
  </si>
  <si>
    <t xml:space="preserve">https://sodimac.falabella.com.pe/sodimac-pe/product/113326757/Codo-Galvanizado-90%C2%B0x1-1-2-/113326759</t>
  </si>
  <si>
    <t xml:space="preserve">TFG34</t>
  </si>
  <si>
    <t xml:space="preserve">Tubo F°G° Ø3/4" ISO 65 serie I (para niples)</t>
  </si>
  <si>
    <t xml:space="preserve">Tubo galvanizado 3/4" estándar ISO 65, 6.40 m</t>
  </si>
  <si>
    <t xml:space="preserve">barra 6.40 m</t>
  </si>
  <si>
    <t xml:space="preserve">https://maveri.com/categoria-producto/niples/niples-de-fierro-galvanizado/</t>
  </si>
  <si>
    <t xml:space="preserve">TFG15</t>
  </si>
  <si>
    <t xml:space="preserve">Tubo F°G° Ø1 1/2" ISO 65 serie I (para niples)</t>
  </si>
  <si>
    <t xml:space="preserve">Tubo galvanizado 1 1/2" estándar ISO 65, 6.40 m</t>
  </si>
  <si>
    <t xml:space="preserve">https://maveri.com/producto/tubo-galvanizado-1-1-2-standard-iso-65/</t>
  </si>
  <si>
    <t xml:space="preserve">TFG2</t>
  </si>
  <si>
    <t xml:space="preserve">Tubo F°G° Ø2" ISO 65 serie I (para niples)</t>
  </si>
  <si>
    <t xml:space="preserve">Tubo galvanizado 2" estándar ISO 65, 6.40 m</t>
  </si>
  <si>
    <t xml:space="preserve">https://maveri.com/producto/tubo-galvanizado-2-standard-iso-65/</t>
  </si>
  <si>
    <t xml:space="preserve">AB1</t>
  </si>
  <si>
    <t xml:space="preserve">Abrazadera metálica p/ tubo Ø1"</t>
  </si>
  <si>
    <t xml:space="preserve">Abrazadera de 1 1/2" con 2 orejas de 2 mm (referencia)</t>
  </si>
  <si>
    <t xml:space="preserve">https://www.promart.pe/abrazadera-de-1-1-2--con-2-orejas-de-2-mm/p</t>
  </si>
  <si>
    <t xml:space="preserve">EST. (la de 1" no figura; se toma la de 1 1/2")</t>
  </si>
  <si>
    <t xml:space="preserve">AB15</t>
  </si>
  <si>
    <t xml:space="preserve">Abrazadera metálica p/ tubo Ø1 1/2"</t>
  </si>
  <si>
    <t xml:space="preserve">Abrazadera de 1 1/2" con 2 orejas de 2 mm</t>
  </si>
  <si>
    <t xml:space="preserve">EST. (2 mm; la planilla pide F°G° e=1/8")</t>
  </si>
  <si>
    <t xml:space="preserve">AB2</t>
  </si>
  <si>
    <t xml:space="preserve">Abrazadera metálica p/ tubo Ø2"</t>
  </si>
  <si>
    <t xml:space="preserve">Abrazadera de 2" con 2 orejas de 2 mm</t>
  </si>
  <si>
    <t xml:space="preserve">https://www.promart.pe/abrazadera-de-2--con-2-orejas-de-2-mm/p</t>
  </si>
  <si>
    <t xml:space="preserve">TAR</t>
  </si>
  <si>
    <t xml:space="preserve">Perno de anclaje 3/8" para fijar abrazaderas</t>
  </si>
  <si>
    <t xml:space="preserve">Perno de anclaje 3/8" x 3 3/4" FIXSER (paquete x 4)</t>
  </si>
  <si>
    <t xml:space="preserve">paquete x 4</t>
  </si>
  <si>
    <t xml:space="preserve">https://www.falabella.com.pe/falabella-pe/product/113091980/Perno-de-Anclaje-3-8x3-3-4-Pulgadas-x-4-unid/113092005</t>
  </si>
  <si>
    <t xml:space="preserve">EXACTO (conservador; con tarugo y tornillo sale más barato)</t>
  </si>
  <si>
    <t xml:space="preserve">PLA</t>
  </si>
  <si>
    <t xml:space="preserve">Plancha LAC 1/8" (24.91 kg/m²)</t>
  </si>
  <si>
    <t xml:space="preserve">kg</t>
  </si>
  <si>
    <t xml:space="preserve">Plancha LAC 1/8" x 4' x 8' (1.20 x 2.40 m)</t>
  </si>
  <si>
    <t xml:space="preserve">plancha</t>
  </si>
  <si>
    <t xml:space="preserve">Huval</t>
  </si>
  <si>
    <t xml:space="preserve">https://www.huvalnegocios.com/product/plancha-lac-316x4x8-44</t>
  </si>
  <si>
    <t xml:space="preserve">COTIZAR (precio tomado de productos relacionados)</t>
  </si>
  <si>
    <t xml:space="preserve">SOMB2</t>
  </si>
  <si>
    <t xml:space="preserve">Sombrero de ventilación PVC Ø2"</t>
  </si>
  <si>
    <t xml:space="preserve">Sombrero de ventilación PVC 2" Pavco</t>
  </si>
  <si>
    <t xml:space="preserve">https://sodimac.falabella.com.pe/sodimac-pe/product/113328544/Sombrero-de-Ventilacion-PVC-2-Desague/113328546</t>
  </si>
  <si>
    <t xml:space="preserve">MALLA</t>
  </si>
  <si>
    <t xml:space="preserve">Malla mosquitero metálica</t>
  </si>
  <si>
    <t xml:space="preserve">m2</t>
  </si>
  <si>
    <t xml:space="preserve">Malla mosquitero metálica Prodac 0.90 x 30 m</t>
  </si>
  <si>
    <t xml:space="preserve">rollo 27 m²</t>
  </si>
  <si>
    <t xml:space="preserve">https://www.sodimac.com.pe/sodimac-pe/lista/CATG15054/Mallas</t>
  </si>
  <si>
    <t xml:space="preserve">PEG</t>
  </si>
  <si>
    <t xml:space="preserve">Pegamento para PVC</t>
  </si>
  <si>
    <t xml:space="preserve">gal</t>
  </si>
  <si>
    <t xml:space="preserve">Pegamento PVC Oatey dorado 946 ml (1/4 gal)</t>
  </si>
  <si>
    <t xml:space="preserve">1/4 gal</t>
  </si>
  <si>
    <t xml:space="preserve">https://www.sodimac.com.pe/sodimac-pe/b/pegamento-para-pvc-1-4</t>
  </si>
  <si>
    <t xml:space="preserve">TEF</t>
  </si>
  <si>
    <t xml:space="preserve">Cinta teflón 3/4" x 10 m</t>
  </si>
  <si>
    <t xml:space="preserve">Cinta teflón Topex 3/4" x 10 m</t>
  </si>
  <si>
    <t xml:space="preserve">rollo</t>
  </si>
  <si>
    <t xml:space="preserve">https://www.sodimac.com.pe/sodimac-pe/lista/CATG14985/Teflones-y-sellos</t>
  </si>
  <si>
    <t xml:space="preserve">SOLD</t>
  </si>
  <si>
    <t xml:space="preserve">Soldadura cellocord E6011 1/8"</t>
  </si>
  <si>
    <t xml:space="preserve">Soldadura Cellocord 1/8" (E-6011) Oerlikon</t>
  </si>
  <si>
    <t xml:space="preserve">caja 5 kg</t>
  </si>
  <si>
    <t xml:space="preserve">https://www.sodimac.com.pe/sodimac-pe/articulo/113780372/Soldadura-Cellocord-1-8-Oerlikon-5KG/113780373</t>
  </si>
  <si>
    <t xml:space="preserve">SOLM</t>
  </si>
  <si>
    <t xml:space="preserve">Máquina de soldar eléctrica 250 A</t>
  </si>
  <si>
    <t xml:space="preserve">hm</t>
  </si>
  <si>
    <t xml:space="preserve">Alquiler de máquina de soldar (por día de 8 h)</t>
  </si>
  <si>
    <t xml:space="preserve">día</t>
  </si>
  <si>
    <t xml:space="preserve">ST América</t>
  </si>
  <si>
    <t xml:space="preserve">https://stamerica.com.pe/alquiler_maquina_soldar</t>
  </si>
  <si>
    <t xml:space="preserve">REFERENCIA (tarifa de Lima; compra Truper 200 A S/ 469.90)</t>
  </si>
  <si>
    <t xml:space="preserve">AGUA</t>
  </si>
  <si>
    <t xml:space="preserve">Agua</t>
  </si>
  <si>
    <t xml:space="preserve">m3</t>
  </si>
  <si>
    <t xml:space="preserve">EMAPA San Martín, categoría comercial y otros, tramo de 30 m³ a más: agua 6.80 + alcantarillado 1.53</t>
  </si>
  <si>
    <t xml:space="preserve">Res. 00077-2024-SUNASS-CD (tarifa sin IGV)</t>
  </si>
  <si>
    <t xml:space="preserve">https://www.emapasanmartin.com/uploads/Gobernanza%20Gobernabilidad/Gobernabilidad/transparencia-informacion/indicador-8/2025/Publicacion%20Oficial%20-%20Diario%20Oficial%20El%20Peruano%20ESTRUCTURA%20TARIFARIA.pdf</t>
  </si>
  <si>
    <t xml:space="preserve">COMPROBADO (mismo valor que la planilla del Hogar de Refugio)</t>
  </si>
  <si>
    <t xml:space="preserve">HIPO</t>
  </si>
  <si>
    <t xml:space="preserve">Hipoclorito de calcio 70 %</t>
  </si>
  <si>
    <t xml:space="preserve">Hipoclorito de calcio granulado 65-70 %</t>
  </si>
  <si>
    <t xml:space="preserve">1 kg</t>
  </si>
  <si>
    <t xml:space="preserve">Purificare</t>
  </si>
  <si>
    <t xml:space="preserve">https://purificare.mitienda.pe/producto/hipoclorito-de-calcio</t>
  </si>
  <si>
    <t xml:space="preserve">EXACTO (el saco de 45 kg sale a S/ 10.53 el kg)</t>
  </si>
  <si>
    <t xml:space="preserve">KIT</t>
  </si>
  <si>
    <t xml:space="preserve">Comparador de cloro residual y pH</t>
  </si>
  <si>
    <t xml:space="preserve">Analizador de cloro y pH (kit con reactivos)</t>
  </si>
  <si>
    <t xml:space="preserve">kit</t>
  </si>
  <si>
    <t xml:space="preserve">https://www.sodimac.com.pe/sodimac-pe/lista/CATG15346/Kits-de-Testeo-y-Termometros</t>
  </si>
  <si>
    <t xml:space="preserve">IPN</t>
  </si>
  <si>
    <t xml:space="preserve">Perfil IPN 100 (8.34 kg/m)</t>
  </si>
  <si>
    <t xml:space="preserve">Barra de 6 m valorizada al precio por kg del ángulo 1 1/2" x 1/8" (S/ 39.90 / 10.98 kg)</t>
  </si>
  <si>
    <t xml:space="preserve">barra 6 m</t>
  </si>
  <si>
    <t xml:space="preserve">Sodimac Perú (precio por kg)</t>
  </si>
  <si>
    <t xml:space="preserve">https://sodimac.falabella.com.pe/sodimac-pe/product/126996349/Angulo-de-Acero-1-1-2-x-1-1-2-x-1-8-x-6M/126996350</t>
  </si>
  <si>
    <t xml:space="preserve">COTIZAR (ninguna tienda publica la IPN 100 en soles)</t>
  </si>
  <si>
    <t xml:space="preserve">TECLE</t>
  </si>
  <si>
    <t xml:space="preserve">Tecle de palanca 1.5 t</t>
  </si>
  <si>
    <t xml:space="preserve">Tecle de cadena con palanca 1.5 t Total THSLB1501</t>
  </si>
  <si>
    <t xml:space="preserve">https://www.promart.pe/c/tecles-con-cadena</t>
  </si>
  <si>
    <t xml:space="preserve">RUEDA</t>
  </si>
  <si>
    <t xml:space="preserve">Rueda giratoria 360° con freno</t>
  </si>
  <si>
    <t xml:space="preserve">Garrucha plataforma con freno industrial 4", 200 kg</t>
  </si>
  <si>
    <t xml:space="preserve">https://www.promart.pe/garrucha-plataforma-con-freno-ind-200-kg-4-22868/p</t>
  </si>
  <si>
    <t xml:space="preserve">ANTI</t>
  </si>
  <si>
    <t xml:space="preserve">Pintura anticorrosiva</t>
  </si>
  <si>
    <t xml:space="preserve">Anticorrosivo Vencedor 1 gal</t>
  </si>
  <si>
    <t xml:space="preserve">galón</t>
  </si>
  <si>
    <t xml:space="preserve">https://www.promart.pe/anticorrosivo-1-gal-34189/p</t>
  </si>
  <si>
    <t xml:space="preserve">ESM</t>
  </si>
  <si>
    <t xml:space="preserve">Esmalte sintético</t>
  </si>
  <si>
    <t xml:space="preserve">Esmalte sintético CPP negro 1 gal (cód. 30635)</t>
  </si>
  <si>
    <t xml:space="preserve">https://www.promart.pe/esmalte-sintetico-pintor-negro-1-gl-30635/p</t>
  </si>
  <si>
    <t xml:space="preserve">THIN</t>
  </si>
  <si>
    <t xml:space="preserve">Thinner acrílico</t>
  </si>
  <si>
    <t xml:space="preserve">TOPEX thinner acrílico 3.5 L</t>
  </si>
  <si>
    <t xml:space="preserve">envase 3.5 L</t>
  </si>
  <si>
    <t xml:space="preserve">https://www.sodimac.com.pe/sodimac-pe/b/thinner-acrilico</t>
  </si>
  <si>
    <t xml:space="preserve">LIJA</t>
  </si>
  <si>
    <t xml:space="preserve">Lija para fierro N.° 80</t>
  </si>
  <si>
    <t xml:space="preserve">Lija fierro 3M ASA grano 80</t>
  </si>
  <si>
    <t xml:space="preserve">pliego</t>
  </si>
  <si>
    <t xml:space="preserve">https://www.sodimac.com.pe/sodimac-pe/b/lija-para-fierro</t>
  </si>
  <si>
    <t xml:space="preserve">2. BRIDAS ROMPE AGUA (insumo compuesto, fabricado en obra): plancha LAC 1/8" (24.91 kg/m²) + niple F°G° + soldadura</t>
  </si>
  <si>
    <t xml:space="preserve">BRIDA</t>
  </si>
  <si>
    <t xml:space="preserve">PLANCHA (m x m)</t>
  </si>
  <si>
    <t xml:space="preserve">PLANCHA (kg)</t>
  </si>
  <si>
    <t xml:space="preserve">NIPLE F°G° (Ø)</t>
  </si>
  <si>
    <t xml:space="preserve">NIPLE L (m)</t>
  </si>
  <si>
    <t xml:space="preserve">PRECIO SIN IGV (S/)</t>
  </si>
  <si>
    <t xml:space="preserve">SOLDADURA (kg)</t>
  </si>
  <si>
    <t xml:space="preserve">CÁLCULO</t>
  </si>
  <si>
    <t xml:space="preserve">OBS.</t>
  </si>
  <si>
    <t xml:space="preserve">BR01</t>
  </si>
  <si>
    <t xml:space="preserve">Brida rompe agua Ø1" PL 0.15x0.15 e=1/8" (niple F°G° 3/4" L=0.35)</t>
  </si>
  <si>
    <t xml:space="preserve">Tubo F°G° Ø3/4" ISO 65 serie I</t>
  </si>
  <si>
    <t xml:space="preserve">plancha kg x precio kg + niple m x precio m del tubo F°G° + soldadura kg x precio kg</t>
  </si>
  <si>
    <t xml:space="preserve">BR02</t>
  </si>
  <si>
    <t xml:space="preserve">Brida rompe agua Ø1 1/2" PL 0.15x0.15 e=1/8" (niple F°G° 1 1/2" L=0.25)</t>
  </si>
  <si>
    <t xml:space="preserve">Tubo F°G° Ø1 1/2" ISO 65 serie I</t>
  </si>
  <si>
    <t xml:space="preserve">BR03</t>
  </si>
  <si>
    <t xml:space="preserve">Brida rompe agua Ø2" PL 0.25x0.25 e=1/8" (niple F°G° 2" L=0.40)</t>
  </si>
  <si>
    <t xml:space="preserve">Tubo F°G° Ø2" ISO 65 serie I</t>
  </si>
  <si>
    <t xml:space="preserve">BR04</t>
  </si>
  <si>
    <t xml:space="preserve">Brida rompe agua Ø2" PL 0.15x0.15 e=1/8" (niple F°G° 2" L=0.25)</t>
  </si>
  <si>
    <t xml:space="preserve">BR05</t>
  </si>
  <si>
    <t xml:space="preserve">Brida rompe agua Ø2" PL 0.20x0.20 e=1/8" (niple F°G° 2" L=0.45)</t>
  </si>
  <si>
    <t xml:space="preserve">rosca a un lado</t>
  </si>
  <si>
    <t xml:space="preserve">ANÁLISIS DE COSTOS UNITARIOS</t>
  </si>
  <si>
    <t xml:space="preserve">Partida</t>
  </si>
  <si>
    <t xml:space="preserve">4.2.3.1.1  SUM. E INST. DE LINEA DE INGRESO A LA CISTERNA DE PVC SP D=1 1/4"</t>
  </si>
  <si>
    <t xml:space="preserve">Rend.</t>
  </si>
  <si>
    <t xml:space="preserve">MO</t>
  </si>
  <si>
    <t xml:space="preserve">EQ</t>
  </si>
  <si>
    <t xml:space="preserve">Costo unit. directo por glb (S/)</t>
  </si>
  <si>
    <t xml:space="preserve">Metrado</t>
  </si>
  <si>
    <t xml:space="preserve">1 glb (planilla, hoja RESUMEN)</t>
  </si>
  <si>
    <t xml:space="preserve">Lugar</t>
  </si>
  <si>
    <t xml:space="preserve">San Martín - San Martín - Morales</t>
  </si>
  <si>
    <t xml:space="preserve">Fecha</t>
  </si>
  <si>
    <t xml:space="preserve">Octubre 2026</t>
  </si>
  <si>
    <t xml:space="preserve">DESCRIPCIÓN DEL RECURSO</t>
  </si>
  <si>
    <t xml:space="preserve">CUADRILLA</t>
  </si>
  <si>
    <t xml:space="preserve">CANTIDAD</t>
  </si>
  <si>
    <t xml:space="preserve">PRECIO S/</t>
  </si>
  <si>
    <t xml:space="preserve">PARCIAL S/</t>
  </si>
  <si>
    <t xml:space="preserve">MANO DE OBRA</t>
  </si>
  <si>
    <t xml:space="preserve">47-0001</t>
  </si>
  <si>
    <t xml:space="preserve">Operario</t>
  </si>
  <si>
    <t xml:space="preserve">hh</t>
  </si>
  <si>
    <t xml:space="preserve">cantidad = cuadrilla x 8 h / rendimiento; costo HH CAPECO - FTCCP 2026</t>
  </si>
  <si>
    <t xml:space="preserve">47-0003</t>
  </si>
  <si>
    <t xml:space="preserve">Peón</t>
  </si>
  <si>
    <t xml:space="preserve">Subtotal mano de obra</t>
  </si>
  <si>
    <t xml:space="preserve">MATERIALES</t>
  </si>
  <si>
    <t xml:space="preserve">Tubería PVC SP C-10 de Ø=1" - NTP 399.002:2015</t>
  </si>
  <si>
    <t xml:space="preserve">planilla fila 438: 6 m; + 5 % de desperdicio</t>
  </si>
  <si>
    <t xml:space="preserve">Válvula Flotadora de Bronce de Ø=1"</t>
  </si>
  <si>
    <t xml:space="preserve">planilla fila 439: 1 und</t>
  </si>
  <si>
    <t xml:space="preserve">Unión roscado de F°G°de Ø=1"</t>
  </si>
  <si>
    <t xml:space="preserve">planilla fila 440: sin parcial (se toma 1, ver obs.)</t>
  </si>
  <si>
    <t xml:space="preserve">planilla fila 441: 1 und</t>
  </si>
  <si>
    <t xml:space="preserve">1 uniones pegadas (≈0.003 / 0.005 / 0.007 gal por unión de Ø1" / 1 1/2" / 2")</t>
  </si>
  <si>
    <t xml:space="preserve">5 extremos roscados ≈ 2 roscas macho; 1 rollo cada 4 roscas</t>
  </si>
  <si>
    <t xml:space="preserve">Subtotal materiales</t>
  </si>
  <si>
    <t xml:space="preserve">EQUIPOS Y HERRAMIENTAS</t>
  </si>
  <si>
    <t xml:space="preserve">37-0001</t>
  </si>
  <si>
    <t xml:space="preserve">Herramientas manuales</t>
  </si>
  <si>
    <t xml:space="preserve">%MO</t>
  </si>
  <si>
    <t xml:space="preserve">3 % de la mano de obra (tarraja, llaves, sierra, taladro)</t>
  </si>
  <si>
    <t xml:space="preserve">0.5 h por brida rompe agua (1 bridas)</t>
  </si>
  <si>
    <t xml:space="preserve">Subtotal equipos y herramientas</t>
  </si>
  <si>
    <t xml:space="preserve">COSTO UNITARIO DIRECTO POR glb (S/)</t>
  </si>
  <si>
    <t xml:space="preserve">CÁLCULO DEL RENDIMIENTO (días-cuadrilla por componente)</t>
  </si>
  <si>
    <t xml:space="preserve">TIPO</t>
  </si>
  <si>
    <t xml:space="preserve">COMPONENTE</t>
  </si>
  <si>
    <t xml:space="preserve">REND. (und/día)</t>
  </si>
  <si>
    <t xml:space="preserve">DÍAS</t>
  </si>
  <si>
    <t xml:space="preserve">CRITERIO</t>
  </si>
  <si>
    <t xml:space="preserve">tubo1</t>
  </si>
  <si>
    <t xml:space="preserve">Tubería PVC SP Ø1" (tendido, corte, unión y fijación)</t>
  </si>
  <si>
    <t xml:space="preserve">rendimiento adoptado (referencial, editable)</t>
  </si>
  <si>
    <t xml:space="preserve">flot</t>
  </si>
  <si>
    <t xml:space="preserve">Válvula flotadora con boya (instalación y regulación)</t>
  </si>
  <si>
    <t xml:space="preserve">fg</t>
  </si>
  <si>
    <t xml:space="preserve">Accesorio F°G° roscado (unión, codo, niple)</t>
  </si>
  <si>
    <t xml:space="preserve">brida</t>
  </si>
  <si>
    <t xml:space="preserve">Brida rompe agua (corte, soldadura, roscado y fijación al encofrado)</t>
  </si>
  <si>
    <t xml:space="preserve">Total días-cuadrilla para 1 glb</t>
  </si>
  <si>
    <t xml:space="preserve">Rendimiento = 1 / total días (glb/día)</t>
  </si>
  <si>
    <t xml:space="preserve">OBSERVACIONES</t>
  </si>
  <si>
    <t xml:space="preserve">• Ingreso a cisterna. El título dice D=1 1/4" pero el desagregado de la planilla es de Ø1"; se analiza lo desagregado.</t>
  </si>
  <si>
    <t xml:space="preserve">• fila 440: la planilla no lleva el parcial (columna I vacía); se toma N.° veces 1 x cantidad 1 = 1 und</t>
  </si>
  <si>
    <t xml:space="preserve">4.2.3.1.2  SUM. E INST. DE LINEA DE SUCCIÓN SISTEMA DE BOMBEO DE PVC SP D=1 1/2"</t>
  </si>
  <si>
    <t xml:space="preserve">planilla fila 444: 2 und</t>
  </si>
  <si>
    <t xml:space="preserve">Tubería PVC SP C-10 Ø1 1/2" del tramo de succión (planilla: «Canastilla de PVC-U Ø1 1/2"» 4.64 m)</t>
  </si>
  <si>
    <t xml:space="preserve">planilla fila 445: 4.64 m; + 5 % de desperdicio</t>
  </si>
  <si>
    <t xml:space="preserve">Canastilla de succión PVC Ø1 1/2"</t>
  </si>
  <si>
    <t xml:space="preserve">ver observación</t>
  </si>
  <si>
    <t xml:space="preserve">Unión Socket PVC C-10 de ∅=1 1/2" (Rosca Hembra)</t>
  </si>
  <si>
    <t xml:space="preserve">planilla fila 446: 2 und</t>
  </si>
  <si>
    <t xml:space="preserve">Tee PVC SP C-10 de Ø=1 1/2"</t>
  </si>
  <si>
    <t xml:space="preserve">planilla fila 447: 2 und</t>
  </si>
  <si>
    <t xml:space="preserve">Tapón hembra de PVC SP C-10 de Ø=1 1/2"</t>
  </si>
  <si>
    <t xml:space="preserve">planilla fila 448: 2 und</t>
  </si>
  <si>
    <t xml:space="preserve">Electronivel conectado a bombas</t>
  </si>
  <si>
    <t xml:space="preserve">planilla fila 449: 2 und</t>
  </si>
  <si>
    <t xml:space="preserve">9 uniones pegadas (≈0.003 / 0.005 / 0.007 gal por unión de Ø1" / 1 1/2" / 2")</t>
  </si>
  <si>
    <t xml:space="preserve">10 extremos roscados ≈ 5 roscas macho; 1 rollo cada 4 roscas</t>
  </si>
  <si>
    <t xml:space="preserve">0.5 h por brida rompe agua (2 bridas)</t>
  </si>
  <si>
    <t xml:space="preserve">tubo15</t>
  </si>
  <si>
    <t xml:space="preserve">Tubería PVC SP Ø1 1/2"</t>
  </si>
  <si>
    <t xml:space="preserve">canast</t>
  </si>
  <si>
    <t xml:space="preserve">Canastilla de succión</t>
  </si>
  <si>
    <t xml:space="preserve">acc15</t>
  </si>
  <si>
    <t xml:space="preserve">Accesorio PVC hasta Ø1 1/2" (codo, tee, unión, niple, reducción, tapón)</t>
  </si>
  <si>
    <t xml:space="preserve">elec</t>
  </si>
  <si>
    <t xml:space="preserve">Electronivel (montaje, regulación y conexión al tablero de bombas)</t>
  </si>
  <si>
    <t xml:space="preserve">• fila 445: «Canastilla de PVC-U Ø1 1/2"» figura con 4.64 m; se analiza como 4.64 m de tubería Ø1 1/2" del tramo de succión + 2 canastillas (una por bomba, igual que las 2 tees, 2 tapones y 2 electroniveles)</t>
  </si>
  <si>
    <t xml:space="preserve">4.2.3.1.3  SUM. E INST. DE LINEA DE IMPULSIÓN SISTEMA DE BOMBEO DE PVC SP D=1"</t>
  </si>
  <si>
    <t xml:space="preserve">Codo PVC SP C-10 de Ø=1 1/2" x 90°</t>
  </si>
  <si>
    <t xml:space="preserve">planilla fila 453: 3 und</t>
  </si>
  <si>
    <t xml:space="preserve">Válvula Check de PVC Ø=1 1/2"</t>
  </si>
  <si>
    <t xml:space="preserve">planilla fila 454: 1 und</t>
  </si>
  <si>
    <t xml:space="preserve">Unión universal roscado de PVC C-10 de Ø=1 1/2"</t>
  </si>
  <si>
    <t xml:space="preserve">planilla fila 455: 2 und + planilla fila 461: 1 und</t>
  </si>
  <si>
    <t xml:space="preserve">Válvula Esferica de PVC Ø=1 1/2"</t>
  </si>
  <si>
    <t xml:space="preserve">planilla fila 456: 1 und</t>
  </si>
  <si>
    <t xml:space="preserve">planilla fila 457: 1 und</t>
  </si>
  <si>
    <t xml:space="preserve">Tubería PVC SP C-10 de Ø=1 1/2" - NTP 399.002:2015</t>
  </si>
  <si>
    <t xml:space="preserve">planilla fila 458: 15 m; + 5 % de desperdicio</t>
  </si>
  <si>
    <t xml:space="preserve">Niple roscado de PVC C-10 de Ø=1 1/2" x 2"</t>
  </si>
  <si>
    <t xml:space="preserve">planilla fila 459: 1 und + planilla fila 464: 6 und</t>
  </si>
  <si>
    <t xml:space="preserve">Reducción PVC SP C-10 de Ø=1 1/2" x 3/4"</t>
  </si>
  <si>
    <t xml:space="preserve">planilla fila 460: 1 und</t>
  </si>
  <si>
    <t xml:space="preserve">Válvula esférica roscado de Bronce Pesado de Ø=1 1/2"</t>
  </si>
  <si>
    <t xml:space="preserve">planilla fila 462: 1 und</t>
  </si>
  <si>
    <t xml:space="preserve">Tapón Hembra PVC Ø=1 1/2"</t>
  </si>
  <si>
    <t xml:space="preserve">planilla fila 463: 1 und</t>
  </si>
  <si>
    <t xml:space="preserve">Abrazadera de F°G° e= 1/8" P/Tubería de Ø 1 1/2"</t>
  </si>
  <si>
    <t xml:space="preserve">planilla fila 465: 8 und</t>
  </si>
  <si>
    <t xml:space="preserve">planilla fila 466: 1 und</t>
  </si>
  <si>
    <t xml:space="preserve">Codo roscado de F°G° de Ø=1 1/2" x 90°</t>
  </si>
  <si>
    <t xml:space="preserve">planilla fila 467: 1 und</t>
  </si>
  <si>
    <t xml:space="preserve">planilla fila 468: 1 und</t>
  </si>
  <si>
    <t xml:space="preserve">NFG15</t>
  </si>
  <si>
    <t xml:space="preserve">Niple Roscado de F°G° de Ø=1 1/2", L=0.60 m - Rosca Ambos Lados - Norma ISO 65 - Serie I (Estándar)</t>
  </si>
  <si>
    <t xml:space="preserve">planilla fila 469: 1 und (niple L = 0.60 m)</t>
  </si>
  <si>
    <t xml:space="preserve">Unión roscado de F°G°de Ø=1 1/2"</t>
  </si>
  <si>
    <t xml:space="preserve">planilla fila 470: 1 und</t>
  </si>
  <si>
    <t xml:space="preserve">Válvula Flotadora de Bronce de Ø=1 1/2"</t>
  </si>
  <si>
    <t xml:space="preserve">planilla fila 471: 1 und</t>
  </si>
  <si>
    <t xml:space="preserve">planilla fila 472: 1 und</t>
  </si>
  <si>
    <t xml:space="preserve">15 uniones pegadas (≈0.003 / 0.005 / 0.007 gal por unión de Ø1" / 1 1/2" / 2")</t>
  </si>
  <si>
    <t xml:space="preserve">37 extremos roscados ≈ 18 roscas macho; 1 rollo cada 4 roscas</t>
  </si>
  <si>
    <t xml:space="preserve">2 por abrazadera (una por oreja)</t>
  </si>
  <si>
    <t xml:space="preserve">valv</t>
  </si>
  <si>
    <t xml:space="preserve">Válvula roscada (compuerta, esférica, check)</t>
  </si>
  <si>
    <t xml:space="preserve">abr</t>
  </si>
  <si>
    <t xml:space="preserve">Abrazadera F°G° (perforación, tarugo y fijación)</t>
  </si>
  <si>
    <t xml:space="preserve">• Impulsión. El título dice D=1" pero el desagregado de la planilla es de Ø1 1/2"; se analiza lo desagregado.</t>
  </si>
  <si>
    <t xml:space="preserve">• fila 468: la brida es Ø1 1/2" pero el texto dice niple F°G° 1"; se analiza con niple Ø1 1/2" (el del diámetro de la línea)</t>
  </si>
  <si>
    <t xml:space="preserve">4.2.3.1.4  SUM. E INST. DE LINEA DE DISTRIBUCION SISTEMA DE BOMBEO DE PVC SP D=2"</t>
  </si>
  <si>
    <t xml:space="preserve">planilla fila 475: 1 und</t>
  </si>
  <si>
    <t xml:space="preserve">Unión Socket PVC C-10 de ∅=2" (Rosca Hembra)</t>
  </si>
  <si>
    <t xml:space="preserve">planilla fila 476: 1 und</t>
  </si>
  <si>
    <t xml:space="preserve">Codo PVC SP C-10 de Ø=2" x 90°</t>
  </si>
  <si>
    <t xml:space="preserve">planilla fila 477: 17 m (se toma 1, ver obs.)</t>
  </si>
  <si>
    <t xml:space="preserve">Tubería PVC SP C-10 de Ø=2" - NTP 399.002:2015</t>
  </si>
  <si>
    <t xml:space="preserve">planilla fila 478: 1 und (se toma 17, ver obs.); + 5 % de desperdicio</t>
  </si>
  <si>
    <t xml:space="preserve">Adaptador UPR PVC C-10 de Ø=2"</t>
  </si>
  <si>
    <t xml:space="preserve">planilla fila 479: 2 und</t>
  </si>
  <si>
    <t xml:space="preserve">Unión universal roscado de PVC C-10 de Ø=2"</t>
  </si>
  <si>
    <t xml:space="preserve">planilla fila 480: 2 und</t>
  </si>
  <si>
    <t xml:space="preserve">Niple roscado de PVC C-10 de Ø=2" x 6"</t>
  </si>
  <si>
    <t xml:space="preserve">planilla fila 481: 2 und</t>
  </si>
  <si>
    <t xml:space="preserve">Válvula compuerta roscado de Bronce Pesado de Ø=2"</t>
  </si>
  <si>
    <t xml:space="preserve">planilla fila 482: 1 und</t>
  </si>
  <si>
    <t xml:space="preserve">Abrazadera de F°G e= 1/8" P/Tubería de Ø 2"</t>
  </si>
  <si>
    <t xml:space="preserve">planilla fila 483: 7 und</t>
  </si>
  <si>
    <t xml:space="preserve">Tee PVC SP C-10 de Ø=2"</t>
  </si>
  <si>
    <t xml:space="preserve">planilla fila 484: 1 und</t>
  </si>
  <si>
    <t xml:space="preserve">Codo PVC SP C-10 de Ø=2" x 45°</t>
  </si>
  <si>
    <t xml:space="preserve">planilla fila 485: 2 und</t>
  </si>
  <si>
    <t xml:space="preserve">15 extremos roscados ≈ 8 roscas macho; 1 rollo cada 4 roscas</t>
  </si>
  <si>
    <t xml:space="preserve">acc2</t>
  </si>
  <si>
    <t xml:space="preserve">Accesorio PVC Ø2" (codo, tee, unión, adaptador, niple)</t>
  </si>
  <si>
    <t xml:space="preserve">tubo2</t>
  </si>
  <si>
    <t xml:space="preserve">Tubería PVC SP Ø2"</t>
  </si>
  <si>
    <t xml:space="preserve">• filas 477-478: las unidades están cruzadas (codo 2" con 17 «m» y tubería 2" con 1 «und»); se analiza tubería Ø2" = 17 m (la medida está en la columna LARGO) y codo Ø2" x 90° = 1 und</t>
  </si>
  <si>
    <t xml:space="preserve">4.2.3.1.5  SUM. E INST. DE LINEA DE REBOSE TANQUE ELEVADO DE PVC SP D=2"</t>
  </si>
  <si>
    <t xml:space="preserve">Reducción PVC SP C-10 de Ø=2" x 1"</t>
  </si>
  <si>
    <t xml:space="preserve">planilla fila 488: 1 und</t>
  </si>
  <si>
    <t xml:space="preserve">planilla fila 489: 17 m; + 5 % de desperdicio</t>
  </si>
  <si>
    <t xml:space="preserve">Abrazadera de F°G° e= 1/8" P/Tubería de Ø 1"</t>
  </si>
  <si>
    <t xml:space="preserve">planilla fila 490: 4 und</t>
  </si>
  <si>
    <t xml:space="preserve">Codo PVC SP C-10 de Ø=1" x 90°</t>
  </si>
  <si>
    <t xml:space="preserve">planilla fila 491: 4 und</t>
  </si>
  <si>
    <t xml:space="preserve">planilla fila 492: 2 und</t>
  </si>
  <si>
    <t xml:space="preserve">Tee PVC Roscada C-10 de Ø=2"</t>
  </si>
  <si>
    <t xml:space="preserve">planilla fila 493: 1 und + planilla fila 499: 1 und</t>
  </si>
  <si>
    <t xml:space="preserve">Niple roscado de PVC C-10 de Ø=2" x 4"</t>
  </si>
  <si>
    <t xml:space="preserve">planilla fila 494: 2 und + planilla fila 502: 2 und</t>
  </si>
  <si>
    <t xml:space="preserve">planilla fila 495: 3 und</t>
  </si>
  <si>
    <t xml:space="preserve">Abrazadera de F°G° e= 1/8" P/Tubería de Ø 2"</t>
  </si>
  <si>
    <t xml:space="preserve">planilla fila 496: 13 und</t>
  </si>
  <si>
    <t xml:space="preserve">planilla fila 497: 18 m; + 5 % de desperdicio</t>
  </si>
  <si>
    <t xml:space="preserve">Sombrero de Ventilación PVC-SAP Ø2"</t>
  </si>
  <si>
    <t xml:space="preserve">planilla fila 498: 1 und</t>
  </si>
  <si>
    <t xml:space="preserve">planilla fila 500: 2 und</t>
  </si>
  <si>
    <t xml:space="preserve">planilla fila 501: 2 und</t>
  </si>
  <si>
    <t xml:space="preserve">planilla fila 503: 1 und</t>
  </si>
  <si>
    <t xml:space="preserve">planilla fila 504: 3 und</t>
  </si>
  <si>
    <t xml:space="preserve">35 uniones pegadas (≈0.003 / 0.005 / 0.007 gal por unión de Ø1" / 1 1/2" / 2")</t>
  </si>
  <si>
    <t xml:space="preserve">23 extremos roscados ≈ 12 roscas macho; 1 rollo cada 4 roscas</t>
  </si>
  <si>
    <t xml:space="preserve">somb</t>
  </si>
  <si>
    <t xml:space="preserve">Sombrero de ventilación</t>
  </si>
  <si>
    <t xml:space="preserve">4.2.3.1.6  SUM. E INST. DE LINEA DE LIMPIA Y VENTILACION CISTERNA DE PVC SP D=2"</t>
  </si>
  <si>
    <t xml:space="preserve">planilla fila 507: sin parcial (se toma 2, ver obs.)</t>
  </si>
  <si>
    <t xml:space="preserve">Codo de PVC de Ø=2" x 90°</t>
  </si>
  <si>
    <t xml:space="preserve">planilla fila 508: 2 und + planilla fila 510: sin parcial (se toma 2, ver obs.)</t>
  </si>
  <si>
    <t xml:space="preserve">Niple roscado de PVC de Ø=2" x 6"</t>
  </si>
  <si>
    <t xml:space="preserve">planilla fila 509: 2 und</t>
  </si>
  <si>
    <t xml:space="preserve">Malla galvanizada para codos de ventilación (2 x 0.05 m²)</t>
  </si>
  <si>
    <t xml:space="preserve">8 uniones pegadas (≈0.003 / 0.005 / 0.007 gal por unión de Ø1" / 1 1/2" / 2")</t>
  </si>
  <si>
    <t xml:space="preserve">6 extremos roscados ≈ 3 roscas macho; 1 rollo cada 4 roscas</t>
  </si>
  <si>
    <t xml:space="preserve">• fila 507: la planilla no lleva el parcial; se toma N.° veces 1 x cantidad 2 = 2 und</t>
  </si>
  <si>
    <t xml:space="preserve">• fila 510: la planilla no lleva el parcial; se toma 2 und (codo Ø2" + malla galvanizada soldada)</t>
  </si>
  <si>
    <t xml:space="preserve">4.2.3.1.7  PRUEBA HIDRÁULICA DE ESTANQUEIDAD Y DESINFECCIÓN DE CISTERNA Y TANQUE ELEVADO</t>
  </si>
  <si>
    <t xml:space="preserve">Agua para llenado de cisterna (32 m³) y tanque elevado (15 m³) + 10 % de enjuague</t>
  </si>
  <si>
    <t xml:space="preserve">volúmenes del programa arquitectónico del perfil (cisterna 32 m³, tanque elevado 15 m³)</t>
  </si>
  <si>
    <t xml:space="preserve">Hipoclorito de calcio al 70 %</t>
  </si>
  <si>
    <t xml:space="preserve">50 mg/l de cloro libre durante 24 h (RNE IS.010); 47 m³ x 50 g/m³ / 0.70</t>
  </si>
  <si>
    <t xml:space="preserve">Comparador de cloro residual y pH (con reactivos)</t>
  </si>
  <si>
    <t xml:space="preserve">lectura de cloro residual al final de la desinfección</t>
  </si>
  <si>
    <t xml:space="preserve">3 % de la mano de obra</t>
  </si>
  <si>
    <t xml:space="preserve">prep</t>
  </si>
  <si>
    <t xml:space="preserve">Preparación, taponeo de salidas y llenado de cisterna y tanque</t>
  </si>
  <si>
    <t xml:space="preserve">2 estructuras por día</t>
  </si>
  <si>
    <t xml:space="preserve">lect</t>
  </si>
  <si>
    <t xml:space="preserve">Prueba de estanqueidad: marcado de nivel y lectura a las 24 h, revisión de filtraciones</t>
  </si>
  <si>
    <t xml:space="preserve">control del nivel; 1/4 de día</t>
  </si>
  <si>
    <t xml:space="preserve">desi</t>
  </si>
  <si>
    <t xml:space="preserve">Desinfección: preparación de la solución, aplicación, 24 h de contacto y medición</t>
  </si>
  <si>
    <t xml:space="preserve">1/2 día</t>
  </si>
  <si>
    <t xml:space="preserve">vac</t>
  </si>
  <si>
    <t xml:space="preserve">Vaciado, enjuague y limpieza final (2 estructuras)</t>
  </si>
  <si>
    <t xml:space="preserve">3/4 de día</t>
  </si>
  <si>
    <t xml:space="preserve">• La planilla no desagrega esta partida; el análisis se arma con los volúmenes del programa arquitectónico (cisterna 32 m³ y tanque elevado 15 m³). Si el diseño de IISS tiene otros volúmenes, cambiar las fórmulas de agua e hipoclorito.</t>
  </si>
  <si>
    <t xml:space="preserve">• Se llena una sola vez: la desinfección se hace con el agua de la prueba de estanqueidad, agregando el cloro; el vaciado se hace con las electrobombas de la partida 4.2.3.2.1 (sin costo de equipo adicional).</t>
  </si>
  <si>
    <t xml:space="preserve">• El agua se valoriza con la tarifa oficial de EMAPA San Martín (categoría comercial y otros, tramo de 30 m³ a más), que es sin IGV.</t>
  </si>
  <si>
    <t xml:space="preserve">4.3.6.3.3  TECLE DE PALANCA P/CABALLETE</t>
  </si>
  <si>
    <t xml:space="preserve">planilla filas 1022-1026: 11.80 m; + 5 % de desperdicio</t>
  </si>
  <si>
    <t xml:space="preserve">Tecle de palanca</t>
  </si>
  <si>
    <t xml:space="preserve">planilla fila 1027</t>
  </si>
  <si>
    <t xml:space="preserve">Tapa: plancha LAC 1/8" 0.40 x 0.40 m (24.91 kg/m²)</t>
  </si>
  <si>
    <t xml:space="preserve">planilla fila 1028: «Tapa» 1 und; medida adoptada, confirmar con el plano</t>
  </si>
  <si>
    <t xml:space="preserve">planilla fila 1029</t>
  </si>
  <si>
    <t xml:space="preserve">≈2.5 % del peso del caballete (≈100 kg); incluye la soldadura de las placas de las ruedas</t>
  </si>
  <si>
    <t xml:space="preserve">≈4.7 m² (0.40 m²/m de IPN 100) a 2 manos, 32 m²/gal</t>
  </si>
  <si>
    <t xml:space="preserve">≈4.7 m² a 2 manos, 32 m²/gal</t>
  </si>
  <si>
    <t xml:space="preserve">Thinner</t>
  </si>
  <si>
    <t xml:space="preserve">dilución y limpieza</t>
  </si>
  <si>
    <t xml:space="preserve">preparación de superficie</t>
  </si>
  <si>
    <t xml:space="preserve">5 % de la mano de obra (amoladora, discos de corte, escuadras, prensas)</t>
  </si>
  <si>
    <t xml:space="preserve">horas de fabricación del caballete</t>
  </si>
  <si>
    <t xml:space="preserve">fab</t>
  </si>
  <si>
    <t xml:space="preserve">Habilitado, corte y soldadura del caballete de IPN 100</t>
  </si>
  <si>
    <t xml:space="preserve">60 kg/día de estructura liviana</t>
  </si>
  <si>
    <t xml:space="preserve">pin</t>
  </si>
  <si>
    <t xml:space="preserve">Limpieza, lijado y pintura (anticorrosivo + esmalte)</t>
  </si>
  <si>
    <t xml:space="preserve">25 m²/día</t>
  </si>
  <si>
    <t xml:space="preserve">rue</t>
  </si>
  <si>
    <t xml:space="preserve">Montaje de ruedas con freno</t>
  </si>
  <si>
    <t xml:space="preserve">8 und/día</t>
  </si>
  <si>
    <t xml:space="preserve">tec</t>
  </si>
  <si>
    <t xml:space="preserve">Montaje y prueba del tecle de palanca y de la tapa</t>
  </si>
  <si>
    <t xml:space="preserve">• Caballete móvil de perfil IPN 100 con 4 ruedas giratorias con freno y tecle de palanca, para levantar las tapas de inspección del tanque séptico (1.00 x 1.00 x 0.20 m ≈ 480 kg): el tecle debe ser de 1.5 t o más.</t>
  </si>
  <si>
    <t xml:space="preserve">• La planilla pone «Tapa» 1 und sin medida; se analiza como plancha LAC 1/8" de 0.40 x 0.40 m (cabezal del caballete). Confirmar con el plano.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</si>
</sst>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.00"/>
    <numFmt numFmtId="167" formatCode="0.000"/>
    <numFmt numFmtId="168" formatCode="0.0000&quot; glb/día&quot;"/>
    <numFmt numFmtId="169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40404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home/user/holaaa/entregables_mujeres/ACU_PARTIDAS_GLOBALES_IISS_CAR_MUJERES.xlsx" TargetMode="External"/><Relationship Id="rId2" Type="http://schemas.openxmlformats.org/officeDocument/2006/relationships/hyperlink" Target="../../home/user/holaaa/entregables_mujeres/ACU_PARTIDAS_GLOBALES_IISS_CAR_MUJERES.xlsx" TargetMode="External"/><Relationship Id="rId3" Type="http://schemas.openxmlformats.org/officeDocument/2006/relationships/hyperlink" Target="../../home/user/holaaa/entregables_mujeres/ACU_PARTIDAS_GLOBALES_IISS_CAR_MUJERES.xlsx" TargetMode="External"/><Relationship Id="rId4" Type="http://schemas.openxmlformats.org/officeDocument/2006/relationships/hyperlink" Target="../../home/user/holaaa/entregables_mujeres/ACU_PARTIDAS_GLOBALES_IISS_CAR_MUJERES.xlsx" TargetMode="External"/><Relationship Id="rId5" Type="http://schemas.openxmlformats.org/officeDocument/2006/relationships/hyperlink" Target="../../home/user/holaaa/entregables_mujeres/ACU_PARTIDAS_GLOBALES_IISS_CAR_MUJERES.xlsx" TargetMode="External"/><Relationship Id="rId6" Type="http://schemas.openxmlformats.org/officeDocument/2006/relationships/hyperlink" Target="../../home/user/holaaa/entregables_mujeres/ACU_PARTIDAS_GLOBALES_IISS_CAR_MUJERES.xlsx" TargetMode="External"/><Relationship Id="rId7" Type="http://schemas.openxmlformats.org/officeDocument/2006/relationships/hyperlink" Target="../../home/user/holaaa/entregables_mujeres/ACU_PARTIDAS_GLOBALES_IISS_CAR_MUJERES.xlsx" TargetMode="External"/><Relationship Id="rId8" Type="http://schemas.openxmlformats.org/officeDocument/2006/relationships/hyperlink" Target="../../home/user/holaaa/entregables_mujeres/ACU_PARTIDAS_GLOBALES_IISS_CAR_MUJERES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6" min="5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25.5" hidden="false" customHeight="true" outlineLevel="0" collapsed="false">
      <c r="A6" s="5" t="s">
        <v>9</v>
      </c>
      <c r="B6" s="6" t="s">
        <v>10</v>
      </c>
      <c r="C6" s="5" t="s">
        <v>11</v>
      </c>
      <c r="D6" s="7" t="n">
        <v>1</v>
      </c>
      <c r="E6" s="8" t="n">
        <f aca="false">'4.2.3.1.1'!$G$24</f>
        <v>475.52</v>
      </c>
      <c r="F6" s="8" t="n">
        <f aca="false">ROUND(D6*E6,2)</f>
        <v>475.52</v>
      </c>
    </row>
    <row r="7" customFormat="false" ht="25.5" hidden="false" customHeight="true" outlineLevel="0" collapsed="false">
      <c r="A7" s="5" t="s">
        <v>12</v>
      </c>
      <c r="B7" s="6" t="s">
        <v>13</v>
      </c>
      <c r="C7" s="5" t="s">
        <v>11</v>
      </c>
      <c r="D7" s="7" t="n">
        <v>1</v>
      </c>
      <c r="E7" s="8" t="n">
        <f aca="false">'4.2.3.1.2'!$G$27</f>
        <v>1131.11</v>
      </c>
      <c r="F7" s="8" t="n">
        <f aca="false">ROUND(D7*E7,2)</f>
        <v>1131.11</v>
      </c>
    </row>
    <row r="8" customFormat="false" ht="25.5" hidden="false" customHeight="true" outlineLevel="0" collapsed="false">
      <c r="A8" s="5" t="s">
        <v>14</v>
      </c>
      <c r="B8" s="6" t="s">
        <v>15</v>
      </c>
      <c r="C8" s="5" t="s">
        <v>11</v>
      </c>
      <c r="D8" s="7" t="n">
        <v>1</v>
      </c>
      <c r="E8" s="8" t="n">
        <f aca="false">'4.2.3.1.3'!$G$39</f>
        <v>2304.67</v>
      </c>
      <c r="F8" s="8" t="n">
        <f aca="false">ROUND(D8*E8,2)</f>
        <v>2304.67</v>
      </c>
    </row>
    <row r="9" customFormat="false" ht="25.5" hidden="false" customHeight="true" outlineLevel="0" collapsed="false">
      <c r="A9" s="5" t="s">
        <v>16</v>
      </c>
      <c r="B9" s="6" t="s">
        <v>17</v>
      </c>
      <c r="C9" s="5" t="s">
        <v>11</v>
      </c>
      <c r="D9" s="7" t="n">
        <v>1</v>
      </c>
      <c r="E9" s="8" t="n">
        <f aca="false">'4.2.3.1.4'!$G$32</f>
        <v>1418.12</v>
      </c>
      <c r="F9" s="8" t="n">
        <f aca="false">ROUND(D9*E9,2)</f>
        <v>1418.12</v>
      </c>
    </row>
    <row r="10" customFormat="false" ht="25.5" hidden="false" customHeight="true" outlineLevel="0" collapsed="false">
      <c r="A10" s="5" t="s">
        <v>18</v>
      </c>
      <c r="B10" s="6" t="s">
        <v>19</v>
      </c>
      <c r="C10" s="5" t="s">
        <v>11</v>
      </c>
      <c r="D10" s="7" t="n">
        <v>1</v>
      </c>
      <c r="E10" s="8" t="n">
        <f aca="false">'4.2.3.1.5'!$G$36</f>
        <v>2561.98</v>
      </c>
      <c r="F10" s="8" t="n">
        <f aca="false">ROUND(D10*E10,2)</f>
        <v>2561.98</v>
      </c>
    </row>
    <row r="11" customFormat="false" ht="25.5" hidden="false" customHeight="true" outlineLevel="0" collapsed="false">
      <c r="A11" s="5" t="s">
        <v>20</v>
      </c>
      <c r="B11" s="6" t="s">
        <v>21</v>
      </c>
      <c r="C11" s="5" t="s">
        <v>11</v>
      </c>
      <c r="D11" s="7" t="n">
        <v>1</v>
      </c>
      <c r="E11" s="8" t="n">
        <f aca="false">'4.2.3.1.6'!$G$24</f>
        <v>443.11</v>
      </c>
      <c r="F11" s="8" t="n">
        <f aca="false">ROUND(D11*E11,2)</f>
        <v>443.11</v>
      </c>
    </row>
    <row r="12" customFormat="false" ht="25.5" hidden="false" customHeight="true" outlineLevel="0" collapsed="false">
      <c r="A12" s="5" t="s">
        <v>22</v>
      </c>
      <c r="B12" s="6" t="s">
        <v>23</v>
      </c>
      <c r="C12" s="5" t="s">
        <v>11</v>
      </c>
      <c r="D12" s="7" t="n">
        <v>1</v>
      </c>
      <c r="E12" s="8" t="n">
        <f aca="false">'4.2.3.1.7'!$G$20</f>
        <v>1387.45</v>
      </c>
      <c r="F12" s="8" t="n">
        <f aca="false">ROUND(D12*E12,2)</f>
        <v>1387.45</v>
      </c>
    </row>
    <row r="13" customFormat="false" ht="25.5" hidden="false" customHeight="true" outlineLevel="0" collapsed="false">
      <c r="A13" s="5" t="s">
        <v>24</v>
      </c>
      <c r="B13" s="6" t="s">
        <v>25</v>
      </c>
      <c r="C13" s="5" t="s">
        <v>11</v>
      </c>
      <c r="D13" s="7" t="n">
        <v>1</v>
      </c>
      <c r="E13" s="8" t="n">
        <f aca="false">'4.3.6.3.3'!$G$27</f>
        <v>2274.97</v>
      </c>
      <c r="F13" s="8" t="n">
        <f aca="false">ROUND(D13*E13,2)</f>
        <v>2274.97</v>
      </c>
    </row>
    <row r="14" customFormat="false" ht="15" hidden="false" customHeight="false" outlineLevel="0" collapsed="false">
      <c r="A14" s="9" t="s">
        <v>26</v>
      </c>
      <c r="B14" s="9"/>
      <c r="C14" s="9"/>
      <c r="D14" s="9"/>
      <c r="E14" s="9"/>
      <c r="F14" s="10" t="n">
        <f aca="false">SUM(F6:F13)</f>
        <v>11996.93</v>
      </c>
    </row>
    <row r="16" customFormat="false" ht="18" hidden="false" customHeight="true" outlineLevel="0" collapsed="false">
      <c r="A16" s="11" t="s">
        <v>27</v>
      </c>
      <c r="B16" s="11"/>
      <c r="C16" s="11"/>
      <c r="D16" s="11"/>
      <c r="E16" s="11"/>
      <c r="F16" s="11"/>
    </row>
    <row r="17" customFormat="false" ht="27.75" hidden="false" customHeight="true" outlineLevel="0" collapsed="false">
      <c r="A17" s="3" t="s">
        <v>28</v>
      </c>
      <c r="B17" s="3"/>
      <c r="C17" s="3"/>
      <c r="D17" s="3"/>
      <c r="E17" s="3"/>
      <c r="F17" s="3"/>
    </row>
    <row r="18" customFormat="false" ht="27.75" hidden="false" customHeight="true" outlineLevel="0" collapsed="false">
      <c r="A18" s="3" t="s">
        <v>29</v>
      </c>
      <c r="B18" s="3"/>
      <c r="C18" s="3"/>
      <c r="D18" s="3"/>
      <c r="E18" s="3"/>
      <c r="F18" s="3"/>
    </row>
    <row r="19" customFormat="false" ht="27.75" hidden="false" customHeight="true" outlineLevel="0" collapsed="false">
      <c r="A19" s="3" t="s">
        <v>30</v>
      </c>
      <c r="B19" s="3"/>
      <c r="C19" s="3"/>
      <c r="D19" s="3"/>
      <c r="E19" s="3"/>
      <c r="F19" s="3"/>
    </row>
    <row r="20" customFormat="false" ht="27.75" hidden="false" customHeight="true" outlineLevel="0" collapsed="false">
      <c r="A20" s="3" t="s">
        <v>31</v>
      </c>
      <c r="B20" s="3"/>
      <c r="C20" s="3"/>
      <c r="D20" s="3"/>
      <c r="E20" s="3"/>
      <c r="F20" s="3"/>
    </row>
    <row r="21" customFormat="false" ht="27.75" hidden="false" customHeight="true" outlineLevel="0" collapsed="false">
      <c r="A21" s="3" t="s">
        <v>32</v>
      </c>
      <c r="B21" s="3"/>
      <c r="C21" s="3"/>
      <c r="D21" s="3"/>
      <c r="E21" s="3"/>
      <c r="F21" s="3"/>
    </row>
  </sheetData>
  <mergeCells count="10">
    <mergeCell ref="A1:F1"/>
    <mergeCell ref="A2:F2"/>
    <mergeCell ref="A3:F3"/>
    <mergeCell ref="A14:E14"/>
    <mergeCell ref="A16:F16"/>
    <mergeCell ref="A17:F17"/>
    <mergeCell ref="A18:F18"/>
    <mergeCell ref="A19:F19"/>
    <mergeCell ref="A20:F20"/>
    <mergeCell ref="A21:F21"/>
  </mergeCells>
  <hyperlinks>
    <hyperlink ref="E6" r:id="rId1" location="'4.2.3.1.1'!A1" display="file:///home/user/holaaa/entregables_mujeres/ACU_PARTIDAS_GLOBALES_IISS_CAR_MUJERES.xlsx#'4.2.3.1.1'!A1"/>
    <hyperlink ref="E7" r:id="rId2" location="'4.2.3.1.2'!A1" display="file:///home/user/holaaa/entregables_mujeres/ACU_PARTIDAS_GLOBALES_IISS_CAR_MUJERES.xlsx#'4.2.3.1.2'!A1"/>
    <hyperlink ref="E8" r:id="rId3" location="'4.2.3.1.3'!A1" display="file:///home/user/holaaa/entregables_mujeres/ACU_PARTIDAS_GLOBALES_IISS_CAR_MUJERES.xlsx#'4.2.3.1.3'!A1"/>
    <hyperlink ref="E9" r:id="rId4" location="'4.2.3.1.4'!A1" display="file:///home/user/holaaa/entregables_mujeres/ACU_PARTIDAS_GLOBALES_IISS_CAR_MUJERES.xlsx#'4.2.3.1.4'!A1"/>
    <hyperlink ref="E10" r:id="rId5" location="'4.2.3.1.5'!A1" display="file:///home/user/holaaa/entregables_mujeres/ACU_PARTIDAS_GLOBALES_IISS_CAR_MUJERES.xlsx#'4.2.3.1.5'!A1"/>
    <hyperlink ref="E11" r:id="rId6" location="'4.2.3.1.6'!A1" display="file:///home/user/holaaa/entregables_mujeres/ACU_PARTIDAS_GLOBALES_IISS_CAR_MUJERES.xlsx#'4.2.3.1.6'!A1"/>
    <hyperlink ref="E12" r:id="rId7" location="'4.2.3.1.7'!A1" display="file:///home/user/holaaa/entregables_mujeres/ACU_PARTIDAS_GLOBALES_IISS_CAR_MUJERES.xlsx#'4.2.3.1.7'!A1"/>
    <hyperlink ref="E13" r:id="rId8" location="'4.3.6.3.3'!A1" display="file:///home/user/holaaa/entregables_mujeres/ACU_PARTIDAS_GLOBALES_IISS_CAR_MUJERES.xlsx#'4.3.6.3.3'!A1"/>
  </hyperlink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4"/>
    <col collapsed="false" customWidth="true" hidden="false" outlineLevel="0" max="5" min="3" style="0" width="13"/>
    <col collapsed="false" customWidth="true" hidden="false" outlineLevel="0" max="6" min="6" style="0" width="34"/>
  </cols>
  <sheetData>
    <row r="1" customFormat="false" ht="24" hidden="false" customHeight="true" outlineLevel="0" collapsed="false">
      <c r="A1" s="1" t="s">
        <v>33</v>
      </c>
      <c r="B1" s="1"/>
      <c r="C1" s="1"/>
      <c r="D1" s="1"/>
      <c r="E1" s="1"/>
      <c r="F1" s="1"/>
    </row>
    <row r="2" customFormat="false" ht="36" hidden="false" customHeight="true" outlineLevel="0" collapsed="false">
      <c r="A2" s="12" t="s">
        <v>1</v>
      </c>
      <c r="B2" s="12"/>
      <c r="C2" s="12"/>
      <c r="D2" s="12"/>
      <c r="E2" s="12"/>
      <c r="F2" s="12"/>
    </row>
    <row r="3" customFormat="false" ht="30" hidden="false" customHeight="true" outlineLevel="0" collapsed="false">
      <c r="A3" s="12" t="s">
        <v>34</v>
      </c>
      <c r="B3" s="12"/>
      <c r="C3" s="12"/>
      <c r="D3" s="12"/>
      <c r="E3" s="12"/>
      <c r="F3" s="12"/>
    </row>
    <row r="5" customFormat="false" ht="18" hidden="false" customHeight="true" outlineLevel="0" collapsed="false">
      <c r="A5" s="11" t="s">
        <v>35</v>
      </c>
      <c r="B5" s="11"/>
      <c r="C5" s="11"/>
      <c r="D5" s="11"/>
      <c r="E5" s="11"/>
      <c r="F5" s="11"/>
    </row>
    <row r="6" customFormat="false" ht="15" hidden="false" customHeight="false" outlineLevel="0" collapsed="false">
      <c r="A6" s="13" t="s">
        <v>36</v>
      </c>
      <c r="B6" s="13" t="s">
        <v>37</v>
      </c>
      <c r="C6" s="13" t="s">
        <v>38</v>
      </c>
      <c r="D6" s="13" t="s">
        <v>39</v>
      </c>
      <c r="E6" s="13" t="s">
        <v>40</v>
      </c>
      <c r="F6" s="13" t="s">
        <v>41</v>
      </c>
    </row>
    <row r="7" customFormat="false" ht="15" hidden="false" customHeight="false" outlineLevel="0" collapsed="false">
      <c r="A7" s="5" t="n">
        <v>1</v>
      </c>
      <c r="B7" s="6" t="s">
        <v>42</v>
      </c>
      <c r="C7" s="14" t="n">
        <v>89.3</v>
      </c>
      <c r="D7" s="14" t="n">
        <v>69.75</v>
      </c>
      <c r="E7" s="14" t="n">
        <v>62.8</v>
      </c>
      <c r="F7" s="15" t="s">
        <v>43</v>
      </c>
    </row>
    <row r="8" customFormat="false" ht="15" hidden="false" customHeight="false" outlineLevel="0" collapsed="false">
      <c r="A8" s="5" t="n">
        <v>2</v>
      </c>
      <c r="B8" s="6" t="s">
        <v>44</v>
      </c>
      <c r="C8" s="16" t="n">
        <f aca="false">ROUND(C7*112.2/100,2)</f>
        <v>100.19</v>
      </c>
      <c r="D8" s="16" t="n">
        <f aca="false">ROUND(D7*112.2/100,2)</f>
        <v>78.26</v>
      </c>
      <c r="E8" s="16" t="n">
        <f aca="false">ROUND(E7*112.2/100,2)</f>
        <v>70.46</v>
      </c>
      <c r="F8" s="15" t="s">
        <v>45</v>
      </c>
    </row>
    <row r="9" customFormat="false" ht="15" hidden="false" customHeight="false" outlineLevel="0" collapsed="false">
      <c r="A9" s="5" t="n">
        <v>3</v>
      </c>
      <c r="B9" s="6" t="s">
        <v>46</v>
      </c>
      <c r="C9" s="16" t="n">
        <f aca="false">ROUND(C7*0.32,2)</f>
        <v>28.58</v>
      </c>
      <c r="D9" s="16" t="n">
        <f aca="false">ROUND(D7*0.3,2)</f>
        <v>20.93</v>
      </c>
      <c r="E9" s="16" t="n">
        <f aca="false">ROUND(E7*0.3,2)</f>
        <v>18.84</v>
      </c>
      <c r="F9" s="15" t="s">
        <v>45</v>
      </c>
    </row>
    <row r="10" customFormat="false" ht="15" hidden="false" customHeight="false" outlineLevel="0" collapsed="false">
      <c r="A10" s="5" t="n">
        <v>4</v>
      </c>
      <c r="B10" s="6" t="s">
        <v>47</v>
      </c>
      <c r="C10" s="16" t="n">
        <f aca="false">ROUND(C9*12.25/100,2)</f>
        <v>3.5</v>
      </c>
      <c r="D10" s="16" t="n">
        <f aca="false">ROUND(D9*12.25/100,2)</f>
        <v>2.56</v>
      </c>
      <c r="E10" s="16" t="n">
        <f aca="false">ROUND(E9*12.25/100,2)</f>
        <v>2.31</v>
      </c>
      <c r="F10" s="15" t="s">
        <v>45</v>
      </c>
    </row>
    <row r="11" customFormat="false" ht="15" hidden="false" customHeight="false" outlineLevel="0" collapsed="false">
      <c r="A11" s="5" t="n">
        <v>5</v>
      </c>
      <c r="B11" s="6" t="s">
        <v>48</v>
      </c>
      <c r="C11" s="14" t="n">
        <v>0.16</v>
      </c>
      <c r="D11" s="14" t="n">
        <v>0.16</v>
      </c>
      <c r="E11" s="14" t="n">
        <v>0.16</v>
      </c>
      <c r="F11" s="15" t="s">
        <v>45</v>
      </c>
    </row>
    <row r="12" customFormat="false" ht="15" hidden="false" customHeight="false" outlineLevel="0" collapsed="false">
      <c r="A12" s="5" t="n">
        <v>6</v>
      </c>
      <c r="B12" s="6" t="s">
        <v>49</v>
      </c>
      <c r="C12" s="14" t="n">
        <v>0.4</v>
      </c>
      <c r="D12" s="14" t="n">
        <v>0.31</v>
      </c>
      <c r="E12" s="14" t="n">
        <v>0.28</v>
      </c>
      <c r="F12" s="15" t="s">
        <v>45</v>
      </c>
    </row>
    <row r="13" customFormat="false" ht="15" hidden="false" customHeight="false" outlineLevel="0" collapsed="false">
      <c r="A13" s="5" t="n">
        <v>7</v>
      </c>
      <c r="B13" s="6" t="s">
        <v>50</v>
      </c>
      <c r="C13" s="14" t="n">
        <v>8.6</v>
      </c>
      <c r="D13" s="14" t="n">
        <v>8.6</v>
      </c>
      <c r="E13" s="14" t="n">
        <v>8.6</v>
      </c>
      <c r="F13" s="15" t="s">
        <v>51</v>
      </c>
    </row>
    <row r="14" customFormat="false" ht="15" hidden="false" customHeight="false" outlineLevel="0" collapsed="false">
      <c r="A14" s="5" t="n">
        <v>8</v>
      </c>
      <c r="B14" s="6" t="s">
        <v>52</v>
      </c>
      <c r="C14" s="16" t="n">
        <f aca="false">ROUND(2*132.8/300,2)</f>
        <v>0.89</v>
      </c>
      <c r="D14" s="16" t="n">
        <f aca="false">ROUND(2*132.8/300,2)</f>
        <v>0.89</v>
      </c>
      <c r="E14" s="16" t="n">
        <f aca="false">ROUND(2*132.8/300,2)</f>
        <v>0.89</v>
      </c>
      <c r="F14" s="15" t="s">
        <v>45</v>
      </c>
    </row>
    <row r="15" customFormat="false" ht="15" hidden="false" customHeight="false" outlineLevel="0" collapsed="false">
      <c r="A15" s="17"/>
      <c r="B15" s="18" t="s">
        <v>53</v>
      </c>
      <c r="C15" s="19" t="n">
        <f aca="false">SUM(C7:C14)</f>
        <v>231.62</v>
      </c>
      <c r="D15" s="19" t="n">
        <f aca="false">SUM(D7:D14)</f>
        <v>181.46</v>
      </c>
      <c r="E15" s="19" t="n">
        <f aca="false">SUM(E7:E14)</f>
        <v>164.34</v>
      </c>
      <c r="F15" s="20"/>
    </row>
    <row r="16" customFormat="false" ht="15" hidden="false" customHeight="false" outlineLevel="0" collapsed="false">
      <c r="A16" s="17"/>
      <c r="B16" s="18" t="s">
        <v>54</v>
      </c>
      <c r="C16" s="19" t="n">
        <f aca="false">ROUND(C15/8,2)</f>
        <v>28.95</v>
      </c>
      <c r="D16" s="19" t="n">
        <f aca="false">ROUND(D15/8,2)</f>
        <v>22.68</v>
      </c>
      <c r="E16" s="19" t="n">
        <f aca="false">ROUND(E15/8,2)</f>
        <v>20.54</v>
      </c>
      <c r="F16" s="20" t="s">
        <v>55</v>
      </c>
    </row>
  </sheetData>
  <mergeCells count="4">
    <mergeCell ref="A1:F1"/>
    <mergeCell ref="A2:F2"/>
    <mergeCell ref="A3:F3"/>
    <mergeCell ref="A5:F5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6"/>
    <col collapsed="false" customWidth="true" hidden="false" outlineLevel="0" max="4" min="4" style="0" width="44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20"/>
    <col collapsed="false" customWidth="true" hidden="false" outlineLevel="0" max="10" min="10" style="0" width="50"/>
    <col collapsed="false" customWidth="true" hidden="false" outlineLevel="0" max="11" min="11" style="0" width="26"/>
  </cols>
  <sheetData>
    <row r="1" customFormat="false" ht="24" hidden="false" customHeight="true" outlineLevel="0" collapsed="false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customFormat="false" ht="30" hidden="false" customHeight="true" outlineLevel="0" collapsed="false">
      <c r="A3" s="12" t="s">
        <v>57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5" customFormat="false" ht="30" hidden="false" customHeight="true" outlineLevel="0" collapsed="false">
      <c r="A5" s="13" t="s">
        <v>58</v>
      </c>
      <c r="B5" s="13" t="s">
        <v>59</v>
      </c>
      <c r="C5" s="13" t="s">
        <v>5</v>
      </c>
      <c r="D5" s="13" t="s">
        <v>60</v>
      </c>
      <c r="E5" s="13" t="s">
        <v>61</v>
      </c>
      <c r="F5" s="13" t="s">
        <v>62</v>
      </c>
      <c r="G5" s="13" t="s">
        <v>63</v>
      </c>
      <c r="H5" s="13" t="s">
        <v>64</v>
      </c>
      <c r="I5" s="13" t="s">
        <v>65</v>
      </c>
      <c r="J5" s="13" t="s">
        <v>66</v>
      </c>
      <c r="K5" s="13" t="s">
        <v>67</v>
      </c>
    </row>
    <row r="6" customFormat="false" ht="18" hidden="false" customHeight="true" outlineLevel="0" collapsed="false">
      <c r="A6" s="11" t="s">
        <v>68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customFormat="false" ht="30" hidden="false" customHeight="true" outlineLevel="0" collapsed="false">
      <c r="A7" s="5" t="s">
        <v>69</v>
      </c>
      <c r="B7" s="6" t="s">
        <v>70</v>
      </c>
      <c r="C7" s="5" t="s">
        <v>71</v>
      </c>
      <c r="D7" s="6" t="s">
        <v>72</v>
      </c>
      <c r="E7" s="5" t="s">
        <v>73</v>
      </c>
      <c r="F7" s="21" t="n">
        <v>26.9</v>
      </c>
      <c r="G7" s="22" t="n">
        <v>5</v>
      </c>
      <c r="H7" s="23" t="n">
        <f aca="false">ROUND(F7/G7/1.18,2)</f>
        <v>4.56</v>
      </c>
      <c r="I7" s="15" t="s">
        <v>74</v>
      </c>
      <c r="J7" s="15" t="s">
        <v>75</v>
      </c>
      <c r="K7" s="15" t="s">
        <v>76</v>
      </c>
    </row>
    <row r="8" customFormat="false" ht="30" hidden="false" customHeight="true" outlineLevel="0" collapsed="false">
      <c r="A8" s="5" t="s">
        <v>77</v>
      </c>
      <c r="B8" s="6" t="s">
        <v>78</v>
      </c>
      <c r="C8" s="5" t="s">
        <v>71</v>
      </c>
      <c r="D8" s="6" t="s">
        <v>79</v>
      </c>
      <c r="E8" s="5" t="s">
        <v>73</v>
      </c>
      <c r="F8" s="21" t="n">
        <v>51.9</v>
      </c>
      <c r="G8" s="22" t="n">
        <v>5</v>
      </c>
      <c r="H8" s="23" t="n">
        <f aca="false">ROUND(F8/G8/1.18,2)</f>
        <v>8.8</v>
      </c>
      <c r="I8" s="15" t="s">
        <v>80</v>
      </c>
      <c r="J8" s="15" t="s">
        <v>81</v>
      </c>
      <c r="K8" s="15" t="s">
        <v>82</v>
      </c>
    </row>
    <row r="9" customFormat="false" ht="30" hidden="false" customHeight="true" outlineLevel="0" collapsed="false">
      <c r="A9" s="5" t="s">
        <v>83</v>
      </c>
      <c r="B9" s="6" t="s">
        <v>84</v>
      </c>
      <c r="C9" s="5" t="s">
        <v>71</v>
      </c>
      <c r="D9" s="6" t="s">
        <v>85</v>
      </c>
      <c r="E9" s="5" t="s">
        <v>73</v>
      </c>
      <c r="F9" s="21" t="n">
        <v>65.9</v>
      </c>
      <c r="G9" s="22" t="n">
        <v>5</v>
      </c>
      <c r="H9" s="23" t="n">
        <f aca="false">ROUND(F9/G9/1.18,2)</f>
        <v>11.17</v>
      </c>
      <c r="I9" s="15" t="s">
        <v>86</v>
      </c>
      <c r="J9" s="15" t="s">
        <v>87</v>
      </c>
      <c r="K9" s="15" t="s">
        <v>88</v>
      </c>
    </row>
    <row r="10" customFormat="false" ht="30" hidden="false" customHeight="true" outlineLevel="0" collapsed="false">
      <c r="A10" s="5" t="s">
        <v>89</v>
      </c>
      <c r="B10" s="6" t="s">
        <v>90</v>
      </c>
      <c r="C10" s="5" t="s">
        <v>91</v>
      </c>
      <c r="D10" s="6" t="s">
        <v>92</v>
      </c>
      <c r="E10" s="5" t="s">
        <v>91</v>
      </c>
      <c r="F10" s="21" t="n">
        <v>5.7</v>
      </c>
      <c r="G10" s="22" t="n">
        <v>1</v>
      </c>
      <c r="H10" s="23" t="n">
        <f aca="false">ROUND(F10/G10/1.18,2)</f>
        <v>4.83</v>
      </c>
      <c r="I10" s="15" t="s">
        <v>80</v>
      </c>
      <c r="J10" s="15" t="s">
        <v>93</v>
      </c>
      <c r="K10" s="15" t="s">
        <v>76</v>
      </c>
    </row>
    <row r="11" customFormat="false" ht="30" hidden="false" customHeight="true" outlineLevel="0" collapsed="false">
      <c r="A11" s="5" t="s">
        <v>94</v>
      </c>
      <c r="B11" s="6" t="s">
        <v>95</v>
      </c>
      <c r="C11" s="5" t="s">
        <v>91</v>
      </c>
      <c r="D11" s="6" t="s">
        <v>96</v>
      </c>
      <c r="E11" s="5" t="s">
        <v>91</v>
      </c>
      <c r="F11" s="21" t="n">
        <v>10.9</v>
      </c>
      <c r="G11" s="22" t="n">
        <v>1</v>
      </c>
      <c r="H11" s="23" t="n">
        <f aca="false">ROUND(F11/G11/1.18,2)</f>
        <v>9.24</v>
      </c>
      <c r="I11" s="15" t="s">
        <v>97</v>
      </c>
      <c r="J11" s="15" t="s">
        <v>98</v>
      </c>
      <c r="K11" s="15" t="s">
        <v>76</v>
      </c>
    </row>
    <row r="12" customFormat="false" ht="30" hidden="false" customHeight="true" outlineLevel="0" collapsed="false">
      <c r="A12" s="5" t="s">
        <v>99</v>
      </c>
      <c r="B12" s="6" t="s">
        <v>100</v>
      </c>
      <c r="C12" s="5" t="s">
        <v>91</v>
      </c>
      <c r="D12" s="6" t="s">
        <v>101</v>
      </c>
      <c r="E12" s="5" t="s">
        <v>91</v>
      </c>
      <c r="F12" s="21" t="n">
        <v>15.9</v>
      </c>
      <c r="G12" s="22" t="n">
        <v>1</v>
      </c>
      <c r="H12" s="23" t="n">
        <f aca="false">ROUND(F12/G12/1.18,2)</f>
        <v>13.47</v>
      </c>
      <c r="I12" s="15" t="s">
        <v>74</v>
      </c>
      <c r="J12" s="15" t="s">
        <v>102</v>
      </c>
      <c r="K12" s="15" t="s">
        <v>103</v>
      </c>
    </row>
    <row r="13" customFormat="false" ht="30" hidden="false" customHeight="true" outlineLevel="0" collapsed="false">
      <c r="A13" s="5" t="s">
        <v>104</v>
      </c>
      <c r="B13" s="6" t="s">
        <v>105</v>
      </c>
      <c r="C13" s="5" t="s">
        <v>91</v>
      </c>
      <c r="D13" s="6" t="s">
        <v>106</v>
      </c>
      <c r="E13" s="5" t="s">
        <v>91</v>
      </c>
      <c r="F13" s="21" t="n">
        <v>10.8</v>
      </c>
      <c r="G13" s="22" t="n">
        <v>1</v>
      </c>
      <c r="H13" s="23" t="n">
        <f aca="false">ROUND(F13/G13/1.18,2)</f>
        <v>9.15</v>
      </c>
      <c r="I13" s="15" t="s">
        <v>86</v>
      </c>
      <c r="J13" s="15" t="s">
        <v>107</v>
      </c>
      <c r="K13" s="15" t="s">
        <v>108</v>
      </c>
    </row>
    <row r="14" customFormat="false" ht="30" hidden="false" customHeight="true" outlineLevel="0" collapsed="false">
      <c r="A14" s="5" t="s">
        <v>109</v>
      </c>
      <c r="B14" s="6" t="s">
        <v>110</v>
      </c>
      <c r="C14" s="5" t="s">
        <v>91</v>
      </c>
      <c r="D14" s="6" t="s">
        <v>111</v>
      </c>
      <c r="E14" s="5" t="s">
        <v>91</v>
      </c>
      <c r="F14" s="21" t="n">
        <v>15.5</v>
      </c>
      <c r="G14" s="22" t="n">
        <v>1</v>
      </c>
      <c r="H14" s="23" t="n">
        <f aca="false">ROUND(F14/G14/1.18,2)</f>
        <v>13.14</v>
      </c>
      <c r="I14" s="15" t="s">
        <v>86</v>
      </c>
      <c r="J14" s="15" t="s">
        <v>112</v>
      </c>
      <c r="K14" s="15" t="s">
        <v>113</v>
      </c>
    </row>
    <row r="15" customFormat="false" ht="30" hidden="false" customHeight="true" outlineLevel="0" collapsed="false">
      <c r="A15" s="5" t="s">
        <v>114</v>
      </c>
      <c r="B15" s="6" t="s">
        <v>115</v>
      </c>
      <c r="C15" s="5" t="s">
        <v>91</v>
      </c>
      <c r="D15" s="6" t="s">
        <v>116</v>
      </c>
      <c r="E15" s="5" t="s">
        <v>91</v>
      </c>
      <c r="F15" s="21" t="n">
        <v>22.9</v>
      </c>
      <c r="G15" s="22" t="n">
        <v>1</v>
      </c>
      <c r="H15" s="23" t="n">
        <f aca="false">ROUND(F15/G15/1.18,2)</f>
        <v>19.41</v>
      </c>
      <c r="I15" s="15" t="s">
        <v>74</v>
      </c>
      <c r="J15" s="15" t="s">
        <v>117</v>
      </c>
      <c r="K15" s="15" t="s">
        <v>76</v>
      </c>
    </row>
    <row r="16" customFormat="false" ht="30" hidden="false" customHeight="true" outlineLevel="0" collapsed="false">
      <c r="A16" s="5" t="s">
        <v>118</v>
      </c>
      <c r="B16" s="6" t="s">
        <v>119</v>
      </c>
      <c r="C16" s="5" t="s">
        <v>91</v>
      </c>
      <c r="D16" s="6" t="s">
        <v>120</v>
      </c>
      <c r="E16" s="5" t="s">
        <v>91</v>
      </c>
      <c r="F16" s="21" t="n">
        <v>20</v>
      </c>
      <c r="G16" s="22" t="n">
        <v>1</v>
      </c>
      <c r="H16" s="23" t="n">
        <f aca="false">ROUND(F16/G16/1.18,2)</f>
        <v>16.95</v>
      </c>
      <c r="I16" s="15" t="s">
        <v>74</v>
      </c>
      <c r="J16" s="15" t="s">
        <v>121</v>
      </c>
      <c r="K16" s="15" t="s">
        <v>76</v>
      </c>
    </row>
    <row r="17" customFormat="false" ht="30" hidden="false" customHeight="true" outlineLevel="0" collapsed="false">
      <c r="A17" s="5" t="s">
        <v>122</v>
      </c>
      <c r="B17" s="6" t="s">
        <v>123</v>
      </c>
      <c r="C17" s="5" t="s">
        <v>91</v>
      </c>
      <c r="D17" s="6" t="s">
        <v>124</v>
      </c>
      <c r="E17" s="5" t="s">
        <v>91</v>
      </c>
      <c r="F17" s="21" t="n">
        <v>49.9</v>
      </c>
      <c r="G17" s="22" t="n">
        <v>1</v>
      </c>
      <c r="H17" s="23" t="n">
        <f aca="false">ROUND(F17/G17/1.18,2)</f>
        <v>42.29</v>
      </c>
      <c r="I17" s="15" t="s">
        <v>125</v>
      </c>
      <c r="J17" s="15" t="s">
        <v>126</v>
      </c>
      <c r="K17" s="15" t="s">
        <v>76</v>
      </c>
    </row>
    <row r="18" customFormat="false" ht="30" hidden="false" customHeight="true" outlineLevel="0" collapsed="false">
      <c r="A18" s="5" t="s">
        <v>127</v>
      </c>
      <c r="B18" s="6" t="s">
        <v>128</v>
      </c>
      <c r="C18" s="5" t="s">
        <v>91</v>
      </c>
      <c r="D18" s="6" t="s">
        <v>129</v>
      </c>
      <c r="E18" s="5" t="s">
        <v>91</v>
      </c>
      <c r="F18" s="21" t="n">
        <v>10.9</v>
      </c>
      <c r="G18" s="22" t="n">
        <v>1</v>
      </c>
      <c r="H18" s="23" t="n">
        <f aca="false">ROUND(F18/G18/1.18,2)</f>
        <v>9.24</v>
      </c>
      <c r="I18" s="15" t="s">
        <v>80</v>
      </c>
      <c r="J18" s="15" t="s">
        <v>130</v>
      </c>
      <c r="K18" s="15" t="s">
        <v>131</v>
      </c>
    </row>
    <row r="19" customFormat="false" ht="30" hidden="false" customHeight="true" outlineLevel="0" collapsed="false">
      <c r="A19" s="5" t="s">
        <v>132</v>
      </c>
      <c r="B19" s="6" t="s">
        <v>133</v>
      </c>
      <c r="C19" s="5" t="s">
        <v>91</v>
      </c>
      <c r="D19" s="6" t="s">
        <v>134</v>
      </c>
      <c r="E19" s="5" t="s">
        <v>91</v>
      </c>
      <c r="F19" s="21" t="n">
        <v>8.4</v>
      </c>
      <c r="G19" s="22" t="n">
        <v>1</v>
      </c>
      <c r="H19" s="23" t="n">
        <f aca="false">ROUND(F19/G19/1.18,2)</f>
        <v>7.12</v>
      </c>
      <c r="I19" s="15" t="s">
        <v>86</v>
      </c>
      <c r="J19" s="15" t="s">
        <v>135</v>
      </c>
      <c r="K19" s="15" t="s">
        <v>136</v>
      </c>
    </row>
    <row r="20" customFormat="false" ht="30" hidden="false" customHeight="true" outlineLevel="0" collapsed="false">
      <c r="A20" s="5" t="s">
        <v>137</v>
      </c>
      <c r="B20" s="6" t="s">
        <v>138</v>
      </c>
      <c r="C20" s="5" t="s">
        <v>91</v>
      </c>
      <c r="D20" s="6" t="s">
        <v>139</v>
      </c>
      <c r="E20" s="5" t="s">
        <v>91</v>
      </c>
      <c r="F20" s="21" t="n">
        <v>10.2</v>
      </c>
      <c r="G20" s="22" t="n">
        <v>1</v>
      </c>
      <c r="H20" s="23" t="n">
        <f aca="false">ROUND(F20/G20/1.18,2)</f>
        <v>8.64</v>
      </c>
      <c r="I20" s="15" t="s">
        <v>86</v>
      </c>
      <c r="J20" s="15" t="s">
        <v>140</v>
      </c>
      <c r="K20" s="15" t="s">
        <v>136</v>
      </c>
    </row>
    <row r="21" customFormat="false" ht="30" hidden="false" customHeight="true" outlineLevel="0" collapsed="false">
      <c r="A21" s="5" t="s">
        <v>141</v>
      </c>
      <c r="B21" s="6" t="s">
        <v>142</v>
      </c>
      <c r="C21" s="5" t="s">
        <v>91</v>
      </c>
      <c r="D21" s="6" t="s">
        <v>143</v>
      </c>
      <c r="E21" s="5" t="s">
        <v>91</v>
      </c>
      <c r="F21" s="21" t="n">
        <v>9.6</v>
      </c>
      <c r="G21" s="22" t="n">
        <v>1</v>
      </c>
      <c r="H21" s="23" t="n">
        <f aca="false">ROUND(F21/G21/1.18,2)</f>
        <v>8.14</v>
      </c>
      <c r="I21" s="15" t="s">
        <v>86</v>
      </c>
      <c r="J21" s="15" t="s">
        <v>144</v>
      </c>
      <c r="K21" s="15" t="s">
        <v>145</v>
      </c>
    </row>
    <row r="22" customFormat="false" ht="30" hidden="false" customHeight="true" outlineLevel="0" collapsed="false">
      <c r="A22" s="5" t="s">
        <v>146</v>
      </c>
      <c r="B22" s="6" t="s">
        <v>147</v>
      </c>
      <c r="C22" s="5" t="s">
        <v>91</v>
      </c>
      <c r="D22" s="6" t="s">
        <v>148</v>
      </c>
      <c r="E22" s="5" t="s">
        <v>91</v>
      </c>
      <c r="F22" s="21" t="n">
        <v>4.4</v>
      </c>
      <c r="G22" s="22" t="n">
        <v>1</v>
      </c>
      <c r="H22" s="23" t="n">
        <f aca="false">ROUND(F22/G22/1.18,2)</f>
        <v>3.73</v>
      </c>
      <c r="I22" s="15" t="s">
        <v>86</v>
      </c>
      <c r="J22" s="15" t="s">
        <v>149</v>
      </c>
      <c r="K22" s="15" t="s">
        <v>76</v>
      </c>
    </row>
    <row r="23" customFormat="false" ht="30" hidden="false" customHeight="true" outlineLevel="0" collapsed="false">
      <c r="A23" s="5" t="s">
        <v>150</v>
      </c>
      <c r="B23" s="6" t="s">
        <v>151</v>
      </c>
      <c r="C23" s="5" t="s">
        <v>91</v>
      </c>
      <c r="D23" s="6" t="s">
        <v>152</v>
      </c>
      <c r="E23" s="5" t="s">
        <v>73</v>
      </c>
      <c r="F23" s="21" t="n">
        <v>94.9</v>
      </c>
      <c r="G23" s="24" t="n">
        <f aca="false">5/0.15</f>
        <v>33.3333333333333</v>
      </c>
      <c r="H23" s="23" t="n">
        <f aca="false">ROUND(F23/G23/1.18,2)</f>
        <v>2.41</v>
      </c>
      <c r="I23" s="15" t="s">
        <v>86</v>
      </c>
      <c r="J23" s="15" t="s">
        <v>87</v>
      </c>
      <c r="K23" s="15" t="s">
        <v>153</v>
      </c>
    </row>
    <row r="24" customFormat="false" ht="30" hidden="false" customHeight="true" outlineLevel="0" collapsed="false">
      <c r="A24" s="5" t="s">
        <v>154</v>
      </c>
      <c r="B24" s="6" t="s">
        <v>155</v>
      </c>
      <c r="C24" s="5" t="s">
        <v>91</v>
      </c>
      <c r="D24" s="6" t="s">
        <v>156</v>
      </c>
      <c r="E24" s="5" t="s">
        <v>91</v>
      </c>
      <c r="F24" s="21" t="n">
        <v>10</v>
      </c>
      <c r="G24" s="22" t="n">
        <v>1</v>
      </c>
      <c r="H24" s="23" t="n">
        <f aca="false">ROUND(F24/G24/1.18,2)</f>
        <v>8.47</v>
      </c>
      <c r="I24" s="15" t="s">
        <v>86</v>
      </c>
      <c r="J24" s="15" t="s">
        <v>157</v>
      </c>
      <c r="K24" s="15" t="s">
        <v>158</v>
      </c>
    </row>
    <row r="25" customFormat="false" ht="30" hidden="false" customHeight="true" outlineLevel="0" collapsed="false">
      <c r="A25" s="5" t="s">
        <v>159</v>
      </c>
      <c r="B25" s="6" t="s">
        <v>160</v>
      </c>
      <c r="C25" s="5" t="s">
        <v>91</v>
      </c>
      <c r="D25" s="6" t="s">
        <v>161</v>
      </c>
      <c r="E25" s="5" t="s">
        <v>91</v>
      </c>
      <c r="F25" s="21" t="n">
        <v>9.9</v>
      </c>
      <c r="G25" s="22" t="n">
        <v>1</v>
      </c>
      <c r="H25" s="23" t="n">
        <f aca="false">ROUND(F25/G25/1.18,2)</f>
        <v>8.39</v>
      </c>
      <c r="I25" s="15" t="s">
        <v>86</v>
      </c>
      <c r="J25" s="15" t="s">
        <v>162</v>
      </c>
      <c r="K25" s="15" t="s">
        <v>76</v>
      </c>
    </row>
    <row r="26" customFormat="false" ht="30" hidden="false" customHeight="true" outlineLevel="0" collapsed="false">
      <c r="A26" s="5" t="s">
        <v>163</v>
      </c>
      <c r="B26" s="6" t="s">
        <v>164</v>
      </c>
      <c r="C26" s="5" t="s">
        <v>91</v>
      </c>
      <c r="D26" s="6" t="s">
        <v>165</v>
      </c>
      <c r="E26" s="5" t="s">
        <v>91</v>
      </c>
      <c r="F26" s="21" t="n">
        <v>109.9</v>
      </c>
      <c r="G26" s="22" t="n">
        <v>1</v>
      </c>
      <c r="H26" s="23" t="n">
        <f aca="false">ROUND(F26/G26/1.18,2)</f>
        <v>93.14</v>
      </c>
      <c r="I26" s="15" t="s">
        <v>74</v>
      </c>
      <c r="J26" s="15" t="s">
        <v>166</v>
      </c>
      <c r="K26" s="15" t="s">
        <v>167</v>
      </c>
    </row>
    <row r="27" customFormat="false" ht="30" hidden="false" customHeight="true" outlineLevel="0" collapsed="false">
      <c r="A27" s="5" t="s">
        <v>168</v>
      </c>
      <c r="B27" s="6" t="s">
        <v>169</v>
      </c>
      <c r="C27" s="5" t="s">
        <v>91</v>
      </c>
      <c r="D27" s="6" t="s">
        <v>170</v>
      </c>
      <c r="E27" s="5" t="s">
        <v>91</v>
      </c>
      <c r="F27" s="21" t="n">
        <v>24.9</v>
      </c>
      <c r="G27" s="22" t="n">
        <v>1</v>
      </c>
      <c r="H27" s="23" t="n">
        <f aca="false">ROUND(F27/G27/1.18,2)</f>
        <v>21.1</v>
      </c>
      <c r="I27" s="15" t="s">
        <v>86</v>
      </c>
      <c r="J27" s="15" t="s">
        <v>171</v>
      </c>
      <c r="K27" s="15" t="s">
        <v>76</v>
      </c>
    </row>
    <row r="28" customFormat="false" ht="30" hidden="false" customHeight="true" outlineLevel="0" collapsed="false">
      <c r="A28" s="5" t="s">
        <v>172</v>
      </c>
      <c r="B28" s="6" t="s">
        <v>173</v>
      </c>
      <c r="C28" s="5" t="s">
        <v>91</v>
      </c>
      <c r="D28" s="6" t="s">
        <v>174</v>
      </c>
      <c r="E28" s="5" t="s">
        <v>91</v>
      </c>
      <c r="F28" s="21" t="n">
        <v>179.9</v>
      </c>
      <c r="G28" s="22" t="n">
        <v>1</v>
      </c>
      <c r="H28" s="23" t="n">
        <f aca="false">ROUND(F28/G28/1.18,2)</f>
        <v>152.46</v>
      </c>
      <c r="I28" s="15" t="s">
        <v>86</v>
      </c>
      <c r="J28" s="15" t="s">
        <v>175</v>
      </c>
      <c r="K28" s="15" t="s">
        <v>176</v>
      </c>
    </row>
    <row r="29" customFormat="false" ht="30" hidden="false" customHeight="true" outlineLevel="0" collapsed="false">
      <c r="A29" s="5" t="s">
        <v>177</v>
      </c>
      <c r="B29" s="6" t="s">
        <v>178</v>
      </c>
      <c r="C29" s="5" t="s">
        <v>91</v>
      </c>
      <c r="D29" s="6" t="s">
        <v>179</v>
      </c>
      <c r="E29" s="5" t="s">
        <v>91</v>
      </c>
      <c r="F29" s="21" t="n">
        <v>80</v>
      </c>
      <c r="G29" s="22" t="n">
        <v>1</v>
      </c>
      <c r="H29" s="23" t="n">
        <f aca="false">ROUND(F29/G29/1.18,2)</f>
        <v>67.8</v>
      </c>
      <c r="I29" s="15" t="s">
        <v>180</v>
      </c>
      <c r="J29" s="15" t="s">
        <v>181</v>
      </c>
      <c r="K29" s="15" t="s">
        <v>182</v>
      </c>
    </row>
    <row r="30" customFormat="false" ht="30" hidden="false" customHeight="true" outlineLevel="0" collapsed="false">
      <c r="A30" s="5" t="s">
        <v>183</v>
      </c>
      <c r="B30" s="6" t="s">
        <v>184</v>
      </c>
      <c r="C30" s="5" t="s">
        <v>91</v>
      </c>
      <c r="D30" s="6" t="s">
        <v>185</v>
      </c>
      <c r="E30" s="5" t="s">
        <v>91</v>
      </c>
      <c r="F30" s="21" t="n">
        <v>169.9</v>
      </c>
      <c r="G30" s="22" t="n">
        <v>1</v>
      </c>
      <c r="H30" s="23" t="n">
        <f aca="false">ROUND(F30/G30/1.18,2)</f>
        <v>143.98</v>
      </c>
      <c r="I30" s="15" t="s">
        <v>74</v>
      </c>
      <c r="J30" s="15" t="s">
        <v>186</v>
      </c>
      <c r="K30" s="15" t="s">
        <v>187</v>
      </c>
    </row>
    <row r="31" customFormat="false" ht="30" hidden="false" customHeight="true" outlineLevel="0" collapsed="false">
      <c r="A31" s="5" t="s">
        <v>188</v>
      </c>
      <c r="B31" s="6" t="s">
        <v>189</v>
      </c>
      <c r="C31" s="5" t="s">
        <v>91</v>
      </c>
      <c r="D31" s="6" t="s">
        <v>190</v>
      </c>
      <c r="E31" s="5" t="s">
        <v>91</v>
      </c>
      <c r="F31" s="21" t="n">
        <v>370</v>
      </c>
      <c r="G31" s="22" t="n">
        <v>1</v>
      </c>
      <c r="H31" s="23" t="n">
        <f aca="false">ROUND(F31/G31/1.18,2)</f>
        <v>313.56</v>
      </c>
      <c r="I31" s="15" t="s">
        <v>191</v>
      </c>
      <c r="J31" s="15" t="s">
        <v>192</v>
      </c>
      <c r="K31" s="15" t="s">
        <v>76</v>
      </c>
    </row>
    <row r="32" customFormat="false" ht="30" hidden="false" customHeight="true" outlineLevel="0" collapsed="false">
      <c r="A32" s="5" t="s">
        <v>193</v>
      </c>
      <c r="B32" s="6" t="s">
        <v>194</v>
      </c>
      <c r="C32" s="5" t="s">
        <v>91</v>
      </c>
      <c r="D32" s="6" t="s">
        <v>195</v>
      </c>
      <c r="E32" s="5" t="s">
        <v>91</v>
      </c>
      <c r="F32" s="21" t="n">
        <v>95.9</v>
      </c>
      <c r="G32" s="22" t="n">
        <v>1</v>
      </c>
      <c r="H32" s="23" t="n">
        <f aca="false">ROUND(F32/G32/1.18,2)</f>
        <v>81.27</v>
      </c>
      <c r="I32" s="15" t="s">
        <v>74</v>
      </c>
      <c r="J32" s="15" t="s">
        <v>196</v>
      </c>
      <c r="K32" s="15" t="s">
        <v>197</v>
      </c>
    </row>
    <row r="33" customFormat="false" ht="30" hidden="false" customHeight="true" outlineLevel="0" collapsed="false">
      <c r="A33" s="5" t="s">
        <v>198</v>
      </c>
      <c r="B33" s="6" t="s">
        <v>199</v>
      </c>
      <c r="C33" s="5" t="s">
        <v>91</v>
      </c>
      <c r="D33" s="6" t="s">
        <v>200</v>
      </c>
      <c r="E33" s="5" t="s">
        <v>91</v>
      </c>
      <c r="F33" s="21" t="n">
        <v>89.9</v>
      </c>
      <c r="G33" s="22" t="n">
        <v>1</v>
      </c>
      <c r="H33" s="23" t="n">
        <f aca="false">ROUND(F33/G33/1.18,2)</f>
        <v>76.19</v>
      </c>
      <c r="I33" s="15" t="s">
        <v>86</v>
      </c>
      <c r="J33" s="15" t="s">
        <v>201</v>
      </c>
      <c r="K33" s="15" t="s">
        <v>202</v>
      </c>
    </row>
    <row r="34" customFormat="false" ht="30" hidden="false" customHeight="true" outlineLevel="0" collapsed="false">
      <c r="A34" s="5" t="s">
        <v>203</v>
      </c>
      <c r="B34" s="6" t="s">
        <v>204</v>
      </c>
      <c r="C34" s="5" t="s">
        <v>91</v>
      </c>
      <c r="D34" s="6" t="s">
        <v>205</v>
      </c>
      <c r="E34" s="5" t="s">
        <v>91</v>
      </c>
      <c r="F34" s="21" t="n">
        <v>6.9</v>
      </c>
      <c r="G34" s="22" t="n">
        <v>1</v>
      </c>
      <c r="H34" s="23" t="n">
        <f aca="false">ROUND(F34/G34/1.18,2)</f>
        <v>5.85</v>
      </c>
      <c r="I34" s="15" t="s">
        <v>74</v>
      </c>
      <c r="J34" s="15" t="s">
        <v>206</v>
      </c>
      <c r="K34" s="15" t="s">
        <v>76</v>
      </c>
    </row>
    <row r="35" customFormat="false" ht="30" hidden="false" customHeight="true" outlineLevel="0" collapsed="false">
      <c r="A35" s="5" t="s">
        <v>207</v>
      </c>
      <c r="B35" s="6" t="s">
        <v>208</v>
      </c>
      <c r="C35" s="5" t="s">
        <v>91</v>
      </c>
      <c r="D35" s="6" t="s">
        <v>209</v>
      </c>
      <c r="E35" s="5" t="s">
        <v>91</v>
      </c>
      <c r="F35" s="21" t="n">
        <v>14.9</v>
      </c>
      <c r="G35" s="22" t="n">
        <v>1</v>
      </c>
      <c r="H35" s="23" t="n">
        <f aca="false">ROUND(F35/G35/1.18,2)</f>
        <v>12.63</v>
      </c>
      <c r="I35" s="15" t="s">
        <v>74</v>
      </c>
      <c r="J35" s="15" t="s">
        <v>210</v>
      </c>
      <c r="K35" s="15" t="s">
        <v>76</v>
      </c>
    </row>
    <row r="36" customFormat="false" ht="30" hidden="false" customHeight="true" outlineLevel="0" collapsed="false">
      <c r="A36" s="5" t="s">
        <v>211</v>
      </c>
      <c r="B36" s="6" t="s">
        <v>212</v>
      </c>
      <c r="C36" s="5" t="s">
        <v>91</v>
      </c>
      <c r="D36" s="6" t="s">
        <v>213</v>
      </c>
      <c r="E36" s="5" t="s">
        <v>91</v>
      </c>
      <c r="F36" s="21" t="n">
        <v>16.9</v>
      </c>
      <c r="G36" s="22" t="n">
        <v>1</v>
      </c>
      <c r="H36" s="23" t="n">
        <f aca="false">ROUND(F36/G36/1.18,2)</f>
        <v>14.32</v>
      </c>
      <c r="I36" s="15" t="s">
        <v>74</v>
      </c>
      <c r="J36" s="15" t="s">
        <v>214</v>
      </c>
      <c r="K36" s="15" t="s">
        <v>76</v>
      </c>
    </row>
    <row r="37" customFormat="false" ht="30" hidden="false" customHeight="true" outlineLevel="0" collapsed="false">
      <c r="A37" s="5" t="s">
        <v>215</v>
      </c>
      <c r="B37" s="6" t="s">
        <v>216</v>
      </c>
      <c r="C37" s="5" t="s">
        <v>71</v>
      </c>
      <c r="D37" s="6" t="s">
        <v>217</v>
      </c>
      <c r="E37" s="5" t="s">
        <v>218</v>
      </c>
      <c r="F37" s="21" t="n">
        <v>50.9</v>
      </c>
      <c r="G37" s="22" t="n">
        <v>6.4</v>
      </c>
      <c r="H37" s="23" t="n">
        <f aca="false">ROUND(F37/G37/1.18,2)</f>
        <v>6.74</v>
      </c>
      <c r="I37" s="15" t="s">
        <v>191</v>
      </c>
      <c r="J37" s="15" t="s">
        <v>219</v>
      </c>
      <c r="K37" s="15" t="s">
        <v>76</v>
      </c>
    </row>
    <row r="38" customFormat="false" ht="30" hidden="false" customHeight="true" outlineLevel="0" collapsed="false">
      <c r="A38" s="5" t="s">
        <v>220</v>
      </c>
      <c r="B38" s="6" t="s">
        <v>221</v>
      </c>
      <c r="C38" s="5" t="s">
        <v>71</v>
      </c>
      <c r="D38" s="6" t="s">
        <v>222</v>
      </c>
      <c r="E38" s="5" t="s">
        <v>218</v>
      </c>
      <c r="F38" s="21" t="n">
        <v>114.9</v>
      </c>
      <c r="G38" s="22" t="n">
        <v>6.4</v>
      </c>
      <c r="H38" s="23" t="n">
        <f aca="false">ROUND(F38/G38/1.18,2)</f>
        <v>15.21</v>
      </c>
      <c r="I38" s="15" t="s">
        <v>191</v>
      </c>
      <c r="J38" s="15" t="s">
        <v>223</v>
      </c>
      <c r="K38" s="15" t="s">
        <v>76</v>
      </c>
    </row>
    <row r="39" customFormat="false" ht="30" hidden="false" customHeight="true" outlineLevel="0" collapsed="false">
      <c r="A39" s="5" t="s">
        <v>224</v>
      </c>
      <c r="B39" s="6" t="s">
        <v>225</v>
      </c>
      <c r="C39" s="5" t="s">
        <v>71</v>
      </c>
      <c r="D39" s="6" t="s">
        <v>226</v>
      </c>
      <c r="E39" s="5" t="s">
        <v>218</v>
      </c>
      <c r="F39" s="21" t="n">
        <v>149.9</v>
      </c>
      <c r="G39" s="22" t="n">
        <v>6.4</v>
      </c>
      <c r="H39" s="23" t="n">
        <f aca="false">ROUND(F39/G39/1.18,2)</f>
        <v>19.85</v>
      </c>
      <c r="I39" s="15" t="s">
        <v>191</v>
      </c>
      <c r="J39" s="15" t="s">
        <v>227</v>
      </c>
      <c r="K39" s="15" t="s">
        <v>76</v>
      </c>
    </row>
    <row r="40" customFormat="false" ht="30" hidden="false" customHeight="true" outlineLevel="0" collapsed="false">
      <c r="A40" s="5" t="s">
        <v>228</v>
      </c>
      <c r="B40" s="6" t="s">
        <v>229</v>
      </c>
      <c r="C40" s="5" t="s">
        <v>91</v>
      </c>
      <c r="D40" s="6" t="s">
        <v>230</v>
      </c>
      <c r="E40" s="5" t="s">
        <v>91</v>
      </c>
      <c r="F40" s="21" t="n">
        <v>1.4</v>
      </c>
      <c r="G40" s="22" t="n">
        <v>1</v>
      </c>
      <c r="H40" s="23" t="n">
        <f aca="false">ROUND(F40/G40/1.18,2)</f>
        <v>1.19</v>
      </c>
      <c r="I40" s="15" t="s">
        <v>86</v>
      </c>
      <c r="J40" s="15" t="s">
        <v>231</v>
      </c>
      <c r="K40" s="15" t="s">
        <v>232</v>
      </c>
    </row>
    <row r="41" customFormat="false" ht="30" hidden="false" customHeight="true" outlineLevel="0" collapsed="false">
      <c r="A41" s="5" t="s">
        <v>233</v>
      </c>
      <c r="B41" s="6" t="s">
        <v>234</v>
      </c>
      <c r="C41" s="5" t="s">
        <v>91</v>
      </c>
      <c r="D41" s="6" t="s">
        <v>235</v>
      </c>
      <c r="E41" s="5" t="s">
        <v>91</v>
      </c>
      <c r="F41" s="21" t="n">
        <v>1.4</v>
      </c>
      <c r="G41" s="22" t="n">
        <v>1</v>
      </c>
      <c r="H41" s="23" t="n">
        <f aca="false">ROUND(F41/G41/1.18,2)</f>
        <v>1.19</v>
      </c>
      <c r="I41" s="15" t="s">
        <v>86</v>
      </c>
      <c r="J41" s="15" t="s">
        <v>231</v>
      </c>
      <c r="K41" s="15" t="s">
        <v>236</v>
      </c>
    </row>
    <row r="42" customFormat="false" ht="30" hidden="false" customHeight="true" outlineLevel="0" collapsed="false">
      <c r="A42" s="5" t="s">
        <v>237</v>
      </c>
      <c r="B42" s="6" t="s">
        <v>238</v>
      </c>
      <c r="C42" s="5" t="s">
        <v>91</v>
      </c>
      <c r="D42" s="6" t="s">
        <v>239</v>
      </c>
      <c r="E42" s="5" t="s">
        <v>91</v>
      </c>
      <c r="F42" s="21" t="n">
        <v>1.6</v>
      </c>
      <c r="G42" s="22" t="n">
        <v>1</v>
      </c>
      <c r="H42" s="23" t="n">
        <f aca="false">ROUND(F42/G42/1.18,2)</f>
        <v>1.36</v>
      </c>
      <c r="I42" s="15" t="s">
        <v>86</v>
      </c>
      <c r="J42" s="15" t="s">
        <v>240</v>
      </c>
      <c r="K42" s="15" t="s">
        <v>236</v>
      </c>
    </row>
    <row r="43" customFormat="false" ht="30" hidden="false" customHeight="true" outlineLevel="0" collapsed="false">
      <c r="A43" s="5" t="s">
        <v>241</v>
      </c>
      <c r="B43" s="6" t="s">
        <v>242</v>
      </c>
      <c r="C43" s="5" t="s">
        <v>91</v>
      </c>
      <c r="D43" s="6" t="s">
        <v>243</v>
      </c>
      <c r="E43" s="5" t="s">
        <v>244</v>
      </c>
      <c r="F43" s="21" t="n">
        <v>37.9</v>
      </c>
      <c r="G43" s="22" t="n">
        <v>4</v>
      </c>
      <c r="H43" s="23" t="n">
        <f aca="false">ROUND(F43/G43/1.18,2)</f>
        <v>8.03</v>
      </c>
      <c r="I43" s="15" t="s">
        <v>125</v>
      </c>
      <c r="J43" s="15" t="s">
        <v>245</v>
      </c>
      <c r="K43" s="15" t="s">
        <v>246</v>
      </c>
    </row>
    <row r="44" customFormat="false" ht="30" hidden="false" customHeight="true" outlineLevel="0" collapsed="false">
      <c r="A44" s="5" t="s">
        <v>247</v>
      </c>
      <c r="B44" s="6" t="s">
        <v>248</v>
      </c>
      <c r="C44" s="5" t="s">
        <v>249</v>
      </c>
      <c r="D44" s="6" t="s">
        <v>250</v>
      </c>
      <c r="E44" s="5" t="s">
        <v>251</v>
      </c>
      <c r="F44" s="21" t="n">
        <v>189.93</v>
      </c>
      <c r="G44" s="24" t="n">
        <f aca="false">1.2*2.4*24.91</f>
        <v>71.7408</v>
      </c>
      <c r="H44" s="23" t="n">
        <f aca="false">ROUND(F44/G44/1.18,2)</f>
        <v>2.24</v>
      </c>
      <c r="I44" s="15" t="s">
        <v>252</v>
      </c>
      <c r="J44" s="15" t="s">
        <v>253</v>
      </c>
      <c r="K44" s="15" t="s">
        <v>254</v>
      </c>
    </row>
    <row r="45" customFormat="false" ht="30" hidden="false" customHeight="true" outlineLevel="0" collapsed="false">
      <c r="A45" s="5" t="s">
        <v>255</v>
      </c>
      <c r="B45" s="6" t="s">
        <v>256</v>
      </c>
      <c r="C45" s="5" t="s">
        <v>91</v>
      </c>
      <c r="D45" s="6" t="s">
        <v>257</v>
      </c>
      <c r="E45" s="5" t="s">
        <v>91</v>
      </c>
      <c r="F45" s="21" t="n">
        <v>6.2</v>
      </c>
      <c r="G45" s="22" t="n">
        <v>1</v>
      </c>
      <c r="H45" s="23" t="n">
        <f aca="false">ROUND(F45/G45/1.18,2)</f>
        <v>5.25</v>
      </c>
      <c r="I45" s="15" t="s">
        <v>74</v>
      </c>
      <c r="J45" s="15" t="s">
        <v>258</v>
      </c>
      <c r="K45" s="15" t="s">
        <v>76</v>
      </c>
    </row>
    <row r="46" customFormat="false" ht="30" hidden="false" customHeight="true" outlineLevel="0" collapsed="false">
      <c r="A46" s="5" t="s">
        <v>259</v>
      </c>
      <c r="B46" s="6" t="s">
        <v>260</v>
      </c>
      <c r="C46" s="5" t="s">
        <v>261</v>
      </c>
      <c r="D46" s="6" t="s">
        <v>262</v>
      </c>
      <c r="E46" s="5" t="s">
        <v>263</v>
      </c>
      <c r="F46" s="21" t="n">
        <v>129.9</v>
      </c>
      <c r="G46" s="22" t="n">
        <v>27</v>
      </c>
      <c r="H46" s="23" t="n">
        <f aca="false">ROUND(F46/G46/1.18,2)</f>
        <v>4.08</v>
      </c>
      <c r="I46" s="15" t="s">
        <v>74</v>
      </c>
      <c r="J46" s="15" t="s">
        <v>264</v>
      </c>
      <c r="K46" s="15" t="s">
        <v>76</v>
      </c>
    </row>
    <row r="47" customFormat="false" ht="30" hidden="false" customHeight="true" outlineLevel="0" collapsed="false">
      <c r="A47" s="5" t="s">
        <v>265</v>
      </c>
      <c r="B47" s="6" t="s">
        <v>266</v>
      </c>
      <c r="C47" s="5" t="s">
        <v>267</v>
      </c>
      <c r="D47" s="6" t="s">
        <v>268</v>
      </c>
      <c r="E47" s="5" t="s">
        <v>269</v>
      </c>
      <c r="F47" s="21" t="n">
        <v>61.9</v>
      </c>
      <c r="G47" s="22" t="n">
        <v>0.25</v>
      </c>
      <c r="H47" s="23" t="n">
        <f aca="false">ROUND(F47/G47/1.18,2)</f>
        <v>209.83</v>
      </c>
      <c r="I47" s="15" t="s">
        <v>74</v>
      </c>
      <c r="J47" s="15" t="s">
        <v>270</v>
      </c>
      <c r="K47" s="15" t="s">
        <v>76</v>
      </c>
    </row>
    <row r="48" customFormat="false" ht="30" hidden="false" customHeight="true" outlineLevel="0" collapsed="false">
      <c r="A48" s="5" t="s">
        <v>271</v>
      </c>
      <c r="B48" s="6" t="s">
        <v>272</v>
      </c>
      <c r="C48" s="5" t="s">
        <v>91</v>
      </c>
      <c r="D48" s="6" t="s">
        <v>273</v>
      </c>
      <c r="E48" s="5" t="s">
        <v>274</v>
      </c>
      <c r="F48" s="21" t="n">
        <v>2.9</v>
      </c>
      <c r="G48" s="22" t="n">
        <v>1</v>
      </c>
      <c r="H48" s="23" t="n">
        <f aca="false">ROUND(F48/G48/1.18,2)</f>
        <v>2.46</v>
      </c>
      <c r="I48" s="15" t="s">
        <v>74</v>
      </c>
      <c r="J48" s="15" t="s">
        <v>275</v>
      </c>
      <c r="K48" s="15" t="s">
        <v>76</v>
      </c>
    </row>
    <row r="49" customFormat="false" ht="30" hidden="false" customHeight="true" outlineLevel="0" collapsed="false">
      <c r="A49" s="5" t="s">
        <v>276</v>
      </c>
      <c r="B49" s="6" t="s">
        <v>277</v>
      </c>
      <c r="C49" s="5" t="s">
        <v>249</v>
      </c>
      <c r="D49" s="6" t="s">
        <v>278</v>
      </c>
      <c r="E49" s="5" t="s">
        <v>279</v>
      </c>
      <c r="F49" s="21" t="n">
        <v>109.9</v>
      </c>
      <c r="G49" s="22" t="n">
        <v>5</v>
      </c>
      <c r="H49" s="23" t="n">
        <f aca="false">ROUND(F49/G49/1.18,2)</f>
        <v>18.63</v>
      </c>
      <c r="I49" s="15" t="s">
        <v>74</v>
      </c>
      <c r="J49" s="15" t="s">
        <v>280</v>
      </c>
      <c r="K49" s="15" t="s">
        <v>76</v>
      </c>
    </row>
    <row r="50" customFormat="false" ht="30" hidden="false" customHeight="true" outlineLevel="0" collapsed="false">
      <c r="A50" s="5" t="s">
        <v>281</v>
      </c>
      <c r="B50" s="6" t="s">
        <v>282</v>
      </c>
      <c r="C50" s="5" t="s">
        <v>283</v>
      </c>
      <c r="D50" s="6" t="s">
        <v>284</v>
      </c>
      <c r="E50" s="5" t="s">
        <v>285</v>
      </c>
      <c r="F50" s="21" t="n">
        <v>55</v>
      </c>
      <c r="G50" s="22" t="n">
        <v>8</v>
      </c>
      <c r="H50" s="23" t="n">
        <f aca="false">ROUND(F50/G50/1.18,2)</f>
        <v>5.83</v>
      </c>
      <c r="I50" s="15" t="s">
        <v>286</v>
      </c>
      <c r="J50" s="15" t="s">
        <v>287</v>
      </c>
      <c r="K50" s="15" t="s">
        <v>288</v>
      </c>
    </row>
    <row r="51" customFormat="false" ht="30" hidden="false" customHeight="true" outlineLevel="0" collapsed="false">
      <c r="A51" s="5" t="s">
        <v>289</v>
      </c>
      <c r="B51" s="6" t="s">
        <v>290</v>
      </c>
      <c r="C51" s="5" t="s">
        <v>291</v>
      </c>
      <c r="D51" s="6" t="s">
        <v>292</v>
      </c>
      <c r="E51" s="5" t="s">
        <v>291</v>
      </c>
      <c r="F51" s="21" t="n">
        <v>8.33</v>
      </c>
      <c r="G51" s="22" t="n">
        <v>1</v>
      </c>
      <c r="H51" s="23" t="n">
        <f aca="false">ROUND(F51/G51/1,2)</f>
        <v>8.33</v>
      </c>
      <c r="I51" s="15" t="s">
        <v>293</v>
      </c>
      <c r="J51" s="15" t="s">
        <v>294</v>
      </c>
      <c r="K51" s="15" t="s">
        <v>295</v>
      </c>
    </row>
    <row r="52" customFormat="false" ht="30" hidden="false" customHeight="true" outlineLevel="0" collapsed="false">
      <c r="A52" s="5" t="s">
        <v>296</v>
      </c>
      <c r="B52" s="6" t="s">
        <v>297</v>
      </c>
      <c r="C52" s="5" t="s">
        <v>249</v>
      </c>
      <c r="D52" s="6" t="s">
        <v>298</v>
      </c>
      <c r="E52" s="5" t="s">
        <v>299</v>
      </c>
      <c r="F52" s="21" t="n">
        <v>35</v>
      </c>
      <c r="G52" s="22" t="n">
        <v>1</v>
      </c>
      <c r="H52" s="23" t="n">
        <f aca="false">ROUND(F52/G52/1.18,2)</f>
        <v>29.66</v>
      </c>
      <c r="I52" s="15" t="s">
        <v>300</v>
      </c>
      <c r="J52" s="15" t="s">
        <v>301</v>
      </c>
      <c r="K52" s="15" t="s">
        <v>302</v>
      </c>
    </row>
    <row r="53" customFormat="false" ht="30" hidden="false" customHeight="true" outlineLevel="0" collapsed="false">
      <c r="A53" s="5" t="s">
        <v>303</v>
      </c>
      <c r="B53" s="6" t="s">
        <v>304</v>
      </c>
      <c r="C53" s="5" t="s">
        <v>91</v>
      </c>
      <c r="D53" s="6" t="s">
        <v>305</v>
      </c>
      <c r="E53" s="5" t="s">
        <v>306</v>
      </c>
      <c r="F53" s="21" t="n">
        <v>49</v>
      </c>
      <c r="G53" s="22" t="n">
        <v>1</v>
      </c>
      <c r="H53" s="23" t="n">
        <f aca="false">ROUND(F53/G53/1.18,2)</f>
        <v>41.53</v>
      </c>
      <c r="I53" s="15" t="s">
        <v>74</v>
      </c>
      <c r="J53" s="15" t="s">
        <v>307</v>
      </c>
      <c r="K53" s="15" t="s">
        <v>76</v>
      </c>
    </row>
    <row r="54" customFormat="false" ht="30" hidden="false" customHeight="true" outlineLevel="0" collapsed="false">
      <c r="A54" s="5" t="s">
        <v>308</v>
      </c>
      <c r="B54" s="6" t="s">
        <v>309</v>
      </c>
      <c r="C54" s="5" t="s">
        <v>71</v>
      </c>
      <c r="D54" s="6" t="s">
        <v>310</v>
      </c>
      <c r="E54" s="5" t="s">
        <v>311</v>
      </c>
      <c r="F54" s="21" t="n">
        <f aca="false">ROUND(39.9/10.98*8.34*6,2)</f>
        <v>181.84</v>
      </c>
      <c r="G54" s="22" t="n">
        <v>6</v>
      </c>
      <c r="H54" s="23" t="n">
        <f aca="false">ROUND(F54/G54/1.18,2)</f>
        <v>25.68</v>
      </c>
      <c r="I54" s="15" t="s">
        <v>312</v>
      </c>
      <c r="J54" s="15" t="s">
        <v>313</v>
      </c>
      <c r="K54" s="15" t="s">
        <v>314</v>
      </c>
    </row>
    <row r="55" customFormat="false" ht="30" hidden="false" customHeight="true" outlineLevel="0" collapsed="false">
      <c r="A55" s="5" t="s">
        <v>315</v>
      </c>
      <c r="B55" s="6" t="s">
        <v>316</v>
      </c>
      <c r="C55" s="5" t="s">
        <v>91</v>
      </c>
      <c r="D55" s="6" t="s">
        <v>317</v>
      </c>
      <c r="E55" s="5" t="s">
        <v>91</v>
      </c>
      <c r="F55" s="21" t="n">
        <v>469.9</v>
      </c>
      <c r="G55" s="22" t="n">
        <v>1</v>
      </c>
      <c r="H55" s="23" t="n">
        <f aca="false">ROUND(F55/G55/1.18,2)</f>
        <v>398.22</v>
      </c>
      <c r="I55" s="15" t="s">
        <v>86</v>
      </c>
      <c r="J55" s="15" t="s">
        <v>318</v>
      </c>
      <c r="K55" s="15" t="s">
        <v>76</v>
      </c>
    </row>
    <row r="56" customFormat="false" ht="30" hidden="false" customHeight="true" outlineLevel="0" collapsed="false">
      <c r="A56" s="5" t="s">
        <v>319</v>
      </c>
      <c r="B56" s="6" t="s">
        <v>320</v>
      </c>
      <c r="C56" s="5" t="s">
        <v>91</v>
      </c>
      <c r="D56" s="6" t="s">
        <v>321</v>
      </c>
      <c r="E56" s="5" t="s">
        <v>91</v>
      </c>
      <c r="F56" s="21" t="n">
        <v>49.9</v>
      </c>
      <c r="G56" s="22" t="n">
        <v>1</v>
      </c>
      <c r="H56" s="23" t="n">
        <f aca="false">ROUND(F56/G56/1.18,2)</f>
        <v>42.29</v>
      </c>
      <c r="I56" s="15" t="s">
        <v>86</v>
      </c>
      <c r="J56" s="15" t="s">
        <v>322</v>
      </c>
      <c r="K56" s="15" t="s">
        <v>76</v>
      </c>
    </row>
    <row r="57" customFormat="false" ht="30" hidden="false" customHeight="true" outlineLevel="0" collapsed="false">
      <c r="A57" s="5" t="s">
        <v>323</v>
      </c>
      <c r="B57" s="6" t="s">
        <v>324</v>
      </c>
      <c r="C57" s="5" t="s">
        <v>267</v>
      </c>
      <c r="D57" s="6" t="s">
        <v>325</v>
      </c>
      <c r="E57" s="5" t="s">
        <v>326</v>
      </c>
      <c r="F57" s="21" t="n">
        <v>62</v>
      </c>
      <c r="G57" s="22" t="n">
        <v>1</v>
      </c>
      <c r="H57" s="23" t="n">
        <f aca="false">ROUND(F57/G57/1.18,2)</f>
        <v>52.54</v>
      </c>
      <c r="I57" s="15" t="s">
        <v>86</v>
      </c>
      <c r="J57" s="15" t="s">
        <v>327</v>
      </c>
      <c r="K57" s="15" t="s">
        <v>76</v>
      </c>
    </row>
    <row r="58" customFormat="false" ht="30" hidden="false" customHeight="true" outlineLevel="0" collapsed="false">
      <c r="A58" s="5" t="s">
        <v>328</v>
      </c>
      <c r="B58" s="6" t="s">
        <v>329</v>
      </c>
      <c r="C58" s="5" t="s">
        <v>267</v>
      </c>
      <c r="D58" s="6" t="s">
        <v>330</v>
      </c>
      <c r="E58" s="5" t="s">
        <v>326</v>
      </c>
      <c r="F58" s="21" t="n">
        <v>57</v>
      </c>
      <c r="G58" s="22" t="n">
        <v>1</v>
      </c>
      <c r="H58" s="23" t="n">
        <f aca="false">ROUND(F58/G58/1.18,2)</f>
        <v>48.31</v>
      </c>
      <c r="I58" s="15" t="s">
        <v>86</v>
      </c>
      <c r="J58" s="15" t="s">
        <v>331</v>
      </c>
      <c r="K58" s="15" t="s">
        <v>76</v>
      </c>
    </row>
    <row r="59" customFormat="false" ht="30" hidden="false" customHeight="true" outlineLevel="0" collapsed="false">
      <c r="A59" s="5" t="s">
        <v>332</v>
      </c>
      <c r="B59" s="6" t="s">
        <v>333</v>
      </c>
      <c r="C59" s="5" t="s">
        <v>267</v>
      </c>
      <c r="D59" s="6" t="s">
        <v>334</v>
      </c>
      <c r="E59" s="5" t="s">
        <v>335</v>
      </c>
      <c r="F59" s="21" t="n">
        <v>38.9</v>
      </c>
      <c r="G59" s="24" t="n">
        <f aca="false">3.5/3.785</f>
        <v>0.924702774108322</v>
      </c>
      <c r="H59" s="23" t="n">
        <f aca="false">ROUND(F59/G59/1.18,2)</f>
        <v>35.65</v>
      </c>
      <c r="I59" s="15" t="s">
        <v>74</v>
      </c>
      <c r="J59" s="15" t="s">
        <v>336</v>
      </c>
      <c r="K59" s="15" t="s">
        <v>76</v>
      </c>
    </row>
    <row r="60" customFormat="false" ht="30" hidden="false" customHeight="true" outlineLevel="0" collapsed="false">
      <c r="A60" s="5" t="s">
        <v>337</v>
      </c>
      <c r="B60" s="6" t="s">
        <v>338</v>
      </c>
      <c r="C60" s="5" t="s">
        <v>91</v>
      </c>
      <c r="D60" s="6" t="s">
        <v>339</v>
      </c>
      <c r="E60" s="5" t="s">
        <v>340</v>
      </c>
      <c r="F60" s="21" t="n">
        <v>2.5</v>
      </c>
      <c r="G60" s="22" t="n">
        <v>1</v>
      </c>
      <c r="H60" s="23" t="n">
        <f aca="false">ROUND(F60/G60/1.18,2)</f>
        <v>2.12</v>
      </c>
      <c r="I60" s="15" t="s">
        <v>74</v>
      </c>
      <c r="J60" s="15" t="s">
        <v>341</v>
      </c>
      <c r="K60" s="15" t="s">
        <v>76</v>
      </c>
    </row>
    <row r="62" customFormat="false" ht="18" hidden="false" customHeight="true" outlineLevel="0" collapsed="false">
      <c r="A62" s="11" t="s">
        <v>342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customFormat="false" ht="22.35" hidden="false" customHeight="false" outlineLevel="0" collapsed="false">
      <c r="A63" s="13" t="s">
        <v>58</v>
      </c>
      <c r="B63" s="13" t="s">
        <v>343</v>
      </c>
      <c r="C63" s="13" t="s">
        <v>5</v>
      </c>
      <c r="D63" s="13" t="s">
        <v>344</v>
      </c>
      <c r="E63" s="13" t="s">
        <v>345</v>
      </c>
      <c r="F63" s="13" t="s">
        <v>346</v>
      </c>
      <c r="G63" s="13" t="s">
        <v>347</v>
      </c>
      <c r="H63" s="13" t="s">
        <v>348</v>
      </c>
      <c r="I63" s="13" t="s">
        <v>349</v>
      </c>
      <c r="J63" s="13" t="s">
        <v>350</v>
      </c>
      <c r="K63" s="13" t="s">
        <v>351</v>
      </c>
    </row>
    <row r="64" customFormat="false" ht="30" hidden="false" customHeight="true" outlineLevel="0" collapsed="false">
      <c r="A64" s="5" t="s">
        <v>352</v>
      </c>
      <c r="B64" s="6" t="s">
        <v>353</v>
      </c>
      <c r="C64" s="5" t="s">
        <v>91</v>
      </c>
      <c r="D64" s="14" t="n">
        <v>0.15</v>
      </c>
      <c r="E64" s="16" t="n">
        <f aca="false">ROUND(D64^2*24.91,2)</f>
        <v>0.56</v>
      </c>
      <c r="F64" s="5" t="s">
        <v>354</v>
      </c>
      <c r="G64" s="14" t="n">
        <v>0.35</v>
      </c>
      <c r="H64" s="23" t="n">
        <f aca="false">ROUND(E64*'PRECIOS DE INSUMOS'!$H$44+G64*'PRECIOS DE INSUMOS'!$H$37+I64*'PRECIOS DE INSUMOS'!$H$49,2)</f>
        <v>5.48</v>
      </c>
      <c r="I64" s="14" t="n">
        <v>0.1</v>
      </c>
      <c r="J64" s="15" t="s">
        <v>355</v>
      </c>
      <c r="K64" s="15"/>
    </row>
    <row r="65" customFormat="false" ht="30" hidden="false" customHeight="true" outlineLevel="0" collapsed="false">
      <c r="A65" s="5" t="s">
        <v>356</v>
      </c>
      <c r="B65" s="6" t="s">
        <v>357</v>
      </c>
      <c r="C65" s="5" t="s">
        <v>91</v>
      </c>
      <c r="D65" s="14" t="n">
        <v>0.15</v>
      </c>
      <c r="E65" s="16" t="n">
        <f aca="false">ROUND(D65^2*24.91,2)</f>
        <v>0.56</v>
      </c>
      <c r="F65" s="5" t="s">
        <v>358</v>
      </c>
      <c r="G65" s="14" t="n">
        <v>0.25</v>
      </c>
      <c r="H65" s="23" t="n">
        <f aca="false">ROUND(E65*'PRECIOS DE INSUMOS'!$H$44+G65*'PRECIOS DE INSUMOS'!$H$38+I65*'PRECIOS DE INSUMOS'!$H$49,2)</f>
        <v>7.29</v>
      </c>
      <c r="I65" s="14" t="n">
        <v>0.12</v>
      </c>
      <c r="J65" s="15" t="s">
        <v>355</v>
      </c>
      <c r="K65" s="15"/>
    </row>
    <row r="66" customFormat="false" ht="30" hidden="false" customHeight="true" outlineLevel="0" collapsed="false">
      <c r="A66" s="5" t="s">
        <v>359</v>
      </c>
      <c r="B66" s="6" t="s">
        <v>360</v>
      </c>
      <c r="C66" s="5" t="s">
        <v>91</v>
      </c>
      <c r="D66" s="14" t="n">
        <v>0.25</v>
      </c>
      <c r="E66" s="16" t="n">
        <f aca="false">ROUND(D66^2*24.91,2)</f>
        <v>1.56</v>
      </c>
      <c r="F66" s="5" t="s">
        <v>361</v>
      </c>
      <c r="G66" s="14" t="n">
        <v>0.4</v>
      </c>
      <c r="H66" s="23" t="n">
        <f aca="false">ROUND(E66*'PRECIOS DE INSUMOS'!$H$44+G66*'PRECIOS DE INSUMOS'!$H$39+I66*'PRECIOS DE INSUMOS'!$H$49,2)</f>
        <v>14.23</v>
      </c>
      <c r="I66" s="14" t="n">
        <v>0.15</v>
      </c>
      <c r="J66" s="15" t="s">
        <v>355</v>
      </c>
      <c r="K66" s="15"/>
    </row>
    <row r="67" customFormat="false" ht="30" hidden="false" customHeight="true" outlineLevel="0" collapsed="false">
      <c r="A67" s="5" t="s">
        <v>362</v>
      </c>
      <c r="B67" s="6" t="s">
        <v>363</v>
      </c>
      <c r="C67" s="5" t="s">
        <v>91</v>
      </c>
      <c r="D67" s="14" t="n">
        <v>0.15</v>
      </c>
      <c r="E67" s="16" t="n">
        <f aca="false">ROUND(D67^2*24.91,2)</f>
        <v>0.56</v>
      </c>
      <c r="F67" s="5" t="s">
        <v>361</v>
      </c>
      <c r="G67" s="14" t="n">
        <v>0.25</v>
      </c>
      <c r="H67" s="23" t="n">
        <f aca="false">ROUND(E67*'PRECIOS DE INSUMOS'!$H$44+G67*'PRECIOS DE INSUMOS'!$H$39+I67*'PRECIOS DE INSUMOS'!$H$49,2)</f>
        <v>9.01</v>
      </c>
      <c r="I67" s="14" t="n">
        <v>0.15</v>
      </c>
      <c r="J67" s="15" t="s">
        <v>355</v>
      </c>
      <c r="K67" s="15"/>
    </row>
    <row r="68" customFormat="false" ht="30" hidden="false" customHeight="true" outlineLevel="0" collapsed="false">
      <c r="A68" s="5" t="s">
        <v>364</v>
      </c>
      <c r="B68" s="6" t="s">
        <v>365</v>
      </c>
      <c r="C68" s="5" t="s">
        <v>91</v>
      </c>
      <c r="D68" s="14" t="n">
        <v>0.2</v>
      </c>
      <c r="E68" s="16" t="n">
        <f aca="false">ROUND(D68^2*24.91,2)</f>
        <v>1</v>
      </c>
      <c r="F68" s="5" t="s">
        <v>361</v>
      </c>
      <c r="G68" s="14" t="n">
        <v>0.45</v>
      </c>
      <c r="H68" s="23" t="n">
        <f aca="false">ROUND(E68*'PRECIOS DE INSUMOS'!$H$44+G68*'PRECIOS DE INSUMOS'!$H$39+I68*'PRECIOS DE INSUMOS'!$H$49,2)</f>
        <v>13.97</v>
      </c>
      <c r="I68" s="14" t="n">
        <v>0.15</v>
      </c>
      <c r="J68" s="15" t="s">
        <v>355</v>
      </c>
      <c r="K68" s="15" t="s">
        <v>366</v>
      </c>
    </row>
  </sheetData>
  <mergeCells count="5">
    <mergeCell ref="A1:K1"/>
    <mergeCell ref="A2:K2"/>
    <mergeCell ref="A3:K3"/>
    <mergeCell ref="A6:K6"/>
    <mergeCell ref="A62:K6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24" hidden="false" customHeight="true" outlineLevel="0" collapsed="false">
      <c r="A1" s="1" t="s">
        <v>367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2" t="s">
        <v>1</v>
      </c>
      <c r="B2" s="12"/>
      <c r="C2" s="12"/>
      <c r="D2" s="12"/>
      <c r="E2" s="12"/>
      <c r="F2" s="12"/>
      <c r="G2" s="12"/>
      <c r="H2" s="12"/>
    </row>
    <row r="3" customFormat="false" ht="30" hidden="false" customHeight="true" outlineLevel="0" collapsed="false">
      <c r="A3" s="18" t="s">
        <v>368</v>
      </c>
      <c r="B3" s="11" t="s">
        <v>369</v>
      </c>
      <c r="C3" s="11"/>
      <c r="D3" s="11"/>
      <c r="E3" s="11"/>
      <c r="F3" s="11"/>
      <c r="G3" s="11"/>
      <c r="H3" s="11"/>
    </row>
    <row r="4" customFormat="false" ht="30" hidden="false" customHeight="true" outlineLevel="0" collapsed="false">
      <c r="A4" s="18" t="s">
        <v>370</v>
      </c>
      <c r="B4" s="25" t="n">
        <f aca="false">G33</f>
        <v>1.1289</v>
      </c>
      <c r="C4" s="13" t="s">
        <v>371</v>
      </c>
      <c r="D4" s="26" t="n">
        <f aca="false">SUM(E9:E10)</f>
        <v>10.6298</v>
      </c>
      <c r="E4" s="13" t="s">
        <v>372</v>
      </c>
      <c r="F4" s="26" t="n">
        <f aca="false">SUMIF(C21:C22,"hm",E21:E22)</f>
        <v>0.5</v>
      </c>
      <c r="G4" s="13" t="s">
        <v>373</v>
      </c>
      <c r="H4" s="27" t="n">
        <f aca="false">G24</f>
        <v>475.52</v>
      </c>
    </row>
    <row r="5" customFormat="false" ht="15" hidden="false" customHeight="true" outlineLevel="0" collapsed="false">
      <c r="A5" s="18" t="s">
        <v>374</v>
      </c>
      <c r="B5" s="6" t="s">
        <v>375</v>
      </c>
      <c r="C5" s="13" t="s">
        <v>376</v>
      </c>
      <c r="D5" s="28" t="s">
        <v>377</v>
      </c>
      <c r="E5" s="28"/>
      <c r="F5" s="28"/>
      <c r="G5" s="13" t="s">
        <v>378</v>
      </c>
      <c r="H5" s="6" t="s">
        <v>379</v>
      </c>
    </row>
    <row r="7" customFormat="false" ht="15" hidden="false" customHeight="false" outlineLevel="0" collapsed="false">
      <c r="A7" s="4" t="s">
        <v>58</v>
      </c>
      <c r="B7" s="4" t="s">
        <v>380</v>
      </c>
      <c r="C7" s="4" t="s">
        <v>5</v>
      </c>
      <c r="D7" s="4" t="s">
        <v>381</v>
      </c>
      <c r="E7" s="4" t="s">
        <v>382</v>
      </c>
      <c r="F7" s="4" t="s">
        <v>383</v>
      </c>
      <c r="G7" s="4" t="s">
        <v>384</v>
      </c>
      <c r="H7" s="4" t="s">
        <v>41</v>
      </c>
    </row>
    <row r="8" customFormat="false" ht="15.75" hidden="false" customHeight="true" outlineLevel="0" collapsed="false">
      <c r="A8" s="11" t="s">
        <v>385</v>
      </c>
      <c r="B8" s="11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5" t="s">
        <v>386</v>
      </c>
      <c r="B9" s="6" t="s">
        <v>387</v>
      </c>
      <c r="C9" s="5" t="s">
        <v>388</v>
      </c>
      <c r="D9" s="14" t="n">
        <v>1</v>
      </c>
      <c r="E9" s="29" t="n">
        <f aca="false">ROUND(D9*8/$B$4,4)</f>
        <v>7.0865</v>
      </c>
      <c r="F9" s="16" t="n">
        <f aca="false">'MANO DE OBRA 2026'!$C$16</f>
        <v>28.95</v>
      </c>
      <c r="G9" s="8" t="n">
        <f aca="false">ROUND(E9*F9,2)</f>
        <v>205.15</v>
      </c>
      <c r="H9" s="15" t="s">
        <v>389</v>
      </c>
    </row>
    <row r="10" customFormat="false" ht="15" hidden="false" customHeight="false" outlineLevel="0" collapsed="false">
      <c r="A10" s="5" t="s">
        <v>390</v>
      </c>
      <c r="B10" s="6" t="s">
        <v>391</v>
      </c>
      <c r="C10" s="5" t="s">
        <v>388</v>
      </c>
      <c r="D10" s="14" t="n">
        <v>0.5</v>
      </c>
      <c r="E10" s="29" t="n">
        <f aca="false">ROUND(D10*8/$B$4,4)</f>
        <v>3.5433</v>
      </c>
      <c r="F10" s="16" t="n">
        <f aca="false">'MANO DE OBRA 2026'!$E$16</f>
        <v>20.54</v>
      </c>
      <c r="G10" s="8" t="n">
        <f aca="false">ROUND(E10*F10,2)</f>
        <v>72.78</v>
      </c>
      <c r="H10" s="15" t="s">
        <v>389</v>
      </c>
    </row>
    <row r="11" customFormat="false" ht="15" hidden="false" customHeight="false" outlineLevel="0" collapsed="false">
      <c r="A11" s="17"/>
      <c r="B11" s="18" t="s">
        <v>392</v>
      </c>
      <c r="C11" s="17"/>
      <c r="D11" s="17"/>
      <c r="E11" s="17"/>
      <c r="F11" s="17"/>
      <c r="G11" s="23" t="n">
        <f aca="false">SUM(G9:G10)</f>
        <v>277.93</v>
      </c>
      <c r="H11" s="17"/>
    </row>
    <row r="12" customFormat="false" ht="15.75" hidden="false" customHeight="true" outlineLevel="0" collapsed="false">
      <c r="A12" s="11" t="s">
        <v>393</v>
      </c>
      <c r="B12" s="11"/>
      <c r="C12" s="11"/>
      <c r="D12" s="11"/>
      <c r="E12" s="11"/>
      <c r="F12" s="11"/>
      <c r="G12" s="11"/>
      <c r="H12" s="11"/>
    </row>
    <row r="13" customFormat="false" ht="15" hidden="false" customHeight="true" outlineLevel="0" collapsed="false">
      <c r="A13" s="5" t="s">
        <v>69</v>
      </c>
      <c r="B13" s="6" t="s">
        <v>394</v>
      </c>
      <c r="C13" s="5" t="s">
        <v>71</v>
      </c>
      <c r="D13" s="6"/>
      <c r="E13" s="29" t="n">
        <f aca="false">(6)*1.05</f>
        <v>6.3</v>
      </c>
      <c r="F13" s="8" t="n">
        <f aca="false">'PRECIOS DE INSUMOS'!$H$7</f>
        <v>4.56</v>
      </c>
      <c r="G13" s="8" t="n">
        <f aca="false">ROUND(E13*F13,2)</f>
        <v>28.73</v>
      </c>
      <c r="H13" s="15" t="s">
        <v>395</v>
      </c>
    </row>
    <row r="14" customFormat="false" ht="15" hidden="false" customHeight="true" outlineLevel="0" collapsed="false">
      <c r="A14" s="5" t="s">
        <v>183</v>
      </c>
      <c r="B14" s="6" t="s">
        <v>396</v>
      </c>
      <c r="C14" s="5" t="s">
        <v>91</v>
      </c>
      <c r="D14" s="6"/>
      <c r="E14" s="30" t="n">
        <v>1</v>
      </c>
      <c r="F14" s="8" t="n">
        <f aca="false">'PRECIOS DE INSUMOS'!$H$30</f>
        <v>143.98</v>
      </c>
      <c r="G14" s="8" t="n">
        <f aca="false">ROUND(E14*F14,2)</f>
        <v>143.98</v>
      </c>
      <c r="H14" s="15" t="s">
        <v>397</v>
      </c>
    </row>
    <row r="15" customFormat="false" ht="24" hidden="false" customHeight="true" outlineLevel="0" collapsed="false">
      <c r="A15" s="5" t="s">
        <v>203</v>
      </c>
      <c r="B15" s="6" t="s">
        <v>398</v>
      </c>
      <c r="C15" s="5" t="s">
        <v>91</v>
      </c>
      <c r="D15" s="6"/>
      <c r="E15" s="30" t="n">
        <v>1</v>
      </c>
      <c r="F15" s="8" t="n">
        <f aca="false">'PRECIOS DE INSUMOS'!$H$34</f>
        <v>5.85</v>
      </c>
      <c r="G15" s="8" t="n">
        <f aca="false">ROUND(E15*F15,2)</f>
        <v>5.85</v>
      </c>
      <c r="H15" s="15" t="s">
        <v>399</v>
      </c>
    </row>
    <row r="16" customFormat="false" ht="24" hidden="false" customHeight="true" outlineLevel="0" collapsed="false">
      <c r="A16" s="5" t="s">
        <v>352</v>
      </c>
      <c r="B16" s="6" t="s">
        <v>353</v>
      </c>
      <c r="C16" s="5" t="s">
        <v>91</v>
      </c>
      <c r="D16" s="6"/>
      <c r="E16" s="30" t="n">
        <v>1</v>
      </c>
      <c r="F16" s="8" t="n">
        <f aca="false">'PRECIOS DE INSUMOS'!$H$64</f>
        <v>5.48</v>
      </c>
      <c r="G16" s="8" t="n">
        <f aca="false">ROUND(E16*F16,2)</f>
        <v>5.48</v>
      </c>
      <c r="H16" s="15" t="s">
        <v>400</v>
      </c>
    </row>
    <row r="17" customFormat="false" ht="24" hidden="false" customHeight="true" outlineLevel="0" collapsed="false">
      <c r="A17" s="5" t="s">
        <v>265</v>
      </c>
      <c r="B17" s="6" t="s">
        <v>266</v>
      </c>
      <c r="C17" s="5" t="s">
        <v>267</v>
      </c>
      <c r="D17" s="6"/>
      <c r="E17" s="30" t="n">
        <v>0.0036</v>
      </c>
      <c r="F17" s="8" t="n">
        <f aca="false">'PRECIOS DE INSUMOS'!$H$47</f>
        <v>209.83</v>
      </c>
      <c r="G17" s="8" t="n">
        <f aca="false">ROUND(E17*F17,2)</f>
        <v>0.76</v>
      </c>
      <c r="H17" s="15" t="s">
        <v>401</v>
      </c>
    </row>
    <row r="18" customFormat="false" ht="24" hidden="false" customHeight="true" outlineLevel="0" collapsed="false">
      <c r="A18" s="5" t="s">
        <v>271</v>
      </c>
      <c r="B18" s="6" t="s">
        <v>272</v>
      </c>
      <c r="C18" s="5" t="s">
        <v>91</v>
      </c>
      <c r="D18" s="6"/>
      <c r="E18" s="30" t="n">
        <v>0.62</v>
      </c>
      <c r="F18" s="8" t="n">
        <f aca="false">'PRECIOS DE INSUMOS'!$H$48</f>
        <v>2.46</v>
      </c>
      <c r="G18" s="8" t="n">
        <f aca="false">ROUND(E18*F18,2)</f>
        <v>1.53</v>
      </c>
      <c r="H18" s="15" t="s">
        <v>402</v>
      </c>
    </row>
    <row r="19" customFormat="false" ht="15" hidden="false" customHeight="false" outlineLevel="0" collapsed="false">
      <c r="A19" s="17"/>
      <c r="B19" s="18" t="s">
        <v>403</v>
      </c>
      <c r="C19" s="17"/>
      <c r="D19" s="17"/>
      <c r="E19" s="17"/>
      <c r="F19" s="17"/>
      <c r="G19" s="23" t="n">
        <f aca="false">SUM(G13:G18)</f>
        <v>186.33</v>
      </c>
      <c r="H19" s="17"/>
    </row>
    <row r="20" customFormat="false" ht="15.75" hidden="false" customHeight="true" outlineLevel="0" collapsed="false">
      <c r="A20" s="11" t="s">
        <v>404</v>
      </c>
      <c r="B20" s="11"/>
      <c r="C20" s="11"/>
      <c r="D20" s="11"/>
      <c r="E20" s="11"/>
      <c r="F20" s="11"/>
      <c r="G20" s="11"/>
      <c r="H20" s="11"/>
    </row>
    <row r="21" customFormat="false" ht="24" hidden="false" customHeight="true" outlineLevel="0" collapsed="false">
      <c r="A21" s="5" t="s">
        <v>405</v>
      </c>
      <c r="B21" s="6" t="s">
        <v>406</v>
      </c>
      <c r="C21" s="5" t="s">
        <v>407</v>
      </c>
      <c r="D21" s="6"/>
      <c r="E21" s="14" t="n">
        <v>3</v>
      </c>
      <c r="F21" s="8" t="n">
        <f aca="false">G11</f>
        <v>277.93</v>
      </c>
      <c r="G21" s="8" t="n">
        <f aca="false">ROUND(E21/100*F21,2)</f>
        <v>8.34</v>
      </c>
      <c r="H21" s="15" t="s">
        <v>408</v>
      </c>
    </row>
    <row r="22" customFormat="false" ht="24" hidden="false" customHeight="true" outlineLevel="0" collapsed="false">
      <c r="A22" s="5" t="s">
        <v>281</v>
      </c>
      <c r="B22" s="6" t="s">
        <v>282</v>
      </c>
      <c r="C22" s="5" t="s">
        <v>283</v>
      </c>
      <c r="D22" s="6"/>
      <c r="E22" s="30" t="n">
        <v>0.5</v>
      </c>
      <c r="F22" s="8" t="n">
        <f aca="false">'PRECIOS DE INSUMOS'!$H$50</f>
        <v>5.83</v>
      </c>
      <c r="G22" s="8" t="n">
        <f aca="false">ROUND(E22*F22,2)</f>
        <v>2.92</v>
      </c>
      <c r="H22" s="15" t="s">
        <v>409</v>
      </c>
    </row>
    <row r="23" customFormat="false" ht="15" hidden="false" customHeight="false" outlineLevel="0" collapsed="false">
      <c r="A23" s="17"/>
      <c r="B23" s="18" t="s">
        <v>410</v>
      </c>
      <c r="C23" s="17"/>
      <c r="D23" s="17"/>
      <c r="E23" s="17"/>
      <c r="F23" s="17"/>
      <c r="G23" s="23" t="n">
        <f aca="false">SUM(G21:G22)</f>
        <v>11.26</v>
      </c>
      <c r="H23" s="17"/>
    </row>
    <row r="24" customFormat="false" ht="19.5" hidden="false" customHeight="true" outlineLevel="0" collapsed="false">
      <c r="A24" s="9" t="s">
        <v>411</v>
      </c>
      <c r="B24" s="9"/>
      <c r="C24" s="9"/>
      <c r="D24" s="9"/>
      <c r="E24" s="9"/>
      <c r="F24" s="9"/>
      <c r="G24" s="10" t="n">
        <f aca="false">G11+G19+G23</f>
        <v>475.52</v>
      </c>
      <c r="H24" s="31"/>
    </row>
    <row r="26" customFormat="false" ht="15.75" hidden="false" customHeight="true" outlineLevel="0" collapsed="false">
      <c r="A26" s="11" t="s">
        <v>412</v>
      </c>
      <c r="B26" s="11"/>
      <c r="C26" s="11"/>
      <c r="D26" s="11"/>
      <c r="E26" s="11"/>
      <c r="F26" s="11"/>
      <c r="G26" s="11"/>
      <c r="H26" s="11"/>
    </row>
    <row r="27" customFormat="false" ht="15" hidden="false" customHeight="false" outlineLevel="0" collapsed="false">
      <c r="A27" s="13" t="s">
        <v>413</v>
      </c>
      <c r="B27" s="13" t="s">
        <v>414</v>
      </c>
      <c r="C27" s="13" t="s">
        <v>5</v>
      </c>
      <c r="D27" s="13"/>
      <c r="E27" s="13" t="s">
        <v>382</v>
      </c>
      <c r="F27" s="13" t="s">
        <v>415</v>
      </c>
      <c r="G27" s="13" t="s">
        <v>416</v>
      </c>
      <c r="H27" s="13" t="s">
        <v>417</v>
      </c>
    </row>
    <row r="28" customFormat="false" ht="15" hidden="false" customHeight="true" outlineLevel="0" collapsed="false">
      <c r="A28" s="5" t="s">
        <v>418</v>
      </c>
      <c r="B28" s="6" t="s">
        <v>419</v>
      </c>
      <c r="C28" s="5" t="s">
        <v>71</v>
      </c>
      <c r="D28" s="6"/>
      <c r="E28" s="14" t="n">
        <v>6</v>
      </c>
      <c r="F28" s="14" t="n">
        <v>25</v>
      </c>
      <c r="G28" s="24" t="n">
        <f aca="false">E28/F28</f>
        <v>0.24</v>
      </c>
      <c r="H28" s="15" t="s">
        <v>420</v>
      </c>
    </row>
    <row r="29" customFormat="false" ht="15" hidden="false" customHeight="true" outlineLevel="0" collapsed="false">
      <c r="A29" s="5" t="s">
        <v>421</v>
      </c>
      <c r="B29" s="6" t="s">
        <v>422</v>
      </c>
      <c r="C29" s="5" t="s">
        <v>91</v>
      </c>
      <c r="D29" s="6"/>
      <c r="E29" s="14" t="n">
        <v>1</v>
      </c>
      <c r="F29" s="14" t="n">
        <v>4</v>
      </c>
      <c r="G29" s="24" t="n">
        <f aca="false">E29/F29</f>
        <v>0.25</v>
      </c>
      <c r="H29" s="15" t="s">
        <v>420</v>
      </c>
    </row>
    <row r="30" customFormat="false" ht="15" hidden="false" customHeight="true" outlineLevel="0" collapsed="false">
      <c r="A30" s="5" t="s">
        <v>423</v>
      </c>
      <c r="B30" s="6" t="s">
        <v>424</v>
      </c>
      <c r="C30" s="5" t="s">
        <v>91</v>
      </c>
      <c r="D30" s="6"/>
      <c r="E30" s="14" t="n">
        <v>1</v>
      </c>
      <c r="F30" s="14" t="n">
        <v>16</v>
      </c>
      <c r="G30" s="24" t="n">
        <f aca="false">E30/F30</f>
        <v>0.0625</v>
      </c>
      <c r="H30" s="15" t="s">
        <v>420</v>
      </c>
    </row>
    <row r="31" customFormat="false" ht="24" hidden="false" customHeight="true" outlineLevel="0" collapsed="false">
      <c r="A31" s="5" t="s">
        <v>425</v>
      </c>
      <c r="B31" s="6" t="s">
        <v>426</v>
      </c>
      <c r="C31" s="5" t="s">
        <v>91</v>
      </c>
      <c r="D31" s="6"/>
      <c r="E31" s="14" t="n">
        <v>1</v>
      </c>
      <c r="F31" s="14" t="n">
        <v>3</v>
      </c>
      <c r="G31" s="24" t="n">
        <f aca="false">E31/F31</f>
        <v>0.333333333333333</v>
      </c>
      <c r="H31" s="15" t="s">
        <v>420</v>
      </c>
    </row>
    <row r="32" customFormat="false" ht="15" hidden="false" customHeight="false" outlineLevel="0" collapsed="false">
      <c r="A32" s="17"/>
      <c r="B32" s="18" t="s">
        <v>427</v>
      </c>
      <c r="C32" s="17"/>
      <c r="D32" s="17"/>
      <c r="E32" s="17"/>
      <c r="F32" s="17"/>
      <c r="G32" s="32" t="n">
        <f aca="false">SUM(G28:G31)</f>
        <v>0.885833333333333</v>
      </c>
      <c r="H32" s="17"/>
    </row>
    <row r="33" customFormat="false" ht="15" hidden="false" customHeight="false" outlineLevel="0" collapsed="false">
      <c r="A33" s="17"/>
      <c r="B33" s="18" t="s">
        <v>428</v>
      </c>
      <c r="C33" s="17"/>
      <c r="D33" s="17"/>
      <c r="E33" s="17"/>
      <c r="F33" s="17"/>
      <c r="G33" s="26" t="n">
        <f aca="false">ROUND(1/G32,4)</f>
        <v>1.1289</v>
      </c>
      <c r="H33" s="17"/>
    </row>
    <row r="35" customFormat="false" ht="15.75" hidden="false" customHeight="true" outlineLevel="0" collapsed="false">
      <c r="A35" s="33" t="s">
        <v>429</v>
      </c>
      <c r="B35" s="33"/>
      <c r="C35" s="33"/>
      <c r="D35" s="33"/>
      <c r="E35" s="33"/>
      <c r="F35" s="33"/>
      <c r="G35" s="33"/>
      <c r="H35" s="33"/>
    </row>
    <row r="36" customFormat="false" ht="15" hidden="false" customHeight="true" outlineLevel="0" collapsed="false">
      <c r="A36" s="3" t="s">
        <v>430</v>
      </c>
      <c r="B36" s="3"/>
      <c r="C36" s="3"/>
      <c r="D36" s="3"/>
      <c r="E36" s="3"/>
      <c r="F36" s="3"/>
      <c r="G36" s="3"/>
      <c r="H36" s="3"/>
    </row>
    <row r="37" customFormat="false" ht="15" hidden="false" customHeight="true" outlineLevel="0" collapsed="false">
      <c r="A37" s="3" t="s">
        <v>431</v>
      </c>
      <c r="B37" s="3"/>
      <c r="C37" s="3"/>
      <c r="D37" s="3"/>
      <c r="E37" s="3"/>
      <c r="F37" s="3"/>
      <c r="G37" s="3"/>
      <c r="H37" s="3"/>
    </row>
  </sheetData>
  <mergeCells count="12">
    <mergeCell ref="A1:H1"/>
    <mergeCell ref="A2:H2"/>
    <mergeCell ref="B3:H3"/>
    <mergeCell ref="D5:F5"/>
    <mergeCell ref="A8:H8"/>
    <mergeCell ref="A12:H12"/>
    <mergeCell ref="A20:H20"/>
    <mergeCell ref="A24:F24"/>
    <mergeCell ref="A26:H26"/>
    <mergeCell ref="A35:H35"/>
    <mergeCell ref="A36:H36"/>
    <mergeCell ref="A37:H37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24" hidden="false" customHeight="true" outlineLevel="0" collapsed="false">
      <c r="A1" s="1" t="s">
        <v>367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2" t="s">
        <v>1</v>
      </c>
      <c r="B2" s="12"/>
      <c r="C2" s="12"/>
      <c r="D2" s="12"/>
      <c r="E2" s="12"/>
      <c r="F2" s="12"/>
      <c r="G2" s="12"/>
      <c r="H2" s="12"/>
    </row>
    <row r="3" customFormat="false" ht="30" hidden="false" customHeight="true" outlineLevel="0" collapsed="false">
      <c r="A3" s="18" t="s">
        <v>368</v>
      </c>
      <c r="B3" s="11" t="s">
        <v>432</v>
      </c>
      <c r="C3" s="11"/>
      <c r="D3" s="11"/>
      <c r="E3" s="11"/>
      <c r="F3" s="11"/>
      <c r="G3" s="11"/>
      <c r="H3" s="11"/>
    </row>
    <row r="4" customFormat="false" ht="30" hidden="false" customHeight="true" outlineLevel="0" collapsed="false">
      <c r="A4" s="18" t="s">
        <v>370</v>
      </c>
      <c r="B4" s="25" t="n">
        <f aca="false">G37</f>
        <v>0.4727</v>
      </c>
      <c r="C4" s="13" t="s">
        <v>371</v>
      </c>
      <c r="D4" s="26" t="n">
        <f aca="false">SUM(E9:E10)</f>
        <v>25.3861</v>
      </c>
      <c r="E4" s="13" t="s">
        <v>372</v>
      </c>
      <c r="F4" s="26" t="n">
        <f aca="false">SUMIF(C24:C25,"hm",E24:E25)</f>
        <v>1</v>
      </c>
      <c r="G4" s="13" t="s">
        <v>373</v>
      </c>
      <c r="H4" s="27" t="n">
        <f aca="false">G27</f>
        <v>1131.11</v>
      </c>
    </row>
    <row r="5" customFormat="false" ht="15" hidden="false" customHeight="true" outlineLevel="0" collapsed="false">
      <c r="A5" s="18" t="s">
        <v>374</v>
      </c>
      <c r="B5" s="6" t="s">
        <v>375</v>
      </c>
      <c r="C5" s="13" t="s">
        <v>376</v>
      </c>
      <c r="D5" s="28" t="s">
        <v>377</v>
      </c>
      <c r="E5" s="28"/>
      <c r="F5" s="28"/>
      <c r="G5" s="13" t="s">
        <v>378</v>
      </c>
      <c r="H5" s="6" t="s">
        <v>379</v>
      </c>
    </row>
    <row r="7" customFormat="false" ht="15" hidden="false" customHeight="false" outlineLevel="0" collapsed="false">
      <c r="A7" s="4" t="s">
        <v>58</v>
      </c>
      <c r="B7" s="4" t="s">
        <v>380</v>
      </c>
      <c r="C7" s="4" t="s">
        <v>5</v>
      </c>
      <c r="D7" s="4" t="s">
        <v>381</v>
      </c>
      <c r="E7" s="4" t="s">
        <v>382</v>
      </c>
      <c r="F7" s="4" t="s">
        <v>383</v>
      </c>
      <c r="G7" s="4" t="s">
        <v>384</v>
      </c>
      <c r="H7" s="4" t="s">
        <v>41</v>
      </c>
    </row>
    <row r="8" customFormat="false" ht="15.75" hidden="false" customHeight="true" outlineLevel="0" collapsed="false">
      <c r="A8" s="11" t="s">
        <v>385</v>
      </c>
      <c r="B8" s="11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5" t="s">
        <v>386</v>
      </c>
      <c r="B9" s="6" t="s">
        <v>387</v>
      </c>
      <c r="C9" s="5" t="s">
        <v>388</v>
      </c>
      <c r="D9" s="14" t="n">
        <v>1</v>
      </c>
      <c r="E9" s="29" t="n">
        <f aca="false">ROUND(D9*8/$B$4,4)</f>
        <v>16.9241</v>
      </c>
      <c r="F9" s="16" t="n">
        <f aca="false">'MANO DE OBRA 2026'!$C$16</f>
        <v>28.95</v>
      </c>
      <c r="G9" s="8" t="n">
        <f aca="false">ROUND(E9*F9,2)</f>
        <v>489.95</v>
      </c>
      <c r="H9" s="15" t="s">
        <v>389</v>
      </c>
    </row>
    <row r="10" customFormat="false" ht="15" hidden="false" customHeight="false" outlineLevel="0" collapsed="false">
      <c r="A10" s="5" t="s">
        <v>390</v>
      </c>
      <c r="B10" s="6" t="s">
        <v>391</v>
      </c>
      <c r="C10" s="5" t="s">
        <v>388</v>
      </c>
      <c r="D10" s="14" t="n">
        <v>0.5</v>
      </c>
      <c r="E10" s="29" t="n">
        <f aca="false">ROUND(D10*8/$B$4,4)</f>
        <v>8.462</v>
      </c>
      <c r="F10" s="16" t="n">
        <f aca="false">'MANO DE OBRA 2026'!$E$16</f>
        <v>20.54</v>
      </c>
      <c r="G10" s="8" t="n">
        <f aca="false">ROUND(E10*F10,2)</f>
        <v>173.81</v>
      </c>
      <c r="H10" s="15" t="s">
        <v>389</v>
      </c>
    </row>
    <row r="11" customFormat="false" ht="15" hidden="false" customHeight="false" outlineLevel="0" collapsed="false">
      <c r="A11" s="17"/>
      <c r="B11" s="18" t="s">
        <v>392</v>
      </c>
      <c r="C11" s="17"/>
      <c r="D11" s="17"/>
      <c r="E11" s="17"/>
      <c r="F11" s="17"/>
      <c r="G11" s="23" t="n">
        <f aca="false">SUM(G9:G10)</f>
        <v>663.76</v>
      </c>
      <c r="H11" s="17"/>
    </row>
    <row r="12" customFormat="false" ht="15.75" hidden="false" customHeight="true" outlineLevel="0" collapsed="false">
      <c r="A12" s="11" t="s">
        <v>393</v>
      </c>
      <c r="B12" s="11"/>
      <c r="C12" s="11"/>
      <c r="D12" s="11"/>
      <c r="E12" s="11"/>
      <c r="F12" s="11"/>
      <c r="G12" s="11"/>
      <c r="H12" s="11"/>
    </row>
    <row r="13" customFormat="false" ht="24" hidden="false" customHeight="true" outlineLevel="0" collapsed="false">
      <c r="A13" s="5" t="s">
        <v>356</v>
      </c>
      <c r="B13" s="6" t="s">
        <v>357</v>
      </c>
      <c r="C13" s="5" t="s">
        <v>91</v>
      </c>
      <c r="D13" s="6"/>
      <c r="E13" s="30" t="n">
        <v>2</v>
      </c>
      <c r="F13" s="8" t="n">
        <f aca="false">'PRECIOS DE INSUMOS'!$H$65</f>
        <v>7.29</v>
      </c>
      <c r="G13" s="8" t="n">
        <f aca="false">ROUND(E13*F13,2)</f>
        <v>14.58</v>
      </c>
      <c r="H13" s="15" t="s">
        <v>433</v>
      </c>
    </row>
    <row r="14" customFormat="false" ht="24" hidden="false" customHeight="true" outlineLevel="0" collapsed="false">
      <c r="A14" s="5" t="s">
        <v>77</v>
      </c>
      <c r="B14" s="6" t="s">
        <v>434</v>
      </c>
      <c r="C14" s="5" t="s">
        <v>71</v>
      </c>
      <c r="D14" s="6"/>
      <c r="E14" s="29" t="n">
        <f aca="false">(4.64)*1.05</f>
        <v>4.872</v>
      </c>
      <c r="F14" s="8" t="n">
        <f aca="false">'PRECIOS DE INSUMOS'!$H$8</f>
        <v>8.8</v>
      </c>
      <c r="G14" s="8" t="n">
        <f aca="false">ROUND(E14*F14,2)</f>
        <v>42.87</v>
      </c>
      <c r="H14" s="15" t="s">
        <v>435</v>
      </c>
    </row>
    <row r="15" customFormat="false" ht="15" hidden="false" customHeight="true" outlineLevel="0" collapsed="false">
      <c r="A15" s="5" t="s">
        <v>193</v>
      </c>
      <c r="B15" s="6" t="s">
        <v>436</v>
      </c>
      <c r="C15" s="5" t="s">
        <v>91</v>
      </c>
      <c r="D15" s="6"/>
      <c r="E15" s="30" t="n">
        <v>2</v>
      </c>
      <c r="F15" s="8" t="n">
        <f aca="false">'PRECIOS DE INSUMOS'!$H$32</f>
        <v>81.27</v>
      </c>
      <c r="G15" s="8" t="n">
        <f aca="false">ROUND(E15*F15,2)</f>
        <v>162.54</v>
      </c>
      <c r="H15" s="15" t="s">
        <v>437</v>
      </c>
    </row>
    <row r="16" customFormat="false" ht="15" hidden="false" customHeight="true" outlineLevel="0" collapsed="false">
      <c r="A16" s="5" t="s">
        <v>132</v>
      </c>
      <c r="B16" s="6" t="s">
        <v>438</v>
      </c>
      <c r="C16" s="5" t="s">
        <v>91</v>
      </c>
      <c r="D16" s="6"/>
      <c r="E16" s="30" t="n">
        <v>2</v>
      </c>
      <c r="F16" s="8" t="n">
        <f aca="false">'PRECIOS DE INSUMOS'!$H$19</f>
        <v>7.12</v>
      </c>
      <c r="G16" s="8" t="n">
        <f aca="false">ROUND(E16*F16,2)</f>
        <v>14.24</v>
      </c>
      <c r="H16" s="15" t="s">
        <v>439</v>
      </c>
    </row>
    <row r="17" customFormat="false" ht="15" hidden="false" customHeight="true" outlineLevel="0" collapsed="false">
      <c r="A17" s="5" t="s">
        <v>109</v>
      </c>
      <c r="B17" s="6" t="s">
        <v>440</v>
      </c>
      <c r="C17" s="5" t="s">
        <v>91</v>
      </c>
      <c r="D17" s="6"/>
      <c r="E17" s="30" t="n">
        <v>2</v>
      </c>
      <c r="F17" s="8" t="n">
        <f aca="false">'PRECIOS DE INSUMOS'!$H$14</f>
        <v>13.14</v>
      </c>
      <c r="G17" s="8" t="n">
        <f aca="false">ROUND(E17*F17,2)</f>
        <v>26.28</v>
      </c>
      <c r="H17" s="15" t="s">
        <v>441</v>
      </c>
    </row>
    <row r="18" customFormat="false" ht="15" hidden="false" customHeight="true" outlineLevel="0" collapsed="false">
      <c r="A18" s="5" t="s">
        <v>141</v>
      </c>
      <c r="B18" s="6" t="s">
        <v>442</v>
      </c>
      <c r="C18" s="5" t="s">
        <v>91</v>
      </c>
      <c r="D18" s="6"/>
      <c r="E18" s="30" t="n">
        <v>2</v>
      </c>
      <c r="F18" s="8" t="n">
        <f aca="false">'PRECIOS DE INSUMOS'!$H$21</f>
        <v>8.14</v>
      </c>
      <c r="G18" s="8" t="n">
        <f aca="false">ROUND(E18*F18,2)</f>
        <v>16.28</v>
      </c>
      <c r="H18" s="15" t="s">
        <v>443</v>
      </c>
    </row>
    <row r="19" customFormat="false" ht="15" hidden="false" customHeight="true" outlineLevel="0" collapsed="false">
      <c r="A19" s="5" t="s">
        <v>198</v>
      </c>
      <c r="B19" s="6" t="s">
        <v>444</v>
      </c>
      <c r="C19" s="5" t="s">
        <v>91</v>
      </c>
      <c r="D19" s="6"/>
      <c r="E19" s="30" t="n">
        <v>2</v>
      </c>
      <c r="F19" s="8" t="n">
        <f aca="false">'PRECIOS DE INSUMOS'!$H$33</f>
        <v>76.19</v>
      </c>
      <c r="G19" s="8" t="n">
        <f aca="false">ROUND(E19*F19,2)</f>
        <v>152.38</v>
      </c>
      <c r="H19" s="15" t="s">
        <v>445</v>
      </c>
    </row>
    <row r="20" customFormat="false" ht="24" hidden="false" customHeight="true" outlineLevel="0" collapsed="false">
      <c r="A20" s="5" t="s">
        <v>265</v>
      </c>
      <c r="B20" s="6" t="s">
        <v>266</v>
      </c>
      <c r="C20" s="5" t="s">
        <v>267</v>
      </c>
      <c r="D20" s="6"/>
      <c r="E20" s="30" t="n">
        <v>0.0446</v>
      </c>
      <c r="F20" s="8" t="n">
        <f aca="false">'PRECIOS DE INSUMOS'!$H$47</f>
        <v>209.83</v>
      </c>
      <c r="G20" s="8" t="n">
        <f aca="false">ROUND(E20*F20,2)</f>
        <v>9.36</v>
      </c>
      <c r="H20" s="15" t="s">
        <v>446</v>
      </c>
    </row>
    <row r="21" customFormat="false" ht="24" hidden="false" customHeight="true" outlineLevel="0" collapsed="false">
      <c r="A21" s="5" t="s">
        <v>271</v>
      </c>
      <c r="B21" s="6" t="s">
        <v>272</v>
      </c>
      <c r="C21" s="5" t="s">
        <v>91</v>
      </c>
      <c r="D21" s="6"/>
      <c r="E21" s="30" t="n">
        <v>1.25</v>
      </c>
      <c r="F21" s="8" t="n">
        <f aca="false">'PRECIOS DE INSUMOS'!$H$48</f>
        <v>2.46</v>
      </c>
      <c r="G21" s="8" t="n">
        <f aca="false">ROUND(E21*F21,2)</f>
        <v>3.08</v>
      </c>
      <c r="H21" s="15" t="s">
        <v>447</v>
      </c>
    </row>
    <row r="22" customFormat="false" ht="15" hidden="false" customHeight="false" outlineLevel="0" collapsed="false">
      <c r="A22" s="17"/>
      <c r="B22" s="18" t="s">
        <v>403</v>
      </c>
      <c r="C22" s="17"/>
      <c r="D22" s="17"/>
      <c r="E22" s="17"/>
      <c r="F22" s="17"/>
      <c r="G22" s="23" t="n">
        <f aca="false">SUM(G13:G21)</f>
        <v>441.61</v>
      </c>
      <c r="H22" s="17"/>
    </row>
    <row r="23" customFormat="false" ht="15.75" hidden="false" customHeight="true" outlineLevel="0" collapsed="false">
      <c r="A23" s="11" t="s">
        <v>404</v>
      </c>
      <c r="B23" s="11"/>
      <c r="C23" s="11"/>
      <c r="D23" s="11"/>
      <c r="E23" s="11"/>
      <c r="F23" s="11"/>
      <c r="G23" s="11"/>
      <c r="H23" s="11"/>
    </row>
    <row r="24" customFormat="false" ht="24" hidden="false" customHeight="true" outlineLevel="0" collapsed="false">
      <c r="A24" s="5" t="s">
        <v>405</v>
      </c>
      <c r="B24" s="6" t="s">
        <v>406</v>
      </c>
      <c r="C24" s="5" t="s">
        <v>407</v>
      </c>
      <c r="D24" s="6"/>
      <c r="E24" s="14" t="n">
        <v>3</v>
      </c>
      <c r="F24" s="8" t="n">
        <f aca="false">G11</f>
        <v>663.76</v>
      </c>
      <c r="G24" s="8" t="n">
        <f aca="false">ROUND(E24/100*F24,2)</f>
        <v>19.91</v>
      </c>
      <c r="H24" s="15" t="s">
        <v>408</v>
      </c>
    </row>
    <row r="25" customFormat="false" ht="24" hidden="false" customHeight="true" outlineLevel="0" collapsed="false">
      <c r="A25" s="5" t="s">
        <v>281</v>
      </c>
      <c r="B25" s="6" t="s">
        <v>282</v>
      </c>
      <c r="C25" s="5" t="s">
        <v>283</v>
      </c>
      <c r="D25" s="6"/>
      <c r="E25" s="30" t="n">
        <v>1</v>
      </c>
      <c r="F25" s="8" t="n">
        <f aca="false">'PRECIOS DE INSUMOS'!$H$50</f>
        <v>5.83</v>
      </c>
      <c r="G25" s="8" t="n">
        <f aca="false">ROUND(E25*F25,2)</f>
        <v>5.83</v>
      </c>
      <c r="H25" s="15" t="s">
        <v>448</v>
      </c>
    </row>
    <row r="26" customFormat="false" ht="15" hidden="false" customHeight="false" outlineLevel="0" collapsed="false">
      <c r="A26" s="17"/>
      <c r="B26" s="18" t="s">
        <v>410</v>
      </c>
      <c r="C26" s="17"/>
      <c r="D26" s="17"/>
      <c r="E26" s="17"/>
      <c r="F26" s="17"/>
      <c r="G26" s="23" t="n">
        <f aca="false">SUM(G24:G25)</f>
        <v>25.74</v>
      </c>
      <c r="H26" s="17"/>
    </row>
    <row r="27" customFormat="false" ht="19.5" hidden="false" customHeight="true" outlineLevel="0" collapsed="false">
      <c r="A27" s="9" t="s">
        <v>411</v>
      </c>
      <c r="B27" s="9"/>
      <c r="C27" s="9"/>
      <c r="D27" s="9"/>
      <c r="E27" s="9"/>
      <c r="F27" s="9"/>
      <c r="G27" s="10" t="n">
        <f aca="false">G11+G22+G26</f>
        <v>1131.11</v>
      </c>
      <c r="H27" s="31"/>
    </row>
    <row r="29" customFormat="false" ht="15.75" hidden="false" customHeight="true" outlineLevel="0" collapsed="false">
      <c r="A29" s="11" t="s">
        <v>412</v>
      </c>
      <c r="B29" s="11"/>
      <c r="C29" s="11"/>
      <c r="D29" s="11"/>
      <c r="E29" s="11"/>
      <c r="F29" s="11"/>
      <c r="G29" s="11"/>
      <c r="H29" s="11"/>
    </row>
    <row r="30" customFormat="false" ht="15" hidden="false" customHeight="false" outlineLevel="0" collapsed="false">
      <c r="A30" s="13" t="s">
        <v>413</v>
      </c>
      <c r="B30" s="13" t="s">
        <v>414</v>
      </c>
      <c r="C30" s="13" t="s">
        <v>5</v>
      </c>
      <c r="D30" s="13"/>
      <c r="E30" s="13" t="s">
        <v>382</v>
      </c>
      <c r="F30" s="13" t="s">
        <v>415</v>
      </c>
      <c r="G30" s="13" t="s">
        <v>416</v>
      </c>
      <c r="H30" s="13" t="s">
        <v>417</v>
      </c>
    </row>
    <row r="31" customFormat="false" ht="24" hidden="false" customHeight="true" outlineLevel="0" collapsed="false">
      <c r="A31" s="5" t="s">
        <v>425</v>
      </c>
      <c r="B31" s="6" t="s">
        <v>426</v>
      </c>
      <c r="C31" s="5" t="s">
        <v>91</v>
      </c>
      <c r="D31" s="6"/>
      <c r="E31" s="14" t="n">
        <v>2</v>
      </c>
      <c r="F31" s="14" t="n">
        <v>3</v>
      </c>
      <c r="G31" s="24" t="n">
        <f aca="false">E31/F31</f>
        <v>0.666666666666667</v>
      </c>
      <c r="H31" s="15" t="s">
        <v>420</v>
      </c>
    </row>
    <row r="32" customFormat="false" ht="15" hidden="false" customHeight="true" outlineLevel="0" collapsed="false">
      <c r="A32" s="5" t="s">
        <v>449</v>
      </c>
      <c r="B32" s="6" t="s">
        <v>450</v>
      </c>
      <c r="C32" s="5" t="s">
        <v>71</v>
      </c>
      <c r="D32" s="6"/>
      <c r="E32" s="14" t="n">
        <v>4.64</v>
      </c>
      <c r="F32" s="14" t="n">
        <v>20</v>
      </c>
      <c r="G32" s="24" t="n">
        <f aca="false">E32/F32</f>
        <v>0.232</v>
      </c>
      <c r="H32" s="15" t="s">
        <v>420</v>
      </c>
    </row>
    <row r="33" customFormat="false" ht="15" hidden="false" customHeight="true" outlineLevel="0" collapsed="false">
      <c r="A33" s="5" t="s">
        <v>451</v>
      </c>
      <c r="B33" s="6" t="s">
        <v>452</v>
      </c>
      <c r="C33" s="5" t="s">
        <v>91</v>
      </c>
      <c r="D33" s="6"/>
      <c r="E33" s="14" t="n">
        <v>2</v>
      </c>
      <c r="F33" s="14" t="n">
        <v>8</v>
      </c>
      <c r="G33" s="24" t="n">
        <f aca="false">E33/F33</f>
        <v>0.25</v>
      </c>
      <c r="H33" s="15" t="s">
        <v>420</v>
      </c>
    </row>
    <row r="34" customFormat="false" ht="24" hidden="false" customHeight="true" outlineLevel="0" collapsed="false">
      <c r="A34" s="5" t="s">
        <v>453</v>
      </c>
      <c r="B34" s="6" t="s">
        <v>454</v>
      </c>
      <c r="C34" s="5" t="s">
        <v>91</v>
      </c>
      <c r="D34" s="6"/>
      <c r="E34" s="14" t="n">
        <v>6</v>
      </c>
      <c r="F34" s="14" t="n">
        <v>20</v>
      </c>
      <c r="G34" s="24" t="n">
        <f aca="false">E34/F34</f>
        <v>0.3</v>
      </c>
      <c r="H34" s="15" t="s">
        <v>420</v>
      </c>
    </row>
    <row r="35" customFormat="false" ht="24" hidden="false" customHeight="true" outlineLevel="0" collapsed="false">
      <c r="A35" s="5" t="s">
        <v>455</v>
      </c>
      <c r="B35" s="6" t="s">
        <v>456</v>
      </c>
      <c r="C35" s="5" t="s">
        <v>91</v>
      </c>
      <c r="D35" s="6"/>
      <c r="E35" s="14" t="n">
        <v>2</v>
      </c>
      <c r="F35" s="14" t="n">
        <v>3</v>
      </c>
      <c r="G35" s="24" t="n">
        <f aca="false">E35/F35</f>
        <v>0.666666666666667</v>
      </c>
      <c r="H35" s="15" t="s">
        <v>420</v>
      </c>
    </row>
    <row r="36" customFormat="false" ht="15" hidden="false" customHeight="false" outlineLevel="0" collapsed="false">
      <c r="A36" s="17"/>
      <c r="B36" s="18" t="s">
        <v>427</v>
      </c>
      <c r="C36" s="17"/>
      <c r="D36" s="17"/>
      <c r="E36" s="17"/>
      <c r="F36" s="17"/>
      <c r="G36" s="32" t="n">
        <f aca="false">SUM(G31:G35)</f>
        <v>2.11533333333333</v>
      </c>
      <c r="H36" s="17"/>
    </row>
    <row r="37" customFormat="false" ht="15" hidden="false" customHeight="false" outlineLevel="0" collapsed="false">
      <c r="A37" s="17"/>
      <c r="B37" s="18" t="s">
        <v>428</v>
      </c>
      <c r="C37" s="17"/>
      <c r="D37" s="17"/>
      <c r="E37" s="17"/>
      <c r="F37" s="17"/>
      <c r="G37" s="26" t="n">
        <f aca="false">ROUND(1/G36,4)</f>
        <v>0.4727</v>
      </c>
      <c r="H37" s="17"/>
    </row>
    <row r="39" customFormat="false" ht="15.75" hidden="false" customHeight="true" outlineLevel="0" collapsed="false">
      <c r="A39" s="33" t="s">
        <v>429</v>
      </c>
      <c r="B39" s="33"/>
      <c r="C39" s="33"/>
      <c r="D39" s="33"/>
      <c r="E39" s="33"/>
      <c r="F39" s="33"/>
      <c r="G39" s="33"/>
      <c r="H39" s="33"/>
    </row>
    <row r="40" customFormat="false" ht="25.5" hidden="false" customHeight="true" outlineLevel="0" collapsed="false">
      <c r="A40" s="3" t="s">
        <v>457</v>
      </c>
      <c r="B40" s="3"/>
      <c r="C40" s="3"/>
      <c r="D40" s="3"/>
      <c r="E40" s="3"/>
      <c r="F40" s="3"/>
      <c r="G40" s="3"/>
      <c r="H40" s="3"/>
    </row>
  </sheetData>
  <mergeCells count="11">
    <mergeCell ref="A1:H1"/>
    <mergeCell ref="A2:H2"/>
    <mergeCell ref="B3:H3"/>
    <mergeCell ref="D5:F5"/>
    <mergeCell ref="A8:H8"/>
    <mergeCell ref="A12:H12"/>
    <mergeCell ref="A23:H23"/>
    <mergeCell ref="A27:F27"/>
    <mergeCell ref="A29:H29"/>
    <mergeCell ref="A39:H39"/>
    <mergeCell ref="A40:H40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24" hidden="false" customHeight="true" outlineLevel="0" collapsed="false">
      <c r="A1" s="1" t="s">
        <v>367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2" t="s">
        <v>1</v>
      </c>
      <c r="B2" s="12"/>
      <c r="C2" s="12"/>
      <c r="D2" s="12"/>
      <c r="E2" s="12"/>
      <c r="F2" s="12"/>
      <c r="G2" s="12"/>
      <c r="H2" s="12"/>
    </row>
    <row r="3" customFormat="false" ht="30" hidden="false" customHeight="true" outlineLevel="0" collapsed="false">
      <c r="A3" s="18" t="s">
        <v>368</v>
      </c>
      <c r="B3" s="11" t="s">
        <v>458</v>
      </c>
      <c r="C3" s="11"/>
      <c r="D3" s="11"/>
      <c r="E3" s="11"/>
      <c r="F3" s="11"/>
      <c r="G3" s="11"/>
      <c r="H3" s="11"/>
    </row>
    <row r="4" customFormat="false" ht="30" hidden="false" customHeight="true" outlineLevel="0" collapsed="false">
      <c r="A4" s="18" t="s">
        <v>370</v>
      </c>
      <c r="B4" s="25" t="n">
        <f aca="false">G52</f>
        <v>0.2794</v>
      </c>
      <c r="C4" s="13" t="s">
        <v>371</v>
      </c>
      <c r="D4" s="26" t="n">
        <f aca="false">SUM(E9:E10)</f>
        <v>42.9492</v>
      </c>
      <c r="E4" s="13" t="s">
        <v>372</v>
      </c>
      <c r="F4" s="26" t="n">
        <f aca="false">SUMIF(C36:C37,"hm",E36:E37)</f>
        <v>0.5</v>
      </c>
      <c r="G4" s="13" t="s">
        <v>373</v>
      </c>
      <c r="H4" s="27" t="n">
        <f aca="false">G39</f>
        <v>2304.67</v>
      </c>
    </row>
    <row r="5" customFormat="false" ht="15" hidden="false" customHeight="true" outlineLevel="0" collapsed="false">
      <c r="A5" s="18" t="s">
        <v>374</v>
      </c>
      <c r="B5" s="6" t="s">
        <v>375</v>
      </c>
      <c r="C5" s="13" t="s">
        <v>376</v>
      </c>
      <c r="D5" s="28" t="s">
        <v>377</v>
      </c>
      <c r="E5" s="28"/>
      <c r="F5" s="28"/>
      <c r="G5" s="13" t="s">
        <v>378</v>
      </c>
      <c r="H5" s="6" t="s">
        <v>379</v>
      </c>
    </row>
    <row r="7" customFormat="false" ht="15" hidden="false" customHeight="false" outlineLevel="0" collapsed="false">
      <c r="A7" s="4" t="s">
        <v>58</v>
      </c>
      <c r="B7" s="4" t="s">
        <v>380</v>
      </c>
      <c r="C7" s="4" t="s">
        <v>5</v>
      </c>
      <c r="D7" s="4" t="s">
        <v>381</v>
      </c>
      <c r="E7" s="4" t="s">
        <v>382</v>
      </c>
      <c r="F7" s="4" t="s">
        <v>383</v>
      </c>
      <c r="G7" s="4" t="s">
        <v>384</v>
      </c>
      <c r="H7" s="4" t="s">
        <v>41</v>
      </c>
    </row>
    <row r="8" customFormat="false" ht="15.75" hidden="false" customHeight="true" outlineLevel="0" collapsed="false">
      <c r="A8" s="11" t="s">
        <v>385</v>
      </c>
      <c r="B8" s="11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5" t="s">
        <v>386</v>
      </c>
      <c r="B9" s="6" t="s">
        <v>387</v>
      </c>
      <c r="C9" s="5" t="s">
        <v>388</v>
      </c>
      <c r="D9" s="14" t="n">
        <v>1</v>
      </c>
      <c r="E9" s="29" t="n">
        <f aca="false">ROUND(D9*8/$B$4,4)</f>
        <v>28.6328</v>
      </c>
      <c r="F9" s="16" t="n">
        <f aca="false">'MANO DE OBRA 2026'!$C$16</f>
        <v>28.95</v>
      </c>
      <c r="G9" s="8" t="n">
        <f aca="false">ROUND(E9*F9,2)</f>
        <v>828.92</v>
      </c>
      <c r="H9" s="15" t="s">
        <v>389</v>
      </c>
    </row>
    <row r="10" customFormat="false" ht="15" hidden="false" customHeight="false" outlineLevel="0" collapsed="false">
      <c r="A10" s="5" t="s">
        <v>390</v>
      </c>
      <c r="B10" s="6" t="s">
        <v>391</v>
      </c>
      <c r="C10" s="5" t="s">
        <v>388</v>
      </c>
      <c r="D10" s="14" t="n">
        <v>0.5</v>
      </c>
      <c r="E10" s="29" t="n">
        <f aca="false">ROUND(D10*8/$B$4,4)</f>
        <v>14.3164</v>
      </c>
      <c r="F10" s="16" t="n">
        <f aca="false">'MANO DE OBRA 2026'!$E$16</f>
        <v>20.54</v>
      </c>
      <c r="G10" s="8" t="n">
        <f aca="false">ROUND(E10*F10,2)</f>
        <v>294.06</v>
      </c>
      <c r="H10" s="15" t="s">
        <v>389</v>
      </c>
    </row>
    <row r="11" customFormat="false" ht="15" hidden="false" customHeight="false" outlineLevel="0" collapsed="false">
      <c r="A11" s="17"/>
      <c r="B11" s="18" t="s">
        <v>392</v>
      </c>
      <c r="C11" s="17"/>
      <c r="D11" s="17"/>
      <c r="E11" s="17"/>
      <c r="F11" s="17"/>
      <c r="G11" s="23" t="n">
        <f aca="false">SUM(G9:G10)</f>
        <v>1122.98</v>
      </c>
      <c r="H11" s="17"/>
    </row>
    <row r="12" customFormat="false" ht="15.75" hidden="false" customHeight="true" outlineLevel="0" collapsed="false">
      <c r="A12" s="11" t="s">
        <v>393</v>
      </c>
      <c r="B12" s="11"/>
      <c r="C12" s="11"/>
      <c r="D12" s="11"/>
      <c r="E12" s="11"/>
      <c r="F12" s="11"/>
      <c r="G12" s="11"/>
      <c r="H12" s="11"/>
    </row>
    <row r="13" customFormat="false" ht="15" hidden="false" customHeight="true" outlineLevel="0" collapsed="false">
      <c r="A13" s="5" t="s">
        <v>94</v>
      </c>
      <c r="B13" s="6" t="s">
        <v>459</v>
      </c>
      <c r="C13" s="5" t="s">
        <v>91</v>
      </c>
      <c r="D13" s="6"/>
      <c r="E13" s="30" t="n">
        <v>3</v>
      </c>
      <c r="F13" s="8" t="n">
        <f aca="false">'PRECIOS DE INSUMOS'!$H$11</f>
        <v>9.24</v>
      </c>
      <c r="G13" s="8" t="n">
        <f aca="false">ROUND(E13*F13,2)</f>
        <v>27.72</v>
      </c>
      <c r="H13" s="15" t="s">
        <v>460</v>
      </c>
    </row>
    <row r="14" customFormat="false" ht="15" hidden="false" customHeight="true" outlineLevel="0" collapsed="false">
      <c r="A14" s="5" t="s">
        <v>163</v>
      </c>
      <c r="B14" s="6" t="s">
        <v>461</v>
      </c>
      <c r="C14" s="5" t="s">
        <v>91</v>
      </c>
      <c r="D14" s="6"/>
      <c r="E14" s="30" t="n">
        <v>1</v>
      </c>
      <c r="F14" s="8" t="n">
        <f aca="false">'PRECIOS DE INSUMOS'!$H$26</f>
        <v>93.14</v>
      </c>
      <c r="G14" s="8" t="n">
        <f aca="false">ROUND(E14*F14,2)</f>
        <v>93.14</v>
      </c>
      <c r="H14" s="15" t="s">
        <v>462</v>
      </c>
    </row>
    <row r="15" customFormat="false" ht="24" hidden="false" customHeight="true" outlineLevel="0" collapsed="false">
      <c r="A15" s="5" t="s">
        <v>118</v>
      </c>
      <c r="B15" s="6" t="s">
        <v>463</v>
      </c>
      <c r="C15" s="5" t="s">
        <v>91</v>
      </c>
      <c r="D15" s="6"/>
      <c r="E15" s="29" t="n">
        <f aca="false">2+1</f>
        <v>3</v>
      </c>
      <c r="F15" s="8" t="n">
        <f aca="false">'PRECIOS DE INSUMOS'!$H$16</f>
        <v>16.95</v>
      </c>
      <c r="G15" s="8" t="n">
        <f aca="false">ROUND(E15*F15,2)</f>
        <v>50.85</v>
      </c>
      <c r="H15" s="15" t="s">
        <v>464</v>
      </c>
    </row>
    <row r="16" customFormat="false" ht="15" hidden="false" customHeight="true" outlineLevel="0" collapsed="false">
      <c r="A16" s="5" t="s">
        <v>168</v>
      </c>
      <c r="B16" s="6" t="s">
        <v>465</v>
      </c>
      <c r="C16" s="5" t="s">
        <v>91</v>
      </c>
      <c r="D16" s="6"/>
      <c r="E16" s="30" t="n">
        <v>1</v>
      </c>
      <c r="F16" s="8" t="n">
        <f aca="false">'PRECIOS DE INSUMOS'!$H$27</f>
        <v>21.1</v>
      </c>
      <c r="G16" s="8" t="n">
        <f aca="false">ROUND(E16*F16,2)</f>
        <v>21.1</v>
      </c>
      <c r="H16" s="15" t="s">
        <v>466</v>
      </c>
    </row>
    <row r="17" customFormat="false" ht="15" hidden="false" customHeight="true" outlineLevel="0" collapsed="false">
      <c r="A17" s="5" t="s">
        <v>109</v>
      </c>
      <c r="B17" s="6" t="s">
        <v>440</v>
      </c>
      <c r="C17" s="5" t="s">
        <v>91</v>
      </c>
      <c r="D17" s="6"/>
      <c r="E17" s="30" t="n">
        <v>1</v>
      </c>
      <c r="F17" s="8" t="n">
        <f aca="false">'PRECIOS DE INSUMOS'!$H$14</f>
        <v>13.14</v>
      </c>
      <c r="G17" s="8" t="n">
        <f aca="false">ROUND(E17*F17,2)</f>
        <v>13.14</v>
      </c>
      <c r="H17" s="15" t="s">
        <v>467</v>
      </c>
    </row>
    <row r="18" customFormat="false" ht="15" hidden="false" customHeight="true" outlineLevel="0" collapsed="false">
      <c r="A18" s="5" t="s">
        <v>77</v>
      </c>
      <c r="B18" s="6" t="s">
        <v>468</v>
      </c>
      <c r="C18" s="5" t="s">
        <v>71</v>
      </c>
      <c r="D18" s="6"/>
      <c r="E18" s="29" t="n">
        <f aca="false">(15)*1.05</f>
        <v>15.75</v>
      </c>
      <c r="F18" s="8" t="n">
        <f aca="false">'PRECIOS DE INSUMOS'!$H$8</f>
        <v>8.8</v>
      </c>
      <c r="G18" s="8" t="n">
        <f aca="false">ROUND(E18*F18,2)</f>
        <v>138.6</v>
      </c>
      <c r="H18" s="15" t="s">
        <v>469</v>
      </c>
    </row>
    <row r="19" customFormat="false" ht="24" hidden="false" customHeight="true" outlineLevel="0" collapsed="false">
      <c r="A19" s="5" t="s">
        <v>146</v>
      </c>
      <c r="B19" s="6" t="s">
        <v>470</v>
      </c>
      <c r="C19" s="5" t="s">
        <v>91</v>
      </c>
      <c r="D19" s="6"/>
      <c r="E19" s="29" t="n">
        <f aca="false">1+6</f>
        <v>7</v>
      </c>
      <c r="F19" s="8" t="n">
        <f aca="false">'PRECIOS DE INSUMOS'!$H$22</f>
        <v>3.73</v>
      </c>
      <c r="G19" s="8" t="n">
        <f aca="false">ROUND(E19*F19,2)</f>
        <v>26.11</v>
      </c>
      <c r="H19" s="15" t="s">
        <v>471</v>
      </c>
    </row>
    <row r="20" customFormat="false" ht="15" hidden="false" customHeight="true" outlineLevel="0" collapsed="false">
      <c r="A20" s="5" t="s">
        <v>154</v>
      </c>
      <c r="B20" s="6" t="s">
        <v>472</v>
      </c>
      <c r="C20" s="5" t="s">
        <v>91</v>
      </c>
      <c r="D20" s="6"/>
      <c r="E20" s="30" t="n">
        <v>1</v>
      </c>
      <c r="F20" s="8" t="n">
        <f aca="false">'PRECIOS DE INSUMOS'!$H$24</f>
        <v>8.47</v>
      </c>
      <c r="G20" s="8" t="n">
        <f aca="false">ROUND(E20*F20,2)</f>
        <v>8.47</v>
      </c>
      <c r="H20" s="15" t="s">
        <v>473</v>
      </c>
    </row>
    <row r="21" customFormat="false" ht="15" hidden="false" customHeight="true" outlineLevel="0" collapsed="false">
      <c r="A21" s="5" t="s">
        <v>172</v>
      </c>
      <c r="B21" s="6" t="s">
        <v>474</v>
      </c>
      <c r="C21" s="5" t="s">
        <v>91</v>
      </c>
      <c r="D21" s="6"/>
      <c r="E21" s="30" t="n">
        <v>1</v>
      </c>
      <c r="F21" s="8" t="n">
        <f aca="false">'PRECIOS DE INSUMOS'!$H$28</f>
        <v>152.46</v>
      </c>
      <c r="G21" s="8" t="n">
        <f aca="false">ROUND(E21*F21,2)</f>
        <v>152.46</v>
      </c>
      <c r="H21" s="15" t="s">
        <v>475</v>
      </c>
    </row>
    <row r="22" customFormat="false" ht="15" hidden="false" customHeight="true" outlineLevel="0" collapsed="false">
      <c r="A22" s="5" t="s">
        <v>141</v>
      </c>
      <c r="B22" s="6" t="s">
        <v>476</v>
      </c>
      <c r="C22" s="5" t="s">
        <v>91</v>
      </c>
      <c r="D22" s="6"/>
      <c r="E22" s="30" t="n">
        <v>1</v>
      </c>
      <c r="F22" s="8" t="n">
        <f aca="false">'PRECIOS DE INSUMOS'!$H$21</f>
        <v>8.14</v>
      </c>
      <c r="G22" s="8" t="n">
        <f aca="false">ROUND(E22*F22,2)</f>
        <v>8.14</v>
      </c>
      <c r="H22" s="15" t="s">
        <v>477</v>
      </c>
    </row>
    <row r="23" customFormat="false" ht="15" hidden="false" customHeight="true" outlineLevel="0" collapsed="false">
      <c r="A23" s="5" t="s">
        <v>233</v>
      </c>
      <c r="B23" s="6" t="s">
        <v>478</v>
      </c>
      <c r="C23" s="5" t="s">
        <v>91</v>
      </c>
      <c r="D23" s="6"/>
      <c r="E23" s="30" t="n">
        <v>8</v>
      </c>
      <c r="F23" s="8" t="n">
        <f aca="false">'PRECIOS DE INSUMOS'!$H$41</f>
        <v>1.19</v>
      </c>
      <c r="G23" s="8" t="n">
        <f aca="false">ROUND(E23*F23,2)</f>
        <v>9.52</v>
      </c>
      <c r="H23" s="15" t="s">
        <v>479</v>
      </c>
    </row>
    <row r="24" customFormat="false" ht="15" hidden="false" customHeight="true" outlineLevel="0" collapsed="false">
      <c r="A24" s="5" t="s">
        <v>132</v>
      </c>
      <c r="B24" s="6" t="s">
        <v>438</v>
      </c>
      <c r="C24" s="5" t="s">
        <v>91</v>
      </c>
      <c r="D24" s="6"/>
      <c r="E24" s="30" t="n">
        <v>1</v>
      </c>
      <c r="F24" s="8" t="n">
        <f aca="false">'PRECIOS DE INSUMOS'!$H$19</f>
        <v>7.12</v>
      </c>
      <c r="G24" s="8" t="n">
        <f aca="false">ROUND(E24*F24,2)</f>
        <v>7.12</v>
      </c>
      <c r="H24" s="15" t="s">
        <v>480</v>
      </c>
    </row>
    <row r="25" customFormat="false" ht="15" hidden="false" customHeight="true" outlineLevel="0" collapsed="false">
      <c r="A25" s="5" t="s">
        <v>211</v>
      </c>
      <c r="B25" s="6" t="s">
        <v>481</v>
      </c>
      <c r="C25" s="5" t="s">
        <v>91</v>
      </c>
      <c r="D25" s="6"/>
      <c r="E25" s="30" t="n">
        <v>1</v>
      </c>
      <c r="F25" s="8" t="n">
        <f aca="false">'PRECIOS DE INSUMOS'!$H$36</f>
        <v>14.32</v>
      </c>
      <c r="G25" s="8" t="n">
        <f aca="false">ROUND(E25*F25,2)</f>
        <v>14.32</v>
      </c>
      <c r="H25" s="15" t="s">
        <v>482</v>
      </c>
    </row>
    <row r="26" customFormat="false" ht="24" hidden="false" customHeight="true" outlineLevel="0" collapsed="false">
      <c r="A26" s="5" t="s">
        <v>356</v>
      </c>
      <c r="B26" s="6" t="s">
        <v>357</v>
      </c>
      <c r="C26" s="5" t="s">
        <v>91</v>
      </c>
      <c r="D26" s="6"/>
      <c r="E26" s="30" t="n">
        <v>1</v>
      </c>
      <c r="F26" s="8" t="n">
        <f aca="false">'PRECIOS DE INSUMOS'!$H$65</f>
        <v>7.29</v>
      </c>
      <c r="G26" s="8" t="n">
        <f aca="false">ROUND(E26*F26,2)</f>
        <v>7.29</v>
      </c>
      <c r="H26" s="15" t="s">
        <v>483</v>
      </c>
    </row>
    <row r="27" customFormat="false" ht="24" hidden="false" customHeight="true" outlineLevel="0" collapsed="false">
      <c r="A27" s="5" t="s">
        <v>484</v>
      </c>
      <c r="B27" s="6" t="s">
        <v>485</v>
      </c>
      <c r="C27" s="5" t="s">
        <v>71</v>
      </c>
      <c r="D27" s="6"/>
      <c r="E27" s="29" t="n">
        <f aca="false">(1)*0.6</f>
        <v>0.6</v>
      </c>
      <c r="F27" s="8" t="n">
        <f aca="false">'PRECIOS DE INSUMOS'!$H$38</f>
        <v>15.21</v>
      </c>
      <c r="G27" s="8" t="n">
        <f aca="false">ROUND(E27*F27,2)</f>
        <v>9.13</v>
      </c>
      <c r="H27" s="15" t="s">
        <v>486</v>
      </c>
    </row>
    <row r="28" customFormat="false" ht="15" hidden="false" customHeight="true" outlineLevel="0" collapsed="false">
      <c r="A28" s="5" t="s">
        <v>207</v>
      </c>
      <c r="B28" s="6" t="s">
        <v>487</v>
      </c>
      <c r="C28" s="5" t="s">
        <v>91</v>
      </c>
      <c r="D28" s="6"/>
      <c r="E28" s="30" t="n">
        <v>1</v>
      </c>
      <c r="F28" s="8" t="n">
        <f aca="false">'PRECIOS DE INSUMOS'!$H$35</f>
        <v>12.63</v>
      </c>
      <c r="G28" s="8" t="n">
        <f aca="false">ROUND(E28*F28,2)</f>
        <v>12.63</v>
      </c>
      <c r="H28" s="15" t="s">
        <v>488</v>
      </c>
    </row>
    <row r="29" customFormat="false" ht="15" hidden="false" customHeight="true" outlineLevel="0" collapsed="false">
      <c r="A29" s="5" t="s">
        <v>188</v>
      </c>
      <c r="B29" s="6" t="s">
        <v>489</v>
      </c>
      <c r="C29" s="5" t="s">
        <v>91</v>
      </c>
      <c r="D29" s="6"/>
      <c r="E29" s="30" t="n">
        <v>1</v>
      </c>
      <c r="F29" s="8" t="n">
        <f aca="false">'PRECIOS DE INSUMOS'!$H$31</f>
        <v>313.56</v>
      </c>
      <c r="G29" s="8" t="n">
        <f aca="false">ROUND(E29*F29,2)</f>
        <v>313.56</v>
      </c>
      <c r="H29" s="15" t="s">
        <v>490</v>
      </c>
    </row>
    <row r="30" customFormat="false" ht="15" hidden="false" customHeight="true" outlineLevel="0" collapsed="false">
      <c r="A30" s="5" t="s">
        <v>198</v>
      </c>
      <c r="B30" s="6" t="s">
        <v>444</v>
      </c>
      <c r="C30" s="5" t="s">
        <v>91</v>
      </c>
      <c r="D30" s="6"/>
      <c r="E30" s="30" t="n">
        <v>1</v>
      </c>
      <c r="F30" s="8" t="n">
        <f aca="false">'PRECIOS DE INSUMOS'!$H$33</f>
        <v>76.19</v>
      </c>
      <c r="G30" s="8" t="n">
        <f aca="false">ROUND(E30*F30,2)</f>
        <v>76.19</v>
      </c>
      <c r="H30" s="15" t="s">
        <v>491</v>
      </c>
    </row>
    <row r="31" customFormat="false" ht="24" hidden="false" customHeight="true" outlineLevel="0" collapsed="false">
      <c r="A31" s="5" t="s">
        <v>265</v>
      </c>
      <c r="B31" s="6" t="s">
        <v>266</v>
      </c>
      <c r="C31" s="5" t="s">
        <v>267</v>
      </c>
      <c r="D31" s="6"/>
      <c r="E31" s="30" t="n">
        <v>0.075</v>
      </c>
      <c r="F31" s="8" t="n">
        <f aca="false">'PRECIOS DE INSUMOS'!$H$47</f>
        <v>209.83</v>
      </c>
      <c r="G31" s="8" t="n">
        <f aca="false">ROUND(E31*F31,2)</f>
        <v>15.74</v>
      </c>
      <c r="H31" s="15" t="s">
        <v>492</v>
      </c>
    </row>
    <row r="32" customFormat="false" ht="24" hidden="false" customHeight="true" outlineLevel="0" collapsed="false">
      <c r="A32" s="5" t="s">
        <v>271</v>
      </c>
      <c r="B32" s="6" t="s">
        <v>272</v>
      </c>
      <c r="C32" s="5" t="s">
        <v>91</v>
      </c>
      <c r="D32" s="6"/>
      <c r="E32" s="30" t="n">
        <v>4.62</v>
      </c>
      <c r="F32" s="8" t="n">
        <f aca="false">'PRECIOS DE INSUMOS'!$H$48</f>
        <v>2.46</v>
      </c>
      <c r="G32" s="8" t="n">
        <f aca="false">ROUND(E32*F32,2)</f>
        <v>11.37</v>
      </c>
      <c r="H32" s="15" t="s">
        <v>493</v>
      </c>
    </row>
    <row r="33" customFormat="false" ht="15" hidden="false" customHeight="true" outlineLevel="0" collapsed="false">
      <c r="A33" s="5" t="s">
        <v>241</v>
      </c>
      <c r="B33" s="6" t="s">
        <v>242</v>
      </c>
      <c r="C33" s="5" t="s">
        <v>91</v>
      </c>
      <c r="D33" s="6"/>
      <c r="E33" s="30" t="n">
        <v>16</v>
      </c>
      <c r="F33" s="8" t="n">
        <f aca="false">'PRECIOS DE INSUMOS'!$H$43</f>
        <v>8.03</v>
      </c>
      <c r="G33" s="8" t="n">
        <f aca="false">ROUND(E33*F33,2)</f>
        <v>128.48</v>
      </c>
      <c r="H33" s="15" t="s">
        <v>494</v>
      </c>
    </row>
    <row r="34" customFormat="false" ht="15" hidden="false" customHeight="false" outlineLevel="0" collapsed="false">
      <c r="A34" s="17"/>
      <c r="B34" s="18" t="s">
        <v>403</v>
      </c>
      <c r="C34" s="17"/>
      <c r="D34" s="17"/>
      <c r="E34" s="17"/>
      <c r="F34" s="17"/>
      <c r="G34" s="23" t="n">
        <f aca="false">SUM(G13:G33)</f>
        <v>1145.08</v>
      </c>
      <c r="H34" s="17"/>
    </row>
    <row r="35" customFormat="false" ht="15.75" hidden="false" customHeight="true" outlineLevel="0" collapsed="false">
      <c r="A35" s="11" t="s">
        <v>404</v>
      </c>
      <c r="B35" s="11"/>
      <c r="C35" s="11"/>
      <c r="D35" s="11"/>
      <c r="E35" s="11"/>
      <c r="F35" s="11"/>
      <c r="G35" s="11"/>
      <c r="H35" s="11"/>
    </row>
    <row r="36" customFormat="false" ht="24" hidden="false" customHeight="true" outlineLevel="0" collapsed="false">
      <c r="A36" s="5" t="s">
        <v>405</v>
      </c>
      <c r="B36" s="6" t="s">
        <v>406</v>
      </c>
      <c r="C36" s="5" t="s">
        <v>407</v>
      </c>
      <c r="D36" s="6"/>
      <c r="E36" s="14" t="n">
        <v>3</v>
      </c>
      <c r="F36" s="8" t="n">
        <f aca="false">G11</f>
        <v>1122.98</v>
      </c>
      <c r="G36" s="8" t="n">
        <f aca="false">ROUND(E36/100*F36,2)</f>
        <v>33.69</v>
      </c>
      <c r="H36" s="15" t="s">
        <v>408</v>
      </c>
    </row>
    <row r="37" customFormat="false" ht="24" hidden="false" customHeight="true" outlineLevel="0" collapsed="false">
      <c r="A37" s="5" t="s">
        <v>281</v>
      </c>
      <c r="B37" s="6" t="s">
        <v>282</v>
      </c>
      <c r="C37" s="5" t="s">
        <v>283</v>
      </c>
      <c r="D37" s="6"/>
      <c r="E37" s="30" t="n">
        <v>0.5</v>
      </c>
      <c r="F37" s="8" t="n">
        <f aca="false">'PRECIOS DE INSUMOS'!$H$50</f>
        <v>5.83</v>
      </c>
      <c r="G37" s="8" t="n">
        <f aca="false">ROUND(E37*F37,2)</f>
        <v>2.92</v>
      </c>
      <c r="H37" s="15" t="s">
        <v>409</v>
      </c>
    </row>
    <row r="38" customFormat="false" ht="15" hidden="false" customHeight="false" outlineLevel="0" collapsed="false">
      <c r="A38" s="17"/>
      <c r="B38" s="18" t="s">
        <v>410</v>
      </c>
      <c r="C38" s="17"/>
      <c r="D38" s="17"/>
      <c r="E38" s="17"/>
      <c r="F38" s="17"/>
      <c r="G38" s="23" t="n">
        <f aca="false">SUM(G36:G37)</f>
        <v>36.61</v>
      </c>
      <c r="H38" s="17"/>
    </row>
    <row r="39" customFormat="false" ht="19.5" hidden="false" customHeight="true" outlineLevel="0" collapsed="false">
      <c r="A39" s="9" t="s">
        <v>411</v>
      </c>
      <c r="B39" s="9"/>
      <c r="C39" s="9"/>
      <c r="D39" s="9"/>
      <c r="E39" s="9"/>
      <c r="F39" s="9"/>
      <c r="G39" s="10" t="n">
        <f aca="false">G11+G34+G38</f>
        <v>2304.67</v>
      </c>
      <c r="H39" s="31"/>
    </row>
    <row r="41" customFormat="false" ht="15.75" hidden="false" customHeight="true" outlineLevel="0" collapsed="false">
      <c r="A41" s="11" t="s">
        <v>412</v>
      </c>
      <c r="B41" s="11"/>
      <c r="C41" s="11"/>
      <c r="D41" s="11"/>
      <c r="E41" s="11"/>
      <c r="F41" s="11"/>
      <c r="G41" s="11"/>
      <c r="H41" s="11"/>
    </row>
    <row r="42" customFormat="false" ht="15" hidden="false" customHeight="false" outlineLevel="0" collapsed="false">
      <c r="A42" s="13" t="s">
        <v>413</v>
      </c>
      <c r="B42" s="13" t="s">
        <v>414</v>
      </c>
      <c r="C42" s="13" t="s">
        <v>5</v>
      </c>
      <c r="D42" s="13"/>
      <c r="E42" s="13" t="s">
        <v>382</v>
      </c>
      <c r="F42" s="13" t="s">
        <v>415</v>
      </c>
      <c r="G42" s="13" t="s">
        <v>416</v>
      </c>
      <c r="H42" s="13" t="s">
        <v>417</v>
      </c>
    </row>
    <row r="43" customFormat="false" ht="24" hidden="false" customHeight="true" outlineLevel="0" collapsed="false">
      <c r="A43" s="5" t="s">
        <v>453</v>
      </c>
      <c r="B43" s="6" t="s">
        <v>454</v>
      </c>
      <c r="C43" s="5" t="s">
        <v>91</v>
      </c>
      <c r="D43" s="6"/>
      <c r="E43" s="14" t="n">
        <v>17</v>
      </c>
      <c r="F43" s="14" t="n">
        <v>20</v>
      </c>
      <c r="G43" s="24" t="n">
        <f aca="false">E43/F43</f>
        <v>0.85</v>
      </c>
      <c r="H43" s="15" t="s">
        <v>420</v>
      </c>
    </row>
    <row r="44" customFormat="false" ht="15" hidden="false" customHeight="true" outlineLevel="0" collapsed="false">
      <c r="A44" s="5" t="s">
        <v>495</v>
      </c>
      <c r="B44" s="6" t="s">
        <v>496</v>
      </c>
      <c r="C44" s="5" t="s">
        <v>91</v>
      </c>
      <c r="D44" s="6"/>
      <c r="E44" s="14" t="n">
        <v>3</v>
      </c>
      <c r="F44" s="14" t="n">
        <v>8</v>
      </c>
      <c r="G44" s="24" t="n">
        <f aca="false">E44/F44</f>
        <v>0.375</v>
      </c>
      <c r="H44" s="15" t="s">
        <v>420</v>
      </c>
    </row>
    <row r="45" customFormat="false" ht="15" hidden="false" customHeight="true" outlineLevel="0" collapsed="false">
      <c r="A45" s="5" t="s">
        <v>449</v>
      </c>
      <c r="B45" s="6" t="s">
        <v>450</v>
      </c>
      <c r="C45" s="5" t="s">
        <v>71</v>
      </c>
      <c r="D45" s="6"/>
      <c r="E45" s="14" t="n">
        <v>15</v>
      </c>
      <c r="F45" s="14" t="n">
        <v>20</v>
      </c>
      <c r="G45" s="24" t="n">
        <f aca="false">E45/F45</f>
        <v>0.75</v>
      </c>
      <c r="H45" s="15" t="s">
        <v>420</v>
      </c>
    </row>
    <row r="46" customFormat="false" ht="15" hidden="false" customHeight="true" outlineLevel="0" collapsed="false">
      <c r="A46" s="5" t="s">
        <v>497</v>
      </c>
      <c r="B46" s="6" t="s">
        <v>498</v>
      </c>
      <c r="C46" s="5" t="s">
        <v>91</v>
      </c>
      <c r="D46" s="6"/>
      <c r="E46" s="14" t="n">
        <v>8</v>
      </c>
      <c r="F46" s="14" t="n">
        <v>16</v>
      </c>
      <c r="G46" s="24" t="n">
        <f aca="false">E46/F46</f>
        <v>0.5</v>
      </c>
      <c r="H46" s="15" t="s">
        <v>420</v>
      </c>
    </row>
    <row r="47" customFormat="false" ht="15" hidden="false" customHeight="true" outlineLevel="0" collapsed="false">
      <c r="A47" s="5" t="s">
        <v>423</v>
      </c>
      <c r="B47" s="6" t="s">
        <v>424</v>
      </c>
      <c r="C47" s="5" t="s">
        <v>91</v>
      </c>
      <c r="D47" s="6"/>
      <c r="E47" s="14" t="n">
        <v>3</v>
      </c>
      <c r="F47" s="14" t="n">
        <v>16</v>
      </c>
      <c r="G47" s="24" t="n">
        <f aca="false">E47/F47</f>
        <v>0.1875</v>
      </c>
      <c r="H47" s="15" t="s">
        <v>420</v>
      </c>
    </row>
    <row r="48" customFormat="false" ht="24" hidden="false" customHeight="true" outlineLevel="0" collapsed="false">
      <c r="A48" s="5" t="s">
        <v>425</v>
      </c>
      <c r="B48" s="6" t="s">
        <v>426</v>
      </c>
      <c r="C48" s="5" t="s">
        <v>91</v>
      </c>
      <c r="D48" s="6"/>
      <c r="E48" s="14" t="n">
        <v>1</v>
      </c>
      <c r="F48" s="14" t="n">
        <v>3</v>
      </c>
      <c r="G48" s="24" t="n">
        <f aca="false">E48/F48</f>
        <v>0.333333333333333</v>
      </c>
      <c r="H48" s="15" t="s">
        <v>420</v>
      </c>
    </row>
    <row r="49" customFormat="false" ht="15" hidden="false" customHeight="true" outlineLevel="0" collapsed="false">
      <c r="A49" s="5" t="s">
        <v>421</v>
      </c>
      <c r="B49" s="6" t="s">
        <v>422</v>
      </c>
      <c r="C49" s="5" t="s">
        <v>91</v>
      </c>
      <c r="D49" s="6"/>
      <c r="E49" s="14" t="n">
        <v>1</v>
      </c>
      <c r="F49" s="14" t="n">
        <v>4</v>
      </c>
      <c r="G49" s="24" t="n">
        <f aca="false">E49/F49</f>
        <v>0.25</v>
      </c>
      <c r="H49" s="15" t="s">
        <v>420</v>
      </c>
    </row>
    <row r="50" customFormat="false" ht="24" hidden="false" customHeight="true" outlineLevel="0" collapsed="false">
      <c r="A50" s="5" t="s">
        <v>455</v>
      </c>
      <c r="B50" s="6" t="s">
        <v>456</v>
      </c>
      <c r="C50" s="5" t="s">
        <v>91</v>
      </c>
      <c r="D50" s="6"/>
      <c r="E50" s="14" t="n">
        <v>1</v>
      </c>
      <c r="F50" s="14" t="n">
        <v>3</v>
      </c>
      <c r="G50" s="24" t="n">
        <f aca="false">E50/F50</f>
        <v>0.333333333333333</v>
      </c>
      <c r="H50" s="15" t="s">
        <v>420</v>
      </c>
    </row>
    <row r="51" customFormat="false" ht="15" hidden="false" customHeight="false" outlineLevel="0" collapsed="false">
      <c r="A51" s="17"/>
      <c r="B51" s="18" t="s">
        <v>427</v>
      </c>
      <c r="C51" s="17"/>
      <c r="D51" s="17"/>
      <c r="E51" s="17"/>
      <c r="F51" s="17"/>
      <c r="G51" s="32" t="n">
        <f aca="false">SUM(G43:G50)</f>
        <v>3.57916666666667</v>
      </c>
      <c r="H51" s="17"/>
    </row>
    <row r="52" customFormat="false" ht="15" hidden="false" customHeight="false" outlineLevel="0" collapsed="false">
      <c r="A52" s="17"/>
      <c r="B52" s="18" t="s">
        <v>428</v>
      </c>
      <c r="C52" s="17"/>
      <c r="D52" s="17"/>
      <c r="E52" s="17"/>
      <c r="F52" s="17"/>
      <c r="G52" s="26" t="n">
        <f aca="false">ROUND(1/G51,4)</f>
        <v>0.2794</v>
      </c>
      <c r="H52" s="17"/>
    </row>
    <row r="54" customFormat="false" ht="15.75" hidden="false" customHeight="true" outlineLevel="0" collapsed="false">
      <c r="A54" s="33" t="s">
        <v>429</v>
      </c>
      <c r="B54" s="33"/>
      <c r="C54" s="33"/>
      <c r="D54" s="33"/>
      <c r="E54" s="33"/>
      <c r="F54" s="33"/>
      <c r="G54" s="33"/>
      <c r="H54" s="33"/>
    </row>
    <row r="55" customFormat="false" ht="15" hidden="false" customHeight="true" outlineLevel="0" collapsed="false">
      <c r="A55" s="3" t="s">
        <v>499</v>
      </c>
      <c r="B55" s="3"/>
      <c r="C55" s="3"/>
      <c r="D55" s="3"/>
      <c r="E55" s="3"/>
      <c r="F55" s="3"/>
      <c r="G55" s="3"/>
      <c r="H55" s="3"/>
    </row>
    <row r="56" customFormat="false" ht="15" hidden="false" customHeight="true" outlineLevel="0" collapsed="false">
      <c r="A56" s="3" t="s">
        <v>500</v>
      </c>
      <c r="B56" s="3"/>
      <c r="C56" s="3"/>
      <c r="D56" s="3"/>
      <c r="E56" s="3"/>
      <c r="F56" s="3"/>
      <c r="G56" s="3"/>
      <c r="H56" s="3"/>
    </row>
  </sheetData>
  <mergeCells count="12">
    <mergeCell ref="A1:H1"/>
    <mergeCell ref="A2:H2"/>
    <mergeCell ref="B3:H3"/>
    <mergeCell ref="D5:F5"/>
    <mergeCell ref="A8:H8"/>
    <mergeCell ref="A12:H12"/>
    <mergeCell ref="A35:H35"/>
    <mergeCell ref="A39:F39"/>
    <mergeCell ref="A41:H41"/>
    <mergeCell ref="A54:H54"/>
    <mergeCell ref="A55:H55"/>
    <mergeCell ref="A56:H56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24" hidden="false" customHeight="true" outlineLevel="0" collapsed="false">
      <c r="A1" s="1" t="s">
        <v>367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2" t="s">
        <v>1</v>
      </c>
      <c r="B2" s="12"/>
      <c r="C2" s="12"/>
      <c r="D2" s="12"/>
      <c r="E2" s="12"/>
      <c r="F2" s="12"/>
      <c r="G2" s="12"/>
      <c r="H2" s="12"/>
    </row>
    <row r="3" customFormat="false" ht="30" hidden="false" customHeight="true" outlineLevel="0" collapsed="false">
      <c r="A3" s="18" t="s">
        <v>368</v>
      </c>
      <c r="B3" s="11" t="s">
        <v>501</v>
      </c>
      <c r="C3" s="11"/>
      <c r="D3" s="11"/>
      <c r="E3" s="11"/>
      <c r="F3" s="11"/>
      <c r="G3" s="11"/>
      <c r="H3" s="11"/>
    </row>
    <row r="4" customFormat="false" ht="30" hidden="false" customHeight="true" outlineLevel="0" collapsed="false">
      <c r="A4" s="18" t="s">
        <v>370</v>
      </c>
      <c r="B4" s="25" t="n">
        <f aca="false">G42</f>
        <v>0.3956</v>
      </c>
      <c r="C4" s="13" t="s">
        <v>371</v>
      </c>
      <c r="D4" s="26" t="n">
        <f aca="false">SUM(E9:E10)</f>
        <v>30.3336</v>
      </c>
      <c r="E4" s="13" t="s">
        <v>372</v>
      </c>
      <c r="F4" s="26" t="n">
        <f aca="false">SUMIF(C29:C30,"hm",E29:E30)</f>
        <v>0.5</v>
      </c>
      <c r="G4" s="13" t="s">
        <v>373</v>
      </c>
      <c r="H4" s="27" t="n">
        <f aca="false">G32</f>
        <v>1418.12</v>
      </c>
    </row>
    <row r="5" customFormat="false" ht="15" hidden="false" customHeight="true" outlineLevel="0" collapsed="false">
      <c r="A5" s="18" t="s">
        <v>374</v>
      </c>
      <c r="B5" s="6" t="s">
        <v>375</v>
      </c>
      <c r="C5" s="13" t="s">
        <v>376</v>
      </c>
      <c r="D5" s="28" t="s">
        <v>377</v>
      </c>
      <c r="E5" s="28"/>
      <c r="F5" s="28"/>
      <c r="G5" s="13" t="s">
        <v>378</v>
      </c>
      <c r="H5" s="6" t="s">
        <v>379</v>
      </c>
    </row>
    <row r="7" customFormat="false" ht="15" hidden="false" customHeight="false" outlineLevel="0" collapsed="false">
      <c r="A7" s="4" t="s">
        <v>58</v>
      </c>
      <c r="B7" s="4" t="s">
        <v>380</v>
      </c>
      <c r="C7" s="4" t="s">
        <v>5</v>
      </c>
      <c r="D7" s="4" t="s">
        <v>381</v>
      </c>
      <c r="E7" s="4" t="s">
        <v>382</v>
      </c>
      <c r="F7" s="4" t="s">
        <v>383</v>
      </c>
      <c r="G7" s="4" t="s">
        <v>384</v>
      </c>
      <c r="H7" s="4" t="s">
        <v>41</v>
      </c>
    </row>
    <row r="8" customFormat="false" ht="15.75" hidden="false" customHeight="true" outlineLevel="0" collapsed="false">
      <c r="A8" s="11" t="s">
        <v>385</v>
      </c>
      <c r="B8" s="11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5" t="s">
        <v>386</v>
      </c>
      <c r="B9" s="6" t="s">
        <v>387</v>
      </c>
      <c r="C9" s="5" t="s">
        <v>388</v>
      </c>
      <c r="D9" s="14" t="n">
        <v>1</v>
      </c>
      <c r="E9" s="29" t="n">
        <f aca="false">ROUND(D9*8/$B$4,4)</f>
        <v>20.2224</v>
      </c>
      <c r="F9" s="16" t="n">
        <f aca="false">'MANO DE OBRA 2026'!$C$16</f>
        <v>28.95</v>
      </c>
      <c r="G9" s="8" t="n">
        <f aca="false">ROUND(E9*F9,2)</f>
        <v>585.44</v>
      </c>
      <c r="H9" s="15" t="s">
        <v>389</v>
      </c>
    </row>
    <row r="10" customFormat="false" ht="15" hidden="false" customHeight="false" outlineLevel="0" collapsed="false">
      <c r="A10" s="5" t="s">
        <v>390</v>
      </c>
      <c r="B10" s="6" t="s">
        <v>391</v>
      </c>
      <c r="C10" s="5" t="s">
        <v>388</v>
      </c>
      <c r="D10" s="14" t="n">
        <v>0.5</v>
      </c>
      <c r="E10" s="29" t="n">
        <f aca="false">ROUND(D10*8/$B$4,4)</f>
        <v>10.1112</v>
      </c>
      <c r="F10" s="16" t="n">
        <f aca="false">'MANO DE OBRA 2026'!$E$16</f>
        <v>20.54</v>
      </c>
      <c r="G10" s="8" t="n">
        <f aca="false">ROUND(E10*F10,2)</f>
        <v>207.68</v>
      </c>
      <c r="H10" s="15" t="s">
        <v>389</v>
      </c>
    </row>
    <row r="11" customFormat="false" ht="15" hidden="false" customHeight="false" outlineLevel="0" collapsed="false">
      <c r="A11" s="17"/>
      <c r="B11" s="18" t="s">
        <v>392</v>
      </c>
      <c r="C11" s="17"/>
      <c r="D11" s="17"/>
      <c r="E11" s="17"/>
      <c r="F11" s="17"/>
      <c r="G11" s="23" t="n">
        <f aca="false">SUM(G9:G10)</f>
        <v>793.12</v>
      </c>
      <c r="H11" s="17"/>
    </row>
    <row r="12" customFormat="false" ht="15.75" hidden="false" customHeight="true" outlineLevel="0" collapsed="false">
      <c r="A12" s="11" t="s">
        <v>393</v>
      </c>
      <c r="B12" s="11"/>
      <c r="C12" s="11"/>
      <c r="D12" s="11"/>
      <c r="E12" s="11"/>
      <c r="F12" s="11"/>
      <c r="G12" s="11"/>
      <c r="H12" s="11"/>
    </row>
    <row r="13" customFormat="false" ht="24" hidden="false" customHeight="true" outlineLevel="0" collapsed="false">
      <c r="A13" s="5" t="s">
        <v>359</v>
      </c>
      <c r="B13" s="6" t="s">
        <v>360</v>
      </c>
      <c r="C13" s="5" t="s">
        <v>91</v>
      </c>
      <c r="D13" s="6"/>
      <c r="E13" s="30" t="n">
        <v>1</v>
      </c>
      <c r="F13" s="8" t="n">
        <f aca="false">'PRECIOS DE INSUMOS'!$H$66</f>
        <v>14.23</v>
      </c>
      <c r="G13" s="8" t="n">
        <f aca="false">ROUND(E13*F13,2)</f>
        <v>14.23</v>
      </c>
      <c r="H13" s="15" t="s">
        <v>502</v>
      </c>
    </row>
    <row r="14" customFormat="false" ht="15" hidden="false" customHeight="true" outlineLevel="0" collapsed="false">
      <c r="A14" s="5" t="s">
        <v>137</v>
      </c>
      <c r="B14" s="6" t="s">
        <v>503</v>
      </c>
      <c r="C14" s="5" t="s">
        <v>91</v>
      </c>
      <c r="D14" s="6"/>
      <c r="E14" s="30" t="n">
        <v>1</v>
      </c>
      <c r="F14" s="8" t="n">
        <f aca="false">'PRECIOS DE INSUMOS'!$H$20</f>
        <v>8.64</v>
      </c>
      <c r="G14" s="8" t="n">
        <f aca="false">ROUND(E14*F14,2)</f>
        <v>8.64</v>
      </c>
      <c r="H14" s="15" t="s">
        <v>504</v>
      </c>
    </row>
    <row r="15" customFormat="false" ht="15" hidden="false" customHeight="true" outlineLevel="0" collapsed="false">
      <c r="A15" s="5" t="s">
        <v>99</v>
      </c>
      <c r="B15" s="6" t="s">
        <v>505</v>
      </c>
      <c r="C15" s="5" t="s">
        <v>91</v>
      </c>
      <c r="D15" s="6"/>
      <c r="E15" s="30" t="n">
        <v>1</v>
      </c>
      <c r="F15" s="8" t="n">
        <f aca="false">'PRECIOS DE INSUMOS'!$H$12</f>
        <v>13.47</v>
      </c>
      <c r="G15" s="8" t="n">
        <f aca="false">ROUND(E15*F15,2)</f>
        <v>13.47</v>
      </c>
      <c r="H15" s="15" t="s">
        <v>506</v>
      </c>
    </row>
    <row r="16" customFormat="false" ht="24" hidden="false" customHeight="true" outlineLevel="0" collapsed="false">
      <c r="A16" s="5" t="s">
        <v>83</v>
      </c>
      <c r="B16" s="6" t="s">
        <v>507</v>
      </c>
      <c r="C16" s="5" t="s">
        <v>71</v>
      </c>
      <c r="D16" s="6"/>
      <c r="E16" s="29" t="n">
        <f aca="false">(17)*1.05</f>
        <v>17.85</v>
      </c>
      <c r="F16" s="8" t="n">
        <f aca="false">'PRECIOS DE INSUMOS'!$H$9</f>
        <v>11.17</v>
      </c>
      <c r="G16" s="8" t="n">
        <f aca="false">ROUND(E16*F16,2)</f>
        <v>199.38</v>
      </c>
      <c r="H16" s="15" t="s">
        <v>508</v>
      </c>
    </row>
    <row r="17" customFormat="false" ht="15" hidden="false" customHeight="true" outlineLevel="0" collapsed="false">
      <c r="A17" s="5" t="s">
        <v>127</v>
      </c>
      <c r="B17" s="6" t="s">
        <v>509</v>
      </c>
      <c r="C17" s="5" t="s">
        <v>91</v>
      </c>
      <c r="D17" s="6"/>
      <c r="E17" s="30" t="n">
        <v>2</v>
      </c>
      <c r="F17" s="8" t="n">
        <f aca="false">'PRECIOS DE INSUMOS'!$H$18</f>
        <v>9.24</v>
      </c>
      <c r="G17" s="8" t="n">
        <f aca="false">ROUND(E17*F17,2)</f>
        <v>18.48</v>
      </c>
      <c r="H17" s="15" t="s">
        <v>510</v>
      </c>
    </row>
    <row r="18" customFormat="false" ht="15" hidden="false" customHeight="true" outlineLevel="0" collapsed="false">
      <c r="A18" s="5" t="s">
        <v>122</v>
      </c>
      <c r="B18" s="6" t="s">
        <v>511</v>
      </c>
      <c r="C18" s="5" t="s">
        <v>91</v>
      </c>
      <c r="D18" s="6"/>
      <c r="E18" s="30" t="n">
        <v>2</v>
      </c>
      <c r="F18" s="8" t="n">
        <f aca="false">'PRECIOS DE INSUMOS'!$H$17</f>
        <v>42.29</v>
      </c>
      <c r="G18" s="8" t="n">
        <f aca="false">ROUND(E18*F18,2)</f>
        <v>84.58</v>
      </c>
      <c r="H18" s="15" t="s">
        <v>512</v>
      </c>
    </row>
    <row r="19" customFormat="false" ht="15" hidden="false" customHeight="true" outlineLevel="0" collapsed="false">
      <c r="A19" s="5" t="s">
        <v>150</v>
      </c>
      <c r="B19" s="6" t="s">
        <v>513</v>
      </c>
      <c r="C19" s="5" t="s">
        <v>91</v>
      </c>
      <c r="D19" s="6"/>
      <c r="E19" s="30" t="n">
        <v>2</v>
      </c>
      <c r="F19" s="8" t="n">
        <f aca="false">'PRECIOS DE INSUMOS'!$H$23</f>
        <v>2.41</v>
      </c>
      <c r="G19" s="8" t="n">
        <f aca="false">ROUND(E19*F19,2)</f>
        <v>4.82</v>
      </c>
      <c r="H19" s="15" t="s">
        <v>514</v>
      </c>
    </row>
    <row r="20" customFormat="false" ht="15" hidden="false" customHeight="true" outlineLevel="0" collapsed="false">
      <c r="A20" s="5" t="s">
        <v>177</v>
      </c>
      <c r="B20" s="6" t="s">
        <v>515</v>
      </c>
      <c r="C20" s="5" t="s">
        <v>91</v>
      </c>
      <c r="D20" s="6"/>
      <c r="E20" s="30" t="n">
        <v>1</v>
      </c>
      <c r="F20" s="8" t="n">
        <f aca="false">'PRECIOS DE INSUMOS'!$H$29</f>
        <v>67.8</v>
      </c>
      <c r="G20" s="8" t="n">
        <f aca="false">ROUND(E20*F20,2)</f>
        <v>67.8</v>
      </c>
      <c r="H20" s="15" t="s">
        <v>516</v>
      </c>
    </row>
    <row r="21" customFormat="false" ht="15" hidden="false" customHeight="true" outlineLevel="0" collapsed="false">
      <c r="A21" s="5" t="s">
        <v>237</v>
      </c>
      <c r="B21" s="6" t="s">
        <v>517</v>
      </c>
      <c r="C21" s="5" t="s">
        <v>91</v>
      </c>
      <c r="D21" s="6"/>
      <c r="E21" s="30" t="n">
        <v>7</v>
      </c>
      <c r="F21" s="8" t="n">
        <f aca="false">'PRECIOS DE INSUMOS'!$H$42</f>
        <v>1.36</v>
      </c>
      <c r="G21" s="8" t="n">
        <f aca="false">ROUND(E21*F21,2)</f>
        <v>9.52</v>
      </c>
      <c r="H21" s="15" t="s">
        <v>518</v>
      </c>
    </row>
    <row r="22" customFormat="false" ht="15" hidden="false" customHeight="true" outlineLevel="0" collapsed="false">
      <c r="A22" s="5" t="s">
        <v>114</v>
      </c>
      <c r="B22" s="6" t="s">
        <v>519</v>
      </c>
      <c r="C22" s="5" t="s">
        <v>91</v>
      </c>
      <c r="D22" s="6"/>
      <c r="E22" s="30" t="n">
        <v>1</v>
      </c>
      <c r="F22" s="8" t="n">
        <f aca="false">'PRECIOS DE INSUMOS'!$H$15</f>
        <v>19.41</v>
      </c>
      <c r="G22" s="8" t="n">
        <f aca="false">ROUND(E22*F22,2)</f>
        <v>19.41</v>
      </c>
      <c r="H22" s="15" t="s">
        <v>520</v>
      </c>
    </row>
    <row r="23" customFormat="false" ht="15" hidden="false" customHeight="true" outlineLevel="0" collapsed="false">
      <c r="A23" s="5" t="s">
        <v>104</v>
      </c>
      <c r="B23" s="6" t="s">
        <v>521</v>
      </c>
      <c r="C23" s="5" t="s">
        <v>91</v>
      </c>
      <c r="D23" s="6"/>
      <c r="E23" s="30" t="n">
        <v>2</v>
      </c>
      <c r="F23" s="8" t="n">
        <f aca="false">'PRECIOS DE INSUMOS'!$H$13</f>
        <v>9.15</v>
      </c>
      <c r="G23" s="8" t="n">
        <f aca="false">ROUND(E23*F23,2)</f>
        <v>18.3</v>
      </c>
      <c r="H23" s="15" t="s">
        <v>522</v>
      </c>
    </row>
    <row r="24" customFormat="false" ht="24" hidden="false" customHeight="true" outlineLevel="0" collapsed="false">
      <c r="A24" s="5" t="s">
        <v>265</v>
      </c>
      <c r="B24" s="6" t="s">
        <v>266</v>
      </c>
      <c r="C24" s="5" t="s">
        <v>267</v>
      </c>
      <c r="D24" s="6"/>
      <c r="E24" s="30" t="n">
        <v>0.1078</v>
      </c>
      <c r="F24" s="8" t="n">
        <f aca="false">'PRECIOS DE INSUMOS'!$H$47</f>
        <v>209.83</v>
      </c>
      <c r="G24" s="8" t="n">
        <f aca="false">ROUND(E24*F24,2)</f>
        <v>22.62</v>
      </c>
      <c r="H24" s="15" t="s">
        <v>492</v>
      </c>
    </row>
    <row r="25" customFormat="false" ht="24" hidden="false" customHeight="true" outlineLevel="0" collapsed="false">
      <c r="A25" s="5" t="s">
        <v>271</v>
      </c>
      <c r="B25" s="6" t="s">
        <v>272</v>
      </c>
      <c r="C25" s="5" t="s">
        <v>91</v>
      </c>
      <c r="D25" s="6"/>
      <c r="E25" s="30" t="n">
        <v>1.88</v>
      </c>
      <c r="F25" s="8" t="n">
        <f aca="false">'PRECIOS DE INSUMOS'!$H$48</f>
        <v>2.46</v>
      </c>
      <c r="G25" s="8" t="n">
        <f aca="false">ROUND(E25*F25,2)</f>
        <v>4.62</v>
      </c>
      <c r="H25" s="15" t="s">
        <v>523</v>
      </c>
    </row>
    <row r="26" customFormat="false" ht="15" hidden="false" customHeight="true" outlineLevel="0" collapsed="false">
      <c r="A26" s="5" t="s">
        <v>241</v>
      </c>
      <c r="B26" s="6" t="s">
        <v>242</v>
      </c>
      <c r="C26" s="5" t="s">
        <v>91</v>
      </c>
      <c r="D26" s="6"/>
      <c r="E26" s="30" t="n">
        <v>14</v>
      </c>
      <c r="F26" s="8" t="n">
        <f aca="false">'PRECIOS DE INSUMOS'!$H$43</f>
        <v>8.03</v>
      </c>
      <c r="G26" s="8" t="n">
        <f aca="false">ROUND(E26*F26,2)</f>
        <v>112.42</v>
      </c>
      <c r="H26" s="15" t="s">
        <v>494</v>
      </c>
    </row>
    <row r="27" customFormat="false" ht="15" hidden="false" customHeight="false" outlineLevel="0" collapsed="false">
      <c r="A27" s="17"/>
      <c r="B27" s="18" t="s">
        <v>403</v>
      </c>
      <c r="C27" s="17"/>
      <c r="D27" s="17"/>
      <c r="E27" s="17"/>
      <c r="F27" s="17"/>
      <c r="G27" s="23" t="n">
        <f aca="false">SUM(G13:G26)</f>
        <v>598.29</v>
      </c>
      <c r="H27" s="17"/>
    </row>
    <row r="28" customFormat="false" ht="15.75" hidden="false" customHeight="true" outlineLevel="0" collapsed="false">
      <c r="A28" s="11" t="s">
        <v>404</v>
      </c>
      <c r="B28" s="11"/>
      <c r="C28" s="11"/>
      <c r="D28" s="11"/>
      <c r="E28" s="11"/>
      <c r="F28" s="11"/>
      <c r="G28" s="11"/>
      <c r="H28" s="11"/>
    </row>
    <row r="29" customFormat="false" ht="24" hidden="false" customHeight="true" outlineLevel="0" collapsed="false">
      <c r="A29" s="5" t="s">
        <v>405</v>
      </c>
      <c r="B29" s="6" t="s">
        <v>406</v>
      </c>
      <c r="C29" s="5" t="s">
        <v>407</v>
      </c>
      <c r="D29" s="6"/>
      <c r="E29" s="14" t="n">
        <v>3</v>
      </c>
      <c r="F29" s="8" t="n">
        <f aca="false">G11</f>
        <v>793.12</v>
      </c>
      <c r="G29" s="8" t="n">
        <f aca="false">ROUND(E29/100*F29,2)</f>
        <v>23.79</v>
      </c>
      <c r="H29" s="15" t="s">
        <v>408</v>
      </c>
    </row>
    <row r="30" customFormat="false" ht="24" hidden="false" customHeight="true" outlineLevel="0" collapsed="false">
      <c r="A30" s="5" t="s">
        <v>281</v>
      </c>
      <c r="B30" s="6" t="s">
        <v>282</v>
      </c>
      <c r="C30" s="5" t="s">
        <v>283</v>
      </c>
      <c r="D30" s="6"/>
      <c r="E30" s="30" t="n">
        <v>0.5</v>
      </c>
      <c r="F30" s="8" t="n">
        <f aca="false">'PRECIOS DE INSUMOS'!$H$50</f>
        <v>5.83</v>
      </c>
      <c r="G30" s="8" t="n">
        <f aca="false">ROUND(E30*F30,2)</f>
        <v>2.92</v>
      </c>
      <c r="H30" s="15" t="s">
        <v>409</v>
      </c>
    </row>
    <row r="31" customFormat="false" ht="15" hidden="false" customHeight="false" outlineLevel="0" collapsed="false">
      <c r="A31" s="17"/>
      <c r="B31" s="18" t="s">
        <v>410</v>
      </c>
      <c r="C31" s="17"/>
      <c r="D31" s="17"/>
      <c r="E31" s="17"/>
      <c r="F31" s="17"/>
      <c r="G31" s="23" t="n">
        <f aca="false">SUM(G29:G30)</f>
        <v>26.71</v>
      </c>
      <c r="H31" s="17"/>
    </row>
    <row r="32" customFormat="false" ht="19.5" hidden="false" customHeight="true" outlineLevel="0" collapsed="false">
      <c r="A32" s="9" t="s">
        <v>411</v>
      </c>
      <c r="B32" s="9"/>
      <c r="C32" s="9"/>
      <c r="D32" s="9"/>
      <c r="E32" s="9"/>
      <c r="F32" s="9"/>
      <c r="G32" s="10" t="n">
        <f aca="false">G11+G27+G31</f>
        <v>1418.12</v>
      </c>
      <c r="H32" s="31"/>
    </row>
    <row r="34" customFormat="false" ht="15.75" hidden="false" customHeight="true" outlineLevel="0" collapsed="false">
      <c r="A34" s="11" t="s">
        <v>412</v>
      </c>
      <c r="B34" s="11"/>
      <c r="C34" s="11"/>
      <c r="D34" s="11"/>
      <c r="E34" s="11"/>
      <c r="F34" s="11"/>
      <c r="G34" s="11"/>
      <c r="H34" s="11"/>
    </row>
    <row r="35" customFormat="false" ht="15" hidden="false" customHeight="false" outlineLevel="0" collapsed="false">
      <c r="A35" s="13" t="s">
        <v>413</v>
      </c>
      <c r="B35" s="13" t="s">
        <v>414</v>
      </c>
      <c r="C35" s="13" t="s">
        <v>5</v>
      </c>
      <c r="D35" s="13"/>
      <c r="E35" s="13" t="s">
        <v>382</v>
      </c>
      <c r="F35" s="13" t="s">
        <v>415</v>
      </c>
      <c r="G35" s="13" t="s">
        <v>416</v>
      </c>
      <c r="H35" s="13" t="s">
        <v>417</v>
      </c>
    </row>
    <row r="36" customFormat="false" ht="24" hidden="false" customHeight="true" outlineLevel="0" collapsed="false">
      <c r="A36" s="5" t="s">
        <v>425</v>
      </c>
      <c r="B36" s="6" t="s">
        <v>426</v>
      </c>
      <c r="C36" s="5" t="s">
        <v>91</v>
      </c>
      <c r="D36" s="6"/>
      <c r="E36" s="14" t="n">
        <v>1</v>
      </c>
      <c r="F36" s="14" t="n">
        <v>3</v>
      </c>
      <c r="G36" s="24" t="n">
        <f aca="false">E36/F36</f>
        <v>0.333333333333333</v>
      </c>
      <c r="H36" s="15" t="s">
        <v>420</v>
      </c>
    </row>
    <row r="37" customFormat="false" ht="15" hidden="false" customHeight="true" outlineLevel="0" collapsed="false">
      <c r="A37" s="5" t="s">
        <v>524</v>
      </c>
      <c r="B37" s="6" t="s">
        <v>525</v>
      </c>
      <c r="C37" s="5" t="s">
        <v>91</v>
      </c>
      <c r="D37" s="6"/>
      <c r="E37" s="14" t="n">
        <v>11</v>
      </c>
      <c r="F37" s="14" t="n">
        <v>16</v>
      </c>
      <c r="G37" s="24" t="n">
        <f aca="false">E37/F37</f>
        <v>0.6875</v>
      </c>
      <c r="H37" s="15" t="s">
        <v>420</v>
      </c>
    </row>
    <row r="38" customFormat="false" ht="15" hidden="false" customHeight="true" outlineLevel="0" collapsed="false">
      <c r="A38" s="5" t="s">
        <v>526</v>
      </c>
      <c r="B38" s="6" t="s">
        <v>527</v>
      </c>
      <c r="C38" s="5" t="s">
        <v>71</v>
      </c>
      <c r="D38" s="6"/>
      <c r="E38" s="14" t="n">
        <v>17</v>
      </c>
      <c r="F38" s="14" t="n">
        <v>18</v>
      </c>
      <c r="G38" s="24" t="n">
        <f aca="false">E38/F38</f>
        <v>0.944444444444444</v>
      </c>
      <c r="H38" s="15" t="s">
        <v>420</v>
      </c>
    </row>
    <row r="39" customFormat="false" ht="15" hidden="false" customHeight="true" outlineLevel="0" collapsed="false">
      <c r="A39" s="5" t="s">
        <v>495</v>
      </c>
      <c r="B39" s="6" t="s">
        <v>496</v>
      </c>
      <c r="C39" s="5" t="s">
        <v>91</v>
      </c>
      <c r="D39" s="6"/>
      <c r="E39" s="14" t="n">
        <v>1</v>
      </c>
      <c r="F39" s="14" t="n">
        <v>8</v>
      </c>
      <c r="G39" s="24" t="n">
        <f aca="false">E39/F39</f>
        <v>0.125</v>
      </c>
      <c r="H39" s="15" t="s">
        <v>420</v>
      </c>
    </row>
    <row r="40" customFormat="false" ht="15" hidden="false" customHeight="true" outlineLevel="0" collapsed="false">
      <c r="A40" s="5" t="s">
        <v>497</v>
      </c>
      <c r="B40" s="6" t="s">
        <v>498</v>
      </c>
      <c r="C40" s="5" t="s">
        <v>91</v>
      </c>
      <c r="D40" s="6"/>
      <c r="E40" s="14" t="n">
        <v>7</v>
      </c>
      <c r="F40" s="14" t="n">
        <v>16</v>
      </c>
      <c r="G40" s="24" t="n">
        <f aca="false">E40/F40</f>
        <v>0.4375</v>
      </c>
      <c r="H40" s="15" t="s">
        <v>420</v>
      </c>
    </row>
    <row r="41" customFormat="false" ht="15" hidden="false" customHeight="false" outlineLevel="0" collapsed="false">
      <c r="A41" s="17"/>
      <c r="B41" s="18" t="s">
        <v>427</v>
      </c>
      <c r="C41" s="17"/>
      <c r="D41" s="17"/>
      <c r="E41" s="17"/>
      <c r="F41" s="17"/>
      <c r="G41" s="32" t="n">
        <f aca="false">SUM(G36:G40)</f>
        <v>2.52777777777778</v>
      </c>
      <c r="H41" s="17"/>
    </row>
    <row r="42" customFormat="false" ht="15" hidden="false" customHeight="false" outlineLevel="0" collapsed="false">
      <c r="A42" s="17"/>
      <c r="B42" s="18" t="s">
        <v>428</v>
      </c>
      <c r="C42" s="17"/>
      <c r="D42" s="17"/>
      <c r="E42" s="17"/>
      <c r="F42" s="17"/>
      <c r="G42" s="26" t="n">
        <f aca="false">ROUND(1/G41,4)</f>
        <v>0.3956</v>
      </c>
      <c r="H42" s="17"/>
    </row>
    <row r="44" customFormat="false" ht="15.75" hidden="false" customHeight="true" outlineLevel="0" collapsed="false">
      <c r="A44" s="33" t="s">
        <v>429</v>
      </c>
      <c r="B44" s="33"/>
      <c r="C44" s="33"/>
      <c r="D44" s="33"/>
      <c r="E44" s="33"/>
      <c r="F44" s="33"/>
      <c r="G44" s="33"/>
      <c r="H44" s="33"/>
    </row>
    <row r="45" customFormat="false" ht="25.5" hidden="false" customHeight="true" outlineLevel="0" collapsed="false">
      <c r="A45" s="3" t="s">
        <v>528</v>
      </c>
      <c r="B45" s="3"/>
      <c r="C45" s="3"/>
      <c r="D45" s="3"/>
      <c r="E45" s="3"/>
      <c r="F45" s="3"/>
      <c r="G45" s="3"/>
      <c r="H45" s="3"/>
    </row>
  </sheetData>
  <mergeCells count="11">
    <mergeCell ref="A1:H1"/>
    <mergeCell ref="A2:H2"/>
    <mergeCell ref="B3:H3"/>
    <mergeCell ref="D5:F5"/>
    <mergeCell ref="A8:H8"/>
    <mergeCell ref="A12:H12"/>
    <mergeCell ref="A28:H28"/>
    <mergeCell ref="A32:F32"/>
    <mergeCell ref="A34:H34"/>
    <mergeCell ref="A44:H44"/>
    <mergeCell ref="A45:H45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24" hidden="false" customHeight="true" outlineLevel="0" collapsed="false">
      <c r="A1" s="1" t="s">
        <v>367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2" t="s">
        <v>1</v>
      </c>
      <c r="B2" s="12"/>
      <c r="C2" s="12"/>
      <c r="D2" s="12"/>
      <c r="E2" s="12"/>
      <c r="F2" s="12"/>
      <c r="G2" s="12"/>
      <c r="H2" s="12"/>
    </row>
    <row r="3" customFormat="false" ht="30" hidden="false" customHeight="true" outlineLevel="0" collapsed="false">
      <c r="A3" s="18" t="s">
        <v>368</v>
      </c>
      <c r="B3" s="11" t="s">
        <v>529</v>
      </c>
      <c r="C3" s="11"/>
      <c r="D3" s="11"/>
      <c r="E3" s="11"/>
      <c r="F3" s="11"/>
      <c r="G3" s="11"/>
      <c r="H3" s="11"/>
    </row>
    <row r="4" customFormat="false" ht="30" hidden="false" customHeight="true" outlineLevel="0" collapsed="false">
      <c r="A4" s="18" t="s">
        <v>370</v>
      </c>
      <c r="B4" s="25" t="n">
        <f aca="false">G49</f>
        <v>0.2042</v>
      </c>
      <c r="C4" s="13" t="s">
        <v>371</v>
      </c>
      <c r="D4" s="26" t="n">
        <f aca="false">SUM(E9:E10)</f>
        <v>58.7659</v>
      </c>
      <c r="E4" s="13" t="s">
        <v>372</v>
      </c>
      <c r="F4" s="26" t="n">
        <f aca="false">SUMIF(C33:C34,"hm",E33:E34)</f>
        <v>1</v>
      </c>
      <c r="G4" s="13" t="s">
        <v>373</v>
      </c>
      <c r="H4" s="27" t="n">
        <f aca="false">G36</f>
        <v>2561.98</v>
      </c>
    </row>
    <row r="5" customFormat="false" ht="15" hidden="false" customHeight="true" outlineLevel="0" collapsed="false">
      <c r="A5" s="18" t="s">
        <v>374</v>
      </c>
      <c r="B5" s="6" t="s">
        <v>375</v>
      </c>
      <c r="C5" s="13" t="s">
        <v>376</v>
      </c>
      <c r="D5" s="28" t="s">
        <v>377</v>
      </c>
      <c r="E5" s="28"/>
      <c r="F5" s="28"/>
      <c r="G5" s="13" t="s">
        <v>378</v>
      </c>
      <c r="H5" s="6" t="s">
        <v>379</v>
      </c>
    </row>
    <row r="7" customFormat="false" ht="15" hidden="false" customHeight="false" outlineLevel="0" collapsed="false">
      <c r="A7" s="4" t="s">
        <v>58</v>
      </c>
      <c r="B7" s="4" t="s">
        <v>380</v>
      </c>
      <c r="C7" s="4" t="s">
        <v>5</v>
      </c>
      <c r="D7" s="4" t="s">
        <v>381</v>
      </c>
      <c r="E7" s="4" t="s">
        <v>382</v>
      </c>
      <c r="F7" s="4" t="s">
        <v>383</v>
      </c>
      <c r="G7" s="4" t="s">
        <v>384</v>
      </c>
      <c r="H7" s="4" t="s">
        <v>41</v>
      </c>
    </row>
    <row r="8" customFormat="false" ht="15.75" hidden="false" customHeight="true" outlineLevel="0" collapsed="false">
      <c r="A8" s="11" t="s">
        <v>385</v>
      </c>
      <c r="B8" s="11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5" t="s">
        <v>386</v>
      </c>
      <c r="B9" s="6" t="s">
        <v>387</v>
      </c>
      <c r="C9" s="5" t="s">
        <v>388</v>
      </c>
      <c r="D9" s="14" t="n">
        <v>1</v>
      </c>
      <c r="E9" s="29" t="n">
        <f aca="false">ROUND(D9*8/$B$4,4)</f>
        <v>39.1773</v>
      </c>
      <c r="F9" s="16" t="n">
        <f aca="false">'MANO DE OBRA 2026'!$C$16</f>
        <v>28.95</v>
      </c>
      <c r="G9" s="8" t="n">
        <f aca="false">ROUND(E9*F9,2)</f>
        <v>1134.18</v>
      </c>
      <c r="H9" s="15" t="s">
        <v>389</v>
      </c>
    </row>
    <row r="10" customFormat="false" ht="15" hidden="false" customHeight="false" outlineLevel="0" collapsed="false">
      <c r="A10" s="5" t="s">
        <v>390</v>
      </c>
      <c r="B10" s="6" t="s">
        <v>391</v>
      </c>
      <c r="C10" s="5" t="s">
        <v>388</v>
      </c>
      <c r="D10" s="14" t="n">
        <v>0.5</v>
      </c>
      <c r="E10" s="29" t="n">
        <f aca="false">ROUND(D10*8/$B$4,4)</f>
        <v>19.5886</v>
      </c>
      <c r="F10" s="16" t="n">
        <f aca="false">'MANO DE OBRA 2026'!$E$16</f>
        <v>20.54</v>
      </c>
      <c r="G10" s="8" t="n">
        <f aca="false">ROUND(E10*F10,2)</f>
        <v>402.35</v>
      </c>
      <c r="H10" s="15" t="s">
        <v>389</v>
      </c>
    </row>
    <row r="11" customFormat="false" ht="15" hidden="false" customHeight="false" outlineLevel="0" collapsed="false">
      <c r="A11" s="17"/>
      <c r="B11" s="18" t="s">
        <v>392</v>
      </c>
      <c r="C11" s="17"/>
      <c r="D11" s="17"/>
      <c r="E11" s="17"/>
      <c r="F11" s="17"/>
      <c r="G11" s="23" t="n">
        <f aca="false">SUM(G9:G10)</f>
        <v>1536.53</v>
      </c>
      <c r="H11" s="17"/>
    </row>
    <row r="12" customFormat="false" ht="15.75" hidden="false" customHeight="true" outlineLevel="0" collapsed="false">
      <c r="A12" s="11" t="s">
        <v>393</v>
      </c>
      <c r="B12" s="11"/>
      <c r="C12" s="11"/>
      <c r="D12" s="11"/>
      <c r="E12" s="11"/>
      <c r="F12" s="11"/>
      <c r="G12" s="11"/>
      <c r="H12" s="11"/>
    </row>
    <row r="13" customFormat="false" ht="15" hidden="false" customHeight="true" outlineLevel="0" collapsed="false">
      <c r="A13" s="5" t="s">
        <v>159</v>
      </c>
      <c r="B13" s="6" t="s">
        <v>530</v>
      </c>
      <c r="C13" s="5" t="s">
        <v>91</v>
      </c>
      <c r="D13" s="6"/>
      <c r="E13" s="30" t="n">
        <v>1</v>
      </c>
      <c r="F13" s="8" t="n">
        <f aca="false">'PRECIOS DE INSUMOS'!$H$25</f>
        <v>8.39</v>
      </c>
      <c r="G13" s="8" t="n">
        <f aca="false">ROUND(E13*F13,2)</f>
        <v>8.39</v>
      </c>
      <c r="H13" s="15" t="s">
        <v>531</v>
      </c>
    </row>
    <row r="14" customFormat="false" ht="15" hidden="false" customHeight="true" outlineLevel="0" collapsed="false">
      <c r="A14" s="5" t="s">
        <v>69</v>
      </c>
      <c r="B14" s="6" t="s">
        <v>394</v>
      </c>
      <c r="C14" s="5" t="s">
        <v>71</v>
      </c>
      <c r="D14" s="6"/>
      <c r="E14" s="29" t="n">
        <f aca="false">(17)*1.05</f>
        <v>17.85</v>
      </c>
      <c r="F14" s="8" t="n">
        <f aca="false">'PRECIOS DE INSUMOS'!$H$7</f>
        <v>4.56</v>
      </c>
      <c r="G14" s="8" t="n">
        <f aca="false">ROUND(E14*F14,2)</f>
        <v>81.4</v>
      </c>
      <c r="H14" s="15" t="s">
        <v>532</v>
      </c>
    </row>
    <row r="15" customFormat="false" ht="15" hidden="false" customHeight="true" outlineLevel="0" collapsed="false">
      <c r="A15" s="5" t="s">
        <v>228</v>
      </c>
      <c r="B15" s="6" t="s">
        <v>533</v>
      </c>
      <c r="C15" s="5" t="s">
        <v>91</v>
      </c>
      <c r="D15" s="6"/>
      <c r="E15" s="30" t="n">
        <v>4</v>
      </c>
      <c r="F15" s="8" t="n">
        <f aca="false">'PRECIOS DE INSUMOS'!$H$40</f>
        <v>1.19</v>
      </c>
      <c r="G15" s="8" t="n">
        <f aca="false">ROUND(E15*F15,2)</f>
        <v>4.76</v>
      </c>
      <c r="H15" s="15" t="s">
        <v>534</v>
      </c>
    </row>
    <row r="16" customFormat="false" ht="15" hidden="false" customHeight="true" outlineLevel="0" collapsed="false">
      <c r="A16" s="5" t="s">
        <v>89</v>
      </c>
      <c r="B16" s="6" t="s">
        <v>535</v>
      </c>
      <c r="C16" s="5" t="s">
        <v>91</v>
      </c>
      <c r="D16" s="6"/>
      <c r="E16" s="30" t="n">
        <v>4</v>
      </c>
      <c r="F16" s="8" t="n">
        <f aca="false">'PRECIOS DE INSUMOS'!$H$10</f>
        <v>4.83</v>
      </c>
      <c r="G16" s="8" t="n">
        <f aca="false">ROUND(E16*F16,2)</f>
        <v>19.32</v>
      </c>
      <c r="H16" s="15" t="s">
        <v>536</v>
      </c>
    </row>
    <row r="17" customFormat="false" ht="24" hidden="false" customHeight="true" outlineLevel="0" collapsed="false">
      <c r="A17" s="5" t="s">
        <v>362</v>
      </c>
      <c r="B17" s="6" t="s">
        <v>363</v>
      </c>
      <c r="C17" s="5" t="s">
        <v>91</v>
      </c>
      <c r="D17" s="6"/>
      <c r="E17" s="30" t="n">
        <v>2</v>
      </c>
      <c r="F17" s="8" t="n">
        <f aca="false">'PRECIOS DE INSUMOS'!$H$67</f>
        <v>9.01</v>
      </c>
      <c r="G17" s="8" t="n">
        <f aca="false">ROUND(E17*F17,2)</f>
        <v>18.02</v>
      </c>
      <c r="H17" s="15" t="s">
        <v>537</v>
      </c>
    </row>
    <row r="18" customFormat="false" ht="24" hidden="false" customHeight="true" outlineLevel="0" collapsed="false">
      <c r="A18" s="5" t="s">
        <v>114</v>
      </c>
      <c r="B18" s="6" t="s">
        <v>538</v>
      </c>
      <c r="C18" s="5" t="s">
        <v>91</v>
      </c>
      <c r="D18" s="6"/>
      <c r="E18" s="29" t="n">
        <f aca="false">1+1</f>
        <v>2</v>
      </c>
      <c r="F18" s="8" t="n">
        <f aca="false">'PRECIOS DE INSUMOS'!$H$15</f>
        <v>19.41</v>
      </c>
      <c r="G18" s="8" t="n">
        <f aca="false">ROUND(E18*F18,2)</f>
        <v>38.82</v>
      </c>
      <c r="H18" s="15" t="s">
        <v>539</v>
      </c>
    </row>
    <row r="19" customFormat="false" ht="24" hidden="false" customHeight="true" outlineLevel="0" collapsed="false">
      <c r="A19" s="5" t="s">
        <v>150</v>
      </c>
      <c r="B19" s="6" t="s">
        <v>540</v>
      </c>
      <c r="C19" s="5" t="s">
        <v>91</v>
      </c>
      <c r="D19" s="6"/>
      <c r="E19" s="29" t="n">
        <f aca="false">2+2</f>
        <v>4</v>
      </c>
      <c r="F19" s="8" t="n">
        <f aca="false">'PRECIOS DE INSUMOS'!$H$23</f>
        <v>2.41</v>
      </c>
      <c r="G19" s="8" t="n">
        <f aca="false">ROUND(E19*F19,2)</f>
        <v>9.64</v>
      </c>
      <c r="H19" s="15" t="s">
        <v>541</v>
      </c>
    </row>
    <row r="20" customFormat="false" ht="15" hidden="false" customHeight="true" outlineLevel="0" collapsed="false">
      <c r="A20" s="5" t="s">
        <v>137</v>
      </c>
      <c r="B20" s="6" t="s">
        <v>503</v>
      </c>
      <c r="C20" s="5" t="s">
        <v>91</v>
      </c>
      <c r="D20" s="6"/>
      <c r="E20" s="30" t="n">
        <v>3</v>
      </c>
      <c r="F20" s="8" t="n">
        <f aca="false">'PRECIOS DE INSUMOS'!$H$20</f>
        <v>8.64</v>
      </c>
      <c r="G20" s="8" t="n">
        <f aca="false">ROUND(E20*F20,2)</f>
        <v>25.92</v>
      </c>
      <c r="H20" s="15" t="s">
        <v>542</v>
      </c>
    </row>
    <row r="21" customFormat="false" ht="15" hidden="false" customHeight="true" outlineLevel="0" collapsed="false">
      <c r="A21" s="5" t="s">
        <v>237</v>
      </c>
      <c r="B21" s="6" t="s">
        <v>543</v>
      </c>
      <c r="C21" s="5" t="s">
        <v>91</v>
      </c>
      <c r="D21" s="6"/>
      <c r="E21" s="30" t="n">
        <v>13</v>
      </c>
      <c r="F21" s="8" t="n">
        <f aca="false">'PRECIOS DE INSUMOS'!$H$42</f>
        <v>1.36</v>
      </c>
      <c r="G21" s="8" t="n">
        <f aca="false">ROUND(E21*F21,2)</f>
        <v>17.68</v>
      </c>
      <c r="H21" s="15" t="s">
        <v>544</v>
      </c>
    </row>
    <row r="22" customFormat="false" ht="15" hidden="false" customHeight="true" outlineLevel="0" collapsed="false">
      <c r="A22" s="5" t="s">
        <v>83</v>
      </c>
      <c r="B22" s="6" t="s">
        <v>507</v>
      </c>
      <c r="C22" s="5" t="s">
        <v>71</v>
      </c>
      <c r="D22" s="6"/>
      <c r="E22" s="29" t="n">
        <f aca="false">(18)*1.05</f>
        <v>18.9</v>
      </c>
      <c r="F22" s="8" t="n">
        <f aca="false">'PRECIOS DE INSUMOS'!$H$9</f>
        <v>11.17</v>
      </c>
      <c r="G22" s="8" t="n">
        <f aca="false">ROUND(E22*F22,2)</f>
        <v>211.11</v>
      </c>
      <c r="H22" s="15" t="s">
        <v>545</v>
      </c>
    </row>
    <row r="23" customFormat="false" ht="15" hidden="false" customHeight="true" outlineLevel="0" collapsed="false">
      <c r="A23" s="5" t="s">
        <v>255</v>
      </c>
      <c r="B23" s="6" t="s">
        <v>546</v>
      </c>
      <c r="C23" s="5" t="s">
        <v>91</v>
      </c>
      <c r="D23" s="6"/>
      <c r="E23" s="30" t="n">
        <v>1</v>
      </c>
      <c r="F23" s="8" t="n">
        <f aca="false">'PRECIOS DE INSUMOS'!$H$45</f>
        <v>5.25</v>
      </c>
      <c r="G23" s="8" t="n">
        <f aca="false">ROUND(E23*F23,2)</f>
        <v>5.25</v>
      </c>
      <c r="H23" s="15" t="s">
        <v>547</v>
      </c>
    </row>
    <row r="24" customFormat="false" ht="15" hidden="false" customHeight="true" outlineLevel="0" collapsed="false">
      <c r="A24" s="5" t="s">
        <v>127</v>
      </c>
      <c r="B24" s="6" t="s">
        <v>509</v>
      </c>
      <c r="C24" s="5" t="s">
        <v>91</v>
      </c>
      <c r="D24" s="6"/>
      <c r="E24" s="30" t="n">
        <v>2</v>
      </c>
      <c r="F24" s="8" t="n">
        <f aca="false">'PRECIOS DE INSUMOS'!$H$18</f>
        <v>9.24</v>
      </c>
      <c r="G24" s="8" t="n">
        <f aca="false">ROUND(E24*F24,2)</f>
        <v>18.48</v>
      </c>
      <c r="H24" s="15" t="s">
        <v>548</v>
      </c>
    </row>
    <row r="25" customFormat="false" ht="15" hidden="false" customHeight="true" outlineLevel="0" collapsed="false">
      <c r="A25" s="5" t="s">
        <v>122</v>
      </c>
      <c r="B25" s="6" t="s">
        <v>511</v>
      </c>
      <c r="C25" s="5" t="s">
        <v>91</v>
      </c>
      <c r="D25" s="6"/>
      <c r="E25" s="30" t="n">
        <v>2</v>
      </c>
      <c r="F25" s="8" t="n">
        <f aca="false">'PRECIOS DE INSUMOS'!$H$17</f>
        <v>42.29</v>
      </c>
      <c r="G25" s="8" t="n">
        <f aca="false">ROUND(E25*F25,2)</f>
        <v>84.58</v>
      </c>
      <c r="H25" s="15" t="s">
        <v>549</v>
      </c>
    </row>
    <row r="26" customFormat="false" ht="15" hidden="false" customHeight="true" outlineLevel="0" collapsed="false">
      <c r="A26" s="5" t="s">
        <v>177</v>
      </c>
      <c r="B26" s="6" t="s">
        <v>515</v>
      </c>
      <c r="C26" s="5" t="s">
        <v>91</v>
      </c>
      <c r="D26" s="6"/>
      <c r="E26" s="30" t="n">
        <v>1</v>
      </c>
      <c r="F26" s="8" t="n">
        <f aca="false">'PRECIOS DE INSUMOS'!$H$29</f>
        <v>67.8</v>
      </c>
      <c r="G26" s="8" t="n">
        <f aca="false">ROUND(E26*F26,2)</f>
        <v>67.8</v>
      </c>
      <c r="H26" s="15" t="s">
        <v>550</v>
      </c>
    </row>
    <row r="27" customFormat="false" ht="15" hidden="false" customHeight="true" outlineLevel="0" collapsed="false">
      <c r="A27" s="5" t="s">
        <v>99</v>
      </c>
      <c r="B27" s="6" t="s">
        <v>505</v>
      </c>
      <c r="C27" s="5" t="s">
        <v>91</v>
      </c>
      <c r="D27" s="6"/>
      <c r="E27" s="30" t="n">
        <v>3</v>
      </c>
      <c r="F27" s="8" t="n">
        <f aca="false">'PRECIOS DE INSUMOS'!$H$12</f>
        <v>13.47</v>
      </c>
      <c r="G27" s="8" t="n">
        <f aca="false">ROUND(E27*F27,2)</f>
        <v>40.41</v>
      </c>
      <c r="H27" s="15" t="s">
        <v>551</v>
      </c>
    </row>
    <row r="28" customFormat="false" ht="24" hidden="false" customHeight="true" outlineLevel="0" collapsed="false">
      <c r="A28" s="5" t="s">
        <v>265</v>
      </c>
      <c r="B28" s="6" t="s">
        <v>266</v>
      </c>
      <c r="C28" s="5" t="s">
        <v>267</v>
      </c>
      <c r="D28" s="6"/>
      <c r="E28" s="30" t="n">
        <v>0.1994</v>
      </c>
      <c r="F28" s="8" t="n">
        <f aca="false">'PRECIOS DE INSUMOS'!$H$47</f>
        <v>209.83</v>
      </c>
      <c r="G28" s="8" t="n">
        <f aca="false">ROUND(E28*F28,2)</f>
        <v>41.84</v>
      </c>
      <c r="H28" s="15" t="s">
        <v>552</v>
      </c>
    </row>
    <row r="29" customFormat="false" ht="24" hidden="false" customHeight="true" outlineLevel="0" collapsed="false">
      <c r="A29" s="5" t="s">
        <v>271</v>
      </c>
      <c r="B29" s="6" t="s">
        <v>272</v>
      </c>
      <c r="C29" s="5" t="s">
        <v>91</v>
      </c>
      <c r="D29" s="6"/>
      <c r="E29" s="30" t="n">
        <v>2.88</v>
      </c>
      <c r="F29" s="8" t="n">
        <f aca="false">'PRECIOS DE INSUMOS'!$H$48</f>
        <v>2.46</v>
      </c>
      <c r="G29" s="8" t="n">
        <f aca="false">ROUND(E29*F29,2)</f>
        <v>7.08</v>
      </c>
      <c r="H29" s="15" t="s">
        <v>553</v>
      </c>
    </row>
    <row r="30" customFormat="false" ht="15" hidden="false" customHeight="true" outlineLevel="0" collapsed="false">
      <c r="A30" s="5" t="s">
        <v>241</v>
      </c>
      <c r="B30" s="6" t="s">
        <v>242</v>
      </c>
      <c r="C30" s="5" t="s">
        <v>91</v>
      </c>
      <c r="D30" s="6"/>
      <c r="E30" s="30" t="n">
        <v>34</v>
      </c>
      <c r="F30" s="8" t="n">
        <f aca="false">'PRECIOS DE INSUMOS'!$H$43</f>
        <v>8.03</v>
      </c>
      <c r="G30" s="8" t="n">
        <f aca="false">ROUND(E30*F30,2)</f>
        <v>273.02</v>
      </c>
      <c r="H30" s="15" t="s">
        <v>494</v>
      </c>
    </row>
    <row r="31" customFormat="false" ht="15" hidden="false" customHeight="false" outlineLevel="0" collapsed="false">
      <c r="A31" s="17"/>
      <c r="B31" s="18" t="s">
        <v>403</v>
      </c>
      <c r="C31" s="17"/>
      <c r="D31" s="17"/>
      <c r="E31" s="17"/>
      <c r="F31" s="17"/>
      <c r="G31" s="23" t="n">
        <f aca="false">SUM(G13:G30)</f>
        <v>973.52</v>
      </c>
      <c r="H31" s="17"/>
    </row>
    <row r="32" customFormat="false" ht="15.75" hidden="false" customHeight="true" outlineLevel="0" collapsed="false">
      <c r="A32" s="11" t="s">
        <v>404</v>
      </c>
      <c r="B32" s="11"/>
      <c r="C32" s="11"/>
      <c r="D32" s="11"/>
      <c r="E32" s="11"/>
      <c r="F32" s="11"/>
      <c r="G32" s="11"/>
      <c r="H32" s="11"/>
    </row>
    <row r="33" customFormat="false" ht="24" hidden="false" customHeight="true" outlineLevel="0" collapsed="false">
      <c r="A33" s="5" t="s">
        <v>405</v>
      </c>
      <c r="B33" s="6" t="s">
        <v>406</v>
      </c>
      <c r="C33" s="5" t="s">
        <v>407</v>
      </c>
      <c r="D33" s="6"/>
      <c r="E33" s="14" t="n">
        <v>3</v>
      </c>
      <c r="F33" s="8" t="n">
        <f aca="false">G11</f>
        <v>1536.53</v>
      </c>
      <c r="G33" s="8" t="n">
        <f aca="false">ROUND(E33/100*F33,2)</f>
        <v>46.1</v>
      </c>
      <c r="H33" s="15" t="s">
        <v>408</v>
      </c>
    </row>
    <row r="34" customFormat="false" ht="24" hidden="false" customHeight="true" outlineLevel="0" collapsed="false">
      <c r="A34" s="5" t="s">
        <v>281</v>
      </c>
      <c r="B34" s="6" t="s">
        <v>282</v>
      </c>
      <c r="C34" s="5" t="s">
        <v>283</v>
      </c>
      <c r="D34" s="6"/>
      <c r="E34" s="30" t="n">
        <v>1</v>
      </c>
      <c r="F34" s="8" t="n">
        <f aca="false">'PRECIOS DE INSUMOS'!$H$50</f>
        <v>5.83</v>
      </c>
      <c r="G34" s="8" t="n">
        <f aca="false">ROUND(E34*F34,2)</f>
        <v>5.83</v>
      </c>
      <c r="H34" s="15" t="s">
        <v>448</v>
      </c>
    </row>
    <row r="35" customFormat="false" ht="15" hidden="false" customHeight="false" outlineLevel="0" collapsed="false">
      <c r="A35" s="17"/>
      <c r="B35" s="18" t="s">
        <v>410</v>
      </c>
      <c r="C35" s="17"/>
      <c r="D35" s="17"/>
      <c r="E35" s="17"/>
      <c r="F35" s="17"/>
      <c r="G35" s="23" t="n">
        <f aca="false">SUM(G33:G34)</f>
        <v>51.93</v>
      </c>
      <c r="H35" s="17"/>
    </row>
    <row r="36" customFormat="false" ht="19.5" hidden="false" customHeight="true" outlineLevel="0" collapsed="false">
      <c r="A36" s="9" t="s">
        <v>411</v>
      </c>
      <c r="B36" s="9"/>
      <c r="C36" s="9"/>
      <c r="D36" s="9"/>
      <c r="E36" s="9"/>
      <c r="F36" s="9"/>
      <c r="G36" s="10" t="n">
        <f aca="false">G11+G31+G35</f>
        <v>2561.98</v>
      </c>
      <c r="H36" s="31"/>
    </row>
    <row r="38" customFormat="false" ht="15.75" hidden="false" customHeight="true" outlineLevel="0" collapsed="false">
      <c r="A38" s="11" t="s">
        <v>412</v>
      </c>
      <c r="B38" s="11"/>
      <c r="C38" s="11"/>
      <c r="D38" s="11"/>
      <c r="E38" s="11"/>
      <c r="F38" s="11"/>
      <c r="G38" s="11"/>
      <c r="H38" s="11"/>
    </row>
    <row r="39" customFormat="false" ht="15" hidden="false" customHeight="false" outlineLevel="0" collapsed="false">
      <c r="A39" s="13" t="s">
        <v>413</v>
      </c>
      <c r="B39" s="13" t="s">
        <v>414</v>
      </c>
      <c r="C39" s="13" t="s">
        <v>5</v>
      </c>
      <c r="D39" s="13"/>
      <c r="E39" s="13" t="s">
        <v>382</v>
      </c>
      <c r="F39" s="13" t="s">
        <v>415</v>
      </c>
      <c r="G39" s="13" t="s">
        <v>416</v>
      </c>
      <c r="H39" s="13" t="s">
        <v>417</v>
      </c>
    </row>
    <row r="40" customFormat="false" ht="15" hidden="false" customHeight="true" outlineLevel="0" collapsed="false">
      <c r="A40" s="5" t="s">
        <v>524</v>
      </c>
      <c r="B40" s="6" t="s">
        <v>525</v>
      </c>
      <c r="C40" s="5" t="s">
        <v>91</v>
      </c>
      <c r="D40" s="6"/>
      <c r="E40" s="14" t="n">
        <v>17</v>
      </c>
      <c r="F40" s="14" t="n">
        <v>16</v>
      </c>
      <c r="G40" s="24" t="n">
        <f aca="false">E40/F40</f>
        <v>1.0625</v>
      </c>
      <c r="H40" s="15" t="s">
        <v>420</v>
      </c>
    </row>
    <row r="41" customFormat="false" ht="15" hidden="false" customHeight="true" outlineLevel="0" collapsed="false">
      <c r="A41" s="5" t="s">
        <v>418</v>
      </c>
      <c r="B41" s="6" t="s">
        <v>419</v>
      </c>
      <c r="C41" s="5" t="s">
        <v>71</v>
      </c>
      <c r="D41" s="6"/>
      <c r="E41" s="14" t="n">
        <v>17</v>
      </c>
      <c r="F41" s="14" t="n">
        <v>25</v>
      </c>
      <c r="G41" s="24" t="n">
        <f aca="false">E41/F41</f>
        <v>0.68</v>
      </c>
      <c r="H41" s="15" t="s">
        <v>420</v>
      </c>
    </row>
    <row r="42" customFormat="false" ht="15" hidden="false" customHeight="true" outlineLevel="0" collapsed="false">
      <c r="A42" s="5" t="s">
        <v>497</v>
      </c>
      <c r="B42" s="6" t="s">
        <v>498</v>
      </c>
      <c r="C42" s="5" t="s">
        <v>91</v>
      </c>
      <c r="D42" s="6"/>
      <c r="E42" s="14" t="n">
        <v>17</v>
      </c>
      <c r="F42" s="14" t="n">
        <v>16</v>
      </c>
      <c r="G42" s="24" t="n">
        <f aca="false">E42/F42</f>
        <v>1.0625</v>
      </c>
      <c r="H42" s="15" t="s">
        <v>420</v>
      </c>
    </row>
    <row r="43" customFormat="false" ht="24" hidden="false" customHeight="true" outlineLevel="0" collapsed="false">
      <c r="A43" s="5" t="s">
        <v>453</v>
      </c>
      <c r="B43" s="6" t="s">
        <v>454</v>
      </c>
      <c r="C43" s="5" t="s">
        <v>91</v>
      </c>
      <c r="D43" s="6"/>
      <c r="E43" s="14" t="n">
        <v>4</v>
      </c>
      <c r="F43" s="14" t="n">
        <v>20</v>
      </c>
      <c r="G43" s="24" t="n">
        <f aca="false">E43/F43</f>
        <v>0.2</v>
      </c>
      <c r="H43" s="15" t="s">
        <v>420</v>
      </c>
    </row>
    <row r="44" customFormat="false" ht="24" hidden="false" customHeight="true" outlineLevel="0" collapsed="false">
      <c r="A44" s="5" t="s">
        <v>425</v>
      </c>
      <c r="B44" s="6" t="s">
        <v>426</v>
      </c>
      <c r="C44" s="5" t="s">
        <v>91</v>
      </c>
      <c r="D44" s="6"/>
      <c r="E44" s="14" t="n">
        <v>2</v>
      </c>
      <c r="F44" s="14" t="n">
        <v>3</v>
      </c>
      <c r="G44" s="24" t="n">
        <f aca="false">E44/F44</f>
        <v>0.666666666666667</v>
      </c>
      <c r="H44" s="15" t="s">
        <v>420</v>
      </c>
    </row>
    <row r="45" customFormat="false" ht="15" hidden="false" customHeight="true" outlineLevel="0" collapsed="false">
      <c r="A45" s="5" t="s">
        <v>526</v>
      </c>
      <c r="B45" s="6" t="s">
        <v>527</v>
      </c>
      <c r="C45" s="5" t="s">
        <v>71</v>
      </c>
      <c r="D45" s="6"/>
      <c r="E45" s="14" t="n">
        <v>18</v>
      </c>
      <c r="F45" s="14" t="n">
        <v>18</v>
      </c>
      <c r="G45" s="24" t="n">
        <f aca="false">E45/F45</f>
        <v>1</v>
      </c>
      <c r="H45" s="15" t="s">
        <v>420</v>
      </c>
    </row>
    <row r="46" customFormat="false" ht="15" hidden="false" customHeight="true" outlineLevel="0" collapsed="false">
      <c r="A46" s="5" t="s">
        <v>554</v>
      </c>
      <c r="B46" s="6" t="s">
        <v>555</v>
      </c>
      <c r="C46" s="5" t="s">
        <v>91</v>
      </c>
      <c r="D46" s="6"/>
      <c r="E46" s="14" t="n">
        <v>1</v>
      </c>
      <c r="F46" s="14" t="n">
        <v>10</v>
      </c>
      <c r="G46" s="24" t="n">
        <f aca="false">E46/F46</f>
        <v>0.1</v>
      </c>
      <c r="H46" s="15" t="s">
        <v>420</v>
      </c>
    </row>
    <row r="47" customFormat="false" ht="15" hidden="false" customHeight="true" outlineLevel="0" collapsed="false">
      <c r="A47" s="5" t="s">
        <v>495</v>
      </c>
      <c r="B47" s="6" t="s">
        <v>496</v>
      </c>
      <c r="C47" s="5" t="s">
        <v>91</v>
      </c>
      <c r="D47" s="6"/>
      <c r="E47" s="14" t="n">
        <v>1</v>
      </c>
      <c r="F47" s="14" t="n">
        <v>8</v>
      </c>
      <c r="G47" s="24" t="n">
        <f aca="false">E47/F47</f>
        <v>0.125</v>
      </c>
      <c r="H47" s="15" t="s">
        <v>420</v>
      </c>
    </row>
    <row r="48" customFormat="false" ht="15" hidden="false" customHeight="false" outlineLevel="0" collapsed="false">
      <c r="A48" s="17"/>
      <c r="B48" s="18" t="s">
        <v>427</v>
      </c>
      <c r="C48" s="17"/>
      <c r="D48" s="17"/>
      <c r="E48" s="17"/>
      <c r="F48" s="17"/>
      <c r="G48" s="32" t="n">
        <f aca="false">SUM(G40:G47)</f>
        <v>4.89666666666667</v>
      </c>
      <c r="H48" s="17"/>
    </row>
    <row r="49" customFormat="false" ht="15" hidden="false" customHeight="false" outlineLevel="0" collapsed="false">
      <c r="A49" s="17"/>
      <c r="B49" s="18" t="s">
        <v>428</v>
      </c>
      <c r="C49" s="17"/>
      <c r="D49" s="17"/>
      <c r="E49" s="17"/>
      <c r="F49" s="17"/>
      <c r="G49" s="26" t="n">
        <f aca="false">ROUND(1/G48,4)</f>
        <v>0.2042</v>
      </c>
      <c r="H49" s="17"/>
    </row>
  </sheetData>
  <mergeCells count="9">
    <mergeCell ref="A1:H1"/>
    <mergeCell ref="A2:H2"/>
    <mergeCell ref="B3:H3"/>
    <mergeCell ref="D5:F5"/>
    <mergeCell ref="A8:H8"/>
    <mergeCell ref="A12:H12"/>
    <mergeCell ref="A32:H32"/>
    <mergeCell ref="A36:F36"/>
    <mergeCell ref="A38:H38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24" hidden="false" customHeight="true" outlineLevel="0" collapsed="false">
      <c r="A1" s="1" t="s">
        <v>367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2" t="s">
        <v>1</v>
      </c>
      <c r="B2" s="12"/>
      <c r="C2" s="12"/>
      <c r="D2" s="12"/>
      <c r="E2" s="12"/>
      <c r="F2" s="12"/>
      <c r="G2" s="12"/>
      <c r="H2" s="12"/>
    </row>
    <row r="3" customFormat="false" ht="30" hidden="false" customHeight="true" outlineLevel="0" collapsed="false">
      <c r="A3" s="18" t="s">
        <v>368</v>
      </c>
      <c r="B3" s="11" t="s">
        <v>556</v>
      </c>
      <c r="C3" s="11"/>
      <c r="D3" s="11"/>
      <c r="E3" s="11"/>
      <c r="F3" s="11"/>
      <c r="G3" s="11"/>
      <c r="H3" s="11"/>
    </row>
    <row r="4" customFormat="false" ht="30" hidden="false" customHeight="true" outlineLevel="0" collapsed="false">
      <c r="A4" s="18" t="s">
        <v>370</v>
      </c>
      <c r="B4" s="25" t="n">
        <f aca="false">G31</f>
        <v>0.96</v>
      </c>
      <c r="C4" s="13" t="s">
        <v>371</v>
      </c>
      <c r="D4" s="26" t="n">
        <f aca="false">SUM(E9:E10)</f>
        <v>12.5</v>
      </c>
      <c r="E4" s="13" t="s">
        <v>372</v>
      </c>
      <c r="F4" s="26" t="n">
        <f aca="false">SUMIF(C21:C22,"hm",E21:E22)</f>
        <v>1</v>
      </c>
      <c r="G4" s="13" t="s">
        <v>373</v>
      </c>
      <c r="H4" s="27" t="n">
        <f aca="false">G24</f>
        <v>443.11</v>
      </c>
    </row>
    <row r="5" customFormat="false" ht="15" hidden="false" customHeight="true" outlineLevel="0" collapsed="false">
      <c r="A5" s="18" t="s">
        <v>374</v>
      </c>
      <c r="B5" s="6" t="s">
        <v>375</v>
      </c>
      <c r="C5" s="13" t="s">
        <v>376</v>
      </c>
      <c r="D5" s="28" t="s">
        <v>377</v>
      </c>
      <c r="E5" s="28"/>
      <c r="F5" s="28"/>
      <c r="G5" s="13" t="s">
        <v>378</v>
      </c>
      <c r="H5" s="6" t="s">
        <v>379</v>
      </c>
    </row>
    <row r="7" customFormat="false" ht="15" hidden="false" customHeight="false" outlineLevel="0" collapsed="false">
      <c r="A7" s="4" t="s">
        <v>58</v>
      </c>
      <c r="B7" s="4" t="s">
        <v>380</v>
      </c>
      <c r="C7" s="4" t="s">
        <v>5</v>
      </c>
      <c r="D7" s="4" t="s">
        <v>381</v>
      </c>
      <c r="E7" s="4" t="s">
        <v>382</v>
      </c>
      <c r="F7" s="4" t="s">
        <v>383</v>
      </c>
      <c r="G7" s="4" t="s">
        <v>384</v>
      </c>
      <c r="H7" s="4" t="s">
        <v>41</v>
      </c>
    </row>
    <row r="8" customFormat="false" ht="15.75" hidden="false" customHeight="true" outlineLevel="0" collapsed="false">
      <c r="A8" s="11" t="s">
        <v>385</v>
      </c>
      <c r="B8" s="11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5" t="s">
        <v>386</v>
      </c>
      <c r="B9" s="6" t="s">
        <v>387</v>
      </c>
      <c r="C9" s="5" t="s">
        <v>388</v>
      </c>
      <c r="D9" s="14" t="n">
        <v>1</v>
      </c>
      <c r="E9" s="29" t="n">
        <f aca="false">ROUND(D9*8/$B$4,4)</f>
        <v>8.3333</v>
      </c>
      <c r="F9" s="16" t="n">
        <f aca="false">'MANO DE OBRA 2026'!$C$16</f>
        <v>28.95</v>
      </c>
      <c r="G9" s="8" t="n">
        <f aca="false">ROUND(E9*F9,2)</f>
        <v>241.25</v>
      </c>
      <c r="H9" s="15" t="s">
        <v>389</v>
      </c>
    </row>
    <row r="10" customFormat="false" ht="15" hidden="false" customHeight="false" outlineLevel="0" collapsed="false">
      <c r="A10" s="5" t="s">
        <v>390</v>
      </c>
      <c r="B10" s="6" t="s">
        <v>391</v>
      </c>
      <c r="C10" s="5" t="s">
        <v>388</v>
      </c>
      <c r="D10" s="14" t="n">
        <v>0.5</v>
      </c>
      <c r="E10" s="29" t="n">
        <f aca="false">ROUND(D10*8/$B$4,4)</f>
        <v>4.1667</v>
      </c>
      <c r="F10" s="16" t="n">
        <f aca="false">'MANO DE OBRA 2026'!$E$16</f>
        <v>20.54</v>
      </c>
      <c r="G10" s="8" t="n">
        <f aca="false">ROUND(E10*F10,2)</f>
        <v>85.58</v>
      </c>
      <c r="H10" s="15" t="s">
        <v>389</v>
      </c>
    </row>
    <row r="11" customFormat="false" ht="15" hidden="false" customHeight="false" outlineLevel="0" collapsed="false">
      <c r="A11" s="17"/>
      <c r="B11" s="18" t="s">
        <v>392</v>
      </c>
      <c r="C11" s="17"/>
      <c r="D11" s="17"/>
      <c r="E11" s="17"/>
      <c r="F11" s="17"/>
      <c r="G11" s="23" t="n">
        <f aca="false">SUM(G9:G10)</f>
        <v>326.83</v>
      </c>
      <c r="H11" s="17"/>
    </row>
    <row r="12" customFormat="false" ht="15.75" hidden="false" customHeight="true" outlineLevel="0" collapsed="false">
      <c r="A12" s="11" t="s">
        <v>393</v>
      </c>
      <c r="B12" s="11"/>
      <c r="C12" s="11"/>
      <c r="D12" s="11"/>
      <c r="E12" s="11"/>
      <c r="F12" s="11"/>
      <c r="G12" s="11"/>
      <c r="H12" s="11"/>
    </row>
    <row r="13" customFormat="false" ht="24" hidden="false" customHeight="true" outlineLevel="0" collapsed="false">
      <c r="A13" s="5" t="s">
        <v>364</v>
      </c>
      <c r="B13" s="6" t="s">
        <v>365</v>
      </c>
      <c r="C13" s="5" t="s">
        <v>91</v>
      </c>
      <c r="D13" s="6"/>
      <c r="E13" s="30" t="n">
        <v>2</v>
      </c>
      <c r="F13" s="8" t="n">
        <f aca="false">'PRECIOS DE INSUMOS'!$H$68</f>
        <v>13.97</v>
      </c>
      <c r="G13" s="8" t="n">
        <f aca="false">ROUND(E13*F13,2)</f>
        <v>27.94</v>
      </c>
      <c r="H13" s="15" t="s">
        <v>557</v>
      </c>
    </row>
    <row r="14" customFormat="false" ht="24" hidden="false" customHeight="true" outlineLevel="0" collapsed="false">
      <c r="A14" s="5" t="s">
        <v>99</v>
      </c>
      <c r="B14" s="6" t="s">
        <v>558</v>
      </c>
      <c r="C14" s="5" t="s">
        <v>91</v>
      </c>
      <c r="D14" s="6"/>
      <c r="E14" s="29" t="n">
        <f aca="false">2+2</f>
        <v>4</v>
      </c>
      <c r="F14" s="8" t="n">
        <f aca="false">'PRECIOS DE INSUMOS'!$H$12</f>
        <v>13.47</v>
      </c>
      <c r="G14" s="8" t="n">
        <f aca="false">ROUND(E14*F14,2)</f>
        <v>53.88</v>
      </c>
      <c r="H14" s="15" t="s">
        <v>559</v>
      </c>
    </row>
    <row r="15" customFormat="false" ht="15" hidden="false" customHeight="true" outlineLevel="0" collapsed="false">
      <c r="A15" s="5" t="s">
        <v>150</v>
      </c>
      <c r="B15" s="6" t="s">
        <v>560</v>
      </c>
      <c r="C15" s="5" t="s">
        <v>91</v>
      </c>
      <c r="D15" s="6"/>
      <c r="E15" s="30" t="n">
        <v>2</v>
      </c>
      <c r="F15" s="8" t="n">
        <f aca="false">'PRECIOS DE INSUMOS'!$H$23</f>
        <v>2.41</v>
      </c>
      <c r="G15" s="8" t="n">
        <f aca="false">ROUND(E15*F15,2)</f>
        <v>4.82</v>
      </c>
      <c r="H15" s="15" t="s">
        <v>561</v>
      </c>
    </row>
    <row r="16" customFormat="false" ht="24" hidden="false" customHeight="true" outlineLevel="0" collapsed="false">
      <c r="A16" s="5" t="s">
        <v>259</v>
      </c>
      <c r="B16" s="6" t="s">
        <v>562</v>
      </c>
      <c r="C16" s="5" t="s">
        <v>261</v>
      </c>
      <c r="D16" s="6"/>
      <c r="E16" s="30" t="n">
        <v>0.1</v>
      </c>
      <c r="F16" s="8" t="n">
        <f aca="false">'PRECIOS DE INSUMOS'!$H$46</f>
        <v>4.08</v>
      </c>
      <c r="G16" s="8" t="n">
        <f aca="false">ROUND(E16*F16,2)</f>
        <v>0.41</v>
      </c>
      <c r="H16" s="15" t="s">
        <v>437</v>
      </c>
    </row>
    <row r="17" customFormat="false" ht="24" hidden="false" customHeight="true" outlineLevel="0" collapsed="false">
      <c r="A17" s="5" t="s">
        <v>265</v>
      </c>
      <c r="B17" s="6" t="s">
        <v>266</v>
      </c>
      <c r="C17" s="5" t="s">
        <v>267</v>
      </c>
      <c r="D17" s="6"/>
      <c r="E17" s="30" t="n">
        <v>0.056</v>
      </c>
      <c r="F17" s="8" t="n">
        <f aca="false">'PRECIOS DE INSUMOS'!$H$47</f>
        <v>209.83</v>
      </c>
      <c r="G17" s="8" t="n">
        <f aca="false">ROUND(E17*F17,2)</f>
        <v>11.75</v>
      </c>
      <c r="H17" s="15" t="s">
        <v>563</v>
      </c>
    </row>
    <row r="18" customFormat="false" ht="24" hidden="false" customHeight="true" outlineLevel="0" collapsed="false">
      <c r="A18" s="5" t="s">
        <v>271</v>
      </c>
      <c r="B18" s="6" t="s">
        <v>272</v>
      </c>
      <c r="C18" s="5" t="s">
        <v>91</v>
      </c>
      <c r="D18" s="6"/>
      <c r="E18" s="30" t="n">
        <v>0.75</v>
      </c>
      <c r="F18" s="8" t="n">
        <f aca="false">'PRECIOS DE INSUMOS'!$H$48</f>
        <v>2.46</v>
      </c>
      <c r="G18" s="8" t="n">
        <f aca="false">ROUND(E18*F18,2)</f>
        <v>1.85</v>
      </c>
      <c r="H18" s="15" t="s">
        <v>564</v>
      </c>
    </row>
    <row r="19" customFormat="false" ht="15" hidden="false" customHeight="false" outlineLevel="0" collapsed="false">
      <c r="A19" s="17"/>
      <c r="B19" s="18" t="s">
        <v>403</v>
      </c>
      <c r="C19" s="17"/>
      <c r="D19" s="17"/>
      <c r="E19" s="17"/>
      <c r="F19" s="17"/>
      <c r="G19" s="23" t="n">
        <f aca="false">SUM(G13:G18)</f>
        <v>100.65</v>
      </c>
      <c r="H19" s="17"/>
    </row>
    <row r="20" customFormat="false" ht="15.75" hidden="false" customHeight="true" outlineLevel="0" collapsed="false">
      <c r="A20" s="11" t="s">
        <v>404</v>
      </c>
      <c r="B20" s="11"/>
      <c r="C20" s="11"/>
      <c r="D20" s="11"/>
      <c r="E20" s="11"/>
      <c r="F20" s="11"/>
      <c r="G20" s="11"/>
      <c r="H20" s="11"/>
    </row>
    <row r="21" customFormat="false" ht="24" hidden="false" customHeight="true" outlineLevel="0" collapsed="false">
      <c r="A21" s="5" t="s">
        <v>405</v>
      </c>
      <c r="B21" s="6" t="s">
        <v>406</v>
      </c>
      <c r="C21" s="5" t="s">
        <v>407</v>
      </c>
      <c r="D21" s="6"/>
      <c r="E21" s="14" t="n">
        <v>3</v>
      </c>
      <c r="F21" s="8" t="n">
        <f aca="false">G11</f>
        <v>326.83</v>
      </c>
      <c r="G21" s="8" t="n">
        <f aca="false">ROUND(E21/100*F21,2)</f>
        <v>9.8</v>
      </c>
      <c r="H21" s="15" t="s">
        <v>408</v>
      </c>
    </row>
    <row r="22" customFormat="false" ht="24" hidden="false" customHeight="true" outlineLevel="0" collapsed="false">
      <c r="A22" s="5" t="s">
        <v>281</v>
      </c>
      <c r="B22" s="6" t="s">
        <v>282</v>
      </c>
      <c r="C22" s="5" t="s">
        <v>283</v>
      </c>
      <c r="D22" s="6"/>
      <c r="E22" s="30" t="n">
        <v>1</v>
      </c>
      <c r="F22" s="8" t="n">
        <f aca="false">'PRECIOS DE INSUMOS'!$H$50</f>
        <v>5.83</v>
      </c>
      <c r="G22" s="8" t="n">
        <f aca="false">ROUND(E22*F22,2)</f>
        <v>5.83</v>
      </c>
      <c r="H22" s="15" t="s">
        <v>448</v>
      </c>
    </row>
    <row r="23" customFormat="false" ht="15" hidden="false" customHeight="false" outlineLevel="0" collapsed="false">
      <c r="A23" s="17"/>
      <c r="B23" s="18" t="s">
        <v>410</v>
      </c>
      <c r="C23" s="17"/>
      <c r="D23" s="17"/>
      <c r="E23" s="17"/>
      <c r="F23" s="17"/>
      <c r="G23" s="23" t="n">
        <f aca="false">SUM(G21:G22)</f>
        <v>15.63</v>
      </c>
      <c r="H23" s="17"/>
    </row>
    <row r="24" customFormat="false" ht="19.5" hidden="false" customHeight="true" outlineLevel="0" collapsed="false">
      <c r="A24" s="9" t="s">
        <v>411</v>
      </c>
      <c r="B24" s="9"/>
      <c r="C24" s="9"/>
      <c r="D24" s="9"/>
      <c r="E24" s="9"/>
      <c r="F24" s="9"/>
      <c r="G24" s="10" t="n">
        <f aca="false">G11+G19+G23</f>
        <v>443.11</v>
      </c>
      <c r="H24" s="31"/>
    </row>
    <row r="26" customFormat="false" ht="15.75" hidden="false" customHeight="true" outlineLevel="0" collapsed="false">
      <c r="A26" s="11" t="s">
        <v>412</v>
      </c>
      <c r="B26" s="11"/>
      <c r="C26" s="11"/>
      <c r="D26" s="11"/>
      <c r="E26" s="11"/>
      <c r="F26" s="11"/>
      <c r="G26" s="11"/>
      <c r="H26" s="11"/>
    </row>
    <row r="27" customFormat="false" ht="15" hidden="false" customHeight="false" outlineLevel="0" collapsed="false">
      <c r="A27" s="13" t="s">
        <v>413</v>
      </c>
      <c r="B27" s="13" t="s">
        <v>414</v>
      </c>
      <c r="C27" s="13" t="s">
        <v>5</v>
      </c>
      <c r="D27" s="13"/>
      <c r="E27" s="13" t="s">
        <v>382</v>
      </c>
      <c r="F27" s="13" t="s">
        <v>415</v>
      </c>
      <c r="G27" s="13" t="s">
        <v>416</v>
      </c>
      <c r="H27" s="13" t="s">
        <v>417</v>
      </c>
    </row>
    <row r="28" customFormat="false" ht="24" hidden="false" customHeight="true" outlineLevel="0" collapsed="false">
      <c r="A28" s="5" t="s">
        <v>425</v>
      </c>
      <c r="B28" s="6" t="s">
        <v>426</v>
      </c>
      <c r="C28" s="5" t="s">
        <v>91</v>
      </c>
      <c r="D28" s="6"/>
      <c r="E28" s="14" t="n">
        <v>2</v>
      </c>
      <c r="F28" s="14" t="n">
        <v>3</v>
      </c>
      <c r="G28" s="24" t="n">
        <f aca="false">E28/F28</f>
        <v>0.666666666666667</v>
      </c>
      <c r="H28" s="15" t="s">
        <v>420</v>
      </c>
    </row>
    <row r="29" customFormat="false" ht="15" hidden="false" customHeight="true" outlineLevel="0" collapsed="false">
      <c r="A29" s="5" t="s">
        <v>524</v>
      </c>
      <c r="B29" s="6" t="s">
        <v>525</v>
      </c>
      <c r="C29" s="5" t="s">
        <v>91</v>
      </c>
      <c r="D29" s="6"/>
      <c r="E29" s="14" t="n">
        <v>6</v>
      </c>
      <c r="F29" s="14" t="n">
        <v>16</v>
      </c>
      <c r="G29" s="24" t="n">
        <f aca="false">E29/F29</f>
        <v>0.375</v>
      </c>
      <c r="H29" s="15" t="s">
        <v>420</v>
      </c>
    </row>
    <row r="30" customFormat="false" ht="15" hidden="false" customHeight="false" outlineLevel="0" collapsed="false">
      <c r="A30" s="17"/>
      <c r="B30" s="18" t="s">
        <v>427</v>
      </c>
      <c r="C30" s="17"/>
      <c r="D30" s="17"/>
      <c r="E30" s="17"/>
      <c r="F30" s="17"/>
      <c r="G30" s="32" t="n">
        <f aca="false">SUM(G28:G29)</f>
        <v>1.04166666666667</v>
      </c>
      <c r="H30" s="17"/>
    </row>
    <row r="31" customFormat="false" ht="15" hidden="false" customHeight="false" outlineLevel="0" collapsed="false">
      <c r="A31" s="17"/>
      <c r="B31" s="18" t="s">
        <v>428</v>
      </c>
      <c r="C31" s="17"/>
      <c r="D31" s="17"/>
      <c r="E31" s="17"/>
      <c r="F31" s="17"/>
      <c r="G31" s="26" t="n">
        <f aca="false">ROUND(1/G30,4)</f>
        <v>0.96</v>
      </c>
      <c r="H31" s="17"/>
    </row>
    <row r="33" customFormat="false" ht="15.75" hidden="false" customHeight="true" outlineLevel="0" collapsed="false">
      <c r="A33" s="33" t="s">
        <v>429</v>
      </c>
      <c r="B33" s="33"/>
      <c r="C33" s="33"/>
      <c r="D33" s="33"/>
      <c r="E33" s="33"/>
      <c r="F33" s="33"/>
      <c r="G33" s="33"/>
      <c r="H33" s="33"/>
    </row>
    <row r="34" customFormat="false" ht="15" hidden="false" customHeight="true" outlineLevel="0" collapsed="false">
      <c r="A34" s="3" t="s">
        <v>565</v>
      </c>
      <c r="B34" s="3"/>
      <c r="C34" s="3"/>
      <c r="D34" s="3"/>
      <c r="E34" s="3"/>
      <c r="F34" s="3"/>
      <c r="G34" s="3"/>
      <c r="H34" s="3"/>
    </row>
    <row r="35" customFormat="false" ht="15" hidden="false" customHeight="true" outlineLevel="0" collapsed="false">
      <c r="A35" s="3" t="s">
        <v>566</v>
      </c>
      <c r="B35" s="3"/>
      <c r="C35" s="3"/>
      <c r="D35" s="3"/>
      <c r="E35" s="3"/>
      <c r="F35" s="3"/>
      <c r="G35" s="3"/>
      <c r="H35" s="3"/>
    </row>
  </sheetData>
  <mergeCells count="12">
    <mergeCell ref="A1:H1"/>
    <mergeCell ref="A2:H2"/>
    <mergeCell ref="B3:H3"/>
    <mergeCell ref="D5:F5"/>
    <mergeCell ref="A8:H8"/>
    <mergeCell ref="A12:H12"/>
    <mergeCell ref="A20:H20"/>
    <mergeCell ref="A24:F24"/>
    <mergeCell ref="A26:H26"/>
    <mergeCell ref="A33:H33"/>
    <mergeCell ref="A34:H34"/>
    <mergeCell ref="A35:H35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24" hidden="false" customHeight="true" outlineLevel="0" collapsed="false">
      <c r="A1" s="1" t="s">
        <v>367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2" t="s">
        <v>1</v>
      </c>
      <c r="B2" s="12"/>
      <c r="C2" s="12"/>
      <c r="D2" s="12"/>
      <c r="E2" s="12"/>
      <c r="F2" s="12"/>
      <c r="G2" s="12"/>
      <c r="H2" s="12"/>
    </row>
    <row r="3" customFormat="false" ht="30" hidden="false" customHeight="true" outlineLevel="0" collapsed="false">
      <c r="A3" s="18" t="s">
        <v>368</v>
      </c>
      <c r="B3" s="11" t="s">
        <v>567</v>
      </c>
      <c r="C3" s="11"/>
      <c r="D3" s="11"/>
      <c r="E3" s="11"/>
      <c r="F3" s="11"/>
      <c r="G3" s="11"/>
      <c r="H3" s="11"/>
    </row>
    <row r="4" customFormat="false" ht="30" hidden="false" customHeight="true" outlineLevel="0" collapsed="false">
      <c r="A4" s="18" t="s">
        <v>370</v>
      </c>
      <c r="B4" s="25" t="n">
        <f aca="false">G29</f>
        <v>0.5</v>
      </c>
      <c r="C4" s="13" t="s">
        <v>371</v>
      </c>
      <c r="D4" s="26" t="n">
        <f aca="false">SUM(E9:E10)</f>
        <v>32</v>
      </c>
      <c r="E4" s="13" t="s">
        <v>372</v>
      </c>
      <c r="F4" s="26" t="n">
        <f aca="false">SUMIF(C18:C18,"hm",E18:E18)</f>
        <v>0</v>
      </c>
      <c r="G4" s="13" t="s">
        <v>373</v>
      </c>
      <c r="H4" s="27" t="n">
        <f aca="false">G20</f>
        <v>1387.45</v>
      </c>
    </row>
    <row r="5" customFormat="false" ht="15" hidden="false" customHeight="true" outlineLevel="0" collapsed="false">
      <c r="A5" s="18" t="s">
        <v>374</v>
      </c>
      <c r="B5" s="6" t="s">
        <v>375</v>
      </c>
      <c r="C5" s="13" t="s">
        <v>376</v>
      </c>
      <c r="D5" s="28" t="s">
        <v>377</v>
      </c>
      <c r="E5" s="28"/>
      <c r="F5" s="28"/>
      <c r="G5" s="13" t="s">
        <v>378</v>
      </c>
      <c r="H5" s="6" t="s">
        <v>379</v>
      </c>
    </row>
    <row r="7" customFormat="false" ht="15" hidden="false" customHeight="false" outlineLevel="0" collapsed="false">
      <c r="A7" s="4" t="s">
        <v>58</v>
      </c>
      <c r="B7" s="4" t="s">
        <v>380</v>
      </c>
      <c r="C7" s="4" t="s">
        <v>5</v>
      </c>
      <c r="D7" s="4" t="s">
        <v>381</v>
      </c>
      <c r="E7" s="4" t="s">
        <v>382</v>
      </c>
      <c r="F7" s="4" t="s">
        <v>383</v>
      </c>
      <c r="G7" s="4" t="s">
        <v>384</v>
      </c>
      <c r="H7" s="4" t="s">
        <v>41</v>
      </c>
    </row>
    <row r="8" customFormat="false" ht="15.75" hidden="false" customHeight="true" outlineLevel="0" collapsed="false">
      <c r="A8" s="11" t="s">
        <v>385</v>
      </c>
      <c r="B8" s="11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5" t="s">
        <v>386</v>
      </c>
      <c r="B9" s="6" t="s">
        <v>387</v>
      </c>
      <c r="C9" s="5" t="s">
        <v>388</v>
      </c>
      <c r="D9" s="14" t="n">
        <v>1</v>
      </c>
      <c r="E9" s="29" t="n">
        <f aca="false">ROUND(D9*8/$B$4,4)</f>
        <v>16</v>
      </c>
      <c r="F9" s="16" t="n">
        <f aca="false">'MANO DE OBRA 2026'!$C$16</f>
        <v>28.95</v>
      </c>
      <c r="G9" s="8" t="n">
        <f aca="false">ROUND(E9*F9,2)</f>
        <v>463.2</v>
      </c>
      <c r="H9" s="15" t="s">
        <v>389</v>
      </c>
    </row>
    <row r="10" customFormat="false" ht="15" hidden="false" customHeight="false" outlineLevel="0" collapsed="false">
      <c r="A10" s="5" t="s">
        <v>390</v>
      </c>
      <c r="B10" s="6" t="s">
        <v>391</v>
      </c>
      <c r="C10" s="5" t="s">
        <v>388</v>
      </c>
      <c r="D10" s="14" t="n">
        <v>1</v>
      </c>
      <c r="E10" s="29" t="n">
        <f aca="false">ROUND(D10*8/$B$4,4)</f>
        <v>16</v>
      </c>
      <c r="F10" s="16" t="n">
        <f aca="false">'MANO DE OBRA 2026'!$E$16</f>
        <v>20.54</v>
      </c>
      <c r="G10" s="8" t="n">
        <f aca="false">ROUND(E10*F10,2)</f>
        <v>328.64</v>
      </c>
      <c r="H10" s="15" t="s">
        <v>389</v>
      </c>
    </row>
    <row r="11" customFormat="false" ht="15" hidden="false" customHeight="false" outlineLevel="0" collapsed="false">
      <c r="A11" s="17"/>
      <c r="B11" s="18" t="s">
        <v>392</v>
      </c>
      <c r="C11" s="17"/>
      <c r="D11" s="17"/>
      <c r="E11" s="17"/>
      <c r="F11" s="17"/>
      <c r="G11" s="23" t="n">
        <f aca="false">SUM(G9:G10)</f>
        <v>791.84</v>
      </c>
      <c r="H11" s="17"/>
    </row>
    <row r="12" customFormat="false" ht="15.75" hidden="false" customHeight="true" outlineLevel="0" collapsed="false">
      <c r="A12" s="11" t="s">
        <v>393</v>
      </c>
      <c r="B12" s="11"/>
      <c r="C12" s="11"/>
      <c r="D12" s="11"/>
      <c r="E12" s="11"/>
      <c r="F12" s="11"/>
      <c r="G12" s="11"/>
      <c r="H12" s="11"/>
    </row>
    <row r="13" customFormat="false" ht="24" hidden="false" customHeight="true" outlineLevel="0" collapsed="false">
      <c r="A13" s="5" t="s">
        <v>289</v>
      </c>
      <c r="B13" s="6" t="s">
        <v>568</v>
      </c>
      <c r="C13" s="5" t="s">
        <v>291</v>
      </c>
      <c r="D13" s="6"/>
      <c r="E13" s="29" t="n">
        <f aca="false">(32+15)*1.1</f>
        <v>51.7</v>
      </c>
      <c r="F13" s="8" t="n">
        <f aca="false">'PRECIOS DE INSUMOS'!$H$51</f>
        <v>8.33</v>
      </c>
      <c r="G13" s="8" t="n">
        <f aca="false">ROUND(E13*F13,2)</f>
        <v>430.66</v>
      </c>
      <c r="H13" s="15" t="s">
        <v>569</v>
      </c>
    </row>
    <row r="14" customFormat="false" ht="24" hidden="false" customHeight="true" outlineLevel="0" collapsed="false">
      <c r="A14" s="5" t="s">
        <v>296</v>
      </c>
      <c r="B14" s="6" t="s">
        <v>570</v>
      </c>
      <c r="C14" s="5" t="s">
        <v>249</v>
      </c>
      <c r="D14" s="6"/>
      <c r="E14" s="29" t="n">
        <f aca="false">ROUND((32+15)*50/1000/0.7,2)</f>
        <v>3.36</v>
      </c>
      <c r="F14" s="8" t="n">
        <f aca="false">'PRECIOS DE INSUMOS'!$H$52</f>
        <v>29.66</v>
      </c>
      <c r="G14" s="8" t="n">
        <f aca="false">ROUND(E14*F14,2)</f>
        <v>99.66</v>
      </c>
      <c r="H14" s="15" t="s">
        <v>571</v>
      </c>
    </row>
    <row r="15" customFormat="false" ht="24" hidden="false" customHeight="true" outlineLevel="0" collapsed="false">
      <c r="A15" s="5" t="s">
        <v>303</v>
      </c>
      <c r="B15" s="6" t="s">
        <v>572</v>
      </c>
      <c r="C15" s="5" t="s">
        <v>91</v>
      </c>
      <c r="D15" s="6"/>
      <c r="E15" s="30" t="n">
        <v>1</v>
      </c>
      <c r="F15" s="8" t="n">
        <f aca="false">'PRECIOS DE INSUMOS'!$H$53</f>
        <v>41.53</v>
      </c>
      <c r="G15" s="8" t="n">
        <f aca="false">ROUND(E15*F15,2)</f>
        <v>41.53</v>
      </c>
      <c r="H15" s="15" t="s">
        <v>573</v>
      </c>
    </row>
    <row r="16" customFormat="false" ht="15" hidden="false" customHeight="false" outlineLevel="0" collapsed="false">
      <c r="A16" s="17"/>
      <c r="B16" s="18" t="s">
        <v>403</v>
      </c>
      <c r="C16" s="17"/>
      <c r="D16" s="17"/>
      <c r="E16" s="17"/>
      <c r="F16" s="17"/>
      <c r="G16" s="23" t="n">
        <f aca="false">SUM(G13:G15)</f>
        <v>571.85</v>
      </c>
      <c r="H16" s="17"/>
    </row>
    <row r="17" customFormat="false" ht="15.75" hidden="false" customHeight="true" outlineLevel="0" collapsed="false">
      <c r="A17" s="11" t="s">
        <v>404</v>
      </c>
      <c r="B17" s="11"/>
      <c r="C17" s="11"/>
      <c r="D17" s="11"/>
      <c r="E17" s="11"/>
      <c r="F17" s="11"/>
      <c r="G17" s="11"/>
      <c r="H17" s="11"/>
    </row>
    <row r="18" customFormat="false" ht="24" hidden="false" customHeight="true" outlineLevel="0" collapsed="false">
      <c r="A18" s="5" t="s">
        <v>405</v>
      </c>
      <c r="B18" s="6" t="s">
        <v>406</v>
      </c>
      <c r="C18" s="5" t="s">
        <v>407</v>
      </c>
      <c r="D18" s="6"/>
      <c r="E18" s="14" t="n">
        <v>3</v>
      </c>
      <c r="F18" s="8" t="n">
        <f aca="false">G11</f>
        <v>791.84</v>
      </c>
      <c r="G18" s="8" t="n">
        <f aca="false">ROUND(E18/100*F18,2)</f>
        <v>23.76</v>
      </c>
      <c r="H18" s="15" t="s">
        <v>574</v>
      </c>
    </row>
    <row r="19" customFormat="false" ht="15" hidden="false" customHeight="false" outlineLevel="0" collapsed="false">
      <c r="A19" s="17"/>
      <c r="B19" s="18" t="s">
        <v>410</v>
      </c>
      <c r="C19" s="17"/>
      <c r="D19" s="17"/>
      <c r="E19" s="17"/>
      <c r="F19" s="17"/>
      <c r="G19" s="23" t="n">
        <f aca="false">SUM(G18:G18)</f>
        <v>23.76</v>
      </c>
      <c r="H19" s="17"/>
    </row>
    <row r="20" customFormat="false" ht="19.5" hidden="false" customHeight="true" outlineLevel="0" collapsed="false">
      <c r="A20" s="9" t="s">
        <v>411</v>
      </c>
      <c r="B20" s="9"/>
      <c r="C20" s="9"/>
      <c r="D20" s="9"/>
      <c r="E20" s="9"/>
      <c r="F20" s="9"/>
      <c r="G20" s="10" t="n">
        <f aca="false">G11+G16+G19</f>
        <v>1387.45</v>
      </c>
      <c r="H20" s="31"/>
    </row>
    <row r="22" customFormat="false" ht="15.75" hidden="false" customHeight="true" outlineLevel="0" collapsed="false">
      <c r="A22" s="11" t="s">
        <v>412</v>
      </c>
      <c r="B22" s="11"/>
      <c r="C22" s="11"/>
      <c r="D22" s="11"/>
      <c r="E22" s="11"/>
      <c r="F22" s="11"/>
      <c r="G22" s="11"/>
      <c r="H22" s="11"/>
    </row>
    <row r="23" customFormat="false" ht="15" hidden="false" customHeight="false" outlineLevel="0" collapsed="false">
      <c r="A23" s="13" t="s">
        <v>413</v>
      </c>
      <c r="B23" s="13" t="s">
        <v>414</v>
      </c>
      <c r="C23" s="13" t="s">
        <v>5</v>
      </c>
      <c r="D23" s="13"/>
      <c r="E23" s="13" t="s">
        <v>382</v>
      </c>
      <c r="F23" s="13" t="s">
        <v>415</v>
      </c>
      <c r="G23" s="13" t="s">
        <v>416</v>
      </c>
      <c r="H23" s="13" t="s">
        <v>417</v>
      </c>
    </row>
    <row r="24" customFormat="false" ht="24" hidden="false" customHeight="true" outlineLevel="0" collapsed="false">
      <c r="A24" s="5" t="s">
        <v>575</v>
      </c>
      <c r="B24" s="6" t="s">
        <v>576</v>
      </c>
      <c r="C24" s="5" t="s">
        <v>91</v>
      </c>
      <c r="D24" s="6"/>
      <c r="E24" s="14" t="n">
        <v>1</v>
      </c>
      <c r="F24" s="14" t="n">
        <v>2</v>
      </c>
      <c r="G24" s="24" t="n">
        <f aca="false">E24/F24</f>
        <v>0.5</v>
      </c>
      <c r="H24" s="15" t="s">
        <v>577</v>
      </c>
    </row>
    <row r="25" customFormat="false" ht="24" hidden="false" customHeight="true" outlineLevel="0" collapsed="false">
      <c r="A25" s="5" t="s">
        <v>578</v>
      </c>
      <c r="B25" s="6" t="s">
        <v>579</v>
      </c>
      <c r="C25" s="5" t="s">
        <v>91</v>
      </c>
      <c r="D25" s="6"/>
      <c r="E25" s="14" t="n">
        <v>1</v>
      </c>
      <c r="F25" s="14" t="n">
        <v>4</v>
      </c>
      <c r="G25" s="24" t="n">
        <f aca="false">E25/F25</f>
        <v>0.25</v>
      </c>
      <c r="H25" s="15" t="s">
        <v>580</v>
      </c>
    </row>
    <row r="26" customFormat="false" ht="24" hidden="false" customHeight="true" outlineLevel="0" collapsed="false">
      <c r="A26" s="5" t="s">
        <v>581</v>
      </c>
      <c r="B26" s="6" t="s">
        <v>582</v>
      </c>
      <c r="C26" s="5" t="s">
        <v>91</v>
      </c>
      <c r="D26" s="6"/>
      <c r="E26" s="14" t="n">
        <v>1</v>
      </c>
      <c r="F26" s="14" t="n">
        <v>2</v>
      </c>
      <c r="G26" s="24" t="n">
        <f aca="false">E26/F26</f>
        <v>0.5</v>
      </c>
      <c r="H26" s="15" t="s">
        <v>583</v>
      </c>
    </row>
    <row r="27" customFormat="false" ht="15" hidden="false" customHeight="true" outlineLevel="0" collapsed="false">
      <c r="A27" s="5" t="s">
        <v>584</v>
      </c>
      <c r="B27" s="6" t="s">
        <v>585</v>
      </c>
      <c r="C27" s="5" t="s">
        <v>91</v>
      </c>
      <c r="D27" s="6"/>
      <c r="E27" s="14" t="n">
        <v>1</v>
      </c>
      <c r="F27" s="14" t="n">
        <v>1.333</v>
      </c>
      <c r="G27" s="24" t="n">
        <f aca="false">E27/F27</f>
        <v>0.750187546886722</v>
      </c>
      <c r="H27" s="15" t="s">
        <v>586</v>
      </c>
    </row>
    <row r="28" customFormat="false" ht="15" hidden="false" customHeight="false" outlineLevel="0" collapsed="false">
      <c r="A28" s="17"/>
      <c r="B28" s="18" t="s">
        <v>427</v>
      </c>
      <c r="C28" s="17"/>
      <c r="D28" s="17"/>
      <c r="E28" s="17"/>
      <c r="F28" s="17"/>
      <c r="G28" s="32" t="n">
        <f aca="false">SUM(G24:G27)</f>
        <v>2.00018754688672</v>
      </c>
      <c r="H28" s="17"/>
    </row>
    <row r="29" customFormat="false" ht="15" hidden="false" customHeight="false" outlineLevel="0" collapsed="false">
      <c r="A29" s="17"/>
      <c r="B29" s="18" t="s">
        <v>428</v>
      </c>
      <c r="C29" s="17"/>
      <c r="D29" s="17"/>
      <c r="E29" s="17"/>
      <c r="F29" s="17"/>
      <c r="G29" s="26" t="n">
        <f aca="false">ROUND(1/G28,4)</f>
        <v>0.5</v>
      </c>
      <c r="H29" s="17"/>
    </row>
    <row r="31" customFormat="false" ht="15.75" hidden="false" customHeight="true" outlineLevel="0" collapsed="false">
      <c r="A31" s="33" t="s">
        <v>429</v>
      </c>
      <c r="B31" s="33"/>
      <c r="C31" s="33"/>
      <c r="D31" s="33"/>
      <c r="E31" s="33"/>
      <c r="F31" s="33"/>
      <c r="G31" s="33"/>
      <c r="H31" s="33"/>
    </row>
    <row r="32" customFormat="false" ht="25.5" hidden="false" customHeight="true" outlineLevel="0" collapsed="false">
      <c r="A32" s="3" t="s">
        <v>587</v>
      </c>
      <c r="B32" s="3"/>
      <c r="C32" s="3"/>
      <c r="D32" s="3"/>
      <c r="E32" s="3"/>
      <c r="F32" s="3"/>
      <c r="G32" s="3"/>
      <c r="H32" s="3"/>
    </row>
    <row r="33" customFormat="false" ht="25.5" hidden="false" customHeight="true" outlineLevel="0" collapsed="false">
      <c r="A33" s="3" t="s">
        <v>588</v>
      </c>
      <c r="B33" s="3"/>
      <c r="C33" s="3"/>
      <c r="D33" s="3"/>
      <c r="E33" s="3"/>
      <c r="F33" s="3"/>
      <c r="G33" s="3"/>
      <c r="H33" s="3"/>
    </row>
    <row r="34" customFormat="false" ht="15" hidden="false" customHeight="true" outlineLevel="0" collapsed="false">
      <c r="A34" s="3" t="s">
        <v>589</v>
      </c>
      <c r="B34" s="3"/>
      <c r="C34" s="3"/>
      <c r="D34" s="3"/>
      <c r="E34" s="3"/>
      <c r="F34" s="3"/>
      <c r="G34" s="3"/>
      <c r="H34" s="3"/>
    </row>
  </sheetData>
  <mergeCells count="13">
    <mergeCell ref="A1:H1"/>
    <mergeCell ref="A2:H2"/>
    <mergeCell ref="B3:H3"/>
    <mergeCell ref="D5:F5"/>
    <mergeCell ref="A8:H8"/>
    <mergeCell ref="A12:H12"/>
    <mergeCell ref="A17:H17"/>
    <mergeCell ref="A20:F20"/>
    <mergeCell ref="A22:H22"/>
    <mergeCell ref="A31:H31"/>
    <mergeCell ref="A32:H32"/>
    <mergeCell ref="A33:H33"/>
    <mergeCell ref="A34:H34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24" hidden="false" customHeight="true" outlineLevel="0" collapsed="false">
      <c r="A1" s="1" t="s">
        <v>367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2" t="s">
        <v>1</v>
      </c>
      <c r="B2" s="12"/>
      <c r="C2" s="12"/>
      <c r="D2" s="12"/>
      <c r="E2" s="12"/>
      <c r="F2" s="12"/>
      <c r="G2" s="12"/>
      <c r="H2" s="12"/>
    </row>
    <row r="3" customFormat="false" ht="30" hidden="false" customHeight="true" outlineLevel="0" collapsed="false">
      <c r="A3" s="18" t="s">
        <v>368</v>
      </c>
      <c r="B3" s="11" t="s">
        <v>590</v>
      </c>
      <c r="C3" s="11"/>
      <c r="D3" s="11"/>
      <c r="E3" s="11"/>
      <c r="F3" s="11"/>
      <c r="G3" s="11"/>
      <c r="H3" s="11"/>
    </row>
    <row r="4" customFormat="false" ht="30" hidden="false" customHeight="true" outlineLevel="0" collapsed="false">
      <c r="A4" s="18" t="s">
        <v>370</v>
      </c>
      <c r="B4" s="25" t="n">
        <f aca="false">G36</f>
        <v>0.3437</v>
      </c>
      <c r="C4" s="13" t="s">
        <v>371</v>
      </c>
      <c r="D4" s="26" t="n">
        <f aca="false">SUM(E9:E10)</f>
        <v>46.5522</v>
      </c>
      <c r="E4" s="13" t="s">
        <v>372</v>
      </c>
      <c r="F4" s="26" t="n">
        <f aca="false">SUMIF(C24:C25,"hm",E24:E25)</f>
        <v>13.77</v>
      </c>
      <c r="G4" s="13" t="s">
        <v>373</v>
      </c>
      <c r="H4" s="27" t="n">
        <f aca="false">G27</f>
        <v>2274.97</v>
      </c>
    </row>
    <row r="5" customFormat="false" ht="15" hidden="false" customHeight="true" outlineLevel="0" collapsed="false">
      <c r="A5" s="18" t="s">
        <v>374</v>
      </c>
      <c r="B5" s="6" t="s">
        <v>375</v>
      </c>
      <c r="C5" s="13" t="s">
        <v>376</v>
      </c>
      <c r="D5" s="28" t="s">
        <v>377</v>
      </c>
      <c r="E5" s="28"/>
      <c r="F5" s="28"/>
      <c r="G5" s="13" t="s">
        <v>378</v>
      </c>
      <c r="H5" s="6" t="s">
        <v>379</v>
      </c>
    </row>
    <row r="7" customFormat="false" ht="15" hidden="false" customHeight="false" outlineLevel="0" collapsed="false">
      <c r="A7" s="4" t="s">
        <v>58</v>
      </c>
      <c r="B7" s="4" t="s">
        <v>380</v>
      </c>
      <c r="C7" s="4" t="s">
        <v>5</v>
      </c>
      <c r="D7" s="4" t="s">
        <v>381</v>
      </c>
      <c r="E7" s="4" t="s">
        <v>382</v>
      </c>
      <c r="F7" s="4" t="s">
        <v>383</v>
      </c>
      <c r="G7" s="4" t="s">
        <v>384</v>
      </c>
      <c r="H7" s="4" t="s">
        <v>41</v>
      </c>
    </row>
    <row r="8" customFormat="false" ht="15.75" hidden="false" customHeight="true" outlineLevel="0" collapsed="false">
      <c r="A8" s="11" t="s">
        <v>385</v>
      </c>
      <c r="B8" s="11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5" t="s">
        <v>386</v>
      </c>
      <c r="B9" s="6" t="s">
        <v>387</v>
      </c>
      <c r="C9" s="5" t="s">
        <v>388</v>
      </c>
      <c r="D9" s="14" t="n">
        <v>1</v>
      </c>
      <c r="E9" s="29" t="n">
        <f aca="false">ROUND(D9*8/$B$4,4)</f>
        <v>23.2761</v>
      </c>
      <c r="F9" s="16" t="n">
        <f aca="false">'MANO DE OBRA 2026'!$C$16</f>
        <v>28.95</v>
      </c>
      <c r="G9" s="8" t="n">
        <f aca="false">ROUND(E9*F9,2)</f>
        <v>673.84</v>
      </c>
      <c r="H9" s="15" t="s">
        <v>389</v>
      </c>
    </row>
    <row r="10" customFormat="false" ht="15" hidden="false" customHeight="false" outlineLevel="0" collapsed="false">
      <c r="A10" s="5" t="s">
        <v>390</v>
      </c>
      <c r="B10" s="6" t="s">
        <v>391</v>
      </c>
      <c r="C10" s="5" t="s">
        <v>388</v>
      </c>
      <c r="D10" s="14" t="n">
        <v>1</v>
      </c>
      <c r="E10" s="29" t="n">
        <f aca="false">ROUND(D10*8/$B$4,4)</f>
        <v>23.2761</v>
      </c>
      <c r="F10" s="16" t="n">
        <f aca="false">'MANO DE OBRA 2026'!$E$16</f>
        <v>20.54</v>
      </c>
      <c r="G10" s="8" t="n">
        <f aca="false">ROUND(E10*F10,2)</f>
        <v>478.09</v>
      </c>
      <c r="H10" s="15" t="s">
        <v>389</v>
      </c>
    </row>
    <row r="11" customFormat="false" ht="15" hidden="false" customHeight="false" outlineLevel="0" collapsed="false">
      <c r="A11" s="17"/>
      <c r="B11" s="18" t="s">
        <v>392</v>
      </c>
      <c r="C11" s="17"/>
      <c r="D11" s="17"/>
      <c r="E11" s="17"/>
      <c r="F11" s="17"/>
      <c r="G11" s="23" t="n">
        <f aca="false">SUM(G9:G10)</f>
        <v>1151.93</v>
      </c>
      <c r="H11" s="17"/>
    </row>
    <row r="12" customFormat="false" ht="15.75" hidden="false" customHeight="true" outlineLevel="0" collapsed="false">
      <c r="A12" s="11" t="s">
        <v>393</v>
      </c>
      <c r="B12" s="11"/>
      <c r="C12" s="11"/>
      <c r="D12" s="11"/>
      <c r="E12" s="11"/>
      <c r="F12" s="11"/>
      <c r="G12" s="11"/>
      <c r="H12" s="11"/>
    </row>
    <row r="13" customFormat="false" ht="24" hidden="false" customHeight="true" outlineLevel="0" collapsed="false">
      <c r="A13" s="5" t="s">
        <v>308</v>
      </c>
      <c r="B13" s="6" t="s">
        <v>309</v>
      </c>
      <c r="C13" s="5" t="s">
        <v>71</v>
      </c>
      <c r="D13" s="6"/>
      <c r="E13" s="29" t="n">
        <f aca="false">11.8*1.05</f>
        <v>12.39</v>
      </c>
      <c r="F13" s="8" t="n">
        <f aca="false">'PRECIOS DE INSUMOS'!$H$54</f>
        <v>25.68</v>
      </c>
      <c r="G13" s="8" t="n">
        <f aca="false">ROUND(E13*F13,2)</f>
        <v>318.18</v>
      </c>
      <c r="H13" s="15" t="s">
        <v>591</v>
      </c>
    </row>
    <row r="14" customFormat="false" ht="15" hidden="false" customHeight="true" outlineLevel="0" collapsed="false">
      <c r="A14" s="5" t="s">
        <v>315</v>
      </c>
      <c r="B14" s="6" t="s">
        <v>592</v>
      </c>
      <c r="C14" s="5" t="s">
        <v>91</v>
      </c>
      <c r="D14" s="6"/>
      <c r="E14" s="30" t="n">
        <v>1</v>
      </c>
      <c r="F14" s="8" t="n">
        <f aca="false">'PRECIOS DE INSUMOS'!$H$55</f>
        <v>398.22</v>
      </c>
      <c r="G14" s="8" t="n">
        <f aca="false">ROUND(E14*F14,2)</f>
        <v>398.22</v>
      </c>
      <c r="H14" s="15" t="s">
        <v>593</v>
      </c>
    </row>
    <row r="15" customFormat="false" ht="24" hidden="false" customHeight="true" outlineLevel="0" collapsed="false">
      <c r="A15" s="5" t="s">
        <v>247</v>
      </c>
      <c r="B15" s="6" t="s">
        <v>594</v>
      </c>
      <c r="C15" s="5" t="s">
        <v>249</v>
      </c>
      <c r="D15" s="6"/>
      <c r="E15" s="29" t="n">
        <f aca="false">ROUND(0.4*0.4*24.91,2)</f>
        <v>3.99</v>
      </c>
      <c r="F15" s="8" t="n">
        <f aca="false">'PRECIOS DE INSUMOS'!$H$44</f>
        <v>2.24</v>
      </c>
      <c r="G15" s="8" t="n">
        <f aca="false">ROUND(E15*F15,2)</f>
        <v>8.94</v>
      </c>
      <c r="H15" s="15" t="s">
        <v>595</v>
      </c>
    </row>
    <row r="16" customFormat="false" ht="15" hidden="false" customHeight="true" outlineLevel="0" collapsed="false">
      <c r="A16" s="5" t="s">
        <v>319</v>
      </c>
      <c r="B16" s="6" t="s">
        <v>320</v>
      </c>
      <c r="C16" s="5" t="s">
        <v>91</v>
      </c>
      <c r="D16" s="6"/>
      <c r="E16" s="30" t="n">
        <v>4</v>
      </c>
      <c r="F16" s="8" t="n">
        <f aca="false">'PRECIOS DE INSUMOS'!$H$56</f>
        <v>42.29</v>
      </c>
      <c r="G16" s="8" t="n">
        <f aca="false">ROUND(E16*F16,2)</f>
        <v>169.16</v>
      </c>
      <c r="H16" s="15" t="s">
        <v>596</v>
      </c>
    </row>
    <row r="17" customFormat="false" ht="24" hidden="false" customHeight="true" outlineLevel="0" collapsed="false">
      <c r="A17" s="5" t="s">
        <v>276</v>
      </c>
      <c r="B17" s="6" t="s">
        <v>277</v>
      </c>
      <c r="C17" s="5" t="s">
        <v>249</v>
      </c>
      <c r="D17" s="6"/>
      <c r="E17" s="30" t="n">
        <v>2.5</v>
      </c>
      <c r="F17" s="8" t="n">
        <f aca="false">'PRECIOS DE INSUMOS'!$H$49</f>
        <v>18.63</v>
      </c>
      <c r="G17" s="8" t="n">
        <f aca="false">ROUND(E17*F17,2)</f>
        <v>46.58</v>
      </c>
      <c r="H17" s="15" t="s">
        <v>597</v>
      </c>
    </row>
    <row r="18" customFormat="false" ht="24" hidden="false" customHeight="true" outlineLevel="0" collapsed="false">
      <c r="A18" s="5" t="s">
        <v>323</v>
      </c>
      <c r="B18" s="6" t="s">
        <v>324</v>
      </c>
      <c r="C18" s="5" t="s">
        <v>267</v>
      </c>
      <c r="D18" s="6"/>
      <c r="E18" s="30" t="n">
        <v>0.3</v>
      </c>
      <c r="F18" s="8" t="n">
        <f aca="false">'PRECIOS DE INSUMOS'!$H$57</f>
        <v>52.54</v>
      </c>
      <c r="G18" s="8" t="n">
        <f aca="false">ROUND(E18*F18,2)</f>
        <v>15.76</v>
      </c>
      <c r="H18" s="15" t="s">
        <v>598</v>
      </c>
    </row>
    <row r="19" customFormat="false" ht="15" hidden="false" customHeight="true" outlineLevel="0" collapsed="false">
      <c r="A19" s="5" t="s">
        <v>328</v>
      </c>
      <c r="B19" s="6" t="s">
        <v>329</v>
      </c>
      <c r="C19" s="5" t="s">
        <v>267</v>
      </c>
      <c r="D19" s="6"/>
      <c r="E19" s="30" t="n">
        <v>0.3</v>
      </c>
      <c r="F19" s="8" t="n">
        <f aca="false">'PRECIOS DE INSUMOS'!$H$58</f>
        <v>48.31</v>
      </c>
      <c r="G19" s="8" t="n">
        <f aca="false">ROUND(E19*F19,2)</f>
        <v>14.49</v>
      </c>
      <c r="H19" s="15" t="s">
        <v>599</v>
      </c>
    </row>
    <row r="20" customFormat="false" ht="15" hidden="false" customHeight="true" outlineLevel="0" collapsed="false">
      <c r="A20" s="5" t="s">
        <v>332</v>
      </c>
      <c r="B20" s="6" t="s">
        <v>600</v>
      </c>
      <c r="C20" s="5" t="s">
        <v>267</v>
      </c>
      <c r="D20" s="6"/>
      <c r="E20" s="30" t="n">
        <v>0.15</v>
      </c>
      <c r="F20" s="8" t="n">
        <f aca="false">'PRECIOS DE INSUMOS'!$H$59</f>
        <v>35.65</v>
      </c>
      <c r="G20" s="8" t="n">
        <f aca="false">ROUND(E20*F20,2)</f>
        <v>5.35</v>
      </c>
      <c r="H20" s="15" t="s">
        <v>601</v>
      </c>
    </row>
    <row r="21" customFormat="false" ht="15" hidden="false" customHeight="true" outlineLevel="0" collapsed="false">
      <c r="A21" s="5" t="s">
        <v>337</v>
      </c>
      <c r="B21" s="6" t="s">
        <v>338</v>
      </c>
      <c r="C21" s="5" t="s">
        <v>91</v>
      </c>
      <c r="D21" s="6"/>
      <c r="E21" s="30" t="n">
        <v>4</v>
      </c>
      <c r="F21" s="8" t="n">
        <f aca="false">'PRECIOS DE INSUMOS'!$H$60</f>
        <v>2.12</v>
      </c>
      <c r="G21" s="8" t="n">
        <f aca="false">ROUND(E21*F21,2)</f>
        <v>8.48</v>
      </c>
      <c r="H21" s="15" t="s">
        <v>602</v>
      </c>
    </row>
    <row r="22" customFormat="false" ht="15" hidden="false" customHeight="false" outlineLevel="0" collapsed="false">
      <c r="A22" s="17"/>
      <c r="B22" s="18" t="s">
        <v>403</v>
      </c>
      <c r="C22" s="17"/>
      <c r="D22" s="17"/>
      <c r="E22" s="17"/>
      <c r="F22" s="17"/>
      <c r="G22" s="23" t="n">
        <f aca="false">SUM(G13:G21)</f>
        <v>985.16</v>
      </c>
      <c r="H22" s="17"/>
    </row>
    <row r="23" customFormat="false" ht="15.75" hidden="false" customHeight="true" outlineLevel="0" collapsed="false">
      <c r="A23" s="11" t="s">
        <v>404</v>
      </c>
      <c r="B23" s="11"/>
      <c r="C23" s="11"/>
      <c r="D23" s="11"/>
      <c r="E23" s="11"/>
      <c r="F23" s="11"/>
      <c r="G23" s="11"/>
      <c r="H23" s="11"/>
    </row>
    <row r="24" customFormat="false" ht="24" hidden="false" customHeight="true" outlineLevel="0" collapsed="false">
      <c r="A24" s="5" t="s">
        <v>405</v>
      </c>
      <c r="B24" s="6" t="s">
        <v>406</v>
      </c>
      <c r="C24" s="5" t="s">
        <v>407</v>
      </c>
      <c r="D24" s="6"/>
      <c r="E24" s="14" t="n">
        <v>5</v>
      </c>
      <c r="F24" s="8" t="n">
        <f aca="false">G11</f>
        <v>1151.93</v>
      </c>
      <c r="G24" s="8" t="n">
        <f aca="false">ROUND(E24/100*F24,2)</f>
        <v>57.6</v>
      </c>
      <c r="H24" s="15" t="s">
        <v>603</v>
      </c>
    </row>
    <row r="25" customFormat="false" ht="24" hidden="false" customHeight="true" outlineLevel="0" collapsed="false">
      <c r="A25" s="5" t="s">
        <v>281</v>
      </c>
      <c r="B25" s="6" t="s">
        <v>282</v>
      </c>
      <c r="C25" s="5" t="s">
        <v>283</v>
      </c>
      <c r="D25" s="6"/>
      <c r="E25" s="29" t="n">
        <f aca="false">ROUND(ROUND(11.8*1.05*8.34,1)/60*8,2)</f>
        <v>13.77</v>
      </c>
      <c r="F25" s="8" t="n">
        <f aca="false">'PRECIOS DE INSUMOS'!$H$50</f>
        <v>5.83</v>
      </c>
      <c r="G25" s="8" t="n">
        <f aca="false">ROUND(E25*F25,2)</f>
        <v>80.28</v>
      </c>
      <c r="H25" s="15" t="s">
        <v>604</v>
      </c>
    </row>
    <row r="26" customFormat="false" ht="15" hidden="false" customHeight="false" outlineLevel="0" collapsed="false">
      <c r="A26" s="17"/>
      <c r="B26" s="18" t="s">
        <v>410</v>
      </c>
      <c r="C26" s="17"/>
      <c r="D26" s="17"/>
      <c r="E26" s="17"/>
      <c r="F26" s="17"/>
      <c r="G26" s="23" t="n">
        <f aca="false">SUM(G24:G25)</f>
        <v>137.88</v>
      </c>
      <c r="H26" s="17"/>
    </row>
    <row r="27" customFormat="false" ht="19.5" hidden="false" customHeight="true" outlineLevel="0" collapsed="false">
      <c r="A27" s="9" t="s">
        <v>411</v>
      </c>
      <c r="B27" s="9"/>
      <c r="C27" s="9"/>
      <c r="D27" s="9"/>
      <c r="E27" s="9"/>
      <c r="F27" s="9"/>
      <c r="G27" s="10" t="n">
        <f aca="false">G11+G22+G26</f>
        <v>2274.97</v>
      </c>
      <c r="H27" s="31"/>
    </row>
    <row r="29" customFormat="false" ht="15.75" hidden="false" customHeight="true" outlineLevel="0" collapsed="false">
      <c r="A29" s="11" t="s">
        <v>412</v>
      </c>
      <c r="B29" s="11"/>
      <c r="C29" s="11"/>
      <c r="D29" s="11"/>
      <c r="E29" s="11"/>
      <c r="F29" s="11"/>
      <c r="G29" s="11"/>
      <c r="H29" s="11"/>
    </row>
    <row r="30" customFormat="false" ht="15" hidden="false" customHeight="false" outlineLevel="0" collapsed="false">
      <c r="A30" s="13" t="s">
        <v>413</v>
      </c>
      <c r="B30" s="13" t="s">
        <v>414</v>
      </c>
      <c r="C30" s="13" t="s">
        <v>5</v>
      </c>
      <c r="D30" s="13"/>
      <c r="E30" s="13" t="s">
        <v>382</v>
      </c>
      <c r="F30" s="13" t="s">
        <v>415</v>
      </c>
      <c r="G30" s="13" t="s">
        <v>416</v>
      </c>
      <c r="H30" s="13" t="s">
        <v>417</v>
      </c>
    </row>
    <row r="31" customFormat="false" ht="15" hidden="false" customHeight="true" outlineLevel="0" collapsed="false">
      <c r="A31" s="5" t="s">
        <v>605</v>
      </c>
      <c r="B31" s="6" t="s">
        <v>606</v>
      </c>
      <c r="C31" s="5" t="s">
        <v>249</v>
      </c>
      <c r="D31" s="6"/>
      <c r="E31" s="16" t="n">
        <f aca="false">ROUND(11.8*1.05*8.34,1)</f>
        <v>103.3</v>
      </c>
      <c r="F31" s="14" t="n">
        <v>60</v>
      </c>
      <c r="G31" s="24" t="n">
        <f aca="false">E31/F31</f>
        <v>1.72166666666667</v>
      </c>
      <c r="H31" s="15" t="s">
        <v>607</v>
      </c>
    </row>
    <row r="32" customFormat="false" ht="15" hidden="false" customHeight="true" outlineLevel="0" collapsed="false">
      <c r="A32" s="5" t="s">
        <v>608</v>
      </c>
      <c r="B32" s="6" t="s">
        <v>609</v>
      </c>
      <c r="C32" s="5" t="s">
        <v>261</v>
      </c>
      <c r="D32" s="6"/>
      <c r="E32" s="14" t="n">
        <v>4.7</v>
      </c>
      <c r="F32" s="14" t="n">
        <v>25</v>
      </c>
      <c r="G32" s="24" t="n">
        <f aca="false">E32/F32</f>
        <v>0.188</v>
      </c>
      <c r="H32" s="15" t="s">
        <v>610</v>
      </c>
    </row>
    <row r="33" customFormat="false" ht="15" hidden="false" customHeight="true" outlineLevel="0" collapsed="false">
      <c r="A33" s="5" t="s">
        <v>611</v>
      </c>
      <c r="B33" s="6" t="s">
        <v>612</v>
      </c>
      <c r="C33" s="5" t="s">
        <v>91</v>
      </c>
      <c r="D33" s="6"/>
      <c r="E33" s="14" t="n">
        <v>4</v>
      </c>
      <c r="F33" s="14" t="n">
        <v>8</v>
      </c>
      <c r="G33" s="24" t="n">
        <f aca="false">E33/F33</f>
        <v>0.5</v>
      </c>
      <c r="H33" s="15" t="s">
        <v>613</v>
      </c>
    </row>
    <row r="34" customFormat="false" ht="15" hidden="false" customHeight="true" outlineLevel="0" collapsed="false">
      <c r="A34" s="5" t="s">
        <v>614</v>
      </c>
      <c r="B34" s="6" t="s">
        <v>615</v>
      </c>
      <c r="C34" s="5" t="s">
        <v>91</v>
      </c>
      <c r="D34" s="6"/>
      <c r="E34" s="14" t="n">
        <v>1</v>
      </c>
      <c r="F34" s="14" t="n">
        <v>2</v>
      </c>
      <c r="G34" s="24" t="n">
        <f aca="false">E34/F34</f>
        <v>0.5</v>
      </c>
      <c r="H34" s="15" t="s">
        <v>583</v>
      </c>
    </row>
    <row r="35" customFormat="false" ht="15" hidden="false" customHeight="false" outlineLevel="0" collapsed="false">
      <c r="A35" s="17"/>
      <c r="B35" s="18" t="s">
        <v>427</v>
      </c>
      <c r="C35" s="17"/>
      <c r="D35" s="17"/>
      <c r="E35" s="17"/>
      <c r="F35" s="17"/>
      <c r="G35" s="32" t="n">
        <f aca="false">SUM(G31:G34)</f>
        <v>2.90966666666667</v>
      </c>
      <c r="H35" s="17"/>
    </row>
    <row r="36" customFormat="false" ht="15" hidden="false" customHeight="false" outlineLevel="0" collapsed="false">
      <c r="A36" s="17"/>
      <c r="B36" s="18" t="s">
        <v>428</v>
      </c>
      <c r="C36" s="17"/>
      <c r="D36" s="17"/>
      <c r="E36" s="17"/>
      <c r="F36" s="17"/>
      <c r="G36" s="26" t="n">
        <f aca="false">ROUND(1/G35,4)</f>
        <v>0.3437</v>
      </c>
      <c r="H36" s="17"/>
    </row>
    <row r="38" customFormat="false" ht="15.75" hidden="false" customHeight="true" outlineLevel="0" collapsed="false">
      <c r="A38" s="33" t="s">
        <v>429</v>
      </c>
      <c r="B38" s="33"/>
      <c r="C38" s="33"/>
      <c r="D38" s="33"/>
      <c r="E38" s="33"/>
      <c r="F38" s="33"/>
      <c r="G38" s="33"/>
      <c r="H38" s="33"/>
    </row>
    <row r="39" customFormat="false" ht="25.5" hidden="false" customHeight="true" outlineLevel="0" collapsed="false">
      <c r="A39" s="3" t="s">
        <v>616</v>
      </c>
      <c r="B39" s="3"/>
      <c r="C39" s="3"/>
      <c r="D39" s="3"/>
      <c r="E39" s="3"/>
      <c r="F39" s="3"/>
      <c r="G39" s="3"/>
      <c r="H39" s="3"/>
    </row>
    <row r="40" customFormat="false" ht="25.5" hidden="false" customHeight="true" outlineLevel="0" collapsed="false">
      <c r="A40" s="3" t="s">
        <v>617</v>
      </c>
      <c r="B40" s="3"/>
      <c r="C40" s="3"/>
      <c r="D40" s="3"/>
      <c r="E40" s="3"/>
      <c r="F40" s="3"/>
      <c r="G40" s="3"/>
      <c r="H40" s="3"/>
    </row>
  </sheetData>
  <mergeCells count="12">
    <mergeCell ref="A1:H1"/>
    <mergeCell ref="A2:H2"/>
    <mergeCell ref="B3:H3"/>
    <mergeCell ref="D5:F5"/>
    <mergeCell ref="A8:H8"/>
    <mergeCell ref="A12:H12"/>
    <mergeCell ref="A23:H23"/>
    <mergeCell ref="A27:F27"/>
    <mergeCell ref="A29:H29"/>
    <mergeCell ref="A38:H38"/>
    <mergeCell ref="A39:H39"/>
    <mergeCell ref="A40:H40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2026-10-15T14:31:36Z</dcterms:created>
  <dc:creator>openpyxl</dc:creator>
  <dc:description/>
  <dc:language>en-US</dc:language>
  <cp:lastModifiedBy/>
  <dcterms:modified xsi:type="dcterms:W3CDTF">2026-10-15T14:31:37Z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