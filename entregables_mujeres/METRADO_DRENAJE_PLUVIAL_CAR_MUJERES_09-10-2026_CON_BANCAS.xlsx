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TBM\ALDEA INFANTIL\WILMA\CALCULOS\"/>
    </mc:Choice>
  </mc:AlternateContent>
  <xr:revisionPtr revIDLastSave="0" documentId="13_ncr:1_{65C3C045-C249-4D3B-AEC3-8FA37CF99FD8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PLANILLA GENERAL DE METRADOS" sheetId="2" r:id="rId2"/>
    <sheet name="METRADO MONTANTES" sheetId="5" r:id="rId3"/>
    <sheet name="CONCRETO EN CUNETAS" sheetId="3" r:id="rId4"/>
    <sheet name="ENCOFRADO Y DESENCOFRADO" sheetId="4" r:id="rId5"/>
    <sheet name="METRADO CANALETAS" sheetId="6" r:id="rId6"/>
    <sheet name="METRADO CANALETA BANCAS" sheetId="17" r:id="rId20"/>
    <sheet name="METRADO  EN PISO (SUMIDERO)" sheetId="7" r:id="rId7"/>
    <sheet name="METRADO ACERO" sheetId="8" r:id="rId8"/>
    <sheet name="METRADO JUNTA DE DILATACION" sheetId="9" r:id="rId9"/>
    <sheet name="METRADO DE CURADO" sheetId="10" r:id="rId10"/>
    <sheet name="METRADO DE REJILLAS" sheetId="11" r:id="rId11"/>
    <sheet name="PLANILLA TAPAS REGISTRO INTERNO" sheetId="12" r:id="rId12"/>
    <sheet name="PLANILLA TAPAS COLECTOR" sheetId="13" r:id="rId13"/>
    <sheet name="METRADO ACERO COLECTOR" sheetId="14" r:id="rId14"/>
    <sheet name="PARAMETROS" sheetId="15" r:id="rId15"/>
    <sheet name="Listas" sheetId="16" state="hidden" r:id="rId16"/>
  </sheets>
  <definedNames>
    <definedName name="_xlnm.Print_Area" localSheetId="3">'CONCRETO EN CUNETAS'!$A$1:$O$79</definedName>
    <definedName name="_xlnm.Print_Area" localSheetId="4">'ENCOFRADO Y DESENCOFRADO'!$A$1:$P$79</definedName>
    <definedName name="_xlnm.Print_Area" localSheetId="5">'METRADO CANALETAS'!$A$1:$L$53</definedName>
    <definedName name="_xlnm.Print_Area" localSheetId="2">'METRADO MONTANTES'!$A$1:$R$69</definedName>
    <definedName name="_xlnm.Print_Area" localSheetId="1">'PLANILLA GENERAL DE METRADOS'!$A$1:$L$326</definedName>
    <definedName name="_xlnm.Print_Area" localSheetId="0">RESUMEN!$A$1:$D$84</definedName>
    <definedName name="_xlnm.Print_Titles" localSheetId="3">'CONCRETO EN CUNETAS'!$1:$8</definedName>
    <definedName name="_xlnm.Print_Titles" localSheetId="4">'ENCOFRADO Y DESENCOFRADO'!$2:$7</definedName>
    <definedName name="_xlnm.Print_Titles" localSheetId="5">'METRADO CANALETAS'!$1:$10</definedName>
    <definedName name="_xlnm.Print_Titles" localSheetId="2">'METRADO MONTANTES'!$1:$10</definedName>
    <definedName name="_xlnm.Print_Area" localSheetId="6">'METRADO CANALETA BANCAS'!$B$2:$K$21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2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01, Lado A.</t>
        </r>
      </text>
    </comment>
    <comment ref="D13" authorId="0" shapeId="0" xr:uid="{00000000-0006-0000-0500-000002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13" authorId="0" shapeId="0" xr:uid="{00000000-0006-0000-0500-000003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01, Lado B.</t>
        </r>
      </text>
    </comment>
    <comment ref="J15" authorId="0" shapeId="0" xr:uid="{00000000-0006-0000-0500-000004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02, Lado A.</t>
        </r>
      </text>
    </comment>
    <comment ref="D16" authorId="0" shapeId="0" xr:uid="{00000000-0006-0000-0500-000005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16" authorId="0" shapeId="0" xr:uid="{00000000-0006-0000-0500-000006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02, Lado B.</t>
        </r>
      </text>
    </comment>
    <comment ref="J18" authorId="0" shapeId="0" xr:uid="{00000000-0006-0000-0500-000007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03, Lado A.</t>
        </r>
      </text>
    </comment>
    <comment ref="D19" authorId="0" shapeId="0" xr:uid="{00000000-0006-0000-0500-000008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19" authorId="0" shapeId="0" xr:uid="{00000000-0006-0000-0500-000009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03, Lado B.</t>
        </r>
      </text>
    </comment>
    <comment ref="J21" authorId="0" shapeId="0" xr:uid="{00000000-0006-0000-0500-00000A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04, Lado A.</t>
        </r>
      </text>
    </comment>
    <comment ref="D22" authorId="0" shapeId="0" xr:uid="{00000000-0006-0000-0500-00000B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22" authorId="0" shapeId="0" xr:uid="{00000000-0006-0000-0500-00000C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04, Lado B.</t>
        </r>
      </text>
    </comment>
    <comment ref="J24" authorId="0" shapeId="0" xr:uid="{00000000-0006-0000-0500-00000D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05, Lado A.</t>
        </r>
      </text>
    </comment>
    <comment ref="D25" authorId="0" shapeId="0" xr:uid="{00000000-0006-0000-0500-00000E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25" authorId="0" shapeId="0" xr:uid="{00000000-0006-0000-0500-00000F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05, Lado B.</t>
        </r>
      </text>
    </comment>
    <comment ref="J27" authorId="0" shapeId="0" xr:uid="{00000000-0006-0000-0500-000010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06, Lado A.</t>
        </r>
      </text>
    </comment>
    <comment ref="D28" authorId="0" shapeId="0" xr:uid="{00000000-0006-0000-0500-000011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28" authorId="0" shapeId="0" xr:uid="{00000000-0006-0000-0500-000012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06, Lado B.</t>
        </r>
      </text>
    </comment>
    <comment ref="J30" authorId="0" shapeId="0" xr:uid="{00000000-0006-0000-0500-000013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07, Lado A.</t>
        </r>
      </text>
    </comment>
    <comment ref="D31" authorId="0" shapeId="0" xr:uid="{00000000-0006-0000-0500-000014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31" authorId="0" shapeId="0" xr:uid="{00000000-0006-0000-0500-000015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07, Lado B.</t>
        </r>
      </text>
    </comment>
    <comment ref="J33" authorId="0" shapeId="0" xr:uid="{00000000-0006-0000-0500-000016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08, Lado A.</t>
        </r>
      </text>
    </comment>
    <comment ref="D34" authorId="0" shapeId="0" xr:uid="{00000000-0006-0000-0500-000017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34" authorId="0" shapeId="0" xr:uid="{00000000-0006-0000-0500-000018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08, Lado B.</t>
        </r>
      </text>
    </comment>
    <comment ref="J36" authorId="0" shapeId="0" xr:uid="{00000000-0006-0000-0500-000019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09 (Lados A, A", B y B"), Lado A.</t>
        </r>
      </text>
    </comment>
    <comment ref="D37" authorId="0" shapeId="0" xr:uid="{00000000-0006-0000-0500-00001A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37" authorId="0" shapeId="0" xr:uid="{00000000-0006-0000-0500-00001B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09 (Lados A, A", B y B"), Lado B.</t>
        </r>
      </text>
    </comment>
    <comment ref="J39" authorId="0" shapeId="0" xr:uid="{00000000-0006-0000-0500-00001C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10, Lado A.</t>
        </r>
      </text>
    </comment>
    <comment ref="D40" authorId="0" shapeId="0" xr:uid="{00000000-0006-0000-0500-00001D000000}">
      <text>
        <r>
          <rPr>
            <sz val="11"/>
            <color theme="1"/>
            <rFont val="Calibri"/>
            <family val="2"/>
            <charset val="1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1"/>
            <color theme="1"/>
            <rFont val="Calibri"/>
            <family val="2"/>
            <charset val="1"/>
          </rPr>
          <t>Igual al N° de montantes de METRADO MONTANTES, BLOQUE 10, Lado 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4" authorId="0" shapeId="0" xr:uid="{00000000-0006-0000-0800-000001000000}">
      <text>
        <r>
          <rPr>
            <sz val="11"/>
            <color theme="1"/>
            <rFont val="Calibri"/>
            <family val="2"/>
            <charset val="1"/>
          </rPr>
          <t>Área de muro (un solo muro) tomada de la hoja 'CONCRETO ARMADO EN CUNETAS' de tu Excel (fila AREA, bajo MUROS de cada eje).</t>
        </r>
      </text>
    </comment>
    <comment ref="F14" authorId="0" shapeId="0" xr:uid="{00000000-0006-0000-0800-000002000000}">
      <text>
        <r>
          <rPr>
            <sz val="11"/>
            <color theme="1"/>
            <rFont val="Calibri"/>
            <family val="2"/>
            <charset val="1"/>
          </rPr>
          <t>Altura de muro = Área de muro / Longitud del eje (misma altura usada para el volumen de concreto de muros en tu hoja original).</t>
        </r>
      </text>
    </comment>
    <comment ref="H14" authorId="0" shapeId="0" xr:uid="{00000000-0006-0000-0800-000003000000}">
      <text>
        <r>
          <rPr>
            <sz val="11"/>
            <color theme="1"/>
            <rFont val="Calibri"/>
            <family val="2"/>
            <charset val="1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<sst xmlns="http://schemas.openxmlformats.org/spreadsheetml/2006/main" count="1955" uniqueCount="667">
  <si>
    <t>RESUMEN METRADOS DE DRENAJE PLUVIAL</t>
  </si>
  <si>
    <t>ENTIDAD</t>
  </si>
  <si>
    <t>GERENCIA TERRITORIAL BAJO MAYO - TARAPOTO</t>
  </si>
  <si>
    <t>PROYECTO</t>
  </si>
  <si>
    <t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</si>
  <si>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</si>
  <si>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</si>
  <si>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</si>
  <si>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</si>
  <si>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</si>
  <si>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</si>
  <si>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</si>
  <si>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1.4.4</t>
  </si>
  <si>
    <t>SISTEMA DE DRENAJE PLUVIAL</t>
  </si>
  <si>
    <t>1.4.4.1</t>
  </si>
  <si>
    <t>TRABAJOS PRELIMINARES</t>
  </si>
  <si>
    <t>1.4.4.1.1</t>
  </si>
  <si>
    <t>LIMPIEZA MANUAL DE TERRENO</t>
  </si>
  <si>
    <t>m²</t>
  </si>
  <si>
    <t>1.4.4.1.2</t>
  </si>
  <si>
    <t>TRAZO, NIVELES Y REPLANTEO PRELIMINAR</t>
  </si>
  <si>
    <t>1.4.4.2</t>
  </si>
  <si>
    <t>MOVIMIENTO DE TIERRAS</t>
  </si>
  <si>
    <t>1.4.4.2.1</t>
  </si>
  <si>
    <t>EXCAVACIÓN MANUAL DE ZANJAS P/CUNETAS</t>
  </si>
  <si>
    <t>m³</t>
  </si>
  <si>
    <t>1.4.4.2.2</t>
  </si>
  <si>
    <t>EXCAVACIÓN MANUAL DE ZANJAS P/DADOS DE CONCRETO</t>
  </si>
  <si>
    <t>1.4.4.2.3</t>
  </si>
  <si>
    <t>REFINE, NIVELACIÓN Y COMPACTACIÓN EN TERRENO NORMAL</t>
  </si>
  <si>
    <t>1.4.4.2.4</t>
  </si>
  <si>
    <t>RELLENO COMPACTADO C/MATERIAL PROPIO SELECCIONADO</t>
  </si>
  <si>
    <t>1.4.4.2.5</t>
  </si>
  <si>
    <t>ELIMINACIÓN DE MATERIAL EXCEDENTE D&lt;1Km</t>
  </si>
  <si>
    <t>1.4.4.3</t>
  </si>
  <si>
    <t>OBRAS DE CONCRETO SIMPLE</t>
  </si>
  <si>
    <t>1.4.4.3.1</t>
  </si>
  <si>
    <t>CONCRETO f'c=100 kg/cm2 PARA SOLADO E=4''</t>
  </si>
  <si>
    <t>1.4.4.3.2</t>
  </si>
  <si>
    <t>CONCRETO f'c=140 Kg/cm2 PARA DADOS DE CONCRETO</t>
  </si>
  <si>
    <t>1.4.4.4</t>
  </si>
  <si>
    <t>OBRAS DE CONCRETO ARMADO</t>
  </si>
  <si>
    <t>1.4.4.4.1</t>
  </si>
  <si>
    <t>CUNETAS</t>
  </si>
  <si>
    <t>1.4.4.4.1.1</t>
  </si>
  <si>
    <t>CONCRETO f'c=175 kg/cm2 PARA CUNETAS</t>
  </si>
  <si>
    <t>1.4.4.4.1.2</t>
  </si>
  <si>
    <t>ENCOFRADO Y DESENCOFRADO DE CUNETAS</t>
  </si>
  <si>
    <t>1.4.4.4.1.3</t>
  </si>
  <si>
    <t>ACERO f'y=4200 kg/cm2 PARA CUNETA</t>
  </si>
  <si>
    <t>kg</t>
  </si>
  <si>
    <t>1.4.4.4.1.4</t>
  </si>
  <si>
    <t>CURADO DE CONCRETO EN CUNETA</t>
  </si>
  <si>
    <t>1.4.4.4.2</t>
  </si>
  <si>
    <t>VARIOS</t>
  </si>
  <si>
    <t>1.4.4.4.2.1</t>
  </si>
  <si>
    <t>REJILLA METALICA P/CUNETA C/PL 1''x 3/16'' Y ANGULO 1'' x 1'' x 3/16'', S/DETALLE</t>
  </si>
  <si>
    <t>m</t>
  </si>
  <si>
    <t>1.4.4.4.2.2</t>
  </si>
  <si>
    <t>TAPA DE INSPECCION 0.60m x 0.60m</t>
  </si>
  <si>
    <t>und</t>
  </si>
  <si>
    <t>1.4.4.4.2.3</t>
  </si>
  <si>
    <t>JUNTA DE DILATACION E=1" CON SELLADOR ASFALTO</t>
  </si>
  <si>
    <t>1.4.4.5</t>
  </si>
  <si>
    <t>RED DE COLECCIÓN</t>
  </si>
  <si>
    <t>1.4.4.5.1</t>
  </si>
  <si>
    <t>RED DE RECOLECCION TECHO</t>
  </si>
  <si>
    <t>1.4.4.5.1.1</t>
  </si>
  <si>
    <t>MONTANTE TUBERÍA PVC DE 4"</t>
  </si>
  <si>
    <t>1.4.4.5.1.2</t>
  </si>
  <si>
    <t>FALSA COLUMNA P/MONTANTE DE 0.20m x 0.15m x 1.30m</t>
  </si>
  <si>
    <t>1.4.4.5.1.2.1</t>
  </si>
  <si>
    <t>CONCRETO F´C=175 KG/CM2 EN FALSA COLUMNA</t>
  </si>
  <si>
    <t>1.4.4.5.1.2.2</t>
  </si>
  <si>
    <t>ENCOFRADO Y DESENCOFRADO EN FALSA COLUMNA - MONTANTE PLUVIAL</t>
  </si>
  <si>
    <t>1.4.4.5.1.2.3</t>
  </si>
  <si>
    <t>ACERO FY=4200 KG/CM2 EN FALSA COLUMNA (MONTANTE PLUVIAL)</t>
  </si>
  <si>
    <t>1.4.4.5.1.3</t>
  </si>
  <si>
    <t>CANALETA DE PLANCHA DE ACERO GALVANIZADO e=0.9mm, SECCIÓN 0.25m x 0.20m</t>
  </si>
  <si>
    <t>1.4.4.5.1.4</t>
  </si>
  <si>
    <t>SOPORTE DE PLATINA F°G° 1" x 1/8" P/CANALETA</t>
  </si>
  <si>
    <t>1.4.4.5.1.5</t>
  </si>
  <si>
    <t>TAPA LATERAL DE PLANCHA GALVANIZADA P/CANALETA</t>
  </si>
  <si>
    <t>1.4.4.5.1.6</t>
  </si>
  <si>
    <t>BOQUILLA DE PLANCHA GALVANIZADA P/CONEXIÓN DE CANALETA A MONTANTE Ø4"</t>
  </si>
  <si>
    <t>1.4.4.5.2</t>
  </si>
  <si>
    <t>RED DE RECOLECCION PISO</t>
  </si>
  <si>
    <t>1.4.4.5.2.1</t>
  </si>
  <si>
    <t>TUBERIA DESAGÜE PVC-CP Ø4" x 3m</t>
  </si>
  <si>
    <t>1.4.4.5.2.2</t>
  </si>
  <si>
    <t>SUMIDERO METALICO C/PLATINA 1" X 3/16"</t>
  </si>
  <si>
    <t>1.4.4.5.2.3</t>
  </si>
  <si>
    <t>CODO 90° x 4"</t>
  </si>
  <si>
    <t>1.4.4.5.2.4</t>
  </si>
  <si>
    <t>TEE° x 4"</t>
  </si>
  <si>
    <t>1.4.4.5.3</t>
  </si>
  <si>
    <t>ACCESORIOS</t>
  </si>
  <si>
    <t>1.4.4.5.3.1</t>
  </si>
  <si>
    <t>CODO DESAGÜE PVC Ø4" x 90°</t>
  </si>
  <si>
    <t>1.4.4.5.3.2</t>
  </si>
  <si>
    <t>COLGADOR F°G° P/TUBERIA PVC Ø4"</t>
  </si>
  <si>
    <t>1.4.4.5.3.3</t>
  </si>
  <si>
    <t>ABRAZADERA DE F°G° P/TUBERIA PVC Ø4"</t>
  </si>
  <si>
    <t>1.4.4.6</t>
  </si>
  <si>
    <t>COLECTOR PLUVIAL FRONTAL</t>
  </si>
  <si>
    <t>1.4.4.6.1</t>
  </si>
  <si>
    <t>1.4.4.6.1.1</t>
  </si>
  <si>
    <t>1.4.4.6.1.2</t>
  </si>
  <si>
    <t>1.4.4.6.2</t>
  </si>
  <si>
    <t>1.4.4.6.2.1</t>
  </si>
  <si>
    <t>EXCAVACIÓN MANUAL DE ZANJAS P/COLECTOR</t>
  </si>
  <si>
    <t>1.4.4.6.2.2</t>
  </si>
  <si>
    <t>1.4.4.6.2.3</t>
  </si>
  <si>
    <t>1.4.4.6.2.4</t>
  </si>
  <si>
    <t>1.4.4.6.3</t>
  </si>
  <si>
    <t>1.4.4.6.3.1</t>
  </si>
  <si>
    <t>CONCRETO f'c=100 kg/cm2 PARA SOLADO E=2''</t>
  </si>
  <si>
    <t>1.4.4.6.3.2</t>
  </si>
  <si>
    <t>CONCRETO CICLÓPEO f'c=140 kg/cm2 + 30% P.M. PARA UÑA</t>
  </si>
  <si>
    <t>1.4.4.6.4</t>
  </si>
  <si>
    <t>1.4.4.6.4.1</t>
  </si>
  <si>
    <t>COLECTOR</t>
  </si>
  <si>
    <t>1.4.4.6.4.1.1</t>
  </si>
  <si>
    <t>CONCRETO f'c=210 kg/cm2 PARA COLECTOR</t>
  </si>
  <si>
    <t>1.4.4.6.4.1.2</t>
  </si>
  <si>
    <t>ENCOFRADO Y DESENCOFRADO DE COLECTOR</t>
  </si>
  <si>
    <t>1.4.4.6.4.1.3</t>
  </si>
  <si>
    <t>ACERO f'y=4200 kg/cm2 PARA COLECTOR</t>
  </si>
  <si>
    <t>1.4.4.6.4.1.4</t>
  </si>
  <si>
    <t>CURADO DE CONCRETO EN COLECTOR</t>
  </si>
  <si>
    <t>1.4.4.6.4.1.5</t>
  </si>
  <si>
    <t>ACABADO FROTACHADO DE LOSA SUPERIOR (VEREDA)</t>
  </si>
  <si>
    <t>1.4.4.6.4.2</t>
  </si>
  <si>
    <t>ESTRUCTURA DE SALIDA CON ALEROS</t>
  </si>
  <si>
    <t>1.4.4.6.4.2.1</t>
  </si>
  <si>
    <t>CONCRETO f'c=210 kg/cm2 PARA ALEROS</t>
  </si>
  <si>
    <t>1.4.4.6.4.2.2</t>
  </si>
  <si>
    <t>ENCOFRADO Y DESENCOFRADO DE ALEROS</t>
  </si>
  <si>
    <t>1.4.4.6.4.2.3</t>
  </si>
  <si>
    <t>ACERO f'y=4200 kg/cm2 PARA ALEROS</t>
  </si>
  <si>
    <t>1.4.4.6.4.2.4</t>
  </si>
  <si>
    <t>EMBOQUILLADO DE PIEDRA E=0.20m C/CONCRETO f'c=140 kg/cm2</t>
  </si>
  <si>
    <t>1.4.4.6.5</t>
  </si>
  <si>
    <t>1.4.4.6.5.1</t>
  </si>
  <si>
    <t>TAPA DE REGISTRO 0.68x0.68 C/MARCO Y CONTRAMARCO</t>
  </si>
  <si>
    <t>1.4.4.6.5.2</t>
  </si>
  <si>
    <t>1.4.4.6.5.3</t>
  </si>
  <si>
    <t>JUNTA E=1" CON TECNOPOR ENTRE COLECTOR Y PISO ADYACENTE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</si>
  <si>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</si>
  <si>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</si>
  <si>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</si>
  <si>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</si>
  <si>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</si>
  <si>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</si>
  <si>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</si>
  <si>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</si>
  <si>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</si>
  <si>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</si>
  <si>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</si>
  <si>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</si>
  <si>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</si>
  <si>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</si>
  <si>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</si>
  <si>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</si>
  <si>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</si>
  <si>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</si>
  <si>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</si>
  <si>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</si>
  <si>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</si>
  <si>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</si>
  <si>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</si>
  <si>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</si>
  <si>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</si>
  <si>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</si>
  <si>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</si>
  <si>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MONTANTE CON TUBERÍA PVC DE 4"</t>
  </si>
  <si>
    <t>m3</t>
  </si>
  <si>
    <t>m2</t>
  </si>
  <si>
    <t>Kgr</t>
  </si>
  <si>
    <t>Acero Longitudinal</t>
  </si>
  <si>
    <t>Acero Transversal</t>
  </si>
  <si>
    <t>Prog. 0+000.00 a 0+002.74 - vereda</t>
  </si>
  <si>
    <t>Prog. 0+002.74 a 0+018.45 - cruce de autos (estac. 02)</t>
  </si>
  <si>
    <t>Prog. 0+018.45 a 0+035.04 - vereda</t>
  </si>
  <si>
    <t>Prog. 0+035.04 a 0+051.86 - cruce de autos (estac. 01)</t>
  </si>
  <si>
    <t>Prog. 0+051.86 a 0+054.00 - vereda</t>
  </si>
  <si>
    <t>Prog. 0+054.00 a 0+060.00 - cruce de camiones</t>
  </si>
  <si>
    <t>Prog. 0+060.00 a 0+078.42 - vereda</t>
  </si>
  <si>
    <t>Prog. 0+078.42 a 0+116.00 - tramo final cubierto C-1 a C-2</t>
  </si>
  <si>
    <t>Prog. 0+116.00 a 0+139.08 - tramo final cubierto C-2 a salida</t>
  </si>
  <si>
    <t>Estructura de salida (aleros, emboquillado y uña)</t>
  </si>
  <si>
    <t>Estructura de salida</t>
  </si>
  <si>
    <t>Salida: zapatas de aleros</t>
  </si>
  <si>
    <t>Salida: piso del emboquillado (trapecio)</t>
  </si>
  <si>
    <t>Prog. 0+000.00 a 0+002.74 - vereda (área media de relleno)</t>
  </si>
  <si>
    <t>Prog. 0+002.74 a 0+018.45 - cruce de autos (estac. 02) (área media de relleno)</t>
  </si>
  <si>
    <t>Prog. 0+018.45 a 0+035.04 - vereda (área media de relleno)</t>
  </si>
  <si>
    <t>Prog. 0+035.04 a 0+051.86 - cruce de autos (estac. 01) (área media de relleno)</t>
  </si>
  <si>
    <t>Prog. 0+051.86 a 0+054.00 - vereda (área media de relleno)</t>
  </si>
  <si>
    <t>Prog. 0+054.00 a 0+060.00 - cruce de camiones (área media de relleno)</t>
  </si>
  <si>
    <t>Prog. 0+060.00 a 0+078.42 - vereda (área media de relleno)</t>
  </si>
  <si>
    <t>Prog. 0+078.42 a 0+116.00 - tramo final cubierto C-1 a C-2 (área media de relleno)</t>
  </si>
  <si>
    <t>Prog. 0+116.00 a 0+139.08 - tramo final cubierto C-2 a salida (área media de relleno)</t>
  </si>
  <si>
    <t>Salida: relleno sobre zapatas de aleros</t>
  </si>
  <si>
    <t>Salida: relleno bajo el emboquillado (1.56 m² x e=0.10 m)</t>
  </si>
  <si>
    <t>RELLENO COMPACTADO C/MATERIAL PROPIO</t>
  </si>
  <si>
    <t>Salida: bajo zapatas de aleros</t>
  </si>
  <si>
    <t>Uña: sección trapecial (0.35+0.15)/2 x 0.65</t>
  </si>
  <si>
    <t>Losa de fondo - Prog. 0+000.00 a 0+002.74 - vereda</t>
  </si>
  <si>
    <t>Losa de fondo - Prog. 0+002.74 a 0+018.45 - cruce de autos (estac. 02)</t>
  </si>
  <si>
    <t>Losa de fondo - Prog. 0+018.45 a 0+035.04 - vereda</t>
  </si>
  <si>
    <t>Losa de fondo - Prog. 0+035.04 a 0+051.86 - cruce de autos (estac. 01)</t>
  </si>
  <si>
    <t>Losa de fondo - Prog. 0+051.86 a 0+054.00 - vereda</t>
  </si>
  <si>
    <t>Losa de fondo - Prog. 0+054.00 a 0+060.00 - cruce de camiones</t>
  </si>
  <si>
    <t>Losa de fondo - Prog. 0+060.00 a 0+078.42 - vereda</t>
  </si>
  <si>
    <t>Losa de fondo - Prog. 0+078.42 a 0+116.00 - tramo final cubierto C-1 a C-2</t>
  </si>
  <si>
    <t>Losa de fondo - Prog. 0+116.00 a 0+139.08 - tramo final cubierto C-2 a salida</t>
  </si>
  <si>
    <t>Muros - Prog. 0+000.00 a 0+002.74 - vereda</t>
  </si>
  <si>
    <t>Muros - Prog. 0+002.74 a 0+018.45 - cruce de autos (estac. 02)</t>
  </si>
  <si>
    <t>Muros - Prog. 0+018.45 a 0+035.04 - vereda</t>
  </si>
  <si>
    <t>Muros - Prog. 0+035.04 a 0+051.86 - cruce de autos (estac. 01)</t>
  </si>
  <si>
    <t>Muros - Prog. 0+051.86 a 0+054.00 - vereda</t>
  </si>
  <si>
    <t>Muros - Prog. 0+054.00 a 0+060.00 - cruce de camiones</t>
  </si>
  <si>
    <t>Muros - Prog. 0+060.00 a 0+078.42 - vereda</t>
  </si>
  <si>
    <t>Muros - Prog. 0+078.42 a 0+116.00 - tramo final cubierto C-1 a C-2</t>
  </si>
  <si>
    <t>Muros - Prog. 0+116.00 a 0+139.08 - tramo final cubierto C-2 a salida</t>
  </si>
  <si>
    <t>Losa superior - Prog. 0+000.00 a 0+002.74 - vereda</t>
  </si>
  <si>
    <t>Losa superior - Prog. 0+002.74 a 0+018.45 - cruce de autos (estac. 02)</t>
  </si>
  <si>
    <t>Losa superior - Prog. 0+018.45 a 0+035.04 - vereda</t>
  </si>
  <si>
    <t>Losa superior - Prog. 0+035.04 a 0+051.86 - cruce de autos (estac. 01)</t>
  </si>
  <si>
    <t>Losa superior - Prog. 0+051.86 a 0+054.00 - vereda</t>
  </si>
  <si>
    <t>Losa superior - Prog. 0+054.00 a 0+060.00 - cruce de camiones</t>
  </si>
  <si>
    <t>Losa superior - Prog. 0+060.00 a 0+078.42 - vereda</t>
  </si>
  <si>
    <t>Losa superior - Prog. 0+078.42 a 0+116.00 - tramo final cubierto C-1 a C-2</t>
  </si>
  <si>
    <t>Losa superior - Prog. 0+116.00 a 0+139.08 - tramo final cubierto C-2 a salida</t>
  </si>
  <si>
    <t>(-) Ventanas de empalme de cunetas 0.40 x 0.30</t>
  </si>
  <si>
    <t>(-) Registros: rebaje 0.70 x 0.70 x 0.08</t>
  </si>
  <si>
    <t>(-) Registros: luz libre 0.60 x 0.60 x 0.02</t>
  </si>
  <si>
    <t>(+) Registros: borde engrosado 3.00 x 0.15 x 0.10</t>
  </si>
  <si>
    <t>Prog. 0+000.00 a 0+002.74 - vereda (desarrollo de caras encofradas)</t>
  </si>
  <si>
    <t>Prog. 0+002.74 a 0+018.45 - cruce de autos (estac. 02) (desarrollo de caras encofradas)</t>
  </si>
  <si>
    <t>Prog. 0+018.45 a 0+035.04 - vereda (desarrollo de caras encofradas)</t>
  </si>
  <si>
    <t>Prog. 0+035.04 a 0+051.86 - cruce de autos (estac. 01) (desarrollo de caras encofradas)</t>
  </si>
  <si>
    <t>Prog. 0+051.86 a 0+054.00 - vereda (desarrollo de caras encofradas)</t>
  </si>
  <si>
    <t>Prog. 0+054.00 a 0+060.00 - cruce de camiones (desarrollo de caras encofradas)</t>
  </si>
  <si>
    <t>Prog. 0+060.00 a 0+078.42 - vereda (desarrollo de caras encofradas)</t>
  </si>
  <si>
    <t>Prog. 0+078.42 a 0+116.00 - tramo final cubierto C-1 a C-2 (desarrollo de caras encofradas)</t>
  </si>
  <si>
    <t>Prog. 0+116.00 a 0+139.08 - tramo final cubierto C-2 a salida (desarrollo de caras encofradas)</t>
  </si>
  <si>
    <t>Registros: borde engrosado y rebaje</t>
  </si>
  <si>
    <t>Ver hoja METRADO ACERO COLECTOR</t>
  </si>
  <si>
    <t>Prog. 0+000.00 a 0+002.74 - vereda (caras expuestas)</t>
  </si>
  <si>
    <t>Prog. 0+002.74 a 0+018.45 - cruce de autos (estac. 02) (caras expuestas)</t>
  </si>
  <si>
    <t>Prog. 0+018.45 a 0+035.04 - vereda (caras expuestas)</t>
  </si>
  <si>
    <t>Prog. 0+035.04 a 0+051.86 - cruce de autos (estac. 01) (caras expuestas)</t>
  </si>
  <si>
    <t>Prog. 0+051.86 a 0+054.00 - vereda (caras expuestas)</t>
  </si>
  <si>
    <t>Prog. 0+054.00 a 0+060.00 - cruce de camiones (caras expuestas)</t>
  </si>
  <si>
    <t>Prog. 0+060.00 a 0+078.42 - vereda (caras expuestas)</t>
  </si>
  <si>
    <t>Prog. 0+078.42 a 0+116.00 - tramo final cubierto C-1 a C-2 (caras expuestas)</t>
  </si>
  <si>
    <t>Prog. 0+116.00 a 0+139.08 - tramo final cubierto C-2 a salida (caras expuestas)</t>
  </si>
  <si>
    <t>Losa superior en tramo de vereda</t>
  </si>
  <si>
    <t>(-) Tapas de registro en vereda</t>
  </si>
  <si>
    <t>Muro de alero (altura media sobre zapata)</t>
  </si>
  <si>
    <t>Zapata de alero</t>
  </si>
  <si>
    <t>Muro: 2 caras</t>
  </si>
  <si>
    <t>Muro: cabeza</t>
  </si>
  <si>
    <t>Zapata: 2 costados</t>
  </si>
  <si>
    <t>Piso entre aleros (trapecio)</t>
  </si>
  <si>
    <t>Ver hoja PLANILLA TAPAS COLECTOR (R-01 a R-15)</t>
  </si>
  <si>
    <t>Perímetro de la sección cerrada (incluye 2 juntas del cruce de camiones)</t>
  </si>
  <si>
    <t>Borde lado predio de la losa superior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</si>
  <si>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</si>
  <si>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</si>
  <si>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</si>
  <si>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</si>
  <si>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</si>
  <si>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</si>
  <si>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</si>
  <si>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</si>
  <si>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</si>
  <si>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</si>
  <si>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</si>
  <si>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</si>
  <si>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</si>
  <si>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</si>
  <si>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</si>
  <si>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</si>
  <si>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</si>
  <si>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</si>
  <si>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</si>
  <si>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</si>
  <si>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</si>
  <si>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</si>
  <si>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</si>
  <si>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</si>
  <si>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</si>
  <si>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</si>
  <si>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</si>
  <si>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</si>
  <si>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</si>
  <si>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</si>
  <si>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</si>
  <si>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</si>
  <si>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</si>
  <si>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</si>
  <si>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</si>
  <si>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</si>
  <si>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</si>
  <si>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</si>
  <si>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</si>
  <si>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VECES</t>
  </si>
  <si>
    <t>TOTAL (m)</t>
  </si>
  <si>
    <t>TOTAL (und)</t>
  </si>
  <si>
    <t>BLOQUE 01</t>
  </si>
  <si>
    <t>Lado A</t>
  </si>
  <si>
    <t>Lado B</t>
  </si>
  <si>
    <t>BLOQUE 02</t>
  </si>
  <si>
    <t>BLOQUE 03</t>
  </si>
  <si>
    <t>BLOQUE 04</t>
  </si>
  <si>
    <t>BLOQUE 05</t>
  </si>
  <si>
    <t>BLOQUE 06</t>
  </si>
  <si>
    <t>BLOQUE 07</t>
  </si>
  <si>
    <t>BLOQUE 08</t>
  </si>
  <si>
    <t>BLOQUE 09</t>
  </si>
  <si>
    <t>Lado A"</t>
  </si>
  <si>
    <t>Lado B"</t>
  </si>
  <si>
    <t>BLOQUE 10</t>
  </si>
  <si>
    <t>LOSA DEPORTIVA</t>
  </si>
  <si>
    <t>ENTRADA 01</t>
  </si>
  <si>
    <t>ENTRADA 02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</si>
  <si>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</si>
  <si>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</si>
  <si>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</si>
  <si>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</si>
  <si>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</si>
  <si>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</si>
  <si>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</si>
  <si>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</si>
  <si>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</si>
  <si>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EDIFICACION 01</t>
  </si>
  <si>
    <t>Lado 01</t>
  </si>
  <si>
    <t>Lado 02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</si>
  <si>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</si>
  <si>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</si>
  <si>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</si>
  <si>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</si>
  <si>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</si>
  <si>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</si>
  <si>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</si>
  <si>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</si>
  <si>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EDIFICACION 10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</si>
  <si>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</si>
  <si>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</si>
  <si>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</si>
  <si>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</si>
  <si>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</si>
  <si>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</si>
  <si>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Altura interior de canaleta</t>
  </si>
  <si>
    <t>Doblez o pestaña superior (por cada lado)</t>
  </si>
  <si>
    <t>Desarrollo de plancha (fondo + 2 alturas + 2 dobleces)</t>
  </si>
  <si>
    <t>Espesor de plancha galvanizada</t>
  </si>
  <si>
    <t>mm</t>
  </si>
  <si>
    <t>Separación de soportes</t>
  </si>
  <si>
    <t>Tapas laterales por canaleta</t>
  </si>
  <si>
    <t>Área de plancha galvanizada (referencial)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</si>
  <si>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</si>
  <si>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</si>
  <si>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</si>
  <si>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</si>
  <si>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</si>
  <si>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</si>
  <si>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</si>
  <si>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</si>
  <si>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</si>
  <si>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</si>
  <si>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</si>
  <si>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</si>
  <si>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</si>
  <si>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SECTOR 05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</si>
  <si>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</si>
  <si>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</si>
  <si>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</si>
  <si>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</si>
  <si>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</si>
  <si>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</si>
  <si>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</si>
  <si>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</si>
  <si>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</si>
  <si>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</si>
  <si>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</si>
  <si>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</si>
  <si>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</si>
  <si>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</si>
  <si>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</si>
  <si>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</si>
  <si>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</si>
  <si>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</si>
  <si>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</si>
  <si>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</si>
  <si>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</si>
  <si>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</si>
  <si>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</si>
  <si>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</si>
  <si>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</si>
  <si>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</si>
  <si>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</si>
  <si>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</si>
  <si>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</si>
  <si>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</si>
  <si>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</si>
  <si>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</si>
  <si>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</si>
  <si>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</si>
  <si>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</si>
  <si>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</si>
  <si>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</si>
  <si>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</si>
  <si>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</si>
  <si>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</si>
  <si>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02</t>
  </si>
  <si>
    <t>TRAMO 01</t>
  </si>
  <si>
    <t>sec 05</t>
  </si>
  <si>
    <t>sec 06</t>
  </si>
  <si>
    <t>3/8"</t>
  </si>
  <si>
    <t>TRAMO 02</t>
  </si>
  <si>
    <t>TAPADA</t>
  </si>
  <si>
    <t>sec 07</t>
  </si>
  <si>
    <t>TRAMO 03</t>
  </si>
  <si>
    <t>sec 08</t>
  </si>
  <si>
    <t>sec 09</t>
  </si>
  <si>
    <t>TRAMO 04</t>
  </si>
  <si>
    <t>sec 10</t>
  </si>
  <si>
    <t>sec 11</t>
  </si>
  <si>
    <t>TRAMO 05</t>
  </si>
  <si>
    <t>sec 12</t>
  </si>
  <si>
    <t>sec 13</t>
  </si>
  <si>
    <t>EJE 06</t>
  </si>
  <si>
    <t>sec 23</t>
  </si>
  <si>
    <t>sec 24</t>
  </si>
  <si>
    <t>EJE 07</t>
  </si>
  <si>
    <t>sec 26</t>
  </si>
  <si>
    <t>sec 27</t>
  </si>
  <si>
    <t>sec 28</t>
  </si>
  <si>
    <t>sec 29</t>
  </si>
  <si>
    <t>sec 30</t>
  </si>
  <si>
    <t>sec 31</t>
  </si>
  <si>
    <t>sec 32</t>
  </si>
  <si>
    <t>TRAMO 06</t>
  </si>
  <si>
    <t>sec 33</t>
  </si>
  <si>
    <t>TRAMO 07</t>
  </si>
  <si>
    <t>sec 34</t>
  </si>
  <si>
    <t>EJE 09</t>
  </si>
  <si>
    <t>sec 39</t>
  </si>
  <si>
    <t>sec 40</t>
  </si>
  <si>
    <t>sec 41</t>
  </si>
  <si>
    <t>sec 43</t>
  </si>
  <si>
    <t>sec 44</t>
  </si>
  <si>
    <t>sec 46</t>
  </si>
  <si>
    <t>sec 47</t>
  </si>
  <si>
    <t>sec 48</t>
  </si>
  <si>
    <t>sec 52</t>
  </si>
  <si>
    <t>sec 53</t>
  </si>
  <si>
    <t>sec 54</t>
  </si>
  <si>
    <t>sec 55</t>
  </si>
  <si>
    <t>sec 56</t>
  </si>
  <si>
    <t xml:space="preserve">sec 56 </t>
  </si>
  <si>
    <t>sec 57</t>
  </si>
  <si>
    <t>sec 58</t>
  </si>
  <si>
    <t>sec 59</t>
  </si>
  <si>
    <t>sec 60</t>
  </si>
  <si>
    <t>sec 61</t>
  </si>
  <si>
    <t xml:space="preserve"> sec 62</t>
  </si>
  <si>
    <t>TRAMO 08</t>
  </si>
  <si>
    <t>sec 63</t>
  </si>
  <si>
    <t>sec 64</t>
  </si>
  <si>
    <t>TRAMO 09</t>
  </si>
  <si>
    <t>sec 65</t>
  </si>
  <si>
    <t>sec 66</t>
  </si>
  <si>
    <t>TOTALES DE LA PLANILLA</t>
  </si>
  <si>
    <t>PLANILLA DE METRADOS - JUNTA DE DILATACIÓN E=1" CON SELLADOR ASFÁLTICO EN MUROS DE CUNETAS</t>
  </si>
  <si>
    <t>PARÁMETROS</t>
  </si>
  <si>
    <t>Espaciamiento entre juntas (m)</t>
  </si>
  <si>
    <t>N° de muros con junta por cuneta</t>
  </si>
  <si>
    <t>Espesor de junta (referencial, no interviene en el metrado lineal)</t>
  </si>
  <si>
    <t>1" = 0.0254 m</t>
  </si>
  <si>
    <t>EJE / DESCRIPCIÓN</t>
  </si>
  <si>
    <t>UND.</t>
  </si>
  <si>
    <t>LONGITUD
EJE (m)</t>
  </si>
  <si>
    <t>ÁREA MURO
(m²)</t>
  </si>
  <si>
    <t>ALTURA
MURO (m)</t>
  </si>
  <si>
    <t>ESPACIAMIENTO
(m)</t>
  </si>
  <si>
    <t>N° DE
JUNTAS</t>
  </si>
  <si>
    <t>N° MUROS
x JUNTA</t>
  </si>
  <si>
    <t>PARCIAL
(ml)</t>
  </si>
  <si>
    <t>Descripccion</t>
  </si>
  <si>
    <t>ml</t>
  </si>
  <si>
    <t>EJE 01</t>
  </si>
  <si>
    <t>EJE 03</t>
  </si>
  <si>
    <t>EJE 04</t>
  </si>
  <si>
    <t>EJE 05</t>
  </si>
  <si>
    <t>EJE 08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</si>
  <si>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</si>
  <si>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</si>
  <si>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</si>
  <si>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</si>
  <si>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</si>
  <si>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</si>
  <si>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</si>
  <si>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</si>
  <si>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</si>
  <si>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</si>
  <si>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TRAMO ABIERTO</t>
  </si>
  <si>
    <t>TRAMO TAPADO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</si>
  <si>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</si>
  <si>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</si>
  <si>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</si>
  <si>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</si>
  <si>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</si>
  <si>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</si>
  <si>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</si>
  <si>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</si>
  <si>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</si>
  <si>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</si>
  <si>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</si>
  <si>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</si>
  <si>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</si>
  <si>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</si>
  <si>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</si>
  <si>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</si>
  <si>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</si>
  <si>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</si>
  <si>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</si>
  <si>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</si>
  <si>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</si>
  <si>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</si>
  <si>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METRADO DE REGISTROS DE LIMPIEZA DEL COLECTOR PLUVIAL (TAPA 0.68 x 0.68 CON MARCO Y CONTRAMARCO)</t>
  </si>
  <si>
    <t>CONCRETO f'c=210 KG/CM2 EN TAPA</t>
  </si>
  <si>
    <t>Tapa 0.68 x 0.68 x 0.08 m</t>
  </si>
  <si>
    <t>ACERO FY=4200 KG/CM2 EN TAPA, BORDES Y ANCLAJES</t>
  </si>
  <si>
    <t>Tapa 3/8" @0.10 (14 barras por tapa)</t>
  </si>
  <si>
    <t>Asas 3/8" liso (2 por tapa)</t>
  </si>
  <si>
    <t>Anclajes de contramarco 3/8" (8 por registro)</t>
  </si>
  <si>
    <t>Refuerzo de borde 1/2" (8 barras por registro)</t>
  </si>
  <si>
    <t>TOTAL ACERO</t>
  </si>
  <si>
    <t>ANGULOS METALICOS</t>
  </si>
  <si>
    <t>Contramarco L 2"x2"x3/16" (perimetro 0.70 x 0.70)</t>
  </si>
  <si>
    <t>Marco de tapa L 1 1/2"x1 1/2"x1/8" (perimetro 0.68 x 0.68)</t>
  </si>
  <si>
    <t>TOTAL ANGULOS</t>
  </si>
  <si>
    <t>PINTURA ANTICORROSIVA Y ESMALTE EN ANGULOS</t>
  </si>
  <si>
    <t>Desarrollo: 2.80 x 0.203 + 2.72 x 0.152 m2 por registro</t>
  </si>
  <si>
    <t>PLANILLA DE ACERO - COLECTOR PLUVIAL Y ESTRUCTURA DE SALIDA</t>
  </si>
  <si>
    <t>PARTIDA</t>
  </si>
  <si>
    <t>ELEMENTO</t>
  </si>
  <si>
    <t>N. PIEZAS</t>
  </si>
  <si>
    <t>DATOS DE LA BARRA</t>
  </si>
  <si>
    <t>PESO PARCIAL</t>
  </si>
  <si>
    <t>LONG. PIEZA</t>
  </si>
  <si>
    <t>DIAM.</t>
  </si>
  <si>
    <t>FORMA</t>
  </si>
  <si>
    <t>PESO kg/m</t>
  </si>
  <si>
    <t>LONG. TOTAL</t>
  </si>
  <si>
    <t>(kg)</t>
  </si>
  <si>
    <t>Marcos en vereda y tramo final @0.20</t>
  </si>
  <si>
    <t>cerrado</t>
  </si>
  <si>
    <t>Marcos en cruce de autos @0.15</t>
  </si>
  <si>
    <t>Marcos dobles en cruce de camiones @0.15</t>
  </si>
  <si>
    <t>1/2"</t>
  </si>
  <si>
    <t>Barras longitudinales (vereda, autos y final) @0.25</t>
  </si>
  <si>
    <t>recta</t>
  </si>
  <si>
    <t>Barras longitudinales (cruce de camiones) @0.20</t>
  </si>
  <si>
    <t>Registros: refuerzo de borde de abertura</t>
  </si>
  <si>
    <t>Tapas de registro @0.10 (dos sentidos)</t>
  </si>
  <si>
    <t>Asas de tapa (liso)</t>
  </si>
  <si>
    <t>U</t>
  </si>
  <si>
    <t>Anclajes de contramarco</t>
  </si>
  <si>
    <t>L</t>
  </si>
  <si>
    <t>Aleros: barras en L (vertical + zapata) @0.20</t>
  </si>
  <si>
    <t>Aleros: horizontales en muro @0.20</t>
  </si>
  <si>
    <t>Aleros: longitudinales en zapata</t>
  </si>
  <si>
    <t>TOTAL ACERO COLECTOR (1.4.4.6.4.1.3)</t>
  </si>
  <si>
    <t>TOTAL ACERO ALEROS (1.4.4.6.4.2.3)</t>
  </si>
  <si>
    <t>ACERO EN REGISTROS (incluido en 1.4.4.6.5.1)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</si>
  <si>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</si>
  <si>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</si>
  <si>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</si>
  <si>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</si>
  <si>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</si>
  <si>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</si>
  <si>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</si>
  <si>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</si>
  <si>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</si>
  <si>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</si>
  <si>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</si>
  <si>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</si>
  <si>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</si>
  <si>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</si>
  <si>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</si>
  <si>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</si>
  <si>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</si>
  <si>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</si>
  <si>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</si>
  <si>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</si>
  <si>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</si>
  <si>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</si>
  <si>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</si>
  <si>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</si>
  <si>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</si>
  <si>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</si>
  <si>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</si>
  <si>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</si>
  <si>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</si>
  <si>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</si>
  <si>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</si>
  <si>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</si>
  <si>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</si>
  <si>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</si>
  <si>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</si>
  <si>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</si>
  <si>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</si>
  <si>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</si>
  <si>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</si>
  <si>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</si>
  <si>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</si>
  <si>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BANCAS CON TECHO</t>
  </si>
  <si>
    <t>BC-01</t>
  </si>
  <si>
    <t>BC-02</t>
  </si>
  <si>
    <t>BC-03</t>
  </si>
  <si>
    <t>BC-04</t>
  </si>
  <si>
    <t>BC-05</t>
  </si>
  <si>
    <t>BC-06</t>
  </si>
  <si>
    <t>BC-07</t>
  </si>
  <si>
    <t>BC-08</t>
  </si>
  <si>
    <t>BC-09</t>
  </si>
  <si>
    <t>BC-10</t>
  </si>
  <si>
    <t>BC-11</t>
  </si>
  <si>
    <t>BC-12</t>
  </si>
  <si>
    <t>BC-13</t>
  </si>
  <si>
    <t>BC-14</t>
  </si>
  <si>
    <t>BC-15</t>
  </si>
  <si>
    <t>BC-16</t>
  </si>
  <si>
    <t>CODO PVC 45° 4"</t>
  </si>
  <si>
    <t>1.4.4.5.3.4</t>
  </si>
  <si>
    <t>CODO DESAGÜE PVC Ø4" x 45°</t>
  </si>
  <si>
    <t xml:space="preserve">METRADO DE CANALETA DE TECHO - BANCAS DE JARDINERIA TIPO 01</t>
  </si>
  <si>
    <t xml:space="preserve">CANALETA DE PLANCHA DE ALUZINC e=0.50mm - TECHO DE BANCAS A UNA AGUA (UN TRAMO POR TECHO, SIN UNIONES)</t>
  </si>
  <si>
    <t xml:space="preserve">N° DE TECHOS</t>
  </si>
  <si>
    <t xml:space="preserve">CANALETA 0.18 x 0.20 m</t>
  </si>
  <si>
    <t xml:space="preserve">BOQUILLA A TUBERIA PVC Ø4"</t>
  </si>
  <si>
    <t xml:space="preserve">Bancas tipo 01</t>
  </si>
  <si>
    <t xml:space="preserve">PARÁMETROS DE CÁLCULO - CANALETA DE BANCAS</t>
  </si>
  <si>
    <t xml:space="preserve">Ancho interior de canaleta</t>
  </si>
  <si>
    <t xml:space="preserve">Detalle de banca tipo 01</t>
  </si>
  <si>
    <t xml:space="preserve">Espesor de plancha de aluzinc</t>
  </si>
  <si>
    <t xml:space="preserve">Canaleta, tapas y boquilla</t>
  </si>
  <si>
    <t xml:space="preserve">Una en cada extremo del tramo</t>
  </si>
  <si>
    <t xml:space="preserve">Soportes por canaleta</t>
  </si>
  <si>
    <t xml:space="preserve">A 0.40 m de cada extremo</t>
  </si>
  <si>
    <t xml:space="preserve">Boquillas por canaleta</t>
  </si>
  <si>
    <t xml:space="preserve">Una salida a la tubería PVC Ø4"</t>
  </si>
  <si>
    <t xml:space="preserve">1.4.4.5.4</t>
  </si>
  <si>
    <t xml:space="preserve">RED DE RECOLECCION TECHO DE BANCAS DE JARDINERIA</t>
  </si>
  <si>
    <t xml:space="preserve">1.4.4.5.4.1</t>
  </si>
  <si>
    <t xml:space="preserve">CANALETA DE PLANCHA DE ALUZINC e=0.50mm, SECCION INTERIOR 0.18 m (ANCHO) x 0.20 m (ALTO)</t>
  </si>
  <si>
    <t xml:space="preserve">1.4.4.5.4.2</t>
  </si>
  <si>
    <t xml:space="preserve">TAPA LATERAL DE PLANCHA DE ALUZINC e=0.50mm P/CANALETA</t>
  </si>
  <si>
    <t xml:space="preserve">1.4.4.5.4.3</t>
  </si>
  <si>
    <t xml:space="preserve">1.4.4.5.4.4</t>
  </si>
  <si>
    <t xml:space="preserve">BOQUILLA DE PLANCHA DE ALUZINC e=0.50mm P/CONEXION DE CANALETA A TUBERIA PVC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</si>
</sst>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3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Calibri"/>
      <charset val="1"/>
    </font>
    <font>
      <sz val="12"/>
      <color theme="1"/>
      <name val="Arial Narrow"/>
      <family val="2"/>
      <charset val="1"/>
    </font>
    <font>
      <b/>
      <u/>
      <sz val="14"/>
      <color theme="0"/>
      <name val="Arial Narrow"/>
      <family val="2"/>
      <charset val="1"/>
    </font>
    <font>
      <b/>
      <sz val="14"/>
      <name val="Arial Narrow"/>
      <family val="2"/>
      <charset val="1"/>
    </font>
    <font>
      <sz val="14"/>
      <name val="Arial Narrow"/>
      <family val="2"/>
      <charset val="1"/>
    </font>
    <font>
      <b/>
      <sz val="12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12"/>
      <name val="Arial Narrow"/>
      <family val="2"/>
      <charset val="1"/>
    </font>
    <font>
      <sz val="11"/>
      <color theme="1"/>
      <name val="Arial Narrow"/>
      <family val="2"/>
      <charset val="1"/>
    </font>
    <font>
      <b/>
      <u/>
      <sz val="16"/>
      <color theme="0"/>
      <name val="Arial Narrow"/>
      <family val="2"/>
      <charset val="1"/>
    </font>
    <font>
      <b/>
      <sz val="14"/>
      <color theme="0"/>
      <name val="Arial Narrow"/>
      <family val="2"/>
      <charset val="1"/>
    </font>
    <font>
      <b/>
      <sz val="12"/>
      <color theme="0"/>
      <name val="Arial Narrow"/>
      <family val="2"/>
      <charset val="1"/>
    </font>
    <font>
      <b/>
      <sz val="12"/>
      <color theme="1"/>
      <name val="Arial Narrow"/>
      <family val="2"/>
      <charset val="1"/>
    </font>
    <font>
      <b/>
      <u/>
      <sz val="12"/>
      <color theme="0"/>
      <name val="Arial Narrow"/>
      <family val="2"/>
      <charset val="1"/>
    </font>
    <font>
      <sz val="12"/>
      <color rgb="FF000000"/>
      <name val="Arial Narrow"/>
      <family val="2"/>
      <charset val="1"/>
    </font>
    <font>
      <sz val="12"/>
      <color theme="0"/>
      <name val="Arial Narrow"/>
      <family val="2"/>
      <charset val="1"/>
    </font>
    <font>
      <b/>
      <sz val="14"/>
      <color rgb="FFFFFFFF"/>
      <name val="Arial Narrow"/>
      <family val="2"/>
      <charset val="1"/>
    </font>
    <font>
      <sz val="10"/>
      <name val="Arial Narrow"/>
      <family val="2"/>
      <charset val="1"/>
    </font>
    <font>
      <sz val="11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u/>
      <sz val="18"/>
      <color theme="0"/>
      <name val="Arial Narrow"/>
      <family val="2"/>
      <charset val="1"/>
    </font>
    <font>
      <b/>
      <sz val="16"/>
      <name val="Arial Narrow"/>
      <family val="2"/>
      <charset val="1"/>
    </font>
    <font>
      <sz val="16"/>
      <name val="Arial Narrow"/>
      <family val="2"/>
      <charset val="1"/>
    </font>
    <font>
      <b/>
      <sz val="16"/>
      <color rgb="FFFFFFFF"/>
      <name val="Arial Narrow"/>
      <family val="2"/>
      <charset val="1"/>
    </font>
    <font>
      <b/>
      <sz val="14"/>
      <color rgb="FF1F1F1F"/>
      <name val="Arial Narrow"/>
      <family val="2"/>
      <charset val="1"/>
    </font>
    <font>
      <b/>
      <sz val="11"/>
      <color rgb="FFC00000"/>
      <name val="Arial Narrow"/>
      <family val="2"/>
      <charset val="1"/>
    </font>
    <font>
      <b/>
      <sz val="11"/>
      <name val="Arial Narrow"/>
      <family val="2"/>
      <charset val="1"/>
    </font>
    <font>
      <sz val="11"/>
      <color rgb="FF0000FF"/>
      <name val="Arial Narrow"/>
      <family val="2"/>
      <charset val="1"/>
    </font>
    <font>
      <b/>
      <sz val="11"/>
      <color rgb="FF1F4E78"/>
      <name val="Arial Narrow"/>
      <family val="2"/>
      <charset val="1"/>
    </font>
    <font>
      <sz val="11"/>
      <color rgb="FF1F1F1F"/>
      <name val="Arial Narrow"/>
      <family val="2"/>
      <charset val="1"/>
    </font>
    <font>
      <b/>
      <sz val="11"/>
      <color theme="0"/>
      <name val="Arial Narrow"/>
      <family val="2"/>
      <charset val="1"/>
    </font>
    <font>
      <b/>
      <sz val="10"/>
      <color rgb="FFFFFFFF"/>
      <name val="Arial Narrow"/>
      <family val="2"/>
      <charset val="1"/>
    </font>
    <font>
      <b/>
      <sz val="11"/>
      <color theme="1"/>
      <name val="Arial Narrow"/>
      <family val="2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b/>
      <sz val="14"/>
      <color rgb="FFFFFFFF"/>
      <name val="Calibri"/>
      <charset val="1"/>
    </font>
    <font>
      <sz val="11"/>
      <color theme="1"/>
      <name val="Calibri"/>
      <family val="2"/>
      <charset val="1"/>
    </font>
    <font>
      <b/>
      <sz val="12"/>
      <name val="Arial Narrow"/>
    </font>
    <font>
      <b/>
      <sz val="12"/>
      <color rgb="FFFFFFFF"/>
      <name val="Arial Narrow"/>
    </font>
    <font>
      <sz val="12"/>
      <name val="Arial Narrow"/>
    </font>
    <font>
      <sz val="8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heme="0"/>
        <bgColor rgb="FFFCF6E0"/>
      </patternFill>
    </fill>
    <fill>
      <patternFill patternType="solid">
        <fgColor theme="4" tint="-0.249977111117893"/>
        <bgColor rgb="FF305496"/>
      </patternFill>
    </fill>
    <fill>
      <patternFill patternType="solid">
        <fgColor theme="0" tint="-4.9989318521683403E-2"/>
        <bgColor rgb="FFEAF3F8"/>
      </patternFill>
    </fill>
    <fill>
      <patternFill patternType="solid">
        <fgColor rgb="FFEAF4FB"/>
        <bgColor rgb="FFEAF3F8"/>
      </patternFill>
    </fill>
    <fill>
      <patternFill patternType="solid">
        <fgColor rgb="FF305496"/>
        <bgColor rgb="FF2F5597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BECC9"/>
      </patternFill>
    </fill>
    <fill>
      <patternFill patternType="solid">
        <fgColor rgb="FFFBECC9"/>
        <bgColor rgb="FFFFF2CC"/>
      </patternFill>
    </fill>
    <fill>
      <patternFill patternType="solid">
        <fgColor rgb="FFFCF6E0"/>
        <bgColor rgb="FFF0F7E8"/>
      </patternFill>
    </fill>
    <fill>
      <patternFill patternType="solid">
        <fgColor rgb="FF0070C0"/>
        <bgColor rgb="FF008080"/>
      </patternFill>
    </fill>
    <fill>
      <patternFill patternType="solid">
        <fgColor theme="9" tint="0.59978026673177287"/>
        <bgColor rgb="FFD9E1F2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0" tint="-0.249977111117893"/>
        <bgColor rgb="FFAFABAB"/>
      </patternFill>
    </fill>
    <fill>
      <patternFill patternType="solid">
        <fgColor theme="7" tint="0.59978026673177287"/>
        <bgColor rgb="FFFBECC9"/>
      </patternFill>
    </fill>
    <fill>
      <patternFill patternType="solid">
        <fgColor rgb="FF92D050"/>
        <bgColor rgb="FFAFABAB"/>
      </patternFill>
    </fill>
    <fill>
      <patternFill patternType="solid">
        <fgColor theme="5" tint="0.39976195562608724"/>
        <bgColor rgb="FFF4CCCC"/>
      </patternFill>
    </fill>
    <fill>
      <patternFill patternType="solid">
        <fgColor rgb="FFFFFF00"/>
        <bgColor rgb="FFFFE699"/>
      </patternFill>
    </fill>
    <fill>
      <patternFill patternType="solid">
        <fgColor rgb="FFE2F0D9"/>
        <bgColor rgb="FFF0F7E8"/>
      </patternFill>
    </fill>
    <fill>
      <patternFill patternType="solid">
        <fgColor rgb="FF1F4E78"/>
        <bgColor rgb="FF305496"/>
      </patternFill>
    </fill>
    <fill>
      <patternFill patternType="solid">
        <fgColor rgb="FFD9E1F2"/>
        <bgColor rgb="FFE4DFEC"/>
      </patternFill>
    </fill>
    <fill>
      <patternFill patternType="solid">
        <fgColor rgb="FFDDEBF7"/>
        <bgColor rgb="FFDEEBF7"/>
      </patternFill>
    </fill>
    <fill>
      <patternFill patternType="solid">
        <fgColor rgb="FFEAF3F8"/>
        <bgColor rgb="FFEAF4FB"/>
      </patternFill>
    </fill>
    <fill>
      <patternFill patternType="solid">
        <fgColor rgb="FF5B9BD5"/>
        <bgColor rgb="FF7F7F7F"/>
      </patternFill>
    </fill>
    <fill>
      <patternFill patternType="solid">
        <fgColor rgb="FFE4DFEC"/>
        <bgColor rgb="FFD9E1F2"/>
      </patternFill>
    </fill>
    <fill>
      <patternFill patternType="solid">
        <fgColor rgb="FFF0F7E8"/>
        <bgColor rgb="FFF2F2F2"/>
      </patternFill>
    </fill>
    <fill>
      <patternFill patternType="solid">
        <fgColor rgb="FF0B1F2A"/>
        <bgColor rgb="FF1F1F1F"/>
      </patternFill>
    </fill>
    <fill>
      <patternFill patternType="solid">
        <fgColor rgb="FF17365D"/>
        <bgColor rgb="FF1F4E78"/>
      </patternFill>
    </fill>
    <fill>
      <patternFill patternType="solid">
        <fgColor theme="8" tint="0.79979857783745845"/>
        <bgColor rgb="FFDDEBF7"/>
      </patternFill>
    </fill>
    <fill>
      <patternFill patternType="solid">
        <fgColor theme="5" tint="0.39976195562608724"/>
        <bgColor rgb="FFF4CC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8" fillId="0" borderId="0"/>
  </cellStyleXfs>
  <cellXfs count="334">
    <xf numFmtId="0" fontId="0" fillId="0" borderId="0" xfId="0"/>
    <xf numFmtId="49" fontId="8" fillId="5" borderId="1" xfId="0" applyNumberFormat="1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wrapText="1"/>
    </xf>
    <xf numFmtId="49" fontId="8" fillId="5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wrapText="1"/>
    </xf>
    <xf numFmtId="2" fontId="8" fillId="5" borderId="1" xfId="0" applyNumberFormat="1" applyFont="1" applyFill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7" fillId="6" borderId="1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vertical="center" wrapText="1"/>
    </xf>
    <xf numFmtId="2" fontId="8" fillId="8" borderId="1" xfId="0" applyNumberFormat="1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2" fontId="8" fillId="8" borderId="1" xfId="0" applyNumberFormat="1" applyFont="1" applyFill="1" applyBorder="1" applyAlignment="1">
      <alignment horizontal="right" vertical="center" wrapText="1"/>
    </xf>
    <xf numFmtId="2" fontId="8" fillId="7" borderId="1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vertical="center"/>
    </xf>
    <xf numFmtId="49" fontId="9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2" fontId="8" fillId="5" borderId="1" xfId="0" applyNumberFormat="1" applyFont="1" applyFill="1" applyBorder="1" applyAlignment="1">
      <alignment vertical="center" wrapText="1"/>
    </xf>
    <xf numFmtId="49" fontId="8" fillId="9" borderId="1" xfId="0" applyNumberFormat="1" applyFont="1" applyFill="1" applyBorder="1" applyAlignment="1">
      <alignment vertical="center" wrapText="1"/>
    </xf>
    <xf numFmtId="2" fontId="8" fillId="9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vertical="center" wrapText="1"/>
    </xf>
    <xf numFmtId="49" fontId="8" fillId="8" borderId="1" xfId="0" applyNumberFormat="1" applyFont="1" applyFill="1" applyBorder="1" applyAlignment="1">
      <alignment horizontal="left" vertical="center" wrapText="1"/>
    </xf>
    <xf numFmtId="2" fontId="8" fillId="9" borderId="1" xfId="0" applyNumberFormat="1" applyFont="1" applyFill="1" applyBorder="1" applyAlignment="1">
      <alignment horizontal="right" vertical="center" wrapText="1"/>
    </xf>
    <xf numFmtId="49" fontId="8" fillId="9" borderId="1" xfId="0" applyNumberFormat="1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vertical="center" wrapText="1"/>
    </xf>
    <xf numFmtId="49" fontId="8" fillId="10" borderId="1" xfId="0" applyNumberFormat="1" applyFont="1" applyFill="1" applyBorder="1" applyAlignment="1">
      <alignment horizontal="left" vertical="center" wrapText="1" indent="1"/>
    </xf>
    <xf numFmtId="49" fontId="8" fillId="10" borderId="1" xfId="0" applyNumberFormat="1" applyFont="1" applyFill="1" applyBorder="1" applyAlignment="1">
      <alignment vertical="center" wrapText="1"/>
    </xf>
    <xf numFmtId="2" fontId="8" fillId="10" borderId="1" xfId="0" applyNumberFormat="1" applyFont="1" applyFill="1" applyBorder="1" applyAlignment="1">
      <alignment horizontal="left"/>
    </xf>
    <xf numFmtId="0" fontId="9" fillId="10" borderId="1" xfId="0" applyFont="1" applyFill="1" applyBorder="1"/>
    <xf numFmtId="2" fontId="8" fillId="10" borderId="1" xfId="0" applyNumberFormat="1" applyFont="1" applyFill="1" applyBorder="1" applyAlignment="1">
      <alignment vertical="center" wrapText="1"/>
    </xf>
    <xf numFmtId="2" fontId="8" fillId="10" borderId="1" xfId="0" applyNumberFormat="1" applyFont="1" applyFill="1" applyBorder="1" applyAlignment="1">
      <alignment horizontal="right" vertical="center"/>
    </xf>
    <xf numFmtId="49" fontId="8" fillId="2" borderId="1" xfId="0" applyNumberFormat="1" applyFont="1" applyFill="1" applyBorder="1" applyAlignment="1">
      <alignment horizontal="left" vertical="center" wrapText="1" indent="1"/>
    </xf>
    <xf numFmtId="2" fontId="8" fillId="2" borderId="1" xfId="0" applyNumberFormat="1" applyFont="1" applyFill="1" applyBorder="1" applyAlignment="1">
      <alignment horizontal="left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2" fontId="8" fillId="2" borderId="1" xfId="0" applyNumberFormat="1" applyFont="1" applyFill="1" applyBorder="1" applyAlignment="1">
      <alignment horizontal="right" vertical="center"/>
    </xf>
    <xf numFmtId="49" fontId="8" fillId="10" borderId="1" xfId="0" applyNumberFormat="1" applyFont="1" applyFill="1" applyBorder="1" applyAlignment="1">
      <alignment horizontal="left" vertical="top" wrapText="1" indent="1"/>
    </xf>
    <xf numFmtId="2" fontId="8" fillId="10" borderId="1" xfId="0" applyNumberFormat="1" applyFont="1" applyFill="1" applyBorder="1" applyAlignment="1">
      <alignment horizontal="left" vertical="center" wrapText="1"/>
    </xf>
    <xf numFmtId="2" fontId="8" fillId="10" borderId="1" xfId="0" applyNumberFormat="1" applyFont="1" applyFill="1" applyBorder="1" applyAlignment="1">
      <alignment horizontal="right" vertical="center" wrapText="1"/>
    </xf>
    <xf numFmtId="49" fontId="8" fillId="2" borderId="1" xfId="0" applyNumberFormat="1" applyFont="1" applyFill="1" applyBorder="1" applyAlignment="1">
      <alignment horizontal="left" vertical="top" wrapText="1" indent="1"/>
    </xf>
    <xf numFmtId="2" fontId="8" fillId="2" borderId="1" xfId="0" applyNumberFormat="1" applyFont="1" applyFill="1" applyBorder="1" applyAlignment="1">
      <alignment horizontal="left" vertical="center" wrapText="1"/>
    </xf>
    <xf numFmtId="0" fontId="10" fillId="0" borderId="0" xfId="0" applyFont="1"/>
    <xf numFmtId="0" fontId="10" fillId="0" borderId="2" xfId="0" applyFont="1" applyBorder="1" applyAlignment="1">
      <alignment horizontal="center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2" fontId="3" fillId="2" borderId="12" xfId="0" applyNumberFormat="1" applyFont="1" applyFill="1" applyBorder="1" applyAlignment="1">
      <alignment horizontal="center" vertical="center" wrapText="1"/>
    </xf>
    <xf numFmtId="2" fontId="3" fillId="13" borderId="9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0" fillId="0" borderId="0" xfId="0" applyNumberFormat="1" applyFont="1"/>
    <xf numFmtId="2" fontId="3" fillId="14" borderId="1" xfId="0" applyNumberFormat="1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center" vertical="center" wrapText="1"/>
    </xf>
    <xf numFmtId="2" fontId="3" fillId="13" borderId="1" xfId="0" applyNumberFormat="1" applyFont="1" applyFill="1" applyBorder="1" applyAlignment="1">
      <alignment horizontal="center" vertical="center" wrapText="1"/>
    </xf>
    <xf numFmtId="2" fontId="3" fillId="14" borderId="9" xfId="0" applyNumberFormat="1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2" fontId="3" fillId="13" borderId="17" xfId="0" applyNumberFormat="1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2" borderId="17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2" fontId="3" fillId="2" borderId="13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2" fontId="3" fillId="0" borderId="1" xfId="0" applyNumberFormat="1" applyFont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8" fillId="19" borderId="24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2" fontId="8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20" fillId="0" borderId="0" xfId="2" applyFont="1"/>
    <xf numFmtId="0" fontId="20" fillId="0" borderId="0" xfId="2" applyFont="1" applyAlignment="1">
      <alignment horizontal="center"/>
    </xf>
    <xf numFmtId="0" fontId="21" fillId="2" borderId="0" xfId="2" applyFont="1" applyFill="1" applyAlignment="1">
      <alignment horizontal="center" vertical="center"/>
    </xf>
    <xf numFmtId="0" fontId="20" fillId="2" borderId="0" xfId="2" applyFont="1" applyFill="1" applyAlignment="1">
      <alignment vertical="center" wrapText="1"/>
    </xf>
    <xf numFmtId="0" fontId="20" fillId="2" borderId="0" xfId="2" applyFont="1" applyFill="1" applyAlignment="1">
      <alignment horizontal="center" vertical="center" wrapText="1"/>
    </xf>
    <xf numFmtId="0" fontId="20" fillId="2" borderId="0" xfId="2" applyFont="1" applyFill="1"/>
    <xf numFmtId="0" fontId="23" fillId="4" borderId="1" xfId="0" applyFont="1" applyFill="1" applyBorder="1" applyAlignment="1">
      <alignment horizontal="center" vertical="center" wrapText="1"/>
    </xf>
    <xf numFmtId="0" fontId="26" fillId="17" borderId="1" xfId="2" applyFont="1" applyFill="1" applyBorder="1" applyAlignment="1">
      <alignment horizontal="center" vertical="center" wrapText="1"/>
    </xf>
    <xf numFmtId="0" fontId="18" fillId="24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8" borderId="1" xfId="2" applyFont="1" applyFill="1" applyBorder="1" applyAlignment="1">
      <alignment horizontal="center" vertical="center" wrapText="1"/>
    </xf>
    <xf numFmtId="0" fontId="5" fillId="25" borderId="1" xfId="2" applyFont="1" applyFill="1" applyBorder="1" applyAlignment="1">
      <alignment horizontal="center" vertical="center" wrapText="1"/>
    </xf>
    <xf numFmtId="2" fontId="6" fillId="8" borderId="1" xfId="2" applyNumberFormat="1" applyFont="1" applyFill="1" applyBorder="1" applyAlignment="1">
      <alignment horizontal="center" vertical="center" wrapText="1"/>
    </xf>
    <xf numFmtId="165" fontId="6" fillId="22" borderId="1" xfId="2" applyNumberFormat="1" applyFont="1" applyFill="1" applyBorder="1" applyAlignment="1">
      <alignment horizontal="center" vertical="center" wrapText="1"/>
    </xf>
    <xf numFmtId="2" fontId="6" fillId="22" borderId="1" xfId="2" applyNumberFormat="1" applyFont="1" applyFill="1" applyBorder="1" applyAlignment="1">
      <alignment horizontal="center" vertical="center" wrapText="1"/>
    </xf>
    <xf numFmtId="0" fontId="6" fillId="19" borderId="1" xfId="2" applyFont="1" applyFill="1" applyBorder="1" applyAlignment="1">
      <alignment horizontal="center" vertical="center" wrapText="1"/>
    </xf>
    <xf numFmtId="165" fontId="6" fillId="26" borderId="1" xfId="2" applyNumberFormat="1" applyFont="1" applyFill="1" applyBorder="1" applyAlignment="1">
      <alignment horizontal="center" vertical="center" wrapText="1"/>
    </xf>
    <xf numFmtId="2" fontId="6" fillId="19" borderId="1" xfId="2" applyNumberFormat="1" applyFont="1" applyFill="1" applyBorder="1" applyAlignment="1">
      <alignment horizontal="center" vertical="center" wrapText="1"/>
    </xf>
    <xf numFmtId="2" fontId="6" fillId="26" borderId="1" xfId="2" applyNumberFormat="1" applyFont="1" applyFill="1" applyBorder="1" applyAlignment="1">
      <alignment horizontal="center" vertical="center" wrapText="1"/>
    </xf>
    <xf numFmtId="2" fontId="5" fillId="17" borderId="1" xfId="2" applyNumberFormat="1" applyFont="1" applyFill="1" applyBorder="1" applyAlignment="1">
      <alignment horizontal="center" vertical="center" wrapText="1"/>
    </xf>
    <xf numFmtId="2" fontId="18" fillId="27" borderId="1" xfId="2" applyNumberFormat="1" applyFont="1" applyFill="1" applyBorder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vertical="center" wrapText="1"/>
    </xf>
    <xf numFmtId="0" fontId="29" fillId="8" borderId="1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30" fillId="0" borderId="1" xfId="3" applyFont="1" applyBorder="1" applyAlignment="1">
      <alignment horizontal="center" vertical="center" wrapText="1"/>
    </xf>
    <xf numFmtId="2" fontId="30" fillId="0" borderId="1" xfId="3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wrapText="1"/>
    </xf>
    <xf numFmtId="2" fontId="20" fillId="0" borderId="1" xfId="3" applyNumberFormat="1" applyFont="1" applyBorder="1" applyAlignment="1">
      <alignment horizontal="center" vertical="center" wrapText="1"/>
    </xf>
    <xf numFmtId="0" fontId="9" fillId="0" borderId="0" xfId="2" applyFont="1"/>
    <xf numFmtId="0" fontId="5" fillId="4" borderId="1" xfId="2" applyFont="1" applyFill="1" applyBorder="1" applyAlignment="1">
      <alignment vertical="center"/>
    </xf>
    <xf numFmtId="0" fontId="18" fillId="3" borderId="0" xfId="2" applyFont="1" applyFill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6" fillId="25" borderId="1" xfId="2" applyFont="1" applyFill="1" applyBorder="1" applyAlignment="1">
      <alignment horizontal="center" vertical="center" wrapText="1"/>
    </xf>
    <xf numFmtId="2" fontId="6" fillId="2" borderId="1" xfId="2" applyNumberFormat="1" applyFont="1" applyFill="1" applyBorder="1" applyAlignment="1">
      <alignment horizontal="center" vertical="center" wrapText="1"/>
    </xf>
    <xf numFmtId="2" fontId="5" fillId="26" borderId="1" xfId="2" applyNumberFormat="1" applyFont="1" applyFill="1" applyBorder="1" applyAlignment="1">
      <alignment horizontal="center" vertical="center" wrapText="1"/>
    </xf>
    <xf numFmtId="1" fontId="6" fillId="26" borderId="1" xfId="2" applyNumberFormat="1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2" fontId="18" fillId="28" borderId="0" xfId="2" applyNumberFormat="1" applyFont="1" applyFill="1" applyAlignment="1">
      <alignment horizontal="center" vertical="center"/>
    </xf>
    <xf numFmtId="0" fontId="32" fillId="3" borderId="1" xfId="2" applyFont="1" applyFill="1" applyBorder="1" applyAlignment="1">
      <alignment vertical="center"/>
    </xf>
    <xf numFmtId="17" fontId="20" fillId="0" borderId="1" xfId="2" applyNumberFormat="1" applyFont="1" applyBorder="1" applyAlignment="1">
      <alignment vertical="center" wrapText="1"/>
    </xf>
    <xf numFmtId="0" fontId="33" fillId="3" borderId="1" xfId="2" applyFont="1" applyFill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5" borderId="1" xfId="2" applyFont="1" applyFill="1" applyBorder="1" applyAlignment="1">
      <alignment horizontal="center" vertical="center" wrapText="1"/>
    </xf>
    <xf numFmtId="2" fontId="9" fillId="2" borderId="1" xfId="2" applyNumberFormat="1" applyFont="1" applyFill="1" applyBorder="1" applyAlignment="1">
      <alignment horizontal="center" vertical="center" wrapText="1"/>
    </xf>
    <xf numFmtId="2" fontId="8" fillId="26" borderId="1" xfId="2" applyNumberFormat="1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2" fontId="21" fillId="28" borderId="0" xfId="2" applyNumberFormat="1" applyFont="1" applyFill="1" applyAlignment="1">
      <alignment horizontal="center" vertical="center"/>
    </xf>
    <xf numFmtId="0" fontId="9" fillId="0" borderId="0" xfId="2" applyFont="1" applyAlignment="1">
      <alignment vertical="center" wrapText="1"/>
    </xf>
    <xf numFmtId="0" fontId="7" fillId="20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right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 wrapText="1"/>
    </xf>
    <xf numFmtId="0" fontId="8" fillId="7" borderId="1" xfId="2" applyFont="1" applyFill="1" applyBorder="1" applyAlignment="1">
      <alignment horizontal="right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165" fontId="9" fillId="0" borderId="1" xfId="2" applyNumberFormat="1" applyFont="1" applyBorder="1" applyAlignment="1">
      <alignment horizontal="center" vertical="center" wrapText="1"/>
    </xf>
    <xf numFmtId="165" fontId="8" fillId="7" borderId="1" xfId="2" applyNumberFormat="1" applyFont="1" applyFill="1" applyBorder="1" applyAlignment="1">
      <alignment horizontal="center" vertical="center" wrapText="1"/>
    </xf>
    <xf numFmtId="165" fontId="28" fillId="7" borderId="1" xfId="2" applyNumberFormat="1" applyFont="1" applyFill="1" applyBorder="1" applyAlignment="1">
      <alignment horizontal="center" vertical="center" wrapText="1"/>
    </xf>
    <xf numFmtId="0" fontId="34" fillId="29" borderId="0" xfId="0" applyFont="1" applyFill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2" fillId="0" borderId="0" xfId="2"/>
    <xf numFmtId="0" fontId="35" fillId="20" borderId="0" xfId="2" applyFont="1" applyFill="1" applyAlignment="1">
      <alignment horizontal="center" vertical="center" wrapText="1"/>
    </xf>
    <xf numFmtId="0" fontId="2" fillId="0" borderId="0" xfId="2" applyAlignment="1">
      <alignment vertical="center" wrapText="1"/>
    </xf>
    <xf numFmtId="0" fontId="36" fillId="7" borderId="0" xfId="2" applyFont="1" applyFill="1" applyAlignment="1">
      <alignment horizontal="center" vertical="center" wrapText="1"/>
    </xf>
    <xf numFmtId="165" fontId="2" fillId="0" borderId="0" xfId="2" applyNumberFormat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35" fillId="20" borderId="0" xfId="2" applyFont="1" applyFill="1" applyAlignment="1">
      <alignment horizontal="center" vertical="center"/>
    </xf>
    <xf numFmtId="0" fontId="2" fillId="8" borderId="0" xfId="2" applyFill="1" applyAlignment="1">
      <alignment horizontal="center"/>
    </xf>
    <xf numFmtId="165" fontId="2" fillId="8" borderId="0" xfId="2" applyNumberFormat="1" applyFill="1" applyAlignment="1">
      <alignment horizontal="center"/>
    </xf>
    <xf numFmtId="0" fontId="2" fillId="25" borderId="0" xfId="2" applyFill="1" applyAlignment="1">
      <alignment horizontal="center"/>
    </xf>
    <xf numFmtId="0" fontId="2" fillId="19" borderId="0" xfId="2" applyFill="1" applyAlignment="1">
      <alignment wrapText="1"/>
    </xf>
    <xf numFmtId="2" fontId="14" fillId="30" borderId="1" xfId="0" applyNumberFormat="1" applyFont="1" applyFill="1" applyBorder="1" applyAlignment="1">
      <alignment horizontal="center" vertical="center" wrapText="1"/>
    </xf>
    <xf numFmtId="0" fontId="14" fillId="30" borderId="1" xfId="0" applyFont="1" applyFill="1" applyBorder="1" applyAlignment="1">
      <alignment horizontal="center" vertical="center" wrapText="1"/>
    </xf>
    <xf numFmtId="2" fontId="14" fillId="18" borderId="1" xfId="0" applyNumberFormat="1" applyFont="1" applyFill="1" applyBorder="1" applyAlignment="1">
      <alignment horizontal="center" vertical="center" wrapText="1"/>
    </xf>
    <xf numFmtId="0" fontId="39" fillId="32" borderId="41" xfId="0" applyFont="1" applyFill="1" applyBorder="1" applyAlignment="1">
      <alignment horizontal="center" vertical="center"/>
    </xf>
    <xf numFmtId="2" fontId="41" fillId="0" borderId="41" xfId="0" applyNumberFormat="1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166" fontId="41" fillId="0" borderId="41" xfId="0" applyNumberFormat="1" applyFont="1" applyBorder="1" applyAlignment="1">
      <alignment horizontal="center" vertical="center" wrapText="1"/>
    </xf>
    <xf numFmtId="1" fontId="41" fillId="0" borderId="41" xfId="0" applyNumberFormat="1" applyFont="1" applyBorder="1" applyAlignment="1">
      <alignment horizontal="center" vertical="center" wrapText="1"/>
    </xf>
    <xf numFmtId="2" fontId="39" fillId="0" borderId="41" xfId="0" applyNumberFormat="1" applyFont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/>
    </xf>
    <xf numFmtId="49" fontId="3" fillId="33" borderId="1" xfId="0" applyNumberFormat="1" applyFont="1" applyFill="1" applyBorder="1" applyAlignment="1">
      <alignment horizontal="left" vertical="center" wrapText="1"/>
    </xf>
    <xf numFmtId="49" fontId="3" fillId="33" borderId="1" xfId="0" applyNumberFormat="1" applyFont="1" applyFill="1" applyBorder="1" applyAlignment="1">
      <alignment wrapText="1"/>
    </xf>
    <xf numFmtId="49" fontId="3" fillId="33" borderId="1" xfId="0" applyNumberFormat="1" applyFont="1" applyFill="1" applyBorder="1" applyAlignment="1">
      <alignment horizontal="center" wrapText="1"/>
    </xf>
    <xf numFmtId="2" fontId="3" fillId="33" borderId="1" xfId="0" applyNumberFormat="1" applyFont="1" applyFill="1" applyBorder="1" applyAlignment="1">
      <alignment horizontal="center" vertical="center"/>
    </xf>
    <xf numFmtId="0" fontId="39" fillId="0" borderId="41" xfId="0" applyFont="1" applyBorder="1" applyAlignment="1">
      <alignment horizontal="left" vertical="center" wrapText="1"/>
    </xf>
    <xf numFmtId="0" fontId="0" fillId="0" borderId="42" xfId="0" applyBorder="1"/>
    <xf numFmtId="0" fontId="0" fillId="0" borderId="43" xfId="0" applyBorder="1"/>
    <xf numFmtId="0" fontId="41" fillId="0" borderId="41" xfId="0" applyFont="1" applyBorder="1" applyAlignment="1">
      <alignment horizontal="left" vertical="center" wrapText="1"/>
    </xf>
    <xf numFmtId="0" fontId="39" fillId="32" borderId="41" xfId="0" applyFont="1" applyFill="1" applyBorder="1" applyAlignment="1">
      <alignment horizontal="center" vertical="center"/>
    </xf>
    <xf numFmtId="0" fontId="40" fillId="31" borderId="4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0" fillId="0" borderId="28" xfId="0" applyBorder="1"/>
    <xf numFmtId="0" fontId="0" fillId="0" borderId="24" xfId="0" applyBorder="1"/>
    <xf numFmtId="0" fontId="11" fillId="3" borderId="20" xfId="0" applyFont="1" applyFill="1" applyBorder="1" applyAlignment="1">
      <alignment horizontal="center" vertical="center" wrapText="1"/>
    </xf>
    <xf numFmtId="0" fontId="0" fillId="0" borderId="0" xfId="0"/>
    <xf numFmtId="0" fontId="13" fillId="11" borderId="1" xfId="0" applyFont="1" applyFill="1" applyBorder="1" applyAlignment="1">
      <alignment horizontal="center" vertical="center" wrapText="1"/>
    </xf>
    <xf numFmtId="17" fontId="6" fillId="2" borderId="1" xfId="0" applyNumberFormat="1" applyFont="1" applyFill="1" applyBorder="1" applyAlignment="1">
      <alignment horizontal="left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0" fillId="0" borderId="17" xfId="0" applyBorder="1"/>
    <xf numFmtId="0" fontId="4" fillId="3" borderId="1" xfId="0" applyFont="1" applyFill="1" applyBorder="1" applyAlignment="1">
      <alignment horizontal="center" vertical="center" wrapText="1"/>
    </xf>
    <xf numFmtId="49" fontId="8" fillId="7" borderId="1" xfId="0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horizontal="right" vertical="center" wrapText="1"/>
    </xf>
    <xf numFmtId="49" fontId="8" fillId="5" borderId="1" xfId="0" applyNumberFormat="1" applyFont="1" applyFill="1" applyBorder="1" applyAlignment="1">
      <alignment vertical="center" wrapText="1"/>
    </xf>
    <xf numFmtId="2" fontId="9" fillId="0" borderId="1" xfId="0" applyNumberFormat="1" applyFont="1" applyBorder="1" applyAlignment="1">
      <alignment horizontal="right"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19" xfId="0" applyBorder="1"/>
    <xf numFmtId="0" fontId="14" fillId="2" borderId="8" xfId="0" applyFont="1" applyFill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0" fontId="14" fillId="12" borderId="18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37" xfId="0" applyBorder="1"/>
    <xf numFmtId="2" fontId="14" fillId="2" borderId="10" xfId="0" applyNumberFormat="1" applyFont="1" applyFill="1" applyBorder="1" applyAlignment="1">
      <alignment horizontal="center" vertical="center" wrapText="1"/>
    </xf>
    <xf numFmtId="0" fontId="0" fillId="0" borderId="16" xfId="0" applyBorder="1"/>
    <xf numFmtId="2" fontId="14" fillId="2" borderId="1" xfId="0" applyNumberFormat="1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6" xfId="0" applyBorder="1"/>
    <xf numFmtId="0" fontId="14" fillId="12" borderId="1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12" borderId="14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3" xfId="0" applyBorder="1"/>
    <xf numFmtId="0" fontId="14" fillId="2" borderId="16" xfId="0" applyFont="1" applyFill="1" applyBorder="1" applyAlignment="1">
      <alignment horizontal="center" vertical="center" wrapText="1"/>
    </xf>
    <xf numFmtId="2" fontId="14" fillId="2" borderId="11" xfId="0" applyNumberFormat="1" applyFont="1" applyFill="1" applyBorder="1" applyAlignment="1">
      <alignment horizontal="center" vertical="center" wrapText="1"/>
    </xf>
    <xf numFmtId="0" fontId="0" fillId="0" borderId="30" xfId="0" applyBorder="1"/>
    <xf numFmtId="2" fontId="14" fillId="2" borderId="16" xfId="0" applyNumberFormat="1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/>
    </xf>
    <xf numFmtId="0" fontId="10" fillId="0" borderId="0" xfId="0" applyFont="1"/>
    <xf numFmtId="0" fontId="13" fillId="11" borderId="4" xfId="0" applyFont="1" applyFill="1" applyBorder="1" applyAlignment="1">
      <alignment horizontal="center" vertical="center" wrapText="1"/>
    </xf>
    <xf numFmtId="0" fontId="0" fillId="0" borderId="34" xfId="0" applyBorder="1"/>
    <xf numFmtId="0" fontId="0" fillId="0" borderId="35" xfId="0" applyBorder="1"/>
    <xf numFmtId="0" fontId="13" fillId="11" borderId="13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5" xfId="0" applyBorder="1"/>
    <xf numFmtId="0" fontId="14" fillId="12" borderId="1" xfId="0" applyFont="1" applyFill="1" applyBorder="1" applyAlignment="1">
      <alignment horizontal="center" vertical="center" wrapText="1"/>
    </xf>
    <xf numFmtId="2" fontId="14" fillId="2" borderId="19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14" fillId="16" borderId="1" xfId="0" applyNumberFormat="1" applyFont="1" applyFill="1" applyBorder="1" applyAlignment="1">
      <alignment horizontal="center" vertical="center" wrapText="1"/>
    </xf>
    <xf numFmtId="164" fontId="14" fillId="15" borderId="1" xfId="0" applyNumberFormat="1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17" fontId="9" fillId="2" borderId="1" xfId="0" applyNumberFormat="1" applyFont="1" applyFill="1" applyBorder="1" applyAlignment="1">
      <alignment horizontal="left" vertical="center" wrapText="1"/>
    </xf>
    <xf numFmtId="17" fontId="16" fillId="0" borderId="0" xfId="0" applyNumberFormat="1" applyFont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18" fillId="3" borderId="0" xfId="0" applyFont="1" applyFill="1" applyAlignment="1">
      <alignment horizontal="center" vertical="center" wrapText="1"/>
    </xf>
    <xf numFmtId="0" fontId="10" fillId="0" borderId="0" xfId="0" applyFont="1" applyAlignment="1">
      <alignment wrapText="1"/>
    </xf>
    <xf numFmtId="17" fontId="6" fillId="0" borderId="1" xfId="0" applyNumberFormat="1" applyFont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6" fillId="19" borderId="1" xfId="2" applyFont="1" applyFill="1" applyBorder="1" applyAlignment="1">
      <alignment horizontal="center" vertical="center" wrapText="1"/>
    </xf>
    <xf numFmtId="0" fontId="26" fillId="22" borderId="1" xfId="2" applyFont="1" applyFill="1" applyBorder="1" applyAlignment="1">
      <alignment horizontal="center" vertical="center" wrapText="1"/>
    </xf>
    <xf numFmtId="2" fontId="18" fillId="27" borderId="1" xfId="2" applyNumberFormat="1" applyFont="1" applyFill="1" applyBorder="1" applyAlignment="1">
      <alignment horizontal="center" vertical="center"/>
    </xf>
    <xf numFmtId="17" fontId="24" fillId="2" borderId="1" xfId="0" applyNumberFormat="1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26" fillId="23" borderId="1" xfId="2" applyFont="1" applyFill="1" applyBorder="1" applyAlignment="1">
      <alignment horizontal="center" vertical="center" wrapText="1"/>
    </xf>
    <xf numFmtId="0" fontId="25" fillId="20" borderId="1" xfId="2" applyFont="1" applyFill="1" applyBorder="1" applyAlignment="1">
      <alignment horizontal="center" vertical="center"/>
    </xf>
    <xf numFmtId="0" fontId="26" fillId="21" borderId="1" xfId="2" applyFont="1" applyFill="1" applyBorder="1" applyAlignment="1">
      <alignment horizontal="center" vertical="center" wrapText="1"/>
    </xf>
    <xf numFmtId="0" fontId="7" fillId="3" borderId="0" xfId="3" applyFont="1" applyFill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9" fillId="0" borderId="1" xfId="3" applyFont="1" applyBorder="1" applyAlignment="1">
      <alignment horizontal="left" vertical="center" wrapText="1"/>
    </xf>
    <xf numFmtId="17" fontId="9" fillId="0" borderId="1" xfId="3" applyNumberFormat="1" applyFont="1" applyBorder="1" applyAlignment="1">
      <alignment horizontal="left" vertical="center" wrapText="1"/>
    </xf>
    <xf numFmtId="2" fontId="18" fillId="28" borderId="0" xfId="2" applyNumberFormat="1" applyFont="1" applyFill="1" applyAlignment="1">
      <alignment horizontal="center" vertical="center"/>
    </xf>
    <xf numFmtId="0" fontId="9" fillId="0" borderId="0" xfId="2" applyFont="1"/>
    <xf numFmtId="17" fontId="6" fillId="2" borderId="1" xfId="2" applyNumberFormat="1" applyFont="1" applyFill="1" applyBorder="1" applyAlignment="1">
      <alignment horizontal="left" vertical="center" wrapText="1"/>
    </xf>
    <xf numFmtId="0" fontId="25" fillId="3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5" fillId="4" borderId="1" xfId="2" applyFont="1" applyFill="1" applyBorder="1" applyAlignment="1">
      <alignment vertical="center"/>
    </xf>
    <xf numFmtId="0" fontId="21" fillId="3" borderId="1" xfId="2" applyFont="1" applyFill="1" applyBorder="1" applyAlignment="1">
      <alignment horizontal="center" vertical="center"/>
    </xf>
    <xf numFmtId="0" fontId="25" fillId="3" borderId="0" xfId="2" applyFont="1" applyFill="1" applyAlignment="1">
      <alignment horizontal="center" vertical="center"/>
    </xf>
    <xf numFmtId="0" fontId="20" fillId="0" borderId="0" xfId="2" applyFont="1"/>
    <xf numFmtId="0" fontId="31" fillId="0" borderId="1" xfId="2" applyFont="1" applyBorder="1" applyAlignment="1">
      <alignment horizontal="left" vertical="center" wrapText="1"/>
    </xf>
    <xf numFmtId="2" fontId="21" fillId="28" borderId="0" xfId="2" applyNumberFormat="1" applyFont="1" applyFill="1" applyAlignment="1">
      <alignment horizontal="center" vertical="center"/>
    </xf>
    <xf numFmtId="0" fontId="20" fillId="0" borderId="1" xfId="2" applyFont="1" applyBorder="1" applyAlignment="1">
      <alignment horizontal="left" vertical="center" wrapText="1"/>
    </xf>
    <xf numFmtId="0" fontId="7" fillId="20" borderId="1" xfId="2" applyFont="1" applyFill="1" applyBorder="1" applyAlignment="1">
      <alignment horizontal="center" vertical="center" wrapText="1"/>
    </xf>
    <xf numFmtId="0" fontId="25" fillId="3" borderId="20" xfId="2" applyFont="1" applyFill="1" applyBorder="1" applyAlignment="1">
      <alignment horizontal="center" vertical="center"/>
    </xf>
    <xf numFmtId="17" fontId="9" fillId="0" borderId="1" xfId="2" applyNumberFormat="1" applyFont="1" applyBorder="1" applyAlignment="1">
      <alignment horizontal="left"/>
    </xf>
    <xf numFmtId="0" fontId="35" fillId="20" borderId="0" xfId="2" applyFont="1" applyFill="1" applyAlignment="1">
      <alignment horizontal="center" vertical="center" wrapText="1"/>
    </xf>
    <xf numFmtId="0" fontId="2" fillId="0" borderId="0" xfId="2"/>
    <xf numFmtId="0" fontId="2" fillId="4" borderId="0" xfId="2" applyFill="1" applyAlignment="1">
      <alignment wrapText="1"/>
    </xf>
    <xf numFmtId="0" fontId="36" fillId="17" borderId="0" xfId="2" applyFont="1" applyFill="1" applyAlignment="1">
      <alignment horizontal="center"/>
    </xf>
    <xf numFmtId="0" fontId="37" fillId="27" borderId="0" xfId="2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2" fontId="3" fillId="0" borderId="41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14" fillId="12" borderId="1" xfId="0" applyFont="1" applyFill="1" applyBorder="1" applyAlignment="1">
      <alignment horizontal="center" wrapText="1"/>
    </xf>
    <xf numFmtId="0" fontId="3" fillId="0" borderId="41" xfId="0" applyFont="1" applyFill="1" applyBorder="1" applyAlignment="1">
      <alignment horizontal="center" vertical="center" wrapText="1"/>
    </xf>
    <xf numFmtId="2" fontId="3" fillId="0" borderId="4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41" xfId="0" applyFont="1" applyFill="1" applyBorder="1" applyAlignment="1">
      <alignment horizontal="center" vertical="center" wrapText="1"/>
    </xf>
    <xf numFmtId="49" fontId="8" fillId="9" borderId="41" xfId="0" applyNumberFormat="1" applyFont="1" applyFill="1" applyBorder="1" applyAlignment="1">
      <alignment vertical="center" wrapText="1"/>
    </xf>
    <xf numFmtId="49" fontId="8" fillId="8" borderId="41" xfId="0" applyNumberFormat="1" applyFont="1" applyFill="1" applyBorder="1" applyAlignment="1">
      <alignment vertical="center" wrapText="1"/>
    </xf>
    <xf numFmtId="2" fontId="8" fillId="9" borderId="41" xfId="0" applyNumberFormat="1" applyFont="1" applyFill="1" applyBorder="1" applyAlignment="1">
      <alignment vertical="center" wrapText="1"/>
    </xf>
    <xf numFmtId="2" fontId="8" fillId="8" borderId="41" xfId="0" applyNumberFormat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9">
    <dxf>
      <font>
        <color rgb="FF7F7F7F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EAF4FB"/>
      <rgbColor rgb="FF800000"/>
      <rgbColor rgb="FF008000"/>
      <rgbColor rgb="FF000080"/>
      <rgbColor rgb="FF7F6000"/>
      <rgbColor rgb="FF800080"/>
      <rgbColor rgb="FF1F4E78"/>
      <rgbColor rgb="FFBFBFBF"/>
      <rgbColor rgb="FF7F7F7F"/>
      <rgbColor rgb="FF5B9BD5"/>
      <rgbColor rgb="FF993366"/>
      <rgbColor rgb="FFFCF6E0"/>
      <rgbColor rgb="FFD9EAF7"/>
      <rgbColor rgb="FF660066"/>
      <rgbColor rgb="FFDEEBF7"/>
      <rgbColor rgb="FF0070C0"/>
      <rgbColor rgb="FFD9E1F2"/>
      <rgbColor rgb="FF000080"/>
      <rgbColor rgb="FFFF00FF"/>
      <rgbColor rgb="FFFBECC9"/>
      <rgbColor rgb="FFF0F7E8"/>
      <rgbColor rgb="FF800080"/>
      <rgbColor rgb="FF800000"/>
      <rgbColor rgb="FF008080"/>
      <rgbColor rgb="FF0000FF"/>
      <rgbColor rgb="FF00CCFF"/>
      <rgbColor rgb="FFDDEBF7"/>
      <rgbColor rgb="FFE2F0D9"/>
      <rgbColor rgb="FFFFE699"/>
      <rgbColor rgb="FFC5E0B4"/>
      <rgbColor rgb="FFF4B183"/>
      <rgbColor rgb="FFE4DFEC"/>
      <rgbColor rgb="FFF4CCCC"/>
      <rgbColor rgb="FF3366FF"/>
      <rgbColor rgb="FFEAF3F8"/>
      <rgbColor rgb="FF92D050"/>
      <rgbColor rgb="FFFFF2CC"/>
      <rgbColor rgb="FFF2F2F2"/>
      <rgbColor rgb="FFFF6600"/>
      <rgbColor rgb="FF2F5597"/>
      <rgbColor rgb="FFAFABAB"/>
      <rgbColor rgb="FF17365D"/>
      <rgbColor rgb="FF339966"/>
      <rgbColor rgb="FF0B1F2A"/>
      <rgbColor rgb="FF385723"/>
      <rgbColor rgb="FF993300"/>
      <rgbColor rgb="FF993366"/>
      <rgbColor rgb="FF305496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0" Type="http://schemas.openxmlformats.org/officeDocument/2006/relationships/worksheet" Target="worksheets/sheet1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3" totalsRowShown="0">
  <tableColumns count="7">
    <tableColumn id="1" xr3:uid="{00000000-0010-0000-0000-000001000000}" name="SECTOR"/>
    <tableColumn id="2" xr3:uid="{00000000-0010-0000-0000-000002000000}" name="TUBERÍA 4&quot; PVC-U_x000a_Desagüe Clase Pesada (m)"/>
    <tableColumn id="3" xr3:uid="{00000000-0010-0000-0000-000003000000}" name="SUMIDERO DE 4&quot;_x000a_(und)"/>
    <tableColumn id="4" xr3:uid="{00000000-0010-0000-0000-000004000000}" name="CODO 90° x 4&quot;_x000a_(und)"/>
    <tableColumn id="5" xr3:uid="{00000000-0010-0000-0000-000005000000}" name="CODO 45° x 4&quot;_x000a_(und)"/>
    <tableColumn id="6" xr3:uid="{00000000-0010-0000-0000-000006000000}" name="TEE° x 4&quot;_x000a_(und)"/>
    <tableColumn id="7" xr3:uid="{00000000-0010-0000-0000-000007000000}" name="OBSERVACIÓ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view="pageBreakPreview" topLeftCell="A21" zoomScale="130" zoomScaleNormal="130" zoomScalePageLayoutView="130" workbookViewId="0">
      <selection activeCell="C31" sqref="C31"/>
    </sheetView>
  </sheetViews>
  <sheetFormatPr baseColWidth="10" defaultColWidth="11.54296875" defaultRowHeight="15.5" x14ac:dyDescent="0.35"/>
  <cols>
    <col min="1" max="1" width="18.08984375" style="4" customWidth="1"/>
    <col min="2" max="2" width="74.08984375" style="4" customWidth="1"/>
    <col min="3" max="3" width="19.36328125" style="5" customWidth="1"/>
    <col min="4" max="4" width="21.54296875" style="5" customWidth="1"/>
    <col min="5" max="5" width="11.54296875" style="4" customWidth="1"/>
    <col min="6" max="16384" width="11.54296875" style="4"/>
  </cols>
  <sheetData>
    <row r="1" spans="1:5" ht="15" customHeight="1" x14ac:dyDescent="0.35">
      <c r="A1" s="6"/>
      <c r="B1" s="7"/>
      <c r="C1" s="7"/>
      <c r="D1" s="7"/>
      <c r="E1" s="6"/>
    </row>
    <row r="2" spans="1:5" ht="22.5" customHeight="1" x14ac:dyDescent="0.35">
      <c r="A2" s="221" t="s">
        <v>0</v>
      </c>
      <c r="B2" s="213"/>
      <c r="C2" s="213"/>
      <c r="D2" s="214"/>
    </row>
    <row r="3" spans="1:5" ht="4.5" hidden="1" customHeight="1" x14ac:dyDescent="0.35">
      <c r="A3" s="8"/>
      <c r="B3" s="8"/>
      <c r="C3" s="8"/>
      <c r="D3" s="8"/>
    </row>
    <row r="4" spans="1:5" ht="21" customHeight="1" x14ac:dyDescent="0.35">
      <c r="A4" s="9" t="s">
        <v>1</v>
      </c>
      <c r="B4" s="212" t="s">
        <v>2</v>
      </c>
      <c r="C4" s="213"/>
      <c r="D4" s="214"/>
    </row>
    <row r="5" spans="1:5" ht="66" customHeight="1" x14ac:dyDescent="0.35">
      <c r="A5" s="10" t="s">
        <v>3</v>
      </c>
      <c r="B5" s="212" t="s">
        <v>4</v>
      </c>
      <c r="C5" s="213"/>
      <c r="D5" s="214"/>
    </row>
    <row r="6" spans="1:5" ht="18" customHeight="1" x14ac:dyDescent="0.35">
      <c r="A6" s="9" t="s">
        <v>5</v>
      </c>
      <c r="B6" s="212" t="s">
        <v>6</v>
      </c>
      <c r="C6" s="213"/>
      <c r="D6" s="214"/>
    </row>
    <row r="7" spans="1:5" ht="24.75" customHeight="1" x14ac:dyDescent="0.35">
      <c r="A7" s="9" t="s">
        <v>7</v>
      </c>
      <c r="B7" s="218">
        <v>46266</v>
      </c>
      <c r="C7" s="213"/>
      <c r="D7" s="214"/>
    </row>
    <row r="8" spans="1:5" x14ac:dyDescent="0.35">
      <c r="A8" s="11" t="s">
        <v>8</v>
      </c>
      <c r="B8" s="11" t="s">
        <v>9</v>
      </c>
      <c r="C8" s="11" t="s">
        <v>10</v>
      </c>
      <c r="D8" s="11" t="s">
        <v>11</v>
      </c>
    </row>
    <row r="9" spans="1:5" x14ac:dyDescent="0.35">
      <c r="A9" s="12" t="s">
        <v>12</v>
      </c>
      <c r="B9" s="12" t="s">
        <v>13</v>
      </c>
      <c r="C9" s="12"/>
      <c r="D9" s="12"/>
    </row>
    <row r="10" spans="1:5" x14ac:dyDescent="0.35">
      <c r="A10" s="12" t="s">
        <v>14</v>
      </c>
      <c r="B10" s="12" t="s">
        <v>15</v>
      </c>
      <c r="C10" s="12"/>
      <c r="D10" s="12"/>
    </row>
    <row r="11" spans="1:5" x14ac:dyDescent="0.35">
      <c r="A11" s="13" t="s">
        <v>16</v>
      </c>
      <c r="B11" s="14" t="s">
        <v>17</v>
      </c>
      <c r="C11" s="15" t="s">
        <v>18</v>
      </c>
      <c r="D11" s="16" t="n">
        <f>+'PLANILLA GENERAL DE METRADOS'!K11</f>
        <v>1011.514</v>
      </c>
    </row>
    <row r="12" spans="1:5" x14ac:dyDescent="0.35">
      <c r="A12" s="13" t="s">
        <v>19</v>
      </c>
      <c r="B12" s="13" t="s">
        <v>20</v>
      </c>
      <c r="C12" s="15" t="s">
        <v>18</v>
      </c>
      <c r="D12" s="16" t="n">
        <f>+'PLANILLA GENERAL DE METRADOS'!K24</f>
        <v>1011.514</v>
      </c>
    </row>
    <row r="13" spans="1:5" x14ac:dyDescent="0.35">
      <c r="A13" s="12" t="s">
        <v>21</v>
      </c>
      <c r="B13" s="12" t="s">
        <v>22</v>
      </c>
      <c r="C13" s="17"/>
      <c r="D13" s="18"/>
    </row>
    <row r="14" spans="1:5" x14ac:dyDescent="0.35">
      <c r="A14" s="13" t="s">
        <v>23</v>
      </c>
      <c r="B14" s="13" t="s">
        <v>24</v>
      </c>
      <c r="C14" s="15" t="s">
        <v>25</v>
      </c>
      <c r="D14" s="16" t="n">
        <f>+'PLANILLA GENERAL DE METRADOS'!K38</f>
        <v>647.31408</v>
      </c>
    </row>
    <row r="15" spans="1:5" x14ac:dyDescent="0.35">
      <c r="A15" s="13" t="s">
        <v>26</v>
      </c>
      <c r="B15" s="13" t="s">
        <v>27</v>
      </c>
      <c r="C15" s="15" t="s">
        <v>25</v>
      </c>
      <c r="D15" s="16" t="n">
        <f>+'PLANILLA GENERAL DE METRADOS'!K51</f>
        <v>3.024</v>
      </c>
    </row>
    <row r="16" spans="1:5" x14ac:dyDescent="0.35">
      <c r="A16" s="13" t="s">
        <v>28</v>
      </c>
      <c r="B16" s="13" t="s">
        <v>29</v>
      </c>
      <c r="C16" s="15" t="s">
        <v>18</v>
      </c>
      <c r="D16" s="16" t="n">
        <f>+'PLANILLA GENERAL DE METRADOS'!K54</f>
        <v>433.506</v>
      </c>
    </row>
    <row r="17" spans="1:4" x14ac:dyDescent="0.35">
      <c r="A17" s="13" t="s">
        <v>30</v>
      </c>
      <c r="B17" s="13" t="s">
        <v>31</v>
      </c>
      <c r="C17" s="15" t="s">
        <v>25</v>
      </c>
      <c r="D17" s="16" t="n">
        <f>+'PLANILLA GENERAL DE METRADOS'!K67</f>
        <v>369.89376</v>
      </c>
    </row>
    <row r="18" spans="1:4" x14ac:dyDescent="0.35">
      <c r="A18" s="13" t="s">
        <v>32</v>
      </c>
      <c r="B18" s="13" t="s">
        <v>33</v>
      </c>
      <c r="C18" s="15" t="s">
        <v>25</v>
      </c>
      <c r="D18" s="16" t="n">
        <f>+'PLANILLA GENERAL DE METRADOS'!K80</f>
        <v>332.904384</v>
      </c>
    </row>
    <row r="19" spans="1:4" x14ac:dyDescent="0.35">
      <c r="A19" s="12" t="s">
        <v>34</v>
      </c>
      <c r="B19" s="12" t="s">
        <v>35</v>
      </c>
      <c r="C19" s="17"/>
      <c r="D19" s="18"/>
    </row>
    <row r="20" spans="1:4" x14ac:dyDescent="0.35">
      <c r="A20" s="13" t="s">
        <v>36</v>
      </c>
      <c r="B20" s="13" t="s">
        <v>37</v>
      </c>
      <c r="C20" s="15" t="s">
        <v>18</v>
      </c>
      <c r="D20" s="16" t="n">
        <f>+'PLANILLA GENERAL DE METRADOS'!K84</f>
        <v>433.506</v>
      </c>
    </row>
    <row r="21" spans="1:4" x14ac:dyDescent="0.35">
      <c r="A21" s="13" t="s">
        <v>38</v>
      </c>
      <c r="B21" s="13" t="s">
        <v>39</v>
      </c>
      <c r="C21" s="15" t="s">
        <v>25</v>
      </c>
      <c r="D21" s="16" t="n">
        <f>+'PLANILLA GENERAL DE METRADOS'!K97</f>
        <v>3.024</v>
      </c>
    </row>
    <row r="22" spans="1:4" x14ac:dyDescent="0.35">
      <c r="A22" s="12" t="s">
        <v>40</v>
      </c>
      <c r="B22" s="12" t="s">
        <v>41</v>
      </c>
      <c r="C22" s="17"/>
      <c r="D22" s="18"/>
    </row>
    <row r="23" spans="1:4" x14ac:dyDescent="0.35">
      <c r="A23" s="13" t="s">
        <v>42</v>
      </c>
      <c r="B23" s="19" t="s">
        <v>43</v>
      </c>
      <c r="C23" s="15"/>
      <c r="D23" s="16"/>
    </row>
    <row r="24" spans="1:4" x14ac:dyDescent="0.35">
      <c r="A24" s="13" t="s">
        <v>44</v>
      </c>
      <c r="B24" s="13" t="s">
        <v>45</v>
      </c>
      <c r="C24" s="15" t="s">
        <v>25</v>
      </c>
      <c r="D24" s="16" t="n">
        <f>+'PLANILLA GENERAL DE METRADOS'!K101</f>
        <v>116.7356</v>
      </c>
    </row>
    <row r="25" spans="1:4" x14ac:dyDescent="0.35">
      <c r="A25" s="13" t="s">
        <v>46</v>
      </c>
      <c r="B25" s="13" t="s">
        <v>47</v>
      </c>
      <c r="C25" s="15" t="s">
        <v>18</v>
      </c>
      <c r="D25" s="16" t="n">
        <f>+'PLANILLA GENERAL DE METRADOS'!K114</f>
        <v>1603.955</v>
      </c>
    </row>
    <row r="26" spans="1:4" x14ac:dyDescent="0.35">
      <c r="A26" s="13" t="s">
        <v>48</v>
      </c>
      <c r="B26" s="13" t="s">
        <v>49</v>
      </c>
      <c r="C26" s="15" t="s">
        <v>50</v>
      </c>
      <c r="D26" s="16" t="n">
        <f>+'PLANILLA GENERAL DE METRADOS'!K127</f>
        <v>3983.548576</v>
      </c>
    </row>
    <row r="27" spans="1:4" x14ac:dyDescent="0.35">
      <c r="A27" s="13" t="s">
        <v>51</v>
      </c>
      <c r="B27" s="13" t="s">
        <v>52</v>
      </c>
      <c r="C27" s="15" t="s">
        <v>18</v>
      </c>
      <c r="D27" s="16" t="n">
        <f>+'METRADO DE CURADO'!M28</f>
        <v>1004.3559</v>
      </c>
    </row>
    <row r="28" spans="1:4" x14ac:dyDescent="0.35">
      <c r="A28" s="13" t="s">
        <v>53</v>
      </c>
      <c r="B28" s="19" t="s">
        <v>54</v>
      </c>
      <c r="C28" s="15"/>
      <c r="D28" s="16"/>
    </row>
    <row r="29" spans="1:4" x14ac:dyDescent="0.35">
      <c r="A29" s="13" t="s">
        <v>55</v>
      </c>
      <c r="B29" s="13" t="s">
        <v>56</v>
      </c>
      <c r="C29" s="15" t="s">
        <v>57</v>
      </c>
      <c r="D29" s="16" t="n">
        <f>+'PLANILLA GENERAL DE METRADOS'!K132</f>
        <v>627.93</v>
      </c>
    </row>
    <row r="30" spans="1:4" x14ac:dyDescent="0.35">
      <c r="A30" s="318" t="s">
        <v>58</v>
      </c>
      <c r="B30" s="318" t="s">
        <v>59</v>
      </c>
      <c r="C30" s="319" t="s">
        <v>60</v>
      </c>
      <c r="D30" s="320" t="n">
        <f>+'PLANILLA GENERAL DE METRADOS'!K133</f>
        <v>10.0</v>
      </c>
    </row>
    <row r="31" spans="1:4" x14ac:dyDescent="0.35">
      <c r="A31" s="13" t="s">
        <v>61</v>
      </c>
      <c r="B31" s="13" t="s">
        <v>62</v>
      </c>
      <c r="C31" s="15" t="s">
        <v>57</v>
      </c>
      <c r="D31" s="16" t="n">
        <f>+'PLANILLA GENERAL DE METRADOS'!K134</f>
        <v>230.46385702584</v>
      </c>
    </row>
    <row r="32" spans="1:4" x14ac:dyDescent="0.35">
      <c r="A32" s="12" t="s">
        <v>63</v>
      </c>
      <c r="B32" s="12" t="s">
        <v>64</v>
      </c>
      <c r="C32" s="17"/>
      <c r="D32" s="18"/>
    </row>
    <row r="33" spans="1:4" ht="18" customHeight="1" x14ac:dyDescent="0.35">
      <c r="A33" s="13" t="s">
        <v>65</v>
      </c>
      <c r="B33" s="19" t="s">
        <v>66</v>
      </c>
      <c r="C33" s="15"/>
      <c r="D33" s="16"/>
    </row>
    <row r="34" spans="1:4" ht="18" customHeight="1" x14ac:dyDescent="0.35">
      <c r="A34" s="13" t="s">
        <v>67</v>
      </c>
      <c r="B34" s="13" t="s">
        <v>68</v>
      </c>
      <c r="C34" s="15" t="s">
        <v>57</v>
      </c>
      <c r="D34" s="16" t="n">
        <f>+'PLANILLA GENERAL DE METRADOS'!K138</f>
        <v>522.96</v>
      </c>
    </row>
    <row r="35" spans="1:4" ht="18" customHeight="1" x14ac:dyDescent="0.35">
      <c r="A35" s="13" t="s">
        <v>69</v>
      </c>
      <c r="B35" s="13" t="s">
        <v>70</v>
      </c>
      <c r="C35" s="15" t="s">
        <v>60</v>
      </c>
      <c r="D35" s="16" t="n">
        <f>+'PLANILLA GENERAL DE METRADOS'!K139</f>
        <v>70.0</v>
      </c>
    </row>
    <row r="36" spans="1:4" ht="18" customHeight="1" x14ac:dyDescent="0.35">
      <c r="A36" s="20" t="s">
        <v>71</v>
      </c>
      <c r="B36" s="13" t="s">
        <v>72</v>
      </c>
      <c r="C36" s="15" t="s">
        <v>25</v>
      </c>
      <c r="D36" s="16" t="n">
        <f>+'PLANILLA GENERAL DE METRADOS'!K140</f>
        <v>2.73</v>
      </c>
    </row>
    <row r="37" spans="1:4" x14ac:dyDescent="0.35">
      <c r="A37" s="20" t="s">
        <v>73</v>
      </c>
      <c r="B37" s="13" t="s">
        <v>74</v>
      </c>
      <c r="C37" s="15" t="s">
        <v>18</v>
      </c>
      <c r="D37" s="16" t="n">
        <f>+'PLANILLA GENERAL DE METRADOS'!K142</f>
        <v>45.5</v>
      </c>
    </row>
    <row r="38" spans="1:4" x14ac:dyDescent="0.35">
      <c r="A38" s="20" t="s">
        <v>75</v>
      </c>
      <c r="B38" s="13" t="s">
        <v>76</v>
      </c>
      <c r="C38" s="15" t="s">
        <v>50</v>
      </c>
      <c r="D38" s="16" t="n">
        <f>+'PLANILLA GENERAL DE METRADOS'!K145</f>
        <v>392.784</v>
      </c>
    </row>
    <row r="39" spans="1:4" ht="23.5" customHeight="1" x14ac:dyDescent="0.35">
      <c r="A39" s="202" t="s">
        <v>77</v>
      </c>
      <c r="B39" s="203" t="s">
        <v>78</v>
      </c>
      <c r="C39" s="204" t="s">
        <v>57</v>
      </c>
      <c r="D39" s="205" t="n">
        <f>+'PLANILLA GENERAL DE METRADOS'!K148</f>
        <v>446.22</v>
      </c>
    </row>
    <row r="40" spans="1:4" ht="18" customHeight="1" x14ac:dyDescent="0.35">
      <c r="A40" s="202" t="s">
        <v>79</v>
      </c>
      <c r="B40" s="203" t="s">
        <v>80</v>
      </c>
      <c r="C40" s="204" t="s">
        <v>60</v>
      </c>
      <c r="D40" s="205" t="n">
        <f>+'PLANILLA GENERAL DE METRADOS'!K149</f>
        <v>776.0</v>
      </c>
    </row>
    <row r="41" spans="1:4" ht="18" customHeight="1" x14ac:dyDescent="0.35">
      <c r="A41" s="202" t="s">
        <v>81</v>
      </c>
      <c r="B41" s="203" t="s">
        <v>82</v>
      </c>
      <c r="C41" s="204" t="s">
        <v>60</v>
      </c>
      <c r="D41" s="205" t="n">
        <f>+'PLANILLA GENERAL DE METRADOS'!K150</f>
        <v>40.0</v>
      </c>
    </row>
    <row r="42" spans="1:4" ht="29.5" customHeight="1" x14ac:dyDescent="0.35">
      <c r="A42" s="202" t="s">
        <v>83</v>
      </c>
      <c r="B42" s="203" t="s">
        <v>84</v>
      </c>
      <c r="C42" s="204" t="s">
        <v>60</v>
      </c>
      <c r="D42" s="205" t="n">
        <f>+'PLANILLA GENERAL DE METRADOS'!K151</f>
        <v>44.0</v>
      </c>
    </row>
    <row r="43" spans="1:4" x14ac:dyDescent="0.35">
      <c r="A43" s="13" t="s">
        <v>85</v>
      </c>
      <c r="B43" s="19" t="s">
        <v>86</v>
      </c>
      <c r="C43" s="15"/>
      <c r="D43" s="16"/>
    </row>
    <row r="44" spans="1:4" x14ac:dyDescent="0.35">
      <c r="A44" s="13" t="s">
        <v>87</v>
      </c>
      <c r="B44" s="13" t="s">
        <v>88</v>
      </c>
      <c r="C44" s="15" t="s">
        <v>57</v>
      </c>
      <c r="D44" s="16" t="n">
        <f>+'PLANILLA GENERAL DE METRADOS'!K154</f>
        <v>73.2</v>
      </c>
    </row>
    <row r="45" spans="1:4" x14ac:dyDescent="0.35">
      <c r="A45" s="13" t="s">
        <v>89</v>
      </c>
      <c r="B45" s="13" t="s">
        <v>90</v>
      </c>
      <c r="C45" s="15" t="s">
        <v>60</v>
      </c>
      <c r="D45" s="16" t="n">
        <f>+'PLANILLA GENERAL DE METRADOS'!K155</f>
        <v>39.0</v>
      </c>
    </row>
    <row r="46" spans="1:4" x14ac:dyDescent="0.35">
      <c r="A46" s="13" t="s">
        <v>91</v>
      </c>
      <c r="B46" s="13" t="s">
        <v>92</v>
      </c>
      <c r="C46" s="15" t="s">
        <v>60</v>
      </c>
      <c r="D46" s="16" t="n">
        <f>+'PLANILLA GENERAL DE METRADOS'!K156</f>
        <v>37.0</v>
      </c>
    </row>
    <row r="47" spans="1:4" x14ac:dyDescent="0.35">
      <c r="A47" s="13" t="s">
        <v>93</v>
      </c>
      <c r="B47" s="13" t="s">
        <v>94</v>
      </c>
      <c r="C47" s="15" t="s">
        <v>60</v>
      </c>
      <c r="D47" s="16" t="n">
        <f>+'PLANILLA GENERAL DE METRADOS'!K157</f>
        <v>2.0</v>
      </c>
    </row>
    <row r="48" spans="1:4" x14ac:dyDescent="0.35">
      <c r="A48" s="13" t="s">
        <v>95</v>
      </c>
      <c r="B48" s="19" t="s">
        <v>96</v>
      </c>
      <c r="C48" s="15"/>
      <c r="D48" s="16"/>
    </row>
    <row r="49" spans="1:4" x14ac:dyDescent="0.35">
      <c r="A49" s="13" t="s">
        <v>97</v>
      </c>
      <c r="B49" s="13" t="s">
        <v>98</v>
      </c>
      <c r="C49" s="15" t="s">
        <v>60</v>
      </c>
      <c r="D49" s="16" t="n">
        <f>+'PLANILLA GENERAL DE METRADOS'!K160</f>
        <v>207.0</v>
      </c>
    </row>
    <row r="50" spans="1:4" x14ac:dyDescent="0.35">
      <c r="A50" s="13" t="s">
        <v>99</v>
      </c>
      <c r="B50" s="13" t="s">
        <v>100</v>
      </c>
      <c r="C50" s="15" t="s">
        <v>60</v>
      </c>
      <c r="D50" s="16" t="n">
        <f>+'PLANILLA GENERAL DE METRADOS'!K162</f>
        <v>106.0</v>
      </c>
    </row>
    <row r="51" spans="1:4" x14ac:dyDescent="0.35">
      <c r="A51" s="13" t="s">
        <v>101</v>
      </c>
      <c r="B51" s="13" t="s">
        <v>102</v>
      </c>
      <c r="C51" s="15" t="s">
        <v>60</v>
      </c>
      <c r="D51" s="16" t="n">
        <f>+'PLANILLA GENERAL DE METRADOS'!K163</f>
        <v>90.0</v>
      </c>
    </row>
    <row r="52" spans="1:4" x14ac:dyDescent="0.35">
      <c r="A52" s="13" t="s">
        <v>658</v>
      </c>
      <c r="B52" s="19" t="s">
        <v>659</v>
      </c>
      <c r="C52" s="15"/>
      <c r="D52" s="16"/>
    </row>
    <row r="53" spans="1:4" ht="29.5" customHeight="1" x14ac:dyDescent="0.35">
      <c r="A53" s="202" t="s">
        <v>660</v>
      </c>
      <c r="B53" s="203" t="s">
        <v>661</v>
      </c>
      <c r="C53" s="204" t="s">
        <v>57</v>
      </c>
      <c r="D53" s="205" t="n">
        <f aca="false">+'PLANILLA GENERAL DE METRADOS'!K166</f>
        <v>32.0</v>
      </c>
    </row>
    <row r="54" spans="1:4" ht="18" customHeight="1" x14ac:dyDescent="0.35">
      <c r="A54" s="202" t="s">
        <v>662</v>
      </c>
      <c r="B54" s="203" t="s">
        <v>663</v>
      </c>
      <c r="C54" s="204" t="s">
        <v>60</v>
      </c>
      <c r="D54" s="205" t="n">
        <f aca="false">+'PLANILLA GENERAL DE METRADOS'!K167</f>
        <v>32.0</v>
      </c>
    </row>
    <row r="55" spans="1:4" ht="18" customHeight="1" x14ac:dyDescent="0.35">
      <c r="A55" s="202" t="s">
        <v>664</v>
      </c>
      <c r="B55" s="203" t="s">
        <v>80</v>
      </c>
      <c r="C55" s="204" t="s">
        <v>60</v>
      </c>
      <c r="D55" s="205" t="n">
        <f aca="false">+'PLANILLA GENERAL DE METRADOS'!K168</f>
        <v>32.0</v>
      </c>
    </row>
    <row r="56" spans="1:4" ht="29.5" customHeight="1" x14ac:dyDescent="0.35">
      <c r="A56" s="202" t="s">
        <v>665</v>
      </c>
      <c r="B56" s="203" t="s">
        <v>666</v>
      </c>
      <c r="C56" s="204" t="s">
        <v>60</v>
      </c>
      <c r="D56" s="205" t="n">
        <f aca="false">+'PLANILLA GENERAL DE METRADOS'!K169</f>
        <v>16.0</v>
      </c>
    </row>
    <row r="57" spans="1:4" x14ac:dyDescent="0.35">
      <c r="A57" s="12" t="s">
        <v>103</v>
      </c>
      <c r="B57" s="12" t="s">
        <v>104</v>
      </c>
      <c r="C57" s="12"/>
      <c r="D57" s="12"/>
    </row>
    <row r="58" spans="1:4" x14ac:dyDescent="0.35">
      <c r="A58" s="12" t="s">
        <v>105</v>
      </c>
      <c r="B58" s="12" t="s">
        <v>15</v>
      </c>
      <c r="C58" s="12"/>
      <c r="D58" s="12"/>
    </row>
    <row r="59" spans="1:4" x14ac:dyDescent="0.35">
      <c r="A59" s="13" t="s">
        <v>106</v>
      </c>
      <c r="B59" s="14" t="s">
        <v>17</v>
      </c>
      <c r="C59" s="15" t="s">
        <v>18</v>
      </c>
      <c r="D59" s="16" t="n">
        <f>+'PLANILLA GENERAL DE METRADOS'!K173</f>
        <v>255.361098</v>
      </c>
    </row>
    <row r="60" spans="1:4" x14ac:dyDescent="0.35">
      <c r="A60" s="13" t="s">
        <v>107</v>
      </c>
      <c r="B60" s="14" t="s">
        <v>20</v>
      </c>
      <c r="C60" s="15" t="s">
        <v>18</v>
      </c>
      <c r="D60" s="16" t="n">
        <f>+'PLANILLA GENERAL DE METRADOS'!K184</f>
        <v>255.361098</v>
      </c>
    </row>
    <row r="61" spans="1:4" x14ac:dyDescent="0.35">
      <c r="A61" s="12" t="s">
        <v>108</v>
      </c>
      <c r="B61" s="12" t="s">
        <v>22</v>
      </c>
      <c r="C61" s="12"/>
      <c r="D61" s="12"/>
    </row>
    <row r="62" spans="1:4" x14ac:dyDescent="0.35">
      <c r="A62" s="13" t="s">
        <v>109</v>
      </c>
      <c r="B62" s="14" t="s">
        <v>110</v>
      </c>
      <c r="C62" s="15" t="s">
        <v>25</v>
      </c>
      <c r="D62" s="16" t="n">
        <f>+'PLANILLA GENERAL DE METRADOS'!K196</f>
        <v>180.6554745</v>
      </c>
    </row>
    <row r="63" spans="1:4" x14ac:dyDescent="0.35">
      <c r="A63" s="13" t="s">
        <v>111</v>
      </c>
      <c r="B63" s="14" t="s">
        <v>29</v>
      </c>
      <c r="C63" s="15" t="s">
        <v>18</v>
      </c>
      <c r="D63" s="16" t="n">
        <f>+'PLANILLA GENERAL DE METRADOS'!K207</f>
        <v>239.4967</v>
      </c>
    </row>
    <row r="64" spans="1:4" x14ac:dyDescent="0.35">
      <c r="A64" s="13" t="s">
        <v>112</v>
      </c>
      <c r="B64" s="14" t="s">
        <v>31</v>
      </c>
      <c r="C64" s="15" t="s">
        <v>25</v>
      </c>
      <c r="D64" s="16" t="n">
        <f>+'PLANILLA GENERAL DE METRADOS'!K219</f>
        <v>10.2</v>
      </c>
    </row>
    <row r="65" spans="1:4" x14ac:dyDescent="0.35">
      <c r="A65" s="13" t="s">
        <v>113</v>
      </c>
      <c r="B65" s="14" t="s">
        <v>33</v>
      </c>
      <c r="C65" s="15" t="s">
        <v>25</v>
      </c>
      <c r="D65" s="16" t="n">
        <f>+'PLANILLA GENERAL DE METRADOS'!K231</f>
        <v>213.069343125</v>
      </c>
    </row>
    <row r="66" spans="1:4" x14ac:dyDescent="0.35">
      <c r="A66" s="12" t="s">
        <v>114</v>
      </c>
      <c r="B66" s="12" t="s">
        <v>35</v>
      </c>
      <c r="C66" s="12"/>
      <c r="D66" s="12"/>
    </row>
    <row r="67" spans="1:4" x14ac:dyDescent="0.35">
      <c r="A67" s="13" t="s">
        <v>115</v>
      </c>
      <c r="B67" s="14" t="s">
        <v>116</v>
      </c>
      <c r="C67" s="15" t="s">
        <v>18</v>
      </c>
      <c r="D67" s="16" t="n">
        <f>+'PLANILLA GENERAL DE METRADOS'!K235</f>
        <v>237.936</v>
      </c>
    </row>
    <row r="68" spans="1:4" x14ac:dyDescent="0.35">
      <c r="A68" s="13" t="s">
        <v>117</v>
      </c>
      <c r="B68" s="14" t="s">
        <v>118</v>
      </c>
      <c r="C68" s="15" t="s">
        <v>25</v>
      </c>
      <c r="D68" s="16" t="n">
        <f>+'PLANILLA GENERAL DE METRADOS'!K246</f>
        <v>0.522275</v>
      </c>
    </row>
    <row r="69" spans="1:4" x14ac:dyDescent="0.35">
      <c r="A69" s="12" t="s">
        <v>119</v>
      </c>
      <c r="B69" s="12" t="s">
        <v>41</v>
      </c>
      <c r="C69" s="12"/>
      <c r="D69" s="12"/>
    </row>
    <row r="70" spans="1:4" x14ac:dyDescent="0.35">
      <c r="A70" s="13" t="s">
        <v>120</v>
      </c>
      <c r="B70" s="19" t="s">
        <v>121</v>
      </c>
      <c r="C70" s="15"/>
      <c r="D70" s="16"/>
    </row>
    <row r="71" spans="1:4" x14ac:dyDescent="0.35">
      <c r="A71" s="13" t="s">
        <v>122</v>
      </c>
      <c r="B71" s="14" t="s">
        <v>123</v>
      </c>
      <c r="C71" s="15" t="s">
        <v>25</v>
      </c>
      <c r="D71" s="16" t="n">
        <f>+'PLANILLA GENERAL DE METRADOS'!K250</f>
        <v>65.5598924</v>
      </c>
    </row>
    <row r="72" spans="1:4" x14ac:dyDescent="0.35">
      <c r="A72" s="13" t="s">
        <v>124</v>
      </c>
      <c r="B72" s="14" t="s">
        <v>125</v>
      </c>
      <c r="C72" s="15" t="s">
        <v>18</v>
      </c>
      <c r="D72" s="16" t="n">
        <f>+'PLANILLA GENERAL DE METRADOS'!K282</f>
        <v>490.721915</v>
      </c>
    </row>
    <row r="73" spans="1:4" x14ac:dyDescent="0.35">
      <c r="A73" s="13" t="s">
        <v>126</v>
      </c>
      <c r="B73" s="14" t="s">
        <v>127</v>
      </c>
      <c r="C73" s="15" t="s">
        <v>50</v>
      </c>
      <c r="D73" s="16" t="n">
        <f>+'PLANILLA GENERAL DE METRADOS'!K293</f>
        <v>4140.49335597927</v>
      </c>
    </row>
    <row r="74" spans="1:4" x14ac:dyDescent="0.35">
      <c r="A74" s="13" t="s">
        <v>128</v>
      </c>
      <c r="B74" s="14" t="s">
        <v>129</v>
      </c>
      <c r="C74" s="15" t="s">
        <v>18</v>
      </c>
      <c r="D74" s="16" t="n">
        <f>+'PLANILLA GENERAL DE METRADOS'!K295</f>
        <v>919.697915</v>
      </c>
    </row>
    <row r="75" spans="1:4" x14ac:dyDescent="0.35">
      <c r="A75" s="13" t="s">
        <v>130</v>
      </c>
      <c r="B75" s="14" t="s">
        <v>131</v>
      </c>
      <c r="C75" s="15" t="s">
        <v>18</v>
      </c>
      <c r="D75" s="16" t="n">
        <f>+'PLANILLA GENERAL DE METRADOS'!K305</f>
        <v>128.904</v>
      </c>
    </row>
    <row r="76" spans="1:4" x14ac:dyDescent="0.35">
      <c r="A76" s="13" t="s">
        <v>132</v>
      </c>
      <c r="B76" s="19" t="s">
        <v>133</v>
      </c>
      <c r="C76" s="15"/>
      <c r="D76" s="16"/>
    </row>
    <row r="77" spans="1:4" x14ac:dyDescent="0.35">
      <c r="A77" s="13" t="s">
        <v>134</v>
      </c>
      <c r="B77" s="14" t="s">
        <v>135</v>
      </c>
      <c r="C77" s="15" t="s">
        <v>25</v>
      </c>
      <c r="D77" s="16" t="n">
        <f>+'PLANILLA GENERAL DE METRADOS'!K309</f>
        <v>0.4125</v>
      </c>
    </row>
    <row r="78" spans="1:4" x14ac:dyDescent="0.35">
      <c r="A78" s="13" t="s">
        <v>136</v>
      </c>
      <c r="B78" s="14" t="s">
        <v>137</v>
      </c>
      <c r="C78" s="15" t="s">
        <v>18</v>
      </c>
      <c r="D78" s="16" t="n">
        <f>+'PLANILLA GENERAL DE METRADOS'!K312</f>
        <v>4.095</v>
      </c>
    </row>
    <row r="79" spans="1:4" x14ac:dyDescent="0.35">
      <c r="A79" s="13" t="s">
        <v>138</v>
      </c>
      <c r="B79" s="14" t="s">
        <v>139</v>
      </c>
      <c r="C79" s="15" t="s">
        <v>50</v>
      </c>
      <c r="D79" s="16" t="n">
        <f>+'PLANILLA GENERAL DE METRADOS'!K316</f>
        <v>18.2336</v>
      </c>
    </row>
    <row r="80" spans="1:4" x14ac:dyDescent="0.35">
      <c r="A80" s="13" t="s">
        <v>140</v>
      </c>
      <c r="B80" s="14" t="s">
        <v>141</v>
      </c>
      <c r="C80" s="15" t="s">
        <v>18</v>
      </c>
      <c r="D80" s="16" t="n">
        <f>+'PLANILLA GENERAL DE METRADOS'!K318</f>
        <v>1.5607</v>
      </c>
    </row>
    <row r="81" spans="1:4" x14ac:dyDescent="0.35">
      <c r="A81" s="12" t="s">
        <v>142</v>
      </c>
      <c r="B81" s="12" t="s">
        <v>54</v>
      </c>
      <c r="C81" s="12"/>
      <c r="D81" s="12"/>
    </row>
    <row r="82" spans="1:4" x14ac:dyDescent="0.35">
      <c r="A82" s="13" t="s">
        <v>143</v>
      </c>
      <c r="B82" s="14" t="s">
        <v>144</v>
      </c>
      <c r="C82" s="15" t="s">
        <v>60</v>
      </c>
      <c r="D82" s="16" t="n">
        <f>+'PLANILLA GENERAL DE METRADOS'!K321</f>
        <v>15.0</v>
      </c>
    </row>
    <row r="83" spans="1:4" x14ac:dyDescent="0.35">
      <c r="A83" s="13" t="s">
        <v>145</v>
      </c>
      <c r="B83" s="14" t="s">
        <v>62</v>
      </c>
      <c r="C83" s="15" t="s">
        <v>57</v>
      </c>
      <c r="D83" s="16" t="n">
        <f>+'PLANILLA GENERAL DE METRADOS'!K323</f>
        <v>162.69</v>
      </c>
    </row>
    <row r="84" spans="1:4" x14ac:dyDescent="0.35">
      <c r="A84" s="13" t="s">
        <v>146</v>
      </c>
      <c r="B84" s="14" t="s">
        <v>147</v>
      </c>
      <c r="C84" s="15" t="s">
        <v>57</v>
      </c>
      <c r="D84" s="16" t="n">
        <f>+'PLANILLA GENERAL DE METRADOS'!K325</f>
        <v>78.42</v>
      </c>
    </row>
  </sheetData>
  <mergeCells count="5">
    <mergeCell ref="B5:D5"/>
    <mergeCell ref="B4:D4"/>
    <mergeCell ref="A2:D2"/>
    <mergeCell ref="B7:D7"/>
    <mergeCell ref="B6:D6"/>
  </mergeCells>
  <pageMargins left="0.67013888888888895" right="0" top="1.2645833333333301" bottom="0.35416666666666702" header="0.511811023622047" footer="0.511811023622047"/>
  <pageSetup paperSize="9" scale="6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26"/>
  <sheetViews>
    <sheetView view="pageBreakPreview" topLeftCell="A148" zoomScale="130" zoomScaleNormal="100" zoomScalePageLayoutView="130" workbookViewId="0">
      <selection activeCell="J162" sqref="J162"/>
    </sheetView>
  </sheetViews>
  <sheetFormatPr baseColWidth="10" defaultColWidth="10.6328125" defaultRowHeight="14.5" x14ac:dyDescent="0.35"/>
  <cols>
    <col min="1" max="1" width="18.81640625" customWidth="1"/>
    <col min="2" max="2" width="33.7265625" customWidth="1"/>
    <col min="10" max="10" width="20" customWidth="1"/>
    <col min="11" max="11" width="12.08984375" bestFit="1" customWidth="1"/>
  </cols>
  <sheetData>
    <row r="2" spans="1:12" ht="24.75" customHeight="1" x14ac:dyDescent="0.35">
      <c r="A2" s="221" t="s">
        <v>0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4"/>
    </row>
    <row r="3" spans="1:12" ht="25.5" customHeight="1" x14ac:dyDescent="0.35">
      <c r="A3" s="10" t="s">
        <v>1</v>
      </c>
      <c r="B3" s="212" t="str">
        <f>+RESUMEN!B4</f>
        <v>GERENCIA TERRITORIAL BAJO MAYO - TARAPOTO</v>
      </c>
      <c r="C3" s="213"/>
      <c r="D3" s="213"/>
      <c r="E3" s="213"/>
      <c r="F3" s="213"/>
      <c r="G3" s="213"/>
      <c r="H3" s="213"/>
      <c r="I3" s="213"/>
      <c r="J3" s="213"/>
      <c r="K3" s="213"/>
      <c r="L3" s="214"/>
    </row>
    <row r="4" spans="1:12" ht="58.5" customHeight="1" x14ac:dyDescent="0.35">
      <c r="A4" s="10" t="s">
        <v>3</v>
      </c>
      <c r="B4" s="21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4" s="213"/>
      <c r="D4" s="213"/>
      <c r="E4" s="213"/>
      <c r="F4" s="213"/>
      <c r="G4" s="213"/>
      <c r="H4" s="213"/>
      <c r="I4" s="213"/>
      <c r="J4" s="213"/>
      <c r="K4" s="213"/>
      <c r="L4" s="214"/>
    </row>
    <row r="5" spans="1:12" ht="25.5" customHeight="1" x14ac:dyDescent="0.35">
      <c r="A5" s="10" t="s">
        <v>5</v>
      </c>
      <c r="B5" s="212" t="str">
        <f>+RESUMEN!B6</f>
        <v>SAN MARTIN - SAN MARTIN - MORALES</v>
      </c>
      <c r="C5" s="213"/>
      <c r="D5" s="213"/>
      <c r="E5" s="213"/>
      <c r="F5" s="213"/>
      <c r="G5" s="213"/>
      <c r="H5" s="213"/>
      <c r="I5" s="213"/>
      <c r="J5" s="213"/>
      <c r="K5" s="213"/>
      <c r="L5" s="214"/>
    </row>
    <row r="6" spans="1:12" ht="25.5" customHeight="1" x14ac:dyDescent="0.35">
      <c r="A6" s="10" t="s">
        <v>7</v>
      </c>
      <c r="B6" s="218">
        <f>+RESUMEN!B7</f>
        <v>46266</v>
      </c>
      <c r="C6" s="213"/>
      <c r="D6" s="213"/>
      <c r="E6" s="213"/>
      <c r="F6" s="213"/>
      <c r="G6" s="213"/>
      <c r="H6" s="213"/>
      <c r="I6" s="213"/>
      <c r="J6" s="213"/>
      <c r="K6" s="213"/>
      <c r="L6" s="214"/>
    </row>
    <row r="7" spans="1:12" x14ac:dyDescent="0.3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ht="31" customHeight="1" x14ac:dyDescent="0.35">
      <c r="A8" s="22" t="s">
        <v>148</v>
      </c>
      <c r="B8" s="22" t="s">
        <v>149</v>
      </c>
      <c r="C8" s="22" t="s">
        <v>150</v>
      </c>
      <c r="D8" s="22" t="s">
        <v>151</v>
      </c>
      <c r="E8" s="22" t="s">
        <v>152</v>
      </c>
      <c r="F8" s="22" t="s">
        <v>153</v>
      </c>
      <c r="G8" s="22" t="s">
        <v>154</v>
      </c>
      <c r="H8" s="22" t="s">
        <v>155</v>
      </c>
      <c r="I8" s="22" t="s">
        <v>156</v>
      </c>
      <c r="J8" s="22" t="s">
        <v>157</v>
      </c>
      <c r="K8" s="22" t="s">
        <v>158</v>
      </c>
      <c r="L8" s="22" t="s">
        <v>159</v>
      </c>
    </row>
    <row r="9" spans="1:12" ht="18" customHeight="1" x14ac:dyDescent="0.35">
      <c r="A9" s="2" t="s">
        <v>12</v>
      </c>
      <c r="B9" s="222" t="s">
        <v>13</v>
      </c>
      <c r="C9" s="213"/>
      <c r="D9" s="213"/>
      <c r="E9" s="213"/>
      <c r="F9" s="213"/>
      <c r="G9" s="213"/>
      <c r="H9" s="213"/>
      <c r="I9" s="213"/>
      <c r="J9" s="213"/>
      <c r="K9" s="213"/>
      <c r="L9" s="214"/>
    </row>
    <row r="10" spans="1:12" ht="18" customHeight="1" x14ac:dyDescent="0.35">
      <c r="A10" s="2" t="s">
        <v>14</v>
      </c>
      <c r="B10" s="222" t="s">
        <v>15</v>
      </c>
      <c r="C10" s="213"/>
      <c r="D10" s="213"/>
      <c r="E10" s="213"/>
      <c r="F10" s="213"/>
      <c r="G10" s="213"/>
      <c r="H10" s="213"/>
      <c r="I10" s="213"/>
      <c r="J10" s="213"/>
      <c r="K10" s="213"/>
      <c r="L10" s="214"/>
    </row>
    <row r="11" spans="1:12" ht="21.75" customHeight="1" x14ac:dyDescent="0.35">
      <c r="A11" s="23" t="s">
        <v>16</v>
      </c>
      <c r="B11" s="23" t="s">
        <v>17</v>
      </c>
      <c r="C11" s="24"/>
      <c r="D11" s="24"/>
      <c r="E11" s="24"/>
      <c r="F11" s="24"/>
      <c r="G11" s="24"/>
      <c r="H11" s="24"/>
      <c r="I11" s="24"/>
      <c r="J11" s="24"/>
      <c r="K11" s="24" t="n">
        <f>SUM(J12:J23)</f>
        <v>1011.514</v>
      </c>
      <c r="L11" s="23" t="s">
        <v>18</v>
      </c>
    </row>
    <row r="12" spans="1:12" ht="15.5" customHeight="1" x14ac:dyDescent="0.35">
      <c r="A12" s="25"/>
      <c r="B12" s="25" t="s">
        <v>160</v>
      </c>
      <c r="C12" s="26">
        <v>1</v>
      </c>
      <c r="D12" s="26">
        <v>23.6</v>
      </c>
      <c r="E12" s="26">
        <v>1.4</v>
      </c>
      <c r="F12" s="26"/>
      <c r="G12" s="26"/>
      <c r="H12" s="26"/>
      <c r="I12" s="26"/>
      <c r="J12" s="26" t="n">
        <f t="shared" ref="J12:J23" si="0">C12*D12*E12</f>
        <v>33.04</v>
      </c>
      <c r="K12" s="26"/>
      <c r="L12" s="25"/>
    </row>
    <row r="13" spans="1:12" ht="15.5" customHeight="1" x14ac:dyDescent="0.35">
      <c r="A13" s="25"/>
      <c r="B13" s="25" t="s">
        <v>161</v>
      </c>
      <c r="C13" s="26">
        <v>1</v>
      </c>
      <c r="D13" s="26">
        <v>143.5</v>
      </c>
      <c r="E13" s="26">
        <v>1.4</v>
      </c>
      <c r="F13" s="26"/>
      <c r="G13" s="26"/>
      <c r="H13" s="26"/>
      <c r="I13" s="26"/>
      <c r="J13" s="26" t="n">
        <f t="shared" si="0"/>
        <v>200.9</v>
      </c>
      <c r="K13" s="26"/>
      <c r="L13" s="25"/>
    </row>
    <row r="14" spans="1:12" ht="15.5" customHeight="1" x14ac:dyDescent="0.35">
      <c r="A14" s="25"/>
      <c r="B14" s="25" t="s">
        <v>162</v>
      </c>
      <c r="C14" s="26">
        <v>1</v>
      </c>
      <c r="D14" s="26">
        <v>26.35</v>
      </c>
      <c r="E14" s="26">
        <v>1.4</v>
      </c>
      <c r="F14" s="26"/>
      <c r="G14" s="26"/>
      <c r="H14" s="26"/>
      <c r="I14" s="26"/>
      <c r="J14" s="26" t="n">
        <f t="shared" si="0"/>
        <v>36.89</v>
      </c>
      <c r="K14" s="26"/>
      <c r="L14" s="25"/>
    </row>
    <row r="15" spans="1:12" ht="15.5" customHeight="1" x14ac:dyDescent="0.35">
      <c r="A15" s="25"/>
      <c r="B15" s="25" t="s">
        <v>163</v>
      </c>
      <c r="C15" s="26">
        <v>1</v>
      </c>
      <c r="D15" s="26">
        <v>9.65</v>
      </c>
      <c r="E15" s="26">
        <v>1.4</v>
      </c>
      <c r="F15" s="26"/>
      <c r="G15" s="26"/>
      <c r="H15" s="26"/>
      <c r="I15" s="26"/>
      <c r="J15" s="26" t="n">
        <f t="shared" si="0"/>
        <v>13.51</v>
      </c>
      <c r="K15" s="26"/>
      <c r="L15" s="25"/>
    </row>
    <row r="16" spans="1:12" ht="15.5" customHeight="1" x14ac:dyDescent="0.35">
      <c r="A16" s="25"/>
      <c r="B16" s="25" t="s">
        <v>164</v>
      </c>
      <c r="C16" s="26">
        <v>1</v>
      </c>
      <c r="D16" s="26">
        <v>25.66</v>
      </c>
      <c r="E16" s="26">
        <v>1.4</v>
      </c>
      <c r="F16" s="26"/>
      <c r="G16" s="26"/>
      <c r="H16" s="26"/>
      <c r="I16" s="26"/>
      <c r="J16" s="26" t="n">
        <f t="shared" si="0"/>
        <v>35.924</v>
      </c>
      <c r="K16" s="26"/>
      <c r="L16" s="25"/>
    </row>
    <row r="17" spans="1:12" ht="15.5" customHeight="1" x14ac:dyDescent="0.35">
      <c r="A17" s="25"/>
      <c r="B17" s="25" t="s">
        <v>165</v>
      </c>
      <c r="C17" s="26">
        <v>1</v>
      </c>
      <c r="D17" s="26">
        <v>106.95</v>
      </c>
      <c r="E17" s="26">
        <v>1.4</v>
      </c>
      <c r="F17" s="26"/>
      <c r="G17" s="26"/>
      <c r="H17" s="26"/>
      <c r="I17" s="26"/>
      <c r="J17" s="26" t="n">
        <f t="shared" si="0"/>
        <v>149.73</v>
      </c>
      <c r="K17" s="26"/>
      <c r="L17" s="25"/>
    </row>
    <row r="18" spans="1:12" ht="15.5" customHeight="1" x14ac:dyDescent="0.35">
      <c r="A18" s="25"/>
      <c r="B18" s="25" t="s">
        <v>166</v>
      </c>
      <c r="C18" s="26">
        <v>1</v>
      </c>
      <c r="D18" s="26">
        <v>141.19999999999999</v>
      </c>
      <c r="E18" s="26">
        <v>1.4</v>
      </c>
      <c r="F18" s="26"/>
      <c r="G18" s="26"/>
      <c r="H18" s="26"/>
      <c r="I18" s="26"/>
      <c r="J18" s="26" t="n">
        <f t="shared" si="0"/>
        <v>197.68</v>
      </c>
      <c r="K18" s="26"/>
      <c r="L18" s="25"/>
    </row>
    <row r="19" spans="1:12" ht="15.5" customHeight="1" x14ac:dyDescent="0.35">
      <c r="A19" s="25"/>
      <c r="B19" s="25" t="s">
        <v>167</v>
      </c>
      <c r="C19" s="26">
        <v>1</v>
      </c>
      <c r="D19" s="26">
        <v>23.3</v>
      </c>
      <c r="E19" s="26">
        <v>1.4</v>
      </c>
      <c r="F19" s="26"/>
      <c r="G19" s="26"/>
      <c r="H19" s="26"/>
      <c r="I19" s="26"/>
      <c r="J19" s="26" t="n">
        <f t="shared" si="0"/>
        <v>32.62</v>
      </c>
      <c r="K19" s="26"/>
      <c r="L19" s="25"/>
    </row>
    <row r="20" spans="1:12" ht="15.5" customHeight="1" x14ac:dyDescent="0.35">
      <c r="A20" s="25"/>
      <c r="B20" s="25" t="s">
        <v>168</v>
      </c>
      <c r="C20" s="26">
        <v>1</v>
      </c>
      <c r="D20" s="26">
        <v>60.7</v>
      </c>
      <c r="E20" s="26">
        <v>1.4</v>
      </c>
      <c r="F20" s="26"/>
      <c r="G20" s="26"/>
      <c r="H20" s="26"/>
      <c r="I20" s="26"/>
      <c r="J20" s="26" t="n">
        <f t="shared" si="0"/>
        <v>84.98</v>
      </c>
      <c r="K20" s="26"/>
      <c r="L20" s="25"/>
    </row>
    <row r="21" spans="1:12" ht="15.5" customHeight="1" x14ac:dyDescent="0.35">
      <c r="A21" s="25"/>
      <c r="B21" s="25" t="s">
        <v>169</v>
      </c>
      <c r="C21" s="26">
        <v>1</v>
      </c>
      <c r="D21" s="26">
        <v>51.25</v>
      </c>
      <c r="E21" s="26">
        <v>1.4</v>
      </c>
      <c r="F21" s="26"/>
      <c r="G21" s="26"/>
      <c r="H21" s="26"/>
      <c r="I21" s="26"/>
      <c r="J21" s="26" t="n">
        <f t="shared" si="0"/>
        <v>71.75</v>
      </c>
      <c r="K21" s="26"/>
      <c r="L21" s="25"/>
    </row>
    <row r="22" spans="1:12" ht="15.5" customHeight="1" x14ac:dyDescent="0.35">
      <c r="A22" s="25"/>
      <c r="B22" s="25" t="s">
        <v>170</v>
      </c>
      <c r="C22" s="26">
        <v>1</v>
      </c>
      <c r="D22" s="26">
        <v>15.5</v>
      </c>
      <c r="E22" s="26">
        <v>1.4</v>
      </c>
      <c r="F22" s="26"/>
      <c r="G22" s="26"/>
      <c r="H22" s="26"/>
      <c r="I22" s="26"/>
      <c r="J22" s="26" t="n">
        <f t="shared" si="0"/>
        <v>21.7</v>
      </c>
      <c r="K22" s="26"/>
      <c r="L22" s="25"/>
    </row>
    <row r="23" spans="1:12" ht="15.5" customHeight="1" x14ac:dyDescent="0.35">
      <c r="A23" s="25"/>
      <c r="B23" s="25" t="s">
        <v>171</v>
      </c>
      <c r="C23" s="26">
        <v>1</v>
      </c>
      <c r="D23" s="26">
        <v>94.85</v>
      </c>
      <c r="E23" s="26">
        <v>1.4</v>
      </c>
      <c r="F23" s="26"/>
      <c r="G23" s="26"/>
      <c r="H23" s="26"/>
      <c r="I23" s="26"/>
      <c r="J23" s="26" t="n">
        <f t="shared" si="0"/>
        <v>132.79</v>
      </c>
      <c r="K23" s="26"/>
      <c r="L23" s="25"/>
    </row>
    <row r="24" spans="1:12" ht="31" customHeight="1" x14ac:dyDescent="0.35">
      <c r="A24" s="23" t="s">
        <v>19</v>
      </c>
      <c r="B24" s="23" t="s">
        <v>20</v>
      </c>
      <c r="C24" s="24"/>
      <c r="D24" s="24"/>
      <c r="E24" s="24"/>
      <c r="F24" s="24"/>
      <c r="G24" s="24"/>
      <c r="H24" s="24"/>
      <c r="I24" s="24"/>
      <c r="J24" s="24"/>
      <c r="K24" s="27" t="n">
        <f>SUM(J25:J36)</f>
        <v>1011.514</v>
      </c>
      <c r="L24" s="23" t="s">
        <v>18</v>
      </c>
    </row>
    <row r="25" spans="1:12" ht="15.5" customHeight="1" x14ac:dyDescent="0.35">
      <c r="A25" s="25"/>
      <c r="B25" s="25" t="s">
        <v>160</v>
      </c>
      <c r="C25" s="26">
        <v>1</v>
      </c>
      <c r="D25" s="26">
        <v>23.6</v>
      </c>
      <c r="E25" s="26">
        <v>1.4</v>
      </c>
      <c r="F25" s="26"/>
      <c r="G25" s="26"/>
      <c r="H25" s="26"/>
      <c r="I25" s="26"/>
      <c r="J25" s="26" t="n">
        <f t="shared" ref="J25:J36" si="1">C25*D25*E25</f>
        <v>33.04</v>
      </c>
      <c r="K25" s="26"/>
      <c r="L25" s="25"/>
    </row>
    <row r="26" spans="1:12" ht="15.5" customHeight="1" x14ac:dyDescent="0.35">
      <c r="A26" s="25"/>
      <c r="B26" s="25" t="s">
        <v>161</v>
      </c>
      <c r="C26" s="26">
        <v>1</v>
      </c>
      <c r="D26" s="26">
        <v>143.5</v>
      </c>
      <c r="E26" s="26">
        <v>1.4</v>
      </c>
      <c r="F26" s="26"/>
      <c r="G26" s="26"/>
      <c r="H26" s="26"/>
      <c r="I26" s="26"/>
      <c r="J26" s="26" t="n">
        <f t="shared" si="1"/>
        <v>200.9</v>
      </c>
      <c r="K26" s="26"/>
      <c r="L26" s="25"/>
    </row>
    <row r="27" spans="1:12" ht="15.5" customHeight="1" x14ac:dyDescent="0.35">
      <c r="A27" s="25"/>
      <c r="B27" s="25" t="s">
        <v>162</v>
      </c>
      <c r="C27" s="26">
        <v>1</v>
      </c>
      <c r="D27" s="26">
        <v>26.35</v>
      </c>
      <c r="E27" s="26">
        <v>1.4</v>
      </c>
      <c r="F27" s="26"/>
      <c r="G27" s="26"/>
      <c r="H27" s="26"/>
      <c r="I27" s="26"/>
      <c r="J27" s="26" t="n">
        <f t="shared" si="1"/>
        <v>36.89</v>
      </c>
      <c r="K27" s="25"/>
      <c r="L27" s="25"/>
    </row>
    <row r="28" spans="1:12" ht="15.5" customHeight="1" x14ac:dyDescent="0.35">
      <c r="A28" s="25"/>
      <c r="B28" s="25" t="s">
        <v>163</v>
      </c>
      <c r="C28" s="26">
        <v>1</v>
      </c>
      <c r="D28" s="26">
        <v>9.65</v>
      </c>
      <c r="E28" s="26">
        <v>1.4</v>
      </c>
      <c r="F28" s="26"/>
      <c r="G28" s="26"/>
      <c r="H28" s="26"/>
      <c r="I28" s="26"/>
      <c r="J28" s="26" t="n">
        <f t="shared" si="1"/>
        <v>13.51</v>
      </c>
      <c r="K28" s="25"/>
      <c r="L28" s="25"/>
    </row>
    <row r="29" spans="1:12" ht="15.5" customHeight="1" x14ac:dyDescent="0.35">
      <c r="A29" s="25"/>
      <c r="B29" s="25" t="s">
        <v>164</v>
      </c>
      <c r="C29" s="26">
        <v>1</v>
      </c>
      <c r="D29" s="26">
        <v>25.66</v>
      </c>
      <c r="E29" s="26">
        <v>1.4</v>
      </c>
      <c r="F29" s="26"/>
      <c r="G29" s="26"/>
      <c r="H29" s="26"/>
      <c r="I29" s="26"/>
      <c r="J29" s="26" t="n">
        <f t="shared" si="1"/>
        <v>35.924</v>
      </c>
      <c r="K29" s="25"/>
      <c r="L29" s="25"/>
    </row>
    <row r="30" spans="1:12" ht="15.5" customHeight="1" x14ac:dyDescent="0.35">
      <c r="A30" s="25"/>
      <c r="B30" s="25" t="s">
        <v>165</v>
      </c>
      <c r="C30" s="26">
        <v>1</v>
      </c>
      <c r="D30" s="26">
        <v>106.95</v>
      </c>
      <c r="E30" s="26">
        <v>1.4</v>
      </c>
      <c r="F30" s="26"/>
      <c r="G30" s="26"/>
      <c r="H30" s="26"/>
      <c r="I30" s="26"/>
      <c r="J30" s="26" t="n">
        <f t="shared" si="1"/>
        <v>149.73</v>
      </c>
      <c r="K30" s="25"/>
      <c r="L30" s="25"/>
    </row>
    <row r="31" spans="1:12" ht="15.5" customHeight="1" x14ac:dyDescent="0.35">
      <c r="A31" s="25"/>
      <c r="B31" s="25" t="s">
        <v>166</v>
      </c>
      <c r="C31" s="26">
        <v>1</v>
      </c>
      <c r="D31" s="26">
        <v>141.19999999999999</v>
      </c>
      <c r="E31" s="26">
        <v>1.4</v>
      </c>
      <c r="F31" s="26"/>
      <c r="G31" s="26"/>
      <c r="H31" s="26"/>
      <c r="I31" s="26"/>
      <c r="J31" s="26" t="n">
        <f t="shared" si="1"/>
        <v>197.68</v>
      </c>
      <c r="K31" s="25"/>
      <c r="L31" s="25"/>
    </row>
    <row r="32" spans="1:12" ht="15.5" customHeight="1" x14ac:dyDescent="0.35">
      <c r="A32" s="25"/>
      <c r="B32" s="25" t="s">
        <v>167</v>
      </c>
      <c r="C32" s="26">
        <v>1</v>
      </c>
      <c r="D32" s="26">
        <v>23.3</v>
      </c>
      <c r="E32" s="26">
        <v>1.4</v>
      </c>
      <c r="F32" s="26"/>
      <c r="G32" s="26"/>
      <c r="H32" s="26"/>
      <c r="I32" s="26"/>
      <c r="J32" s="26" t="n">
        <f t="shared" si="1"/>
        <v>32.62</v>
      </c>
      <c r="K32" s="25"/>
      <c r="L32" s="25"/>
    </row>
    <row r="33" spans="1:12" ht="15.5" customHeight="1" x14ac:dyDescent="0.35">
      <c r="A33" s="25"/>
      <c r="B33" s="25" t="s">
        <v>168</v>
      </c>
      <c r="C33" s="26">
        <v>1</v>
      </c>
      <c r="D33" s="26">
        <v>60.7</v>
      </c>
      <c r="E33" s="26">
        <v>1.4</v>
      </c>
      <c r="F33" s="26"/>
      <c r="G33" s="26"/>
      <c r="H33" s="26"/>
      <c r="I33" s="26"/>
      <c r="J33" s="26" t="n">
        <f t="shared" si="1"/>
        <v>84.98</v>
      </c>
      <c r="K33" s="25"/>
      <c r="L33" s="25"/>
    </row>
    <row r="34" spans="1:12" ht="15.5" customHeight="1" x14ac:dyDescent="0.35">
      <c r="A34" s="25"/>
      <c r="B34" s="25" t="s">
        <v>169</v>
      </c>
      <c r="C34" s="26">
        <v>1</v>
      </c>
      <c r="D34" s="26">
        <v>51.25</v>
      </c>
      <c r="E34" s="26">
        <v>1.4</v>
      </c>
      <c r="F34" s="26"/>
      <c r="G34" s="26"/>
      <c r="H34" s="26"/>
      <c r="I34" s="26"/>
      <c r="J34" s="26" t="n">
        <f t="shared" si="1"/>
        <v>71.75</v>
      </c>
      <c r="K34" s="25"/>
      <c r="L34" s="25"/>
    </row>
    <row r="35" spans="1:12" ht="15.5" customHeight="1" x14ac:dyDescent="0.35">
      <c r="A35" s="25"/>
      <c r="B35" s="25" t="s">
        <v>170</v>
      </c>
      <c r="C35" s="26">
        <v>1</v>
      </c>
      <c r="D35" s="26">
        <v>15.5</v>
      </c>
      <c r="E35" s="26">
        <v>1.4</v>
      </c>
      <c r="F35" s="26"/>
      <c r="G35" s="26"/>
      <c r="H35" s="26"/>
      <c r="I35" s="26"/>
      <c r="J35" s="26" t="n">
        <f t="shared" si="1"/>
        <v>21.7</v>
      </c>
      <c r="K35" s="25"/>
      <c r="L35" s="25"/>
    </row>
    <row r="36" spans="1:12" ht="15.5" customHeight="1" x14ac:dyDescent="0.35">
      <c r="A36" s="25"/>
      <c r="B36" s="25" t="s">
        <v>171</v>
      </c>
      <c r="C36" s="26">
        <v>1</v>
      </c>
      <c r="D36" s="26">
        <v>94.85</v>
      </c>
      <c r="E36" s="26">
        <v>1.4</v>
      </c>
      <c r="F36" s="26"/>
      <c r="G36" s="26"/>
      <c r="H36" s="26"/>
      <c r="I36" s="26"/>
      <c r="J36" s="26" t="n">
        <f t="shared" si="1"/>
        <v>132.79</v>
      </c>
      <c r="K36" s="25"/>
      <c r="L36" s="25"/>
    </row>
    <row r="37" spans="1:12" ht="15.5" customHeight="1" x14ac:dyDescent="0.35">
      <c r="A37" s="2" t="s">
        <v>21</v>
      </c>
      <c r="B37" s="2" t="s">
        <v>22</v>
      </c>
      <c r="C37" s="28"/>
      <c r="D37" s="28"/>
      <c r="E37" s="28"/>
      <c r="F37" s="28"/>
      <c r="G37" s="28"/>
      <c r="H37" s="28"/>
      <c r="I37" s="28"/>
      <c r="J37" s="28"/>
      <c r="K37" s="2"/>
      <c r="L37" s="2"/>
    </row>
    <row r="38" spans="1:12" ht="31" customHeight="1" x14ac:dyDescent="0.35">
      <c r="A38" s="23" t="s">
        <v>23</v>
      </c>
      <c r="B38" s="23" t="s">
        <v>24</v>
      </c>
      <c r="C38" s="24"/>
      <c r="D38" s="24"/>
      <c r="E38" s="24"/>
      <c r="F38" s="24"/>
      <c r="G38" s="24"/>
      <c r="H38" s="24"/>
      <c r="I38" s="24"/>
      <c r="J38" s="24"/>
      <c r="K38" s="24" t="n">
        <f>SUM(J39:J50)</f>
        <v>647.31408</v>
      </c>
      <c r="L38" s="23" t="s">
        <v>25</v>
      </c>
    </row>
    <row r="39" spans="1:12" ht="15.5" customHeight="1" x14ac:dyDescent="0.35">
      <c r="A39" s="25"/>
      <c r="B39" s="25" t="s">
        <v>160</v>
      </c>
      <c r="C39" s="26">
        <v>1</v>
      </c>
      <c r="D39" s="26">
        <v>23.6</v>
      </c>
      <c r="E39" s="26">
        <v>1.4</v>
      </c>
      <c r="F39" s="26">
        <v>0.41</v>
      </c>
      <c r="G39" s="26"/>
      <c r="H39" s="26"/>
      <c r="I39" s="26"/>
      <c r="J39" s="26" t="n">
        <f>C39*D39*E39*(F39+PARAMETROS!$B$15)</f>
        <v>16.8504</v>
      </c>
      <c r="K39" s="25"/>
      <c r="L39" s="25"/>
    </row>
    <row r="40" spans="1:12" ht="15.5" customHeight="1" x14ac:dyDescent="0.35">
      <c r="A40" s="25"/>
      <c r="B40" s="25" t="s">
        <v>161</v>
      </c>
      <c r="C40" s="26">
        <v>1</v>
      </c>
      <c r="D40" s="26">
        <v>143.5</v>
      </c>
      <c r="E40" s="26">
        <v>1.4</v>
      </c>
      <c r="F40" s="26">
        <v>0.65</v>
      </c>
      <c r="G40" s="26"/>
      <c r="H40" s="26"/>
      <c r="I40" s="26"/>
      <c r="J40" s="26" t="n">
        <f>C40*D40*E40*(F40+PARAMETROS!$B$15)</f>
        <v>150.675</v>
      </c>
      <c r="K40" s="25"/>
      <c r="L40" s="25"/>
    </row>
    <row r="41" spans="1:12" ht="15.5" customHeight="1" x14ac:dyDescent="0.35">
      <c r="A41" s="25"/>
      <c r="B41" s="25" t="s">
        <v>162</v>
      </c>
      <c r="C41" s="26">
        <v>1</v>
      </c>
      <c r="D41" s="26">
        <v>26.35</v>
      </c>
      <c r="E41" s="26">
        <v>1.4</v>
      </c>
      <c r="F41" s="26">
        <v>0.37</v>
      </c>
      <c r="G41" s="26"/>
      <c r="H41" s="26"/>
      <c r="I41" s="26"/>
      <c r="J41" s="26" t="n">
        <f>C41*D41*E41*(F41+PARAMETROS!$B$15)</f>
        <v>17.3383</v>
      </c>
      <c r="K41" s="25"/>
      <c r="L41" s="25"/>
    </row>
    <row r="42" spans="1:12" ht="15.5" customHeight="1" x14ac:dyDescent="0.35">
      <c r="A42" s="25"/>
      <c r="B42" s="25" t="s">
        <v>163</v>
      </c>
      <c r="C42" s="26">
        <v>1</v>
      </c>
      <c r="D42" s="26">
        <v>9.65</v>
      </c>
      <c r="E42" s="26">
        <v>1.4</v>
      </c>
      <c r="F42" s="26">
        <v>0.33</v>
      </c>
      <c r="G42" s="26"/>
      <c r="H42" s="26"/>
      <c r="I42" s="26"/>
      <c r="J42" s="26" t="n">
        <f>C42*D42*E42*(F42+PARAMETROS!$B$15)</f>
        <v>5.8093</v>
      </c>
      <c r="K42" s="25"/>
      <c r="L42" s="25"/>
    </row>
    <row r="43" spans="1:12" ht="15.5" customHeight="1" x14ac:dyDescent="0.35">
      <c r="A43" s="25"/>
      <c r="B43" s="25" t="s">
        <v>164</v>
      </c>
      <c r="C43" s="26">
        <v>1</v>
      </c>
      <c r="D43" s="26">
        <v>25.66</v>
      </c>
      <c r="E43" s="26">
        <v>1.4</v>
      </c>
      <c r="F43" s="26">
        <v>0.37</v>
      </c>
      <c r="G43" s="26"/>
      <c r="H43" s="26"/>
      <c r="I43" s="26"/>
      <c r="J43" s="26" t="n">
        <f>C43*D43*E43*(F43+PARAMETROS!$B$15)</f>
        <v>16.88428</v>
      </c>
      <c r="K43" s="25"/>
      <c r="L43" s="25"/>
    </row>
    <row r="44" spans="1:12" ht="15.5" customHeight="1" x14ac:dyDescent="0.35">
      <c r="A44" s="25"/>
      <c r="B44" s="25" t="s">
        <v>165</v>
      </c>
      <c r="C44" s="26">
        <v>1</v>
      </c>
      <c r="D44" s="26">
        <v>106.95</v>
      </c>
      <c r="E44" s="26">
        <v>1.4</v>
      </c>
      <c r="F44" s="26">
        <v>0.56000000000000005</v>
      </c>
      <c r="G44" s="26"/>
      <c r="H44" s="26"/>
      <c r="I44" s="26"/>
      <c r="J44" s="26" t="n">
        <f>C44*D44*E44*(F44+PARAMETROS!$B$15)</f>
        <v>98.8218</v>
      </c>
      <c r="K44" s="25"/>
      <c r="L44" s="25"/>
    </row>
    <row r="45" spans="1:12" ht="15.5" customHeight="1" x14ac:dyDescent="0.35">
      <c r="A45" s="25"/>
      <c r="B45" s="25" t="s">
        <v>166</v>
      </c>
      <c r="C45" s="26">
        <v>1</v>
      </c>
      <c r="D45" s="26">
        <v>141.19999999999999</v>
      </c>
      <c r="E45" s="26">
        <v>1.4</v>
      </c>
      <c r="F45" s="26">
        <v>0.62</v>
      </c>
      <c r="G45" s="26"/>
      <c r="H45" s="26"/>
      <c r="I45" s="26"/>
      <c r="J45" s="26" t="n">
        <f>C45*D45*E45*(F45+PARAMETROS!$B$15)</f>
        <v>142.3296</v>
      </c>
      <c r="K45" s="25"/>
      <c r="L45" s="25"/>
    </row>
    <row r="46" spans="1:12" ht="15.5" customHeight="1" x14ac:dyDescent="0.35">
      <c r="A46" s="25"/>
      <c r="B46" s="25" t="s">
        <v>167</v>
      </c>
      <c r="C46" s="26">
        <v>1</v>
      </c>
      <c r="D46" s="26">
        <v>23.3</v>
      </c>
      <c r="E46" s="26">
        <v>1.4</v>
      </c>
      <c r="F46" s="26">
        <v>0.35</v>
      </c>
      <c r="G46" s="26"/>
      <c r="H46" s="26"/>
      <c r="I46" s="26"/>
      <c r="J46" s="26" t="n">
        <f>C46*D46*E46*(F46+PARAMETROS!$B$15)</f>
        <v>14.679</v>
      </c>
      <c r="K46" s="25"/>
      <c r="L46" s="25"/>
    </row>
    <row r="47" spans="1:12" ht="15.5" customHeight="1" x14ac:dyDescent="0.35">
      <c r="A47" s="25"/>
      <c r="B47" s="25" t="s">
        <v>168</v>
      </c>
      <c r="C47" s="26">
        <v>1</v>
      </c>
      <c r="D47" s="26">
        <v>60.7</v>
      </c>
      <c r="E47" s="26">
        <v>1.4</v>
      </c>
      <c r="F47" s="26">
        <v>0.45</v>
      </c>
      <c r="G47" s="26"/>
      <c r="H47" s="26"/>
      <c r="I47" s="26"/>
      <c r="J47" s="26" t="n">
        <f>C47*D47*E47*(F47+PARAMETROS!$B$15)</f>
        <v>46.739</v>
      </c>
      <c r="K47" s="25"/>
      <c r="L47" s="25"/>
    </row>
    <row r="48" spans="1:12" ht="15.5" customHeight="1" x14ac:dyDescent="0.35">
      <c r="A48" s="25"/>
      <c r="B48" s="25" t="s">
        <v>169</v>
      </c>
      <c r="C48" s="26">
        <v>1</v>
      </c>
      <c r="D48" s="26">
        <v>51.25</v>
      </c>
      <c r="E48" s="26">
        <v>1.4</v>
      </c>
      <c r="F48" s="26">
        <v>0.55000000000000004</v>
      </c>
      <c r="G48" s="26"/>
      <c r="H48" s="26"/>
      <c r="I48" s="26"/>
      <c r="J48" s="26" t="n">
        <f>C48*D48*E48*(F48+PARAMETROS!$B$15)</f>
        <v>46.6375</v>
      </c>
      <c r="K48" s="25"/>
      <c r="L48" s="25"/>
    </row>
    <row r="49" spans="1:12" ht="15.5" customHeight="1" x14ac:dyDescent="0.35">
      <c r="A49" s="25"/>
      <c r="B49" s="25" t="s">
        <v>170</v>
      </c>
      <c r="C49" s="26">
        <v>1</v>
      </c>
      <c r="D49" s="26">
        <v>15.5</v>
      </c>
      <c r="E49" s="26">
        <v>1.4</v>
      </c>
      <c r="F49" s="26">
        <v>0.34</v>
      </c>
      <c r="G49" s="26"/>
      <c r="H49" s="26"/>
      <c r="I49" s="26"/>
      <c r="J49" s="26" t="n">
        <f>C49*D49*E49*(F49+PARAMETROS!$B$15)</f>
        <v>9.548</v>
      </c>
      <c r="K49" s="25"/>
      <c r="L49" s="25"/>
    </row>
    <row r="50" spans="1:12" ht="15.5" customHeight="1" x14ac:dyDescent="0.35">
      <c r="A50" s="25"/>
      <c r="B50" s="25" t="s">
        <v>171</v>
      </c>
      <c r="C50" s="26">
        <v>1</v>
      </c>
      <c r="D50" s="26">
        <v>94.85</v>
      </c>
      <c r="E50" s="26">
        <v>1.4</v>
      </c>
      <c r="F50" s="26">
        <v>0.51</v>
      </c>
      <c r="G50" s="26"/>
      <c r="H50" s="26"/>
      <c r="I50" s="26"/>
      <c r="J50" s="26" t="n">
        <f>C50*D50*E50*(F50+PARAMETROS!$B$15)</f>
        <v>81.0019</v>
      </c>
      <c r="K50" s="25"/>
      <c r="L50" s="25"/>
    </row>
    <row r="51" spans="1:12" ht="31" customHeight="1" x14ac:dyDescent="0.35">
      <c r="A51" s="23" t="s">
        <v>26</v>
      </c>
      <c r="B51" s="23" t="s">
        <v>27</v>
      </c>
      <c r="C51" s="24">
        <v>54</v>
      </c>
      <c r="D51" s="24"/>
      <c r="E51" s="24"/>
      <c r="F51" s="24"/>
      <c r="G51" s="24"/>
      <c r="H51" s="24"/>
      <c r="I51" s="24"/>
      <c r="J51" s="24"/>
      <c r="K51" s="24" t="n">
        <f>J52*C51</f>
        <v>3.024</v>
      </c>
      <c r="L51" s="23" t="s">
        <v>25</v>
      </c>
    </row>
    <row r="52" spans="1:12" ht="15.5" customHeight="1" x14ac:dyDescent="0.35">
      <c r="A52" s="25"/>
      <c r="B52" s="25" t="s">
        <v>172</v>
      </c>
      <c r="C52" s="26"/>
      <c r="D52" s="26">
        <v>0.4</v>
      </c>
      <c r="E52" s="26">
        <v>0.35</v>
      </c>
      <c r="F52" s="26">
        <v>0.4</v>
      </c>
      <c r="G52" s="26"/>
      <c r="H52" s="26"/>
      <c r="I52" s="26"/>
      <c r="J52" s="29" t="n">
        <f>D52*E52*F52</f>
        <v>0.056</v>
      </c>
      <c r="K52" s="25"/>
      <c r="L52" s="25"/>
    </row>
    <row r="53" spans="1:12" ht="15.5" customHeight="1" x14ac:dyDescent="0.35">
      <c r="A53" s="25"/>
      <c r="B53" s="25"/>
      <c r="C53" s="26"/>
      <c r="D53" s="26"/>
      <c r="E53" s="26"/>
      <c r="F53" s="26"/>
      <c r="G53" s="26"/>
      <c r="H53" s="26"/>
      <c r="I53" s="26"/>
      <c r="J53" s="26"/>
      <c r="K53" s="25"/>
      <c r="L53" s="25"/>
    </row>
    <row r="54" spans="1:12" ht="46.5" customHeight="1" x14ac:dyDescent="0.35">
      <c r="A54" s="23" t="s">
        <v>28</v>
      </c>
      <c r="B54" s="23" t="s">
        <v>29</v>
      </c>
      <c r="C54" s="24"/>
      <c r="D54" s="24"/>
      <c r="E54" s="24"/>
      <c r="F54" s="24"/>
      <c r="G54" s="24"/>
      <c r="H54" s="24"/>
      <c r="I54" s="24"/>
      <c r="J54" s="24"/>
      <c r="K54" s="24" t="n">
        <f>SUM(J55:J66)</f>
        <v>433.506</v>
      </c>
      <c r="L54" s="23" t="s">
        <v>18</v>
      </c>
    </row>
    <row r="55" spans="1:12" ht="15.5" customHeight="1" x14ac:dyDescent="0.35">
      <c r="A55" s="25"/>
      <c r="B55" s="25" t="s">
        <v>160</v>
      </c>
      <c r="C55" s="26">
        <v>1</v>
      </c>
      <c r="D55" s="26">
        <v>23.6</v>
      </c>
      <c r="E55" s="26">
        <v>0.6</v>
      </c>
      <c r="F55" s="26"/>
      <c r="G55" s="26"/>
      <c r="H55" s="26"/>
      <c r="I55" s="26"/>
      <c r="J55" s="26" t="n">
        <f t="shared" ref="J55:J66" si="2">C55*D55*E55</f>
        <v>14.16</v>
      </c>
      <c r="K55" s="25"/>
      <c r="L55" s="25"/>
    </row>
    <row r="56" spans="1:12" ht="15.5" customHeight="1" x14ac:dyDescent="0.35">
      <c r="A56" s="25"/>
      <c r="B56" s="25" t="s">
        <v>161</v>
      </c>
      <c r="C56" s="26">
        <v>1</v>
      </c>
      <c r="D56" s="26">
        <v>143.5</v>
      </c>
      <c r="E56" s="26">
        <v>0.6</v>
      </c>
      <c r="F56" s="26"/>
      <c r="G56" s="26"/>
      <c r="H56" s="26"/>
      <c r="I56" s="26"/>
      <c r="J56" s="26" t="n">
        <f t="shared" si="2"/>
        <v>86.1</v>
      </c>
      <c r="K56" s="25"/>
      <c r="L56" s="25"/>
    </row>
    <row r="57" spans="1:12" ht="15.5" customHeight="1" x14ac:dyDescent="0.35">
      <c r="A57" s="25"/>
      <c r="B57" s="25" t="s">
        <v>162</v>
      </c>
      <c r="C57" s="26">
        <v>1</v>
      </c>
      <c r="D57" s="26">
        <v>26.35</v>
      </c>
      <c r="E57" s="26">
        <v>0.6</v>
      </c>
      <c r="F57" s="26"/>
      <c r="G57" s="26"/>
      <c r="H57" s="26"/>
      <c r="I57" s="26"/>
      <c r="J57" s="26" t="n">
        <f t="shared" si="2"/>
        <v>15.81</v>
      </c>
      <c r="K57" s="25"/>
      <c r="L57" s="25"/>
    </row>
    <row r="58" spans="1:12" ht="15.5" customHeight="1" x14ac:dyDescent="0.35">
      <c r="A58" s="25"/>
      <c r="B58" s="25" t="s">
        <v>163</v>
      </c>
      <c r="C58" s="26">
        <v>1</v>
      </c>
      <c r="D58" s="26">
        <v>9.65</v>
      </c>
      <c r="E58" s="26">
        <v>0.6</v>
      </c>
      <c r="F58" s="26"/>
      <c r="G58" s="26"/>
      <c r="H58" s="26"/>
      <c r="I58" s="26"/>
      <c r="J58" s="26" t="n">
        <f t="shared" si="2"/>
        <v>5.79</v>
      </c>
      <c r="K58" s="25"/>
      <c r="L58" s="25"/>
    </row>
    <row r="59" spans="1:12" ht="15.5" customHeight="1" x14ac:dyDescent="0.35">
      <c r="A59" s="25"/>
      <c r="B59" s="25" t="s">
        <v>164</v>
      </c>
      <c r="C59" s="26">
        <v>1</v>
      </c>
      <c r="D59" s="26">
        <v>25.66</v>
      </c>
      <c r="E59" s="26">
        <v>0.6</v>
      </c>
      <c r="F59" s="26"/>
      <c r="G59" s="26"/>
      <c r="H59" s="26"/>
      <c r="I59" s="26"/>
      <c r="J59" s="26" t="n">
        <f t="shared" si="2"/>
        <v>15.396</v>
      </c>
      <c r="K59" s="25"/>
      <c r="L59" s="25"/>
    </row>
    <row r="60" spans="1:12" ht="15.5" customHeight="1" x14ac:dyDescent="0.35">
      <c r="A60" s="25"/>
      <c r="B60" s="25" t="s">
        <v>165</v>
      </c>
      <c r="C60" s="26">
        <v>1</v>
      </c>
      <c r="D60" s="26">
        <v>106.95</v>
      </c>
      <c r="E60" s="26">
        <v>0.6</v>
      </c>
      <c r="F60" s="26"/>
      <c r="G60" s="26"/>
      <c r="H60" s="26"/>
      <c r="I60" s="26"/>
      <c r="J60" s="26" t="n">
        <f t="shared" si="2"/>
        <v>64.17</v>
      </c>
      <c r="K60" s="25"/>
      <c r="L60" s="25"/>
    </row>
    <row r="61" spans="1:12" ht="15.5" customHeight="1" x14ac:dyDescent="0.35">
      <c r="A61" s="25"/>
      <c r="B61" s="25" t="s">
        <v>166</v>
      </c>
      <c r="C61" s="26">
        <v>1</v>
      </c>
      <c r="D61" s="26">
        <v>141.19999999999999</v>
      </c>
      <c r="E61" s="26">
        <v>0.6</v>
      </c>
      <c r="F61" s="26"/>
      <c r="G61" s="26"/>
      <c r="H61" s="26"/>
      <c r="I61" s="26"/>
      <c r="J61" s="26" t="n">
        <f t="shared" si="2"/>
        <v>84.72</v>
      </c>
      <c r="K61" s="25"/>
      <c r="L61" s="25"/>
    </row>
    <row r="62" spans="1:12" ht="15.5" customHeight="1" x14ac:dyDescent="0.35">
      <c r="A62" s="25"/>
      <c r="B62" s="25" t="s">
        <v>167</v>
      </c>
      <c r="C62" s="26">
        <v>1</v>
      </c>
      <c r="D62" s="26">
        <v>23.3</v>
      </c>
      <c r="E62" s="26">
        <v>0.6</v>
      </c>
      <c r="F62" s="26"/>
      <c r="G62" s="26"/>
      <c r="H62" s="26"/>
      <c r="I62" s="26"/>
      <c r="J62" s="26" t="n">
        <f t="shared" si="2"/>
        <v>13.98</v>
      </c>
      <c r="K62" s="25"/>
      <c r="L62" s="25"/>
    </row>
    <row r="63" spans="1:12" ht="15.5" customHeight="1" x14ac:dyDescent="0.35">
      <c r="A63" s="25"/>
      <c r="B63" s="25" t="s">
        <v>168</v>
      </c>
      <c r="C63" s="26">
        <v>1</v>
      </c>
      <c r="D63" s="26">
        <v>60.7</v>
      </c>
      <c r="E63" s="26">
        <v>0.6</v>
      </c>
      <c r="F63" s="26"/>
      <c r="G63" s="26"/>
      <c r="H63" s="26"/>
      <c r="I63" s="26"/>
      <c r="J63" s="26" t="n">
        <f t="shared" si="2"/>
        <v>36.42</v>
      </c>
      <c r="K63" s="25"/>
      <c r="L63" s="25"/>
    </row>
    <row r="64" spans="1:12" ht="15.5" customHeight="1" x14ac:dyDescent="0.35">
      <c r="A64" s="25"/>
      <c r="B64" s="25" t="s">
        <v>169</v>
      </c>
      <c r="C64" s="26">
        <v>1</v>
      </c>
      <c r="D64" s="26">
        <v>51.25</v>
      </c>
      <c r="E64" s="26">
        <v>0.6</v>
      </c>
      <c r="F64" s="26"/>
      <c r="G64" s="26"/>
      <c r="H64" s="26"/>
      <c r="I64" s="26"/>
      <c r="J64" s="26" t="n">
        <f t="shared" si="2"/>
        <v>30.75</v>
      </c>
      <c r="K64" s="25"/>
      <c r="L64" s="25"/>
    </row>
    <row r="65" spans="1:12" ht="15.5" customHeight="1" x14ac:dyDescent="0.35">
      <c r="A65" s="25"/>
      <c r="B65" s="25" t="s">
        <v>170</v>
      </c>
      <c r="C65" s="26">
        <v>1</v>
      </c>
      <c r="D65" s="26">
        <v>15.5</v>
      </c>
      <c r="E65" s="26">
        <v>0.6</v>
      </c>
      <c r="F65" s="26"/>
      <c r="G65" s="26"/>
      <c r="H65" s="26"/>
      <c r="I65" s="26"/>
      <c r="J65" s="26" t="n">
        <f t="shared" si="2"/>
        <v>9.3</v>
      </c>
      <c r="K65" s="25"/>
      <c r="L65" s="25"/>
    </row>
    <row r="66" spans="1:12" ht="15.5" customHeight="1" x14ac:dyDescent="0.35">
      <c r="A66" s="25"/>
      <c r="B66" s="25" t="s">
        <v>171</v>
      </c>
      <c r="C66" s="26">
        <v>1</v>
      </c>
      <c r="D66" s="26">
        <v>94.85</v>
      </c>
      <c r="E66" s="26">
        <v>0.6</v>
      </c>
      <c r="F66" s="26"/>
      <c r="G66" s="26"/>
      <c r="H66" s="26"/>
      <c r="I66" s="26"/>
      <c r="J66" s="26" t="n">
        <f t="shared" si="2"/>
        <v>56.91</v>
      </c>
      <c r="K66" s="25"/>
      <c r="L66" s="25"/>
    </row>
    <row r="67" spans="1:12" ht="46.5" customHeight="1" x14ac:dyDescent="0.35">
      <c r="A67" s="23" t="s">
        <v>30</v>
      </c>
      <c r="B67" s="23" t="s">
        <v>31</v>
      </c>
      <c r="C67" s="24"/>
      <c r="D67" s="24"/>
      <c r="E67" s="24"/>
      <c r="F67" s="24"/>
      <c r="G67" s="24"/>
      <c r="H67" s="24"/>
      <c r="I67" s="24"/>
      <c r="J67" s="24"/>
      <c r="K67" s="24" t="n">
        <f>SUM(J68:J79)</f>
        <v>369.89376</v>
      </c>
      <c r="L67" s="23" t="s">
        <v>25</v>
      </c>
    </row>
    <row r="68" spans="1:12" ht="15.5" customHeight="1" x14ac:dyDescent="0.35">
      <c r="A68" s="25"/>
      <c r="B68" s="25" t="s">
        <v>160</v>
      </c>
      <c r="C68" s="26">
        <v>1</v>
      </c>
      <c r="D68" s="26">
        <v>23.6</v>
      </c>
      <c r="E68" s="26">
        <v>0.8</v>
      </c>
      <c r="F68" s="26">
        <v>0.41</v>
      </c>
      <c r="G68" s="26"/>
      <c r="H68" s="26"/>
      <c r="I68" s="26"/>
      <c r="J68" s="26" t="n">
        <f>C68*D68*E68*(F68+PARAMETROS!$B$15)</f>
        <v>9.6288</v>
      </c>
      <c r="K68" s="25"/>
      <c r="L68" s="25"/>
    </row>
    <row r="69" spans="1:12" ht="15.5" customHeight="1" x14ac:dyDescent="0.35">
      <c r="A69" s="25"/>
      <c r="B69" s="25" t="s">
        <v>161</v>
      </c>
      <c r="C69" s="26">
        <v>1</v>
      </c>
      <c r="D69" s="26">
        <v>143.5</v>
      </c>
      <c r="E69" s="26">
        <v>0.8</v>
      </c>
      <c r="F69" s="26">
        <v>0.65</v>
      </c>
      <c r="G69" s="26"/>
      <c r="H69" s="26"/>
      <c r="I69" s="26"/>
      <c r="J69" s="26" t="n">
        <f>C69*D69*E69*(F69+PARAMETROS!$B$15)</f>
        <v>86.1</v>
      </c>
      <c r="K69" s="25"/>
      <c r="L69" s="25"/>
    </row>
    <row r="70" spans="1:12" ht="15.5" customHeight="1" x14ac:dyDescent="0.35">
      <c r="A70" s="25"/>
      <c r="B70" s="25" t="s">
        <v>162</v>
      </c>
      <c r="C70" s="26">
        <v>1</v>
      </c>
      <c r="D70" s="26">
        <v>26.35</v>
      </c>
      <c r="E70" s="26">
        <v>0.8</v>
      </c>
      <c r="F70" s="26">
        <v>0.37</v>
      </c>
      <c r="G70" s="26"/>
      <c r="H70" s="26"/>
      <c r="I70" s="26"/>
      <c r="J70" s="26" t="n">
        <f>C70*D70*E70*(F70+PARAMETROS!$B$15)</f>
        <v>9.9076</v>
      </c>
      <c r="K70" s="25"/>
      <c r="L70" s="25"/>
    </row>
    <row r="71" spans="1:12" ht="15.5" customHeight="1" x14ac:dyDescent="0.35">
      <c r="A71" s="25"/>
      <c r="B71" s="25" t="s">
        <v>163</v>
      </c>
      <c r="C71" s="26">
        <v>1</v>
      </c>
      <c r="D71" s="26">
        <v>9.65</v>
      </c>
      <c r="E71" s="26">
        <v>0.8</v>
      </c>
      <c r="F71" s="26">
        <v>0.33</v>
      </c>
      <c r="G71" s="26"/>
      <c r="H71" s="26"/>
      <c r="I71" s="26"/>
      <c r="J71" s="26" t="n">
        <f>C71*D71*E71*(F71+PARAMETROS!$B$15)</f>
        <v>3.3196</v>
      </c>
      <c r="K71" s="25"/>
      <c r="L71" s="25"/>
    </row>
    <row r="72" spans="1:12" ht="15.5" customHeight="1" x14ac:dyDescent="0.35">
      <c r="A72" s="25"/>
      <c r="B72" s="25" t="s">
        <v>164</v>
      </c>
      <c r="C72" s="26">
        <v>1</v>
      </c>
      <c r="D72" s="26">
        <v>25.66</v>
      </c>
      <c r="E72" s="26">
        <v>0.8</v>
      </c>
      <c r="F72" s="26">
        <v>0.37</v>
      </c>
      <c r="G72" s="26"/>
      <c r="H72" s="26"/>
      <c r="I72" s="26"/>
      <c r="J72" s="26" t="n">
        <f>C72*D72*E72*(F72+PARAMETROS!$B$15)</f>
        <v>9.64816</v>
      </c>
      <c r="K72" s="25"/>
      <c r="L72" s="25"/>
    </row>
    <row r="73" spans="1:12" ht="15.5" customHeight="1" x14ac:dyDescent="0.35">
      <c r="A73" s="25"/>
      <c r="B73" s="25" t="s">
        <v>165</v>
      </c>
      <c r="C73" s="26">
        <v>1</v>
      </c>
      <c r="D73" s="26">
        <v>106.95</v>
      </c>
      <c r="E73" s="26">
        <v>0.8</v>
      </c>
      <c r="F73" s="26">
        <v>0.56000000000000005</v>
      </c>
      <c r="G73" s="26"/>
      <c r="H73" s="26"/>
      <c r="I73" s="26"/>
      <c r="J73" s="26" t="n">
        <f>C73*D73*E73*(F73+PARAMETROS!$B$15)</f>
        <v>56.4696</v>
      </c>
      <c r="K73" s="25"/>
      <c r="L73" s="25"/>
    </row>
    <row r="74" spans="1:12" ht="15.5" customHeight="1" x14ac:dyDescent="0.35">
      <c r="A74" s="25"/>
      <c r="B74" s="25" t="s">
        <v>166</v>
      </c>
      <c r="C74" s="26">
        <v>1</v>
      </c>
      <c r="D74" s="26">
        <v>141.19999999999999</v>
      </c>
      <c r="E74" s="26">
        <v>0.8</v>
      </c>
      <c r="F74" s="26">
        <v>0.62</v>
      </c>
      <c r="G74" s="26"/>
      <c r="H74" s="26"/>
      <c r="I74" s="26"/>
      <c r="J74" s="26" t="n">
        <f>C74*D74*E74*(F74+PARAMETROS!$B$15)</f>
        <v>81.3312</v>
      </c>
      <c r="K74" s="25"/>
      <c r="L74" s="25"/>
    </row>
    <row r="75" spans="1:12" ht="15.5" customHeight="1" x14ac:dyDescent="0.35">
      <c r="A75" s="25"/>
      <c r="B75" s="25" t="s">
        <v>167</v>
      </c>
      <c r="C75" s="26">
        <v>1</v>
      </c>
      <c r="D75" s="26">
        <v>23.3</v>
      </c>
      <c r="E75" s="26">
        <v>0.8</v>
      </c>
      <c r="F75" s="26">
        <v>0.35</v>
      </c>
      <c r="G75" s="26"/>
      <c r="H75" s="26"/>
      <c r="I75" s="26"/>
      <c r="J75" s="26" t="n">
        <f>C75*D75*E75*(F75+PARAMETROS!$B$15)</f>
        <v>8.388</v>
      </c>
      <c r="K75" s="25"/>
      <c r="L75" s="25"/>
    </row>
    <row r="76" spans="1:12" ht="15.5" customHeight="1" x14ac:dyDescent="0.35">
      <c r="A76" s="25"/>
      <c r="B76" s="25" t="s">
        <v>168</v>
      </c>
      <c r="C76" s="26">
        <v>1</v>
      </c>
      <c r="D76" s="26">
        <v>60.7</v>
      </c>
      <c r="E76" s="26">
        <v>0.8</v>
      </c>
      <c r="F76" s="26">
        <v>0.45</v>
      </c>
      <c r="G76" s="26"/>
      <c r="H76" s="26"/>
      <c r="I76" s="26"/>
      <c r="J76" s="26" t="n">
        <f>C76*D76*E76*(F76+PARAMETROS!$B$15)</f>
        <v>26.708</v>
      </c>
      <c r="K76" s="25"/>
      <c r="L76" s="25"/>
    </row>
    <row r="77" spans="1:12" ht="15.5" customHeight="1" x14ac:dyDescent="0.35">
      <c r="A77" s="25"/>
      <c r="B77" s="25" t="s">
        <v>169</v>
      </c>
      <c r="C77" s="26">
        <v>1</v>
      </c>
      <c r="D77" s="26">
        <v>51.25</v>
      </c>
      <c r="E77" s="26">
        <v>0.8</v>
      </c>
      <c r="F77" s="26">
        <v>0.55000000000000004</v>
      </c>
      <c r="G77" s="26"/>
      <c r="H77" s="26"/>
      <c r="I77" s="26"/>
      <c r="J77" s="26" t="n">
        <f>C77*D77*E77*(F77+PARAMETROS!$B$15)</f>
        <v>26.65</v>
      </c>
      <c r="K77" s="25"/>
      <c r="L77" s="25"/>
    </row>
    <row r="78" spans="1:12" ht="15.5" customHeight="1" x14ac:dyDescent="0.35">
      <c r="A78" s="25"/>
      <c r="B78" s="25" t="s">
        <v>170</v>
      </c>
      <c r="C78" s="26">
        <v>1</v>
      </c>
      <c r="D78" s="26">
        <v>15.5</v>
      </c>
      <c r="E78" s="26">
        <v>0.8</v>
      </c>
      <c r="F78" s="26">
        <v>0.34</v>
      </c>
      <c r="G78" s="26"/>
      <c r="H78" s="26"/>
      <c r="I78" s="26"/>
      <c r="J78" s="26" t="n">
        <f>C78*D78*E78*(F78+PARAMETROS!$B$15)</f>
        <v>5.456</v>
      </c>
      <c r="K78" s="25"/>
      <c r="L78" s="25"/>
    </row>
    <row r="79" spans="1:12" ht="15.5" customHeight="1" x14ac:dyDescent="0.35">
      <c r="A79" s="25"/>
      <c r="B79" s="25" t="s">
        <v>171</v>
      </c>
      <c r="C79" s="26">
        <v>1</v>
      </c>
      <c r="D79" s="26">
        <v>94.85</v>
      </c>
      <c r="E79" s="26">
        <v>0.8</v>
      </c>
      <c r="F79" s="26">
        <v>0.51</v>
      </c>
      <c r="G79" s="26"/>
      <c r="H79" s="26"/>
      <c r="I79" s="26"/>
      <c r="J79" s="26" t="n">
        <f>C79*D79*E79*(F79+PARAMETROS!$B$15)</f>
        <v>46.2868</v>
      </c>
      <c r="K79" s="25"/>
      <c r="L79" s="25"/>
    </row>
    <row r="80" spans="1:12" ht="31" customHeight="1" x14ac:dyDescent="0.35">
      <c r="A80" s="23" t="s">
        <v>32</v>
      </c>
      <c r="B80" s="23" t="s">
        <v>33</v>
      </c>
      <c r="C80" s="24"/>
      <c r="D80" s="24"/>
      <c r="E80" s="24"/>
      <c r="F80" s="24"/>
      <c r="G80" s="26" t="n">
        <f>PARAMETROS!$B$16</f>
        <v>1.2</v>
      </c>
      <c r="H80" s="24"/>
      <c r="I80" s="24"/>
      <c r="J80" s="24"/>
      <c r="K80" s="24" t="n">
        <f>(J81+J82)*G80</f>
        <v>332.904384</v>
      </c>
      <c r="L80" s="23" t="s">
        <v>25</v>
      </c>
    </row>
    <row r="81" spans="1:12" ht="31" customHeight="1" x14ac:dyDescent="0.35">
      <c r="A81" s="25"/>
      <c r="B81" s="25" t="s">
        <v>173</v>
      </c>
      <c r="C81" s="26"/>
      <c r="D81" s="26"/>
      <c r="E81" s="26"/>
      <c r="F81" s="26"/>
      <c r="G81" s="26">
        <v>1</v>
      </c>
      <c r="H81" s="26"/>
      <c r="I81" s="26" t="n">
        <f>+K38</f>
        <v>647.31408</v>
      </c>
      <c r="J81" s="26" t="n">
        <f>G81*I81</f>
        <v>647.31408</v>
      </c>
      <c r="K81" s="25"/>
      <c r="L81" s="25"/>
    </row>
    <row r="82" spans="1:12" ht="31" customHeight="1" x14ac:dyDescent="0.35">
      <c r="A82" s="25"/>
      <c r="B82" s="25" t="s">
        <v>174</v>
      </c>
      <c r="C82" s="26"/>
      <c r="D82" s="26"/>
      <c r="E82" s="26"/>
      <c r="F82" s="26"/>
      <c r="G82" s="26">
        <v>-1</v>
      </c>
      <c r="H82" s="26"/>
      <c r="I82" s="26" t="n">
        <f>+K67</f>
        <v>369.89376</v>
      </c>
      <c r="J82" s="26" t="n">
        <f>G82*I82</f>
        <v>-369.89376</v>
      </c>
      <c r="K82" s="25"/>
      <c r="L82" s="25"/>
    </row>
    <row r="83" spans="1:12" ht="15.5" customHeight="1" x14ac:dyDescent="0.35">
      <c r="A83" s="2" t="s">
        <v>34</v>
      </c>
      <c r="B83" s="2" t="s">
        <v>35</v>
      </c>
      <c r="C83" s="28"/>
      <c r="D83" s="28"/>
      <c r="E83" s="28"/>
      <c r="F83" s="28"/>
      <c r="G83" s="28"/>
      <c r="H83" s="28"/>
      <c r="I83" s="28"/>
      <c r="J83" s="28"/>
      <c r="K83" s="2"/>
      <c r="L83" s="2"/>
    </row>
    <row r="84" spans="1:12" ht="31" customHeight="1" x14ac:dyDescent="0.35">
      <c r="A84" s="23" t="s">
        <v>36</v>
      </c>
      <c r="B84" s="23" t="s">
        <v>37</v>
      </c>
      <c r="C84" s="24"/>
      <c r="D84" s="24"/>
      <c r="E84" s="24"/>
      <c r="F84" s="24"/>
      <c r="G84" s="24"/>
      <c r="H84" s="24"/>
      <c r="I84" s="24"/>
      <c r="J84" s="24"/>
      <c r="K84" s="24" t="n">
        <f>SUM(J85:J96)</f>
        <v>433.506</v>
      </c>
      <c r="L84" s="23" t="s">
        <v>18</v>
      </c>
    </row>
    <row r="85" spans="1:12" ht="15.5" customHeight="1" x14ac:dyDescent="0.35">
      <c r="A85" s="25"/>
      <c r="B85" s="25" t="s">
        <v>160</v>
      </c>
      <c r="C85" s="26">
        <v>1</v>
      </c>
      <c r="D85" s="26">
        <v>23.6</v>
      </c>
      <c r="E85" s="26">
        <v>0.6</v>
      </c>
      <c r="F85" s="26"/>
      <c r="G85" s="26"/>
      <c r="H85" s="26"/>
      <c r="I85" s="26"/>
      <c r="J85" s="26" t="n">
        <f t="shared" ref="J85:J96" si="3">C85*D85*E85</f>
        <v>14.16</v>
      </c>
      <c r="K85" s="25"/>
      <c r="L85" s="25"/>
    </row>
    <row r="86" spans="1:12" ht="15.5" customHeight="1" x14ac:dyDescent="0.35">
      <c r="A86" s="25"/>
      <c r="B86" s="25" t="s">
        <v>161</v>
      </c>
      <c r="C86" s="26">
        <v>1</v>
      </c>
      <c r="D86" s="26">
        <v>143.5</v>
      </c>
      <c r="E86" s="26">
        <v>0.6</v>
      </c>
      <c r="F86" s="26"/>
      <c r="G86" s="26"/>
      <c r="H86" s="26"/>
      <c r="I86" s="26"/>
      <c r="J86" s="26" t="n">
        <f t="shared" si="3"/>
        <v>86.1</v>
      </c>
      <c r="K86" s="25"/>
      <c r="L86" s="25"/>
    </row>
    <row r="87" spans="1:12" ht="15.5" customHeight="1" x14ac:dyDescent="0.35">
      <c r="A87" s="25"/>
      <c r="B87" s="25" t="s">
        <v>162</v>
      </c>
      <c r="C87" s="26">
        <v>1</v>
      </c>
      <c r="D87" s="26">
        <v>26.35</v>
      </c>
      <c r="E87" s="26">
        <v>0.6</v>
      </c>
      <c r="F87" s="26"/>
      <c r="G87" s="26"/>
      <c r="H87" s="26"/>
      <c r="I87" s="26"/>
      <c r="J87" s="26" t="n">
        <f t="shared" si="3"/>
        <v>15.81</v>
      </c>
      <c r="K87" s="25"/>
      <c r="L87" s="25"/>
    </row>
    <row r="88" spans="1:12" ht="15.5" customHeight="1" x14ac:dyDescent="0.35">
      <c r="A88" s="25"/>
      <c r="B88" s="25" t="s">
        <v>163</v>
      </c>
      <c r="C88" s="26">
        <v>1</v>
      </c>
      <c r="D88" s="26">
        <v>9.65</v>
      </c>
      <c r="E88" s="26">
        <v>0.6</v>
      </c>
      <c r="F88" s="26"/>
      <c r="G88" s="26"/>
      <c r="H88" s="26"/>
      <c r="I88" s="26"/>
      <c r="J88" s="26" t="n">
        <f t="shared" si="3"/>
        <v>5.79</v>
      </c>
      <c r="K88" s="25"/>
      <c r="L88" s="25"/>
    </row>
    <row r="89" spans="1:12" ht="15.5" customHeight="1" x14ac:dyDescent="0.35">
      <c r="A89" s="25"/>
      <c r="B89" s="25" t="s">
        <v>164</v>
      </c>
      <c r="C89" s="26">
        <v>1</v>
      </c>
      <c r="D89" s="26">
        <v>25.66</v>
      </c>
      <c r="E89" s="26">
        <v>0.6</v>
      </c>
      <c r="F89" s="26"/>
      <c r="G89" s="26"/>
      <c r="H89" s="26"/>
      <c r="I89" s="26"/>
      <c r="J89" s="26" t="n">
        <f t="shared" si="3"/>
        <v>15.396</v>
      </c>
      <c r="K89" s="25"/>
      <c r="L89" s="25"/>
    </row>
    <row r="90" spans="1:12" ht="15.5" customHeight="1" x14ac:dyDescent="0.35">
      <c r="A90" s="25"/>
      <c r="B90" s="25" t="s">
        <v>165</v>
      </c>
      <c r="C90" s="26">
        <v>1</v>
      </c>
      <c r="D90" s="26">
        <v>106.95</v>
      </c>
      <c r="E90" s="26">
        <v>0.6</v>
      </c>
      <c r="F90" s="26"/>
      <c r="G90" s="26"/>
      <c r="H90" s="26"/>
      <c r="I90" s="26"/>
      <c r="J90" s="26" t="n">
        <f t="shared" si="3"/>
        <v>64.17</v>
      </c>
      <c r="K90" s="25"/>
      <c r="L90" s="25"/>
    </row>
    <row r="91" spans="1:12" ht="15.5" customHeight="1" x14ac:dyDescent="0.35">
      <c r="A91" s="25"/>
      <c r="B91" s="25" t="s">
        <v>166</v>
      </c>
      <c r="C91" s="26">
        <v>1</v>
      </c>
      <c r="D91" s="26">
        <v>141.19999999999999</v>
      </c>
      <c r="E91" s="26">
        <v>0.6</v>
      </c>
      <c r="F91" s="26"/>
      <c r="G91" s="26"/>
      <c r="H91" s="26"/>
      <c r="I91" s="26"/>
      <c r="J91" s="26" t="n">
        <f t="shared" si="3"/>
        <v>84.72</v>
      </c>
      <c r="K91" s="25"/>
      <c r="L91" s="25"/>
    </row>
    <row r="92" spans="1:12" ht="15.5" customHeight="1" x14ac:dyDescent="0.35">
      <c r="A92" s="25"/>
      <c r="B92" s="25" t="s">
        <v>167</v>
      </c>
      <c r="C92" s="26">
        <v>1</v>
      </c>
      <c r="D92" s="26">
        <v>23.3</v>
      </c>
      <c r="E92" s="26">
        <v>0.6</v>
      </c>
      <c r="F92" s="26"/>
      <c r="G92" s="26"/>
      <c r="H92" s="26"/>
      <c r="I92" s="26"/>
      <c r="J92" s="26" t="n">
        <f t="shared" si="3"/>
        <v>13.98</v>
      </c>
      <c r="K92" s="25"/>
      <c r="L92" s="25"/>
    </row>
    <row r="93" spans="1:12" ht="15.5" customHeight="1" x14ac:dyDescent="0.35">
      <c r="A93" s="25"/>
      <c r="B93" s="25" t="s">
        <v>168</v>
      </c>
      <c r="C93" s="26">
        <v>1</v>
      </c>
      <c r="D93" s="26">
        <v>60.7</v>
      </c>
      <c r="E93" s="26">
        <v>0.6</v>
      </c>
      <c r="F93" s="26"/>
      <c r="G93" s="26"/>
      <c r="H93" s="26"/>
      <c r="I93" s="26"/>
      <c r="J93" s="26" t="n">
        <f t="shared" si="3"/>
        <v>36.42</v>
      </c>
      <c r="K93" s="25"/>
      <c r="L93" s="25"/>
    </row>
    <row r="94" spans="1:12" ht="15.5" customHeight="1" x14ac:dyDescent="0.35">
      <c r="A94" s="25"/>
      <c r="B94" s="25" t="s">
        <v>169</v>
      </c>
      <c r="C94" s="26">
        <v>1</v>
      </c>
      <c r="D94" s="26">
        <v>51.25</v>
      </c>
      <c r="E94" s="26">
        <v>0.6</v>
      </c>
      <c r="F94" s="26"/>
      <c r="G94" s="26"/>
      <c r="H94" s="26"/>
      <c r="I94" s="26"/>
      <c r="J94" s="26" t="n">
        <f t="shared" si="3"/>
        <v>30.75</v>
      </c>
      <c r="K94" s="25"/>
      <c r="L94" s="25"/>
    </row>
    <row r="95" spans="1:12" ht="15.5" customHeight="1" x14ac:dyDescent="0.35">
      <c r="A95" s="25"/>
      <c r="B95" s="25" t="s">
        <v>170</v>
      </c>
      <c r="C95" s="26">
        <v>1</v>
      </c>
      <c r="D95" s="26">
        <v>15.5</v>
      </c>
      <c r="E95" s="26">
        <v>0.6</v>
      </c>
      <c r="F95" s="26"/>
      <c r="G95" s="26"/>
      <c r="H95" s="26"/>
      <c r="I95" s="26"/>
      <c r="J95" s="26" t="n">
        <f t="shared" si="3"/>
        <v>9.3</v>
      </c>
      <c r="K95" s="25"/>
      <c r="L95" s="25"/>
    </row>
    <row r="96" spans="1:12" ht="15.5" customHeight="1" x14ac:dyDescent="0.35">
      <c r="A96" s="25"/>
      <c r="B96" s="25" t="s">
        <v>171</v>
      </c>
      <c r="C96" s="26">
        <v>1</v>
      </c>
      <c r="D96" s="26">
        <v>94.85</v>
      </c>
      <c r="E96" s="26">
        <v>0.6</v>
      </c>
      <c r="F96" s="26"/>
      <c r="G96" s="26"/>
      <c r="H96" s="26"/>
      <c r="I96" s="26"/>
      <c r="J96" s="26" t="n">
        <f t="shared" si="3"/>
        <v>56.91</v>
      </c>
      <c r="K96" s="25"/>
      <c r="L96" s="25"/>
    </row>
    <row r="97" spans="1:12" s="30" customFormat="1" ht="31" customHeight="1" x14ac:dyDescent="0.35">
      <c r="A97" s="23" t="s">
        <v>38</v>
      </c>
      <c r="B97" s="23" t="s">
        <v>39</v>
      </c>
      <c r="C97" s="24">
        <v>54</v>
      </c>
      <c r="D97" s="24"/>
      <c r="E97" s="24"/>
      <c r="F97" s="24"/>
      <c r="G97" s="24"/>
      <c r="H97" s="24"/>
      <c r="I97" s="24"/>
      <c r="J97" s="24"/>
      <c r="K97" s="24" t="n">
        <f>J98*C97</f>
        <v>3.024</v>
      </c>
      <c r="L97" s="23" t="s">
        <v>25</v>
      </c>
    </row>
    <row r="98" spans="1:12" ht="20.25" customHeight="1" x14ac:dyDescent="0.35">
      <c r="A98" s="31"/>
      <c r="B98" s="31" t="s">
        <v>172</v>
      </c>
      <c r="C98" s="32"/>
      <c r="D98" s="32">
        <v>0.4</v>
      </c>
      <c r="E98" s="32">
        <v>0.35</v>
      </c>
      <c r="F98" s="32">
        <v>0.4</v>
      </c>
      <c r="G98" s="32"/>
      <c r="H98" s="32"/>
      <c r="I98" s="32"/>
      <c r="J98" s="32" t="n">
        <f>D98*E98*F98</f>
        <v>0.056</v>
      </c>
      <c r="K98" s="32"/>
      <c r="L98" s="31"/>
    </row>
    <row r="99" spans="1:12" ht="20.25" customHeight="1" x14ac:dyDescent="0.35">
      <c r="A99" s="2" t="s">
        <v>40</v>
      </c>
      <c r="B99" s="2" t="s">
        <v>41</v>
      </c>
      <c r="C99" s="28"/>
      <c r="D99" s="28"/>
      <c r="E99" s="28"/>
      <c r="F99" s="28"/>
      <c r="G99" s="28"/>
      <c r="H99" s="28"/>
      <c r="I99" s="28"/>
      <c r="J99" s="28"/>
      <c r="K99" s="28"/>
      <c r="L99" s="2"/>
    </row>
    <row r="100" spans="1:12" ht="15.5" customHeight="1" x14ac:dyDescent="0.35">
      <c r="A100" s="1" t="s">
        <v>42</v>
      </c>
      <c r="B100" s="1" t="s">
        <v>43</v>
      </c>
      <c r="C100" s="33"/>
      <c r="D100" s="33"/>
      <c r="E100" s="33"/>
      <c r="F100" s="33"/>
      <c r="G100" s="33"/>
      <c r="H100" s="33"/>
      <c r="I100" s="33"/>
      <c r="J100" s="33"/>
      <c r="K100" s="33"/>
      <c r="L100" s="1"/>
    </row>
    <row r="101" spans="1:12" ht="31" customHeight="1" x14ac:dyDescent="0.35">
      <c r="A101" s="23" t="s">
        <v>44</v>
      </c>
      <c r="B101" s="23" t="s">
        <v>45</v>
      </c>
      <c r="C101" s="24"/>
      <c r="D101" s="24"/>
      <c r="E101" s="24"/>
      <c r="F101" s="24"/>
      <c r="G101" s="24"/>
      <c r="H101" s="24"/>
      <c r="I101" s="24"/>
      <c r="J101" s="24"/>
      <c r="K101" s="24" t="n">
        <f>SUM(J102:J113)</f>
        <v>116.7356</v>
      </c>
      <c r="L101" s="23" t="s">
        <v>25</v>
      </c>
    </row>
    <row r="102" spans="1:12" ht="15.5" customHeight="1" x14ac:dyDescent="0.35">
      <c r="A102" s="25"/>
      <c r="B102" s="25" t="s">
        <v>160</v>
      </c>
      <c r="C102" s="26">
        <v>1</v>
      </c>
      <c r="D102" s="26"/>
      <c r="E102" s="26"/>
      <c r="F102" s="26"/>
      <c r="G102" s="26"/>
      <c r="H102" s="26"/>
      <c r="I102" s="26"/>
      <c r="J102" s="26" t="n">
        <f>+'CONCRETO EN CUNETAS'!G10</f>
        <v>2.874</v>
      </c>
      <c r="K102" s="26"/>
      <c r="L102" s="25"/>
    </row>
    <row r="103" spans="1:12" ht="15.5" customHeight="1" x14ac:dyDescent="0.35">
      <c r="A103" s="25"/>
      <c r="B103" s="25" t="s">
        <v>161</v>
      </c>
      <c r="C103" s="26">
        <v>1</v>
      </c>
      <c r="D103" s="26"/>
      <c r="E103" s="26"/>
      <c r="F103" s="26"/>
      <c r="G103" s="26"/>
      <c r="H103" s="26"/>
      <c r="I103" s="26"/>
      <c r="J103" s="26" t="n">
        <f>+'CONCRETO EN CUNETAS'!G22</f>
        <v>26.018</v>
      </c>
      <c r="K103" s="26"/>
      <c r="L103" s="25"/>
    </row>
    <row r="104" spans="1:12" ht="15.5" customHeight="1" x14ac:dyDescent="0.35">
      <c r="A104" s="25"/>
      <c r="B104" s="25" t="s">
        <v>162</v>
      </c>
      <c r="C104" s="26">
        <v>1</v>
      </c>
      <c r="D104" s="26"/>
      <c r="E104" s="26"/>
      <c r="F104" s="26"/>
      <c r="G104" s="26"/>
      <c r="H104" s="26"/>
      <c r="I104" s="26"/>
      <c r="J104" s="26" t="n">
        <f>+'CONCRETO EN CUNETAS'!G34</f>
        <v>3.245</v>
      </c>
      <c r="K104" s="26"/>
      <c r="L104" s="25"/>
    </row>
    <row r="105" spans="1:12" ht="15.5" customHeight="1" x14ac:dyDescent="0.35">
      <c r="A105" s="25"/>
      <c r="B105" s="25" t="s">
        <v>163</v>
      </c>
      <c r="C105" s="26">
        <v>1</v>
      </c>
      <c r="D105" s="26"/>
      <c r="E105" s="26"/>
      <c r="F105" s="26"/>
      <c r="G105" s="26"/>
      <c r="H105" s="26"/>
      <c r="I105" s="26"/>
      <c r="J105" s="26" t="n">
        <f>+'CONCRETO EN CUNETAS'!G46</f>
        <v>1.107</v>
      </c>
      <c r="K105" s="26"/>
      <c r="L105" s="25"/>
    </row>
    <row r="106" spans="1:12" ht="15.5" customHeight="1" x14ac:dyDescent="0.35">
      <c r="A106" s="25"/>
      <c r="B106" s="25" t="s">
        <v>164</v>
      </c>
      <c r="C106" s="26">
        <v>1</v>
      </c>
      <c r="D106" s="26"/>
      <c r="E106" s="26"/>
      <c r="F106" s="26"/>
      <c r="G106" s="26"/>
      <c r="H106" s="26"/>
      <c r="I106" s="26"/>
      <c r="J106" s="26" t="n">
        <f>+'CONCRETO EN CUNETAS'!G58</f>
        <v>3.1516</v>
      </c>
      <c r="K106" s="26"/>
      <c r="L106" s="25"/>
    </row>
    <row r="107" spans="1:12" ht="15.5" customHeight="1" x14ac:dyDescent="0.35">
      <c r="A107" s="25"/>
      <c r="B107" s="25" t="s">
        <v>165</v>
      </c>
      <c r="C107" s="26">
        <v>1</v>
      </c>
      <c r="D107" s="26"/>
      <c r="E107" s="26"/>
      <c r="F107" s="26"/>
      <c r="G107" s="26"/>
      <c r="H107" s="26"/>
      <c r="I107" s="26"/>
      <c r="J107" s="26" t="n">
        <f>+'CONCRETO EN CUNETAS'!G70</f>
        <v>17.483</v>
      </c>
      <c r="K107" s="26"/>
      <c r="L107" s="25"/>
    </row>
    <row r="108" spans="1:12" ht="15.5" customHeight="1" x14ac:dyDescent="0.35">
      <c r="A108" s="25"/>
      <c r="B108" s="25" t="s">
        <v>166</v>
      </c>
      <c r="C108" s="26">
        <v>1</v>
      </c>
      <c r="D108" s="26"/>
      <c r="E108" s="26"/>
      <c r="F108" s="26"/>
      <c r="G108" s="26"/>
      <c r="H108" s="26"/>
      <c r="I108" s="26"/>
      <c r="J108" s="26" t="n">
        <f>+'CONCRETO EN CUNETAS'!O10</f>
        <v>25.645</v>
      </c>
      <c r="K108" s="26"/>
      <c r="L108" s="25"/>
    </row>
    <row r="109" spans="1:12" ht="15.5" customHeight="1" x14ac:dyDescent="0.35">
      <c r="A109" s="25"/>
      <c r="B109" s="25" t="s">
        <v>167</v>
      </c>
      <c r="C109" s="26">
        <v>1</v>
      </c>
      <c r="D109" s="26"/>
      <c r="E109" s="26"/>
      <c r="F109" s="26"/>
      <c r="G109" s="26"/>
      <c r="H109" s="26"/>
      <c r="I109" s="26"/>
      <c r="J109" s="26" t="n">
        <f>+'CONCRETO EN CUNETAS'!O22</f>
        <v>2.834</v>
      </c>
      <c r="K109" s="26"/>
      <c r="L109" s="25"/>
    </row>
    <row r="110" spans="1:12" ht="15.5" customHeight="1" x14ac:dyDescent="0.35">
      <c r="A110" s="25"/>
      <c r="B110" s="25" t="s">
        <v>168</v>
      </c>
      <c r="C110" s="26">
        <v>1</v>
      </c>
      <c r="D110" s="26"/>
      <c r="E110" s="26"/>
      <c r="F110" s="26"/>
      <c r="G110" s="26"/>
      <c r="H110" s="26"/>
      <c r="I110" s="26"/>
      <c r="J110" s="26" t="n">
        <f>+'CONCRETO EN CUNETAS'!O34</f>
        <v>8.518</v>
      </c>
      <c r="K110" s="26"/>
      <c r="L110" s="25"/>
    </row>
    <row r="111" spans="1:12" ht="15.5" customHeight="1" x14ac:dyDescent="0.35">
      <c r="A111" s="25"/>
      <c r="B111" s="25" t="s">
        <v>169</v>
      </c>
      <c r="C111" s="26">
        <v>1</v>
      </c>
      <c r="D111" s="26"/>
      <c r="E111" s="26"/>
      <c r="F111" s="26"/>
      <c r="G111" s="26"/>
      <c r="H111" s="26"/>
      <c r="I111" s="26"/>
      <c r="J111" s="26" t="n">
        <f>+'CONCRETO EN CUNETAS'!O46</f>
        <v>7.623</v>
      </c>
      <c r="K111" s="26"/>
      <c r="L111" s="25"/>
    </row>
    <row r="112" spans="1:12" ht="15.5" customHeight="1" x14ac:dyDescent="0.35">
      <c r="A112" s="25"/>
      <c r="B112" s="25" t="s">
        <v>170</v>
      </c>
      <c r="C112" s="26">
        <v>1</v>
      </c>
      <c r="D112" s="26"/>
      <c r="E112" s="26"/>
      <c r="F112" s="26"/>
      <c r="G112" s="26"/>
      <c r="H112" s="26"/>
      <c r="I112" s="26"/>
      <c r="J112" s="26" t="n">
        <f>+'CONCRETO EN CUNETAS'!O58</f>
        <v>1.824</v>
      </c>
      <c r="K112" s="26"/>
      <c r="L112" s="25"/>
    </row>
    <row r="113" spans="1:12" ht="15.5" customHeight="1" x14ac:dyDescent="0.35">
      <c r="A113" s="25"/>
      <c r="B113" s="25" t="s">
        <v>171</v>
      </c>
      <c r="C113" s="26">
        <v>1</v>
      </c>
      <c r="D113" s="26"/>
      <c r="E113" s="26"/>
      <c r="F113" s="26"/>
      <c r="G113" s="26"/>
      <c r="H113" s="26"/>
      <c r="I113" s="26"/>
      <c r="J113" s="26" t="n">
        <f>+'CONCRETO EN CUNETAS'!O70</f>
        <v>16.413</v>
      </c>
      <c r="K113" s="26"/>
      <c r="L113" s="25"/>
    </row>
    <row r="114" spans="1:12" ht="31" customHeight="1" x14ac:dyDescent="0.35">
      <c r="A114" s="23" t="s">
        <v>46</v>
      </c>
      <c r="B114" s="23" t="s">
        <v>47</v>
      </c>
      <c r="C114" s="24"/>
      <c r="D114" s="24"/>
      <c r="E114" s="24"/>
      <c r="F114" s="24"/>
      <c r="G114" s="24"/>
      <c r="H114" s="24"/>
      <c r="I114" s="24"/>
      <c r="J114" s="24"/>
      <c r="K114" s="24" t="n">
        <f>SUM(J115:J126)</f>
        <v>1603.955</v>
      </c>
      <c r="L114" s="23" t="s">
        <v>18</v>
      </c>
    </row>
    <row r="115" spans="1:12" ht="15.5" customHeight="1" x14ac:dyDescent="0.35">
      <c r="A115" s="25"/>
      <c r="B115" s="25" t="s">
        <v>160</v>
      </c>
      <c r="C115" s="26">
        <v>1</v>
      </c>
      <c r="D115" s="26"/>
      <c r="E115" s="26"/>
      <c r="F115" s="26"/>
      <c r="G115" s="26"/>
      <c r="H115" s="26"/>
      <c r="I115" s="26"/>
      <c r="J115" s="26" t="n">
        <f>+'ENCOFRADO Y DESENCOFRADO'!H12</f>
        <v>33.885</v>
      </c>
      <c r="K115" s="26"/>
      <c r="L115" s="25"/>
    </row>
    <row r="116" spans="1:12" ht="15.5" customHeight="1" x14ac:dyDescent="0.35">
      <c r="A116" s="25"/>
      <c r="B116" s="25" t="s">
        <v>161</v>
      </c>
      <c r="C116" s="26">
        <v>1</v>
      </c>
      <c r="D116" s="26"/>
      <c r="E116" s="26"/>
      <c r="F116" s="26"/>
      <c r="G116" s="26"/>
      <c r="H116" s="26"/>
      <c r="I116" s="26"/>
      <c r="J116" s="26" t="n">
        <f>+'ENCOFRADO Y DESENCOFRADO'!P12</f>
        <v>368.38</v>
      </c>
      <c r="K116" s="26"/>
      <c r="L116" s="25"/>
    </row>
    <row r="117" spans="1:12" ht="15.5" customHeight="1" x14ac:dyDescent="0.35">
      <c r="A117" s="25"/>
      <c r="B117" s="25" t="s">
        <v>162</v>
      </c>
      <c r="C117" s="26">
        <v>1</v>
      </c>
      <c r="D117" s="26"/>
      <c r="E117" s="26"/>
      <c r="F117" s="26"/>
      <c r="G117" s="26"/>
      <c r="H117" s="26"/>
      <c r="I117" s="26"/>
      <c r="J117" s="26" t="n">
        <f>+'ENCOFRADO Y DESENCOFRADO'!H23</f>
        <v>38.54</v>
      </c>
      <c r="K117" s="26"/>
      <c r="L117" s="25"/>
    </row>
    <row r="118" spans="1:12" ht="15.5" customHeight="1" x14ac:dyDescent="0.35">
      <c r="A118" s="25"/>
      <c r="B118" s="25" t="s">
        <v>163</v>
      </c>
      <c r="C118" s="26">
        <v>1</v>
      </c>
      <c r="D118" s="26"/>
      <c r="E118" s="26"/>
      <c r="F118" s="26"/>
      <c r="G118" s="26"/>
      <c r="H118" s="26"/>
      <c r="I118" s="26"/>
      <c r="J118" s="26" t="n">
        <f>+'ENCOFRADO Y DESENCOFRADO'!P23</f>
        <v>12.5</v>
      </c>
      <c r="K118" s="26"/>
      <c r="L118" s="25"/>
    </row>
    <row r="119" spans="1:12" ht="15.5" customHeight="1" x14ac:dyDescent="0.35">
      <c r="A119" s="25"/>
      <c r="B119" s="25" t="s">
        <v>164</v>
      </c>
      <c r="C119" s="26">
        <v>1</v>
      </c>
      <c r="D119" s="26"/>
      <c r="E119" s="26"/>
      <c r="F119" s="26"/>
      <c r="G119" s="26"/>
      <c r="H119" s="26"/>
      <c r="I119" s="26"/>
      <c r="J119" s="26" t="n">
        <f>+'ENCOFRADO Y DESENCOFRADO'!H34</f>
        <v>37.36</v>
      </c>
      <c r="K119" s="26"/>
      <c r="L119" s="25"/>
    </row>
    <row r="120" spans="1:12" ht="15.5" customHeight="1" x14ac:dyDescent="0.35">
      <c r="A120" s="25"/>
      <c r="B120" s="25" t="s">
        <v>165</v>
      </c>
      <c r="C120" s="26">
        <v>1</v>
      </c>
      <c r="D120" s="26"/>
      <c r="E120" s="26"/>
      <c r="F120" s="26"/>
      <c r="G120" s="26"/>
      <c r="H120" s="26"/>
      <c r="I120" s="26"/>
      <c r="J120" s="26" t="n">
        <f>+'ENCOFRADO Y DESENCOFRADO'!P34</f>
        <v>242.68</v>
      </c>
      <c r="K120" s="26"/>
      <c r="L120" s="25"/>
    </row>
    <row r="121" spans="1:12" ht="15.5" customHeight="1" x14ac:dyDescent="0.35">
      <c r="A121" s="25"/>
      <c r="B121" s="25" t="s">
        <v>166</v>
      </c>
      <c r="C121" s="26">
        <v>1</v>
      </c>
      <c r="D121" s="26"/>
      <c r="E121" s="26"/>
      <c r="F121" s="26"/>
      <c r="G121" s="26"/>
      <c r="H121" s="26"/>
      <c r="I121" s="26"/>
      <c r="J121" s="26" t="n">
        <f>+'ENCOFRADO Y DESENCOFRADO'!H45</f>
        <v>371.77</v>
      </c>
      <c r="K121" s="26"/>
      <c r="L121" s="25"/>
    </row>
    <row r="122" spans="1:12" ht="15.5" customHeight="1" x14ac:dyDescent="0.35">
      <c r="A122" s="25"/>
      <c r="B122" s="25" t="s">
        <v>167</v>
      </c>
      <c r="C122" s="26">
        <v>1</v>
      </c>
      <c r="D122" s="26"/>
      <c r="E122" s="26"/>
      <c r="F122" s="26"/>
      <c r="G122" s="26"/>
      <c r="H122" s="26"/>
      <c r="I122" s="26"/>
      <c r="J122" s="26" t="n">
        <f>+'ENCOFRADO Y DESENCOFRADO'!P45</f>
        <v>33.38</v>
      </c>
      <c r="K122" s="26"/>
      <c r="L122" s="25"/>
    </row>
    <row r="123" spans="1:12" ht="15.5" customHeight="1" x14ac:dyDescent="0.35">
      <c r="A123" s="25"/>
      <c r="B123" s="25" t="s">
        <v>168</v>
      </c>
      <c r="C123" s="26">
        <v>1</v>
      </c>
      <c r="D123" s="26"/>
      <c r="E123" s="26"/>
      <c r="F123" s="26"/>
      <c r="G123" s="26"/>
      <c r="H123" s="26"/>
      <c r="I123" s="26"/>
      <c r="J123" s="26" t="n">
        <f>+'ENCOFRADO Y DESENCOFRADO'!H57</f>
        <v>109.66</v>
      </c>
      <c r="K123" s="26"/>
      <c r="L123" s="25"/>
    </row>
    <row r="124" spans="1:12" ht="15.5" customHeight="1" x14ac:dyDescent="0.35">
      <c r="A124" s="25"/>
      <c r="B124" s="25" t="s">
        <v>169</v>
      </c>
      <c r="C124" s="26">
        <v>1</v>
      </c>
      <c r="D124" s="26"/>
      <c r="E124" s="26"/>
      <c r="F124" s="26"/>
      <c r="G124" s="26"/>
      <c r="H124" s="26"/>
      <c r="I124" s="26"/>
      <c r="J124" s="26" t="n">
        <f>+'ENCOFRADO Y DESENCOFRADO'!P57</f>
        <v>101.28</v>
      </c>
      <c r="K124" s="26"/>
      <c r="L124" s="25"/>
    </row>
    <row r="125" spans="1:12" ht="15.5" customHeight="1" x14ac:dyDescent="0.35">
      <c r="A125" s="25"/>
      <c r="B125" s="25" t="s">
        <v>170</v>
      </c>
      <c r="C125" s="26">
        <v>1</v>
      </c>
      <c r="D125" s="26"/>
      <c r="E125" s="26"/>
      <c r="F125" s="26"/>
      <c r="G125" s="26"/>
      <c r="H125" s="26"/>
      <c r="I125" s="26"/>
      <c r="J125" s="26" t="n">
        <f>+'ENCOFRADO Y DESENCOFRADO'!H69</f>
        <v>20.98</v>
      </c>
      <c r="K125" s="26"/>
      <c r="L125" s="25"/>
    </row>
    <row r="126" spans="1:12" ht="15.5" customHeight="1" x14ac:dyDescent="0.35">
      <c r="A126" s="25"/>
      <c r="B126" s="25" t="s">
        <v>171</v>
      </c>
      <c r="C126" s="26">
        <v>1</v>
      </c>
      <c r="D126" s="26"/>
      <c r="E126" s="26"/>
      <c r="F126" s="26"/>
      <c r="G126" s="26"/>
      <c r="H126" s="26"/>
      <c r="I126" s="26"/>
      <c r="J126" s="26" t="n">
        <f>+'ENCOFRADO Y DESENCOFRADO'!P69</f>
        <v>233.54</v>
      </c>
      <c r="K126" s="26"/>
      <c r="L126" s="25"/>
    </row>
    <row r="127" spans="1:12" ht="31" customHeight="1" x14ac:dyDescent="0.35">
      <c r="A127" s="23" t="s">
        <v>48</v>
      </c>
      <c r="B127" s="23" t="s">
        <v>49</v>
      </c>
      <c r="C127" s="24"/>
      <c r="D127" s="24"/>
      <c r="E127" s="24"/>
      <c r="F127" s="24"/>
      <c r="G127" s="24"/>
      <c r="H127" s="24"/>
      <c r="I127" s="24"/>
      <c r="J127" s="24"/>
      <c r="K127" s="24" t="n">
        <f>+'METRADO ACERO'!AG39</f>
        <v>3983.548576</v>
      </c>
      <c r="L127" s="23" t="s">
        <v>50</v>
      </c>
    </row>
    <row r="128" spans="1:12" ht="15.5" customHeight="1" x14ac:dyDescent="0.3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6"/>
      <c r="L128" s="25"/>
    </row>
    <row r="129" spans="1:12" ht="15.5" customHeight="1" x14ac:dyDescent="0.35">
      <c r="A129" s="34" t="s">
        <v>51</v>
      </c>
      <c r="B129" s="34" t="s">
        <v>52</v>
      </c>
      <c r="C129" s="34"/>
      <c r="D129" s="34"/>
      <c r="E129" s="34"/>
      <c r="F129" s="34"/>
      <c r="G129" s="34"/>
      <c r="H129" s="34"/>
      <c r="I129" s="34"/>
      <c r="J129" s="34"/>
      <c r="K129" s="35" t="n">
        <f>+'METRADO DE CURADO'!M28</f>
        <v>1004.3559</v>
      </c>
      <c r="L129" s="34" t="s">
        <v>18</v>
      </c>
    </row>
    <row r="130" spans="1:12" ht="15.5" customHeight="1" x14ac:dyDescent="0.3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7"/>
      <c r="L130" s="36"/>
    </row>
    <row r="131" spans="1:12" ht="18" customHeight="1" x14ac:dyDescent="0.35">
      <c r="A131" s="1" t="s">
        <v>53</v>
      </c>
      <c r="B131" s="226" t="s">
        <v>54</v>
      </c>
      <c r="C131" s="213"/>
      <c r="D131" s="213"/>
      <c r="E131" s="213"/>
      <c r="F131" s="213"/>
      <c r="G131" s="213"/>
      <c r="H131" s="213"/>
      <c r="I131" s="213"/>
      <c r="J131" s="213"/>
      <c r="K131" s="213"/>
      <c r="L131" s="214"/>
    </row>
    <row r="132" spans="1:12" ht="46.5" customHeight="1" x14ac:dyDescent="0.35">
      <c r="A132" s="23" t="s">
        <v>55</v>
      </c>
      <c r="B132" s="23" t="s">
        <v>56</v>
      </c>
      <c r="C132" s="23"/>
      <c r="D132" s="23"/>
      <c r="E132" s="23"/>
      <c r="F132" s="23"/>
      <c r="G132" s="23"/>
      <c r="H132" s="23"/>
      <c r="I132" s="23"/>
      <c r="J132" s="23"/>
      <c r="K132" s="27" t="n">
        <f>+'METRADO DE REJILLAS'!G28</f>
        <v>627.93</v>
      </c>
      <c r="L132" s="38" t="s">
        <v>57</v>
      </c>
    </row>
    <row r="133" spans="1:12" ht="15.5" customHeight="1" x14ac:dyDescent="0.35">
      <c r="A133" s="34" t="s">
        <v>58</v>
      </c>
      <c r="B133" s="34" t="s">
        <v>59</v>
      </c>
      <c r="C133" s="34"/>
      <c r="D133" s="34"/>
      <c r="E133" s="34"/>
      <c r="F133" s="34"/>
      <c r="G133" s="34"/>
      <c r="H133" s="34"/>
      <c r="I133" s="34"/>
      <c r="J133" s="34"/>
      <c r="K133" s="39" t="n">
        <f>+'PLANILLA TAPAS REGISTRO INTERNO'!J9</f>
        <v>10.0</v>
      </c>
      <c r="L133" s="40" t="s">
        <v>60</v>
      </c>
    </row>
    <row r="134" spans="1:12" ht="31" customHeight="1" x14ac:dyDescent="0.35">
      <c r="A134" s="34" t="s">
        <v>61</v>
      </c>
      <c r="B134" s="34" t="s">
        <v>62</v>
      </c>
      <c r="C134" s="34"/>
      <c r="D134" s="34"/>
      <c r="E134" s="34"/>
      <c r="F134" s="34"/>
      <c r="G134" s="34"/>
      <c r="H134" s="34"/>
      <c r="I134" s="34"/>
      <c r="J134" s="34"/>
      <c r="K134" s="27" t="n">
        <f>+'METRADO JUNTA DE DILATACION'!J13</f>
        <v>230.46385702584</v>
      </c>
      <c r="L134" s="40" t="s">
        <v>57</v>
      </c>
    </row>
    <row r="135" spans="1:12" ht="15.5" customHeight="1" x14ac:dyDescent="0.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2"/>
      <c r="L135" s="41"/>
    </row>
    <row r="136" spans="1:12" ht="18" customHeight="1" x14ac:dyDescent="0.35">
      <c r="A136" s="2" t="s">
        <v>63</v>
      </c>
      <c r="B136" s="222" t="s">
        <v>64</v>
      </c>
      <c r="C136" s="213"/>
      <c r="D136" s="213"/>
      <c r="E136" s="213"/>
      <c r="F136" s="213"/>
      <c r="G136" s="213"/>
      <c r="H136" s="213"/>
      <c r="I136" s="213"/>
      <c r="J136" s="213"/>
      <c r="K136" s="213"/>
      <c r="L136" s="214"/>
    </row>
    <row r="137" spans="1:12" ht="18" customHeight="1" x14ac:dyDescent="0.35">
      <c r="A137" s="1" t="s">
        <v>65</v>
      </c>
      <c r="B137" s="224" t="s">
        <v>66</v>
      </c>
      <c r="C137" s="213"/>
      <c r="D137" s="213"/>
      <c r="E137" s="213"/>
      <c r="F137" s="213"/>
      <c r="G137" s="213"/>
      <c r="H137" s="213"/>
      <c r="I137" s="213"/>
      <c r="J137" s="213"/>
      <c r="K137" s="213"/>
      <c r="L137" s="214"/>
    </row>
    <row r="138" spans="1:12" ht="15.5" customHeight="1" x14ac:dyDescent="0.35">
      <c r="A138" s="23" t="s">
        <v>67</v>
      </c>
      <c r="B138" s="23" t="s">
        <v>175</v>
      </c>
      <c r="C138" s="23"/>
      <c r="D138" s="23"/>
      <c r="E138" s="23"/>
      <c r="F138" s="23"/>
      <c r="G138" s="23"/>
      <c r="H138" s="23"/>
      <c r="I138" s="23"/>
      <c r="J138" s="23"/>
      <c r="K138" s="27" t="n">
        <f>+'METRADO MONTANTES'!F67</f>
        <v>522.96</v>
      </c>
      <c r="L138" s="23" t="s">
        <v>57</v>
      </c>
    </row>
    <row r="139" spans="1:12" ht="31" customHeight="1" x14ac:dyDescent="0.35">
      <c r="A139" s="34" t="s">
        <v>69</v>
      </c>
      <c r="B139" s="34" t="s">
        <v>70</v>
      </c>
      <c r="C139" s="34"/>
      <c r="D139" s="34"/>
      <c r="E139" s="34"/>
      <c r="F139" s="34"/>
      <c r="G139" s="34"/>
      <c r="H139" s="34"/>
      <c r="I139" s="34"/>
      <c r="J139" s="35"/>
      <c r="K139" s="39">
        <v>70</v>
      </c>
      <c r="L139" s="34" t="s">
        <v>60</v>
      </c>
    </row>
    <row r="140" spans="1:12" ht="31" customHeight="1" x14ac:dyDescent="0.35">
      <c r="A140" s="43" t="s">
        <v>71</v>
      </c>
      <c r="B140" s="44" t="s">
        <v>72</v>
      </c>
      <c r="C140" s="45">
        <v>70</v>
      </c>
      <c r="D140" s="46"/>
      <c r="E140" s="46"/>
      <c r="F140" s="46"/>
      <c r="G140" s="46"/>
      <c r="H140" s="47"/>
      <c r="I140" s="47"/>
      <c r="J140" s="47"/>
      <c r="K140" s="48" t="n">
        <f>J141*C140</f>
        <v>2.73</v>
      </c>
      <c r="L140" s="44" t="s">
        <v>176</v>
      </c>
    </row>
    <row r="141" spans="1:12" ht="15.5" customHeight="1" x14ac:dyDescent="0.35">
      <c r="A141" s="49"/>
      <c r="B141" s="41"/>
      <c r="C141" s="50"/>
      <c r="D141" s="51">
        <v>1.3</v>
      </c>
      <c r="E141" s="51">
        <v>0.15</v>
      </c>
      <c r="F141" s="51">
        <v>0.2</v>
      </c>
      <c r="G141" s="52"/>
      <c r="H141" s="42"/>
      <c r="I141" s="42"/>
      <c r="J141" s="42" t="n">
        <f>D141*E141*F141</f>
        <v>0.039</v>
      </c>
      <c r="K141" s="53"/>
      <c r="L141" s="41"/>
    </row>
    <row r="142" spans="1:12" ht="46.5" customHeight="1" x14ac:dyDescent="0.35">
      <c r="A142" s="54" t="s">
        <v>73</v>
      </c>
      <c r="B142" s="44" t="s">
        <v>74</v>
      </c>
      <c r="C142" s="55">
        <v>70</v>
      </c>
      <c r="D142" s="44"/>
      <c r="E142" s="44"/>
      <c r="F142" s="44"/>
      <c r="G142" s="44"/>
      <c r="H142" s="47"/>
      <c r="I142" s="47"/>
      <c r="J142" s="47"/>
      <c r="K142" s="56" t="n">
        <f>K143*C142</f>
        <v>45.5</v>
      </c>
      <c r="L142" s="44" t="s">
        <v>177</v>
      </c>
    </row>
    <row r="143" spans="1:12" ht="15.5" customHeight="1" x14ac:dyDescent="0.35">
      <c r="A143" s="57"/>
      <c r="B143" s="41"/>
      <c r="C143" s="58">
        <v>2</v>
      </c>
      <c r="D143" s="51">
        <v>1.3</v>
      </c>
      <c r="E143" s="51">
        <v>0.15</v>
      </c>
      <c r="F143" s="41"/>
      <c r="G143" s="41"/>
      <c r="H143" s="42"/>
      <c r="I143" s="42"/>
      <c r="J143" s="42" t="n">
        <f>C143*D143*E143</f>
        <v>0.39</v>
      </c>
      <c r="K143" s="223" t="n">
        <f>J143+J144</f>
        <v>0.65</v>
      </c>
      <c r="L143" s="41"/>
    </row>
    <row r="144" spans="1:12" ht="15.5" customHeight="1" x14ac:dyDescent="0.35">
      <c r="A144" s="57"/>
      <c r="B144" s="41"/>
      <c r="C144" s="58">
        <v>1</v>
      </c>
      <c r="D144" s="51">
        <v>1.3</v>
      </c>
      <c r="E144" s="51">
        <v>0.2</v>
      </c>
      <c r="F144" s="41"/>
      <c r="G144" s="41"/>
      <c r="H144" s="42"/>
      <c r="I144" s="42"/>
      <c r="J144" s="42" t="n">
        <f>C144*D144*E144</f>
        <v>0.26</v>
      </c>
      <c r="K144" s="220"/>
      <c r="L144" s="41"/>
    </row>
    <row r="145" spans="1:12" ht="31" customHeight="1" x14ac:dyDescent="0.35">
      <c r="A145" s="54" t="s">
        <v>75</v>
      </c>
      <c r="B145" s="44" t="s">
        <v>76</v>
      </c>
      <c r="C145" s="55">
        <v>70</v>
      </c>
      <c r="D145" s="44"/>
      <c r="E145" s="44"/>
      <c r="F145" s="44"/>
      <c r="G145" s="44"/>
      <c r="H145" s="47"/>
      <c r="I145" s="47"/>
      <c r="J145" s="47"/>
      <c r="K145" s="56" t="n">
        <f>K146*C145</f>
        <v>392.784</v>
      </c>
      <c r="L145" s="44" t="s">
        <v>178</v>
      </c>
    </row>
    <row r="146" spans="1:12" ht="15.5" customHeight="1" x14ac:dyDescent="0.35">
      <c r="A146" s="57"/>
      <c r="B146" s="25" t="s">
        <v>179</v>
      </c>
      <c r="C146" s="25"/>
      <c r="D146" s="26">
        <v>1.2</v>
      </c>
      <c r="E146" s="26">
        <v>4</v>
      </c>
      <c r="F146" s="26">
        <v>0.56000000000000005</v>
      </c>
      <c r="G146" s="26"/>
      <c r="H146" s="26"/>
      <c r="I146" s="26"/>
      <c r="J146" s="26" t="n">
        <f>D146*E146*F146</f>
        <v>2.688</v>
      </c>
      <c r="K146" s="225" t="n">
        <f>+J146+J147</f>
        <v>5.6112</v>
      </c>
      <c r="L146" s="25"/>
    </row>
    <row r="147" spans="1:12" ht="15.5" customHeight="1" x14ac:dyDescent="0.35">
      <c r="A147" s="57"/>
      <c r="B147" s="25" t="s">
        <v>180</v>
      </c>
      <c r="C147" s="25"/>
      <c r="D147" s="26">
        <v>0.57999999999999996</v>
      </c>
      <c r="E147" s="26">
        <v>9</v>
      </c>
      <c r="F147" s="26">
        <v>0.56000000000000005</v>
      </c>
      <c r="G147" s="26"/>
      <c r="H147" s="26"/>
      <c r="I147" s="26"/>
      <c r="J147" s="26" t="n">
        <f>D147*E147*F147</f>
        <v>2.9232</v>
      </c>
      <c r="K147" s="220"/>
      <c r="L147" s="25"/>
    </row>
    <row r="148" spans="1:12" ht="46.5" customHeight="1" x14ac:dyDescent="0.35">
      <c r="A148" s="23" t="s">
        <v>77</v>
      </c>
      <c r="B148" s="23" t="s">
        <v>78</v>
      </c>
      <c r="C148" s="23"/>
      <c r="D148" s="23"/>
      <c r="E148" s="23"/>
      <c r="F148" s="23"/>
      <c r="G148" s="23"/>
      <c r="H148" s="23"/>
      <c r="I148" s="23"/>
      <c r="J148" s="23"/>
      <c r="K148" s="27" t="n">
        <f>+'METRADO CANALETAS'!E41</f>
        <v>446.22</v>
      </c>
      <c r="L148" s="23" t="s">
        <v>57</v>
      </c>
    </row>
    <row r="149" spans="1:12" ht="31" customHeight="1" x14ac:dyDescent="0.35">
      <c r="A149" s="23" t="s">
        <v>79</v>
      </c>
      <c r="B149" s="23" t="s">
        <v>80</v>
      </c>
      <c r="C149" s="23"/>
      <c r="D149" s="23"/>
      <c r="E149" s="23"/>
      <c r="F149" s="23"/>
      <c r="G149" s="23"/>
      <c r="H149" s="23"/>
      <c r="I149" s="23"/>
      <c r="J149" s="23"/>
      <c r="K149" s="27" t="n">
        <f>+'METRADO CANALETAS'!G41</f>
        <v>776.0</v>
      </c>
      <c r="L149" s="23" t="s">
        <v>60</v>
      </c>
    </row>
    <row r="150" spans="1:12" ht="31" customHeight="1" x14ac:dyDescent="0.35">
      <c r="A150" s="23" t="s">
        <v>81</v>
      </c>
      <c r="B150" s="23" t="s">
        <v>82</v>
      </c>
      <c r="C150" s="23"/>
      <c r="D150" s="23"/>
      <c r="E150" s="23"/>
      <c r="F150" s="23"/>
      <c r="G150" s="23"/>
      <c r="H150" s="23"/>
      <c r="I150" s="23"/>
      <c r="J150" s="23"/>
      <c r="K150" s="27" t="n">
        <f>+'METRADO CANALETAS'!I41</f>
        <v>40.0</v>
      </c>
      <c r="L150" s="23" t="s">
        <v>60</v>
      </c>
    </row>
    <row r="151" spans="1:12" ht="46.5" customHeight="1" x14ac:dyDescent="0.35">
      <c r="A151" s="23" t="s">
        <v>83</v>
      </c>
      <c r="B151" s="23" t="s">
        <v>84</v>
      </c>
      <c r="C151" s="23"/>
      <c r="D151" s="23"/>
      <c r="E151" s="23"/>
      <c r="F151" s="23"/>
      <c r="G151" s="23"/>
      <c r="H151" s="23"/>
      <c r="I151" s="23"/>
      <c r="J151" s="23"/>
      <c r="K151" s="27" t="n">
        <f>+'METRADO CANALETAS'!K41</f>
        <v>44.0</v>
      </c>
      <c r="L151" s="23" t="s">
        <v>60</v>
      </c>
    </row>
    <row r="152" spans="1:12" ht="15.5" customHeight="1" x14ac:dyDescent="0.35">
      <c r="A152" s="57"/>
      <c r="B152" s="41"/>
      <c r="C152" s="41"/>
      <c r="D152" s="41"/>
      <c r="E152" s="41"/>
      <c r="F152" s="41"/>
      <c r="G152" s="41"/>
      <c r="H152" s="42"/>
      <c r="I152" s="42"/>
      <c r="J152" s="42"/>
      <c r="K152" s="42"/>
      <c r="L152" s="41"/>
    </row>
    <row r="153" spans="1:12" ht="15.5" customHeight="1" x14ac:dyDescent="0.35">
      <c r="A153" s="1" t="s">
        <v>85</v>
      </c>
      <c r="B153" s="1" t="s">
        <v>86</v>
      </c>
      <c r="C153" s="1"/>
      <c r="D153" s="1"/>
      <c r="E153" s="1"/>
      <c r="F153" s="1"/>
      <c r="G153" s="1"/>
      <c r="H153" s="1"/>
      <c r="I153" s="1"/>
      <c r="J153" s="33"/>
      <c r="K153" s="33"/>
      <c r="L153" s="1"/>
    </row>
    <row r="154" spans="1:12" ht="31" customHeight="1" x14ac:dyDescent="0.35">
      <c r="A154" s="23" t="s">
        <v>87</v>
      </c>
      <c r="B154" s="23" t="s">
        <v>88</v>
      </c>
      <c r="C154" s="23"/>
      <c r="D154" s="23"/>
      <c r="E154" s="23"/>
      <c r="F154" s="23"/>
      <c r="G154" s="23"/>
      <c r="H154" s="23"/>
      <c r="I154" s="23"/>
      <c r="J154" s="24"/>
      <c r="K154" s="24" t="n">
        <f>+'METRADO  EN PISO (SUMIDERO)'!B13</f>
        <v>73.2</v>
      </c>
      <c r="L154" s="23" t="s">
        <v>57</v>
      </c>
    </row>
    <row r="155" spans="1:12" ht="31" customHeight="1" x14ac:dyDescent="0.35">
      <c r="A155" s="34" t="s">
        <v>89</v>
      </c>
      <c r="B155" s="34" t="s">
        <v>90</v>
      </c>
      <c r="C155" s="34"/>
      <c r="D155" s="34"/>
      <c r="E155" s="34"/>
      <c r="F155" s="34"/>
      <c r="G155" s="34"/>
      <c r="H155" s="34"/>
      <c r="I155" s="34"/>
      <c r="J155" s="35"/>
      <c r="K155" s="24" t="n">
        <f>+'METRADO  EN PISO (SUMIDERO)'!C13</f>
        <v>39.0</v>
      </c>
      <c r="L155" s="34" t="s">
        <v>60</v>
      </c>
    </row>
    <row r="156" spans="1:12" ht="15.5" customHeight="1" x14ac:dyDescent="0.35">
      <c r="A156" s="34" t="s">
        <v>91</v>
      </c>
      <c r="B156" s="34" t="s">
        <v>92</v>
      </c>
      <c r="C156" s="34"/>
      <c r="D156" s="34"/>
      <c r="E156" s="34"/>
      <c r="F156" s="34"/>
      <c r="G156" s="34"/>
      <c r="H156" s="34"/>
      <c r="I156" s="34"/>
      <c r="J156" s="35"/>
      <c r="K156" s="24" t="n">
        <f>+'METRADO  EN PISO (SUMIDERO)'!D13</f>
        <v>37.0</v>
      </c>
      <c r="L156" s="34" t="s">
        <v>60</v>
      </c>
    </row>
    <row r="157" spans="1:12" ht="15.5" customHeight="1" x14ac:dyDescent="0.35">
      <c r="A157" s="34" t="s">
        <v>93</v>
      </c>
      <c r="B157" s="34" t="s">
        <v>94</v>
      </c>
      <c r="C157" s="34"/>
      <c r="D157" s="34"/>
      <c r="E157" s="34"/>
      <c r="F157" s="34"/>
      <c r="G157" s="34"/>
      <c r="H157" s="34"/>
      <c r="I157" s="34"/>
      <c r="J157" s="35"/>
      <c r="K157" s="24" t="n">
        <f>+'METRADO  EN PISO (SUMIDERO)'!F13</f>
        <v>2.0</v>
      </c>
      <c r="L157" s="34" t="s">
        <v>60</v>
      </c>
    </row>
    <row r="158" spans="1:12" ht="15.5" customHeight="1" x14ac:dyDescent="0.35">
      <c r="A158" s="41"/>
      <c r="B158" s="41"/>
      <c r="C158" s="41"/>
      <c r="D158" s="41"/>
      <c r="E158" s="41"/>
      <c r="F158" s="41"/>
      <c r="G158" s="41"/>
      <c r="H158" s="41"/>
      <c r="I158" s="41"/>
      <c r="J158" s="42"/>
      <c r="K158" s="42"/>
      <c r="L158" s="41"/>
    </row>
    <row r="159" spans="1:12" ht="15.5" customHeight="1" x14ac:dyDescent="0.35">
      <c r="A159" s="1" t="s">
        <v>95</v>
      </c>
      <c r="B159" s="1" t="s">
        <v>96</v>
      </c>
      <c r="C159" s="1"/>
      <c r="D159" s="1"/>
      <c r="E159" s="1"/>
      <c r="F159" s="1"/>
      <c r="G159" s="1"/>
      <c r="H159" s="1"/>
      <c r="I159" s="1"/>
      <c r="J159" s="33"/>
      <c r="K159" s="33"/>
      <c r="L159" s="1"/>
    </row>
    <row r="160" spans="1:12" ht="20.25" customHeight="1" x14ac:dyDescent="0.35">
      <c r="A160" s="34" t="s">
        <v>97</v>
      </c>
      <c r="B160" s="23" t="s">
        <v>98</v>
      </c>
      <c r="C160" s="34"/>
      <c r="D160" s="34"/>
      <c r="E160" s="34"/>
      <c r="F160" s="34"/>
      <c r="G160" s="34"/>
      <c r="H160" s="34"/>
      <c r="I160" s="34"/>
      <c r="J160" s="35"/>
      <c r="K160" s="24" t="n">
        <f>+'METRADO MONTANTES'!I67</f>
        <v>207.0</v>
      </c>
      <c r="L160" s="23" t="s">
        <v>60</v>
      </c>
    </row>
    <row r="161" spans="1:12" ht="20.25" customHeight="1" x14ac:dyDescent="0.35">
      <c r="A161" s="34" t="s">
        <v>99</v>
      </c>
      <c r="B161" s="23" t="s">
        <v>641</v>
      </c>
      <c r="C161" s="330"/>
      <c r="D161" s="330"/>
      <c r="E161" s="330"/>
      <c r="F161" s="330"/>
      <c r="G161" s="330"/>
      <c r="H161" s="330"/>
      <c r="I161" s="330"/>
      <c r="J161" s="332"/>
      <c r="K161" s="333" t="n">
        <f>+'METRADO MONTANTES'!L67</f>
        <v>2.0</v>
      </c>
      <c r="L161" s="331" t="s">
        <v>60</v>
      </c>
    </row>
    <row r="162" spans="1:12" ht="20.25" customHeight="1" x14ac:dyDescent="0.35">
      <c r="A162" s="34" t="s">
        <v>101</v>
      </c>
      <c r="B162" s="23" t="s">
        <v>100</v>
      </c>
      <c r="C162" s="23"/>
      <c r="D162" s="23"/>
      <c r="E162" s="23"/>
      <c r="F162" s="23"/>
      <c r="G162" s="23"/>
      <c r="H162" s="23"/>
      <c r="I162" s="23"/>
      <c r="J162" s="24"/>
      <c r="K162" s="24" t="n">
        <f>+'METRADO MONTANTES'!R67</f>
        <v>106.0</v>
      </c>
      <c r="L162" s="23" t="s">
        <v>60</v>
      </c>
    </row>
    <row r="163" spans="1:12" ht="33" customHeight="1" x14ac:dyDescent="0.35">
      <c r="A163" s="34" t="s">
        <v>640</v>
      </c>
      <c r="B163" s="23" t="s">
        <v>102</v>
      </c>
      <c r="C163" s="23"/>
      <c r="D163" s="23"/>
      <c r="E163" s="23"/>
      <c r="F163" s="23"/>
      <c r="G163" s="23"/>
      <c r="H163" s="23"/>
      <c r="I163" s="23"/>
      <c r="J163" s="24"/>
      <c r="K163" s="24" t="n">
        <f>+'METRADO MONTANTES'!O67</f>
        <v>90.0</v>
      </c>
      <c r="L163" s="23" t="s">
        <v>60</v>
      </c>
    </row>
    <row r="164" spans="1:12" ht="15.5" customHeight="1" x14ac:dyDescent="0.35">
      <c r="A164" s="41"/>
      <c r="B164" s="41"/>
      <c r="C164" s="41"/>
      <c r="D164" s="41"/>
      <c r="E164" s="41"/>
      <c r="F164" s="41"/>
      <c r="G164" s="41"/>
      <c r="H164" s="41"/>
      <c r="I164" s="41"/>
      <c r="J164" s="42"/>
      <c r="K164" s="42"/>
      <c r="L164" s="41"/>
    </row>
    <row r="165" spans="1:12" ht="15.5" customHeight="1" x14ac:dyDescent="0.35">
      <c r="A165" s="1" t="s">
        <v>658</v>
      </c>
      <c r="B165" s="1" t="s">
        <v>659</v>
      </c>
      <c r="C165" s="1"/>
      <c r="D165" s="1"/>
      <c r="E165" s="1"/>
      <c r="F165" s="1"/>
      <c r="G165" s="1"/>
      <c r="H165" s="1"/>
      <c r="I165" s="1"/>
      <c r="J165" s="33"/>
      <c r="K165" s="33"/>
      <c r="L165" s="1"/>
    </row>
    <row r="166" spans="1:12" ht="62" customHeight="1" x14ac:dyDescent="0.35">
      <c r="A166" s="23" t="s">
        <v>660</v>
      </c>
      <c r="B166" s="23" t="s">
        <v>661</v>
      </c>
      <c r="C166" s="23"/>
      <c r="D166" s="23"/>
      <c r="E166" s="23"/>
      <c r="F166" s="23"/>
      <c r="G166" s="23"/>
      <c r="H166" s="23"/>
      <c r="I166" s="23"/>
      <c r="J166" s="23"/>
      <c r="K166" s="27" t="n">
        <f aca="false">+'METRADO CANALETA BANCAS'!E12</f>
        <v>32.0</v>
      </c>
      <c r="L166" s="23" t="s">
        <v>57</v>
      </c>
    </row>
    <row r="167" spans="1:12" ht="31" customHeight="1" x14ac:dyDescent="0.35">
      <c r="A167" s="23" t="s">
        <v>662</v>
      </c>
      <c r="B167" s="23" t="s">
        <v>663</v>
      </c>
      <c r="C167" s="23"/>
      <c r="D167" s="23"/>
      <c r="E167" s="23"/>
      <c r="F167" s="23"/>
      <c r="G167" s="23"/>
      <c r="H167" s="23"/>
      <c r="I167" s="23"/>
      <c r="J167" s="23"/>
      <c r="K167" s="27" t="n">
        <f aca="false">+'METRADO CANALETA BANCAS'!G12</f>
        <v>32.0</v>
      </c>
      <c r="L167" s="23" t="s">
        <v>60</v>
      </c>
    </row>
    <row r="168" spans="1:12" ht="31" customHeight="1" x14ac:dyDescent="0.35">
      <c r="A168" s="23" t="s">
        <v>664</v>
      </c>
      <c r="B168" s="23" t="s">
        <v>80</v>
      </c>
      <c r="C168" s="23"/>
      <c r="D168" s="23"/>
      <c r="E168" s="23"/>
      <c r="F168" s="23"/>
      <c r="G168" s="23"/>
      <c r="H168" s="23"/>
      <c r="I168" s="23"/>
      <c r="J168" s="23"/>
      <c r="K168" s="27" t="n">
        <f aca="false">+'METRADO CANALETA BANCAS'!I12</f>
        <v>32.0</v>
      </c>
      <c r="L168" s="23" t="s">
        <v>60</v>
      </c>
    </row>
    <row r="169" spans="1:12" ht="46.5" customHeight="1" x14ac:dyDescent="0.35">
      <c r="A169" s="23" t="s">
        <v>665</v>
      </c>
      <c r="B169" s="23" t="s">
        <v>666</v>
      </c>
      <c r="C169" s="23"/>
      <c r="D169" s="23"/>
      <c r="E169" s="23"/>
      <c r="F169" s="23"/>
      <c r="G169" s="23"/>
      <c r="H169" s="23"/>
      <c r="I169" s="23"/>
      <c r="J169" s="23"/>
      <c r="K169" s="27" t="n">
        <f aca="false">+'METRADO CANALETA BANCAS'!K12</f>
        <v>16.0</v>
      </c>
      <c r="L169" s="23" t="s">
        <v>60</v>
      </c>
    </row>
    <row r="171" spans="1:12" ht="18" customHeight="1" x14ac:dyDescent="0.35">
      <c r="A171" s="2" t="s">
        <v>103</v>
      </c>
      <c r="B171" s="222" t="s">
        <v>104</v>
      </c>
      <c r="C171" s="213"/>
      <c r="D171" s="213"/>
      <c r="E171" s="213"/>
      <c r="F171" s="213"/>
      <c r="G171" s="213"/>
      <c r="H171" s="213"/>
      <c r="I171" s="213"/>
      <c r="J171" s="213"/>
      <c r="K171" s="213"/>
      <c r="L171" s="214"/>
    </row>
    <row r="172" spans="1:12" ht="18" customHeight="1" x14ac:dyDescent="0.35">
      <c r="A172" s="2" t="s">
        <v>105</v>
      </c>
      <c r="B172" s="222" t="s">
        <v>15</v>
      </c>
      <c r="C172" s="213"/>
      <c r="D172" s="213"/>
      <c r="E172" s="213"/>
      <c r="F172" s="213"/>
      <c r="G172" s="213"/>
      <c r="H172" s="213"/>
      <c r="I172" s="213"/>
      <c r="J172" s="213"/>
      <c r="K172" s="213"/>
      <c r="L172" s="214"/>
    </row>
    <row r="173" spans="1:12" ht="15.5" customHeight="1" x14ac:dyDescent="0.35">
      <c r="A173" s="23" t="s">
        <v>106</v>
      </c>
      <c r="B173" s="23" t="s">
        <v>17</v>
      </c>
      <c r="C173" s="24"/>
      <c r="D173" s="24"/>
      <c r="E173" s="24"/>
      <c r="F173" s="24"/>
      <c r="G173" s="24"/>
      <c r="H173" s="24"/>
      <c r="I173" s="24"/>
      <c r="J173" s="24"/>
      <c r="K173" s="24" t="n">
        <f>SUM(J174:J183)</f>
        <v>255.361098</v>
      </c>
      <c r="L173" s="23" t="s">
        <v>18</v>
      </c>
    </row>
    <row r="174" spans="1:12" ht="15.5" customHeight="1" x14ac:dyDescent="0.35">
      <c r="A174" s="25"/>
      <c r="B174" s="25" t="s">
        <v>181</v>
      </c>
      <c r="C174" s="26">
        <v>1</v>
      </c>
      <c r="D174" s="26">
        <v>2.74</v>
      </c>
      <c r="E174" s="26">
        <v>1.8</v>
      </c>
      <c r="F174" s="26"/>
      <c r="G174" s="26"/>
      <c r="H174" s="26"/>
      <c r="I174" s="26"/>
      <c r="J174" s="26" t="n">
        <f t="shared" ref="J174:J183" si="4">C174*D174*E174</f>
        <v>4.932</v>
      </c>
      <c r="K174" s="26"/>
      <c r="L174" s="25"/>
    </row>
    <row r="175" spans="1:12" ht="31" customHeight="1" x14ac:dyDescent="0.35">
      <c r="A175" s="25"/>
      <c r="B175" s="25" t="s">
        <v>182</v>
      </c>
      <c r="C175" s="26">
        <v>1</v>
      </c>
      <c r="D175" s="26">
        <v>15.71</v>
      </c>
      <c r="E175" s="26">
        <v>1.8</v>
      </c>
      <c r="F175" s="26"/>
      <c r="G175" s="26"/>
      <c r="H175" s="26"/>
      <c r="I175" s="26"/>
      <c r="J175" s="26" t="n">
        <f t="shared" si="4"/>
        <v>28.278</v>
      </c>
      <c r="K175" s="26"/>
      <c r="L175" s="25"/>
    </row>
    <row r="176" spans="1:12" ht="15.5" customHeight="1" x14ac:dyDescent="0.35">
      <c r="A176" s="25"/>
      <c r="B176" s="25" t="s">
        <v>183</v>
      </c>
      <c r="C176" s="26">
        <v>1</v>
      </c>
      <c r="D176" s="26">
        <v>16.59</v>
      </c>
      <c r="E176" s="26">
        <v>1.8</v>
      </c>
      <c r="F176" s="26"/>
      <c r="G176" s="26"/>
      <c r="H176" s="26"/>
      <c r="I176" s="26"/>
      <c r="J176" s="26" t="n">
        <f t="shared" si="4"/>
        <v>29.862</v>
      </c>
      <c r="K176" s="26"/>
      <c r="L176" s="25"/>
    </row>
    <row r="177" spans="1:12" ht="31" customHeight="1" x14ac:dyDescent="0.35">
      <c r="A177" s="25"/>
      <c r="B177" s="25" t="s">
        <v>184</v>
      </c>
      <c r="C177" s="26">
        <v>1</v>
      </c>
      <c r="D177" s="26">
        <v>16.82</v>
      </c>
      <c r="E177" s="26">
        <v>1.8</v>
      </c>
      <c r="F177" s="26"/>
      <c r="G177" s="26"/>
      <c r="H177" s="26"/>
      <c r="I177" s="26"/>
      <c r="J177" s="26" t="n">
        <f t="shared" si="4"/>
        <v>30.276</v>
      </c>
      <c r="K177" s="26"/>
      <c r="L177" s="25"/>
    </row>
    <row r="178" spans="1:12" ht="15.5" customHeight="1" x14ac:dyDescent="0.35">
      <c r="A178" s="25"/>
      <c r="B178" s="25" t="s">
        <v>185</v>
      </c>
      <c r="C178" s="26">
        <v>1</v>
      </c>
      <c r="D178" s="26">
        <v>2.14</v>
      </c>
      <c r="E178" s="26">
        <v>1.8</v>
      </c>
      <c r="F178" s="26"/>
      <c r="G178" s="26"/>
      <c r="H178" s="26"/>
      <c r="I178" s="26"/>
      <c r="J178" s="26" t="n">
        <f t="shared" si="4"/>
        <v>3.852</v>
      </c>
      <c r="K178" s="26"/>
      <c r="L178" s="25"/>
    </row>
    <row r="179" spans="1:12" ht="31" customHeight="1" x14ac:dyDescent="0.35">
      <c r="A179" s="25"/>
      <c r="B179" s="25" t="s">
        <v>186</v>
      </c>
      <c r="C179" s="26">
        <v>1</v>
      </c>
      <c r="D179" s="26">
        <v>6</v>
      </c>
      <c r="E179" s="26">
        <v>1.9</v>
      </c>
      <c r="F179" s="26"/>
      <c r="G179" s="26"/>
      <c r="H179" s="26"/>
      <c r="I179" s="26"/>
      <c r="J179" s="26" t="n">
        <f t="shared" si="4"/>
        <v>11.4</v>
      </c>
      <c r="K179" s="26"/>
      <c r="L179" s="25"/>
    </row>
    <row r="180" spans="1:12" ht="15.5" customHeight="1" x14ac:dyDescent="0.35">
      <c r="A180" s="25"/>
      <c r="B180" s="25" t="s">
        <v>187</v>
      </c>
      <c r="C180" s="26">
        <v>1</v>
      </c>
      <c r="D180" s="26">
        <v>18.420000000000002</v>
      </c>
      <c r="E180" s="26">
        <v>1.8</v>
      </c>
      <c r="F180" s="26"/>
      <c r="G180" s="26"/>
      <c r="H180" s="26"/>
      <c r="I180" s="26"/>
      <c r="J180" s="26" t="n">
        <f t="shared" si="4"/>
        <v>33.156</v>
      </c>
      <c r="K180" s="26"/>
      <c r="L180" s="25"/>
    </row>
    <row r="181" spans="1:12" ht="31" customHeight="1" x14ac:dyDescent="0.35">
      <c r="A181" s="25"/>
      <c r="B181" s="25" t="s">
        <v>188</v>
      </c>
      <c r="C181" s="26">
        <v>1</v>
      </c>
      <c r="D181" s="26">
        <v>37.58</v>
      </c>
      <c r="E181" s="26">
        <v>1.8</v>
      </c>
      <c r="F181" s="26"/>
      <c r="G181" s="26"/>
      <c r="H181" s="26"/>
      <c r="I181" s="26"/>
      <c r="J181" s="26" t="n">
        <f t="shared" si="4"/>
        <v>67.644</v>
      </c>
      <c r="K181" s="26"/>
      <c r="L181" s="25"/>
    </row>
    <row r="182" spans="1:12" ht="31" customHeight="1" x14ac:dyDescent="0.35">
      <c r="A182" s="25"/>
      <c r="B182" s="25" t="s">
        <v>189</v>
      </c>
      <c r="C182" s="26">
        <v>1</v>
      </c>
      <c r="D182" s="26">
        <v>23.08</v>
      </c>
      <c r="E182" s="26">
        <v>1.8</v>
      </c>
      <c r="F182" s="26"/>
      <c r="G182" s="26"/>
      <c r="H182" s="26"/>
      <c r="I182" s="26"/>
      <c r="J182" s="26" t="n">
        <f t="shared" si="4"/>
        <v>41.544</v>
      </c>
      <c r="K182" s="26"/>
      <c r="L182" s="25"/>
    </row>
    <row r="183" spans="1:12" ht="31" customHeight="1" x14ac:dyDescent="0.35">
      <c r="A183" s="25"/>
      <c r="B183" s="25" t="s">
        <v>190</v>
      </c>
      <c r="C183" s="26">
        <v>1</v>
      </c>
      <c r="D183" s="26">
        <v>1.2569999999999999</v>
      </c>
      <c r="E183" s="26">
        <v>3.5139999999999998</v>
      </c>
      <c r="F183" s="26"/>
      <c r="G183" s="26"/>
      <c r="H183" s="26"/>
      <c r="I183" s="26"/>
      <c r="J183" s="26" t="n">
        <f t="shared" si="4"/>
        <v>4.417098</v>
      </c>
      <c r="K183" s="26"/>
      <c r="L183" s="25"/>
    </row>
    <row r="184" spans="1:12" ht="31" customHeight="1" x14ac:dyDescent="0.35">
      <c r="A184" s="23" t="s">
        <v>107</v>
      </c>
      <c r="B184" s="23" t="s">
        <v>20</v>
      </c>
      <c r="C184" s="24"/>
      <c r="D184" s="24"/>
      <c r="E184" s="24"/>
      <c r="F184" s="24"/>
      <c r="G184" s="24"/>
      <c r="H184" s="24"/>
      <c r="I184" s="24"/>
      <c r="J184" s="24"/>
      <c r="K184" s="24" t="n">
        <f>SUM(J185:J194)</f>
        <v>255.361098</v>
      </c>
      <c r="L184" s="23" t="s">
        <v>18</v>
      </c>
    </row>
    <row r="185" spans="1:12" ht="15.5" customHeight="1" x14ac:dyDescent="0.35">
      <c r="A185" s="25"/>
      <c r="B185" s="25" t="s">
        <v>181</v>
      </c>
      <c r="C185" s="26">
        <v>1</v>
      </c>
      <c r="D185" s="26">
        <v>2.74</v>
      </c>
      <c r="E185" s="26">
        <v>1.8</v>
      </c>
      <c r="F185" s="26"/>
      <c r="G185" s="26"/>
      <c r="H185" s="26"/>
      <c r="I185" s="26"/>
      <c r="J185" s="26" t="n">
        <f t="shared" ref="J185:J194" si="5">C185*D185*E185</f>
        <v>4.932</v>
      </c>
      <c r="K185" s="26"/>
      <c r="L185" s="25"/>
    </row>
    <row r="186" spans="1:12" ht="31" customHeight="1" x14ac:dyDescent="0.35">
      <c r="A186" s="25"/>
      <c r="B186" s="25" t="s">
        <v>182</v>
      </c>
      <c r="C186" s="26">
        <v>1</v>
      </c>
      <c r="D186" s="26">
        <v>15.71</v>
      </c>
      <c r="E186" s="26">
        <v>1.8</v>
      </c>
      <c r="F186" s="26"/>
      <c r="G186" s="26"/>
      <c r="H186" s="26"/>
      <c r="I186" s="26"/>
      <c r="J186" s="26" t="n">
        <f t="shared" si="5"/>
        <v>28.278</v>
      </c>
      <c r="K186" s="26"/>
      <c r="L186" s="25"/>
    </row>
    <row r="187" spans="1:12" ht="15.5" customHeight="1" x14ac:dyDescent="0.35">
      <c r="A187" s="25"/>
      <c r="B187" s="25" t="s">
        <v>183</v>
      </c>
      <c r="C187" s="26">
        <v>1</v>
      </c>
      <c r="D187" s="26">
        <v>16.59</v>
      </c>
      <c r="E187" s="26">
        <v>1.8</v>
      </c>
      <c r="F187" s="26"/>
      <c r="G187" s="26"/>
      <c r="H187" s="26"/>
      <c r="I187" s="26"/>
      <c r="J187" s="26" t="n">
        <f t="shared" si="5"/>
        <v>29.862</v>
      </c>
      <c r="K187" s="26"/>
      <c r="L187" s="25"/>
    </row>
    <row r="188" spans="1:12" ht="31" customHeight="1" x14ac:dyDescent="0.35">
      <c r="A188" s="25"/>
      <c r="B188" s="25" t="s">
        <v>184</v>
      </c>
      <c r="C188" s="26">
        <v>1</v>
      </c>
      <c r="D188" s="26">
        <v>16.82</v>
      </c>
      <c r="E188" s="26">
        <v>1.8</v>
      </c>
      <c r="F188" s="26"/>
      <c r="G188" s="26"/>
      <c r="H188" s="26"/>
      <c r="I188" s="26"/>
      <c r="J188" s="26" t="n">
        <f t="shared" si="5"/>
        <v>30.276</v>
      </c>
      <c r="K188" s="26"/>
      <c r="L188" s="25"/>
    </row>
    <row r="189" spans="1:12" ht="15.5" customHeight="1" x14ac:dyDescent="0.35">
      <c r="A189" s="25"/>
      <c r="B189" s="25" t="s">
        <v>185</v>
      </c>
      <c r="C189" s="26">
        <v>1</v>
      </c>
      <c r="D189" s="26">
        <v>2.14</v>
      </c>
      <c r="E189" s="26">
        <v>1.8</v>
      </c>
      <c r="F189" s="26"/>
      <c r="G189" s="26"/>
      <c r="H189" s="26"/>
      <c r="I189" s="26"/>
      <c r="J189" s="26" t="n">
        <f t="shared" si="5"/>
        <v>3.852</v>
      </c>
      <c r="K189" s="26"/>
      <c r="L189" s="25"/>
    </row>
    <row r="190" spans="1:12" ht="31" customHeight="1" x14ac:dyDescent="0.35">
      <c r="A190" s="25"/>
      <c r="B190" s="25" t="s">
        <v>186</v>
      </c>
      <c r="C190" s="26">
        <v>1</v>
      </c>
      <c r="D190" s="26">
        <v>6</v>
      </c>
      <c r="E190" s="26">
        <v>1.9</v>
      </c>
      <c r="F190" s="26"/>
      <c r="G190" s="26"/>
      <c r="H190" s="26"/>
      <c r="I190" s="26"/>
      <c r="J190" s="26" t="n">
        <f t="shared" si="5"/>
        <v>11.4</v>
      </c>
      <c r="K190" s="26"/>
      <c r="L190" s="25"/>
    </row>
    <row r="191" spans="1:12" ht="15.5" customHeight="1" x14ac:dyDescent="0.35">
      <c r="A191" s="25"/>
      <c r="B191" s="25" t="s">
        <v>187</v>
      </c>
      <c r="C191" s="26">
        <v>1</v>
      </c>
      <c r="D191" s="26">
        <v>18.420000000000002</v>
      </c>
      <c r="E191" s="26">
        <v>1.8</v>
      </c>
      <c r="F191" s="26"/>
      <c r="G191" s="26"/>
      <c r="H191" s="26"/>
      <c r="I191" s="26"/>
      <c r="J191" s="26" t="n">
        <f t="shared" si="5"/>
        <v>33.156</v>
      </c>
      <c r="K191" s="26"/>
      <c r="L191" s="25"/>
    </row>
    <row r="192" spans="1:12" ht="31" customHeight="1" x14ac:dyDescent="0.35">
      <c r="A192" s="25"/>
      <c r="B192" s="25" t="s">
        <v>188</v>
      </c>
      <c r="C192" s="26">
        <v>1</v>
      </c>
      <c r="D192" s="26">
        <v>37.58</v>
      </c>
      <c r="E192" s="26">
        <v>1.8</v>
      </c>
      <c r="F192" s="26"/>
      <c r="G192" s="26"/>
      <c r="H192" s="26"/>
      <c r="I192" s="26"/>
      <c r="J192" s="26" t="n">
        <f t="shared" si="5"/>
        <v>67.644</v>
      </c>
      <c r="K192" s="26"/>
      <c r="L192" s="25"/>
    </row>
    <row r="193" spans="1:12" ht="31" customHeight="1" x14ac:dyDescent="0.35">
      <c r="A193" s="25"/>
      <c r="B193" s="25" t="s">
        <v>189</v>
      </c>
      <c r="C193" s="26">
        <v>1</v>
      </c>
      <c r="D193" s="26">
        <v>23.08</v>
      </c>
      <c r="E193" s="26">
        <v>1.8</v>
      </c>
      <c r="F193" s="26"/>
      <c r="G193" s="26"/>
      <c r="H193" s="26"/>
      <c r="I193" s="26"/>
      <c r="J193" s="26" t="n">
        <f t="shared" si="5"/>
        <v>41.544</v>
      </c>
      <c r="K193" s="26"/>
      <c r="L193" s="25"/>
    </row>
    <row r="194" spans="1:12" ht="31" customHeight="1" x14ac:dyDescent="0.35">
      <c r="A194" s="25"/>
      <c r="B194" s="25" t="s">
        <v>190</v>
      </c>
      <c r="C194" s="26">
        <v>1</v>
      </c>
      <c r="D194" s="26">
        <v>1.2569999999999999</v>
      </c>
      <c r="E194" s="26">
        <v>3.5139999999999998</v>
      </c>
      <c r="F194" s="26"/>
      <c r="G194" s="26"/>
      <c r="H194" s="26"/>
      <c r="I194" s="26"/>
      <c r="J194" s="26" t="n">
        <f t="shared" si="5"/>
        <v>4.417098</v>
      </c>
      <c r="K194" s="26"/>
      <c r="L194" s="25"/>
    </row>
    <row r="195" spans="1:12" ht="18" customHeight="1" x14ac:dyDescent="0.35">
      <c r="A195" s="2" t="s">
        <v>108</v>
      </c>
      <c r="B195" s="222" t="s">
        <v>22</v>
      </c>
      <c r="C195" s="213"/>
      <c r="D195" s="213"/>
      <c r="E195" s="213"/>
      <c r="F195" s="213"/>
      <c r="G195" s="213"/>
      <c r="H195" s="213"/>
      <c r="I195" s="213"/>
      <c r="J195" s="213"/>
      <c r="K195" s="213"/>
      <c r="L195" s="214"/>
    </row>
    <row r="196" spans="1:12" ht="31" customHeight="1" x14ac:dyDescent="0.35">
      <c r="A196" s="23" t="s">
        <v>109</v>
      </c>
      <c r="B196" s="23" t="s">
        <v>110</v>
      </c>
      <c r="C196" s="24"/>
      <c r="D196" s="24"/>
      <c r="E196" s="24"/>
      <c r="F196" s="24"/>
      <c r="G196" s="24"/>
      <c r="H196" s="24"/>
      <c r="I196" s="24"/>
      <c r="J196" s="24"/>
      <c r="K196" s="24" t="n">
        <f>SUM(J197:J206)</f>
        <v>180.6554745</v>
      </c>
      <c r="L196" s="23" t="s">
        <v>25</v>
      </c>
    </row>
    <row r="197" spans="1:12" ht="15.5" customHeight="1" x14ac:dyDescent="0.35">
      <c r="A197" s="25"/>
      <c r="B197" s="25" t="s">
        <v>181</v>
      </c>
      <c r="C197" s="26">
        <v>1</v>
      </c>
      <c r="D197" s="26">
        <v>2.74</v>
      </c>
      <c r="E197" s="26">
        <v>1.8</v>
      </c>
      <c r="F197" s="26">
        <v>0.68410000000000004</v>
      </c>
      <c r="G197" s="26"/>
      <c r="H197" s="26"/>
      <c r="I197" s="26"/>
      <c r="J197" s="26" t="n">
        <f t="shared" ref="J197:J206" si="6">C197*D197*E197*F197</f>
        <v>3.3739812</v>
      </c>
      <c r="K197" s="26"/>
      <c r="L197" s="25"/>
    </row>
    <row r="198" spans="1:12" ht="31" customHeight="1" x14ac:dyDescent="0.35">
      <c r="A198" s="25"/>
      <c r="B198" s="25" t="s">
        <v>182</v>
      </c>
      <c r="C198" s="26">
        <v>1</v>
      </c>
      <c r="D198" s="26">
        <v>15.71</v>
      </c>
      <c r="E198" s="26">
        <v>1.8</v>
      </c>
      <c r="F198" s="26">
        <v>0.71199999999999997</v>
      </c>
      <c r="G198" s="26"/>
      <c r="H198" s="26"/>
      <c r="I198" s="26"/>
      <c r="J198" s="26" t="n">
        <f t="shared" si="6"/>
        <v>20.133936</v>
      </c>
      <c r="K198" s="26"/>
      <c r="L198" s="25"/>
    </row>
    <row r="199" spans="1:12" ht="15.5" customHeight="1" x14ac:dyDescent="0.35">
      <c r="A199" s="25"/>
      <c r="B199" s="25" t="s">
        <v>183</v>
      </c>
      <c r="C199" s="26">
        <v>1</v>
      </c>
      <c r="D199" s="26">
        <v>16.59</v>
      </c>
      <c r="E199" s="26">
        <v>1.8</v>
      </c>
      <c r="F199" s="26">
        <v>0.76080000000000003</v>
      </c>
      <c r="G199" s="26"/>
      <c r="H199" s="26"/>
      <c r="I199" s="26"/>
      <c r="J199" s="26" t="n">
        <f t="shared" si="6"/>
        <v>22.7190096</v>
      </c>
      <c r="K199" s="26"/>
      <c r="L199" s="25"/>
    </row>
    <row r="200" spans="1:12" ht="31" customHeight="1" x14ac:dyDescent="0.35">
      <c r="A200" s="25"/>
      <c r="B200" s="25" t="s">
        <v>184</v>
      </c>
      <c r="C200" s="26">
        <v>1</v>
      </c>
      <c r="D200" s="26">
        <v>16.82</v>
      </c>
      <c r="E200" s="26">
        <v>1.8</v>
      </c>
      <c r="F200" s="26">
        <v>0.81120000000000003</v>
      </c>
      <c r="G200" s="26"/>
      <c r="H200" s="26"/>
      <c r="I200" s="26"/>
      <c r="J200" s="26" t="n">
        <f t="shared" si="6"/>
        <v>24.5598912</v>
      </c>
      <c r="K200" s="26"/>
      <c r="L200" s="25"/>
    </row>
    <row r="201" spans="1:12" ht="15.5" customHeight="1" x14ac:dyDescent="0.35">
      <c r="A201" s="25"/>
      <c r="B201" s="25" t="s">
        <v>185</v>
      </c>
      <c r="C201" s="26">
        <v>1</v>
      </c>
      <c r="D201" s="26">
        <v>2.14</v>
      </c>
      <c r="E201" s="26">
        <v>1.8</v>
      </c>
      <c r="F201" s="26">
        <v>0.83979999999999999</v>
      </c>
      <c r="G201" s="26"/>
      <c r="H201" s="26"/>
      <c r="I201" s="26"/>
      <c r="J201" s="26" t="n">
        <f t="shared" si="6"/>
        <v>3.2349096</v>
      </c>
      <c r="K201" s="26"/>
      <c r="L201" s="25"/>
    </row>
    <row r="202" spans="1:12" ht="31" customHeight="1" x14ac:dyDescent="0.35">
      <c r="A202" s="25"/>
      <c r="B202" s="25" t="s">
        <v>186</v>
      </c>
      <c r="C202" s="26">
        <v>1</v>
      </c>
      <c r="D202" s="26">
        <v>6</v>
      </c>
      <c r="E202" s="26">
        <v>1.9</v>
      </c>
      <c r="F202" s="26">
        <v>0.95209999999999995</v>
      </c>
      <c r="G202" s="26"/>
      <c r="H202" s="26"/>
      <c r="I202" s="26"/>
      <c r="J202" s="26" t="n">
        <f t="shared" si="6"/>
        <v>10.85394</v>
      </c>
      <c r="K202" s="26"/>
      <c r="L202" s="25"/>
    </row>
    <row r="203" spans="1:12" ht="15.5" customHeight="1" x14ac:dyDescent="0.35">
      <c r="A203" s="25"/>
      <c r="B203" s="25" t="s">
        <v>187</v>
      </c>
      <c r="C203" s="26">
        <v>1</v>
      </c>
      <c r="D203" s="26">
        <v>18.420000000000002</v>
      </c>
      <c r="E203" s="26">
        <v>1.8</v>
      </c>
      <c r="F203" s="26">
        <v>0.88900000000000001</v>
      </c>
      <c r="G203" s="26"/>
      <c r="H203" s="26"/>
      <c r="I203" s="26"/>
      <c r="J203" s="26" t="n">
        <f t="shared" si="6"/>
        <v>29.475684</v>
      </c>
      <c r="K203" s="26"/>
      <c r="L203" s="25"/>
    </row>
    <row r="204" spans="1:12" ht="31" customHeight="1" x14ac:dyDescent="0.35">
      <c r="A204" s="25"/>
      <c r="B204" s="25" t="s">
        <v>188</v>
      </c>
      <c r="C204" s="26">
        <v>1</v>
      </c>
      <c r="D204" s="26">
        <v>37.58</v>
      </c>
      <c r="E204" s="26">
        <v>1.8</v>
      </c>
      <c r="F204" s="26">
        <v>0.68400000000000005</v>
      </c>
      <c r="G204" s="26"/>
      <c r="H204" s="26"/>
      <c r="I204" s="26"/>
      <c r="J204" s="26" t="n">
        <f t="shared" si="6"/>
        <v>46.268496</v>
      </c>
      <c r="K204" s="26"/>
      <c r="L204" s="25"/>
    </row>
    <row r="205" spans="1:12" ht="31" customHeight="1" x14ac:dyDescent="0.35">
      <c r="A205" s="25"/>
      <c r="B205" s="25" t="s">
        <v>189</v>
      </c>
      <c r="C205" s="26">
        <v>1</v>
      </c>
      <c r="D205" s="26">
        <v>23.08</v>
      </c>
      <c r="E205" s="26">
        <v>1.8</v>
      </c>
      <c r="F205" s="26">
        <v>0.39190000000000003</v>
      </c>
      <c r="G205" s="26"/>
      <c r="H205" s="26"/>
      <c r="I205" s="26"/>
      <c r="J205" s="26" t="n">
        <f t="shared" si="6"/>
        <v>16.2810936</v>
      </c>
      <c r="K205" s="26"/>
      <c r="L205" s="25"/>
    </row>
    <row r="206" spans="1:12" ht="15.5" customHeight="1" x14ac:dyDescent="0.35">
      <c r="A206" s="25"/>
      <c r="B206" s="25" t="s">
        <v>191</v>
      </c>
      <c r="C206" s="26">
        <v>1</v>
      </c>
      <c r="D206" s="26">
        <v>1.2569999999999999</v>
      </c>
      <c r="E206" s="26">
        <v>3.5139999999999998</v>
      </c>
      <c r="F206" s="26">
        <v>0.85</v>
      </c>
      <c r="G206" s="26"/>
      <c r="H206" s="26"/>
      <c r="I206" s="26"/>
      <c r="J206" s="26" t="n">
        <f t="shared" si="6"/>
        <v>3.7545333</v>
      </c>
      <c r="K206" s="26"/>
      <c r="L206" s="25"/>
    </row>
    <row r="207" spans="1:12" ht="46.5" customHeight="1" x14ac:dyDescent="0.35">
      <c r="A207" s="23" t="s">
        <v>111</v>
      </c>
      <c r="B207" s="23" t="s">
        <v>29</v>
      </c>
      <c r="C207" s="24"/>
      <c r="D207" s="24"/>
      <c r="E207" s="24"/>
      <c r="F207" s="24"/>
      <c r="G207" s="24"/>
      <c r="H207" s="24"/>
      <c r="I207" s="24"/>
      <c r="J207" s="24"/>
      <c r="K207" s="24" t="n">
        <f>SUM(J208:J218)</f>
        <v>239.4967</v>
      </c>
      <c r="L207" s="23" t="s">
        <v>18</v>
      </c>
    </row>
    <row r="208" spans="1:12" ht="15.5" customHeight="1" x14ac:dyDescent="0.35">
      <c r="A208" s="25"/>
      <c r="B208" s="25" t="s">
        <v>181</v>
      </c>
      <c r="C208" s="26">
        <v>1</v>
      </c>
      <c r="D208" s="26">
        <v>2.74</v>
      </c>
      <c r="E208" s="26">
        <v>1.7</v>
      </c>
      <c r="F208" s="26"/>
      <c r="G208" s="26"/>
      <c r="H208" s="26"/>
      <c r="I208" s="26"/>
      <c r="J208" s="26" t="n">
        <f t="shared" ref="J208:J217" si="7">C208*D208*E208</f>
        <v>4.658</v>
      </c>
      <c r="K208" s="26"/>
      <c r="L208" s="25"/>
    </row>
    <row r="209" spans="1:12" ht="31" customHeight="1" x14ac:dyDescent="0.35">
      <c r="A209" s="25"/>
      <c r="B209" s="25" t="s">
        <v>182</v>
      </c>
      <c r="C209" s="26">
        <v>1</v>
      </c>
      <c r="D209" s="26">
        <v>15.71</v>
      </c>
      <c r="E209" s="26">
        <v>1.7</v>
      </c>
      <c r="F209" s="26"/>
      <c r="G209" s="26"/>
      <c r="H209" s="26"/>
      <c r="I209" s="26"/>
      <c r="J209" s="26" t="n">
        <f t="shared" si="7"/>
        <v>26.707</v>
      </c>
      <c r="K209" s="26"/>
      <c r="L209" s="25"/>
    </row>
    <row r="210" spans="1:12" ht="15.5" customHeight="1" x14ac:dyDescent="0.35">
      <c r="A210" s="25"/>
      <c r="B210" s="25" t="s">
        <v>183</v>
      </c>
      <c r="C210" s="26">
        <v>1</v>
      </c>
      <c r="D210" s="26">
        <v>16.59</v>
      </c>
      <c r="E210" s="26">
        <v>1.7</v>
      </c>
      <c r="F210" s="26"/>
      <c r="G210" s="26"/>
      <c r="H210" s="26"/>
      <c r="I210" s="26"/>
      <c r="J210" s="26" t="n">
        <f t="shared" si="7"/>
        <v>28.203</v>
      </c>
      <c r="K210" s="26"/>
      <c r="L210" s="25"/>
    </row>
    <row r="211" spans="1:12" ht="31" customHeight="1" x14ac:dyDescent="0.35">
      <c r="A211" s="25"/>
      <c r="B211" s="25" t="s">
        <v>184</v>
      </c>
      <c r="C211" s="26">
        <v>1</v>
      </c>
      <c r="D211" s="26">
        <v>16.82</v>
      </c>
      <c r="E211" s="26">
        <v>1.7</v>
      </c>
      <c r="F211" s="26"/>
      <c r="G211" s="26"/>
      <c r="H211" s="26"/>
      <c r="I211" s="26"/>
      <c r="J211" s="26" t="n">
        <f t="shared" si="7"/>
        <v>28.594</v>
      </c>
      <c r="K211" s="26"/>
      <c r="L211" s="25"/>
    </row>
    <row r="212" spans="1:12" ht="15.5" customHeight="1" x14ac:dyDescent="0.35">
      <c r="A212" s="25"/>
      <c r="B212" s="25" t="s">
        <v>185</v>
      </c>
      <c r="C212" s="26">
        <v>1</v>
      </c>
      <c r="D212" s="26">
        <v>2.14</v>
      </c>
      <c r="E212" s="26">
        <v>1.7</v>
      </c>
      <c r="F212" s="26"/>
      <c r="G212" s="26"/>
      <c r="H212" s="26"/>
      <c r="I212" s="26"/>
      <c r="J212" s="26" t="n">
        <f t="shared" si="7"/>
        <v>3.638</v>
      </c>
      <c r="K212" s="26"/>
      <c r="L212" s="25"/>
    </row>
    <row r="213" spans="1:12" ht="31" customHeight="1" x14ac:dyDescent="0.35">
      <c r="A213" s="25"/>
      <c r="B213" s="25" t="s">
        <v>186</v>
      </c>
      <c r="C213" s="26">
        <v>1</v>
      </c>
      <c r="D213" s="26">
        <v>6</v>
      </c>
      <c r="E213" s="26">
        <v>1.8</v>
      </c>
      <c r="F213" s="26"/>
      <c r="G213" s="26"/>
      <c r="H213" s="26"/>
      <c r="I213" s="26"/>
      <c r="J213" s="26" t="n">
        <f t="shared" si="7"/>
        <v>10.8</v>
      </c>
      <c r="K213" s="26"/>
      <c r="L213" s="25"/>
    </row>
    <row r="214" spans="1:12" ht="15.5" customHeight="1" x14ac:dyDescent="0.35">
      <c r="A214" s="25"/>
      <c r="B214" s="25" t="s">
        <v>187</v>
      </c>
      <c r="C214" s="26">
        <v>1</v>
      </c>
      <c r="D214" s="26">
        <v>18.420000000000002</v>
      </c>
      <c r="E214" s="26">
        <v>1.7</v>
      </c>
      <c r="F214" s="26"/>
      <c r="G214" s="26"/>
      <c r="H214" s="26"/>
      <c r="I214" s="26"/>
      <c r="J214" s="26" t="n">
        <f t="shared" si="7"/>
        <v>31.314</v>
      </c>
      <c r="K214" s="26"/>
      <c r="L214" s="25"/>
    </row>
    <row r="215" spans="1:12" ht="31" customHeight="1" x14ac:dyDescent="0.35">
      <c r="A215" s="25"/>
      <c r="B215" s="25" t="s">
        <v>188</v>
      </c>
      <c r="C215" s="26">
        <v>1</v>
      </c>
      <c r="D215" s="26">
        <v>37.58</v>
      </c>
      <c r="E215" s="26">
        <v>1.7</v>
      </c>
      <c r="F215" s="26"/>
      <c r="G215" s="26"/>
      <c r="H215" s="26"/>
      <c r="I215" s="26"/>
      <c r="J215" s="26" t="n">
        <f t="shared" si="7"/>
        <v>63.886</v>
      </c>
      <c r="K215" s="26"/>
      <c r="L215" s="25"/>
    </row>
    <row r="216" spans="1:12" ht="31" customHeight="1" x14ac:dyDescent="0.35">
      <c r="A216" s="25"/>
      <c r="B216" s="25" t="s">
        <v>189</v>
      </c>
      <c r="C216" s="26">
        <v>1</v>
      </c>
      <c r="D216" s="26">
        <v>23.08</v>
      </c>
      <c r="E216" s="26">
        <v>1.7</v>
      </c>
      <c r="F216" s="26"/>
      <c r="G216" s="26"/>
      <c r="H216" s="26"/>
      <c r="I216" s="26"/>
      <c r="J216" s="26" t="n">
        <f t="shared" si="7"/>
        <v>39.236</v>
      </c>
      <c r="K216" s="26"/>
      <c r="L216" s="25"/>
    </row>
    <row r="217" spans="1:12" ht="15.5" customHeight="1" x14ac:dyDescent="0.35">
      <c r="A217" s="25"/>
      <c r="B217" s="25" t="s">
        <v>192</v>
      </c>
      <c r="C217" s="26">
        <v>2</v>
      </c>
      <c r="D217" s="26">
        <v>1</v>
      </c>
      <c r="E217" s="26">
        <v>0.45</v>
      </c>
      <c r="F217" s="26"/>
      <c r="G217" s="26"/>
      <c r="H217" s="26"/>
      <c r="I217" s="26"/>
      <c r="J217" s="26" t="n">
        <f t="shared" si="7"/>
        <v>0.9</v>
      </c>
      <c r="K217" s="26"/>
      <c r="L217" s="25"/>
    </row>
    <row r="218" spans="1:12" ht="15.5" customHeight="1" x14ac:dyDescent="0.35">
      <c r="A218" s="25"/>
      <c r="B218" s="25" t="s">
        <v>193</v>
      </c>
      <c r="C218" s="26">
        <v>1</v>
      </c>
      <c r="D218" s="26"/>
      <c r="E218" s="26"/>
      <c r="F218" s="26"/>
      <c r="G218" s="26"/>
      <c r="H218" s="26">
        <v>1.5607</v>
      </c>
      <c r="I218" s="26"/>
      <c r="J218" s="26" t="n">
        <f>C218*H218</f>
        <v>1.5607</v>
      </c>
      <c r="K218" s="26"/>
      <c r="L218" s="25"/>
    </row>
    <row r="219" spans="1:12" ht="46.5" customHeight="1" x14ac:dyDescent="0.35">
      <c r="A219" s="23" t="s">
        <v>112</v>
      </c>
      <c r="B219" s="23" t="s">
        <v>31</v>
      </c>
      <c r="C219" s="24"/>
      <c r="D219" s="24"/>
      <c r="E219" s="24"/>
      <c r="F219" s="24"/>
      <c r="G219" s="24"/>
      <c r="H219" s="24"/>
      <c r="I219" s="24"/>
      <c r="J219" s="24"/>
      <c r="K219" s="24" t="n">
        <f>ROUND(SUM(J220:J229),2)+ROUND(J230,2)</f>
        <v>10.2</v>
      </c>
      <c r="L219" s="23" t="s">
        <v>25</v>
      </c>
    </row>
    <row r="220" spans="1:12" ht="31" customHeight="1" x14ac:dyDescent="0.35">
      <c r="A220" s="25"/>
      <c r="B220" s="25" t="s">
        <v>194</v>
      </c>
      <c r="C220" s="26">
        <v>1</v>
      </c>
      <c r="D220" s="26">
        <v>2.74</v>
      </c>
      <c r="E220" s="26"/>
      <c r="F220" s="26"/>
      <c r="G220" s="26"/>
      <c r="H220" s="26">
        <v>6.8400000000000002E-2</v>
      </c>
      <c r="I220" s="26"/>
      <c r="J220" s="26" t="n">
        <f t="shared" ref="J220:J228" si="8">C220*D220*H220</f>
        <v>0.187416</v>
      </c>
      <c r="K220" s="26"/>
      <c r="L220" s="25"/>
    </row>
    <row r="221" spans="1:12" ht="31" customHeight="1" x14ac:dyDescent="0.35">
      <c r="A221" s="25"/>
      <c r="B221" s="25" t="s">
        <v>195</v>
      </c>
      <c r="C221" s="26">
        <v>1</v>
      </c>
      <c r="D221" s="26">
        <v>15.71</v>
      </c>
      <c r="E221" s="26"/>
      <c r="F221" s="26"/>
      <c r="G221" s="26"/>
      <c r="H221" s="26">
        <v>7.1199999999999999E-2</v>
      </c>
      <c r="I221" s="26"/>
      <c r="J221" s="26" t="n">
        <f t="shared" si="8"/>
        <v>1.118552</v>
      </c>
      <c r="K221" s="26"/>
      <c r="L221" s="25"/>
    </row>
    <row r="222" spans="1:12" ht="31" customHeight="1" x14ac:dyDescent="0.35">
      <c r="A222" s="25"/>
      <c r="B222" s="25" t="s">
        <v>196</v>
      </c>
      <c r="C222" s="26">
        <v>1</v>
      </c>
      <c r="D222" s="26">
        <v>16.59</v>
      </c>
      <c r="E222" s="26"/>
      <c r="F222" s="26"/>
      <c r="G222" s="26"/>
      <c r="H222" s="26">
        <v>7.6100000000000001E-2</v>
      </c>
      <c r="I222" s="26"/>
      <c r="J222" s="26" t="n">
        <f t="shared" si="8"/>
        <v>1.262499</v>
      </c>
      <c r="K222" s="26"/>
      <c r="L222" s="25"/>
    </row>
    <row r="223" spans="1:12" ht="31" customHeight="1" x14ac:dyDescent="0.35">
      <c r="A223" s="25"/>
      <c r="B223" s="25" t="s">
        <v>197</v>
      </c>
      <c r="C223" s="26">
        <v>1</v>
      </c>
      <c r="D223" s="26">
        <v>16.82</v>
      </c>
      <c r="E223" s="26"/>
      <c r="F223" s="26"/>
      <c r="G223" s="26"/>
      <c r="H223" s="26">
        <v>8.1100000000000005E-2</v>
      </c>
      <c r="I223" s="26"/>
      <c r="J223" s="26" t="n">
        <f t="shared" si="8"/>
        <v>1.364102</v>
      </c>
      <c r="K223" s="26"/>
      <c r="L223" s="25"/>
    </row>
    <row r="224" spans="1:12" ht="31" customHeight="1" x14ac:dyDescent="0.35">
      <c r="A224" s="25"/>
      <c r="B224" s="25" t="s">
        <v>198</v>
      </c>
      <c r="C224" s="26">
        <v>1</v>
      </c>
      <c r="D224" s="26">
        <v>2.14</v>
      </c>
      <c r="E224" s="26"/>
      <c r="F224" s="26"/>
      <c r="G224" s="26"/>
      <c r="H224" s="26">
        <v>8.4000000000000005E-2</v>
      </c>
      <c r="I224" s="26"/>
      <c r="J224" s="26" t="n">
        <f t="shared" si="8"/>
        <v>0.17976</v>
      </c>
      <c r="K224" s="26"/>
      <c r="L224" s="25"/>
    </row>
    <row r="225" spans="1:12" ht="31" customHeight="1" x14ac:dyDescent="0.35">
      <c r="A225" s="25"/>
      <c r="B225" s="25" t="s">
        <v>199</v>
      </c>
      <c r="C225" s="26">
        <v>1</v>
      </c>
      <c r="D225" s="26">
        <v>6</v>
      </c>
      <c r="E225" s="26"/>
      <c r="F225" s="26"/>
      <c r="G225" s="26"/>
      <c r="H225" s="26">
        <v>9.5200000000000007E-2</v>
      </c>
      <c r="I225" s="26"/>
      <c r="J225" s="26" t="n">
        <f t="shared" si="8"/>
        <v>0.5712</v>
      </c>
      <c r="K225" s="26"/>
      <c r="L225" s="25"/>
    </row>
    <row r="226" spans="1:12" ht="31" customHeight="1" x14ac:dyDescent="0.35">
      <c r="A226" s="25"/>
      <c r="B226" s="25" t="s">
        <v>200</v>
      </c>
      <c r="C226" s="26">
        <v>1</v>
      </c>
      <c r="D226" s="26">
        <v>18.420000000000002</v>
      </c>
      <c r="E226" s="26"/>
      <c r="F226" s="26"/>
      <c r="G226" s="26"/>
      <c r="H226" s="26">
        <v>8.8900000000000007E-2</v>
      </c>
      <c r="I226" s="26"/>
      <c r="J226" s="26" t="n">
        <f t="shared" si="8"/>
        <v>1.637538</v>
      </c>
      <c r="K226" s="26"/>
      <c r="L226" s="25"/>
    </row>
    <row r="227" spans="1:12" ht="46.5" customHeight="1" x14ac:dyDescent="0.35">
      <c r="A227" s="25"/>
      <c r="B227" s="25" t="s">
        <v>201</v>
      </c>
      <c r="C227" s="26">
        <v>1</v>
      </c>
      <c r="D227" s="26">
        <v>37.58</v>
      </c>
      <c r="E227" s="26"/>
      <c r="F227" s="26"/>
      <c r="G227" s="26"/>
      <c r="H227" s="26">
        <v>6.8400000000000002E-2</v>
      </c>
      <c r="I227" s="26"/>
      <c r="J227" s="26" t="n">
        <f t="shared" si="8"/>
        <v>2.570472</v>
      </c>
      <c r="K227" s="26"/>
      <c r="L227" s="25"/>
    </row>
    <row r="228" spans="1:12" ht="46.5" customHeight="1" x14ac:dyDescent="0.35">
      <c r="A228" s="25"/>
      <c r="B228" s="25" t="s">
        <v>202</v>
      </c>
      <c r="C228" s="26">
        <v>1</v>
      </c>
      <c r="D228" s="26">
        <v>23.08</v>
      </c>
      <c r="E228" s="26"/>
      <c r="F228" s="26"/>
      <c r="G228" s="26"/>
      <c r="H228" s="26">
        <v>3.9199999999999999E-2</v>
      </c>
      <c r="I228" s="26"/>
      <c r="J228" s="26" t="n">
        <f t="shared" si="8"/>
        <v>0.904736</v>
      </c>
      <c r="K228" s="26"/>
      <c r="L228" s="25"/>
    </row>
    <row r="229" spans="1:12" ht="15.5" customHeight="1" x14ac:dyDescent="0.35">
      <c r="A229" s="25"/>
      <c r="B229" s="25" t="s">
        <v>203</v>
      </c>
      <c r="C229" s="26">
        <v>2</v>
      </c>
      <c r="D229" s="26">
        <v>1</v>
      </c>
      <c r="E229" s="26">
        <v>0.3</v>
      </c>
      <c r="F229" s="26">
        <v>0.4</v>
      </c>
      <c r="G229" s="26"/>
      <c r="H229" s="26"/>
      <c r="I229" s="26"/>
      <c r="J229" s="26" t="n">
        <f>C229*D229*E229*F229</f>
        <v>0.24</v>
      </c>
      <c r="K229" s="26"/>
      <c r="L229" s="25"/>
    </row>
    <row r="230" spans="1:12" ht="31" customHeight="1" x14ac:dyDescent="0.35">
      <c r="A230" s="25"/>
      <c r="B230" s="25" t="s">
        <v>204</v>
      </c>
      <c r="C230" s="26">
        <v>1</v>
      </c>
      <c r="D230" s="26"/>
      <c r="E230" s="26"/>
      <c r="F230" s="26">
        <v>0.1</v>
      </c>
      <c r="G230" s="26"/>
      <c r="H230" s="26">
        <v>1.5607</v>
      </c>
      <c r="I230" s="26"/>
      <c r="J230" s="26" t="n">
        <f>C230*F230*H230</f>
        <v>0.15607</v>
      </c>
      <c r="K230" s="26"/>
      <c r="L230" s="25"/>
    </row>
    <row r="231" spans="1:12" ht="31" customHeight="1" x14ac:dyDescent="0.35">
      <c r="A231" s="23" t="s">
        <v>113</v>
      </c>
      <c r="B231" s="23" t="s">
        <v>33</v>
      </c>
      <c r="C231" s="24"/>
      <c r="D231" s="24"/>
      <c r="E231" s="24"/>
      <c r="F231" s="24"/>
      <c r="G231" s="24">
        <v>1.25</v>
      </c>
      <c r="H231" s="24"/>
      <c r="I231" s="24"/>
      <c r="J231" s="24"/>
      <c r="K231" s="24" t="n">
        <f>(J232+J233)*G231</f>
        <v>213.069343125</v>
      </c>
      <c r="L231" s="23" t="s">
        <v>25</v>
      </c>
    </row>
    <row r="232" spans="1:12" ht="31" customHeight="1" x14ac:dyDescent="0.35">
      <c r="A232" s="25"/>
      <c r="B232" s="25" t="s">
        <v>110</v>
      </c>
      <c r="C232" s="26"/>
      <c r="D232" s="26"/>
      <c r="E232" s="26"/>
      <c r="F232" s="26"/>
      <c r="G232" s="26">
        <v>1</v>
      </c>
      <c r="H232" s="26"/>
      <c r="I232" s="26" t="n">
        <f>+K196</f>
        <v>180.6554745</v>
      </c>
      <c r="J232" s="26" t="n">
        <f>G232*I232</f>
        <v>180.6554745</v>
      </c>
      <c r="K232" s="26"/>
      <c r="L232" s="25"/>
    </row>
    <row r="233" spans="1:12" ht="31" customHeight="1" x14ac:dyDescent="0.35">
      <c r="A233" s="25"/>
      <c r="B233" s="25" t="s">
        <v>205</v>
      </c>
      <c r="C233" s="26"/>
      <c r="D233" s="26"/>
      <c r="E233" s="26"/>
      <c r="F233" s="26"/>
      <c r="G233" s="26">
        <v>-1</v>
      </c>
      <c r="H233" s="26"/>
      <c r="I233" s="26" t="n">
        <f>+K219</f>
        <v>10.2</v>
      </c>
      <c r="J233" s="26" t="n">
        <f>G233*I233</f>
        <v>-10.2</v>
      </c>
      <c r="K233" s="26"/>
      <c r="L233" s="25"/>
    </row>
    <row r="234" spans="1:12" ht="18" customHeight="1" x14ac:dyDescent="0.35">
      <c r="A234" s="2" t="s">
        <v>114</v>
      </c>
      <c r="B234" s="222" t="s">
        <v>35</v>
      </c>
      <c r="C234" s="213"/>
      <c r="D234" s="213"/>
      <c r="E234" s="213"/>
      <c r="F234" s="213"/>
      <c r="G234" s="213"/>
      <c r="H234" s="213"/>
      <c r="I234" s="213"/>
      <c r="J234" s="213"/>
      <c r="K234" s="213"/>
      <c r="L234" s="214"/>
    </row>
    <row r="235" spans="1:12" ht="31" customHeight="1" x14ac:dyDescent="0.35">
      <c r="A235" s="23" t="s">
        <v>115</v>
      </c>
      <c r="B235" s="23" t="s">
        <v>116</v>
      </c>
      <c r="C235" s="24"/>
      <c r="D235" s="24"/>
      <c r="E235" s="24"/>
      <c r="F235" s="24"/>
      <c r="G235" s="24"/>
      <c r="H235" s="24"/>
      <c r="I235" s="24"/>
      <c r="J235" s="24"/>
      <c r="K235" s="24" t="n">
        <f>SUM(J236:J245)</f>
        <v>237.936</v>
      </c>
      <c r="L235" s="23" t="s">
        <v>18</v>
      </c>
    </row>
    <row r="236" spans="1:12" ht="15.5" customHeight="1" x14ac:dyDescent="0.35">
      <c r="A236" s="25"/>
      <c r="B236" s="25" t="s">
        <v>181</v>
      </c>
      <c r="C236" s="26">
        <v>1</v>
      </c>
      <c r="D236" s="26">
        <v>2.74</v>
      </c>
      <c r="E236" s="26">
        <v>1.7</v>
      </c>
      <c r="F236" s="26"/>
      <c r="G236" s="26"/>
      <c r="H236" s="26"/>
      <c r="I236" s="26"/>
      <c r="J236" s="26" t="n">
        <f t="shared" ref="J236:J245" si="9">C236*D236*E236</f>
        <v>4.658</v>
      </c>
      <c r="K236" s="26"/>
      <c r="L236" s="25"/>
    </row>
    <row r="237" spans="1:12" ht="31" customHeight="1" x14ac:dyDescent="0.35">
      <c r="A237" s="25"/>
      <c r="B237" s="25" t="s">
        <v>182</v>
      </c>
      <c r="C237" s="26">
        <v>1</v>
      </c>
      <c r="D237" s="26">
        <v>15.71</v>
      </c>
      <c r="E237" s="26">
        <v>1.7</v>
      </c>
      <c r="F237" s="26"/>
      <c r="G237" s="26"/>
      <c r="H237" s="26"/>
      <c r="I237" s="26"/>
      <c r="J237" s="26" t="n">
        <f t="shared" si="9"/>
        <v>26.707</v>
      </c>
      <c r="K237" s="26"/>
      <c r="L237" s="25"/>
    </row>
    <row r="238" spans="1:12" ht="15.5" customHeight="1" x14ac:dyDescent="0.35">
      <c r="A238" s="25"/>
      <c r="B238" s="25" t="s">
        <v>183</v>
      </c>
      <c r="C238" s="26">
        <v>1</v>
      </c>
      <c r="D238" s="26">
        <v>16.59</v>
      </c>
      <c r="E238" s="26">
        <v>1.7</v>
      </c>
      <c r="F238" s="26"/>
      <c r="G238" s="26"/>
      <c r="H238" s="26"/>
      <c r="I238" s="26"/>
      <c r="J238" s="26" t="n">
        <f t="shared" si="9"/>
        <v>28.203</v>
      </c>
      <c r="K238" s="26"/>
      <c r="L238" s="25"/>
    </row>
    <row r="239" spans="1:12" ht="31" customHeight="1" x14ac:dyDescent="0.35">
      <c r="A239" s="25"/>
      <c r="B239" s="25" t="s">
        <v>184</v>
      </c>
      <c r="C239" s="26">
        <v>1</v>
      </c>
      <c r="D239" s="26">
        <v>16.82</v>
      </c>
      <c r="E239" s="26">
        <v>1.7</v>
      </c>
      <c r="F239" s="26"/>
      <c r="G239" s="26"/>
      <c r="H239" s="26"/>
      <c r="I239" s="26"/>
      <c r="J239" s="26" t="n">
        <f t="shared" si="9"/>
        <v>28.594</v>
      </c>
      <c r="K239" s="26"/>
      <c r="L239" s="25"/>
    </row>
    <row r="240" spans="1:12" ht="15.5" customHeight="1" x14ac:dyDescent="0.35">
      <c r="A240" s="25"/>
      <c r="B240" s="25" t="s">
        <v>185</v>
      </c>
      <c r="C240" s="26">
        <v>1</v>
      </c>
      <c r="D240" s="26">
        <v>2.14</v>
      </c>
      <c r="E240" s="26">
        <v>1.7</v>
      </c>
      <c r="F240" s="26"/>
      <c r="G240" s="26"/>
      <c r="H240" s="26"/>
      <c r="I240" s="26"/>
      <c r="J240" s="26" t="n">
        <f t="shared" si="9"/>
        <v>3.638</v>
      </c>
      <c r="K240" s="26"/>
      <c r="L240" s="25"/>
    </row>
    <row r="241" spans="1:12" ht="31" customHeight="1" x14ac:dyDescent="0.35">
      <c r="A241" s="25"/>
      <c r="B241" s="25" t="s">
        <v>186</v>
      </c>
      <c r="C241" s="26">
        <v>1</v>
      </c>
      <c r="D241" s="26">
        <v>6</v>
      </c>
      <c r="E241" s="26">
        <v>1.8</v>
      </c>
      <c r="F241" s="26"/>
      <c r="G241" s="26"/>
      <c r="H241" s="26"/>
      <c r="I241" s="26"/>
      <c r="J241" s="26" t="n">
        <f t="shared" si="9"/>
        <v>10.8</v>
      </c>
      <c r="K241" s="26"/>
      <c r="L241" s="25"/>
    </row>
    <row r="242" spans="1:12" ht="15.5" customHeight="1" x14ac:dyDescent="0.35">
      <c r="A242" s="25"/>
      <c r="B242" s="25" t="s">
        <v>187</v>
      </c>
      <c r="C242" s="26">
        <v>1</v>
      </c>
      <c r="D242" s="26">
        <v>18.420000000000002</v>
      </c>
      <c r="E242" s="26">
        <v>1.7</v>
      </c>
      <c r="F242" s="26"/>
      <c r="G242" s="26"/>
      <c r="H242" s="26"/>
      <c r="I242" s="26"/>
      <c r="J242" s="26" t="n">
        <f t="shared" si="9"/>
        <v>31.314</v>
      </c>
      <c r="K242" s="26"/>
      <c r="L242" s="25"/>
    </row>
    <row r="243" spans="1:12" ht="31" customHeight="1" x14ac:dyDescent="0.35">
      <c r="A243" s="25"/>
      <c r="B243" s="25" t="s">
        <v>188</v>
      </c>
      <c r="C243" s="26">
        <v>1</v>
      </c>
      <c r="D243" s="26">
        <v>37.58</v>
      </c>
      <c r="E243" s="26">
        <v>1.7</v>
      </c>
      <c r="F243" s="26"/>
      <c r="G243" s="26"/>
      <c r="H243" s="26"/>
      <c r="I243" s="26"/>
      <c r="J243" s="26" t="n">
        <f t="shared" si="9"/>
        <v>63.886</v>
      </c>
      <c r="K243" s="26"/>
      <c r="L243" s="25"/>
    </row>
    <row r="244" spans="1:12" ht="31" customHeight="1" x14ac:dyDescent="0.35">
      <c r="A244" s="25"/>
      <c r="B244" s="25" t="s">
        <v>189</v>
      </c>
      <c r="C244" s="26">
        <v>1</v>
      </c>
      <c r="D244" s="26">
        <v>23.08</v>
      </c>
      <c r="E244" s="26">
        <v>1.7</v>
      </c>
      <c r="F244" s="26"/>
      <c r="G244" s="26"/>
      <c r="H244" s="26"/>
      <c r="I244" s="26"/>
      <c r="J244" s="26" t="n">
        <f t="shared" si="9"/>
        <v>39.236</v>
      </c>
      <c r="K244" s="26"/>
      <c r="L244" s="25"/>
    </row>
    <row r="245" spans="1:12" ht="15.5" customHeight="1" x14ac:dyDescent="0.35">
      <c r="A245" s="25"/>
      <c r="B245" s="25" t="s">
        <v>206</v>
      </c>
      <c r="C245" s="26">
        <v>2</v>
      </c>
      <c r="D245" s="26">
        <v>1</v>
      </c>
      <c r="E245" s="26">
        <v>0.45</v>
      </c>
      <c r="F245" s="26"/>
      <c r="G245" s="26"/>
      <c r="H245" s="26"/>
      <c r="I245" s="26"/>
      <c r="J245" s="26" t="n">
        <f t="shared" si="9"/>
        <v>0.9</v>
      </c>
      <c r="K245" s="26"/>
      <c r="L245" s="25"/>
    </row>
    <row r="246" spans="1:12" ht="31" customHeight="1" x14ac:dyDescent="0.35">
      <c r="A246" s="23" t="s">
        <v>117</v>
      </c>
      <c r="B246" s="23" t="s">
        <v>118</v>
      </c>
      <c r="C246" s="24"/>
      <c r="D246" s="24"/>
      <c r="E246" s="24"/>
      <c r="F246" s="24"/>
      <c r="G246" s="24"/>
      <c r="H246" s="24"/>
      <c r="I246" s="24"/>
      <c r="J246" s="24"/>
      <c r="K246" s="24" t="n">
        <f>SUM(J247:J247)</f>
        <v>0.522275</v>
      </c>
      <c r="L246" s="23" t="s">
        <v>25</v>
      </c>
    </row>
    <row r="247" spans="1:12" ht="31" customHeight="1" x14ac:dyDescent="0.35">
      <c r="A247" s="25"/>
      <c r="B247" s="25" t="s">
        <v>207</v>
      </c>
      <c r="C247" s="26">
        <v>1</v>
      </c>
      <c r="D247" s="26">
        <v>3.214</v>
      </c>
      <c r="E247" s="26">
        <v>0.25</v>
      </c>
      <c r="F247" s="26">
        <v>0.65</v>
      </c>
      <c r="G247" s="26"/>
      <c r="H247" s="26"/>
      <c r="I247" s="26"/>
      <c r="J247" s="26" t="n">
        <f>C247*D247*E247*F247</f>
        <v>0.522275</v>
      </c>
      <c r="K247" s="26"/>
      <c r="L247" s="25"/>
    </row>
    <row r="248" spans="1:12" ht="18" customHeight="1" x14ac:dyDescent="0.35">
      <c r="A248" s="2" t="s">
        <v>119</v>
      </c>
      <c r="B248" s="222" t="s">
        <v>41</v>
      </c>
      <c r="C248" s="213"/>
      <c r="D248" s="213"/>
      <c r="E248" s="213"/>
      <c r="F248" s="213"/>
      <c r="G248" s="213"/>
      <c r="H248" s="213"/>
      <c r="I248" s="213"/>
      <c r="J248" s="213"/>
      <c r="K248" s="213"/>
      <c r="L248" s="214"/>
    </row>
    <row r="249" spans="1:12" ht="15.5" customHeight="1" x14ac:dyDescent="0.35">
      <c r="A249" s="1" t="s">
        <v>120</v>
      </c>
      <c r="B249" s="1" t="s">
        <v>121</v>
      </c>
      <c r="C249" s="33"/>
      <c r="D249" s="33"/>
      <c r="E249" s="33"/>
      <c r="F249" s="33"/>
      <c r="G249" s="33"/>
      <c r="H249" s="33"/>
      <c r="I249" s="33"/>
      <c r="J249" s="33"/>
      <c r="K249" s="33"/>
      <c r="L249" s="1"/>
    </row>
    <row r="250" spans="1:12" ht="31" customHeight="1" x14ac:dyDescent="0.35">
      <c r="A250" s="23" t="s">
        <v>122</v>
      </c>
      <c r="B250" s="23" t="s">
        <v>123</v>
      </c>
      <c r="C250" s="24"/>
      <c r="D250" s="24"/>
      <c r="E250" s="24"/>
      <c r="F250" s="24"/>
      <c r="G250" s="24"/>
      <c r="H250" s="24"/>
      <c r="I250" s="24"/>
      <c r="J250" s="24"/>
      <c r="K250" s="24" t="n">
        <f>SUM(J251:J281)</f>
        <v>65.5598924</v>
      </c>
      <c r="L250" s="23" t="s">
        <v>25</v>
      </c>
    </row>
    <row r="251" spans="1:12" ht="31" customHeight="1" x14ac:dyDescent="0.35">
      <c r="A251" s="25"/>
      <c r="B251" s="25" t="s">
        <v>208</v>
      </c>
      <c r="C251" s="26">
        <v>1</v>
      </c>
      <c r="D251" s="26">
        <v>2.74</v>
      </c>
      <c r="E251" s="26">
        <v>1.7</v>
      </c>
      <c r="F251" s="26">
        <v>0.1</v>
      </c>
      <c r="G251" s="26"/>
      <c r="H251" s="26"/>
      <c r="I251" s="26"/>
      <c r="J251" s="26" t="n">
        <f t="shared" ref="J251:J281" si="10">C251*D251*E251*F251</f>
        <v>0.4658</v>
      </c>
      <c r="K251" s="26"/>
      <c r="L251" s="25"/>
    </row>
    <row r="252" spans="1:12" ht="31" customHeight="1" x14ac:dyDescent="0.35">
      <c r="A252" s="25"/>
      <c r="B252" s="25" t="s">
        <v>209</v>
      </c>
      <c r="C252" s="26">
        <v>1</v>
      </c>
      <c r="D252" s="26">
        <v>15.71</v>
      </c>
      <c r="E252" s="26">
        <v>1.7</v>
      </c>
      <c r="F252" s="26">
        <v>0.1</v>
      </c>
      <c r="G252" s="26"/>
      <c r="H252" s="26"/>
      <c r="I252" s="26"/>
      <c r="J252" s="26" t="n">
        <f t="shared" si="10"/>
        <v>2.6707</v>
      </c>
      <c r="K252" s="26"/>
      <c r="L252" s="25"/>
    </row>
    <row r="253" spans="1:12" ht="31" customHeight="1" x14ac:dyDescent="0.35">
      <c r="A253" s="25"/>
      <c r="B253" s="25" t="s">
        <v>210</v>
      </c>
      <c r="C253" s="26">
        <v>1</v>
      </c>
      <c r="D253" s="26">
        <v>16.59</v>
      </c>
      <c r="E253" s="26">
        <v>1.7</v>
      </c>
      <c r="F253" s="26">
        <v>0.1</v>
      </c>
      <c r="G253" s="26"/>
      <c r="H253" s="26"/>
      <c r="I253" s="26"/>
      <c r="J253" s="26" t="n">
        <f t="shared" si="10"/>
        <v>2.8203</v>
      </c>
      <c r="K253" s="26"/>
      <c r="L253" s="25"/>
    </row>
    <row r="254" spans="1:12" ht="31" customHeight="1" x14ac:dyDescent="0.35">
      <c r="A254" s="25"/>
      <c r="B254" s="25" t="s">
        <v>211</v>
      </c>
      <c r="C254" s="26">
        <v>1</v>
      </c>
      <c r="D254" s="26">
        <v>16.82</v>
      </c>
      <c r="E254" s="26">
        <v>1.7</v>
      </c>
      <c r="F254" s="26">
        <v>0.1</v>
      </c>
      <c r="G254" s="26"/>
      <c r="H254" s="26"/>
      <c r="I254" s="26"/>
      <c r="J254" s="26" t="n">
        <f t="shared" si="10"/>
        <v>2.8594</v>
      </c>
      <c r="K254" s="26"/>
      <c r="L254" s="25"/>
    </row>
    <row r="255" spans="1:12" ht="31" customHeight="1" x14ac:dyDescent="0.35">
      <c r="A255" s="25"/>
      <c r="B255" s="25" t="s">
        <v>212</v>
      </c>
      <c r="C255" s="26">
        <v>1</v>
      </c>
      <c r="D255" s="26">
        <v>2.14</v>
      </c>
      <c r="E255" s="26">
        <v>1.7</v>
      </c>
      <c r="F255" s="26">
        <v>0.1</v>
      </c>
      <c r="G255" s="26"/>
      <c r="H255" s="26"/>
      <c r="I255" s="26"/>
      <c r="J255" s="26" t="n">
        <f t="shared" si="10"/>
        <v>0.3638</v>
      </c>
      <c r="K255" s="26"/>
      <c r="L255" s="25"/>
    </row>
    <row r="256" spans="1:12" ht="31" customHeight="1" x14ac:dyDescent="0.35">
      <c r="A256" s="25"/>
      <c r="B256" s="25" t="s">
        <v>213</v>
      </c>
      <c r="C256" s="26">
        <v>1</v>
      </c>
      <c r="D256" s="26">
        <v>6</v>
      </c>
      <c r="E256" s="26">
        <v>1.8</v>
      </c>
      <c r="F256" s="26">
        <v>0.2</v>
      </c>
      <c r="G256" s="26"/>
      <c r="H256" s="26"/>
      <c r="I256" s="26"/>
      <c r="J256" s="26" t="n">
        <f t="shared" si="10"/>
        <v>2.16</v>
      </c>
      <c r="K256" s="26"/>
      <c r="L256" s="25"/>
    </row>
    <row r="257" spans="1:12" ht="31" customHeight="1" x14ac:dyDescent="0.35">
      <c r="A257" s="25"/>
      <c r="B257" s="25" t="s">
        <v>214</v>
      </c>
      <c r="C257" s="26">
        <v>1</v>
      </c>
      <c r="D257" s="26">
        <v>18.420000000000002</v>
      </c>
      <c r="E257" s="26">
        <v>1.7</v>
      </c>
      <c r="F257" s="26">
        <v>0.1</v>
      </c>
      <c r="G257" s="26"/>
      <c r="H257" s="26"/>
      <c r="I257" s="26"/>
      <c r="J257" s="26" t="n">
        <f t="shared" si="10"/>
        <v>3.1314</v>
      </c>
      <c r="K257" s="26"/>
      <c r="L257" s="25"/>
    </row>
    <row r="258" spans="1:12" ht="46.5" customHeight="1" x14ac:dyDescent="0.35">
      <c r="A258" s="25"/>
      <c r="B258" s="25" t="s">
        <v>215</v>
      </c>
      <c r="C258" s="26">
        <v>1</v>
      </c>
      <c r="D258" s="26">
        <v>37.58</v>
      </c>
      <c r="E258" s="26">
        <v>1.7</v>
      </c>
      <c r="F258" s="26">
        <v>0.1</v>
      </c>
      <c r="G258" s="26"/>
      <c r="H258" s="26"/>
      <c r="I258" s="26"/>
      <c r="J258" s="26" t="n">
        <f t="shared" si="10"/>
        <v>6.3886</v>
      </c>
      <c r="K258" s="26"/>
      <c r="L258" s="25"/>
    </row>
    <row r="259" spans="1:12" ht="46.5" customHeight="1" x14ac:dyDescent="0.35">
      <c r="A259" s="25"/>
      <c r="B259" s="25" t="s">
        <v>216</v>
      </c>
      <c r="C259" s="26">
        <v>1</v>
      </c>
      <c r="D259" s="26">
        <v>23.08</v>
      </c>
      <c r="E259" s="26">
        <v>1.7</v>
      </c>
      <c r="F259" s="26">
        <v>0.1</v>
      </c>
      <c r="G259" s="26"/>
      <c r="H259" s="26"/>
      <c r="I259" s="26"/>
      <c r="J259" s="26" t="n">
        <f t="shared" si="10"/>
        <v>3.9236</v>
      </c>
      <c r="K259" s="26"/>
      <c r="L259" s="25"/>
    </row>
    <row r="260" spans="1:12" ht="31" customHeight="1" x14ac:dyDescent="0.35">
      <c r="A260" s="25"/>
      <c r="B260" s="25" t="s">
        <v>217</v>
      </c>
      <c r="C260" s="26">
        <v>2</v>
      </c>
      <c r="D260" s="26">
        <v>2.74</v>
      </c>
      <c r="E260" s="26">
        <v>0.1</v>
      </c>
      <c r="F260" s="26">
        <v>0.43409999999999999</v>
      </c>
      <c r="G260" s="26"/>
      <c r="H260" s="26"/>
      <c r="I260" s="26"/>
      <c r="J260" s="26" t="n">
        <f t="shared" si="10"/>
        <v>0.2378868</v>
      </c>
      <c r="K260" s="26"/>
      <c r="L260" s="25"/>
    </row>
    <row r="261" spans="1:12" ht="31" customHeight="1" x14ac:dyDescent="0.35">
      <c r="A261" s="25"/>
      <c r="B261" s="25" t="s">
        <v>218</v>
      </c>
      <c r="C261" s="26">
        <v>2</v>
      </c>
      <c r="D261" s="26">
        <v>15.71</v>
      </c>
      <c r="E261" s="26">
        <v>0.1</v>
      </c>
      <c r="F261" s="26">
        <v>0.46200000000000002</v>
      </c>
      <c r="G261" s="26"/>
      <c r="H261" s="26"/>
      <c r="I261" s="26"/>
      <c r="J261" s="26" t="n">
        <f t="shared" si="10"/>
        <v>1.451604</v>
      </c>
      <c r="K261" s="26"/>
      <c r="L261" s="25"/>
    </row>
    <row r="262" spans="1:12" ht="31" customHeight="1" x14ac:dyDescent="0.35">
      <c r="A262" s="25"/>
      <c r="B262" s="25" t="s">
        <v>219</v>
      </c>
      <c r="C262" s="26">
        <v>2</v>
      </c>
      <c r="D262" s="26">
        <v>16.59</v>
      </c>
      <c r="E262" s="26">
        <v>0.1</v>
      </c>
      <c r="F262" s="26">
        <v>0.51080000000000003</v>
      </c>
      <c r="G262" s="26"/>
      <c r="H262" s="26"/>
      <c r="I262" s="26"/>
      <c r="J262" s="26" t="n">
        <f t="shared" si="10"/>
        <v>1.6948344</v>
      </c>
      <c r="K262" s="26"/>
      <c r="L262" s="25"/>
    </row>
    <row r="263" spans="1:12" ht="31" customHeight="1" x14ac:dyDescent="0.35">
      <c r="A263" s="25"/>
      <c r="B263" s="25" t="s">
        <v>220</v>
      </c>
      <c r="C263" s="26">
        <v>2</v>
      </c>
      <c r="D263" s="26">
        <v>16.82</v>
      </c>
      <c r="E263" s="26">
        <v>0.1</v>
      </c>
      <c r="F263" s="26">
        <v>0.56120000000000003</v>
      </c>
      <c r="G263" s="26"/>
      <c r="H263" s="26"/>
      <c r="I263" s="26"/>
      <c r="J263" s="26" t="n">
        <f t="shared" si="10"/>
        <v>1.8878768</v>
      </c>
      <c r="K263" s="26"/>
      <c r="L263" s="25"/>
    </row>
    <row r="264" spans="1:12" ht="31" customHeight="1" x14ac:dyDescent="0.35">
      <c r="A264" s="25"/>
      <c r="B264" s="25" t="s">
        <v>221</v>
      </c>
      <c r="C264" s="26">
        <v>2</v>
      </c>
      <c r="D264" s="26">
        <v>2.14</v>
      </c>
      <c r="E264" s="26">
        <v>0.1</v>
      </c>
      <c r="F264" s="26">
        <v>0.58979999999999999</v>
      </c>
      <c r="G264" s="26"/>
      <c r="H264" s="26"/>
      <c r="I264" s="26"/>
      <c r="J264" s="26" t="n">
        <f t="shared" si="10"/>
        <v>0.2524344</v>
      </c>
      <c r="K264" s="26"/>
      <c r="L264" s="25"/>
    </row>
    <row r="265" spans="1:12" ht="31" customHeight="1" x14ac:dyDescent="0.35">
      <c r="A265" s="25"/>
      <c r="B265" s="25" t="s">
        <v>222</v>
      </c>
      <c r="C265" s="26">
        <v>2</v>
      </c>
      <c r="D265" s="26">
        <v>6</v>
      </c>
      <c r="E265" s="26">
        <v>0.15</v>
      </c>
      <c r="F265" s="26">
        <v>0.50209999999999999</v>
      </c>
      <c r="G265" s="26"/>
      <c r="H265" s="26"/>
      <c r="I265" s="26"/>
      <c r="J265" s="26" t="n">
        <f t="shared" si="10"/>
        <v>0.90378</v>
      </c>
      <c r="K265" s="26"/>
      <c r="L265" s="25"/>
    </row>
    <row r="266" spans="1:12" ht="31" customHeight="1" x14ac:dyDescent="0.35">
      <c r="A266" s="25"/>
      <c r="B266" s="25" t="s">
        <v>223</v>
      </c>
      <c r="C266" s="26">
        <v>2</v>
      </c>
      <c r="D266" s="26">
        <v>18.420000000000002</v>
      </c>
      <c r="E266" s="26">
        <v>0.1</v>
      </c>
      <c r="F266" s="26">
        <v>0.63900000000000001</v>
      </c>
      <c r="G266" s="26"/>
      <c r="H266" s="26"/>
      <c r="I266" s="26"/>
      <c r="J266" s="26" t="n">
        <f t="shared" si="10"/>
        <v>2.354076</v>
      </c>
      <c r="K266" s="26"/>
      <c r="L266" s="25"/>
    </row>
    <row r="267" spans="1:12" ht="31" customHeight="1" x14ac:dyDescent="0.35">
      <c r="A267" s="25"/>
      <c r="B267" s="25" t="s">
        <v>224</v>
      </c>
      <c r="C267" s="26">
        <v>2</v>
      </c>
      <c r="D267" s="26">
        <v>37.58</v>
      </c>
      <c r="E267" s="26">
        <v>0.1</v>
      </c>
      <c r="F267" s="26">
        <v>0.6</v>
      </c>
      <c r="G267" s="26"/>
      <c r="H267" s="26"/>
      <c r="I267" s="26"/>
      <c r="J267" s="26" t="n">
        <f t="shared" si="10"/>
        <v>4.5096</v>
      </c>
      <c r="K267" s="26"/>
      <c r="L267" s="25"/>
    </row>
    <row r="268" spans="1:12" ht="31" customHeight="1" x14ac:dyDescent="0.35">
      <c r="A268" s="25"/>
      <c r="B268" s="25" t="s">
        <v>225</v>
      </c>
      <c r="C268" s="26">
        <v>2</v>
      </c>
      <c r="D268" s="26">
        <v>23.08</v>
      </c>
      <c r="E268" s="26">
        <v>0.1</v>
      </c>
      <c r="F268" s="26">
        <v>0.6</v>
      </c>
      <c r="G268" s="26"/>
      <c r="H268" s="26"/>
      <c r="I268" s="26"/>
      <c r="J268" s="26" t="n">
        <f t="shared" si="10"/>
        <v>2.7696</v>
      </c>
      <c r="K268" s="26"/>
      <c r="L268" s="25"/>
    </row>
    <row r="269" spans="1:12" ht="31" customHeight="1" x14ac:dyDescent="0.35">
      <c r="A269" s="25"/>
      <c r="B269" s="25" t="s">
        <v>226</v>
      </c>
      <c r="C269" s="26">
        <v>1</v>
      </c>
      <c r="D269" s="26">
        <v>2.74</v>
      </c>
      <c r="E269" s="26">
        <v>1.7</v>
      </c>
      <c r="F269" s="26">
        <v>0.1</v>
      </c>
      <c r="G269" s="26"/>
      <c r="H269" s="26"/>
      <c r="I269" s="26"/>
      <c r="J269" s="26" t="n">
        <f t="shared" si="10"/>
        <v>0.4658</v>
      </c>
      <c r="K269" s="26"/>
      <c r="L269" s="25"/>
    </row>
    <row r="270" spans="1:12" ht="31" customHeight="1" x14ac:dyDescent="0.35">
      <c r="A270" s="25"/>
      <c r="B270" s="25" t="s">
        <v>227</v>
      </c>
      <c r="C270" s="26">
        <v>1</v>
      </c>
      <c r="D270" s="26">
        <v>15.71</v>
      </c>
      <c r="E270" s="26">
        <v>1.7</v>
      </c>
      <c r="F270" s="26">
        <v>0.1</v>
      </c>
      <c r="G270" s="26"/>
      <c r="H270" s="26"/>
      <c r="I270" s="26"/>
      <c r="J270" s="26" t="n">
        <f t="shared" si="10"/>
        <v>2.6707</v>
      </c>
      <c r="K270" s="26"/>
      <c r="L270" s="25"/>
    </row>
    <row r="271" spans="1:12" ht="31" customHeight="1" x14ac:dyDescent="0.35">
      <c r="A271" s="25"/>
      <c r="B271" s="25" t="s">
        <v>228</v>
      </c>
      <c r="C271" s="26">
        <v>1</v>
      </c>
      <c r="D271" s="26">
        <v>16.59</v>
      </c>
      <c r="E271" s="26">
        <v>1.7</v>
      </c>
      <c r="F271" s="26">
        <v>0.1</v>
      </c>
      <c r="G271" s="26"/>
      <c r="H271" s="26"/>
      <c r="I271" s="26"/>
      <c r="J271" s="26" t="n">
        <f t="shared" si="10"/>
        <v>2.8203</v>
      </c>
      <c r="K271" s="26"/>
      <c r="L271" s="25"/>
    </row>
    <row r="272" spans="1:12" ht="31" customHeight="1" x14ac:dyDescent="0.35">
      <c r="A272" s="25"/>
      <c r="B272" s="25" t="s">
        <v>229</v>
      </c>
      <c r="C272" s="26">
        <v>1</v>
      </c>
      <c r="D272" s="26">
        <v>16.82</v>
      </c>
      <c r="E272" s="26">
        <v>1.7</v>
      </c>
      <c r="F272" s="26">
        <v>0.1</v>
      </c>
      <c r="G272" s="26"/>
      <c r="H272" s="26"/>
      <c r="I272" s="26"/>
      <c r="J272" s="26" t="n">
        <f t="shared" si="10"/>
        <v>2.8594</v>
      </c>
      <c r="K272" s="26"/>
      <c r="L272" s="25"/>
    </row>
    <row r="273" spans="1:12" ht="31" customHeight="1" x14ac:dyDescent="0.35">
      <c r="A273" s="25"/>
      <c r="B273" s="25" t="s">
        <v>230</v>
      </c>
      <c r="C273" s="26">
        <v>1</v>
      </c>
      <c r="D273" s="26">
        <v>2.14</v>
      </c>
      <c r="E273" s="26">
        <v>1.7</v>
      </c>
      <c r="F273" s="26">
        <v>0.1</v>
      </c>
      <c r="G273" s="26"/>
      <c r="H273" s="26"/>
      <c r="I273" s="26"/>
      <c r="J273" s="26" t="n">
        <f t="shared" si="10"/>
        <v>0.3638</v>
      </c>
      <c r="K273" s="26"/>
      <c r="L273" s="25"/>
    </row>
    <row r="274" spans="1:12" ht="31" customHeight="1" x14ac:dyDescent="0.35">
      <c r="A274" s="25"/>
      <c r="B274" s="25" t="s">
        <v>231</v>
      </c>
      <c r="C274" s="26">
        <v>1</v>
      </c>
      <c r="D274" s="26">
        <v>6</v>
      </c>
      <c r="E274" s="26">
        <v>1.8</v>
      </c>
      <c r="F274" s="26">
        <v>0.2</v>
      </c>
      <c r="G274" s="26"/>
      <c r="H274" s="26"/>
      <c r="I274" s="26"/>
      <c r="J274" s="26" t="n">
        <f t="shared" si="10"/>
        <v>2.16</v>
      </c>
      <c r="K274" s="26"/>
      <c r="L274" s="25"/>
    </row>
    <row r="275" spans="1:12" ht="31" customHeight="1" x14ac:dyDescent="0.35">
      <c r="A275" s="25"/>
      <c r="B275" s="25" t="s">
        <v>232</v>
      </c>
      <c r="C275" s="26">
        <v>1</v>
      </c>
      <c r="D275" s="26">
        <v>18.420000000000002</v>
      </c>
      <c r="E275" s="26">
        <v>1.7</v>
      </c>
      <c r="F275" s="26">
        <v>0.1</v>
      </c>
      <c r="G275" s="26"/>
      <c r="H275" s="26"/>
      <c r="I275" s="26"/>
      <c r="J275" s="26" t="n">
        <f t="shared" si="10"/>
        <v>3.1314</v>
      </c>
      <c r="K275" s="26"/>
      <c r="L275" s="25"/>
    </row>
    <row r="276" spans="1:12" ht="46.5" customHeight="1" x14ac:dyDescent="0.35">
      <c r="A276" s="25"/>
      <c r="B276" s="25" t="s">
        <v>233</v>
      </c>
      <c r="C276" s="26">
        <v>1</v>
      </c>
      <c r="D276" s="26">
        <v>37.58</v>
      </c>
      <c r="E276" s="26">
        <v>1.7</v>
      </c>
      <c r="F276" s="26">
        <v>0.1</v>
      </c>
      <c r="G276" s="26"/>
      <c r="H276" s="26"/>
      <c r="I276" s="26"/>
      <c r="J276" s="26" t="n">
        <f t="shared" si="10"/>
        <v>6.3886</v>
      </c>
      <c r="K276" s="26"/>
      <c r="L276" s="25"/>
    </row>
    <row r="277" spans="1:12" ht="46.5" customHeight="1" x14ac:dyDescent="0.35">
      <c r="A277" s="25"/>
      <c r="B277" s="25" t="s">
        <v>234</v>
      </c>
      <c r="C277" s="26">
        <v>1</v>
      </c>
      <c r="D277" s="26">
        <v>23.08</v>
      </c>
      <c r="E277" s="26">
        <v>1.7</v>
      </c>
      <c r="F277" s="26">
        <v>0.1</v>
      </c>
      <c r="G277" s="26"/>
      <c r="H277" s="26"/>
      <c r="I277" s="26"/>
      <c r="J277" s="26" t="n">
        <f t="shared" si="10"/>
        <v>3.9236</v>
      </c>
      <c r="K277" s="26"/>
      <c r="L277" s="25"/>
    </row>
    <row r="278" spans="1:12" ht="31" customHeight="1" x14ac:dyDescent="0.35">
      <c r="A278" s="25"/>
      <c r="B278" s="25" t="s">
        <v>235</v>
      </c>
      <c r="C278" s="26">
        <v>-4</v>
      </c>
      <c r="D278" s="26">
        <v>0.4</v>
      </c>
      <c r="E278" s="26">
        <v>0.1</v>
      </c>
      <c r="F278" s="26">
        <v>0.3</v>
      </c>
      <c r="G278" s="26"/>
      <c r="H278" s="26"/>
      <c r="I278" s="26"/>
      <c r="J278" s="26" t="n">
        <f t="shared" si="10"/>
        <v>-0.048</v>
      </c>
      <c r="K278" s="26"/>
      <c r="L278" s="25"/>
    </row>
    <row r="279" spans="1:12" ht="15.5" customHeight="1" x14ac:dyDescent="0.35">
      <c r="A279" s="25"/>
      <c r="B279" s="25" t="s">
        <v>236</v>
      </c>
      <c r="C279" s="26">
        <v>-15</v>
      </c>
      <c r="D279" s="26">
        <v>0.7</v>
      </c>
      <c r="E279" s="26">
        <v>0.7</v>
      </c>
      <c r="F279" s="26">
        <v>0.08</v>
      </c>
      <c r="G279" s="26"/>
      <c r="H279" s="26"/>
      <c r="I279" s="26"/>
      <c r="J279" s="26" t="n">
        <f t="shared" si="10"/>
        <v>-0.588</v>
      </c>
      <c r="K279" s="26"/>
      <c r="L279" s="25"/>
    </row>
    <row r="280" spans="1:12" ht="15.5" customHeight="1" x14ac:dyDescent="0.35">
      <c r="A280" s="25"/>
      <c r="B280" s="25" t="s">
        <v>237</v>
      </c>
      <c r="C280" s="26">
        <v>-15</v>
      </c>
      <c r="D280" s="26">
        <v>0.6</v>
      </c>
      <c r="E280" s="26">
        <v>0.6</v>
      </c>
      <c r="F280" s="26">
        <v>0.02</v>
      </c>
      <c r="G280" s="26"/>
      <c r="H280" s="26"/>
      <c r="I280" s="26"/>
      <c r="J280" s="26" t="n">
        <f t="shared" si="10"/>
        <v>-0.108</v>
      </c>
      <c r="K280" s="26"/>
      <c r="L280" s="25"/>
    </row>
    <row r="281" spans="1:12" ht="31" customHeight="1" x14ac:dyDescent="0.35">
      <c r="A281" s="25"/>
      <c r="B281" s="25" t="s">
        <v>238</v>
      </c>
      <c r="C281" s="26">
        <v>15</v>
      </c>
      <c r="D281" s="26">
        <v>3</v>
      </c>
      <c r="E281" s="26">
        <v>0.15</v>
      </c>
      <c r="F281" s="26">
        <v>0.1</v>
      </c>
      <c r="G281" s="26"/>
      <c r="H281" s="26"/>
      <c r="I281" s="26"/>
      <c r="J281" s="26" t="n">
        <f t="shared" si="10"/>
        <v>0.675</v>
      </c>
      <c r="K281" s="26"/>
      <c r="L281" s="25"/>
    </row>
    <row r="282" spans="1:12" ht="31" customHeight="1" x14ac:dyDescent="0.35">
      <c r="A282" s="23" t="s">
        <v>124</v>
      </c>
      <c r="B282" s="23" t="s">
        <v>125</v>
      </c>
      <c r="C282" s="24"/>
      <c r="D282" s="24"/>
      <c r="E282" s="24"/>
      <c r="F282" s="24"/>
      <c r="G282" s="24"/>
      <c r="H282" s="24"/>
      <c r="I282" s="24"/>
      <c r="J282" s="24"/>
      <c r="K282" s="24" t="n">
        <f>SUM(J283:J292)</f>
        <v>490.721915</v>
      </c>
      <c r="L282" s="23" t="s">
        <v>18</v>
      </c>
    </row>
    <row r="283" spans="1:12" ht="31" customHeight="1" x14ac:dyDescent="0.35">
      <c r="A283" s="25"/>
      <c r="B283" s="25" t="s">
        <v>239</v>
      </c>
      <c r="C283" s="26">
        <v>1</v>
      </c>
      <c r="D283" s="26">
        <v>2.74</v>
      </c>
      <c r="E283" s="26">
        <v>3.0024000000000002</v>
      </c>
      <c r="F283" s="26"/>
      <c r="G283" s="26"/>
      <c r="H283" s="26"/>
      <c r="I283" s="26"/>
      <c r="J283" s="26" t="n">
        <f t="shared" ref="J283:J291" si="11">C283*D283*E283</f>
        <v>8.226576</v>
      </c>
      <c r="K283" s="26"/>
      <c r="L283" s="25"/>
    </row>
    <row r="284" spans="1:12" ht="46.5" customHeight="1" x14ac:dyDescent="0.35">
      <c r="A284" s="25"/>
      <c r="B284" s="25" t="s">
        <v>240</v>
      </c>
      <c r="C284" s="26">
        <v>1</v>
      </c>
      <c r="D284" s="26">
        <v>15.71</v>
      </c>
      <c r="E284" s="26">
        <v>3.0859999999999999</v>
      </c>
      <c r="F284" s="26"/>
      <c r="G284" s="26"/>
      <c r="H284" s="26"/>
      <c r="I284" s="26"/>
      <c r="J284" s="26" t="n">
        <f t="shared" si="11"/>
        <v>48.48106</v>
      </c>
      <c r="K284" s="26"/>
      <c r="L284" s="25"/>
    </row>
    <row r="285" spans="1:12" ht="31" customHeight="1" x14ac:dyDescent="0.35">
      <c r="A285" s="25"/>
      <c r="B285" s="25" t="s">
        <v>241</v>
      </c>
      <c r="C285" s="26">
        <v>1</v>
      </c>
      <c r="D285" s="26">
        <v>16.59</v>
      </c>
      <c r="E285" s="26">
        <v>3.2323</v>
      </c>
      <c r="F285" s="26"/>
      <c r="G285" s="26"/>
      <c r="H285" s="26"/>
      <c r="I285" s="26"/>
      <c r="J285" s="26" t="n">
        <f t="shared" si="11"/>
        <v>53.623857</v>
      </c>
      <c r="K285" s="26"/>
      <c r="L285" s="25"/>
    </row>
    <row r="286" spans="1:12" ht="46.5" customHeight="1" x14ac:dyDescent="0.35">
      <c r="A286" s="25"/>
      <c r="B286" s="25" t="s">
        <v>242</v>
      </c>
      <c r="C286" s="26">
        <v>1</v>
      </c>
      <c r="D286" s="26">
        <v>16.82</v>
      </c>
      <c r="E286" s="26">
        <v>3.3835999999999999</v>
      </c>
      <c r="F286" s="26"/>
      <c r="G286" s="26"/>
      <c r="H286" s="26"/>
      <c r="I286" s="26"/>
      <c r="J286" s="26" t="n">
        <f t="shared" si="11"/>
        <v>56.912152</v>
      </c>
      <c r="K286" s="26"/>
      <c r="L286" s="25"/>
    </row>
    <row r="287" spans="1:12" ht="31" customHeight="1" x14ac:dyDescent="0.35">
      <c r="A287" s="25"/>
      <c r="B287" s="25" t="s">
        <v>243</v>
      </c>
      <c r="C287" s="26">
        <v>1</v>
      </c>
      <c r="D287" s="26">
        <v>2.14</v>
      </c>
      <c r="E287" s="26">
        <v>3.4695</v>
      </c>
      <c r="F287" s="26"/>
      <c r="G287" s="26"/>
      <c r="H287" s="26"/>
      <c r="I287" s="26"/>
      <c r="J287" s="26" t="n">
        <f t="shared" si="11"/>
        <v>7.42473</v>
      </c>
      <c r="K287" s="26"/>
      <c r="L287" s="25"/>
    </row>
    <row r="288" spans="1:12" ht="46.5" customHeight="1" x14ac:dyDescent="0.35">
      <c r="A288" s="25"/>
      <c r="B288" s="25" t="s">
        <v>244</v>
      </c>
      <c r="C288" s="26">
        <v>1</v>
      </c>
      <c r="D288" s="26">
        <v>6</v>
      </c>
      <c r="E288" s="26">
        <v>3.4064000000000001</v>
      </c>
      <c r="F288" s="26"/>
      <c r="G288" s="26"/>
      <c r="H288" s="26"/>
      <c r="I288" s="26"/>
      <c r="J288" s="26" t="n">
        <f t="shared" si="11"/>
        <v>20.4384</v>
      </c>
      <c r="K288" s="26"/>
      <c r="L288" s="25"/>
    </row>
    <row r="289" spans="1:12" ht="31" customHeight="1" x14ac:dyDescent="0.35">
      <c r="A289" s="25"/>
      <c r="B289" s="25" t="s">
        <v>245</v>
      </c>
      <c r="C289" s="26">
        <v>1</v>
      </c>
      <c r="D289" s="26">
        <v>18.420000000000002</v>
      </c>
      <c r="E289" s="26">
        <v>3.617</v>
      </c>
      <c r="F289" s="26"/>
      <c r="G289" s="26"/>
      <c r="H289" s="26"/>
      <c r="I289" s="26"/>
      <c r="J289" s="26" t="n">
        <f t="shared" si="11"/>
        <v>66.62514</v>
      </c>
      <c r="K289" s="26"/>
      <c r="L289" s="25"/>
    </row>
    <row r="290" spans="1:12" ht="46.5" customHeight="1" x14ac:dyDescent="0.35">
      <c r="A290" s="25"/>
      <c r="B290" s="25" t="s">
        <v>246</v>
      </c>
      <c r="C290" s="26">
        <v>1</v>
      </c>
      <c r="D290" s="26">
        <v>37.58</v>
      </c>
      <c r="E290" s="26">
        <v>3.5</v>
      </c>
      <c r="F290" s="26"/>
      <c r="G290" s="26"/>
      <c r="H290" s="26"/>
      <c r="I290" s="26"/>
      <c r="J290" s="26" t="n">
        <f t="shared" si="11"/>
        <v>131.53</v>
      </c>
      <c r="K290" s="26"/>
      <c r="L290" s="25"/>
    </row>
    <row r="291" spans="1:12" ht="46.5" customHeight="1" x14ac:dyDescent="0.35">
      <c r="A291" s="25"/>
      <c r="B291" s="25" t="s">
        <v>247</v>
      </c>
      <c r="C291" s="26">
        <v>1</v>
      </c>
      <c r="D291" s="26">
        <v>23.08</v>
      </c>
      <c r="E291" s="26">
        <v>3.5</v>
      </c>
      <c r="F291" s="26"/>
      <c r="G291" s="26"/>
      <c r="H291" s="26"/>
      <c r="I291" s="26"/>
      <c r="J291" s="26" t="n">
        <f t="shared" si="11"/>
        <v>80.78</v>
      </c>
      <c r="K291" s="26"/>
      <c r="L291" s="25"/>
    </row>
    <row r="292" spans="1:12" ht="15.5" customHeight="1" x14ac:dyDescent="0.35">
      <c r="A292" s="25"/>
      <c r="B292" s="25" t="s">
        <v>248</v>
      </c>
      <c r="C292" s="26">
        <v>15</v>
      </c>
      <c r="D292" s="26"/>
      <c r="E292" s="26"/>
      <c r="F292" s="26"/>
      <c r="G292" s="26"/>
      <c r="H292" s="26">
        <v>1.1120000000000001</v>
      </c>
      <c r="I292" s="26"/>
      <c r="J292" s="26" t="n">
        <f>C292*H292</f>
        <v>16.68</v>
      </c>
      <c r="K292" s="26"/>
      <c r="L292" s="25"/>
    </row>
    <row r="293" spans="1:12" ht="31" customHeight="1" x14ac:dyDescent="0.35">
      <c r="A293" s="23" t="s">
        <v>126</v>
      </c>
      <c r="B293" s="23" t="s">
        <v>127</v>
      </c>
      <c r="C293" s="24"/>
      <c r="D293" s="24"/>
      <c r="E293" s="24"/>
      <c r="F293" s="24"/>
      <c r="G293" s="24"/>
      <c r="H293" s="24"/>
      <c r="I293" s="24"/>
      <c r="J293" s="24"/>
      <c r="K293" s="24" t="n">
        <f>SUM(J294:J294)</f>
        <v>4140.49335597927</v>
      </c>
      <c r="L293" s="23" t="s">
        <v>50</v>
      </c>
    </row>
    <row r="294" spans="1:12" ht="31" customHeight="1" x14ac:dyDescent="0.35">
      <c r="A294" s="25"/>
      <c r="B294" s="25" t="s">
        <v>249</v>
      </c>
      <c r="C294" s="26">
        <v>1</v>
      </c>
      <c r="D294" s="26"/>
      <c r="E294" s="26"/>
      <c r="F294" s="26"/>
      <c r="G294" s="26"/>
      <c r="H294" s="26"/>
      <c r="I294" s="26"/>
      <c r="J294" s="26" t="n">
        <f>+'METRADO ACERO COLECTOR'!J22</f>
        <v>4140.49335597927</v>
      </c>
      <c r="K294" s="26"/>
      <c r="L294" s="25"/>
    </row>
    <row r="295" spans="1:12" ht="31" customHeight="1" x14ac:dyDescent="0.35">
      <c r="A295" s="23" t="s">
        <v>128</v>
      </c>
      <c r="B295" s="23" t="s">
        <v>129</v>
      </c>
      <c r="C295" s="24"/>
      <c r="D295" s="24"/>
      <c r="E295" s="24"/>
      <c r="F295" s="24"/>
      <c r="G295" s="24"/>
      <c r="H295" s="24"/>
      <c r="I295" s="24"/>
      <c r="J295" s="24"/>
      <c r="K295" s="24" t="n">
        <f>SUM(J296:J304)</f>
        <v>919.697915</v>
      </c>
      <c r="L295" s="23" t="s">
        <v>18</v>
      </c>
    </row>
    <row r="296" spans="1:12" ht="31" customHeight="1" x14ac:dyDescent="0.35">
      <c r="A296" s="25"/>
      <c r="B296" s="25" t="s">
        <v>250</v>
      </c>
      <c r="C296" s="26">
        <v>1</v>
      </c>
      <c r="D296" s="26">
        <v>2.74</v>
      </c>
      <c r="E296" s="26">
        <v>6.2023999999999999</v>
      </c>
      <c r="F296" s="26"/>
      <c r="G296" s="26"/>
      <c r="H296" s="26"/>
      <c r="I296" s="26"/>
      <c r="J296" s="26" t="n">
        <f t="shared" ref="J296:J304" si="12">C296*D296*E296</f>
        <v>16.994576</v>
      </c>
      <c r="K296" s="26"/>
      <c r="L296" s="25"/>
    </row>
    <row r="297" spans="1:12" ht="31" customHeight="1" x14ac:dyDescent="0.35">
      <c r="A297" s="25"/>
      <c r="B297" s="25" t="s">
        <v>251</v>
      </c>
      <c r="C297" s="26">
        <v>1</v>
      </c>
      <c r="D297" s="26">
        <v>15.71</v>
      </c>
      <c r="E297" s="26">
        <v>6.2859999999999996</v>
      </c>
      <c r="F297" s="26"/>
      <c r="G297" s="26"/>
      <c r="H297" s="26"/>
      <c r="I297" s="26"/>
      <c r="J297" s="26" t="n">
        <f t="shared" si="12"/>
        <v>98.75306</v>
      </c>
      <c r="K297" s="26"/>
      <c r="L297" s="25"/>
    </row>
    <row r="298" spans="1:12" ht="31" customHeight="1" x14ac:dyDescent="0.35">
      <c r="A298" s="25"/>
      <c r="B298" s="25" t="s">
        <v>252</v>
      </c>
      <c r="C298" s="26">
        <v>1</v>
      </c>
      <c r="D298" s="26">
        <v>16.59</v>
      </c>
      <c r="E298" s="26">
        <v>6.4322999999999997</v>
      </c>
      <c r="F298" s="26"/>
      <c r="G298" s="26"/>
      <c r="H298" s="26"/>
      <c r="I298" s="26"/>
      <c r="J298" s="26" t="n">
        <f t="shared" si="12"/>
        <v>106.711857</v>
      </c>
      <c r="K298" s="26"/>
      <c r="L298" s="25"/>
    </row>
    <row r="299" spans="1:12" ht="31" customHeight="1" x14ac:dyDescent="0.35">
      <c r="A299" s="25"/>
      <c r="B299" s="25" t="s">
        <v>253</v>
      </c>
      <c r="C299" s="26">
        <v>1</v>
      </c>
      <c r="D299" s="26">
        <v>16.82</v>
      </c>
      <c r="E299" s="26">
        <v>6.5835999999999997</v>
      </c>
      <c r="F299" s="26"/>
      <c r="G299" s="26"/>
      <c r="H299" s="26"/>
      <c r="I299" s="26"/>
      <c r="J299" s="26" t="n">
        <f t="shared" si="12"/>
        <v>110.736152</v>
      </c>
      <c r="K299" s="26"/>
      <c r="L299" s="25"/>
    </row>
    <row r="300" spans="1:12" ht="31" customHeight="1" x14ac:dyDescent="0.35">
      <c r="A300" s="25"/>
      <c r="B300" s="25" t="s">
        <v>254</v>
      </c>
      <c r="C300" s="26">
        <v>1</v>
      </c>
      <c r="D300" s="26">
        <v>2.14</v>
      </c>
      <c r="E300" s="26">
        <v>6.6695000000000002</v>
      </c>
      <c r="F300" s="26"/>
      <c r="G300" s="26"/>
      <c r="H300" s="26"/>
      <c r="I300" s="26"/>
      <c r="J300" s="26" t="n">
        <f t="shared" si="12"/>
        <v>14.27273</v>
      </c>
      <c r="K300" s="26"/>
      <c r="L300" s="25"/>
    </row>
    <row r="301" spans="1:12" ht="31" customHeight="1" x14ac:dyDescent="0.35">
      <c r="A301" s="25"/>
      <c r="B301" s="25" t="s">
        <v>255</v>
      </c>
      <c r="C301" s="26">
        <v>1</v>
      </c>
      <c r="D301" s="26">
        <v>6</v>
      </c>
      <c r="E301" s="26">
        <v>6.7064000000000004</v>
      </c>
      <c r="F301" s="26"/>
      <c r="G301" s="26"/>
      <c r="H301" s="26"/>
      <c r="I301" s="26"/>
      <c r="J301" s="26" t="n">
        <f t="shared" si="12"/>
        <v>40.2384</v>
      </c>
      <c r="K301" s="26"/>
      <c r="L301" s="25"/>
    </row>
    <row r="302" spans="1:12" ht="31" customHeight="1" x14ac:dyDescent="0.35">
      <c r="A302" s="25"/>
      <c r="B302" s="25" t="s">
        <v>256</v>
      </c>
      <c r="C302" s="26">
        <v>1</v>
      </c>
      <c r="D302" s="26">
        <v>18.420000000000002</v>
      </c>
      <c r="E302" s="26">
        <v>6.8170000000000002</v>
      </c>
      <c r="F302" s="26"/>
      <c r="G302" s="26"/>
      <c r="H302" s="26"/>
      <c r="I302" s="26"/>
      <c r="J302" s="26" t="n">
        <f t="shared" si="12"/>
        <v>125.56914</v>
      </c>
      <c r="K302" s="26"/>
      <c r="L302" s="25"/>
    </row>
    <row r="303" spans="1:12" ht="31" customHeight="1" x14ac:dyDescent="0.35">
      <c r="A303" s="25"/>
      <c r="B303" s="25" t="s">
        <v>257</v>
      </c>
      <c r="C303" s="26">
        <v>1</v>
      </c>
      <c r="D303" s="26">
        <v>37.58</v>
      </c>
      <c r="E303" s="26">
        <v>6.7</v>
      </c>
      <c r="F303" s="26"/>
      <c r="G303" s="26"/>
      <c r="H303" s="26"/>
      <c r="I303" s="26"/>
      <c r="J303" s="26" t="n">
        <f t="shared" si="12"/>
        <v>251.786</v>
      </c>
      <c r="K303" s="26"/>
      <c r="L303" s="25"/>
    </row>
    <row r="304" spans="1:12" ht="31" customHeight="1" x14ac:dyDescent="0.35">
      <c r="A304" s="25"/>
      <c r="B304" s="25" t="s">
        <v>258</v>
      </c>
      <c r="C304" s="26">
        <v>1</v>
      </c>
      <c r="D304" s="26">
        <v>23.08</v>
      </c>
      <c r="E304" s="26">
        <v>6.7</v>
      </c>
      <c r="F304" s="26"/>
      <c r="G304" s="26"/>
      <c r="H304" s="26"/>
      <c r="I304" s="26"/>
      <c r="J304" s="26" t="n">
        <f t="shared" si="12"/>
        <v>154.636</v>
      </c>
      <c r="K304" s="26"/>
      <c r="L304" s="25"/>
    </row>
    <row r="305" spans="1:12" ht="31" customHeight="1" x14ac:dyDescent="0.35">
      <c r="A305" s="23" t="s">
        <v>130</v>
      </c>
      <c r="B305" s="23" t="s">
        <v>131</v>
      </c>
      <c r="C305" s="24"/>
      <c r="D305" s="24"/>
      <c r="E305" s="24"/>
      <c r="F305" s="24"/>
      <c r="G305" s="24"/>
      <c r="H305" s="24"/>
      <c r="I305" s="24"/>
      <c r="J305" s="24"/>
      <c r="K305" s="24" t="n">
        <f>SUM(J306:J307)</f>
        <v>128.904</v>
      </c>
      <c r="L305" s="23" t="s">
        <v>18</v>
      </c>
    </row>
    <row r="306" spans="1:12" ht="15.5" customHeight="1" x14ac:dyDescent="0.35">
      <c r="A306" s="25"/>
      <c r="B306" s="25" t="s">
        <v>259</v>
      </c>
      <c r="C306" s="26">
        <v>1</v>
      </c>
      <c r="D306" s="26">
        <v>78.42</v>
      </c>
      <c r="E306" s="26">
        <v>1.7</v>
      </c>
      <c r="F306" s="26"/>
      <c r="G306" s="26"/>
      <c r="H306" s="26"/>
      <c r="I306" s="26"/>
      <c r="J306" s="26" t="n">
        <f>C306*D306*E306</f>
        <v>133.314</v>
      </c>
      <c r="K306" s="26"/>
      <c r="L306" s="25"/>
    </row>
    <row r="307" spans="1:12" ht="15.5" customHeight="1" x14ac:dyDescent="0.35">
      <c r="A307" s="25"/>
      <c r="B307" s="25" t="s">
        <v>260</v>
      </c>
      <c r="C307" s="26">
        <v>-9</v>
      </c>
      <c r="D307" s="26">
        <v>0.7</v>
      </c>
      <c r="E307" s="26">
        <v>0.7</v>
      </c>
      <c r="F307" s="26"/>
      <c r="G307" s="26"/>
      <c r="H307" s="26"/>
      <c r="I307" s="26"/>
      <c r="J307" s="26" t="n">
        <f>C307*D307*E307</f>
        <v>-4.41</v>
      </c>
      <c r="K307" s="26"/>
      <c r="L307" s="25"/>
    </row>
    <row r="308" spans="1:12" ht="31" customHeight="1" x14ac:dyDescent="0.35">
      <c r="A308" s="1" t="s">
        <v>132</v>
      </c>
      <c r="B308" s="1" t="s">
        <v>133</v>
      </c>
      <c r="C308" s="33"/>
      <c r="D308" s="33"/>
      <c r="E308" s="33"/>
      <c r="F308" s="33"/>
      <c r="G308" s="33"/>
      <c r="H308" s="33"/>
      <c r="I308" s="33"/>
      <c r="J308" s="33"/>
      <c r="K308" s="33"/>
      <c r="L308" s="1"/>
    </row>
    <row r="309" spans="1:12" ht="31" customHeight="1" x14ac:dyDescent="0.35">
      <c r="A309" s="23" t="s">
        <v>134</v>
      </c>
      <c r="B309" s="23" t="s">
        <v>135</v>
      </c>
      <c r="C309" s="24"/>
      <c r="D309" s="24"/>
      <c r="E309" s="24"/>
      <c r="F309" s="24"/>
      <c r="G309" s="24"/>
      <c r="H309" s="24"/>
      <c r="I309" s="24"/>
      <c r="J309" s="24"/>
      <c r="K309" s="24" t="n">
        <f>SUM(J310:J311)</f>
        <v>0.4125</v>
      </c>
      <c r="L309" s="23" t="s">
        <v>25</v>
      </c>
    </row>
    <row r="310" spans="1:12" ht="31" customHeight="1" x14ac:dyDescent="0.35">
      <c r="A310" s="25"/>
      <c r="B310" s="25" t="s">
        <v>261</v>
      </c>
      <c r="C310" s="26">
        <v>2</v>
      </c>
      <c r="D310" s="26">
        <v>1</v>
      </c>
      <c r="E310" s="26">
        <v>0.15</v>
      </c>
      <c r="F310" s="26">
        <v>0.77500000000000002</v>
      </c>
      <c r="G310" s="26"/>
      <c r="H310" s="26"/>
      <c r="I310" s="26"/>
      <c r="J310" s="26" t="n">
        <f>C310*D310*E310*F310</f>
        <v>0.2325</v>
      </c>
      <c r="K310" s="26"/>
      <c r="L310" s="25"/>
    </row>
    <row r="311" spans="1:12" ht="15.5" customHeight="1" x14ac:dyDescent="0.35">
      <c r="A311" s="25"/>
      <c r="B311" s="25" t="s">
        <v>262</v>
      </c>
      <c r="C311" s="26">
        <v>2</v>
      </c>
      <c r="D311" s="26">
        <v>1</v>
      </c>
      <c r="E311" s="26">
        <v>0.45</v>
      </c>
      <c r="F311" s="26">
        <v>0.2</v>
      </c>
      <c r="G311" s="26"/>
      <c r="H311" s="26"/>
      <c r="I311" s="26"/>
      <c r="J311" s="26" t="n">
        <f>C311*D311*E311*F311</f>
        <v>0.18</v>
      </c>
      <c r="K311" s="26"/>
      <c r="L311" s="25"/>
    </row>
    <row r="312" spans="1:12" ht="31" customHeight="1" x14ac:dyDescent="0.35">
      <c r="A312" s="23" t="s">
        <v>136</v>
      </c>
      <c r="B312" s="23" t="s">
        <v>137</v>
      </c>
      <c r="C312" s="24"/>
      <c r="D312" s="24"/>
      <c r="E312" s="24"/>
      <c r="F312" s="24"/>
      <c r="G312" s="24"/>
      <c r="H312" s="24"/>
      <c r="I312" s="24"/>
      <c r="J312" s="24"/>
      <c r="K312" s="24" t="n">
        <f>SUM(J313:J315)</f>
        <v>4.095</v>
      </c>
      <c r="L312" s="23" t="s">
        <v>18</v>
      </c>
    </row>
    <row r="313" spans="1:12" ht="15.5" customHeight="1" x14ac:dyDescent="0.35">
      <c r="A313" s="25"/>
      <c r="B313" s="25" t="s">
        <v>263</v>
      </c>
      <c r="C313" s="26">
        <v>4</v>
      </c>
      <c r="D313" s="26">
        <v>1</v>
      </c>
      <c r="E313" s="26"/>
      <c r="F313" s="26">
        <v>0.77500000000000002</v>
      </c>
      <c r="G313" s="26"/>
      <c r="H313" s="26"/>
      <c r="I313" s="26"/>
      <c r="J313" s="26" t="n">
        <f>C313*D313*F313</f>
        <v>3.1</v>
      </c>
      <c r="K313" s="26"/>
      <c r="L313" s="25"/>
    </row>
    <row r="314" spans="1:12" ht="15.5" customHeight="1" x14ac:dyDescent="0.35">
      <c r="A314" s="25"/>
      <c r="B314" s="25" t="s">
        <v>264</v>
      </c>
      <c r="C314" s="26">
        <v>2</v>
      </c>
      <c r="D314" s="26">
        <v>0.15</v>
      </c>
      <c r="E314" s="26"/>
      <c r="F314" s="26">
        <v>0.65</v>
      </c>
      <c r="G314" s="26"/>
      <c r="H314" s="26"/>
      <c r="I314" s="26"/>
      <c r="J314" s="26" t="n">
        <f>C314*D314*F314</f>
        <v>0.195</v>
      </c>
      <c r="K314" s="26"/>
      <c r="L314" s="25"/>
    </row>
    <row r="315" spans="1:12" ht="15.5" customHeight="1" x14ac:dyDescent="0.35">
      <c r="A315" s="25"/>
      <c r="B315" s="25" t="s">
        <v>265</v>
      </c>
      <c r="C315" s="26">
        <v>4</v>
      </c>
      <c r="D315" s="26">
        <v>1</v>
      </c>
      <c r="E315" s="26"/>
      <c r="F315" s="26">
        <v>0.2</v>
      </c>
      <c r="G315" s="26"/>
      <c r="H315" s="26"/>
      <c r="I315" s="26"/>
      <c r="J315" s="26" t="n">
        <f>C315*D315*F315</f>
        <v>0.8</v>
      </c>
      <c r="K315" s="26"/>
      <c r="L315" s="25"/>
    </row>
    <row r="316" spans="1:12" ht="31" customHeight="1" x14ac:dyDescent="0.35">
      <c r="A316" s="23" t="s">
        <v>138</v>
      </c>
      <c r="B316" s="23" t="s">
        <v>139</v>
      </c>
      <c r="C316" s="24"/>
      <c r="D316" s="24"/>
      <c r="E316" s="24"/>
      <c r="F316" s="24"/>
      <c r="G316" s="24"/>
      <c r="H316" s="24"/>
      <c r="I316" s="24"/>
      <c r="J316" s="24"/>
      <c r="K316" s="24" t="n">
        <f>SUM(J317:J317)</f>
        <v>18.2336</v>
      </c>
      <c r="L316" s="23" t="s">
        <v>50</v>
      </c>
    </row>
    <row r="317" spans="1:12" ht="31" customHeight="1" x14ac:dyDescent="0.35">
      <c r="A317" s="25"/>
      <c r="B317" s="25" t="s">
        <v>249</v>
      </c>
      <c r="C317" s="26">
        <v>1</v>
      </c>
      <c r="D317" s="26"/>
      <c r="E317" s="26"/>
      <c r="F317" s="26"/>
      <c r="G317" s="26"/>
      <c r="H317" s="26"/>
      <c r="I317" s="26"/>
      <c r="J317" s="26" t="n">
        <f>+'METRADO ACERO COLECTOR'!J23</f>
        <v>18.2336</v>
      </c>
      <c r="K317" s="26"/>
      <c r="L317" s="25"/>
    </row>
    <row r="318" spans="1:12" ht="46.5" customHeight="1" x14ac:dyDescent="0.35">
      <c r="A318" s="23" t="s">
        <v>140</v>
      </c>
      <c r="B318" s="23" t="s">
        <v>141</v>
      </c>
      <c r="C318" s="24"/>
      <c r="D318" s="24"/>
      <c r="E318" s="24"/>
      <c r="F318" s="24"/>
      <c r="G318" s="24"/>
      <c r="H318" s="24"/>
      <c r="I318" s="24"/>
      <c r="J318" s="24"/>
      <c r="K318" s="24" t="n">
        <f>SUM(J319:J319)</f>
        <v>1.5607</v>
      </c>
      <c r="L318" s="23" t="s">
        <v>18</v>
      </c>
    </row>
    <row r="319" spans="1:12" ht="15.5" customHeight="1" x14ac:dyDescent="0.35">
      <c r="A319" s="25"/>
      <c r="B319" s="25" t="s">
        <v>266</v>
      </c>
      <c r="C319" s="26">
        <v>1</v>
      </c>
      <c r="D319" s="26"/>
      <c r="E319" s="26"/>
      <c r="F319" s="26"/>
      <c r="G319" s="26"/>
      <c r="H319" s="26">
        <v>1.5607</v>
      </c>
      <c r="I319" s="26"/>
      <c r="J319" s="26" t="n">
        <f>C319*H319</f>
        <v>1.5607</v>
      </c>
      <c r="K319" s="26"/>
      <c r="L319" s="25"/>
    </row>
    <row r="320" spans="1:12" ht="18" customHeight="1" x14ac:dyDescent="0.35">
      <c r="A320" s="2" t="s">
        <v>142</v>
      </c>
      <c r="B320" s="222" t="s">
        <v>54</v>
      </c>
      <c r="C320" s="213"/>
      <c r="D320" s="213"/>
      <c r="E320" s="213"/>
      <c r="F320" s="213"/>
      <c r="G320" s="213"/>
      <c r="H320" s="213"/>
      <c r="I320" s="213"/>
      <c r="J320" s="213"/>
      <c r="K320" s="213"/>
      <c r="L320" s="214"/>
    </row>
    <row r="321" spans="1:12" ht="31" customHeight="1" x14ac:dyDescent="0.35">
      <c r="A321" s="23" t="s">
        <v>143</v>
      </c>
      <c r="B321" s="23" t="s">
        <v>144</v>
      </c>
      <c r="C321" s="24"/>
      <c r="D321" s="24"/>
      <c r="E321" s="24"/>
      <c r="F321" s="24"/>
      <c r="G321" s="24"/>
      <c r="H321" s="24"/>
      <c r="I321" s="24"/>
      <c r="J321" s="24"/>
      <c r="K321" s="24" t="n">
        <f>SUM(J322:J322)</f>
        <v>15.0</v>
      </c>
      <c r="L321" s="23" t="s">
        <v>60</v>
      </c>
    </row>
    <row r="322" spans="1:12" ht="31" customHeight="1" x14ac:dyDescent="0.35">
      <c r="A322" s="25"/>
      <c r="B322" s="25" t="s">
        <v>267</v>
      </c>
      <c r="C322" s="26">
        <v>1</v>
      </c>
      <c r="D322" s="26"/>
      <c r="E322" s="26"/>
      <c r="F322" s="26"/>
      <c r="G322" s="26"/>
      <c r="H322" s="26"/>
      <c r="I322" s="26"/>
      <c r="J322" s="26" t="n">
        <f>+'PLANILLA TAPAS COLECTOR'!J9</f>
        <v>15.0</v>
      </c>
      <c r="K322" s="26"/>
      <c r="L322" s="25"/>
    </row>
    <row r="323" spans="1:12" ht="31" customHeight="1" x14ac:dyDescent="0.35">
      <c r="A323" s="23" t="s">
        <v>145</v>
      </c>
      <c r="B323" s="23" t="s">
        <v>62</v>
      </c>
      <c r="C323" s="24"/>
      <c r="D323" s="24"/>
      <c r="E323" s="24"/>
      <c r="F323" s="24"/>
      <c r="G323" s="24"/>
      <c r="H323" s="24"/>
      <c r="I323" s="24"/>
      <c r="J323" s="24"/>
      <c r="K323" s="24" t="n">
        <f>SUM(J324:J324)</f>
        <v>162.69</v>
      </c>
      <c r="L323" s="23" t="s">
        <v>57</v>
      </c>
    </row>
    <row r="324" spans="1:12" ht="31" customHeight="1" x14ac:dyDescent="0.35">
      <c r="A324" s="25"/>
      <c r="B324" s="25" t="s">
        <v>268</v>
      </c>
      <c r="C324" s="26">
        <v>33</v>
      </c>
      <c r="D324" s="26">
        <v>4.93</v>
      </c>
      <c r="E324" s="26"/>
      <c r="F324" s="26"/>
      <c r="G324" s="26"/>
      <c r="H324" s="26"/>
      <c r="I324" s="26"/>
      <c r="J324" s="26" t="n">
        <f>C324*D324</f>
        <v>162.69</v>
      </c>
      <c r="K324" s="26"/>
      <c r="L324" s="25"/>
    </row>
    <row r="325" spans="1:12" ht="31" customHeight="1" x14ac:dyDescent="0.35">
      <c r="A325" s="23" t="s">
        <v>146</v>
      </c>
      <c r="B325" s="23" t="s">
        <v>147</v>
      </c>
      <c r="C325" s="24"/>
      <c r="D325" s="24"/>
      <c r="E325" s="24"/>
      <c r="F325" s="24"/>
      <c r="G325" s="24"/>
      <c r="H325" s="24"/>
      <c r="I325" s="24"/>
      <c r="J325" s="24"/>
      <c r="K325" s="24" t="n">
        <f>SUM(J326:J326)</f>
        <v>78.42</v>
      </c>
      <c r="L325" s="23" t="s">
        <v>57</v>
      </c>
    </row>
    <row r="326" spans="1:12" ht="15.5" customHeight="1" x14ac:dyDescent="0.35">
      <c r="A326" s="25"/>
      <c r="B326" s="25" t="s">
        <v>269</v>
      </c>
      <c r="C326" s="26">
        <v>1</v>
      </c>
      <c r="D326" s="26">
        <v>78.42</v>
      </c>
      <c r="E326" s="26"/>
      <c r="F326" s="26"/>
      <c r="G326" s="26"/>
      <c r="H326" s="26"/>
      <c r="I326" s="26"/>
      <c r="J326" s="26" t="n">
        <f>C326*D326</f>
        <v>78.42</v>
      </c>
      <c r="K326" s="26"/>
      <c r="L326" s="25"/>
    </row>
  </sheetData>
  <mergeCells count="19">
    <mergeCell ref="B165:L165"/>
    <mergeCell ref="A2:L2"/>
    <mergeCell ref="B6:L6"/>
    <mergeCell ref="B248:L248"/>
    <mergeCell ref="B234:L234"/>
    <mergeCell ref="B320:L320"/>
    <mergeCell ref="B172:L172"/>
    <mergeCell ref="B3:L3"/>
    <mergeCell ref="K143:K144"/>
    <mergeCell ref="B5:L5"/>
    <mergeCell ref="B10:L10"/>
    <mergeCell ref="B171:L171"/>
    <mergeCell ref="B137:L137"/>
    <mergeCell ref="K146:K147"/>
    <mergeCell ref="B136:L136"/>
    <mergeCell ref="B131:L131"/>
    <mergeCell ref="B9:L9"/>
    <mergeCell ref="B195:L195"/>
    <mergeCell ref="B4:L4"/>
  </mergeCells>
  <phoneticPr fontId="42" type="noConversion"/>
  <pageMargins left="0.7" right="0.7" top="0.75" bottom="0.75" header="0.511811023622047" footer="0.511811023622047"/>
  <pageSetup paperSize="9" scale="5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R68"/>
  <sheetViews>
    <sheetView topLeftCell="B60" zoomScale="115" zoomScaleNormal="115" zoomScaleSheetLayoutView="100" workbookViewId="0">
      <selection activeCell="C51" sqref="C51"/>
    </sheetView>
  </sheetViews>
  <sheetFormatPr baseColWidth="10" defaultColWidth="10.90625" defaultRowHeight="15.5" x14ac:dyDescent="0.35"/>
  <cols>
    <col min="1" max="1" width="3.453125" style="83" customWidth="1"/>
    <col min="2" max="2" width="18.453125" style="83" customWidth="1"/>
    <col min="3" max="3" width="16.26953125" style="83" customWidth="1"/>
    <col min="4" max="4" width="13.08984375" style="83" customWidth="1"/>
    <col min="5" max="5" width="12.90625" style="83" customWidth="1"/>
    <col min="6" max="6" width="8.7265625" style="83" customWidth="1"/>
    <col min="7" max="7" width="12.08984375" style="83" customWidth="1"/>
    <col min="8" max="8" width="8.54296875" style="83" customWidth="1"/>
    <col min="9" max="9" width="7.81640625" style="83" customWidth="1"/>
    <col min="10" max="10" width="11.81640625" style="83" customWidth="1"/>
    <col min="11" max="12" width="7.81640625" style="83" customWidth="1"/>
    <col min="13" max="13" width="12.08984375" style="83" customWidth="1"/>
    <col min="14" max="14" width="9.6328125" style="83" customWidth="1"/>
    <col min="15" max="15" width="8.453125" style="83" customWidth="1"/>
    <col min="16" max="16" width="12.26953125" style="83" customWidth="1"/>
    <col min="17" max="17" width="10.1796875" style="83" customWidth="1"/>
    <col min="18" max="18" width="8.36328125" style="83" customWidth="1"/>
    <col min="19" max="19" width="10.90625" style="83" customWidth="1"/>
    <col min="20" max="16384" width="10.90625" style="83"/>
  </cols>
  <sheetData>
    <row r="1" spans="2:18" ht="14.25" customHeight="1" x14ac:dyDescent="0.35"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spans="2:18" ht="24" customHeight="1" x14ac:dyDescent="0.35">
      <c r="B2" s="215" t="s">
        <v>303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</row>
    <row r="3" spans="2:18" ht="21" customHeight="1" x14ac:dyDescent="0.35">
      <c r="B3" s="10" t="s">
        <v>1</v>
      </c>
      <c r="C3" s="212" t="str">
        <f>+RESUMEN!B4</f>
        <v>GERENCIA TERRITORIAL BAJO MAYO - TARAPOTO</v>
      </c>
      <c r="D3" s="213"/>
      <c r="E3" s="213"/>
      <c r="F3" s="213"/>
      <c r="G3" s="213"/>
      <c r="H3" s="213"/>
      <c r="I3" s="213"/>
      <c r="J3" s="207"/>
      <c r="K3" s="207"/>
      <c r="L3" s="207"/>
      <c r="M3" s="213"/>
      <c r="N3" s="213"/>
      <c r="O3" s="213"/>
      <c r="P3" s="213"/>
      <c r="Q3" s="213"/>
      <c r="R3" s="214"/>
    </row>
    <row r="4" spans="2:18" ht="66" customHeight="1" x14ac:dyDescent="0.35">
      <c r="B4" s="10" t="s">
        <v>3</v>
      </c>
      <c r="C4" s="21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13"/>
      <c r="E4" s="213"/>
      <c r="F4" s="213"/>
      <c r="G4" s="213"/>
      <c r="H4" s="213"/>
      <c r="I4" s="213"/>
      <c r="J4" s="207"/>
      <c r="K4" s="207"/>
      <c r="L4" s="207"/>
      <c r="M4" s="213"/>
      <c r="N4" s="213"/>
      <c r="O4" s="213"/>
      <c r="P4" s="213"/>
      <c r="Q4" s="213"/>
      <c r="R4" s="214"/>
    </row>
    <row r="5" spans="2:18" ht="30.75" customHeight="1" x14ac:dyDescent="0.35">
      <c r="B5" s="10" t="s">
        <v>5</v>
      </c>
      <c r="C5" s="212" t="str">
        <f>+RESUMEN!B6</f>
        <v>SAN MARTIN - SAN MARTIN - MORALES</v>
      </c>
      <c r="D5" s="213"/>
      <c r="E5" s="213"/>
      <c r="F5" s="213"/>
      <c r="G5" s="213"/>
      <c r="H5" s="213"/>
      <c r="I5" s="213"/>
      <c r="J5" s="207"/>
      <c r="K5" s="207"/>
      <c r="L5" s="207"/>
      <c r="M5" s="213"/>
      <c r="N5" s="213"/>
      <c r="O5" s="213"/>
      <c r="P5" s="213"/>
      <c r="Q5" s="213"/>
      <c r="R5" s="214"/>
    </row>
    <row r="6" spans="2:18" ht="18.75" customHeight="1" x14ac:dyDescent="0.35">
      <c r="B6" s="10" t="s">
        <v>7</v>
      </c>
      <c r="C6" s="218">
        <f>+RESUMEN!B7</f>
        <v>46266</v>
      </c>
      <c r="D6" s="213"/>
      <c r="E6" s="213"/>
      <c r="F6" s="213"/>
      <c r="G6" s="213"/>
      <c r="H6" s="213"/>
      <c r="I6" s="213"/>
      <c r="J6" s="207"/>
      <c r="K6" s="207"/>
      <c r="L6" s="207"/>
      <c r="M6" s="213"/>
      <c r="N6" s="213"/>
      <c r="O6" s="213"/>
      <c r="P6" s="213"/>
      <c r="Q6" s="213"/>
      <c r="R6" s="214"/>
    </row>
    <row r="7" spans="2:18" x14ac:dyDescent="0.35">
      <c r="B7" s="93"/>
      <c r="C7" s="280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</row>
    <row r="9" spans="2:18" ht="16.5" customHeight="1" x14ac:dyDescent="0.35">
      <c r="C9" s="217" t="s">
        <v>304</v>
      </c>
      <c r="D9" s="217" t="s">
        <v>305</v>
      </c>
      <c r="E9" s="213"/>
      <c r="F9" s="214"/>
      <c r="G9" s="217" t="s">
        <v>306</v>
      </c>
      <c r="H9" s="213"/>
      <c r="I9" s="214"/>
      <c r="J9" s="217" t="s">
        <v>639</v>
      </c>
      <c r="K9" s="213"/>
      <c r="L9" s="214"/>
      <c r="M9" s="217" t="s">
        <v>307</v>
      </c>
      <c r="N9" s="213"/>
      <c r="O9" s="214"/>
      <c r="P9" s="217" t="s">
        <v>308</v>
      </c>
      <c r="Q9" s="213"/>
      <c r="R9" s="214"/>
    </row>
    <row r="10" spans="2:18" ht="31" customHeight="1" x14ac:dyDescent="0.35">
      <c r="C10" s="220"/>
      <c r="D10" s="94" t="s">
        <v>309</v>
      </c>
      <c r="E10" s="94" t="s">
        <v>280</v>
      </c>
      <c r="F10" s="95" t="s">
        <v>310</v>
      </c>
      <c r="G10" s="94" t="s">
        <v>300</v>
      </c>
      <c r="H10" s="94" t="s">
        <v>309</v>
      </c>
      <c r="I10" s="95" t="s">
        <v>311</v>
      </c>
      <c r="J10" s="94" t="s">
        <v>300</v>
      </c>
      <c r="K10" s="94" t="s">
        <v>309</v>
      </c>
      <c r="L10" s="95" t="s">
        <v>311</v>
      </c>
      <c r="M10" s="94" t="s">
        <v>300</v>
      </c>
      <c r="N10" s="94" t="s">
        <v>309</v>
      </c>
      <c r="O10" s="95" t="s">
        <v>311</v>
      </c>
      <c r="P10" s="94" t="s">
        <v>300</v>
      </c>
      <c r="Q10" s="94" t="s">
        <v>309</v>
      </c>
      <c r="R10" s="95" t="s">
        <v>311</v>
      </c>
    </row>
    <row r="11" spans="2:18" ht="23.25" customHeight="1" x14ac:dyDescent="0.35">
      <c r="B11" s="96" t="s">
        <v>312</v>
      </c>
      <c r="C11" s="88"/>
      <c r="D11" s="88"/>
      <c r="E11" s="88"/>
      <c r="F11" s="87"/>
      <c r="G11" s="88"/>
      <c r="H11" s="88"/>
      <c r="I11" s="87"/>
      <c r="J11" s="328"/>
      <c r="K11" s="328"/>
      <c r="L11" s="328"/>
      <c r="M11" s="88"/>
      <c r="N11" s="88"/>
      <c r="O11" s="87"/>
      <c r="P11" s="88"/>
      <c r="Q11" s="88"/>
      <c r="R11" s="87"/>
    </row>
    <row r="12" spans="2:18" ht="23.25" customHeight="1" x14ac:dyDescent="0.35">
      <c r="B12" s="97" t="s">
        <v>313</v>
      </c>
      <c r="C12" s="88">
        <v>2</v>
      </c>
      <c r="D12" s="88">
        <v>2</v>
      </c>
      <c r="E12" s="71">
        <v>6.25</v>
      </c>
      <c r="F12" s="95">
        <f>E12*D12</f>
        <v>12.5</v>
      </c>
      <c r="G12" s="88">
        <v>3</v>
      </c>
      <c r="H12" s="88">
        <v>2</v>
      </c>
      <c r="I12" s="95">
        <f>H12*G12</f>
        <v>6</v>
      </c>
      <c r="J12" s="329">
        <v>0</v>
      </c>
      <c r="K12" s="329">
        <v>0</v>
      </c>
      <c r="L12" s="95">
        <f>K12*J12</f>
        <v>0</v>
      </c>
      <c r="M12" s="88">
        <v>1</v>
      </c>
      <c r="N12" s="88">
        <v>2</v>
      </c>
      <c r="O12" s="95">
        <f>N12*M12</f>
        <v>2</v>
      </c>
      <c r="P12" s="88">
        <v>2</v>
      </c>
      <c r="Q12" s="88">
        <v>2</v>
      </c>
      <c r="R12" s="95">
        <f>Q12*P12</f>
        <v>4</v>
      </c>
    </row>
    <row r="13" spans="2:18" ht="23.25" customHeight="1" x14ac:dyDescent="0.35">
      <c r="B13" s="97" t="s">
        <v>314</v>
      </c>
      <c r="C13" s="88">
        <v>2</v>
      </c>
      <c r="D13" s="88">
        <v>2</v>
      </c>
      <c r="E13" s="71">
        <v>6.2</v>
      </c>
      <c r="F13" s="95">
        <f>E13*D13</f>
        <v>12.4</v>
      </c>
      <c r="G13" s="88">
        <v>3</v>
      </c>
      <c r="H13" s="88">
        <v>2</v>
      </c>
      <c r="I13" s="95">
        <f>H13*G13</f>
        <v>6</v>
      </c>
      <c r="J13" s="329"/>
      <c r="K13" s="329"/>
      <c r="L13" s="95">
        <f>K13*J13</f>
        <v>0</v>
      </c>
      <c r="M13" s="88">
        <v>1</v>
      </c>
      <c r="N13" s="88">
        <v>2</v>
      </c>
      <c r="O13" s="95">
        <f>N13*M13</f>
        <v>2</v>
      </c>
      <c r="P13" s="88">
        <v>2</v>
      </c>
      <c r="Q13" s="88">
        <v>2</v>
      </c>
      <c r="R13" s="95">
        <f>Q13*P13</f>
        <v>4</v>
      </c>
    </row>
    <row r="14" spans="2:18" ht="23.25" customHeight="1" x14ac:dyDescent="0.35">
      <c r="B14" s="96" t="s">
        <v>315</v>
      </c>
      <c r="C14" s="88"/>
      <c r="D14" s="88"/>
      <c r="E14" s="71"/>
      <c r="F14" s="87"/>
      <c r="G14" s="88"/>
      <c r="H14" s="88"/>
      <c r="I14" s="87"/>
      <c r="J14" s="329"/>
      <c r="K14" s="329"/>
      <c r="L14" s="328"/>
      <c r="M14" s="88"/>
      <c r="N14" s="88"/>
      <c r="O14" s="87"/>
      <c r="P14" s="88"/>
      <c r="Q14" s="88"/>
      <c r="R14" s="87"/>
    </row>
    <row r="15" spans="2:18" ht="23.25" customHeight="1" x14ac:dyDescent="0.35">
      <c r="B15" s="97" t="s">
        <v>313</v>
      </c>
      <c r="C15" s="88">
        <v>2</v>
      </c>
      <c r="D15" s="88">
        <v>2</v>
      </c>
      <c r="E15" s="71">
        <v>6.2</v>
      </c>
      <c r="F15" s="95">
        <f>E15*D15</f>
        <v>12.4</v>
      </c>
      <c r="G15" s="88">
        <v>3</v>
      </c>
      <c r="H15" s="88">
        <v>2</v>
      </c>
      <c r="I15" s="95">
        <f>H15*G15</f>
        <v>6</v>
      </c>
      <c r="J15" s="329"/>
      <c r="K15" s="329"/>
      <c r="L15" s="95">
        <f>K15*J15</f>
        <v>0</v>
      </c>
      <c r="M15" s="88">
        <v>1</v>
      </c>
      <c r="N15" s="88">
        <v>2</v>
      </c>
      <c r="O15" s="95">
        <f>N15*M15</f>
        <v>2</v>
      </c>
      <c r="P15" s="88">
        <v>2</v>
      </c>
      <c r="Q15" s="88">
        <v>2</v>
      </c>
      <c r="R15" s="95">
        <f>Q15*P15</f>
        <v>4</v>
      </c>
    </row>
    <row r="16" spans="2:18" ht="23.25" customHeight="1" x14ac:dyDescent="0.35">
      <c r="B16" s="97" t="s">
        <v>314</v>
      </c>
      <c r="C16" s="88">
        <v>2</v>
      </c>
      <c r="D16" s="88">
        <v>2</v>
      </c>
      <c r="E16" s="71">
        <v>6.25</v>
      </c>
      <c r="F16" s="95">
        <f>E16*D16</f>
        <v>12.5</v>
      </c>
      <c r="G16" s="88">
        <v>3</v>
      </c>
      <c r="H16" s="88">
        <v>2</v>
      </c>
      <c r="I16" s="95">
        <f>H16*G16</f>
        <v>6</v>
      </c>
      <c r="J16" s="329"/>
      <c r="K16" s="329"/>
      <c r="L16" s="95">
        <f>K16*J16</f>
        <v>0</v>
      </c>
      <c r="M16" s="88">
        <v>1</v>
      </c>
      <c r="N16" s="88">
        <v>2</v>
      </c>
      <c r="O16" s="95">
        <f>N16*M16</f>
        <v>2</v>
      </c>
      <c r="P16" s="88">
        <v>2</v>
      </c>
      <c r="Q16" s="88">
        <v>2</v>
      </c>
      <c r="R16" s="95">
        <f>Q16*P16</f>
        <v>4</v>
      </c>
    </row>
    <row r="17" spans="2:18" ht="23.25" customHeight="1" x14ac:dyDescent="0.35">
      <c r="B17" s="96" t="s">
        <v>316</v>
      </c>
      <c r="C17" s="88"/>
      <c r="D17" s="88"/>
      <c r="E17" s="71"/>
      <c r="F17" s="87"/>
      <c r="G17" s="88"/>
      <c r="H17" s="88"/>
      <c r="I17" s="87"/>
      <c r="J17" s="329"/>
      <c r="K17" s="329"/>
      <c r="L17" s="328"/>
      <c r="M17" s="88"/>
      <c r="N17" s="88"/>
      <c r="O17" s="87"/>
      <c r="P17" s="88"/>
      <c r="Q17" s="88"/>
      <c r="R17" s="87"/>
    </row>
    <row r="18" spans="2:18" ht="23.25" customHeight="1" x14ac:dyDescent="0.35">
      <c r="B18" s="97" t="s">
        <v>313</v>
      </c>
      <c r="C18" s="88">
        <v>2</v>
      </c>
      <c r="D18" s="88">
        <v>2</v>
      </c>
      <c r="E18" s="71">
        <v>6.18</v>
      </c>
      <c r="F18" s="95">
        <f>E18*D18</f>
        <v>12.36</v>
      </c>
      <c r="G18" s="88">
        <v>3</v>
      </c>
      <c r="H18" s="88">
        <v>2</v>
      </c>
      <c r="I18" s="95">
        <f>H18*G18</f>
        <v>6</v>
      </c>
      <c r="J18" s="329"/>
      <c r="K18" s="329"/>
      <c r="L18" s="95">
        <f>K18*J18</f>
        <v>0</v>
      </c>
      <c r="M18" s="88">
        <v>1</v>
      </c>
      <c r="N18" s="88">
        <v>2</v>
      </c>
      <c r="O18" s="95">
        <f>N18*M18</f>
        <v>2</v>
      </c>
      <c r="P18" s="88">
        <v>2</v>
      </c>
      <c r="Q18" s="88">
        <v>2</v>
      </c>
      <c r="R18" s="95">
        <f>Q18*P18</f>
        <v>4</v>
      </c>
    </row>
    <row r="19" spans="2:18" ht="23.25" customHeight="1" x14ac:dyDescent="0.35">
      <c r="B19" s="97" t="s">
        <v>314</v>
      </c>
      <c r="C19" s="88">
        <v>2</v>
      </c>
      <c r="D19" s="88">
        <v>2</v>
      </c>
      <c r="E19" s="71">
        <v>6.18</v>
      </c>
      <c r="F19" s="95">
        <f>E19*D19</f>
        <v>12.36</v>
      </c>
      <c r="G19" s="88">
        <v>3</v>
      </c>
      <c r="H19" s="88">
        <v>2</v>
      </c>
      <c r="I19" s="95">
        <f>H19*G19</f>
        <v>6</v>
      </c>
      <c r="J19" s="329"/>
      <c r="K19" s="329"/>
      <c r="L19" s="95">
        <f>K19*J19</f>
        <v>0</v>
      </c>
      <c r="M19" s="88">
        <v>1</v>
      </c>
      <c r="N19" s="88">
        <v>2</v>
      </c>
      <c r="O19" s="95">
        <f>N19*M19</f>
        <v>2</v>
      </c>
      <c r="P19" s="88">
        <v>2</v>
      </c>
      <c r="Q19" s="88">
        <v>2</v>
      </c>
      <c r="R19" s="95">
        <f>Q19*P19</f>
        <v>4</v>
      </c>
    </row>
    <row r="20" spans="2:18" ht="23.25" customHeight="1" x14ac:dyDescent="0.35">
      <c r="B20" s="96" t="s">
        <v>317</v>
      </c>
      <c r="C20" s="88"/>
      <c r="D20" s="88"/>
      <c r="E20" s="71"/>
      <c r="F20" s="87"/>
      <c r="G20" s="88"/>
      <c r="H20" s="88"/>
      <c r="I20" s="87"/>
      <c r="J20" s="329"/>
      <c r="K20" s="329"/>
      <c r="L20" s="328"/>
      <c r="M20" s="88"/>
      <c r="N20" s="88"/>
      <c r="O20" s="87"/>
      <c r="P20" s="88"/>
      <c r="Q20" s="88"/>
      <c r="R20" s="87"/>
    </row>
    <row r="21" spans="2:18" ht="23.25" customHeight="1" x14ac:dyDescent="0.35">
      <c r="B21" s="97" t="s">
        <v>313</v>
      </c>
      <c r="C21" s="88">
        <v>2</v>
      </c>
      <c r="D21" s="88">
        <v>2</v>
      </c>
      <c r="E21" s="71">
        <v>6.18</v>
      </c>
      <c r="F21" s="95">
        <f>E21*D21</f>
        <v>12.36</v>
      </c>
      <c r="G21" s="88">
        <v>3</v>
      </c>
      <c r="H21" s="88">
        <v>2</v>
      </c>
      <c r="I21" s="95">
        <f>H21*G21</f>
        <v>6</v>
      </c>
      <c r="J21" s="329"/>
      <c r="K21" s="329"/>
      <c r="L21" s="95">
        <f>K21*J21</f>
        <v>0</v>
      </c>
      <c r="M21" s="88">
        <v>1</v>
      </c>
      <c r="N21" s="88">
        <v>2</v>
      </c>
      <c r="O21" s="95">
        <f>N21*M21</f>
        <v>2</v>
      </c>
      <c r="P21" s="88">
        <v>2</v>
      </c>
      <c r="Q21" s="88">
        <v>2</v>
      </c>
      <c r="R21" s="95">
        <f>Q21*P21</f>
        <v>4</v>
      </c>
    </row>
    <row r="22" spans="2:18" ht="23.25" customHeight="1" x14ac:dyDescent="0.35">
      <c r="B22" s="97" t="s">
        <v>314</v>
      </c>
      <c r="C22" s="88">
        <v>2</v>
      </c>
      <c r="D22" s="88">
        <v>2</v>
      </c>
      <c r="E22" s="71">
        <v>6.18</v>
      </c>
      <c r="F22" s="95">
        <f>E22*D22</f>
        <v>12.36</v>
      </c>
      <c r="G22" s="88">
        <v>3</v>
      </c>
      <c r="H22" s="88">
        <v>2</v>
      </c>
      <c r="I22" s="95">
        <f>H22*G22</f>
        <v>6</v>
      </c>
      <c r="J22" s="329"/>
      <c r="K22" s="329"/>
      <c r="L22" s="95">
        <f>K22*J22</f>
        <v>0</v>
      </c>
      <c r="M22" s="88">
        <v>1</v>
      </c>
      <c r="N22" s="88">
        <v>2</v>
      </c>
      <c r="O22" s="95">
        <f>N22*M22</f>
        <v>2</v>
      </c>
      <c r="P22" s="88">
        <v>2</v>
      </c>
      <c r="Q22" s="88">
        <v>2</v>
      </c>
      <c r="R22" s="95">
        <f>Q22*P22</f>
        <v>4</v>
      </c>
    </row>
    <row r="23" spans="2:18" ht="23.25" customHeight="1" x14ac:dyDescent="0.35">
      <c r="B23" s="96" t="s">
        <v>318</v>
      </c>
      <c r="C23" s="88"/>
      <c r="D23" s="88"/>
      <c r="E23" s="71"/>
      <c r="F23" s="87"/>
      <c r="G23" s="88"/>
      <c r="H23" s="88"/>
      <c r="I23" s="87"/>
      <c r="J23" s="329"/>
      <c r="K23" s="329"/>
      <c r="L23" s="328"/>
      <c r="M23" s="88"/>
      <c r="N23" s="88"/>
      <c r="O23" s="87"/>
      <c r="P23" s="88"/>
      <c r="Q23" s="88"/>
      <c r="R23" s="87"/>
    </row>
    <row r="24" spans="2:18" ht="23.25" customHeight="1" x14ac:dyDescent="0.35">
      <c r="B24" s="97" t="s">
        <v>313</v>
      </c>
      <c r="C24" s="88">
        <v>2</v>
      </c>
      <c r="D24" s="88">
        <v>2</v>
      </c>
      <c r="E24" s="71">
        <v>6.23</v>
      </c>
      <c r="F24" s="95">
        <f>E24*D24</f>
        <v>12.46</v>
      </c>
      <c r="G24" s="88">
        <v>3</v>
      </c>
      <c r="H24" s="88">
        <v>2</v>
      </c>
      <c r="I24" s="95">
        <f>H24*G24</f>
        <v>6</v>
      </c>
      <c r="J24" s="329"/>
      <c r="K24" s="329"/>
      <c r="L24" s="95">
        <f>K24*J24</f>
        <v>0</v>
      </c>
      <c r="M24" s="88">
        <v>1</v>
      </c>
      <c r="N24" s="88">
        <v>2</v>
      </c>
      <c r="O24" s="95">
        <f>N24*M24</f>
        <v>2</v>
      </c>
      <c r="P24" s="88">
        <v>2</v>
      </c>
      <c r="Q24" s="88">
        <v>2</v>
      </c>
      <c r="R24" s="95">
        <f>Q24*P24</f>
        <v>4</v>
      </c>
    </row>
    <row r="25" spans="2:18" ht="23.25" customHeight="1" x14ac:dyDescent="0.35">
      <c r="B25" s="97" t="s">
        <v>314</v>
      </c>
      <c r="C25" s="88">
        <v>2</v>
      </c>
      <c r="D25" s="88">
        <v>2</v>
      </c>
      <c r="E25" s="71">
        <v>6.23</v>
      </c>
      <c r="F25" s="95">
        <f>E25*D25</f>
        <v>12.46</v>
      </c>
      <c r="G25" s="88">
        <v>3</v>
      </c>
      <c r="H25" s="88">
        <v>2</v>
      </c>
      <c r="I25" s="95">
        <f>H25*G25</f>
        <v>6</v>
      </c>
      <c r="J25" s="329"/>
      <c r="K25" s="329"/>
      <c r="L25" s="95">
        <f>K25*J25</f>
        <v>0</v>
      </c>
      <c r="M25" s="88">
        <v>1</v>
      </c>
      <c r="N25" s="88">
        <v>2</v>
      </c>
      <c r="O25" s="95">
        <f>N25*M25</f>
        <v>2</v>
      </c>
      <c r="P25" s="88">
        <v>2</v>
      </c>
      <c r="Q25" s="88">
        <v>2</v>
      </c>
      <c r="R25" s="95">
        <f>Q25*P25</f>
        <v>4</v>
      </c>
    </row>
    <row r="26" spans="2:18" ht="23.25" customHeight="1" x14ac:dyDescent="0.35">
      <c r="B26" s="96" t="s">
        <v>319</v>
      </c>
      <c r="C26" s="88"/>
      <c r="D26" s="88"/>
      <c r="E26" s="71"/>
      <c r="F26" s="87"/>
      <c r="G26" s="88"/>
      <c r="H26" s="88"/>
      <c r="I26" s="87"/>
      <c r="J26" s="329"/>
      <c r="K26" s="329"/>
      <c r="L26" s="328"/>
      <c r="M26" s="88"/>
      <c r="N26" s="88"/>
      <c r="O26" s="87"/>
      <c r="P26" s="88"/>
      <c r="Q26" s="88"/>
      <c r="R26" s="87"/>
    </row>
    <row r="27" spans="2:18" ht="23.25" customHeight="1" x14ac:dyDescent="0.35">
      <c r="B27" s="97" t="s">
        <v>313</v>
      </c>
      <c r="C27" s="88">
        <v>2</v>
      </c>
      <c r="D27" s="88">
        <v>2</v>
      </c>
      <c r="E27" s="71">
        <v>6.1</v>
      </c>
      <c r="F27" s="95">
        <f>E27*D27</f>
        <v>12.2</v>
      </c>
      <c r="G27" s="88">
        <v>3</v>
      </c>
      <c r="H27" s="88">
        <v>2</v>
      </c>
      <c r="I27" s="95">
        <f>H27*G27</f>
        <v>6</v>
      </c>
      <c r="J27" s="329"/>
      <c r="K27" s="329"/>
      <c r="L27" s="95">
        <f>K27*J27</f>
        <v>0</v>
      </c>
      <c r="M27" s="88">
        <v>1</v>
      </c>
      <c r="N27" s="88">
        <v>2</v>
      </c>
      <c r="O27" s="95">
        <f>N27*M27</f>
        <v>2</v>
      </c>
      <c r="P27" s="88">
        <v>2</v>
      </c>
      <c r="Q27" s="88">
        <v>2</v>
      </c>
      <c r="R27" s="95">
        <f>Q27*P27</f>
        <v>4</v>
      </c>
    </row>
    <row r="28" spans="2:18" ht="23.25" customHeight="1" x14ac:dyDescent="0.35">
      <c r="B28" s="97" t="s">
        <v>314</v>
      </c>
      <c r="C28" s="88">
        <v>2</v>
      </c>
      <c r="D28" s="88">
        <v>2</v>
      </c>
      <c r="E28" s="71">
        <v>6.1</v>
      </c>
      <c r="F28" s="95">
        <f>E28*D28</f>
        <v>12.2</v>
      </c>
      <c r="G28" s="88">
        <v>3</v>
      </c>
      <c r="H28" s="88">
        <v>2</v>
      </c>
      <c r="I28" s="95">
        <f>H28*G28</f>
        <v>6</v>
      </c>
      <c r="J28" s="329"/>
      <c r="K28" s="329"/>
      <c r="L28" s="95">
        <f>K28*J28</f>
        <v>0</v>
      </c>
      <c r="M28" s="88">
        <v>1</v>
      </c>
      <c r="N28" s="88">
        <v>2</v>
      </c>
      <c r="O28" s="95">
        <f>N28*M28</f>
        <v>2</v>
      </c>
      <c r="P28" s="88">
        <v>2</v>
      </c>
      <c r="Q28" s="88">
        <v>2</v>
      </c>
      <c r="R28" s="95">
        <f>Q28*P28</f>
        <v>4</v>
      </c>
    </row>
    <row r="29" spans="2:18" ht="23.25" customHeight="1" x14ac:dyDescent="0.35">
      <c r="B29" s="96" t="s">
        <v>320</v>
      </c>
      <c r="C29" s="88"/>
      <c r="D29" s="88"/>
      <c r="E29" s="71"/>
      <c r="F29" s="87"/>
      <c r="G29" s="88"/>
      <c r="H29" s="88"/>
      <c r="I29" s="87"/>
      <c r="J29" s="329"/>
      <c r="K29" s="329"/>
      <c r="L29" s="328"/>
      <c r="M29" s="88"/>
      <c r="N29" s="88"/>
      <c r="O29" s="87"/>
      <c r="P29" s="88"/>
      <c r="Q29" s="88"/>
      <c r="R29" s="87"/>
    </row>
    <row r="30" spans="2:18" ht="23.25" customHeight="1" x14ac:dyDescent="0.35">
      <c r="B30" s="97" t="s">
        <v>313</v>
      </c>
      <c r="C30" s="88">
        <v>2</v>
      </c>
      <c r="D30" s="88">
        <v>2</v>
      </c>
      <c r="E30" s="71">
        <v>6.18</v>
      </c>
      <c r="F30" s="95">
        <f>E30*D30</f>
        <v>12.36</v>
      </c>
      <c r="G30" s="88">
        <v>3</v>
      </c>
      <c r="H30" s="88">
        <v>2</v>
      </c>
      <c r="I30" s="95">
        <f>H30*G30</f>
        <v>6</v>
      </c>
      <c r="J30" s="329"/>
      <c r="K30" s="329"/>
      <c r="L30" s="95">
        <f>K30*J30</f>
        <v>0</v>
      </c>
      <c r="M30" s="88">
        <v>1</v>
      </c>
      <c r="N30" s="88">
        <v>2</v>
      </c>
      <c r="O30" s="95">
        <f>N30*M30</f>
        <v>2</v>
      </c>
      <c r="P30" s="88">
        <v>2</v>
      </c>
      <c r="Q30" s="88">
        <v>2</v>
      </c>
      <c r="R30" s="95">
        <f>Q30*P30</f>
        <v>4</v>
      </c>
    </row>
    <row r="31" spans="2:18" ht="23.25" customHeight="1" x14ac:dyDescent="0.35">
      <c r="B31" s="97" t="s">
        <v>314</v>
      </c>
      <c r="C31" s="88">
        <v>2</v>
      </c>
      <c r="D31" s="88">
        <v>2</v>
      </c>
      <c r="E31" s="71">
        <v>6.18</v>
      </c>
      <c r="F31" s="95">
        <f>E31*D31</f>
        <v>12.36</v>
      </c>
      <c r="G31" s="88">
        <v>3</v>
      </c>
      <c r="H31" s="88">
        <v>2</v>
      </c>
      <c r="I31" s="95">
        <f>H31*G31</f>
        <v>6</v>
      </c>
      <c r="J31" s="329"/>
      <c r="K31" s="329"/>
      <c r="L31" s="95">
        <f>K31*J31</f>
        <v>0</v>
      </c>
      <c r="M31" s="88">
        <v>1</v>
      </c>
      <c r="N31" s="88">
        <v>2</v>
      </c>
      <c r="O31" s="95">
        <f>N31*M31</f>
        <v>2</v>
      </c>
      <c r="P31" s="88">
        <v>2</v>
      </c>
      <c r="Q31" s="88">
        <v>2</v>
      </c>
      <c r="R31" s="95">
        <f>Q31*P31</f>
        <v>4</v>
      </c>
    </row>
    <row r="32" spans="2:18" ht="23.25" customHeight="1" x14ac:dyDescent="0.35">
      <c r="B32" s="96" t="s">
        <v>321</v>
      </c>
      <c r="C32" s="88"/>
      <c r="D32" s="88"/>
      <c r="E32" s="71"/>
      <c r="F32" s="87"/>
      <c r="G32" s="88"/>
      <c r="H32" s="88"/>
      <c r="I32" s="87"/>
      <c r="J32" s="329"/>
      <c r="K32" s="329"/>
      <c r="L32" s="328"/>
      <c r="M32" s="88"/>
      <c r="N32" s="88"/>
      <c r="O32" s="87"/>
      <c r="P32" s="88"/>
      <c r="Q32" s="88"/>
      <c r="R32" s="87"/>
    </row>
    <row r="33" spans="2:18" ht="23.25" customHeight="1" x14ac:dyDescent="0.35">
      <c r="B33" s="97" t="s">
        <v>313</v>
      </c>
      <c r="C33" s="88">
        <v>2</v>
      </c>
      <c r="D33" s="88">
        <v>2</v>
      </c>
      <c r="E33" s="71">
        <v>6.18</v>
      </c>
      <c r="F33" s="95">
        <f>E33*D33</f>
        <v>12.36</v>
      </c>
      <c r="G33" s="88">
        <v>3</v>
      </c>
      <c r="H33" s="5">
        <v>2</v>
      </c>
      <c r="I33" s="95">
        <f>H33*G33</f>
        <v>6</v>
      </c>
      <c r="J33" s="329"/>
      <c r="K33" s="329"/>
      <c r="L33" s="95">
        <f>K33*J33</f>
        <v>0</v>
      </c>
      <c r="M33" s="88">
        <v>1</v>
      </c>
      <c r="N33" s="88">
        <v>2</v>
      </c>
      <c r="O33" s="95">
        <f>N33*M33</f>
        <v>2</v>
      </c>
      <c r="P33" s="88">
        <v>2</v>
      </c>
      <c r="Q33" s="88">
        <v>2</v>
      </c>
      <c r="R33" s="95">
        <f>Q33*P33</f>
        <v>4</v>
      </c>
    </row>
    <row r="34" spans="2:18" ht="23.25" customHeight="1" x14ac:dyDescent="0.35">
      <c r="B34" s="97" t="s">
        <v>314</v>
      </c>
      <c r="C34" s="88">
        <v>2</v>
      </c>
      <c r="D34" s="88">
        <v>2</v>
      </c>
      <c r="E34" s="71">
        <v>6.18</v>
      </c>
      <c r="F34" s="95">
        <f>E34*D34</f>
        <v>12.36</v>
      </c>
      <c r="G34" s="88">
        <v>3</v>
      </c>
      <c r="H34" s="88">
        <v>2</v>
      </c>
      <c r="I34" s="95">
        <f>H34*G34</f>
        <v>6</v>
      </c>
      <c r="J34" s="329"/>
      <c r="K34" s="329"/>
      <c r="L34" s="95">
        <f>K34*J34</f>
        <v>0</v>
      </c>
      <c r="M34" s="88">
        <v>1</v>
      </c>
      <c r="N34" s="88">
        <v>2</v>
      </c>
      <c r="O34" s="95">
        <f>N34*M34</f>
        <v>2</v>
      </c>
      <c r="P34" s="88">
        <v>2</v>
      </c>
      <c r="Q34" s="88">
        <v>2</v>
      </c>
      <c r="R34" s="95">
        <f>Q34*P34</f>
        <v>4</v>
      </c>
    </row>
    <row r="35" spans="2:18" ht="23.25" customHeight="1" x14ac:dyDescent="0.35">
      <c r="B35" s="96" t="s">
        <v>322</v>
      </c>
      <c r="C35" s="88"/>
      <c r="D35" s="88"/>
      <c r="E35" s="71"/>
      <c r="F35" s="87"/>
      <c r="G35" s="88"/>
      <c r="H35" s="88"/>
      <c r="I35" s="87"/>
      <c r="J35" s="329"/>
      <c r="K35" s="329"/>
      <c r="L35" s="328"/>
      <c r="M35" s="88"/>
      <c r="N35" s="88"/>
      <c r="O35" s="87"/>
      <c r="P35" s="88"/>
      <c r="Q35" s="88"/>
      <c r="R35" s="87"/>
    </row>
    <row r="36" spans="2:18" ht="23.25" customHeight="1" x14ac:dyDescent="0.35">
      <c r="B36" s="97" t="s">
        <v>313</v>
      </c>
      <c r="C36" s="88">
        <v>2</v>
      </c>
      <c r="D36" s="88">
        <v>2</v>
      </c>
      <c r="E36" s="71">
        <v>8.1999999999999993</v>
      </c>
      <c r="F36" s="95">
        <f>E36*D36</f>
        <v>16.399999999999999</v>
      </c>
      <c r="G36" s="88">
        <v>3</v>
      </c>
      <c r="H36" s="88">
        <v>2</v>
      </c>
      <c r="I36" s="95">
        <f>H36*G36</f>
        <v>6</v>
      </c>
      <c r="J36" s="329"/>
      <c r="K36" s="329"/>
      <c r="L36" s="95">
        <f>K36*J36</f>
        <v>0</v>
      </c>
      <c r="M36" s="88">
        <v>2</v>
      </c>
      <c r="N36" s="88">
        <v>2</v>
      </c>
      <c r="O36" s="95">
        <f>N36*M36</f>
        <v>4</v>
      </c>
      <c r="P36" s="88">
        <v>2</v>
      </c>
      <c r="Q36" s="88">
        <v>2</v>
      </c>
      <c r="R36" s="95">
        <f>Q36*P36</f>
        <v>4</v>
      </c>
    </row>
    <row r="37" spans="2:18" ht="22.5" customHeight="1" x14ac:dyDescent="0.35">
      <c r="B37" s="97" t="s">
        <v>314</v>
      </c>
      <c r="C37" s="88">
        <v>2</v>
      </c>
      <c r="D37" s="88">
        <v>2</v>
      </c>
      <c r="E37" s="71">
        <v>8.1999999999999993</v>
      </c>
      <c r="F37" s="95">
        <f>E37*D37</f>
        <v>16.399999999999999</v>
      </c>
      <c r="G37" s="88">
        <v>3</v>
      </c>
      <c r="H37" s="88">
        <v>2</v>
      </c>
      <c r="I37" s="95">
        <f>H37*G37</f>
        <v>6</v>
      </c>
      <c r="J37" s="329"/>
      <c r="K37" s="329"/>
      <c r="L37" s="95">
        <f>K37*J37</f>
        <v>0</v>
      </c>
      <c r="M37" s="88">
        <v>2</v>
      </c>
      <c r="N37" s="88">
        <v>2</v>
      </c>
      <c r="O37" s="95">
        <f>N37*M37</f>
        <v>4</v>
      </c>
      <c r="P37" s="88">
        <v>2</v>
      </c>
      <c r="Q37" s="88">
        <v>2</v>
      </c>
      <c r="R37" s="95">
        <f>Q37*P37</f>
        <v>4</v>
      </c>
    </row>
    <row r="38" spans="2:18" ht="22.5" customHeight="1" x14ac:dyDescent="0.35">
      <c r="B38" s="97" t="s">
        <v>323</v>
      </c>
      <c r="C38" s="88">
        <v>2</v>
      </c>
      <c r="D38" s="88">
        <v>2</v>
      </c>
      <c r="E38" s="71">
        <v>6.2</v>
      </c>
      <c r="F38" s="95">
        <f>E38*D38</f>
        <v>12.4</v>
      </c>
      <c r="G38" s="88">
        <v>3</v>
      </c>
      <c r="H38" s="88">
        <v>2</v>
      </c>
      <c r="I38" s="95">
        <f>H38*G38</f>
        <v>6</v>
      </c>
      <c r="J38" s="329"/>
      <c r="K38" s="329"/>
      <c r="L38" s="95">
        <f>K38*J38</f>
        <v>0</v>
      </c>
      <c r="M38" s="88">
        <v>1</v>
      </c>
      <c r="N38" s="88">
        <v>2</v>
      </c>
      <c r="O38" s="95">
        <f>N38*M38</f>
        <v>2</v>
      </c>
      <c r="P38" s="88">
        <v>2</v>
      </c>
      <c r="Q38" s="88">
        <v>2</v>
      </c>
      <c r="R38" s="95">
        <f>Q38*P38</f>
        <v>4</v>
      </c>
    </row>
    <row r="39" spans="2:18" ht="22.5" customHeight="1" x14ac:dyDescent="0.35">
      <c r="B39" s="97" t="s">
        <v>324</v>
      </c>
      <c r="C39" s="88">
        <v>2</v>
      </c>
      <c r="D39" s="88">
        <v>2</v>
      </c>
      <c r="E39" s="71">
        <v>6.2</v>
      </c>
      <c r="F39" s="95">
        <f>E39*D39</f>
        <v>12.4</v>
      </c>
      <c r="G39" s="88">
        <v>3</v>
      </c>
      <c r="H39" s="88">
        <v>2</v>
      </c>
      <c r="I39" s="95">
        <f>H39*G39</f>
        <v>6</v>
      </c>
      <c r="J39" s="329"/>
      <c r="K39" s="329"/>
      <c r="L39" s="95">
        <f>K39*J39</f>
        <v>0</v>
      </c>
      <c r="M39" s="88">
        <v>1</v>
      </c>
      <c r="N39" s="88">
        <v>2</v>
      </c>
      <c r="O39" s="95">
        <f>N39*M39</f>
        <v>2</v>
      </c>
      <c r="P39" s="88">
        <v>2</v>
      </c>
      <c r="Q39" s="88">
        <v>2</v>
      </c>
      <c r="R39" s="95">
        <f>Q39*P39</f>
        <v>4</v>
      </c>
    </row>
    <row r="40" spans="2:18" ht="23.25" customHeight="1" x14ac:dyDescent="0.35">
      <c r="B40" s="96" t="s">
        <v>325</v>
      </c>
      <c r="C40" s="98"/>
      <c r="D40" s="88"/>
      <c r="E40" s="71"/>
      <c r="F40" s="87"/>
      <c r="G40" s="88"/>
      <c r="H40" s="88"/>
      <c r="I40" s="87"/>
      <c r="J40" s="329"/>
      <c r="K40" s="329"/>
      <c r="L40" s="328"/>
      <c r="M40" s="88"/>
      <c r="N40" s="88"/>
      <c r="O40" s="87"/>
      <c r="P40" s="88"/>
      <c r="Q40" s="88"/>
      <c r="R40" s="87"/>
    </row>
    <row r="41" spans="2:18" ht="23.25" customHeight="1" x14ac:dyDescent="0.35">
      <c r="B41" s="97" t="s">
        <v>313</v>
      </c>
      <c r="C41" s="99">
        <v>2</v>
      </c>
      <c r="D41" s="88">
        <v>2</v>
      </c>
      <c r="E41" s="71">
        <v>6.22</v>
      </c>
      <c r="F41" s="95">
        <f>E41*D41</f>
        <v>12.44</v>
      </c>
      <c r="G41" s="88">
        <v>3</v>
      </c>
      <c r="H41" s="88">
        <v>2</v>
      </c>
      <c r="I41" s="95">
        <f>H41*G41</f>
        <v>6</v>
      </c>
      <c r="J41" s="329"/>
      <c r="K41" s="329"/>
      <c r="L41" s="95">
        <f>K41*J41</f>
        <v>0</v>
      </c>
      <c r="M41" s="88">
        <v>1</v>
      </c>
      <c r="N41" s="88">
        <v>2</v>
      </c>
      <c r="O41" s="95">
        <f>N41*M41</f>
        <v>2</v>
      </c>
      <c r="P41" s="88">
        <v>2</v>
      </c>
      <c r="Q41" s="88">
        <v>2</v>
      </c>
      <c r="R41" s="95">
        <f>Q41*P41</f>
        <v>4</v>
      </c>
    </row>
    <row r="42" spans="2:18" ht="23.25" customHeight="1" x14ac:dyDescent="0.35">
      <c r="B42" s="97" t="s">
        <v>314</v>
      </c>
      <c r="C42" s="88">
        <v>2</v>
      </c>
      <c r="D42" s="88">
        <v>2</v>
      </c>
      <c r="E42" s="71">
        <v>6.22</v>
      </c>
      <c r="F42" s="95">
        <f>E42*D42</f>
        <v>12.44</v>
      </c>
      <c r="G42" s="88">
        <v>3</v>
      </c>
      <c r="H42" s="88">
        <v>2</v>
      </c>
      <c r="I42" s="95">
        <f>H42*G42</f>
        <v>6</v>
      </c>
      <c r="J42" s="329"/>
      <c r="K42" s="329"/>
      <c r="L42" s="95">
        <f>K42*J42</f>
        <v>0</v>
      </c>
      <c r="M42" s="88">
        <v>1</v>
      </c>
      <c r="N42" s="88">
        <v>2</v>
      </c>
      <c r="O42" s="95">
        <f>N42*M42</f>
        <v>2</v>
      </c>
      <c r="P42" s="88">
        <v>2</v>
      </c>
      <c r="Q42" s="88">
        <v>2</v>
      </c>
      <c r="R42" s="95">
        <f>Q42*P42</f>
        <v>4</v>
      </c>
    </row>
    <row r="43" spans="2:18" ht="23.25" customHeight="1" x14ac:dyDescent="0.35">
      <c r="B43" s="96" t="s">
        <v>326</v>
      </c>
      <c r="C43" s="88"/>
      <c r="D43" s="88"/>
      <c r="E43" s="71"/>
      <c r="F43" s="87"/>
      <c r="G43" s="88"/>
      <c r="H43" s="88"/>
      <c r="I43" s="87"/>
      <c r="J43" s="329"/>
      <c r="K43" s="329"/>
      <c r="L43" s="328"/>
      <c r="M43" s="88"/>
      <c r="N43" s="88"/>
      <c r="O43" s="87"/>
      <c r="P43" s="88"/>
      <c r="Q43" s="88"/>
      <c r="R43" s="87"/>
    </row>
    <row r="44" spans="2:18" ht="23.25" customHeight="1" x14ac:dyDescent="0.35">
      <c r="B44" s="97" t="s">
        <v>313</v>
      </c>
      <c r="C44" s="88">
        <v>4</v>
      </c>
      <c r="D44" s="88">
        <v>4</v>
      </c>
      <c r="E44" s="71">
        <v>12</v>
      </c>
      <c r="F44" s="95">
        <f>E44*D44</f>
        <v>48</v>
      </c>
      <c r="G44" s="88">
        <v>3</v>
      </c>
      <c r="H44" s="88">
        <v>2</v>
      </c>
      <c r="I44" s="95">
        <f>H44*G44</f>
        <v>6</v>
      </c>
      <c r="J44" s="329"/>
      <c r="K44" s="329"/>
      <c r="L44" s="95">
        <f>K44*J44</f>
        <v>0</v>
      </c>
      <c r="M44" s="88">
        <v>3</v>
      </c>
      <c r="N44" s="88">
        <v>4</v>
      </c>
      <c r="O44" s="95">
        <f>N44*M44</f>
        <v>12</v>
      </c>
      <c r="P44" s="88">
        <v>0</v>
      </c>
      <c r="Q44" s="88">
        <v>0</v>
      </c>
      <c r="R44" s="95">
        <f>Q44*P44</f>
        <v>0</v>
      </c>
    </row>
    <row r="45" spans="2:18" ht="23.25" customHeight="1" x14ac:dyDescent="0.35">
      <c r="B45" s="97" t="s">
        <v>314</v>
      </c>
      <c r="C45" s="88">
        <v>4</v>
      </c>
      <c r="D45" s="88">
        <v>4</v>
      </c>
      <c r="E45" s="71">
        <v>12</v>
      </c>
      <c r="F45" s="95">
        <f>E45*D45</f>
        <v>48</v>
      </c>
      <c r="G45" s="88">
        <v>3</v>
      </c>
      <c r="H45" s="88">
        <v>2</v>
      </c>
      <c r="I45" s="95">
        <f>H45*G45</f>
        <v>6</v>
      </c>
      <c r="J45" s="329"/>
      <c r="K45" s="329"/>
      <c r="L45" s="95">
        <f>K45*J45</f>
        <v>0</v>
      </c>
      <c r="M45" s="88">
        <v>3</v>
      </c>
      <c r="N45" s="88">
        <v>4</v>
      </c>
      <c r="O45" s="95">
        <f>N45*M45</f>
        <v>12</v>
      </c>
      <c r="P45" s="88">
        <v>0</v>
      </c>
      <c r="Q45" s="88">
        <v>0</v>
      </c>
      <c r="R45" s="95">
        <f>Q45*P45</f>
        <v>0</v>
      </c>
    </row>
    <row r="46" spans="2:18" ht="23.25" customHeight="1" x14ac:dyDescent="0.35">
      <c r="B46" s="96" t="s">
        <v>327</v>
      </c>
      <c r="C46" s="88"/>
      <c r="D46" s="88"/>
      <c r="E46" s="71"/>
      <c r="F46" s="87"/>
      <c r="G46" s="88"/>
      <c r="H46" s="88"/>
      <c r="I46" s="87"/>
      <c r="J46" s="329"/>
      <c r="K46" s="329"/>
      <c r="L46" s="328"/>
      <c r="M46" s="88"/>
      <c r="N46" s="88"/>
      <c r="O46" s="87"/>
      <c r="P46" s="88"/>
      <c r="Q46" s="88"/>
      <c r="R46" s="87"/>
    </row>
    <row r="47" spans="2:18" ht="23.25" customHeight="1" x14ac:dyDescent="0.35">
      <c r="B47" s="97" t="s">
        <v>313</v>
      </c>
      <c r="C47" s="88">
        <v>1</v>
      </c>
      <c r="D47" s="88">
        <v>1</v>
      </c>
      <c r="E47" s="71">
        <v>5</v>
      </c>
      <c r="F47" s="95">
        <f>E47*D47</f>
        <v>5</v>
      </c>
      <c r="G47" s="88">
        <v>3</v>
      </c>
      <c r="H47" s="88">
        <v>1</v>
      </c>
      <c r="I47" s="95">
        <f>H47*G47</f>
        <v>3</v>
      </c>
      <c r="J47" s="329"/>
      <c r="K47" s="329"/>
      <c r="L47" s="95">
        <f>K47*J47</f>
        <v>0</v>
      </c>
      <c r="M47" s="88">
        <v>1</v>
      </c>
      <c r="N47" s="88">
        <v>1</v>
      </c>
      <c r="O47" s="95">
        <f>N47*M47</f>
        <v>1</v>
      </c>
      <c r="P47" s="88">
        <v>1</v>
      </c>
      <c r="Q47" s="88">
        <v>1</v>
      </c>
      <c r="R47" s="95">
        <f>Q47*P47</f>
        <v>1</v>
      </c>
    </row>
    <row r="48" spans="2:18" ht="23.25" customHeight="1" x14ac:dyDescent="0.35">
      <c r="B48" s="96" t="s">
        <v>328</v>
      </c>
      <c r="C48" s="88"/>
      <c r="D48" s="88"/>
      <c r="E48" s="71"/>
      <c r="F48" s="87"/>
      <c r="G48" s="88"/>
      <c r="H48" s="88"/>
      <c r="I48" s="87"/>
      <c r="J48" s="329"/>
      <c r="K48" s="329"/>
      <c r="L48" s="327"/>
      <c r="M48" s="88"/>
      <c r="N48" s="88"/>
      <c r="O48" s="87"/>
      <c r="P48" s="88"/>
      <c r="Q48" s="88"/>
      <c r="R48" s="87"/>
    </row>
    <row r="49" spans="2:18" ht="23.25" customHeight="1" x14ac:dyDescent="0.35">
      <c r="B49" s="97" t="s">
        <v>313</v>
      </c>
      <c r="C49" s="88">
        <v>1</v>
      </c>
      <c r="D49" s="88">
        <v>1</v>
      </c>
      <c r="E49" s="71">
        <v>5</v>
      </c>
      <c r="F49" s="95">
        <f>E49*D49</f>
        <v>5</v>
      </c>
      <c r="G49" s="88">
        <v>3</v>
      </c>
      <c r="H49" s="88">
        <v>1</v>
      </c>
      <c r="I49" s="95">
        <f>H49*G49</f>
        <v>3</v>
      </c>
      <c r="J49" s="329"/>
      <c r="K49" s="329"/>
      <c r="L49" s="95">
        <f>K49*J49</f>
        <v>0</v>
      </c>
      <c r="M49" s="88">
        <v>1</v>
      </c>
      <c r="N49" s="88">
        <v>1</v>
      </c>
      <c r="O49" s="95">
        <f>N49*M49</f>
        <v>1</v>
      </c>
      <c r="P49" s="88">
        <v>1</v>
      </c>
      <c r="Q49" s="88">
        <v>1</v>
      </c>
      <c r="R49" s="95">
        <f>Q49*P49</f>
        <v>1</v>
      </c>
    </row>
    <row r="50" spans="2:18" ht="31.5" customHeight="1" x14ac:dyDescent="0.35">
      <c r="B50" s="324" t="s">
        <v>622</v>
      </c>
      <c r="C50" s="325"/>
      <c r="D50" s="325"/>
      <c r="E50" s="326"/>
      <c r="F50" s="327"/>
      <c r="G50" s="325"/>
      <c r="H50" s="325"/>
      <c r="I50" s="327"/>
      <c r="J50" s="329"/>
      <c r="K50" s="329"/>
      <c r="L50" s="329"/>
      <c r="M50" s="325"/>
      <c r="N50" s="325"/>
      <c r="O50" s="327"/>
      <c r="P50" s="325"/>
      <c r="Q50" s="325"/>
      <c r="R50" s="327"/>
    </row>
    <row r="51" spans="2:18" ht="23.25" customHeight="1" x14ac:dyDescent="0.35">
      <c r="B51" s="323" t="s">
        <v>623</v>
      </c>
      <c r="C51" s="321">
        <v>1</v>
      </c>
      <c r="D51" s="321">
        <v>1</v>
      </c>
      <c r="E51" s="322">
        <v>9.9</v>
      </c>
      <c r="F51" s="95">
        <f t="shared" ref="F51:F66" si="0">E51*D51</f>
        <v>9.9</v>
      </c>
      <c r="G51" s="321">
        <v>4</v>
      </c>
      <c r="H51" s="321">
        <v>1</v>
      </c>
      <c r="I51" s="95">
        <f t="shared" ref="I51:I66" si="1">H51*G51</f>
        <v>4</v>
      </c>
      <c r="J51" s="329"/>
      <c r="K51" s="329"/>
      <c r="L51" s="95">
        <f>K51*J51</f>
        <v>0</v>
      </c>
      <c r="M51" s="321">
        <v>1</v>
      </c>
      <c r="N51" s="321">
        <v>1</v>
      </c>
      <c r="O51" s="95">
        <f t="shared" ref="O51:O66" si="2">N51*M51</f>
        <v>1</v>
      </c>
      <c r="P51" s="321">
        <v>1</v>
      </c>
      <c r="Q51" s="321">
        <v>1</v>
      </c>
      <c r="R51" s="95">
        <f t="shared" ref="R51:R66" si="3">Q51*P51</f>
        <v>1</v>
      </c>
    </row>
    <row r="52" spans="2:18" ht="23.25" customHeight="1" x14ac:dyDescent="0.35">
      <c r="B52" s="323" t="s">
        <v>624</v>
      </c>
      <c r="C52" s="321">
        <v>1</v>
      </c>
      <c r="D52" s="321">
        <v>1</v>
      </c>
      <c r="E52" s="322">
        <v>7.29</v>
      </c>
      <c r="F52" s="95">
        <f t="shared" si="0"/>
        <v>7.29</v>
      </c>
      <c r="G52" s="321">
        <v>4</v>
      </c>
      <c r="H52" s="321">
        <v>1</v>
      </c>
      <c r="I52" s="95">
        <f t="shared" si="1"/>
        <v>4</v>
      </c>
      <c r="J52" s="329"/>
      <c r="K52" s="329"/>
      <c r="L52" s="95">
        <f>K52*J52</f>
        <v>0</v>
      </c>
      <c r="M52" s="321">
        <v>1</v>
      </c>
      <c r="N52" s="321">
        <v>1</v>
      </c>
      <c r="O52" s="95">
        <f t="shared" si="2"/>
        <v>1</v>
      </c>
      <c r="P52" s="321">
        <v>1</v>
      </c>
      <c r="Q52" s="321">
        <v>1</v>
      </c>
      <c r="R52" s="95">
        <f t="shared" si="3"/>
        <v>1</v>
      </c>
    </row>
    <row r="53" spans="2:18" ht="23.25" customHeight="1" x14ac:dyDescent="0.35">
      <c r="B53" s="323" t="s">
        <v>625</v>
      </c>
      <c r="C53" s="321">
        <v>1</v>
      </c>
      <c r="D53" s="321">
        <v>1</v>
      </c>
      <c r="E53" s="322">
        <v>9.99</v>
      </c>
      <c r="F53" s="95">
        <f t="shared" si="0"/>
        <v>9.99</v>
      </c>
      <c r="G53" s="321">
        <v>4</v>
      </c>
      <c r="H53" s="321">
        <v>1</v>
      </c>
      <c r="I53" s="95">
        <f t="shared" si="1"/>
        <v>4</v>
      </c>
      <c r="J53" s="329"/>
      <c r="K53" s="329"/>
      <c r="L53" s="95">
        <f t="shared" ref="L53:L66" si="4">K53*J53</f>
        <v>0</v>
      </c>
      <c r="M53" s="321">
        <v>1</v>
      </c>
      <c r="N53" s="321">
        <v>1</v>
      </c>
      <c r="O53" s="95">
        <f t="shared" si="2"/>
        <v>1</v>
      </c>
      <c r="P53" s="321">
        <v>1</v>
      </c>
      <c r="Q53" s="321">
        <v>1</v>
      </c>
      <c r="R53" s="95">
        <f t="shared" si="3"/>
        <v>1</v>
      </c>
    </row>
    <row r="54" spans="2:18" ht="23.25" customHeight="1" x14ac:dyDescent="0.35">
      <c r="B54" s="323" t="s">
        <v>626</v>
      </c>
      <c r="C54" s="321">
        <v>1</v>
      </c>
      <c r="D54" s="321">
        <v>1</v>
      </c>
      <c r="E54" s="322">
        <v>7.31</v>
      </c>
      <c r="F54" s="95">
        <f t="shared" si="0"/>
        <v>7.31</v>
      </c>
      <c r="G54" s="321">
        <v>4</v>
      </c>
      <c r="H54" s="321">
        <v>1</v>
      </c>
      <c r="I54" s="95">
        <f t="shared" si="1"/>
        <v>4</v>
      </c>
      <c r="J54" s="329"/>
      <c r="K54" s="329"/>
      <c r="L54" s="95">
        <f t="shared" si="4"/>
        <v>0</v>
      </c>
      <c r="M54" s="321">
        <v>1</v>
      </c>
      <c r="N54" s="321">
        <v>1</v>
      </c>
      <c r="O54" s="95">
        <f t="shared" si="2"/>
        <v>1</v>
      </c>
      <c r="P54" s="321">
        <v>1</v>
      </c>
      <c r="Q54" s="321">
        <v>1</v>
      </c>
      <c r="R54" s="95">
        <f t="shared" si="3"/>
        <v>1</v>
      </c>
    </row>
    <row r="55" spans="2:18" ht="23.25" customHeight="1" x14ac:dyDescent="0.35">
      <c r="B55" s="323" t="s">
        <v>627</v>
      </c>
      <c r="C55" s="321">
        <v>1</v>
      </c>
      <c r="D55" s="321">
        <v>1</v>
      </c>
      <c r="E55" s="322">
        <v>7.7</v>
      </c>
      <c r="F55" s="95">
        <f t="shared" si="0"/>
        <v>7.7</v>
      </c>
      <c r="G55" s="321">
        <v>4</v>
      </c>
      <c r="H55" s="321">
        <v>1</v>
      </c>
      <c r="I55" s="95">
        <f t="shared" si="1"/>
        <v>4</v>
      </c>
      <c r="J55" s="329"/>
      <c r="K55" s="329"/>
      <c r="L55" s="95">
        <f t="shared" si="4"/>
        <v>0</v>
      </c>
      <c r="M55" s="321">
        <v>1</v>
      </c>
      <c r="N55" s="321">
        <v>1</v>
      </c>
      <c r="O55" s="95">
        <f t="shared" si="2"/>
        <v>1</v>
      </c>
      <c r="P55" s="321">
        <v>1</v>
      </c>
      <c r="Q55" s="321">
        <v>1</v>
      </c>
      <c r="R55" s="95">
        <f t="shared" si="3"/>
        <v>1</v>
      </c>
    </row>
    <row r="56" spans="2:18" ht="23.25" customHeight="1" x14ac:dyDescent="0.35">
      <c r="B56" s="323" t="s">
        <v>628</v>
      </c>
      <c r="C56" s="321">
        <v>1</v>
      </c>
      <c r="D56" s="321">
        <v>1</v>
      </c>
      <c r="E56" s="322">
        <v>5.3</v>
      </c>
      <c r="F56" s="95">
        <f t="shared" si="0"/>
        <v>5.3</v>
      </c>
      <c r="G56" s="321">
        <v>4</v>
      </c>
      <c r="H56" s="321">
        <v>1</v>
      </c>
      <c r="I56" s="95">
        <f t="shared" si="1"/>
        <v>4</v>
      </c>
      <c r="J56" s="329"/>
      <c r="K56" s="329"/>
      <c r="L56" s="95">
        <f t="shared" si="4"/>
        <v>0</v>
      </c>
      <c r="M56" s="321">
        <v>1</v>
      </c>
      <c r="N56" s="321">
        <v>1</v>
      </c>
      <c r="O56" s="95">
        <f t="shared" si="2"/>
        <v>1</v>
      </c>
      <c r="P56" s="321">
        <v>1</v>
      </c>
      <c r="Q56" s="321">
        <v>1</v>
      </c>
      <c r="R56" s="95">
        <f t="shared" si="3"/>
        <v>1</v>
      </c>
    </row>
    <row r="57" spans="2:18" ht="23.25" customHeight="1" x14ac:dyDescent="0.35">
      <c r="B57" s="323" t="s">
        <v>629</v>
      </c>
      <c r="C57" s="321">
        <v>1</v>
      </c>
      <c r="D57" s="321">
        <v>1</v>
      </c>
      <c r="E57" s="322">
        <v>7.58</v>
      </c>
      <c r="F57" s="95">
        <f t="shared" si="0"/>
        <v>7.58</v>
      </c>
      <c r="G57" s="321">
        <v>4</v>
      </c>
      <c r="H57" s="321">
        <v>1</v>
      </c>
      <c r="I57" s="95">
        <f t="shared" si="1"/>
        <v>4</v>
      </c>
      <c r="J57" s="329"/>
      <c r="K57" s="329"/>
      <c r="L57" s="95">
        <f t="shared" si="4"/>
        <v>0</v>
      </c>
      <c r="M57" s="321">
        <v>1</v>
      </c>
      <c r="N57" s="321">
        <v>1</v>
      </c>
      <c r="O57" s="95">
        <f t="shared" si="2"/>
        <v>1</v>
      </c>
      <c r="P57" s="321">
        <v>1</v>
      </c>
      <c r="Q57" s="321">
        <v>1</v>
      </c>
      <c r="R57" s="95">
        <f t="shared" si="3"/>
        <v>1</v>
      </c>
    </row>
    <row r="58" spans="2:18" ht="23.25" customHeight="1" x14ac:dyDescent="0.35">
      <c r="B58" s="323" t="s">
        <v>630</v>
      </c>
      <c r="C58" s="321">
        <v>1</v>
      </c>
      <c r="D58" s="321">
        <v>1</v>
      </c>
      <c r="E58" s="322">
        <v>5.17</v>
      </c>
      <c r="F58" s="95">
        <f t="shared" si="0"/>
        <v>5.17</v>
      </c>
      <c r="G58" s="321">
        <v>4</v>
      </c>
      <c r="H58" s="321">
        <v>1</v>
      </c>
      <c r="I58" s="95">
        <f t="shared" si="1"/>
        <v>4</v>
      </c>
      <c r="J58" s="329"/>
      <c r="K58" s="329"/>
      <c r="L58" s="95">
        <f t="shared" si="4"/>
        <v>0</v>
      </c>
      <c r="M58" s="321">
        <v>1</v>
      </c>
      <c r="N58" s="321">
        <v>1</v>
      </c>
      <c r="O58" s="95">
        <f t="shared" si="2"/>
        <v>1</v>
      </c>
      <c r="P58" s="321">
        <v>1</v>
      </c>
      <c r="Q58" s="321">
        <v>1</v>
      </c>
      <c r="R58" s="95">
        <f t="shared" si="3"/>
        <v>1</v>
      </c>
    </row>
    <row r="59" spans="2:18" ht="23.25" customHeight="1" x14ac:dyDescent="0.35">
      <c r="B59" s="323" t="s">
        <v>631</v>
      </c>
      <c r="C59" s="321">
        <v>1</v>
      </c>
      <c r="D59" s="321">
        <v>1</v>
      </c>
      <c r="E59" s="322">
        <v>9</v>
      </c>
      <c r="F59" s="95">
        <f t="shared" si="0"/>
        <v>9</v>
      </c>
      <c r="G59" s="321">
        <v>3</v>
      </c>
      <c r="H59" s="321">
        <v>1</v>
      </c>
      <c r="I59" s="95">
        <f t="shared" si="1"/>
        <v>3</v>
      </c>
      <c r="J59" s="329"/>
      <c r="K59" s="329"/>
      <c r="L59" s="95">
        <f t="shared" si="4"/>
        <v>0</v>
      </c>
      <c r="M59" s="321">
        <v>1</v>
      </c>
      <c r="N59" s="321">
        <v>1</v>
      </c>
      <c r="O59" s="95">
        <f t="shared" si="2"/>
        <v>1</v>
      </c>
      <c r="P59" s="321">
        <v>1</v>
      </c>
      <c r="Q59" s="321">
        <v>1</v>
      </c>
      <c r="R59" s="95">
        <f t="shared" si="3"/>
        <v>1</v>
      </c>
    </row>
    <row r="60" spans="2:18" ht="23.25" customHeight="1" x14ac:dyDescent="0.35">
      <c r="B60" s="323" t="s">
        <v>632</v>
      </c>
      <c r="C60" s="321">
        <v>1</v>
      </c>
      <c r="D60" s="321">
        <v>1</v>
      </c>
      <c r="E60" s="322">
        <v>10.63</v>
      </c>
      <c r="F60" s="95">
        <f t="shared" si="0"/>
        <v>10.63</v>
      </c>
      <c r="G60" s="321">
        <v>3</v>
      </c>
      <c r="H60" s="321">
        <v>1</v>
      </c>
      <c r="I60" s="95">
        <f t="shared" si="1"/>
        <v>3</v>
      </c>
      <c r="J60" s="329"/>
      <c r="K60" s="329"/>
      <c r="L60" s="95">
        <f t="shared" si="4"/>
        <v>0</v>
      </c>
      <c r="M60" s="321">
        <v>1</v>
      </c>
      <c r="N60" s="321">
        <v>1</v>
      </c>
      <c r="O60" s="95">
        <f t="shared" si="2"/>
        <v>1</v>
      </c>
      <c r="P60" s="321">
        <v>1</v>
      </c>
      <c r="Q60" s="321">
        <v>1</v>
      </c>
      <c r="R60" s="95">
        <f t="shared" si="3"/>
        <v>1</v>
      </c>
    </row>
    <row r="61" spans="2:18" ht="23.25" customHeight="1" x14ac:dyDescent="0.35">
      <c r="B61" s="323" t="s">
        <v>633</v>
      </c>
      <c r="C61" s="321">
        <v>1</v>
      </c>
      <c r="D61" s="321">
        <v>1</v>
      </c>
      <c r="E61" s="322">
        <v>9.25</v>
      </c>
      <c r="F61" s="95">
        <f t="shared" si="0"/>
        <v>9.25</v>
      </c>
      <c r="G61" s="321">
        <v>3</v>
      </c>
      <c r="H61" s="321">
        <v>1</v>
      </c>
      <c r="I61" s="95">
        <f t="shared" si="1"/>
        <v>3</v>
      </c>
      <c r="J61" s="329"/>
      <c r="K61" s="329"/>
      <c r="L61" s="95">
        <f t="shared" si="4"/>
        <v>0</v>
      </c>
      <c r="M61" s="321">
        <v>1</v>
      </c>
      <c r="N61" s="321">
        <v>1</v>
      </c>
      <c r="O61" s="95">
        <f t="shared" si="2"/>
        <v>1</v>
      </c>
      <c r="P61" s="321">
        <v>1</v>
      </c>
      <c r="Q61" s="321">
        <v>1</v>
      </c>
      <c r="R61" s="95">
        <f t="shared" si="3"/>
        <v>1</v>
      </c>
    </row>
    <row r="62" spans="2:18" ht="23.25" customHeight="1" x14ac:dyDescent="0.35">
      <c r="B62" s="323" t="s">
        <v>634</v>
      </c>
      <c r="C62" s="321">
        <v>1</v>
      </c>
      <c r="D62" s="321">
        <v>1</v>
      </c>
      <c r="E62" s="322">
        <v>13.36</v>
      </c>
      <c r="F62" s="95">
        <f t="shared" si="0"/>
        <v>13.36</v>
      </c>
      <c r="G62" s="321">
        <v>3</v>
      </c>
      <c r="H62" s="321">
        <v>1</v>
      </c>
      <c r="I62" s="95">
        <f t="shared" si="1"/>
        <v>3</v>
      </c>
      <c r="J62" s="329">
        <v>1</v>
      </c>
      <c r="K62" s="329">
        <v>1</v>
      </c>
      <c r="L62" s="95">
        <f t="shared" si="4"/>
        <v>1</v>
      </c>
      <c r="M62" s="321">
        <v>1</v>
      </c>
      <c r="N62" s="321">
        <v>1</v>
      </c>
      <c r="O62" s="95">
        <f t="shared" si="2"/>
        <v>1</v>
      </c>
      <c r="P62" s="321">
        <v>1</v>
      </c>
      <c r="Q62" s="321">
        <v>1</v>
      </c>
      <c r="R62" s="95">
        <f t="shared" si="3"/>
        <v>1</v>
      </c>
    </row>
    <row r="63" spans="2:18" ht="23.25" customHeight="1" x14ac:dyDescent="0.35">
      <c r="B63" s="323" t="s">
        <v>635</v>
      </c>
      <c r="C63" s="321">
        <v>1</v>
      </c>
      <c r="D63" s="321">
        <v>1</v>
      </c>
      <c r="E63" s="322">
        <v>12.19</v>
      </c>
      <c r="F63" s="95">
        <f t="shared" si="0"/>
        <v>12.19</v>
      </c>
      <c r="G63" s="321">
        <v>3</v>
      </c>
      <c r="H63" s="321">
        <v>1</v>
      </c>
      <c r="I63" s="95">
        <f t="shared" si="1"/>
        <v>3</v>
      </c>
      <c r="J63" s="329">
        <v>1</v>
      </c>
      <c r="K63" s="329">
        <v>1</v>
      </c>
      <c r="L63" s="95">
        <f t="shared" si="4"/>
        <v>1</v>
      </c>
      <c r="M63" s="321">
        <v>1</v>
      </c>
      <c r="N63" s="321">
        <v>1</v>
      </c>
      <c r="O63" s="95">
        <f t="shared" si="2"/>
        <v>1</v>
      </c>
      <c r="P63" s="321">
        <v>1</v>
      </c>
      <c r="Q63" s="321">
        <v>1</v>
      </c>
      <c r="R63" s="95">
        <f t="shared" si="3"/>
        <v>1</v>
      </c>
    </row>
    <row r="64" spans="2:18" ht="23.25" customHeight="1" x14ac:dyDescent="0.35">
      <c r="B64" s="323" t="s">
        <v>636</v>
      </c>
      <c r="C64" s="321">
        <v>1</v>
      </c>
      <c r="D64" s="321">
        <v>1</v>
      </c>
      <c r="E64" s="322">
        <v>8.1300000000000008</v>
      </c>
      <c r="F64" s="95">
        <f t="shared" si="0"/>
        <v>8.1300000000000008</v>
      </c>
      <c r="G64" s="321">
        <v>3</v>
      </c>
      <c r="H64" s="321">
        <v>1</v>
      </c>
      <c r="I64" s="95">
        <f t="shared" si="1"/>
        <v>3</v>
      </c>
      <c r="J64" s="329"/>
      <c r="K64" s="329"/>
      <c r="L64" s="95">
        <f t="shared" si="4"/>
        <v>0</v>
      </c>
      <c r="M64" s="321">
        <v>1</v>
      </c>
      <c r="N64" s="321">
        <v>1</v>
      </c>
      <c r="O64" s="95">
        <f t="shared" si="2"/>
        <v>1</v>
      </c>
      <c r="P64" s="321">
        <v>1</v>
      </c>
      <c r="Q64" s="321">
        <v>1</v>
      </c>
      <c r="R64" s="95">
        <f t="shared" si="3"/>
        <v>1</v>
      </c>
    </row>
    <row r="65" spans="2:18" ht="23.25" customHeight="1" x14ac:dyDescent="0.35">
      <c r="B65" s="323" t="s">
        <v>637</v>
      </c>
      <c r="C65" s="321">
        <v>1</v>
      </c>
      <c r="D65" s="321">
        <v>1</v>
      </c>
      <c r="E65" s="322">
        <v>7.35</v>
      </c>
      <c r="F65" s="95">
        <f t="shared" si="0"/>
        <v>7.35</v>
      </c>
      <c r="G65" s="321">
        <v>4</v>
      </c>
      <c r="H65" s="321">
        <v>1</v>
      </c>
      <c r="I65" s="95">
        <f t="shared" si="1"/>
        <v>4</v>
      </c>
      <c r="J65" s="329"/>
      <c r="K65" s="329"/>
      <c r="L65" s="95">
        <f t="shared" si="4"/>
        <v>0</v>
      </c>
      <c r="M65" s="321">
        <v>1</v>
      </c>
      <c r="N65" s="321">
        <v>1</v>
      </c>
      <c r="O65" s="95">
        <f t="shared" si="2"/>
        <v>1</v>
      </c>
      <c r="P65" s="321">
        <v>1</v>
      </c>
      <c r="Q65" s="321">
        <v>1</v>
      </c>
      <c r="R65" s="95">
        <f t="shared" si="3"/>
        <v>1</v>
      </c>
    </row>
    <row r="66" spans="2:18" ht="23.25" customHeight="1" x14ac:dyDescent="0.35">
      <c r="B66" s="323" t="s">
        <v>638</v>
      </c>
      <c r="C66" s="321">
        <v>1</v>
      </c>
      <c r="D66" s="321">
        <v>1</v>
      </c>
      <c r="E66" s="322">
        <v>6.33</v>
      </c>
      <c r="F66" s="95">
        <f t="shared" si="0"/>
        <v>6.33</v>
      </c>
      <c r="G66" s="321">
        <v>3</v>
      </c>
      <c r="H66" s="321">
        <v>1</v>
      </c>
      <c r="I66" s="95">
        <f t="shared" si="1"/>
        <v>3</v>
      </c>
      <c r="J66" s="329"/>
      <c r="K66" s="329"/>
      <c r="L66" s="95">
        <f t="shared" si="4"/>
        <v>0</v>
      </c>
      <c r="M66" s="321">
        <v>1</v>
      </c>
      <c r="N66" s="321">
        <v>1</v>
      </c>
      <c r="O66" s="95">
        <f t="shared" si="2"/>
        <v>1</v>
      </c>
      <c r="P66" s="321">
        <v>1</v>
      </c>
      <c r="Q66" s="321">
        <v>1</v>
      </c>
      <c r="R66" s="95">
        <f t="shared" si="3"/>
        <v>1</v>
      </c>
    </row>
    <row r="67" spans="2:18" ht="23.25" customHeight="1" x14ac:dyDescent="0.35">
      <c r="C67" s="100">
        <f>SUM(C11:C66)</f>
        <v>70</v>
      </c>
      <c r="D67" s="88"/>
      <c r="E67" s="71"/>
      <c r="F67" s="100">
        <f>SUM(F11:F66)</f>
        <v>522.96</v>
      </c>
      <c r="G67" s="88"/>
      <c r="H67" s="88"/>
      <c r="I67" s="100">
        <f>SUM(I11:I66)</f>
        <v>207</v>
      </c>
      <c r="J67" s="329"/>
      <c r="K67" s="329"/>
      <c r="L67" s="100">
        <f>SUM(L11:L66)</f>
        <v>2</v>
      </c>
      <c r="M67" s="88"/>
      <c r="N67" s="88"/>
      <c r="O67" s="100">
        <f>SUM(O11:O66)</f>
        <v>90</v>
      </c>
      <c r="P67" s="88"/>
      <c r="Q67" s="88"/>
      <c r="R67" s="100">
        <f>SUM(R11:R66)</f>
        <v>106</v>
      </c>
    </row>
    <row r="68" spans="2:18" x14ac:dyDescent="0.35">
      <c r="P68" s="5"/>
      <c r="Q68" s="5"/>
      <c r="R68" s="5"/>
    </row>
  </sheetData>
  <mergeCells count="12">
    <mergeCell ref="C9:C10"/>
    <mergeCell ref="C5:R5"/>
    <mergeCell ref="P9:R9"/>
    <mergeCell ref="B2:R2"/>
    <mergeCell ref="C4:R4"/>
    <mergeCell ref="C3:R3"/>
    <mergeCell ref="G9:I9"/>
    <mergeCell ref="D9:F9"/>
    <mergeCell ref="C7:R7"/>
    <mergeCell ref="M9:O9"/>
    <mergeCell ref="C6:R6"/>
    <mergeCell ref="J9:L9"/>
  </mergeCells>
  <phoneticPr fontId="42" type="noConversion"/>
  <pageMargins left="1.41736111111111" right="0.39374999999999999" top="1.14652777777778" bottom="0.39374999999999999" header="0.511811023622047" footer="0.511811023622047"/>
  <pageSetup paperSize="9" scale="5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57"/>
  <sheetViews>
    <sheetView view="pageBreakPreview" zoomScaleNormal="115" workbookViewId="0">
      <selection activeCell="R68" sqref="R68"/>
    </sheetView>
  </sheetViews>
  <sheetFormatPr baseColWidth="10" defaultColWidth="12.36328125" defaultRowHeight="14" x14ac:dyDescent="0.3"/>
  <cols>
    <col min="1" max="1" width="3.90625" style="59" customWidth="1"/>
    <col min="2" max="2" width="12.90625" style="59" customWidth="1"/>
    <col min="3" max="3" width="15.6328125" style="59" customWidth="1"/>
    <col min="4" max="6" width="12.36328125" style="59" customWidth="1"/>
    <col min="7" max="7" width="13.90625" style="59" customWidth="1"/>
    <col min="8" max="8" width="7.90625" style="59" customWidth="1"/>
    <col min="9" max="9" width="7.08984375" style="59" customWidth="1"/>
    <col min="10" max="14" width="12.36328125" style="59" customWidth="1"/>
    <col min="15" max="15" width="14.1796875" style="59" customWidth="1"/>
    <col min="16" max="16" width="12.36328125" style="59" customWidth="1"/>
    <col min="17" max="16384" width="12.36328125" style="59"/>
  </cols>
  <sheetData>
    <row r="1" spans="1:15" ht="27" customHeight="1" x14ac:dyDescent="0.3"/>
    <row r="2" spans="1:15" ht="24.75" customHeight="1" x14ac:dyDescent="0.35">
      <c r="B2" s="242" t="s">
        <v>270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4"/>
    </row>
    <row r="3" spans="1:15" ht="24.75" customHeight="1" x14ac:dyDescent="0.35">
      <c r="B3" s="10" t="s">
        <v>1</v>
      </c>
      <c r="C3" s="212" t="str">
        <f>+RESUMEN!B4</f>
        <v>GERENCIA TERRITORIAL BAJO MAYO - TARAPOTO</v>
      </c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/>
    </row>
    <row r="4" spans="1:15" ht="59.25" customHeight="1" x14ac:dyDescent="0.35">
      <c r="B4" s="10" t="s">
        <v>3</v>
      </c>
      <c r="C4" s="21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4"/>
    </row>
    <row r="5" spans="1:15" ht="24.75" customHeight="1" x14ac:dyDescent="0.35">
      <c r="B5" s="10" t="s">
        <v>5</v>
      </c>
      <c r="C5" s="212" t="str">
        <f>+RESUMEN!B6</f>
        <v>SAN MARTIN - SAN MARTIN - MORALES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4"/>
    </row>
    <row r="6" spans="1:15" ht="24.75" customHeight="1" x14ac:dyDescent="0.35">
      <c r="B6" s="10" t="s">
        <v>7</v>
      </c>
      <c r="C6" s="218">
        <f>+RESUMEN!B7</f>
        <v>46266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4"/>
    </row>
    <row r="7" spans="1:15" ht="24" customHeight="1" x14ac:dyDescent="0.3">
      <c r="A7" s="60"/>
      <c r="B7" s="251" t="s">
        <v>41</v>
      </c>
      <c r="C7" s="252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</row>
    <row r="8" spans="1:15" ht="15.75" customHeight="1" x14ac:dyDescent="0.3"/>
    <row r="9" spans="1:15" ht="24" customHeight="1" x14ac:dyDescent="0.35">
      <c r="B9" s="253" t="s">
        <v>271</v>
      </c>
      <c r="C9" s="254"/>
      <c r="D9" s="255"/>
      <c r="E9" s="61" t="s">
        <v>176</v>
      </c>
      <c r="F9" s="61" t="s">
        <v>272</v>
      </c>
      <c r="G9" s="62" t="s">
        <v>273</v>
      </c>
      <c r="I9" s="63"/>
      <c r="J9" s="217" t="s">
        <v>271</v>
      </c>
      <c r="K9" s="213"/>
      <c r="L9" s="214"/>
      <c r="M9" s="3" t="s">
        <v>176</v>
      </c>
      <c r="N9" s="3" t="s">
        <v>272</v>
      </c>
      <c r="O9" s="3" t="s">
        <v>273</v>
      </c>
    </row>
    <row r="10" spans="1:15" ht="15" customHeight="1" x14ac:dyDescent="0.3">
      <c r="B10" s="238" t="s">
        <v>274</v>
      </c>
      <c r="C10" s="229" t="s">
        <v>275</v>
      </c>
      <c r="D10" s="64" t="s">
        <v>155</v>
      </c>
      <c r="E10" s="65">
        <v>7.29</v>
      </c>
      <c r="F10" s="235">
        <f>E10*E11*E12</f>
        <v>1.4580000000000002</v>
      </c>
      <c r="G10" s="248">
        <f>SUM(F10:F18)</f>
        <v>2.8740000000000006</v>
      </c>
      <c r="I10" s="63"/>
      <c r="J10" s="259" t="s">
        <v>276</v>
      </c>
      <c r="K10" s="227" t="s">
        <v>275</v>
      </c>
      <c r="L10" s="66" t="s">
        <v>155</v>
      </c>
      <c r="M10" s="67">
        <v>79.34</v>
      </c>
      <c r="N10" s="237">
        <f>M10*M11*M12</f>
        <v>15.868000000000002</v>
      </c>
      <c r="O10" s="237">
        <f>SUM(N10:N18)</f>
        <v>25.645000000000003</v>
      </c>
    </row>
    <row r="11" spans="1:15" ht="15.5" customHeight="1" x14ac:dyDescent="0.3">
      <c r="B11" s="239"/>
      <c r="C11" s="230"/>
      <c r="D11" s="66" t="s">
        <v>277</v>
      </c>
      <c r="E11" s="67">
        <v>0.1</v>
      </c>
      <c r="F11" s="228"/>
      <c r="G11" s="233"/>
      <c r="I11" s="63"/>
      <c r="J11" s="228"/>
      <c r="K11" s="228"/>
      <c r="L11" s="66" t="s">
        <v>277</v>
      </c>
      <c r="M11" s="67">
        <v>0.1</v>
      </c>
      <c r="N11" s="228"/>
      <c r="O11" s="228"/>
    </row>
    <row r="12" spans="1:15" ht="15" customHeight="1" x14ac:dyDescent="0.3">
      <c r="B12" s="239"/>
      <c r="C12" s="231"/>
      <c r="D12" s="68" t="s">
        <v>278</v>
      </c>
      <c r="E12" s="69">
        <v>2</v>
      </c>
      <c r="F12" s="236"/>
      <c r="G12" s="233"/>
      <c r="I12" s="63"/>
      <c r="J12" s="228"/>
      <c r="K12" s="220"/>
      <c r="L12" s="66" t="s">
        <v>278</v>
      </c>
      <c r="M12" s="67">
        <v>2</v>
      </c>
      <c r="N12" s="220"/>
      <c r="O12" s="228"/>
    </row>
    <row r="13" spans="1:15" ht="15" customHeight="1" x14ac:dyDescent="0.3">
      <c r="B13" s="239"/>
      <c r="C13" s="229" t="s">
        <v>279</v>
      </c>
      <c r="D13" s="64" t="s">
        <v>277</v>
      </c>
      <c r="E13" s="65">
        <v>0.1</v>
      </c>
      <c r="F13" s="235">
        <f>E13*E14*E15</f>
        <v>1.4160000000000001</v>
      </c>
      <c r="G13" s="233"/>
      <c r="I13" s="63"/>
      <c r="J13" s="228"/>
      <c r="K13" s="227" t="s">
        <v>279</v>
      </c>
      <c r="L13" s="66" t="s">
        <v>277</v>
      </c>
      <c r="M13" s="67">
        <v>0.1</v>
      </c>
      <c r="N13" s="237">
        <f>M13*M14*M15</f>
        <v>8.4719999999999995</v>
      </c>
      <c r="O13" s="228"/>
    </row>
    <row r="14" spans="1:15" ht="15" customHeight="1" x14ac:dyDescent="0.3">
      <c r="B14" s="239"/>
      <c r="C14" s="230"/>
      <c r="D14" s="66" t="s">
        <v>280</v>
      </c>
      <c r="E14" s="67">
        <v>23.6</v>
      </c>
      <c r="F14" s="228"/>
      <c r="G14" s="233"/>
      <c r="I14" s="63"/>
      <c r="J14" s="228"/>
      <c r="K14" s="228"/>
      <c r="L14" s="66" t="s">
        <v>280</v>
      </c>
      <c r="M14" s="67">
        <v>141.19999999999999</v>
      </c>
      <c r="N14" s="228"/>
      <c r="O14" s="228"/>
    </row>
    <row r="15" spans="1:15" ht="15.5" customHeight="1" x14ac:dyDescent="0.3">
      <c r="B15" s="239"/>
      <c r="C15" s="231"/>
      <c r="D15" s="68" t="s">
        <v>152</v>
      </c>
      <c r="E15" s="69">
        <v>0.6</v>
      </c>
      <c r="F15" s="236"/>
      <c r="G15" s="233"/>
      <c r="I15" s="63"/>
      <c r="J15" s="228"/>
      <c r="K15" s="220"/>
      <c r="L15" s="66" t="s">
        <v>152</v>
      </c>
      <c r="M15" s="67">
        <v>0.6</v>
      </c>
      <c r="N15" s="220"/>
      <c r="O15" s="228"/>
    </row>
    <row r="16" spans="1:15" ht="15" customHeight="1" x14ac:dyDescent="0.3">
      <c r="B16" s="239"/>
      <c r="C16" s="229" t="s">
        <v>281</v>
      </c>
      <c r="D16" s="64" t="s">
        <v>280</v>
      </c>
      <c r="E16" s="70">
        <v>0</v>
      </c>
      <c r="F16" s="235">
        <f>E16*E17*E18</f>
        <v>0</v>
      </c>
      <c r="G16" s="233"/>
      <c r="I16" s="63"/>
      <c r="J16" s="228"/>
      <c r="K16" s="227" t="s">
        <v>281</v>
      </c>
      <c r="L16" s="66" t="s">
        <v>280</v>
      </c>
      <c r="M16" s="71">
        <v>21.75</v>
      </c>
      <c r="N16" s="237">
        <f>M16*M17*M18</f>
        <v>1.3050000000000002</v>
      </c>
      <c r="O16" s="228"/>
    </row>
    <row r="17" spans="2:15" ht="15.5" customHeight="1" x14ac:dyDescent="0.3">
      <c r="B17" s="239"/>
      <c r="C17" s="230"/>
      <c r="D17" s="66" t="s">
        <v>277</v>
      </c>
      <c r="E17" s="67">
        <v>0.1</v>
      </c>
      <c r="F17" s="228"/>
      <c r="G17" s="233"/>
      <c r="I17" s="63"/>
      <c r="J17" s="228"/>
      <c r="K17" s="228"/>
      <c r="L17" s="66" t="s">
        <v>277</v>
      </c>
      <c r="M17" s="67">
        <v>0.1</v>
      </c>
      <c r="N17" s="228"/>
      <c r="O17" s="228"/>
    </row>
    <row r="18" spans="2:15" ht="15.5" customHeight="1" x14ac:dyDescent="0.3">
      <c r="B18" s="240"/>
      <c r="C18" s="231"/>
      <c r="D18" s="68" t="s">
        <v>152</v>
      </c>
      <c r="E18" s="69">
        <v>0.6</v>
      </c>
      <c r="F18" s="236"/>
      <c r="G18" s="249"/>
      <c r="I18" s="63"/>
      <c r="J18" s="220"/>
      <c r="K18" s="220"/>
      <c r="L18" s="66" t="s">
        <v>152</v>
      </c>
      <c r="M18" s="67">
        <v>0.6</v>
      </c>
      <c r="N18" s="220"/>
      <c r="O18" s="220"/>
    </row>
    <row r="19" spans="2:15" ht="15" customHeight="1" x14ac:dyDescent="0.3">
      <c r="F19" s="72"/>
      <c r="I19" s="63"/>
    </row>
    <row r="20" spans="2:15" x14ac:dyDescent="0.3">
      <c r="I20" s="63"/>
    </row>
    <row r="21" spans="2:15" ht="21" customHeight="1" x14ac:dyDescent="0.35">
      <c r="B21" s="253" t="s">
        <v>271</v>
      </c>
      <c r="C21" s="254"/>
      <c r="D21" s="255"/>
      <c r="E21" s="61" t="s">
        <v>176</v>
      </c>
      <c r="F21" s="61" t="s">
        <v>272</v>
      </c>
      <c r="G21" s="62" t="s">
        <v>273</v>
      </c>
      <c r="I21" s="63"/>
      <c r="J21" s="217" t="s">
        <v>271</v>
      </c>
      <c r="K21" s="213"/>
      <c r="L21" s="214"/>
      <c r="M21" s="3" t="s">
        <v>176</v>
      </c>
      <c r="N21" s="3" t="s">
        <v>272</v>
      </c>
      <c r="O21" s="3" t="s">
        <v>273</v>
      </c>
    </row>
    <row r="22" spans="2:15" ht="15.75" customHeight="1" x14ac:dyDescent="0.3">
      <c r="B22" s="238" t="s">
        <v>282</v>
      </c>
      <c r="C22" s="229" t="s">
        <v>275</v>
      </c>
      <c r="D22" s="64" t="s">
        <v>155</v>
      </c>
      <c r="E22" s="65">
        <v>82.33</v>
      </c>
      <c r="F22" s="235">
        <f>E22*E23*E24</f>
        <v>16.466000000000001</v>
      </c>
      <c r="G22" s="248">
        <f>SUM(F22:F30)</f>
        <v>26.018000000000001</v>
      </c>
      <c r="J22" s="259" t="s">
        <v>283</v>
      </c>
      <c r="K22" s="227" t="s">
        <v>275</v>
      </c>
      <c r="L22" s="66" t="s">
        <v>155</v>
      </c>
      <c r="M22" s="67">
        <v>7.18</v>
      </c>
      <c r="N22" s="237">
        <f>M22*M23*M24</f>
        <v>1.4359999999999999</v>
      </c>
      <c r="O22" s="237">
        <f>SUM(N22:N30)</f>
        <v>2.8339999999999996</v>
      </c>
    </row>
    <row r="23" spans="2:15" ht="15" customHeight="1" x14ac:dyDescent="0.3">
      <c r="B23" s="239"/>
      <c r="C23" s="230"/>
      <c r="D23" s="66" t="s">
        <v>277</v>
      </c>
      <c r="E23" s="67">
        <v>0.1</v>
      </c>
      <c r="F23" s="228"/>
      <c r="G23" s="233"/>
      <c r="J23" s="228"/>
      <c r="K23" s="228"/>
      <c r="L23" s="66" t="s">
        <v>277</v>
      </c>
      <c r="M23" s="67">
        <v>0.1</v>
      </c>
      <c r="N23" s="228"/>
      <c r="O23" s="228"/>
    </row>
    <row r="24" spans="2:15" ht="15.5" customHeight="1" x14ac:dyDescent="0.3">
      <c r="B24" s="239"/>
      <c r="C24" s="231"/>
      <c r="D24" s="68" t="s">
        <v>278</v>
      </c>
      <c r="E24" s="69">
        <v>2</v>
      </c>
      <c r="F24" s="236"/>
      <c r="G24" s="233"/>
      <c r="J24" s="228"/>
      <c r="K24" s="220"/>
      <c r="L24" s="66" t="s">
        <v>278</v>
      </c>
      <c r="M24" s="67">
        <v>2</v>
      </c>
      <c r="N24" s="220"/>
      <c r="O24" s="228"/>
    </row>
    <row r="25" spans="2:15" ht="17.25" customHeight="1" x14ac:dyDescent="0.3">
      <c r="B25" s="239"/>
      <c r="C25" s="229" t="s">
        <v>279</v>
      </c>
      <c r="D25" s="64" t="s">
        <v>277</v>
      </c>
      <c r="E25" s="65">
        <v>0.1</v>
      </c>
      <c r="F25" s="235">
        <f>E25*E26*E27</f>
        <v>8.6100000000000012</v>
      </c>
      <c r="G25" s="233"/>
      <c r="J25" s="228"/>
      <c r="K25" s="227" t="s">
        <v>279</v>
      </c>
      <c r="L25" s="66" t="s">
        <v>277</v>
      </c>
      <c r="M25" s="67">
        <v>0.1</v>
      </c>
      <c r="N25" s="237">
        <f>M25*M26*M27</f>
        <v>1.3979999999999999</v>
      </c>
      <c r="O25" s="228"/>
    </row>
    <row r="26" spans="2:15" ht="15.5" customHeight="1" x14ac:dyDescent="0.3">
      <c r="B26" s="239"/>
      <c r="C26" s="230"/>
      <c r="D26" s="66" t="s">
        <v>280</v>
      </c>
      <c r="E26" s="67">
        <v>143.5</v>
      </c>
      <c r="F26" s="228"/>
      <c r="G26" s="233"/>
      <c r="J26" s="228"/>
      <c r="K26" s="228"/>
      <c r="L26" s="66" t="s">
        <v>280</v>
      </c>
      <c r="M26" s="67">
        <v>23.3</v>
      </c>
      <c r="N26" s="228"/>
      <c r="O26" s="228"/>
    </row>
    <row r="27" spans="2:15" ht="15.5" customHeight="1" x14ac:dyDescent="0.3">
      <c r="B27" s="239"/>
      <c r="C27" s="231"/>
      <c r="D27" s="68" t="s">
        <v>152</v>
      </c>
      <c r="E27" s="69">
        <v>0.6</v>
      </c>
      <c r="F27" s="236"/>
      <c r="G27" s="233"/>
      <c r="J27" s="228"/>
      <c r="K27" s="220"/>
      <c r="L27" s="66" t="s">
        <v>152</v>
      </c>
      <c r="M27" s="67">
        <v>0.6</v>
      </c>
      <c r="N27" s="220"/>
      <c r="O27" s="228"/>
    </row>
    <row r="28" spans="2:15" ht="17.25" customHeight="1" x14ac:dyDescent="0.3">
      <c r="B28" s="239"/>
      <c r="C28" s="229" t="s">
        <v>281</v>
      </c>
      <c r="D28" s="64" t="s">
        <v>280</v>
      </c>
      <c r="E28" s="65">
        <v>15.7</v>
      </c>
      <c r="F28" s="235">
        <f>E28*E29*E30</f>
        <v>0.94199999999999995</v>
      </c>
      <c r="G28" s="233"/>
      <c r="J28" s="228"/>
      <c r="K28" s="227" t="s">
        <v>281</v>
      </c>
      <c r="L28" s="66" t="s">
        <v>280</v>
      </c>
      <c r="M28" s="73"/>
      <c r="N28" s="237">
        <f>M28*M29*M30</f>
        <v>0</v>
      </c>
      <c r="O28" s="228"/>
    </row>
    <row r="29" spans="2:15" ht="15.5" customHeight="1" x14ac:dyDescent="0.3">
      <c r="B29" s="239"/>
      <c r="C29" s="230"/>
      <c r="D29" s="66" t="s">
        <v>277</v>
      </c>
      <c r="E29" s="67">
        <v>0.1</v>
      </c>
      <c r="F29" s="228"/>
      <c r="G29" s="233"/>
      <c r="J29" s="228"/>
      <c r="K29" s="228"/>
      <c r="L29" s="66" t="s">
        <v>277</v>
      </c>
      <c r="M29" s="67">
        <v>0.1</v>
      </c>
      <c r="N29" s="228"/>
      <c r="O29" s="228"/>
    </row>
    <row r="30" spans="2:15" ht="15.5" customHeight="1" x14ac:dyDescent="0.3">
      <c r="B30" s="240"/>
      <c r="C30" s="231"/>
      <c r="D30" s="68" t="s">
        <v>152</v>
      </c>
      <c r="E30" s="69">
        <v>0.6</v>
      </c>
      <c r="F30" s="236"/>
      <c r="G30" s="249"/>
      <c r="J30" s="220"/>
      <c r="K30" s="220"/>
      <c r="L30" s="66" t="s">
        <v>152</v>
      </c>
      <c r="M30" s="67">
        <v>0.6</v>
      </c>
      <c r="N30" s="220"/>
      <c r="O30" s="220"/>
    </row>
    <row r="31" spans="2:15" ht="19.5" customHeight="1" x14ac:dyDescent="0.3"/>
    <row r="33" spans="2:15" ht="18.75" customHeight="1" x14ac:dyDescent="0.35">
      <c r="B33" s="217" t="s">
        <v>271</v>
      </c>
      <c r="C33" s="213"/>
      <c r="D33" s="214"/>
      <c r="E33" s="3" t="s">
        <v>176</v>
      </c>
      <c r="F33" s="3" t="s">
        <v>272</v>
      </c>
      <c r="G33" s="3" t="s">
        <v>273</v>
      </c>
      <c r="J33" s="217" t="s">
        <v>271</v>
      </c>
      <c r="K33" s="213"/>
      <c r="L33" s="214"/>
      <c r="M33" s="74" t="s">
        <v>176</v>
      </c>
      <c r="N33" s="74" t="s">
        <v>272</v>
      </c>
      <c r="O33" s="74" t="s">
        <v>273</v>
      </c>
    </row>
    <row r="34" spans="2:15" ht="17.25" customHeight="1" x14ac:dyDescent="0.3">
      <c r="B34" s="259" t="s">
        <v>284</v>
      </c>
      <c r="C34" s="227" t="s">
        <v>275</v>
      </c>
      <c r="D34" s="66" t="s">
        <v>155</v>
      </c>
      <c r="E34" s="67">
        <v>8.32</v>
      </c>
      <c r="F34" s="237">
        <f>E34*E35*E36</f>
        <v>1.6640000000000001</v>
      </c>
      <c r="G34" s="237">
        <f>SUM(F34:F42)</f>
        <v>3.2450000000000001</v>
      </c>
      <c r="J34" s="244" t="s">
        <v>285</v>
      </c>
      <c r="K34" s="229" t="s">
        <v>275</v>
      </c>
      <c r="L34" s="64" t="s">
        <v>155</v>
      </c>
      <c r="M34" s="65">
        <v>24.38</v>
      </c>
      <c r="N34" s="235">
        <f>M34*M35*M36</f>
        <v>4.8760000000000003</v>
      </c>
      <c r="O34" s="248">
        <f>SUM(N34:N42)</f>
        <v>8.5180000000000007</v>
      </c>
    </row>
    <row r="35" spans="2:15" ht="15.75" customHeight="1" x14ac:dyDescent="0.3">
      <c r="B35" s="228"/>
      <c r="C35" s="228"/>
      <c r="D35" s="66" t="s">
        <v>277</v>
      </c>
      <c r="E35" s="67">
        <v>0.1</v>
      </c>
      <c r="F35" s="228"/>
      <c r="G35" s="228"/>
      <c r="J35" s="245"/>
      <c r="K35" s="230"/>
      <c r="L35" s="66" t="s">
        <v>277</v>
      </c>
      <c r="M35" s="67">
        <v>0.1</v>
      </c>
      <c r="N35" s="228"/>
      <c r="O35" s="233"/>
    </row>
    <row r="36" spans="2:15" ht="15.5" customHeight="1" x14ac:dyDescent="0.3">
      <c r="B36" s="228"/>
      <c r="C36" s="220"/>
      <c r="D36" s="66" t="s">
        <v>278</v>
      </c>
      <c r="E36" s="67">
        <v>2</v>
      </c>
      <c r="F36" s="220"/>
      <c r="G36" s="228"/>
      <c r="J36" s="245"/>
      <c r="K36" s="231"/>
      <c r="L36" s="68" t="s">
        <v>278</v>
      </c>
      <c r="M36" s="69">
        <v>2</v>
      </c>
      <c r="N36" s="236"/>
      <c r="O36" s="233"/>
    </row>
    <row r="37" spans="2:15" ht="19.5" customHeight="1" x14ac:dyDescent="0.3">
      <c r="B37" s="228"/>
      <c r="C37" s="227" t="s">
        <v>279</v>
      </c>
      <c r="D37" s="66" t="s">
        <v>277</v>
      </c>
      <c r="E37" s="67">
        <v>0.1</v>
      </c>
      <c r="F37" s="237">
        <f>E37*E38*E39</f>
        <v>1.5810000000000002</v>
      </c>
      <c r="G37" s="228"/>
      <c r="J37" s="245"/>
      <c r="K37" s="229" t="s">
        <v>279</v>
      </c>
      <c r="L37" s="64" t="s">
        <v>277</v>
      </c>
      <c r="M37" s="65">
        <v>0.1</v>
      </c>
      <c r="N37" s="235">
        <f>M37*M38*M39</f>
        <v>3.6419999999999999</v>
      </c>
      <c r="O37" s="233"/>
    </row>
    <row r="38" spans="2:15" ht="15" customHeight="1" x14ac:dyDescent="0.3">
      <c r="B38" s="228"/>
      <c r="C38" s="228"/>
      <c r="D38" s="66" t="s">
        <v>280</v>
      </c>
      <c r="E38" s="67">
        <v>26.35</v>
      </c>
      <c r="F38" s="228"/>
      <c r="G38" s="228"/>
      <c r="J38" s="245"/>
      <c r="K38" s="230"/>
      <c r="L38" s="66" t="s">
        <v>280</v>
      </c>
      <c r="M38" s="67">
        <v>60.7</v>
      </c>
      <c r="N38" s="228"/>
      <c r="O38" s="233"/>
    </row>
    <row r="39" spans="2:15" ht="15.5" customHeight="1" x14ac:dyDescent="0.3">
      <c r="B39" s="228"/>
      <c r="C39" s="220"/>
      <c r="D39" s="66" t="s">
        <v>152</v>
      </c>
      <c r="E39" s="67">
        <v>0.6</v>
      </c>
      <c r="F39" s="220"/>
      <c r="G39" s="228"/>
      <c r="J39" s="245"/>
      <c r="K39" s="231"/>
      <c r="L39" s="68" t="s">
        <v>152</v>
      </c>
      <c r="M39" s="69">
        <v>0.6</v>
      </c>
      <c r="N39" s="236"/>
      <c r="O39" s="233"/>
    </row>
    <row r="40" spans="2:15" ht="17.25" customHeight="1" x14ac:dyDescent="0.3">
      <c r="B40" s="228"/>
      <c r="C40" s="227" t="s">
        <v>281</v>
      </c>
      <c r="D40" s="66" t="s">
        <v>280</v>
      </c>
      <c r="E40" s="75">
        <v>0</v>
      </c>
      <c r="F40" s="237">
        <f>E40*E41*E42</f>
        <v>0</v>
      </c>
      <c r="G40" s="228"/>
      <c r="J40" s="245"/>
      <c r="K40" s="229" t="s">
        <v>281</v>
      </c>
      <c r="L40" s="64" t="s">
        <v>280</v>
      </c>
      <c r="M40" s="76"/>
      <c r="N40" s="235">
        <f>M40*M41*M42</f>
        <v>0</v>
      </c>
      <c r="O40" s="233"/>
    </row>
    <row r="41" spans="2:15" ht="15.5" customHeight="1" x14ac:dyDescent="0.3">
      <c r="B41" s="228"/>
      <c r="C41" s="228"/>
      <c r="D41" s="66" t="s">
        <v>277</v>
      </c>
      <c r="E41" s="67">
        <v>0.1</v>
      </c>
      <c r="F41" s="228"/>
      <c r="G41" s="228"/>
      <c r="J41" s="245"/>
      <c r="K41" s="230"/>
      <c r="L41" s="66" t="s">
        <v>277</v>
      </c>
      <c r="M41" s="67">
        <v>0.1</v>
      </c>
      <c r="N41" s="228"/>
      <c r="O41" s="233"/>
    </row>
    <row r="42" spans="2:15" ht="15" customHeight="1" x14ac:dyDescent="0.3">
      <c r="B42" s="220"/>
      <c r="C42" s="220"/>
      <c r="D42" s="66" t="s">
        <v>152</v>
      </c>
      <c r="E42" s="67">
        <v>0.6</v>
      </c>
      <c r="F42" s="220"/>
      <c r="G42" s="220"/>
      <c r="J42" s="246"/>
      <c r="K42" s="231"/>
      <c r="L42" s="68" t="s">
        <v>152</v>
      </c>
      <c r="M42" s="69">
        <v>0.6</v>
      </c>
      <c r="N42" s="236"/>
      <c r="O42" s="249"/>
    </row>
    <row r="45" spans="2:15" ht="19.5" customHeight="1" x14ac:dyDescent="0.35">
      <c r="B45" s="256" t="s">
        <v>271</v>
      </c>
      <c r="C45" s="257"/>
      <c r="D45" s="258"/>
      <c r="E45" s="74" t="s">
        <v>176</v>
      </c>
      <c r="F45" s="74" t="s">
        <v>272</v>
      </c>
      <c r="G45" s="74" t="s">
        <v>273</v>
      </c>
      <c r="J45" s="217" t="s">
        <v>271</v>
      </c>
      <c r="K45" s="213"/>
      <c r="L45" s="214"/>
      <c r="M45" s="74" t="s">
        <v>176</v>
      </c>
      <c r="N45" s="74" t="s">
        <v>272</v>
      </c>
      <c r="O45" s="74" t="s">
        <v>273</v>
      </c>
    </row>
    <row r="46" spans="2:15" ht="17.25" customHeight="1" x14ac:dyDescent="0.3">
      <c r="B46" s="241" t="s">
        <v>286</v>
      </c>
      <c r="C46" s="229" t="s">
        <v>275</v>
      </c>
      <c r="D46" s="64" t="s">
        <v>155</v>
      </c>
      <c r="E46" s="65">
        <v>2.64</v>
      </c>
      <c r="F46" s="235">
        <f>E46*E47*E48</f>
        <v>0.52800000000000002</v>
      </c>
      <c r="G46" s="248">
        <f>SUM(F46:F54)</f>
        <v>1.1070000000000002</v>
      </c>
      <c r="J46" s="244" t="s">
        <v>287</v>
      </c>
      <c r="K46" s="229" t="s">
        <v>275</v>
      </c>
      <c r="L46" s="64" t="s">
        <v>155</v>
      </c>
      <c r="M46" s="65">
        <v>18.329999999999998</v>
      </c>
      <c r="N46" s="235">
        <f>M46*M47*M48</f>
        <v>3.6659999999999999</v>
      </c>
      <c r="O46" s="248">
        <f>SUM(N46:N54)</f>
        <v>7.6229999999999993</v>
      </c>
    </row>
    <row r="47" spans="2:15" ht="15.5" customHeight="1" x14ac:dyDescent="0.3">
      <c r="B47" s="239"/>
      <c r="C47" s="230"/>
      <c r="D47" s="66" t="s">
        <v>277</v>
      </c>
      <c r="E47" s="67">
        <v>0.1</v>
      </c>
      <c r="F47" s="228"/>
      <c r="G47" s="233"/>
      <c r="J47" s="245"/>
      <c r="K47" s="230"/>
      <c r="L47" s="66" t="s">
        <v>277</v>
      </c>
      <c r="M47" s="67">
        <v>0.1</v>
      </c>
      <c r="N47" s="228"/>
      <c r="O47" s="233"/>
    </row>
    <row r="48" spans="2:15" ht="15.75" customHeight="1" x14ac:dyDescent="0.3">
      <c r="B48" s="239"/>
      <c r="C48" s="231"/>
      <c r="D48" s="68" t="s">
        <v>278</v>
      </c>
      <c r="E48" s="69">
        <v>2</v>
      </c>
      <c r="F48" s="236"/>
      <c r="G48" s="233"/>
      <c r="J48" s="245"/>
      <c r="K48" s="231"/>
      <c r="L48" s="68" t="s">
        <v>278</v>
      </c>
      <c r="M48" s="69">
        <v>2</v>
      </c>
      <c r="N48" s="236"/>
      <c r="O48" s="233"/>
    </row>
    <row r="49" spans="2:15" ht="17.25" customHeight="1" x14ac:dyDescent="0.3">
      <c r="B49" s="239"/>
      <c r="C49" s="229" t="s">
        <v>279</v>
      </c>
      <c r="D49" s="64" t="s">
        <v>277</v>
      </c>
      <c r="E49" s="65">
        <v>0.1</v>
      </c>
      <c r="F49" s="235">
        <f>E49*E50*E51</f>
        <v>0.57900000000000007</v>
      </c>
      <c r="G49" s="233"/>
      <c r="J49" s="245"/>
      <c r="K49" s="229" t="s">
        <v>279</v>
      </c>
      <c r="L49" s="64" t="s">
        <v>277</v>
      </c>
      <c r="M49" s="65">
        <v>0.1</v>
      </c>
      <c r="N49" s="235">
        <f>M49*M50*M51</f>
        <v>3.0749999999999997</v>
      </c>
      <c r="O49" s="233"/>
    </row>
    <row r="50" spans="2:15" ht="15.5" customHeight="1" x14ac:dyDescent="0.3">
      <c r="B50" s="239"/>
      <c r="C50" s="230"/>
      <c r="D50" s="66" t="s">
        <v>280</v>
      </c>
      <c r="E50" s="67">
        <v>9.65</v>
      </c>
      <c r="F50" s="228"/>
      <c r="G50" s="233"/>
      <c r="J50" s="245"/>
      <c r="K50" s="230"/>
      <c r="L50" s="66" t="s">
        <v>280</v>
      </c>
      <c r="M50" s="67">
        <v>51.25</v>
      </c>
      <c r="N50" s="228"/>
      <c r="O50" s="233"/>
    </row>
    <row r="51" spans="2:15" ht="21" customHeight="1" x14ac:dyDescent="0.3">
      <c r="B51" s="239"/>
      <c r="C51" s="231"/>
      <c r="D51" s="68" t="s">
        <v>152</v>
      </c>
      <c r="E51" s="69">
        <v>0.6</v>
      </c>
      <c r="F51" s="236"/>
      <c r="G51" s="233"/>
      <c r="J51" s="245"/>
      <c r="K51" s="231"/>
      <c r="L51" s="68" t="s">
        <v>152</v>
      </c>
      <c r="M51" s="69">
        <v>0.6</v>
      </c>
      <c r="N51" s="236"/>
      <c r="O51" s="233"/>
    </row>
    <row r="52" spans="2:15" ht="17.25" customHeight="1" x14ac:dyDescent="0.3">
      <c r="B52" s="239"/>
      <c r="C52" s="247" t="s">
        <v>281</v>
      </c>
      <c r="D52" s="77" t="s">
        <v>280</v>
      </c>
      <c r="E52" s="78"/>
      <c r="F52" s="250">
        <f>E52*E53*E54</f>
        <v>0</v>
      </c>
      <c r="G52" s="233"/>
      <c r="J52" s="245"/>
      <c r="K52" s="229" t="s">
        <v>281</v>
      </c>
      <c r="L52" s="64" t="s">
        <v>280</v>
      </c>
      <c r="M52" s="79">
        <v>14.7</v>
      </c>
      <c r="N52" s="235">
        <f>M52*M53*M54</f>
        <v>0.88200000000000001</v>
      </c>
      <c r="O52" s="233"/>
    </row>
    <row r="53" spans="2:15" ht="15.5" customHeight="1" x14ac:dyDescent="0.3">
      <c r="B53" s="239"/>
      <c r="C53" s="228"/>
      <c r="D53" s="66" t="s">
        <v>277</v>
      </c>
      <c r="E53" s="67">
        <v>0.1</v>
      </c>
      <c r="F53" s="228"/>
      <c r="G53" s="233"/>
      <c r="J53" s="245"/>
      <c r="K53" s="230"/>
      <c r="L53" s="66" t="s">
        <v>277</v>
      </c>
      <c r="M53" s="67">
        <v>0.1</v>
      </c>
      <c r="N53" s="228"/>
      <c r="O53" s="233"/>
    </row>
    <row r="54" spans="2:15" ht="15.5" customHeight="1" x14ac:dyDescent="0.3">
      <c r="B54" s="240"/>
      <c r="C54" s="236"/>
      <c r="D54" s="68" t="s">
        <v>152</v>
      </c>
      <c r="E54" s="69">
        <v>0.6</v>
      </c>
      <c r="F54" s="236"/>
      <c r="G54" s="249"/>
      <c r="J54" s="246"/>
      <c r="K54" s="231"/>
      <c r="L54" s="68" t="s">
        <v>152</v>
      </c>
      <c r="M54" s="69">
        <v>0.6</v>
      </c>
      <c r="N54" s="236"/>
      <c r="O54" s="249"/>
    </row>
    <row r="57" spans="2:15" ht="21" customHeight="1" x14ac:dyDescent="0.35">
      <c r="B57" s="217" t="s">
        <v>271</v>
      </c>
      <c r="C57" s="213"/>
      <c r="D57" s="214"/>
      <c r="E57" s="3" t="s">
        <v>176</v>
      </c>
      <c r="F57" s="3" t="s">
        <v>272</v>
      </c>
      <c r="G57" s="3" t="s">
        <v>273</v>
      </c>
      <c r="J57" s="217" t="s">
        <v>271</v>
      </c>
      <c r="K57" s="213"/>
      <c r="L57" s="214"/>
      <c r="M57" s="74" t="s">
        <v>176</v>
      </c>
      <c r="N57" s="74" t="s">
        <v>272</v>
      </c>
      <c r="O57" s="74" t="s">
        <v>273</v>
      </c>
    </row>
    <row r="58" spans="2:15" ht="17.25" customHeight="1" x14ac:dyDescent="0.3">
      <c r="B58" s="259" t="s">
        <v>288</v>
      </c>
      <c r="C58" s="227" t="s">
        <v>275</v>
      </c>
      <c r="D58" s="66" t="s">
        <v>155</v>
      </c>
      <c r="E58" s="67">
        <v>8.06</v>
      </c>
      <c r="F58" s="237">
        <f>E58*E59*E60</f>
        <v>1.6120000000000001</v>
      </c>
      <c r="G58" s="237">
        <f>SUM(F58:F66)</f>
        <v>3.1516000000000002</v>
      </c>
      <c r="J58" s="244" t="s">
        <v>289</v>
      </c>
      <c r="K58" s="229" t="s">
        <v>275</v>
      </c>
      <c r="L58" s="64" t="s">
        <v>155</v>
      </c>
      <c r="M58" s="65">
        <v>4.47</v>
      </c>
      <c r="N58" s="235">
        <f>M58*M59*M60</f>
        <v>0.89400000000000002</v>
      </c>
      <c r="O58" s="248">
        <f>SUM(N58:N66)</f>
        <v>1.8239999999999998</v>
      </c>
    </row>
    <row r="59" spans="2:15" ht="15.5" customHeight="1" x14ac:dyDescent="0.3">
      <c r="B59" s="228"/>
      <c r="C59" s="228"/>
      <c r="D59" s="66" t="s">
        <v>277</v>
      </c>
      <c r="E59" s="67">
        <v>0.1</v>
      </c>
      <c r="F59" s="228"/>
      <c r="G59" s="228"/>
      <c r="J59" s="245"/>
      <c r="K59" s="230"/>
      <c r="L59" s="66" t="s">
        <v>277</v>
      </c>
      <c r="M59" s="67">
        <v>0.1</v>
      </c>
      <c r="N59" s="228"/>
      <c r="O59" s="233"/>
    </row>
    <row r="60" spans="2:15" ht="15.5" customHeight="1" x14ac:dyDescent="0.3">
      <c r="B60" s="228"/>
      <c r="C60" s="220"/>
      <c r="D60" s="66" t="s">
        <v>278</v>
      </c>
      <c r="E60" s="67">
        <v>2</v>
      </c>
      <c r="F60" s="220"/>
      <c r="G60" s="228"/>
      <c r="J60" s="245"/>
      <c r="K60" s="231"/>
      <c r="L60" s="68" t="s">
        <v>278</v>
      </c>
      <c r="M60" s="69">
        <v>2</v>
      </c>
      <c r="N60" s="236"/>
      <c r="O60" s="233"/>
    </row>
    <row r="61" spans="2:15" ht="17.25" customHeight="1" x14ac:dyDescent="0.3">
      <c r="B61" s="228"/>
      <c r="C61" s="227" t="s">
        <v>279</v>
      </c>
      <c r="D61" s="66" t="s">
        <v>277</v>
      </c>
      <c r="E61" s="67">
        <v>0.1</v>
      </c>
      <c r="F61" s="237">
        <f>E61*E62*E63</f>
        <v>1.5396000000000001</v>
      </c>
      <c r="G61" s="228"/>
      <c r="J61" s="245"/>
      <c r="K61" s="229" t="s">
        <v>279</v>
      </c>
      <c r="L61" s="64" t="s">
        <v>277</v>
      </c>
      <c r="M61" s="65">
        <v>0.1</v>
      </c>
      <c r="N61" s="235">
        <f>M61*M62*M63</f>
        <v>0.92999999999999994</v>
      </c>
      <c r="O61" s="233"/>
    </row>
    <row r="62" spans="2:15" ht="15.5" customHeight="1" x14ac:dyDescent="0.3">
      <c r="B62" s="228"/>
      <c r="C62" s="228"/>
      <c r="D62" s="66" t="s">
        <v>280</v>
      </c>
      <c r="E62" s="67">
        <v>25.66</v>
      </c>
      <c r="F62" s="228"/>
      <c r="G62" s="228"/>
      <c r="I62" s="63"/>
      <c r="J62" s="245"/>
      <c r="K62" s="230"/>
      <c r="L62" s="66" t="s">
        <v>280</v>
      </c>
      <c r="M62" s="67">
        <v>15.5</v>
      </c>
      <c r="N62" s="228"/>
      <c r="O62" s="233"/>
    </row>
    <row r="63" spans="2:15" ht="15.5" customHeight="1" x14ac:dyDescent="0.3">
      <c r="B63" s="228"/>
      <c r="C63" s="220"/>
      <c r="D63" s="66" t="s">
        <v>152</v>
      </c>
      <c r="E63" s="67">
        <v>0.6</v>
      </c>
      <c r="F63" s="220"/>
      <c r="G63" s="228"/>
      <c r="I63" s="63"/>
      <c r="J63" s="245"/>
      <c r="K63" s="231"/>
      <c r="L63" s="68" t="s">
        <v>152</v>
      </c>
      <c r="M63" s="69">
        <v>0.6</v>
      </c>
      <c r="N63" s="236"/>
      <c r="O63" s="233"/>
    </row>
    <row r="64" spans="2:15" ht="17.25" customHeight="1" x14ac:dyDescent="0.3">
      <c r="B64" s="228"/>
      <c r="C64" s="227" t="s">
        <v>281</v>
      </c>
      <c r="D64" s="66" t="s">
        <v>280</v>
      </c>
      <c r="E64" s="75"/>
      <c r="F64" s="237">
        <f>E64*E65*E66</f>
        <v>0</v>
      </c>
      <c r="G64" s="228"/>
      <c r="J64" s="245"/>
      <c r="K64" s="229" t="s">
        <v>281</v>
      </c>
      <c r="L64" s="64" t="s">
        <v>280</v>
      </c>
      <c r="M64" s="65">
        <v>0</v>
      </c>
      <c r="N64" s="235">
        <f>M64*M65*M66</f>
        <v>0</v>
      </c>
      <c r="O64" s="233"/>
    </row>
    <row r="65" spans="2:15" ht="15.5" customHeight="1" x14ac:dyDescent="0.3">
      <c r="B65" s="228"/>
      <c r="C65" s="228"/>
      <c r="D65" s="66" t="s">
        <v>277</v>
      </c>
      <c r="E65" s="67">
        <v>0.1</v>
      </c>
      <c r="F65" s="228"/>
      <c r="G65" s="228"/>
      <c r="J65" s="245"/>
      <c r="K65" s="230"/>
      <c r="L65" s="66" t="s">
        <v>277</v>
      </c>
      <c r="M65" s="67">
        <v>0.1</v>
      </c>
      <c r="N65" s="228"/>
      <c r="O65" s="233"/>
    </row>
    <row r="66" spans="2:15" ht="18" customHeight="1" x14ac:dyDescent="0.3">
      <c r="B66" s="220"/>
      <c r="C66" s="220"/>
      <c r="D66" s="66" t="s">
        <v>152</v>
      </c>
      <c r="E66" s="67">
        <v>0.6</v>
      </c>
      <c r="F66" s="220"/>
      <c r="G66" s="220"/>
      <c r="J66" s="246"/>
      <c r="K66" s="231"/>
      <c r="L66" s="68" t="s">
        <v>152</v>
      </c>
      <c r="M66" s="69">
        <v>0.6</v>
      </c>
      <c r="N66" s="236"/>
      <c r="O66" s="249"/>
    </row>
    <row r="68" spans="2:15" ht="14.25" customHeight="1" x14ac:dyDescent="0.3"/>
    <row r="69" spans="2:15" ht="24" customHeight="1" x14ac:dyDescent="0.35">
      <c r="B69" s="253" t="s">
        <v>271</v>
      </c>
      <c r="C69" s="254"/>
      <c r="D69" s="255"/>
      <c r="E69" s="61" t="s">
        <v>176</v>
      </c>
      <c r="F69" s="61" t="s">
        <v>272</v>
      </c>
      <c r="G69" s="62" t="s">
        <v>273</v>
      </c>
      <c r="J69" s="217" t="s">
        <v>271</v>
      </c>
      <c r="K69" s="213"/>
      <c r="L69" s="214"/>
      <c r="M69" s="74" t="s">
        <v>176</v>
      </c>
      <c r="N69" s="74" t="s">
        <v>272</v>
      </c>
      <c r="O69" s="74" t="s">
        <v>273</v>
      </c>
    </row>
    <row r="70" spans="2:15" ht="19.5" customHeight="1" x14ac:dyDescent="0.3">
      <c r="B70" s="238" t="s">
        <v>290</v>
      </c>
      <c r="C70" s="229" t="s">
        <v>275</v>
      </c>
      <c r="D70" s="64" t="s">
        <v>155</v>
      </c>
      <c r="E70" s="65">
        <v>55.33</v>
      </c>
      <c r="F70" s="235">
        <f>E70*E71*E72</f>
        <v>11.066000000000001</v>
      </c>
      <c r="G70" s="248">
        <f>SUM(F70:F78)</f>
        <v>17.483000000000001</v>
      </c>
      <c r="J70" s="232" t="s">
        <v>291</v>
      </c>
      <c r="K70" s="229" t="s">
        <v>275</v>
      </c>
      <c r="L70" s="64" t="s">
        <v>155</v>
      </c>
      <c r="M70" s="65">
        <v>40.89</v>
      </c>
      <c r="N70" s="235">
        <f>M70*M71*M72</f>
        <v>8.1780000000000008</v>
      </c>
      <c r="O70" s="248">
        <f>SUM(N70:N78)</f>
        <v>16.413</v>
      </c>
    </row>
    <row r="71" spans="2:15" ht="14.25" customHeight="1" x14ac:dyDescent="0.3">
      <c r="B71" s="239"/>
      <c r="C71" s="230"/>
      <c r="D71" s="66" t="s">
        <v>277</v>
      </c>
      <c r="E71" s="67">
        <v>0.1</v>
      </c>
      <c r="F71" s="228"/>
      <c r="G71" s="233"/>
      <c r="J71" s="233"/>
      <c r="K71" s="230"/>
      <c r="L71" s="66" t="s">
        <v>277</v>
      </c>
      <c r="M71" s="67">
        <v>0.1</v>
      </c>
      <c r="N71" s="228"/>
      <c r="O71" s="233"/>
    </row>
    <row r="72" spans="2:15" ht="22.5" customHeight="1" x14ac:dyDescent="0.3">
      <c r="B72" s="239"/>
      <c r="C72" s="231"/>
      <c r="D72" s="68" t="s">
        <v>278</v>
      </c>
      <c r="E72" s="69">
        <v>2</v>
      </c>
      <c r="F72" s="236"/>
      <c r="G72" s="233"/>
      <c r="J72" s="233"/>
      <c r="K72" s="231"/>
      <c r="L72" s="68" t="s">
        <v>278</v>
      </c>
      <c r="M72" s="69">
        <v>2</v>
      </c>
      <c r="N72" s="236"/>
      <c r="O72" s="233"/>
    </row>
    <row r="73" spans="2:15" ht="17.25" customHeight="1" x14ac:dyDescent="0.3">
      <c r="B73" s="239"/>
      <c r="C73" s="243" t="s">
        <v>279</v>
      </c>
      <c r="D73" s="77" t="s">
        <v>277</v>
      </c>
      <c r="E73" s="80">
        <v>0.1</v>
      </c>
      <c r="F73" s="260">
        <f>E73*E74*E75</f>
        <v>6.4169999999999998</v>
      </c>
      <c r="G73" s="233"/>
      <c r="J73" s="233"/>
      <c r="K73" s="229" t="s">
        <v>279</v>
      </c>
      <c r="L73" s="64" t="s">
        <v>277</v>
      </c>
      <c r="M73" s="65">
        <v>0.1</v>
      </c>
      <c r="N73" s="235">
        <f>M73*M74*M75</f>
        <v>5.6909999999999998</v>
      </c>
      <c r="O73" s="233"/>
    </row>
    <row r="74" spans="2:15" ht="14.25" customHeight="1" x14ac:dyDescent="0.3">
      <c r="B74" s="239"/>
      <c r="C74" s="228"/>
      <c r="D74" s="66" t="s">
        <v>280</v>
      </c>
      <c r="E74" s="67">
        <v>106.95</v>
      </c>
      <c r="F74" s="228"/>
      <c r="G74" s="233"/>
      <c r="J74" s="233"/>
      <c r="K74" s="230"/>
      <c r="L74" s="66" t="s">
        <v>280</v>
      </c>
      <c r="M74" s="67">
        <v>94.85</v>
      </c>
      <c r="N74" s="228"/>
      <c r="O74" s="233"/>
    </row>
    <row r="75" spans="2:15" ht="15.5" customHeight="1" x14ac:dyDescent="0.3">
      <c r="B75" s="239"/>
      <c r="C75" s="228"/>
      <c r="D75" s="81" t="s">
        <v>152</v>
      </c>
      <c r="E75" s="82">
        <v>0.6</v>
      </c>
      <c r="F75" s="228"/>
      <c r="G75" s="233"/>
      <c r="J75" s="233"/>
      <c r="K75" s="231"/>
      <c r="L75" s="68" t="s">
        <v>152</v>
      </c>
      <c r="M75" s="69">
        <v>0.6</v>
      </c>
      <c r="N75" s="236"/>
      <c r="O75" s="233"/>
    </row>
    <row r="76" spans="2:15" ht="17.25" customHeight="1" x14ac:dyDescent="0.3">
      <c r="B76" s="239"/>
      <c r="C76" s="229" t="s">
        <v>281</v>
      </c>
      <c r="D76" s="64" t="s">
        <v>280</v>
      </c>
      <c r="E76" s="70">
        <v>0</v>
      </c>
      <c r="F76" s="235">
        <f>E76*E77*E78</f>
        <v>0</v>
      </c>
      <c r="G76" s="233"/>
      <c r="J76" s="233"/>
      <c r="K76" s="229" t="s">
        <v>281</v>
      </c>
      <c r="L76" s="64" t="s">
        <v>280</v>
      </c>
      <c r="M76" s="79">
        <v>42.4</v>
      </c>
      <c r="N76" s="235">
        <f>M76*M77*M78</f>
        <v>2.544</v>
      </c>
      <c r="O76" s="233"/>
    </row>
    <row r="77" spans="2:15" ht="14.25" customHeight="1" x14ac:dyDescent="0.3">
      <c r="B77" s="239"/>
      <c r="C77" s="230"/>
      <c r="D77" s="66" t="s">
        <v>277</v>
      </c>
      <c r="E77" s="67">
        <v>0.1</v>
      </c>
      <c r="F77" s="228"/>
      <c r="G77" s="233"/>
      <c r="I77" s="63"/>
      <c r="J77" s="233"/>
      <c r="K77" s="230"/>
      <c r="L77" s="66" t="s">
        <v>277</v>
      </c>
      <c r="M77" s="67">
        <v>0.1</v>
      </c>
      <c r="N77" s="228"/>
      <c r="O77" s="233"/>
    </row>
    <row r="78" spans="2:15" ht="15.5" customHeight="1" x14ac:dyDescent="0.3">
      <c r="B78" s="240"/>
      <c r="C78" s="231"/>
      <c r="D78" s="68" t="s">
        <v>152</v>
      </c>
      <c r="E78" s="69">
        <v>0.6</v>
      </c>
      <c r="F78" s="236"/>
      <c r="G78" s="249"/>
      <c r="I78" s="63"/>
      <c r="J78" s="234"/>
      <c r="K78" s="231"/>
      <c r="L78" s="68" t="s">
        <v>152</v>
      </c>
      <c r="M78" s="69">
        <v>0.6</v>
      </c>
      <c r="N78" s="236"/>
      <c r="O78" s="249"/>
    </row>
    <row r="80" spans="2:15" x14ac:dyDescent="0.3">
      <c r="I80" s="63"/>
    </row>
    <row r="81" spans="9:9" x14ac:dyDescent="0.3">
      <c r="I81" s="63"/>
    </row>
    <row r="85" spans="9:9" ht="27.75" customHeight="1" x14ac:dyDescent="0.3"/>
    <row r="96" spans="9:9" x14ac:dyDescent="0.3">
      <c r="I96" s="63"/>
    </row>
    <row r="97" spans="9:9" x14ac:dyDescent="0.3">
      <c r="I97" s="63"/>
    </row>
    <row r="100" spans="9:9" ht="24" customHeight="1" x14ac:dyDescent="0.3"/>
    <row r="111" spans="9:9" x14ac:dyDescent="0.3">
      <c r="I111" s="63"/>
    </row>
    <row r="112" spans="9:9" x14ac:dyDescent="0.3">
      <c r="I112" s="63"/>
    </row>
    <row r="115" spans="9:9" ht="23.25" customHeight="1" x14ac:dyDescent="0.3"/>
    <row r="126" spans="9:9" x14ac:dyDescent="0.3">
      <c r="I126" s="63"/>
    </row>
    <row r="127" spans="9:9" x14ac:dyDescent="0.3">
      <c r="I127" s="63"/>
    </row>
    <row r="130" spans="9:9" ht="25.5" customHeight="1" x14ac:dyDescent="0.3"/>
    <row r="141" spans="9:9" x14ac:dyDescent="0.3">
      <c r="I141" s="63"/>
    </row>
    <row r="142" spans="9:9" x14ac:dyDescent="0.3">
      <c r="I142" s="63"/>
    </row>
    <row r="145" spans="9:9" ht="25.5" customHeight="1" x14ac:dyDescent="0.3"/>
    <row r="146" spans="9:9" ht="15" customHeight="1" x14ac:dyDescent="0.3"/>
    <row r="156" spans="9:9" x14ac:dyDescent="0.3">
      <c r="I156" s="63"/>
    </row>
    <row r="157" spans="9:9" x14ac:dyDescent="0.3">
      <c r="I157" s="63"/>
    </row>
  </sheetData>
  <mergeCells count="114">
    <mergeCell ref="C3:O3"/>
    <mergeCell ref="C37:C39"/>
    <mergeCell ref="C5:O5"/>
    <mergeCell ref="F34:F36"/>
    <mergeCell ref="F16:F18"/>
    <mergeCell ref="J46:J54"/>
    <mergeCell ref="N25:N27"/>
    <mergeCell ref="O34:O42"/>
    <mergeCell ref="J57:L57"/>
    <mergeCell ref="K40:K42"/>
    <mergeCell ref="J9:L9"/>
    <mergeCell ref="F22:F24"/>
    <mergeCell ref="J45:L45"/>
    <mergeCell ref="F46:F48"/>
    <mergeCell ref="F28:F30"/>
    <mergeCell ref="F37:F39"/>
    <mergeCell ref="F10:F12"/>
    <mergeCell ref="K34:K36"/>
    <mergeCell ref="K16:K18"/>
    <mergeCell ref="O46:O54"/>
    <mergeCell ref="J21:L21"/>
    <mergeCell ref="B33:D33"/>
    <mergeCell ref="F40:F42"/>
    <mergeCell ref="N16:N18"/>
    <mergeCell ref="C4:O4"/>
    <mergeCell ref="N22:N24"/>
    <mergeCell ref="N37:N39"/>
    <mergeCell ref="C40:C42"/>
    <mergeCell ref="J10:J18"/>
    <mergeCell ref="G70:G78"/>
    <mergeCell ref="C16:C18"/>
    <mergeCell ref="G46:G54"/>
    <mergeCell ref="N64:N66"/>
    <mergeCell ref="J69:L69"/>
    <mergeCell ref="J34:J42"/>
    <mergeCell ref="K52:K54"/>
    <mergeCell ref="B21:D21"/>
    <mergeCell ref="B58:B66"/>
    <mergeCell ref="N13:N15"/>
    <mergeCell ref="K13:K15"/>
    <mergeCell ref="N40:N42"/>
    <mergeCell ref="F58:F60"/>
    <mergeCell ref="N49:N51"/>
    <mergeCell ref="K28:K30"/>
    <mergeCell ref="J22:J30"/>
    <mergeCell ref="F73:F75"/>
    <mergeCell ref="C34:C36"/>
    <mergeCell ref="K25:K27"/>
    <mergeCell ref="B9:D9"/>
    <mergeCell ref="N76:N78"/>
    <mergeCell ref="O58:O66"/>
    <mergeCell ref="C6:O6"/>
    <mergeCell ref="J33:L33"/>
    <mergeCell ref="G22:G30"/>
    <mergeCell ref="B45:D45"/>
    <mergeCell ref="K64:K66"/>
    <mergeCell ref="F25:F27"/>
    <mergeCell ref="C64:C66"/>
    <mergeCell ref="C28:C30"/>
    <mergeCell ref="C70:C72"/>
    <mergeCell ref="K58:K60"/>
    <mergeCell ref="K73:K75"/>
    <mergeCell ref="C76:C78"/>
    <mergeCell ref="F64:F66"/>
    <mergeCell ref="B69:D69"/>
    <mergeCell ref="B34:B42"/>
    <mergeCell ref="O70:O78"/>
    <mergeCell ref="N70:N72"/>
    <mergeCell ref="O10:O18"/>
    <mergeCell ref="K22:K24"/>
    <mergeCell ref="N58:N60"/>
    <mergeCell ref="N52:N54"/>
    <mergeCell ref="B2:O2"/>
    <mergeCell ref="K49:K51"/>
    <mergeCell ref="C49:C51"/>
    <mergeCell ref="C58:C60"/>
    <mergeCell ref="C73:C75"/>
    <mergeCell ref="J58:J66"/>
    <mergeCell ref="N46:N48"/>
    <mergeCell ref="C10:C12"/>
    <mergeCell ref="K76:K78"/>
    <mergeCell ref="B22:B30"/>
    <mergeCell ref="N61:N63"/>
    <mergeCell ref="F70:F72"/>
    <mergeCell ref="C25:C27"/>
    <mergeCell ref="C52:C54"/>
    <mergeCell ref="C22:C24"/>
    <mergeCell ref="G10:G18"/>
    <mergeCell ref="B70:B78"/>
    <mergeCell ref="F13:F15"/>
    <mergeCell ref="N73:N75"/>
    <mergeCell ref="K61:K63"/>
    <mergeCell ref="F52:F54"/>
    <mergeCell ref="G34:G42"/>
    <mergeCell ref="B7:O7"/>
    <mergeCell ref="N10:N12"/>
    <mergeCell ref="C61:C63"/>
    <mergeCell ref="K70:K72"/>
    <mergeCell ref="B57:D57"/>
    <mergeCell ref="J70:J78"/>
    <mergeCell ref="N34:N36"/>
    <mergeCell ref="N28:N30"/>
    <mergeCell ref="B10:B18"/>
    <mergeCell ref="O22:O30"/>
    <mergeCell ref="C13:C15"/>
    <mergeCell ref="F61:F63"/>
    <mergeCell ref="F49:F51"/>
    <mergeCell ref="G58:G66"/>
    <mergeCell ref="K37:K39"/>
    <mergeCell ref="K10:K12"/>
    <mergeCell ref="F76:F78"/>
    <mergeCell ref="K46:K48"/>
    <mergeCell ref="B46:B54"/>
    <mergeCell ref="C46:C48"/>
  </mergeCells>
  <pageMargins left="0.5" right="0.118055555555556" top="1.1069444444444401" bottom="0.92986111111111103" header="0.511811023622047" footer="0.511811023622047"/>
  <pageSetup paperSize="9" scale="38" orientation="portrait" horizontalDpi="300" verticalDpi="300" r:id="rId1"/>
  <rowBreaks count="1" manualBreakCount="1">
    <brk id="14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P79"/>
  <sheetViews>
    <sheetView view="pageBreakPreview" topLeftCell="A22" zoomScale="130" zoomScaleNormal="130" zoomScalePageLayoutView="130" workbookViewId="0">
      <selection activeCell="J45" sqref="J45:J53"/>
    </sheetView>
  </sheetViews>
  <sheetFormatPr baseColWidth="10" defaultColWidth="10.90625" defaultRowHeight="15.5" x14ac:dyDescent="0.35"/>
  <cols>
    <col min="1" max="1" width="4.453125" style="83" customWidth="1"/>
    <col min="2" max="2" width="13.453125" style="83" customWidth="1"/>
    <col min="3" max="3" width="15" style="83" customWidth="1"/>
    <col min="4" max="7" width="10.90625" style="83" customWidth="1"/>
    <col min="8" max="8" width="12.26953125" style="83" customWidth="1"/>
    <col min="9" max="14" width="10.90625" style="83" customWidth="1"/>
    <col min="15" max="15" width="16.54296875" style="83" customWidth="1"/>
    <col min="16" max="16" width="12.36328125" style="83" customWidth="1"/>
    <col min="17" max="17" width="10.90625" style="83" customWidth="1"/>
    <col min="18" max="16384" width="10.90625" style="83"/>
  </cols>
  <sheetData>
    <row r="2" spans="2:16" ht="21" customHeight="1" x14ac:dyDescent="0.35">
      <c r="B2" s="277" t="s">
        <v>292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</row>
    <row r="3" spans="2:16" ht="20.25" customHeight="1" x14ac:dyDescent="0.35">
      <c r="B3" s="84" t="s">
        <v>1</v>
      </c>
      <c r="C3" s="261" t="str">
        <f>+RESUMEN!B4</f>
        <v>GERENCIA TERRITORIAL BAJO MAYO - TARAPOTO</v>
      </c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4"/>
    </row>
    <row r="4" spans="2:16" ht="60" customHeight="1" x14ac:dyDescent="0.35">
      <c r="B4" s="84" t="s">
        <v>3</v>
      </c>
      <c r="C4" s="261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4"/>
    </row>
    <row r="5" spans="2:16" ht="36" customHeight="1" x14ac:dyDescent="0.35">
      <c r="B5" s="84" t="s">
        <v>5</v>
      </c>
      <c r="C5" s="261" t="str">
        <f>+RESUMEN!B6</f>
        <v>SAN MARTIN - SAN MARTIN - MORALES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4"/>
    </row>
    <row r="6" spans="2:16" ht="19.5" customHeight="1" x14ac:dyDescent="0.35">
      <c r="B6" s="84" t="s">
        <v>7</v>
      </c>
      <c r="C6" s="279">
        <f>+RESUMEN!B7</f>
        <v>46266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4"/>
    </row>
    <row r="7" spans="2:16" ht="19.5" customHeight="1" x14ac:dyDescent="0.35"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</row>
    <row r="8" spans="2:16" ht="15" customHeight="1" x14ac:dyDescent="0.35">
      <c r="B8" s="272" t="s">
        <v>293</v>
      </c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4"/>
    </row>
    <row r="9" spans="2:16" x14ac:dyDescent="0.35">
      <c r="B9" s="240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6"/>
    </row>
    <row r="11" spans="2:16" ht="19.5" customHeight="1" x14ac:dyDescent="0.35">
      <c r="B11" s="267" t="s">
        <v>271</v>
      </c>
      <c r="C11" s="213"/>
      <c r="D11" s="213"/>
      <c r="E11" s="213"/>
      <c r="F11" s="214"/>
      <c r="G11" s="86" t="s">
        <v>272</v>
      </c>
      <c r="H11" s="86" t="s">
        <v>294</v>
      </c>
      <c r="I11" s="4"/>
      <c r="J11" s="267" t="s">
        <v>271</v>
      </c>
      <c r="K11" s="213"/>
      <c r="L11" s="213"/>
      <c r="M11" s="213"/>
      <c r="N11" s="214"/>
      <c r="O11" s="86" t="s">
        <v>272</v>
      </c>
      <c r="P11" s="86" t="s">
        <v>294</v>
      </c>
    </row>
    <row r="12" spans="2:16" ht="15" customHeight="1" x14ac:dyDescent="0.35">
      <c r="B12" s="268" t="s">
        <v>295</v>
      </c>
      <c r="C12" s="270" t="s">
        <v>296</v>
      </c>
      <c r="D12" s="268" t="s">
        <v>297</v>
      </c>
      <c r="E12" s="88" t="s">
        <v>155</v>
      </c>
      <c r="F12" s="71">
        <v>9.6524999999999999</v>
      </c>
      <c r="G12" s="263">
        <f>F12*F13</f>
        <v>19.305</v>
      </c>
      <c r="H12" s="266">
        <f>SUM(G12:G20)</f>
        <v>33.884999999999998</v>
      </c>
      <c r="I12" s="4"/>
      <c r="J12" s="262" t="s">
        <v>161</v>
      </c>
      <c r="K12" s="265" t="s">
        <v>298</v>
      </c>
      <c r="L12" s="262" t="s">
        <v>297</v>
      </c>
      <c r="M12" s="89" t="s">
        <v>155</v>
      </c>
      <c r="N12" s="71">
        <v>85.56</v>
      </c>
      <c r="O12" s="263">
        <f>N12*N13</f>
        <v>171.12</v>
      </c>
      <c r="P12" s="266">
        <f>SUM(O12:O20)</f>
        <v>368.38</v>
      </c>
    </row>
    <row r="13" spans="2:16" x14ac:dyDescent="0.35">
      <c r="B13" s="228"/>
      <c r="C13" s="228"/>
      <c r="D13" s="220"/>
      <c r="E13" s="88" t="s">
        <v>278</v>
      </c>
      <c r="F13" s="71">
        <v>2</v>
      </c>
      <c r="G13" s="220"/>
      <c r="H13" s="228"/>
      <c r="I13" s="4"/>
      <c r="J13" s="228"/>
      <c r="K13" s="228"/>
      <c r="L13" s="220"/>
      <c r="M13" s="89" t="s">
        <v>278</v>
      </c>
      <c r="N13" s="71">
        <v>2</v>
      </c>
      <c r="O13" s="220"/>
      <c r="P13" s="228"/>
    </row>
    <row r="14" spans="2:16" ht="15" customHeight="1" x14ac:dyDescent="0.35">
      <c r="B14" s="228"/>
      <c r="C14" s="228"/>
      <c r="D14" s="268" t="s">
        <v>299</v>
      </c>
      <c r="E14" s="88" t="s">
        <v>155</v>
      </c>
      <c r="F14" s="71">
        <v>7.29</v>
      </c>
      <c r="G14" s="263">
        <f>F14*F15</f>
        <v>14.58</v>
      </c>
      <c r="H14" s="228"/>
      <c r="I14" s="4"/>
      <c r="J14" s="228"/>
      <c r="K14" s="228"/>
      <c r="L14" s="262" t="s">
        <v>299</v>
      </c>
      <c r="M14" s="89" t="s">
        <v>155</v>
      </c>
      <c r="N14" s="71">
        <v>72.78</v>
      </c>
      <c r="O14" s="263">
        <f>N14*N15</f>
        <v>145.56</v>
      </c>
      <c r="P14" s="228"/>
    </row>
    <row r="15" spans="2:16" x14ac:dyDescent="0.35">
      <c r="B15" s="228"/>
      <c r="C15" s="220"/>
      <c r="D15" s="220"/>
      <c r="E15" s="88" t="s">
        <v>300</v>
      </c>
      <c r="F15" s="71">
        <v>2</v>
      </c>
      <c r="G15" s="220"/>
      <c r="H15" s="228"/>
      <c r="I15" s="4"/>
      <c r="J15" s="228"/>
      <c r="K15" s="220"/>
      <c r="L15" s="220"/>
      <c r="M15" s="89" t="s">
        <v>300</v>
      </c>
      <c r="N15" s="71">
        <v>2</v>
      </c>
      <c r="O15" s="220"/>
      <c r="P15" s="228"/>
    </row>
    <row r="16" spans="2:16" ht="15" customHeight="1" x14ac:dyDescent="0.35">
      <c r="B16" s="228"/>
      <c r="C16" s="271" t="s">
        <v>301</v>
      </c>
      <c r="D16" s="268" t="s">
        <v>302</v>
      </c>
      <c r="E16" s="88" t="s">
        <v>155</v>
      </c>
      <c r="F16" s="73">
        <v>0</v>
      </c>
      <c r="G16" s="263">
        <f>F16*F17</f>
        <v>0</v>
      </c>
      <c r="H16" s="228"/>
      <c r="I16" s="4"/>
      <c r="J16" s="228"/>
      <c r="K16" s="264" t="s">
        <v>301</v>
      </c>
      <c r="L16" s="262" t="s">
        <v>302</v>
      </c>
      <c r="M16" s="89" t="s">
        <v>155</v>
      </c>
      <c r="N16" s="71">
        <v>12.76</v>
      </c>
      <c r="O16" s="263">
        <f>N16*N17</f>
        <v>25.52</v>
      </c>
      <c r="P16" s="228"/>
    </row>
    <row r="17" spans="2:16" x14ac:dyDescent="0.35">
      <c r="B17" s="228"/>
      <c r="C17" s="228"/>
      <c r="D17" s="220"/>
      <c r="E17" s="88" t="s">
        <v>278</v>
      </c>
      <c r="F17" s="73">
        <v>2</v>
      </c>
      <c r="G17" s="220"/>
      <c r="H17" s="228"/>
      <c r="I17" s="4"/>
      <c r="J17" s="228"/>
      <c r="K17" s="228"/>
      <c r="L17" s="220"/>
      <c r="M17" s="89" t="s">
        <v>278</v>
      </c>
      <c r="N17" s="71">
        <v>2</v>
      </c>
      <c r="O17" s="220"/>
      <c r="P17" s="228"/>
    </row>
    <row r="18" spans="2:16" ht="15" customHeight="1" x14ac:dyDescent="0.35">
      <c r="B18" s="228"/>
      <c r="C18" s="228"/>
      <c r="D18" s="268" t="s">
        <v>299</v>
      </c>
      <c r="E18" s="88" t="s">
        <v>155</v>
      </c>
      <c r="F18" s="73">
        <v>0</v>
      </c>
      <c r="G18" s="263">
        <f>(F18*F19)+F20</f>
        <v>0</v>
      </c>
      <c r="H18" s="228"/>
      <c r="I18" s="4"/>
      <c r="J18" s="228"/>
      <c r="K18" s="228"/>
      <c r="L18" s="262" t="s">
        <v>299</v>
      </c>
      <c r="M18" s="89" t="s">
        <v>155</v>
      </c>
      <c r="N18" s="71">
        <v>9.5500000000000007</v>
      </c>
      <c r="O18" s="263">
        <f>N18*N19+N20</f>
        <v>26.18</v>
      </c>
      <c r="P18" s="228"/>
    </row>
    <row r="19" spans="2:16" x14ac:dyDescent="0.35">
      <c r="B19" s="228"/>
      <c r="C19" s="228"/>
      <c r="D19" s="228"/>
      <c r="E19" s="88" t="s">
        <v>300</v>
      </c>
      <c r="F19" s="73">
        <v>2</v>
      </c>
      <c r="G19" s="228"/>
      <c r="H19" s="228"/>
      <c r="I19" s="4"/>
      <c r="J19" s="228"/>
      <c r="K19" s="228"/>
      <c r="L19" s="228"/>
      <c r="M19" s="89" t="s">
        <v>300</v>
      </c>
      <c r="N19" s="71">
        <v>2</v>
      </c>
      <c r="O19" s="228"/>
      <c r="P19" s="228"/>
    </row>
    <row r="20" spans="2:16" ht="14.25" customHeight="1" x14ac:dyDescent="0.35">
      <c r="B20" s="220"/>
      <c r="C20" s="220"/>
      <c r="D20" s="220"/>
      <c r="E20" s="88" t="s">
        <v>281</v>
      </c>
      <c r="F20" s="73">
        <v>0</v>
      </c>
      <c r="G20" s="220"/>
      <c r="H20" s="220"/>
      <c r="I20" s="4"/>
      <c r="J20" s="220"/>
      <c r="K20" s="220"/>
      <c r="L20" s="220"/>
      <c r="M20" s="89" t="s">
        <v>281</v>
      </c>
      <c r="N20" s="71">
        <f>17.7*0.4</f>
        <v>7.08</v>
      </c>
      <c r="O20" s="220"/>
      <c r="P20" s="220"/>
    </row>
    <row r="21" spans="2:16" x14ac:dyDescent="0.35">
      <c r="J21" s="90"/>
      <c r="K21" s="90"/>
      <c r="L21" s="90"/>
      <c r="M21" s="90"/>
      <c r="N21" s="90"/>
    </row>
    <row r="22" spans="2:16" ht="18" customHeight="1" x14ac:dyDescent="0.35">
      <c r="B22" s="267" t="s">
        <v>271</v>
      </c>
      <c r="C22" s="213"/>
      <c r="D22" s="213"/>
      <c r="E22" s="213"/>
      <c r="F22" s="214"/>
      <c r="G22" s="86" t="s">
        <v>272</v>
      </c>
      <c r="H22" s="86" t="s">
        <v>294</v>
      </c>
      <c r="I22" s="4"/>
      <c r="J22" s="269" t="s">
        <v>271</v>
      </c>
      <c r="K22" s="213"/>
      <c r="L22" s="213"/>
      <c r="M22" s="213"/>
      <c r="N22" s="214"/>
      <c r="O22" s="86" t="s">
        <v>272</v>
      </c>
      <c r="P22" s="86" t="s">
        <v>294</v>
      </c>
    </row>
    <row r="23" spans="2:16" ht="17.25" customHeight="1" x14ac:dyDescent="0.35">
      <c r="B23" s="262" t="s">
        <v>162</v>
      </c>
      <c r="C23" s="265" t="s">
        <v>296</v>
      </c>
      <c r="D23" s="262" t="s">
        <v>297</v>
      </c>
      <c r="E23" s="89" t="s">
        <v>155</v>
      </c>
      <c r="F23" s="71">
        <v>10.95</v>
      </c>
      <c r="G23" s="263">
        <f>F23*F24</f>
        <v>21.9</v>
      </c>
      <c r="H23" s="266">
        <f>SUM(G23:G31)</f>
        <v>38.54</v>
      </c>
      <c r="I23" s="4"/>
      <c r="J23" s="262" t="s">
        <v>163</v>
      </c>
      <c r="K23" s="265" t="s">
        <v>298</v>
      </c>
      <c r="L23" s="262" t="s">
        <v>297</v>
      </c>
      <c r="M23" s="89" t="s">
        <v>155</v>
      </c>
      <c r="N23" s="71">
        <v>3.61</v>
      </c>
      <c r="O23" s="263">
        <f>N23*N24</f>
        <v>7.22</v>
      </c>
      <c r="P23" s="266">
        <f>SUM(O23:O31)</f>
        <v>12.5</v>
      </c>
    </row>
    <row r="24" spans="2:16" x14ac:dyDescent="0.35">
      <c r="B24" s="228"/>
      <c r="C24" s="228"/>
      <c r="D24" s="220"/>
      <c r="E24" s="89" t="s">
        <v>278</v>
      </c>
      <c r="F24" s="71">
        <v>2</v>
      </c>
      <c r="G24" s="220"/>
      <c r="H24" s="228"/>
      <c r="I24" s="4"/>
      <c r="J24" s="228"/>
      <c r="K24" s="228"/>
      <c r="L24" s="220"/>
      <c r="M24" s="89" t="s">
        <v>278</v>
      </c>
      <c r="N24" s="71">
        <v>2</v>
      </c>
      <c r="O24" s="220"/>
      <c r="P24" s="228"/>
    </row>
    <row r="25" spans="2:16" ht="17.25" customHeight="1" x14ac:dyDescent="0.35">
      <c r="B25" s="228"/>
      <c r="C25" s="228"/>
      <c r="D25" s="262" t="s">
        <v>299</v>
      </c>
      <c r="E25" s="89" t="s">
        <v>155</v>
      </c>
      <c r="F25" s="71">
        <v>8.32</v>
      </c>
      <c r="G25" s="263">
        <f>F25*F26</f>
        <v>16.64</v>
      </c>
      <c r="H25" s="228"/>
      <c r="I25" s="4"/>
      <c r="J25" s="228"/>
      <c r="K25" s="228"/>
      <c r="L25" s="262" t="s">
        <v>299</v>
      </c>
      <c r="M25" s="89" t="s">
        <v>155</v>
      </c>
      <c r="N25" s="71">
        <v>2.64</v>
      </c>
      <c r="O25" s="263">
        <f>N25*N26</f>
        <v>5.28</v>
      </c>
      <c r="P25" s="228"/>
    </row>
    <row r="26" spans="2:16" x14ac:dyDescent="0.35">
      <c r="B26" s="228"/>
      <c r="C26" s="220"/>
      <c r="D26" s="220"/>
      <c r="E26" s="89" t="s">
        <v>300</v>
      </c>
      <c r="F26" s="71">
        <v>2</v>
      </c>
      <c r="G26" s="220"/>
      <c r="H26" s="228"/>
      <c r="I26" s="4"/>
      <c r="J26" s="228"/>
      <c r="K26" s="220"/>
      <c r="L26" s="220"/>
      <c r="M26" s="89" t="s">
        <v>300</v>
      </c>
      <c r="N26" s="71">
        <v>2</v>
      </c>
      <c r="O26" s="220"/>
      <c r="P26" s="228"/>
    </row>
    <row r="27" spans="2:16" ht="17.25" customHeight="1" x14ac:dyDescent="0.35">
      <c r="B27" s="228"/>
      <c r="C27" s="264" t="s">
        <v>301</v>
      </c>
      <c r="D27" s="262" t="s">
        <v>302</v>
      </c>
      <c r="E27" s="89" t="s">
        <v>155</v>
      </c>
      <c r="F27" s="73">
        <v>0</v>
      </c>
      <c r="G27" s="263">
        <f>F27*F28</f>
        <v>0</v>
      </c>
      <c r="H27" s="228"/>
      <c r="I27" s="4"/>
      <c r="J27" s="228"/>
      <c r="K27" s="264" t="s">
        <v>301</v>
      </c>
      <c r="L27" s="262" t="s">
        <v>302</v>
      </c>
      <c r="M27" s="89" t="s">
        <v>155</v>
      </c>
      <c r="N27" s="73">
        <v>0</v>
      </c>
      <c r="O27" s="263">
        <f>N27*N28</f>
        <v>0</v>
      </c>
      <c r="P27" s="228"/>
    </row>
    <row r="28" spans="2:16" x14ac:dyDescent="0.35">
      <c r="B28" s="228"/>
      <c r="C28" s="228"/>
      <c r="D28" s="220"/>
      <c r="E28" s="89" t="s">
        <v>278</v>
      </c>
      <c r="F28" s="73">
        <v>2</v>
      </c>
      <c r="G28" s="220"/>
      <c r="H28" s="228"/>
      <c r="I28" s="4"/>
      <c r="J28" s="228"/>
      <c r="K28" s="228"/>
      <c r="L28" s="220"/>
      <c r="M28" s="89" t="s">
        <v>278</v>
      </c>
      <c r="N28" s="73">
        <v>2</v>
      </c>
      <c r="O28" s="220"/>
      <c r="P28" s="228"/>
    </row>
    <row r="29" spans="2:16" ht="17.25" customHeight="1" x14ac:dyDescent="0.35">
      <c r="B29" s="228"/>
      <c r="C29" s="228"/>
      <c r="D29" s="262" t="s">
        <v>299</v>
      </c>
      <c r="E29" s="89" t="s">
        <v>155</v>
      </c>
      <c r="F29" s="73">
        <v>0</v>
      </c>
      <c r="G29" s="263">
        <f>F29*F30+F31</f>
        <v>0</v>
      </c>
      <c r="H29" s="228"/>
      <c r="I29" s="4"/>
      <c r="J29" s="228"/>
      <c r="K29" s="228"/>
      <c r="L29" s="262" t="s">
        <v>299</v>
      </c>
      <c r="M29" s="89" t="s">
        <v>155</v>
      </c>
      <c r="N29" s="73">
        <v>0</v>
      </c>
      <c r="O29" s="263">
        <f>N29*N30+N31</f>
        <v>0</v>
      </c>
      <c r="P29" s="228"/>
    </row>
    <row r="30" spans="2:16" x14ac:dyDescent="0.35">
      <c r="B30" s="228"/>
      <c r="C30" s="228"/>
      <c r="D30" s="228"/>
      <c r="E30" s="89" t="s">
        <v>300</v>
      </c>
      <c r="F30" s="73">
        <v>2</v>
      </c>
      <c r="G30" s="228"/>
      <c r="H30" s="228"/>
      <c r="I30" s="4"/>
      <c r="J30" s="228"/>
      <c r="K30" s="228"/>
      <c r="L30" s="228"/>
      <c r="M30" s="89" t="s">
        <v>300</v>
      </c>
      <c r="N30" s="73">
        <v>2</v>
      </c>
      <c r="O30" s="228"/>
      <c r="P30" s="228"/>
    </row>
    <row r="31" spans="2:16" ht="13.5" customHeight="1" x14ac:dyDescent="0.35">
      <c r="B31" s="220"/>
      <c r="C31" s="220"/>
      <c r="D31" s="220"/>
      <c r="E31" s="89" t="s">
        <v>281</v>
      </c>
      <c r="F31" s="73">
        <v>0</v>
      </c>
      <c r="G31" s="220"/>
      <c r="H31" s="220"/>
      <c r="I31" s="4"/>
      <c r="J31" s="220"/>
      <c r="K31" s="220"/>
      <c r="L31" s="220"/>
      <c r="M31" s="89" t="s">
        <v>281</v>
      </c>
      <c r="N31" s="73">
        <v>0</v>
      </c>
      <c r="O31" s="220"/>
      <c r="P31" s="220"/>
    </row>
    <row r="32" spans="2:16" x14ac:dyDescent="0.35">
      <c r="B32" s="90"/>
      <c r="C32" s="90"/>
      <c r="D32" s="90"/>
      <c r="E32" s="90"/>
      <c r="F32" s="90"/>
      <c r="J32" s="90"/>
      <c r="K32" s="90"/>
      <c r="L32" s="90"/>
      <c r="M32" s="90"/>
      <c r="N32" s="90"/>
    </row>
    <row r="33" spans="2:16" ht="18" customHeight="1" x14ac:dyDescent="0.35">
      <c r="B33" s="269" t="s">
        <v>271</v>
      </c>
      <c r="C33" s="213"/>
      <c r="D33" s="213"/>
      <c r="E33" s="213"/>
      <c r="F33" s="214"/>
      <c r="G33" s="86" t="s">
        <v>272</v>
      </c>
      <c r="H33" s="86" t="s">
        <v>294</v>
      </c>
      <c r="I33" s="4"/>
      <c r="J33" s="269" t="s">
        <v>271</v>
      </c>
      <c r="K33" s="213"/>
      <c r="L33" s="213"/>
      <c r="M33" s="213"/>
      <c r="N33" s="214"/>
      <c r="O33" s="86" t="s">
        <v>272</v>
      </c>
      <c r="P33" s="86" t="s">
        <v>294</v>
      </c>
    </row>
    <row r="34" spans="2:16" ht="17.25" customHeight="1" x14ac:dyDescent="0.35">
      <c r="B34" s="262" t="s">
        <v>164</v>
      </c>
      <c r="C34" s="265" t="s">
        <v>298</v>
      </c>
      <c r="D34" s="262" t="s">
        <v>297</v>
      </c>
      <c r="E34" s="89" t="s">
        <v>155</v>
      </c>
      <c r="F34" s="71">
        <v>10.62</v>
      </c>
      <c r="G34" s="263">
        <f>F34*F35</f>
        <v>21.24</v>
      </c>
      <c r="H34" s="266">
        <f>SUM(G34:G42)</f>
        <v>37.36</v>
      </c>
      <c r="I34" s="4"/>
      <c r="J34" s="262" t="s">
        <v>165</v>
      </c>
      <c r="K34" s="265" t="s">
        <v>298</v>
      </c>
      <c r="L34" s="262" t="s">
        <v>297</v>
      </c>
      <c r="M34" s="89" t="s">
        <v>155</v>
      </c>
      <c r="N34" s="71">
        <v>66.02</v>
      </c>
      <c r="O34" s="263">
        <f>N34*N35</f>
        <v>132.04</v>
      </c>
      <c r="P34" s="266">
        <f>SUM(O34:O42)</f>
        <v>242.68</v>
      </c>
    </row>
    <row r="35" spans="2:16" x14ac:dyDescent="0.35">
      <c r="B35" s="228"/>
      <c r="C35" s="228"/>
      <c r="D35" s="220"/>
      <c r="E35" s="89" t="s">
        <v>278</v>
      </c>
      <c r="F35" s="71">
        <v>2</v>
      </c>
      <c r="G35" s="220"/>
      <c r="H35" s="228"/>
      <c r="I35" s="4"/>
      <c r="J35" s="228"/>
      <c r="K35" s="228"/>
      <c r="L35" s="220"/>
      <c r="M35" s="89" t="s">
        <v>278</v>
      </c>
      <c r="N35" s="71">
        <v>2</v>
      </c>
      <c r="O35" s="220"/>
      <c r="P35" s="228"/>
    </row>
    <row r="36" spans="2:16" ht="17.25" customHeight="1" x14ac:dyDescent="0.35">
      <c r="B36" s="228"/>
      <c r="C36" s="228"/>
      <c r="D36" s="262" t="s">
        <v>299</v>
      </c>
      <c r="E36" s="89" t="s">
        <v>155</v>
      </c>
      <c r="F36" s="71">
        <v>8.06</v>
      </c>
      <c r="G36" s="263">
        <f>F36*F37</f>
        <v>16.12</v>
      </c>
      <c r="H36" s="228"/>
      <c r="I36" s="4"/>
      <c r="J36" s="228"/>
      <c r="K36" s="228"/>
      <c r="L36" s="262" t="s">
        <v>299</v>
      </c>
      <c r="M36" s="89" t="s">
        <v>155</v>
      </c>
      <c r="N36" s="71">
        <v>55.32</v>
      </c>
      <c r="O36" s="263">
        <f>N36*N37</f>
        <v>110.64</v>
      </c>
      <c r="P36" s="228"/>
    </row>
    <row r="37" spans="2:16" x14ac:dyDescent="0.35">
      <c r="B37" s="228"/>
      <c r="C37" s="220"/>
      <c r="D37" s="220"/>
      <c r="E37" s="89" t="s">
        <v>300</v>
      </c>
      <c r="F37" s="71">
        <v>2</v>
      </c>
      <c r="G37" s="220"/>
      <c r="H37" s="228"/>
      <c r="I37" s="4"/>
      <c r="J37" s="228"/>
      <c r="K37" s="220"/>
      <c r="L37" s="220"/>
      <c r="M37" s="89" t="s">
        <v>300</v>
      </c>
      <c r="N37" s="71">
        <v>2</v>
      </c>
      <c r="O37" s="220"/>
      <c r="P37" s="228"/>
    </row>
    <row r="38" spans="2:16" ht="17.25" customHeight="1" x14ac:dyDescent="0.35">
      <c r="B38" s="228"/>
      <c r="C38" s="264" t="s">
        <v>301</v>
      </c>
      <c r="D38" s="262" t="s">
        <v>302</v>
      </c>
      <c r="E38" s="89" t="s">
        <v>155</v>
      </c>
      <c r="F38" s="73">
        <v>0</v>
      </c>
      <c r="G38" s="263">
        <f>F38*F39</f>
        <v>0</v>
      </c>
      <c r="H38" s="228"/>
      <c r="I38" s="4"/>
      <c r="J38" s="228"/>
      <c r="K38" s="264" t="s">
        <v>301</v>
      </c>
      <c r="L38" s="262" t="s">
        <v>302</v>
      </c>
      <c r="M38" s="89" t="s">
        <v>155</v>
      </c>
      <c r="N38" s="73">
        <v>0</v>
      </c>
      <c r="O38" s="263">
        <f>N38*N39</f>
        <v>0</v>
      </c>
      <c r="P38" s="228"/>
    </row>
    <row r="39" spans="2:16" x14ac:dyDescent="0.35">
      <c r="B39" s="228"/>
      <c r="C39" s="228"/>
      <c r="D39" s="220"/>
      <c r="E39" s="89" t="s">
        <v>278</v>
      </c>
      <c r="F39" s="73">
        <v>2</v>
      </c>
      <c r="G39" s="220"/>
      <c r="H39" s="228"/>
      <c r="I39" s="4"/>
      <c r="J39" s="228"/>
      <c r="K39" s="228"/>
      <c r="L39" s="220"/>
      <c r="M39" s="89" t="s">
        <v>278</v>
      </c>
      <c r="N39" s="73">
        <v>2</v>
      </c>
      <c r="O39" s="220"/>
      <c r="P39" s="228"/>
    </row>
    <row r="40" spans="2:16" ht="17.25" customHeight="1" x14ac:dyDescent="0.35">
      <c r="B40" s="228"/>
      <c r="C40" s="228"/>
      <c r="D40" s="262" t="s">
        <v>299</v>
      </c>
      <c r="E40" s="89" t="s">
        <v>155</v>
      </c>
      <c r="F40" s="73">
        <v>0</v>
      </c>
      <c r="G40" s="263">
        <f>F40*F41+F42</f>
        <v>0</v>
      </c>
      <c r="H40" s="228"/>
      <c r="I40" s="4"/>
      <c r="J40" s="228"/>
      <c r="K40" s="228"/>
      <c r="L40" s="262" t="s">
        <v>299</v>
      </c>
      <c r="M40" s="89" t="s">
        <v>155</v>
      </c>
      <c r="N40" s="73">
        <v>0</v>
      </c>
      <c r="O40" s="263">
        <f>N40*N41+N42</f>
        <v>0</v>
      </c>
      <c r="P40" s="228"/>
    </row>
    <row r="41" spans="2:16" x14ac:dyDescent="0.35">
      <c r="B41" s="228"/>
      <c r="C41" s="228"/>
      <c r="D41" s="228"/>
      <c r="E41" s="89" t="s">
        <v>300</v>
      </c>
      <c r="F41" s="73">
        <v>2</v>
      </c>
      <c r="G41" s="228"/>
      <c r="H41" s="228"/>
      <c r="I41" s="4"/>
      <c r="J41" s="228"/>
      <c r="K41" s="228"/>
      <c r="L41" s="228"/>
      <c r="M41" s="89" t="s">
        <v>300</v>
      </c>
      <c r="N41" s="73">
        <v>2</v>
      </c>
      <c r="O41" s="228"/>
      <c r="P41" s="228"/>
    </row>
    <row r="42" spans="2:16" ht="13.5" customHeight="1" x14ac:dyDescent="0.35">
      <c r="B42" s="220"/>
      <c r="C42" s="220"/>
      <c r="D42" s="220"/>
      <c r="E42" s="89" t="s">
        <v>281</v>
      </c>
      <c r="F42" s="73">
        <v>0</v>
      </c>
      <c r="G42" s="220"/>
      <c r="H42" s="220"/>
      <c r="I42" s="4"/>
      <c r="J42" s="220"/>
      <c r="K42" s="220"/>
      <c r="L42" s="220"/>
      <c r="M42" s="89" t="s">
        <v>281</v>
      </c>
      <c r="N42" s="73">
        <v>0</v>
      </c>
      <c r="O42" s="220"/>
      <c r="P42" s="220"/>
    </row>
    <row r="43" spans="2:16" x14ac:dyDescent="0.35">
      <c r="B43" s="90"/>
      <c r="C43" s="90"/>
      <c r="D43" s="90"/>
      <c r="E43" s="90"/>
      <c r="F43" s="90"/>
      <c r="J43" s="90"/>
      <c r="K43" s="90"/>
      <c r="L43" s="90"/>
      <c r="M43" s="90"/>
      <c r="N43" s="90"/>
    </row>
    <row r="44" spans="2:16" ht="18" customHeight="1" x14ac:dyDescent="0.35">
      <c r="B44" s="269" t="s">
        <v>271</v>
      </c>
      <c r="C44" s="213"/>
      <c r="D44" s="213"/>
      <c r="E44" s="213"/>
      <c r="F44" s="214"/>
      <c r="G44" s="86" t="s">
        <v>272</v>
      </c>
      <c r="H44" s="86" t="s">
        <v>294</v>
      </c>
      <c r="I44" s="4"/>
      <c r="J44" s="269" t="s">
        <v>271</v>
      </c>
      <c r="K44" s="213"/>
      <c r="L44" s="213"/>
      <c r="M44" s="213"/>
      <c r="N44" s="214"/>
      <c r="O44" s="86" t="s">
        <v>272</v>
      </c>
      <c r="P44" s="86" t="s">
        <v>294</v>
      </c>
    </row>
    <row r="45" spans="2:16" ht="17.25" customHeight="1" x14ac:dyDescent="0.35">
      <c r="B45" s="262" t="s">
        <v>166</v>
      </c>
      <c r="C45" s="265" t="s">
        <v>298</v>
      </c>
      <c r="D45" s="262" t="s">
        <v>297</v>
      </c>
      <c r="E45" s="89" t="s">
        <v>155</v>
      </c>
      <c r="F45" s="71">
        <v>80.52</v>
      </c>
      <c r="G45" s="263">
        <f>F45*F46</f>
        <v>161.04</v>
      </c>
      <c r="H45" s="266">
        <f>SUM(G45:G53)</f>
        <v>371.77</v>
      </c>
      <c r="I45" s="4"/>
      <c r="J45" s="262" t="s">
        <v>167</v>
      </c>
      <c r="K45" s="265" t="s">
        <v>298</v>
      </c>
      <c r="L45" s="262" t="s">
        <v>297</v>
      </c>
      <c r="M45" s="89" t="s">
        <v>155</v>
      </c>
      <c r="N45" s="67">
        <v>9.51</v>
      </c>
      <c r="O45" s="263">
        <f>N45*N46</f>
        <v>19.02</v>
      </c>
      <c r="P45" s="266">
        <f>SUM(O45:O53)</f>
        <v>33.379999999999995</v>
      </c>
    </row>
    <row r="46" spans="2:16" x14ac:dyDescent="0.35">
      <c r="B46" s="228"/>
      <c r="C46" s="228"/>
      <c r="D46" s="220"/>
      <c r="E46" s="89" t="s">
        <v>278</v>
      </c>
      <c r="F46" s="71">
        <v>2</v>
      </c>
      <c r="G46" s="220"/>
      <c r="H46" s="228"/>
      <c r="I46" s="4"/>
      <c r="J46" s="228"/>
      <c r="K46" s="228"/>
      <c r="L46" s="220"/>
      <c r="M46" s="89" t="s">
        <v>278</v>
      </c>
      <c r="N46" s="71">
        <v>2</v>
      </c>
      <c r="O46" s="220"/>
      <c r="P46" s="228"/>
    </row>
    <row r="47" spans="2:16" ht="17.25" customHeight="1" x14ac:dyDescent="0.35">
      <c r="B47" s="228"/>
      <c r="C47" s="228"/>
      <c r="D47" s="262" t="s">
        <v>299</v>
      </c>
      <c r="E47" s="89" t="s">
        <v>155</v>
      </c>
      <c r="F47" s="71">
        <v>68.569999999999993</v>
      </c>
      <c r="G47" s="263">
        <f>F47*F48</f>
        <v>137.13999999999999</v>
      </c>
      <c r="H47" s="228"/>
      <c r="I47" s="4"/>
      <c r="J47" s="228"/>
      <c r="K47" s="228"/>
      <c r="L47" s="262" t="s">
        <v>299</v>
      </c>
      <c r="M47" s="89" t="s">
        <v>155</v>
      </c>
      <c r="N47" s="71">
        <v>7.18</v>
      </c>
      <c r="O47" s="263">
        <f>N47*N48</f>
        <v>14.36</v>
      </c>
      <c r="P47" s="228"/>
    </row>
    <row r="48" spans="2:16" x14ac:dyDescent="0.35">
      <c r="B48" s="228"/>
      <c r="C48" s="220"/>
      <c r="D48" s="220"/>
      <c r="E48" s="89" t="s">
        <v>300</v>
      </c>
      <c r="F48" s="71">
        <v>2</v>
      </c>
      <c r="G48" s="220"/>
      <c r="H48" s="228"/>
      <c r="I48" s="4"/>
      <c r="J48" s="228"/>
      <c r="K48" s="220"/>
      <c r="L48" s="220"/>
      <c r="M48" s="89" t="s">
        <v>300</v>
      </c>
      <c r="N48" s="71">
        <v>2</v>
      </c>
      <c r="O48" s="220"/>
      <c r="P48" s="228"/>
    </row>
    <row r="49" spans="2:16" ht="17.25" customHeight="1" x14ac:dyDescent="0.35">
      <c r="B49" s="228"/>
      <c r="C49" s="264" t="s">
        <v>301</v>
      </c>
      <c r="D49" s="262" t="s">
        <v>302</v>
      </c>
      <c r="E49" s="89" t="s">
        <v>155</v>
      </c>
      <c r="F49" s="67">
        <v>15.15</v>
      </c>
      <c r="G49" s="263">
        <f>F49*F50</f>
        <v>30.3</v>
      </c>
      <c r="H49" s="228"/>
      <c r="I49" s="4"/>
      <c r="J49" s="228"/>
      <c r="K49" s="264" t="s">
        <v>301</v>
      </c>
      <c r="L49" s="262" t="s">
        <v>302</v>
      </c>
      <c r="M49" s="89" t="s">
        <v>155</v>
      </c>
      <c r="N49" s="73">
        <v>0</v>
      </c>
      <c r="O49" s="263">
        <f>N49*N50</f>
        <v>0</v>
      </c>
      <c r="P49" s="228"/>
    </row>
    <row r="50" spans="2:16" x14ac:dyDescent="0.35">
      <c r="B50" s="228"/>
      <c r="C50" s="228"/>
      <c r="D50" s="220"/>
      <c r="E50" s="89" t="s">
        <v>278</v>
      </c>
      <c r="F50" s="71">
        <v>2</v>
      </c>
      <c r="G50" s="220"/>
      <c r="H50" s="228"/>
      <c r="I50" s="4"/>
      <c r="J50" s="228"/>
      <c r="K50" s="228"/>
      <c r="L50" s="220"/>
      <c r="M50" s="89" t="s">
        <v>278</v>
      </c>
      <c r="N50" s="73">
        <v>2</v>
      </c>
      <c r="O50" s="220"/>
      <c r="P50" s="228"/>
    </row>
    <row r="51" spans="2:16" ht="17.25" customHeight="1" x14ac:dyDescent="0.35">
      <c r="B51" s="228"/>
      <c r="C51" s="228"/>
      <c r="D51" s="262" t="s">
        <v>299</v>
      </c>
      <c r="E51" s="89" t="s">
        <v>155</v>
      </c>
      <c r="F51" s="67">
        <v>10.77</v>
      </c>
      <c r="G51" s="263">
        <f>F51*F52+F53</f>
        <v>43.29</v>
      </c>
      <c r="H51" s="228"/>
      <c r="I51" s="4"/>
      <c r="J51" s="228"/>
      <c r="K51" s="228"/>
      <c r="L51" s="262" t="s">
        <v>299</v>
      </c>
      <c r="M51" s="89" t="s">
        <v>155</v>
      </c>
      <c r="N51" s="73">
        <v>0</v>
      </c>
      <c r="O51" s="263">
        <f>N51*N52+N53</f>
        <v>0</v>
      </c>
      <c r="P51" s="228"/>
    </row>
    <row r="52" spans="2:16" x14ac:dyDescent="0.35">
      <c r="B52" s="228"/>
      <c r="C52" s="228"/>
      <c r="D52" s="228"/>
      <c r="E52" s="89" t="s">
        <v>300</v>
      </c>
      <c r="F52" s="71">
        <v>2</v>
      </c>
      <c r="G52" s="228"/>
      <c r="H52" s="228"/>
      <c r="I52" s="4"/>
      <c r="J52" s="228"/>
      <c r="K52" s="228"/>
      <c r="L52" s="228"/>
      <c r="M52" s="89" t="s">
        <v>300</v>
      </c>
      <c r="N52" s="73">
        <v>2</v>
      </c>
      <c r="O52" s="228"/>
      <c r="P52" s="228"/>
    </row>
    <row r="53" spans="2:16" ht="13.5" customHeight="1" x14ac:dyDescent="0.35">
      <c r="B53" s="220"/>
      <c r="C53" s="220"/>
      <c r="D53" s="220"/>
      <c r="E53" s="89" t="s">
        <v>281</v>
      </c>
      <c r="F53" s="71">
        <v>21.75</v>
      </c>
      <c r="G53" s="220"/>
      <c r="H53" s="220"/>
      <c r="I53" s="4"/>
      <c r="J53" s="220"/>
      <c r="K53" s="220"/>
      <c r="L53" s="220"/>
      <c r="M53" s="89" t="s">
        <v>281</v>
      </c>
      <c r="N53" s="73">
        <v>0</v>
      </c>
      <c r="O53" s="220"/>
      <c r="P53" s="220"/>
    </row>
    <row r="54" spans="2:16" x14ac:dyDescent="0.35">
      <c r="B54" s="90"/>
      <c r="C54" s="90"/>
      <c r="D54" s="90"/>
      <c r="E54" s="90"/>
      <c r="F54" s="90"/>
      <c r="J54" s="90"/>
      <c r="K54" s="90"/>
      <c r="L54" s="90"/>
      <c r="M54" s="90"/>
      <c r="N54" s="90"/>
    </row>
    <row r="55" spans="2:16" x14ac:dyDescent="0.35">
      <c r="B55" s="90"/>
      <c r="C55" s="90"/>
      <c r="D55" s="90"/>
      <c r="E55" s="90"/>
      <c r="F55" s="90"/>
      <c r="J55" s="90"/>
      <c r="K55" s="90"/>
      <c r="L55" s="90"/>
      <c r="M55" s="90"/>
      <c r="N55" s="90"/>
    </row>
    <row r="56" spans="2:16" ht="18" customHeight="1" x14ac:dyDescent="0.35">
      <c r="B56" s="269" t="s">
        <v>271</v>
      </c>
      <c r="C56" s="213"/>
      <c r="D56" s="213"/>
      <c r="E56" s="213"/>
      <c r="F56" s="214"/>
      <c r="G56" s="86" t="s">
        <v>272</v>
      </c>
      <c r="H56" s="86" t="s">
        <v>294</v>
      </c>
      <c r="J56" s="269" t="s">
        <v>271</v>
      </c>
      <c r="K56" s="213"/>
      <c r="L56" s="213"/>
      <c r="M56" s="213"/>
      <c r="N56" s="214"/>
      <c r="O56" s="86" t="s">
        <v>272</v>
      </c>
      <c r="P56" s="86" t="s">
        <v>294</v>
      </c>
    </row>
    <row r="57" spans="2:16" ht="17.25" customHeight="1" x14ac:dyDescent="0.35">
      <c r="B57" s="262" t="s">
        <v>168</v>
      </c>
      <c r="C57" s="265" t="s">
        <v>298</v>
      </c>
      <c r="D57" s="262" t="s">
        <v>297</v>
      </c>
      <c r="E57" s="89" t="s">
        <v>155</v>
      </c>
      <c r="F57" s="67">
        <v>30.45</v>
      </c>
      <c r="G57" s="263">
        <f>F57*F58</f>
        <v>60.9</v>
      </c>
      <c r="H57" s="266">
        <f>SUM(G57:G65)</f>
        <v>109.66</v>
      </c>
      <c r="J57" s="262" t="s">
        <v>169</v>
      </c>
      <c r="K57" s="265" t="s">
        <v>298</v>
      </c>
      <c r="L57" s="262" t="s">
        <v>297</v>
      </c>
      <c r="M57" s="89" t="s">
        <v>155</v>
      </c>
      <c r="N57" s="67">
        <v>16.13</v>
      </c>
      <c r="O57" s="263">
        <f>N57*N58</f>
        <v>32.26</v>
      </c>
      <c r="P57" s="266">
        <f>SUM(O57:O65)</f>
        <v>101.28</v>
      </c>
    </row>
    <row r="58" spans="2:16" x14ac:dyDescent="0.35">
      <c r="B58" s="228"/>
      <c r="C58" s="228"/>
      <c r="D58" s="220"/>
      <c r="E58" s="89" t="s">
        <v>278</v>
      </c>
      <c r="F58" s="91">
        <v>2</v>
      </c>
      <c r="G58" s="220"/>
      <c r="H58" s="228"/>
      <c r="J58" s="228"/>
      <c r="K58" s="228"/>
      <c r="L58" s="220"/>
      <c r="M58" s="89" t="s">
        <v>278</v>
      </c>
      <c r="N58" s="71">
        <v>2</v>
      </c>
      <c r="O58" s="220"/>
      <c r="P58" s="228"/>
    </row>
    <row r="59" spans="2:16" ht="17.25" customHeight="1" x14ac:dyDescent="0.35">
      <c r="B59" s="228"/>
      <c r="C59" s="228"/>
      <c r="D59" s="262" t="s">
        <v>299</v>
      </c>
      <c r="E59" s="89" t="s">
        <v>155</v>
      </c>
      <c r="F59" s="91">
        <v>24.38</v>
      </c>
      <c r="G59" s="263">
        <f>F59*F60</f>
        <v>48.76</v>
      </c>
      <c r="H59" s="228"/>
      <c r="J59" s="228"/>
      <c r="K59" s="228"/>
      <c r="L59" s="262" t="s">
        <v>299</v>
      </c>
      <c r="M59" s="89" t="s">
        <v>155</v>
      </c>
      <c r="N59" s="71">
        <v>12.47</v>
      </c>
      <c r="O59" s="263">
        <f>N59*N60</f>
        <v>24.94</v>
      </c>
      <c r="P59" s="228"/>
    </row>
    <row r="60" spans="2:16" x14ac:dyDescent="0.35">
      <c r="B60" s="228"/>
      <c r="C60" s="220"/>
      <c r="D60" s="220"/>
      <c r="E60" s="89" t="s">
        <v>300</v>
      </c>
      <c r="F60" s="91">
        <v>2</v>
      </c>
      <c r="G60" s="220"/>
      <c r="H60" s="228"/>
      <c r="J60" s="228"/>
      <c r="K60" s="220"/>
      <c r="L60" s="220"/>
      <c r="M60" s="89" t="s">
        <v>300</v>
      </c>
      <c r="N60" s="71">
        <v>2</v>
      </c>
      <c r="O60" s="220"/>
      <c r="P60" s="228"/>
    </row>
    <row r="61" spans="2:16" ht="17.25" customHeight="1" x14ac:dyDescent="0.35">
      <c r="B61" s="228"/>
      <c r="C61" s="264" t="s">
        <v>301</v>
      </c>
      <c r="D61" s="262" t="s">
        <v>302</v>
      </c>
      <c r="E61" s="89" t="s">
        <v>155</v>
      </c>
      <c r="F61" s="73">
        <v>0</v>
      </c>
      <c r="G61" s="263">
        <f>F61*F62</f>
        <v>0</v>
      </c>
      <c r="H61" s="228"/>
      <c r="J61" s="228"/>
      <c r="K61" s="264" t="s">
        <v>301</v>
      </c>
      <c r="L61" s="262" t="s">
        <v>302</v>
      </c>
      <c r="M61" s="89" t="s">
        <v>155</v>
      </c>
      <c r="N61" s="71">
        <v>8.83</v>
      </c>
      <c r="O61" s="263">
        <f>N61*N62</f>
        <v>17.66</v>
      </c>
      <c r="P61" s="228"/>
    </row>
    <row r="62" spans="2:16" x14ac:dyDescent="0.35">
      <c r="B62" s="228"/>
      <c r="C62" s="228"/>
      <c r="D62" s="220"/>
      <c r="E62" s="89" t="s">
        <v>278</v>
      </c>
      <c r="F62" s="73">
        <v>2</v>
      </c>
      <c r="G62" s="220"/>
      <c r="H62" s="228"/>
      <c r="J62" s="228"/>
      <c r="K62" s="228"/>
      <c r="L62" s="220"/>
      <c r="M62" s="89" t="s">
        <v>278</v>
      </c>
      <c r="N62" s="71">
        <v>2</v>
      </c>
      <c r="O62" s="220"/>
      <c r="P62" s="228"/>
    </row>
    <row r="63" spans="2:16" ht="17.25" customHeight="1" x14ac:dyDescent="0.35">
      <c r="B63" s="228"/>
      <c r="C63" s="228"/>
      <c r="D63" s="262" t="s">
        <v>299</v>
      </c>
      <c r="E63" s="89" t="s">
        <v>155</v>
      </c>
      <c r="F63" s="73">
        <v>0</v>
      </c>
      <c r="G63" s="263">
        <f>F63*F64+F65</f>
        <v>0</v>
      </c>
      <c r="H63" s="228"/>
      <c r="J63" s="228"/>
      <c r="K63" s="228"/>
      <c r="L63" s="262" t="s">
        <v>299</v>
      </c>
      <c r="M63" s="89" t="s">
        <v>155</v>
      </c>
      <c r="N63" s="71">
        <v>5.86</v>
      </c>
      <c r="O63" s="263">
        <f>N63*N64+N65</f>
        <v>26.42</v>
      </c>
      <c r="P63" s="228"/>
    </row>
    <row r="64" spans="2:16" x14ac:dyDescent="0.35">
      <c r="B64" s="228"/>
      <c r="C64" s="228"/>
      <c r="D64" s="228"/>
      <c r="E64" s="89" t="s">
        <v>300</v>
      </c>
      <c r="F64" s="73">
        <v>2</v>
      </c>
      <c r="G64" s="228"/>
      <c r="H64" s="228"/>
      <c r="J64" s="228"/>
      <c r="K64" s="228"/>
      <c r="L64" s="228"/>
      <c r="M64" s="89" t="s">
        <v>300</v>
      </c>
      <c r="N64" s="71">
        <v>2</v>
      </c>
      <c r="O64" s="228"/>
      <c r="P64" s="228"/>
    </row>
    <row r="65" spans="2:16" ht="13.5" customHeight="1" x14ac:dyDescent="0.35">
      <c r="B65" s="220"/>
      <c r="C65" s="220"/>
      <c r="D65" s="220"/>
      <c r="E65" s="89" t="s">
        <v>281</v>
      </c>
      <c r="F65" s="73">
        <v>0</v>
      </c>
      <c r="G65" s="220"/>
      <c r="H65" s="220"/>
      <c r="J65" s="220"/>
      <c r="K65" s="220"/>
      <c r="L65" s="220"/>
      <c r="M65" s="89" t="s">
        <v>281</v>
      </c>
      <c r="N65" s="71">
        <v>14.7</v>
      </c>
      <c r="O65" s="220"/>
      <c r="P65" s="220"/>
    </row>
    <row r="66" spans="2:16" x14ac:dyDescent="0.35">
      <c r="B66" s="90"/>
      <c r="C66" s="90"/>
      <c r="D66" s="90"/>
      <c r="E66" s="90"/>
      <c r="F66" s="90"/>
      <c r="J66" s="90"/>
      <c r="K66" s="90"/>
      <c r="L66" s="90"/>
      <c r="M66" s="90"/>
      <c r="N66" s="90"/>
    </row>
    <row r="67" spans="2:16" x14ac:dyDescent="0.35">
      <c r="B67" s="90"/>
      <c r="C67" s="90"/>
      <c r="D67" s="90"/>
      <c r="E67" s="90"/>
      <c r="F67" s="90"/>
      <c r="J67" s="90"/>
      <c r="K67" s="90"/>
      <c r="L67" s="90"/>
      <c r="M67" s="90"/>
      <c r="N67" s="90"/>
    </row>
    <row r="68" spans="2:16" ht="18" customHeight="1" x14ac:dyDescent="0.35">
      <c r="B68" s="269" t="s">
        <v>271</v>
      </c>
      <c r="C68" s="213"/>
      <c r="D68" s="213"/>
      <c r="E68" s="213"/>
      <c r="F68" s="214"/>
      <c r="G68" s="86" t="s">
        <v>272</v>
      </c>
      <c r="H68" s="86" t="s">
        <v>294</v>
      </c>
      <c r="J68" s="269" t="s">
        <v>271</v>
      </c>
      <c r="K68" s="213"/>
      <c r="L68" s="213"/>
      <c r="M68" s="213"/>
      <c r="N68" s="214"/>
      <c r="O68" s="86" t="s">
        <v>272</v>
      </c>
      <c r="P68" s="86" t="s">
        <v>294</v>
      </c>
    </row>
    <row r="69" spans="2:16" ht="17.25" customHeight="1" x14ac:dyDescent="0.35">
      <c r="B69" s="262" t="s">
        <v>170</v>
      </c>
      <c r="C69" s="265" t="s">
        <v>298</v>
      </c>
      <c r="D69" s="262" t="s">
        <v>297</v>
      </c>
      <c r="E69" s="89" t="s">
        <v>155</v>
      </c>
      <c r="F69" s="71">
        <v>6.02</v>
      </c>
      <c r="G69" s="263">
        <f>F69*F70</f>
        <v>12.04</v>
      </c>
      <c r="H69" s="266">
        <f>SUM(G69:G77)</f>
        <v>20.979999999999997</v>
      </c>
      <c r="J69" s="262" t="s">
        <v>171</v>
      </c>
      <c r="K69" s="265" t="s">
        <v>298</v>
      </c>
      <c r="L69" s="262" t="s">
        <v>297</v>
      </c>
      <c r="M69" s="89" t="s">
        <v>155</v>
      </c>
      <c r="N69" s="67">
        <v>26.69</v>
      </c>
      <c r="O69" s="263">
        <f>N69*N70</f>
        <v>53.38</v>
      </c>
      <c r="P69" s="266">
        <f>SUM(O69:O77)</f>
        <v>233.54</v>
      </c>
    </row>
    <row r="70" spans="2:16" x14ac:dyDescent="0.35">
      <c r="B70" s="228"/>
      <c r="C70" s="228"/>
      <c r="D70" s="220"/>
      <c r="E70" s="89" t="s">
        <v>278</v>
      </c>
      <c r="F70" s="91">
        <v>2</v>
      </c>
      <c r="G70" s="220"/>
      <c r="H70" s="228"/>
      <c r="J70" s="228"/>
      <c r="K70" s="228"/>
      <c r="L70" s="220"/>
      <c r="M70" s="89" t="s">
        <v>278</v>
      </c>
      <c r="N70" s="91">
        <v>2</v>
      </c>
      <c r="O70" s="220"/>
      <c r="P70" s="228"/>
    </row>
    <row r="71" spans="2:16" ht="17.25" customHeight="1" x14ac:dyDescent="0.35">
      <c r="B71" s="228"/>
      <c r="C71" s="228"/>
      <c r="D71" s="262" t="s">
        <v>299</v>
      </c>
      <c r="E71" s="89" t="s">
        <v>155</v>
      </c>
      <c r="F71" s="91">
        <v>4.47</v>
      </c>
      <c r="G71" s="263">
        <f>F71*F72</f>
        <v>8.94</v>
      </c>
      <c r="H71" s="228"/>
      <c r="J71" s="228"/>
      <c r="K71" s="228"/>
      <c r="L71" s="262" t="s">
        <v>299</v>
      </c>
      <c r="M71" s="89" t="s">
        <v>155</v>
      </c>
      <c r="N71" s="92">
        <v>21.45</v>
      </c>
      <c r="O71" s="263">
        <f>N71*N72</f>
        <v>42.9</v>
      </c>
      <c r="P71" s="228"/>
    </row>
    <row r="72" spans="2:16" x14ac:dyDescent="0.35">
      <c r="B72" s="228"/>
      <c r="C72" s="220"/>
      <c r="D72" s="220"/>
      <c r="E72" s="89" t="s">
        <v>300</v>
      </c>
      <c r="F72" s="91">
        <v>2</v>
      </c>
      <c r="G72" s="220"/>
      <c r="H72" s="228"/>
      <c r="J72" s="228"/>
      <c r="K72" s="220"/>
      <c r="L72" s="220"/>
      <c r="M72" s="89" t="s">
        <v>300</v>
      </c>
      <c r="N72" s="91">
        <v>2</v>
      </c>
      <c r="O72" s="220"/>
      <c r="P72" s="228"/>
    </row>
    <row r="73" spans="2:16" ht="17.25" customHeight="1" x14ac:dyDescent="0.35">
      <c r="B73" s="228"/>
      <c r="C73" s="264" t="s">
        <v>301</v>
      </c>
      <c r="D73" s="262" t="s">
        <v>302</v>
      </c>
      <c r="E73" s="89" t="s">
        <v>155</v>
      </c>
      <c r="F73" s="73">
        <v>0</v>
      </c>
      <c r="G73" s="263">
        <f>F73*F74</f>
        <v>0</v>
      </c>
      <c r="H73" s="228"/>
      <c r="J73" s="228"/>
      <c r="K73" s="264" t="s">
        <v>301</v>
      </c>
      <c r="L73" s="262" t="s">
        <v>302</v>
      </c>
      <c r="M73" s="89" t="s">
        <v>155</v>
      </c>
      <c r="N73" s="71">
        <v>27.99</v>
      </c>
      <c r="O73" s="263">
        <f>N73*N74</f>
        <v>55.98</v>
      </c>
      <c r="P73" s="228"/>
    </row>
    <row r="74" spans="2:16" x14ac:dyDescent="0.35">
      <c r="B74" s="228"/>
      <c r="C74" s="228"/>
      <c r="D74" s="220"/>
      <c r="E74" s="89" t="s">
        <v>278</v>
      </c>
      <c r="F74" s="73">
        <v>2</v>
      </c>
      <c r="G74" s="220"/>
      <c r="H74" s="228"/>
      <c r="J74" s="228"/>
      <c r="K74" s="228"/>
      <c r="L74" s="220"/>
      <c r="M74" s="89" t="s">
        <v>278</v>
      </c>
      <c r="N74" s="71">
        <v>2</v>
      </c>
      <c r="O74" s="220"/>
      <c r="P74" s="228"/>
    </row>
    <row r="75" spans="2:16" ht="17.25" customHeight="1" x14ac:dyDescent="0.35">
      <c r="B75" s="228"/>
      <c r="C75" s="228"/>
      <c r="D75" s="262" t="s">
        <v>299</v>
      </c>
      <c r="E75" s="89" t="s">
        <v>155</v>
      </c>
      <c r="F75" s="73">
        <v>0</v>
      </c>
      <c r="G75" s="263">
        <f>F75*F76+F77</f>
        <v>0</v>
      </c>
      <c r="H75" s="228"/>
      <c r="J75" s="228"/>
      <c r="K75" s="228"/>
      <c r="L75" s="262" t="s">
        <v>299</v>
      </c>
      <c r="M75" s="89" t="s">
        <v>155</v>
      </c>
      <c r="N75" s="71">
        <v>19.440000000000001</v>
      </c>
      <c r="O75" s="263">
        <f>N75*N76+N77</f>
        <v>81.28</v>
      </c>
      <c r="P75" s="228"/>
    </row>
    <row r="76" spans="2:16" x14ac:dyDescent="0.35">
      <c r="B76" s="228"/>
      <c r="C76" s="228"/>
      <c r="D76" s="228"/>
      <c r="E76" s="89" t="s">
        <v>300</v>
      </c>
      <c r="F76" s="73">
        <v>2</v>
      </c>
      <c r="G76" s="228"/>
      <c r="H76" s="228"/>
      <c r="J76" s="228"/>
      <c r="K76" s="228"/>
      <c r="L76" s="228"/>
      <c r="M76" s="89" t="s">
        <v>300</v>
      </c>
      <c r="N76" s="71">
        <v>2</v>
      </c>
      <c r="O76" s="228"/>
      <c r="P76" s="228"/>
    </row>
    <row r="77" spans="2:16" ht="13.5" customHeight="1" x14ac:dyDescent="0.35">
      <c r="B77" s="220"/>
      <c r="C77" s="220"/>
      <c r="D77" s="220"/>
      <c r="E77" s="89" t="s">
        <v>281</v>
      </c>
      <c r="F77" s="73">
        <v>0</v>
      </c>
      <c r="G77" s="220"/>
      <c r="H77" s="220"/>
      <c r="J77" s="220"/>
      <c r="K77" s="220"/>
      <c r="L77" s="220"/>
      <c r="M77" s="89" t="s">
        <v>281</v>
      </c>
      <c r="N77" s="71">
        <v>42.4</v>
      </c>
      <c r="O77" s="220"/>
      <c r="P77" s="220"/>
    </row>
    <row r="78" spans="2:16" x14ac:dyDescent="0.35">
      <c r="B78" s="90"/>
      <c r="C78" s="90"/>
      <c r="D78" s="90"/>
      <c r="E78" s="90"/>
      <c r="F78" s="90"/>
    </row>
    <row r="79" spans="2:16" x14ac:dyDescent="0.35">
      <c r="B79" s="90"/>
      <c r="C79" s="90"/>
      <c r="D79" s="90"/>
      <c r="E79" s="90"/>
      <c r="F79" s="90"/>
    </row>
  </sheetData>
  <mergeCells count="162">
    <mergeCell ref="B45:B53"/>
    <mergeCell ref="G45:G46"/>
    <mergeCell ref="B33:F33"/>
    <mergeCell ref="C69:C72"/>
    <mergeCell ref="O29:O31"/>
    <mergeCell ref="D69:D70"/>
    <mergeCell ref="B2:P2"/>
    <mergeCell ref="B57:B65"/>
    <mergeCell ref="G57:G58"/>
    <mergeCell ref="L47:L48"/>
    <mergeCell ref="G51:G53"/>
    <mergeCell ref="C6:P6"/>
    <mergeCell ref="B22:F22"/>
    <mergeCell ref="G63:G65"/>
    <mergeCell ref="B34:B42"/>
    <mergeCell ref="G34:G35"/>
    <mergeCell ref="O16:O17"/>
    <mergeCell ref="H57:H65"/>
    <mergeCell ref="D63:D65"/>
    <mergeCell ref="P12:P20"/>
    <mergeCell ref="L23:L24"/>
    <mergeCell ref="O59:O60"/>
    <mergeCell ref="O18:O20"/>
    <mergeCell ref="G14:G15"/>
    <mergeCell ref="C49:C53"/>
    <mergeCell ref="D40:D42"/>
    <mergeCell ref="O38:O39"/>
    <mergeCell ref="L36:L37"/>
    <mergeCell ref="P34:P42"/>
    <mergeCell ref="J33:N33"/>
    <mergeCell ref="O40:O42"/>
    <mergeCell ref="G18:G20"/>
    <mergeCell ref="J68:N68"/>
    <mergeCell ref="G59:G60"/>
    <mergeCell ref="C57:C60"/>
    <mergeCell ref="P45:P53"/>
    <mergeCell ref="L18:L20"/>
    <mergeCell ref="G47:G48"/>
    <mergeCell ref="K16:K20"/>
    <mergeCell ref="O61:O62"/>
    <mergeCell ref="D18:D20"/>
    <mergeCell ref="P23:P31"/>
    <mergeCell ref="D57:D58"/>
    <mergeCell ref="J22:N22"/>
    <mergeCell ref="L71:L72"/>
    <mergeCell ref="H69:H77"/>
    <mergeCell ref="O69:O70"/>
    <mergeCell ref="L38:L39"/>
    <mergeCell ref="D73:D74"/>
    <mergeCell ref="O27:O28"/>
    <mergeCell ref="O14:O15"/>
    <mergeCell ref="L49:L50"/>
    <mergeCell ref="L27:L28"/>
    <mergeCell ref="H12:H20"/>
    <mergeCell ref="J12:J20"/>
    <mergeCell ref="K12:K15"/>
    <mergeCell ref="O12:O13"/>
    <mergeCell ref="L25:L26"/>
    <mergeCell ref="L69:L70"/>
    <mergeCell ref="K23:K26"/>
    <mergeCell ref="L59:L60"/>
    <mergeCell ref="G16:G17"/>
    <mergeCell ref="L51:L53"/>
    <mergeCell ref="O49:O50"/>
    <mergeCell ref="G61:G62"/>
    <mergeCell ref="J44:N44"/>
    <mergeCell ref="P69:P77"/>
    <mergeCell ref="D38:D39"/>
    <mergeCell ref="O75:O77"/>
    <mergeCell ref="D14:D15"/>
    <mergeCell ref="J56:N56"/>
    <mergeCell ref="G71:G72"/>
    <mergeCell ref="B8:P9"/>
    <mergeCell ref="L34:L35"/>
    <mergeCell ref="D25:D26"/>
    <mergeCell ref="O73:O74"/>
    <mergeCell ref="G25:G26"/>
    <mergeCell ref="H23:H31"/>
    <mergeCell ref="O23:O24"/>
    <mergeCell ref="B68:F68"/>
    <mergeCell ref="O57:O58"/>
    <mergeCell ref="J57:J65"/>
    <mergeCell ref="K57:K60"/>
    <mergeCell ref="G27:G28"/>
    <mergeCell ref="D23:D24"/>
    <mergeCell ref="O63:O65"/>
    <mergeCell ref="J34:J42"/>
    <mergeCell ref="O34:O35"/>
    <mergeCell ref="K34:K37"/>
    <mergeCell ref="L29:L31"/>
    <mergeCell ref="C12:C15"/>
    <mergeCell ref="D12:D13"/>
    <mergeCell ref="G73:G74"/>
    <mergeCell ref="O71:O72"/>
    <mergeCell ref="K27:K31"/>
    <mergeCell ref="B69:B77"/>
    <mergeCell ref="G69:G70"/>
    <mergeCell ref="C27:C31"/>
    <mergeCell ref="G38:G39"/>
    <mergeCell ref="L40:L42"/>
    <mergeCell ref="D75:D77"/>
    <mergeCell ref="B12:B20"/>
    <mergeCell ref="G12:G13"/>
    <mergeCell ref="J69:J77"/>
    <mergeCell ref="K69:K72"/>
    <mergeCell ref="C34:C37"/>
    <mergeCell ref="C16:C20"/>
    <mergeCell ref="L16:L17"/>
    <mergeCell ref="D34:D35"/>
    <mergeCell ref="G36:G37"/>
    <mergeCell ref="L57:L58"/>
    <mergeCell ref="H34:H42"/>
    <mergeCell ref="D49:D50"/>
    <mergeCell ref="K45:K48"/>
    <mergeCell ref="C73:C77"/>
    <mergeCell ref="O36:O37"/>
    <mergeCell ref="B56:F56"/>
    <mergeCell ref="O45:O46"/>
    <mergeCell ref="J45:J53"/>
    <mergeCell ref="O47:O48"/>
    <mergeCell ref="D27:D28"/>
    <mergeCell ref="B23:B31"/>
    <mergeCell ref="G23:G24"/>
    <mergeCell ref="K61:K65"/>
    <mergeCell ref="C61:C65"/>
    <mergeCell ref="L63:L65"/>
    <mergeCell ref="G29:G31"/>
    <mergeCell ref="H45:H53"/>
    <mergeCell ref="L75:L77"/>
    <mergeCell ref="K49:K53"/>
    <mergeCell ref="C23:C26"/>
    <mergeCell ref="L61:L62"/>
    <mergeCell ref="J23:J31"/>
    <mergeCell ref="G75:G77"/>
    <mergeCell ref="D51:D53"/>
    <mergeCell ref="O25:O26"/>
    <mergeCell ref="L73:L74"/>
    <mergeCell ref="D59:D60"/>
    <mergeCell ref="C3:P3"/>
    <mergeCell ref="L12:L13"/>
    <mergeCell ref="D61:D62"/>
    <mergeCell ref="O51:O53"/>
    <mergeCell ref="C5:P5"/>
    <mergeCell ref="K73:K77"/>
    <mergeCell ref="C45:C48"/>
    <mergeCell ref="D36:D37"/>
    <mergeCell ref="D45:D46"/>
    <mergeCell ref="L14:L15"/>
    <mergeCell ref="G40:G42"/>
    <mergeCell ref="P57:P65"/>
    <mergeCell ref="C4:P4"/>
    <mergeCell ref="B11:F11"/>
    <mergeCell ref="K38:K42"/>
    <mergeCell ref="C38:C42"/>
    <mergeCell ref="D29:D31"/>
    <mergeCell ref="D47:D48"/>
    <mergeCell ref="D16:D17"/>
    <mergeCell ref="G49:G50"/>
    <mergeCell ref="L45:L46"/>
    <mergeCell ref="B44:F44"/>
    <mergeCell ref="D71:D72"/>
    <mergeCell ref="J11:N11"/>
  </mergeCells>
  <pageMargins left="0.35416666666666702" right="0.118055555555556" top="0.98888888888888904" bottom="0.35416666666666702" header="0.511811023622047" footer="0.511811023622047"/>
  <pageSetup paperSize="9" scale="46" orientation="portrait" horizontalDpi="300" verticalDpi="300" r:id="rId1"/>
  <rowBreaks count="1" manualBreakCount="1">
    <brk id="8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2:K52"/>
  <sheetViews>
    <sheetView showGridLines="0" view="pageBreakPreview" zoomScaleNormal="100" zoomScaleSheetLayoutView="100" workbookViewId="0">
      <pane xSplit="2" ySplit="10" topLeftCell="C41" activePane="bottomRight" state="frozen"/>
      <selection pane="topRight"/>
      <selection pane="bottomLeft"/>
      <selection pane="bottomRight" activeCell="F52" sqref="F52"/>
    </sheetView>
  </sheetViews>
  <sheetFormatPr baseColWidth="10" defaultColWidth="8.7265625" defaultRowHeight="14.5" x14ac:dyDescent="0.3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" customHeight="1" x14ac:dyDescent="0.35">
      <c r="B2" s="215" t="s">
        <v>329</v>
      </c>
      <c r="C2" s="216"/>
      <c r="D2" s="216"/>
      <c r="E2" s="216"/>
      <c r="F2" s="216"/>
      <c r="G2" s="216"/>
      <c r="H2" s="216"/>
      <c r="I2" s="216"/>
      <c r="J2" s="216"/>
      <c r="K2" s="216"/>
    </row>
    <row r="3" spans="2:11" ht="21" customHeight="1" x14ac:dyDescent="0.35">
      <c r="B3" s="10" t="s">
        <v>1</v>
      </c>
      <c r="C3" s="212" t="str">
        <f>+RESUMEN!B4</f>
        <v>GERENCIA TERRITORIAL BAJO MAYO - TARAPOTO</v>
      </c>
      <c r="D3" s="213"/>
      <c r="E3" s="213"/>
      <c r="F3" s="213"/>
      <c r="G3" s="213"/>
      <c r="H3" s="213"/>
      <c r="I3" s="213"/>
      <c r="J3" s="213"/>
      <c r="K3" s="214"/>
    </row>
    <row r="4" spans="2:11" ht="75" customHeight="1" x14ac:dyDescent="0.35">
      <c r="B4" s="10" t="s">
        <v>3</v>
      </c>
      <c r="C4" s="21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13"/>
      <c r="E4" s="213"/>
      <c r="F4" s="213"/>
      <c r="G4" s="213"/>
      <c r="H4" s="213"/>
      <c r="I4" s="213"/>
      <c r="J4" s="213"/>
      <c r="K4" s="214"/>
    </row>
    <row r="5" spans="2:11" ht="21" customHeight="1" x14ac:dyDescent="0.35">
      <c r="B5" s="10" t="s">
        <v>5</v>
      </c>
      <c r="C5" s="212" t="str">
        <f>+RESUMEN!B6</f>
        <v>SAN MARTIN - SAN MARTIN - MORALES</v>
      </c>
      <c r="D5" s="213"/>
      <c r="E5" s="213"/>
      <c r="F5" s="213"/>
      <c r="G5" s="213"/>
      <c r="H5" s="213"/>
      <c r="I5" s="213"/>
      <c r="J5" s="213"/>
      <c r="K5" s="214"/>
    </row>
    <row r="6" spans="2:11" ht="21" customHeight="1" x14ac:dyDescent="0.35">
      <c r="B6" s="10" t="s">
        <v>7</v>
      </c>
      <c r="C6" s="218">
        <f>+RESUMEN!B7</f>
        <v>46266</v>
      </c>
      <c r="D6" s="213"/>
      <c r="E6" s="213"/>
      <c r="F6" s="213"/>
      <c r="G6" s="213"/>
      <c r="H6" s="213"/>
      <c r="I6" s="213"/>
      <c r="J6" s="213"/>
      <c r="K6" s="214"/>
    </row>
    <row r="8" spans="2:11" ht="33" customHeight="1" x14ac:dyDescent="0.35">
      <c r="B8" s="219" t="s">
        <v>330</v>
      </c>
      <c r="C8" s="213"/>
      <c r="D8" s="213"/>
      <c r="E8" s="213"/>
      <c r="F8" s="213"/>
      <c r="G8" s="213"/>
      <c r="H8" s="213"/>
      <c r="I8" s="213"/>
      <c r="J8" s="213"/>
      <c r="K8" s="214"/>
    </row>
    <row r="9" spans="2:11" ht="42" customHeight="1" x14ac:dyDescent="0.35">
      <c r="B9" s="217" t="s">
        <v>331</v>
      </c>
      <c r="C9" s="217" t="s">
        <v>332</v>
      </c>
      <c r="D9" s="217" t="s">
        <v>333</v>
      </c>
      <c r="E9" s="214"/>
      <c r="F9" s="217" t="s">
        <v>334</v>
      </c>
      <c r="G9" s="214"/>
      <c r="H9" s="217" t="s">
        <v>335</v>
      </c>
      <c r="I9" s="214"/>
      <c r="J9" s="217" t="s">
        <v>336</v>
      </c>
      <c r="K9" s="214"/>
    </row>
    <row r="10" spans="2:11" ht="31" customHeight="1" x14ac:dyDescent="0.35">
      <c r="B10" s="220"/>
      <c r="C10" s="220"/>
      <c r="D10" s="94" t="s">
        <v>337</v>
      </c>
      <c r="E10" s="94" t="s">
        <v>310</v>
      </c>
      <c r="F10" s="94" t="s">
        <v>300</v>
      </c>
      <c r="G10" s="94" t="s">
        <v>311</v>
      </c>
      <c r="H10" s="94" t="s">
        <v>300</v>
      </c>
      <c r="I10" s="94" t="s">
        <v>311</v>
      </c>
      <c r="J10" s="94" t="s">
        <v>300</v>
      </c>
      <c r="K10" s="94" t="s">
        <v>311</v>
      </c>
    </row>
    <row r="11" spans="2:11" ht="23.25" customHeight="1" x14ac:dyDescent="0.35">
      <c r="B11" s="96" t="s">
        <v>338</v>
      </c>
      <c r="C11" s="88"/>
      <c r="D11" s="88"/>
      <c r="E11" s="88"/>
      <c r="F11" s="88"/>
      <c r="G11" s="88"/>
      <c r="H11" s="88"/>
      <c r="I11" s="88"/>
      <c r="J11" s="88"/>
      <c r="K11" s="88"/>
    </row>
    <row r="12" spans="2:11" ht="23.25" customHeight="1" x14ac:dyDescent="0.35">
      <c r="B12" s="97" t="s">
        <v>339</v>
      </c>
      <c r="C12" s="88">
        <v>1</v>
      </c>
      <c r="D12" s="71">
        <v>25.78</v>
      </c>
      <c r="E12" s="192">
        <f>C12*D12</f>
        <v>25.78</v>
      </c>
      <c r="F12" s="88">
        <f>IF(D12&gt;0,ROUNDUP(D12/$F$50,0)+1,0)</f>
        <v>44</v>
      </c>
      <c r="G12" s="193">
        <f>C12*F12</f>
        <v>44</v>
      </c>
      <c r="H12" s="88">
        <f>$F$51</f>
        <v>2</v>
      </c>
      <c r="I12" s="193">
        <f>C12*H12</f>
        <v>2</v>
      </c>
      <c r="J12" s="88">
        <f>'METRADO MONTANTES'!C12</f>
        <v>2</v>
      </c>
      <c r="K12" s="193">
        <f>C12*J12</f>
        <v>2</v>
      </c>
    </row>
    <row r="13" spans="2:11" ht="23.25" customHeight="1" x14ac:dyDescent="0.35">
      <c r="B13" s="97" t="s">
        <v>340</v>
      </c>
      <c r="C13" s="88">
        <v>1</v>
      </c>
      <c r="D13" s="71">
        <f>D12</f>
        <v>25.78</v>
      </c>
      <c r="E13" s="192">
        <f>C13*D13</f>
        <v>25.78</v>
      </c>
      <c r="F13" s="88">
        <f>IF(D13&gt;0,ROUNDUP(D13/$F$50,0)+1,0)</f>
        <v>44</v>
      </c>
      <c r="G13" s="193">
        <f>C13*F13</f>
        <v>44</v>
      </c>
      <c r="H13" s="88">
        <f>$F$51</f>
        <v>2</v>
      </c>
      <c r="I13" s="193">
        <f>C13*H13</f>
        <v>2</v>
      </c>
      <c r="J13" s="88">
        <f>'METRADO MONTANTES'!C13</f>
        <v>2</v>
      </c>
      <c r="K13" s="193">
        <f>C13*J13</f>
        <v>2</v>
      </c>
    </row>
    <row r="14" spans="2:11" ht="23.25" customHeight="1" x14ac:dyDescent="0.35">
      <c r="B14" s="96" t="s">
        <v>341</v>
      </c>
      <c r="C14" s="88"/>
      <c r="D14" s="88"/>
      <c r="E14" s="88"/>
      <c r="F14" s="88"/>
      <c r="G14" s="88"/>
      <c r="H14" s="88"/>
      <c r="I14" s="88"/>
      <c r="J14" s="88"/>
      <c r="K14" s="88"/>
    </row>
    <row r="15" spans="2:11" ht="23.25" customHeight="1" x14ac:dyDescent="0.35">
      <c r="B15" s="97" t="s">
        <v>339</v>
      </c>
      <c r="C15" s="88">
        <v>1</v>
      </c>
      <c r="D15" s="71">
        <v>9.73</v>
      </c>
      <c r="E15" s="192">
        <f>C15*D15</f>
        <v>9.73</v>
      </c>
      <c r="F15" s="88">
        <f>IF(D15&gt;0,ROUNDUP(D15/$F$50,0)+1,0)</f>
        <v>18</v>
      </c>
      <c r="G15" s="193">
        <f>C15*F15</f>
        <v>18</v>
      </c>
      <c r="H15" s="88">
        <f>$F$51</f>
        <v>2</v>
      </c>
      <c r="I15" s="193">
        <f>C15*H15</f>
        <v>2</v>
      </c>
      <c r="J15" s="88">
        <f>'METRADO MONTANTES'!C15</f>
        <v>2</v>
      </c>
      <c r="K15" s="193">
        <f>C15*J15</f>
        <v>2</v>
      </c>
    </row>
    <row r="16" spans="2:11" ht="23.25" customHeight="1" x14ac:dyDescent="0.35">
      <c r="B16" s="97" t="s">
        <v>340</v>
      </c>
      <c r="C16" s="88">
        <v>1</v>
      </c>
      <c r="D16" s="71">
        <f>D15</f>
        <v>9.73</v>
      </c>
      <c r="E16" s="192">
        <f>C16*D16</f>
        <v>9.73</v>
      </c>
      <c r="F16" s="88">
        <f>IF(D16&gt;0,ROUNDUP(D16/$F$50,0)+1,0)</f>
        <v>18</v>
      </c>
      <c r="G16" s="193">
        <f>C16*F16</f>
        <v>18</v>
      </c>
      <c r="H16" s="88">
        <f>$F$51</f>
        <v>2</v>
      </c>
      <c r="I16" s="193">
        <f>C16*H16</f>
        <v>2</v>
      </c>
      <c r="J16" s="88">
        <f>'METRADO MONTANTES'!C16</f>
        <v>2</v>
      </c>
      <c r="K16" s="193">
        <f>C16*J16</f>
        <v>2</v>
      </c>
    </row>
    <row r="17" spans="2:11" ht="23.25" customHeight="1" x14ac:dyDescent="0.35">
      <c r="B17" s="96" t="s">
        <v>342</v>
      </c>
      <c r="C17" s="88"/>
      <c r="D17" s="88"/>
      <c r="E17" s="88"/>
      <c r="F17" s="88"/>
      <c r="G17" s="88"/>
      <c r="H17" s="88"/>
      <c r="I17" s="88"/>
      <c r="J17" s="88"/>
      <c r="K17" s="88"/>
    </row>
    <row r="18" spans="2:11" ht="23.25" customHeight="1" x14ac:dyDescent="0.35">
      <c r="B18" s="97" t="s">
        <v>339</v>
      </c>
      <c r="C18" s="88">
        <v>1</v>
      </c>
      <c r="D18" s="71">
        <v>26.53</v>
      </c>
      <c r="E18" s="192">
        <f>C18*D18</f>
        <v>26.53</v>
      </c>
      <c r="F18" s="88">
        <f>IF(D18&gt;0,ROUNDUP(D18/$F$50,0)+1,0)</f>
        <v>46</v>
      </c>
      <c r="G18" s="193">
        <f>C18*F18</f>
        <v>46</v>
      </c>
      <c r="H18" s="88">
        <f>$F$51</f>
        <v>2</v>
      </c>
      <c r="I18" s="193">
        <f>C18*H18</f>
        <v>2</v>
      </c>
      <c r="J18" s="88">
        <f>'METRADO MONTANTES'!C18</f>
        <v>2</v>
      </c>
      <c r="K18" s="193">
        <f>C18*J18</f>
        <v>2</v>
      </c>
    </row>
    <row r="19" spans="2:11" ht="23.25" customHeight="1" x14ac:dyDescent="0.35">
      <c r="B19" s="97" t="s">
        <v>340</v>
      </c>
      <c r="C19" s="88">
        <v>1</v>
      </c>
      <c r="D19" s="71">
        <f>D18</f>
        <v>26.53</v>
      </c>
      <c r="E19" s="192">
        <f>C19*D19</f>
        <v>26.53</v>
      </c>
      <c r="F19" s="88">
        <f>IF(D19&gt;0,ROUNDUP(D19/$F$50,0)+1,0)</f>
        <v>46</v>
      </c>
      <c r="G19" s="193">
        <f>C19*F19</f>
        <v>46</v>
      </c>
      <c r="H19" s="88">
        <f>$F$51</f>
        <v>2</v>
      </c>
      <c r="I19" s="193">
        <f>C19*H19</f>
        <v>2</v>
      </c>
      <c r="J19" s="88">
        <f>'METRADO MONTANTES'!C19</f>
        <v>2</v>
      </c>
      <c r="K19" s="193">
        <f>C19*J19</f>
        <v>2</v>
      </c>
    </row>
    <row r="20" spans="2:11" ht="23.25" customHeight="1" x14ac:dyDescent="0.35">
      <c r="B20" s="96" t="s">
        <v>343</v>
      </c>
      <c r="C20" s="88"/>
      <c r="D20" s="88"/>
      <c r="E20" s="88"/>
      <c r="F20" s="88"/>
      <c r="G20" s="88"/>
      <c r="H20" s="88"/>
      <c r="I20" s="88"/>
      <c r="J20" s="88"/>
      <c r="K20" s="88"/>
    </row>
    <row r="21" spans="2:11" ht="23.25" customHeight="1" x14ac:dyDescent="0.35">
      <c r="B21" s="97" t="s">
        <v>339</v>
      </c>
      <c r="C21" s="88">
        <v>1</v>
      </c>
      <c r="D21" s="71">
        <v>26.53</v>
      </c>
      <c r="E21" s="192">
        <f>C21*D21</f>
        <v>26.53</v>
      </c>
      <c r="F21" s="88">
        <f>IF(D21&gt;0,ROUNDUP(D21/$F$50,0)+1,0)</f>
        <v>46</v>
      </c>
      <c r="G21" s="193">
        <f>C21*F21</f>
        <v>46</v>
      </c>
      <c r="H21" s="88">
        <f>$F$51</f>
        <v>2</v>
      </c>
      <c r="I21" s="193">
        <f>C21*H21</f>
        <v>2</v>
      </c>
      <c r="J21" s="88">
        <f>'METRADO MONTANTES'!C21</f>
        <v>2</v>
      </c>
      <c r="K21" s="193">
        <f>C21*J21</f>
        <v>2</v>
      </c>
    </row>
    <row r="22" spans="2:11" ht="23.25" customHeight="1" x14ac:dyDescent="0.35">
      <c r="B22" s="97" t="s">
        <v>340</v>
      </c>
      <c r="C22" s="88">
        <v>1</v>
      </c>
      <c r="D22" s="71">
        <f>D21</f>
        <v>26.53</v>
      </c>
      <c r="E22" s="192">
        <f>C22*D22</f>
        <v>26.53</v>
      </c>
      <c r="F22" s="88">
        <f>IF(D22&gt;0,ROUNDUP(D22/$F$50,0)+1,0)</f>
        <v>46</v>
      </c>
      <c r="G22" s="193">
        <f>C22*F22</f>
        <v>46</v>
      </c>
      <c r="H22" s="88">
        <f>$F$51</f>
        <v>2</v>
      </c>
      <c r="I22" s="193">
        <f>C22*H22</f>
        <v>2</v>
      </c>
      <c r="J22" s="88">
        <f>'METRADO MONTANTES'!C22</f>
        <v>2</v>
      </c>
      <c r="K22" s="193">
        <f>C22*J22</f>
        <v>2</v>
      </c>
    </row>
    <row r="23" spans="2:11" ht="23.25" customHeight="1" x14ac:dyDescent="0.35">
      <c r="B23" s="96" t="s">
        <v>344</v>
      </c>
      <c r="C23" s="88"/>
      <c r="D23" s="88"/>
      <c r="E23" s="88"/>
      <c r="F23" s="88"/>
      <c r="G23" s="88"/>
      <c r="H23" s="88"/>
      <c r="I23" s="88"/>
      <c r="J23" s="88"/>
      <c r="K23" s="88"/>
    </row>
    <row r="24" spans="2:11" ht="23.25" customHeight="1" x14ac:dyDescent="0.35">
      <c r="B24" s="97" t="s">
        <v>339</v>
      </c>
      <c r="C24" s="88">
        <v>1</v>
      </c>
      <c r="D24" s="71">
        <v>15.16</v>
      </c>
      <c r="E24" s="192">
        <f>C24*D24</f>
        <v>15.16</v>
      </c>
      <c r="F24" s="88">
        <f>IF(D24&gt;0,ROUNDUP(D24/$F$50,0)+1,0)</f>
        <v>27</v>
      </c>
      <c r="G24" s="193">
        <f>C24*F24</f>
        <v>27</v>
      </c>
      <c r="H24" s="88">
        <f>$F$51</f>
        <v>2</v>
      </c>
      <c r="I24" s="193">
        <f>C24*H24</f>
        <v>2</v>
      </c>
      <c r="J24" s="88">
        <f>'METRADO MONTANTES'!C24</f>
        <v>2</v>
      </c>
      <c r="K24" s="193">
        <f>C24*J24</f>
        <v>2</v>
      </c>
    </row>
    <row r="25" spans="2:11" ht="23.25" customHeight="1" x14ac:dyDescent="0.35">
      <c r="B25" s="97" t="s">
        <v>340</v>
      </c>
      <c r="C25" s="88">
        <v>1</v>
      </c>
      <c r="D25" s="71">
        <f>D24</f>
        <v>15.16</v>
      </c>
      <c r="E25" s="192">
        <f>C25*D25</f>
        <v>15.16</v>
      </c>
      <c r="F25" s="88">
        <f>IF(D25&gt;0,ROUNDUP(D25/$F$50,0)+1,0)</f>
        <v>27</v>
      </c>
      <c r="G25" s="193">
        <f>C25*F25</f>
        <v>27</v>
      </c>
      <c r="H25" s="88">
        <f>$F$51</f>
        <v>2</v>
      </c>
      <c r="I25" s="193">
        <f>C25*H25</f>
        <v>2</v>
      </c>
      <c r="J25" s="88">
        <f>'METRADO MONTANTES'!C25</f>
        <v>2</v>
      </c>
      <c r="K25" s="193">
        <f>C25*J25</f>
        <v>2</v>
      </c>
    </row>
    <row r="26" spans="2:11" ht="23.25" customHeight="1" x14ac:dyDescent="0.35">
      <c r="B26" s="96" t="s">
        <v>345</v>
      </c>
      <c r="C26" s="88"/>
      <c r="D26" s="88"/>
      <c r="E26" s="88"/>
      <c r="F26" s="88"/>
      <c r="G26" s="88"/>
      <c r="H26" s="88"/>
      <c r="I26" s="88"/>
      <c r="J26" s="88"/>
      <c r="K26" s="88"/>
    </row>
    <row r="27" spans="2:11" ht="23.25" customHeight="1" x14ac:dyDescent="0.35">
      <c r="B27" s="97" t="s">
        <v>339</v>
      </c>
      <c r="C27" s="88">
        <v>1</v>
      </c>
      <c r="D27" s="71">
        <v>14.78</v>
      </c>
      <c r="E27" s="192">
        <f>C27*D27</f>
        <v>14.78</v>
      </c>
      <c r="F27" s="88">
        <f>IF(D27&gt;0,ROUNDUP(D27/$F$50,0)+1,0)</f>
        <v>26</v>
      </c>
      <c r="G27" s="193">
        <f>C27*F27</f>
        <v>26</v>
      </c>
      <c r="H27" s="88">
        <f>$F$51</f>
        <v>2</v>
      </c>
      <c r="I27" s="193">
        <f>C27*H27</f>
        <v>2</v>
      </c>
      <c r="J27" s="88">
        <f>'METRADO MONTANTES'!C27</f>
        <v>2</v>
      </c>
      <c r="K27" s="193">
        <f>C27*J27</f>
        <v>2</v>
      </c>
    </row>
    <row r="28" spans="2:11" ht="23.25" customHeight="1" x14ac:dyDescent="0.35">
      <c r="B28" s="97" t="s">
        <v>340</v>
      </c>
      <c r="C28" s="88">
        <v>1</v>
      </c>
      <c r="D28" s="71">
        <f>D27</f>
        <v>14.78</v>
      </c>
      <c r="E28" s="192">
        <f>C28*D28</f>
        <v>14.78</v>
      </c>
      <c r="F28" s="88">
        <f>IF(D28&gt;0,ROUNDUP(D28/$F$50,0)+1,0)</f>
        <v>26</v>
      </c>
      <c r="G28" s="193">
        <f>C28*F28</f>
        <v>26</v>
      </c>
      <c r="H28" s="88">
        <f>$F$51</f>
        <v>2</v>
      </c>
      <c r="I28" s="193">
        <f>C28*H28</f>
        <v>2</v>
      </c>
      <c r="J28" s="88">
        <f>'METRADO MONTANTES'!C28</f>
        <v>2</v>
      </c>
      <c r="K28" s="193">
        <f>C28*J28</f>
        <v>2</v>
      </c>
    </row>
    <row r="29" spans="2:11" ht="23.25" customHeight="1" x14ac:dyDescent="0.35">
      <c r="B29" s="96" t="s">
        <v>346</v>
      </c>
      <c r="C29" s="88"/>
      <c r="D29" s="88"/>
      <c r="E29" s="88"/>
      <c r="F29" s="88"/>
      <c r="G29" s="88"/>
      <c r="H29" s="88"/>
      <c r="I29" s="88"/>
      <c r="J29" s="88"/>
      <c r="K29" s="88"/>
    </row>
    <row r="30" spans="2:11" ht="23.25" customHeight="1" x14ac:dyDescent="0.35">
      <c r="B30" s="97" t="s">
        <v>339</v>
      </c>
      <c r="C30" s="88">
        <v>1</v>
      </c>
      <c r="D30" s="71">
        <v>26.53</v>
      </c>
      <c r="E30" s="192">
        <f>C30*D30</f>
        <v>26.53</v>
      </c>
      <c r="F30" s="88">
        <f>IF(D30&gt;0,ROUNDUP(D30/$F$50,0)+1,0)</f>
        <v>46</v>
      </c>
      <c r="G30" s="193">
        <f>C30*F30</f>
        <v>46</v>
      </c>
      <c r="H30" s="88">
        <f>$F$51</f>
        <v>2</v>
      </c>
      <c r="I30" s="193">
        <f>C30*H30</f>
        <v>2</v>
      </c>
      <c r="J30" s="88">
        <f>'METRADO MONTANTES'!C30</f>
        <v>2</v>
      </c>
      <c r="K30" s="193">
        <f>C30*J30</f>
        <v>2</v>
      </c>
    </row>
    <row r="31" spans="2:11" ht="23.25" customHeight="1" x14ac:dyDescent="0.35">
      <c r="B31" s="97" t="s">
        <v>340</v>
      </c>
      <c r="C31" s="88">
        <v>1</v>
      </c>
      <c r="D31" s="71">
        <f>D30</f>
        <v>26.53</v>
      </c>
      <c r="E31" s="192">
        <f>C31*D31</f>
        <v>26.53</v>
      </c>
      <c r="F31" s="88">
        <f>IF(D31&gt;0,ROUNDUP(D31/$F$50,0)+1,0)</f>
        <v>46</v>
      </c>
      <c r="G31" s="193">
        <f>C31*F31</f>
        <v>46</v>
      </c>
      <c r="H31" s="88">
        <f>$F$51</f>
        <v>2</v>
      </c>
      <c r="I31" s="193">
        <f>C31*H31</f>
        <v>2</v>
      </c>
      <c r="J31" s="88">
        <f>'METRADO MONTANTES'!C31</f>
        <v>2</v>
      </c>
      <c r="K31" s="193">
        <f>C31*J31</f>
        <v>2</v>
      </c>
    </row>
    <row r="32" spans="2:11" ht="23.25" customHeight="1" x14ac:dyDescent="0.35">
      <c r="B32" s="96" t="s">
        <v>347</v>
      </c>
      <c r="C32" s="88"/>
      <c r="D32" s="88"/>
      <c r="E32" s="88"/>
      <c r="F32" s="88"/>
      <c r="G32" s="88"/>
      <c r="H32" s="88"/>
      <c r="I32" s="88"/>
      <c r="J32" s="88"/>
      <c r="K32" s="88"/>
    </row>
    <row r="33" spans="2:11" ht="23.25" customHeight="1" x14ac:dyDescent="0.35">
      <c r="B33" s="97" t="s">
        <v>339</v>
      </c>
      <c r="C33" s="88">
        <v>1</v>
      </c>
      <c r="D33" s="71">
        <v>26.53</v>
      </c>
      <c r="E33" s="192">
        <f>C33*D33</f>
        <v>26.53</v>
      </c>
      <c r="F33" s="88">
        <f>IF(D33&gt;0,ROUNDUP(D33/$F$50,0)+1,0)</f>
        <v>46</v>
      </c>
      <c r="G33" s="193">
        <f>C33*F33</f>
        <v>46</v>
      </c>
      <c r="H33" s="88">
        <f>$F$51</f>
        <v>2</v>
      </c>
      <c r="I33" s="193">
        <f>C33*H33</f>
        <v>2</v>
      </c>
      <c r="J33" s="88">
        <f>'METRADO MONTANTES'!C33</f>
        <v>2</v>
      </c>
      <c r="K33" s="193">
        <f>C33*J33</f>
        <v>2</v>
      </c>
    </row>
    <row r="34" spans="2:11" ht="23.25" customHeight="1" x14ac:dyDescent="0.35">
      <c r="B34" s="97" t="s">
        <v>340</v>
      </c>
      <c r="C34" s="88">
        <v>1</v>
      </c>
      <c r="D34" s="71">
        <f>D33</f>
        <v>26.53</v>
      </c>
      <c r="E34" s="192">
        <f>C34*D34</f>
        <v>26.53</v>
      </c>
      <c r="F34" s="88">
        <f>IF(D34&gt;0,ROUNDUP(D34/$F$50,0)+1,0)</f>
        <v>46</v>
      </c>
      <c r="G34" s="193">
        <f>C34*F34</f>
        <v>46</v>
      </c>
      <c r="H34" s="88">
        <f>$F$51</f>
        <v>2</v>
      </c>
      <c r="I34" s="193">
        <f>C34*H34</f>
        <v>2</v>
      </c>
      <c r="J34" s="88">
        <f>'METRADO MONTANTES'!C34</f>
        <v>2</v>
      </c>
      <c r="K34" s="193">
        <f>C34*J34</f>
        <v>2</v>
      </c>
    </row>
    <row r="35" spans="2:11" ht="23.25" customHeight="1" x14ac:dyDescent="0.35">
      <c r="B35" s="96" t="s">
        <v>348</v>
      </c>
      <c r="C35" s="88"/>
      <c r="D35" s="88"/>
      <c r="E35" s="88"/>
      <c r="F35" s="88"/>
      <c r="G35" s="88"/>
      <c r="H35" s="88"/>
      <c r="I35" s="88"/>
      <c r="J35" s="88"/>
      <c r="K35" s="88"/>
    </row>
    <row r="36" spans="2:11" ht="23.25" customHeight="1" x14ac:dyDescent="0.35">
      <c r="B36" s="97" t="s">
        <v>339</v>
      </c>
      <c r="C36" s="88">
        <v>1</v>
      </c>
      <c r="D36" s="71">
        <v>36.96</v>
      </c>
      <c r="E36" s="192">
        <f>C36*D36</f>
        <v>36.96</v>
      </c>
      <c r="F36" s="88">
        <f>IF(D36&gt;0,ROUNDUP(D36/$F$50,0)+1,0)</f>
        <v>63</v>
      </c>
      <c r="G36" s="193">
        <f>C36*F36</f>
        <v>63</v>
      </c>
      <c r="H36" s="88">
        <f>$F$51</f>
        <v>2</v>
      </c>
      <c r="I36" s="193">
        <f>C36*H36</f>
        <v>2</v>
      </c>
      <c r="J36" s="88">
        <f>'METRADO MONTANTES'!C36+'METRADO MONTANTES'!C38</f>
        <v>4</v>
      </c>
      <c r="K36" s="193">
        <f>C36*J36</f>
        <v>4</v>
      </c>
    </row>
    <row r="37" spans="2:11" ht="23.25" customHeight="1" x14ac:dyDescent="0.35">
      <c r="B37" s="97" t="s">
        <v>340</v>
      </c>
      <c r="C37" s="88">
        <v>1</v>
      </c>
      <c r="D37" s="71">
        <f>D36</f>
        <v>36.96</v>
      </c>
      <c r="E37" s="192">
        <f>C37*D37</f>
        <v>36.96</v>
      </c>
      <c r="F37" s="88">
        <f>IF(D37&gt;0,ROUNDUP(D37/$F$50,0)+1,0)</f>
        <v>63</v>
      </c>
      <c r="G37" s="193">
        <f>C37*F37</f>
        <v>63</v>
      </c>
      <c r="H37" s="88">
        <f>$F$51</f>
        <v>2</v>
      </c>
      <c r="I37" s="193">
        <f>C37*H37</f>
        <v>2</v>
      </c>
      <c r="J37" s="88">
        <f>'METRADO MONTANTES'!C37+'METRADO MONTANTES'!C39</f>
        <v>4</v>
      </c>
      <c r="K37" s="193">
        <f>C37*J37</f>
        <v>4</v>
      </c>
    </row>
    <row r="38" spans="2:11" ht="23.25" customHeight="1" x14ac:dyDescent="0.35">
      <c r="B38" s="96" t="s">
        <v>349</v>
      </c>
      <c r="C38" s="88"/>
      <c r="D38" s="88"/>
      <c r="E38" s="88"/>
      <c r="F38" s="88"/>
      <c r="G38" s="88"/>
      <c r="H38" s="88"/>
      <c r="I38" s="88"/>
      <c r="J38" s="88"/>
      <c r="K38" s="88"/>
    </row>
    <row r="39" spans="2:11" ht="23.25" customHeight="1" x14ac:dyDescent="0.35">
      <c r="B39" s="97" t="s">
        <v>339</v>
      </c>
      <c r="C39" s="88">
        <v>1</v>
      </c>
      <c r="D39" s="71">
        <v>14.58</v>
      </c>
      <c r="E39" s="192">
        <f>C39*D39</f>
        <v>14.58</v>
      </c>
      <c r="F39" s="88">
        <f>IF(D39&gt;0,ROUNDUP(D39/$F$50,0)+1,0)</f>
        <v>26</v>
      </c>
      <c r="G39" s="193">
        <f>C39*F39</f>
        <v>26</v>
      </c>
      <c r="H39" s="88">
        <f>$F$51</f>
        <v>2</v>
      </c>
      <c r="I39" s="193">
        <f>C39*H39</f>
        <v>2</v>
      </c>
      <c r="J39" s="88">
        <f>'METRADO MONTANTES'!C41</f>
        <v>2</v>
      </c>
      <c r="K39" s="193">
        <f>C39*J39</f>
        <v>2</v>
      </c>
    </row>
    <row r="40" spans="2:11" ht="23.25" customHeight="1" x14ac:dyDescent="0.35">
      <c r="B40" s="97" t="s">
        <v>340</v>
      </c>
      <c r="C40" s="88">
        <v>1</v>
      </c>
      <c r="D40" s="71">
        <f>D39</f>
        <v>14.58</v>
      </c>
      <c r="E40" s="192">
        <f>C40*D40</f>
        <v>14.58</v>
      </c>
      <c r="F40" s="88">
        <f>IF(D40&gt;0,ROUNDUP(D40/$F$50,0)+1,0)</f>
        <v>26</v>
      </c>
      <c r="G40" s="193">
        <f>C40*F40</f>
        <v>26</v>
      </c>
      <c r="H40" s="88">
        <f>$F$51</f>
        <v>2</v>
      </c>
      <c r="I40" s="193">
        <f>C40*H40</f>
        <v>2</v>
      </c>
      <c r="J40" s="88">
        <f>'METRADO MONTANTES'!C42</f>
        <v>2</v>
      </c>
      <c r="K40" s="193">
        <f>C40*J40</f>
        <v>2</v>
      </c>
    </row>
    <row r="41" spans="2:11" ht="23.25" customHeight="1" x14ac:dyDescent="0.35">
      <c r="B41" s="100" t="s">
        <v>158</v>
      </c>
      <c r="C41" s="100">
        <f>SUM(C11:C40)</f>
        <v>20</v>
      </c>
      <c r="D41" s="100"/>
      <c r="E41" s="194">
        <f>SUM(E11:E40)</f>
        <v>446.21999999999991</v>
      </c>
      <c r="F41" s="100"/>
      <c r="G41" s="100">
        <f>SUM(G11:G40)</f>
        <v>776</v>
      </c>
      <c r="H41" s="100"/>
      <c r="I41" s="100">
        <f>SUM(I11:I40)</f>
        <v>40</v>
      </c>
      <c r="J41" s="100"/>
      <c r="K41" s="100">
        <f>SUM(K11:K40)</f>
        <v>44</v>
      </c>
    </row>
    <row r="43" spans="2:11" ht="15.5" x14ac:dyDescent="0.35">
      <c r="B43" s="211" t="s">
        <v>350</v>
      </c>
      <c r="C43" s="207"/>
      <c r="D43" s="207"/>
      <c r="E43" s="207"/>
      <c r="F43" s="207"/>
      <c r="G43" s="207"/>
      <c r="H43" s="207"/>
      <c r="I43" s="207"/>
      <c r="J43" s="207"/>
      <c r="K43" s="208"/>
    </row>
    <row r="44" spans="2:11" ht="15.5" x14ac:dyDescent="0.35">
      <c r="B44" s="210" t="s">
        <v>351</v>
      </c>
      <c r="C44" s="207"/>
      <c r="D44" s="207"/>
      <c r="E44" s="208"/>
      <c r="F44" s="195" t="s">
        <v>352</v>
      </c>
      <c r="G44" s="195" t="s">
        <v>353</v>
      </c>
      <c r="H44" s="210" t="s">
        <v>354</v>
      </c>
      <c r="I44" s="207"/>
      <c r="J44" s="207"/>
      <c r="K44" s="208"/>
    </row>
    <row r="45" spans="2:11" ht="18" customHeight="1" x14ac:dyDescent="0.35">
      <c r="B45" s="209" t="s">
        <v>355</v>
      </c>
      <c r="C45" s="207"/>
      <c r="D45" s="207"/>
      <c r="E45" s="208"/>
      <c r="F45" s="196">
        <v>0.2</v>
      </c>
      <c r="G45" s="197" t="s">
        <v>57</v>
      </c>
    </row>
    <row r="46" spans="2:11" ht="18" customHeight="1" x14ac:dyDescent="0.35">
      <c r="B46" s="209" t="s">
        <v>356</v>
      </c>
      <c r="C46" s="207"/>
      <c r="D46" s="207"/>
      <c r="E46" s="208"/>
      <c r="F46" s="196">
        <v>0.25</v>
      </c>
      <c r="G46" s="197" t="s">
        <v>57</v>
      </c>
    </row>
    <row r="47" spans="2:11" ht="18" customHeight="1" x14ac:dyDescent="0.35">
      <c r="B47" s="209" t="s">
        <v>357</v>
      </c>
      <c r="C47" s="207"/>
      <c r="D47" s="207"/>
      <c r="E47" s="208"/>
      <c r="F47" s="196">
        <v>0.05</v>
      </c>
      <c r="G47" s="197" t="s">
        <v>57</v>
      </c>
    </row>
    <row r="48" spans="2:11" ht="18" customHeight="1" x14ac:dyDescent="0.35">
      <c r="B48" s="209" t="s">
        <v>358</v>
      </c>
      <c r="C48" s="207"/>
      <c r="D48" s="207"/>
      <c r="E48" s="208"/>
      <c r="F48" s="196">
        <f>F45+2*F46+2*F47</f>
        <v>0.79999999999999993</v>
      </c>
      <c r="G48" s="197" t="s">
        <v>57</v>
      </c>
    </row>
    <row r="49" spans="2:7" ht="31" customHeight="1" x14ac:dyDescent="0.35">
      <c r="B49" s="209" t="s">
        <v>359</v>
      </c>
      <c r="C49" s="207"/>
      <c r="D49" s="207"/>
      <c r="E49" s="208"/>
      <c r="F49" s="198">
        <v>0.9</v>
      </c>
      <c r="G49" s="197" t="s">
        <v>360</v>
      </c>
    </row>
    <row r="50" spans="2:7" ht="31" customHeight="1" x14ac:dyDescent="0.35">
      <c r="B50" s="209" t="s">
        <v>361</v>
      </c>
      <c r="C50" s="207"/>
      <c r="D50" s="207"/>
      <c r="E50" s="208"/>
      <c r="F50" s="196">
        <v>0.6</v>
      </c>
      <c r="G50" s="197" t="s">
        <v>57</v>
      </c>
    </row>
    <row r="51" spans="2:7" ht="18" customHeight="1" x14ac:dyDescent="0.35">
      <c r="B51" s="209" t="s">
        <v>362</v>
      </c>
      <c r="C51" s="207"/>
      <c r="D51" s="207"/>
      <c r="E51" s="208"/>
      <c r="F51" s="199">
        <v>2</v>
      </c>
      <c r="G51" s="197" t="s">
        <v>60</v>
      </c>
    </row>
    <row r="52" spans="2:7" ht="31" customHeight="1" x14ac:dyDescent="0.35">
      <c r="B52" s="206" t="s">
        <v>363</v>
      </c>
      <c r="C52" s="207"/>
      <c r="D52" s="207"/>
      <c r="E52" s="208"/>
      <c r="F52" s="200">
        <f>E41*F48</f>
        <v>356.97599999999989</v>
      </c>
      <c r="G52" s="201" t="s">
        <v>18</v>
      </c>
    </row>
  </sheetData>
  <mergeCells count="23">
    <mergeCell ref="B2:K2"/>
    <mergeCell ref="D9:E9"/>
    <mergeCell ref="F9:G9"/>
    <mergeCell ref="C6:K6"/>
    <mergeCell ref="B8:K8"/>
    <mergeCell ref="C5:K5"/>
    <mergeCell ref="C4:K4"/>
    <mergeCell ref="H9:I9"/>
    <mergeCell ref="J9:K9"/>
    <mergeCell ref="C9:C10"/>
    <mergeCell ref="B9:B10"/>
    <mergeCell ref="B43:K43"/>
    <mergeCell ref="B49:E49"/>
    <mergeCell ref="B45:E45"/>
    <mergeCell ref="C3:K3"/>
    <mergeCell ref="B50:E50"/>
    <mergeCell ref="B46:E46"/>
    <mergeCell ref="H44:K44"/>
    <mergeCell ref="B52:E52"/>
    <mergeCell ref="B48:E48"/>
    <mergeCell ref="B51:E51"/>
    <mergeCell ref="B47:E47"/>
    <mergeCell ref="B44:E44"/>
  </mergeCells>
  <printOptions horizontalCentered="1"/>
  <pageMargins left="0.75" right="0.75" top="1" bottom="1" header="0.5" footer="0.5"/>
  <pageSetup paperSize="9" scale="59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G36"/>
  <sheetViews>
    <sheetView view="pageBreakPreview" zoomScale="115" zoomScaleNormal="115" zoomScalePageLayoutView="115" workbookViewId="0">
      <selection activeCell="G15" sqref="G15"/>
    </sheetView>
  </sheetViews>
  <sheetFormatPr baseColWidth="10" defaultColWidth="10.90625" defaultRowHeight="14" x14ac:dyDescent="0.3"/>
  <cols>
    <col min="1" max="1" width="17.453125" style="101" customWidth="1"/>
    <col min="2" max="2" width="26.1796875" style="101" customWidth="1"/>
    <col min="3" max="6" width="19.6328125" style="101" customWidth="1"/>
    <col min="7" max="7" width="24" style="101" customWidth="1"/>
    <col min="8" max="8" width="10.90625" style="101" customWidth="1"/>
    <col min="9" max="16384" width="10.90625" style="101"/>
  </cols>
  <sheetData>
    <row r="1" spans="1:7" ht="21" customHeight="1" x14ac:dyDescent="0.3">
      <c r="A1" s="282" t="s">
        <v>364</v>
      </c>
      <c r="B1" s="283"/>
      <c r="C1" s="283"/>
      <c r="D1" s="283"/>
      <c r="E1" s="283"/>
      <c r="F1" s="283"/>
      <c r="G1" s="283"/>
    </row>
    <row r="2" spans="1:7" ht="24.75" customHeight="1" x14ac:dyDescent="0.35">
      <c r="A2" s="10" t="s">
        <v>1</v>
      </c>
      <c r="B2" s="281" t="str">
        <f>+RESUMEN!B4</f>
        <v>GERENCIA TERRITORIAL BAJO MAYO - TARAPOTO</v>
      </c>
      <c r="C2" s="213"/>
      <c r="D2" s="213"/>
      <c r="E2" s="213"/>
      <c r="F2" s="213"/>
      <c r="G2" s="214"/>
    </row>
    <row r="3" spans="1:7" ht="53.25" customHeight="1" x14ac:dyDescent="0.35">
      <c r="A3" s="10" t="s">
        <v>3</v>
      </c>
      <c r="B3" s="281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13"/>
      <c r="D3" s="213"/>
      <c r="E3" s="213"/>
      <c r="F3" s="213"/>
      <c r="G3" s="214"/>
    </row>
    <row r="4" spans="1:7" ht="24.75" customHeight="1" x14ac:dyDescent="0.35">
      <c r="A4" s="10" t="s">
        <v>5</v>
      </c>
      <c r="B4" s="281" t="str">
        <f>+RESUMEN!B6</f>
        <v>SAN MARTIN - SAN MARTIN - MORALES</v>
      </c>
      <c r="C4" s="213"/>
      <c r="D4" s="213"/>
      <c r="E4" s="213"/>
      <c r="F4" s="213"/>
      <c r="G4" s="214"/>
    </row>
    <row r="5" spans="1:7" ht="24.75" customHeight="1" x14ac:dyDescent="0.35">
      <c r="A5" s="10" t="s">
        <v>7</v>
      </c>
      <c r="B5" s="284">
        <f>+RESUMEN!B7</f>
        <v>46266</v>
      </c>
      <c r="C5" s="213"/>
      <c r="D5" s="213"/>
      <c r="E5" s="213"/>
      <c r="F5" s="213"/>
      <c r="G5" s="214"/>
    </row>
    <row r="6" spans="1:7" x14ac:dyDescent="0.3">
      <c r="A6" s="102"/>
      <c r="B6" s="102"/>
      <c r="C6" s="102"/>
      <c r="D6" s="102"/>
      <c r="E6" s="102"/>
      <c r="F6" s="102"/>
      <c r="G6" s="102"/>
    </row>
    <row r="7" spans="1:7" ht="39" customHeight="1" x14ac:dyDescent="0.3">
      <c r="A7" s="103" t="s">
        <v>365</v>
      </c>
      <c r="B7" s="104" t="s">
        <v>366</v>
      </c>
      <c r="C7" s="104" t="s">
        <v>367</v>
      </c>
      <c r="D7" s="104" t="s">
        <v>368</v>
      </c>
      <c r="E7" s="104" t="s">
        <v>369</v>
      </c>
      <c r="F7" s="104" t="s">
        <v>370</v>
      </c>
      <c r="G7" s="105" t="s">
        <v>371</v>
      </c>
    </row>
    <row r="8" spans="1:7" ht="21" customHeight="1" x14ac:dyDescent="0.3">
      <c r="A8" s="106" t="s">
        <v>372</v>
      </c>
      <c r="B8" s="107">
        <v>9.1999999999999993</v>
      </c>
      <c r="C8" s="108">
        <v>6</v>
      </c>
      <c r="D8" s="108">
        <v>6</v>
      </c>
      <c r="E8" s="108">
        <v>0</v>
      </c>
      <c r="F8" s="108">
        <v>0</v>
      </c>
      <c r="G8" s="109" t="s">
        <v>373</v>
      </c>
    </row>
    <row r="9" spans="1:7" ht="21" customHeight="1" x14ac:dyDescent="0.3">
      <c r="A9" s="106" t="s">
        <v>374</v>
      </c>
      <c r="B9" s="107">
        <v>11</v>
      </c>
      <c r="C9" s="108">
        <v>8</v>
      </c>
      <c r="D9" s="108">
        <v>8</v>
      </c>
      <c r="E9" s="108">
        <v>0</v>
      </c>
      <c r="F9" s="108">
        <v>0</v>
      </c>
      <c r="G9" s="109" t="s">
        <v>373</v>
      </c>
    </row>
    <row r="10" spans="1:7" ht="21" customHeight="1" x14ac:dyDescent="0.3">
      <c r="A10" s="106" t="s">
        <v>375</v>
      </c>
      <c r="B10" s="107">
        <v>9.4</v>
      </c>
      <c r="C10" s="108">
        <v>7</v>
      </c>
      <c r="D10" s="108">
        <v>7</v>
      </c>
      <c r="E10" s="108">
        <v>0</v>
      </c>
      <c r="F10" s="108">
        <v>0</v>
      </c>
      <c r="G10" s="109" t="s">
        <v>373</v>
      </c>
    </row>
    <row r="11" spans="1:7" ht="21" customHeight="1" x14ac:dyDescent="0.3">
      <c r="A11" s="106" t="s">
        <v>376</v>
      </c>
      <c r="B11" s="107">
        <v>29.6</v>
      </c>
      <c r="C11" s="108">
        <v>10</v>
      </c>
      <c r="D11" s="108">
        <v>8</v>
      </c>
      <c r="E11" s="108">
        <v>0</v>
      </c>
      <c r="F11" s="108">
        <v>2</v>
      </c>
      <c r="G11" s="109" t="s">
        <v>373</v>
      </c>
    </row>
    <row r="12" spans="1:7" ht="21" customHeight="1" x14ac:dyDescent="0.3">
      <c r="A12" s="106" t="s">
        <v>377</v>
      </c>
      <c r="B12" s="107">
        <v>14</v>
      </c>
      <c r="C12" s="108">
        <v>8</v>
      </c>
      <c r="D12" s="108">
        <v>8</v>
      </c>
      <c r="E12" s="108">
        <v>0</v>
      </c>
      <c r="F12" s="108">
        <v>0</v>
      </c>
      <c r="G12" s="109" t="s">
        <v>373</v>
      </c>
    </row>
    <row r="13" spans="1:7" ht="21" customHeight="1" x14ac:dyDescent="0.3">
      <c r="A13" s="110" t="s">
        <v>158</v>
      </c>
      <c r="B13" s="111">
        <f>SUM(B8:B12)</f>
        <v>73.2</v>
      </c>
      <c r="C13" s="112">
        <f>SUM(C8:C12)</f>
        <v>39</v>
      </c>
      <c r="D13" s="112">
        <f>SUM(D8:D12)</f>
        <v>37</v>
      </c>
      <c r="E13" s="112">
        <f>SUM(E8:E12)</f>
        <v>0</v>
      </c>
      <c r="F13" s="112">
        <f>SUM(F8:F12)</f>
        <v>2</v>
      </c>
      <c r="G13" s="113"/>
    </row>
    <row r="14" spans="1:7" x14ac:dyDescent="0.3">
      <c r="A14" s="102"/>
      <c r="B14" s="102"/>
      <c r="C14" s="102"/>
      <c r="D14" s="102"/>
      <c r="E14" s="102"/>
      <c r="F14" s="102"/>
      <c r="G14" s="102"/>
    </row>
    <row r="15" spans="1:7" x14ac:dyDescent="0.3">
      <c r="A15" s="102"/>
      <c r="B15" s="102"/>
      <c r="C15" s="102"/>
      <c r="D15" s="102"/>
      <c r="E15" s="102"/>
      <c r="F15" s="102"/>
      <c r="G15" s="102"/>
    </row>
    <row r="16" spans="1:7" x14ac:dyDescent="0.3">
      <c r="A16" s="102"/>
      <c r="B16" s="102"/>
      <c r="C16" s="102"/>
      <c r="D16" s="102"/>
      <c r="E16" s="102"/>
      <c r="F16" s="102"/>
      <c r="G16" s="102"/>
    </row>
    <row r="17" spans="1:7" x14ac:dyDescent="0.3">
      <c r="A17" s="102"/>
      <c r="B17" s="102"/>
      <c r="C17" s="102"/>
      <c r="D17" s="102"/>
      <c r="E17" s="102"/>
      <c r="F17" s="102"/>
      <c r="G17" s="102"/>
    </row>
    <row r="18" spans="1:7" x14ac:dyDescent="0.3">
      <c r="A18" s="102"/>
      <c r="B18" s="102"/>
      <c r="C18" s="102"/>
      <c r="D18" s="102"/>
      <c r="E18" s="102"/>
      <c r="F18" s="102"/>
      <c r="G18" s="102"/>
    </row>
    <row r="19" spans="1:7" x14ac:dyDescent="0.3">
      <c r="A19" s="102"/>
      <c r="B19" s="102"/>
      <c r="C19" s="102"/>
      <c r="D19" s="102"/>
      <c r="E19" s="102"/>
      <c r="F19" s="102"/>
      <c r="G19" s="102"/>
    </row>
    <row r="20" spans="1:7" x14ac:dyDescent="0.3">
      <c r="A20" s="102"/>
      <c r="B20" s="102"/>
      <c r="C20" s="102"/>
      <c r="D20" s="102"/>
      <c r="E20" s="102"/>
      <c r="F20" s="102"/>
      <c r="G20" s="102"/>
    </row>
    <row r="21" spans="1:7" x14ac:dyDescent="0.3">
      <c r="A21" s="102"/>
      <c r="B21" s="102"/>
      <c r="C21" s="102"/>
      <c r="D21" s="102"/>
      <c r="E21" s="102"/>
      <c r="F21" s="102"/>
      <c r="G21" s="102"/>
    </row>
    <row r="22" spans="1:7" x14ac:dyDescent="0.3">
      <c r="A22" s="102"/>
      <c r="B22" s="102"/>
      <c r="C22" s="102"/>
      <c r="D22" s="102"/>
      <c r="E22" s="102"/>
      <c r="F22" s="102"/>
      <c r="G22" s="102"/>
    </row>
    <row r="23" spans="1:7" x14ac:dyDescent="0.3">
      <c r="A23" s="102"/>
      <c r="B23" s="102"/>
      <c r="C23" s="102"/>
      <c r="D23" s="102"/>
      <c r="E23" s="102"/>
      <c r="F23" s="102"/>
      <c r="G23" s="102"/>
    </row>
    <row r="24" spans="1:7" x14ac:dyDescent="0.3">
      <c r="A24" s="102"/>
      <c r="B24" s="102"/>
      <c r="C24" s="102"/>
      <c r="D24" s="102"/>
      <c r="E24" s="102"/>
      <c r="F24" s="102"/>
      <c r="G24" s="102"/>
    </row>
    <row r="25" spans="1:7" x14ac:dyDescent="0.3">
      <c r="A25" s="102"/>
      <c r="B25" s="102"/>
      <c r="C25" s="102"/>
      <c r="D25" s="102"/>
      <c r="E25" s="102"/>
      <c r="F25" s="102"/>
      <c r="G25" s="102"/>
    </row>
    <row r="26" spans="1:7" x14ac:dyDescent="0.3">
      <c r="A26" s="102"/>
      <c r="B26" s="102"/>
      <c r="C26" s="102"/>
      <c r="D26" s="102"/>
      <c r="E26" s="102"/>
      <c r="F26" s="102"/>
      <c r="G26" s="102"/>
    </row>
    <row r="27" spans="1:7" x14ac:dyDescent="0.3">
      <c r="A27" s="102"/>
      <c r="B27" s="102"/>
      <c r="C27" s="102"/>
      <c r="D27" s="102"/>
      <c r="E27" s="102"/>
      <c r="F27" s="102"/>
      <c r="G27" s="102"/>
    </row>
    <row r="28" spans="1:7" x14ac:dyDescent="0.3">
      <c r="A28" s="102"/>
      <c r="B28" s="102"/>
      <c r="C28" s="102"/>
      <c r="D28" s="102"/>
      <c r="E28" s="102"/>
      <c r="F28" s="102"/>
      <c r="G28" s="102"/>
    </row>
    <row r="29" spans="1:7" x14ac:dyDescent="0.3">
      <c r="A29" s="102"/>
      <c r="B29" s="102"/>
      <c r="C29" s="102"/>
      <c r="D29" s="102"/>
      <c r="E29" s="102"/>
      <c r="F29" s="102"/>
      <c r="G29" s="102"/>
    </row>
    <row r="30" spans="1:7" x14ac:dyDescent="0.3">
      <c r="A30" s="102"/>
      <c r="B30" s="102"/>
      <c r="C30" s="102"/>
      <c r="D30" s="102"/>
      <c r="E30" s="102"/>
      <c r="F30" s="102"/>
      <c r="G30" s="102"/>
    </row>
    <row r="31" spans="1:7" x14ac:dyDescent="0.3">
      <c r="A31" s="102"/>
      <c r="B31" s="102"/>
      <c r="C31" s="102"/>
      <c r="D31" s="102"/>
      <c r="E31" s="102"/>
      <c r="F31" s="102"/>
      <c r="G31" s="102"/>
    </row>
    <row r="32" spans="1:7" x14ac:dyDescent="0.3">
      <c r="A32" s="102"/>
      <c r="B32" s="102"/>
      <c r="C32" s="102"/>
      <c r="D32" s="102"/>
      <c r="E32" s="102"/>
      <c r="F32" s="102"/>
      <c r="G32" s="102"/>
    </row>
    <row r="33" spans="1:7" x14ac:dyDescent="0.3">
      <c r="A33" s="102"/>
      <c r="B33" s="102"/>
      <c r="C33" s="102"/>
      <c r="D33" s="102"/>
      <c r="E33" s="102"/>
      <c r="F33" s="102"/>
      <c r="G33" s="102"/>
    </row>
    <row r="34" spans="1:7" x14ac:dyDescent="0.3">
      <c r="A34" s="102"/>
      <c r="B34" s="102"/>
      <c r="C34" s="102"/>
      <c r="D34" s="102"/>
      <c r="E34" s="102"/>
      <c r="F34" s="102"/>
      <c r="G34" s="102"/>
    </row>
    <row r="35" spans="1:7" x14ac:dyDescent="0.3">
      <c r="A35" s="102"/>
      <c r="B35" s="102"/>
      <c r="C35" s="102"/>
      <c r="D35" s="102"/>
      <c r="E35" s="102"/>
      <c r="F35" s="102"/>
      <c r="G35" s="102"/>
    </row>
    <row r="36" spans="1:7" x14ac:dyDescent="0.3">
      <c r="A36" s="102"/>
      <c r="B36" s="102"/>
      <c r="C36" s="102"/>
      <c r="D36" s="102"/>
      <c r="E36" s="102"/>
      <c r="F36" s="102"/>
      <c r="G36" s="102"/>
    </row>
  </sheetData>
  <mergeCells count="5">
    <mergeCell ref="B3:G3"/>
    <mergeCell ref="B2:G2"/>
    <mergeCell ref="A1:G1"/>
    <mergeCell ref="B5:G5"/>
    <mergeCell ref="B4:G4"/>
  </mergeCells>
  <pageMargins left="0.7" right="0.7" top="0.75" bottom="0.75" header="0.511811023622047" footer="0.511811023622047"/>
  <pageSetup paperSize="9" scale="92" fitToHeight="0" orientation="landscape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G39"/>
  <sheetViews>
    <sheetView view="pageBreakPreview" topLeftCell="P26" zoomScaleNormal="85" workbookViewId="0">
      <selection activeCell="Y27" sqref="Y27"/>
    </sheetView>
  </sheetViews>
  <sheetFormatPr baseColWidth="10" defaultColWidth="9.453125" defaultRowHeight="14" x14ac:dyDescent="0.3"/>
  <cols>
    <col min="1" max="1" width="18" style="114" customWidth="1"/>
    <col min="2" max="2" width="10.81640625" style="114" customWidth="1"/>
    <col min="3" max="3" width="14.1796875" style="114" customWidth="1"/>
    <col min="4" max="4" width="16.36328125" style="114" customWidth="1"/>
    <col min="5" max="6" width="12" style="114" customWidth="1"/>
    <col min="7" max="7" width="13.08984375" style="115" customWidth="1"/>
    <col min="8" max="8" width="12" style="114" customWidth="1"/>
    <col min="9" max="9" width="14.1796875" style="114" customWidth="1"/>
    <col min="10" max="10" width="13.08984375" style="114" customWidth="1"/>
    <col min="11" max="12" width="14.1796875" style="114" customWidth="1"/>
    <col min="13" max="13" width="13.08984375" style="114" customWidth="1"/>
    <col min="14" max="14" width="15.26953125" style="114" customWidth="1"/>
    <col min="15" max="15" width="12" style="114" customWidth="1"/>
    <col min="16" max="16" width="14.1796875" style="114" customWidth="1"/>
    <col min="17" max="18" width="16.36328125" style="114" customWidth="1"/>
    <col min="19" max="20" width="14.1796875" style="114" customWidth="1"/>
    <col min="21" max="21" width="16.36328125" style="114" customWidth="1"/>
    <col min="22" max="22" width="13.08984375" style="114" customWidth="1"/>
    <col min="23" max="23" width="15.26953125" style="114" customWidth="1"/>
    <col min="24" max="24" width="10.90625" style="114" customWidth="1"/>
    <col min="25" max="25" width="13.08984375" style="114" customWidth="1"/>
    <col min="26" max="26" width="15.26953125" style="114" customWidth="1"/>
    <col min="27" max="28" width="16.36328125" style="114" customWidth="1"/>
    <col min="29" max="29" width="15.26953125" style="114" customWidth="1"/>
    <col min="30" max="30" width="14.1796875" style="114" customWidth="1"/>
    <col min="31" max="31" width="16.36328125" style="114" customWidth="1"/>
    <col min="32" max="32" width="14.1796875" style="114" customWidth="1"/>
    <col min="33" max="33" width="15.26953125" style="114" customWidth="1"/>
    <col min="34" max="34" width="9.453125" style="114" customWidth="1"/>
    <col min="35" max="16384" width="9.453125" style="114"/>
  </cols>
  <sheetData>
    <row r="1" spans="1:33" s="119" customFormat="1" x14ac:dyDescent="0.3">
      <c r="A1" s="116"/>
      <c r="B1" s="117"/>
      <c r="C1" s="117"/>
      <c r="D1" s="117"/>
      <c r="E1" s="117"/>
      <c r="F1" s="117"/>
      <c r="G1" s="118"/>
      <c r="H1" s="117"/>
      <c r="I1" s="116"/>
      <c r="J1" s="117"/>
      <c r="K1" s="117"/>
      <c r="L1" s="117"/>
      <c r="M1" s="117"/>
      <c r="N1" s="116"/>
      <c r="O1" s="117"/>
      <c r="P1" s="117"/>
      <c r="Q1" s="117"/>
      <c r="R1" s="117"/>
      <c r="S1" s="117"/>
      <c r="T1" s="117"/>
      <c r="U1" s="117"/>
      <c r="V1" s="117"/>
      <c r="W1" s="116"/>
      <c r="X1" s="117"/>
      <c r="Y1" s="117"/>
      <c r="Z1" s="117"/>
      <c r="AA1" s="117"/>
      <c r="AB1" s="117"/>
      <c r="AC1" s="117"/>
      <c r="AD1" s="117"/>
      <c r="AE1" s="117"/>
      <c r="AF1" s="117"/>
      <c r="AG1" s="117"/>
    </row>
    <row r="2" spans="1:33" s="119" customFormat="1" ht="33" customHeight="1" x14ac:dyDescent="0.35">
      <c r="A2" s="285" t="s">
        <v>378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4"/>
    </row>
    <row r="3" spans="1:33" s="119" customFormat="1" ht="30" customHeight="1" x14ac:dyDescent="0.35">
      <c r="A3" s="120" t="s">
        <v>1</v>
      </c>
      <c r="B3" s="290" t="str">
        <f>+RESUMEN!B4</f>
        <v>GERENCIA TERRITORIAL BAJO MAYO - TARAPOTO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4"/>
    </row>
    <row r="4" spans="1:33" s="119" customFormat="1" ht="39.75" customHeight="1" x14ac:dyDescent="0.35">
      <c r="A4" s="120" t="s">
        <v>3</v>
      </c>
      <c r="B4" s="290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  <c r="AA4" s="213"/>
      <c r="AB4" s="213"/>
      <c r="AC4" s="213"/>
      <c r="AD4" s="213"/>
      <c r="AE4" s="213"/>
      <c r="AF4" s="213"/>
      <c r="AG4" s="214"/>
    </row>
    <row r="5" spans="1:33" s="119" customFormat="1" ht="34.5" customHeight="1" x14ac:dyDescent="0.35">
      <c r="A5" s="120" t="s">
        <v>5</v>
      </c>
      <c r="B5" s="290" t="str">
        <f>+RESUMEN!B6</f>
        <v>SAN MARTIN - SAN MARTIN - MORALES</v>
      </c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  <c r="Z5" s="213"/>
      <c r="AA5" s="213"/>
      <c r="AB5" s="213"/>
      <c r="AC5" s="213"/>
      <c r="AD5" s="213"/>
      <c r="AE5" s="213"/>
      <c r="AF5" s="213"/>
      <c r="AG5" s="214"/>
    </row>
    <row r="6" spans="1:33" s="119" customFormat="1" ht="30" customHeight="1" x14ac:dyDescent="0.35">
      <c r="A6" s="120" t="s">
        <v>7</v>
      </c>
      <c r="B6" s="289">
        <f>+RESUMEN!B7</f>
        <v>46266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4"/>
    </row>
    <row r="7" spans="1:33" s="119" customFormat="1" ht="15.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21.75" customHeight="1" x14ac:dyDescent="0.35">
      <c r="A8" s="292" t="s">
        <v>379</v>
      </c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4"/>
    </row>
    <row r="9" spans="1:33" ht="23.25" customHeight="1" x14ac:dyDescent="0.35">
      <c r="A9" s="293" t="s">
        <v>380</v>
      </c>
      <c r="B9" s="213"/>
      <c r="C9" s="213"/>
      <c r="D9" s="213"/>
      <c r="E9" s="213"/>
      <c r="F9" s="213"/>
      <c r="G9" s="214"/>
      <c r="H9" s="287" t="s">
        <v>381</v>
      </c>
      <c r="I9" s="213"/>
      <c r="J9" s="213"/>
      <c r="K9" s="213"/>
      <c r="L9" s="213"/>
      <c r="M9" s="213"/>
      <c r="N9" s="213"/>
      <c r="O9" s="214"/>
      <c r="P9" s="291" t="s">
        <v>382</v>
      </c>
      <c r="Q9" s="213"/>
      <c r="R9" s="213"/>
      <c r="S9" s="213"/>
      <c r="T9" s="213"/>
      <c r="U9" s="213"/>
      <c r="V9" s="213"/>
      <c r="W9" s="214"/>
      <c r="X9" s="286" t="s">
        <v>383</v>
      </c>
      <c r="Y9" s="213"/>
      <c r="Z9" s="213"/>
      <c r="AA9" s="213"/>
      <c r="AB9" s="213"/>
      <c r="AC9" s="213"/>
      <c r="AD9" s="213"/>
      <c r="AE9" s="213"/>
      <c r="AF9" s="214"/>
      <c r="AG9" s="121" t="s">
        <v>384</v>
      </c>
    </row>
    <row r="10" spans="1:33" ht="60" customHeight="1" x14ac:dyDescent="0.3">
      <c r="A10" s="122" t="s">
        <v>385</v>
      </c>
      <c r="B10" s="122" t="s">
        <v>386</v>
      </c>
      <c r="C10" s="122" t="s">
        <v>387</v>
      </c>
      <c r="D10" s="122" t="s">
        <v>388</v>
      </c>
      <c r="E10" s="122" t="s">
        <v>389</v>
      </c>
      <c r="F10" s="122" t="s">
        <v>390</v>
      </c>
      <c r="G10" s="122" t="s">
        <v>391</v>
      </c>
      <c r="H10" s="122" t="s">
        <v>392</v>
      </c>
      <c r="I10" s="122" t="s">
        <v>393</v>
      </c>
      <c r="J10" s="122" t="s">
        <v>394</v>
      </c>
      <c r="K10" s="122" t="s">
        <v>395</v>
      </c>
      <c r="L10" s="122" t="s">
        <v>396</v>
      </c>
      <c r="M10" s="122" t="s">
        <v>397</v>
      </c>
      <c r="N10" s="122" t="s">
        <v>398</v>
      </c>
      <c r="O10" s="122" t="s">
        <v>399</v>
      </c>
      <c r="P10" s="122" t="s">
        <v>400</v>
      </c>
      <c r="Q10" s="122" t="s">
        <v>401</v>
      </c>
      <c r="R10" s="122" t="s">
        <v>402</v>
      </c>
      <c r="S10" s="122" t="s">
        <v>403</v>
      </c>
      <c r="T10" s="122" t="s">
        <v>404</v>
      </c>
      <c r="U10" s="122" t="s">
        <v>405</v>
      </c>
      <c r="V10" s="122" t="s">
        <v>406</v>
      </c>
      <c r="W10" s="122" t="s">
        <v>407</v>
      </c>
      <c r="X10" s="122" t="s">
        <v>408</v>
      </c>
      <c r="Y10" s="122" t="s">
        <v>409</v>
      </c>
      <c r="Z10" s="122" t="s">
        <v>410</v>
      </c>
      <c r="AA10" s="122" t="s">
        <v>411</v>
      </c>
      <c r="AB10" s="122" t="s">
        <v>412</v>
      </c>
      <c r="AC10" s="122" t="s">
        <v>413</v>
      </c>
      <c r="AD10" s="122" t="s">
        <v>414</v>
      </c>
      <c r="AE10" s="122" t="s">
        <v>415</v>
      </c>
      <c r="AF10" s="122" t="s">
        <v>416</v>
      </c>
      <c r="AG10" s="122" t="s">
        <v>417</v>
      </c>
    </row>
    <row r="11" spans="1:33" ht="36" customHeight="1" x14ac:dyDescent="0.3">
      <c r="A11" s="123">
        <v>1</v>
      </c>
      <c r="B11" s="124" t="s">
        <v>418</v>
      </c>
      <c r="C11" s="124" t="s">
        <v>419</v>
      </c>
      <c r="D11" s="125" t="s">
        <v>296</v>
      </c>
      <c r="E11" s="124" t="s">
        <v>420</v>
      </c>
      <c r="F11" s="124" t="s">
        <v>421</v>
      </c>
      <c r="G11" s="126">
        <v>97.8</v>
      </c>
      <c r="H11" s="124" t="s">
        <v>422</v>
      </c>
      <c r="I11" s="127">
        <f>IF(H11="","",IFERROR(VLOOKUP(H11,Listas!$A$4:$B$11,2,FALSE()),""))</f>
        <v>0.56000000000000005</v>
      </c>
      <c r="J11" s="126">
        <v>0.2</v>
      </c>
      <c r="K11" s="126">
        <v>7</v>
      </c>
      <c r="L11" s="126">
        <v>11</v>
      </c>
      <c r="M11" s="128">
        <f t="shared" ref="M11:M38" si="0">IF(B11="","",(K11+L11)/2)</f>
        <v>9</v>
      </c>
      <c r="N11" s="128">
        <f t="shared" ref="N11:N38" si="1">IF(B11="","",G11*M11)</f>
        <v>880.19999999999993</v>
      </c>
      <c r="O11" s="128">
        <f t="shared" ref="O11:O38" si="2">IF(B11="","",N11*I11)</f>
        <v>492.91200000000003</v>
      </c>
      <c r="P11" s="126">
        <v>0.25</v>
      </c>
      <c r="Q11" s="126">
        <v>1.42</v>
      </c>
      <c r="R11" s="126">
        <v>2.36</v>
      </c>
      <c r="S11" s="128">
        <f t="shared" ref="S11:S38" si="3">IF(B11="","",(Q11+R11)/2)</f>
        <v>1.89</v>
      </c>
      <c r="T11" s="128">
        <f t="shared" ref="T11:T38" si="4">IF(B11="","",IFERROR(IF($X$1="ENTERO (redondeo arriba)",ROUNDUP(G11/P11,0)+1,G11/P11+1),0))</f>
        <v>392.2</v>
      </c>
      <c r="U11" s="128">
        <f t="shared" ref="U11:U38" si="5">IF(B11="","",S11*T11)</f>
        <v>741.25799999999992</v>
      </c>
      <c r="V11" s="128">
        <f t="shared" ref="V11:V38" si="6">IF(B11="","",U11*I11)</f>
        <v>415.10448000000002</v>
      </c>
      <c r="W11" s="128">
        <f t="shared" ref="W11:W38" si="7">IF(B11="","",O11+V11)</f>
        <v>908.01648</v>
      </c>
      <c r="X11" s="129"/>
      <c r="Y11" s="130" t="str">
        <f>IF(X11="","",IFERROR(VLOOKUP(X11,Listas!$A$4:$B$11,2,FALSE()),""))</f>
        <v/>
      </c>
      <c r="Z11" s="131"/>
      <c r="AA11" s="131"/>
      <c r="AB11" s="131"/>
      <c r="AC11" s="132">
        <f t="shared" ref="AC11:AC38" si="8">IF(B11="","",IF(D11="TAPADA",(AA11+AB11)/2,0))</f>
        <v>0</v>
      </c>
      <c r="AD11" s="132">
        <f t="shared" ref="AD11:AD38" si="9">IF(B11="","",IF(D11="TAPADA",IFERROR(IF($X$1="ENTERO (redondeo arriba)",ROUNDUP(G11/Z11,0)+1,G11/Z11+1),0),0))</f>
        <v>0</v>
      </c>
      <c r="AE11" s="132">
        <f t="shared" ref="AE11:AE38" si="10">IF(B11="","",IF(D11="TAPADA",AC11*AD11,0))</f>
        <v>0</v>
      </c>
      <c r="AF11" s="132">
        <f t="shared" ref="AF11:AF38" si="11">IF(B11="","",IF(D11="TAPADA",AE11*Y11,0))</f>
        <v>0</v>
      </c>
      <c r="AG11" s="133">
        <f t="shared" ref="AG11:AG38" si="12">IF(B11="","",W11+AF11)</f>
        <v>908.01648</v>
      </c>
    </row>
    <row r="12" spans="1:33" ht="36" customHeight="1" x14ac:dyDescent="0.3">
      <c r="A12" s="123">
        <v>2</v>
      </c>
      <c r="B12" s="124" t="s">
        <v>418</v>
      </c>
      <c r="C12" s="124" t="s">
        <v>423</v>
      </c>
      <c r="D12" s="125" t="s">
        <v>424</v>
      </c>
      <c r="E12" s="124" t="s">
        <v>421</v>
      </c>
      <c r="F12" s="124" t="s">
        <v>425</v>
      </c>
      <c r="G12" s="126">
        <v>5.8</v>
      </c>
      <c r="H12" s="124" t="s">
        <v>422</v>
      </c>
      <c r="I12" s="127">
        <f>IF(H12="","",IFERROR(VLOOKUP(H12,Listas!$A$4:$B$11,2,FALSE()),""))</f>
        <v>0.56000000000000005</v>
      </c>
      <c r="J12" s="126">
        <v>0.22</v>
      </c>
      <c r="K12" s="126">
        <v>12</v>
      </c>
      <c r="L12" s="126">
        <v>12</v>
      </c>
      <c r="M12" s="128">
        <f t="shared" si="0"/>
        <v>12</v>
      </c>
      <c r="N12" s="128">
        <f t="shared" si="1"/>
        <v>69.599999999999994</v>
      </c>
      <c r="O12" s="128">
        <f t="shared" si="2"/>
        <v>38.975999999999999</v>
      </c>
      <c r="P12" s="126">
        <v>0.25</v>
      </c>
      <c r="Q12" s="126">
        <v>2.36</v>
      </c>
      <c r="R12" s="126">
        <v>2.46</v>
      </c>
      <c r="S12" s="128">
        <f t="shared" si="3"/>
        <v>2.41</v>
      </c>
      <c r="T12" s="128">
        <f t="shared" si="4"/>
        <v>24.2</v>
      </c>
      <c r="U12" s="128">
        <f t="shared" si="5"/>
        <v>58.322000000000003</v>
      </c>
      <c r="V12" s="128">
        <f t="shared" si="6"/>
        <v>32.660320000000006</v>
      </c>
      <c r="W12" s="128">
        <f t="shared" si="7"/>
        <v>71.636320000000012</v>
      </c>
      <c r="X12" s="129" t="s">
        <v>422</v>
      </c>
      <c r="Y12" s="130">
        <f>IF(X12="","",IFERROR(VLOOKUP(X12,Listas!$A$4:$B$11,2,FALSE()),""))</f>
        <v>0.56000000000000005</v>
      </c>
      <c r="Z12" s="131">
        <v>0.25</v>
      </c>
      <c r="AA12" s="131">
        <v>0.56000000000000005</v>
      </c>
      <c r="AB12" s="131">
        <v>0.56000000000000005</v>
      </c>
      <c r="AC12" s="132">
        <f t="shared" si="8"/>
        <v>0.56000000000000005</v>
      </c>
      <c r="AD12" s="132">
        <f t="shared" si="9"/>
        <v>24.2</v>
      </c>
      <c r="AE12" s="132">
        <f t="shared" si="10"/>
        <v>13.552000000000001</v>
      </c>
      <c r="AF12" s="132">
        <f t="shared" si="11"/>
        <v>7.5891200000000012</v>
      </c>
      <c r="AG12" s="133">
        <f t="shared" si="12"/>
        <v>79.22544000000002</v>
      </c>
    </row>
    <row r="13" spans="1:33" ht="36" customHeight="1" x14ac:dyDescent="0.3">
      <c r="A13" s="123">
        <v>3</v>
      </c>
      <c r="B13" s="124" t="s">
        <v>418</v>
      </c>
      <c r="C13" s="124" t="s">
        <v>426</v>
      </c>
      <c r="D13" s="125" t="s">
        <v>424</v>
      </c>
      <c r="E13" s="124" t="s">
        <v>427</v>
      </c>
      <c r="F13" s="124" t="s">
        <v>428</v>
      </c>
      <c r="G13" s="126">
        <v>4.9000000000000004</v>
      </c>
      <c r="H13" s="124" t="s">
        <v>422</v>
      </c>
      <c r="I13" s="127">
        <f>IF(H13="","",IFERROR(VLOOKUP(H13,Listas!$A$4:$B$11,2,FALSE()),""))</f>
        <v>0.56000000000000005</v>
      </c>
      <c r="J13" s="126">
        <v>0.2</v>
      </c>
      <c r="K13" s="126">
        <v>10</v>
      </c>
      <c r="L13" s="126">
        <v>10</v>
      </c>
      <c r="M13" s="128">
        <f t="shared" si="0"/>
        <v>10</v>
      </c>
      <c r="N13" s="128">
        <f t="shared" si="1"/>
        <v>49</v>
      </c>
      <c r="O13" s="128">
        <f t="shared" si="2"/>
        <v>27.44</v>
      </c>
      <c r="P13" s="126">
        <v>0.25</v>
      </c>
      <c r="Q13" s="126">
        <v>1.82</v>
      </c>
      <c r="R13" s="126">
        <v>1.9</v>
      </c>
      <c r="S13" s="128">
        <f t="shared" si="3"/>
        <v>1.8599999999999999</v>
      </c>
      <c r="T13" s="128">
        <f t="shared" si="4"/>
        <v>20.6</v>
      </c>
      <c r="U13" s="128">
        <f t="shared" si="5"/>
        <v>38.316000000000003</v>
      </c>
      <c r="V13" s="128">
        <f t="shared" si="6"/>
        <v>21.456960000000002</v>
      </c>
      <c r="W13" s="128">
        <f t="shared" si="7"/>
        <v>48.896960000000007</v>
      </c>
      <c r="X13" s="129" t="s">
        <v>422</v>
      </c>
      <c r="Y13" s="130">
        <f>IF(X13="","",IFERROR(VLOOKUP(X13,Listas!$A$4:$B$11,2,FALSE()),""))</f>
        <v>0.56000000000000005</v>
      </c>
      <c r="Z13" s="131">
        <v>0.25</v>
      </c>
      <c r="AA13" s="131">
        <v>0.56000000000000005</v>
      </c>
      <c r="AB13" s="131">
        <v>0.56000000000000005</v>
      </c>
      <c r="AC13" s="132">
        <f t="shared" si="8"/>
        <v>0.56000000000000005</v>
      </c>
      <c r="AD13" s="132">
        <f t="shared" si="9"/>
        <v>20.6</v>
      </c>
      <c r="AE13" s="132">
        <f t="shared" si="10"/>
        <v>11.536000000000001</v>
      </c>
      <c r="AF13" s="132">
        <f t="shared" si="11"/>
        <v>6.460160000000001</v>
      </c>
      <c r="AG13" s="133">
        <f t="shared" si="12"/>
        <v>55.357120000000009</v>
      </c>
    </row>
    <row r="14" spans="1:33" ht="36" customHeight="1" x14ac:dyDescent="0.3">
      <c r="A14" s="123">
        <v>4</v>
      </c>
      <c r="B14" s="124" t="s">
        <v>418</v>
      </c>
      <c r="C14" s="124" t="s">
        <v>429</v>
      </c>
      <c r="D14" s="125" t="s">
        <v>424</v>
      </c>
      <c r="E14" s="124" t="s">
        <v>430</v>
      </c>
      <c r="F14" s="124" t="s">
        <v>431</v>
      </c>
      <c r="G14" s="126">
        <v>2.95</v>
      </c>
      <c r="H14" s="124" t="s">
        <v>422</v>
      </c>
      <c r="I14" s="127">
        <f>IF(H14="","",IFERROR(VLOOKUP(H14,Listas!$A$4:$B$11,2,FALSE()),""))</f>
        <v>0.56000000000000005</v>
      </c>
      <c r="J14" s="126">
        <v>0.25</v>
      </c>
      <c r="K14" s="126">
        <v>10</v>
      </c>
      <c r="L14" s="126">
        <v>10</v>
      </c>
      <c r="M14" s="128">
        <f t="shared" si="0"/>
        <v>10</v>
      </c>
      <c r="N14" s="128">
        <f t="shared" si="1"/>
        <v>29.5</v>
      </c>
      <c r="O14" s="128">
        <f t="shared" si="2"/>
        <v>16.520000000000003</v>
      </c>
      <c r="P14" s="126">
        <v>0.25</v>
      </c>
      <c r="Q14" s="126">
        <v>2.1</v>
      </c>
      <c r="R14" s="126">
        <v>2.14</v>
      </c>
      <c r="S14" s="128">
        <f t="shared" si="3"/>
        <v>2.12</v>
      </c>
      <c r="T14" s="128">
        <f t="shared" si="4"/>
        <v>12.8</v>
      </c>
      <c r="U14" s="128">
        <f t="shared" si="5"/>
        <v>27.136000000000003</v>
      </c>
      <c r="V14" s="128">
        <f t="shared" si="6"/>
        <v>15.196160000000003</v>
      </c>
      <c r="W14" s="128">
        <f t="shared" si="7"/>
        <v>31.716160000000006</v>
      </c>
      <c r="X14" s="129" t="s">
        <v>422</v>
      </c>
      <c r="Y14" s="130">
        <f>IF(X14="","",IFERROR(VLOOKUP(X14,Listas!$A$4:$B$11,2,FALSE()),""))</f>
        <v>0.56000000000000005</v>
      </c>
      <c r="Z14" s="131">
        <v>0.25</v>
      </c>
      <c r="AA14" s="131">
        <v>0.56000000000000005</v>
      </c>
      <c r="AB14" s="131">
        <v>0.56000000000000005</v>
      </c>
      <c r="AC14" s="132">
        <f t="shared" si="8"/>
        <v>0.56000000000000005</v>
      </c>
      <c r="AD14" s="132">
        <f t="shared" si="9"/>
        <v>12.8</v>
      </c>
      <c r="AE14" s="132">
        <f t="shared" si="10"/>
        <v>7.168000000000001</v>
      </c>
      <c r="AF14" s="132">
        <f t="shared" si="11"/>
        <v>4.0140800000000008</v>
      </c>
      <c r="AG14" s="133">
        <f t="shared" si="12"/>
        <v>35.730240000000009</v>
      </c>
    </row>
    <row r="15" spans="1:33" ht="36" customHeight="1" x14ac:dyDescent="0.3">
      <c r="A15" s="123">
        <v>5</v>
      </c>
      <c r="B15" s="124" t="s">
        <v>418</v>
      </c>
      <c r="C15" s="124" t="s">
        <v>432</v>
      </c>
      <c r="D15" s="125" t="s">
        <v>424</v>
      </c>
      <c r="E15" s="124" t="s">
        <v>433</v>
      </c>
      <c r="F15" s="124" t="s">
        <v>434</v>
      </c>
      <c r="G15" s="126">
        <v>1.75</v>
      </c>
      <c r="H15" s="124" t="s">
        <v>422</v>
      </c>
      <c r="I15" s="127">
        <f>IF(H15="","",IFERROR(VLOOKUP(H15,Listas!$A$4:$B$11,2,FALSE()),""))</f>
        <v>0.56000000000000005</v>
      </c>
      <c r="J15" s="126">
        <v>0.17</v>
      </c>
      <c r="K15" s="126">
        <v>10</v>
      </c>
      <c r="L15" s="126">
        <v>10</v>
      </c>
      <c r="M15" s="128">
        <f t="shared" si="0"/>
        <v>10</v>
      </c>
      <c r="N15" s="128">
        <f t="shared" si="1"/>
        <v>17.5</v>
      </c>
      <c r="O15" s="128">
        <f t="shared" si="2"/>
        <v>9.8000000000000007</v>
      </c>
      <c r="P15" s="126">
        <v>0.25</v>
      </c>
      <c r="Q15" s="126">
        <v>1.62</v>
      </c>
      <c r="R15" s="126">
        <v>1.66</v>
      </c>
      <c r="S15" s="128">
        <f t="shared" si="3"/>
        <v>1.6400000000000001</v>
      </c>
      <c r="T15" s="128">
        <f t="shared" si="4"/>
        <v>8</v>
      </c>
      <c r="U15" s="128">
        <f t="shared" si="5"/>
        <v>13.120000000000001</v>
      </c>
      <c r="V15" s="128">
        <f t="shared" si="6"/>
        <v>7.3472000000000008</v>
      </c>
      <c r="W15" s="128">
        <f t="shared" si="7"/>
        <v>17.147200000000002</v>
      </c>
      <c r="X15" s="129" t="s">
        <v>422</v>
      </c>
      <c r="Y15" s="130">
        <f>IF(X15="","",IFERROR(VLOOKUP(X15,Listas!$A$4:$B$11,2,FALSE()),""))</f>
        <v>0.56000000000000005</v>
      </c>
      <c r="Z15" s="131">
        <v>0.25</v>
      </c>
      <c r="AA15" s="131">
        <v>0.56000000000000005</v>
      </c>
      <c r="AB15" s="131">
        <v>0.56000000000000005</v>
      </c>
      <c r="AC15" s="132">
        <f t="shared" si="8"/>
        <v>0.56000000000000005</v>
      </c>
      <c r="AD15" s="132">
        <f t="shared" si="9"/>
        <v>8</v>
      </c>
      <c r="AE15" s="132">
        <f t="shared" si="10"/>
        <v>4.4800000000000004</v>
      </c>
      <c r="AF15" s="132">
        <f t="shared" si="11"/>
        <v>2.5088000000000004</v>
      </c>
      <c r="AG15" s="133">
        <f t="shared" si="12"/>
        <v>19.656000000000002</v>
      </c>
    </row>
    <row r="16" spans="1:33" ht="36" customHeight="1" x14ac:dyDescent="0.3">
      <c r="A16" s="123">
        <v>6</v>
      </c>
      <c r="B16" s="124" t="s">
        <v>435</v>
      </c>
      <c r="C16" s="124" t="s">
        <v>419</v>
      </c>
      <c r="D16" s="125" t="s">
        <v>296</v>
      </c>
      <c r="E16" s="124" t="s">
        <v>436</v>
      </c>
      <c r="F16" s="124" t="s">
        <v>437</v>
      </c>
      <c r="G16" s="126">
        <v>76.95</v>
      </c>
      <c r="H16" s="124" t="s">
        <v>422</v>
      </c>
      <c r="I16" s="127">
        <f>IF(H16="","",IFERROR(VLOOKUP(H16,Listas!$A$4:$B$11,2,FALSE()),""))</f>
        <v>0.56000000000000005</v>
      </c>
      <c r="J16" s="126">
        <v>0.2</v>
      </c>
      <c r="K16" s="126">
        <v>7</v>
      </c>
      <c r="L16" s="126">
        <v>9</v>
      </c>
      <c r="M16" s="128">
        <f t="shared" si="0"/>
        <v>8</v>
      </c>
      <c r="N16" s="128">
        <f t="shared" si="1"/>
        <v>615.6</v>
      </c>
      <c r="O16" s="128">
        <f t="shared" si="2"/>
        <v>344.73600000000005</v>
      </c>
      <c r="P16" s="126">
        <v>0.25</v>
      </c>
      <c r="Q16" s="126">
        <v>1.42</v>
      </c>
      <c r="R16" s="126">
        <v>2.1800000000000002</v>
      </c>
      <c r="S16" s="128">
        <f t="shared" si="3"/>
        <v>1.8</v>
      </c>
      <c r="T16" s="128">
        <f t="shared" si="4"/>
        <v>308.8</v>
      </c>
      <c r="U16" s="128">
        <f t="shared" si="5"/>
        <v>555.84</v>
      </c>
      <c r="V16" s="128">
        <f t="shared" si="6"/>
        <v>311.27040000000005</v>
      </c>
      <c r="W16" s="128">
        <f t="shared" si="7"/>
        <v>656.0064000000001</v>
      </c>
      <c r="X16" s="129"/>
      <c r="Y16" s="130" t="str">
        <f>IF(X16="","",IFERROR(VLOOKUP(X16,Listas!$A$4:$B$11,2,FALSE()),""))</f>
        <v/>
      </c>
      <c r="Z16" s="131"/>
      <c r="AA16" s="131"/>
      <c r="AB16" s="131"/>
      <c r="AC16" s="132">
        <f t="shared" si="8"/>
        <v>0</v>
      </c>
      <c r="AD16" s="132">
        <f t="shared" si="9"/>
        <v>0</v>
      </c>
      <c r="AE16" s="132">
        <f t="shared" si="10"/>
        <v>0</v>
      </c>
      <c r="AF16" s="132">
        <f t="shared" si="11"/>
        <v>0</v>
      </c>
      <c r="AG16" s="133">
        <f t="shared" si="12"/>
        <v>656.0064000000001</v>
      </c>
    </row>
    <row r="17" spans="1:33" ht="36" customHeight="1" x14ac:dyDescent="0.3">
      <c r="A17" s="123">
        <v>7</v>
      </c>
      <c r="B17" s="124" t="s">
        <v>438</v>
      </c>
      <c r="C17" s="124" t="s">
        <v>419</v>
      </c>
      <c r="D17" s="125" t="s">
        <v>296</v>
      </c>
      <c r="E17" s="124" t="s">
        <v>439</v>
      </c>
      <c r="F17" s="124" t="s">
        <v>440</v>
      </c>
      <c r="G17" s="126">
        <v>6</v>
      </c>
      <c r="H17" s="124" t="s">
        <v>422</v>
      </c>
      <c r="I17" s="127">
        <f>IF(H17="","",IFERROR(VLOOKUP(H17,Listas!$A$4:$B$11,2,FALSE()),""))</f>
        <v>0.56000000000000005</v>
      </c>
      <c r="J17" s="126">
        <v>0.2</v>
      </c>
      <c r="K17" s="126">
        <v>7</v>
      </c>
      <c r="L17" s="126">
        <v>7</v>
      </c>
      <c r="M17" s="128">
        <f t="shared" si="0"/>
        <v>7</v>
      </c>
      <c r="N17" s="128">
        <f t="shared" si="1"/>
        <v>42</v>
      </c>
      <c r="O17" s="128">
        <f t="shared" si="2"/>
        <v>23.520000000000003</v>
      </c>
      <c r="P17" s="126">
        <v>0.25</v>
      </c>
      <c r="Q17" s="126">
        <v>1.42</v>
      </c>
      <c r="R17" s="126">
        <v>1.48</v>
      </c>
      <c r="S17" s="128">
        <f t="shared" si="3"/>
        <v>1.45</v>
      </c>
      <c r="T17" s="128">
        <f t="shared" si="4"/>
        <v>25</v>
      </c>
      <c r="U17" s="128">
        <f t="shared" si="5"/>
        <v>36.25</v>
      </c>
      <c r="V17" s="128">
        <f t="shared" si="6"/>
        <v>20.3</v>
      </c>
      <c r="W17" s="128">
        <f t="shared" si="7"/>
        <v>43.820000000000007</v>
      </c>
      <c r="X17" s="129"/>
      <c r="Y17" s="130" t="str">
        <f>IF(X17="","",IFERROR(VLOOKUP(X17,Listas!$A$4:$B$11,2,FALSE()),""))</f>
        <v/>
      </c>
      <c r="Z17" s="131"/>
      <c r="AA17" s="131"/>
      <c r="AB17" s="131"/>
      <c r="AC17" s="132">
        <f t="shared" si="8"/>
        <v>0</v>
      </c>
      <c r="AD17" s="132">
        <f t="shared" si="9"/>
        <v>0</v>
      </c>
      <c r="AE17" s="132">
        <f t="shared" si="10"/>
        <v>0</v>
      </c>
      <c r="AF17" s="132">
        <f t="shared" si="11"/>
        <v>0</v>
      </c>
      <c r="AG17" s="133">
        <f t="shared" si="12"/>
        <v>43.820000000000007</v>
      </c>
    </row>
    <row r="18" spans="1:33" ht="36" customHeight="1" x14ac:dyDescent="0.3">
      <c r="A18" s="123">
        <v>8</v>
      </c>
      <c r="B18" s="124" t="s">
        <v>438</v>
      </c>
      <c r="C18" s="124" t="s">
        <v>423</v>
      </c>
      <c r="D18" s="125" t="s">
        <v>424</v>
      </c>
      <c r="E18" s="124" t="s">
        <v>440</v>
      </c>
      <c r="F18" s="124" t="s">
        <v>441</v>
      </c>
      <c r="G18" s="126">
        <v>7.3</v>
      </c>
      <c r="H18" s="124" t="s">
        <v>422</v>
      </c>
      <c r="I18" s="127">
        <f>IF(H18="","",IFERROR(VLOOKUP(H18,Listas!$A$4:$B$11,2,FALSE()),""))</f>
        <v>0.56000000000000005</v>
      </c>
      <c r="J18" s="126">
        <v>0.21</v>
      </c>
      <c r="K18" s="126">
        <v>8</v>
      </c>
      <c r="L18" s="126">
        <v>8</v>
      </c>
      <c r="M18" s="128">
        <f t="shared" si="0"/>
        <v>8</v>
      </c>
      <c r="N18" s="128">
        <f t="shared" si="1"/>
        <v>58.4</v>
      </c>
      <c r="O18" s="128">
        <f t="shared" si="2"/>
        <v>32.704000000000001</v>
      </c>
      <c r="P18" s="126">
        <v>0.25</v>
      </c>
      <c r="Q18" s="126">
        <v>1.48</v>
      </c>
      <c r="R18" s="126">
        <v>1.56</v>
      </c>
      <c r="S18" s="128">
        <f t="shared" si="3"/>
        <v>1.52</v>
      </c>
      <c r="T18" s="128">
        <f t="shared" si="4"/>
        <v>30.2</v>
      </c>
      <c r="U18" s="128">
        <f t="shared" si="5"/>
        <v>45.903999999999996</v>
      </c>
      <c r="V18" s="128">
        <f t="shared" si="6"/>
        <v>25.706240000000001</v>
      </c>
      <c r="W18" s="128">
        <f t="shared" si="7"/>
        <v>58.410240000000002</v>
      </c>
      <c r="X18" s="129" t="s">
        <v>422</v>
      </c>
      <c r="Y18" s="130">
        <f>IF(X18="","",IFERROR(VLOOKUP(X18,Listas!$A$4:$B$11,2,FALSE()),""))</f>
        <v>0.56000000000000005</v>
      </c>
      <c r="Z18" s="131">
        <v>0.25</v>
      </c>
      <c r="AA18" s="131">
        <v>0.56000000000000005</v>
      </c>
      <c r="AB18" s="131">
        <v>0.56000000000000005</v>
      </c>
      <c r="AC18" s="132">
        <f t="shared" si="8"/>
        <v>0.56000000000000005</v>
      </c>
      <c r="AD18" s="132">
        <f t="shared" si="9"/>
        <v>30.2</v>
      </c>
      <c r="AE18" s="132">
        <f t="shared" si="10"/>
        <v>16.912000000000003</v>
      </c>
      <c r="AF18" s="132">
        <f t="shared" si="11"/>
        <v>9.4707200000000018</v>
      </c>
      <c r="AG18" s="133">
        <f t="shared" si="12"/>
        <v>67.880960000000002</v>
      </c>
    </row>
    <row r="19" spans="1:33" ht="36" customHeight="1" x14ac:dyDescent="0.3">
      <c r="A19" s="123">
        <v>9</v>
      </c>
      <c r="B19" s="124" t="s">
        <v>438</v>
      </c>
      <c r="C19" s="124" t="s">
        <v>426</v>
      </c>
      <c r="D19" s="125" t="s">
        <v>296</v>
      </c>
      <c r="E19" s="124" t="s">
        <v>441</v>
      </c>
      <c r="F19" s="124" t="s">
        <v>442</v>
      </c>
      <c r="G19" s="126">
        <v>83.45</v>
      </c>
      <c r="H19" s="124" t="s">
        <v>422</v>
      </c>
      <c r="I19" s="127">
        <f>IF(H19="","",IFERROR(VLOOKUP(H19,Listas!$A$4:$B$11,2,FALSE()),""))</f>
        <v>0.56000000000000005</v>
      </c>
      <c r="J19" s="126">
        <v>0.24</v>
      </c>
      <c r="K19" s="126">
        <v>7</v>
      </c>
      <c r="L19" s="126">
        <v>11</v>
      </c>
      <c r="M19" s="128">
        <f t="shared" si="0"/>
        <v>9</v>
      </c>
      <c r="N19" s="128">
        <f t="shared" si="1"/>
        <v>751.05000000000007</v>
      </c>
      <c r="O19" s="128">
        <f t="shared" si="2"/>
        <v>420.58800000000008</v>
      </c>
      <c r="P19" s="126">
        <v>0.25</v>
      </c>
      <c r="Q19" s="126">
        <v>1.56</v>
      </c>
      <c r="R19" s="126">
        <v>2.36</v>
      </c>
      <c r="S19" s="128">
        <f t="shared" si="3"/>
        <v>1.96</v>
      </c>
      <c r="T19" s="128">
        <f t="shared" si="4"/>
        <v>334.8</v>
      </c>
      <c r="U19" s="128">
        <f t="shared" si="5"/>
        <v>656.20799999999997</v>
      </c>
      <c r="V19" s="128">
        <f t="shared" si="6"/>
        <v>367.47648000000004</v>
      </c>
      <c r="W19" s="128">
        <f t="shared" si="7"/>
        <v>788.06448000000012</v>
      </c>
      <c r="X19" s="129"/>
      <c r="Y19" s="130" t="str">
        <f>IF(X19="","",IFERROR(VLOOKUP(X19,Listas!$A$4:$B$11,2,FALSE()),""))</f>
        <v/>
      </c>
      <c r="Z19" s="131"/>
      <c r="AA19" s="131"/>
      <c r="AB19" s="131"/>
      <c r="AC19" s="132">
        <f t="shared" si="8"/>
        <v>0</v>
      </c>
      <c r="AD19" s="132">
        <f t="shared" si="9"/>
        <v>0</v>
      </c>
      <c r="AE19" s="132">
        <f t="shared" si="10"/>
        <v>0</v>
      </c>
      <c r="AF19" s="132">
        <f t="shared" si="11"/>
        <v>0</v>
      </c>
      <c r="AG19" s="133">
        <f t="shared" si="12"/>
        <v>788.06448000000012</v>
      </c>
    </row>
    <row r="20" spans="1:33" ht="36" customHeight="1" x14ac:dyDescent="0.3">
      <c r="A20" s="123">
        <v>10</v>
      </c>
      <c r="B20" s="124" t="s">
        <v>438</v>
      </c>
      <c r="C20" s="124" t="s">
        <v>429</v>
      </c>
      <c r="D20" s="125" t="s">
        <v>424</v>
      </c>
      <c r="E20" s="124" t="s">
        <v>442</v>
      </c>
      <c r="F20" s="124" t="s">
        <v>443</v>
      </c>
      <c r="G20" s="126">
        <v>3.72</v>
      </c>
      <c r="H20" s="124" t="s">
        <v>422</v>
      </c>
      <c r="I20" s="127">
        <f>IF(H20="","",IFERROR(VLOOKUP(H20,Listas!$A$4:$B$11,2,FALSE()),""))</f>
        <v>0.56000000000000005</v>
      </c>
      <c r="J20" s="126">
        <v>0.22</v>
      </c>
      <c r="K20" s="126">
        <v>12</v>
      </c>
      <c r="L20" s="126">
        <v>12</v>
      </c>
      <c r="M20" s="128">
        <f t="shared" si="0"/>
        <v>12</v>
      </c>
      <c r="N20" s="128">
        <f t="shared" si="1"/>
        <v>44.64</v>
      </c>
      <c r="O20" s="128">
        <f t="shared" si="2"/>
        <v>24.998400000000004</v>
      </c>
      <c r="P20" s="126">
        <v>0.25</v>
      </c>
      <c r="Q20" s="126">
        <v>2.36</v>
      </c>
      <c r="R20" s="126">
        <v>2.42</v>
      </c>
      <c r="S20" s="128">
        <f t="shared" si="3"/>
        <v>2.3899999999999997</v>
      </c>
      <c r="T20" s="128">
        <f t="shared" si="4"/>
        <v>15.88</v>
      </c>
      <c r="U20" s="128">
        <f t="shared" si="5"/>
        <v>37.953199999999995</v>
      </c>
      <c r="V20" s="128">
        <f t="shared" si="6"/>
        <v>21.253792000000001</v>
      </c>
      <c r="W20" s="128">
        <f t="shared" si="7"/>
        <v>46.252192000000008</v>
      </c>
      <c r="X20" s="129" t="s">
        <v>422</v>
      </c>
      <c r="Y20" s="130">
        <f>IF(X20="","",IFERROR(VLOOKUP(X20,Listas!$A$4:$B$11,2,FALSE()),""))</f>
        <v>0.56000000000000005</v>
      </c>
      <c r="Z20" s="131">
        <v>0.25</v>
      </c>
      <c r="AA20" s="131">
        <v>0.56000000000000005</v>
      </c>
      <c r="AB20" s="131">
        <v>0.56000000000000005</v>
      </c>
      <c r="AC20" s="132">
        <f t="shared" si="8"/>
        <v>0.56000000000000005</v>
      </c>
      <c r="AD20" s="132">
        <f t="shared" si="9"/>
        <v>15.88</v>
      </c>
      <c r="AE20" s="132">
        <f t="shared" si="10"/>
        <v>8.8928000000000011</v>
      </c>
      <c r="AF20" s="132">
        <f t="shared" si="11"/>
        <v>4.9799680000000013</v>
      </c>
      <c r="AG20" s="133">
        <f t="shared" si="12"/>
        <v>51.232160000000007</v>
      </c>
    </row>
    <row r="21" spans="1:33" ht="36" customHeight="1" x14ac:dyDescent="0.3">
      <c r="A21" s="123">
        <v>11</v>
      </c>
      <c r="B21" s="124" t="s">
        <v>438</v>
      </c>
      <c r="C21" s="124" t="s">
        <v>432</v>
      </c>
      <c r="D21" s="125" t="s">
        <v>424</v>
      </c>
      <c r="E21" s="124" t="s">
        <v>444</v>
      </c>
      <c r="F21" s="124" t="s">
        <v>445</v>
      </c>
      <c r="G21" s="126">
        <v>5</v>
      </c>
      <c r="H21" s="124" t="s">
        <v>422</v>
      </c>
      <c r="I21" s="127">
        <f>IF(H21="","",IFERROR(VLOOKUP(H21,Listas!$A$4:$B$11,2,FALSE()),""))</f>
        <v>0.56000000000000005</v>
      </c>
      <c r="J21" s="126">
        <v>0.23</v>
      </c>
      <c r="K21" s="126">
        <v>10</v>
      </c>
      <c r="L21" s="126">
        <v>10</v>
      </c>
      <c r="M21" s="128">
        <f t="shared" si="0"/>
        <v>10</v>
      </c>
      <c r="N21" s="128">
        <f t="shared" si="1"/>
        <v>50</v>
      </c>
      <c r="O21" s="128">
        <f t="shared" si="2"/>
        <v>28.000000000000004</v>
      </c>
      <c r="P21" s="126">
        <v>0.25</v>
      </c>
      <c r="Q21" s="126">
        <v>2</v>
      </c>
      <c r="R21" s="126">
        <v>2.08</v>
      </c>
      <c r="S21" s="128">
        <f t="shared" si="3"/>
        <v>2.04</v>
      </c>
      <c r="T21" s="128">
        <f t="shared" si="4"/>
        <v>21</v>
      </c>
      <c r="U21" s="128">
        <f t="shared" si="5"/>
        <v>42.84</v>
      </c>
      <c r="V21" s="128">
        <f t="shared" si="6"/>
        <v>23.990400000000005</v>
      </c>
      <c r="W21" s="128">
        <f t="shared" si="7"/>
        <v>51.990400000000008</v>
      </c>
      <c r="X21" s="129" t="s">
        <v>422</v>
      </c>
      <c r="Y21" s="130">
        <f>IF(X21="","",IFERROR(VLOOKUP(X21,Listas!$A$4:$B$11,2,FALSE()),""))</f>
        <v>0.56000000000000005</v>
      </c>
      <c r="Z21" s="131">
        <v>0.25</v>
      </c>
      <c r="AA21" s="131">
        <v>0.56000000000000005</v>
      </c>
      <c r="AB21" s="131">
        <v>0.56000000000000005</v>
      </c>
      <c r="AC21" s="132">
        <f t="shared" si="8"/>
        <v>0.56000000000000005</v>
      </c>
      <c r="AD21" s="132">
        <f t="shared" si="9"/>
        <v>21</v>
      </c>
      <c r="AE21" s="132">
        <f t="shared" si="10"/>
        <v>11.760000000000002</v>
      </c>
      <c r="AF21" s="132">
        <f t="shared" si="11"/>
        <v>6.5856000000000012</v>
      </c>
      <c r="AG21" s="133">
        <f t="shared" si="12"/>
        <v>58.576000000000008</v>
      </c>
    </row>
    <row r="22" spans="1:33" ht="36" customHeight="1" x14ac:dyDescent="0.3">
      <c r="A22" s="123">
        <v>12</v>
      </c>
      <c r="B22" s="124" t="s">
        <v>438</v>
      </c>
      <c r="C22" s="124" t="s">
        <v>446</v>
      </c>
      <c r="D22" s="125" t="s">
        <v>424</v>
      </c>
      <c r="E22" s="124" t="s">
        <v>445</v>
      </c>
      <c r="F22" s="124" t="s">
        <v>447</v>
      </c>
      <c r="G22" s="126">
        <v>3.84</v>
      </c>
      <c r="H22" s="124" t="s">
        <v>422</v>
      </c>
      <c r="I22" s="127">
        <f>IF(H22="","",IFERROR(VLOOKUP(H22,Listas!$A$4:$B$11,2,FALSE()),""))</f>
        <v>0.56000000000000005</v>
      </c>
      <c r="J22" s="126">
        <v>0.21</v>
      </c>
      <c r="K22" s="126">
        <v>10</v>
      </c>
      <c r="L22" s="126">
        <v>10</v>
      </c>
      <c r="M22" s="128">
        <f t="shared" si="0"/>
        <v>10</v>
      </c>
      <c r="N22" s="128">
        <f t="shared" si="1"/>
        <v>38.4</v>
      </c>
      <c r="O22" s="128">
        <f t="shared" si="2"/>
        <v>21.504000000000001</v>
      </c>
      <c r="P22" s="126">
        <v>0.25</v>
      </c>
      <c r="Q22" s="126">
        <v>2.08</v>
      </c>
      <c r="R22" s="126">
        <v>1.62</v>
      </c>
      <c r="S22" s="128">
        <f t="shared" si="3"/>
        <v>1.85</v>
      </c>
      <c r="T22" s="128">
        <f t="shared" si="4"/>
        <v>16.36</v>
      </c>
      <c r="U22" s="128">
        <f t="shared" si="5"/>
        <v>30.266000000000002</v>
      </c>
      <c r="V22" s="128">
        <f t="shared" si="6"/>
        <v>16.948960000000003</v>
      </c>
      <c r="W22" s="128">
        <f t="shared" si="7"/>
        <v>38.452960000000004</v>
      </c>
      <c r="X22" s="129" t="s">
        <v>422</v>
      </c>
      <c r="Y22" s="130">
        <f>IF(X22="","",IFERROR(VLOOKUP(X22,Listas!$A$4:$B$11,2,FALSE()),""))</f>
        <v>0.56000000000000005</v>
      </c>
      <c r="Z22" s="131">
        <v>0.25</v>
      </c>
      <c r="AA22" s="131">
        <v>0.56000000000000005</v>
      </c>
      <c r="AB22" s="131">
        <v>0.56000000000000005</v>
      </c>
      <c r="AC22" s="132">
        <f t="shared" si="8"/>
        <v>0.56000000000000005</v>
      </c>
      <c r="AD22" s="132">
        <f t="shared" si="9"/>
        <v>16.36</v>
      </c>
      <c r="AE22" s="132">
        <f t="shared" si="10"/>
        <v>9.1616</v>
      </c>
      <c r="AF22" s="132">
        <f t="shared" si="11"/>
        <v>5.1304960000000008</v>
      </c>
      <c r="AG22" s="133">
        <f t="shared" si="12"/>
        <v>43.583456000000005</v>
      </c>
    </row>
    <row r="23" spans="1:33" ht="36" customHeight="1" x14ac:dyDescent="0.3">
      <c r="A23" s="123">
        <v>13</v>
      </c>
      <c r="B23" s="124" t="s">
        <v>438</v>
      </c>
      <c r="C23" s="124" t="s">
        <v>448</v>
      </c>
      <c r="D23" s="125" t="s">
        <v>424</v>
      </c>
      <c r="E23" s="124" t="s">
        <v>447</v>
      </c>
      <c r="F23" s="124" t="s">
        <v>449</v>
      </c>
      <c r="G23" s="126">
        <v>1.79</v>
      </c>
      <c r="H23" s="124" t="s">
        <v>422</v>
      </c>
      <c r="I23" s="127">
        <f>IF(H23="","",IFERROR(VLOOKUP(H23,Listas!$A$4:$B$11,2,FALSE()),""))</f>
        <v>0.56000000000000005</v>
      </c>
      <c r="J23" s="126">
        <v>0.17</v>
      </c>
      <c r="K23" s="126">
        <v>10</v>
      </c>
      <c r="L23" s="126">
        <v>10</v>
      </c>
      <c r="M23" s="128">
        <f t="shared" si="0"/>
        <v>10</v>
      </c>
      <c r="N23" s="128">
        <f t="shared" si="1"/>
        <v>17.899999999999999</v>
      </c>
      <c r="O23" s="128">
        <f t="shared" si="2"/>
        <v>10.024000000000001</v>
      </c>
      <c r="P23" s="126">
        <v>0.25</v>
      </c>
      <c r="Q23" s="126">
        <v>1.62</v>
      </c>
      <c r="R23" s="126">
        <v>1.64</v>
      </c>
      <c r="S23" s="128">
        <f t="shared" si="3"/>
        <v>1.63</v>
      </c>
      <c r="T23" s="128">
        <f t="shared" si="4"/>
        <v>8.16</v>
      </c>
      <c r="U23" s="128">
        <f t="shared" si="5"/>
        <v>13.300799999999999</v>
      </c>
      <c r="V23" s="128">
        <f t="shared" si="6"/>
        <v>7.448448</v>
      </c>
      <c r="W23" s="128">
        <f t="shared" si="7"/>
        <v>17.472448</v>
      </c>
      <c r="X23" s="129" t="s">
        <v>422</v>
      </c>
      <c r="Y23" s="130">
        <f>IF(X23="","",IFERROR(VLOOKUP(X23,Listas!$A$4:$B$11,2,FALSE()),""))</f>
        <v>0.56000000000000005</v>
      </c>
      <c r="Z23" s="131">
        <v>0.25</v>
      </c>
      <c r="AA23" s="131">
        <v>0.56000000000000005</v>
      </c>
      <c r="AB23" s="131">
        <v>0.56000000000000005</v>
      </c>
      <c r="AC23" s="132">
        <f t="shared" si="8"/>
        <v>0.56000000000000005</v>
      </c>
      <c r="AD23" s="132">
        <f t="shared" si="9"/>
        <v>8.16</v>
      </c>
      <c r="AE23" s="132">
        <f t="shared" si="10"/>
        <v>4.5696000000000003</v>
      </c>
      <c r="AF23" s="132">
        <f t="shared" si="11"/>
        <v>2.5589760000000004</v>
      </c>
      <c r="AG23" s="133">
        <f t="shared" si="12"/>
        <v>20.031424000000001</v>
      </c>
    </row>
    <row r="24" spans="1:33" ht="36" customHeight="1" x14ac:dyDescent="0.3">
      <c r="A24" s="123">
        <v>14</v>
      </c>
      <c r="B24" s="124" t="s">
        <v>450</v>
      </c>
      <c r="C24" s="124" t="s">
        <v>419</v>
      </c>
      <c r="D24" s="125" t="s">
        <v>296</v>
      </c>
      <c r="E24" s="124" t="s">
        <v>451</v>
      </c>
      <c r="F24" s="124" t="s">
        <v>452</v>
      </c>
      <c r="G24" s="126">
        <v>3.84</v>
      </c>
      <c r="H24" s="124" t="s">
        <v>422</v>
      </c>
      <c r="I24" s="127">
        <f>IF(H24="","",IFERROR(VLOOKUP(H24,Listas!$A$4:$B$11,2,FALSE()),""))</f>
        <v>0.56000000000000005</v>
      </c>
      <c r="J24" s="126">
        <v>0.2</v>
      </c>
      <c r="K24" s="126">
        <v>7</v>
      </c>
      <c r="L24" s="126">
        <v>9</v>
      </c>
      <c r="M24" s="128">
        <f t="shared" si="0"/>
        <v>8</v>
      </c>
      <c r="N24" s="128">
        <f t="shared" si="1"/>
        <v>30.72</v>
      </c>
      <c r="O24" s="128">
        <f t="shared" si="2"/>
        <v>17.203200000000002</v>
      </c>
      <c r="P24" s="126">
        <v>0.25</v>
      </c>
      <c r="Q24" s="126">
        <v>1.42</v>
      </c>
      <c r="R24" s="126">
        <v>1.86</v>
      </c>
      <c r="S24" s="128">
        <f t="shared" si="3"/>
        <v>1.6400000000000001</v>
      </c>
      <c r="T24" s="128">
        <f t="shared" si="4"/>
        <v>16.36</v>
      </c>
      <c r="U24" s="128">
        <f t="shared" si="5"/>
        <v>26.830400000000001</v>
      </c>
      <c r="V24" s="128">
        <f t="shared" si="6"/>
        <v>15.025024000000002</v>
      </c>
      <c r="W24" s="128">
        <f t="shared" si="7"/>
        <v>32.228224000000004</v>
      </c>
      <c r="X24" s="129"/>
      <c r="Y24" s="130" t="str">
        <f>IF(X24="","",IFERROR(VLOOKUP(X24,Listas!$A$4:$B$11,2,FALSE()),""))</f>
        <v/>
      </c>
      <c r="Z24" s="131"/>
      <c r="AA24" s="131"/>
      <c r="AB24" s="131"/>
      <c r="AC24" s="132">
        <f t="shared" si="8"/>
        <v>0</v>
      </c>
      <c r="AD24" s="132">
        <f t="shared" si="9"/>
        <v>0</v>
      </c>
      <c r="AE24" s="132">
        <f t="shared" si="10"/>
        <v>0</v>
      </c>
      <c r="AF24" s="132">
        <f t="shared" si="11"/>
        <v>0</v>
      </c>
      <c r="AG24" s="133">
        <f t="shared" si="12"/>
        <v>32.228224000000004</v>
      </c>
    </row>
    <row r="25" spans="1:33" ht="36" customHeight="1" x14ac:dyDescent="0.3">
      <c r="A25" s="123">
        <v>15</v>
      </c>
      <c r="B25" s="124" t="s">
        <v>450</v>
      </c>
      <c r="C25" s="124" t="s">
        <v>423</v>
      </c>
      <c r="D25" s="125" t="s">
        <v>296</v>
      </c>
      <c r="E25" s="124" t="s">
        <v>452</v>
      </c>
      <c r="F25" s="124" t="s">
        <v>453</v>
      </c>
      <c r="G25" s="126">
        <v>26.86</v>
      </c>
      <c r="H25" s="124" t="s">
        <v>422</v>
      </c>
      <c r="I25" s="127">
        <f>IF(H25="","",IFERROR(VLOOKUP(H25,Listas!$A$4:$B$11,2,FALSE()),""))</f>
        <v>0.56000000000000005</v>
      </c>
      <c r="J25" s="126">
        <v>0.2</v>
      </c>
      <c r="K25" s="126">
        <v>9</v>
      </c>
      <c r="L25" s="126">
        <v>9</v>
      </c>
      <c r="M25" s="128">
        <f t="shared" si="0"/>
        <v>9</v>
      </c>
      <c r="N25" s="128">
        <f t="shared" si="1"/>
        <v>241.74</v>
      </c>
      <c r="O25" s="128">
        <f t="shared" si="2"/>
        <v>135.37440000000001</v>
      </c>
      <c r="P25" s="126">
        <v>0.25</v>
      </c>
      <c r="Q25" s="126">
        <v>1.86</v>
      </c>
      <c r="R25" s="126">
        <v>2.12</v>
      </c>
      <c r="S25" s="128">
        <f t="shared" si="3"/>
        <v>1.9900000000000002</v>
      </c>
      <c r="T25" s="128">
        <f t="shared" si="4"/>
        <v>108.44</v>
      </c>
      <c r="U25" s="128">
        <f t="shared" si="5"/>
        <v>215.79560000000001</v>
      </c>
      <c r="V25" s="128">
        <f t="shared" si="6"/>
        <v>120.84553600000001</v>
      </c>
      <c r="W25" s="128">
        <f t="shared" si="7"/>
        <v>256.21993600000002</v>
      </c>
      <c r="X25" s="129"/>
      <c r="Y25" s="130" t="str">
        <f>IF(X25="","",IFERROR(VLOOKUP(X25,Listas!$A$4:$B$11,2,FALSE()),""))</f>
        <v/>
      </c>
      <c r="Z25" s="131"/>
      <c r="AA25" s="131"/>
      <c r="AB25" s="131"/>
      <c r="AC25" s="132">
        <f t="shared" si="8"/>
        <v>0</v>
      </c>
      <c r="AD25" s="132">
        <f t="shared" si="9"/>
        <v>0</v>
      </c>
      <c r="AE25" s="132">
        <f t="shared" si="10"/>
        <v>0</v>
      </c>
      <c r="AF25" s="132">
        <f t="shared" si="11"/>
        <v>0</v>
      </c>
      <c r="AG25" s="133">
        <f t="shared" si="12"/>
        <v>256.21993600000002</v>
      </c>
    </row>
    <row r="26" spans="1:33" ht="36" customHeight="1" x14ac:dyDescent="0.3">
      <c r="A26" s="123">
        <v>16</v>
      </c>
      <c r="B26" s="124" t="s">
        <v>169</v>
      </c>
      <c r="C26" s="124" t="s">
        <v>419</v>
      </c>
      <c r="D26" s="125" t="s">
        <v>296</v>
      </c>
      <c r="E26" s="124" t="s">
        <v>454</v>
      </c>
      <c r="F26" s="124" t="s">
        <v>455</v>
      </c>
      <c r="G26" s="126">
        <v>6.55</v>
      </c>
      <c r="H26" s="124" t="s">
        <v>422</v>
      </c>
      <c r="I26" s="127">
        <f>IF(H26="","",IFERROR(VLOOKUP(H26,Listas!$A$4:$B$11,2,FALSE()),""))</f>
        <v>0.56000000000000005</v>
      </c>
      <c r="J26" s="126">
        <v>0.21</v>
      </c>
      <c r="K26" s="126">
        <v>7</v>
      </c>
      <c r="L26" s="126">
        <v>7</v>
      </c>
      <c r="M26" s="128">
        <f t="shared" si="0"/>
        <v>7</v>
      </c>
      <c r="N26" s="128">
        <f t="shared" si="1"/>
        <v>45.85</v>
      </c>
      <c r="O26" s="128">
        <f t="shared" si="2"/>
        <v>25.676000000000002</v>
      </c>
      <c r="P26" s="126">
        <v>0.25</v>
      </c>
      <c r="Q26" s="126">
        <v>1.42</v>
      </c>
      <c r="R26" s="126">
        <v>1.48</v>
      </c>
      <c r="S26" s="128">
        <f t="shared" si="3"/>
        <v>1.45</v>
      </c>
      <c r="T26" s="128">
        <f t="shared" si="4"/>
        <v>27.2</v>
      </c>
      <c r="U26" s="128">
        <f t="shared" si="5"/>
        <v>39.44</v>
      </c>
      <c r="V26" s="128">
        <f t="shared" si="6"/>
        <v>22.086400000000001</v>
      </c>
      <c r="W26" s="128">
        <f t="shared" si="7"/>
        <v>47.7624</v>
      </c>
      <c r="X26" s="129"/>
      <c r="Y26" s="130" t="str">
        <f>IF(X26="","",IFERROR(VLOOKUP(X26,Listas!$A$4:$B$11,2,FALSE()),""))</f>
        <v/>
      </c>
      <c r="Z26" s="131"/>
      <c r="AA26" s="131"/>
      <c r="AB26" s="131"/>
      <c r="AC26" s="132">
        <f t="shared" si="8"/>
        <v>0</v>
      </c>
      <c r="AD26" s="132">
        <f t="shared" si="9"/>
        <v>0</v>
      </c>
      <c r="AE26" s="132">
        <f t="shared" si="10"/>
        <v>0</v>
      </c>
      <c r="AF26" s="132">
        <f t="shared" si="11"/>
        <v>0</v>
      </c>
      <c r="AG26" s="133">
        <f t="shared" si="12"/>
        <v>47.7624</v>
      </c>
    </row>
    <row r="27" spans="1:33" ht="36" customHeight="1" x14ac:dyDescent="0.3">
      <c r="A27" s="123">
        <v>17</v>
      </c>
      <c r="B27" s="124" t="s">
        <v>169</v>
      </c>
      <c r="C27" s="124" t="s">
        <v>423</v>
      </c>
      <c r="D27" s="125" t="s">
        <v>424</v>
      </c>
      <c r="E27" s="124" t="s">
        <v>455</v>
      </c>
      <c r="F27" s="124" t="s">
        <v>456</v>
      </c>
      <c r="G27" s="126">
        <v>8.83</v>
      </c>
      <c r="H27" s="124" t="s">
        <v>422</v>
      </c>
      <c r="I27" s="127">
        <f>IF(H27="","",IFERROR(VLOOKUP(H27,Listas!$A$4:$B$11,2,FALSE()),""))</f>
        <v>0.56000000000000005</v>
      </c>
      <c r="J27" s="126">
        <v>0.23</v>
      </c>
      <c r="K27" s="126">
        <v>8</v>
      </c>
      <c r="L27" s="126">
        <v>8</v>
      </c>
      <c r="M27" s="128">
        <f t="shared" si="0"/>
        <v>8</v>
      </c>
      <c r="N27" s="128">
        <f t="shared" si="1"/>
        <v>70.64</v>
      </c>
      <c r="O27" s="128">
        <f t="shared" si="2"/>
        <v>39.558400000000006</v>
      </c>
      <c r="P27" s="126">
        <v>0.25</v>
      </c>
      <c r="Q27" s="126">
        <v>1.48</v>
      </c>
      <c r="R27" s="126">
        <v>1.58</v>
      </c>
      <c r="S27" s="128">
        <f t="shared" si="3"/>
        <v>1.53</v>
      </c>
      <c r="T27" s="128">
        <f t="shared" si="4"/>
        <v>36.32</v>
      </c>
      <c r="U27" s="128">
        <f t="shared" si="5"/>
        <v>55.569600000000001</v>
      </c>
      <c r="V27" s="128">
        <f t="shared" si="6"/>
        <v>31.118976000000004</v>
      </c>
      <c r="W27" s="128">
        <f t="shared" si="7"/>
        <v>70.67737600000001</v>
      </c>
      <c r="X27" s="129" t="s">
        <v>422</v>
      </c>
      <c r="Y27" s="130">
        <f>IF(X27="","",IFERROR(VLOOKUP(X27,Listas!$A$4:$B$11,2,FALSE()),""))</f>
        <v>0.56000000000000005</v>
      </c>
      <c r="Z27" s="131">
        <v>0.25</v>
      </c>
      <c r="AA27" s="131">
        <v>0.56000000000000005</v>
      </c>
      <c r="AB27" s="131">
        <v>0.56000000000000005</v>
      </c>
      <c r="AC27" s="132">
        <f t="shared" si="8"/>
        <v>0.56000000000000005</v>
      </c>
      <c r="AD27" s="132">
        <f t="shared" si="9"/>
        <v>36.32</v>
      </c>
      <c r="AE27" s="132">
        <f t="shared" si="10"/>
        <v>20.339200000000002</v>
      </c>
      <c r="AF27" s="132">
        <f t="shared" si="11"/>
        <v>11.389952000000003</v>
      </c>
      <c r="AG27" s="133">
        <f t="shared" si="12"/>
        <v>82.067328000000018</v>
      </c>
    </row>
    <row r="28" spans="1:33" ht="36" customHeight="1" x14ac:dyDescent="0.3">
      <c r="A28" s="123">
        <v>18</v>
      </c>
      <c r="B28" s="124" t="s">
        <v>169</v>
      </c>
      <c r="C28" s="124" t="s">
        <v>426</v>
      </c>
      <c r="D28" s="125" t="s">
        <v>424</v>
      </c>
      <c r="E28" s="124" t="s">
        <v>456</v>
      </c>
      <c r="F28" s="124" t="s">
        <v>457</v>
      </c>
      <c r="G28" s="126">
        <v>3.85</v>
      </c>
      <c r="H28" s="124" t="s">
        <v>422</v>
      </c>
      <c r="I28" s="127">
        <f>IF(H28="","",IFERROR(VLOOKUP(H28,Listas!$A$4:$B$11,2,FALSE()),""))</f>
        <v>0.56000000000000005</v>
      </c>
      <c r="J28" s="126">
        <v>0.23</v>
      </c>
      <c r="K28" s="126">
        <v>8</v>
      </c>
      <c r="L28" s="126">
        <v>10</v>
      </c>
      <c r="M28" s="128">
        <f t="shared" si="0"/>
        <v>9</v>
      </c>
      <c r="N28" s="128">
        <f t="shared" si="1"/>
        <v>34.65</v>
      </c>
      <c r="O28" s="128">
        <f t="shared" si="2"/>
        <v>19.404</v>
      </c>
      <c r="P28" s="126">
        <v>0.25</v>
      </c>
      <c r="Q28" s="126">
        <v>1.58</v>
      </c>
      <c r="R28" s="126">
        <v>1.62</v>
      </c>
      <c r="S28" s="128">
        <f t="shared" si="3"/>
        <v>1.6</v>
      </c>
      <c r="T28" s="128">
        <f t="shared" si="4"/>
        <v>16.399999999999999</v>
      </c>
      <c r="U28" s="128">
        <f t="shared" si="5"/>
        <v>26.24</v>
      </c>
      <c r="V28" s="128">
        <f t="shared" si="6"/>
        <v>14.6944</v>
      </c>
      <c r="W28" s="128">
        <f t="shared" si="7"/>
        <v>34.098399999999998</v>
      </c>
      <c r="X28" s="129" t="s">
        <v>422</v>
      </c>
      <c r="Y28" s="130">
        <f>IF(X28="","",IFERROR(VLOOKUP(X28,Listas!$A$4:$B$11,2,FALSE()),""))</f>
        <v>0.56000000000000005</v>
      </c>
      <c r="Z28" s="131">
        <v>0.25</v>
      </c>
      <c r="AA28" s="131">
        <v>0.56000000000000005</v>
      </c>
      <c r="AB28" s="131">
        <v>0.56000000000000005</v>
      </c>
      <c r="AC28" s="132">
        <f t="shared" si="8"/>
        <v>0.56000000000000005</v>
      </c>
      <c r="AD28" s="132">
        <f t="shared" si="9"/>
        <v>16.399999999999999</v>
      </c>
      <c r="AE28" s="132">
        <f t="shared" si="10"/>
        <v>9.1839999999999993</v>
      </c>
      <c r="AF28" s="132">
        <f t="shared" si="11"/>
        <v>5.1430400000000001</v>
      </c>
      <c r="AG28" s="133">
        <f t="shared" si="12"/>
        <v>39.241439999999997</v>
      </c>
    </row>
    <row r="29" spans="1:33" ht="36" customHeight="1" x14ac:dyDescent="0.3">
      <c r="A29" s="123">
        <v>19</v>
      </c>
      <c r="B29" s="124" t="s">
        <v>169</v>
      </c>
      <c r="C29" s="124" t="s">
        <v>429</v>
      </c>
      <c r="D29" s="125" t="s">
        <v>424</v>
      </c>
      <c r="E29" s="124" t="s">
        <v>457</v>
      </c>
      <c r="F29" s="124" t="s">
        <v>458</v>
      </c>
      <c r="G29" s="126">
        <v>2.0299999999999998</v>
      </c>
      <c r="H29" s="124" t="s">
        <v>422</v>
      </c>
      <c r="I29" s="127">
        <f>IF(H29="","",IFERROR(VLOOKUP(H29,Listas!$A$4:$B$11,2,FALSE()),""))</f>
        <v>0.56000000000000005</v>
      </c>
      <c r="J29" s="126">
        <v>0.17</v>
      </c>
      <c r="K29" s="126">
        <v>10</v>
      </c>
      <c r="L29" s="126">
        <v>10</v>
      </c>
      <c r="M29" s="128">
        <f t="shared" si="0"/>
        <v>10</v>
      </c>
      <c r="N29" s="128">
        <f t="shared" si="1"/>
        <v>20.299999999999997</v>
      </c>
      <c r="O29" s="128">
        <f t="shared" si="2"/>
        <v>11.368</v>
      </c>
      <c r="P29" s="126">
        <v>0.25</v>
      </c>
      <c r="Q29" s="126">
        <v>1.62</v>
      </c>
      <c r="R29" s="126">
        <v>1.63</v>
      </c>
      <c r="S29" s="128">
        <f t="shared" si="3"/>
        <v>1.625</v>
      </c>
      <c r="T29" s="128">
        <f t="shared" si="4"/>
        <v>9.1199999999999992</v>
      </c>
      <c r="U29" s="128">
        <f t="shared" si="5"/>
        <v>14.819999999999999</v>
      </c>
      <c r="V29" s="128">
        <f t="shared" si="6"/>
        <v>8.2992000000000008</v>
      </c>
      <c r="W29" s="128">
        <f t="shared" si="7"/>
        <v>19.667200000000001</v>
      </c>
      <c r="X29" s="129" t="s">
        <v>422</v>
      </c>
      <c r="Y29" s="130">
        <f>IF(X29="","",IFERROR(VLOOKUP(X29,Listas!$A$4:$B$11,2,FALSE()),""))</f>
        <v>0.56000000000000005</v>
      </c>
      <c r="Z29" s="131">
        <v>0.25</v>
      </c>
      <c r="AA29" s="131">
        <v>0.56000000000000005</v>
      </c>
      <c r="AB29" s="131">
        <v>0.56000000000000005</v>
      </c>
      <c r="AC29" s="132">
        <f t="shared" si="8"/>
        <v>0.56000000000000005</v>
      </c>
      <c r="AD29" s="132">
        <f t="shared" si="9"/>
        <v>9.1199999999999992</v>
      </c>
      <c r="AE29" s="132">
        <f t="shared" si="10"/>
        <v>5.1071999999999997</v>
      </c>
      <c r="AF29" s="132">
        <f t="shared" si="11"/>
        <v>2.8600319999999999</v>
      </c>
      <c r="AG29" s="133">
        <f t="shared" si="12"/>
        <v>22.527232000000001</v>
      </c>
    </row>
    <row r="30" spans="1:33" ht="36" customHeight="1" x14ac:dyDescent="0.3">
      <c r="A30" s="123">
        <v>20</v>
      </c>
      <c r="B30" s="124" t="s">
        <v>171</v>
      </c>
      <c r="C30" s="124" t="s">
        <v>419</v>
      </c>
      <c r="D30" s="125" t="s">
        <v>296</v>
      </c>
      <c r="E30" s="124" t="s">
        <v>459</v>
      </c>
      <c r="F30" s="124" t="s">
        <v>460</v>
      </c>
      <c r="G30" s="126">
        <v>3.55</v>
      </c>
      <c r="H30" s="124" t="s">
        <v>422</v>
      </c>
      <c r="I30" s="127">
        <f>IF(H30="","",IFERROR(VLOOKUP(H30,Listas!$A$4:$B$11,2,FALSE()),""))</f>
        <v>0.56000000000000005</v>
      </c>
      <c r="J30" s="126">
        <v>0.2</v>
      </c>
      <c r="K30" s="126">
        <v>7</v>
      </c>
      <c r="L30" s="126">
        <v>7</v>
      </c>
      <c r="M30" s="128">
        <f t="shared" si="0"/>
        <v>7</v>
      </c>
      <c r="N30" s="128">
        <f t="shared" si="1"/>
        <v>24.849999999999998</v>
      </c>
      <c r="O30" s="128">
        <f t="shared" si="2"/>
        <v>13.916</v>
      </c>
      <c r="P30" s="126">
        <v>0.25</v>
      </c>
      <c r="Q30" s="126">
        <v>1.42</v>
      </c>
      <c r="R30" s="126">
        <v>1.48</v>
      </c>
      <c r="S30" s="128">
        <f t="shared" si="3"/>
        <v>1.45</v>
      </c>
      <c r="T30" s="128">
        <f t="shared" si="4"/>
        <v>15.2</v>
      </c>
      <c r="U30" s="128">
        <f t="shared" si="5"/>
        <v>22.04</v>
      </c>
      <c r="V30" s="128">
        <f t="shared" si="6"/>
        <v>12.342400000000001</v>
      </c>
      <c r="W30" s="128">
        <f t="shared" si="7"/>
        <v>26.258400000000002</v>
      </c>
      <c r="X30" s="129"/>
      <c r="Y30" s="130" t="str">
        <f>IF(X30="","",IFERROR(VLOOKUP(X30,Listas!$A$4:$B$11,2,FALSE()),""))</f>
        <v/>
      </c>
      <c r="Z30" s="131"/>
      <c r="AA30" s="131"/>
      <c r="AB30" s="131"/>
      <c r="AC30" s="132">
        <f t="shared" si="8"/>
        <v>0</v>
      </c>
      <c r="AD30" s="132">
        <f t="shared" si="9"/>
        <v>0</v>
      </c>
      <c r="AE30" s="132">
        <f t="shared" si="10"/>
        <v>0</v>
      </c>
      <c r="AF30" s="132">
        <f t="shared" si="11"/>
        <v>0</v>
      </c>
      <c r="AG30" s="133">
        <f t="shared" si="12"/>
        <v>26.258400000000002</v>
      </c>
    </row>
    <row r="31" spans="1:33" ht="36" customHeight="1" x14ac:dyDescent="0.3">
      <c r="A31" s="123">
        <v>21</v>
      </c>
      <c r="B31" s="124" t="s">
        <v>171</v>
      </c>
      <c r="C31" s="124" t="s">
        <v>423</v>
      </c>
      <c r="D31" s="125" t="s">
        <v>424</v>
      </c>
      <c r="E31" s="124" t="s">
        <v>460</v>
      </c>
      <c r="F31" s="124" t="s">
        <v>461</v>
      </c>
      <c r="G31" s="126">
        <v>12.05</v>
      </c>
      <c r="H31" s="124" t="s">
        <v>422</v>
      </c>
      <c r="I31" s="127">
        <f>IF(H31="","",IFERROR(VLOOKUP(H31,Listas!$A$4:$B$11,2,FALSE()),""))</f>
        <v>0.56000000000000005</v>
      </c>
      <c r="J31" s="126">
        <v>0.23</v>
      </c>
      <c r="K31" s="126">
        <v>8</v>
      </c>
      <c r="L31" s="126">
        <v>8</v>
      </c>
      <c r="M31" s="128">
        <f t="shared" si="0"/>
        <v>8</v>
      </c>
      <c r="N31" s="128">
        <f t="shared" si="1"/>
        <v>96.4</v>
      </c>
      <c r="O31" s="128">
        <f t="shared" si="2"/>
        <v>53.984000000000009</v>
      </c>
      <c r="P31" s="126">
        <v>0.25</v>
      </c>
      <c r="Q31" s="126">
        <v>1.48</v>
      </c>
      <c r="R31" s="126">
        <v>1.58</v>
      </c>
      <c r="S31" s="128">
        <f t="shared" si="3"/>
        <v>1.53</v>
      </c>
      <c r="T31" s="128">
        <f t="shared" si="4"/>
        <v>49.2</v>
      </c>
      <c r="U31" s="128">
        <f t="shared" si="5"/>
        <v>75.27600000000001</v>
      </c>
      <c r="V31" s="128">
        <f t="shared" si="6"/>
        <v>42.154560000000011</v>
      </c>
      <c r="W31" s="128">
        <f t="shared" si="7"/>
        <v>96.138560000000012</v>
      </c>
      <c r="X31" s="129" t="s">
        <v>422</v>
      </c>
      <c r="Y31" s="130">
        <f>IF(X31="","",IFERROR(VLOOKUP(X31,Listas!$A$4:$B$11,2,FALSE()),""))</f>
        <v>0.56000000000000005</v>
      </c>
      <c r="Z31" s="131">
        <v>0.25</v>
      </c>
      <c r="AA31" s="131">
        <v>0.56000000000000005</v>
      </c>
      <c r="AB31" s="131">
        <v>0.56000000000000005</v>
      </c>
      <c r="AC31" s="132">
        <f t="shared" si="8"/>
        <v>0.56000000000000005</v>
      </c>
      <c r="AD31" s="132">
        <f t="shared" si="9"/>
        <v>49.2</v>
      </c>
      <c r="AE31" s="132">
        <f t="shared" si="10"/>
        <v>27.552000000000003</v>
      </c>
      <c r="AF31" s="132">
        <f t="shared" si="11"/>
        <v>15.429120000000003</v>
      </c>
      <c r="AG31" s="133">
        <f t="shared" si="12"/>
        <v>111.56768000000001</v>
      </c>
    </row>
    <row r="32" spans="1:33" ht="36" customHeight="1" x14ac:dyDescent="0.3">
      <c r="A32" s="123">
        <v>22</v>
      </c>
      <c r="B32" s="124" t="s">
        <v>171</v>
      </c>
      <c r="C32" s="124" t="s">
        <v>426</v>
      </c>
      <c r="D32" s="125" t="s">
        <v>424</v>
      </c>
      <c r="E32" s="124" t="s">
        <v>462</v>
      </c>
      <c r="F32" s="124" t="s">
        <v>463</v>
      </c>
      <c r="G32" s="126">
        <v>3.4</v>
      </c>
      <c r="H32" s="124" t="s">
        <v>422</v>
      </c>
      <c r="I32" s="127">
        <f>IF(H32="","",IFERROR(VLOOKUP(H32,Listas!$A$4:$B$11,2,FALSE()),""))</f>
        <v>0.56000000000000005</v>
      </c>
      <c r="J32" s="126">
        <v>0.23</v>
      </c>
      <c r="K32" s="126">
        <v>10</v>
      </c>
      <c r="L32" s="126">
        <v>10</v>
      </c>
      <c r="M32" s="128">
        <f t="shared" si="0"/>
        <v>10</v>
      </c>
      <c r="N32" s="128">
        <f t="shared" si="1"/>
        <v>34</v>
      </c>
      <c r="O32" s="128">
        <f t="shared" si="2"/>
        <v>19.040000000000003</v>
      </c>
      <c r="P32" s="126">
        <v>0.25</v>
      </c>
      <c r="Q32" s="126">
        <v>1.98</v>
      </c>
      <c r="R32" s="126">
        <v>2</v>
      </c>
      <c r="S32" s="128">
        <f t="shared" si="3"/>
        <v>1.99</v>
      </c>
      <c r="T32" s="128">
        <f t="shared" si="4"/>
        <v>14.6</v>
      </c>
      <c r="U32" s="128">
        <f t="shared" si="5"/>
        <v>29.053999999999998</v>
      </c>
      <c r="V32" s="128">
        <f t="shared" si="6"/>
        <v>16.270240000000001</v>
      </c>
      <c r="W32" s="128">
        <f t="shared" si="7"/>
        <v>35.310240000000007</v>
      </c>
      <c r="X32" s="129" t="s">
        <v>422</v>
      </c>
      <c r="Y32" s="130">
        <f>IF(X32="","",IFERROR(VLOOKUP(X32,Listas!$A$4:$B$11,2,FALSE()),""))</f>
        <v>0.56000000000000005</v>
      </c>
      <c r="Z32" s="131">
        <v>0.25</v>
      </c>
      <c r="AA32" s="131">
        <v>0.56000000000000005</v>
      </c>
      <c r="AB32" s="131">
        <v>0.56000000000000005</v>
      </c>
      <c r="AC32" s="132">
        <f t="shared" si="8"/>
        <v>0.56000000000000005</v>
      </c>
      <c r="AD32" s="132">
        <f t="shared" si="9"/>
        <v>14.6</v>
      </c>
      <c r="AE32" s="132">
        <f t="shared" si="10"/>
        <v>8.1760000000000002</v>
      </c>
      <c r="AF32" s="132">
        <f t="shared" si="11"/>
        <v>4.5785600000000004</v>
      </c>
      <c r="AG32" s="133">
        <f t="shared" si="12"/>
        <v>39.88880000000001</v>
      </c>
    </row>
    <row r="33" spans="1:33" ht="36" customHeight="1" x14ac:dyDescent="0.3">
      <c r="A33" s="123">
        <v>23</v>
      </c>
      <c r="B33" s="124" t="s">
        <v>171</v>
      </c>
      <c r="C33" s="124" t="s">
        <v>429</v>
      </c>
      <c r="D33" s="125" t="s">
        <v>296</v>
      </c>
      <c r="E33" s="124" t="s">
        <v>464</v>
      </c>
      <c r="F33" s="124" t="s">
        <v>465</v>
      </c>
      <c r="G33" s="126">
        <v>18.899999999999999</v>
      </c>
      <c r="H33" s="124" t="s">
        <v>422</v>
      </c>
      <c r="I33" s="127">
        <f>IF(H33="","",IFERROR(VLOOKUP(H33,Listas!$A$4:$B$11,2,FALSE()),""))</f>
        <v>0.56000000000000005</v>
      </c>
      <c r="J33" s="126">
        <v>0.21</v>
      </c>
      <c r="K33" s="126">
        <v>9</v>
      </c>
      <c r="L33" s="126">
        <v>11</v>
      </c>
      <c r="M33" s="128">
        <f t="shared" si="0"/>
        <v>10</v>
      </c>
      <c r="N33" s="128">
        <f t="shared" si="1"/>
        <v>189</v>
      </c>
      <c r="O33" s="128">
        <f t="shared" si="2"/>
        <v>105.84</v>
      </c>
      <c r="P33" s="126">
        <v>0.25</v>
      </c>
      <c r="Q33" s="126">
        <v>2</v>
      </c>
      <c r="R33" s="126">
        <v>2.2200000000000002</v>
      </c>
      <c r="S33" s="128">
        <f t="shared" si="3"/>
        <v>2.1100000000000003</v>
      </c>
      <c r="T33" s="128">
        <f t="shared" si="4"/>
        <v>76.599999999999994</v>
      </c>
      <c r="U33" s="128">
        <f t="shared" si="5"/>
        <v>161.626</v>
      </c>
      <c r="V33" s="128">
        <f t="shared" si="6"/>
        <v>90.510560000000012</v>
      </c>
      <c r="W33" s="128">
        <f t="shared" si="7"/>
        <v>196.35056000000003</v>
      </c>
      <c r="X33" s="129"/>
      <c r="Y33" s="130" t="str">
        <f>IF(X33="","",IFERROR(VLOOKUP(X33,Listas!$A$4:$B$11,2,FALSE()),""))</f>
        <v/>
      </c>
      <c r="Z33" s="131"/>
      <c r="AA33" s="131"/>
      <c r="AB33" s="131"/>
      <c r="AC33" s="132">
        <f t="shared" si="8"/>
        <v>0</v>
      </c>
      <c r="AD33" s="132">
        <f t="shared" si="9"/>
        <v>0</v>
      </c>
      <c r="AE33" s="132">
        <f t="shared" si="10"/>
        <v>0</v>
      </c>
      <c r="AF33" s="132">
        <f t="shared" si="11"/>
        <v>0</v>
      </c>
      <c r="AG33" s="133">
        <f t="shared" si="12"/>
        <v>196.35056000000003</v>
      </c>
    </row>
    <row r="34" spans="1:33" ht="36" customHeight="1" x14ac:dyDescent="0.3">
      <c r="A34" s="123">
        <v>24</v>
      </c>
      <c r="B34" s="124" t="s">
        <v>171</v>
      </c>
      <c r="C34" s="124" t="s">
        <v>432</v>
      </c>
      <c r="D34" s="125" t="s">
        <v>424</v>
      </c>
      <c r="E34" s="124" t="s">
        <v>465</v>
      </c>
      <c r="F34" s="124" t="s">
        <v>466</v>
      </c>
      <c r="G34" s="126">
        <v>2.52</v>
      </c>
      <c r="H34" s="124" t="s">
        <v>422</v>
      </c>
      <c r="I34" s="127">
        <f>IF(H34="","",IFERROR(VLOOKUP(H34,Listas!$A$4:$B$11,2,FALSE()),""))</f>
        <v>0.56000000000000005</v>
      </c>
      <c r="J34" s="126">
        <v>0.2</v>
      </c>
      <c r="K34" s="126">
        <v>12</v>
      </c>
      <c r="L34" s="126">
        <v>12</v>
      </c>
      <c r="M34" s="128">
        <f t="shared" si="0"/>
        <v>12</v>
      </c>
      <c r="N34" s="128">
        <f t="shared" si="1"/>
        <v>30.240000000000002</v>
      </c>
      <c r="O34" s="128">
        <f t="shared" si="2"/>
        <v>16.934400000000004</v>
      </c>
      <c r="P34" s="126">
        <v>0.25</v>
      </c>
      <c r="Q34" s="126">
        <v>2.2200000000000002</v>
      </c>
      <c r="R34" s="126">
        <v>2.23</v>
      </c>
      <c r="S34" s="128">
        <f t="shared" si="3"/>
        <v>2.2250000000000001</v>
      </c>
      <c r="T34" s="128">
        <f t="shared" si="4"/>
        <v>11.08</v>
      </c>
      <c r="U34" s="128">
        <f t="shared" si="5"/>
        <v>24.653000000000002</v>
      </c>
      <c r="V34" s="128">
        <f t="shared" si="6"/>
        <v>13.805680000000002</v>
      </c>
      <c r="W34" s="128">
        <f t="shared" si="7"/>
        <v>30.740080000000006</v>
      </c>
      <c r="X34" s="129" t="s">
        <v>422</v>
      </c>
      <c r="Y34" s="130">
        <f>IF(X34="","",IFERROR(VLOOKUP(X34,Listas!$A$4:$B$11,2,FALSE()),""))</f>
        <v>0.56000000000000005</v>
      </c>
      <c r="Z34" s="131">
        <v>0.25</v>
      </c>
      <c r="AA34" s="131">
        <v>0.56000000000000005</v>
      </c>
      <c r="AB34" s="131">
        <v>0.56000000000000005</v>
      </c>
      <c r="AC34" s="132">
        <f t="shared" si="8"/>
        <v>0.56000000000000005</v>
      </c>
      <c r="AD34" s="132">
        <f t="shared" si="9"/>
        <v>11.08</v>
      </c>
      <c r="AE34" s="132">
        <f t="shared" si="10"/>
        <v>6.2048000000000005</v>
      </c>
      <c r="AF34" s="132">
        <f t="shared" si="11"/>
        <v>3.4746880000000004</v>
      </c>
      <c r="AG34" s="133">
        <f t="shared" si="12"/>
        <v>34.214768000000007</v>
      </c>
    </row>
    <row r="35" spans="1:33" ht="36" customHeight="1" x14ac:dyDescent="0.3">
      <c r="A35" s="123">
        <v>25</v>
      </c>
      <c r="B35" s="124" t="s">
        <v>171</v>
      </c>
      <c r="C35" s="124" t="s">
        <v>446</v>
      </c>
      <c r="D35" s="125" t="s">
        <v>424</v>
      </c>
      <c r="E35" s="124" t="s">
        <v>467</v>
      </c>
      <c r="F35" s="124" t="s">
        <v>468</v>
      </c>
      <c r="G35" s="126">
        <v>15.48</v>
      </c>
      <c r="H35" s="124" t="s">
        <v>422</v>
      </c>
      <c r="I35" s="127">
        <f>IF(H35="","",IFERROR(VLOOKUP(H35,Listas!$A$4:$B$11,2,FALSE()),""))</f>
        <v>0.56000000000000005</v>
      </c>
      <c r="J35" s="126">
        <v>0.21</v>
      </c>
      <c r="K35" s="126">
        <v>10</v>
      </c>
      <c r="L35" s="126">
        <v>10</v>
      </c>
      <c r="M35" s="128">
        <f t="shared" si="0"/>
        <v>10</v>
      </c>
      <c r="N35" s="128">
        <f t="shared" si="1"/>
        <v>154.80000000000001</v>
      </c>
      <c r="O35" s="128">
        <f t="shared" si="2"/>
        <v>86.688000000000017</v>
      </c>
      <c r="P35" s="126">
        <v>0.25</v>
      </c>
      <c r="Q35" s="126">
        <v>1.82</v>
      </c>
      <c r="R35" s="126">
        <v>2.02</v>
      </c>
      <c r="S35" s="128">
        <f t="shared" si="3"/>
        <v>1.92</v>
      </c>
      <c r="T35" s="128">
        <f t="shared" si="4"/>
        <v>62.92</v>
      </c>
      <c r="U35" s="128">
        <f t="shared" si="5"/>
        <v>120.8064</v>
      </c>
      <c r="V35" s="128">
        <f t="shared" si="6"/>
        <v>67.651584</v>
      </c>
      <c r="W35" s="128">
        <f t="shared" si="7"/>
        <v>154.339584</v>
      </c>
      <c r="X35" s="129" t="s">
        <v>422</v>
      </c>
      <c r="Y35" s="130">
        <f>IF(X35="","",IFERROR(VLOOKUP(X35,Listas!$A$4:$B$11,2,FALSE()),""))</f>
        <v>0.56000000000000005</v>
      </c>
      <c r="Z35" s="131">
        <v>0.25</v>
      </c>
      <c r="AA35" s="131">
        <v>0.56000000000000005</v>
      </c>
      <c r="AB35" s="131">
        <v>0.56000000000000005</v>
      </c>
      <c r="AC35" s="132">
        <f t="shared" si="8"/>
        <v>0.56000000000000005</v>
      </c>
      <c r="AD35" s="132">
        <f t="shared" si="9"/>
        <v>62.92</v>
      </c>
      <c r="AE35" s="132">
        <f t="shared" si="10"/>
        <v>35.235200000000006</v>
      </c>
      <c r="AF35" s="132">
        <f t="shared" si="11"/>
        <v>19.731712000000005</v>
      </c>
      <c r="AG35" s="133">
        <f t="shared" si="12"/>
        <v>174.07129600000002</v>
      </c>
    </row>
    <row r="36" spans="1:33" ht="36" customHeight="1" x14ac:dyDescent="0.3">
      <c r="A36" s="123">
        <v>26</v>
      </c>
      <c r="B36" s="124" t="s">
        <v>171</v>
      </c>
      <c r="C36" s="124" t="s">
        <v>448</v>
      </c>
      <c r="D36" s="125" t="s">
        <v>424</v>
      </c>
      <c r="E36" s="124" t="s">
        <v>469</v>
      </c>
      <c r="F36" s="124" t="s">
        <v>470</v>
      </c>
      <c r="G36" s="126">
        <v>2.19</v>
      </c>
      <c r="H36" s="124" t="s">
        <v>422</v>
      </c>
      <c r="I36" s="127">
        <f>IF(H36="","",IFERROR(VLOOKUP(H36,Listas!$A$4:$B$11,2,FALSE()),""))</f>
        <v>0.56000000000000005</v>
      </c>
      <c r="J36" s="126">
        <v>0.2</v>
      </c>
      <c r="K36" s="126">
        <v>10</v>
      </c>
      <c r="L36" s="126">
        <v>10</v>
      </c>
      <c r="M36" s="128">
        <f t="shared" si="0"/>
        <v>10</v>
      </c>
      <c r="N36" s="128">
        <f t="shared" si="1"/>
        <v>21.9</v>
      </c>
      <c r="O36" s="128">
        <f t="shared" si="2"/>
        <v>12.264000000000001</v>
      </c>
      <c r="P36" s="126">
        <v>0.25</v>
      </c>
      <c r="Q36" s="126">
        <v>1.76</v>
      </c>
      <c r="R36" s="126">
        <v>1.77</v>
      </c>
      <c r="S36" s="128">
        <f t="shared" si="3"/>
        <v>1.7650000000000001</v>
      </c>
      <c r="T36" s="128">
        <f t="shared" si="4"/>
        <v>9.76</v>
      </c>
      <c r="U36" s="128">
        <f t="shared" si="5"/>
        <v>17.226400000000002</v>
      </c>
      <c r="V36" s="128">
        <f t="shared" si="6"/>
        <v>9.646784000000002</v>
      </c>
      <c r="W36" s="128">
        <f t="shared" si="7"/>
        <v>21.910784000000003</v>
      </c>
      <c r="X36" s="129" t="s">
        <v>422</v>
      </c>
      <c r="Y36" s="130">
        <f>IF(X36="","",IFERROR(VLOOKUP(X36,Listas!$A$4:$B$11,2,FALSE()),""))</f>
        <v>0.56000000000000005</v>
      </c>
      <c r="Z36" s="131">
        <v>0.25</v>
      </c>
      <c r="AA36" s="131">
        <v>0.56000000000000005</v>
      </c>
      <c r="AB36" s="131">
        <v>0.56000000000000005</v>
      </c>
      <c r="AC36" s="132">
        <f t="shared" si="8"/>
        <v>0.56000000000000005</v>
      </c>
      <c r="AD36" s="132">
        <f t="shared" si="9"/>
        <v>9.76</v>
      </c>
      <c r="AE36" s="132">
        <f t="shared" si="10"/>
        <v>5.4656000000000002</v>
      </c>
      <c r="AF36" s="132">
        <f t="shared" si="11"/>
        <v>3.0607360000000003</v>
      </c>
      <c r="AG36" s="133">
        <f t="shared" si="12"/>
        <v>24.971520000000005</v>
      </c>
    </row>
    <row r="37" spans="1:33" ht="36" customHeight="1" x14ac:dyDescent="0.3">
      <c r="A37" s="123">
        <v>27</v>
      </c>
      <c r="B37" s="124" t="s">
        <v>171</v>
      </c>
      <c r="C37" s="124" t="s">
        <v>471</v>
      </c>
      <c r="D37" s="125" t="s">
        <v>424</v>
      </c>
      <c r="E37" s="124" t="s">
        <v>472</v>
      </c>
      <c r="F37" s="124" t="s">
        <v>473</v>
      </c>
      <c r="G37" s="126">
        <v>4.3600000000000003</v>
      </c>
      <c r="H37" s="124" t="s">
        <v>422</v>
      </c>
      <c r="I37" s="127">
        <f>IF(H37="","",IFERROR(VLOOKUP(H37,Listas!$A$4:$B$11,2,FALSE()),""))</f>
        <v>0.56000000000000005</v>
      </c>
      <c r="J37" s="126">
        <v>0.21</v>
      </c>
      <c r="K37" s="126">
        <v>10</v>
      </c>
      <c r="L37" s="126">
        <v>10</v>
      </c>
      <c r="M37" s="128">
        <f t="shared" si="0"/>
        <v>10</v>
      </c>
      <c r="N37" s="128">
        <f t="shared" si="1"/>
        <v>43.6</v>
      </c>
      <c r="O37" s="128">
        <f t="shared" si="2"/>
        <v>24.416000000000004</v>
      </c>
      <c r="P37" s="126">
        <v>0.25</v>
      </c>
      <c r="Q37" s="126">
        <v>1.94</v>
      </c>
      <c r="R37" s="126">
        <v>2</v>
      </c>
      <c r="S37" s="128">
        <f t="shared" si="3"/>
        <v>1.97</v>
      </c>
      <c r="T37" s="128">
        <f t="shared" si="4"/>
        <v>18.440000000000001</v>
      </c>
      <c r="U37" s="128">
        <f t="shared" si="5"/>
        <v>36.326799999999999</v>
      </c>
      <c r="V37" s="128">
        <f t="shared" si="6"/>
        <v>20.343008000000001</v>
      </c>
      <c r="W37" s="128">
        <f t="shared" si="7"/>
        <v>44.759008000000009</v>
      </c>
      <c r="X37" s="129" t="s">
        <v>422</v>
      </c>
      <c r="Y37" s="130">
        <f>IF(X37="","",IFERROR(VLOOKUP(X37,Listas!$A$4:$B$11,2,FALSE()),""))</f>
        <v>0.56000000000000005</v>
      </c>
      <c r="Z37" s="131">
        <v>0.25</v>
      </c>
      <c r="AA37" s="131">
        <v>0.56000000000000005</v>
      </c>
      <c r="AB37" s="131">
        <v>0.56000000000000005</v>
      </c>
      <c r="AC37" s="132">
        <f t="shared" si="8"/>
        <v>0.56000000000000005</v>
      </c>
      <c r="AD37" s="132">
        <f t="shared" si="9"/>
        <v>18.440000000000001</v>
      </c>
      <c r="AE37" s="132">
        <f t="shared" si="10"/>
        <v>10.326400000000001</v>
      </c>
      <c r="AF37" s="132">
        <f t="shared" si="11"/>
        <v>5.7827840000000013</v>
      </c>
      <c r="AG37" s="133">
        <f t="shared" si="12"/>
        <v>50.541792000000008</v>
      </c>
    </row>
    <row r="38" spans="1:33" ht="36" customHeight="1" x14ac:dyDescent="0.3">
      <c r="A38" s="123">
        <v>28</v>
      </c>
      <c r="B38" s="124" t="s">
        <v>171</v>
      </c>
      <c r="C38" s="124" t="s">
        <v>474</v>
      </c>
      <c r="D38" s="125" t="s">
        <v>424</v>
      </c>
      <c r="E38" s="124" t="s">
        <v>475</v>
      </c>
      <c r="F38" s="124" t="s">
        <v>476</v>
      </c>
      <c r="G38" s="126">
        <v>1.9</v>
      </c>
      <c r="H38" s="124" t="s">
        <v>422</v>
      </c>
      <c r="I38" s="127">
        <f>IF(H38="","",IFERROR(VLOOKUP(H38,Listas!$A$4:$B$11,2,FALSE()),""))</f>
        <v>0.56000000000000005</v>
      </c>
      <c r="J38" s="126">
        <v>0.23</v>
      </c>
      <c r="K38" s="126">
        <v>8</v>
      </c>
      <c r="L38" s="126">
        <v>8</v>
      </c>
      <c r="M38" s="128">
        <f t="shared" si="0"/>
        <v>8</v>
      </c>
      <c r="N38" s="128">
        <f t="shared" si="1"/>
        <v>15.2</v>
      </c>
      <c r="O38" s="128">
        <f t="shared" si="2"/>
        <v>8.5120000000000005</v>
      </c>
      <c r="P38" s="126">
        <v>0.25</v>
      </c>
      <c r="Q38" s="126">
        <v>1.5</v>
      </c>
      <c r="R38" s="126">
        <v>1.51</v>
      </c>
      <c r="S38" s="128">
        <f t="shared" si="3"/>
        <v>1.5049999999999999</v>
      </c>
      <c r="T38" s="128">
        <f t="shared" si="4"/>
        <v>8.6</v>
      </c>
      <c r="U38" s="128">
        <f t="shared" si="5"/>
        <v>12.942999999999998</v>
      </c>
      <c r="V38" s="128">
        <f t="shared" si="6"/>
        <v>7.2480799999999999</v>
      </c>
      <c r="W38" s="128">
        <f t="shared" si="7"/>
        <v>15.76008</v>
      </c>
      <c r="X38" s="129" t="s">
        <v>422</v>
      </c>
      <c r="Y38" s="130">
        <f>IF(X38="","",IFERROR(VLOOKUP(X38,Listas!$A$4:$B$11,2,FALSE()),""))</f>
        <v>0.56000000000000005</v>
      </c>
      <c r="Z38" s="131">
        <v>0.25</v>
      </c>
      <c r="AA38" s="131">
        <v>0.56000000000000005</v>
      </c>
      <c r="AB38" s="131">
        <v>0.56000000000000005</v>
      </c>
      <c r="AC38" s="132">
        <f t="shared" si="8"/>
        <v>0.56000000000000005</v>
      </c>
      <c r="AD38" s="132">
        <f t="shared" si="9"/>
        <v>8.6</v>
      </c>
      <c r="AE38" s="132">
        <f t="shared" si="10"/>
        <v>4.8159999999999998</v>
      </c>
      <c r="AF38" s="132">
        <f t="shared" si="11"/>
        <v>2.6969600000000002</v>
      </c>
      <c r="AG38" s="133">
        <f t="shared" si="12"/>
        <v>18.457039999999999</v>
      </c>
    </row>
    <row r="39" spans="1:33" ht="36" customHeight="1" x14ac:dyDescent="0.35">
      <c r="A39" s="288" t="s">
        <v>477</v>
      </c>
      <c r="B39" s="213"/>
      <c r="C39" s="213"/>
      <c r="D39" s="213"/>
      <c r="E39" s="213"/>
      <c r="F39" s="214"/>
      <c r="G39" s="134">
        <f>SUM(G11:G38)</f>
        <v>417.56</v>
      </c>
      <c r="H39" s="134"/>
      <c r="I39" s="134"/>
      <c r="J39" s="134"/>
      <c r="K39" s="134"/>
      <c r="L39" s="134"/>
      <c r="M39" s="134"/>
      <c r="N39" s="134">
        <f>SUM(N11:N38)</f>
        <v>3717.68</v>
      </c>
      <c r="O39" s="134">
        <f>SUM(O11:O38)</f>
        <v>2081.9007999999999</v>
      </c>
      <c r="P39" s="134"/>
      <c r="Q39" s="134"/>
      <c r="R39" s="134"/>
      <c r="S39" s="134"/>
      <c r="T39" s="134"/>
      <c r="U39" s="134">
        <f>SUM(U11:U38)</f>
        <v>3175.3611999999994</v>
      </c>
      <c r="V39" s="134">
        <f>SUM(V11:V38)</f>
        <v>1778.202272</v>
      </c>
      <c r="W39" s="134">
        <f>SUM(W11:W38)</f>
        <v>3860.1030719999999</v>
      </c>
      <c r="X39" s="134"/>
      <c r="Y39" s="134"/>
      <c r="Z39" s="134"/>
      <c r="AA39" s="134"/>
      <c r="AB39" s="134"/>
      <c r="AC39" s="134"/>
      <c r="AD39" s="134"/>
      <c r="AE39" s="134">
        <f>SUM(AE11:AE38)</f>
        <v>220.4384</v>
      </c>
      <c r="AF39" s="134">
        <f>SUM(AF11:AF38)</f>
        <v>123.44550400000003</v>
      </c>
      <c r="AG39" s="134">
        <f>SUM(AG11:AG38)</f>
        <v>3983.5485759999997</v>
      </c>
    </row>
  </sheetData>
  <mergeCells count="11">
    <mergeCell ref="A2:AG2"/>
    <mergeCell ref="X9:AF9"/>
    <mergeCell ref="H9:O9"/>
    <mergeCell ref="A39:F39"/>
    <mergeCell ref="B6:AG6"/>
    <mergeCell ref="B3:AG3"/>
    <mergeCell ref="P9:W9"/>
    <mergeCell ref="B5:AG5"/>
    <mergeCell ref="A8:AG8"/>
    <mergeCell ref="A9:G9"/>
    <mergeCell ref="B4:AG4"/>
  </mergeCells>
  <conditionalFormatting sqref="D11:D38">
    <cfRule type="expression" dxfId="8" priority="2">
      <formula>D11="TAPADA"</formula>
    </cfRule>
    <cfRule type="expression" dxfId="7" priority="3">
      <formula>D11="ABIERTA"</formula>
    </cfRule>
  </conditionalFormatting>
  <conditionalFormatting sqref="X11:AF38">
    <cfRule type="expression" dxfId="6" priority="4">
      <formula>$D11="ABIERTA"</formula>
    </cfRule>
  </conditionalFormatting>
  <pageMargins left="0.7" right="0.7" top="0.75" bottom="0.75" header="0.511811023622047" footer="0.511811023622047"/>
  <pageSetup paperSize="9" scale="26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700-000000000000}">
          <x14:formula1>
            <xm:f>Listas!$A$4:$A$11</xm:f>
          </x14:formula1>
          <xm:sqref>H11:H38 X11:X38</xm:sqref>
        </x14:dataValidation>
        <x14:dataValidation type="list" allowBlank="1" xr:uid="{00000000-0002-0000-0700-000001000000}">
          <x14:formula1>
            <xm:f>Listas!$D$4:$D$5</xm:f>
          </x14:formula1>
          <xm:sqref>D11:D38</xm:sqref>
        </x14:dataValidation>
        <x14:dataValidation type="list" allowBlank="1" xr:uid="{00000000-0002-0000-0700-000002000000}">
          <x14:formula1>
            <xm:f>Listas!$F$4:$F$5</xm:f>
          </x14:formula1>
          <xm:sqref>X1:X7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J25"/>
  <sheetViews>
    <sheetView view="pageBreakPreview" zoomScale="115" zoomScaleNormal="130" zoomScalePageLayoutView="115" workbookViewId="0">
      <pane ySplit="12" topLeftCell="A13" activePane="bottomLeft" state="frozen"/>
      <selection pane="bottomLeft" activeCell="J13" sqref="J13"/>
    </sheetView>
  </sheetViews>
  <sheetFormatPr baseColWidth="10" defaultColWidth="8.6328125" defaultRowHeight="14" x14ac:dyDescent="0.35"/>
  <cols>
    <col min="1" max="1" width="24.90625" style="135" customWidth="1"/>
    <col min="2" max="2" width="16" style="135" customWidth="1"/>
    <col min="3" max="3" width="7" style="135" customWidth="1"/>
    <col min="4" max="10" width="15.26953125" style="135" customWidth="1"/>
    <col min="11" max="11" width="8.6328125" style="135" customWidth="1"/>
    <col min="12" max="16384" width="8.6328125" style="135"/>
  </cols>
  <sheetData>
    <row r="1" spans="1:10" ht="31.5" customHeight="1" x14ac:dyDescent="0.35">
      <c r="A1" s="294" t="s">
        <v>478</v>
      </c>
      <c r="B1" s="295"/>
      <c r="C1" s="295"/>
      <c r="D1" s="295"/>
      <c r="E1" s="295"/>
      <c r="F1" s="295"/>
      <c r="G1" s="295"/>
      <c r="H1" s="295"/>
      <c r="I1" s="295"/>
      <c r="J1" s="295"/>
    </row>
    <row r="2" spans="1:10" ht="15" customHeight="1" x14ac:dyDescent="0.35">
      <c r="A2" s="136" t="s">
        <v>1</v>
      </c>
      <c r="B2" s="296" t="s">
        <v>2</v>
      </c>
      <c r="C2" s="213"/>
      <c r="D2" s="213"/>
      <c r="E2" s="213"/>
      <c r="F2" s="213"/>
      <c r="G2" s="213"/>
      <c r="H2" s="213"/>
      <c r="I2" s="213"/>
      <c r="J2" s="214"/>
    </row>
    <row r="3" spans="1:10" ht="59.25" customHeight="1" x14ac:dyDescent="0.35">
      <c r="A3" s="136" t="s">
        <v>3</v>
      </c>
      <c r="B3" s="296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13"/>
      <c r="D3" s="213"/>
      <c r="E3" s="213"/>
      <c r="F3" s="213"/>
      <c r="G3" s="213"/>
      <c r="H3" s="213"/>
      <c r="I3" s="213"/>
      <c r="J3" s="214"/>
    </row>
    <row r="4" spans="1:10" ht="15" customHeight="1" x14ac:dyDescent="0.35">
      <c r="A4" s="136" t="s">
        <v>5</v>
      </c>
      <c r="B4" s="296" t="str">
        <f>+RESUMEN!B6</f>
        <v>SAN MARTIN - SAN MARTIN - MORALES</v>
      </c>
      <c r="C4" s="213"/>
      <c r="D4" s="213"/>
      <c r="E4" s="213"/>
      <c r="F4" s="213"/>
      <c r="G4" s="213"/>
      <c r="H4" s="213"/>
      <c r="I4" s="213"/>
      <c r="J4" s="214"/>
    </row>
    <row r="5" spans="1:10" ht="15" customHeight="1" x14ac:dyDescent="0.35">
      <c r="A5" s="136" t="s">
        <v>7</v>
      </c>
      <c r="B5" s="297">
        <f>+RESUMEN!B7</f>
        <v>46266</v>
      </c>
      <c r="C5" s="213"/>
      <c r="D5" s="213"/>
      <c r="E5" s="213"/>
      <c r="F5" s="213"/>
      <c r="G5" s="213"/>
      <c r="H5" s="213"/>
      <c r="I5" s="213"/>
      <c r="J5" s="214"/>
    </row>
    <row r="7" spans="1:10" x14ac:dyDescent="0.35">
      <c r="A7" s="137" t="s">
        <v>479</v>
      </c>
      <c r="B7" s="138"/>
    </row>
    <row r="8" spans="1:10" ht="36" customHeight="1" x14ac:dyDescent="0.35">
      <c r="A8" s="139" t="s">
        <v>480</v>
      </c>
      <c r="B8" s="140">
        <v>3</v>
      </c>
    </row>
    <row r="9" spans="1:10" ht="26.25" customHeight="1" x14ac:dyDescent="0.35">
      <c r="A9" s="139" t="s">
        <v>481</v>
      </c>
      <c r="B9" s="140">
        <v>2</v>
      </c>
    </row>
    <row r="10" spans="1:10" ht="28" customHeight="1" x14ac:dyDescent="0.35">
      <c r="A10" s="141" t="s">
        <v>482</v>
      </c>
      <c r="B10" s="141" t="s">
        <v>483</v>
      </c>
    </row>
    <row r="12" spans="1:10" ht="39.75" customHeight="1" x14ac:dyDescent="0.35">
      <c r="A12" s="142" t="s">
        <v>148</v>
      </c>
      <c r="B12" s="142" t="s">
        <v>484</v>
      </c>
      <c r="C12" s="142" t="s">
        <v>485</v>
      </c>
      <c r="D12" s="142" t="s">
        <v>486</v>
      </c>
      <c r="E12" s="142" t="s">
        <v>487</v>
      </c>
      <c r="F12" s="142" t="s">
        <v>488</v>
      </c>
      <c r="G12" s="142" t="s">
        <v>489</v>
      </c>
      <c r="H12" s="142" t="s">
        <v>490</v>
      </c>
      <c r="I12" s="142" t="s">
        <v>491</v>
      </c>
      <c r="J12" s="142" t="s">
        <v>492</v>
      </c>
    </row>
    <row r="13" spans="1:10" ht="25.5" customHeight="1" x14ac:dyDescent="0.35">
      <c r="A13" s="143" t="s">
        <v>493</v>
      </c>
      <c r="B13" s="143" t="s">
        <v>62</v>
      </c>
      <c r="C13" s="143" t="s">
        <v>494</v>
      </c>
      <c r="D13" s="144"/>
      <c r="E13" s="144"/>
      <c r="F13" s="144"/>
      <c r="G13" s="144"/>
      <c r="H13" s="144"/>
      <c r="I13" s="144"/>
      <c r="J13" s="144">
        <f>SUM(J14:J25)</f>
        <v>230.46385702584047</v>
      </c>
    </row>
    <row r="14" spans="1:10" ht="15.5" customHeight="1" x14ac:dyDescent="0.35">
      <c r="A14" s="141">
        <v>1</v>
      </c>
      <c r="B14" s="141" t="s">
        <v>495</v>
      </c>
      <c r="C14" s="141"/>
      <c r="D14" s="145">
        <v>23.6</v>
      </c>
      <c r="E14" s="146">
        <f>+'CONCRETO EN CUNETAS'!E10</f>
        <v>7.29</v>
      </c>
      <c r="F14" s="146">
        <f t="shared" ref="F14:F25" si="0">E14/D14</f>
        <v>0.30889830508474575</v>
      </c>
      <c r="G14" s="146">
        <f>B8</f>
        <v>3</v>
      </c>
      <c r="H14" s="146">
        <f t="shared" ref="H14:H25" si="1">ROUNDUP(D14/G14,0)</f>
        <v>8</v>
      </c>
      <c r="I14" s="146">
        <f>B9</f>
        <v>2</v>
      </c>
      <c r="J14" s="146">
        <f t="shared" ref="J14:J25" si="2">H14*I14*F14</f>
        <v>4.942372881355932</v>
      </c>
    </row>
    <row r="15" spans="1:10" ht="15.5" customHeight="1" x14ac:dyDescent="0.35">
      <c r="A15" s="141">
        <v>2</v>
      </c>
      <c r="B15" s="141" t="s">
        <v>418</v>
      </c>
      <c r="C15" s="141"/>
      <c r="D15" s="145">
        <v>143.5</v>
      </c>
      <c r="E15" s="146">
        <f>+'CONCRETO EN CUNETAS'!E22</f>
        <v>82.33</v>
      </c>
      <c r="F15" s="146">
        <f t="shared" si="0"/>
        <v>0.57372822299651571</v>
      </c>
      <c r="G15" s="146">
        <f>B8</f>
        <v>3</v>
      </c>
      <c r="H15" s="146">
        <f t="shared" si="1"/>
        <v>48</v>
      </c>
      <c r="I15" s="146">
        <f>B9</f>
        <v>2</v>
      </c>
      <c r="J15" s="146">
        <f t="shared" si="2"/>
        <v>55.077909407665508</v>
      </c>
    </row>
    <row r="16" spans="1:10" ht="15.5" customHeight="1" x14ac:dyDescent="0.35">
      <c r="A16" s="141">
        <v>3</v>
      </c>
      <c r="B16" s="141" t="s">
        <v>496</v>
      </c>
      <c r="C16" s="141"/>
      <c r="D16" s="145">
        <v>26.35</v>
      </c>
      <c r="E16" s="146">
        <f>+'CONCRETO EN CUNETAS'!E34</f>
        <v>8.32</v>
      </c>
      <c r="F16" s="146">
        <f t="shared" si="0"/>
        <v>0.31574952561669828</v>
      </c>
      <c r="G16" s="146">
        <f>B8</f>
        <v>3</v>
      </c>
      <c r="H16" s="146">
        <f t="shared" si="1"/>
        <v>9</v>
      </c>
      <c r="I16" s="146">
        <f>B9</f>
        <v>2</v>
      </c>
      <c r="J16" s="146">
        <f t="shared" si="2"/>
        <v>5.6834914611005694</v>
      </c>
    </row>
    <row r="17" spans="1:10" ht="15.5" customHeight="1" x14ac:dyDescent="0.35">
      <c r="A17" s="141">
        <v>4</v>
      </c>
      <c r="B17" s="141" t="s">
        <v>497</v>
      </c>
      <c r="C17" s="141"/>
      <c r="D17" s="145">
        <v>9.65</v>
      </c>
      <c r="E17" s="146">
        <f>+'CONCRETO EN CUNETAS'!E46</f>
        <v>2.64</v>
      </c>
      <c r="F17" s="146">
        <f t="shared" si="0"/>
        <v>0.27357512953367874</v>
      </c>
      <c r="G17" s="146">
        <f>B8</f>
        <v>3</v>
      </c>
      <c r="H17" s="146">
        <f t="shared" si="1"/>
        <v>4</v>
      </c>
      <c r="I17" s="146">
        <f>B9</f>
        <v>2</v>
      </c>
      <c r="J17" s="146">
        <f t="shared" si="2"/>
        <v>2.1886010362694299</v>
      </c>
    </row>
    <row r="18" spans="1:10" ht="15.5" customHeight="1" x14ac:dyDescent="0.35">
      <c r="A18" s="141">
        <v>5</v>
      </c>
      <c r="B18" s="141" t="s">
        <v>498</v>
      </c>
      <c r="C18" s="141"/>
      <c r="D18" s="145">
        <v>25.66</v>
      </c>
      <c r="E18" s="146">
        <f>+'CONCRETO EN CUNETAS'!E58</f>
        <v>8.06</v>
      </c>
      <c r="F18" s="146">
        <f t="shared" si="0"/>
        <v>0.31410756040530008</v>
      </c>
      <c r="G18" s="146">
        <f>B8</f>
        <v>3</v>
      </c>
      <c r="H18" s="146">
        <f t="shared" si="1"/>
        <v>9</v>
      </c>
      <c r="I18" s="146">
        <f>B9</f>
        <v>2</v>
      </c>
      <c r="J18" s="146">
        <f t="shared" si="2"/>
        <v>5.653936087295401</v>
      </c>
    </row>
    <row r="19" spans="1:10" ht="15.5" customHeight="1" x14ac:dyDescent="0.35">
      <c r="A19" s="141">
        <v>6</v>
      </c>
      <c r="B19" s="141" t="s">
        <v>435</v>
      </c>
      <c r="C19" s="141"/>
      <c r="D19" s="145">
        <v>106.95</v>
      </c>
      <c r="E19" s="146">
        <f>+'CONCRETO EN CUNETAS'!E70</f>
        <v>55.33</v>
      </c>
      <c r="F19" s="146">
        <f t="shared" si="0"/>
        <v>0.51734455352968678</v>
      </c>
      <c r="G19" s="146">
        <f>B8</f>
        <v>3</v>
      </c>
      <c r="H19" s="146">
        <f t="shared" si="1"/>
        <v>36</v>
      </c>
      <c r="I19" s="146">
        <f>B9</f>
        <v>2</v>
      </c>
      <c r="J19" s="146">
        <f t="shared" si="2"/>
        <v>37.248807854137446</v>
      </c>
    </row>
    <row r="20" spans="1:10" ht="15.5" customHeight="1" x14ac:dyDescent="0.35">
      <c r="A20" s="141">
        <v>7</v>
      </c>
      <c r="B20" s="141" t="s">
        <v>438</v>
      </c>
      <c r="C20" s="141"/>
      <c r="D20" s="145">
        <v>141.19999999999999</v>
      </c>
      <c r="E20" s="146">
        <f>+'CONCRETO EN CUNETAS'!M10</f>
        <v>79.34</v>
      </c>
      <c r="F20" s="146">
        <f t="shared" si="0"/>
        <v>0.56189801699716724</v>
      </c>
      <c r="G20" s="146">
        <f>B8</f>
        <v>3</v>
      </c>
      <c r="H20" s="146">
        <f t="shared" si="1"/>
        <v>48</v>
      </c>
      <c r="I20" s="146">
        <f>B9</f>
        <v>2</v>
      </c>
      <c r="J20" s="146">
        <f t="shared" si="2"/>
        <v>53.942209631728055</v>
      </c>
    </row>
    <row r="21" spans="1:10" ht="15.5" customHeight="1" x14ac:dyDescent="0.35">
      <c r="A21" s="141">
        <v>8</v>
      </c>
      <c r="B21" s="141" t="s">
        <v>499</v>
      </c>
      <c r="C21" s="141"/>
      <c r="D21" s="145">
        <v>23.3</v>
      </c>
      <c r="E21" s="146">
        <f>+'CONCRETO EN CUNETAS'!M22</f>
        <v>7.18</v>
      </c>
      <c r="F21" s="146">
        <f t="shared" si="0"/>
        <v>0.30815450643776821</v>
      </c>
      <c r="G21" s="146">
        <f>B8</f>
        <v>3</v>
      </c>
      <c r="H21" s="146">
        <f t="shared" si="1"/>
        <v>8</v>
      </c>
      <c r="I21" s="146">
        <f>B9</f>
        <v>2</v>
      </c>
      <c r="J21" s="146">
        <f t="shared" si="2"/>
        <v>4.9304721030042913</v>
      </c>
    </row>
    <row r="22" spans="1:10" ht="15.5" customHeight="1" x14ac:dyDescent="0.35">
      <c r="A22" s="141">
        <v>9</v>
      </c>
      <c r="B22" s="141" t="s">
        <v>450</v>
      </c>
      <c r="C22" s="141"/>
      <c r="D22" s="145">
        <v>60.7</v>
      </c>
      <c r="E22" s="146">
        <f>+'CONCRETO EN CUNETAS'!M34</f>
        <v>24.38</v>
      </c>
      <c r="F22" s="146">
        <f t="shared" si="0"/>
        <v>0.40164744645799005</v>
      </c>
      <c r="G22" s="146">
        <f>B8</f>
        <v>3</v>
      </c>
      <c r="H22" s="146">
        <f t="shared" si="1"/>
        <v>21</v>
      </c>
      <c r="I22" s="146">
        <f>B9</f>
        <v>2</v>
      </c>
      <c r="J22" s="146">
        <f t="shared" si="2"/>
        <v>16.869192751235584</v>
      </c>
    </row>
    <row r="23" spans="1:10" ht="15.5" customHeight="1" x14ac:dyDescent="0.35">
      <c r="A23" s="141">
        <v>10</v>
      </c>
      <c r="B23" s="141" t="s">
        <v>169</v>
      </c>
      <c r="C23" s="141"/>
      <c r="D23" s="145">
        <v>51.25</v>
      </c>
      <c r="E23" s="146">
        <f>+'CONCRETO EN CUNETAS'!M46</f>
        <v>18.329999999999998</v>
      </c>
      <c r="F23" s="146">
        <f t="shared" si="0"/>
        <v>0.35765853658536584</v>
      </c>
      <c r="G23" s="146">
        <f>B8</f>
        <v>3</v>
      </c>
      <c r="H23" s="146">
        <f t="shared" si="1"/>
        <v>18</v>
      </c>
      <c r="I23" s="146">
        <f>B9</f>
        <v>2</v>
      </c>
      <c r="J23" s="146">
        <f t="shared" si="2"/>
        <v>12.87570731707317</v>
      </c>
    </row>
    <row r="24" spans="1:10" ht="15.5" customHeight="1" x14ac:dyDescent="0.35">
      <c r="A24" s="141">
        <v>11</v>
      </c>
      <c r="B24" s="141" t="s">
        <v>170</v>
      </c>
      <c r="C24" s="141"/>
      <c r="D24" s="145">
        <v>15.5</v>
      </c>
      <c r="E24" s="146">
        <f>+'CONCRETO EN CUNETAS'!M58</f>
        <v>4.47</v>
      </c>
      <c r="F24" s="146">
        <f t="shared" si="0"/>
        <v>0.28838709677419355</v>
      </c>
      <c r="G24" s="146">
        <f>B8</f>
        <v>3</v>
      </c>
      <c r="H24" s="146">
        <f t="shared" si="1"/>
        <v>6</v>
      </c>
      <c r="I24" s="146">
        <f>B9</f>
        <v>2</v>
      </c>
      <c r="J24" s="146">
        <f t="shared" si="2"/>
        <v>3.4606451612903228</v>
      </c>
    </row>
    <row r="25" spans="1:10" ht="15.5" customHeight="1" x14ac:dyDescent="0.35">
      <c r="A25" s="141">
        <v>12</v>
      </c>
      <c r="B25" s="141" t="s">
        <v>171</v>
      </c>
      <c r="C25" s="141"/>
      <c r="D25" s="145">
        <v>94.85</v>
      </c>
      <c r="E25" s="146">
        <f>+'CONCRETO EN CUNETAS'!M70</f>
        <v>40.89</v>
      </c>
      <c r="F25" s="146">
        <f t="shared" si="0"/>
        <v>0.43110173958882447</v>
      </c>
      <c r="G25" s="146">
        <f>B8</f>
        <v>3</v>
      </c>
      <c r="H25" s="146">
        <f t="shared" si="1"/>
        <v>32</v>
      </c>
      <c r="I25" s="146">
        <f>B9</f>
        <v>2</v>
      </c>
      <c r="J25" s="146">
        <f t="shared" si="2"/>
        <v>27.590511333684766</v>
      </c>
    </row>
  </sheetData>
  <mergeCells count="5">
    <mergeCell ref="A1:J1"/>
    <mergeCell ref="B3:J3"/>
    <mergeCell ref="B5:J5"/>
    <mergeCell ref="B4:J4"/>
    <mergeCell ref="B2:J2"/>
  </mergeCells>
  <pageMargins left="0.75" right="0.75" top="1" bottom="1" header="0.511811023622047" footer="0.511811023622047"/>
  <pageSetup paperSize="9" scale="55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O28"/>
  <sheetViews>
    <sheetView view="pageBreakPreview" zoomScaleNormal="100" workbookViewId="0">
      <selection activeCell="J24" sqref="J24"/>
    </sheetView>
  </sheetViews>
  <sheetFormatPr baseColWidth="10" defaultColWidth="9.453125" defaultRowHeight="15.5" x14ac:dyDescent="0.35"/>
  <cols>
    <col min="1" max="1" width="6.54296875" style="147" customWidth="1"/>
    <col min="2" max="2" width="13.08984375" style="147" customWidth="1"/>
    <col min="3" max="3" width="18.81640625" style="147" customWidth="1"/>
    <col min="4" max="4" width="17.453125" style="147" customWidth="1"/>
    <col min="5" max="5" width="16" style="147" customWidth="1"/>
    <col min="6" max="8" width="15.26953125" style="147" customWidth="1"/>
    <col min="9" max="9" width="14.1796875" style="147" customWidth="1"/>
    <col min="10" max="10" width="16.36328125" style="147" customWidth="1"/>
    <col min="11" max="11" width="15.26953125" style="147" customWidth="1"/>
    <col min="12" max="12" width="17.453125" style="147" customWidth="1"/>
    <col min="13" max="13" width="16.36328125" style="147" customWidth="1"/>
    <col min="14" max="14" width="10.90625" style="147" customWidth="1"/>
    <col min="15" max="15" width="8.7265625" style="147" customWidth="1"/>
    <col min="16" max="16" width="9.453125" style="147" customWidth="1"/>
    <col min="17" max="16384" width="9.453125" style="147"/>
  </cols>
  <sheetData>
    <row r="1" spans="1:15" ht="24.75" customHeight="1" x14ac:dyDescent="0.35">
      <c r="A1" s="301" t="s">
        <v>500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4"/>
    </row>
    <row r="2" spans="1:15" ht="27" customHeight="1" x14ac:dyDescent="0.35">
      <c r="A2" s="303" t="s">
        <v>1</v>
      </c>
      <c r="B2" s="214"/>
      <c r="C2" s="302" t="s">
        <v>2</v>
      </c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4"/>
    </row>
    <row r="3" spans="1:15" ht="46.5" customHeight="1" x14ac:dyDescent="0.35">
      <c r="A3" s="303" t="s">
        <v>3</v>
      </c>
      <c r="B3" s="214"/>
      <c r="C3" s="30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/>
    </row>
    <row r="4" spans="1:15" ht="27" customHeight="1" x14ac:dyDescent="0.35">
      <c r="A4" s="303" t="s">
        <v>5</v>
      </c>
      <c r="B4" s="214"/>
      <c r="C4" s="302" t="str">
        <f>+RESUMEN!B6</f>
        <v>SAN MARTIN - SAN MARTIN - MORALES</v>
      </c>
      <c r="D4" s="213"/>
      <c r="E4" s="213"/>
      <c r="F4" s="213"/>
      <c r="G4" s="213"/>
      <c r="H4" s="213"/>
      <c r="I4" s="213"/>
      <c r="J4" s="214"/>
      <c r="K4" s="148" t="s">
        <v>7</v>
      </c>
      <c r="L4" s="300">
        <f>+RESUMEN!B7</f>
        <v>46266</v>
      </c>
      <c r="M4" s="213"/>
      <c r="N4" s="213"/>
      <c r="O4" s="214"/>
    </row>
    <row r="6" spans="1:15" ht="36.75" customHeight="1" x14ac:dyDescent="0.35">
      <c r="A6" s="149" t="s">
        <v>385</v>
      </c>
      <c r="B6" s="149" t="s">
        <v>386</v>
      </c>
      <c r="C6" s="149" t="s">
        <v>387</v>
      </c>
      <c r="D6" s="149" t="s">
        <v>388</v>
      </c>
      <c r="E6" s="149" t="s">
        <v>337</v>
      </c>
      <c r="F6" s="149" t="s">
        <v>501</v>
      </c>
      <c r="G6" s="149" t="s">
        <v>502</v>
      </c>
      <c r="H6" s="149" t="s">
        <v>503</v>
      </c>
      <c r="I6" s="149" t="s">
        <v>504</v>
      </c>
      <c r="J6" s="149" t="s">
        <v>505</v>
      </c>
      <c r="K6" s="149" t="s">
        <v>506</v>
      </c>
      <c r="L6" s="149" t="s">
        <v>507</v>
      </c>
      <c r="M6" s="149" t="s">
        <v>508</v>
      </c>
      <c r="N6" s="149" t="s">
        <v>509</v>
      </c>
      <c r="O6" s="149" t="s">
        <v>485</v>
      </c>
    </row>
    <row r="7" spans="1:15" ht="33" customHeight="1" x14ac:dyDescent="0.35">
      <c r="A7" s="150">
        <v>1</v>
      </c>
      <c r="B7" s="151" t="s">
        <v>495</v>
      </c>
      <c r="C7" s="151" t="s">
        <v>510</v>
      </c>
      <c r="D7" s="152" t="s">
        <v>296</v>
      </c>
      <c r="E7" s="153">
        <v>23.6</v>
      </c>
      <c r="F7" s="153">
        <v>0.4</v>
      </c>
      <c r="G7" s="153">
        <v>0.25</v>
      </c>
      <c r="H7" s="153">
        <v>0.37</v>
      </c>
      <c r="I7" s="132">
        <f t="shared" ref="I7:I26" si="0">IF(B7="","",(G7+H7)/2)</f>
        <v>0.31</v>
      </c>
      <c r="J7" s="132">
        <f t="shared" ref="J7:J26" si="1">IF(B7="","",2*E7*I7)</f>
        <v>14.632000000000001</v>
      </c>
      <c r="K7" s="132">
        <f t="shared" ref="K7:K26" si="2">IF(B7="","",E7*F7)</f>
        <v>9.4400000000000013</v>
      </c>
      <c r="L7" s="132">
        <f t="shared" ref="L7:L26" si="3">IF(B7="","",IF(D7="TAPADA",E7*F7,0))</f>
        <v>0</v>
      </c>
      <c r="M7" s="154">
        <f t="shared" ref="M7:M26" si="4">SUM(J7:L7)</f>
        <v>24.072000000000003</v>
      </c>
      <c r="N7" s="155">
        <f t="shared" ref="N7:N26" si="5">IF(B7="","",IF(D7="TAPADA",4,3))</f>
        <v>3</v>
      </c>
      <c r="O7" s="156" t="s">
        <v>18</v>
      </c>
    </row>
    <row r="8" spans="1:15" ht="33" customHeight="1" x14ac:dyDescent="0.35">
      <c r="A8" s="150">
        <v>2</v>
      </c>
      <c r="B8" s="151" t="s">
        <v>418</v>
      </c>
      <c r="C8" s="151" t="s">
        <v>510</v>
      </c>
      <c r="D8" s="152" t="s">
        <v>296</v>
      </c>
      <c r="E8" s="153">
        <v>127.82</v>
      </c>
      <c r="F8" s="153">
        <v>0.4</v>
      </c>
      <c r="G8" s="153">
        <v>0.25</v>
      </c>
      <c r="H8" s="153">
        <v>0.88</v>
      </c>
      <c r="I8" s="132">
        <f t="shared" si="0"/>
        <v>0.56499999999999995</v>
      </c>
      <c r="J8" s="132">
        <f t="shared" si="1"/>
        <v>144.43659999999997</v>
      </c>
      <c r="K8" s="132">
        <f t="shared" si="2"/>
        <v>51.128</v>
      </c>
      <c r="L8" s="132">
        <f t="shared" si="3"/>
        <v>0</v>
      </c>
      <c r="M8" s="154">
        <f t="shared" si="4"/>
        <v>195.56459999999998</v>
      </c>
      <c r="N8" s="155">
        <f t="shared" si="5"/>
        <v>3</v>
      </c>
      <c r="O8" s="156" t="s">
        <v>18</v>
      </c>
    </row>
    <row r="9" spans="1:15" ht="33" customHeight="1" x14ac:dyDescent="0.35">
      <c r="A9" s="150">
        <v>3</v>
      </c>
      <c r="B9" s="151" t="s">
        <v>418</v>
      </c>
      <c r="C9" s="151" t="s">
        <v>511</v>
      </c>
      <c r="D9" s="152" t="s">
        <v>424</v>
      </c>
      <c r="E9" s="153">
        <v>15.7</v>
      </c>
      <c r="F9" s="153">
        <v>0.4</v>
      </c>
      <c r="G9" s="153">
        <v>0.78</v>
      </c>
      <c r="H9" s="153">
        <v>0.36</v>
      </c>
      <c r="I9" s="132">
        <f t="shared" si="0"/>
        <v>0.57000000000000006</v>
      </c>
      <c r="J9" s="132">
        <f t="shared" si="1"/>
        <v>17.898</v>
      </c>
      <c r="K9" s="132">
        <f t="shared" si="2"/>
        <v>6.28</v>
      </c>
      <c r="L9" s="132">
        <f t="shared" si="3"/>
        <v>6.28</v>
      </c>
      <c r="M9" s="154">
        <f t="shared" si="4"/>
        <v>30.458000000000002</v>
      </c>
      <c r="N9" s="155">
        <f t="shared" si="5"/>
        <v>4</v>
      </c>
      <c r="O9" s="156" t="s">
        <v>18</v>
      </c>
    </row>
    <row r="10" spans="1:15" ht="33" customHeight="1" x14ac:dyDescent="0.35">
      <c r="A10" s="150">
        <v>4</v>
      </c>
      <c r="B10" s="151" t="s">
        <v>496</v>
      </c>
      <c r="C10" s="151" t="s">
        <v>510</v>
      </c>
      <c r="D10" s="152" t="s">
        <v>296</v>
      </c>
      <c r="E10" s="153">
        <v>26.35</v>
      </c>
      <c r="F10" s="153">
        <v>0.4</v>
      </c>
      <c r="G10" s="153">
        <v>0.25</v>
      </c>
      <c r="H10" s="153">
        <v>0.38</v>
      </c>
      <c r="I10" s="132">
        <f t="shared" si="0"/>
        <v>0.315</v>
      </c>
      <c r="J10" s="132">
        <f t="shared" si="1"/>
        <v>16.6005</v>
      </c>
      <c r="K10" s="132">
        <f t="shared" si="2"/>
        <v>10.540000000000001</v>
      </c>
      <c r="L10" s="132">
        <f t="shared" si="3"/>
        <v>0</v>
      </c>
      <c r="M10" s="154">
        <f t="shared" si="4"/>
        <v>27.140500000000003</v>
      </c>
      <c r="N10" s="155">
        <f t="shared" si="5"/>
        <v>3</v>
      </c>
      <c r="O10" s="156" t="s">
        <v>18</v>
      </c>
    </row>
    <row r="11" spans="1:15" ht="33" customHeight="1" x14ac:dyDescent="0.35">
      <c r="A11" s="150">
        <v>5</v>
      </c>
      <c r="B11" s="151" t="s">
        <v>497</v>
      </c>
      <c r="C11" s="151" t="s">
        <v>510</v>
      </c>
      <c r="D11" s="152" t="s">
        <v>296</v>
      </c>
      <c r="E11" s="153">
        <v>9.65</v>
      </c>
      <c r="F11" s="153">
        <v>0.4</v>
      </c>
      <c r="G11" s="153">
        <v>0.25</v>
      </c>
      <c r="H11" s="153">
        <v>0.3</v>
      </c>
      <c r="I11" s="132">
        <f t="shared" si="0"/>
        <v>0.27500000000000002</v>
      </c>
      <c r="J11" s="132">
        <f t="shared" si="1"/>
        <v>5.307500000000001</v>
      </c>
      <c r="K11" s="132">
        <f t="shared" si="2"/>
        <v>3.8600000000000003</v>
      </c>
      <c r="L11" s="132">
        <f t="shared" si="3"/>
        <v>0</v>
      </c>
      <c r="M11" s="154">
        <f t="shared" si="4"/>
        <v>9.1675000000000004</v>
      </c>
      <c r="N11" s="155">
        <f t="shared" si="5"/>
        <v>3</v>
      </c>
      <c r="O11" s="156" t="s">
        <v>18</v>
      </c>
    </row>
    <row r="12" spans="1:15" ht="39.75" customHeight="1" x14ac:dyDescent="0.35">
      <c r="A12" s="150">
        <v>6</v>
      </c>
      <c r="B12" s="151" t="s">
        <v>498</v>
      </c>
      <c r="C12" s="151" t="s">
        <v>510</v>
      </c>
      <c r="D12" s="152" t="s">
        <v>296</v>
      </c>
      <c r="E12" s="153">
        <v>25.66</v>
      </c>
      <c r="F12" s="153">
        <v>0.4</v>
      </c>
      <c r="G12" s="153">
        <v>0.25</v>
      </c>
      <c r="H12" s="153">
        <v>0.38</v>
      </c>
      <c r="I12" s="132">
        <f t="shared" si="0"/>
        <v>0.315</v>
      </c>
      <c r="J12" s="132">
        <f t="shared" si="1"/>
        <v>16.165800000000001</v>
      </c>
      <c r="K12" s="132">
        <f t="shared" si="2"/>
        <v>10.264000000000001</v>
      </c>
      <c r="L12" s="132">
        <f t="shared" si="3"/>
        <v>0</v>
      </c>
      <c r="M12" s="154">
        <f t="shared" si="4"/>
        <v>26.4298</v>
      </c>
      <c r="N12" s="155">
        <f t="shared" si="5"/>
        <v>3</v>
      </c>
      <c r="O12" s="156" t="s">
        <v>18</v>
      </c>
    </row>
    <row r="13" spans="1:15" ht="33" customHeight="1" x14ac:dyDescent="0.35">
      <c r="A13" s="150">
        <v>7</v>
      </c>
      <c r="B13" s="151" t="s">
        <v>435</v>
      </c>
      <c r="C13" s="151" t="s">
        <v>510</v>
      </c>
      <c r="D13" s="152" t="s">
        <v>296</v>
      </c>
      <c r="E13" s="153">
        <v>106.95</v>
      </c>
      <c r="F13" s="153">
        <v>0.4</v>
      </c>
      <c r="G13" s="153">
        <v>0.25</v>
      </c>
      <c r="H13" s="153">
        <v>0.78</v>
      </c>
      <c r="I13" s="132">
        <f t="shared" si="0"/>
        <v>0.51500000000000001</v>
      </c>
      <c r="J13" s="132">
        <f t="shared" si="1"/>
        <v>110.1585</v>
      </c>
      <c r="K13" s="132">
        <f t="shared" si="2"/>
        <v>42.78</v>
      </c>
      <c r="L13" s="132">
        <f t="shared" si="3"/>
        <v>0</v>
      </c>
      <c r="M13" s="154">
        <f t="shared" si="4"/>
        <v>152.9385</v>
      </c>
      <c r="N13" s="155">
        <f t="shared" si="5"/>
        <v>3</v>
      </c>
      <c r="O13" s="156" t="s">
        <v>18</v>
      </c>
    </row>
    <row r="14" spans="1:15" ht="33" customHeight="1" x14ac:dyDescent="0.35">
      <c r="A14" s="150">
        <v>8</v>
      </c>
      <c r="B14" s="151" t="s">
        <v>438</v>
      </c>
      <c r="C14" s="151" t="s">
        <v>510</v>
      </c>
      <c r="D14" s="152" t="s">
        <v>296</v>
      </c>
      <c r="E14" s="153">
        <v>36</v>
      </c>
      <c r="F14" s="153">
        <v>0.4</v>
      </c>
      <c r="G14" s="153">
        <v>0.25</v>
      </c>
      <c r="H14" s="153">
        <v>0.43</v>
      </c>
      <c r="I14" s="132">
        <f t="shared" si="0"/>
        <v>0.33999999999999997</v>
      </c>
      <c r="J14" s="132">
        <f t="shared" si="1"/>
        <v>24.479999999999997</v>
      </c>
      <c r="K14" s="132">
        <f t="shared" si="2"/>
        <v>14.4</v>
      </c>
      <c r="L14" s="132">
        <f t="shared" si="3"/>
        <v>0</v>
      </c>
      <c r="M14" s="154">
        <f t="shared" si="4"/>
        <v>38.879999999999995</v>
      </c>
      <c r="N14" s="155">
        <f t="shared" si="5"/>
        <v>3</v>
      </c>
      <c r="O14" s="156" t="s">
        <v>18</v>
      </c>
    </row>
    <row r="15" spans="1:15" ht="33" customHeight="1" x14ac:dyDescent="0.35">
      <c r="A15" s="150">
        <v>9</v>
      </c>
      <c r="B15" s="151" t="s">
        <v>438</v>
      </c>
      <c r="C15" s="151" t="s">
        <v>511</v>
      </c>
      <c r="D15" s="152" t="s">
        <v>424</v>
      </c>
      <c r="E15" s="153">
        <v>7.3</v>
      </c>
      <c r="F15" s="153">
        <v>0.4</v>
      </c>
      <c r="G15" s="153">
        <v>0.33</v>
      </c>
      <c r="H15" s="153">
        <v>0.37</v>
      </c>
      <c r="I15" s="132">
        <f t="shared" si="0"/>
        <v>0.35</v>
      </c>
      <c r="J15" s="132">
        <f t="shared" si="1"/>
        <v>5.1099999999999994</v>
      </c>
      <c r="K15" s="132">
        <f t="shared" si="2"/>
        <v>2.92</v>
      </c>
      <c r="L15" s="132">
        <f t="shared" si="3"/>
        <v>2.92</v>
      </c>
      <c r="M15" s="154">
        <f t="shared" si="4"/>
        <v>10.95</v>
      </c>
      <c r="N15" s="155">
        <f t="shared" si="5"/>
        <v>4</v>
      </c>
      <c r="O15" s="156" t="s">
        <v>18</v>
      </c>
    </row>
    <row r="16" spans="1:15" ht="33" customHeight="1" x14ac:dyDescent="0.35">
      <c r="A16" s="150">
        <v>10</v>
      </c>
      <c r="B16" s="151" t="s">
        <v>438</v>
      </c>
      <c r="C16" s="151" t="s">
        <v>510</v>
      </c>
      <c r="D16" s="152" t="s">
        <v>296</v>
      </c>
      <c r="E16" s="153">
        <v>83.45</v>
      </c>
      <c r="F16" s="153">
        <v>0.4</v>
      </c>
      <c r="G16" s="153">
        <v>0.47</v>
      </c>
      <c r="H16" s="153">
        <v>0.88</v>
      </c>
      <c r="I16" s="132">
        <f t="shared" si="0"/>
        <v>0.67500000000000004</v>
      </c>
      <c r="J16" s="132">
        <f t="shared" si="1"/>
        <v>112.65750000000001</v>
      </c>
      <c r="K16" s="132">
        <f t="shared" si="2"/>
        <v>33.380000000000003</v>
      </c>
      <c r="L16" s="132">
        <f t="shared" si="3"/>
        <v>0</v>
      </c>
      <c r="M16" s="154">
        <f t="shared" si="4"/>
        <v>146.03750000000002</v>
      </c>
      <c r="N16" s="155">
        <f t="shared" si="5"/>
        <v>3</v>
      </c>
      <c r="O16" s="156" t="s">
        <v>18</v>
      </c>
    </row>
    <row r="17" spans="1:15" ht="33" customHeight="1" x14ac:dyDescent="0.35">
      <c r="A17" s="150">
        <v>11</v>
      </c>
      <c r="B17" s="151" t="s">
        <v>438</v>
      </c>
      <c r="C17" s="151" t="s">
        <v>511</v>
      </c>
      <c r="D17" s="152" t="s">
        <v>424</v>
      </c>
      <c r="E17" s="153">
        <v>14.45</v>
      </c>
      <c r="F17" s="153">
        <v>0.4</v>
      </c>
      <c r="G17" s="153">
        <v>0.78</v>
      </c>
      <c r="H17" s="153">
        <v>0.36</v>
      </c>
      <c r="I17" s="132">
        <f t="shared" si="0"/>
        <v>0.57000000000000006</v>
      </c>
      <c r="J17" s="132">
        <f t="shared" si="1"/>
        <v>16.473000000000003</v>
      </c>
      <c r="K17" s="132">
        <f t="shared" si="2"/>
        <v>5.78</v>
      </c>
      <c r="L17" s="132">
        <f t="shared" si="3"/>
        <v>5.78</v>
      </c>
      <c r="M17" s="154">
        <f t="shared" si="4"/>
        <v>28.033000000000005</v>
      </c>
      <c r="N17" s="155">
        <f t="shared" si="5"/>
        <v>4</v>
      </c>
      <c r="O17" s="156" t="s">
        <v>18</v>
      </c>
    </row>
    <row r="18" spans="1:15" ht="33" customHeight="1" x14ac:dyDescent="0.35">
      <c r="A18" s="150">
        <v>12</v>
      </c>
      <c r="B18" s="151" t="s">
        <v>499</v>
      </c>
      <c r="C18" s="151" t="s">
        <v>510</v>
      </c>
      <c r="D18" s="152" t="s">
        <v>296</v>
      </c>
      <c r="E18" s="153">
        <v>23.3</v>
      </c>
      <c r="F18" s="153">
        <v>0.4</v>
      </c>
      <c r="G18" s="153">
        <v>0.25</v>
      </c>
      <c r="H18" s="153">
        <v>0.37</v>
      </c>
      <c r="I18" s="132">
        <f t="shared" si="0"/>
        <v>0.31</v>
      </c>
      <c r="J18" s="132">
        <f t="shared" si="1"/>
        <v>14.446</v>
      </c>
      <c r="K18" s="132">
        <f t="shared" si="2"/>
        <v>9.32</v>
      </c>
      <c r="L18" s="132">
        <f t="shared" si="3"/>
        <v>0</v>
      </c>
      <c r="M18" s="154">
        <f t="shared" si="4"/>
        <v>23.765999999999998</v>
      </c>
      <c r="N18" s="155">
        <f t="shared" si="5"/>
        <v>3</v>
      </c>
      <c r="O18" s="156" t="s">
        <v>18</v>
      </c>
    </row>
    <row r="19" spans="1:15" ht="33" customHeight="1" x14ac:dyDescent="0.35">
      <c r="A19" s="150">
        <v>13</v>
      </c>
      <c r="B19" s="151" t="s">
        <v>450</v>
      </c>
      <c r="C19" s="151" t="s">
        <v>510</v>
      </c>
      <c r="D19" s="152" t="s">
        <v>296</v>
      </c>
      <c r="E19" s="153">
        <v>60.7</v>
      </c>
      <c r="F19" s="153">
        <v>0.4</v>
      </c>
      <c r="G19" s="153">
        <v>0.25</v>
      </c>
      <c r="H19" s="153">
        <v>0.55000000000000004</v>
      </c>
      <c r="I19" s="132">
        <f t="shared" si="0"/>
        <v>0.4</v>
      </c>
      <c r="J19" s="132">
        <f t="shared" si="1"/>
        <v>48.56</v>
      </c>
      <c r="K19" s="132">
        <f t="shared" si="2"/>
        <v>24.28</v>
      </c>
      <c r="L19" s="132">
        <f t="shared" si="3"/>
        <v>0</v>
      </c>
      <c r="M19" s="154">
        <f t="shared" si="4"/>
        <v>72.84</v>
      </c>
      <c r="N19" s="155">
        <f t="shared" si="5"/>
        <v>3</v>
      </c>
      <c r="O19" s="156" t="s">
        <v>18</v>
      </c>
    </row>
    <row r="20" spans="1:15" ht="33" customHeight="1" x14ac:dyDescent="0.35">
      <c r="A20" s="150">
        <v>14</v>
      </c>
      <c r="B20" s="151" t="s">
        <v>169</v>
      </c>
      <c r="C20" s="151" t="s">
        <v>510</v>
      </c>
      <c r="D20" s="152" t="s">
        <v>296</v>
      </c>
      <c r="E20" s="153">
        <v>36.549999999999997</v>
      </c>
      <c r="F20" s="153">
        <v>0.4</v>
      </c>
      <c r="G20" s="153">
        <v>0.25</v>
      </c>
      <c r="H20" s="153">
        <v>0.43</v>
      </c>
      <c r="I20" s="132">
        <f t="shared" si="0"/>
        <v>0.33999999999999997</v>
      </c>
      <c r="J20" s="132">
        <f t="shared" si="1"/>
        <v>24.853999999999996</v>
      </c>
      <c r="K20" s="132">
        <f t="shared" si="2"/>
        <v>14.62</v>
      </c>
      <c r="L20" s="132">
        <f t="shared" si="3"/>
        <v>0</v>
      </c>
      <c r="M20" s="154">
        <f t="shared" si="4"/>
        <v>39.473999999999997</v>
      </c>
      <c r="N20" s="155">
        <f t="shared" si="5"/>
        <v>3</v>
      </c>
      <c r="O20" s="156" t="s">
        <v>18</v>
      </c>
    </row>
    <row r="21" spans="1:15" ht="33" customHeight="1" x14ac:dyDescent="0.35">
      <c r="A21" s="150">
        <v>15</v>
      </c>
      <c r="B21" s="151" t="s">
        <v>169</v>
      </c>
      <c r="C21" s="151" t="s">
        <v>511</v>
      </c>
      <c r="D21" s="152" t="s">
        <v>424</v>
      </c>
      <c r="E21" s="153">
        <v>14.7</v>
      </c>
      <c r="F21" s="153">
        <v>0.4</v>
      </c>
      <c r="G21" s="153">
        <v>0.33</v>
      </c>
      <c r="H21" s="153">
        <v>0.45</v>
      </c>
      <c r="I21" s="132">
        <f t="shared" si="0"/>
        <v>0.39</v>
      </c>
      <c r="J21" s="132">
        <f t="shared" si="1"/>
        <v>11.465999999999999</v>
      </c>
      <c r="K21" s="132">
        <f t="shared" si="2"/>
        <v>5.88</v>
      </c>
      <c r="L21" s="132">
        <f t="shared" si="3"/>
        <v>5.88</v>
      </c>
      <c r="M21" s="154">
        <f t="shared" si="4"/>
        <v>23.225999999999999</v>
      </c>
      <c r="N21" s="155">
        <f t="shared" si="5"/>
        <v>4</v>
      </c>
      <c r="O21" s="156" t="s">
        <v>18</v>
      </c>
    </row>
    <row r="22" spans="1:15" ht="33" customHeight="1" x14ac:dyDescent="0.35">
      <c r="A22" s="150">
        <v>16</v>
      </c>
      <c r="B22" s="151" t="s">
        <v>170</v>
      </c>
      <c r="C22" s="151" t="s">
        <v>510</v>
      </c>
      <c r="D22" s="152" t="s">
        <v>296</v>
      </c>
      <c r="E22" s="153">
        <v>15.5</v>
      </c>
      <c r="F22" s="153">
        <v>0.4</v>
      </c>
      <c r="G22" s="153">
        <v>0.25</v>
      </c>
      <c r="H22" s="153">
        <v>0.33</v>
      </c>
      <c r="I22" s="132">
        <f t="shared" si="0"/>
        <v>0.29000000000000004</v>
      </c>
      <c r="J22" s="132">
        <f t="shared" si="1"/>
        <v>8.990000000000002</v>
      </c>
      <c r="K22" s="132">
        <f t="shared" si="2"/>
        <v>6.2</v>
      </c>
      <c r="L22" s="132">
        <f t="shared" si="3"/>
        <v>0</v>
      </c>
      <c r="M22" s="154">
        <f t="shared" si="4"/>
        <v>15.190000000000001</v>
      </c>
      <c r="N22" s="155">
        <f t="shared" si="5"/>
        <v>3</v>
      </c>
      <c r="O22" s="156" t="s">
        <v>18</v>
      </c>
    </row>
    <row r="23" spans="1:15" ht="33" customHeight="1" x14ac:dyDescent="0.35">
      <c r="A23" s="150">
        <v>17</v>
      </c>
      <c r="B23" s="151" t="s">
        <v>171</v>
      </c>
      <c r="C23" s="151" t="s">
        <v>510</v>
      </c>
      <c r="D23" s="152" t="s">
        <v>296</v>
      </c>
      <c r="E23" s="153">
        <v>33.5</v>
      </c>
      <c r="F23" s="153">
        <v>0.4</v>
      </c>
      <c r="G23" s="153">
        <v>0.25</v>
      </c>
      <c r="H23" s="153">
        <v>0.42</v>
      </c>
      <c r="I23" s="132">
        <f t="shared" si="0"/>
        <v>0.33499999999999996</v>
      </c>
      <c r="J23" s="132">
        <f t="shared" si="1"/>
        <v>22.444999999999997</v>
      </c>
      <c r="K23" s="132">
        <f t="shared" si="2"/>
        <v>13.4</v>
      </c>
      <c r="L23" s="132">
        <f t="shared" si="3"/>
        <v>0</v>
      </c>
      <c r="M23" s="154">
        <f t="shared" si="4"/>
        <v>35.844999999999999</v>
      </c>
      <c r="N23" s="155">
        <f t="shared" si="5"/>
        <v>3</v>
      </c>
      <c r="O23" s="156" t="s">
        <v>18</v>
      </c>
    </row>
    <row r="24" spans="1:15" ht="33" customHeight="1" x14ac:dyDescent="0.35">
      <c r="A24" s="150">
        <v>18</v>
      </c>
      <c r="B24" s="151" t="s">
        <v>171</v>
      </c>
      <c r="C24" s="151" t="s">
        <v>511</v>
      </c>
      <c r="D24" s="152" t="s">
        <v>424</v>
      </c>
      <c r="E24" s="153">
        <v>15.55</v>
      </c>
      <c r="F24" s="153">
        <v>0.4</v>
      </c>
      <c r="G24" s="153">
        <v>0.32</v>
      </c>
      <c r="H24" s="153">
        <v>0.4</v>
      </c>
      <c r="I24" s="132">
        <f t="shared" si="0"/>
        <v>0.36</v>
      </c>
      <c r="J24" s="132">
        <f t="shared" si="1"/>
        <v>11.196</v>
      </c>
      <c r="K24" s="132">
        <f t="shared" si="2"/>
        <v>6.2200000000000006</v>
      </c>
      <c r="L24" s="132">
        <f t="shared" si="3"/>
        <v>6.2200000000000006</v>
      </c>
      <c r="M24" s="154">
        <f t="shared" si="4"/>
        <v>23.636000000000003</v>
      </c>
      <c r="N24" s="155">
        <f t="shared" si="5"/>
        <v>4</v>
      </c>
      <c r="O24" s="156" t="s">
        <v>18</v>
      </c>
    </row>
    <row r="25" spans="1:15" ht="33" customHeight="1" x14ac:dyDescent="0.35">
      <c r="A25" s="150">
        <v>19</v>
      </c>
      <c r="B25" s="151" t="s">
        <v>171</v>
      </c>
      <c r="C25" s="151" t="s">
        <v>510</v>
      </c>
      <c r="D25" s="152" t="s">
        <v>296</v>
      </c>
      <c r="E25" s="153">
        <v>18.899999999999999</v>
      </c>
      <c r="F25" s="153">
        <v>0.4</v>
      </c>
      <c r="G25" s="153">
        <v>0.5</v>
      </c>
      <c r="H25" s="153">
        <v>0.6</v>
      </c>
      <c r="I25" s="132">
        <f t="shared" si="0"/>
        <v>0.55000000000000004</v>
      </c>
      <c r="J25" s="132">
        <f t="shared" si="1"/>
        <v>20.79</v>
      </c>
      <c r="K25" s="132">
        <f t="shared" si="2"/>
        <v>7.56</v>
      </c>
      <c r="L25" s="132">
        <f t="shared" si="3"/>
        <v>0</v>
      </c>
      <c r="M25" s="154">
        <f t="shared" si="4"/>
        <v>28.349999999999998</v>
      </c>
      <c r="N25" s="155">
        <f t="shared" si="5"/>
        <v>3</v>
      </c>
      <c r="O25" s="156" t="s">
        <v>18</v>
      </c>
    </row>
    <row r="26" spans="1:15" ht="33" customHeight="1" x14ac:dyDescent="0.35">
      <c r="A26" s="150">
        <v>20</v>
      </c>
      <c r="B26" s="151" t="s">
        <v>171</v>
      </c>
      <c r="C26" s="151" t="s">
        <v>511</v>
      </c>
      <c r="D26" s="152" t="s">
        <v>424</v>
      </c>
      <c r="E26" s="153">
        <v>26.85</v>
      </c>
      <c r="F26" s="153">
        <v>0.4</v>
      </c>
      <c r="G26" s="153">
        <v>0.5</v>
      </c>
      <c r="H26" s="153">
        <v>0.65</v>
      </c>
      <c r="I26" s="132">
        <f t="shared" si="0"/>
        <v>0.57499999999999996</v>
      </c>
      <c r="J26" s="132">
        <f t="shared" si="1"/>
        <v>30.877499999999998</v>
      </c>
      <c r="K26" s="132">
        <f t="shared" si="2"/>
        <v>10.740000000000002</v>
      </c>
      <c r="L26" s="132">
        <f t="shared" si="3"/>
        <v>10.740000000000002</v>
      </c>
      <c r="M26" s="154">
        <f t="shared" si="4"/>
        <v>52.357500000000002</v>
      </c>
      <c r="N26" s="155">
        <f t="shared" si="5"/>
        <v>4</v>
      </c>
      <c r="O26" s="156" t="s">
        <v>18</v>
      </c>
    </row>
    <row r="28" spans="1:15" ht="22.5" customHeight="1" x14ac:dyDescent="0.35">
      <c r="A28" s="298" t="s">
        <v>512</v>
      </c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157">
        <f>SUM(M7:M26)</f>
        <v>1004.3559000000001</v>
      </c>
      <c r="N28" s="157"/>
      <c r="O28" s="157" t="s">
        <v>18</v>
      </c>
    </row>
  </sheetData>
  <mergeCells count="9">
    <mergeCell ref="A28:L28"/>
    <mergeCell ref="L4:O4"/>
    <mergeCell ref="A1:O1"/>
    <mergeCell ref="C3:O3"/>
    <mergeCell ref="A3:B3"/>
    <mergeCell ref="C2:O2"/>
    <mergeCell ref="A4:B4"/>
    <mergeCell ref="C4:J4"/>
    <mergeCell ref="A2:B2"/>
  </mergeCells>
  <conditionalFormatting sqref="D7:D26">
    <cfRule type="expression" dxfId="5" priority="2">
      <formula>D7="ABIERTA"</formula>
    </cfRule>
    <cfRule type="expression" dxfId="4" priority="3">
      <formula>D7="TAPADA"</formula>
    </cfRule>
  </conditionalFormatting>
  <conditionalFormatting sqref="L7:L26">
    <cfRule type="expression" dxfId="3" priority="4">
      <formula>$D7="ABIERTA"</formula>
    </cfRule>
  </conditionalFormatting>
  <dataValidations count="1">
    <dataValidation type="list" sqref="D7:D26" xr:uid="{00000000-0002-0000-0900-000000000000}">
      <formula1>"ABIERTA,TAPADA"</formula1>
      <formula2>0</formula2>
    </dataValidation>
  </dataValidations>
  <pageMargins left="0.7" right="0.7" top="0.75" bottom="0.75" header="0.511811023622047" footer="0.511811023622047"/>
  <pageSetup paperSize="9" scale="62" fitToHeight="0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8"/>
  <sheetViews>
    <sheetView view="pageBreakPreview" topLeftCell="A8" zoomScale="115" zoomScaleNormal="115" zoomScalePageLayoutView="115" workbookViewId="0">
      <selection activeCell="J12" sqref="J12"/>
    </sheetView>
  </sheetViews>
  <sheetFormatPr baseColWidth="10" defaultColWidth="9.453125" defaultRowHeight="14" x14ac:dyDescent="0.3"/>
  <cols>
    <col min="1" max="1" width="6.54296875" style="114" customWidth="1"/>
    <col min="2" max="2" width="15.90625" style="114" customWidth="1"/>
    <col min="3" max="3" width="18.81640625" style="114" customWidth="1"/>
    <col min="4" max="4" width="17.453125" style="114" customWidth="1"/>
    <col min="5" max="5" width="14.7265625" style="114" customWidth="1"/>
    <col min="6" max="6" width="19.6328125" style="114" customWidth="1"/>
    <col min="7" max="7" width="27" style="114" customWidth="1"/>
    <col min="8" max="8" width="8.7265625" style="114" customWidth="1"/>
    <col min="9" max="9" width="9.453125" style="114" customWidth="1"/>
    <col min="10" max="16384" width="9.453125" style="114"/>
  </cols>
  <sheetData>
    <row r="1" spans="1:8" ht="21" customHeight="1" x14ac:dyDescent="0.3">
      <c r="A1" s="305" t="s">
        <v>513</v>
      </c>
      <c r="B1" s="306"/>
      <c r="C1" s="306"/>
      <c r="D1" s="306"/>
      <c r="E1" s="306"/>
      <c r="F1" s="306"/>
      <c r="G1" s="306"/>
      <c r="H1" s="306"/>
    </row>
    <row r="2" spans="1:8" ht="22.5" customHeight="1" x14ac:dyDescent="0.35">
      <c r="A2" s="304" t="s">
        <v>1</v>
      </c>
      <c r="B2" s="214"/>
      <c r="C2" s="307" t="s">
        <v>2</v>
      </c>
      <c r="D2" s="213"/>
      <c r="E2" s="213"/>
      <c r="F2" s="213"/>
      <c r="G2" s="213"/>
      <c r="H2" s="214"/>
    </row>
    <row r="3" spans="1:8" ht="54" customHeight="1" x14ac:dyDescent="0.35">
      <c r="A3" s="304" t="s">
        <v>3</v>
      </c>
      <c r="B3" s="214"/>
      <c r="C3" s="307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3" s="213"/>
      <c r="E3" s="213"/>
      <c r="F3" s="213"/>
      <c r="G3" s="213"/>
      <c r="H3" s="214"/>
    </row>
    <row r="4" spans="1:8" ht="24" customHeight="1" x14ac:dyDescent="0.35">
      <c r="A4" s="304" t="s">
        <v>5</v>
      </c>
      <c r="B4" s="214"/>
      <c r="C4" s="309" t="str">
        <f>+RESUMEN!B6</f>
        <v>SAN MARTIN - SAN MARTIN - MORALES</v>
      </c>
      <c r="D4" s="213"/>
      <c r="E4" s="213"/>
      <c r="F4" s="214"/>
      <c r="G4" s="158" t="s">
        <v>7</v>
      </c>
      <c r="H4" s="159">
        <f>+RESUMEN!B7</f>
        <v>46266</v>
      </c>
    </row>
    <row r="6" spans="1:8" ht="31.5" customHeight="1" x14ac:dyDescent="0.3">
      <c r="A6" s="160" t="s">
        <v>385</v>
      </c>
      <c r="B6" s="160" t="s">
        <v>386</v>
      </c>
      <c r="C6" s="160" t="s">
        <v>387</v>
      </c>
      <c r="D6" s="160" t="s">
        <v>388</v>
      </c>
      <c r="E6" s="160" t="s">
        <v>514</v>
      </c>
      <c r="F6" s="160" t="s">
        <v>515</v>
      </c>
      <c r="G6" s="160" t="s">
        <v>516</v>
      </c>
      <c r="H6" s="160" t="s">
        <v>485</v>
      </c>
    </row>
    <row r="7" spans="1:8" ht="30" customHeight="1" x14ac:dyDescent="0.3">
      <c r="A7" s="161">
        <v>1</v>
      </c>
      <c r="B7" s="162" t="s">
        <v>495</v>
      </c>
      <c r="C7" s="162" t="s">
        <v>510</v>
      </c>
      <c r="D7" s="163" t="s">
        <v>296</v>
      </c>
      <c r="E7" s="164">
        <v>23.6</v>
      </c>
      <c r="F7" s="164">
        <v>0</v>
      </c>
      <c r="G7" s="165">
        <f t="shared" ref="G7:G26" si="0">IF(B7="","",IF(D7="ABIERTA",IF(E7-F7&lt;0,0,E7-F7),0))</f>
        <v>23.6</v>
      </c>
      <c r="H7" s="166" t="s">
        <v>57</v>
      </c>
    </row>
    <row r="8" spans="1:8" ht="33" customHeight="1" x14ac:dyDescent="0.3">
      <c r="A8" s="161">
        <v>2</v>
      </c>
      <c r="B8" s="162" t="s">
        <v>418</v>
      </c>
      <c r="C8" s="162" t="s">
        <v>510</v>
      </c>
      <c r="D8" s="163" t="s">
        <v>296</v>
      </c>
      <c r="E8" s="164">
        <v>127.82</v>
      </c>
      <c r="F8" s="164">
        <v>0</v>
      </c>
      <c r="G8" s="165">
        <f t="shared" si="0"/>
        <v>127.82</v>
      </c>
      <c r="H8" s="166" t="s">
        <v>57</v>
      </c>
    </row>
    <row r="9" spans="1:8" ht="28.5" customHeight="1" x14ac:dyDescent="0.3">
      <c r="A9" s="161">
        <v>3</v>
      </c>
      <c r="B9" s="162" t="s">
        <v>418</v>
      </c>
      <c r="C9" s="162" t="s">
        <v>511</v>
      </c>
      <c r="D9" s="163" t="s">
        <v>424</v>
      </c>
      <c r="E9" s="164">
        <v>15.7</v>
      </c>
      <c r="F9" s="164">
        <v>0</v>
      </c>
      <c r="G9" s="165">
        <f t="shared" si="0"/>
        <v>0</v>
      </c>
      <c r="H9" s="166" t="s">
        <v>57</v>
      </c>
    </row>
    <row r="10" spans="1:8" ht="27" customHeight="1" x14ac:dyDescent="0.3">
      <c r="A10" s="161">
        <v>4</v>
      </c>
      <c r="B10" s="162" t="s">
        <v>496</v>
      </c>
      <c r="C10" s="162" t="s">
        <v>510</v>
      </c>
      <c r="D10" s="163" t="s">
        <v>296</v>
      </c>
      <c r="E10" s="164">
        <v>26.35</v>
      </c>
      <c r="F10" s="164">
        <v>0</v>
      </c>
      <c r="G10" s="165">
        <f t="shared" si="0"/>
        <v>26.35</v>
      </c>
      <c r="H10" s="166" t="s">
        <v>57</v>
      </c>
    </row>
    <row r="11" spans="1:8" ht="27" customHeight="1" x14ac:dyDescent="0.3">
      <c r="A11" s="161">
        <v>5</v>
      </c>
      <c r="B11" s="162" t="s">
        <v>497</v>
      </c>
      <c r="C11" s="162" t="s">
        <v>510</v>
      </c>
      <c r="D11" s="163" t="s">
        <v>296</v>
      </c>
      <c r="E11" s="164">
        <v>9.65</v>
      </c>
      <c r="F11" s="164">
        <v>0</v>
      </c>
      <c r="G11" s="165">
        <f t="shared" si="0"/>
        <v>9.65</v>
      </c>
      <c r="H11" s="166" t="s">
        <v>57</v>
      </c>
    </row>
    <row r="12" spans="1:8" ht="27" customHeight="1" x14ac:dyDescent="0.3">
      <c r="A12" s="161">
        <v>6</v>
      </c>
      <c r="B12" s="162" t="s">
        <v>498</v>
      </c>
      <c r="C12" s="162" t="s">
        <v>510</v>
      </c>
      <c r="D12" s="163" t="s">
        <v>296</v>
      </c>
      <c r="E12" s="164">
        <v>25.66</v>
      </c>
      <c r="F12" s="164">
        <v>0</v>
      </c>
      <c r="G12" s="165">
        <f t="shared" si="0"/>
        <v>25.66</v>
      </c>
      <c r="H12" s="166" t="s">
        <v>57</v>
      </c>
    </row>
    <row r="13" spans="1:8" ht="27" customHeight="1" x14ac:dyDescent="0.3">
      <c r="A13" s="161">
        <v>7</v>
      </c>
      <c r="B13" s="162" t="s">
        <v>435</v>
      </c>
      <c r="C13" s="162" t="s">
        <v>510</v>
      </c>
      <c r="D13" s="163" t="s">
        <v>296</v>
      </c>
      <c r="E13" s="164">
        <v>106.95</v>
      </c>
      <c r="F13" s="164">
        <v>0</v>
      </c>
      <c r="G13" s="165">
        <f t="shared" si="0"/>
        <v>106.95</v>
      </c>
      <c r="H13" s="166" t="s">
        <v>57</v>
      </c>
    </row>
    <row r="14" spans="1:8" ht="27" customHeight="1" x14ac:dyDescent="0.3">
      <c r="A14" s="161">
        <v>8</v>
      </c>
      <c r="B14" s="162" t="s">
        <v>438</v>
      </c>
      <c r="C14" s="162" t="s">
        <v>510</v>
      </c>
      <c r="D14" s="163" t="s">
        <v>296</v>
      </c>
      <c r="E14" s="164">
        <v>36</v>
      </c>
      <c r="F14" s="164">
        <v>0</v>
      </c>
      <c r="G14" s="165">
        <f t="shared" si="0"/>
        <v>36</v>
      </c>
      <c r="H14" s="166" t="s">
        <v>57</v>
      </c>
    </row>
    <row r="15" spans="1:8" ht="27" customHeight="1" x14ac:dyDescent="0.3">
      <c r="A15" s="161">
        <v>9</v>
      </c>
      <c r="B15" s="162" t="s">
        <v>438</v>
      </c>
      <c r="C15" s="162" t="s">
        <v>511</v>
      </c>
      <c r="D15" s="163" t="s">
        <v>424</v>
      </c>
      <c r="E15" s="164">
        <v>7.3</v>
      </c>
      <c r="F15" s="164">
        <v>0</v>
      </c>
      <c r="G15" s="165">
        <f t="shared" si="0"/>
        <v>0</v>
      </c>
      <c r="H15" s="166" t="s">
        <v>57</v>
      </c>
    </row>
    <row r="16" spans="1:8" ht="27" customHeight="1" x14ac:dyDescent="0.3">
      <c r="A16" s="161">
        <v>10</v>
      </c>
      <c r="B16" s="162" t="s">
        <v>438</v>
      </c>
      <c r="C16" s="162" t="s">
        <v>510</v>
      </c>
      <c r="D16" s="163" t="s">
        <v>296</v>
      </c>
      <c r="E16" s="164">
        <v>83.45</v>
      </c>
      <c r="F16" s="164">
        <v>0</v>
      </c>
      <c r="G16" s="165">
        <f t="shared" si="0"/>
        <v>83.45</v>
      </c>
      <c r="H16" s="166" t="s">
        <v>57</v>
      </c>
    </row>
    <row r="17" spans="1:8" ht="27" customHeight="1" x14ac:dyDescent="0.3">
      <c r="A17" s="161">
        <v>11</v>
      </c>
      <c r="B17" s="162" t="s">
        <v>438</v>
      </c>
      <c r="C17" s="162" t="s">
        <v>511</v>
      </c>
      <c r="D17" s="163" t="s">
        <v>424</v>
      </c>
      <c r="E17" s="164">
        <v>14.45</v>
      </c>
      <c r="F17" s="164">
        <v>0</v>
      </c>
      <c r="G17" s="165">
        <f t="shared" si="0"/>
        <v>0</v>
      </c>
      <c r="H17" s="166" t="s">
        <v>57</v>
      </c>
    </row>
    <row r="18" spans="1:8" ht="27" customHeight="1" x14ac:dyDescent="0.3">
      <c r="A18" s="161">
        <v>12</v>
      </c>
      <c r="B18" s="162" t="s">
        <v>499</v>
      </c>
      <c r="C18" s="162" t="s">
        <v>510</v>
      </c>
      <c r="D18" s="163" t="s">
        <v>296</v>
      </c>
      <c r="E18" s="164">
        <v>23.3</v>
      </c>
      <c r="F18" s="164">
        <v>0</v>
      </c>
      <c r="G18" s="165">
        <f t="shared" si="0"/>
        <v>23.3</v>
      </c>
      <c r="H18" s="166"/>
    </row>
    <row r="19" spans="1:8" ht="27" customHeight="1" x14ac:dyDescent="0.3">
      <c r="A19" s="161">
        <v>13</v>
      </c>
      <c r="B19" s="162" t="s">
        <v>450</v>
      </c>
      <c r="C19" s="162" t="s">
        <v>510</v>
      </c>
      <c r="D19" s="163" t="s">
        <v>296</v>
      </c>
      <c r="E19" s="164">
        <v>60.7</v>
      </c>
      <c r="F19" s="164">
        <v>0</v>
      </c>
      <c r="G19" s="165">
        <f t="shared" si="0"/>
        <v>60.7</v>
      </c>
      <c r="H19" s="166"/>
    </row>
    <row r="20" spans="1:8" ht="27" customHeight="1" x14ac:dyDescent="0.3">
      <c r="A20" s="161">
        <v>14</v>
      </c>
      <c r="B20" s="162" t="s">
        <v>169</v>
      </c>
      <c r="C20" s="162" t="s">
        <v>510</v>
      </c>
      <c r="D20" s="163" t="s">
        <v>296</v>
      </c>
      <c r="E20" s="164">
        <v>36.549999999999997</v>
      </c>
      <c r="F20" s="164">
        <v>0</v>
      </c>
      <c r="G20" s="165">
        <f t="shared" si="0"/>
        <v>36.549999999999997</v>
      </c>
      <c r="H20" s="166"/>
    </row>
    <row r="21" spans="1:8" ht="27" customHeight="1" x14ac:dyDescent="0.3">
      <c r="A21" s="161">
        <v>15</v>
      </c>
      <c r="B21" s="162" t="s">
        <v>169</v>
      </c>
      <c r="C21" s="162" t="s">
        <v>511</v>
      </c>
      <c r="D21" s="163" t="s">
        <v>424</v>
      </c>
      <c r="E21" s="164">
        <v>14.7</v>
      </c>
      <c r="F21" s="164">
        <v>0</v>
      </c>
      <c r="G21" s="165">
        <f t="shared" si="0"/>
        <v>0</v>
      </c>
      <c r="H21" s="166"/>
    </row>
    <row r="22" spans="1:8" ht="27" customHeight="1" x14ac:dyDescent="0.3">
      <c r="A22" s="161">
        <v>16</v>
      </c>
      <c r="B22" s="162" t="s">
        <v>170</v>
      </c>
      <c r="C22" s="162" t="s">
        <v>510</v>
      </c>
      <c r="D22" s="163" t="s">
        <v>296</v>
      </c>
      <c r="E22" s="164">
        <v>15.5</v>
      </c>
      <c r="F22" s="164">
        <v>0</v>
      </c>
      <c r="G22" s="165">
        <f t="shared" si="0"/>
        <v>15.5</v>
      </c>
      <c r="H22" s="166" t="s">
        <v>57</v>
      </c>
    </row>
    <row r="23" spans="1:8" ht="27" customHeight="1" x14ac:dyDescent="0.3">
      <c r="A23" s="161">
        <v>17</v>
      </c>
      <c r="B23" s="162" t="s">
        <v>171</v>
      </c>
      <c r="C23" s="162" t="s">
        <v>510</v>
      </c>
      <c r="D23" s="163" t="s">
        <v>296</v>
      </c>
      <c r="E23" s="164">
        <v>33.5</v>
      </c>
      <c r="F23" s="164">
        <v>0</v>
      </c>
      <c r="G23" s="165">
        <f t="shared" si="0"/>
        <v>33.5</v>
      </c>
      <c r="H23" s="166" t="s">
        <v>57</v>
      </c>
    </row>
    <row r="24" spans="1:8" ht="27" customHeight="1" x14ac:dyDescent="0.3">
      <c r="A24" s="161">
        <v>18</v>
      </c>
      <c r="B24" s="162" t="s">
        <v>171</v>
      </c>
      <c r="C24" s="162" t="s">
        <v>511</v>
      </c>
      <c r="D24" s="163" t="s">
        <v>424</v>
      </c>
      <c r="E24" s="164">
        <v>15.55</v>
      </c>
      <c r="F24" s="164">
        <v>0</v>
      </c>
      <c r="G24" s="165">
        <f t="shared" si="0"/>
        <v>0</v>
      </c>
      <c r="H24" s="166" t="s">
        <v>57</v>
      </c>
    </row>
    <row r="25" spans="1:8" ht="27" customHeight="1" x14ac:dyDescent="0.3">
      <c r="A25" s="161">
        <v>19</v>
      </c>
      <c r="B25" s="162" t="s">
        <v>171</v>
      </c>
      <c r="C25" s="162" t="s">
        <v>510</v>
      </c>
      <c r="D25" s="163" t="s">
        <v>296</v>
      </c>
      <c r="E25" s="164">
        <v>18.899999999999999</v>
      </c>
      <c r="F25" s="164">
        <v>0</v>
      </c>
      <c r="G25" s="165">
        <f t="shared" si="0"/>
        <v>18.899999999999999</v>
      </c>
      <c r="H25" s="166"/>
    </row>
    <row r="26" spans="1:8" ht="27" customHeight="1" x14ac:dyDescent="0.3">
      <c r="A26" s="161">
        <v>20</v>
      </c>
      <c r="B26" s="162" t="s">
        <v>171</v>
      </c>
      <c r="C26" s="162" t="s">
        <v>511</v>
      </c>
      <c r="D26" s="163" t="s">
        <v>424</v>
      </c>
      <c r="E26" s="164">
        <v>26.85</v>
      </c>
      <c r="F26" s="164">
        <v>0</v>
      </c>
      <c r="G26" s="165">
        <f t="shared" si="0"/>
        <v>0</v>
      </c>
      <c r="H26" s="166" t="s">
        <v>57</v>
      </c>
    </row>
    <row r="28" spans="1:8" ht="18" customHeight="1" x14ac:dyDescent="0.3">
      <c r="A28" s="308" t="s">
        <v>517</v>
      </c>
      <c r="B28" s="306"/>
      <c r="C28" s="306"/>
      <c r="D28" s="306"/>
      <c r="E28" s="306"/>
      <c r="F28" s="306"/>
      <c r="G28" s="167">
        <f>SUM(G7:G26)</f>
        <v>627.92999999999995</v>
      </c>
      <c r="H28" s="167" t="s">
        <v>57</v>
      </c>
    </row>
  </sheetData>
  <mergeCells count="8">
    <mergeCell ref="A4:B4"/>
    <mergeCell ref="A1:H1"/>
    <mergeCell ref="C2:H2"/>
    <mergeCell ref="A2:B2"/>
    <mergeCell ref="A28:F28"/>
    <mergeCell ref="C4:F4"/>
    <mergeCell ref="C3:H3"/>
    <mergeCell ref="A3:B3"/>
  </mergeCells>
  <conditionalFormatting sqref="D7:D26">
    <cfRule type="expression" dxfId="2" priority="2">
      <formula>D7="ABIERTA"</formula>
    </cfRule>
    <cfRule type="expression" dxfId="1" priority="3">
      <formula>D7="TAPADA"</formula>
    </cfRule>
  </conditionalFormatting>
  <conditionalFormatting sqref="G7:G26">
    <cfRule type="expression" dxfId="0" priority="4">
      <formula>$D7="TAPADA"</formula>
    </cfRule>
  </conditionalFormatting>
  <dataValidations count="1">
    <dataValidation type="list" sqref="D7:D26" xr:uid="{00000000-0002-0000-0A00-000000000000}">
      <formula1>"ABIERTA,TAPADA"</formula1>
      <formula2>0</formula2>
    </dataValidation>
  </dataValidations>
  <pageMargins left="0.7" right="0.7" top="0.75" bottom="0.75" header="0.511811023622047" footer="0.511811023622047"/>
  <pageSetup paperSize="9" scale="6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K23"/>
  <sheetViews>
    <sheetView view="pageBreakPreview" topLeftCell="B4" zoomScale="115" zoomScaleNormal="115" zoomScalePageLayoutView="115" workbookViewId="0">
      <selection activeCell="N17" sqref="N17"/>
    </sheetView>
  </sheetViews>
  <sheetFormatPr baseColWidth="10" defaultColWidth="9.453125" defaultRowHeight="15.5" x14ac:dyDescent="0.35"/>
  <cols>
    <col min="1" max="1" width="22.453125" style="147" customWidth="1"/>
    <col min="2" max="2" width="50.7265625" style="147" customWidth="1"/>
    <col min="3" max="3" width="14.1796875" style="147" customWidth="1"/>
    <col min="4" max="4" width="18.1796875" style="147" customWidth="1"/>
    <col min="5" max="5" width="12.54296875" style="147" customWidth="1"/>
    <col min="6" max="8" width="12" style="147" customWidth="1"/>
    <col min="9" max="10" width="16.36328125" style="147" customWidth="1"/>
    <col min="11" max="11" width="9.81640625" style="147" customWidth="1"/>
    <col min="12" max="12" width="9.453125" style="147" customWidth="1"/>
    <col min="13" max="16384" width="9.453125" style="147"/>
  </cols>
  <sheetData>
    <row r="1" spans="1:11" ht="20" customHeight="1" x14ac:dyDescent="0.35">
      <c r="A1" s="311" t="s">
        <v>518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11" ht="24.75" customHeight="1" x14ac:dyDescent="0.35">
      <c r="A2" s="148" t="s">
        <v>1</v>
      </c>
      <c r="B2" s="302" t="s">
        <v>2</v>
      </c>
      <c r="C2" s="213"/>
      <c r="D2" s="213"/>
      <c r="E2" s="213"/>
      <c r="F2" s="213"/>
      <c r="G2" s="213"/>
      <c r="H2" s="213"/>
      <c r="I2" s="213"/>
      <c r="J2" s="213"/>
      <c r="K2" s="214"/>
    </row>
    <row r="3" spans="1:11" ht="39.75" customHeight="1" x14ac:dyDescent="0.35">
      <c r="A3" s="148" t="s">
        <v>3</v>
      </c>
      <c r="B3" s="30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13"/>
      <c r="D3" s="213"/>
      <c r="E3" s="213"/>
      <c r="F3" s="213"/>
      <c r="G3" s="213"/>
      <c r="H3" s="213"/>
      <c r="I3" s="213"/>
      <c r="J3" s="213"/>
      <c r="K3" s="214"/>
    </row>
    <row r="4" spans="1:11" ht="24" customHeight="1" x14ac:dyDescent="0.35">
      <c r="A4" s="148" t="s">
        <v>5</v>
      </c>
      <c r="B4" s="302" t="str">
        <f>+RESUMEN!B6</f>
        <v>SAN MARTIN - SAN MARTIN - MORALES</v>
      </c>
      <c r="C4" s="213"/>
      <c r="D4" s="213"/>
      <c r="E4" s="213"/>
      <c r="F4" s="213"/>
      <c r="G4" s="213"/>
      <c r="H4" s="213"/>
      <c r="I4" s="213"/>
      <c r="J4" s="213"/>
      <c r="K4" s="214"/>
    </row>
    <row r="5" spans="1:11" ht="18" customHeight="1" x14ac:dyDescent="0.35">
      <c r="A5" s="148" t="s">
        <v>7</v>
      </c>
      <c r="B5" s="312">
        <f>+RESUMEN!B7</f>
        <v>46266</v>
      </c>
      <c r="C5" s="213"/>
      <c r="D5" s="213"/>
      <c r="E5" s="213"/>
      <c r="F5" s="213"/>
      <c r="G5" s="213"/>
      <c r="H5" s="213"/>
      <c r="I5" s="213"/>
      <c r="J5" s="213"/>
      <c r="K5" s="214"/>
    </row>
    <row r="6" spans="1:11" ht="9.75" customHeight="1" x14ac:dyDescent="0.3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</row>
    <row r="7" spans="1:11" ht="19.5" customHeight="1" x14ac:dyDescent="0.35">
      <c r="A7" s="310" t="s">
        <v>148</v>
      </c>
      <c r="B7" s="310" t="s">
        <v>351</v>
      </c>
      <c r="C7" s="169" t="s">
        <v>150</v>
      </c>
      <c r="D7" s="310" t="s">
        <v>519</v>
      </c>
      <c r="E7" s="213"/>
      <c r="F7" s="213"/>
      <c r="G7" s="213"/>
      <c r="H7" s="214"/>
      <c r="I7" s="169" t="s">
        <v>157</v>
      </c>
      <c r="J7" s="310" t="s">
        <v>158</v>
      </c>
      <c r="K7" s="310" t="s">
        <v>159</v>
      </c>
    </row>
    <row r="8" spans="1:11" ht="36" customHeight="1" x14ac:dyDescent="0.35">
      <c r="A8" s="220"/>
      <c r="B8" s="220"/>
      <c r="C8" s="169"/>
      <c r="D8" s="169" t="s">
        <v>151</v>
      </c>
      <c r="E8" s="169" t="s">
        <v>152</v>
      </c>
      <c r="F8" s="169" t="s">
        <v>153</v>
      </c>
      <c r="G8" s="169" t="s">
        <v>154</v>
      </c>
      <c r="H8" s="169" t="s">
        <v>155</v>
      </c>
      <c r="I8" s="169" t="s">
        <v>520</v>
      </c>
      <c r="J8" s="220"/>
      <c r="K8" s="220"/>
    </row>
    <row r="9" spans="1:11" ht="19.5" customHeight="1" x14ac:dyDescent="0.35">
      <c r="A9" s="150" t="s">
        <v>58</v>
      </c>
      <c r="B9" s="170" t="s">
        <v>521</v>
      </c>
      <c r="C9" s="150"/>
      <c r="D9" s="150"/>
      <c r="E9" s="150"/>
      <c r="F9" s="150"/>
      <c r="G9" s="150"/>
      <c r="H9" s="150"/>
      <c r="I9" s="150"/>
      <c r="J9" s="171">
        <f>+PARAMETROS!B4</f>
        <v>10</v>
      </c>
      <c r="K9" s="172" t="s">
        <v>60</v>
      </c>
    </row>
    <row r="10" spans="1:11" ht="19.5" customHeight="1" x14ac:dyDescent="0.35">
      <c r="A10" s="150"/>
      <c r="B10" s="170"/>
      <c r="C10" s="150"/>
      <c r="D10" s="150"/>
      <c r="E10" s="150"/>
      <c r="F10" s="150"/>
      <c r="G10" s="150"/>
      <c r="H10" s="150"/>
      <c r="I10" s="150"/>
      <c r="J10" s="150"/>
      <c r="K10" s="150"/>
    </row>
    <row r="11" spans="1:11" ht="19.5" customHeight="1" x14ac:dyDescent="0.35">
      <c r="A11" s="173"/>
      <c r="B11" s="174" t="s">
        <v>522</v>
      </c>
      <c r="C11" s="173"/>
      <c r="D11" s="173"/>
      <c r="E11" s="173"/>
      <c r="F11" s="173"/>
      <c r="G11" s="173"/>
      <c r="H11" s="173"/>
      <c r="I11" s="173" t="s">
        <v>158</v>
      </c>
      <c r="J11" s="173"/>
      <c r="K11" s="173"/>
    </row>
    <row r="12" spans="1:11" ht="19.5" customHeight="1" x14ac:dyDescent="0.35">
      <c r="A12" s="150"/>
      <c r="B12" s="170" t="s">
        <v>523</v>
      </c>
      <c r="C12" s="175">
        <f>PARAMETROS!B4</f>
        <v>10</v>
      </c>
      <c r="D12" s="175">
        <f>PARAMETROS!B5</f>
        <v>0.6</v>
      </c>
      <c r="E12" s="175">
        <f>PARAMETROS!B6</f>
        <v>0.6</v>
      </c>
      <c r="F12" s="175">
        <f>PARAMETROS!B7</f>
        <v>0.1</v>
      </c>
      <c r="G12" s="176"/>
      <c r="H12" s="176"/>
      <c r="I12" s="175">
        <f>C12*D12*E12*F12</f>
        <v>0.36</v>
      </c>
      <c r="J12" s="171">
        <f>I12</f>
        <v>0.36</v>
      </c>
      <c r="K12" s="172" t="s">
        <v>176</v>
      </c>
    </row>
    <row r="13" spans="1:11" ht="19.5" customHeight="1" x14ac:dyDescent="0.35">
      <c r="A13" s="150"/>
      <c r="B13" s="170"/>
      <c r="C13" s="176"/>
      <c r="D13" s="176"/>
      <c r="E13" s="176"/>
      <c r="F13" s="176"/>
      <c r="G13" s="176"/>
      <c r="H13" s="176"/>
      <c r="I13" s="176"/>
      <c r="J13" s="176"/>
      <c r="K13" s="150"/>
    </row>
    <row r="14" spans="1:11" ht="29.25" customHeight="1" x14ac:dyDescent="0.35">
      <c r="A14" s="173"/>
      <c r="B14" s="174" t="s">
        <v>524</v>
      </c>
      <c r="C14" s="177"/>
      <c r="D14" s="177"/>
      <c r="E14" s="177"/>
      <c r="F14" s="177"/>
      <c r="G14" s="177"/>
      <c r="H14" s="177"/>
      <c r="I14" s="177" t="s">
        <v>158</v>
      </c>
      <c r="J14" s="177"/>
      <c r="K14" s="173"/>
    </row>
    <row r="15" spans="1:11" ht="19.5" customHeight="1" x14ac:dyDescent="0.35">
      <c r="A15" s="150"/>
      <c r="B15" s="170" t="s">
        <v>525</v>
      </c>
      <c r="C15" s="175">
        <f>PARAMETROS!B4</f>
        <v>10</v>
      </c>
      <c r="D15" s="175">
        <f>2*(PARAMETROS!B5+PARAMETROS!B6)</f>
        <v>2.4</v>
      </c>
      <c r="E15" s="175"/>
      <c r="F15" s="175">
        <f>PARAMETROS!B7</f>
        <v>0.1</v>
      </c>
      <c r="G15" s="176"/>
      <c r="H15" s="175">
        <f>D15*F15</f>
        <v>0.24</v>
      </c>
      <c r="I15" s="175">
        <f>C15*H15</f>
        <v>2.4</v>
      </c>
      <c r="J15" s="175">
        <f>I15</f>
        <v>2.4</v>
      </c>
      <c r="K15" s="150" t="s">
        <v>177</v>
      </c>
    </row>
    <row r="16" spans="1:11" ht="19.5" customHeight="1" x14ac:dyDescent="0.35">
      <c r="A16" s="150"/>
      <c r="B16" s="170" t="s">
        <v>526</v>
      </c>
      <c r="C16" s="175">
        <f>PARAMETROS!B4</f>
        <v>10</v>
      </c>
      <c r="D16" s="175">
        <f>PARAMETROS!B5</f>
        <v>0.6</v>
      </c>
      <c r="E16" s="175">
        <f>PARAMETROS!B6</f>
        <v>0.6</v>
      </c>
      <c r="F16" s="175"/>
      <c r="G16" s="176"/>
      <c r="H16" s="175">
        <f>D16*E16</f>
        <v>0.36</v>
      </c>
      <c r="I16" s="175">
        <f>C16*H16</f>
        <v>3.5999999999999996</v>
      </c>
      <c r="J16" s="175">
        <f>I16</f>
        <v>3.5999999999999996</v>
      </c>
      <c r="K16" s="150" t="s">
        <v>177</v>
      </c>
    </row>
    <row r="17" spans="1:11" ht="19.5" customHeight="1" x14ac:dyDescent="0.35">
      <c r="A17" s="150"/>
      <c r="B17" s="170" t="s">
        <v>527</v>
      </c>
      <c r="C17" s="176"/>
      <c r="D17" s="176"/>
      <c r="E17" s="176"/>
      <c r="F17" s="176"/>
      <c r="G17" s="176"/>
      <c r="H17" s="175"/>
      <c r="I17" s="175"/>
      <c r="J17" s="171">
        <f>J15+J16</f>
        <v>6</v>
      </c>
      <c r="K17" s="172" t="s">
        <v>177</v>
      </c>
    </row>
    <row r="18" spans="1:11" ht="19.5" customHeight="1" x14ac:dyDescent="0.35">
      <c r="A18" s="150"/>
      <c r="B18" s="170"/>
      <c r="C18" s="176"/>
      <c r="D18" s="176"/>
      <c r="E18" s="176"/>
      <c r="F18" s="176"/>
      <c r="G18" s="176"/>
      <c r="H18" s="176"/>
      <c r="I18" s="176"/>
      <c r="J18" s="176"/>
      <c r="K18" s="150"/>
    </row>
    <row r="19" spans="1:11" ht="42.75" customHeight="1" x14ac:dyDescent="0.35">
      <c r="A19" s="173"/>
      <c r="B19" s="174" t="s">
        <v>528</v>
      </c>
      <c r="C19" s="177"/>
      <c r="D19" s="178" t="s">
        <v>529</v>
      </c>
      <c r="E19" s="179" t="s">
        <v>530</v>
      </c>
      <c r="F19" s="177"/>
      <c r="G19" s="177"/>
      <c r="H19" s="177"/>
      <c r="I19" s="177" t="s">
        <v>158</v>
      </c>
      <c r="J19" s="177"/>
      <c r="K19" s="173"/>
    </row>
    <row r="20" spans="1:11" ht="19.5" customHeight="1" x14ac:dyDescent="0.35">
      <c r="A20" s="150"/>
      <c r="B20" s="170" t="s">
        <v>531</v>
      </c>
      <c r="C20" s="175">
        <f>PARAMETROS!B4</f>
        <v>10</v>
      </c>
      <c r="D20" s="175">
        <f>PARAMETROS!B5-2*PARAMETROS!B8</f>
        <v>0.54999999999999993</v>
      </c>
      <c r="E20" s="175">
        <f>ROUND((PARAMETROS!B6-2*PARAMETROS!B8)/PARAMETROS!B9,0)+1</f>
        <v>5</v>
      </c>
      <c r="F20" s="175"/>
      <c r="G20" s="175">
        <f>PARAMETROS!B10</f>
        <v>0.56000000000000005</v>
      </c>
      <c r="H20" s="176"/>
      <c r="I20" s="175">
        <f>C20*D20*E20*G20</f>
        <v>15.4</v>
      </c>
      <c r="J20" s="175">
        <f>I20</f>
        <v>15.4</v>
      </c>
      <c r="K20" s="150" t="s">
        <v>50</v>
      </c>
    </row>
    <row r="21" spans="1:11" ht="19.5" customHeight="1" x14ac:dyDescent="0.35">
      <c r="A21" s="150"/>
      <c r="B21" s="170" t="s">
        <v>532</v>
      </c>
      <c r="C21" s="175">
        <f>PARAMETROS!B4</f>
        <v>10</v>
      </c>
      <c r="D21" s="175">
        <f>PARAMETROS!B6-2*PARAMETROS!B8</f>
        <v>0.54999999999999993</v>
      </c>
      <c r="E21" s="175">
        <f>ROUND((PARAMETROS!B5-2*PARAMETROS!B8)/PARAMETROS!B9,0)+1</f>
        <v>5</v>
      </c>
      <c r="F21" s="175"/>
      <c r="G21" s="175">
        <f>PARAMETROS!B10</f>
        <v>0.56000000000000005</v>
      </c>
      <c r="H21" s="176"/>
      <c r="I21" s="175">
        <f>C21*D21*E21*G21</f>
        <v>15.4</v>
      </c>
      <c r="J21" s="175">
        <f>I21</f>
        <v>15.4</v>
      </c>
      <c r="K21" s="150" t="s">
        <v>50</v>
      </c>
    </row>
    <row r="22" spans="1:11" ht="19.5" customHeight="1" x14ac:dyDescent="0.35">
      <c r="A22" s="150"/>
      <c r="B22" s="170" t="s">
        <v>533</v>
      </c>
      <c r="C22" s="176"/>
      <c r="D22" s="176"/>
      <c r="E22" s="176"/>
      <c r="F22" s="176"/>
      <c r="G22" s="176"/>
      <c r="H22" s="176"/>
      <c r="I22" s="175"/>
      <c r="J22" s="171">
        <f>J20+J21</f>
        <v>30.8</v>
      </c>
      <c r="K22" s="172" t="s">
        <v>50</v>
      </c>
    </row>
    <row r="23" spans="1:11" ht="19.5" customHeight="1" x14ac:dyDescent="0.35">
      <c r="A23" s="180"/>
      <c r="B23" s="168"/>
      <c r="C23" s="180"/>
      <c r="D23" s="180"/>
      <c r="E23" s="180"/>
      <c r="F23" s="180"/>
      <c r="G23" s="180"/>
      <c r="H23" s="180"/>
      <c r="I23" s="180"/>
      <c r="J23" s="180"/>
      <c r="K23" s="180"/>
    </row>
  </sheetData>
  <mergeCells count="10">
    <mergeCell ref="B2:K2"/>
    <mergeCell ref="J7:J8"/>
    <mergeCell ref="A1:K1"/>
    <mergeCell ref="B3:K3"/>
    <mergeCell ref="B5:K5"/>
    <mergeCell ref="D7:H7"/>
    <mergeCell ref="B4:K4"/>
    <mergeCell ref="A7:A8"/>
    <mergeCell ref="B7:B8"/>
    <mergeCell ref="K7:K8"/>
  </mergeCells>
  <pageMargins left="0.7" right="0.7" top="0.75" bottom="0.75" header="0.511811023622047" footer="0.511811023622047"/>
  <pageSetup paperSize="9" scale="66" fitToHeight="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K27"/>
  <sheetViews>
    <sheetView view="pageBreakPreview" topLeftCell="B4" zoomScale="115" zoomScaleNormal="115" zoomScalePageLayoutView="115" workbookViewId="0">
      <selection activeCell="N17" sqref="N17"/>
    </sheetView>
  </sheetViews>
  <sheetFormatPr baseColWidth="10" defaultColWidth="9.453125" defaultRowHeight="15.5" x14ac:dyDescent="0.35"/>
  <cols>
    <col min="1" max="1" width="22.453125" style="147" customWidth="1"/>
    <col min="2" max="2" width="50.7265625" style="147" customWidth="1"/>
    <col min="3" max="3" width="14.1796875" style="147" customWidth="1"/>
    <col min="4" max="4" width="18.1796875" style="147" customWidth="1"/>
    <col min="5" max="5" width="12.54296875" style="147" customWidth="1"/>
    <col min="6" max="8" width="12" style="147" customWidth="1"/>
    <col min="9" max="10" width="16.36328125" style="147" customWidth="1"/>
    <col min="11" max="11" width="9.81640625" style="147" customWidth="1"/>
  </cols>
  <sheetData>
    <row r="1" spans="1:11" ht="20" customHeight="1" x14ac:dyDescent="0.35">
      <c r="A1" s="311" t="s">
        <v>534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11" ht="24.75" customHeight="1" x14ac:dyDescent="0.35">
      <c r="A2" s="148" t="s">
        <v>1</v>
      </c>
      <c r="B2" s="302" t="s">
        <v>2</v>
      </c>
      <c r="C2" s="213"/>
      <c r="D2" s="213"/>
      <c r="E2" s="213"/>
      <c r="F2" s="213"/>
      <c r="G2" s="213"/>
      <c r="H2" s="213"/>
      <c r="I2" s="213"/>
      <c r="J2" s="213"/>
      <c r="K2" s="214"/>
    </row>
    <row r="3" spans="1:11" ht="39.75" customHeight="1" x14ac:dyDescent="0.35">
      <c r="A3" s="148" t="s">
        <v>3</v>
      </c>
      <c r="B3" s="30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13"/>
      <c r="D3" s="213"/>
      <c r="E3" s="213"/>
      <c r="F3" s="213"/>
      <c r="G3" s="213"/>
      <c r="H3" s="213"/>
      <c r="I3" s="213"/>
      <c r="J3" s="213"/>
      <c r="K3" s="214"/>
    </row>
    <row r="4" spans="1:11" ht="24" customHeight="1" x14ac:dyDescent="0.35">
      <c r="A4" s="148" t="s">
        <v>5</v>
      </c>
      <c r="B4" s="302" t="str">
        <f>+RESUMEN!B6</f>
        <v>SAN MARTIN - SAN MARTIN - MORALES</v>
      </c>
      <c r="C4" s="213"/>
      <c r="D4" s="213"/>
      <c r="E4" s="213"/>
      <c r="F4" s="213"/>
      <c r="G4" s="213"/>
      <c r="H4" s="213"/>
      <c r="I4" s="213"/>
      <c r="J4" s="213"/>
      <c r="K4" s="214"/>
    </row>
    <row r="5" spans="1:11" ht="18" customHeight="1" x14ac:dyDescent="0.35">
      <c r="A5" s="148" t="s">
        <v>7</v>
      </c>
      <c r="B5" s="312">
        <f>+RESUMEN!B7</f>
        <v>46266</v>
      </c>
      <c r="C5" s="213"/>
      <c r="D5" s="213"/>
      <c r="E5" s="213"/>
      <c r="F5" s="213"/>
      <c r="G5" s="213"/>
      <c r="H5" s="213"/>
      <c r="I5" s="213"/>
      <c r="J5" s="213"/>
      <c r="K5" s="214"/>
    </row>
    <row r="6" spans="1:11" ht="9.75" customHeight="1" x14ac:dyDescent="0.3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</row>
    <row r="7" spans="1:11" ht="19.5" customHeight="1" x14ac:dyDescent="0.35">
      <c r="A7" s="310" t="s">
        <v>148</v>
      </c>
      <c r="B7" s="310" t="s">
        <v>351</v>
      </c>
      <c r="C7" s="169" t="s">
        <v>150</v>
      </c>
      <c r="D7" s="310" t="s">
        <v>519</v>
      </c>
      <c r="E7" s="213"/>
      <c r="F7" s="213"/>
      <c r="G7" s="213"/>
      <c r="H7" s="214"/>
      <c r="I7" s="169" t="s">
        <v>157</v>
      </c>
      <c r="J7" s="310" t="s">
        <v>158</v>
      </c>
      <c r="K7" s="310" t="s">
        <v>159</v>
      </c>
    </row>
    <row r="8" spans="1:11" ht="36" customHeight="1" x14ac:dyDescent="0.35">
      <c r="A8" s="220"/>
      <c r="B8" s="220"/>
      <c r="C8" s="169"/>
      <c r="D8" s="169" t="s">
        <v>151</v>
      </c>
      <c r="E8" s="169" t="s">
        <v>152</v>
      </c>
      <c r="F8" s="169" t="s">
        <v>153</v>
      </c>
      <c r="G8" s="169" t="s">
        <v>154</v>
      </c>
      <c r="H8" s="169" t="s">
        <v>155</v>
      </c>
      <c r="I8" s="169" t="s">
        <v>520</v>
      </c>
      <c r="J8" s="220"/>
      <c r="K8" s="220"/>
    </row>
    <row r="9" spans="1:11" ht="19.5" customHeight="1" x14ac:dyDescent="0.35">
      <c r="A9" s="150" t="s">
        <v>143</v>
      </c>
      <c r="B9" s="170" t="s">
        <v>144</v>
      </c>
      <c r="C9" s="150"/>
      <c r="D9" s="150"/>
      <c r="E9" s="150"/>
      <c r="F9" s="150"/>
      <c r="G9" s="150"/>
      <c r="H9" s="150"/>
      <c r="I9" s="150"/>
      <c r="J9" s="171">
        <v>15</v>
      </c>
      <c r="K9" s="172" t="s">
        <v>60</v>
      </c>
    </row>
    <row r="10" spans="1:11" ht="19.5" customHeight="1" x14ac:dyDescent="0.35"/>
    <row r="11" spans="1:11" ht="19.5" customHeight="1" x14ac:dyDescent="0.35">
      <c r="A11" s="173"/>
      <c r="B11" s="174" t="s">
        <v>535</v>
      </c>
      <c r="C11" s="173"/>
      <c r="D11" s="173"/>
      <c r="E11" s="173"/>
      <c r="F11" s="173"/>
      <c r="G11" s="173"/>
      <c r="H11" s="173"/>
      <c r="I11" s="173" t="s">
        <v>158</v>
      </c>
      <c r="J11" s="173"/>
      <c r="K11" s="173"/>
    </row>
    <row r="12" spans="1:11" ht="19.5" customHeight="1" x14ac:dyDescent="0.35">
      <c r="A12" s="150"/>
      <c r="B12" s="170" t="s">
        <v>536</v>
      </c>
      <c r="C12" s="175">
        <v>15</v>
      </c>
      <c r="D12" s="175">
        <v>0.68</v>
      </c>
      <c r="E12" s="175">
        <v>0.68</v>
      </c>
      <c r="F12" s="175">
        <v>0.08</v>
      </c>
      <c r="G12" s="176"/>
      <c r="H12" s="176"/>
      <c r="I12" s="175">
        <f>C12*D12*E12*F12</f>
        <v>0.55488000000000004</v>
      </c>
      <c r="J12" s="171">
        <f>I12</f>
        <v>0.55488000000000004</v>
      </c>
      <c r="K12" s="172" t="s">
        <v>176</v>
      </c>
    </row>
    <row r="13" spans="1:11" ht="19.5" customHeight="1" x14ac:dyDescent="0.35"/>
    <row r="14" spans="1:11" ht="29.25" customHeight="1" x14ac:dyDescent="0.35">
      <c r="A14" s="173"/>
      <c r="B14" s="174" t="s">
        <v>537</v>
      </c>
      <c r="C14" s="173"/>
      <c r="D14" s="173"/>
      <c r="E14" s="173"/>
      <c r="F14" s="173"/>
      <c r="G14" s="173"/>
      <c r="H14" s="173"/>
      <c r="I14" s="173" t="s">
        <v>158</v>
      </c>
      <c r="J14" s="173"/>
      <c r="K14" s="173"/>
    </row>
    <row r="15" spans="1:11" ht="19.5" customHeight="1" x14ac:dyDescent="0.35">
      <c r="A15" s="150"/>
      <c r="B15" s="170" t="s">
        <v>538</v>
      </c>
      <c r="C15" s="175">
        <v>210</v>
      </c>
      <c r="D15" s="175">
        <v>0.62</v>
      </c>
      <c r="E15" s="175"/>
      <c r="F15" s="175"/>
      <c r="G15" s="176">
        <v>0.56000000000000005</v>
      </c>
      <c r="H15" s="176"/>
      <c r="I15" s="175">
        <f>C15*D15*G15</f>
        <v>72.912000000000006</v>
      </c>
      <c r="J15" s="171"/>
      <c r="K15" s="172"/>
    </row>
    <row r="16" spans="1:11" ht="19.5" customHeight="1" x14ac:dyDescent="0.35">
      <c r="A16" s="150"/>
      <c r="B16" s="170" t="s">
        <v>539</v>
      </c>
      <c r="C16" s="175">
        <v>30</v>
      </c>
      <c r="D16" s="175">
        <v>0.4</v>
      </c>
      <c r="E16" s="175"/>
      <c r="F16" s="175"/>
      <c r="G16" s="176">
        <v>0.56000000000000005</v>
      </c>
      <c r="H16" s="176"/>
      <c r="I16" s="175">
        <f>C16*D16*G16</f>
        <v>6.7200000000000006</v>
      </c>
      <c r="J16" s="171"/>
      <c r="K16" s="172"/>
    </row>
    <row r="17" spans="1:11" ht="19.5" customHeight="1" x14ac:dyDescent="0.35">
      <c r="A17" s="150"/>
      <c r="B17" s="170" t="s">
        <v>540</v>
      </c>
      <c r="C17" s="175">
        <v>120</v>
      </c>
      <c r="D17" s="175">
        <v>0.2</v>
      </c>
      <c r="E17" s="175"/>
      <c r="F17" s="175"/>
      <c r="G17" s="176">
        <v>0.56000000000000005</v>
      </c>
      <c r="H17" s="176"/>
      <c r="I17" s="175">
        <f>C17*D17*G17</f>
        <v>13.440000000000001</v>
      </c>
      <c r="J17" s="171"/>
      <c r="K17" s="172"/>
    </row>
    <row r="18" spans="1:11" ht="19.5" customHeight="1" x14ac:dyDescent="0.35">
      <c r="A18" s="150"/>
      <c r="B18" s="170" t="s">
        <v>541</v>
      </c>
      <c r="C18" s="175">
        <v>120</v>
      </c>
      <c r="D18" s="175">
        <v>1.4</v>
      </c>
      <c r="E18" s="175"/>
      <c r="F18" s="175"/>
      <c r="G18" s="176">
        <v>0.99399999999999999</v>
      </c>
      <c r="H18" s="176"/>
      <c r="I18" s="175">
        <f>C18*D18*G18</f>
        <v>166.99199999999999</v>
      </c>
      <c r="J18" s="171"/>
      <c r="K18" s="172"/>
    </row>
    <row r="19" spans="1:11" ht="42.75" customHeight="1" x14ac:dyDescent="0.35">
      <c r="A19" s="150"/>
      <c r="B19" s="170" t="s">
        <v>542</v>
      </c>
      <c r="C19" s="176"/>
      <c r="D19" s="176"/>
      <c r="E19" s="176"/>
      <c r="F19" s="176"/>
      <c r="G19" s="176"/>
      <c r="H19" s="175"/>
      <c r="I19" s="175"/>
      <c r="J19" s="171">
        <f>SUM(I15:I18)</f>
        <v>260.06399999999996</v>
      </c>
      <c r="K19" s="172" t="s">
        <v>50</v>
      </c>
    </row>
    <row r="20" spans="1:11" ht="19.5" customHeight="1" x14ac:dyDescent="0.35"/>
    <row r="21" spans="1:11" ht="19.5" customHeight="1" x14ac:dyDescent="0.35">
      <c r="A21" s="173"/>
      <c r="B21" s="174" t="s">
        <v>543</v>
      </c>
      <c r="C21" s="173"/>
      <c r="D21" s="173"/>
      <c r="E21" s="173"/>
      <c r="F21" s="173"/>
      <c r="G21" s="173"/>
      <c r="H21" s="173"/>
      <c r="I21" s="173" t="s">
        <v>158</v>
      </c>
      <c r="J21" s="173"/>
      <c r="K21" s="173"/>
    </row>
    <row r="22" spans="1:11" ht="19.5" customHeight="1" x14ac:dyDescent="0.35">
      <c r="A22" s="150"/>
      <c r="B22" s="170" t="s">
        <v>544</v>
      </c>
      <c r="C22" s="175">
        <v>15</v>
      </c>
      <c r="D22" s="175">
        <v>2.8</v>
      </c>
      <c r="E22" s="175"/>
      <c r="F22" s="175"/>
      <c r="G22" s="176">
        <v>3.63</v>
      </c>
      <c r="H22" s="176"/>
      <c r="I22" s="175">
        <f>C22*D22*G22</f>
        <v>152.46</v>
      </c>
      <c r="J22" s="171"/>
      <c r="K22" s="172"/>
    </row>
    <row r="23" spans="1:11" ht="19.5" customHeight="1" x14ac:dyDescent="0.35">
      <c r="A23" s="150"/>
      <c r="B23" s="170" t="s">
        <v>545</v>
      </c>
      <c r="C23" s="175">
        <v>15</v>
      </c>
      <c r="D23" s="175">
        <v>2.72</v>
      </c>
      <c r="E23" s="175"/>
      <c r="F23" s="175"/>
      <c r="G23" s="176">
        <v>1.83</v>
      </c>
      <c r="H23" s="176"/>
      <c r="I23" s="175">
        <f>C23*D23*G23</f>
        <v>74.664000000000016</v>
      </c>
      <c r="J23" s="171"/>
      <c r="K23" s="172"/>
    </row>
    <row r="24" spans="1:11" x14ac:dyDescent="0.35">
      <c r="A24" s="150"/>
      <c r="B24" s="170" t="s">
        <v>546</v>
      </c>
      <c r="C24" s="176"/>
      <c r="D24" s="176"/>
      <c r="E24" s="176"/>
      <c r="F24" s="176"/>
      <c r="G24" s="176"/>
      <c r="H24" s="175"/>
      <c r="I24" s="175"/>
      <c r="J24" s="171">
        <f>SUM(I22:I23)</f>
        <v>227.12400000000002</v>
      </c>
      <c r="K24" s="172" t="s">
        <v>50</v>
      </c>
    </row>
    <row r="26" spans="1:11" x14ac:dyDescent="0.35">
      <c r="A26" s="173"/>
      <c r="B26" s="174" t="s">
        <v>547</v>
      </c>
      <c r="C26" s="173"/>
      <c r="D26" s="173"/>
      <c r="E26" s="173"/>
      <c r="F26" s="173"/>
      <c r="G26" s="173"/>
      <c r="H26" s="173"/>
      <c r="I26" s="173" t="s">
        <v>158</v>
      </c>
      <c r="J26" s="173"/>
      <c r="K26" s="173"/>
    </row>
    <row r="27" spans="1:11" x14ac:dyDescent="0.35">
      <c r="A27" s="150"/>
      <c r="B27" s="170" t="s">
        <v>548</v>
      </c>
      <c r="C27" s="175">
        <v>15</v>
      </c>
      <c r="D27" s="175"/>
      <c r="E27" s="175"/>
      <c r="F27" s="175"/>
      <c r="G27" s="176"/>
      <c r="H27" s="176">
        <f>2.8*0.203+2.72*0.152</f>
        <v>0.98184000000000005</v>
      </c>
      <c r="I27" s="175">
        <f>C27*H27</f>
        <v>14.727600000000001</v>
      </c>
      <c r="J27" s="171">
        <f>I27</f>
        <v>14.727600000000001</v>
      </c>
      <c r="K27" s="172" t="s">
        <v>177</v>
      </c>
    </row>
  </sheetData>
  <mergeCells count="10">
    <mergeCell ref="B2:K2"/>
    <mergeCell ref="J7:J8"/>
    <mergeCell ref="A1:K1"/>
    <mergeCell ref="B3:K3"/>
    <mergeCell ref="B5:K5"/>
    <mergeCell ref="D7:H7"/>
    <mergeCell ref="B4:K4"/>
    <mergeCell ref="A7:A8"/>
    <mergeCell ref="B7:B8"/>
    <mergeCell ref="K7:K8"/>
  </mergeCells>
  <pageMargins left="0.7" right="0.7" top="0.75" bottom="0.75" header="0.511811023622047" footer="0.511811023622047"/>
  <pageSetup paperSize="9" scale="66" fitToHeight="0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K24"/>
  <sheetViews>
    <sheetView view="pageBreakPreview" topLeftCell="B4" zoomScale="115" zoomScaleNormal="115" zoomScalePageLayoutView="115" workbookViewId="0">
      <selection activeCell="N17" sqref="N17"/>
    </sheetView>
  </sheetViews>
  <sheetFormatPr baseColWidth="10" defaultColWidth="9.453125" defaultRowHeight="15.5" x14ac:dyDescent="0.35"/>
  <cols>
    <col min="1" max="1" width="22.453125" style="147" customWidth="1"/>
    <col min="2" max="2" width="50.7265625" style="147" customWidth="1"/>
    <col min="3" max="3" width="14.1796875" style="147" customWidth="1"/>
    <col min="4" max="4" width="18.1796875" style="147" customWidth="1"/>
    <col min="5" max="5" width="12.54296875" style="147" customWidth="1"/>
    <col min="6" max="8" width="12" style="147" customWidth="1"/>
    <col min="9" max="10" width="16.36328125" style="147" customWidth="1"/>
    <col min="11" max="11" width="9.81640625" style="147" customWidth="1"/>
  </cols>
  <sheetData>
    <row r="1" spans="1:11" ht="20" customHeight="1" x14ac:dyDescent="0.35">
      <c r="A1" s="311" t="s">
        <v>549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</row>
    <row r="2" spans="1:11" ht="24.75" customHeight="1" x14ac:dyDescent="0.35">
      <c r="A2" s="148" t="s">
        <v>1</v>
      </c>
      <c r="B2" s="302" t="s">
        <v>2</v>
      </c>
      <c r="C2" s="213"/>
      <c r="D2" s="213"/>
      <c r="E2" s="213"/>
      <c r="F2" s="213"/>
      <c r="G2" s="213"/>
      <c r="H2" s="213"/>
      <c r="I2" s="213"/>
      <c r="J2" s="213"/>
      <c r="K2" s="214"/>
    </row>
    <row r="3" spans="1:11" ht="39.75" customHeight="1" x14ac:dyDescent="0.35">
      <c r="A3" s="148" t="s">
        <v>3</v>
      </c>
      <c r="B3" s="30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C3" s="213"/>
      <c r="D3" s="213"/>
      <c r="E3" s="213"/>
      <c r="F3" s="213"/>
      <c r="G3" s="213"/>
      <c r="H3" s="213"/>
      <c r="I3" s="213"/>
      <c r="J3" s="213"/>
      <c r="K3" s="214"/>
    </row>
    <row r="4" spans="1:11" ht="24" customHeight="1" x14ac:dyDescent="0.35">
      <c r="A4" s="148" t="s">
        <v>5</v>
      </c>
      <c r="B4" s="302" t="str">
        <f>+RESUMEN!B6</f>
        <v>SAN MARTIN - SAN MARTIN - MORALES</v>
      </c>
      <c r="C4" s="213"/>
      <c r="D4" s="213"/>
      <c r="E4" s="213"/>
      <c r="F4" s="213"/>
      <c r="G4" s="213"/>
      <c r="H4" s="213"/>
      <c r="I4" s="213"/>
      <c r="J4" s="213"/>
      <c r="K4" s="214"/>
    </row>
    <row r="5" spans="1:11" ht="18" customHeight="1" x14ac:dyDescent="0.35">
      <c r="A5" s="148" t="s">
        <v>7</v>
      </c>
      <c r="B5" s="312">
        <f>+RESUMEN!B7</f>
        <v>46266</v>
      </c>
      <c r="C5" s="213"/>
      <c r="D5" s="213"/>
      <c r="E5" s="213"/>
      <c r="F5" s="213"/>
      <c r="G5" s="213"/>
      <c r="H5" s="213"/>
      <c r="I5" s="213"/>
      <c r="J5" s="213"/>
      <c r="K5" s="214"/>
    </row>
    <row r="6" spans="1:11" ht="9.75" customHeight="1" x14ac:dyDescent="0.3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</row>
    <row r="7" spans="1:11" ht="19.5" customHeight="1" x14ac:dyDescent="0.35">
      <c r="A7" s="310" t="s">
        <v>550</v>
      </c>
      <c r="B7" s="310" t="s">
        <v>551</v>
      </c>
      <c r="C7" s="169" t="s">
        <v>552</v>
      </c>
      <c r="D7" s="310" t="s">
        <v>553</v>
      </c>
      <c r="E7" s="213"/>
      <c r="F7" s="213"/>
      <c r="G7" s="213"/>
      <c r="H7" s="214"/>
      <c r="I7" s="169" t="s">
        <v>554</v>
      </c>
      <c r="J7" s="310" t="s">
        <v>158</v>
      </c>
      <c r="K7" s="310" t="s">
        <v>159</v>
      </c>
    </row>
    <row r="8" spans="1:11" ht="36" customHeight="1" x14ac:dyDescent="0.35">
      <c r="A8" s="220"/>
      <c r="B8" s="220"/>
      <c r="C8" s="169"/>
      <c r="D8" s="169" t="s">
        <v>555</v>
      </c>
      <c r="E8" s="169" t="s">
        <v>556</v>
      </c>
      <c r="F8" s="169" t="s">
        <v>557</v>
      </c>
      <c r="G8" s="169" t="s">
        <v>558</v>
      </c>
      <c r="H8" s="169" t="s">
        <v>559</v>
      </c>
      <c r="I8" s="169" t="s">
        <v>560</v>
      </c>
      <c r="J8" s="220"/>
      <c r="K8" s="220"/>
    </row>
    <row r="9" spans="1:11" ht="19.5" customHeight="1" x14ac:dyDescent="0.35">
      <c r="A9" s="150" t="s">
        <v>126</v>
      </c>
      <c r="B9" s="170" t="s">
        <v>561</v>
      </c>
      <c r="C9" s="175">
        <v>502.75</v>
      </c>
      <c r="D9" s="175">
        <v>4.9753722846174897</v>
      </c>
      <c r="E9" s="175" t="s">
        <v>422</v>
      </c>
      <c r="F9" s="175" t="s">
        <v>562</v>
      </c>
      <c r="G9" s="176">
        <v>0.56000000000000005</v>
      </c>
      <c r="H9" s="176">
        <f t="shared" ref="H9:H20" si="0">C9*D9</f>
        <v>2501.3684160914431</v>
      </c>
      <c r="I9" s="175">
        <f t="shared" ref="I9:I20" si="1">H9*G9</f>
        <v>1400.7663130112082</v>
      </c>
      <c r="J9" s="171"/>
      <c r="K9" s="172"/>
    </row>
    <row r="10" spans="1:11" ht="19.5" customHeight="1" x14ac:dyDescent="0.35">
      <c r="A10" s="150" t="s">
        <v>126</v>
      </c>
      <c r="B10" s="170" t="s">
        <v>563</v>
      </c>
      <c r="C10" s="175">
        <v>216.86666666666699</v>
      </c>
      <c r="D10" s="175">
        <v>4.8265930234438503</v>
      </c>
      <c r="E10" s="175" t="s">
        <v>422</v>
      </c>
      <c r="F10" s="175" t="s">
        <v>562</v>
      </c>
      <c r="G10" s="176">
        <v>0.56000000000000005</v>
      </c>
      <c r="H10" s="176">
        <f t="shared" si="0"/>
        <v>1046.7271403508578</v>
      </c>
      <c r="I10" s="175">
        <f t="shared" si="1"/>
        <v>586.16719859648038</v>
      </c>
      <c r="J10" s="171"/>
      <c r="K10" s="172"/>
    </row>
    <row r="11" spans="1:11" ht="19.5" customHeight="1" x14ac:dyDescent="0.35">
      <c r="A11" s="150" t="s">
        <v>126</v>
      </c>
      <c r="B11" s="170" t="s">
        <v>564</v>
      </c>
      <c r="C11" s="175">
        <v>80</v>
      </c>
      <c r="D11" s="175">
        <v>5.2042622950819597</v>
      </c>
      <c r="E11" s="175" t="s">
        <v>565</v>
      </c>
      <c r="F11" s="175" t="s">
        <v>562</v>
      </c>
      <c r="G11" s="176">
        <v>0.99399999999999999</v>
      </c>
      <c r="H11" s="176">
        <f t="shared" si="0"/>
        <v>416.34098360655679</v>
      </c>
      <c r="I11" s="175">
        <f t="shared" si="1"/>
        <v>413.84293770491746</v>
      </c>
      <c r="J11" s="171"/>
      <c r="K11" s="172"/>
    </row>
    <row r="12" spans="1:11" ht="19.5" customHeight="1" x14ac:dyDescent="0.35">
      <c r="A12" s="150" t="s">
        <v>126</v>
      </c>
      <c r="B12" s="170" t="s">
        <v>566</v>
      </c>
      <c r="C12" s="175">
        <v>297.16000000000003</v>
      </c>
      <c r="D12" s="175">
        <v>9.4</v>
      </c>
      <c r="E12" s="175" t="s">
        <v>422</v>
      </c>
      <c r="F12" s="175" t="s">
        <v>567</v>
      </c>
      <c r="G12" s="176">
        <v>0.56000000000000005</v>
      </c>
      <c r="H12" s="176">
        <f t="shared" si="0"/>
        <v>2793.3040000000005</v>
      </c>
      <c r="I12" s="175">
        <f t="shared" si="1"/>
        <v>1564.2502400000005</v>
      </c>
      <c r="J12" s="171"/>
      <c r="K12" s="172"/>
    </row>
    <row r="13" spans="1:11" ht="19.5" customHeight="1" x14ac:dyDescent="0.35">
      <c r="A13" s="150" t="s">
        <v>126</v>
      </c>
      <c r="B13" s="170" t="s">
        <v>568</v>
      </c>
      <c r="C13" s="175">
        <v>33.3333333333333</v>
      </c>
      <c r="D13" s="175">
        <v>9.4</v>
      </c>
      <c r="E13" s="175" t="s">
        <v>422</v>
      </c>
      <c r="F13" s="175" t="s">
        <v>567</v>
      </c>
      <c r="G13" s="176">
        <v>0.56000000000000005</v>
      </c>
      <c r="H13" s="176">
        <f t="shared" si="0"/>
        <v>313.33333333333303</v>
      </c>
      <c r="I13" s="175">
        <f t="shared" si="1"/>
        <v>175.46666666666653</v>
      </c>
      <c r="J13" s="171"/>
      <c r="K13" s="172"/>
    </row>
    <row r="14" spans="1:11" ht="29.25" customHeight="1" x14ac:dyDescent="0.35">
      <c r="A14" s="150" t="s">
        <v>143</v>
      </c>
      <c r="B14" s="170" t="s">
        <v>569</v>
      </c>
      <c r="C14" s="175">
        <v>120</v>
      </c>
      <c r="D14" s="175">
        <v>1.4</v>
      </c>
      <c r="E14" s="175" t="s">
        <v>565</v>
      </c>
      <c r="F14" s="175" t="s">
        <v>567</v>
      </c>
      <c r="G14" s="176">
        <v>0.99399999999999999</v>
      </c>
      <c r="H14" s="176">
        <f t="shared" si="0"/>
        <v>168</v>
      </c>
      <c r="I14" s="175">
        <f t="shared" si="1"/>
        <v>166.99199999999999</v>
      </c>
      <c r="J14" s="171"/>
      <c r="K14" s="172"/>
    </row>
    <row r="15" spans="1:11" ht="19.5" customHeight="1" x14ac:dyDescent="0.35">
      <c r="A15" s="150" t="s">
        <v>143</v>
      </c>
      <c r="B15" s="170" t="s">
        <v>570</v>
      </c>
      <c r="C15" s="175">
        <v>210</v>
      </c>
      <c r="D15" s="175">
        <v>0.62</v>
      </c>
      <c r="E15" s="175" t="s">
        <v>422</v>
      </c>
      <c r="F15" s="175" t="s">
        <v>567</v>
      </c>
      <c r="G15" s="176">
        <v>0.56000000000000005</v>
      </c>
      <c r="H15" s="176">
        <f t="shared" si="0"/>
        <v>130.19999999999999</v>
      </c>
      <c r="I15" s="175">
        <f t="shared" si="1"/>
        <v>72.912000000000006</v>
      </c>
      <c r="J15" s="171"/>
      <c r="K15" s="172"/>
    </row>
    <row r="16" spans="1:11" ht="19.5" customHeight="1" x14ac:dyDescent="0.35">
      <c r="A16" s="150" t="s">
        <v>143</v>
      </c>
      <c r="B16" s="170" t="s">
        <v>571</v>
      </c>
      <c r="C16" s="175">
        <v>30</v>
      </c>
      <c r="D16" s="175">
        <v>0.4</v>
      </c>
      <c r="E16" s="175" t="s">
        <v>422</v>
      </c>
      <c r="F16" s="175" t="s">
        <v>572</v>
      </c>
      <c r="G16" s="176">
        <v>0.56000000000000005</v>
      </c>
      <c r="H16" s="176">
        <f t="shared" si="0"/>
        <v>12</v>
      </c>
      <c r="I16" s="175">
        <f t="shared" si="1"/>
        <v>6.7200000000000006</v>
      </c>
      <c r="J16" s="171"/>
      <c r="K16" s="172"/>
    </row>
    <row r="17" spans="1:11" ht="19.5" customHeight="1" x14ac:dyDescent="0.35">
      <c r="A17" s="150" t="s">
        <v>143</v>
      </c>
      <c r="B17" s="170" t="s">
        <v>573</v>
      </c>
      <c r="C17" s="175">
        <v>120</v>
      </c>
      <c r="D17" s="175">
        <v>0.2</v>
      </c>
      <c r="E17" s="175" t="s">
        <v>422</v>
      </c>
      <c r="F17" s="175" t="s">
        <v>574</v>
      </c>
      <c r="G17" s="176">
        <v>0.56000000000000005</v>
      </c>
      <c r="H17" s="176">
        <f t="shared" si="0"/>
        <v>24</v>
      </c>
      <c r="I17" s="175">
        <f t="shared" si="1"/>
        <v>13.440000000000001</v>
      </c>
      <c r="J17" s="171"/>
      <c r="K17" s="172"/>
    </row>
    <row r="18" spans="1:11" ht="19.5" customHeight="1" x14ac:dyDescent="0.35">
      <c r="A18" s="150" t="s">
        <v>138</v>
      </c>
      <c r="B18" s="170" t="s">
        <v>575</v>
      </c>
      <c r="C18" s="175">
        <v>12</v>
      </c>
      <c r="D18" s="175">
        <v>1.38</v>
      </c>
      <c r="E18" s="175" t="s">
        <v>422</v>
      </c>
      <c r="F18" s="175" t="s">
        <v>574</v>
      </c>
      <c r="G18" s="176">
        <v>0.56000000000000005</v>
      </c>
      <c r="H18" s="176">
        <f t="shared" si="0"/>
        <v>16.559999999999999</v>
      </c>
      <c r="I18" s="175">
        <f t="shared" si="1"/>
        <v>9.2736000000000001</v>
      </c>
      <c r="J18" s="171"/>
      <c r="K18" s="172"/>
    </row>
    <row r="19" spans="1:11" ht="42.75" customHeight="1" x14ac:dyDescent="0.35">
      <c r="A19" s="150" t="s">
        <v>138</v>
      </c>
      <c r="B19" s="170" t="s">
        <v>576</v>
      </c>
      <c r="C19" s="175">
        <v>10</v>
      </c>
      <c r="D19" s="175">
        <v>1</v>
      </c>
      <c r="E19" s="175" t="s">
        <v>422</v>
      </c>
      <c r="F19" s="175" t="s">
        <v>567</v>
      </c>
      <c r="G19" s="176">
        <v>0.56000000000000005</v>
      </c>
      <c r="H19" s="176">
        <f t="shared" si="0"/>
        <v>10</v>
      </c>
      <c r="I19" s="175">
        <f t="shared" si="1"/>
        <v>5.6000000000000005</v>
      </c>
      <c r="J19" s="171"/>
      <c r="K19" s="172"/>
    </row>
    <row r="20" spans="1:11" ht="19.5" customHeight="1" x14ac:dyDescent="0.35">
      <c r="A20" s="150" t="s">
        <v>138</v>
      </c>
      <c r="B20" s="170" t="s">
        <v>577</v>
      </c>
      <c r="C20" s="175">
        <v>6</v>
      </c>
      <c r="D20" s="175">
        <v>1</v>
      </c>
      <c r="E20" s="175" t="s">
        <v>422</v>
      </c>
      <c r="F20" s="175" t="s">
        <v>567</v>
      </c>
      <c r="G20" s="176">
        <v>0.56000000000000005</v>
      </c>
      <c r="H20" s="176">
        <f t="shared" si="0"/>
        <v>6</v>
      </c>
      <c r="I20" s="175">
        <f t="shared" si="1"/>
        <v>3.3600000000000003</v>
      </c>
      <c r="J20" s="171"/>
      <c r="K20" s="172"/>
    </row>
    <row r="21" spans="1:11" ht="19.5" customHeight="1" x14ac:dyDescent="0.35"/>
    <row r="22" spans="1:11" ht="19.5" customHeight="1" x14ac:dyDescent="0.35">
      <c r="A22" s="150"/>
      <c r="B22" s="170" t="s">
        <v>578</v>
      </c>
      <c r="C22" s="176"/>
      <c r="D22" s="176"/>
      <c r="E22" s="176"/>
      <c r="F22" s="176"/>
      <c r="G22" s="176"/>
      <c r="H22" s="175"/>
      <c r="I22" s="175"/>
      <c r="J22" s="171">
        <f>SUMIF(A9:A20,"1.4.4.6.4.1.3",I9:I20)</f>
        <v>4140.4933559792726</v>
      </c>
      <c r="K22" s="172" t="s">
        <v>50</v>
      </c>
    </row>
    <row r="23" spans="1:11" ht="19.5" customHeight="1" x14ac:dyDescent="0.35">
      <c r="A23" s="150"/>
      <c r="B23" s="170" t="s">
        <v>579</v>
      </c>
      <c r="C23" s="176"/>
      <c r="D23" s="176"/>
      <c r="E23" s="176"/>
      <c r="F23" s="176"/>
      <c r="G23" s="176"/>
      <c r="H23" s="175"/>
      <c r="I23" s="175"/>
      <c r="J23" s="171">
        <f>SUMIF(A9:A20,"1.4.4.6.4.2.3",I9:I20)</f>
        <v>18.233599999999999</v>
      </c>
      <c r="K23" s="172" t="s">
        <v>50</v>
      </c>
    </row>
    <row r="24" spans="1:11" x14ac:dyDescent="0.35">
      <c r="A24" s="150"/>
      <c r="B24" s="170" t="s">
        <v>580</v>
      </c>
      <c r="C24" s="176"/>
      <c r="D24" s="176"/>
      <c r="E24" s="176"/>
      <c r="F24" s="176"/>
      <c r="G24" s="176"/>
      <c r="H24" s="175"/>
      <c r="I24" s="175"/>
      <c r="J24" s="171">
        <f>SUMIF(A9:A20,"1.4.4.6.5.1",I9:I20)</f>
        <v>260.06400000000002</v>
      </c>
      <c r="K24" s="172" t="s">
        <v>50</v>
      </c>
    </row>
  </sheetData>
  <mergeCells count="10">
    <mergeCell ref="B2:K2"/>
    <mergeCell ref="J7:J8"/>
    <mergeCell ref="A1:K1"/>
    <mergeCell ref="B3:K3"/>
    <mergeCell ref="B5:K5"/>
    <mergeCell ref="D7:H7"/>
    <mergeCell ref="B4:K4"/>
    <mergeCell ref="A7:A8"/>
    <mergeCell ref="B7:B8"/>
    <mergeCell ref="K7:K8"/>
  </mergeCells>
  <pageMargins left="0.7" right="0.7" top="0.75" bottom="0.75" header="0.511811023622047" footer="0.511811023622047"/>
  <pageSetup paperSize="9" scale="66" fitToHeight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6"/>
  <sheetViews>
    <sheetView view="pageBreakPreview" zoomScale="160" zoomScaleNormal="100" zoomScalePageLayoutView="160" workbookViewId="0">
      <selection activeCell="D20" sqref="D20"/>
    </sheetView>
  </sheetViews>
  <sheetFormatPr baseColWidth="10" defaultColWidth="9.453125" defaultRowHeight="14.5" x14ac:dyDescent="0.35"/>
  <cols>
    <col min="1" max="1" width="34.90625" style="181" customWidth="1"/>
    <col min="2" max="2" width="14.1796875" style="181" customWidth="1"/>
    <col min="3" max="3" width="13.08984375" style="181" customWidth="1"/>
    <col min="4" max="4" width="52.36328125" style="181" customWidth="1"/>
    <col min="5" max="5" width="9.453125" style="181" customWidth="1"/>
    <col min="6" max="16384" width="9.453125" style="181"/>
  </cols>
  <sheetData>
    <row r="1" spans="1:4" ht="9.75" customHeight="1" x14ac:dyDescent="0.35">
      <c r="A1" s="313" t="s">
        <v>581</v>
      </c>
      <c r="B1" s="314"/>
      <c r="C1" s="314"/>
      <c r="D1" s="314"/>
    </row>
    <row r="2" spans="1:4" ht="9.75" customHeight="1" x14ac:dyDescent="0.35">
      <c r="A2" s="183"/>
      <c r="B2" s="183"/>
      <c r="C2" s="183"/>
      <c r="D2" s="183"/>
    </row>
    <row r="3" spans="1:4" ht="9.75" customHeight="1" x14ac:dyDescent="0.35">
      <c r="A3" s="184" t="s">
        <v>9</v>
      </c>
      <c r="B3" s="184" t="s">
        <v>582</v>
      </c>
      <c r="C3" s="184" t="s">
        <v>583</v>
      </c>
      <c r="D3" s="184" t="s">
        <v>584</v>
      </c>
    </row>
    <row r="4" spans="1:4" ht="15" customHeight="1" x14ac:dyDescent="0.35">
      <c r="A4" s="183" t="s">
        <v>585</v>
      </c>
      <c r="B4" s="185">
        <v>10</v>
      </c>
      <c r="C4" s="186" t="s">
        <v>60</v>
      </c>
      <c r="D4" s="183" t="s">
        <v>586</v>
      </c>
    </row>
    <row r="5" spans="1:4" ht="15" customHeight="1" x14ac:dyDescent="0.35">
      <c r="A5" s="183" t="s">
        <v>587</v>
      </c>
      <c r="B5" s="185">
        <v>0.6</v>
      </c>
      <c r="C5" s="186" t="s">
        <v>57</v>
      </c>
      <c r="D5" s="183" t="s">
        <v>588</v>
      </c>
    </row>
    <row r="6" spans="1:4" ht="15" customHeight="1" x14ac:dyDescent="0.35">
      <c r="A6" s="183" t="s">
        <v>589</v>
      </c>
      <c r="B6" s="185">
        <v>0.6</v>
      </c>
      <c r="C6" s="186" t="s">
        <v>57</v>
      </c>
      <c r="D6" s="183" t="s">
        <v>588</v>
      </c>
    </row>
    <row r="7" spans="1:4" ht="15" customHeight="1" x14ac:dyDescent="0.35">
      <c r="A7" s="183" t="s">
        <v>590</v>
      </c>
      <c r="B7" s="185">
        <v>0.1</v>
      </c>
      <c r="C7" s="186" t="s">
        <v>57</v>
      </c>
      <c r="D7" s="183" t="s">
        <v>588</v>
      </c>
    </row>
    <row r="8" spans="1:4" ht="15" customHeight="1" x14ac:dyDescent="0.35">
      <c r="A8" s="183" t="s">
        <v>591</v>
      </c>
      <c r="B8" s="185">
        <v>2.5000000000000001E-2</v>
      </c>
      <c r="C8" s="186" t="s">
        <v>57</v>
      </c>
      <c r="D8" s="183" t="s">
        <v>592</v>
      </c>
    </row>
    <row r="9" spans="1:4" ht="15" customHeight="1" x14ac:dyDescent="0.35">
      <c r="A9" s="183" t="s">
        <v>593</v>
      </c>
      <c r="B9" s="185">
        <v>0.15</v>
      </c>
      <c r="C9" s="186" t="s">
        <v>57</v>
      </c>
      <c r="D9" s="183" t="s">
        <v>594</v>
      </c>
    </row>
    <row r="10" spans="1:4" ht="15" customHeight="1" x14ac:dyDescent="0.35">
      <c r="A10" s="183" t="s">
        <v>595</v>
      </c>
      <c r="B10" s="185">
        <v>0.56000000000000005</v>
      </c>
      <c r="C10" s="186" t="s">
        <v>596</v>
      </c>
      <c r="D10" s="183" t="s">
        <v>597</v>
      </c>
    </row>
    <row r="11" spans="1:4" ht="15" customHeight="1" x14ac:dyDescent="0.35">
      <c r="A11" s="183" t="s">
        <v>598</v>
      </c>
      <c r="B11" s="185">
        <v>9</v>
      </c>
      <c r="C11" s="186" t="s">
        <v>57</v>
      </c>
      <c r="D11" s="183" t="s">
        <v>599</v>
      </c>
    </row>
    <row r="13" spans="1:4" ht="29" customHeight="1" x14ac:dyDescent="0.35">
      <c r="A13" s="182" t="s">
        <v>600</v>
      </c>
    </row>
    <row r="14" spans="1:4" x14ac:dyDescent="0.35">
      <c r="A14" s="184" t="s">
        <v>9</v>
      </c>
      <c r="B14" s="184" t="s">
        <v>582</v>
      </c>
      <c r="C14" s="184" t="s">
        <v>583</v>
      </c>
      <c r="D14" s="184" t="s">
        <v>584</v>
      </c>
    </row>
    <row r="15" spans="1:4" ht="29" customHeight="1" x14ac:dyDescent="0.35">
      <c r="A15" s="183" t="s">
        <v>601</v>
      </c>
      <c r="B15" s="185">
        <v>0.1</v>
      </c>
      <c r="C15" s="186" t="s">
        <v>57</v>
      </c>
      <c r="D15" s="183" t="s">
        <v>602</v>
      </c>
    </row>
    <row r="16" spans="1:4" x14ac:dyDescent="0.35">
      <c r="A16" s="183" t="s">
        <v>603</v>
      </c>
      <c r="B16" s="185">
        <v>1.2</v>
      </c>
      <c r="C16" s="186" t="s">
        <v>604</v>
      </c>
      <c r="D16" s="183" t="s">
        <v>605</v>
      </c>
    </row>
  </sheetData>
  <mergeCells count="1">
    <mergeCell ref="A1:D1"/>
  </mergeCells>
  <pageMargins left="0.7" right="0.7" top="0.75" bottom="0.75" header="0.511811023622047" footer="0.511811023622047"/>
  <pageSetup paperSize="9" scale="77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6"/>
  <sheetViews>
    <sheetView view="pageBreakPreview" zoomScaleNormal="100" workbookViewId="0">
      <selection activeCell="E20" sqref="E20"/>
    </sheetView>
  </sheetViews>
  <sheetFormatPr baseColWidth="10" defaultColWidth="9.453125" defaultRowHeight="14.5" x14ac:dyDescent="0.35"/>
  <cols>
    <col min="1" max="2" width="16.36328125" style="181" customWidth="1"/>
    <col min="3" max="3" width="9.453125" style="181" customWidth="1"/>
    <col min="4" max="4" width="19.6328125" style="181" customWidth="1"/>
    <col min="5" max="5" width="9.453125" style="181" customWidth="1"/>
    <col min="6" max="6" width="30.54296875" style="181" customWidth="1"/>
    <col min="7" max="7" width="9.453125" style="181" customWidth="1"/>
    <col min="8" max="16384" width="9.453125" style="181"/>
  </cols>
  <sheetData>
    <row r="1" spans="1:6" ht="18" customHeight="1" x14ac:dyDescent="0.35">
      <c r="A1" s="317" t="s">
        <v>606</v>
      </c>
      <c r="B1" s="314"/>
      <c r="C1" s="314"/>
      <c r="D1" s="314"/>
      <c r="E1" s="314"/>
      <c r="F1" s="314"/>
    </row>
    <row r="3" spans="1:6" x14ac:dyDescent="0.35">
      <c r="A3" s="187" t="s">
        <v>607</v>
      </c>
      <c r="B3" s="187" t="s">
        <v>608</v>
      </c>
      <c r="D3" s="187" t="s">
        <v>388</v>
      </c>
      <c r="F3" s="187" t="s">
        <v>609</v>
      </c>
    </row>
    <row r="4" spans="1:6" x14ac:dyDescent="0.35">
      <c r="A4" s="188" t="s">
        <v>610</v>
      </c>
      <c r="B4" s="189">
        <v>0.222</v>
      </c>
      <c r="D4" s="190" t="s">
        <v>296</v>
      </c>
      <c r="F4" s="191" t="s">
        <v>611</v>
      </c>
    </row>
    <row r="5" spans="1:6" x14ac:dyDescent="0.35">
      <c r="A5" s="188" t="s">
        <v>612</v>
      </c>
      <c r="B5" s="189">
        <v>0.39500000000000002</v>
      </c>
      <c r="D5" s="190" t="s">
        <v>424</v>
      </c>
      <c r="F5" s="191" t="s">
        <v>613</v>
      </c>
    </row>
    <row r="6" spans="1:6" x14ac:dyDescent="0.35">
      <c r="A6" s="188" t="s">
        <v>422</v>
      </c>
      <c r="B6" s="189">
        <v>0.56000000000000005</v>
      </c>
    </row>
    <row r="7" spans="1:6" x14ac:dyDescent="0.35">
      <c r="A7" s="188" t="s">
        <v>614</v>
      </c>
      <c r="B7" s="189">
        <v>0.88800000000000001</v>
      </c>
    </row>
    <row r="8" spans="1:6" x14ac:dyDescent="0.35">
      <c r="A8" s="188" t="s">
        <v>565</v>
      </c>
      <c r="B8" s="189">
        <v>0.99399999999999999</v>
      </c>
    </row>
    <row r="9" spans="1:6" x14ac:dyDescent="0.35">
      <c r="A9" s="188" t="s">
        <v>615</v>
      </c>
      <c r="B9" s="189">
        <v>1.552</v>
      </c>
    </row>
    <row r="10" spans="1:6" x14ac:dyDescent="0.35">
      <c r="A10" s="188" t="s">
        <v>616</v>
      </c>
      <c r="B10" s="189">
        <v>2.2349999999999999</v>
      </c>
    </row>
    <row r="11" spans="1:6" x14ac:dyDescent="0.35">
      <c r="A11" s="188" t="s">
        <v>617</v>
      </c>
      <c r="B11" s="189">
        <v>3.9729999999999999</v>
      </c>
    </row>
    <row r="13" spans="1:6" x14ac:dyDescent="0.35">
      <c r="A13" s="316" t="s">
        <v>618</v>
      </c>
      <c r="B13" s="314"/>
      <c r="C13" s="314"/>
      <c r="D13" s="314"/>
      <c r="E13" s="314"/>
      <c r="F13" s="314"/>
    </row>
    <row r="14" spans="1:6" ht="14.25" customHeight="1" x14ac:dyDescent="0.35">
      <c r="A14" s="315" t="s">
        <v>619</v>
      </c>
      <c r="B14" s="314"/>
      <c r="C14" s="314"/>
      <c r="D14" s="314"/>
      <c r="E14" s="314"/>
      <c r="F14" s="314"/>
    </row>
    <row r="15" spans="1:6" ht="14.25" customHeight="1" x14ac:dyDescent="0.35">
      <c r="A15" s="315" t="s">
        <v>620</v>
      </c>
      <c r="B15" s="314"/>
      <c r="C15" s="314"/>
      <c r="D15" s="314"/>
      <c r="E15" s="314"/>
      <c r="F15" s="314"/>
    </row>
    <row r="16" spans="1:6" ht="14.25" customHeight="1" x14ac:dyDescent="0.35">
      <c r="A16" s="315" t="s">
        <v>621</v>
      </c>
      <c r="B16" s="314"/>
      <c r="C16" s="314"/>
      <c r="D16" s="314"/>
      <c r="E16" s="314"/>
      <c r="F16" s="314"/>
    </row>
  </sheetData>
  <mergeCells count="5">
    <mergeCell ref="A16:F16"/>
    <mergeCell ref="A13:F13"/>
    <mergeCell ref="A14:F14"/>
    <mergeCell ref="A1:F1"/>
    <mergeCell ref="A15:F15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92D050"/>
    <pageSetUpPr fitToPage="1"/>
  </sheetPr>
  <dimension ref="B2:K21"/>
  <sheetViews>
    <sheetView showGridLines="0" view="pageBreakPreview" zoomScaleNormal="100" zoomScaleSheetLayoutView="100" workbookViewId="0">
      <selection activeCell="C11" sqref="C11"/>
    </sheetView>
  </sheetViews>
  <sheetFormatPr baseColWidth="10" defaultColWidth="8.7265625" defaultRowHeight="14.5" x14ac:dyDescent="0.3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" customHeight="1">
      <c r="B2" s="215" t="s">
        <v>642</v>
      </c>
      <c r="C2" s="216"/>
      <c r="D2" s="216"/>
      <c r="E2" s="216"/>
      <c r="F2" s="216"/>
      <c r="G2" s="216"/>
      <c r="H2" s="216"/>
      <c r="I2" s="216"/>
      <c r="J2" s="216"/>
      <c r="K2" s="216"/>
    </row>
    <row r="3" spans="2:11" ht="21" customHeight="1" x14ac:dyDescent="0.35">
      <c r="B3" s="10" t="s">
        <v>1</v>
      </c>
      <c r="C3" s="212" t="str">
        <f>+RESUMEN!B4</f>
        <v>GERENCIA TERRITORIAL BAJO MAYO - TARAPOTO</v>
      </c>
      <c r="D3" s="213"/>
      <c r="E3" s="213"/>
      <c r="F3" s="213"/>
      <c r="G3" s="213"/>
      <c r="H3" s="213"/>
      <c r="I3" s="213"/>
      <c r="J3" s="213"/>
      <c r="K3" s="214"/>
    </row>
    <row r="4" spans="2:11" ht="75" customHeight="1" x14ac:dyDescent="0.35">
      <c r="B4" s="10" t="s">
        <v>3</v>
      </c>
      <c r="C4" s="212" t="str">
        <f>+RESUMEN!B5</f>
        <v>“CREACIÓN DEL SERVICIO DE PROTECCIÓN INTEGRAL A NIÑAS, NIÑOS Y ADOLESCENTES SIN CUIDADOS PARENTALES O EN RIESGO DE PERDERLOS EN CENTRO DE ACOGIDA RESIDENCIAL - MUJERES DISTRITO DE MORALES DE LA PROVINCIA DE SAN MARTÍN DEL DEPARTAMENTO DE SAN MARTÍN”, con CUI N.° 2717013.</v>
      </c>
      <c r="D4" s="213"/>
      <c r="E4" s="213"/>
      <c r="F4" s="213"/>
      <c r="G4" s="213"/>
      <c r="H4" s="213"/>
      <c r="I4" s="213"/>
      <c r="J4" s="213"/>
      <c r="K4" s="214"/>
    </row>
    <row r="5" spans="2:11" ht="21" customHeight="1" x14ac:dyDescent="0.35">
      <c r="B5" s="10" t="s">
        <v>5</v>
      </c>
      <c r="C5" s="212" t="str">
        <f>+RESUMEN!B6</f>
        <v>SAN MARTIN - SAN MARTIN - MORALES</v>
      </c>
      <c r="D5" s="213"/>
      <c r="E5" s="213"/>
      <c r="F5" s="213"/>
      <c r="G5" s="213"/>
      <c r="H5" s="213"/>
      <c r="I5" s="213"/>
      <c r="J5" s="213"/>
      <c r="K5" s="214"/>
    </row>
    <row r="6" spans="2:11" ht="21" customHeight="1" x14ac:dyDescent="0.35">
      <c r="B6" s="10" t="s">
        <v>7</v>
      </c>
      <c r="C6" s="218">
        <f>+RESUMEN!B7</f>
        <v>46266</v>
      </c>
      <c r="D6" s="213"/>
      <c r="E6" s="213"/>
      <c r="F6" s="213"/>
      <c r="G6" s="213"/>
      <c r="H6" s="213"/>
      <c r="I6" s="213"/>
      <c r="J6" s="213"/>
      <c r="K6" s="214"/>
    </row>
    <row r="8" spans="2:11" ht="33" customHeight="1">
      <c r="B8" s="219" t="s">
        <v>643</v>
      </c>
      <c r="C8" s="213"/>
      <c r="D8" s="213"/>
      <c r="E8" s="213"/>
      <c r="F8" s="213"/>
      <c r="G8" s="213"/>
      <c r="H8" s="213"/>
      <c r="I8" s="213"/>
      <c r="J8" s="213"/>
      <c r="K8" s="214"/>
    </row>
    <row r="9" spans="2:11" ht="42" customHeight="1">
      <c r="B9" s="217" t="s">
        <v>331</v>
      </c>
      <c r="C9" s="217" t="s">
        <v>644</v>
      </c>
      <c r="D9" s="217" t="s">
        <v>645</v>
      </c>
      <c r="E9" s="214"/>
      <c r="F9" s="217" t="s">
        <v>335</v>
      </c>
      <c r="G9" s="214"/>
      <c r="H9" s="217" t="s">
        <v>334</v>
      </c>
      <c r="I9" s="214"/>
      <c r="J9" s="217" t="s">
        <v>646</v>
      </c>
      <c r="K9" s="214"/>
    </row>
    <row r="10" spans="2:11" ht="31" customHeight="1">
      <c r="B10" s="220"/>
      <c r="C10" s="220"/>
      <c r="D10" s="94" t="s">
        <v>337</v>
      </c>
      <c r="E10" s="94" t="s">
        <v>310</v>
      </c>
      <c r="F10" s="94" t="s">
        <v>300</v>
      </c>
      <c r="G10" s="94" t="s">
        <v>311</v>
      </c>
      <c r="H10" s="94" t="s">
        <v>300</v>
      </c>
      <c r="I10" s="94" t="s">
        <v>311</v>
      </c>
      <c r="J10" s="94" t="s">
        <v>300</v>
      </c>
      <c r="K10" s="94" t="s">
        <v>311</v>
      </c>
    </row>
    <row r="11" spans="2:11" ht="23.25" customHeight="1">
      <c r="B11" s="97" t="s">
        <v>647</v>
      </c>
      <c r="C11" s="88">
        <v>16</v>
      </c>
      <c r="D11" s="71">
        <v>2.0</v>
      </c>
      <c r="E11" s="192" t="n">
        <f>C11*D11</f>
        <v>32.0</v>
      </c>
      <c r="F11" s="88" t="n">
        <f>$F$19</f>
        <v>2.0</v>
      </c>
      <c r="G11" s="193" t="n">
        <f>C11*F11</f>
        <v>32.0</v>
      </c>
      <c r="H11" s="88" t="n">
        <f>$F$20</f>
        <v>2.0</v>
      </c>
      <c r="I11" s="193" t="n">
        <f>C11*H11</f>
        <v>32.0</v>
      </c>
      <c r="J11" s="88" t="n">
        <f>$F$21</f>
        <v>1.0</v>
      </c>
      <c r="K11" s="193" t="n">
        <f>C11*J11</f>
        <v>16.0</v>
      </c>
    </row>
    <row r="12" spans="2:11" ht="23.25" customHeight="1">
      <c r="B12" s="100" t="s">
        <v>158</v>
      </c>
      <c r="C12" s="100" t="n">
        <f>SUM(C11:C11)</f>
        <v>16.0</v>
      </c>
      <c r="D12" s="100"/>
      <c r="E12" s="194" t="n">
        <f>SUM(E11:E11)</f>
        <v>32.0</v>
      </c>
      <c r="F12" s="100"/>
      <c r="G12" s="100" t="n">
        <f>SUM(G11:G11)</f>
        <v>32.0</v>
      </c>
      <c r="H12" s="100"/>
      <c r="I12" s="100" t="n">
        <f>SUM(I11:I11)</f>
        <v>32.0</v>
      </c>
      <c r="J12" s="100"/>
      <c r="K12" s="100" t="n">
        <f>SUM(K11:K11)</f>
        <v>16.0</v>
      </c>
    </row>
    <row r="14" spans="2:11" ht="15.5" customHeight="1">
      <c r="B14" s="211" t="s">
        <v>648</v>
      </c>
      <c r="C14" s="207"/>
      <c r="D14" s="207"/>
      <c r="E14" s="207"/>
      <c r="F14" s="207"/>
      <c r="G14" s="207"/>
      <c r="H14" s="207"/>
      <c r="I14" s="207"/>
      <c r="J14" s="207"/>
      <c r="K14" s="208"/>
    </row>
    <row r="15" spans="2:11" ht="15.5" customHeight="1">
      <c r="B15" s="210" t="s">
        <v>351</v>
      </c>
      <c r="C15" s="207"/>
      <c r="D15" s="207"/>
      <c r="E15" s="208"/>
      <c r="F15" s="195" t="s">
        <v>352</v>
      </c>
      <c r="G15" s="195" t="s">
        <v>353</v>
      </c>
      <c r="H15" s="210" t="s">
        <v>354</v>
      </c>
      <c r="I15" s="207"/>
      <c r="J15" s="207"/>
      <c r="K15" s="208"/>
    </row>
    <row r="16" spans="2:11" ht="18" customHeight="1">
      <c r="B16" s="209" t="s">
        <v>649</v>
      </c>
      <c r="C16" s="207"/>
      <c r="D16" s="207"/>
      <c r="E16" s="208"/>
      <c r="F16" s="196">
        <v>0.18</v>
      </c>
      <c r="G16" s="197" t="s">
        <v>57</v>
      </c>
      <c r="H16" s="209" t="s">
        <v>650</v>
      </c>
      <c r="I16" s="207"/>
      <c r="J16" s="207"/>
      <c r="K16" s="208"/>
    </row>
    <row r="17" spans="2:11" ht="18" customHeight="1">
      <c r="B17" s="209" t="s">
        <v>356</v>
      </c>
      <c r="C17" s="207"/>
      <c r="D17" s="207"/>
      <c r="E17" s="208"/>
      <c r="F17" s="196">
        <v>0.2</v>
      </c>
      <c r="G17" s="197" t="s">
        <v>57</v>
      </c>
      <c r="H17" s="209" t="s">
        <v>650</v>
      </c>
      <c r="I17" s="207"/>
      <c r="J17" s="207"/>
      <c r="K17" s="208"/>
    </row>
    <row r="18" spans="2:11" ht="18" customHeight="1">
      <c r="B18" s="209" t="s">
        <v>651</v>
      </c>
      <c r="C18" s="207"/>
      <c r="D18" s="207"/>
      <c r="E18" s="208"/>
      <c r="F18" s="198">
        <v>0.5</v>
      </c>
      <c r="G18" s="197" t="s">
        <v>360</v>
      </c>
      <c r="H18" s="209" t="s">
        <v>652</v>
      </c>
      <c r="I18" s="207"/>
      <c r="J18" s="207"/>
      <c r="K18" s="208"/>
    </row>
    <row r="19" spans="2:11" ht="18" customHeight="1">
      <c r="B19" s="209" t="s">
        <v>362</v>
      </c>
      <c r="C19" s="207"/>
      <c r="D19" s="207"/>
      <c r="E19" s="208"/>
      <c r="F19" s="199">
        <v>2</v>
      </c>
      <c r="G19" s="197" t="s">
        <v>60</v>
      </c>
      <c r="H19" s="209" t="s">
        <v>653</v>
      </c>
      <c r="I19" s="207"/>
      <c r="J19" s="207"/>
      <c r="K19" s="208"/>
    </row>
    <row r="20" spans="2:11" ht="18" customHeight="1">
      <c r="B20" s="209" t="s">
        <v>654</v>
      </c>
      <c r="C20" s="207"/>
      <c r="D20" s="207"/>
      <c r="E20" s="208"/>
      <c r="F20" s="199">
        <v>2</v>
      </c>
      <c r="G20" s="197" t="s">
        <v>60</v>
      </c>
      <c r="H20" s="209" t="s">
        <v>655</v>
      </c>
      <c r="I20" s="207"/>
      <c r="J20" s="207"/>
      <c r="K20" s="208"/>
    </row>
    <row r="21" spans="2:11" ht="18" customHeight="1">
      <c r="B21" s="209" t="s">
        <v>656</v>
      </c>
      <c r="C21" s="207"/>
      <c r="D21" s="207"/>
      <c r="E21" s="208"/>
      <c r="F21" s="199">
        <v>1</v>
      </c>
      <c r="G21" s="197" t="s">
        <v>60</v>
      </c>
      <c r="H21" s="209" t="s">
        <v>657</v>
      </c>
      <c r="I21" s="207"/>
      <c r="J21" s="207"/>
      <c r="K21" s="208"/>
    </row>
  </sheetData>
  <mergeCells count="27">
    <mergeCell ref="B2:K2"/>
    <mergeCell ref="C3:K3"/>
    <mergeCell ref="C4:K4"/>
    <mergeCell ref="C5:K5"/>
    <mergeCell ref="C6:K6"/>
    <mergeCell ref="B8:K8"/>
    <mergeCell ref="B9:B10"/>
    <mergeCell ref="C9:C10"/>
    <mergeCell ref="D9:E9"/>
    <mergeCell ref="F9:G9"/>
    <mergeCell ref="H9:I9"/>
    <mergeCell ref="J9:K9"/>
    <mergeCell ref="B14:K14"/>
    <mergeCell ref="B15:E15"/>
    <mergeCell ref="H15:K15"/>
    <mergeCell ref="B16:E16"/>
    <mergeCell ref="H16:K16"/>
    <mergeCell ref="B17:E17"/>
    <mergeCell ref="H17:K17"/>
    <mergeCell ref="B18:E18"/>
    <mergeCell ref="H18:K18"/>
    <mergeCell ref="B19:E19"/>
    <mergeCell ref="H19:K19"/>
    <mergeCell ref="B20:E20"/>
    <mergeCell ref="H20:K20"/>
    <mergeCell ref="B21:E21"/>
    <mergeCell ref="H21:K21"/>
  </mergeCells>
  <printOptions horizontalCentered="1"/>
  <pageMargins left="0.75" right="0.75" top="1" bottom="1" header="0.5" footer="0.5"/>
  <pageSetup paperSize="9" scale="5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10</vt:i4>
      </vt:variant>
    </vt:vector>
  </HeadingPairs>
  <TitlesOfParts>
    <vt:vector size="26" baseType="lpstr">
      <vt:lpstr>RESUMEN</vt:lpstr>
      <vt:lpstr>PLANILLA GENERAL DE METRADOS</vt:lpstr>
      <vt:lpstr>METRADO MONTANTES</vt:lpstr>
      <vt:lpstr>CONCRETO EN CUNETAS</vt:lpstr>
      <vt:lpstr>ENCOFRADO Y DESENCOFRADO</vt:lpstr>
      <vt:lpstr>METRADO CANALETAS</vt:lpstr>
      <vt:lpstr>METRADO  EN PISO (SUMIDERO)</vt:lpstr>
      <vt:lpstr>METRADO ACERO</vt:lpstr>
      <vt:lpstr>METRADO JUNTA DE DILATACION</vt:lpstr>
      <vt:lpstr>METRADO DE CURADO</vt:lpstr>
      <vt:lpstr>METRADO DE REJILLAS</vt:lpstr>
      <vt:lpstr>PLANILLA TAPAS REGISTRO INTERNO</vt:lpstr>
      <vt:lpstr>PLANILLA TAPAS COLECTOR</vt:lpstr>
      <vt:lpstr>METRADO ACERO COLECTOR</vt:lpstr>
      <vt:lpstr>PARAMETROS</vt:lpstr>
      <vt:lpstr>Listas</vt:lpstr>
      <vt:lpstr>'CONCRETO EN CUNETAS'!Área_de_impresión</vt:lpstr>
      <vt:lpstr>'ENCOFRADO Y DESENCOFRADO'!Área_de_impresión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SWORD GAMING</dc:creator>
  <cp:lastModifiedBy>jose pizarro</cp:lastModifiedBy>
  <cp:revision>3</cp:revision>
  <cp:lastPrinted>2026-03-10T13:03:41Z</cp:lastPrinted>
  <dcterms:created xsi:type="dcterms:W3CDTF">2025-06-05T14:29:57Z</dcterms:created>
  <dcterms:modified xsi:type="dcterms:W3CDTF">2026-10-19T17:35:06Z</dcterms:modified>
  <dc:language>en-US</dc:language>
</cp:coreProperties>
</file>