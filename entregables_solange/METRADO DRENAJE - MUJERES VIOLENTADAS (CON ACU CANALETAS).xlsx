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TBM\ALDEA INFANTIL\SOLANGE\nuevos\"/>
    </mc:Choice>
  </mc:AlternateContent>
  <xr:revisionPtr revIDLastSave="0" documentId="13_ncr:1_{DC70F9E3-E3E8-40C8-9906-6C89DC8FBFA6}" xr6:coauthVersionLast="47" xr6:coauthVersionMax="47" xr10:uidLastSave="{00000000-0000-0000-0000-000000000000}"/>
  <bookViews>
    <workbookView xWindow="-110" yWindow="-110" windowWidth="25820" windowHeight="15500" tabRatio="839" xr2:uid="{00000000-000D-0000-FFFF-FFFF00000000}"/>
  </bookViews>
  <sheets>
    <sheet name="RESUMEN" sheetId="1" r:id="rId1"/>
    <sheet name="PLANILLA GENERAL DE METRADOS" sheetId="2" r:id="rId2"/>
    <sheet name="CONCRETO EN CUNETAS" sheetId="3" r:id="rId3"/>
    <sheet name="ENCOFRADO Y DESENCOFRADO" sheetId="4" r:id="rId4"/>
    <sheet name="METRADO MONTANTES" sheetId="5" r:id="rId5"/>
    <sheet name="METRADO CANALETAS" sheetId="6" r:id="rId6"/>
    <sheet name="METRADO  EN PISO (SUMIDERO)" sheetId="7" r:id="rId7"/>
    <sheet name="METRADO ACERO" sheetId="8" r:id="rId8"/>
    <sheet name="METRADO DE CURADO" sheetId="9" r:id="rId9"/>
    <sheet name="METRADO DE REJILLAS" sheetId="10" r:id="rId10"/>
    <sheet name="METRADO JUNTA DE DILATACION" sheetId="11" r:id="rId11"/>
    <sheet name="PLANILLA TAPAS REGISTRO INTERNO" sheetId="12" r:id="rId12"/>
    <sheet name="PARAMETROS" sheetId="13" r:id="rId13"/>
    <sheet name="Listas" sheetId="14" state="hidden" r:id="rId14"/>
    <sheet name="COLECTOR PARAMETROS" sheetId="15" r:id="rId15"/>
    <sheet name="COLECTOR MOV. TIERRAS" sheetId="16" r:id="rId16"/>
    <sheet name="COLECTOR CONCRETO" sheetId="17" r:id="rId17"/>
    <sheet name="COLECTOR ENCOFRADO" sheetId="18" r:id="rId18"/>
    <sheet name="COLECTOR ACERO" sheetId="19" r:id="rId19"/>
    <sheet name="COLECTOR REGISTROS Y TAPAS" sheetId="20" r:id="rId20"/>
    <sheet name="COLECTOR JUNTAS Y EMPALMES" sheetId="21" r:id="rId21"/>
    <sheet name="COLECTOR INSUMOS" sheetId="22" r:id="rId22"/>
    <sheet name="ACU TAPA REGISTRO" sheetId="23" r:id="rIdACU1"/>
    <sheet name="ACU CANALETAS" sheetId="24" r:id="rIdACU2"/>
  </sheets>
  <definedNames>
    <definedName name="_xlnm.Print_Area" localSheetId="2">'CONCRETO EN CUNETAS'!$A$1:$O$79</definedName>
    <definedName name="_xlnm.Print_Area" localSheetId="3">'ENCOFRADO Y DESENCOFRADO'!$A$1:$P$79</definedName>
    <definedName name="_xlnm.Print_Area" localSheetId="5">'METRADO CANALETAS'!$A$1:$L$53</definedName>
    <definedName name="_xlnm.Print_Area" localSheetId="4">'METRADO MONTANTES'!$A$1:$R$45</definedName>
    <definedName name="_xlnm.Print_Area" localSheetId="1">'PLANILLA GENERAL DE METRADOS'!$A$1:$L$321</definedName>
    <definedName name="_xlnm.Print_Area" localSheetId="0">RESUMEN!$A$1:$D$80</definedName>
    <definedName name="_xlnm.Print_Titles" localSheetId="2">'CONCRETO EN CUNETAS'!$1:$8</definedName>
    <definedName name="_xlnm.Print_Titles" localSheetId="3">'ENCOFRADO Y DESENCOFRADO'!$2:$7</definedName>
    <definedName name="_xlnm.Print_Titles" localSheetId="5">'METRADO CANALETAS'!$1:$10</definedName>
    <definedName name="_xlnm.Print_Titles" localSheetId="4">'METRADO MONTANTES'!$1:$10</definedName>
    <definedName name="_xlnm.Print_Area" localSheetId="22">'ACU TAPA REGISTRO'!$A$1:$H$96</definedName>
    <definedName name="_xlnm.Print_Area" localSheetId="23">'ACU CANALETAS'!$A$1:$H$111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Hidroconsult</author>
  </authors>
  <commentList>
    <comment ref="J1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Abrazaderas por montante = REDONDEAR.MENOS(longitud/4) con mínimo 1. Reproduce el criterio de CAR Mujeres (6.2 m = 1, 8.2 m = 2, 12 m = 3). Se puede escribir encima.</t>
        </r>
      </text>
    </comment>
    <comment ref="P1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Codos 45° por montante: según detalle. Escribir la cantidad en cada lado.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Hidroconsult</author>
  </authors>
  <commentList>
    <comment ref="J1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01, Lado A.</t>
        </r>
      </text>
    </comment>
    <comment ref="D1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1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01, Lado B.</t>
        </r>
      </text>
    </comment>
    <comment ref="J15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02, Lado A.</t>
        </r>
      </text>
    </comment>
    <comment ref="D16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16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02, Lado B.</t>
        </r>
      </text>
    </comment>
    <comment ref="J18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03, Lado A.</t>
        </r>
      </text>
    </comment>
    <comment ref="D19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19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03, Lado B.</t>
        </r>
      </text>
    </comment>
    <comment ref="J21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04, Lado A.</t>
        </r>
      </text>
    </comment>
    <comment ref="D22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22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04, Lado B.</t>
        </r>
      </text>
    </comment>
    <comment ref="J24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05, Lado A.</t>
        </r>
      </text>
    </comment>
    <comment ref="D25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25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05, Lado B.</t>
        </r>
      </text>
    </comment>
    <comment ref="J27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06, Lado A.</t>
        </r>
      </text>
    </comment>
    <comment ref="D28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28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06, Lado B.</t>
        </r>
      </text>
    </comment>
    <comment ref="J30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07, Lado A.</t>
        </r>
      </text>
    </comment>
    <comment ref="D31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31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07, Lado B.</t>
        </r>
      </text>
    </comment>
    <comment ref="J33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08, Lado A.</t>
        </r>
      </text>
    </comment>
    <comment ref="D34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34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08, Lado B.</t>
        </r>
      </text>
    </comment>
    <comment ref="J36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09, Lado A.</t>
        </r>
      </text>
    </comment>
    <comment ref="D37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37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09, Lado B.</t>
        </r>
      </text>
    </comment>
    <comment ref="J39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LOSA DEPORTIVA, Lado A.</t>
        </r>
      </text>
    </comment>
    <comment ref="D40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40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LOSA DEPORTIVA, Lado B.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3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Área de muro (un solo muro) tomada de la hoja 'CONCRETO ARMADO EN CUNETAS' de tu Excel (fila AREA, bajo MUROS de cada eje).</t>
        </r>
      </text>
    </comment>
    <comment ref="F13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Altura de muro = Área de muro / Longitud del eje (misma altura usada para el volumen de concreto de muros en tu hoja original).</t>
        </r>
      </text>
    </comment>
    <comment ref="H13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N° de juntas = REDONDEAR.MAS(Longitud eje / Espaciamiento). Ajusta si tu criterio es distinto (p.ej. no contar junta en los extremos).</t>
        </r>
      </text>
    </comment>
  </commentList>
</comments>
</file>

<file path=xl/sharedStrings.xml><?xml version="1.0" encoding="utf-8"?>
<sst xmlns="http://schemas.openxmlformats.org/spreadsheetml/2006/main" count="2833" uniqueCount="993">
  <si>
    <t>RESUMEN METRADOS DE DRENAJE PLUVIAL</t>
  </si>
  <si>
    <t>ENTIDAD</t>
  </si>
  <si>
    <t>GERENCIA TERRITORIAL BAJO MAYO - TARAPOTO</t>
  </si>
  <si>
    <t>PROYECTO</t>
  </si>
  <si>
    <t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t>
  </si>
  <si>
    <t>UBICACIÓN</t>
  </si>
  <si>
    <t>SAN MARTIN - SAN MARTIN - MORALES</t>
  </si>
  <si>
    <t>FECHA</t>
  </si>
  <si>
    <t>Item</t>
  </si>
  <si>
    <t>Descripción</t>
  </si>
  <si>
    <t>Unid.</t>
  </si>
  <si>
    <t>Total.</t>
  </si>
  <si>
    <t>01.04.03</t>
  </si>
  <si>
    <t>SISTEMA DE DRENAJE PLUVIAL</t>
  </si>
  <si>
    <t>01.04.03.01</t>
  </si>
  <si>
    <t>TRABAJOS PRELIMINARES</t>
  </si>
  <si>
    <t>01.04.03.01.01</t>
  </si>
  <si>
    <t>LIMPIEZA MANUAL DE TERRENO</t>
  </si>
  <si>
    <t>m²</t>
  </si>
  <si>
    <t>01.04.03.01.02</t>
  </si>
  <si>
    <t>TRAZO, NIVELES Y REPLANTEO PRELIMINAR</t>
  </si>
  <si>
    <t>01.04.03.02</t>
  </si>
  <si>
    <t>MOVIMIENTO DE TIERRAS</t>
  </si>
  <si>
    <t>01.04.03.02.01</t>
  </si>
  <si>
    <t>EXCAVACIÓN MANUAL DE ZANJAS P/CUNETAS</t>
  </si>
  <si>
    <t>m³</t>
  </si>
  <si>
    <t>01.04.03.02.02</t>
  </si>
  <si>
    <t>EXCAVACIÓN MANUAL DE ZANJAS P/DADOS DE CONCRETO</t>
  </si>
  <si>
    <t>01.04.03.02.03</t>
  </si>
  <si>
    <t>REFINE, NIVELACIÓN Y COMPACTACIÓN EN TERRENO NORMAL</t>
  </si>
  <si>
    <t>01.04.03.02.04</t>
  </si>
  <si>
    <t>RELLENO COMPACTADO CON MATERIAL PROPIO SELECCIONADO</t>
  </si>
  <si>
    <t>01.04.03.02.05</t>
  </si>
  <si>
    <t>ELIMINACIÓN DE MATERIAL EXCEDENTE</t>
  </si>
  <si>
    <t>01.04.03.03</t>
  </si>
  <si>
    <t>OBRAS DE CONCRETO SIMPLE</t>
  </si>
  <si>
    <t>01.04.03.03.01</t>
  </si>
  <si>
    <t>CONCRETO f'c=100 kg/cm2 PARA SOLADO E=4''</t>
  </si>
  <si>
    <t>01.04.03.03.02</t>
  </si>
  <si>
    <t>CONCRETO f'c=140 Kg/cm2 PARA DADOS DE CONCRETO</t>
  </si>
  <si>
    <t>01.04.03.04</t>
  </si>
  <si>
    <t>OBRAS DE CONCRETO ARMADO</t>
  </si>
  <si>
    <t>01.04.03.04.02</t>
  </si>
  <si>
    <t>CUNETAS</t>
  </si>
  <si>
    <t>01.04.03.04.02.01</t>
  </si>
  <si>
    <t>CONCRETO P/CUNETAS f'c=175 kg/cm2</t>
  </si>
  <si>
    <t>01.04.03.04.02.02</t>
  </si>
  <si>
    <t>ENCOFRADO Y DESENCOFRADO DE CUNETA</t>
  </si>
  <si>
    <t>01.04.03.04.02.03</t>
  </si>
  <si>
    <t>ACERO f'y=4200 kg/cm2 PARA CUNETA</t>
  </si>
  <si>
    <t>kg</t>
  </si>
  <si>
    <t>01.04.03.04.02.04</t>
  </si>
  <si>
    <t>CURADO DE CONCRETO EN CUNETA</t>
  </si>
  <si>
    <t>01.04.03.04.03</t>
  </si>
  <si>
    <t>VARIOS</t>
  </si>
  <si>
    <t>01.04.03.04.03.01</t>
  </si>
  <si>
    <t>REJILLA METALICA P/CUNETA C/PL 1''x 3/16'' Y ANGULO 1'' x 1'' x 3/16''</t>
  </si>
  <si>
    <t>ml</t>
  </si>
  <si>
    <t>01.04.03.04.03.02</t>
  </si>
  <si>
    <t>TAPA DE INSPECCION 0.60m x 0.60m</t>
  </si>
  <si>
    <t>und</t>
  </si>
  <si>
    <t>01.04.03.04.03.03</t>
  </si>
  <si>
    <t>JUNTA DE DILATACION E=1" CON SELLADOR ASFALTO</t>
  </si>
  <si>
    <t>01.04.03.05</t>
  </si>
  <si>
    <t>RED DE COLECCIÓN</t>
  </si>
  <si>
    <t>01.04.03.05.01</t>
  </si>
  <si>
    <t>RED DE RECOLECCION TECHO</t>
  </si>
  <si>
    <t>01.04.03.05.01.01</t>
  </si>
  <si>
    <t>MONTANTE TUBERÍA PVC DE 4"</t>
  </si>
  <si>
    <t>m</t>
  </si>
  <si>
    <t>01.04.03.05.01.02</t>
  </si>
  <si>
    <t>FALSA COLUMNA P/MONTANTE DE 0.20m x 0.15m x 1.30m</t>
  </si>
  <si>
    <t>01.04.03.05.01.02.01</t>
  </si>
  <si>
    <t>CONCRETO F´C=175 KG/CM2 EN FALSA COLUMNA</t>
  </si>
  <si>
    <t>01.04.03.05.01.02.02</t>
  </si>
  <si>
    <t>ENCOFRADO Y DESENCOFRADO EN FALSA COLUMNA - MONTANTE PLUVIAL</t>
  </si>
  <si>
    <t>01.04.03.05.01.02.03</t>
  </si>
  <si>
    <t>ACERO FY=4200 KG/CM2 EN FALSA COLUMNA (MONTANTE PLUVIAL)</t>
  </si>
  <si>
    <t>01.04.03.05.01.03</t>
  </si>
  <si>
    <t>CANALETA DE PLANCHA DE ACERO GALVANIZADO e=0.9mm, SECCIÓN 0.25m x 0.20m</t>
  </si>
  <si>
    <t>01.04.03.05.01.04</t>
  </si>
  <si>
    <t>SOPORTE DE PLATINA F°G° 1" x 1/8" P/CANALETA</t>
  </si>
  <si>
    <t>01.04.03.05.01.05</t>
  </si>
  <si>
    <t>TAPA LATERAL DE PLANCHA GALVANIZADA P/CANALETA</t>
  </si>
  <si>
    <t>01.04.03.05.01.06</t>
  </si>
  <si>
    <t>BOQUILLA DE PLANCHA GALVANIZADA P/CONEXIÓN DE CANALETA A MONTANTE Ø4"</t>
  </si>
  <si>
    <t>01.04.03.05.02</t>
  </si>
  <si>
    <t>RED DE RECOLECCION PISO</t>
  </si>
  <si>
    <t>01.04.03.05.02.01</t>
  </si>
  <si>
    <t>TUBERIA DESAGÜE PVC-CP Ø4" x 3m</t>
  </si>
  <si>
    <t>01.04.03.05.02.02</t>
  </si>
  <si>
    <t>SUMIDERO METALICO C/PLATINA 1" X 3/16"</t>
  </si>
  <si>
    <t>01.04.03.05.02.03</t>
  </si>
  <si>
    <t>CODO 90° x 4"</t>
  </si>
  <si>
    <t>01.04.03.05.02.04</t>
  </si>
  <si>
    <t>TEE° x 4"</t>
  </si>
  <si>
    <t>01.04.03.05.03</t>
  </si>
  <si>
    <t>ACCESORIOS</t>
  </si>
  <si>
    <t>01.04.03.05.03.02</t>
  </si>
  <si>
    <t>CODO DESAGÜE PVC Ø4" x 90°</t>
  </si>
  <si>
    <t>01.04.03.05.03.04</t>
  </si>
  <si>
    <t>COLGADOR F°G° P/TUBERIA PVC Ø4"</t>
  </si>
  <si>
    <t>01.04.03.05.03.05</t>
  </si>
  <si>
    <t>ABRAZADERA DE F°G° P/TUBERIA PVC Ø4"</t>
  </si>
  <si>
    <t>01.04.04</t>
  </si>
  <si>
    <t>COLECTOR PLUVIAL FRONTAL (TRAMO HOGAR DE REFUGIO - EMPALME CON CAR MUJERES)</t>
  </si>
  <si>
    <t>01.04.04.01</t>
  </si>
  <si>
    <t>01.04.04.01.01</t>
  </si>
  <si>
    <t>01.04.04.01.02</t>
  </si>
  <si>
    <t>01.04.04.02</t>
  </si>
  <si>
    <t>01.04.04.02.01</t>
  </si>
  <si>
    <t>EXCAVACIÓN MANUAL DE ZANJAS P/COLECTOR (ancho 1.60 m)</t>
  </si>
  <si>
    <t>01.04.04.02.02</t>
  </si>
  <si>
    <t>01.04.04.02.03</t>
  </si>
  <si>
    <t>RELLENO COMPACTADO CON MATERIAL PROPIO SELECCIONADO (incluye nivelacion del retiro y base de cajas)</t>
  </si>
  <si>
    <t>01.04.04.02.04</t>
  </si>
  <si>
    <t>01.04.04.03</t>
  </si>
  <si>
    <t>01.04.04.03.01</t>
  </si>
  <si>
    <t>CONCRETO f'c=100 kg/cm2 PARA SOLADO E=2" (0.05 m)</t>
  </si>
  <si>
    <t>01.04.04.04</t>
  </si>
  <si>
    <t>OBRAS DE CONCRETO ARMADO - COLECTOR Y CAJAS</t>
  </si>
  <si>
    <t>01.04.04.04.01</t>
  </si>
  <si>
    <t>CONCRETO f'c=210 kg/cm2 EN LOSA DE FONDO</t>
  </si>
  <si>
    <t>01.04.04.04.02</t>
  </si>
  <si>
    <t>CONCRETO f'c=210 kg/cm2 EN MUROS</t>
  </si>
  <si>
    <t>01.04.04.04.03</t>
  </si>
  <si>
    <t>CONCRETO f'c=210 kg/cm2 EN LOSA SUPERIOR (incluye bordes de registro)</t>
  </si>
  <si>
    <t>01.04.04.04.04</t>
  </si>
  <si>
    <t>ENCOFRADO Y DESENCOFRADO NORMAL EN COLECTOR Y CAJAS</t>
  </si>
  <si>
    <t>01.04.04.04.05</t>
  </si>
  <si>
    <t>ACERO DE REFUERZO fy=4200 kg/cm2 EN COLECTOR Y CAJAS</t>
  </si>
  <si>
    <t>01.04.04.04.06</t>
  </si>
  <si>
    <t>ACABADO FROTACHADO Y BRUÑADO DE LOSA SUPERIOR</t>
  </si>
  <si>
    <t>01.04.04.04.07</t>
  </si>
  <si>
    <t>CURADO DE CONCRETO EN COLECTOR Y CAJAS</t>
  </si>
  <si>
    <t>01.04.04.05</t>
  </si>
  <si>
    <t>REGISTROS DE LIMPIEZA Y TAPAS</t>
  </si>
  <si>
    <t>01.04.04.05.01</t>
  </si>
  <si>
    <t>CONTRAMARCO METALICO L 2"x2"x3/16" CON ANCLAJES</t>
  </si>
  <si>
    <t>01.04.04.05.02</t>
  </si>
  <si>
    <t>MARCO METALICO DE TAPA L 1 1/2"x1 1/2"x1/8"</t>
  </si>
  <si>
    <t>01.04.04.05.03</t>
  </si>
  <si>
    <t>ANGULOS METALICOS P/MARCO Y CONTRAMARCO (incluye soldadura)</t>
  </si>
  <si>
    <t>01.04.04.05.04</t>
  </si>
  <si>
    <t>TAPA DE CONCRETO ARMADO 0.68 x 0.68 x 0.08 m (incluye acero y asas)</t>
  </si>
  <si>
    <t>01.04.04.05.05</t>
  </si>
  <si>
    <t>CONCRETO f'c=210 kg/cm2 EN TAPAS</t>
  </si>
  <si>
    <t>01.04.04.05.06</t>
  </si>
  <si>
    <t>ACERO DE REFUERZO fy=4200 kg/cm2 EN TAPAS, BORDES Y ANCLAJES</t>
  </si>
  <si>
    <t>01.04.04.05.07</t>
  </si>
  <si>
    <t>PINTURA ANTICORROSIVA Y ESMALTE EN ANGULOS</t>
  </si>
  <si>
    <t>01.04.04.06</t>
  </si>
  <si>
    <t>01.04.04.06.01</t>
  </si>
  <si>
    <t>JUNTA DE DILATACION E=1" CON TECNOPOR Y SELLADOR ELASTOMERICO</t>
  </si>
  <si>
    <t>01.04.04.06.02</t>
  </si>
  <si>
    <t>JUNTA DE TECNOPOR E=1" ENTRE COLECTOR, CERCO Y PISO ADYACENTE</t>
  </si>
  <si>
    <t>ITEM</t>
  </si>
  <si>
    <t>DESCRIPCION</t>
  </si>
  <si>
    <t>Nº DE VECES</t>
  </si>
  <si>
    <t>LARGO</t>
  </si>
  <si>
    <t>ANCHO</t>
  </si>
  <si>
    <t>ALTURA</t>
  </si>
  <si>
    <t>FACT.</t>
  </si>
  <si>
    <t>AREA</t>
  </si>
  <si>
    <t>VOLUMEN</t>
  </si>
  <si>
    <t>PARCIAL</t>
  </si>
  <si>
    <t>TOTAL</t>
  </si>
  <si>
    <t>UND</t>
  </si>
  <si>
    <t>EJE 1</t>
  </si>
  <si>
    <t>EJE 2</t>
  </si>
  <si>
    <t>EJE 3</t>
  </si>
  <si>
    <t>EJE 4</t>
  </si>
  <si>
    <t>EJE 5</t>
  </si>
  <si>
    <t>EJE 6</t>
  </si>
  <si>
    <t>EJE 7</t>
  </si>
  <si>
    <t>EJE 8</t>
  </si>
  <si>
    <t>EJE 9</t>
  </si>
  <si>
    <t>EJE 10</t>
  </si>
  <si>
    <t>EJE 11</t>
  </si>
  <si>
    <t>EJE 12</t>
  </si>
  <si>
    <t>DADO 0.40 X 0.40</t>
  </si>
  <si>
    <t>EXCAVACIÓN  MANUAL DE ZANJA PARA CUNETA</t>
  </si>
  <si>
    <t>RELLENO COMPACTADO CON MATERIAL PROPIO</t>
  </si>
  <si>
    <t>REJILLA METALICA P/CUNETA C/PL 1''x 3/16'' Y ANGULO 1'' x 1'' x 3/16'', S/DETALLE</t>
  </si>
  <si>
    <t>MONTANTE CON TUBERÍA PVC DE 4"</t>
  </si>
  <si>
    <t>m3</t>
  </si>
  <si>
    <t>m2</t>
  </si>
  <si>
    <t>Kgr</t>
  </si>
  <si>
    <t>Acero Longitudinal</t>
  </si>
  <si>
    <t>Acero Transversal</t>
  </si>
  <si>
    <t>Tramo normal (0+000.00 - 0+026.32)</t>
  </si>
  <si>
    <t>Cruce de camiones (0+026.32 - 0+031.33)</t>
  </si>
  <si>
    <t>Tramo normal (0+031.33 - 0+039.04)</t>
  </si>
  <si>
    <t>Cruce de motos (0+039.04 - 0+041.04)</t>
  </si>
  <si>
    <t>Tramo normal (0+041.04 - 0+058.81)</t>
  </si>
  <si>
    <t>Tramo diagonal (quiebres) (0+058.81 - 0+066.89)</t>
  </si>
  <si>
    <t>Tramo recto final (0+066.89 - 0+069.89)</t>
  </si>
  <si>
    <t>Caja de llegada CL</t>
  </si>
  <si>
    <t>Caja de caida CC</t>
  </si>
  <si>
    <t>Tramo normal (0+000.00 - 0+026.32) - lateral de zanja</t>
  </si>
  <si>
    <t>Cruce de camiones (0+026.32 - 0+031.33) - lateral de zanja</t>
  </si>
  <si>
    <t>Tramo normal (0+031.33 - 0+039.04) - lateral de zanja</t>
  </si>
  <si>
    <t>Cruce de motos (0+039.04 - 0+041.04) - lateral de zanja</t>
  </si>
  <si>
    <t>Tramo normal (0+041.04 - 0+058.81) - lateral de zanja</t>
  </si>
  <si>
    <t>Tramo diagonal (quiebres) (0+058.81 - 0+066.89) - lateral de zanja</t>
  </si>
  <si>
    <t>Tramo recto final (0+066.89 - 0+069.89) - lateral de zanja</t>
  </si>
  <si>
    <t>Tramo normal (0+000.00 - 0+026.32) - franja de nivelacion</t>
  </si>
  <si>
    <t>Cruce de camiones (0+026.32 - 0+031.33) - franja de nivelacion</t>
  </si>
  <si>
    <t>Tramo normal (0+031.33 - 0+039.04) - franja de nivelacion</t>
  </si>
  <si>
    <t>Cruce de motos (0+039.04 - 0+041.04) - franja de nivelacion</t>
  </si>
  <si>
    <t>Tramo normal (0+041.04 - 0+058.81) - franja de nivelacion</t>
  </si>
  <si>
    <t>Tramo diagonal (quiebres) (0+058.81 - 0+066.89) - franja de nivelacion</t>
  </si>
  <si>
    <t>Tramo recto final (0+066.89 - 0+069.89) - franja de nivelacion</t>
  </si>
  <si>
    <t>Excavacion de zanjas y cajas</t>
  </si>
  <si>
    <t>Relleno compactado (se descuenta)</t>
  </si>
  <si>
    <t>Caja de caida CC (incluye umbral)</t>
  </si>
  <si>
    <t>Caja de llegada CL (muros, murete, descuento de ventana)</t>
  </si>
  <si>
    <t>Caja de caida CC (muros, murete, descuento de ventana)</t>
  </si>
  <si>
    <t>Caja de llegada CL (descuento de abertura)</t>
  </si>
  <si>
    <t>Caja de caida CC (descuento de aberturas)</t>
  </si>
  <si>
    <t>Bordes engrosados de abertura de registros RS-01 a RS-07</t>
  </si>
  <si>
    <t>Descuento de aberturas de registro 0.70 x 0.70 x 0.10</t>
  </si>
  <si>
    <t>Caja de llegada CL (malla 3/8" @0.20 ambas caras)</t>
  </si>
  <si>
    <t>Caja de caida CC (malla 3/8" @0.20 ambas caras)</t>
  </si>
  <si>
    <t>CONCRETO F´C=175 KG/CM2 PARA CUNETAS  - DRENAJE PLUVIAL</t>
  </si>
  <si>
    <t>LONGITUDES Y AREAS</t>
  </si>
  <si>
    <t>Sub.TOTAL</t>
  </si>
  <si>
    <t>TOTAL (m3)</t>
  </si>
  <si>
    <t>CUNETA EJE 01</t>
  </si>
  <si>
    <t>MUROS</t>
  </si>
  <si>
    <t>CUNETA EJE 07</t>
  </si>
  <si>
    <t>ESPESOR</t>
  </si>
  <si>
    <t>CANT.</t>
  </si>
  <si>
    <t>LOSA</t>
  </si>
  <si>
    <t>LONGITUD</t>
  </si>
  <si>
    <t>TAPA</t>
  </si>
  <si>
    <t>CUNETA EJE 02</t>
  </si>
  <si>
    <t>CUNETA EJE 08</t>
  </si>
  <si>
    <t>CUNETA EJE 03</t>
  </si>
  <si>
    <t>CUNETA EJE 09</t>
  </si>
  <si>
    <t>CUNETA EJE 04</t>
  </si>
  <si>
    <t>CUNETA EJE 10</t>
  </si>
  <si>
    <t>CUNETA EJE 05</t>
  </si>
  <si>
    <t>CUNETA EJE 11</t>
  </si>
  <si>
    <t>CUNETA EJE 06</t>
  </si>
  <si>
    <t>CUNETA EJE 12</t>
  </si>
  <si>
    <t xml:space="preserve"> ENCOFRADO Y DESENCOFRADO CUNETAS - DRENAJE PLUVIAL</t>
  </si>
  <si>
    <t>OBRAS DE CONCRETO ARMADO - ENCOFRADO Y DESENCOFRADO CUNETAS</t>
  </si>
  <si>
    <t>TOTAL (m2)</t>
  </si>
  <si>
    <t>EJE1</t>
  </si>
  <si>
    <t>ABIERTA</t>
  </si>
  <si>
    <t>MUROS EXTERNO</t>
  </si>
  <si>
    <t>NORMAL</t>
  </si>
  <si>
    <t>MURO INTERNO</t>
  </si>
  <si>
    <t>CANTIDAD</t>
  </si>
  <si>
    <t>TAPADO</t>
  </si>
  <si>
    <t>MURO EXTERNO</t>
  </si>
  <si>
    <t>CALCULO DE MONTANTES POR EDIFICACION  - DRENAJE PLUVIAL</t>
  </si>
  <si>
    <t>MONTANTES</t>
  </si>
  <si>
    <t>LONG. TUBERIA PVC 4"</t>
  </si>
  <si>
    <t>CODO PVC 90° 4"</t>
  </si>
  <si>
    <t>ABRAZADERA 4"</t>
  </si>
  <si>
    <t>COLGADOR 4"</t>
  </si>
  <si>
    <t>CODO PVC 45° 4"</t>
  </si>
  <si>
    <t>VECES</t>
  </si>
  <si>
    <t>TOTAL (m)</t>
  </si>
  <si>
    <t>TOTAL (und)</t>
  </si>
  <si>
    <t>EDIFICACION 01</t>
  </si>
  <si>
    <t>Lado A</t>
  </si>
  <si>
    <t>Lado B</t>
  </si>
  <si>
    <t>EDIFICACION 02</t>
  </si>
  <si>
    <t>EDIFICACION 03</t>
  </si>
  <si>
    <t>EDIFICACION 04</t>
  </si>
  <si>
    <t>EDIFICACION 05</t>
  </si>
  <si>
    <t>EDIFICACION 06</t>
  </si>
  <si>
    <t>EDIFICACION 07</t>
  </si>
  <si>
    <t>EDIFICACION 08</t>
  </si>
  <si>
    <t>EDIFICACION 09</t>
  </si>
  <si>
    <t>LOSA DEPORTIVA</t>
  </si>
  <si>
    <t>OBRA EXTERIOR 01</t>
  </si>
  <si>
    <t>OBRA EXTERIOR03</t>
  </si>
  <si>
    <t>METRADO DE CANALETAS DE TECHO - DRENAJE PLUVIAL</t>
  </si>
  <si>
    <t>CANALETA DE PLANCHA DE ACERO GALVANIZADO - SECCIÓN INTERIOR 0.25 m (FONDO) x 0.20 m (ALTO) - TECHOS A DOS AGUAS: UNA CANALETA POR CADA LADO</t>
  </si>
  <si>
    <t>EDIFICACIÓN</t>
  </si>
  <si>
    <t>N° DE CANALETAS</t>
  </si>
  <si>
    <t>CANALETA 0.25 x 0.20 m</t>
  </si>
  <si>
    <t>SOPORTE PLATINA F°G° 1" x 1/8"</t>
  </si>
  <si>
    <t>TAPA LATERAL</t>
  </si>
  <si>
    <t>BOQUILLA A MONTANTE Ø4"</t>
  </si>
  <si>
    <t>LONGITUD (m)</t>
  </si>
  <si>
    <t>Lado 01</t>
  </si>
  <si>
    <t>Lado 02</t>
  </si>
  <si>
    <t>PARÁMETROS DE CÁLCULO - CANALETA</t>
  </si>
  <si>
    <t>DESCRIPCIÓN</t>
  </si>
  <si>
    <t>VALOR</t>
  </si>
  <si>
    <t>UNIDAD</t>
  </si>
  <si>
    <t>CRITERIO</t>
  </si>
  <si>
    <t>Fondo interior de canaleta</t>
  </si>
  <si>
    <t>Dato del proyecto</t>
  </si>
  <si>
    <t>Altura interior de canaleta</t>
  </si>
  <si>
    <t>Doblez o pestaña superior (por cada lado)</t>
  </si>
  <si>
    <t>Editable según detalle</t>
  </si>
  <si>
    <t>Desarrollo de plancha (fondo + 2 alturas + 2 dobleces)</t>
  </si>
  <si>
    <t>Calculado</t>
  </si>
  <si>
    <t>Espesor de plancha galvanizada</t>
  </si>
  <si>
    <t>mm</t>
  </si>
  <si>
    <t>Editable según EE.TT. (cambiar también la descripción de la partida)</t>
  </si>
  <si>
    <t>Separación de soportes</t>
  </si>
  <si>
    <t>Editable. Soportes por canaleta = REDONDEAR.MAS(L / sep) + 1</t>
  </si>
  <si>
    <t>Tapas laterales por canaleta</t>
  </si>
  <si>
    <t>Una en cada extremo</t>
  </si>
  <si>
    <t>Área de plancha galvanizada (referencial)</t>
  </si>
  <si>
    <t>Total de canaleta x desarrollo. Solo referencia para el análisis de costos</t>
  </si>
  <si>
    <t>PLANILLA DE METRADOS - RED DE DRENAJE EN PISO Y SUMIDEROS</t>
  </si>
  <si>
    <t>SECTOR</t>
  </si>
  <si>
    <t>TUBERÍA 4" PVC-U
Desagüe Clase Pesada (m)</t>
  </si>
  <si>
    <t>SUMIDERO DE 4"
(und)</t>
  </si>
  <si>
    <t>CODO 90° x 4"
(und)</t>
  </si>
  <si>
    <t>CODO 45° x 4"
(und)</t>
  </si>
  <si>
    <t>TEE° x 4"
(und)</t>
  </si>
  <si>
    <t>OBSERVACIÓN</t>
  </si>
  <si>
    <t>SECTOR 01</t>
  </si>
  <si>
    <t>Según sector</t>
  </si>
  <si>
    <t>SECTOR 02</t>
  </si>
  <si>
    <t>SECTOR 03</t>
  </si>
  <si>
    <t>SECTOR 04</t>
  </si>
  <si>
    <t>METRADO DE ACERO EN CUNETAS  - DRENAJE PLUVIAL</t>
  </si>
  <si>
    <t>METRADO DETALLADO POR EJE Y POR TRAMO</t>
  </si>
  <si>
    <t>IDENTIFICACIÓN Y GEOMETRÍA</t>
  </si>
  <si>
    <t>ACERO LONGITUDINAL DEL CUERPO U</t>
  </si>
  <si>
    <t>ACERO TRANSVERSAL DEL CUERPO U</t>
  </si>
  <si>
    <t>ACERO TRANSVERSAL DE LA TAPA (SOLO CUNETA TAPADA)</t>
  </si>
  <si>
    <t>RESULTADO</t>
  </si>
  <si>
    <t>N°</t>
  </si>
  <si>
    <t>EJE</t>
  </si>
  <si>
    <t>TRAMO</t>
  </si>
  <si>
    <t>TIPO DE CUNETA</t>
  </si>
  <si>
    <t>SEC. INI</t>
  </si>
  <si>
    <t>SEC. FIN</t>
  </si>
  <si>
    <t>LONGITUD TRAMO (m)</t>
  </si>
  <si>
    <t>Ø CUERPO</t>
  </si>
  <si>
    <t>FACTOR CUERPO (kg/m)</t>
  </si>
  <si>
    <t>SEP. LONG. (m)</t>
  </si>
  <si>
    <t>BARRAS LONG. INI</t>
  </si>
  <si>
    <t>BARRAS LONG. FIN</t>
  </si>
  <si>
    <t>BARRAS PROM.</t>
  </si>
  <si>
    <t>LONG. ACERO LONG. (m)</t>
  </si>
  <si>
    <t>KG LONG.</t>
  </si>
  <si>
    <t>SEP. TRANSV. U (m)</t>
  </si>
  <si>
    <t>DES. TRANSV. U INI (m)</t>
  </si>
  <si>
    <t>DES. TRANSV. U FIN (m)</t>
  </si>
  <si>
    <t>DES. PROM. U (m)</t>
  </si>
  <si>
    <t>CANT. TRANSV. U</t>
  </si>
  <si>
    <t>LONG. ACERO TRANSV. U (m)</t>
  </si>
  <si>
    <t>KG TRANSV. U</t>
  </si>
  <si>
    <t>TOTAL KG CUERPO U</t>
  </si>
  <si>
    <t>Ø TAPA</t>
  </si>
  <si>
    <t>FACTOR TAPA (kg/m)</t>
  </si>
  <si>
    <t>SEP. TRANSV. TAPA (m)</t>
  </si>
  <si>
    <t>LONG. BARRA TAPA INI (m)</t>
  </si>
  <si>
    <t>LONG. BARRA TAPA FIN (m)</t>
  </si>
  <si>
    <t>LONG. PROM. TAPA (m)</t>
  </si>
  <si>
    <t>CANT. BARRAS TAPA</t>
  </si>
  <si>
    <t>LONG. ACERO TAPA (m)</t>
  </si>
  <si>
    <t>KG ACERO TAPA</t>
  </si>
  <si>
    <t>TOTAL KG TRAMO</t>
  </si>
  <si>
    <t>EJE 01</t>
  </si>
  <si>
    <t>TRAMO 01</t>
  </si>
  <si>
    <t>SEC 02</t>
  </si>
  <si>
    <t>SEC 03</t>
  </si>
  <si>
    <t>3/8"</t>
  </si>
  <si>
    <t>TRAMO 02</t>
  </si>
  <si>
    <t>TAPADA</t>
  </si>
  <si>
    <t>SEC 04</t>
  </si>
  <si>
    <t>EJE 02</t>
  </si>
  <si>
    <t>SEC 06</t>
  </si>
  <si>
    <t>SEC 07</t>
  </si>
  <si>
    <t>SEC 08</t>
  </si>
  <si>
    <t>TRAMO 03</t>
  </si>
  <si>
    <t>SEC 09</t>
  </si>
  <si>
    <t>TRAMO 04</t>
  </si>
  <si>
    <t>SEC 10</t>
  </si>
  <si>
    <t>TRAMO 05</t>
  </si>
  <si>
    <t xml:space="preserve">SEC 10 </t>
  </si>
  <si>
    <t>SEC 11</t>
  </si>
  <si>
    <t>TRAMO 06</t>
  </si>
  <si>
    <t>SEC 12</t>
  </si>
  <si>
    <t>TRAMO 07</t>
  </si>
  <si>
    <t>SEC 13</t>
  </si>
  <si>
    <t>SEC 14</t>
  </si>
  <si>
    <t>EJE 05</t>
  </si>
  <si>
    <t>SEC 20</t>
  </si>
  <si>
    <t>SEC 21</t>
  </si>
  <si>
    <t>SEC 22</t>
  </si>
  <si>
    <t>EJE 06</t>
  </si>
  <si>
    <t>SEC 24</t>
  </si>
  <si>
    <t>SEC 25</t>
  </si>
  <si>
    <t>SEC 26</t>
  </si>
  <si>
    <t xml:space="preserve">SEC 26 </t>
  </si>
  <si>
    <t>SEC 27</t>
  </si>
  <si>
    <t>SEC 28</t>
  </si>
  <si>
    <t>EJE 07</t>
  </si>
  <si>
    <t>SEC 30</t>
  </si>
  <si>
    <t>SEC 31</t>
  </si>
  <si>
    <t>SEC 32</t>
  </si>
  <si>
    <t>SEC 33</t>
  </si>
  <si>
    <t>SEC 34</t>
  </si>
  <si>
    <t>SEC 35</t>
  </si>
  <si>
    <t>SEC 36</t>
  </si>
  <si>
    <t>EJE 08</t>
  </si>
  <si>
    <t>SEC 37</t>
  </si>
  <si>
    <t>SEC 38</t>
  </si>
  <si>
    <t>EJE 09</t>
  </si>
  <si>
    <t>SEC 39</t>
  </si>
  <si>
    <t>SEC 40</t>
  </si>
  <si>
    <t>SEC 44</t>
  </si>
  <si>
    <t>SEC 45</t>
  </si>
  <si>
    <t>SEC 46</t>
  </si>
  <si>
    <t>SEC 47</t>
  </si>
  <si>
    <t>SEC 48</t>
  </si>
  <si>
    <t>SEC 50</t>
  </si>
  <si>
    <t>SEC 51</t>
  </si>
  <si>
    <t>SEC 52</t>
  </si>
  <si>
    <t>SEC 53</t>
  </si>
  <si>
    <t>TOTALES DE LA PLANILLA</t>
  </si>
  <si>
    <t>METRADO DE CURADO DE CONCRETO EN CUNETAS</t>
  </si>
  <si>
    <t>ANCHO INTERIOR (m)</t>
  </si>
  <si>
    <t>ALTURA INT. INI (m)</t>
  </si>
  <si>
    <t>ALTURA INT. FIN (m)</t>
  </si>
  <si>
    <t>ALTURA PROM. (m)</t>
  </si>
  <si>
    <t>ÁREA 2 MUROS (m²)</t>
  </si>
  <si>
    <t>ÁREA FONDO (m²)</t>
  </si>
  <si>
    <t>ÁREA TAPA / TECHO (m²)</t>
  </si>
  <si>
    <t>TOTAL CURADO (m²)</t>
  </si>
  <si>
    <t>N° CARAS</t>
  </si>
  <si>
    <t>UND.</t>
  </si>
  <si>
    <t>EJE 03</t>
  </si>
  <si>
    <t>EJE 04</t>
  </si>
  <si>
    <t>TOTAL DE CURADO DE CONCRETO EN CUNETAS</t>
  </si>
  <si>
    <t>METRADO DE REJILLAS PARA CUNETAS</t>
  </si>
  <si>
    <t>LONGITUD DEL TRAMO (m)</t>
  </si>
  <si>
    <t>DESCUENTO SIN REJILLA (m)</t>
  </si>
  <si>
    <t>LONGITUD CON REJILLA (m)</t>
  </si>
  <si>
    <t>TOTAL CALCULADO DE REJILLA EN CUNETAS ABIERTAS</t>
  </si>
  <si>
    <t>PLANILLA DE METRADOS - JUNTA DE DILATACIÓN E=1" CON SELLADOR ASFÁLTICO EN MUROS DE CUNETAS</t>
  </si>
  <si>
    <t>PARÁMETROS</t>
  </si>
  <si>
    <t>Espaciamiento entre juntas (m)</t>
  </si>
  <si>
    <t>N° de muros con junta por cuneta</t>
  </si>
  <si>
    <t>Espesor de junta (referencial, no interviene en el metrado lineal)</t>
  </si>
  <si>
    <t>1" = 0.0254 m</t>
  </si>
  <si>
    <t>EJE / DESCRIPCIÓN</t>
  </si>
  <si>
    <t>LONGITUD
EJE (m)</t>
  </si>
  <si>
    <t>ÁREA MURO
(m²)</t>
  </si>
  <si>
    <t>ALTURA
MURO (m)</t>
  </si>
  <si>
    <t>ESPACIAMIENTO
(m)</t>
  </si>
  <si>
    <t>N° DE
JUNTAS</t>
  </si>
  <si>
    <t>N° MUROS
x JUNTA</t>
  </si>
  <si>
    <t>PARCIAL
(ml)</t>
  </si>
  <si>
    <t>Descripccion</t>
  </si>
  <si>
    <t>METRADO DE TAPAS DE REGISTRO EN CUNETAS TAPADAS</t>
  </si>
  <si>
    <t>DIMENSIONES</t>
  </si>
  <si>
    <t>VOLUMEN / PARCIAL</t>
  </si>
  <si>
    <t>TAPA DE REGISTRO (DE CONCRETO)</t>
  </si>
  <si>
    <t>CONCRETO F´C=210 KG/CM2 EN TAPA DE REGISTRO</t>
  </si>
  <si>
    <t>TAPA 0.60 x 0.60 x 0.10 m</t>
  </si>
  <si>
    <t>ENCOFRADO Y DESENCOFRADO EN TAPA DE REGISTRO</t>
  </si>
  <si>
    <t>LATERALES DE TAPA</t>
  </si>
  <si>
    <t>FONDO DE MOLDE / BASE DE PREFABRICADO</t>
  </si>
  <si>
    <t>TOTAL ENCOFRADO FONDO + LATERALES</t>
  </si>
  <si>
    <t>ACERO FY=4200 KG/CM2 EN TAPA DE REGISTRO - VARILLA 3/8</t>
  </si>
  <si>
    <t>LONGITUD DE CADA BARRA</t>
  </si>
  <si>
    <t>CANTIDAD DE BARRAS POR TAPA</t>
  </si>
  <si>
    <t>Acero longitudinal 3/8 - parrilla simple</t>
  </si>
  <si>
    <t>Acero transversal 3/8 - parrilla simple</t>
  </si>
  <si>
    <t>TOTAL ACERO 3/8</t>
  </si>
  <si>
    <t>PARÁMETROS  - TAPA DE REGISTRO DE CONCRETO</t>
  </si>
  <si>
    <t>Valor</t>
  </si>
  <si>
    <t>Unidad</t>
  </si>
  <si>
    <t>Criterio</t>
  </si>
  <si>
    <t>Cantidad de tapas</t>
  </si>
  <si>
    <t>Según resumen: 10 tapas</t>
  </si>
  <si>
    <t>Largo de tapa</t>
  </si>
  <si>
    <t>Según detalle</t>
  </si>
  <si>
    <t>Ancho de tapa</t>
  </si>
  <si>
    <t>Espesor de tapa</t>
  </si>
  <si>
    <t>Recubrimiento considerado</t>
  </si>
  <si>
    <t>Editable según plano estructural</t>
  </si>
  <si>
    <t>Separación de varillas 3/8</t>
  </si>
  <si>
    <t>Parrilla simple en ambos sentidos</t>
  </si>
  <si>
    <t>Peso varilla 3/8</t>
  </si>
  <si>
    <t>kg/m</t>
  </si>
  <si>
    <t>Peso unitario usado para metrado</t>
  </si>
  <si>
    <t>Longitud varilla comercial</t>
  </si>
  <si>
    <t>Solo equivalente de longitud, sin redondeo</t>
  </si>
  <si>
    <t>PARÁMETROS - MOVIMIENTO DE TIERRAS</t>
  </si>
  <si>
    <t>Espesor de solado sumado a excavación y relleno</t>
  </si>
  <si>
    <t>Solado e=4" bajo la losa. Poner 0 si la altura ya lo incluye</t>
  </si>
  <si>
    <t>Factor de esponjamiento</t>
  </si>
  <si>
    <t>-</t>
  </si>
  <si>
    <t>Eliminación = (excavación − relleno) × factor</t>
  </si>
  <si>
    <t>LISTAS, FACTORES Y PARÁMETROS EDITABLES</t>
  </si>
  <si>
    <t>DIÁMETRO</t>
  </si>
  <si>
    <t>FACTOR kg/m</t>
  </si>
  <si>
    <t>CRITERIO DE CONTEO</t>
  </si>
  <si>
    <t>6 mm</t>
  </si>
  <si>
    <t>TEÓRICO (L/s+1)</t>
  </si>
  <si>
    <t>8 mm</t>
  </si>
  <si>
    <t>ENTERO (redondeo arriba)</t>
  </si>
  <si>
    <t>12 mm</t>
  </si>
  <si>
    <t>1/2"</t>
  </si>
  <si>
    <t>5/8"</t>
  </si>
  <si>
    <t>3/4"</t>
  </si>
  <si>
    <t>1"</t>
  </si>
  <si>
    <t>NOTA</t>
  </si>
  <si>
    <t>Los factores kg/m son editables. Si el proyecto usa otro factor, cámbialo aquí.</t>
  </si>
  <si>
    <t>La opción TEÓRICO mantiene cantidades decimales: Longitud / separación + 1.</t>
  </si>
  <si>
    <t>La opción ENTERO redondea hacia arriba antes de sumar la barra final.</t>
  </si>
  <si>
    <t>COLECTOR PLUVIAL FRONTAL - PARAMETROS DE METRADO</t>
  </si>
  <si>
    <t>Tramo Hogar de Refugio Temporal (CUI 2675514), empalme con el colector de CAR Mujeres (CUI 2717013). Valores tomados de los planos DP-01 a DP-10 y DA-01 a DA-03 y de la memoria de calculo del colector. Celda amarilla = dato; verde = formula.</t>
  </si>
  <si>
    <t>PARAMETRO</t>
  </si>
  <si>
    <t>SUSTENTO (lamina / norma / criterio)</t>
  </si>
  <si>
    <t>Ancho interior del colector b</t>
  </si>
  <si>
    <t>Lamina DP-04 (secciones); memoria de calculo, hoja DATOS</t>
  </si>
  <si>
    <t>Espesor de muros</t>
  </si>
  <si>
    <t>Lamina DP-04; memoria, hoja ESTRUCTURAL</t>
  </si>
  <si>
    <t>Espesor de losa de fondo</t>
  </si>
  <si>
    <t>Lamina DP-04</t>
  </si>
  <si>
    <t>Espesor de losa superior (tramo normal y cruce de motos)</t>
  </si>
  <si>
    <t>Lamina DP-04 (secciones A y B)</t>
  </si>
  <si>
    <t>Espesor de losa superior (cruce de camiones)</t>
  </si>
  <si>
    <t>Lamina DP-04 (seccion C); memoria, hoja ESTRUCTURAL (carga HL-93)</t>
  </si>
  <si>
    <t>Espesor de solado</t>
  </si>
  <si>
    <t>Lamina DP-04 y DA-02</t>
  </si>
  <si>
    <t>Nivel de piso terminado del frente (cara superior de la losa)</t>
  </si>
  <si>
    <t>msnm</t>
  </si>
  <si>
    <t>Lamina DP-02 (perfil) y plano de arquitectura</t>
  </si>
  <si>
    <t>Sobreancho de excavacion a cada lado del colector</t>
  </si>
  <si>
    <t>Lamina DA-01: zanja de 1.60 m (1.10 + 2 x 0.25)</t>
  </si>
  <si>
    <t>Franja de relleno de nivelacion del retiro, lado via</t>
  </si>
  <si>
    <t>Lamina DA-01, nota 2</t>
  </si>
  <si>
    <t>Recubrimiento del acero</t>
  </si>
  <si>
    <t>Norma E.060, tabla 7.7.1 (concreto en contacto con el suelo)</t>
  </si>
  <si>
    <t>Peso de la barra de 3/8"</t>
  </si>
  <si>
    <t>Igual a PARAMETROS!B10 de esta planilla</t>
  </si>
  <si>
    <t>Peso de la barra de 1/2"</t>
  </si>
  <si>
    <t>Catalogo del fabricante (0.994 kg/m)</t>
  </si>
  <si>
    <t>Traslape de barras longitudinales</t>
  </si>
  <si>
    <t>Norma E.060, 12.15 (clase B, 3/8"): 0.40 m</t>
  </si>
  <si>
    <t>Longitud comercial de barra</t>
  </si>
  <si>
    <t>Igual a PARAMETROS!B11 de esta planilla</t>
  </si>
  <si>
    <t>Ganchos de cierre del marco (2 x 0.15)</t>
  </si>
  <si>
    <t>Lamina DP-08, cuadro de doblado</t>
  </si>
  <si>
    <t>Igual a PARAMETROS!B16 de esta planilla</t>
  </si>
  <si>
    <t>Espaciamiento de marcos en tramo normal</t>
  </si>
  <si>
    <t>Lamina DP-04 (seccion A) y DP-08</t>
  </si>
  <si>
    <t>Espaciamiento de marcos en cruces (motos y camiones)</t>
  </si>
  <si>
    <t>Lamina DP-04 (secciones B y C) y DP-08</t>
  </si>
  <si>
    <t>Espaciamiento de barras longitudinales (normal y motos)</t>
  </si>
  <si>
    <t>Lamina DP-04 y DP-08</t>
  </si>
  <si>
    <t>Espaciamiento de barras longitudinales (camiones)</t>
  </si>
  <si>
    <t>Lamina DP-04 (seccion C) y DP-08</t>
  </si>
  <si>
    <t>Malla de las cajas: espaciamiento 3/8" ambas caras</t>
  </si>
  <si>
    <t>Lamina DP-07</t>
  </si>
  <si>
    <t>Factor por traslapes y ganchos de la malla</t>
  </si>
  <si>
    <t>10 % (traslape 0.40 cada 9.00 m y ganchos de esquina 0.40)</t>
  </si>
  <si>
    <t>Numero de registros de limpieza con tapa</t>
  </si>
  <si>
    <t>Lamina DP-01 (RS-01 a RS-07) + 1 en CL + 2 en CC = 10; hoja COLECTOR REGISTROS Y TAPAS</t>
  </si>
  <si>
    <t>Lado de la tapa de concreto</t>
  </si>
  <si>
    <t>Lamina DP-06B</t>
  </si>
  <si>
    <t>Espesor de la tapa</t>
  </si>
  <si>
    <t>Lado de la abertura en la losa (luz del contramarco)</t>
  </si>
  <si>
    <t>Perimetro del contramarco L 2"x2"x3/16" (4 x 0.70)</t>
  </si>
  <si>
    <t>Perimetro del marco de tapa L 1 1/2"x1 1/2"x1/8" (4 x 0.68)</t>
  </si>
  <si>
    <t>Peso del angulo L 2"x2"x3/16"</t>
  </si>
  <si>
    <t>Catalogo del fabricante</t>
  </si>
  <si>
    <t>Peso del angulo L 1 1/2"x1 1/2"x1/8"</t>
  </si>
  <si>
    <t>Desarrollo pintado del angulo 2"x2" (4 caras)</t>
  </si>
  <si>
    <t>m2/m</t>
  </si>
  <si>
    <t>4 x 0.0508 m</t>
  </si>
  <si>
    <t>Desarrollo pintado del angulo 1 1/2"x1 1/2" (4 caras)</t>
  </si>
  <si>
    <t>4 x 0.0381 m</t>
  </si>
  <si>
    <t>Borde engrosado de la abertura: perimetro medio</t>
  </si>
  <si>
    <t>Lamina DP-06B (4 x 0.75)</t>
  </si>
  <si>
    <t>Borde engrosado: seccion (0.15 x 0.10)</t>
  </si>
  <si>
    <t>Caja de llegada CL: largo interior</t>
  </si>
  <si>
    <t>Caja de llegada CL: ancho interior</t>
  </si>
  <si>
    <t>Caja de llegada CL: profundidad de la poza bajo el fondo del colector</t>
  </si>
  <si>
    <t>Cota de fondo del colector en el arranque (0+000)</t>
  </si>
  <si>
    <t>Lamina DP-02; memoria, hoja PERFIL_FLUJO</t>
  </si>
  <si>
    <t>Caja de llegada CL: ancho de la ventana de llegada del colector CAR Varones (muro este)</t>
  </si>
  <si>
    <t>Lamina DP-07 (corte); expediente del CAR Varones (CUI 2705619): colector b = 0.60</t>
  </si>
  <si>
    <t>Cota de fondo de llegada del colector CAR Varones (alfeizar de la ventana este)</t>
  </si>
  <si>
    <t>Expediente del CAR Varones: 260.20 - 0.3 % x 105.29 m; lamina DP-07</t>
  </si>
  <si>
    <t>Caja de llegada CL: cota de la tapa (piso terminado del CAR Varones)</t>
  </si>
  <si>
    <t>La CL queda del lado del CAR Varones (x = 349162.00 a 349163.80), cuyo piso es +261.15; lamina DP-07</t>
  </si>
  <si>
    <t>Ventana en el muro norte de la CL para la cuneta Eje 01 del CAR Varones: ancho</t>
  </si>
  <si>
    <t>Lamina DP-07; expediente del CAR Varones</t>
  </si>
  <si>
    <t>Ventana de la cuneta Eje 01 del CAR Varones: cota de fondo (NCF)</t>
  </si>
  <si>
    <t>Caja de caida CC: largo interior de la poza</t>
  </si>
  <si>
    <t>Caja de caida CC: ancho interior</t>
  </si>
  <si>
    <t>Caja de caida CC: profundidad de la poza bajo el fondo del receptor R-01</t>
  </si>
  <si>
    <t>Cota de fondo del receptor R-01 (CAR Mujeres, CUI 2717013)</t>
  </si>
  <si>
    <t>Memoria del colector CAR Mujeres</t>
  </si>
  <si>
    <t>Nivel de agua en el receptor R-01</t>
  </si>
  <si>
    <t>Cota de fondo del colector en la caida (0+069.89)</t>
  </si>
  <si>
    <t>Caja de caida CC: ancho de la ventana de salida al receptor</t>
  </si>
  <si>
    <t>Lamina DP-07 (corte)</t>
  </si>
  <si>
    <t>Umbral de la caja de caida: ancho</t>
  </si>
  <si>
    <t>Umbral de la caja de caida: alto</t>
  </si>
  <si>
    <t>Espaciamiento de juntas de dilatacion</t>
  </si>
  <si>
    <t>Lamina DP-01, nota 5; DP-03</t>
  </si>
  <si>
    <t>Altura interior maxima del colector (para el perimetro de la junta)</t>
  </si>
  <si>
    <t>Lamina DP-02 (perfil)</t>
  </si>
  <si>
    <t>Progresiva de la caida al receptor (fin del colector)</t>
  </si>
  <si>
    <t>Lamina DP-01</t>
  </si>
  <si>
    <t>Progresiva del primer quiebre (fin del tramo pegado al cerco)</t>
  </si>
  <si>
    <t>COLECTOR PLUVIAL FRONTAL - METRADO DE MOVIMIENTO DE TIERRAS</t>
  </si>
  <si>
    <t>Criterio (lamina DA-01): LIMPIEZA Y TRAZO = ancho de zanja x L.  EXCAVACION = ancho de zanja x Hz x L, con Hz = terreno existente (topografia) - fondo del solado.  REFINE = (ancho exterior + 0.10) x L (fondo del solado).  RELLENO LATERAL = 2 x sobreancho x Hz x L.  RELLENO FRANJA = 1.00 x (NPT - terreno) x L (nivelacion del retiro lado via).  h y Hz son valores medios ponderados del tramo (perfil DP-02 y topografia); el detalle cada 2.00 m esta en la memoria de calculo.</t>
  </si>
  <si>
    <t>ZONA</t>
  </si>
  <si>
    <t>PROG. INICIO</t>
  </si>
  <si>
    <t>PROG. FIN</t>
  </si>
  <si>
    <t>ALTURA INTERIOR h (m)</t>
  </si>
  <si>
    <t>e LOSA SUP. (m)</t>
  </si>
  <si>
    <t>ANCHO EXT. b + 2e (m)</t>
  </si>
  <si>
    <t>ANCHO DE ZANJA (m)</t>
  </si>
  <si>
    <t>Hz: TERRENO - FONDO DE SOLADO (m)</t>
  </si>
  <si>
    <t>NPT - TERRENO (m)</t>
  </si>
  <si>
    <t>LIMPIEZA Y TRAZO (m2)</t>
  </si>
  <si>
    <t>EXCAVACION (m3)</t>
  </si>
  <si>
    <t>REFINE Y NIVELACION (m2)</t>
  </si>
  <si>
    <t>RELLENO LATERAL DE ZANJA (m3)</t>
  </si>
  <si>
    <t>RELLENO FRANJA DE NIVELACION (m3)</t>
  </si>
  <si>
    <t>SUSTENTO</t>
  </si>
  <si>
    <t>tramo normal</t>
  </si>
  <si>
    <t>0+000.00</t>
  </si>
  <si>
    <t>0+026.32</t>
  </si>
  <si>
    <t>DP-01 (planta), DP-02 (perfil: fondo y terreno), DP-04 (seccion), DA-01 (criterio)</t>
  </si>
  <si>
    <t>cruce de camiones</t>
  </si>
  <si>
    <t>CAMION</t>
  </si>
  <si>
    <t>0+031.33</t>
  </si>
  <si>
    <t>0+039.04</t>
  </si>
  <si>
    <t>cruce de motos</t>
  </si>
  <si>
    <t>MOTOS</t>
  </si>
  <si>
    <t>0+041.04</t>
  </si>
  <si>
    <t>0+058.81</t>
  </si>
  <si>
    <t>tramo diagonal (quiebres)</t>
  </si>
  <si>
    <t>0+066.89</t>
  </si>
  <si>
    <t>tramo recto final</t>
  </si>
  <si>
    <t>0+069.89</t>
  </si>
  <si>
    <t>TOTAL COLECTOR (tramos)</t>
  </si>
  <si>
    <t>CAJAS DE LLEGADA (CL) Y DE CAIDA (CC) - lamina DP-07. Excavacion en planta = (largo int. + 2e + 2 x sobreancho) x (ancho int. + 2e + 2 x sobreancho); Hz = terreno - fondo del solado. Relleno = excavacion - volumen exterior de la caja (hasta el terreno).</t>
  </si>
  <si>
    <t>CAJA</t>
  </si>
  <si>
    <t>PROG.</t>
  </si>
  <si>
    <t>LARGO INT. (m)</t>
  </si>
  <si>
    <t>ANCHO INT. (m)</t>
  </si>
  <si>
    <t>ALTURA INT. H (m)</t>
  </si>
  <si>
    <t>COTA DE PISO (msnm)</t>
  </si>
  <si>
    <t>TERRENO (msnm)</t>
  </si>
  <si>
    <t>LARGO EXC. (m)</t>
  </si>
  <si>
    <t>ANCHO EXC. (m)</t>
  </si>
  <si>
    <t>Hz (m)</t>
  </si>
  <si>
    <t>VOL. EXTERIOR CAJA (m3)</t>
  </si>
  <si>
    <t>RELLENO LATERAL (m3)</t>
  </si>
  <si>
    <t>RELLENO FRANJA (m3)</t>
  </si>
  <si>
    <t>DP-07 (planta y cortes de la caja), DP-02 (cotas), DA-01</t>
  </si>
  <si>
    <t>TOTAL CAJAS</t>
  </si>
  <si>
    <t>RESUMEN PARA LA PLANILLA GENERAL (partidas 01.04.04.01 y 01.04.04.02)</t>
  </si>
  <si>
    <t>LIMPIEZA MANUAL DE TERRENO / TRAZO Y REPLANTEO</t>
  </si>
  <si>
    <t>EXCAVACION MANUAL DE ZANJAS</t>
  </si>
  <si>
    <t>REFINE, NIVELACION Y COMPACTACION</t>
  </si>
  <si>
    <t>RELLENO COMPACTADO (lateral + franja + cajas)</t>
  </si>
  <si>
    <t>ELIMINACION DE MATERIAL EXCEDENTE = (excavacion - relleno) x esponjamiento</t>
  </si>
  <si>
    <t>Nota: las prolongaciones de las cunetas de los Ejes 11 y 12 (1.88 y 5.39 m hasta el muro del colector) no forman parte de esta partida; se metran dentro de las partidas de cunetas del proyecto.</t>
  </si>
  <si>
    <t>COLECTOR PLUVIAL FRONTAL - METRADO DE CONCRETO SIMPLE Y ARMADO</t>
  </si>
  <si>
    <t>Criterio (lamina DA-02): SOLADO = (ancho exterior + 0.10) x L.  LOSA DE FONDO = ancho exterior x e fondo x L.  MUROS = 2 x e muro x h x L.  LOSA SUPERIOR = ancho exterior x e losa x L.  ACABADO = ancho exterior x L (losa superior frotachada y brunada).  CURADO = 2 caras interiores de muros (2 x h x L) + fondo interior (b x L) + losa superior (ancho exterior x L), igual al criterio de la hoja METRADO DE CURADO.</t>
  </si>
  <si>
    <t>ANCHO EXT. (m)</t>
  </si>
  <si>
    <t>SOLADO f'c=100 (m2)</t>
  </si>
  <si>
    <t>LOSA DE FONDO (m3)</t>
  </si>
  <si>
    <t>MUROS (m3)</t>
  </si>
  <si>
    <t>LOSA SUPERIOR (m3)</t>
  </si>
  <si>
    <t>ACABADO DE LOSA SUP. (m2)</t>
  </si>
  <si>
    <t>CURADO (m2)</t>
  </si>
  <si>
    <t>DP-04 (secciones A, B, C), DP-02 (h por tramo), DA-02 (areas por metro)</t>
  </si>
  <si>
    <t>CAJAS CL Y CC POR ELEMENTO - lamina DP-07 (dimensiones interiores de la hoja COLECTOR MOV. TIERRAS; e muro = e fondo = 0.15; losa superior e = 0.10)</t>
  </si>
  <si>
    <t>CAJA / ELEMENTO</t>
  </si>
  <si>
    <t>DETALLE</t>
  </si>
  <si>
    <t>LARGO (m)</t>
  </si>
  <si>
    <t>ANCHO (m)</t>
  </si>
  <si>
    <t>ALTO / ESPESOR (m)</t>
  </si>
  <si>
    <t>SOLADO (m2)</t>
  </si>
  <si>
    <t>ACABADO (m2)</t>
  </si>
  <si>
    <t>Caja de llegada CL: solado</t>
  </si>
  <si>
    <t>fondo + 0.05/lado</t>
  </si>
  <si>
    <t>DP-07: solado f'c=100 e=0.05 bajo la losa de fondo</t>
  </si>
  <si>
    <t>Caja de llegada CL: losa de fondo</t>
  </si>
  <si>
    <t>exterior x e</t>
  </si>
  <si>
    <t>DP-07: losa de fondo e=0.15 (ancho exterior)</t>
  </si>
  <si>
    <t>Caja de llegada CL: muros largos</t>
  </si>
  <si>
    <t>exterior x e x H</t>
  </si>
  <si>
    <t>DP-07: dos muros largos de e=0.15, altura interior H</t>
  </si>
  <si>
    <t>Caja de llegada CL: muros cortos</t>
  </si>
  <si>
    <t>interior x e x H</t>
  </si>
  <si>
    <t>DP-07: dos muros de cierre de e=0.15</t>
  </si>
  <si>
    <t>Caja de llegada CL: descuento ventana de salida al colector</t>
  </si>
  <si>
    <t>ancho x alto x e</t>
  </si>
  <si>
    <t>DP-07 (corte): salida al colector (muro oeste), 0.80 x 1.40 hasta la losa del colector</t>
  </si>
  <si>
    <t>Caja de llegada CL: descuento ventana de llegada del CAR Varones</t>
  </si>
  <si>
    <t>DP-07 (corte): ventana del colector del CAR Varones en el muro este, 0.60 x 1.17 hasta el techo de la CL</t>
  </si>
  <si>
    <t>Caja de llegada CL: descuento ventana cuneta Eje 01 (CAR Varones)</t>
  </si>
  <si>
    <t>DP-07 (planta y corte): ventana 0.40 x 0.66 en el muro norte</t>
  </si>
  <si>
    <t>Caja de llegada CL: murete del escalon de la poza</t>
  </si>
  <si>
    <t>ancho x e x desnivel</t>
  </si>
  <si>
    <t>DP-07 (corte): murete e=0.15 entre el fondo del colector y el piso de la poza</t>
  </si>
  <si>
    <t>Caja de llegada CL: losa superior</t>
  </si>
  <si>
    <t>DP-07: losa superior e=0.10 a nivel del piso terminado (CL en +261.15, CC en +260.60)</t>
  </si>
  <si>
    <t>Caja de llegada CL: descuento aberturas de registro</t>
  </si>
  <si>
    <t>0.70 x 0.70 x e</t>
  </si>
  <si>
    <t>DP-06B: 1 abertura(s) de registro en la losa</t>
  </si>
  <si>
    <t>Caja de llegada CL: acabado de losa superior</t>
  </si>
  <si>
    <t>exterior</t>
  </si>
  <si>
    <t>DP-07: losa superior frotachada y brunada</t>
  </si>
  <si>
    <t>Caja de llegada CL: curado</t>
  </si>
  <si>
    <t>caras int. + fondo + losa</t>
  </si>
  <si>
    <t>Caras interiores de muros (perimetro x H) + fondo interior + losa superior</t>
  </si>
  <si>
    <t>Caja de caida CC: solado</t>
  </si>
  <si>
    <t>Caja de caida CC: losa de fondo</t>
  </si>
  <si>
    <t>Caja de caida CC: umbral de la poza</t>
  </si>
  <si>
    <t>0.25 x 0.40</t>
  </si>
  <si>
    <t>DP-07: umbral 0.25 x 0.40 en el fondo, borde de la poza</t>
  </si>
  <si>
    <t>Caja de caida CC: muros largos</t>
  </si>
  <si>
    <t>Caja de caida CC: muros cortos</t>
  </si>
  <si>
    <t>DP-07: muro(s) de cierre; en CC el lado de llegada lo cierra el colector</t>
  </si>
  <si>
    <t>Caja de caida CC: descuento ventana de salida</t>
  </si>
  <si>
    <t>DP-07 (corte): ventana de salida al receptor R-01 (0.50 m sobre el nivel de agua)</t>
  </si>
  <si>
    <t>Caja de caida CC: murete del escalon de la poza</t>
  </si>
  <si>
    <t>Caja de caida CC: losa superior</t>
  </si>
  <si>
    <t>Caja de caida CC: descuento aberturas de registro</t>
  </si>
  <si>
    <t>DP-06B: 2 abertura(s) de registro en la losa</t>
  </si>
  <si>
    <t>Caja de caida CC: acabado de losa superior</t>
  </si>
  <si>
    <t>Caja de caida CC: curado</t>
  </si>
  <si>
    <t>REGISTROS DE LIMPIEZA EN LA LOSA DEL COLECTOR - lamina DP-06B (borde engrosado 0.15 x 0.10 alrededor de la abertura; descuento de la abertura 0.70 x 0.70 en la losa superior)</t>
  </si>
  <si>
    <t>Registros: borde engrosado de la abertura</t>
  </si>
  <si>
    <t>perimetro x seccion</t>
  </si>
  <si>
    <t>DP-06B: borde engrosado en los 10 registros (7 en la losa del colector, 1 en CL y 2 en CC)</t>
  </si>
  <si>
    <t>Registros RS-01 a RS-07: descuento de la abertura en la losa superior</t>
  </si>
  <si>
    <t>DP-06B</t>
  </si>
  <si>
    <t>TOTAL CAJAS Y REGISTROS</t>
  </si>
  <si>
    <t>RESUMEN PARA LA PLANILLA GENERAL (partidas 01.04.04.03 y 01.04.04.04)</t>
  </si>
  <si>
    <t>CONCRETO f'c=100 PARA SOLADO e=0.05</t>
  </si>
  <si>
    <t>CONCRETO f'c=210 EN LOSA DE FONDO</t>
  </si>
  <si>
    <t>CONCRETO f'c=210 EN MUROS</t>
  </si>
  <si>
    <t>CONCRETO f'c=210 EN LOSA SUPERIOR</t>
  </si>
  <si>
    <t>CURADO DE CONCRETO</t>
  </si>
  <si>
    <t>COLECTOR PLUVIAL FRONTAL - METRADO DE ENCOFRADO Y DESENCOFRADO</t>
  </si>
  <si>
    <t>Criterio (lamina DA-02): se encofran las dos caras interiores de los muros, las dos caras exteriores en toda la altura del cajon (losa de fondo + muro + losa superior) y el fondo de la losa superior (ancho interior b). La losa de fondo se vacia sobre el solado y la cara superior de la losa queda libre (acabado).</t>
  </si>
  <si>
    <t>ANCHO INT. b (m)</t>
  </si>
  <si>
    <t>CARAS INTERIORES DE MUROS 2 x h x L (m2)</t>
  </si>
  <si>
    <t>CARAS EXTERIORES 2 x (e fondo + h + e losa) x L (m2)</t>
  </si>
  <si>
    <t>FONDO DE LOSA SUPERIOR b x L (m2)</t>
  </si>
  <si>
    <t>TOTAL ENCOFRADO (m2)</t>
  </si>
  <si>
    <t>DP-04 (secciones), DA-02 (areas por metro)</t>
  </si>
  <si>
    <t>CAJAS CL Y CC - lamina DP-07: caras interiores y exteriores de muros (perimetro x H, dos caras), fondo de la losa superior (interior) y, en CC, caras del umbral y del murete de la poza</t>
  </si>
  <si>
    <t>ALTO (m)</t>
  </si>
  <si>
    <t>CARAS</t>
  </si>
  <si>
    <t>AREA (m2)</t>
  </si>
  <si>
    <t>Caja de llegada CL: muros, cara interior y exterior</t>
  </si>
  <si>
    <t>perimetro int. x H</t>
  </si>
  <si>
    <t>DP-07: muros e=0.15 encofrados por ambas caras</t>
  </si>
  <si>
    <t>Caja de llegada CL: fondo de la losa superior</t>
  </si>
  <si>
    <t>interior</t>
  </si>
  <si>
    <t>DP-07: losa superior e=0.10 encofrada por debajo</t>
  </si>
  <si>
    <t>Caja de llegada CL: cara del murete de la poza</t>
  </si>
  <si>
    <t>ancho x desnivel</t>
  </si>
  <si>
    <t>DP-07 (corte): murete entre el fondo del colector y el piso de la poza</t>
  </si>
  <si>
    <t>Caja de caida CC: muros, cara interior y exterior</t>
  </si>
  <si>
    <t>Caja de caida CC: fondo de la losa superior</t>
  </si>
  <si>
    <t>Caja de caida CC: caras del umbral de la poza</t>
  </si>
  <si>
    <t>2 caras x ancho</t>
  </si>
  <si>
    <t>DP-07: umbral 0.25 x 0.40</t>
  </si>
  <si>
    <t>Caja de caida CC: cara del murete de la poza</t>
  </si>
  <si>
    <t>RESUMEN PARA LA PLANILLA GENERAL (partida 01.04.04.04.04)</t>
  </si>
  <si>
    <t>COLECTOR PLUVIAL FRONTAL - METRADO DE ACERO DE REFUERZO fy=4200 kg/cm2</t>
  </si>
  <si>
    <t>Criterio (laminas DP-04 y DP-08, norma E.060 14.3.4): tramo normal y cruce de motos llevan un solo marco cerrado en el eje de muros y losas (perimetro = 2 x (ancho ext. - e) + 2 x (e fondo/2 + h + e losa/2) + ganchos); el cruce de camiones lleva marco exterior + marco interior de 1/2" (perimetros con recubrimiento 0.04). Barras longitudinales 3/8" en cada marco, con traslape de 0.40 cada 9.00 m. Peso: 3/8" = 0.56 kg/m, 1/2" = 0.994 kg/m.</t>
  </si>
  <si>
    <t>ESPAC. MARCOS s (m)</t>
  </si>
  <si>
    <t>CAPAS (1 = marco unico; 2 = ext. + int.)</t>
  </si>
  <si>
    <t>DIAM. MARCOS</t>
  </si>
  <si>
    <t>N° DE JUEGOS (L / s, redondeado arriba)</t>
  </si>
  <si>
    <t>PERIMETRO MARCO 1 (m)</t>
  </si>
  <si>
    <t>PERIMETRO MARCO 2 (m)</t>
  </si>
  <si>
    <t>LONGITUD DE MARCOS (m)</t>
  </si>
  <si>
    <t>PESO (kg/m)</t>
  </si>
  <si>
    <t>ACERO EN MARCOS (kg)</t>
  </si>
  <si>
    <t>ESPAC. LONGIT. (m)</t>
  </si>
  <si>
    <t>N° BARRAS LONGIT. (perimetro / espac.)</t>
  </si>
  <si>
    <t>LONGITUD LONGIT. CON TRASLAPE (m)</t>
  </si>
  <si>
    <t>ACERO LONGIT. 3/8" (kg)</t>
  </si>
  <si>
    <t>TOTAL (kg)</t>
  </si>
  <si>
    <t>DP-04 (seccion A), DP-08 (cuadro de doblado), DA-03</t>
  </si>
  <si>
    <t>DP-04 (seccion C), DP-08 (cuadro de doblado), DA-03</t>
  </si>
  <si>
    <t>DP-04 (seccion B), DP-08 (cuadro de doblado), DA-03</t>
  </si>
  <si>
    <t>CAJAS CL Y CC - lamina DP-07: malla 3/8" @0.20 en ambas caras de losas y muros. Por paño: barras = (L1 / s + 1) x L2 + (L2 / s + 1) x L1, por el numero de caras y el factor de traslapes y ganchos</t>
  </si>
  <si>
    <t>CAJA / PAÑO</t>
  </si>
  <si>
    <t>L1 (m)</t>
  </si>
  <si>
    <t>L2 (m)</t>
  </si>
  <si>
    <t>ESPAC. s (m)</t>
  </si>
  <si>
    <t>PAÑOS IGUALES</t>
  </si>
  <si>
    <t>BARRAS (m)</t>
  </si>
  <si>
    <t>FACTOR TRASLAPE</t>
  </si>
  <si>
    <t>ACERO (kg)</t>
  </si>
  <si>
    <t>DP-07: malla 3/8" @0.20 ambas caras</t>
  </si>
  <si>
    <t>exterior x H</t>
  </si>
  <si>
    <t>DP-07: dos muros largos, malla ambas caras</t>
  </si>
  <si>
    <t>interior x H</t>
  </si>
  <si>
    <t>DP-07: muro(s) de cierre, malla ambas caras</t>
  </si>
  <si>
    <t>REGISTROS DE LIMPIEZA Y TAPAS - lamina DP-06B: refuerzo de borde de la abertura, parrilla de la tapa, asas y anclajes del contramarco (cantidad de registros de la hoja COLECTOR REGISTROS Y TAPAS)</t>
  </si>
  <si>
    <t>ELEMENTO</t>
  </si>
  <si>
    <t>DIAM.</t>
  </si>
  <si>
    <t>FORMA</t>
  </si>
  <si>
    <t>PIEZAS POR REGISTRO</t>
  </si>
  <si>
    <t>REGISTROS</t>
  </si>
  <si>
    <t>LONG. POR PIEZA (m)</t>
  </si>
  <si>
    <t>LONG. TOTAL (m)</t>
  </si>
  <si>
    <t>Refuerzo de borde de la abertura</t>
  </si>
  <si>
    <t>recta</t>
  </si>
  <si>
    <t>DP-06B: 2 barras de 1/2" por lado, L = 1.40</t>
  </si>
  <si>
    <t>Parrilla de la tapa de concreto</t>
  </si>
  <si>
    <t>DP-06B: 7 + 7 barras 3/8" @0.10</t>
  </si>
  <si>
    <t>Asas de la tapa</t>
  </si>
  <si>
    <t>3/8" liso</t>
  </si>
  <si>
    <t>U</t>
  </si>
  <si>
    <t>DP-06B: 2 asas de 0.40 desarrollado</t>
  </si>
  <si>
    <t>Anclajes del contramarco</t>
  </si>
  <si>
    <t>L</t>
  </si>
  <si>
    <t>DP-06B: 8 anclajes de 0.20 soldados al angulo</t>
  </si>
  <si>
    <t>TOTAL REGISTROS Y TAPAS</t>
  </si>
  <si>
    <t>RESUMEN PARA LA PLANILLA GENERAL (partidas 01.04.04.04.05 y 01.04.04.05.06)</t>
  </si>
  <si>
    <t>ACERO DE REFUERZO EN COLECTOR Y CAJAS</t>
  </si>
  <si>
    <t>ACERO DE REFUERZO EN TAPAS, BORDES Y ANCLAJES</t>
  </si>
  <si>
    <t>COLECTOR PLUVIAL FRONTAL - REGISTROS DE LIMPIEZA Y TAPAS</t>
  </si>
  <si>
    <t>Lamina DP-01 (ubicacion) y DP-06B (detalle): contramarco L 2"x2"x3/16" anclado a la losa, marco L 1 1/2"x1 1/2"x1/8" soldado a la tapa, tapa de concreto armado 0.68 x 0.68 x 0.08 con parrilla 3/8" @0.10 y asas; borde engrosado 0.15 x 0.10 alrededor de la abertura de 0.70 x 0.70.</t>
  </si>
  <si>
    <t>REGISTRO</t>
  </si>
  <si>
    <t>PROGRESIVA</t>
  </si>
  <si>
    <t>UBICACION</t>
  </si>
  <si>
    <t>TAPA 0.68 x 0.68 (und)</t>
  </si>
  <si>
    <t>CL</t>
  </si>
  <si>
    <t>Caja de llegada (empalme con CAR Varones y cuneta Eje 01)</t>
  </si>
  <si>
    <t>DP-07</t>
  </si>
  <si>
    <t>RS-01</t>
  </si>
  <si>
    <t>0+011.27</t>
  </si>
  <si>
    <t>Registro en la losa del colector; empalme cuneta</t>
  </si>
  <si>
    <t>DP-01, DP-06B</t>
  </si>
  <si>
    <t>RS-02</t>
  </si>
  <si>
    <t>0+022.00</t>
  </si>
  <si>
    <t>Registro en la losa del colector; limpieza / quiebre</t>
  </si>
  <si>
    <t>RS-03</t>
  </si>
  <si>
    <t>0+032.50</t>
  </si>
  <si>
    <t>RS-04</t>
  </si>
  <si>
    <t>0+042.68</t>
  </si>
  <si>
    <t>RS-05</t>
  </si>
  <si>
    <t>0+052.00</t>
  </si>
  <si>
    <t>RS-06</t>
  </si>
  <si>
    <t>RS-07</t>
  </si>
  <si>
    <t>CC (2)</t>
  </si>
  <si>
    <t>Caja de caida: dos registros sobre la poza</t>
  </si>
  <si>
    <t>TOTAL DE REGISTROS CON TAPA</t>
  </si>
  <si>
    <t>METRADO DE LAS PARTIDAS DE REGISTROS (cantidad = total de registros; dimensiones de la hoja COLECTOR PARAMETROS)</t>
  </si>
  <si>
    <t>PARTIDA</t>
  </si>
  <si>
    <t>CALCULO</t>
  </si>
  <si>
    <t>1 por registro</t>
  </si>
  <si>
    <t>1 por tapa</t>
  </si>
  <si>
    <t>ANGULOS METALICOS P/MARCO Y CONTRAMARCO</t>
  </si>
  <si>
    <t>registros x (2.80 x 3.63 + 2.72 x 1.83)</t>
  </si>
  <si>
    <t>DP-06B; pesos de catalogo</t>
  </si>
  <si>
    <t>TAPA DE CONCRETO ARMADO 0.68 x 0.68 x 0.08</t>
  </si>
  <si>
    <t>CONCRETO f'c=210 EN TAPAS</t>
  </si>
  <si>
    <t>registros x 0.68 x 0.68 x 0.08</t>
  </si>
  <si>
    <t>registros x (2.80 x 0.203 + 2.72 x 0.152)</t>
  </si>
  <si>
    <t>4 caras de cada angulo</t>
  </si>
  <si>
    <t>COLECTOR PLUVIAL FRONTAL - JUNTAS Y EMPALMES DE CUNETAS</t>
  </si>
  <si>
    <t>Lamina DP-01 (nota 5), DP-03 y DP-06C. Junta de dilatacion de 1" cada 4.00 m en todo el perimetro de la seccion (tecnopor + sellador elastomerico). Junta de tecnopor de 1" entre el colector y el cimiento del cerco, y entre el borde de la losa y el piso adyacente. Empalme de cada cuneta por ventana en el muro lado predio con caida libre al fondo (sin dintel adicional).</t>
  </si>
  <si>
    <t>PROGRESIVA / DETALLE</t>
  </si>
  <si>
    <t>PARCIAL (m)</t>
  </si>
  <si>
    <t>JUNTA DE DILATACION e=1" CON TECNOPOR Y SELLADOR ELASTOMERICO (perimetro = 2 x ancho exterior + 2 x (e fondo + h max + e losa))</t>
  </si>
  <si>
    <t>Juntas de dilatacion cada 4.00 m entre 0+004.00 y 0+068.00</t>
  </si>
  <si>
    <t>DP-01 nota 5; DP-03 (juntas en el perfil); perimetro de la seccion</t>
  </si>
  <si>
    <t>TOTAL JUNTA DE DILATACION (m)</t>
  </si>
  <si>
    <t>JUNTA DE TECNOPOR e=1" ENTRE COLECTOR, CERCO Y PISO ADYACENTE</t>
  </si>
  <si>
    <t>Contra el cimiento del cerco (tramo pegado al cerco, 0+000 a primer quiebre)</t>
  </si>
  <si>
    <t>DP-01, DP-04 (junta entre muro y cimiento del cerco)</t>
  </si>
  <si>
    <t>Borde de la losa con el piso adyacente: colector (ambos lados)</t>
  </si>
  <si>
    <t>DP-04: junta de tecnopor en el borde de la losa superior</t>
  </si>
  <si>
    <t>Borde de la losa con el piso adyacente: caja CL (ambos lados)</t>
  </si>
  <si>
    <t>2 x (largo exterior + 0.30)</t>
  </si>
  <si>
    <t>Borde de la losa con el piso adyacente: caja CC (ambos lados)</t>
  </si>
  <si>
    <t>TOTAL JUNTA DE TECNOPOR (m)</t>
  </si>
  <si>
    <t>EMPALME DE CUNETA AL COLECTOR (ventana 0.40 x H en el muro lado predio, caida libre y registro encima) - lamina DP-06C</t>
  </si>
  <si>
    <t>Cuneta Eje 01 (perimetral este), perfil 01</t>
  </si>
  <si>
    <t>0+001.07</t>
  </si>
  <si>
    <t>DP-06C (cuadro de empalmes); DP-01</t>
  </si>
  <si>
    <t>Cuneta Eje 02 (estacionamiento), perfil 02</t>
  </si>
  <si>
    <t>Cuneta Eje 06 (ingreso vehicular), perfil 06</t>
  </si>
  <si>
    <t>Cuneta Eje 07, perfil 07</t>
  </si>
  <si>
    <t>Cuneta Eje 11, perfil 11</t>
  </si>
  <si>
    <t>0+060.89</t>
  </si>
  <si>
    <t>Cuneta Eje 12 (perimetral oeste), perfil 12</t>
  </si>
  <si>
    <t>0+069.56</t>
  </si>
  <si>
    <t>TOTAL EMPALMES (und)</t>
  </si>
  <si>
    <t>Nota: las cunetas de los Ejes 11 y 12 terminan antes del cerco y se prolongan 1.88 y 5.39 m hasta el muro del colector con su misma seccion (DP-06C). Esa prolongacion se metra en las partidas de cunetas del proyecto; aqui solo se cuenta la ventana de empalme.</t>
  </si>
  <si>
    <t>COLECTOR PLUVIAL FRONTAL - DESGLOSE DE INSUMOS POR PARTIDA</t>
  </si>
  <si>
    <t>Rendimientos unitarios referenciales (celdas amarillas, editar segun el analisis de costos unitarios adoptado). El metrado se toma de la PLANILLA GENERAL DE METRADOS.</t>
  </si>
  <si>
    <t>METRADO</t>
  </si>
  <si>
    <t>INSUMO</t>
  </si>
  <si>
    <t>UND INSUMO</t>
  </si>
  <si>
    <t>CANTIDAD POR UND DE PARTIDA</t>
  </si>
  <si>
    <t>CANTIDAD TOTAL</t>
  </si>
  <si>
    <t>01.04.04.04.01 CONCRETO f'c=210 - losa de fondo</t>
  </si>
  <si>
    <t>Cemento Portland tipo I</t>
  </si>
  <si>
    <t>bol</t>
  </si>
  <si>
    <t>Arena gruesa</t>
  </si>
  <si>
    <t>Piedra chancada 1/2"</t>
  </si>
  <si>
    <t>Agua</t>
  </si>
  <si>
    <t>Mezcladora 9-11 p3</t>
  </si>
  <si>
    <t>hm</t>
  </si>
  <si>
    <t>Vibrador de concreto</t>
  </si>
  <si>
    <t>Operario</t>
  </si>
  <si>
    <t>hh</t>
  </si>
  <si>
    <t>Oficial</t>
  </si>
  <si>
    <t>Peon</t>
  </si>
  <si>
    <t>01.04.04.04.02 CONCRETO f'c=210 - muros</t>
  </si>
  <si>
    <t>01.04.04.04.03 CONCRETO f'c=210 - losa superior</t>
  </si>
  <si>
    <t>01.04.04.04.04 ENCOFRADO Y DESENCOFRADO</t>
  </si>
  <si>
    <t>Madera tornillo</t>
  </si>
  <si>
    <t>p2</t>
  </si>
  <si>
    <t>Clavos 3"</t>
  </si>
  <si>
    <t>Alambre negro N 8</t>
  </si>
  <si>
    <t>01.04.04.04.05 ACERO DE REFUERZO fy=4200</t>
  </si>
  <si>
    <t>Acero corrugado fy=4200 (incluye 5 % desperdicio)</t>
  </si>
  <si>
    <t>Alambre negro N 16</t>
  </si>
  <si>
    <t>01.04.04.03.01 SOLADO f'c=100 e=0.05</t>
  </si>
  <si>
    <t>Hormigon</t>
  </si>
  <si>
    <t>01.04.04.02.01 EXCAVACION MANUAL DE ZANJAS</t>
  </si>
  <si>
    <t>Herramientas manuales</t>
  </si>
  <si>
    <t>%mo</t>
  </si>
  <si>
    <t>01.04.04.02.03 RELLENO COMPACTADO CON MATERIAL PROPIO</t>
  </si>
  <si>
    <t>Compactador vibratorio tipo plancha</t>
  </si>
  <si>
    <t>01.04.04.02.04 ELIMINACION DE MATERIAL EXCEDENTE</t>
  </si>
  <si>
    <t>Volquete 6 m3</t>
  </si>
  <si>
    <t>Cargador frontal</t>
  </si>
  <si>
    <t>01.04.04.05.03 ANGULOS METALICOS (marco y contramarco)</t>
  </si>
  <si>
    <t>Angulo de acero (incluye corte y soldadura)</t>
  </si>
  <si>
    <t>Soldadura cellocord</t>
  </si>
  <si>
    <t>01.04.04.05.07 PINTURA ANTICORROSIVA Y ESMALTE</t>
  </si>
  <si>
    <t>Pintura anticorrosiva</t>
  </si>
  <si>
    <t>gal</t>
  </si>
  <si>
    <t>Esmalte sintetico</t>
  </si>
  <si>
    <t>Lija y thinner</t>
  </si>
  <si>
    <t>glb</t>
  </si>
  <si>
    <t>01.04.04.06.01 JUNTA DE DILATACION e=1" CON SELLADOR</t>
  </si>
  <si>
    <t>Tecnopor 1"</t>
  </si>
  <si>
    <t>Sello elastomerico de poliuretano</t>
  </si>
  <si>
    <t>01.04.04.06.02 JUNTA DE TECNOPOR e=1"</t>
  </si>
  <si>
    <t>JUNTAS</t>
  </si>
  <si>
    <t xml:space="preserve">JUNTAS </t>
  </si>
  <si>
    <t xml:space="preserve">ACABADO FROTACHADO DE LOSA SUPERIOR (VEREDA)</t>
  </si>
  <si>
    <t xml:space="preserve">RELLENO COMPACTADO C/MATERIAL PROPIO SELECCIONADO</t>
  </si>
  <si>
    <t xml:space="preserve">ELIMINACIÓN DE MATERIAL EXCEDENTE D&lt;1Km</t>
  </si>
  <si>
    <t xml:space="preserve">CONCRETO f'c=175 kg/cm2 PARA CUNETAS</t>
  </si>
  <si>
    <t xml:space="preserve">ENCOFRADO Y DESENCOFRADO DE CUNETAS</t>
  </si>
  <si>
    <t xml:space="preserve">TUBERIA DESAGÜE PVC-CP Ø4"</t>
  </si>
  <si>
    <t xml:space="preserve">TEE SANITARIA DESAGÜE PVC Ø4"</t>
  </si>
  <si>
    <t xml:space="preserve">EXCAVACIÓN MANUAL DE ZANJAS P/COLECTOR</t>
  </si>
  <si>
    <t xml:space="preserve">CONCRETO f'c=100 kg/cm2 PARA SOLADO E=2''</t>
  </si>
  <si>
    <t xml:space="preserve">ENCOFRADO Y DESENCOFRADO DE COLECTOR</t>
  </si>
  <si>
    <t xml:space="preserve">ACERO f'y=4200 kg/cm2 PARA COLECTOR</t>
  </si>
  <si>
    <t xml:space="preserve">CURADO DE CONCRETO EN COLECTOR</t>
  </si>
  <si>
    <t xml:space="preserve">JUNTA E=1" CON TECNOPOR ENTRE COLECTOR Y PISO ADYACENTE</t>
  </si>
  <si>
    <t xml:space="preserve">CONCRETO f'c=210 kg/cm2 PARA COLECTOR</t>
  </si>
  <si>
    <t xml:space="preserve">Losa de fondo: Tramo normal (0+000.00 - 0+026.32)</t>
  </si>
  <si>
    <t xml:space="preserve">Losa de fondo: Cruce de camiones (0+026.32 - 0+031.33)</t>
  </si>
  <si>
    <t xml:space="preserve">Losa de fondo: Tramo normal (0+031.33 - 0+039.04)</t>
  </si>
  <si>
    <t xml:space="preserve">Losa de fondo: Cruce de motos (0+039.04 - 0+041.04)</t>
  </si>
  <si>
    <t xml:space="preserve">Losa de fondo: Tramo normal (0+041.04 - 0+058.81)</t>
  </si>
  <si>
    <t xml:space="preserve">Losa de fondo: Tramo diagonal (quiebres) (0+058.81 - 0+066.89)</t>
  </si>
  <si>
    <t xml:space="preserve">Losa de fondo: Tramo recto final (0+066.89 - 0+069.89)</t>
  </si>
  <si>
    <t xml:space="preserve">Losa de fondo: Caja de llegada CL</t>
  </si>
  <si>
    <t xml:space="preserve">Losa de fondo: Caja de caida CC (incluye umbral)</t>
  </si>
  <si>
    <t xml:space="preserve">Muros:</t>
  </si>
  <si>
    <t xml:space="preserve">Losa superior (incluye bordes de registro):</t>
  </si>
  <si>
    <t xml:space="preserve">01.04.04.04.01 CONCRETO f'c=210 PARA COLECTOR - losa de fondo</t>
  </si>
  <si>
    <t xml:space="preserve">01.04.04.04.01 CONCRETO f'c=210 PARA COLECTOR - muros</t>
  </si>
  <si>
    <t xml:space="preserve">01.04.04.04.01 CONCRETO f'c=210 PARA COLECTOR - losa superior</t>
  </si>
  <si>
    <t xml:space="preserve">01.04.04.04.02 ENCOFRADO Y DESENCOFRADO DE COLECTOR</t>
  </si>
  <si>
    <t xml:space="preserve">01.04.04.04.03 ACERO f'y=4200 PARA COLECTOR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</si>
</sst>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47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0"/>
      <name val="Arial"/>
      <family val="2"/>
    </font>
    <font>
      <b/>
      <sz val="12"/>
      <name val="Arial Narrow"/>
      <family val="2"/>
    </font>
    <font>
      <sz val="12"/>
      <name val="Arial Narrow"/>
      <family val="2"/>
    </font>
    <font>
      <sz val="12"/>
      <color rgb="FF000000"/>
      <name val="Arial Narrow"/>
      <family val="2"/>
    </font>
    <font>
      <b/>
      <u/>
      <sz val="16"/>
      <color theme="0"/>
      <name val="Arial Narrow"/>
      <family val="2"/>
    </font>
    <font>
      <b/>
      <sz val="12"/>
      <color theme="0"/>
      <name val="Arial Narrow"/>
      <family val="2"/>
    </font>
    <font>
      <sz val="12"/>
      <color theme="0"/>
      <name val="Arial Narrow"/>
      <family val="2"/>
    </font>
    <font>
      <b/>
      <u/>
      <sz val="12"/>
      <color theme="0"/>
      <name val="Arial Narrow"/>
      <family val="2"/>
    </font>
    <font>
      <b/>
      <u/>
      <sz val="14"/>
      <color theme="0"/>
      <name val="Arial Narrow"/>
      <family val="2"/>
    </font>
    <font>
      <b/>
      <sz val="14"/>
      <name val="Arial Narrow"/>
      <family val="2"/>
    </font>
    <font>
      <sz val="14"/>
      <name val="Arial Narrow"/>
      <family val="2"/>
    </font>
    <font>
      <b/>
      <sz val="12"/>
      <color rgb="FFFFFFFF"/>
      <name val="Arial Narrow"/>
      <family val="2"/>
    </font>
    <font>
      <b/>
      <sz val="14"/>
      <color theme="0"/>
      <name val="Arial Narrow"/>
      <family val="2"/>
    </font>
    <font>
      <sz val="11"/>
      <name val="Arial Narrow"/>
      <family val="2"/>
    </font>
    <font>
      <b/>
      <sz val="14"/>
      <color rgb="FFFFFFFF"/>
      <name val="Arial Narrow"/>
      <family val="2"/>
    </font>
    <font>
      <b/>
      <sz val="11"/>
      <name val="Arial Narrow"/>
      <family val="2"/>
    </font>
    <font>
      <b/>
      <sz val="11"/>
      <color rgb="FFFFFFFF"/>
      <name val="Arial Narrow"/>
      <family val="2"/>
    </font>
    <font>
      <sz val="10"/>
      <name val="Arial Narrow"/>
      <family val="2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4"/>
      <color rgb="FFFFFFFF"/>
      <name val="Carlito"/>
    </font>
    <font>
      <b/>
      <sz val="16"/>
      <color rgb="FFFFFFFF"/>
      <name val="Arial Narrow"/>
      <family val="2"/>
    </font>
    <font>
      <sz val="11"/>
      <color rgb="FF1F1F1F"/>
      <name val="Arial Narrow"/>
      <family val="2"/>
    </font>
    <font>
      <b/>
      <sz val="11"/>
      <color theme="0"/>
      <name val="Arial Narrow"/>
      <family val="2"/>
    </font>
    <font>
      <b/>
      <sz val="10"/>
      <color rgb="FFFFFFFF"/>
      <name val="Arial Narrow"/>
      <family val="2"/>
    </font>
    <font>
      <b/>
      <sz val="11"/>
      <color theme="1"/>
      <name val="Arial Narrow"/>
      <family val="2"/>
    </font>
    <font>
      <b/>
      <sz val="14"/>
      <color rgb="FF1F1F1F"/>
      <name val="Arial Narrow"/>
      <family val="2"/>
    </font>
    <font>
      <b/>
      <sz val="16"/>
      <name val="Arial Narrow"/>
      <family val="2"/>
    </font>
    <font>
      <sz val="16"/>
      <name val="Arial Narrow"/>
      <family val="2"/>
    </font>
    <font>
      <b/>
      <u/>
      <sz val="18"/>
      <color theme="0"/>
      <name val="Arial Narrow"/>
      <family val="2"/>
    </font>
    <font>
      <b/>
      <sz val="11"/>
      <color rgb="FFC00000"/>
      <name val="Arial Narrow"/>
      <family val="2"/>
    </font>
    <font>
      <sz val="11"/>
      <color theme="1"/>
      <name val="Calibri"/>
      <family val="2"/>
      <charset val="1"/>
    </font>
    <font>
      <sz val="11"/>
      <color rgb="FF0000FF"/>
      <name val="Arial Narrow"/>
      <family val="2"/>
    </font>
    <font>
      <b/>
      <sz val="11"/>
      <color rgb="FF1F4E78"/>
      <name val="Arial Narrow"/>
      <family val="2"/>
    </font>
    <font>
      <b/>
      <sz val="16"/>
      <color rgb="FFFFFFFF"/>
      <name val="Arial Narrow"/>
    </font>
    <font>
      <b/>
      <sz val="14"/>
      <name val="Arial Narrow"/>
    </font>
    <font>
      <sz val="14"/>
      <name val="Arial Narrow"/>
    </font>
    <font>
      <b/>
      <sz val="12"/>
      <name val="Arial Narrow"/>
    </font>
    <font>
      <b/>
      <sz val="12"/>
      <color rgb="FFFFFFFF"/>
      <name val="Arial Narrow"/>
    </font>
    <font>
      <sz val="12"/>
      <name val="Arial Narrow"/>
    </font>
    <font>
      <sz val="11"/>
      <name val="Arial Narrow"/>
    </font>
    <font>
      <i/>
      <sz val="11"/>
      <name val="Arial Narrow"/>
    </font>
  </fonts>
  <fills count="4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05496"/>
      </patternFill>
    </fill>
    <fill>
      <patternFill patternType="solid">
        <fgColor rgb="FFEAF4FB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BECC9"/>
        <bgColor indexed="64"/>
      </patternFill>
    </fill>
    <fill>
      <patternFill patternType="solid">
        <fgColor rgb="FFFCF6E0"/>
        <bgColor indexed="64"/>
      </patternFill>
    </fill>
    <fill>
      <patternFill patternType="solid">
        <fgColor rgb="FFF2F2F2"/>
      </patternFill>
    </fill>
    <fill>
      <patternFill patternType="solid">
        <fgColor rgb="FFEAF3F8"/>
      </patternFill>
    </fill>
    <fill>
      <patternFill patternType="solid">
        <fgColor rgb="FFF4B183"/>
      </patternFill>
    </fill>
    <fill>
      <patternFill patternType="solid">
        <fgColor rgb="FFE2F0D9"/>
      </patternFill>
    </fill>
    <fill>
      <patternFill patternType="solid">
        <f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E1F2"/>
      </patternFill>
    </fill>
    <fill>
      <patternFill patternType="solid">
        <fgColor rgb="FFDDEBF7"/>
      </patternFill>
    </fill>
    <fill>
      <patternFill patternType="solid">
        <fgColor rgb="FFE4DFEC"/>
      </patternFill>
    </fill>
    <fill>
      <patternFill patternType="solid">
        <fgColor rgb="FFF0F7E8"/>
      </patternFill>
    </fill>
    <fill>
      <patternFill patternType="solid">
        <fgColor rgb="FF0B1F2A"/>
      </patternFill>
    </fill>
    <fill>
      <patternFill patternType="solid">
        <fgColor rgb="FF17365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5B9BD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rgb="FF969696"/>
      </patternFill>
    </fill>
    <fill>
      <patternFill patternType="solid">
        <fgColor theme="7" tint="0.79998168889431442"/>
        <bgColor rgb="FFFFFF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5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0F7E8"/>
      </patternFill>
    </fill>
    <fill>
      <patternFill patternType="solid">
        <fgColor rgb="FFE4DFEC"/>
      </patternFill>
    </fill>
    <fill>
      <patternFill patternType="solid">
        <fgColor rgb="FF17365D"/>
      </patternFill>
    </fill>
    <fill>
      <patternFill patternType="solid">
        <fgColor rgb="FFF4B183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24" fillId="0" borderId="0"/>
    <xf numFmtId="0" fontId="36" fillId="0" borderId="0"/>
  </cellStyleXfs>
  <cellXfs count="36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2" fontId="1" fillId="0" borderId="0" xfId="0" applyNumberFormat="1" applyFont="1"/>
    <xf numFmtId="0" fontId="3" fillId="0" borderId="0" xfId="0" applyFont="1"/>
    <xf numFmtId="0" fontId="2" fillId="8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9" fontId="15" fillId="10" borderId="1" xfId="0" applyNumberFormat="1" applyFont="1" applyFill="1" applyBorder="1" applyAlignment="1">
      <alignment horizontal="center" vertical="center" wrapText="1"/>
    </xf>
    <xf numFmtId="49" fontId="5" fillId="15" borderId="1" xfId="0" applyNumberFormat="1" applyFont="1" applyFill="1" applyBorder="1" applyAlignment="1">
      <alignment vertical="center" wrapText="1"/>
    </xf>
    <xf numFmtId="2" fontId="5" fillId="15" borderId="1" xfId="0" applyNumberFormat="1" applyFont="1" applyFill="1" applyBorder="1" applyAlignment="1">
      <alignment vertical="center" wrapText="1"/>
    </xf>
    <xf numFmtId="49" fontId="6" fillId="0" borderId="1" xfId="0" applyNumberFormat="1" applyFont="1" applyBorder="1" applyAlignment="1">
      <alignment wrapText="1"/>
    </xf>
    <xf numFmtId="2" fontId="6" fillId="0" borderId="1" xfId="0" applyNumberFormat="1" applyFont="1" applyBorder="1" applyAlignment="1">
      <alignment wrapText="1"/>
    </xf>
    <xf numFmtId="2" fontId="5" fillId="15" borderId="1" xfId="0" applyNumberFormat="1" applyFont="1" applyFill="1" applyBorder="1" applyAlignment="1">
      <alignment horizontal="right" vertical="center" wrapText="1"/>
    </xf>
    <xf numFmtId="49" fontId="5" fillId="14" borderId="1" xfId="0" applyNumberFormat="1" applyFont="1" applyFill="1" applyBorder="1" applyAlignment="1">
      <alignment vertical="center" wrapText="1"/>
    </xf>
    <xf numFmtId="2" fontId="5" fillId="14" borderId="1" xfId="0" applyNumberFormat="1" applyFont="1" applyFill="1" applyBorder="1" applyAlignment="1">
      <alignment vertical="center" wrapText="1"/>
    </xf>
    <xf numFmtId="0" fontId="6" fillId="0" borderId="1" xfId="0" applyFont="1" applyBorder="1" applyAlignment="1">
      <alignment wrapText="1"/>
    </xf>
    <xf numFmtId="49" fontId="5" fillId="11" borderId="1" xfId="0" applyNumberFormat="1" applyFont="1" applyFill="1" applyBorder="1" applyAlignment="1">
      <alignment vertical="center" wrapText="1"/>
    </xf>
    <xf numFmtId="2" fontId="5" fillId="11" borderId="1" xfId="0" applyNumberFormat="1" applyFont="1" applyFill="1" applyBorder="1" applyAlignment="1">
      <alignment vertical="center" wrapText="1"/>
    </xf>
    <xf numFmtId="49" fontId="5" fillId="16" borderId="1" xfId="0" applyNumberFormat="1" applyFont="1" applyFill="1" applyBorder="1" applyAlignment="1">
      <alignment vertical="center" wrapText="1"/>
    </xf>
    <xf numFmtId="2" fontId="5" fillId="16" borderId="1" xfId="0" applyNumberFormat="1" applyFont="1" applyFill="1" applyBorder="1" applyAlignment="1">
      <alignment vertical="center" wrapText="1"/>
    </xf>
    <xf numFmtId="49" fontId="5" fillId="2" borderId="1" xfId="0" applyNumberFormat="1" applyFont="1" applyFill="1" applyBorder="1" applyAlignment="1">
      <alignment vertical="center" wrapText="1"/>
    </xf>
    <xf numFmtId="2" fontId="5" fillId="2" borderId="1" xfId="0" applyNumberFormat="1" applyFont="1" applyFill="1" applyBorder="1" applyAlignment="1">
      <alignment vertical="center" wrapText="1"/>
    </xf>
    <xf numFmtId="49" fontId="5" fillId="0" borderId="1" xfId="0" applyNumberFormat="1" applyFont="1" applyBorder="1" applyAlignment="1">
      <alignment vertical="center" wrapText="1"/>
    </xf>
    <xf numFmtId="2" fontId="5" fillId="0" borderId="1" xfId="0" applyNumberFormat="1" applyFont="1" applyBorder="1" applyAlignment="1">
      <alignment vertical="center" wrapText="1"/>
    </xf>
    <xf numFmtId="49" fontId="5" fillId="15" borderId="1" xfId="0" applyNumberFormat="1" applyFont="1" applyFill="1" applyBorder="1" applyAlignment="1">
      <alignment horizontal="left" vertical="center" wrapText="1"/>
    </xf>
    <xf numFmtId="2" fontId="5" fillId="16" borderId="1" xfId="0" applyNumberFormat="1" applyFont="1" applyFill="1" applyBorder="1" applyAlignment="1">
      <alignment horizontal="right" vertical="center" wrapText="1"/>
    </xf>
    <xf numFmtId="49" fontId="5" fillId="16" borderId="1" xfId="0" applyNumberFormat="1" applyFont="1" applyFill="1" applyBorder="1" applyAlignment="1">
      <alignment horizontal="left" vertical="center" wrapText="1"/>
    </xf>
    <xf numFmtId="49" fontId="5" fillId="17" borderId="1" xfId="0" applyNumberFormat="1" applyFont="1" applyFill="1" applyBorder="1" applyAlignment="1">
      <alignment vertical="center" wrapText="1"/>
    </xf>
    <xf numFmtId="2" fontId="5" fillId="17" borderId="1" xfId="0" applyNumberFormat="1" applyFont="1" applyFill="1" applyBorder="1" applyAlignment="1">
      <alignment horizontal="left"/>
    </xf>
    <xf numFmtId="0" fontId="6" fillId="17" borderId="1" xfId="0" applyFont="1" applyFill="1" applyBorder="1"/>
    <xf numFmtId="2" fontId="5" fillId="17" borderId="1" xfId="0" applyNumberFormat="1" applyFont="1" applyFill="1" applyBorder="1" applyAlignment="1">
      <alignment vertical="center" wrapText="1"/>
    </xf>
    <xf numFmtId="2" fontId="5" fillId="17" borderId="1" xfId="0" applyNumberFormat="1" applyFont="1" applyFill="1" applyBorder="1" applyAlignment="1">
      <alignment horizontal="right" vertical="center"/>
    </xf>
    <xf numFmtId="2" fontId="5" fillId="2" borderId="1" xfId="0" applyNumberFormat="1" applyFont="1" applyFill="1" applyBorder="1" applyAlignment="1">
      <alignment horizontal="left"/>
    </xf>
    <xf numFmtId="2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/>
    <xf numFmtId="2" fontId="5" fillId="2" borderId="1" xfId="0" applyNumberFormat="1" applyFont="1" applyFill="1" applyBorder="1" applyAlignment="1">
      <alignment horizontal="right" vertical="center"/>
    </xf>
    <xf numFmtId="2" fontId="5" fillId="17" borderId="1" xfId="0" applyNumberFormat="1" applyFont="1" applyFill="1" applyBorder="1" applyAlignment="1">
      <alignment horizontal="left" vertical="center" wrapText="1"/>
    </xf>
    <xf numFmtId="2" fontId="5" fillId="17" borderId="1" xfId="0" applyNumberFormat="1" applyFont="1" applyFill="1" applyBorder="1" applyAlignment="1">
      <alignment horizontal="right" vertical="center" wrapText="1"/>
    </xf>
    <xf numFmtId="2" fontId="5" fillId="2" borderId="1" xfId="0" applyNumberFormat="1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left" vertical="top" wrapText="1" indent="1"/>
    </xf>
    <xf numFmtId="0" fontId="12" fillId="12" borderId="1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11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1" fillId="0" borderId="0" xfId="0" applyFont="1" applyAlignment="1">
      <alignment vertical="center" wrapText="1"/>
    </xf>
    <xf numFmtId="0" fontId="5" fillId="21" borderId="17" xfId="0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22" borderId="20" xfId="0" applyFont="1" applyFill="1" applyBorder="1" applyAlignment="1">
      <alignment horizontal="center" vertical="center" wrapText="1"/>
    </xf>
    <xf numFmtId="0" fontId="5" fillId="22" borderId="2" xfId="0" applyFont="1" applyFill="1" applyBorder="1" applyAlignment="1">
      <alignment horizontal="center" vertical="center" wrapText="1"/>
    </xf>
    <xf numFmtId="0" fontId="5" fillId="22" borderId="19" xfId="0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vertical="center" wrapText="1"/>
    </xf>
    <xf numFmtId="2" fontId="6" fillId="0" borderId="1" xfId="0" applyNumberFormat="1" applyFont="1" applyBorder="1" applyAlignment="1">
      <alignment vertical="center" wrapText="1"/>
    </xf>
    <xf numFmtId="0" fontId="0" fillId="0" borderId="0" xfId="0" applyAlignment="1">
      <alignment vertical="center"/>
    </xf>
    <xf numFmtId="0" fontId="9" fillId="9" borderId="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2" fontId="3" fillId="2" borderId="23" xfId="0" applyNumberFormat="1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2" fontId="3" fillId="2" borderId="24" xfId="0" applyNumberFormat="1" applyFont="1" applyFill="1" applyBorder="1" applyAlignment="1">
      <alignment horizontal="center" vertical="center" wrapText="1"/>
    </xf>
    <xf numFmtId="0" fontId="9" fillId="9" borderId="10" xfId="0" applyFont="1" applyFill="1" applyBorder="1" applyAlignment="1">
      <alignment horizontal="center" vertical="center" wrapText="1"/>
    </xf>
    <xf numFmtId="0" fontId="9" fillId="9" borderId="26" xfId="0" applyFont="1" applyFill="1" applyBorder="1" applyAlignment="1">
      <alignment horizontal="center" vertical="center" wrapText="1"/>
    </xf>
    <xf numFmtId="2" fontId="3" fillId="23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2" fontId="3" fillId="2" borderId="2" xfId="0" applyNumberFormat="1" applyFont="1" applyFill="1" applyBorder="1" applyAlignment="1">
      <alignment horizontal="center" vertical="center" wrapText="1"/>
    </xf>
    <xf numFmtId="2" fontId="3" fillId="23" borderId="23" xfId="0" applyNumberFormat="1" applyFont="1" applyFill="1" applyBorder="1" applyAlignment="1">
      <alignment horizontal="center" vertical="center" wrapText="1"/>
    </xf>
    <xf numFmtId="0" fontId="24" fillId="0" borderId="0" xfId="2"/>
    <xf numFmtId="0" fontId="23" fillId="13" borderId="0" xfId="2" applyFont="1" applyFill="1" applyAlignment="1">
      <alignment horizontal="center" vertical="center"/>
    </xf>
    <xf numFmtId="165" fontId="24" fillId="15" borderId="0" xfId="2" applyNumberFormat="1" applyFill="1" applyAlignment="1">
      <alignment horizontal="center"/>
    </xf>
    <xf numFmtId="0" fontId="24" fillId="15" borderId="0" xfId="2" applyFill="1" applyAlignment="1">
      <alignment horizontal="center"/>
    </xf>
    <xf numFmtId="0" fontId="24" fillId="21" borderId="0" xfId="2" applyFill="1" applyAlignment="1">
      <alignment wrapText="1"/>
    </xf>
    <xf numFmtId="0" fontId="24" fillId="26" borderId="0" xfId="2" applyFill="1" applyAlignment="1">
      <alignment horizontal="center"/>
    </xf>
    <xf numFmtId="0" fontId="15" fillId="12" borderId="21" xfId="0" applyFont="1" applyFill="1" applyBorder="1" applyAlignment="1">
      <alignment horizontal="center" vertical="center" wrapText="1"/>
    </xf>
    <xf numFmtId="0" fontId="15" fillId="12" borderId="9" xfId="0" applyFont="1" applyFill="1" applyBorder="1" applyAlignment="1">
      <alignment horizontal="center" vertical="center" wrapText="1"/>
    </xf>
    <xf numFmtId="0" fontId="15" fillId="12" borderId="22" xfId="0" applyFont="1" applyFill="1" applyBorder="1" applyAlignment="1">
      <alignment horizontal="center" vertical="center" wrapText="1"/>
    </xf>
    <xf numFmtId="0" fontId="13" fillId="30" borderId="1" xfId="0" applyFont="1" applyFill="1" applyBorder="1" applyAlignment="1">
      <alignment horizontal="center" vertical="center" wrapText="1"/>
    </xf>
    <xf numFmtId="0" fontId="13" fillId="30" borderId="1" xfId="0" applyFont="1" applyFill="1" applyBorder="1" applyAlignment="1">
      <alignment horizontal="center" vertical="center"/>
    </xf>
    <xf numFmtId="0" fontId="17" fillId="0" borderId="0" xfId="2" applyFont="1"/>
    <xf numFmtId="2" fontId="20" fillId="29" borderId="0" xfId="2" applyNumberFormat="1" applyFont="1" applyFill="1" applyAlignment="1">
      <alignment horizontal="center" vertical="center"/>
    </xf>
    <xf numFmtId="0" fontId="6" fillId="0" borderId="0" xfId="2" applyFont="1"/>
    <xf numFmtId="0" fontId="6" fillId="0" borderId="1" xfId="2" applyFont="1" applyBorder="1" applyAlignment="1">
      <alignment horizontal="center" vertical="center" wrapText="1"/>
    </xf>
    <xf numFmtId="0" fontId="18" fillId="12" borderId="0" xfId="2" applyFont="1" applyFill="1" applyAlignment="1">
      <alignment horizontal="center" vertical="center" wrapText="1"/>
    </xf>
    <xf numFmtId="2" fontId="18" fillId="29" borderId="0" xfId="2" applyNumberFormat="1" applyFont="1" applyFill="1" applyAlignment="1">
      <alignment horizontal="center" vertical="center"/>
    </xf>
    <xf numFmtId="0" fontId="14" fillId="15" borderId="1" xfId="2" applyFont="1" applyFill="1" applyBorder="1" applyAlignment="1">
      <alignment horizontal="center" vertical="center" wrapText="1"/>
    </xf>
    <xf numFmtId="2" fontId="14" fillId="15" borderId="1" xfId="2" applyNumberFormat="1" applyFont="1" applyFill="1" applyBorder="1" applyAlignment="1">
      <alignment horizontal="center" vertical="center" wrapText="1"/>
    </xf>
    <xf numFmtId="2" fontId="14" fillId="27" borderId="1" xfId="2" applyNumberFormat="1" applyFont="1" applyFill="1" applyBorder="1" applyAlignment="1">
      <alignment horizontal="center" vertical="center" wrapText="1"/>
    </xf>
    <xf numFmtId="2" fontId="13" fillId="27" borderId="1" xfId="2" applyNumberFormat="1" applyFont="1" applyFill="1" applyBorder="1" applyAlignment="1">
      <alignment horizontal="center" vertical="center" wrapText="1"/>
    </xf>
    <xf numFmtId="1" fontId="14" fillId="27" borderId="1" xfId="2" applyNumberFormat="1" applyFont="1" applyFill="1" applyBorder="1" applyAlignment="1">
      <alignment horizontal="center" vertical="center" wrapText="1"/>
    </xf>
    <xf numFmtId="0" fontId="14" fillId="18" borderId="1" xfId="2" applyFont="1" applyFill="1" applyBorder="1" applyAlignment="1">
      <alignment horizontal="center" vertical="center" wrapText="1"/>
    </xf>
    <xf numFmtId="0" fontId="13" fillId="30" borderId="1" xfId="2" applyFont="1" applyFill="1" applyBorder="1" applyAlignment="1">
      <alignment vertical="center"/>
    </xf>
    <xf numFmtId="2" fontId="5" fillId="31" borderId="1" xfId="0" applyNumberFormat="1" applyFont="1" applyFill="1" applyBorder="1" applyAlignment="1">
      <alignment horizontal="right" vertical="center" wrapText="1"/>
    </xf>
    <xf numFmtId="0" fontId="28" fillId="12" borderId="1" xfId="2" applyFont="1" applyFill="1" applyBorder="1" applyAlignment="1">
      <alignment vertical="center"/>
    </xf>
    <xf numFmtId="17" fontId="17" fillId="0" borderId="1" xfId="2" applyNumberFormat="1" applyFont="1" applyBorder="1" applyAlignment="1">
      <alignment vertical="center" wrapText="1"/>
    </xf>
    <xf numFmtId="0" fontId="29" fillId="12" borderId="1" xfId="2" applyFont="1" applyFill="1" applyBorder="1" applyAlignment="1">
      <alignment horizontal="center" vertical="center" wrapText="1"/>
    </xf>
    <xf numFmtId="0" fontId="24" fillId="0" borderId="0" xfId="2" applyAlignment="1">
      <alignment horizontal="center" vertical="center" wrapText="1"/>
    </xf>
    <xf numFmtId="0" fontId="24" fillId="0" borderId="0" xfId="2" applyAlignment="1">
      <alignment vertical="center" wrapText="1"/>
    </xf>
    <xf numFmtId="0" fontId="22" fillId="14" borderId="0" xfId="2" applyFont="1" applyFill="1" applyAlignment="1">
      <alignment horizontal="center" vertical="center" wrapText="1"/>
    </xf>
    <xf numFmtId="165" fontId="24" fillId="0" borderId="0" xfId="2" applyNumberFormat="1" applyAlignment="1">
      <alignment horizontal="center" vertical="center" wrapText="1"/>
    </xf>
    <xf numFmtId="0" fontId="6" fillId="0" borderId="0" xfId="2" applyFont="1" applyAlignment="1">
      <alignment vertical="center" wrapText="1"/>
    </xf>
    <xf numFmtId="0" fontId="6" fillId="0" borderId="0" xfId="2" applyFont="1" applyAlignment="1">
      <alignment horizontal="center" vertical="center" wrapText="1"/>
    </xf>
    <xf numFmtId="0" fontId="15" fillId="13" borderId="1" xfId="2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right" vertical="center" wrapText="1"/>
    </xf>
    <xf numFmtId="2" fontId="6" fillId="0" borderId="1" xfId="2" applyNumberFormat="1" applyFont="1" applyBorder="1" applyAlignment="1">
      <alignment horizontal="center" vertical="center" wrapText="1"/>
    </xf>
    <xf numFmtId="0" fontId="5" fillId="14" borderId="1" xfId="2" applyFont="1" applyFill="1" applyBorder="1" applyAlignment="1">
      <alignment horizontal="center" vertical="center" wrapText="1"/>
    </xf>
    <xf numFmtId="0" fontId="5" fillId="14" borderId="1" xfId="2" applyFont="1" applyFill="1" applyBorder="1" applyAlignment="1">
      <alignment horizontal="right" vertical="center" wrapText="1"/>
    </xf>
    <xf numFmtId="165" fontId="6" fillId="0" borderId="1" xfId="2" applyNumberFormat="1" applyFont="1" applyBorder="1" applyAlignment="1">
      <alignment horizontal="center" vertical="center" wrapText="1"/>
    </xf>
    <xf numFmtId="165" fontId="5" fillId="14" borderId="1" xfId="2" applyNumberFormat="1" applyFont="1" applyFill="1" applyBorder="1" applyAlignment="1">
      <alignment horizontal="center" vertical="center" wrapText="1"/>
    </xf>
    <xf numFmtId="0" fontId="30" fillId="32" borderId="0" xfId="0" applyFont="1" applyFill="1" applyAlignment="1">
      <alignment horizontal="center" vertical="center" wrapText="1"/>
    </xf>
    <xf numFmtId="165" fontId="19" fillId="14" borderId="1" xfId="2" applyNumberFormat="1" applyFont="1" applyFill="1" applyBorder="1" applyAlignment="1">
      <alignment horizontal="center" vertical="center" wrapText="1"/>
    </xf>
    <xf numFmtId="2" fontId="5" fillId="0" borderId="1" xfId="2" applyNumberFormat="1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14" fillId="2" borderId="1" xfId="2" applyFont="1" applyFill="1" applyBorder="1" applyAlignment="1">
      <alignment horizontal="center" vertical="center" wrapText="1"/>
    </xf>
    <xf numFmtId="2" fontId="14" fillId="2" borderId="1" xfId="2" applyNumberFormat="1" applyFont="1" applyFill="1" applyBorder="1" applyAlignment="1">
      <alignment horizontal="center" vertical="center" wrapText="1"/>
    </xf>
    <xf numFmtId="0" fontId="18" fillId="33" borderId="1" xfId="2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 wrapText="1"/>
    </xf>
    <xf numFmtId="0" fontId="13" fillId="26" borderId="1" xfId="2" applyFont="1" applyFill="1" applyBorder="1" applyAlignment="1">
      <alignment horizontal="center" vertical="center" wrapText="1"/>
    </xf>
    <xf numFmtId="165" fontId="14" fillId="25" borderId="1" xfId="2" applyNumberFormat="1" applyFont="1" applyFill="1" applyBorder="1" applyAlignment="1">
      <alignment horizontal="center" vertical="center" wrapText="1"/>
    </xf>
    <xf numFmtId="2" fontId="14" fillId="25" borderId="1" xfId="2" applyNumberFormat="1" applyFont="1" applyFill="1" applyBorder="1" applyAlignment="1">
      <alignment horizontal="center" vertical="center" wrapText="1"/>
    </xf>
    <xf numFmtId="0" fontId="14" fillId="21" borderId="1" xfId="2" applyFont="1" applyFill="1" applyBorder="1" applyAlignment="1">
      <alignment horizontal="center" vertical="center" wrapText="1"/>
    </xf>
    <xf numFmtId="165" fontId="14" fillId="27" borderId="1" xfId="2" applyNumberFormat="1" applyFont="1" applyFill="1" applyBorder="1" applyAlignment="1">
      <alignment horizontal="center" vertical="center" wrapText="1"/>
    </xf>
    <xf numFmtId="2" fontId="14" fillId="21" borderId="1" xfId="2" applyNumberFormat="1" applyFont="1" applyFill="1" applyBorder="1" applyAlignment="1">
      <alignment horizontal="center" vertical="center" wrapText="1"/>
    </xf>
    <xf numFmtId="2" fontId="13" fillId="20" borderId="1" xfId="2" applyNumberFormat="1" applyFont="1" applyFill="1" applyBorder="1" applyAlignment="1">
      <alignment horizontal="center" vertical="center" wrapText="1"/>
    </xf>
    <xf numFmtId="2" fontId="18" fillId="28" borderId="1" xfId="2" applyNumberFormat="1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20" fillId="2" borderId="0" xfId="2" applyFont="1" applyFill="1" applyAlignment="1">
      <alignment horizontal="center" vertical="center"/>
    </xf>
    <xf numFmtId="0" fontId="17" fillId="2" borderId="0" xfId="2" applyFont="1" applyFill="1" applyAlignment="1">
      <alignment vertical="center" wrapText="1"/>
    </xf>
    <xf numFmtId="0" fontId="17" fillId="2" borderId="0" xfId="2" applyFont="1" applyFill="1"/>
    <xf numFmtId="0" fontId="31" fillId="20" borderId="1" xfId="2" applyFont="1" applyFill="1" applyBorder="1" applyAlignment="1">
      <alignment horizontal="center" vertical="center" wrapText="1"/>
    </xf>
    <xf numFmtId="0" fontId="32" fillId="30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wrapText="1"/>
    </xf>
    <xf numFmtId="2" fontId="5" fillId="22" borderId="2" xfId="0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vertical="center" wrapText="1"/>
    </xf>
    <xf numFmtId="49" fontId="15" fillId="12" borderId="1" xfId="0" applyNumberFormat="1" applyFont="1" applyFill="1" applyBorder="1" applyAlignment="1">
      <alignment horizontal="center" wrapText="1"/>
    </xf>
    <xf numFmtId="49" fontId="5" fillId="11" borderId="1" xfId="0" applyNumberFormat="1" applyFont="1" applyFill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15" fontId="3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vertical="center"/>
    </xf>
    <xf numFmtId="49" fontId="5" fillId="11" borderId="1" xfId="0" applyNumberFormat="1" applyFont="1" applyFill="1" applyBorder="1" applyAlignment="1">
      <alignment horizontal="center" wrapText="1"/>
    </xf>
    <xf numFmtId="2" fontId="5" fillId="11" borderId="1" xfId="0" applyNumberFormat="1" applyFont="1" applyFill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horizontal="left" vertical="center" wrapText="1"/>
    </xf>
    <xf numFmtId="0" fontId="0" fillId="0" borderId="1" xfId="0" applyBorder="1"/>
    <xf numFmtId="49" fontId="5" fillId="17" borderId="1" xfId="0" applyNumberFormat="1" applyFont="1" applyFill="1" applyBorder="1" applyAlignment="1">
      <alignment horizontal="left" vertical="center" wrapText="1" indent="1"/>
    </xf>
    <xf numFmtId="49" fontId="5" fillId="2" borderId="1" xfId="0" applyNumberFormat="1" applyFont="1" applyFill="1" applyBorder="1" applyAlignment="1">
      <alignment horizontal="left" vertical="center" wrapText="1" indent="1"/>
    </xf>
    <xf numFmtId="49" fontId="5" fillId="17" borderId="1" xfId="0" applyNumberFormat="1" applyFont="1" applyFill="1" applyBorder="1" applyAlignment="1">
      <alignment horizontal="left" vertical="top" wrapText="1" indent="1"/>
    </xf>
    <xf numFmtId="2" fontId="3" fillId="34" borderId="1" xfId="0" applyNumberFormat="1" applyFont="1" applyFill="1" applyBorder="1" applyAlignment="1">
      <alignment horizontal="center" vertical="center" wrapText="1"/>
    </xf>
    <xf numFmtId="2" fontId="3" fillId="34" borderId="9" xfId="0" applyNumberFormat="1" applyFont="1" applyFill="1" applyBorder="1" applyAlignment="1">
      <alignment horizontal="center" vertical="center" wrapText="1"/>
    </xf>
    <xf numFmtId="2" fontId="3" fillId="0" borderId="23" xfId="0" applyNumberFormat="1" applyFont="1" applyBorder="1" applyAlignment="1">
      <alignment horizontal="center" vertical="center" wrapText="1"/>
    </xf>
    <xf numFmtId="0" fontId="5" fillId="30" borderId="1" xfId="0" applyFont="1" applyFill="1" applyBorder="1" applyAlignment="1">
      <alignment horizontal="center" vertical="center" wrapText="1"/>
    </xf>
    <xf numFmtId="164" fontId="3" fillId="0" borderId="0" xfId="0" applyNumberFormat="1" applyFont="1"/>
    <xf numFmtId="2" fontId="6" fillId="2" borderId="1" xfId="2" applyNumberFormat="1" applyFont="1" applyFill="1" applyBorder="1" applyAlignment="1">
      <alignment horizontal="center" vertical="center" wrapText="1"/>
    </xf>
    <xf numFmtId="2" fontId="5" fillId="27" borderId="1" xfId="2" applyNumberFormat="1" applyFont="1" applyFill="1" applyBorder="1" applyAlignment="1">
      <alignment horizontal="center" vertical="center" wrapText="1"/>
    </xf>
    <xf numFmtId="0" fontId="6" fillId="18" borderId="1" xfId="2" applyFont="1" applyFill="1" applyBorder="1" applyAlignment="1">
      <alignment horizontal="center" vertical="center" wrapText="1"/>
    </xf>
    <xf numFmtId="0" fontId="1" fillId="0" borderId="0" xfId="3" applyFont="1" applyAlignment="1">
      <alignment horizontal="center" vertical="center" wrapText="1"/>
    </xf>
    <xf numFmtId="0" fontId="35" fillId="0" borderId="1" xfId="3" applyFont="1" applyBorder="1" applyAlignment="1">
      <alignment horizontal="center" vertical="center" wrapText="1"/>
    </xf>
    <xf numFmtId="0" fontId="1" fillId="0" borderId="1" xfId="3" applyFont="1" applyBorder="1" applyAlignment="1">
      <alignment horizontal="center" vertical="center" wrapText="1"/>
    </xf>
    <xf numFmtId="0" fontId="19" fillId="0" borderId="1" xfId="3" applyFont="1" applyBorder="1" applyAlignment="1">
      <alignment horizontal="center" vertical="center" wrapText="1"/>
    </xf>
    <xf numFmtId="0" fontId="37" fillId="36" borderId="1" xfId="3" applyFont="1" applyFill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center" wrapText="1"/>
    </xf>
    <xf numFmtId="0" fontId="20" fillId="35" borderId="1" xfId="3" applyFont="1" applyFill="1" applyBorder="1" applyAlignment="1">
      <alignment horizontal="center" vertical="center" wrapText="1"/>
    </xf>
    <xf numFmtId="0" fontId="38" fillId="0" borderId="1" xfId="3" applyFont="1" applyBorder="1" applyAlignment="1">
      <alignment horizontal="center" vertical="center" wrapText="1"/>
    </xf>
    <xf numFmtId="2" fontId="38" fillId="0" borderId="1" xfId="3" applyNumberFormat="1" applyFont="1" applyBorder="1" applyAlignment="1">
      <alignment horizontal="center" vertical="center" wrapText="1"/>
    </xf>
    <xf numFmtId="2" fontId="17" fillId="0" borderId="1" xfId="3" applyNumberFormat="1" applyFont="1" applyBorder="1" applyAlignment="1">
      <alignment horizontal="center" vertical="center" wrapText="1"/>
    </xf>
    <xf numFmtId="0" fontId="5" fillId="0" borderId="1" xfId="3" applyFont="1" applyBorder="1" applyAlignment="1">
      <alignment horizontal="left" vertical="center" wrapText="1"/>
    </xf>
    <xf numFmtId="2" fontId="6" fillId="0" borderId="1" xfId="0" applyNumberFormat="1" applyFont="1" applyBorder="1" applyAlignment="1">
      <alignment horizontal="center" wrapText="1"/>
    </xf>
    <xf numFmtId="0" fontId="17" fillId="2" borderId="0" xfId="2" applyFont="1" applyFill="1" applyAlignment="1">
      <alignment horizontal="center" vertical="center" wrapText="1"/>
    </xf>
    <xf numFmtId="0" fontId="17" fillId="0" borderId="0" xfId="2" applyFont="1" applyAlignment="1">
      <alignment horizontal="center"/>
    </xf>
    <xf numFmtId="2" fontId="5" fillId="37" borderId="1" xfId="0" applyNumberFormat="1" applyFont="1" applyFill="1" applyBorder="1" applyAlignment="1">
      <alignment horizontal="right" vertical="center" wrapText="1"/>
    </xf>
    <xf numFmtId="2" fontId="5" fillId="37" borderId="1" xfId="0" applyNumberFormat="1" applyFont="1" applyFill="1" applyBorder="1" applyAlignment="1">
      <alignment vertical="center" wrapText="1"/>
    </xf>
    <xf numFmtId="0" fontId="23" fillId="13" borderId="0" xfId="2" applyFont="1" applyFill="1" applyAlignment="1">
      <alignment horizontal="center" vertical="center" wrapText="1"/>
    </xf>
    <xf numFmtId="2" fontId="3" fillId="38" borderId="1" xfId="0" applyNumberFormat="1" applyFont="1" applyFill="1" applyBorder="1" applyAlignment="1">
      <alignment horizontal="center" vertical="center" wrapText="1"/>
    </xf>
    <xf numFmtId="2" fontId="3" fillId="38" borderId="1" xfId="0" applyNumberFormat="1" applyFont="1" applyFill="1" applyBorder="1" applyAlignment="1">
      <alignment horizontal="center" wrapText="1"/>
    </xf>
    <xf numFmtId="2" fontId="14" fillId="37" borderId="1" xfId="2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17" xfId="0" applyBorder="1"/>
    <xf numFmtId="0" fontId="0" fillId="0" borderId="42" xfId="0" applyBorder="1"/>
    <xf numFmtId="0" fontId="43" fillId="39" borderId="42" xfId="0" applyFont="1" applyFill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/>
    </xf>
    <xf numFmtId="0" fontId="44" fillId="0" borderId="42" xfId="0" applyFont="1" applyBorder="1" applyAlignment="1">
      <alignment horizontal="left" vertical="center" wrapText="1"/>
    </xf>
    <xf numFmtId="165" fontId="44" fillId="41" borderId="42" xfId="0" applyNumberFormat="1" applyFont="1" applyFill="1" applyBorder="1" applyAlignment="1">
      <alignment horizontal="center" vertical="center"/>
    </xf>
    <xf numFmtId="0" fontId="44" fillId="42" borderId="42" xfId="0" applyFont="1" applyFill="1" applyBorder="1" applyAlignment="1">
      <alignment horizontal="center" vertical="center"/>
    </xf>
    <xf numFmtId="0" fontId="45" fillId="0" borderId="42" xfId="0" applyFont="1" applyBorder="1" applyAlignment="1">
      <alignment horizontal="left" vertical="center" wrapText="1"/>
    </xf>
    <xf numFmtId="165" fontId="44" fillId="43" borderId="42" xfId="0" applyNumberFormat="1" applyFont="1" applyFill="1" applyBorder="1" applyAlignment="1">
      <alignment horizontal="center" vertical="center"/>
    </xf>
    <xf numFmtId="0" fontId="42" fillId="44" borderId="42" xfId="0" applyFont="1" applyFill="1" applyBorder="1" applyAlignment="1">
      <alignment horizontal="center" vertical="center"/>
    </xf>
    <xf numFmtId="2" fontId="44" fillId="41" borderId="42" xfId="0" applyNumberFormat="1" applyFont="1" applyFill="1" applyBorder="1" applyAlignment="1">
      <alignment horizontal="center" vertical="center"/>
    </xf>
    <xf numFmtId="2" fontId="44" fillId="43" borderId="42" xfId="0" applyNumberFormat="1" applyFont="1" applyFill="1" applyBorder="1" applyAlignment="1">
      <alignment horizontal="center" vertical="center"/>
    </xf>
    <xf numFmtId="0" fontId="43" fillId="45" borderId="42" xfId="0" applyFont="1" applyFill="1" applyBorder="1" applyAlignment="1">
      <alignment horizontal="left" vertical="center"/>
    </xf>
    <xf numFmtId="0" fontId="43" fillId="45" borderId="42" xfId="0" applyFont="1" applyFill="1" applyBorder="1" applyAlignment="1">
      <alignment horizontal="center" vertical="center"/>
    </xf>
    <xf numFmtId="2" fontId="43" fillId="45" borderId="42" xfId="0" applyNumberFormat="1" applyFont="1" applyFill="1" applyBorder="1" applyAlignment="1">
      <alignment horizontal="center" vertical="center"/>
    </xf>
    <xf numFmtId="0" fontId="44" fillId="0" borderId="42" xfId="0" applyFont="1" applyBorder="1" applyAlignment="1">
      <alignment horizontal="left" vertical="center"/>
    </xf>
    <xf numFmtId="2" fontId="42" fillId="46" borderId="42" xfId="0" applyNumberFormat="1" applyFont="1" applyFill="1" applyBorder="1" applyAlignment="1">
      <alignment horizontal="center" vertical="center"/>
    </xf>
    <xf numFmtId="1" fontId="44" fillId="41" borderId="42" xfId="0" applyNumberFormat="1" applyFont="1" applyFill="1" applyBorder="1" applyAlignment="1">
      <alignment horizontal="center" vertical="center"/>
    </xf>
    <xf numFmtId="1" fontId="44" fillId="43" borderId="42" xfId="0" applyNumberFormat="1" applyFont="1" applyFill="1" applyBorder="1" applyAlignment="1">
      <alignment horizontal="center" vertical="center"/>
    </xf>
    <xf numFmtId="1" fontId="43" fillId="45" borderId="42" xfId="0" applyNumberFormat="1" applyFont="1" applyFill="1" applyBorder="1" applyAlignment="1">
      <alignment horizontal="center" vertical="center"/>
    </xf>
    <xf numFmtId="2" fontId="44" fillId="0" borderId="42" xfId="0" applyNumberFormat="1" applyFont="1" applyBorder="1" applyAlignment="1">
      <alignment horizontal="center" vertical="center"/>
    </xf>
    <xf numFmtId="0" fontId="43" fillId="45" borderId="4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42" xfId="0" applyBorder="1" applyAlignment="1">
      <alignment horizontal="left" vertical="center"/>
    </xf>
    <xf numFmtId="49" fontId="5" fillId="41" borderId="1" xfId="0" applyNumberFormat="1" applyFont="1" applyFill="1" applyBorder="1" applyAlignment="1">
      <alignment vertical="center" wrapText="1"/>
    </xf>
    <xf numFmtId="2" fontId="2" fillId="8" borderId="1" xfId="0" applyNumberFormat="1" applyFont="1" applyFill="1" applyBorder="1" applyAlignment="1">
      <alignment horizontal="center" vertical="center" wrapText="1"/>
    </xf>
    <xf numFmtId="2" fontId="2" fillId="7" borderId="1" xfId="0" applyNumberFormat="1" applyFont="1" applyFill="1" applyBorder="1" applyAlignment="1">
      <alignment horizontal="center" vertical="center" wrapText="1"/>
    </xf>
    <xf numFmtId="0" fontId="42" fillId="40" borderId="45" xfId="0" applyFont="1" applyFill="1" applyBorder="1" applyAlignment="1">
      <alignment horizontal="center" vertical="center"/>
    </xf>
    <xf numFmtId="2" fontId="44" fillId="0" borderId="45" xfId="0" applyNumberFormat="1" applyFont="1" applyBorder="1" applyAlignment="1">
      <alignment horizontal="center" vertical="center" wrapText="1"/>
    </xf>
    <xf numFmtId="0" fontId="44" fillId="0" borderId="45" xfId="0" applyFont="1" applyBorder="1" applyAlignment="1">
      <alignment horizontal="center" vertical="center" wrapText="1"/>
    </xf>
    <xf numFmtId="166" fontId="44" fillId="0" borderId="45" xfId="0" applyNumberFormat="1" applyFont="1" applyBorder="1" applyAlignment="1">
      <alignment horizontal="center" vertical="center" wrapText="1"/>
    </xf>
    <xf numFmtId="1" fontId="44" fillId="0" borderId="45" xfId="0" applyNumberFormat="1" applyFont="1" applyBorder="1" applyAlignment="1">
      <alignment horizontal="center" vertical="center" wrapText="1"/>
    </xf>
    <xf numFmtId="2" fontId="42" fillId="0" borderId="45" xfId="0" applyNumberFormat="1" applyFont="1" applyBorder="1" applyAlignment="1">
      <alignment horizontal="center" vertical="center" wrapText="1"/>
    </xf>
    <xf numFmtId="0" fontId="42" fillId="0" borderId="45" xfId="0" applyFont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0" fillId="0" borderId="7" xfId="0" applyBorder="1"/>
    <xf numFmtId="0" fontId="0" fillId="0" borderId="17" xfId="0" applyBorder="1"/>
    <xf numFmtId="0" fontId="12" fillId="12" borderId="1" xfId="0" applyFont="1" applyFill="1" applyBorder="1" applyAlignment="1">
      <alignment horizontal="center" vertical="center" wrapText="1"/>
    </xf>
    <xf numFmtId="17" fontId="14" fillId="5" borderId="1" xfId="0" applyNumberFormat="1" applyFont="1" applyFill="1" applyBorder="1" applyAlignment="1">
      <alignment horizontal="left" vertical="center" wrapText="1"/>
    </xf>
    <xf numFmtId="49" fontId="5" fillId="11" borderId="1" xfId="0" applyNumberFormat="1" applyFont="1" applyFill="1" applyBorder="1" applyAlignment="1">
      <alignment horizontal="left" vertical="center" wrapText="1"/>
    </xf>
    <xf numFmtId="2" fontId="5" fillId="2" borderId="1" xfId="0" applyNumberFormat="1" applyFont="1" applyFill="1" applyBorder="1" applyAlignment="1">
      <alignment horizontal="right" vertical="center" wrapText="1"/>
    </xf>
    <xf numFmtId="0" fontId="0" fillId="0" borderId="9" xfId="0" applyBorder="1"/>
    <xf numFmtId="49" fontId="5" fillId="14" borderId="1" xfId="0" applyNumberFormat="1" applyFont="1" applyFill="1" applyBorder="1" applyAlignment="1">
      <alignment vertical="center" wrapText="1"/>
    </xf>
    <xf numFmtId="2" fontId="6" fillId="0" borderId="1" xfId="0" applyNumberFormat="1" applyFont="1" applyBorder="1" applyAlignment="1">
      <alignment horizontal="right" vertical="center" wrapText="1"/>
    </xf>
    <xf numFmtId="49" fontId="5" fillId="11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8" xfId="0" applyBorder="1"/>
    <xf numFmtId="0" fontId="2" fillId="2" borderId="33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9" fillId="9" borderId="1" xfId="0" applyFont="1" applyFill="1" applyBorder="1" applyAlignment="1">
      <alignment horizontal="center" vertical="center" wrapText="1"/>
    </xf>
    <xf numFmtId="0" fontId="2" fillId="6" borderId="39" xfId="0" applyFont="1" applyFill="1" applyBorder="1" applyAlignment="1">
      <alignment horizontal="center" vertical="center" wrapText="1"/>
    </xf>
    <xf numFmtId="0" fontId="0" fillId="0" borderId="28" xfId="0" applyBorder="1"/>
    <xf numFmtId="0" fontId="0" fillId="0" borderId="31" xfId="0" applyBorder="1"/>
    <xf numFmtId="2" fontId="2" fillId="2" borderId="34" xfId="0" applyNumberFormat="1" applyFont="1" applyFill="1" applyBorder="1" applyAlignment="1">
      <alignment horizontal="center" vertical="center" wrapText="1"/>
    </xf>
    <xf numFmtId="0" fontId="0" fillId="0" borderId="11" xfId="0" applyBorder="1"/>
    <xf numFmtId="2" fontId="2" fillId="2" borderId="1" xfId="0" applyNumberFormat="1" applyFont="1" applyFill="1" applyBorder="1" applyAlignment="1">
      <alignment horizontal="center" vertical="center" wrapText="1"/>
    </xf>
    <xf numFmtId="0" fontId="2" fillId="6" borderId="27" xfId="0" applyFont="1" applyFill="1" applyBorder="1" applyAlignment="1">
      <alignment horizontal="center" vertical="center" wrapText="1"/>
    </xf>
    <xf numFmtId="0" fontId="0" fillId="0" borderId="30" xfId="0" applyBorder="1"/>
    <xf numFmtId="0" fontId="0" fillId="0" borderId="36" xfId="0" applyBorder="1"/>
    <xf numFmtId="0" fontId="8" fillId="1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0" fillId="0" borderId="18" xfId="0" applyBorder="1"/>
    <xf numFmtId="0" fontId="0" fillId="0" borderId="22" xfId="0" applyBorder="1"/>
    <xf numFmtId="0" fontId="2" fillId="2" borderId="11" xfId="0" applyFont="1" applyFill="1" applyBorder="1" applyAlignment="1">
      <alignment horizontal="center" vertical="center" wrapText="1"/>
    </xf>
    <xf numFmtId="2" fontId="2" fillId="2" borderId="40" xfId="0" applyNumberFormat="1" applyFont="1" applyFill="1" applyBorder="1" applyAlignment="1">
      <alignment horizontal="center" vertical="center" wrapText="1"/>
    </xf>
    <xf numFmtId="0" fontId="0" fillId="0" borderId="29" xfId="0" applyBorder="1"/>
    <xf numFmtId="2" fontId="2" fillId="2" borderId="11" xfId="0" applyNumberFormat="1" applyFont="1" applyFill="1" applyBorder="1" applyAlignment="1">
      <alignment horizontal="center" vertical="center" wrapText="1"/>
    </xf>
    <xf numFmtId="0" fontId="16" fillId="9" borderId="30" xfId="0" applyFont="1" applyFill="1" applyBorder="1" applyAlignment="1">
      <alignment horizontal="center" vertical="center"/>
    </xf>
    <xf numFmtId="0" fontId="1" fillId="0" borderId="0" xfId="0" applyFont="1"/>
    <xf numFmtId="0" fontId="9" fillId="9" borderId="25" xfId="0" applyFont="1" applyFill="1" applyBorder="1" applyAlignment="1">
      <alignment horizontal="center" vertical="center" wrapText="1"/>
    </xf>
    <xf numFmtId="0" fontId="0" fillId="0" borderId="37" xfId="0" applyBorder="1"/>
    <xf numFmtId="0" fontId="0" fillId="0" borderId="38" xfId="0" applyBorder="1"/>
    <xf numFmtId="0" fontId="9" fillId="9" borderId="2" xfId="0" applyFont="1" applyFill="1" applyBorder="1" applyAlignment="1">
      <alignment horizontal="center" vertical="center" wrapText="1"/>
    </xf>
    <xf numFmtId="0" fontId="0" fillId="0" borderId="32" xfId="0" applyBorder="1"/>
    <xf numFmtId="0" fontId="0" fillId="0" borderId="20" xfId="0" applyBorder="1"/>
    <xf numFmtId="0" fontId="2" fillId="6" borderId="1" xfId="0" applyFont="1" applyFill="1" applyBorder="1" applyAlignment="1">
      <alignment horizontal="center" vertical="center" wrapText="1"/>
    </xf>
    <xf numFmtId="2" fontId="2" fillId="2" borderId="8" xfId="0" applyNumberFormat="1" applyFont="1" applyFill="1" applyBorder="1" applyAlignment="1">
      <alignment horizontal="center" vertical="center" wrapText="1"/>
    </xf>
    <xf numFmtId="0" fontId="2" fillId="6" borderId="25" xfId="0" applyFont="1" applyFill="1" applyBorder="1" applyAlignment="1">
      <alignment horizontal="center" vertical="center" wrapText="1"/>
    </xf>
    <xf numFmtId="0" fontId="0" fillId="0" borderId="35" xfId="0" applyBorder="1"/>
    <xf numFmtId="164" fontId="2" fillId="0" borderId="1" xfId="0" applyNumberFormat="1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9" fillId="12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9" fillId="12" borderId="41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0" fillId="0" borderId="12" xfId="0" applyBorder="1"/>
    <xf numFmtId="0" fontId="0" fillId="0" borderId="4" xfId="0" applyBorder="1"/>
    <xf numFmtId="0" fontId="0" fillId="0" borderId="15" xfId="0" applyBorder="1"/>
    <xf numFmtId="0" fontId="11" fillId="12" borderId="18" xfId="0" applyFont="1" applyFill="1" applyBorder="1" applyAlignment="1">
      <alignment horizontal="center" vertical="center" wrapText="1"/>
    </xf>
    <xf numFmtId="0" fontId="3" fillId="0" borderId="0" xfId="0" applyFont="1"/>
    <xf numFmtId="17" fontId="6" fillId="5" borderId="1" xfId="0" applyNumberFormat="1" applyFont="1" applyFill="1" applyBorder="1" applyAlignment="1">
      <alignment horizontal="left" vertical="center" wrapText="1"/>
    </xf>
    <xf numFmtId="0" fontId="8" fillId="12" borderId="18" xfId="0" applyFont="1" applyFill="1" applyBorder="1" applyAlignment="1">
      <alignment horizontal="center" vertical="center" wrapText="1"/>
    </xf>
    <xf numFmtId="17" fontId="7" fillId="0" borderId="0" xfId="0" applyNumberFormat="1" applyFont="1" applyAlignment="1">
      <alignment horizontal="left" vertical="center" wrapText="1"/>
    </xf>
    <xf numFmtId="0" fontId="44" fillId="0" borderId="45" xfId="0" applyFont="1" applyBorder="1" applyAlignment="1">
      <alignment horizontal="left" vertical="center" wrapText="1"/>
    </xf>
    <xf numFmtId="0" fontId="0" fillId="0" borderId="46" xfId="0" applyBorder="1"/>
    <xf numFmtId="0" fontId="0" fillId="0" borderId="47" xfId="0" applyBorder="1"/>
    <xf numFmtId="0" fontId="42" fillId="40" borderId="45" xfId="0" applyFont="1" applyFill="1" applyBorder="1" applyAlignment="1">
      <alignment horizontal="center" vertical="center"/>
    </xf>
    <xf numFmtId="0" fontId="42" fillId="0" borderId="45" xfId="0" applyFont="1" applyBorder="1" applyAlignment="1">
      <alignment horizontal="left" vertical="center" wrapText="1"/>
    </xf>
    <xf numFmtId="0" fontId="43" fillId="13" borderId="45" xfId="0" applyFont="1" applyFill="1" applyBorder="1" applyAlignment="1">
      <alignment horizontal="left" vertical="center"/>
    </xf>
    <xf numFmtId="0" fontId="0" fillId="0" borderId="0" xfId="0"/>
    <xf numFmtId="0" fontId="42" fillId="30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8" fillId="1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17" fontId="14" fillId="0" borderId="1" xfId="0" applyNumberFormat="1" applyFont="1" applyBorder="1" applyAlignment="1">
      <alignment horizontal="left" vertical="center" wrapText="1"/>
    </xf>
    <xf numFmtId="2" fontId="18" fillId="28" borderId="1" xfId="2" applyNumberFormat="1" applyFont="1" applyFill="1" applyBorder="1" applyAlignment="1">
      <alignment horizontal="center" vertical="center"/>
    </xf>
    <xf numFmtId="0" fontId="31" fillId="19" borderId="1" xfId="2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left" vertical="center" wrapText="1"/>
    </xf>
    <xf numFmtId="0" fontId="26" fillId="13" borderId="1" xfId="2" applyFont="1" applyFill="1" applyBorder="1" applyAlignment="1">
      <alignment horizontal="center" vertical="center"/>
    </xf>
    <xf numFmtId="0" fontId="31" fillId="24" borderId="1" xfId="2" applyFont="1" applyFill="1" applyBorder="1" applyAlignment="1">
      <alignment horizontal="center" vertical="center" wrapText="1"/>
    </xf>
    <xf numFmtId="0" fontId="34" fillId="12" borderId="1" xfId="0" applyFont="1" applyFill="1" applyBorder="1" applyAlignment="1">
      <alignment horizontal="center" vertical="center" wrapText="1"/>
    </xf>
    <xf numFmtId="0" fontId="31" fillId="21" borderId="1" xfId="2" applyFont="1" applyFill="1" applyBorder="1" applyAlignment="1">
      <alignment horizontal="center" vertical="center" wrapText="1"/>
    </xf>
    <xf numFmtId="17" fontId="33" fillId="5" borderId="1" xfId="0" applyNumberFormat="1" applyFont="1" applyFill="1" applyBorder="1" applyAlignment="1">
      <alignment horizontal="left" vertical="center" wrapText="1"/>
    </xf>
    <xf numFmtId="0" fontId="31" fillId="25" borderId="1" xfId="2" applyFont="1" applyFill="1" applyBorder="1" applyAlignment="1">
      <alignment horizontal="center" vertical="center" wrapText="1"/>
    </xf>
    <xf numFmtId="0" fontId="13" fillId="30" borderId="1" xfId="2" applyFont="1" applyFill="1" applyBorder="1" applyAlignment="1">
      <alignment vertical="center"/>
    </xf>
    <xf numFmtId="2" fontId="18" fillId="29" borderId="0" xfId="2" applyNumberFormat="1" applyFont="1" applyFill="1" applyAlignment="1">
      <alignment horizontal="center" vertical="center"/>
    </xf>
    <xf numFmtId="0" fontId="6" fillId="0" borderId="0" xfId="2" applyFont="1"/>
    <xf numFmtId="0" fontId="14" fillId="2" borderId="1" xfId="2" applyFont="1" applyFill="1" applyBorder="1" applyAlignment="1">
      <alignment horizontal="left" vertical="center" wrapText="1"/>
    </xf>
    <xf numFmtId="0" fontId="26" fillId="12" borderId="1" xfId="2" applyFont="1" applyFill="1" applyBorder="1" applyAlignment="1">
      <alignment horizontal="center" vertical="center"/>
    </xf>
    <xf numFmtId="17" fontId="14" fillId="2" borderId="1" xfId="2" applyNumberFormat="1" applyFont="1" applyFill="1" applyBorder="1" applyAlignment="1">
      <alignment horizontal="left" vertical="center" wrapText="1"/>
    </xf>
    <xf numFmtId="2" fontId="20" fillId="29" borderId="0" xfId="2" applyNumberFormat="1" applyFont="1" applyFill="1" applyAlignment="1">
      <alignment horizontal="center" vertical="center"/>
    </xf>
    <xf numFmtId="0" fontId="17" fillId="0" borderId="0" xfId="2" applyFont="1"/>
    <xf numFmtId="0" fontId="20" fillId="12" borderId="1" xfId="2" applyFont="1" applyFill="1" applyBorder="1" applyAlignment="1">
      <alignment horizontal="center" vertical="center"/>
    </xf>
    <xf numFmtId="0" fontId="26" fillId="12" borderId="0" xfId="2" applyFont="1" applyFill="1" applyAlignment="1">
      <alignment horizontal="center" vertical="center"/>
    </xf>
    <xf numFmtId="0" fontId="27" fillId="0" borderId="1" xfId="2" applyFont="1" applyBorder="1" applyAlignment="1">
      <alignment horizontal="left" vertical="center" wrapText="1"/>
    </xf>
    <xf numFmtId="0" fontId="17" fillId="0" borderId="1" xfId="2" applyFont="1" applyBorder="1" applyAlignment="1">
      <alignment horizontal="left" vertical="center" wrapText="1"/>
    </xf>
    <xf numFmtId="0" fontId="15" fillId="35" borderId="0" xfId="3" applyFont="1" applyFill="1" applyAlignment="1">
      <alignment horizontal="center" vertical="center" wrapText="1"/>
    </xf>
    <xf numFmtId="0" fontId="1" fillId="0" borderId="0" xfId="3" applyFont="1" applyAlignment="1">
      <alignment horizontal="center" vertical="center" wrapText="1"/>
    </xf>
    <xf numFmtId="0" fontId="6" fillId="0" borderId="1" xfId="3" applyFont="1" applyBorder="1" applyAlignment="1">
      <alignment horizontal="left" vertical="center" wrapText="1"/>
    </xf>
    <xf numFmtId="17" fontId="6" fillId="0" borderId="1" xfId="3" applyNumberFormat="1" applyFont="1" applyBorder="1" applyAlignment="1">
      <alignment horizontal="left" vertical="center" wrapText="1"/>
    </xf>
    <xf numFmtId="0" fontId="15" fillId="13" borderId="1" xfId="2" applyFont="1" applyFill="1" applyBorder="1" applyAlignment="1">
      <alignment horizontal="center" vertical="center" wrapText="1"/>
    </xf>
    <xf numFmtId="0" fontId="26" fillId="12" borderId="18" xfId="2" applyFont="1" applyFill="1" applyBorder="1" applyAlignment="1">
      <alignment horizontal="center" vertical="center"/>
    </xf>
    <xf numFmtId="17" fontId="6" fillId="0" borderId="1" xfId="2" applyNumberFormat="1" applyFont="1" applyBorder="1" applyAlignment="1">
      <alignment horizontal="left"/>
    </xf>
    <xf numFmtId="0" fontId="23" fillId="13" borderId="0" xfId="2" applyFont="1" applyFill="1" applyAlignment="1">
      <alignment horizontal="center" vertical="center" wrapText="1"/>
    </xf>
    <xf numFmtId="0" fontId="24" fillId="0" borderId="0" xfId="2"/>
    <xf numFmtId="0" fontId="24" fillId="18" borderId="0" xfId="2" applyFill="1" applyAlignment="1">
      <alignment wrapText="1"/>
    </xf>
    <xf numFmtId="0" fontId="22" fillId="20" borderId="0" xfId="2" applyFont="1" applyFill="1" applyAlignment="1">
      <alignment horizontal="center"/>
    </xf>
    <xf numFmtId="0" fontId="25" fillId="28" borderId="0" xfId="2" applyFont="1" applyFill="1" applyAlignment="1">
      <alignment horizontal="center" vertical="center"/>
    </xf>
    <xf numFmtId="0" fontId="40" fillId="0" borderId="42" xfId="0" applyFont="1" applyBorder="1" applyAlignment="1">
      <alignment horizontal="center" vertical="center"/>
    </xf>
    <xf numFmtId="0" fontId="0" fillId="0" borderId="44" xfId="0" applyBorder="1"/>
    <xf numFmtId="0" fontId="41" fillId="0" borderId="42" xfId="0" applyFont="1" applyBorder="1" applyAlignment="1">
      <alignment horizontal="left" vertical="center" wrapText="1"/>
    </xf>
    <xf numFmtId="0" fontId="0" fillId="0" borderId="43" xfId="0" applyBorder="1"/>
    <xf numFmtId="0" fontId="39" fillId="39" borderId="42" xfId="0" applyFont="1" applyFill="1" applyBorder="1" applyAlignment="1">
      <alignment horizontal="center" vertical="center" wrapText="1"/>
    </xf>
    <xf numFmtId="17" fontId="41" fillId="0" borderId="42" xfId="0" applyNumberFormat="1" applyFont="1" applyBorder="1" applyAlignment="1">
      <alignment horizontal="left" vertical="center" wrapText="1"/>
    </xf>
    <xf numFmtId="0" fontId="42" fillId="40" borderId="42" xfId="0" applyFont="1" applyFill="1" applyBorder="1" applyAlignment="1">
      <alignment horizontal="left" vertical="center" wrapText="1"/>
    </xf>
    <xf numFmtId="0" fontId="44" fillId="0" borderId="42" xfId="0" applyFont="1" applyBorder="1" applyAlignment="1">
      <alignment horizontal="left" vertical="center"/>
    </xf>
    <xf numFmtId="0" fontId="42" fillId="40" borderId="42" xfId="0" applyFont="1" applyFill="1" applyBorder="1" applyAlignment="1">
      <alignment horizontal="left" vertical="center"/>
    </xf>
    <xf numFmtId="0" fontId="46" fillId="0" borderId="0" xfId="0" applyFont="1" applyAlignment="1">
      <alignment horizontal="left" vertical="center" wrapText="1"/>
    </xf>
    <xf numFmtId="49" fontId="3" fillId="0" borderId="1" xfId="0" applyNumberFormat="1" applyFont="1" applyFill="1" applyBorder="1" applyAlignment="1">
      <alignment wrapText="1"/>
    </xf>
    <xf numFmtId="49" fontId="3" fillId="0" borderId="1" xfId="0" applyNumberFormat="1" applyFont="1" applyFill="1" applyBorder="1" applyAlignment="1">
      <alignment horizontal="center" wrapText="1"/>
    </xf>
    <xf numFmtId="2" fontId="3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49" fontId="5" fillId="0" borderId="1" xfId="0" applyNumberFormat="1" applyFont="1" applyFill="1" applyBorder="1" applyAlignment="1">
      <alignment wrapText="1"/>
    </xf>
    <xf numFmtId="0" fontId="3" fillId="0" borderId="0" xfId="0" applyFont="1" applyFill="1" applyAlignment="1">
      <alignment horizontal="center" vertical="center"/>
    </xf>
    <xf numFmtId="164" fontId="44" fillId="43" borderId="42" xfId="0" applyNumberFormat="1" applyFont="1" applyFill="1" applyBorder="1" applyAlignment="1">
      <alignment horizontal="center" vertical="center"/>
    </xf>
    <xf numFmtId="2" fontId="44" fillId="41" borderId="42" xfId="0" applyNumberFormat="1" applyFont="1" applyFill="1" applyBorder="1" applyAlignment="1">
      <alignment horizontal="center" vertical="center"/>
    </xf>
    <xf numFmtId="164" fontId="44" fillId="41" borderId="42" xfId="0" applyNumberFormat="1" applyFont="1" applyFill="1" applyBorder="1" applyAlignment="1">
      <alignment horizontal="center" vertical="center"/>
    </xf>
    <xf numFmtId="0" fontId="44" fillId="0" borderId="42" xfId="0" applyFont="1" applyBorder="1" applyAlignment="1">
      <alignment horizontal="left" vertical="center" wrapText="1"/>
    </xf>
    <xf numFmtId="164" fontId="42" fillId="46" borderId="42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19">
    <dxf>
      <font>
        <color rgb="FF7F7F7F"/>
      </font>
      <fill>
        <patternFill patternType="solid">
          <bgColor rgb="FFF2F2F2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85723"/>
      </font>
      <fill>
        <patternFill patternType="solid">
          <bgColor rgb="FFE2F0D9"/>
        </patternFill>
      </fill>
    </dxf>
    <dxf>
      <font>
        <color rgb="FF7F7F7F"/>
      </font>
      <fill>
        <patternFill patternType="solid">
          <bgColor rgb="FFF2F2F2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85723"/>
      </font>
      <fill>
        <patternFill patternType="solid">
          <bgColor rgb="FFE2F0D9"/>
        </patternFill>
      </fill>
    </dxf>
    <dxf>
      <font>
        <color rgb="FF7F7F7F"/>
      </font>
      <fill>
        <patternFill patternType="solid">
          <bgColor rgb="FFF2F2F2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85723"/>
      </font>
      <fill>
        <patternFill patternType="solid">
          <bgColor rgb="FFE2F0D9"/>
        </patternFill>
      </fill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  <fill>
        <patternFill patternType="solid">
          <fgColor indexed="64"/>
          <bgColor theme="4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ACU1" Type="http://schemas.openxmlformats.org/officeDocument/2006/relationships/worksheet" Target="worksheets/sheet23.xml"/><Relationship Id="rIdACU2" Type="http://schemas.openxmlformats.org/officeDocument/2006/relationships/worksheet" Target="worksheets/sheet2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DrenajePisoSumideros" displayName="TablaDrenajePisoSumideros" ref="A7:G12" headerRowDxfId="18" dataDxfId="17" totalsRowDxfId="16">
  <tableColumns count="7">
    <tableColumn id="1" xr3:uid="{00000000-0010-0000-0000-000001000000}" name="SECTOR" dataDxfId="15"/>
    <tableColumn id="2" xr3:uid="{00000000-0010-0000-0000-000002000000}" name="TUBERÍA 4&quot; PVC-U_x000a_Desagüe Clase Pesada (m)" dataDxfId="14"/>
    <tableColumn id="3" xr3:uid="{00000000-0010-0000-0000-000003000000}" name="SUMIDERO DE 4&quot;_x000a_(und)" dataDxfId="13"/>
    <tableColumn id="4" xr3:uid="{00000000-0010-0000-0000-000004000000}" name="CODO 90° x 4&quot;_x000a_(und)" dataDxfId="12"/>
    <tableColumn id="5" xr3:uid="{00000000-0010-0000-0000-000005000000}" name="CODO 45° x 4&quot;_x000a_(und)" dataDxfId="11"/>
    <tableColumn id="6" xr3:uid="{00000000-0010-0000-0000-000006000000}" name="TEE° x 4&quot;_x000a_(und)" dataDxfId="10"/>
    <tableColumn id="7" xr3:uid="{00000000-0010-0000-0000-000007000000}" name="OBSERVACIÓN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7.v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abSelected="1" view="pageBreakPreview" zoomScale="130" zoomScaleNormal="130" zoomScaleSheetLayoutView="130" workbookViewId="0">
      <selection activeCell="E39" sqref="E39"/>
    </sheetView>
  </sheetViews>
  <sheetFormatPr baseColWidth="10" defaultColWidth="11.54296875" defaultRowHeight="15.5"/>
  <cols>
    <col min="1" max="1" width="18.08984375" style="24" customWidth="1"/>
    <col min="2" max="2" width="74.08984375" style="24" customWidth="1"/>
    <col min="3" max="3" width="19.36328125" style="19" customWidth="1"/>
    <col min="4" max="4" width="21.54296875" style="19" customWidth="1"/>
    <col min="5" max="6" width="11.54296875" style="24" customWidth="1"/>
    <col min="7" max="16384" width="11.54296875" style="24"/>
  </cols>
  <sheetData>
    <row r="1" spans="1:5" ht="15.65" customHeight="1">
      <c r="A1" s="59"/>
      <c r="B1" s="153"/>
      <c r="C1" s="153"/>
      <c r="D1" s="153"/>
      <c r="E1" s="59"/>
    </row>
    <row r="2" spans="1:5" ht="23" customHeight="1">
      <c r="A2" s="234" t="s">
        <v>0</v>
      </c>
      <c r="B2" s="232"/>
      <c r="C2" s="232"/>
      <c r="D2" s="233"/>
    </row>
    <row r="3" spans="1:5" ht="5" hidden="1" customHeight="1">
      <c r="A3" s="58"/>
      <c r="B3" s="58"/>
      <c r="C3" s="58"/>
      <c r="D3" s="58"/>
    </row>
    <row r="4" spans="1:5" ht="21.65" customHeight="1">
      <c r="A4" s="97" t="s">
        <v>1</v>
      </c>
      <c r="B4" s="231" t="s">
        <v>2</v>
      </c>
      <c r="C4" s="232"/>
      <c r="D4" s="233"/>
    </row>
    <row r="5" spans="1:5" ht="79.5" customHeight="1">
      <c r="A5" s="96" t="s">
        <v>3</v>
      </c>
      <c r="B5" s="231" t="s">
        <v>4</v>
      </c>
      <c r="C5" s="232"/>
      <c r="D5" s="233"/>
    </row>
    <row r="6" spans="1:5" ht="18" customHeight="1">
      <c r="A6" s="97" t="s">
        <v>5</v>
      </c>
      <c r="B6" s="231" t="s">
        <v>6</v>
      </c>
      <c r="C6" s="232"/>
      <c r="D6" s="233"/>
    </row>
    <row r="7" spans="1:5" ht="25.25" customHeight="1">
      <c r="A7" s="97" t="s">
        <v>7</v>
      </c>
      <c r="B7" s="235">
        <v>46266</v>
      </c>
      <c r="C7" s="232"/>
      <c r="D7" s="233"/>
    </row>
    <row r="8" spans="1:5">
      <c r="A8" s="154" t="s">
        <v>8</v>
      </c>
      <c r="B8" s="154" t="s">
        <v>9</v>
      </c>
      <c r="C8" s="154" t="s">
        <v>10</v>
      </c>
      <c r="D8" s="154" t="s">
        <v>11</v>
      </c>
    </row>
    <row r="9" spans="1:5">
      <c r="A9" s="155" t="s">
        <v>12</v>
      </c>
      <c r="B9" s="155" t="s">
        <v>13</v>
      </c>
      <c r="C9" s="155"/>
      <c r="D9" s="155"/>
    </row>
    <row r="10" spans="1:5">
      <c r="A10" s="155" t="s">
        <v>14</v>
      </c>
      <c r="B10" s="155" t="s">
        <v>15</v>
      </c>
      <c r="C10" s="155"/>
      <c r="D10" s="155"/>
    </row>
    <row r="11" spans="1:5">
      <c r="A11" s="156" t="s">
        <v>16</v>
      </c>
      <c r="B11" s="157" t="s">
        <v>17</v>
      </c>
      <c r="C11" s="158" t="s">
        <v>18</v>
      </c>
      <c r="D11" s="159">
        <f>+'PLANILLA GENERAL DE METRADOS'!K11</f>
        <v>956.87199999999996</v>
      </c>
    </row>
    <row r="12" spans="1:5">
      <c r="A12" s="156" t="s">
        <v>19</v>
      </c>
      <c r="B12" s="156" t="s">
        <v>20</v>
      </c>
      <c r="C12" s="158" t="s">
        <v>18</v>
      </c>
      <c r="D12" s="159">
        <f>+'PLANILLA GENERAL DE METRADOS'!K24</f>
        <v>956.87199999999996</v>
      </c>
    </row>
    <row r="13" spans="1:5">
      <c r="A13" s="155" t="s">
        <v>21</v>
      </c>
      <c r="B13" s="155" t="s">
        <v>22</v>
      </c>
      <c r="C13" s="160"/>
      <c r="D13" s="161"/>
    </row>
    <row r="14" spans="1:5">
      <c r="A14" s="156" t="s">
        <v>23</v>
      </c>
      <c r="B14" s="156" t="s">
        <v>24</v>
      </c>
      <c r="C14" s="158" t="s">
        <v>25</v>
      </c>
      <c r="D14" s="159">
        <f>+'PLANILLA GENERAL DE METRADOS'!K38</f>
        <v>619.79763999999989</v>
      </c>
    </row>
    <row r="15" spans="1:5">
      <c r="A15" s="156" t="s">
        <v>26</v>
      </c>
      <c r="B15" s="156" t="s">
        <v>27</v>
      </c>
      <c r="C15" s="158" t="s">
        <v>25</v>
      </c>
      <c r="D15" s="159">
        <f>+'PLANILLA GENERAL DE METRADOS'!K51</f>
        <v>2.9119999999999999</v>
      </c>
    </row>
    <row r="16" spans="1:5">
      <c r="A16" s="156" t="s">
        <v>28</v>
      </c>
      <c r="B16" s="156" t="s">
        <v>29</v>
      </c>
      <c r="C16" s="158" t="s">
        <v>18</v>
      </c>
      <c r="D16" s="159">
        <f>+'PLANILLA GENERAL DE METRADOS'!K54</f>
        <v>410.08799999999997</v>
      </c>
    </row>
    <row r="17" spans="1:4">
      <c r="A17" s="156" t="s">
        <v>30</v>
      </c>
      <c r="B17" s="156" t="s">
        <v>964</v>
      </c>
      <c r="C17" s="158" t="s">
        <v>25</v>
      </c>
      <c r="D17" s="159">
        <f>+'PLANILLA GENERAL DE METRADOS'!K67</f>
        <v>343.77408000000003</v>
      </c>
    </row>
    <row r="18" spans="1:4">
      <c r="A18" s="156" t="s">
        <v>32</v>
      </c>
      <c r="B18" s="156" t="s">
        <v>965</v>
      </c>
      <c r="C18" s="158" t="s">
        <v>25</v>
      </c>
      <c r="D18" s="159">
        <f>+'PLANILLA GENERAL DE METRADOS'!K80</f>
        <v>331.22827199999983</v>
      </c>
    </row>
    <row r="19" spans="1:4">
      <c r="A19" s="155" t="s">
        <v>34</v>
      </c>
      <c r="B19" s="155" t="s">
        <v>35</v>
      </c>
      <c r="C19" s="160"/>
      <c r="D19" s="161"/>
    </row>
    <row r="20" spans="1:4">
      <c r="A20" s="156" t="s">
        <v>36</v>
      </c>
      <c r="B20" s="156" t="s">
        <v>37</v>
      </c>
      <c r="C20" s="158" t="s">
        <v>18</v>
      </c>
      <c r="D20" s="159">
        <f>+'PLANILLA GENERAL DE METRADOS'!K84</f>
        <v>410.08799999999997</v>
      </c>
    </row>
    <row r="21" spans="1:4">
      <c r="A21" s="156" t="s">
        <v>38</v>
      </c>
      <c r="B21" s="156" t="s">
        <v>39</v>
      </c>
      <c r="C21" s="158" t="s">
        <v>25</v>
      </c>
      <c r="D21" s="159">
        <f>+'PLANILLA GENERAL DE METRADOS'!K97</f>
        <v>2.9119999999999999</v>
      </c>
    </row>
    <row r="22" spans="1:4">
      <c r="A22" s="155" t="s">
        <v>40</v>
      </c>
      <c r="B22" s="155" t="s">
        <v>41</v>
      </c>
      <c r="C22" s="160"/>
      <c r="D22" s="161"/>
    </row>
    <row r="23" spans="1:4">
      <c r="A23" s="156" t="s">
        <v>42</v>
      </c>
      <c r="B23" s="162" t="s">
        <v>43</v>
      </c>
      <c r="C23" s="158"/>
      <c r="D23" s="159"/>
    </row>
    <row r="24" spans="1:4">
      <c r="A24" s="156" t="s">
        <v>44</v>
      </c>
      <c r="B24" s="156" t="s">
        <v>966</v>
      </c>
      <c r="C24" s="158" t="s">
        <v>25</v>
      </c>
      <c r="D24" s="159">
        <f>+'PLANILLA GENERAL DE METRADOS'!K101</f>
        <v>122.64579999999999</v>
      </c>
    </row>
    <row r="25" spans="1:4">
      <c r="A25" s="156" t="s">
        <v>46</v>
      </c>
      <c r="B25" s="156" t="s">
        <v>967</v>
      </c>
      <c r="C25" s="158" t="s">
        <v>18</v>
      </c>
      <c r="D25" s="159">
        <f>+'PLANILLA GENERAL DE METRADOS'!K114</f>
        <v>1661.96</v>
      </c>
    </row>
    <row r="26" spans="1:4">
      <c r="A26" s="156" t="s">
        <v>48</v>
      </c>
      <c r="B26" s="156" t="s">
        <v>49</v>
      </c>
      <c r="C26" s="158" t="s">
        <v>50</v>
      </c>
      <c r="D26" s="159">
        <f>+'PLANILLA GENERAL DE METRADOS'!K127</f>
        <v>4967.0517119999995</v>
      </c>
    </row>
    <row r="27" spans="1:4">
      <c r="A27" s="156" t="s">
        <v>51</v>
      </c>
      <c r="B27" s="156" t="s">
        <v>52</v>
      </c>
      <c r="C27" s="158" t="s">
        <v>18</v>
      </c>
      <c r="D27" s="159">
        <f>+'METRADO DE CURADO'!M38</f>
        <v>1084.2058999999999</v>
      </c>
    </row>
    <row r="28" spans="1:4">
      <c r="A28" s="156" t="s">
        <v>53</v>
      </c>
      <c r="B28" s="162" t="s">
        <v>54</v>
      </c>
      <c r="C28" s="158"/>
      <c r="D28" s="159"/>
    </row>
    <row r="29" spans="1:4">
      <c r="A29" s="156" t="s">
        <v>55</v>
      </c>
      <c r="B29" s="156" t="s">
        <v>183</v>
      </c>
      <c r="C29" s="158" t="s">
        <v>69</v>
      </c>
      <c r="D29" s="159">
        <f>+'PLANILLA GENERAL DE METRADOS'!K132</f>
        <v>510.11</v>
      </c>
    </row>
    <row r="30" spans="1:4">
      <c r="A30" s="156" t="s">
        <v>58</v>
      </c>
      <c r="B30" s="156" t="s">
        <v>59</v>
      </c>
      <c r="C30" s="158" t="s">
        <v>60</v>
      </c>
      <c r="D30" s="159">
        <f>+'PLANILLA GENERAL DE METRADOS'!K133</f>
        <v>17</v>
      </c>
    </row>
    <row r="31" spans="1:4">
      <c r="A31" s="156" t="s">
        <v>61</v>
      </c>
      <c r="B31" s="156" t="s">
        <v>62</v>
      </c>
      <c r="C31" s="158" t="s">
        <v>69</v>
      </c>
      <c r="D31" s="159">
        <f>+'PLANILLA GENERAL DE METRADOS'!K134</f>
        <v>241.95954396630202</v>
      </c>
    </row>
    <row r="32" spans="1:4">
      <c r="A32" s="155" t="s">
        <v>63</v>
      </c>
      <c r="B32" s="155" t="s">
        <v>64</v>
      </c>
      <c r="C32" s="160"/>
      <c r="D32" s="161"/>
    </row>
    <row r="33" spans="1:4" ht="18.5" customHeight="1">
      <c r="A33" s="156" t="s">
        <v>65</v>
      </c>
      <c r="B33" s="162" t="s">
        <v>66</v>
      </c>
      <c r="C33" s="158"/>
      <c r="D33" s="159"/>
    </row>
    <row r="34" spans="1:4" ht="18.5" customHeight="1">
      <c r="A34" s="355" t="s">
        <v>67</v>
      </c>
      <c r="B34" s="355" t="s">
        <v>184</v>
      </c>
      <c r="C34" s="356" t="s">
        <v>69</v>
      </c>
      <c r="D34" s="357">
        <f>+'PLANILLA GENERAL DE METRADOS'!K138</f>
        <v>380.86</v>
      </c>
    </row>
    <row r="35" spans="1:4" ht="18.5" customHeight="1">
      <c r="A35" s="163" t="s">
        <v>70</v>
      </c>
      <c r="B35" s="163" t="s">
        <v>71</v>
      </c>
      <c r="C35" s="158" t="s">
        <v>60</v>
      </c>
      <c r="D35" s="159">
        <f>+'PLANILLA GENERAL DE METRADOS'!K139</f>
        <v>52</v>
      </c>
    </row>
    <row r="36" spans="1:4" ht="18.5" customHeight="1">
      <c r="A36" s="163" t="s">
        <v>72</v>
      </c>
      <c r="B36" s="163" t="s">
        <v>73</v>
      </c>
      <c r="C36" s="158" t="s">
        <v>25</v>
      </c>
      <c r="D36" s="159">
        <f>+'PLANILLA GENERAL DE METRADOS'!K140</f>
        <v>2.0280000000000005</v>
      </c>
    </row>
    <row r="37" spans="1:4">
      <c r="A37" s="163" t="s">
        <v>74</v>
      </c>
      <c r="B37" s="163" t="s">
        <v>75</v>
      </c>
      <c r="C37" s="158" t="s">
        <v>18</v>
      </c>
      <c r="D37" s="159">
        <f>+'PLANILLA GENERAL DE METRADOS'!K142</f>
        <v>33.800000000000004</v>
      </c>
    </row>
    <row r="38" spans="1:4">
      <c r="A38" s="163" t="s">
        <v>76</v>
      </c>
      <c r="B38" s="163" t="s">
        <v>77</v>
      </c>
      <c r="C38" s="158" t="s">
        <v>50</v>
      </c>
      <c r="D38" s="159">
        <f>+'PLANILLA GENERAL DE METRADOS'!K145</f>
        <v>291.7824</v>
      </c>
    </row>
    <row r="39" spans="1:4" ht="18" customHeight="1">
      <c r="A39" s="163" t="s">
        <v>78</v>
      </c>
      <c r="B39" s="163" t="s">
        <v>79</v>
      </c>
      <c r="C39" s="158" t="s">
        <v>69</v>
      </c>
      <c r="D39" s="159">
        <f>+'PLANILLA GENERAL DE METRADOS'!K148</f>
        <v>513.98</v>
      </c>
    </row>
    <row r="40" spans="1:4" ht="18" customHeight="1">
      <c r="A40" s="163" t="s">
        <v>80</v>
      </c>
      <c r="B40" s="163" t="s">
        <v>81</v>
      </c>
      <c r="C40" s="158" t="s">
        <v>60</v>
      </c>
      <c r="D40" s="159">
        <f>+'PLANILLA GENERAL DE METRADOS'!K149</f>
        <v>884</v>
      </c>
    </row>
    <row r="41" spans="1:4" ht="21" customHeight="1">
      <c r="A41" s="163" t="s">
        <v>82</v>
      </c>
      <c r="B41" s="163" t="s">
        <v>83</v>
      </c>
      <c r="C41" s="158" t="s">
        <v>60</v>
      </c>
      <c r="D41" s="159">
        <f>+'PLANILLA GENERAL DE METRADOS'!K150</f>
        <v>40</v>
      </c>
    </row>
    <row r="42" spans="1:4" ht="34.5" customHeight="1">
      <c r="A42" s="163" t="s">
        <v>84</v>
      </c>
      <c r="B42" s="163" t="s">
        <v>85</v>
      </c>
      <c r="C42" s="158" t="s">
        <v>60</v>
      </c>
      <c r="D42" s="159">
        <f>+'PLANILLA GENERAL DE METRADOS'!K151</f>
        <v>52</v>
      </c>
    </row>
    <row r="43" spans="1:4">
      <c r="A43" s="156" t="s">
        <v>86</v>
      </c>
      <c r="B43" s="162" t="s">
        <v>87</v>
      </c>
      <c r="C43" s="158"/>
      <c r="D43" s="159"/>
    </row>
    <row r="44" spans="1:4">
      <c r="A44" s="156" t="s">
        <v>88</v>
      </c>
      <c r="B44" s="156" t="s">
        <v>968</v>
      </c>
      <c r="C44" s="158" t="s">
        <v>69</v>
      </c>
      <c r="D44" s="159">
        <f>+'PLANILLA GENERAL DE METRADOS'!K154</f>
        <v>112.26</v>
      </c>
    </row>
    <row r="45" spans="1:4">
      <c r="A45" s="156" t="s">
        <v>90</v>
      </c>
      <c r="B45" s="156" t="s">
        <v>91</v>
      </c>
      <c r="C45" s="158" t="s">
        <v>60</v>
      </c>
      <c r="D45" s="159">
        <f>+'PLANILLA GENERAL DE METRADOS'!K155</f>
        <v>30</v>
      </c>
    </row>
    <row r="46" spans="1:4">
      <c r="A46" s="156" t="s">
        <v>92</v>
      </c>
      <c r="B46" s="156" t="s">
        <v>99</v>
      </c>
      <c r="C46" s="158" t="s">
        <v>60</v>
      </c>
      <c r="D46" s="159">
        <f>+'PLANILLA GENERAL DE METRADOS'!K156</f>
        <v>24</v>
      </c>
    </row>
    <row r="47" spans="1:4">
      <c r="A47" s="156" t="s">
        <v>94</v>
      </c>
      <c r="B47" s="156" t="s">
        <v>969</v>
      </c>
      <c r="C47" s="158" t="s">
        <v>60</v>
      </c>
      <c r="D47" s="159">
        <f>+'PLANILLA GENERAL DE METRADOS'!K157</f>
        <v>4</v>
      </c>
    </row>
    <row r="48" spans="1:4" s="358" customFormat="1">
      <c r="A48" s="355" t="s">
        <v>96</v>
      </c>
      <c r="B48" s="359" t="s">
        <v>97</v>
      </c>
      <c r="C48" s="356"/>
      <c r="D48" s="357"/>
    </row>
    <row r="49" spans="1:4" s="358" customFormat="1">
      <c r="A49" s="355" t="s">
        <v>98</v>
      </c>
      <c r="B49" s="355" t="s">
        <v>99</v>
      </c>
      <c r="C49" s="356" t="s">
        <v>60</v>
      </c>
      <c r="D49" s="357">
        <f>+'PLANILLA GENERAL DE METRADOS'!K160</f>
        <v>162</v>
      </c>
    </row>
    <row r="50" spans="1:4" s="358" customFormat="1">
      <c r="A50" s="355" t="s">
        <v>100</v>
      </c>
      <c r="B50" s="355" t="s">
        <v>101</v>
      </c>
      <c r="C50" s="356" t="s">
        <v>60</v>
      </c>
      <c r="D50" s="357">
        <f>+'PLANILLA GENERAL DE METRADOS'!K161</f>
        <v>90</v>
      </c>
    </row>
    <row r="51" spans="1:4" s="358" customFormat="1">
      <c r="A51" s="355" t="s">
        <v>102</v>
      </c>
      <c r="B51" s="355" t="s">
        <v>103</v>
      </c>
      <c r="C51" s="356" t="s">
        <v>60</v>
      </c>
      <c r="D51" s="357">
        <f>+'PLANILLA GENERAL DE METRADOS'!K162</f>
        <v>70</v>
      </c>
    </row>
    <row r="52" spans="1:4" s="358" customFormat="1">
      <c r="C52" s="360"/>
      <c r="D52" s="360"/>
    </row>
    <row r="53" spans="1:4" ht="31" customHeight="1">
      <c r="A53" s="155" t="s">
        <v>104</v>
      </c>
      <c r="B53" s="155" t="s">
        <v>105</v>
      </c>
      <c r="C53" s="155"/>
      <c r="D53" s="155"/>
    </row>
    <row r="54" spans="1:4">
      <c r="A54" s="155" t="s">
        <v>106</v>
      </c>
      <c r="B54" s="155" t="s">
        <v>15</v>
      </c>
      <c r="C54" s="155"/>
      <c r="D54" s="155"/>
    </row>
    <row r="55" spans="1:4">
      <c r="A55" s="156" t="s">
        <v>107</v>
      </c>
      <c r="B55" s="157" t="s">
        <v>17</v>
      </c>
      <c r="C55" s="158" t="s">
        <v>18</v>
      </c>
      <c r="D55" s="159">
        <f>+'PLANILLA GENERAL DE METRADOS'!K166</f>
        <v>125.854</v>
      </c>
    </row>
    <row r="56" spans="1:4">
      <c r="A56" s="156" t="s">
        <v>108</v>
      </c>
      <c r="B56" s="157" t="s">
        <v>20</v>
      </c>
      <c r="C56" s="158" t="s">
        <v>18</v>
      </c>
      <c r="D56" s="159">
        <f>+'PLANILLA GENERAL DE METRADOS'!K176</f>
        <v>125.854</v>
      </c>
    </row>
    <row r="57" spans="1:4">
      <c r="A57" s="155" t="s">
        <v>109</v>
      </c>
      <c r="B57" s="155" t="s">
        <v>22</v>
      </c>
      <c r="C57" s="155"/>
      <c r="D57" s="155"/>
    </row>
    <row r="58" spans="1:4">
      <c r="A58" s="156" t="s">
        <v>110</v>
      </c>
      <c r="B58" s="157" t="s">
        <v>970</v>
      </c>
      <c r="C58" s="158" t="s">
        <v>25</v>
      </c>
      <c r="D58" s="159">
        <f>+'PLANILLA GENERAL DE METRADOS'!K187</f>
        <v>164.89437599999965</v>
      </c>
    </row>
    <row r="59" spans="1:4">
      <c r="A59" s="156" t="s">
        <v>112</v>
      </c>
      <c r="B59" s="157" t="s">
        <v>29</v>
      </c>
      <c r="C59" s="158" t="s">
        <v>18</v>
      </c>
      <c r="D59" s="159">
        <f>+'PLANILLA GENERAL DE METRADOS'!K197</f>
        <v>93.937999999999988</v>
      </c>
    </row>
    <row r="60" spans="1:4" ht="31" customHeight="1">
      <c r="A60" s="156" t="s">
        <v>113</v>
      </c>
      <c r="B60" s="157" t="s">
        <v>964</v>
      </c>
      <c r="C60" s="158" t="s">
        <v>25</v>
      </c>
      <c r="D60" s="159">
        <f>+'PLANILLA GENERAL DE METRADOS'!K207</f>
        <v>82.773335000000117</v>
      </c>
    </row>
    <row r="61" spans="1:4">
      <c r="A61" s="156" t="s">
        <v>115</v>
      </c>
      <c r="B61" s="157" t="s">
        <v>965</v>
      </c>
      <c r="C61" s="158" t="s">
        <v>25</v>
      </c>
      <c r="D61" s="159">
        <f>+'PLANILLA GENERAL DE METRADOS'!K224</f>
        <v>98.545249199999446</v>
      </c>
    </row>
    <row r="62" spans="1:4">
      <c r="A62" s="155" t="s">
        <v>116</v>
      </c>
      <c r="B62" s="155" t="s">
        <v>35</v>
      </c>
      <c r="C62" s="155"/>
      <c r="D62" s="155"/>
    </row>
    <row r="63" spans="1:4">
      <c r="A63" s="156" t="s">
        <v>117</v>
      </c>
      <c r="B63" s="157" t="s">
        <v>971</v>
      </c>
      <c r="C63" s="158" t="s">
        <v>18</v>
      </c>
      <c r="D63" s="159">
        <f>+'PLANILLA GENERAL DE METRADOS'!K228</f>
        <v>93.937999999999988</v>
      </c>
    </row>
    <row r="64" spans="1:4">
      <c r="A64" s="155" t="s">
        <v>119</v>
      </c>
      <c r="B64" s="155" t="s">
        <v>120</v>
      </c>
      <c r="C64" s="155"/>
      <c r="D64" s="155"/>
    </row>
    <row r="65" spans="1:4">
      <c r="A65" s="156" t="s">
        <v>121</v>
      </c>
      <c r="B65" s="157" t="s">
        <v>976</v>
      </c>
      <c r="C65" s="158" t="s">
        <v>25</v>
      </c>
      <c r="D65" s="159">
        <f>+'PLANILLA GENERAL DE METRADOS'!K239</f>
        <v>58.313615999999883</v>
      </c>
    </row>
    <row r="66" spans="1:4">
      <c r="A66" s="156" t="s">
        <v>123</v>
      </c>
      <c r="B66" s="157" t="s">
        <v>972</v>
      </c>
      <c r="C66" s="158" t="s">
        <v>18</v>
      </c>
      <c r="D66" s="159">
        <f>+'PLANILLA GENERAL DE METRADOS'!K271</f>
        <v>585.23187999999834</v>
      </c>
    </row>
    <row r="67" spans="1:4">
      <c r="A67" s="156" t="s">
        <v>125</v>
      </c>
      <c r="B67" s="157" t="s">
        <v>973</v>
      </c>
      <c r="C67" s="158" t="s">
        <v>50</v>
      </c>
      <c r="D67" s="159">
        <f>+'PLANILLA GENERAL DE METRADOS'!K281</f>
        <v>3056.4463751111011</v>
      </c>
    </row>
    <row r="68" spans="1:4">
      <c r="A68" s="156" t="s">
        <v>127</v>
      </c>
      <c r="B68" s="157" t="s">
        <v>963</v>
      </c>
      <c r="C68" s="158" t="s">
        <v>18</v>
      </c>
      <c r="D68" s="159">
        <f>+'PLANILLA GENERAL DE METRADOS'!K291</f>
        <v>86.059000000000012</v>
      </c>
    </row>
    <row r="69" spans="1:4">
      <c r="A69" s="156" t="s">
        <v>129</v>
      </c>
      <c r="B69" s="157" t="s">
        <v>974</v>
      </c>
      <c r="C69" s="158" t="s">
        <v>18</v>
      </c>
      <c r="D69" s="159">
        <f>+'PLANILLA GENERAL DE METRADOS'!K301</f>
        <v>390.60443999999916</v>
      </c>
    </row>
    <row r="70" spans="1:4">
      <c r="A70" s="155" t="s">
        <v>135</v>
      </c>
      <c r="B70" s="155" t="s">
        <v>136</v>
      </c>
      <c r="C70" s="155"/>
      <c r="D70" s="155"/>
    </row>
    <row r="71" spans="1:4">
      <c r="A71" s="156" t="s">
        <v>137</v>
      </c>
      <c r="B71" s="157" t="s">
        <v>138</v>
      </c>
      <c r="C71" s="158" t="s">
        <v>60</v>
      </c>
      <c r="D71" s="159">
        <f>+'PLANILLA GENERAL DE METRADOS'!K312</f>
        <v>10</v>
      </c>
    </row>
    <row r="72" spans="1:4">
      <c r="A72" s="156" t="s">
        <v>139</v>
      </c>
      <c r="B72" s="157" t="s">
        <v>140</v>
      </c>
      <c r="C72" s="158" t="s">
        <v>60</v>
      </c>
      <c r="D72" s="159">
        <f>+'PLANILLA GENERAL DE METRADOS'!K313</f>
        <v>10</v>
      </c>
    </row>
    <row r="73" spans="1:4">
      <c r="A73" s="156" t="s">
        <v>141</v>
      </c>
      <c r="B73" s="157" t="s">
        <v>142</v>
      </c>
      <c r="C73" s="158" t="s">
        <v>50</v>
      </c>
      <c r="D73" s="159">
        <f>+'PLANILLA GENERAL DE METRADOS'!K314</f>
        <v>151.416</v>
      </c>
    </row>
    <row r="74" spans="1:4">
      <c r="A74" s="156" t="s">
        <v>143</v>
      </c>
      <c r="B74" s="157" t="s">
        <v>144</v>
      </c>
      <c r="C74" s="158" t="s">
        <v>60</v>
      </c>
      <c r="D74" s="159">
        <f>+'PLANILLA GENERAL DE METRADOS'!K315</f>
        <v>10</v>
      </c>
    </row>
    <row r="75" spans="1:4">
      <c r="A75" s="156" t="s">
        <v>145</v>
      </c>
      <c r="B75" s="157" t="s">
        <v>146</v>
      </c>
      <c r="C75" s="158" t="s">
        <v>25</v>
      </c>
      <c r="D75" s="159">
        <f>+'PLANILLA GENERAL DE METRADOS'!K316</f>
        <v>0.36992000000000003</v>
      </c>
    </row>
    <row r="76" spans="1:4">
      <c r="A76" s="156" t="s">
        <v>147</v>
      </c>
      <c r="B76" s="157" t="s">
        <v>148</v>
      </c>
      <c r="C76" s="158" t="s">
        <v>50</v>
      </c>
      <c r="D76" s="159">
        <f>+'PLANILLA GENERAL DE METRADOS'!K317</f>
        <v>173.376</v>
      </c>
    </row>
    <row r="77" spans="1:4">
      <c r="A77" s="156" t="s">
        <v>149</v>
      </c>
      <c r="B77" s="157" t="s">
        <v>150</v>
      </c>
      <c r="C77" s="158" t="s">
        <v>18</v>
      </c>
      <c r="D77" s="159">
        <f>+'PLANILLA GENERAL DE METRADOS'!K318</f>
        <v>9.8184000000000005</v>
      </c>
    </row>
    <row r="78" spans="1:4">
      <c r="A78" s="155" t="s">
        <v>151</v>
      </c>
      <c r="B78" s="155" t="s">
        <v>961</v>
      </c>
      <c r="C78" s="155"/>
      <c r="D78" s="155"/>
    </row>
    <row r="79" spans="1:4">
      <c r="A79" s="156" t="s">
        <v>152</v>
      </c>
      <c r="B79" s="157" t="s">
        <v>153</v>
      </c>
      <c r="C79" s="158" t="s">
        <v>69</v>
      </c>
      <c r="D79" s="159">
        <f>+'PLANILLA GENERAL DE METRADOS'!K320</f>
        <v>100.64</v>
      </c>
    </row>
    <row r="80" spans="1:4">
      <c r="A80" s="156" t="s">
        <v>154</v>
      </c>
      <c r="B80" s="157" t="s">
        <v>975</v>
      </c>
      <c r="C80" s="158" t="s">
        <v>69</v>
      </c>
      <c r="D80" s="159">
        <f>+'PLANILLA GENERAL DE METRADOS'!K321</f>
        <v>210.97899999999998</v>
      </c>
    </row>
  </sheetData>
  <mergeCells count="5">
    <mergeCell ref="B5:D5"/>
    <mergeCell ref="B4:D4"/>
    <mergeCell ref="A2:D2"/>
    <mergeCell ref="B7:D7"/>
    <mergeCell ref="B6:D6"/>
  </mergeCells>
  <pageMargins left="0.67" right="0" top="1.417322834645669" bottom="0.35433070866141742" header="0.31496062992125978" footer="0.31496062992125978"/>
  <pageSetup paperSize="9" scale="65" orientation="portrait" horizontalDpi="300" verticalDpi="300" r:id="rId1"/>
  <headerFooter>
    <oddHeader>&amp;C&amp;G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321"/>
  <sheetViews>
    <sheetView view="pageBreakPreview" topLeftCell="A312" zoomScale="120" zoomScaleNormal="100" zoomScaleSheetLayoutView="120" workbookViewId="0">
      <selection activeCell="B323" sqref="B323"/>
    </sheetView>
  </sheetViews>
  <sheetFormatPr baseColWidth="10" defaultRowHeight="14.5"/>
  <cols>
    <col min="1" max="1" width="20.7265625" customWidth="1"/>
    <col min="2" max="2" width="37.36328125" customWidth="1"/>
    <col min="10" max="10" width="20" bestFit="1" customWidth="1"/>
  </cols>
  <sheetData>
    <row r="2" spans="1:12" ht="25" customHeight="1">
      <c r="A2" s="234" t="s">
        <v>0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3"/>
    </row>
    <row r="3" spans="1:12" ht="25.5" customHeight="1">
      <c r="A3" s="96" t="s">
        <v>1</v>
      </c>
      <c r="B3" s="231" t="str">
        <f>+RESUMEN!B4</f>
        <v>GERENCIA TERRITORIAL BAJO MAYO - TARAPOTO</v>
      </c>
      <c r="C3" s="232"/>
      <c r="D3" s="232"/>
      <c r="E3" s="232"/>
      <c r="F3" s="232"/>
      <c r="G3" s="232"/>
      <c r="H3" s="232"/>
      <c r="I3" s="232"/>
      <c r="J3" s="232"/>
      <c r="K3" s="232"/>
      <c r="L3" s="233"/>
    </row>
    <row r="4" spans="1:12" ht="59" customHeight="1">
      <c r="A4" s="96" t="s">
        <v>3</v>
      </c>
      <c r="B4" s="231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4" s="232"/>
      <c r="D4" s="232"/>
      <c r="E4" s="232"/>
      <c r="F4" s="232"/>
      <c r="G4" s="232"/>
      <c r="H4" s="232"/>
      <c r="I4" s="232"/>
      <c r="J4" s="232"/>
      <c r="K4" s="232"/>
      <c r="L4" s="233"/>
    </row>
    <row r="5" spans="1:12" ht="25.5" customHeight="1">
      <c r="A5" s="96" t="s">
        <v>5</v>
      </c>
      <c r="B5" s="231" t="str">
        <f>+RESUMEN!B6</f>
        <v>SAN MARTIN - SAN MARTIN - MORALES</v>
      </c>
      <c r="C5" s="232"/>
      <c r="D5" s="232"/>
      <c r="E5" s="232"/>
      <c r="F5" s="232"/>
      <c r="G5" s="232"/>
      <c r="H5" s="232"/>
      <c r="I5" s="232"/>
      <c r="J5" s="232"/>
      <c r="K5" s="232"/>
      <c r="L5" s="233"/>
    </row>
    <row r="6" spans="1:12" ht="25.5" customHeight="1">
      <c r="A6" s="96" t="s">
        <v>7</v>
      </c>
      <c r="B6" s="235">
        <f>+RESUMEN!B7</f>
        <v>46266</v>
      </c>
      <c r="C6" s="232"/>
      <c r="D6" s="232"/>
      <c r="E6" s="232"/>
      <c r="F6" s="232"/>
      <c r="G6" s="232"/>
      <c r="H6" s="232"/>
      <c r="I6" s="232"/>
      <c r="J6" s="232"/>
      <c r="K6" s="232"/>
      <c r="L6" s="233"/>
    </row>
    <row r="7" spans="1:12">
      <c r="A7" s="164"/>
      <c r="B7" s="164"/>
      <c r="C7" s="164"/>
      <c r="D7" s="164"/>
      <c r="E7" s="164"/>
      <c r="F7" s="164"/>
      <c r="G7" s="164"/>
      <c r="H7" s="164"/>
      <c r="I7" s="164"/>
      <c r="J7" s="164"/>
      <c r="K7" s="164"/>
      <c r="L7" s="164"/>
    </row>
    <row r="8" spans="1:12" ht="31" customHeight="1">
      <c r="A8" s="25" t="s">
        <v>156</v>
      </c>
      <c r="B8" s="25" t="s">
        <v>157</v>
      </c>
      <c r="C8" s="25" t="s">
        <v>158</v>
      </c>
      <c r="D8" s="25" t="s">
        <v>159</v>
      </c>
      <c r="E8" s="25" t="s">
        <v>160</v>
      </c>
      <c r="F8" s="25" t="s">
        <v>161</v>
      </c>
      <c r="G8" s="25" t="s">
        <v>162</v>
      </c>
      <c r="H8" s="25" t="s">
        <v>163</v>
      </c>
      <c r="I8" s="25" t="s">
        <v>164</v>
      </c>
      <c r="J8" s="25" t="s">
        <v>165</v>
      </c>
      <c r="K8" s="25" t="s">
        <v>166</v>
      </c>
      <c r="L8" s="25" t="s">
        <v>167</v>
      </c>
    </row>
    <row r="9" spans="1:12" ht="15.5" customHeight="1">
      <c r="A9" s="31" t="s">
        <v>12</v>
      </c>
      <c r="B9" s="239" t="s">
        <v>13</v>
      </c>
      <c r="C9" s="232"/>
      <c r="D9" s="232"/>
      <c r="E9" s="232"/>
      <c r="F9" s="232"/>
      <c r="G9" s="232"/>
      <c r="H9" s="232"/>
      <c r="I9" s="232"/>
      <c r="J9" s="232"/>
      <c r="K9" s="232"/>
      <c r="L9" s="233"/>
    </row>
    <row r="10" spans="1:12" ht="15.5" customHeight="1">
      <c r="A10" s="31" t="s">
        <v>14</v>
      </c>
      <c r="B10" s="239" t="s">
        <v>15</v>
      </c>
      <c r="C10" s="232"/>
      <c r="D10" s="232"/>
      <c r="E10" s="232"/>
      <c r="F10" s="232"/>
      <c r="G10" s="232"/>
      <c r="H10" s="232"/>
      <c r="I10" s="232"/>
      <c r="J10" s="232"/>
      <c r="K10" s="232"/>
      <c r="L10" s="233"/>
    </row>
    <row r="11" spans="1:12" ht="22" customHeight="1">
      <c r="A11" s="26" t="s">
        <v>16</v>
      </c>
      <c r="B11" s="26" t="s">
        <v>17</v>
      </c>
      <c r="C11" s="27"/>
      <c r="D11" s="27"/>
      <c r="E11" s="27"/>
      <c r="F11" s="27"/>
      <c r="G11" s="27"/>
      <c r="H11" s="27"/>
      <c r="I11" s="27"/>
      <c r="J11" s="27"/>
      <c r="K11" s="27">
        <f>SUM(J12:J23)</f>
        <v>956.87199999999996</v>
      </c>
      <c r="L11" s="26" t="s">
        <v>18</v>
      </c>
    </row>
    <row r="12" spans="1:12" ht="15.5" customHeight="1">
      <c r="A12" s="28"/>
      <c r="B12" s="28" t="s">
        <v>168</v>
      </c>
      <c r="C12" s="29">
        <v>1</v>
      </c>
      <c r="D12" s="29">
        <v>37.14</v>
      </c>
      <c r="E12" s="29">
        <v>1.4</v>
      </c>
      <c r="F12" s="29"/>
      <c r="G12" s="29"/>
      <c r="H12" s="29"/>
      <c r="I12" s="29"/>
      <c r="J12" s="29">
        <f t="shared" ref="J12:J23" si="0">C12*D12*E12</f>
        <v>51.995999999999995</v>
      </c>
      <c r="K12" s="29"/>
      <c r="L12" s="28"/>
    </row>
    <row r="13" spans="1:12" ht="15.5" customHeight="1">
      <c r="A13" s="28"/>
      <c r="B13" s="28" t="s">
        <v>169</v>
      </c>
      <c r="C13" s="29">
        <v>1</v>
      </c>
      <c r="D13" s="29">
        <v>130.85</v>
      </c>
      <c r="E13" s="29">
        <v>1.4</v>
      </c>
      <c r="F13" s="29"/>
      <c r="G13" s="29"/>
      <c r="H13" s="29"/>
      <c r="I13" s="29"/>
      <c r="J13" s="29">
        <f t="shared" si="0"/>
        <v>183.18999999999997</v>
      </c>
      <c r="K13" s="29"/>
      <c r="L13" s="28"/>
    </row>
    <row r="14" spans="1:12" ht="15.5" customHeight="1">
      <c r="A14" s="28"/>
      <c r="B14" s="28" t="s">
        <v>170</v>
      </c>
      <c r="C14" s="29">
        <v>1</v>
      </c>
      <c r="D14" s="29">
        <v>5.82</v>
      </c>
      <c r="E14" s="29">
        <v>1.4</v>
      </c>
      <c r="F14" s="29"/>
      <c r="G14" s="29"/>
      <c r="H14" s="29"/>
      <c r="I14" s="29"/>
      <c r="J14" s="29">
        <f t="shared" si="0"/>
        <v>8.1479999999999997</v>
      </c>
      <c r="K14" s="29"/>
      <c r="L14" s="28"/>
    </row>
    <row r="15" spans="1:12" ht="15.5" customHeight="1">
      <c r="A15" s="28"/>
      <c r="B15" s="28" t="s">
        <v>171</v>
      </c>
      <c r="C15" s="29">
        <v>1</v>
      </c>
      <c r="D15" s="29">
        <v>8.6</v>
      </c>
      <c r="E15" s="29">
        <v>1.4</v>
      </c>
      <c r="F15" s="29"/>
      <c r="G15" s="29"/>
      <c r="H15" s="29"/>
      <c r="I15" s="29"/>
      <c r="J15" s="29">
        <f t="shared" si="0"/>
        <v>12.04</v>
      </c>
      <c r="K15" s="29"/>
      <c r="L15" s="28"/>
    </row>
    <row r="16" spans="1:12" ht="15.5" customHeight="1">
      <c r="A16" s="28"/>
      <c r="B16" s="28" t="s">
        <v>172</v>
      </c>
      <c r="C16" s="29">
        <v>1</v>
      </c>
      <c r="D16" s="29">
        <v>43.23</v>
      </c>
      <c r="E16" s="29">
        <v>1.4</v>
      </c>
      <c r="F16" s="29"/>
      <c r="G16" s="29"/>
      <c r="H16" s="29"/>
      <c r="I16" s="29"/>
      <c r="J16" s="29">
        <f t="shared" si="0"/>
        <v>60.521999999999991</v>
      </c>
      <c r="K16" s="29"/>
      <c r="L16" s="28"/>
    </row>
    <row r="17" spans="1:12" ht="15.5" customHeight="1">
      <c r="A17" s="28"/>
      <c r="B17" s="28" t="s">
        <v>173</v>
      </c>
      <c r="C17" s="29">
        <v>1</v>
      </c>
      <c r="D17" s="29">
        <v>120.36</v>
      </c>
      <c r="E17" s="29">
        <v>1.4</v>
      </c>
      <c r="F17" s="29"/>
      <c r="G17" s="29"/>
      <c r="H17" s="29"/>
      <c r="I17" s="29"/>
      <c r="J17" s="29">
        <f t="shared" si="0"/>
        <v>168.50399999999999</v>
      </c>
      <c r="K17" s="29"/>
      <c r="L17" s="28"/>
    </row>
    <row r="18" spans="1:12" ht="15.5" customHeight="1">
      <c r="A18" s="28"/>
      <c r="B18" s="28" t="s">
        <v>174</v>
      </c>
      <c r="C18" s="29">
        <v>1</v>
      </c>
      <c r="D18" s="29">
        <v>125.7</v>
      </c>
      <c r="E18" s="29">
        <v>1.4</v>
      </c>
      <c r="F18" s="29"/>
      <c r="G18" s="29"/>
      <c r="H18" s="29"/>
      <c r="I18" s="29"/>
      <c r="J18" s="29">
        <f t="shared" si="0"/>
        <v>175.98</v>
      </c>
      <c r="K18" s="29"/>
      <c r="L18" s="28"/>
    </row>
    <row r="19" spans="1:12" ht="15.5" customHeight="1">
      <c r="A19" s="28"/>
      <c r="B19" s="28" t="s">
        <v>175</v>
      </c>
      <c r="C19" s="29">
        <v>1</v>
      </c>
      <c r="D19" s="29">
        <v>8.1999999999999993</v>
      </c>
      <c r="E19" s="29">
        <v>1.4</v>
      </c>
      <c r="F19" s="29"/>
      <c r="G19" s="29"/>
      <c r="H19" s="29"/>
      <c r="I19" s="29"/>
      <c r="J19" s="29">
        <f t="shared" si="0"/>
        <v>11.479999999999999</v>
      </c>
      <c r="K19" s="29"/>
      <c r="L19" s="28"/>
    </row>
    <row r="20" spans="1:12" ht="15.5" customHeight="1">
      <c r="A20" s="28"/>
      <c r="B20" s="28" t="s">
        <v>176</v>
      </c>
      <c r="C20" s="29">
        <v>1</v>
      </c>
      <c r="D20" s="29">
        <v>7</v>
      </c>
      <c r="E20" s="29">
        <v>1.4</v>
      </c>
      <c r="F20" s="29"/>
      <c r="G20" s="29"/>
      <c r="H20" s="29"/>
      <c r="I20" s="29"/>
      <c r="J20" s="29">
        <f t="shared" si="0"/>
        <v>9.7999999999999989</v>
      </c>
      <c r="K20" s="29"/>
      <c r="L20" s="28"/>
    </row>
    <row r="21" spans="1:12" ht="15.5" customHeight="1">
      <c r="A21" s="28"/>
      <c r="B21" s="28" t="s">
        <v>177</v>
      </c>
      <c r="C21" s="29">
        <v>1</v>
      </c>
      <c r="D21" s="29">
        <v>16</v>
      </c>
      <c r="E21" s="29">
        <v>1.4</v>
      </c>
      <c r="F21" s="29"/>
      <c r="G21" s="29"/>
      <c r="H21" s="29"/>
      <c r="I21" s="29"/>
      <c r="J21" s="29">
        <f t="shared" si="0"/>
        <v>22.4</v>
      </c>
      <c r="K21" s="29"/>
      <c r="L21" s="28"/>
    </row>
    <row r="22" spans="1:12" ht="15.5" customHeight="1">
      <c r="A22" s="28"/>
      <c r="B22" s="28" t="s">
        <v>178</v>
      </c>
      <c r="C22" s="29">
        <v>1</v>
      </c>
      <c r="D22" s="29">
        <v>71.459999999999994</v>
      </c>
      <c r="E22" s="29">
        <v>1.4</v>
      </c>
      <c r="F22" s="29"/>
      <c r="G22" s="29"/>
      <c r="H22" s="29"/>
      <c r="I22" s="29"/>
      <c r="J22" s="29">
        <f t="shared" si="0"/>
        <v>100.04399999999998</v>
      </c>
      <c r="K22" s="29"/>
      <c r="L22" s="28"/>
    </row>
    <row r="23" spans="1:12" ht="15.5" customHeight="1">
      <c r="A23" s="28"/>
      <c r="B23" s="28" t="s">
        <v>179</v>
      </c>
      <c r="C23" s="29">
        <v>1</v>
      </c>
      <c r="D23" s="29">
        <v>109.12</v>
      </c>
      <c r="E23" s="29">
        <v>1.4</v>
      </c>
      <c r="F23" s="29"/>
      <c r="G23" s="29"/>
      <c r="H23" s="29"/>
      <c r="I23" s="29"/>
      <c r="J23" s="29">
        <f t="shared" si="0"/>
        <v>152.768</v>
      </c>
      <c r="K23" s="29"/>
      <c r="L23" s="28"/>
    </row>
    <row r="24" spans="1:12" ht="31" customHeight="1">
      <c r="A24" s="26" t="s">
        <v>19</v>
      </c>
      <c r="B24" s="26" t="s">
        <v>20</v>
      </c>
      <c r="C24" s="27"/>
      <c r="D24" s="27"/>
      <c r="E24" s="27"/>
      <c r="F24" s="27"/>
      <c r="G24" s="27"/>
      <c r="H24" s="27"/>
      <c r="I24" s="27"/>
      <c r="J24" s="27"/>
      <c r="K24" s="30">
        <f>SUM(J25:J36)</f>
        <v>956.87199999999996</v>
      </c>
      <c r="L24" s="26" t="s">
        <v>18</v>
      </c>
    </row>
    <row r="25" spans="1:12" ht="15.5" customHeight="1">
      <c r="A25" s="28"/>
      <c r="B25" s="28" t="s">
        <v>168</v>
      </c>
      <c r="C25" s="29">
        <v>1</v>
      </c>
      <c r="D25" s="29">
        <v>37.14</v>
      </c>
      <c r="E25" s="29">
        <v>1.4</v>
      </c>
      <c r="F25" s="29"/>
      <c r="G25" s="29"/>
      <c r="H25" s="29"/>
      <c r="I25" s="29"/>
      <c r="J25" s="29">
        <f t="shared" ref="J25:J36" si="1">C25*D25*E25</f>
        <v>51.995999999999995</v>
      </c>
      <c r="K25" s="29"/>
      <c r="L25" s="28"/>
    </row>
    <row r="26" spans="1:12" ht="15.5" customHeight="1">
      <c r="A26" s="28"/>
      <c r="B26" s="28" t="s">
        <v>169</v>
      </c>
      <c r="C26" s="29">
        <v>1</v>
      </c>
      <c r="D26" s="29">
        <v>130.85</v>
      </c>
      <c r="E26" s="29">
        <v>1.4</v>
      </c>
      <c r="F26" s="29"/>
      <c r="G26" s="29"/>
      <c r="H26" s="29"/>
      <c r="I26" s="29"/>
      <c r="J26" s="29">
        <f t="shared" si="1"/>
        <v>183.18999999999997</v>
      </c>
      <c r="K26" s="29"/>
      <c r="L26" s="28"/>
    </row>
    <row r="27" spans="1:12" ht="15.5" customHeight="1">
      <c r="A27" s="28"/>
      <c r="B27" s="28" t="s">
        <v>170</v>
      </c>
      <c r="C27" s="29">
        <v>1</v>
      </c>
      <c r="D27" s="29">
        <v>5.82</v>
      </c>
      <c r="E27" s="29">
        <v>1.4</v>
      </c>
      <c r="F27" s="29"/>
      <c r="G27" s="29"/>
      <c r="H27" s="29"/>
      <c r="I27" s="29"/>
      <c r="J27" s="29">
        <f t="shared" si="1"/>
        <v>8.1479999999999997</v>
      </c>
      <c r="K27" s="28"/>
      <c r="L27" s="28"/>
    </row>
    <row r="28" spans="1:12" ht="15.5" customHeight="1">
      <c r="A28" s="28"/>
      <c r="B28" s="28" t="s">
        <v>171</v>
      </c>
      <c r="C28" s="29">
        <v>1</v>
      </c>
      <c r="D28" s="29">
        <v>8.6</v>
      </c>
      <c r="E28" s="29">
        <v>1.4</v>
      </c>
      <c r="F28" s="29"/>
      <c r="G28" s="29"/>
      <c r="H28" s="29"/>
      <c r="I28" s="29"/>
      <c r="J28" s="29">
        <f t="shared" si="1"/>
        <v>12.04</v>
      </c>
      <c r="K28" s="28"/>
      <c r="L28" s="28"/>
    </row>
    <row r="29" spans="1:12" ht="15.5" customHeight="1">
      <c r="A29" s="28"/>
      <c r="B29" s="28" t="s">
        <v>172</v>
      </c>
      <c r="C29" s="29">
        <v>1</v>
      </c>
      <c r="D29" s="29">
        <v>43.23</v>
      </c>
      <c r="E29" s="29">
        <v>1.4</v>
      </c>
      <c r="F29" s="29"/>
      <c r="G29" s="29"/>
      <c r="H29" s="29"/>
      <c r="I29" s="29"/>
      <c r="J29" s="29">
        <f t="shared" si="1"/>
        <v>60.521999999999991</v>
      </c>
      <c r="K29" s="28"/>
      <c r="L29" s="28"/>
    </row>
    <row r="30" spans="1:12" ht="15.5" customHeight="1">
      <c r="A30" s="28"/>
      <c r="B30" s="28" t="s">
        <v>173</v>
      </c>
      <c r="C30" s="29">
        <v>1</v>
      </c>
      <c r="D30" s="29">
        <v>120.36</v>
      </c>
      <c r="E30" s="29">
        <v>1.4</v>
      </c>
      <c r="F30" s="29"/>
      <c r="G30" s="29"/>
      <c r="H30" s="29"/>
      <c r="I30" s="29"/>
      <c r="J30" s="29">
        <f t="shared" si="1"/>
        <v>168.50399999999999</v>
      </c>
      <c r="K30" s="28"/>
      <c r="L30" s="28"/>
    </row>
    <row r="31" spans="1:12" ht="15.5" customHeight="1">
      <c r="A31" s="28"/>
      <c r="B31" s="28" t="s">
        <v>174</v>
      </c>
      <c r="C31" s="29">
        <v>1</v>
      </c>
      <c r="D31" s="29">
        <v>125.7</v>
      </c>
      <c r="E31" s="29">
        <v>1.4</v>
      </c>
      <c r="F31" s="29"/>
      <c r="G31" s="29"/>
      <c r="H31" s="29"/>
      <c r="I31" s="29"/>
      <c r="J31" s="29">
        <f t="shared" si="1"/>
        <v>175.98</v>
      </c>
      <c r="K31" s="28"/>
      <c r="L31" s="28"/>
    </row>
    <row r="32" spans="1:12" ht="15.5" customHeight="1">
      <c r="A32" s="28"/>
      <c r="B32" s="28" t="s">
        <v>175</v>
      </c>
      <c r="C32" s="29">
        <v>1</v>
      </c>
      <c r="D32" s="29">
        <v>8.1999999999999993</v>
      </c>
      <c r="E32" s="29">
        <v>1.4</v>
      </c>
      <c r="F32" s="29"/>
      <c r="G32" s="29"/>
      <c r="H32" s="29"/>
      <c r="I32" s="29"/>
      <c r="J32" s="29">
        <f t="shared" si="1"/>
        <v>11.479999999999999</v>
      </c>
      <c r="K32" s="28"/>
      <c r="L32" s="28"/>
    </row>
    <row r="33" spans="1:12" ht="15.5" customHeight="1">
      <c r="A33" s="28"/>
      <c r="B33" s="28" t="s">
        <v>176</v>
      </c>
      <c r="C33" s="29">
        <v>1</v>
      </c>
      <c r="D33" s="29">
        <v>7</v>
      </c>
      <c r="E33" s="29">
        <v>1.4</v>
      </c>
      <c r="F33" s="29"/>
      <c r="G33" s="29"/>
      <c r="H33" s="29"/>
      <c r="I33" s="29"/>
      <c r="J33" s="29">
        <f t="shared" si="1"/>
        <v>9.7999999999999989</v>
      </c>
      <c r="K33" s="28"/>
      <c r="L33" s="28"/>
    </row>
    <row r="34" spans="1:12" ht="15.5" customHeight="1">
      <c r="A34" s="28"/>
      <c r="B34" s="28" t="s">
        <v>177</v>
      </c>
      <c r="C34" s="29">
        <v>1</v>
      </c>
      <c r="D34" s="29">
        <v>16</v>
      </c>
      <c r="E34" s="29">
        <v>1.4</v>
      </c>
      <c r="F34" s="29"/>
      <c r="G34" s="29"/>
      <c r="H34" s="29"/>
      <c r="I34" s="29"/>
      <c r="J34" s="29">
        <f t="shared" si="1"/>
        <v>22.4</v>
      </c>
      <c r="K34" s="28"/>
      <c r="L34" s="28"/>
    </row>
    <row r="35" spans="1:12" ht="15.5" customHeight="1">
      <c r="A35" s="28"/>
      <c r="B35" s="28" t="s">
        <v>178</v>
      </c>
      <c r="C35" s="29">
        <v>1</v>
      </c>
      <c r="D35" s="29">
        <v>71.459999999999994</v>
      </c>
      <c r="E35" s="29">
        <v>1.4</v>
      </c>
      <c r="F35" s="29"/>
      <c r="G35" s="29"/>
      <c r="H35" s="29"/>
      <c r="I35" s="29"/>
      <c r="J35" s="29">
        <f t="shared" si="1"/>
        <v>100.04399999999998</v>
      </c>
      <c r="K35" s="28"/>
      <c r="L35" s="28"/>
    </row>
    <row r="36" spans="1:12" ht="15.5" customHeight="1">
      <c r="A36" s="28"/>
      <c r="B36" s="28" t="s">
        <v>179</v>
      </c>
      <c r="C36" s="29">
        <v>1</v>
      </c>
      <c r="D36" s="29">
        <v>109.12</v>
      </c>
      <c r="E36" s="29">
        <v>1.4</v>
      </c>
      <c r="F36" s="29"/>
      <c r="G36" s="29"/>
      <c r="H36" s="29"/>
      <c r="I36" s="29"/>
      <c r="J36" s="29">
        <f t="shared" si="1"/>
        <v>152.768</v>
      </c>
      <c r="K36" s="28"/>
      <c r="L36" s="28"/>
    </row>
    <row r="37" spans="1:12" ht="15.5" customHeight="1">
      <c r="A37" s="31" t="s">
        <v>21</v>
      </c>
      <c r="B37" s="31" t="s">
        <v>22</v>
      </c>
      <c r="C37" s="32"/>
      <c r="D37" s="32"/>
      <c r="E37" s="32"/>
      <c r="F37" s="32"/>
      <c r="G37" s="32"/>
      <c r="H37" s="32"/>
      <c r="I37" s="32"/>
      <c r="J37" s="32"/>
      <c r="K37" s="31"/>
      <c r="L37" s="31"/>
    </row>
    <row r="38" spans="1:12" ht="31" customHeight="1">
      <c r="A38" s="26" t="s">
        <v>23</v>
      </c>
      <c r="B38" s="26" t="s">
        <v>24</v>
      </c>
      <c r="C38" s="27"/>
      <c r="D38" s="27"/>
      <c r="E38" s="27"/>
      <c r="F38" s="27"/>
      <c r="G38" s="27"/>
      <c r="H38" s="27"/>
      <c r="I38" s="27"/>
      <c r="J38" s="27"/>
      <c r="K38" s="27">
        <f>SUM(J39:J50)</f>
        <v>619.79763999999989</v>
      </c>
      <c r="L38" s="26" t="s">
        <v>25</v>
      </c>
    </row>
    <row r="39" spans="1:12" ht="15.5" customHeight="1">
      <c r="A39" s="28"/>
      <c r="B39" s="28" t="s">
        <v>168</v>
      </c>
      <c r="C39" s="29">
        <v>1</v>
      </c>
      <c r="D39" s="29">
        <v>37.14</v>
      </c>
      <c r="E39" s="29">
        <v>1.4</v>
      </c>
      <c r="F39" s="29">
        <v>0.4</v>
      </c>
      <c r="G39" s="29"/>
      <c r="H39" s="29"/>
      <c r="I39" s="29"/>
      <c r="J39" s="29">
        <f>C39*D39*E39*(F39+PARAMETROS!$B$15)</f>
        <v>25.997999999999998</v>
      </c>
      <c r="K39" s="28"/>
      <c r="L39" s="28"/>
    </row>
    <row r="40" spans="1:12" ht="15.5" customHeight="1">
      <c r="A40" s="28"/>
      <c r="B40" s="28" t="s">
        <v>169</v>
      </c>
      <c r="C40" s="29">
        <v>1</v>
      </c>
      <c r="D40" s="29">
        <v>130.85</v>
      </c>
      <c r="E40" s="29">
        <v>1.4</v>
      </c>
      <c r="F40" s="29">
        <v>0.62</v>
      </c>
      <c r="G40" s="29"/>
      <c r="H40" s="29"/>
      <c r="I40" s="29"/>
      <c r="J40" s="29">
        <f>C40*D40*E40*(F40+PARAMETROS!$B$15)</f>
        <v>131.89679999999998</v>
      </c>
      <c r="K40" s="28"/>
      <c r="L40" s="28"/>
    </row>
    <row r="41" spans="1:12" ht="15.5" customHeight="1">
      <c r="A41" s="28"/>
      <c r="B41" s="28" t="s">
        <v>170</v>
      </c>
      <c r="C41" s="29">
        <v>1</v>
      </c>
      <c r="D41" s="29">
        <v>5.82</v>
      </c>
      <c r="E41" s="29">
        <v>1.4</v>
      </c>
      <c r="F41" s="29">
        <v>0.3</v>
      </c>
      <c r="G41" s="29"/>
      <c r="H41" s="29"/>
      <c r="I41" s="29"/>
      <c r="J41" s="29">
        <f>C41*D41*E41*(F41+PARAMETROS!$B$15)</f>
        <v>3.2591999999999999</v>
      </c>
      <c r="K41" s="28"/>
      <c r="L41" s="28"/>
    </row>
    <row r="42" spans="1:12" ht="15.5" customHeight="1">
      <c r="A42" s="28"/>
      <c r="B42" s="28" t="s">
        <v>171</v>
      </c>
      <c r="C42" s="29">
        <v>1</v>
      </c>
      <c r="D42" s="29">
        <v>8.6</v>
      </c>
      <c r="E42" s="29">
        <v>1.4</v>
      </c>
      <c r="F42" s="29">
        <v>0.32</v>
      </c>
      <c r="G42" s="29"/>
      <c r="H42" s="29"/>
      <c r="I42" s="29"/>
      <c r="J42" s="29">
        <f>C42*D42*E42*(F42+PARAMETROS!$B$15)</f>
        <v>5.0568</v>
      </c>
      <c r="K42" s="28"/>
      <c r="L42" s="28"/>
    </row>
    <row r="43" spans="1:12" ht="15.5" customHeight="1">
      <c r="A43" s="28"/>
      <c r="B43" s="28" t="s">
        <v>172</v>
      </c>
      <c r="C43" s="29">
        <v>1</v>
      </c>
      <c r="D43" s="29">
        <v>43.23</v>
      </c>
      <c r="E43" s="29">
        <v>1.4</v>
      </c>
      <c r="F43" s="29">
        <v>0.4</v>
      </c>
      <c r="G43" s="29"/>
      <c r="H43" s="29"/>
      <c r="I43" s="29"/>
      <c r="J43" s="29">
        <f>C43*D43*E43*(F43+PARAMETROS!$B$15)</f>
        <v>30.260999999999996</v>
      </c>
      <c r="K43" s="28"/>
      <c r="L43" s="28"/>
    </row>
    <row r="44" spans="1:12" ht="15.5" customHeight="1">
      <c r="A44" s="28"/>
      <c r="B44" s="28" t="s">
        <v>173</v>
      </c>
      <c r="C44" s="29">
        <v>1</v>
      </c>
      <c r="D44" s="29">
        <v>120.36</v>
      </c>
      <c r="E44" s="29">
        <v>1.4</v>
      </c>
      <c r="F44" s="29">
        <v>0.6</v>
      </c>
      <c r="G44" s="29"/>
      <c r="H44" s="29"/>
      <c r="I44" s="29"/>
      <c r="J44" s="29">
        <f>C44*D44*E44*(F44+PARAMETROS!$B$15)</f>
        <v>117.95279999999998</v>
      </c>
      <c r="K44" s="28"/>
      <c r="L44" s="28"/>
    </row>
    <row r="45" spans="1:12" ht="15.5" customHeight="1">
      <c r="A45" s="28"/>
      <c r="B45" s="28" t="s">
        <v>174</v>
      </c>
      <c r="C45" s="29">
        <v>1</v>
      </c>
      <c r="D45" s="29">
        <v>125.7</v>
      </c>
      <c r="E45" s="29">
        <v>1.4</v>
      </c>
      <c r="F45" s="29">
        <v>0.61</v>
      </c>
      <c r="G45" s="29"/>
      <c r="H45" s="29"/>
      <c r="I45" s="29"/>
      <c r="J45" s="29">
        <f>C45*D45*E45*(F45+PARAMETROS!$B$15)</f>
        <v>124.94579999999999</v>
      </c>
      <c r="K45" s="28"/>
      <c r="L45" s="28"/>
    </row>
    <row r="46" spans="1:12" ht="15.5" customHeight="1">
      <c r="A46" s="28"/>
      <c r="B46" s="28" t="s">
        <v>175</v>
      </c>
      <c r="C46" s="29">
        <v>1</v>
      </c>
      <c r="D46" s="29">
        <v>8.1999999999999993</v>
      </c>
      <c r="E46" s="29">
        <v>1.4</v>
      </c>
      <c r="F46" s="29">
        <v>0.42</v>
      </c>
      <c r="G46" s="29"/>
      <c r="H46" s="29"/>
      <c r="I46" s="29"/>
      <c r="J46" s="29">
        <f>C46*D46*E46*(F46+PARAMETROS!$B$15)</f>
        <v>5.9695999999999998</v>
      </c>
      <c r="K46" s="28"/>
      <c r="L46" s="28"/>
    </row>
    <row r="47" spans="1:12" ht="15.5" customHeight="1">
      <c r="A47" s="28"/>
      <c r="B47" s="28" t="s">
        <v>176</v>
      </c>
      <c r="C47" s="29">
        <v>1</v>
      </c>
      <c r="D47" s="29">
        <v>7</v>
      </c>
      <c r="E47" s="29">
        <v>1.4</v>
      </c>
      <c r="F47" s="29">
        <v>0.41</v>
      </c>
      <c r="G47" s="29"/>
      <c r="H47" s="29"/>
      <c r="I47" s="29"/>
      <c r="J47" s="29">
        <f>C47*D47*E47*(F47+PARAMETROS!$B$15)</f>
        <v>4.9979999999999993</v>
      </c>
      <c r="K47" s="28"/>
      <c r="L47" s="28"/>
    </row>
    <row r="48" spans="1:12" ht="15.5" customHeight="1">
      <c r="A48" s="28"/>
      <c r="B48" s="28" t="s">
        <v>177</v>
      </c>
      <c r="C48" s="29">
        <v>1</v>
      </c>
      <c r="D48" s="29">
        <v>16</v>
      </c>
      <c r="E48" s="29">
        <v>1.4</v>
      </c>
      <c r="F48" s="29">
        <v>0.35</v>
      </c>
      <c r="G48" s="29"/>
      <c r="H48" s="29"/>
      <c r="I48" s="29"/>
      <c r="J48" s="29">
        <f>C48*D48*E48*(F48+PARAMETROS!$B$15)</f>
        <v>10.079999999999998</v>
      </c>
      <c r="K48" s="28"/>
      <c r="L48" s="28"/>
    </row>
    <row r="49" spans="1:12" ht="15.5" customHeight="1">
      <c r="A49" s="28"/>
      <c r="B49" s="28" t="s">
        <v>178</v>
      </c>
      <c r="C49" s="29">
        <v>1</v>
      </c>
      <c r="D49" s="29">
        <v>71.459999999999994</v>
      </c>
      <c r="E49" s="29">
        <v>1.4</v>
      </c>
      <c r="F49" s="29">
        <v>0.47</v>
      </c>
      <c r="G49" s="29"/>
      <c r="H49" s="29"/>
      <c r="I49" s="29"/>
      <c r="J49" s="29">
        <f>C49*D49*E49*(F49+PARAMETROS!$B$15)</f>
        <v>57.025079999999988</v>
      </c>
      <c r="K49" s="28"/>
      <c r="L49" s="28"/>
    </row>
    <row r="50" spans="1:12" ht="15.5" customHeight="1">
      <c r="A50" s="28"/>
      <c r="B50" s="28" t="s">
        <v>179</v>
      </c>
      <c r="C50" s="29">
        <v>1</v>
      </c>
      <c r="D50" s="29">
        <v>109.12</v>
      </c>
      <c r="E50" s="29">
        <v>1.4</v>
      </c>
      <c r="F50" s="29">
        <v>0.56999999999999995</v>
      </c>
      <c r="G50" s="29"/>
      <c r="H50" s="29"/>
      <c r="I50" s="29"/>
      <c r="J50" s="29">
        <f>C50*D50*E50*(F50+PARAMETROS!$B$15)</f>
        <v>102.35455999999999</v>
      </c>
      <c r="K50" s="28"/>
      <c r="L50" s="28"/>
    </row>
    <row r="51" spans="1:12" ht="31" customHeight="1">
      <c r="A51" s="26" t="s">
        <v>26</v>
      </c>
      <c r="B51" s="26" t="s">
        <v>27</v>
      </c>
      <c r="C51" s="191">
        <v>52</v>
      </c>
      <c r="D51" s="27"/>
      <c r="E51" s="27"/>
      <c r="F51" s="27"/>
      <c r="G51" s="27"/>
      <c r="H51" s="27"/>
      <c r="I51" s="27"/>
      <c r="J51" s="27"/>
      <c r="K51" s="27">
        <f>J52*C51</f>
        <v>2.9119999999999999</v>
      </c>
      <c r="L51" s="26" t="s">
        <v>25</v>
      </c>
    </row>
    <row r="52" spans="1:12" ht="15.5" customHeight="1">
      <c r="A52" s="28"/>
      <c r="B52" s="28" t="s">
        <v>180</v>
      </c>
      <c r="C52" s="29"/>
      <c r="D52" s="29">
        <v>0.4</v>
      </c>
      <c r="E52" s="29">
        <v>0.35</v>
      </c>
      <c r="F52" s="29">
        <v>0.4</v>
      </c>
      <c r="G52" s="29"/>
      <c r="H52" s="29"/>
      <c r="I52" s="29"/>
      <c r="J52" s="33">
        <f>D52*E52*F52</f>
        <v>5.5999999999999994E-2</v>
      </c>
      <c r="K52" s="28"/>
      <c r="L52" s="28"/>
    </row>
    <row r="53" spans="1:12" ht="15.5" customHeight="1">
      <c r="A53" s="28"/>
      <c r="B53" s="28"/>
      <c r="C53" s="29"/>
      <c r="D53" s="29"/>
      <c r="E53" s="29"/>
      <c r="F53" s="29"/>
      <c r="G53" s="29"/>
      <c r="H53" s="29"/>
      <c r="I53" s="29"/>
      <c r="J53" s="29"/>
      <c r="K53" s="28"/>
      <c r="L53" s="28"/>
    </row>
    <row r="54" spans="1:12" ht="46.5" customHeight="1">
      <c r="A54" s="26" t="s">
        <v>28</v>
      </c>
      <c r="B54" s="26" t="s">
        <v>29</v>
      </c>
      <c r="C54" s="27"/>
      <c r="D54" s="27"/>
      <c r="E54" s="27"/>
      <c r="F54" s="27"/>
      <c r="G54" s="27"/>
      <c r="H54" s="27"/>
      <c r="I54" s="27"/>
      <c r="J54" s="27"/>
      <c r="K54" s="27">
        <f>SUM(J55:J66)</f>
        <v>410.08799999999997</v>
      </c>
      <c r="L54" s="26" t="s">
        <v>18</v>
      </c>
    </row>
    <row r="55" spans="1:12" ht="15.5" customHeight="1">
      <c r="A55" s="28"/>
      <c r="B55" s="28" t="s">
        <v>168</v>
      </c>
      <c r="C55" s="29">
        <v>1</v>
      </c>
      <c r="D55" s="29">
        <v>37.14</v>
      </c>
      <c r="E55" s="29">
        <v>0.6</v>
      </c>
      <c r="F55" s="29"/>
      <c r="G55" s="29"/>
      <c r="H55" s="29"/>
      <c r="I55" s="29"/>
      <c r="J55" s="29">
        <f t="shared" ref="J55:J66" si="2">C55*D55*E55</f>
        <v>22.283999999999999</v>
      </c>
      <c r="K55" s="28"/>
      <c r="L55" s="28"/>
    </row>
    <row r="56" spans="1:12" ht="15.5" customHeight="1">
      <c r="A56" s="28"/>
      <c r="B56" s="28" t="s">
        <v>169</v>
      </c>
      <c r="C56" s="29">
        <v>1</v>
      </c>
      <c r="D56" s="29">
        <v>130.85</v>
      </c>
      <c r="E56" s="29">
        <v>0.6</v>
      </c>
      <c r="F56" s="29"/>
      <c r="G56" s="29"/>
      <c r="H56" s="29"/>
      <c r="I56" s="29"/>
      <c r="J56" s="29">
        <f t="shared" si="2"/>
        <v>78.509999999999991</v>
      </c>
      <c r="K56" s="28"/>
      <c r="L56" s="28"/>
    </row>
    <row r="57" spans="1:12" ht="15.5" customHeight="1">
      <c r="A57" s="28"/>
      <c r="B57" s="28" t="s">
        <v>170</v>
      </c>
      <c r="C57" s="29">
        <v>1</v>
      </c>
      <c r="D57" s="29">
        <v>5.82</v>
      </c>
      <c r="E57" s="29">
        <v>0.6</v>
      </c>
      <c r="F57" s="29"/>
      <c r="G57" s="29"/>
      <c r="H57" s="29"/>
      <c r="I57" s="29"/>
      <c r="J57" s="29">
        <f t="shared" si="2"/>
        <v>3.492</v>
      </c>
      <c r="K57" s="28"/>
      <c r="L57" s="28"/>
    </row>
    <row r="58" spans="1:12" ht="15.5" customHeight="1">
      <c r="A58" s="28"/>
      <c r="B58" s="28" t="s">
        <v>171</v>
      </c>
      <c r="C58" s="29">
        <v>1</v>
      </c>
      <c r="D58" s="29">
        <v>8.6</v>
      </c>
      <c r="E58" s="29">
        <v>0.6</v>
      </c>
      <c r="F58" s="29"/>
      <c r="G58" s="29"/>
      <c r="H58" s="29"/>
      <c r="I58" s="29"/>
      <c r="J58" s="29">
        <f t="shared" si="2"/>
        <v>5.1599999999999993</v>
      </c>
      <c r="K58" s="28"/>
      <c r="L58" s="28"/>
    </row>
    <row r="59" spans="1:12" ht="15.5" customHeight="1">
      <c r="A59" s="28"/>
      <c r="B59" s="28" t="s">
        <v>172</v>
      </c>
      <c r="C59" s="29">
        <v>1</v>
      </c>
      <c r="D59" s="29">
        <v>43.23</v>
      </c>
      <c r="E59" s="29">
        <v>0.6</v>
      </c>
      <c r="F59" s="29"/>
      <c r="G59" s="29"/>
      <c r="H59" s="29"/>
      <c r="I59" s="29"/>
      <c r="J59" s="29">
        <f t="shared" si="2"/>
        <v>25.937999999999999</v>
      </c>
      <c r="K59" s="28"/>
      <c r="L59" s="28"/>
    </row>
    <row r="60" spans="1:12" ht="15.5" customHeight="1">
      <c r="A60" s="28"/>
      <c r="B60" s="28" t="s">
        <v>173</v>
      </c>
      <c r="C60" s="29">
        <v>1</v>
      </c>
      <c r="D60" s="29">
        <v>120.36</v>
      </c>
      <c r="E60" s="29">
        <v>0.6</v>
      </c>
      <c r="F60" s="29"/>
      <c r="G60" s="29"/>
      <c r="H60" s="29"/>
      <c r="I60" s="29"/>
      <c r="J60" s="29">
        <f t="shared" si="2"/>
        <v>72.215999999999994</v>
      </c>
      <c r="K60" s="28"/>
      <c r="L60" s="28"/>
    </row>
    <row r="61" spans="1:12" ht="15.5" customHeight="1">
      <c r="A61" s="28"/>
      <c r="B61" s="28" t="s">
        <v>174</v>
      </c>
      <c r="C61" s="29">
        <v>1</v>
      </c>
      <c r="D61" s="29">
        <v>125.7</v>
      </c>
      <c r="E61" s="29">
        <v>0.6</v>
      </c>
      <c r="F61" s="29"/>
      <c r="G61" s="29"/>
      <c r="H61" s="29"/>
      <c r="I61" s="29"/>
      <c r="J61" s="29">
        <f t="shared" si="2"/>
        <v>75.42</v>
      </c>
      <c r="K61" s="28"/>
      <c r="L61" s="28"/>
    </row>
    <row r="62" spans="1:12" ht="15.5" customHeight="1">
      <c r="A62" s="28"/>
      <c r="B62" s="28" t="s">
        <v>175</v>
      </c>
      <c r="C62" s="29">
        <v>1</v>
      </c>
      <c r="D62" s="29">
        <v>8.1999999999999993</v>
      </c>
      <c r="E62" s="29">
        <v>0.6</v>
      </c>
      <c r="F62" s="29"/>
      <c r="G62" s="29"/>
      <c r="H62" s="29"/>
      <c r="I62" s="29"/>
      <c r="J62" s="29">
        <f t="shared" si="2"/>
        <v>4.919999999999999</v>
      </c>
      <c r="K62" s="28"/>
      <c r="L62" s="28"/>
    </row>
    <row r="63" spans="1:12" ht="15.5" customHeight="1">
      <c r="A63" s="28"/>
      <c r="B63" s="28" t="s">
        <v>176</v>
      </c>
      <c r="C63" s="29">
        <v>1</v>
      </c>
      <c r="D63" s="29">
        <v>7</v>
      </c>
      <c r="E63" s="29">
        <v>0.6</v>
      </c>
      <c r="F63" s="29"/>
      <c r="G63" s="29"/>
      <c r="H63" s="29"/>
      <c r="I63" s="29"/>
      <c r="J63" s="29">
        <f t="shared" si="2"/>
        <v>4.2</v>
      </c>
      <c r="K63" s="28"/>
      <c r="L63" s="28"/>
    </row>
    <row r="64" spans="1:12" ht="15.5" customHeight="1">
      <c r="A64" s="28"/>
      <c r="B64" s="28" t="s">
        <v>177</v>
      </c>
      <c r="C64" s="29">
        <v>1</v>
      </c>
      <c r="D64" s="29">
        <v>16</v>
      </c>
      <c r="E64" s="29">
        <v>0.6</v>
      </c>
      <c r="F64" s="29"/>
      <c r="G64" s="29"/>
      <c r="H64" s="29"/>
      <c r="I64" s="29"/>
      <c r="J64" s="29">
        <f t="shared" si="2"/>
        <v>9.6</v>
      </c>
      <c r="K64" s="28"/>
      <c r="L64" s="28"/>
    </row>
    <row r="65" spans="1:12" ht="15.5" customHeight="1">
      <c r="A65" s="28"/>
      <c r="B65" s="28" t="s">
        <v>178</v>
      </c>
      <c r="C65" s="29">
        <v>1</v>
      </c>
      <c r="D65" s="29">
        <v>71.459999999999994</v>
      </c>
      <c r="E65" s="29">
        <v>0.6</v>
      </c>
      <c r="F65" s="29"/>
      <c r="G65" s="29"/>
      <c r="H65" s="29"/>
      <c r="I65" s="29"/>
      <c r="J65" s="29">
        <f t="shared" si="2"/>
        <v>42.875999999999998</v>
      </c>
      <c r="K65" s="28"/>
      <c r="L65" s="28"/>
    </row>
    <row r="66" spans="1:12" ht="15.5" customHeight="1">
      <c r="A66" s="28"/>
      <c r="B66" s="28" t="s">
        <v>179</v>
      </c>
      <c r="C66" s="29">
        <v>1</v>
      </c>
      <c r="D66" s="29">
        <v>109.12</v>
      </c>
      <c r="E66" s="29">
        <v>0.6</v>
      </c>
      <c r="F66" s="29"/>
      <c r="G66" s="29"/>
      <c r="H66" s="29"/>
      <c r="I66" s="29"/>
      <c r="J66" s="29">
        <f t="shared" si="2"/>
        <v>65.471999999999994</v>
      </c>
      <c r="K66" s="28"/>
      <c r="L66" s="28"/>
    </row>
    <row r="67" spans="1:12" ht="31" customHeight="1">
      <c r="A67" s="26" t="s">
        <v>30</v>
      </c>
      <c r="B67" s="26" t="s">
        <v>964</v>
      </c>
      <c r="C67" s="27"/>
      <c r="D67" s="27"/>
      <c r="E67" s="27"/>
      <c r="F67" s="27"/>
      <c r="G67" s="27"/>
      <c r="H67" s="27"/>
      <c r="I67" s="27"/>
      <c r="J67" s="27"/>
      <c r="K67" s="27">
        <f>SUM(J68:J79)</f>
        <v>343.77408000000003</v>
      </c>
      <c r="L67" s="26" t="s">
        <v>25</v>
      </c>
    </row>
    <row r="68" spans="1:12" ht="15.5" customHeight="1">
      <c r="A68" s="28"/>
      <c r="B68" s="28" t="s">
        <v>168</v>
      </c>
      <c r="C68" s="29">
        <v>1</v>
      </c>
      <c r="D68" s="29">
        <v>37.14</v>
      </c>
      <c r="E68" s="29">
        <v>0.8</v>
      </c>
      <c r="F68" s="29">
        <v>0.41</v>
      </c>
      <c r="G68" s="29"/>
      <c r="H68" s="29"/>
      <c r="I68" s="29"/>
      <c r="J68" s="29">
        <f>C68*D68*E68*(F68+PARAMETROS!$B$15)</f>
        <v>15.153120000000001</v>
      </c>
      <c r="K68" s="28"/>
      <c r="L68" s="28"/>
    </row>
    <row r="69" spans="1:12" ht="15.5" customHeight="1">
      <c r="A69" s="28"/>
      <c r="B69" s="28" t="s">
        <v>169</v>
      </c>
      <c r="C69" s="29">
        <v>1</v>
      </c>
      <c r="D69" s="29">
        <v>130.85</v>
      </c>
      <c r="E69" s="29">
        <v>0.8</v>
      </c>
      <c r="F69" s="29">
        <v>0.65</v>
      </c>
      <c r="G69" s="29"/>
      <c r="H69" s="29"/>
      <c r="I69" s="29"/>
      <c r="J69" s="29">
        <f>C69*D69*E69*(F69+PARAMETROS!$B$15)</f>
        <v>78.510000000000005</v>
      </c>
      <c r="K69" s="28"/>
      <c r="L69" s="28"/>
    </row>
    <row r="70" spans="1:12" ht="15.5" customHeight="1">
      <c r="A70" s="28"/>
      <c r="B70" s="28" t="s">
        <v>170</v>
      </c>
      <c r="C70" s="29">
        <v>1</v>
      </c>
      <c r="D70" s="29">
        <v>5.82</v>
      </c>
      <c r="E70" s="29">
        <v>0.8</v>
      </c>
      <c r="F70" s="29">
        <v>0.37</v>
      </c>
      <c r="G70" s="29"/>
      <c r="H70" s="29"/>
      <c r="I70" s="29"/>
      <c r="J70" s="29">
        <f>C70*D70*E70*(F70+PARAMETROS!$B$15)</f>
        <v>2.18832</v>
      </c>
      <c r="K70" s="28"/>
      <c r="L70" s="28"/>
    </row>
    <row r="71" spans="1:12" ht="15.5" customHeight="1">
      <c r="A71" s="28"/>
      <c r="B71" s="28" t="s">
        <v>171</v>
      </c>
      <c r="C71" s="29">
        <v>1</v>
      </c>
      <c r="D71" s="29">
        <v>8.6</v>
      </c>
      <c r="E71" s="29">
        <v>0.8</v>
      </c>
      <c r="F71" s="29">
        <v>0.33</v>
      </c>
      <c r="G71" s="29"/>
      <c r="H71" s="29"/>
      <c r="I71" s="29"/>
      <c r="J71" s="29">
        <f>C71*D71*E71*(F71+PARAMETROS!$B$15)</f>
        <v>2.9584000000000001</v>
      </c>
      <c r="K71" s="28"/>
      <c r="L71" s="28"/>
    </row>
    <row r="72" spans="1:12" ht="15.5" customHeight="1">
      <c r="A72" s="28"/>
      <c r="B72" s="28" t="s">
        <v>172</v>
      </c>
      <c r="C72" s="29">
        <v>1</v>
      </c>
      <c r="D72" s="29">
        <v>43.23</v>
      </c>
      <c r="E72" s="29">
        <v>0.8</v>
      </c>
      <c r="F72" s="29">
        <v>0.37</v>
      </c>
      <c r="G72" s="29"/>
      <c r="H72" s="29"/>
      <c r="I72" s="29"/>
      <c r="J72" s="29">
        <f>C72*D72*E72*(F72+PARAMETROS!$B$15)</f>
        <v>16.254479999999997</v>
      </c>
      <c r="K72" s="28"/>
      <c r="L72" s="28"/>
    </row>
    <row r="73" spans="1:12" ht="15.5" customHeight="1">
      <c r="A73" s="28"/>
      <c r="B73" s="28" t="s">
        <v>173</v>
      </c>
      <c r="C73" s="29">
        <v>1</v>
      </c>
      <c r="D73" s="29">
        <v>120.36</v>
      </c>
      <c r="E73" s="29">
        <v>0.8</v>
      </c>
      <c r="F73" s="29">
        <v>0.56000000000000005</v>
      </c>
      <c r="G73" s="29"/>
      <c r="H73" s="29"/>
      <c r="I73" s="29"/>
      <c r="J73" s="29">
        <f>C73*D73*E73*(F73+PARAMETROS!$B$15)</f>
        <v>63.550080000000008</v>
      </c>
      <c r="K73" s="28"/>
      <c r="L73" s="28"/>
    </row>
    <row r="74" spans="1:12" ht="15.5" customHeight="1">
      <c r="A74" s="28"/>
      <c r="B74" s="28" t="s">
        <v>174</v>
      </c>
      <c r="C74" s="29">
        <v>1</v>
      </c>
      <c r="D74" s="29">
        <v>125.7</v>
      </c>
      <c r="E74" s="29">
        <v>0.8</v>
      </c>
      <c r="F74" s="29">
        <v>0.62</v>
      </c>
      <c r="G74" s="29"/>
      <c r="H74" s="29"/>
      <c r="I74" s="29"/>
      <c r="J74" s="29">
        <f>C74*D74*E74*(F74+PARAMETROS!$B$15)</f>
        <v>72.403199999999998</v>
      </c>
      <c r="K74" s="28"/>
      <c r="L74" s="28"/>
    </row>
    <row r="75" spans="1:12" ht="15.5" customHeight="1">
      <c r="A75" s="28"/>
      <c r="B75" s="28" t="s">
        <v>175</v>
      </c>
      <c r="C75" s="29">
        <v>1</v>
      </c>
      <c r="D75" s="29">
        <v>8.1999999999999993</v>
      </c>
      <c r="E75" s="29">
        <v>0.8</v>
      </c>
      <c r="F75" s="29">
        <v>0.35</v>
      </c>
      <c r="G75" s="29"/>
      <c r="H75" s="29"/>
      <c r="I75" s="29"/>
      <c r="J75" s="29">
        <f>C75*D75*E75*(F75+PARAMETROS!$B$15)</f>
        <v>2.9519999999999995</v>
      </c>
      <c r="K75" s="28"/>
      <c r="L75" s="28"/>
    </row>
    <row r="76" spans="1:12" ht="15.5" customHeight="1">
      <c r="A76" s="28"/>
      <c r="B76" s="28" t="s">
        <v>176</v>
      </c>
      <c r="C76" s="29">
        <v>1</v>
      </c>
      <c r="D76" s="29">
        <v>7</v>
      </c>
      <c r="E76" s="29">
        <v>0.8</v>
      </c>
      <c r="F76" s="29">
        <v>0.45</v>
      </c>
      <c r="G76" s="29"/>
      <c r="H76" s="29"/>
      <c r="I76" s="29"/>
      <c r="J76" s="29">
        <f>C76*D76*E76*(F76+PARAMETROS!$B$15)</f>
        <v>3.0800000000000005</v>
      </c>
      <c r="K76" s="28"/>
      <c r="L76" s="28"/>
    </row>
    <row r="77" spans="1:12" ht="15.5" customHeight="1">
      <c r="A77" s="28"/>
      <c r="B77" s="28" t="s">
        <v>177</v>
      </c>
      <c r="C77" s="29">
        <v>1</v>
      </c>
      <c r="D77" s="29">
        <v>16</v>
      </c>
      <c r="E77" s="29">
        <v>0.8</v>
      </c>
      <c r="F77" s="29">
        <v>0.55000000000000004</v>
      </c>
      <c r="G77" s="29"/>
      <c r="H77" s="29"/>
      <c r="I77" s="29"/>
      <c r="J77" s="29">
        <f>C77*D77*E77*(F77+PARAMETROS!$B$15)</f>
        <v>8.32</v>
      </c>
      <c r="K77" s="28"/>
      <c r="L77" s="28"/>
    </row>
    <row r="78" spans="1:12" ht="15.5" customHeight="1">
      <c r="A78" s="28"/>
      <c r="B78" s="28" t="s">
        <v>178</v>
      </c>
      <c r="C78" s="29">
        <v>1</v>
      </c>
      <c r="D78" s="29">
        <v>71.459999999999994</v>
      </c>
      <c r="E78" s="29">
        <v>0.8</v>
      </c>
      <c r="F78" s="29">
        <v>0.34</v>
      </c>
      <c r="G78" s="29"/>
      <c r="H78" s="29"/>
      <c r="I78" s="29"/>
      <c r="J78" s="29">
        <f>C78*D78*E78*(F78+PARAMETROS!$B$15)</f>
        <v>25.153920000000003</v>
      </c>
      <c r="K78" s="28"/>
      <c r="L78" s="28"/>
    </row>
    <row r="79" spans="1:12" ht="15.5" customHeight="1">
      <c r="A79" s="28"/>
      <c r="B79" s="28" t="s">
        <v>179</v>
      </c>
      <c r="C79" s="29">
        <v>1</v>
      </c>
      <c r="D79" s="29">
        <v>109.12</v>
      </c>
      <c r="E79" s="29">
        <v>0.8</v>
      </c>
      <c r="F79" s="29">
        <v>0.51</v>
      </c>
      <c r="G79" s="29"/>
      <c r="H79" s="29"/>
      <c r="I79" s="29"/>
      <c r="J79" s="29">
        <f>C79*D79*E79*(F79+PARAMETROS!$B$15)</f>
        <v>53.25056</v>
      </c>
      <c r="K79" s="28"/>
      <c r="L79" s="28"/>
    </row>
    <row r="80" spans="1:12" ht="31" customHeight="1">
      <c r="A80" s="26" t="s">
        <v>32</v>
      </c>
      <c r="B80" s="26" t="s">
        <v>965</v>
      </c>
      <c r="C80" s="27"/>
      <c r="D80" s="27"/>
      <c r="E80" s="27"/>
      <c r="F80" s="27"/>
      <c r="G80" s="29">
        <f>PARAMETROS!$B$16</f>
        <v>1.2</v>
      </c>
      <c r="H80" s="27"/>
      <c r="I80" s="27"/>
      <c r="J80" s="27"/>
      <c r="K80" s="27">
        <f>(J81+J82)*G80</f>
        <v>331.22827199999983</v>
      </c>
      <c r="L80" s="26" t="s">
        <v>25</v>
      </c>
    </row>
    <row r="81" spans="1:12" ht="31" customHeight="1">
      <c r="A81" s="28"/>
      <c r="B81" s="28" t="s">
        <v>181</v>
      </c>
      <c r="C81" s="29"/>
      <c r="D81" s="29"/>
      <c r="E81" s="29"/>
      <c r="F81" s="29"/>
      <c r="G81" s="29">
        <v>1</v>
      </c>
      <c r="H81" s="29"/>
      <c r="I81" s="29">
        <f>+K38</f>
        <v>619.79763999999989</v>
      </c>
      <c r="J81" s="29">
        <f>G81*I81</f>
        <v>619.79763999999989</v>
      </c>
      <c r="K81" s="28"/>
      <c r="L81" s="28"/>
    </row>
    <row r="82" spans="1:12" ht="31" customHeight="1">
      <c r="A82" s="28"/>
      <c r="B82" s="28" t="s">
        <v>182</v>
      </c>
      <c r="C82" s="29"/>
      <c r="D82" s="29"/>
      <c r="E82" s="29"/>
      <c r="F82" s="29"/>
      <c r="G82" s="29">
        <v>-1</v>
      </c>
      <c r="H82" s="29"/>
      <c r="I82" s="29">
        <f>+K67</f>
        <v>343.77408000000003</v>
      </c>
      <c r="J82" s="29">
        <f>G82*I82</f>
        <v>-343.77408000000003</v>
      </c>
      <c r="K82" s="28"/>
      <c r="L82" s="28"/>
    </row>
    <row r="83" spans="1:12" ht="15.5" customHeight="1">
      <c r="A83" s="31" t="s">
        <v>34</v>
      </c>
      <c r="B83" s="31" t="s">
        <v>35</v>
      </c>
      <c r="C83" s="32"/>
      <c r="D83" s="32"/>
      <c r="E83" s="32"/>
      <c r="F83" s="32"/>
      <c r="G83" s="32"/>
      <c r="H83" s="32"/>
      <c r="I83" s="32"/>
      <c r="J83" s="32"/>
      <c r="K83" s="31"/>
      <c r="L83" s="31"/>
    </row>
    <row r="84" spans="1:12" ht="31" customHeight="1">
      <c r="A84" s="26" t="s">
        <v>36</v>
      </c>
      <c r="B84" s="26" t="s">
        <v>37</v>
      </c>
      <c r="C84" s="27"/>
      <c r="D84" s="27"/>
      <c r="E84" s="27"/>
      <c r="F84" s="27"/>
      <c r="G84" s="27"/>
      <c r="H84" s="27"/>
      <c r="I84" s="27"/>
      <c r="J84" s="27"/>
      <c r="K84" s="27">
        <f>SUM(J85:J96)</f>
        <v>410.08799999999997</v>
      </c>
      <c r="L84" s="26" t="s">
        <v>18</v>
      </c>
    </row>
    <row r="85" spans="1:12" ht="15.5" customHeight="1">
      <c r="A85" s="28"/>
      <c r="B85" s="28" t="s">
        <v>168</v>
      </c>
      <c r="C85" s="29">
        <v>1</v>
      </c>
      <c r="D85" s="29">
        <v>37.14</v>
      </c>
      <c r="E85" s="29">
        <v>0.6</v>
      </c>
      <c r="F85" s="29"/>
      <c r="G85" s="29"/>
      <c r="H85" s="29"/>
      <c r="I85" s="29"/>
      <c r="J85" s="29">
        <f t="shared" ref="J85:J96" si="3">C85*D85*E85</f>
        <v>22.283999999999999</v>
      </c>
      <c r="K85" s="28"/>
      <c r="L85" s="28"/>
    </row>
    <row r="86" spans="1:12" ht="15.5" customHeight="1">
      <c r="A86" s="28"/>
      <c r="B86" s="28" t="s">
        <v>169</v>
      </c>
      <c r="C86" s="29">
        <v>1</v>
      </c>
      <c r="D86" s="29">
        <v>130.85</v>
      </c>
      <c r="E86" s="29">
        <v>0.6</v>
      </c>
      <c r="F86" s="29"/>
      <c r="G86" s="29"/>
      <c r="H86" s="29"/>
      <c r="I86" s="29"/>
      <c r="J86" s="29">
        <f t="shared" si="3"/>
        <v>78.509999999999991</v>
      </c>
      <c r="K86" s="28"/>
      <c r="L86" s="28"/>
    </row>
    <row r="87" spans="1:12" ht="15.5" customHeight="1">
      <c r="A87" s="28"/>
      <c r="B87" s="28" t="s">
        <v>170</v>
      </c>
      <c r="C87" s="29">
        <v>1</v>
      </c>
      <c r="D87" s="29">
        <v>5.82</v>
      </c>
      <c r="E87" s="29">
        <v>0.6</v>
      </c>
      <c r="F87" s="29"/>
      <c r="G87" s="29"/>
      <c r="H87" s="29"/>
      <c r="I87" s="29"/>
      <c r="J87" s="29">
        <f t="shared" si="3"/>
        <v>3.492</v>
      </c>
      <c r="K87" s="28"/>
      <c r="L87" s="28"/>
    </row>
    <row r="88" spans="1:12" ht="15.5" customHeight="1">
      <c r="A88" s="28"/>
      <c r="B88" s="28" t="s">
        <v>171</v>
      </c>
      <c r="C88" s="29">
        <v>1</v>
      </c>
      <c r="D88" s="29">
        <v>8.6</v>
      </c>
      <c r="E88" s="29">
        <v>0.6</v>
      </c>
      <c r="F88" s="29"/>
      <c r="G88" s="29"/>
      <c r="H88" s="29"/>
      <c r="I88" s="29"/>
      <c r="J88" s="29">
        <f t="shared" si="3"/>
        <v>5.1599999999999993</v>
      </c>
      <c r="K88" s="28"/>
      <c r="L88" s="28"/>
    </row>
    <row r="89" spans="1:12" ht="15.5" customHeight="1">
      <c r="A89" s="28"/>
      <c r="B89" s="28" t="s">
        <v>172</v>
      </c>
      <c r="C89" s="29">
        <v>1</v>
      </c>
      <c r="D89" s="29">
        <v>43.23</v>
      </c>
      <c r="E89" s="29">
        <v>0.6</v>
      </c>
      <c r="F89" s="29"/>
      <c r="G89" s="29"/>
      <c r="H89" s="29"/>
      <c r="I89" s="29"/>
      <c r="J89" s="29">
        <f t="shared" si="3"/>
        <v>25.937999999999999</v>
      </c>
      <c r="K89" s="28"/>
      <c r="L89" s="28"/>
    </row>
    <row r="90" spans="1:12" ht="15.5" customHeight="1">
      <c r="A90" s="28"/>
      <c r="B90" s="28" t="s">
        <v>173</v>
      </c>
      <c r="C90" s="29">
        <v>1</v>
      </c>
      <c r="D90" s="29">
        <v>120.36</v>
      </c>
      <c r="E90" s="29">
        <v>0.6</v>
      </c>
      <c r="F90" s="29"/>
      <c r="G90" s="29"/>
      <c r="H90" s="29"/>
      <c r="I90" s="29"/>
      <c r="J90" s="29">
        <f t="shared" si="3"/>
        <v>72.215999999999994</v>
      </c>
      <c r="K90" s="28"/>
      <c r="L90" s="28"/>
    </row>
    <row r="91" spans="1:12" ht="15.5" customHeight="1">
      <c r="A91" s="28"/>
      <c r="B91" s="28" t="s">
        <v>174</v>
      </c>
      <c r="C91" s="29">
        <v>1</v>
      </c>
      <c r="D91" s="29">
        <v>125.7</v>
      </c>
      <c r="E91" s="29">
        <v>0.6</v>
      </c>
      <c r="F91" s="29"/>
      <c r="G91" s="29"/>
      <c r="H91" s="29"/>
      <c r="I91" s="29"/>
      <c r="J91" s="29">
        <f t="shared" si="3"/>
        <v>75.42</v>
      </c>
      <c r="K91" s="28"/>
      <c r="L91" s="28"/>
    </row>
    <row r="92" spans="1:12" ht="15.5" customHeight="1">
      <c r="A92" s="28"/>
      <c r="B92" s="28" t="s">
        <v>175</v>
      </c>
      <c r="C92" s="29">
        <v>1</v>
      </c>
      <c r="D92" s="29">
        <v>8.1999999999999993</v>
      </c>
      <c r="E92" s="29">
        <v>0.6</v>
      </c>
      <c r="F92" s="29"/>
      <c r="G92" s="29"/>
      <c r="H92" s="29"/>
      <c r="I92" s="29"/>
      <c r="J92" s="29">
        <f t="shared" si="3"/>
        <v>4.919999999999999</v>
      </c>
      <c r="K92" s="28"/>
      <c r="L92" s="28"/>
    </row>
    <row r="93" spans="1:12" ht="15.5" customHeight="1">
      <c r="A93" s="28"/>
      <c r="B93" s="28" t="s">
        <v>176</v>
      </c>
      <c r="C93" s="29">
        <v>1</v>
      </c>
      <c r="D93" s="29">
        <v>7</v>
      </c>
      <c r="E93" s="29">
        <v>0.6</v>
      </c>
      <c r="F93" s="29"/>
      <c r="G93" s="29"/>
      <c r="H93" s="29"/>
      <c r="I93" s="29"/>
      <c r="J93" s="29">
        <f t="shared" si="3"/>
        <v>4.2</v>
      </c>
      <c r="K93" s="28"/>
      <c r="L93" s="28"/>
    </row>
    <row r="94" spans="1:12" ht="15.5" customHeight="1">
      <c r="A94" s="28"/>
      <c r="B94" s="28" t="s">
        <v>177</v>
      </c>
      <c r="C94" s="29">
        <v>1</v>
      </c>
      <c r="D94" s="29">
        <v>16</v>
      </c>
      <c r="E94" s="29">
        <v>0.6</v>
      </c>
      <c r="F94" s="29"/>
      <c r="G94" s="29"/>
      <c r="H94" s="29"/>
      <c r="I94" s="29"/>
      <c r="J94" s="29">
        <f t="shared" si="3"/>
        <v>9.6</v>
      </c>
      <c r="K94" s="28"/>
      <c r="L94" s="28"/>
    </row>
    <row r="95" spans="1:12" ht="15.5" customHeight="1">
      <c r="A95" s="28"/>
      <c r="B95" s="28" t="s">
        <v>178</v>
      </c>
      <c r="C95" s="29">
        <v>1</v>
      </c>
      <c r="D95" s="29">
        <v>71.459999999999994</v>
      </c>
      <c r="E95" s="29">
        <v>0.6</v>
      </c>
      <c r="F95" s="29"/>
      <c r="G95" s="29"/>
      <c r="H95" s="29"/>
      <c r="I95" s="29"/>
      <c r="J95" s="29">
        <f t="shared" si="3"/>
        <v>42.875999999999998</v>
      </c>
      <c r="K95" s="28"/>
      <c r="L95" s="28"/>
    </row>
    <row r="96" spans="1:12" ht="15.5" customHeight="1">
      <c r="A96" s="28"/>
      <c r="B96" s="28" t="s">
        <v>179</v>
      </c>
      <c r="C96" s="29">
        <v>1</v>
      </c>
      <c r="D96" s="29">
        <v>109.12</v>
      </c>
      <c r="E96" s="29">
        <v>0.6</v>
      </c>
      <c r="F96" s="29"/>
      <c r="G96" s="29"/>
      <c r="H96" s="29"/>
      <c r="I96" s="29"/>
      <c r="J96" s="29">
        <f t="shared" si="3"/>
        <v>65.471999999999994</v>
      </c>
      <c r="K96" s="28"/>
      <c r="L96" s="28"/>
    </row>
    <row r="97" spans="1:12" ht="31" customHeight="1">
      <c r="A97" s="26" t="s">
        <v>38</v>
      </c>
      <c r="B97" s="26" t="s">
        <v>39</v>
      </c>
      <c r="C97" s="27">
        <v>52</v>
      </c>
      <c r="D97" s="27"/>
      <c r="E97" s="27"/>
      <c r="F97" s="27"/>
      <c r="G97" s="27"/>
      <c r="H97" s="27"/>
      <c r="I97" s="27"/>
      <c r="J97" s="27"/>
      <c r="K97" s="27">
        <f>J98*C97</f>
        <v>2.9119999999999999</v>
      </c>
      <c r="L97" s="26" t="s">
        <v>25</v>
      </c>
    </row>
    <row r="98" spans="1:12" s="73" customFormat="1" ht="20.5" customHeight="1">
      <c r="A98" s="71"/>
      <c r="B98" s="71" t="s">
        <v>180</v>
      </c>
      <c r="C98" s="72"/>
      <c r="D98" s="72">
        <v>0.4</v>
      </c>
      <c r="E98" s="72">
        <v>0.35</v>
      </c>
      <c r="F98" s="72">
        <v>0.4</v>
      </c>
      <c r="G98" s="72"/>
      <c r="H98" s="72"/>
      <c r="I98" s="72"/>
      <c r="J98" s="72">
        <f>D98*E98*F98</f>
        <v>5.5999999999999994E-2</v>
      </c>
      <c r="K98" s="72"/>
      <c r="L98" s="71"/>
    </row>
    <row r="99" spans="1:12" ht="20.5" customHeight="1">
      <c r="A99" s="31" t="s">
        <v>40</v>
      </c>
      <c r="B99" s="31" t="s">
        <v>41</v>
      </c>
      <c r="C99" s="32"/>
      <c r="D99" s="32"/>
      <c r="E99" s="32"/>
      <c r="F99" s="32"/>
      <c r="G99" s="32"/>
      <c r="H99" s="32"/>
      <c r="I99" s="32"/>
      <c r="J99" s="32"/>
      <c r="K99" s="32"/>
      <c r="L99" s="31"/>
    </row>
    <row r="100" spans="1:12" ht="15.5" customHeight="1">
      <c r="A100" s="34" t="s">
        <v>42</v>
      </c>
      <c r="B100" s="34" t="s">
        <v>43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4"/>
    </row>
    <row r="101" spans="1:12" ht="31" customHeight="1">
      <c r="A101" s="26" t="s">
        <v>44</v>
      </c>
      <c r="B101" s="26" t="s">
        <v>966</v>
      </c>
      <c r="C101" s="27"/>
      <c r="D101" s="27"/>
      <c r="E101" s="27"/>
      <c r="F101" s="27"/>
      <c r="G101" s="27"/>
      <c r="H101" s="27"/>
      <c r="I101" s="27"/>
      <c r="J101" s="27"/>
      <c r="K101" s="27">
        <f>SUM(J102:J113)</f>
        <v>122.64579999999999</v>
      </c>
      <c r="L101" s="26" t="s">
        <v>25</v>
      </c>
    </row>
    <row r="102" spans="1:12" ht="15.5" customHeight="1">
      <c r="A102" s="28"/>
      <c r="B102" s="28" t="s">
        <v>168</v>
      </c>
      <c r="C102" s="29">
        <v>1</v>
      </c>
      <c r="D102" s="29"/>
      <c r="E102" s="29"/>
      <c r="F102" s="29"/>
      <c r="G102" s="29"/>
      <c r="H102" s="29"/>
      <c r="I102" s="29"/>
      <c r="J102" s="29">
        <f>+'CONCRETO EN CUNETAS'!G10</f>
        <v>5.3508000000000004</v>
      </c>
      <c r="K102" s="29"/>
      <c r="L102" s="28"/>
    </row>
    <row r="103" spans="1:12" ht="15.5" customHeight="1">
      <c r="A103" s="28"/>
      <c r="B103" s="28" t="s">
        <v>169</v>
      </c>
      <c r="C103" s="29">
        <v>1</v>
      </c>
      <c r="D103" s="29"/>
      <c r="E103" s="29"/>
      <c r="F103" s="29"/>
      <c r="G103" s="29"/>
      <c r="H103" s="29"/>
      <c r="I103" s="29"/>
      <c r="J103" s="29">
        <f>+'CONCRETO EN CUNETAS'!G22</f>
        <v>25.4146</v>
      </c>
      <c r="K103" s="29"/>
      <c r="L103" s="28"/>
    </row>
    <row r="104" spans="1:12" ht="15.5" customHeight="1">
      <c r="A104" s="28"/>
      <c r="B104" s="28" t="s">
        <v>170</v>
      </c>
      <c r="C104" s="29">
        <v>1</v>
      </c>
      <c r="D104" s="29"/>
      <c r="E104" s="29"/>
      <c r="F104" s="29"/>
      <c r="G104" s="29"/>
      <c r="H104" s="29"/>
      <c r="I104" s="29"/>
      <c r="J104" s="29">
        <f>+'CONCRETO EN CUNETAS'!G34</f>
        <v>0.71520000000000006</v>
      </c>
      <c r="K104" s="29"/>
      <c r="L104" s="28"/>
    </row>
    <row r="105" spans="1:12" ht="15.5" customHeight="1">
      <c r="A105" s="28"/>
      <c r="B105" s="28" t="s">
        <v>171</v>
      </c>
      <c r="C105" s="29">
        <v>1</v>
      </c>
      <c r="D105" s="29"/>
      <c r="E105" s="29"/>
      <c r="F105" s="29"/>
      <c r="G105" s="29"/>
      <c r="H105" s="29"/>
      <c r="I105" s="29"/>
      <c r="J105" s="29">
        <f>+'CONCRETO EN CUNETAS'!G46</f>
        <v>1.0680000000000001</v>
      </c>
      <c r="K105" s="29"/>
      <c r="L105" s="28"/>
    </row>
    <row r="106" spans="1:12" ht="15.5" customHeight="1">
      <c r="A106" s="28"/>
      <c r="B106" s="28" t="s">
        <v>172</v>
      </c>
      <c r="C106" s="29">
        <v>1</v>
      </c>
      <c r="D106" s="29"/>
      <c r="E106" s="29"/>
      <c r="F106" s="29"/>
      <c r="G106" s="29"/>
      <c r="H106" s="29"/>
      <c r="I106" s="29"/>
      <c r="J106" s="29">
        <f>+'CONCRETO EN CUNETAS'!G58</f>
        <v>6.4757999999999987</v>
      </c>
      <c r="K106" s="29"/>
      <c r="L106" s="28"/>
    </row>
    <row r="107" spans="1:12" ht="15.5" customHeight="1">
      <c r="A107" s="28"/>
      <c r="B107" s="28" t="s">
        <v>173</v>
      </c>
      <c r="C107" s="29">
        <v>1</v>
      </c>
      <c r="D107" s="29"/>
      <c r="E107" s="29"/>
      <c r="F107" s="29"/>
      <c r="G107" s="29"/>
      <c r="H107" s="29"/>
      <c r="I107" s="29"/>
      <c r="J107" s="29">
        <f>+'CONCRETO EN CUNETAS'!G70</f>
        <v>22.7196</v>
      </c>
      <c r="K107" s="29"/>
      <c r="L107" s="28"/>
    </row>
    <row r="108" spans="1:12" ht="15.5" customHeight="1">
      <c r="A108" s="28"/>
      <c r="B108" s="28" t="s">
        <v>174</v>
      </c>
      <c r="C108" s="29">
        <v>1</v>
      </c>
      <c r="D108" s="29"/>
      <c r="E108" s="29"/>
      <c r="F108" s="29"/>
      <c r="G108" s="29"/>
      <c r="H108" s="29"/>
      <c r="I108" s="29"/>
      <c r="J108" s="29">
        <f>+'CONCRETO EN CUNETAS'!O10</f>
        <v>23.906600000000001</v>
      </c>
      <c r="K108" s="29"/>
      <c r="L108" s="28"/>
    </row>
    <row r="109" spans="1:12" ht="15.5" customHeight="1">
      <c r="A109" s="28"/>
      <c r="B109" s="28" t="s">
        <v>175</v>
      </c>
      <c r="C109" s="29">
        <v>1</v>
      </c>
      <c r="D109" s="29"/>
      <c r="E109" s="29"/>
      <c r="F109" s="29"/>
      <c r="G109" s="29"/>
      <c r="H109" s="29"/>
      <c r="I109" s="29"/>
      <c r="J109" s="29">
        <f>+'CONCRETO EN CUNETAS'!O22</f>
        <v>1.508</v>
      </c>
      <c r="K109" s="29"/>
      <c r="L109" s="28"/>
    </row>
    <row r="110" spans="1:12" ht="15.5" customHeight="1">
      <c r="A110" s="28"/>
      <c r="B110" s="28" t="s">
        <v>176</v>
      </c>
      <c r="C110" s="29">
        <v>1</v>
      </c>
      <c r="D110" s="29"/>
      <c r="E110" s="29"/>
      <c r="F110" s="29"/>
      <c r="G110" s="29"/>
      <c r="H110" s="29"/>
      <c r="I110" s="29"/>
      <c r="J110" s="29">
        <f>+'CONCRETO EN CUNETAS'!O34</f>
        <v>1.2840000000000003</v>
      </c>
      <c r="K110" s="29"/>
      <c r="L110" s="28"/>
    </row>
    <row r="111" spans="1:12" ht="15.5" customHeight="1">
      <c r="A111" s="28"/>
      <c r="B111" s="28" t="s">
        <v>177</v>
      </c>
      <c r="C111" s="29">
        <v>1</v>
      </c>
      <c r="D111" s="29"/>
      <c r="E111" s="29"/>
      <c r="F111" s="29"/>
      <c r="G111" s="29"/>
      <c r="H111" s="29"/>
      <c r="I111" s="29"/>
      <c r="J111" s="29">
        <f>+'CONCRETO EN CUNETAS'!O46</f>
        <v>2.048</v>
      </c>
      <c r="K111" s="29"/>
      <c r="L111" s="28"/>
    </row>
    <row r="112" spans="1:12" ht="15.5" customHeight="1">
      <c r="A112" s="28"/>
      <c r="B112" s="28" t="s">
        <v>178</v>
      </c>
      <c r="C112" s="29">
        <v>1</v>
      </c>
      <c r="D112" s="29"/>
      <c r="E112" s="29"/>
      <c r="F112" s="29"/>
      <c r="G112" s="29"/>
      <c r="H112" s="29"/>
      <c r="I112" s="29"/>
      <c r="J112" s="29">
        <f>+'CONCRETO EN CUNETAS'!O58</f>
        <v>11.409599999999999</v>
      </c>
      <c r="K112" s="29"/>
      <c r="L112" s="28"/>
    </row>
    <row r="113" spans="1:12" ht="15.5" customHeight="1">
      <c r="A113" s="28"/>
      <c r="B113" s="28" t="s">
        <v>179</v>
      </c>
      <c r="C113" s="29">
        <v>1</v>
      </c>
      <c r="D113" s="29"/>
      <c r="E113" s="29"/>
      <c r="F113" s="29"/>
      <c r="G113" s="29"/>
      <c r="H113" s="29"/>
      <c r="I113" s="29"/>
      <c r="J113" s="29">
        <f>+'CONCRETO EN CUNETAS'!O70</f>
        <v>20.7456</v>
      </c>
      <c r="K113" s="29"/>
      <c r="L113" s="28"/>
    </row>
    <row r="114" spans="1:12" ht="31" customHeight="1">
      <c r="A114" s="26" t="s">
        <v>46</v>
      </c>
      <c r="B114" s="26" t="s">
        <v>967</v>
      </c>
      <c r="C114" s="27"/>
      <c r="D114" s="27"/>
      <c r="E114" s="27"/>
      <c r="F114" s="27"/>
      <c r="G114" s="27"/>
      <c r="H114" s="27"/>
      <c r="I114" s="27"/>
      <c r="J114" s="27"/>
      <c r="K114" s="27">
        <f>SUM(J115:J126)</f>
        <v>1661.96</v>
      </c>
      <c r="L114" s="26" t="s">
        <v>18</v>
      </c>
    </row>
    <row r="115" spans="1:12" ht="15.5" customHeight="1">
      <c r="A115" s="28"/>
      <c r="B115" s="28" t="s">
        <v>168</v>
      </c>
      <c r="C115" s="29">
        <v>1</v>
      </c>
      <c r="D115" s="29"/>
      <c r="E115" s="29"/>
      <c r="F115" s="29"/>
      <c r="G115" s="29"/>
      <c r="H115" s="29"/>
      <c r="I115" s="29"/>
      <c r="J115" s="29">
        <f>+'ENCOFRADO Y DESENCOFRADO'!H12</f>
        <v>66.796000000000006</v>
      </c>
      <c r="K115" s="29"/>
      <c r="L115" s="28"/>
    </row>
    <row r="116" spans="1:12" ht="15.5" customHeight="1">
      <c r="A116" s="28"/>
      <c r="B116" s="28" t="s">
        <v>169</v>
      </c>
      <c r="C116" s="29">
        <v>1</v>
      </c>
      <c r="D116" s="29"/>
      <c r="E116" s="29"/>
      <c r="F116" s="29"/>
      <c r="G116" s="29"/>
      <c r="H116" s="29"/>
      <c r="I116" s="29"/>
      <c r="J116" s="29">
        <f>+'ENCOFRADO Y DESENCOFRADO'!P12</f>
        <v>358.44399999999996</v>
      </c>
      <c r="K116" s="29"/>
      <c r="L116" s="28"/>
    </row>
    <row r="117" spans="1:12" ht="15.5" customHeight="1">
      <c r="A117" s="28"/>
      <c r="B117" s="28" t="s">
        <v>170</v>
      </c>
      <c r="C117" s="29">
        <v>1</v>
      </c>
      <c r="D117" s="29"/>
      <c r="E117" s="29"/>
      <c r="F117" s="29"/>
      <c r="G117" s="29"/>
      <c r="H117" s="29"/>
      <c r="I117" s="29"/>
      <c r="J117" s="29">
        <f>+'ENCOFRADO Y DESENCOFRADO'!H23</f>
        <v>8.48</v>
      </c>
      <c r="K117" s="29"/>
      <c r="L117" s="28"/>
    </row>
    <row r="118" spans="1:12" ht="15.5" customHeight="1">
      <c r="A118" s="28"/>
      <c r="B118" s="28" t="s">
        <v>171</v>
      </c>
      <c r="C118" s="29">
        <v>1</v>
      </c>
      <c r="D118" s="29"/>
      <c r="E118" s="29"/>
      <c r="F118" s="29"/>
      <c r="G118" s="29"/>
      <c r="H118" s="29"/>
      <c r="I118" s="29"/>
      <c r="J118" s="29">
        <f>+'ENCOFRADO Y DESENCOFRADO'!P23</f>
        <v>12.76</v>
      </c>
      <c r="K118" s="29"/>
      <c r="L118" s="28"/>
    </row>
    <row r="119" spans="1:12" ht="15.5" customHeight="1">
      <c r="A119" s="28"/>
      <c r="B119" s="28" t="s">
        <v>172</v>
      </c>
      <c r="C119" s="29">
        <v>1</v>
      </c>
      <c r="D119" s="29"/>
      <c r="E119" s="29"/>
      <c r="F119" s="29"/>
      <c r="G119" s="29"/>
      <c r="H119" s="29"/>
      <c r="I119" s="29"/>
      <c r="J119" s="29">
        <f>+'ENCOFRADO Y DESENCOFRADO'!H34</f>
        <v>80.36</v>
      </c>
      <c r="K119" s="29"/>
      <c r="L119" s="28"/>
    </row>
    <row r="120" spans="1:12" ht="15.5" customHeight="1">
      <c r="A120" s="28"/>
      <c r="B120" s="28" t="s">
        <v>173</v>
      </c>
      <c r="C120" s="29">
        <v>1</v>
      </c>
      <c r="D120" s="29"/>
      <c r="E120" s="29"/>
      <c r="F120" s="29"/>
      <c r="G120" s="29"/>
      <c r="H120" s="29"/>
      <c r="I120" s="29"/>
      <c r="J120" s="29">
        <f>+'ENCOFRADO Y DESENCOFRADO'!P34</f>
        <v>318.54000000000002</v>
      </c>
      <c r="K120" s="29"/>
      <c r="L120" s="28"/>
    </row>
    <row r="121" spans="1:12" ht="15.5" customHeight="1">
      <c r="A121" s="28"/>
      <c r="B121" s="28" t="s">
        <v>174</v>
      </c>
      <c r="C121" s="29">
        <v>1</v>
      </c>
      <c r="D121" s="29"/>
      <c r="E121" s="29"/>
      <c r="F121" s="29"/>
      <c r="G121" s="29"/>
      <c r="H121" s="29"/>
      <c r="I121" s="29"/>
      <c r="J121" s="29">
        <f>+'ENCOFRADO Y DESENCOFRADO'!H45</f>
        <v>337.7</v>
      </c>
      <c r="K121" s="29"/>
      <c r="L121" s="28"/>
    </row>
    <row r="122" spans="1:12" ht="15.5" customHeight="1">
      <c r="A122" s="28"/>
      <c r="B122" s="28" t="s">
        <v>175</v>
      </c>
      <c r="C122" s="29">
        <v>1</v>
      </c>
      <c r="D122" s="29"/>
      <c r="E122" s="29"/>
      <c r="F122" s="29"/>
      <c r="G122" s="29"/>
      <c r="H122" s="29"/>
      <c r="I122" s="29"/>
      <c r="J122" s="29">
        <f>+'ENCOFRADO Y DESENCOFRADO'!P45</f>
        <v>17.04</v>
      </c>
      <c r="K122" s="29"/>
      <c r="L122" s="28"/>
    </row>
    <row r="123" spans="1:12" ht="15.5" customHeight="1">
      <c r="A123" s="28"/>
      <c r="B123" s="28" t="s">
        <v>176</v>
      </c>
      <c r="C123" s="29">
        <v>1</v>
      </c>
      <c r="D123" s="29"/>
      <c r="E123" s="29"/>
      <c r="F123" s="29"/>
      <c r="G123" s="29"/>
      <c r="H123" s="29"/>
      <c r="I123" s="29"/>
      <c r="J123" s="29">
        <f>+'ENCOFRADO Y DESENCOFRADO'!H57</f>
        <v>14.48</v>
      </c>
      <c r="K123" s="29"/>
      <c r="L123" s="28"/>
    </row>
    <row r="124" spans="1:12" ht="15.5" customHeight="1">
      <c r="A124" s="28"/>
      <c r="B124" s="28" t="s">
        <v>177</v>
      </c>
      <c r="C124" s="29">
        <v>1</v>
      </c>
      <c r="D124" s="29"/>
      <c r="E124" s="29"/>
      <c r="F124" s="29"/>
      <c r="G124" s="29"/>
      <c r="H124" s="29"/>
      <c r="I124" s="29"/>
      <c r="J124" s="29">
        <f>+'ENCOFRADO Y DESENCOFRADO'!P57</f>
        <v>24.96</v>
      </c>
      <c r="K124" s="29"/>
      <c r="L124" s="28"/>
    </row>
    <row r="125" spans="1:12" ht="15.5" customHeight="1">
      <c r="A125" s="28"/>
      <c r="B125" s="28" t="s">
        <v>178</v>
      </c>
      <c r="C125" s="29">
        <v>1</v>
      </c>
      <c r="D125" s="29"/>
      <c r="E125" s="29"/>
      <c r="F125" s="29"/>
      <c r="G125" s="29"/>
      <c r="H125" s="29"/>
      <c r="I125" s="29"/>
      <c r="J125" s="29">
        <f>+'ENCOFRADO Y DESENCOFRADO'!H69</f>
        <v>150.624</v>
      </c>
      <c r="K125" s="29"/>
      <c r="L125" s="28"/>
    </row>
    <row r="126" spans="1:12" ht="15.5" customHeight="1">
      <c r="A126" s="28"/>
      <c r="B126" s="28" t="s">
        <v>179</v>
      </c>
      <c r="C126" s="29">
        <v>1</v>
      </c>
      <c r="D126" s="29"/>
      <c r="E126" s="29"/>
      <c r="F126" s="29"/>
      <c r="G126" s="29"/>
      <c r="H126" s="29"/>
      <c r="I126" s="29"/>
      <c r="J126" s="29">
        <f>+'ENCOFRADO Y DESENCOFRADO'!P69</f>
        <v>271.77600000000001</v>
      </c>
      <c r="K126" s="29"/>
      <c r="L126" s="28"/>
    </row>
    <row r="127" spans="1:12" ht="31" customHeight="1">
      <c r="A127" s="26" t="s">
        <v>48</v>
      </c>
      <c r="B127" s="26" t="s">
        <v>49</v>
      </c>
      <c r="C127" s="27"/>
      <c r="D127" s="27"/>
      <c r="E127" s="27"/>
      <c r="F127" s="27"/>
      <c r="G127" s="27"/>
      <c r="H127" s="27"/>
      <c r="I127" s="27"/>
      <c r="J127" s="27"/>
      <c r="K127" s="27">
        <f>+'METRADO ACERO'!AG38</f>
        <v>4967.0517119999995</v>
      </c>
      <c r="L127" s="26" t="s">
        <v>50</v>
      </c>
    </row>
    <row r="128" spans="1:12" ht="15.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9"/>
      <c r="L128" s="28"/>
    </row>
    <row r="129" spans="1:12" ht="15.5" customHeight="1">
      <c r="A129" s="36" t="s">
        <v>51</v>
      </c>
      <c r="B129" s="36" t="s">
        <v>52</v>
      </c>
      <c r="C129" s="36"/>
      <c r="D129" s="36"/>
      <c r="E129" s="36"/>
      <c r="F129" s="36"/>
      <c r="G129" s="36"/>
      <c r="H129" s="36"/>
      <c r="I129" s="36"/>
      <c r="J129" s="36"/>
      <c r="K129" s="37">
        <f>+'METRADO DE CURADO'!M38</f>
        <v>1084.2058999999999</v>
      </c>
      <c r="L129" s="36" t="s">
        <v>18</v>
      </c>
    </row>
    <row r="130" spans="1:12" ht="15.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1"/>
      <c r="L130" s="40"/>
    </row>
    <row r="131" spans="1:12" ht="15.5" customHeight="1">
      <c r="A131" s="34" t="s">
        <v>53</v>
      </c>
      <c r="B131" s="236" t="s">
        <v>54</v>
      </c>
      <c r="C131" s="232"/>
      <c r="D131" s="232"/>
      <c r="E131" s="232"/>
      <c r="F131" s="232"/>
      <c r="G131" s="232"/>
      <c r="H131" s="232"/>
      <c r="I131" s="232"/>
      <c r="J131" s="232"/>
      <c r="K131" s="232"/>
      <c r="L131" s="233"/>
    </row>
    <row r="132" spans="1:12" ht="46.5" customHeight="1">
      <c r="A132" s="26" t="s">
        <v>55</v>
      </c>
      <c r="B132" s="26" t="s">
        <v>183</v>
      </c>
      <c r="C132" s="26"/>
      <c r="D132" s="26"/>
      <c r="E132" s="26"/>
      <c r="F132" s="26"/>
      <c r="G132" s="26"/>
      <c r="H132" s="26"/>
      <c r="I132" s="26"/>
      <c r="J132" s="26"/>
      <c r="K132" s="30">
        <f>+'METRADO DE REJILLAS'!G38</f>
        <v>510.11</v>
      </c>
      <c r="L132" s="42" t="s">
        <v>69</v>
      </c>
    </row>
    <row r="133" spans="1:12" ht="15.5" customHeight="1">
      <c r="A133" s="36" t="s">
        <v>58</v>
      </c>
      <c r="B133" s="36" t="s">
        <v>59</v>
      </c>
      <c r="C133" s="36"/>
      <c r="D133" s="36"/>
      <c r="E133" s="36"/>
      <c r="F133" s="36"/>
      <c r="G133" s="36"/>
      <c r="H133" s="36"/>
      <c r="I133" s="36"/>
      <c r="J133" s="36"/>
      <c r="K133" s="43">
        <f>+'PLANILLA TAPAS REGISTRO INTERNO'!J9</f>
        <v>17</v>
      </c>
      <c r="L133" s="44" t="s">
        <v>60</v>
      </c>
    </row>
    <row r="134" spans="1:12" ht="31" customHeight="1">
      <c r="A134" s="36" t="s">
        <v>61</v>
      </c>
      <c r="B134" s="36" t="s">
        <v>62</v>
      </c>
      <c r="C134" s="36"/>
      <c r="D134" s="36"/>
      <c r="E134" s="36"/>
      <c r="F134" s="36"/>
      <c r="G134" s="36"/>
      <c r="H134" s="36"/>
      <c r="I134" s="36"/>
      <c r="J134" s="36"/>
      <c r="K134" s="190">
        <f>+'METRADO JUNTA DE DILATACION'!J12</f>
        <v>241.95954396630202</v>
      </c>
      <c r="L134" s="44" t="s">
        <v>69</v>
      </c>
    </row>
    <row r="135" spans="1:12" ht="15.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9"/>
      <c r="L135" s="38"/>
    </row>
    <row r="136" spans="1:12" ht="15.5" customHeight="1">
      <c r="A136" s="31" t="s">
        <v>63</v>
      </c>
      <c r="B136" s="239" t="s">
        <v>64</v>
      </c>
      <c r="C136" s="232"/>
      <c r="D136" s="232"/>
      <c r="E136" s="232"/>
      <c r="F136" s="232"/>
      <c r="G136" s="232"/>
      <c r="H136" s="232"/>
      <c r="I136" s="232"/>
      <c r="J136" s="232"/>
      <c r="K136" s="232"/>
      <c r="L136" s="233"/>
    </row>
    <row r="137" spans="1:12" ht="15.5" customHeight="1">
      <c r="A137" s="34" t="s">
        <v>65</v>
      </c>
      <c r="B137" s="241" t="s">
        <v>66</v>
      </c>
      <c r="C137" s="232"/>
      <c r="D137" s="232"/>
      <c r="E137" s="232"/>
      <c r="F137" s="232"/>
      <c r="G137" s="232"/>
      <c r="H137" s="232"/>
      <c r="I137" s="232"/>
      <c r="J137" s="232"/>
      <c r="K137" s="232"/>
      <c r="L137" s="233"/>
    </row>
    <row r="138" spans="1:12" ht="15.5" customHeight="1">
      <c r="A138" s="26" t="s">
        <v>67</v>
      </c>
      <c r="B138" s="26" t="s">
        <v>184</v>
      </c>
      <c r="C138" s="26"/>
      <c r="D138" s="26"/>
      <c r="E138" s="26"/>
      <c r="F138" s="26"/>
      <c r="G138" s="26"/>
      <c r="H138" s="26"/>
      <c r="I138" s="26"/>
      <c r="J138" s="26"/>
      <c r="K138" s="111">
        <f>+'METRADO MONTANTES'!F43</f>
        <v>380.86</v>
      </c>
      <c r="L138" s="26" t="s">
        <v>69</v>
      </c>
    </row>
    <row r="139" spans="1:12" ht="31" customHeight="1">
      <c r="A139" s="36" t="s">
        <v>70</v>
      </c>
      <c r="B139" s="36" t="s">
        <v>71</v>
      </c>
      <c r="C139" s="36"/>
      <c r="D139" s="36"/>
      <c r="E139" s="36"/>
      <c r="F139" s="36"/>
      <c r="G139" s="36"/>
      <c r="H139" s="36"/>
      <c r="I139" s="36"/>
      <c r="J139" s="37"/>
      <c r="K139" s="43">
        <v>52</v>
      </c>
      <c r="L139" s="36" t="s">
        <v>60</v>
      </c>
    </row>
    <row r="140" spans="1:12" ht="31" customHeight="1">
      <c r="A140" s="165" t="s">
        <v>72</v>
      </c>
      <c r="B140" s="45" t="s">
        <v>73</v>
      </c>
      <c r="C140" s="46">
        <v>52</v>
      </c>
      <c r="D140" s="47"/>
      <c r="E140" s="47"/>
      <c r="F140" s="47"/>
      <c r="G140" s="47"/>
      <c r="H140" s="48"/>
      <c r="I140" s="48"/>
      <c r="J140" s="48"/>
      <c r="K140" s="49">
        <f>J141*C140</f>
        <v>2.0280000000000005</v>
      </c>
      <c r="L140" s="45" t="s">
        <v>185</v>
      </c>
    </row>
    <row r="141" spans="1:12" ht="15.5" customHeight="1">
      <c r="A141" s="166"/>
      <c r="B141" s="38"/>
      <c r="C141" s="50"/>
      <c r="D141" s="51">
        <v>1.3</v>
      </c>
      <c r="E141" s="51">
        <v>0.15</v>
      </c>
      <c r="F141" s="51">
        <v>0.2</v>
      </c>
      <c r="G141" s="52"/>
      <c r="H141" s="39"/>
      <c r="I141" s="39"/>
      <c r="J141" s="39">
        <f>D141*E141*F141</f>
        <v>3.9000000000000007E-2</v>
      </c>
      <c r="K141" s="53"/>
      <c r="L141" s="38"/>
    </row>
    <row r="142" spans="1:12" ht="46.5" customHeight="1">
      <c r="A142" s="167" t="s">
        <v>74</v>
      </c>
      <c r="B142" s="45" t="s">
        <v>75</v>
      </c>
      <c r="C142" s="54">
        <v>52</v>
      </c>
      <c r="D142" s="45"/>
      <c r="E142" s="45"/>
      <c r="F142" s="45"/>
      <c r="G142" s="45"/>
      <c r="H142" s="48"/>
      <c r="I142" s="48"/>
      <c r="J142" s="48"/>
      <c r="K142" s="55">
        <f>K143*C142</f>
        <v>33.800000000000004</v>
      </c>
      <c r="L142" s="45" t="s">
        <v>186</v>
      </c>
    </row>
    <row r="143" spans="1:12" ht="15.5" customHeight="1">
      <c r="A143" s="57"/>
      <c r="B143" s="38"/>
      <c r="C143" s="56">
        <v>2</v>
      </c>
      <c r="D143" s="51">
        <v>1.3</v>
      </c>
      <c r="E143" s="51">
        <v>0.15</v>
      </c>
      <c r="F143" s="38"/>
      <c r="G143" s="38"/>
      <c r="H143" s="39"/>
      <c r="I143" s="39"/>
      <c r="J143" s="39">
        <f>C143*D143*E143</f>
        <v>0.39</v>
      </c>
      <c r="K143" s="237">
        <f>J143+J144</f>
        <v>0.65</v>
      </c>
      <c r="L143" s="38"/>
    </row>
    <row r="144" spans="1:12" ht="15.5" customHeight="1">
      <c r="A144" s="57"/>
      <c r="B144" s="38"/>
      <c r="C144" s="56">
        <v>1</v>
      </c>
      <c r="D144" s="51">
        <v>1.3</v>
      </c>
      <c r="E144" s="51">
        <v>0.2</v>
      </c>
      <c r="F144" s="38"/>
      <c r="G144" s="38"/>
      <c r="H144" s="39"/>
      <c r="I144" s="39"/>
      <c r="J144" s="39">
        <f>C144*D144*E144</f>
        <v>0.26</v>
      </c>
      <c r="K144" s="238"/>
      <c r="L144" s="38"/>
    </row>
    <row r="145" spans="1:12" ht="31" customHeight="1">
      <c r="A145" s="167" t="s">
        <v>76</v>
      </c>
      <c r="B145" s="45" t="s">
        <v>77</v>
      </c>
      <c r="C145" s="54">
        <v>52</v>
      </c>
      <c r="D145" s="45"/>
      <c r="E145" s="45"/>
      <c r="F145" s="45"/>
      <c r="G145" s="45"/>
      <c r="H145" s="48"/>
      <c r="I145" s="48"/>
      <c r="J145" s="48"/>
      <c r="K145" s="55">
        <f>K146*C145</f>
        <v>291.7824</v>
      </c>
      <c r="L145" s="45" t="s">
        <v>187</v>
      </c>
    </row>
    <row r="146" spans="1:12" ht="15.5" customHeight="1">
      <c r="A146" s="57"/>
      <c r="B146" s="28" t="s">
        <v>188</v>
      </c>
      <c r="C146" s="28"/>
      <c r="D146" s="29">
        <v>1.2</v>
      </c>
      <c r="E146" s="29">
        <v>4</v>
      </c>
      <c r="F146" s="29">
        <v>0.56000000000000005</v>
      </c>
      <c r="G146" s="29"/>
      <c r="H146" s="29"/>
      <c r="I146" s="29"/>
      <c r="J146" s="29">
        <f>D146*E146*F146</f>
        <v>2.6880000000000002</v>
      </c>
      <c r="K146" s="240">
        <f>+J146+J147</f>
        <v>5.6112000000000002</v>
      </c>
      <c r="L146" s="28"/>
    </row>
    <row r="147" spans="1:12" ht="15.5" customHeight="1">
      <c r="A147" s="57"/>
      <c r="B147" s="28" t="s">
        <v>189</v>
      </c>
      <c r="C147" s="28"/>
      <c r="D147" s="29">
        <v>0.57999999999999996</v>
      </c>
      <c r="E147" s="29">
        <v>9</v>
      </c>
      <c r="F147" s="29">
        <v>0.56000000000000005</v>
      </c>
      <c r="G147" s="29"/>
      <c r="H147" s="29"/>
      <c r="I147" s="29"/>
      <c r="J147" s="29">
        <f>D147*E147*F147</f>
        <v>2.9232</v>
      </c>
      <c r="K147" s="238"/>
      <c r="L147" s="28"/>
    </row>
    <row r="148" spans="1:12" ht="46.5" customHeight="1">
      <c r="A148" s="221" t="s">
        <v>78</v>
      </c>
      <c r="B148" s="221" t="s">
        <v>79</v>
      </c>
      <c r="C148" s="221"/>
      <c r="D148" s="221"/>
      <c r="E148" s="221"/>
      <c r="F148" s="221"/>
      <c r="G148" s="221"/>
      <c r="H148" s="221"/>
      <c r="I148" s="221"/>
      <c r="J148" s="221"/>
      <c r="K148" s="190">
        <f>+'METRADO CANALETAS'!E41</f>
        <v>513.98</v>
      </c>
      <c r="L148" s="221" t="s">
        <v>69</v>
      </c>
    </row>
    <row r="149" spans="1:12" ht="31" customHeight="1">
      <c r="A149" s="221" t="s">
        <v>80</v>
      </c>
      <c r="B149" s="221" t="s">
        <v>81</v>
      </c>
      <c r="C149" s="221"/>
      <c r="D149" s="221"/>
      <c r="E149" s="221"/>
      <c r="F149" s="221"/>
      <c r="G149" s="221"/>
      <c r="H149" s="221"/>
      <c r="I149" s="221"/>
      <c r="J149" s="221"/>
      <c r="K149" s="190">
        <f>+'METRADO CANALETAS'!G41</f>
        <v>884</v>
      </c>
      <c r="L149" s="221" t="s">
        <v>60</v>
      </c>
    </row>
    <row r="150" spans="1:12" ht="31" customHeight="1">
      <c r="A150" s="221" t="s">
        <v>82</v>
      </c>
      <c r="B150" s="221" t="s">
        <v>83</v>
      </c>
      <c r="C150" s="221"/>
      <c r="D150" s="221"/>
      <c r="E150" s="221"/>
      <c r="F150" s="221"/>
      <c r="G150" s="221"/>
      <c r="H150" s="221"/>
      <c r="I150" s="221"/>
      <c r="J150" s="221"/>
      <c r="K150" s="190">
        <f>+'METRADO CANALETAS'!I41</f>
        <v>40</v>
      </c>
      <c r="L150" s="221" t="s">
        <v>60</v>
      </c>
    </row>
    <row r="151" spans="1:12" ht="46.5" customHeight="1">
      <c r="A151" s="221" t="s">
        <v>84</v>
      </c>
      <c r="B151" s="221" t="s">
        <v>85</v>
      </c>
      <c r="C151" s="221"/>
      <c r="D151" s="221"/>
      <c r="E151" s="221"/>
      <c r="F151" s="221"/>
      <c r="G151" s="221"/>
      <c r="H151" s="221"/>
      <c r="I151" s="221"/>
      <c r="J151" s="221"/>
      <c r="K151" s="190">
        <f>+'METRADO CANALETAS'!K41</f>
        <v>52</v>
      </c>
      <c r="L151" s="221" t="s">
        <v>60</v>
      </c>
    </row>
    <row r="152" spans="1:12" ht="15.5" customHeight="1">
      <c r="A152" s="57"/>
      <c r="B152" s="38"/>
      <c r="C152" s="38"/>
      <c r="D152" s="38"/>
      <c r="E152" s="38"/>
      <c r="F152" s="38"/>
      <c r="G152" s="38"/>
      <c r="H152" s="39"/>
      <c r="I152" s="39"/>
      <c r="J152" s="39"/>
      <c r="K152" s="39"/>
      <c r="L152" s="38"/>
    </row>
    <row r="153" spans="1:12" ht="15.5" customHeight="1">
      <c r="A153" s="34" t="s">
        <v>86</v>
      </c>
      <c r="B153" s="34" t="s">
        <v>87</v>
      </c>
      <c r="C153" s="34"/>
      <c r="D153" s="34"/>
      <c r="E153" s="34"/>
      <c r="F153" s="34"/>
      <c r="G153" s="34"/>
      <c r="H153" s="34"/>
      <c r="I153" s="34"/>
      <c r="J153" s="35"/>
      <c r="K153" s="35"/>
      <c r="L153" s="34"/>
    </row>
    <row r="154" spans="1:12" ht="15.5" customHeight="1">
      <c r="A154" s="26" t="s">
        <v>88</v>
      </c>
      <c r="B154" s="26" t="s">
        <v>968</v>
      </c>
      <c r="C154" s="26"/>
      <c r="D154" s="26"/>
      <c r="E154" s="26"/>
      <c r="F154" s="26"/>
      <c r="G154" s="26"/>
      <c r="H154" s="26"/>
      <c r="I154" s="26"/>
      <c r="J154" s="27"/>
      <c r="K154" s="191">
        <f>+'METRADO  EN PISO (SUMIDERO)'!B12</f>
        <v>112.26</v>
      </c>
      <c r="L154" s="26" t="s">
        <v>69</v>
      </c>
    </row>
    <row r="155" spans="1:12" ht="31" customHeight="1">
      <c r="A155" s="36" t="s">
        <v>90</v>
      </c>
      <c r="B155" s="36" t="s">
        <v>91</v>
      </c>
      <c r="C155" s="36"/>
      <c r="D155" s="36"/>
      <c r="E155" s="36"/>
      <c r="F155" s="36"/>
      <c r="G155" s="36"/>
      <c r="H155" s="36"/>
      <c r="I155" s="36"/>
      <c r="J155" s="37"/>
      <c r="K155" s="191">
        <f>+'METRADO  EN PISO (SUMIDERO)'!C12</f>
        <v>30</v>
      </c>
      <c r="L155" s="36" t="s">
        <v>60</v>
      </c>
    </row>
    <row r="156" spans="1:12" ht="15.5" customHeight="1">
      <c r="A156" s="36" t="s">
        <v>92</v>
      </c>
      <c r="B156" s="36" t="s">
        <v>99</v>
      </c>
      <c r="C156" s="36"/>
      <c r="D156" s="36"/>
      <c r="E156" s="36"/>
      <c r="F156" s="36"/>
      <c r="G156" s="36"/>
      <c r="H156" s="36"/>
      <c r="I156" s="36"/>
      <c r="J156" s="37"/>
      <c r="K156" s="191">
        <f>+'METRADO  EN PISO (SUMIDERO)'!D12</f>
        <v>24</v>
      </c>
      <c r="L156" s="36" t="s">
        <v>60</v>
      </c>
    </row>
    <row r="157" spans="1:12" ht="15.5" customHeight="1">
      <c r="A157" s="36" t="s">
        <v>94</v>
      </c>
      <c r="B157" s="36" t="s">
        <v>969</v>
      </c>
      <c r="C157" s="36"/>
      <c r="D157" s="36"/>
      <c r="E157" s="36"/>
      <c r="F157" s="36"/>
      <c r="G157" s="36"/>
      <c r="H157" s="36"/>
      <c r="I157" s="36"/>
      <c r="J157" s="37"/>
      <c r="K157" s="191">
        <f>+'METRADO  EN PISO (SUMIDERO)'!F12</f>
        <v>4</v>
      </c>
      <c r="L157" s="36" t="s">
        <v>60</v>
      </c>
    </row>
    <row r="158" spans="1:12" ht="15.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9"/>
      <c r="K158" s="39"/>
      <c r="L158" s="38"/>
    </row>
    <row r="159" spans="1:12" ht="15.5" customHeight="1">
      <c r="A159" s="34" t="s">
        <v>96</v>
      </c>
      <c r="B159" s="34" t="s">
        <v>97</v>
      </c>
      <c r="C159" s="34"/>
      <c r="D159" s="34"/>
      <c r="E159" s="34"/>
      <c r="F159" s="34"/>
      <c r="G159" s="34"/>
      <c r="H159" s="34"/>
      <c r="I159" s="34"/>
      <c r="J159" s="35"/>
      <c r="K159" s="35"/>
      <c r="L159" s="34"/>
    </row>
    <row r="160" spans="1:12" ht="15.5" customHeight="1">
      <c r="A160" s="36" t="s">
        <v>98</v>
      </c>
      <c r="B160" s="26" t="s">
        <v>99</v>
      </c>
      <c r="C160" s="26"/>
      <c r="D160" s="26"/>
      <c r="E160" s="26"/>
      <c r="F160" s="26"/>
      <c r="G160" s="26"/>
      <c r="H160" s="26"/>
      <c r="I160" s="26"/>
      <c r="J160" s="27"/>
      <c r="K160" s="191">
        <f>+'METRADO MONTANTES'!I43</f>
        <v>162</v>
      </c>
      <c r="L160" s="26" t="s">
        <v>60</v>
      </c>
    </row>
    <row r="161" spans="1:12" ht="31" customHeight="1">
      <c r="A161" s="36" t="s">
        <v>100</v>
      </c>
      <c r="B161" s="26" t="s">
        <v>101</v>
      </c>
      <c r="C161" s="26"/>
      <c r="D161" s="26"/>
      <c r="E161" s="26"/>
      <c r="F161" s="26"/>
      <c r="G161" s="26"/>
      <c r="H161" s="26"/>
      <c r="I161" s="26"/>
      <c r="J161" s="27"/>
      <c r="K161" s="191">
        <f>+'METRADO MONTANTES'!O43</f>
        <v>90</v>
      </c>
      <c r="L161" s="26" t="s">
        <v>60</v>
      </c>
    </row>
    <row r="162" spans="1:12" ht="31" customHeight="1">
      <c r="A162" s="36" t="s">
        <v>102</v>
      </c>
      <c r="B162" s="26" t="s">
        <v>103</v>
      </c>
      <c r="C162" s="26"/>
      <c r="D162" s="26"/>
      <c r="E162" s="26"/>
      <c r="F162" s="26"/>
      <c r="G162" s="26"/>
      <c r="H162" s="26"/>
      <c r="I162" s="26"/>
      <c r="J162" s="26"/>
      <c r="K162" s="191">
        <f>+'METRADO MONTANTES'!L43</f>
        <v>70</v>
      </c>
      <c r="L162" s="26" t="s">
        <v>60</v>
      </c>
    </row>
    <row r="164" spans="1:12" ht="46.5" customHeight="1">
      <c r="A164" s="31" t="s">
        <v>104</v>
      </c>
      <c r="B164" s="31" t="s">
        <v>105</v>
      </c>
      <c r="C164" s="196"/>
      <c r="D164" s="196"/>
      <c r="E164" s="196"/>
      <c r="F164" s="196"/>
      <c r="G164" s="196"/>
      <c r="H164" s="196"/>
      <c r="I164" s="196"/>
      <c r="J164" s="196"/>
      <c r="K164" s="196"/>
      <c r="L164" s="197"/>
    </row>
    <row r="165" spans="1:12" ht="15.5" customHeight="1">
      <c r="A165" s="31" t="s">
        <v>106</v>
      </c>
      <c r="B165" s="31" t="s">
        <v>15</v>
      </c>
      <c r="C165" s="196"/>
      <c r="D165" s="196"/>
      <c r="E165" s="196"/>
      <c r="F165" s="196"/>
      <c r="G165" s="196"/>
      <c r="H165" s="196"/>
      <c r="I165" s="196"/>
      <c r="J165" s="196"/>
      <c r="K165" s="196"/>
      <c r="L165" s="197"/>
    </row>
    <row r="166" spans="1:12" ht="15.5" customHeight="1">
      <c r="A166" s="26" t="s">
        <v>107</v>
      </c>
      <c r="B166" s="26" t="s">
        <v>17</v>
      </c>
      <c r="C166" s="27"/>
      <c r="D166" s="27"/>
      <c r="E166" s="27"/>
      <c r="F166" s="27"/>
      <c r="G166" s="27"/>
      <c r="H166" s="27"/>
      <c r="I166" s="27"/>
      <c r="J166" s="27"/>
      <c r="K166" s="27">
        <f>SUM(J167:J175)</f>
        <v>125.854</v>
      </c>
      <c r="L166" s="26" t="s">
        <v>18</v>
      </c>
    </row>
    <row r="167" spans="1:12" ht="15.5" customHeight="1">
      <c r="A167" s="28"/>
      <c r="B167" s="28" t="s">
        <v>190</v>
      </c>
      <c r="C167" s="29">
        <v>1</v>
      </c>
      <c r="D167" s="29"/>
      <c r="E167" s="29"/>
      <c r="F167" s="29"/>
      <c r="G167" s="29"/>
      <c r="H167" s="29"/>
      <c r="I167" s="29"/>
      <c r="J167" s="29">
        <f>'COLECTOR MOV. TIERRAS'!M10</f>
        <v>42.112000000000002</v>
      </c>
      <c r="K167" s="29"/>
      <c r="L167" s="28"/>
    </row>
    <row r="168" spans="1:12" ht="31" customHeight="1">
      <c r="A168" s="28"/>
      <c r="B168" s="28" t="s">
        <v>191</v>
      </c>
      <c r="C168" s="29">
        <v>1</v>
      </c>
      <c r="D168" s="29"/>
      <c r="E168" s="29"/>
      <c r="F168" s="29"/>
      <c r="G168" s="29"/>
      <c r="H168" s="29"/>
      <c r="I168" s="29"/>
      <c r="J168" s="29">
        <f>'COLECTOR MOV. TIERRAS'!M11</f>
        <v>8.016</v>
      </c>
      <c r="K168" s="29"/>
      <c r="L168" s="28"/>
    </row>
    <row r="169" spans="1:12" ht="15.5" customHeight="1">
      <c r="A169" s="28"/>
      <c r="B169" s="28" t="s">
        <v>192</v>
      </c>
      <c r="C169" s="29">
        <v>1</v>
      </c>
      <c r="D169" s="29"/>
      <c r="E169" s="29"/>
      <c r="F169" s="29"/>
      <c r="G169" s="29"/>
      <c r="H169" s="29"/>
      <c r="I169" s="29"/>
      <c r="J169" s="29">
        <f>'COLECTOR MOV. TIERRAS'!M12</f>
        <v>12.336</v>
      </c>
      <c r="K169" s="29"/>
      <c r="L169" s="28"/>
    </row>
    <row r="170" spans="1:12" ht="15.5" customHeight="1">
      <c r="A170" s="28"/>
      <c r="B170" s="28" t="s">
        <v>193</v>
      </c>
      <c r="C170" s="29">
        <v>1</v>
      </c>
      <c r="D170" s="29"/>
      <c r="E170" s="29"/>
      <c r="F170" s="29"/>
      <c r="G170" s="29"/>
      <c r="H170" s="29"/>
      <c r="I170" s="29"/>
      <c r="J170" s="29">
        <f>'COLECTOR MOV. TIERRAS'!M13</f>
        <v>3.2</v>
      </c>
      <c r="K170" s="29"/>
      <c r="L170" s="28"/>
    </row>
    <row r="171" spans="1:12" ht="15.5" customHeight="1">
      <c r="A171" s="28"/>
      <c r="B171" s="28" t="s">
        <v>194</v>
      </c>
      <c r="C171" s="29">
        <v>1</v>
      </c>
      <c r="D171" s="29"/>
      <c r="E171" s="29"/>
      <c r="F171" s="29"/>
      <c r="G171" s="29"/>
      <c r="H171" s="29"/>
      <c r="I171" s="29"/>
      <c r="J171" s="29">
        <f>'COLECTOR MOV. TIERRAS'!M14</f>
        <v>28.432000000000002</v>
      </c>
      <c r="K171" s="29"/>
      <c r="L171" s="28"/>
    </row>
    <row r="172" spans="1:12" ht="31" customHeight="1">
      <c r="A172" s="28"/>
      <c r="B172" s="28" t="s">
        <v>195</v>
      </c>
      <c r="C172" s="29">
        <v>1</v>
      </c>
      <c r="D172" s="29"/>
      <c r="E172" s="29"/>
      <c r="F172" s="29"/>
      <c r="G172" s="29"/>
      <c r="H172" s="29"/>
      <c r="I172" s="29"/>
      <c r="J172" s="29">
        <f>'COLECTOR MOV. TIERRAS'!M15</f>
        <v>12.928000000000001</v>
      </c>
      <c r="K172" s="29"/>
      <c r="L172" s="28"/>
    </row>
    <row r="173" spans="1:12" ht="15.5" customHeight="1">
      <c r="A173" s="28"/>
      <c r="B173" s="28" t="s">
        <v>196</v>
      </c>
      <c r="C173" s="29">
        <v>1</v>
      </c>
      <c r="D173" s="29"/>
      <c r="E173" s="29"/>
      <c r="F173" s="29"/>
      <c r="G173" s="29"/>
      <c r="H173" s="29"/>
      <c r="I173" s="29"/>
      <c r="J173" s="29">
        <f>'COLECTOR MOV. TIERRAS'!M16</f>
        <v>4.8000000000000007</v>
      </c>
      <c r="K173" s="29"/>
      <c r="L173" s="28"/>
    </row>
    <row r="174" spans="1:12" ht="15.5" customHeight="1">
      <c r="A174" s="28"/>
      <c r="B174" s="28" t="s">
        <v>197</v>
      </c>
      <c r="C174" s="29">
        <v>1</v>
      </c>
      <c r="D174" s="29"/>
      <c r="E174" s="29"/>
      <c r="F174" s="29"/>
      <c r="G174" s="29"/>
      <c r="H174" s="29"/>
      <c r="I174" s="29"/>
      <c r="J174" s="29">
        <f>'COLECTOR MOV. TIERRAS'!M21</f>
        <v>4.1399999999999997</v>
      </c>
      <c r="K174" s="29"/>
      <c r="L174" s="28"/>
    </row>
    <row r="175" spans="1:12" ht="15.5" customHeight="1">
      <c r="A175" s="28"/>
      <c r="B175" s="28" t="s">
        <v>198</v>
      </c>
      <c r="C175" s="29">
        <v>1</v>
      </c>
      <c r="D175" s="29"/>
      <c r="E175" s="29"/>
      <c r="F175" s="29"/>
      <c r="G175" s="29"/>
      <c r="H175" s="29"/>
      <c r="I175" s="29"/>
      <c r="J175" s="29">
        <f>'COLECTOR MOV. TIERRAS'!M22</f>
        <v>9.8899999999999988</v>
      </c>
      <c r="K175" s="29"/>
      <c r="L175" s="28"/>
    </row>
    <row r="176" spans="1:12" ht="31" customHeight="1">
      <c r="A176" s="26" t="s">
        <v>108</v>
      </c>
      <c r="B176" s="26" t="s">
        <v>20</v>
      </c>
      <c r="C176" s="27"/>
      <c r="D176" s="27"/>
      <c r="E176" s="27"/>
      <c r="F176" s="27"/>
      <c r="G176" s="27"/>
      <c r="H176" s="27"/>
      <c r="I176" s="27"/>
      <c r="J176" s="27"/>
      <c r="K176" s="27">
        <f>SUM(J177:J185)</f>
        <v>125.854</v>
      </c>
      <c r="L176" s="26" t="s">
        <v>18</v>
      </c>
    </row>
    <row r="177" spans="1:12" ht="15.5" customHeight="1">
      <c r="A177" s="28"/>
      <c r="B177" s="28" t="s">
        <v>190</v>
      </c>
      <c r="C177" s="29">
        <v>1</v>
      </c>
      <c r="D177" s="29"/>
      <c r="E177" s="29"/>
      <c r="F177" s="29"/>
      <c r="G177" s="29"/>
      <c r="H177" s="29"/>
      <c r="I177" s="29"/>
      <c r="J177" s="29">
        <f>'COLECTOR MOV. TIERRAS'!M10</f>
        <v>42.112000000000002</v>
      </c>
      <c r="K177" s="29"/>
      <c r="L177" s="28"/>
    </row>
    <row r="178" spans="1:12" ht="31" customHeight="1">
      <c r="A178" s="28"/>
      <c r="B178" s="28" t="s">
        <v>191</v>
      </c>
      <c r="C178" s="29">
        <v>1</v>
      </c>
      <c r="D178" s="29"/>
      <c r="E178" s="29"/>
      <c r="F178" s="29"/>
      <c r="G178" s="29"/>
      <c r="H178" s="29"/>
      <c r="I178" s="29"/>
      <c r="J178" s="29">
        <f>'COLECTOR MOV. TIERRAS'!M11</f>
        <v>8.016</v>
      </c>
      <c r="K178" s="29"/>
      <c r="L178" s="28"/>
    </row>
    <row r="179" spans="1:12" ht="15.5" customHeight="1">
      <c r="A179" s="28"/>
      <c r="B179" s="28" t="s">
        <v>192</v>
      </c>
      <c r="C179" s="29">
        <v>1</v>
      </c>
      <c r="D179" s="29"/>
      <c r="E179" s="29"/>
      <c r="F179" s="29"/>
      <c r="G179" s="29"/>
      <c r="H179" s="29"/>
      <c r="I179" s="29"/>
      <c r="J179" s="29">
        <f>'COLECTOR MOV. TIERRAS'!M12</f>
        <v>12.336</v>
      </c>
      <c r="K179" s="29"/>
      <c r="L179" s="28"/>
    </row>
    <row r="180" spans="1:12" ht="15.5" customHeight="1">
      <c r="A180" s="28"/>
      <c r="B180" s="28" t="s">
        <v>193</v>
      </c>
      <c r="C180" s="29">
        <v>1</v>
      </c>
      <c r="D180" s="29"/>
      <c r="E180" s="29"/>
      <c r="F180" s="29"/>
      <c r="G180" s="29"/>
      <c r="H180" s="29"/>
      <c r="I180" s="29"/>
      <c r="J180" s="29">
        <f>'COLECTOR MOV. TIERRAS'!M13</f>
        <v>3.2</v>
      </c>
      <c r="K180" s="29"/>
      <c r="L180" s="28"/>
    </row>
    <row r="181" spans="1:12" ht="15.5" customHeight="1">
      <c r="A181" s="28"/>
      <c r="B181" s="28" t="s">
        <v>194</v>
      </c>
      <c r="C181" s="29">
        <v>1</v>
      </c>
      <c r="D181" s="29"/>
      <c r="E181" s="29"/>
      <c r="F181" s="29"/>
      <c r="G181" s="29"/>
      <c r="H181" s="29"/>
      <c r="I181" s="29"/>
      <c r="J181" s="29">
        <f>'COLECTOR MOV. TIERRAS'!M14</f>
        <v>28.432000000000002</v>
      </c>
      <c r="K181" s="29"/>
      <c r="L181" s="28"/>
    </row>
    <row r="182" spans="1:12" ht="31" customHeight="1">
      <c r="A182" s="28"/>
      <c r="B182" s="28" t="s">
        <v>195</v>
      </c>
      <c r="C182" s="29">
        <v>1</v>
      </c>
      <c r="D182" s="29"/>
      <c r="E182" s="29"/>
      <c r="F182" s="29"/>
      <c r="G182" s="29"/>
      <c r="H182" s="29"/>
      <c r="I182" s="29"/>
      <c r="J182" s="29">
        <f>'COLECTOR MOV. TIERRAS'!M15</f>
        <v>12.928000000000001</v>
      </c>
      <c r="K182" s="29"/>
      <c r="L182" s="28"/>
    </row>
    <row r="183" spans="1:12" ht="15.5" customHeight="1">
      <c r="A183" s="28"/>
      <c r="B183" s="28" t="s">
        <v>196</v>
      </c>
      <c r="C183" s="29">
        <v>1</v>
      </c>
      <c r="D183" s="29"/>
      <c r="E183" s="29"/>
      <c r="F183" s="29"/>
      <c r="G183" s="29"/>
      <c r="H183" s="29"/>
      <c r="I183" s="29"/>
      <c r="J183" s="29">
        <f>'COLECTOR MOV. TIERRAS'!M16</f>
        <v>4.8000000000000007</v>
      </c>
      <c r="K183" s="29"/>
      <c r="L183" s="28"/>
    </row>
    <row r="184" spans="1:12" ht="15.5" customHeight="1">
      <c r="A184" s="28"/>
      <c r="B184" s="28" t="s">
        <v>197</v>
      </c>
      <c r="C184" s="29">
        <v>1</v>
      </c>
      <c r="D184" s="29"/>
      <c r="E184" s="29"/>
      <c r="F184" s="29"/>
      <c r="G184" s="29"/>
      <c r="H184" s="29"/>
      <c r="I184" s="29"/>
      <c r="J184" s="29">
        <f>'COLECTOR MOV. TIERRAS'!M21</f>
        <v>4.1399999999999997</v>
      </c>
      <c r="K184" s="29"/>
      <c r="L184" s="28"/>
    </row>
    <row r="185" spans="1:12" ht="15.5" customHeight="1">
      <c r="A185" s="28"/>
      <c r="B185" s="28" t="s">
        <v>198</v>
      </c>
      <c r="C185" s="29">
        <v>1</v>
      </c>
      <c r="D185" s="29"/>
      <c r="E185" s="29"/>
      <c r="F185" s="29"/>
      <c r="G185" s="29"/>
      <c r="H185" s="29"/>
      <c r="I185" s="29"/>
      <c r="J185" s="29">
        <f>'COLECTOR MOV. TIERRAS'!M22</f>
        <v>9.8899999999999988</v>
      </c>
      <c r="K185" s="29"/>
      <c r="L185" s="28"/>
    </row>
    <row r="186" spans="1:12" ht="15.5" customHeight="1">
      <c r="A186" s="31" t="s">
        <v>109</v>
      </c>
      <c r="B186" s="31" t="s">
        <v>22</v>
      </c>
      <c r="C186" s="196"/>
      <c r="D186" s="196"/>
      <c r="E186" s="196"/>
      <c r="F186" s="196"/>
      <c r="G186" s="196"/>
      <c r="H186" s="196"/>
      <c r="I186" s="196"/>
      <c r="J186" s="196"/>
      <c r="K186" s="196"/>
      <c r="L186" s="197"/>
    </row>
    <row r="187" spans="1:12" ht="31" customHeight="1">
      <c r="A187" s="26" t="s">
        <v>110</v>
      </c>
      <c r="B187" s="26" t="s">
        <v>970</v>
      </c>
      <c r="C187" s="27"/>
      <c r="D187" s="27"/>
      <c r="E187" s="27"/>
      <c r="F187" s="27"/>
      <c r="G187" s="27"/>
      <c r="H187" s="27"/>
      <c r="I187" s="27"/>
      <c r="J187" s="27"/>
      <c r="K187" s="27">
        <f>SUM(J188:J196)</f>
        <v>164.89437599999965</v>
      </c>
      <c r="L187" s="26" t="s">
        <v>25</v>
      </c>
    </row>
    <row r="188" spans="1:12" ht="15.5" customHeight="1">
      <c r="A188" s="28"/>
      <c r="B188" s="28" t="s">
        <v>190</v>
      </c>
      <c r="C188" s="29">
        <v>1</v>
      </c>
      <c r="D188" s="29"/>
      <c r="E188" s="29"/>
      <c r="F188" s="29"/>
      <c r="G188" s="29"/>
      <c r="H188" s="29"/>
      <c r="I188" s="29"/>
      <c r="J188" s="29">
        <f>'COLECTOR MOV. TIERRAS'!N10</f>
        <v>58.746240000000007</v>
      </c>
      <c r="K188" s="29"/>
      <c r="L188" s="28"/>
    </row>
    <row r="189" spans="1:12" ht="31" customHeight="1">
      <c r="A189" s="28"/>
      <c r="B189" s="28" t="s">
        <v>191</v>
      </c>
      <c r="C189" s="29">
        <v>1</v>
      </c>
      <c r="D189" s="29"/>
      <c r="E189" s="29"/>
      <c r="F189" s="29"/>
      <c r="G189" s="29"/>
      <c r="H189" s="29"/>
      <c r="I189" s="29"/>
      <c r="J189" s="29">
        <f>'COLECTOR MOV. TIERRAS'!N11</f>
        <v>10.212384</v>
      </c>
      <c r="K189" s="29"/>
      <c r="L189" s="28"/>
    </row>
    <row r="190" spans="1:12" ht="15.5" customHeight="1">
      <c r="A190" s="28"/>
      <c r="B190" s="28" t="s">
        <v>192</v>
      </c>
      <c r="C190" s="29">
        <v>1</v>
      </c>
      <c r="D190" s="29"/>
      <c r="E190" s="29"/>
      <c r="F190" s="29"/>
      <c r="G190" s="29"/>
      <c r="H190" s="29"/>
      <c r="I190" s="29"/>
      <c r="J190" s="29">
        <f>'COLECTOR MOV. TIERRAS'!N12</f>
        <v>16.875648000000002</v>
      </c>
      <c r="K190" s="29"/>
      <c r="L190" s="28"/>
    </row>
    <row r="191" spans="1:12" ht="15.5" customHeight="1">
      <c r="A191" s="28"/>
      <c r="B191" s="28" t="s">
        <v>193</v>
      </c>
      <c r="C191" s="29">
        <v>1</v>
      </c>
      <c r="D191" s="29"/>
      <c r="E191" s="29"/>
      <c r="F191" s="29"/>
      <c r="G191" s="29"/>
      <c r="H191" s="29"/>
      <c r="I191" s="29"/>
      <c r="J191" s="29">
        <f>'COLECTOR MOV. TIERRAS'!N13</f>
        <v>5.1360000000000001</v>
      </c>
      <c r="K191" s="29"/>
      <c r="L191" s="28"/>
    </row>
    <row r="192" spans="1:12" ht="15.5" customHeight="1">
      <c r="A192" s="28"/>
      <c r="B192" s="28" t="s">
        <v>194</v>
      </c>
      <c r="C192" s="29">
        <v>1</v>
      </c>
      <c r="D192" s="29"/>
      <c r="E192" s="29"/>
      <c r="F192" s="29"/>
      <c r="G192" s="29"/>
      <c r="H192" s="29"/>
      <c r="I192" s="29"/>
      <c r="J192" s="29">
        <f>'COLECTOR MOV. TIERRAS'!N14</f>
        <v>32.83896</v>
      </c>
      <c r="K192" s="29"/>
      <c r="L192" s="28"/>
    </row>
    <row r="193" spans="1:12" ht="31" customHeight="1">
      <c r="A193" s="28"/>
      <c r="B193" s="28" t="s">
        <v>195</v>
      </c>
      <c r="C193" s="29">
        <v>1</v>
      </c>
      <c r="D193" s="29"/>
      <c r="E193" s="29"/>
      <c r="F193" s="29"/>
      <c r="G193" s="29"/>
      <c r="H193" s="29"/>
      <c r="I193" s="29"/>
      <c r="J193" s="29">
        <f>'COLECTOR MOV. TIERRAS'!N15</f>
        <v>13.354624000000001</v>
      </c>
      <c r="K193" s="29"/>
      <c r="L193" s="28"/>
    </row>
    <row r="194" spans="1:12" ht="15.5" customHeight="1">
      <c r="A194" s="28"/>
      <c r="B194" s="28" t="s">
        <v>196</v>
      </c>
      <c r="C194" s="29">
        <v>1</v>
      </c>
      <c r="D194" s="29"/>
      <c r="E194" s="29"/>
      <c r="F194" s="29"/>
      <c r="G194" s="29"/>
      <c r="H194" s="29"/>
      <c r="I194" s="29"/>
      <c r="J194" s="29">
        <f>'COLECTOR MOV. TIERRAS'!N16</f>
        <v>5.0976000000000008</v>
      </c>
      <c r="K194" s="29"/>
      <c r="L194" s="28"/>
    </row>
    <row r="195" spans="1:12" ht="15.5" customHeight="1">
      <c r="A195" s="28"/>
      <c r="B195" s="28" t="s">
        <v>197</v>
      </c>
      <c r="C195" s="29">
        <v>1</v>
      </c>
      <c r="D195" s="29"/>
      <c r="E195" s="29"/>
      <c r="F195" s="29"/>
      <c r="G195" s="29"/>
      <c r="H195" s="29"/>
      <c r="I195" s="29"/>
      <c r="J195" s="29">
        <f>'COLECTOR MOV. TIERRAS'!N21</f>
        <v>7.0462799999999923</v>
      </c>
      <c r="K195" s="29"/>
      <c r="L195" s="28"/>
    </row>
    <row r="196" spans="1:12" ht="15.5" customHeight="1">
      <c r="A196" s="28"/>
      <c r="B196" s="28" t="s">
        <v>198</v>
      </c>
      <c r="C196" s="29">
        <v>1</v>
      </c>
      <c r="D196" s="29"/>
      <c r="E196" s="29"/>
      <c r="F196" s="29"/>
      <c r="G196" s="29"/>
      <c r="H196" s="29"/>
      <c r="I196" s="29"/>
      <c r="J196" s="29">
        <f>'COLECTOR MOV. TIERRAS'!N22</f>
        <v>15.586639999999651</v>
      </c>
      <c r="K196" s="29"/>
      <c r="L196" s="28"/>
    </row>
    <row r="197" spans="1:12" ht="46.5" customHeight="1">
      <c r="A197" s="26" t="s">
        <v>112</v>
      </c>
      <c r="B197" s="26" t="s">
        <v>29</v>
      </c>
      <c r="C197" s="27"/>
      <c r="D197" s="27"/>
      <c r="E197" s="27"/>
      <c r="F197" s="27"/>
      <c r="G197" s="27"/>
      <c r="H197" s="27"/>
      <c r="I197" s="27"/>
      <c r="J197" s="27"/>
      <c r="K197" s="27">
        <f>SUM(J198:J206)</f>
        <v>93.937999999999988</v>
      </c>
      <c r="L197" s="26" t="s">
        <v>18</v>
      </c>
    </row>
    <row r="198" spans="1:12" ht="15.5" customHeight="1">
      <c r="A198" s="28"/>
      <c r="B198" s="28" t="s">
        <v>190</v>
      </c>
      <c r="C198" s="29">
        <v>1</v>
      </c>
      <c r="D198" s="29"/>
      <c r="E198" s="29"/>
      <c r="F198" s="29"/>
      <c r="G198" s="29"/>
      <c r="H198" s="29"/>
      <c r="I198" s="29"/>
      <c r="J198" s="29">
        <f>'COLECTOR MOV. TIERRAS'!O10</f>
        <v>31.584000000000007</v>
      </c>
      <c r="K198" s="29"/>
      <c r="L198" s="28"/>
    </row>
    <row r="199" spans="1:12" ht="31" customHeight="1">
      <c r="A199" s="28"/>
      <c r="B199" s="28" t="s">
        <v>191</v>
      </c>
      <c r="C199" s="29">
        <v>1</v>
      </c>
      <c r="D199" s="29"/>
      <c r="E199" s="29"/>
      <c r="F199" s="29"/>
      <c r="G199" s="29"/>
      <c r="H199" s="29"/>
      <c r="I199" s="29"/>
      <c r="J199" s="29">
        <f>'COLECTOR MOV. TIERRAS'!O11</f>
        <v>6.0120000000000005</v>
      </c>
      <c r="K199" s="29"/>
      <c r="L199" s="28"/>
    </row>
    <row r="200" spans="1:12" ht="15.5" customHeight="1">
      <c r="A200" s="28"/>
      <c r="B200" s="28" t="s">
        <v>192</v>
      </c>
      <c r="C200" s="29">
        <v>1</v>
      </c>
      <c r="D200" s="29"/>
      <c r="E200" s="29"/>
      <c r="F200" s="29"/>
      <c r="G200" s="29"/>
      <c r="H200" s="29"/>
      <c r="I200" s="29"/>
      <c r="J200" s="29">
        <f>'COLECTOR MOV. TIERRAS'!O12</f>
        <v>9.2520000000000007</v>
      </c>
      <c r="K200" s="29"/>
      <c r="L200" s="28"/>
    </row>
    <row r="201" spans="1:12" ht="15.5" customHeight="1">
      <c r="A201" s="28"/>
      <c r="B201" s="28" t="s">
        <v>193</v>
      </c>
      <c r="C201" s="29">
        <v>1</v>
      </c>
      <c r="D201" s="29"/>
      <c r="E201" s="29"/>
      <c r="F201" s="29"/>
      <c r="G201" s="29"/>
      <c r="H201" s="29"/>
      <c r="I201" s="29"/>
      <c r="J201" s="29">
        <f>'COLECTOR MOV. TIERRAS'!O13</f>
        <v>2.4000000000000004</v>
      </c>
      <c r="K201" s="29"/>
      <c r="L201" s="28"/>
    </row>
    <row r="202" spans="1:12" ht="15.5" customHeight="1">
      <c r="A202" s="28"/>
      <c r="B202" s="28" t="s">
        <v>194</v>
      </c>
      <c r="C202" s="29">
        <v>1</v>
      </c>
      <c r="D202" s="29"/>
      <c r="E202" s="29"/>
      <c r="F202" s="29"/>
      <c r="G202" s="29"/>
      <c r="H202" s="29"/>
      <c r="I202" s="29"/>
      <c r="J202" s="29">
        <f>'COLECTOR MOV. TIERRAS'!O14</f>
        <v>21.324000000000002</v>
      </c>
      <c r="K202" s="29"/>
      <c r="L202" s="28"/>
    </row>
    <row r="203" spans="1:12" ht="31" customHeight="1">
      <c r="A203" s="28"/>
      <c r="B203" s="28" t="s">
        <v>195</v>
      </c>
      <c r="C203" s="29">
        <v>1</v>
      </c>
      <c r="D203" s="29"/>
      <c r="E203" s="29"/>
      <c r="F203" s="29"/>
      <c r="G203" s="29"/>
      <c r="H203" s="29"/>
      <c r="I203" s="29"/>
      <c r="J203" s="29">
        <f>'COLECTOR MOV. TIERRAS'!O15</f>
        <v>9.6960000000000015</v>
      </c>
      <c r="K203" s="29"/>
      <c r="L203" s="28"/>
    </row>
    <row r="204" spans="1:12" ht="15.5" customHeight="1">
      <c r="A204" s="28"/>
      <c r="B204" s="28" t="s">
        <v>196</v>
      </c>
      <c r="C204" s="29">
        <v>1</v>
      </c>
      <c r="D204" s="29"/>
      <c r="E204" s="29"/>
      <c r="F204" s="29"/>
      <c r="G204" s="29"/>
      <c r="H204" s="29"/>
      <c r="I204" s="29"/>
      <c r="J204" s="29">
        <f>'COLECTOR MOV. TIERRAS'!O16</f>
        <v>3.6000000000000005</v>
      </c>
      <c r="K204" s="29"/>
      <c r="L204" s="28"/>
    </row>
    <row r="205" spans="1:12" ht="15.5" customHeight="1">
      <c r="A205" s="28"/>
      <c r="B205" s="28" t="s">
        <v>197</v>
      </c>
      <c r="C205" s="29">
        <v>1</v>
      </c>
      <c r="D205" s="29"/>
      <c r="E205" s="29"/>
      <c r="F205" s="29"/>
      <c r="G205" s="29"/>
      <c r="H205" s="29"/>
      <c r="I205" s="29"/>
      <c r="J205" s="29">
        <f>'COLECTOR MOV. TIERRAS'!O21</f>
        <v>2.6600000000000006</v>
      </c>
      <c r="K205" s="29"/>
      <c r="L205" s="28"/>
    </row>
    <row r="206" spans="1:12" ht="15.5" customHeight="1">
      <c r="A206" s="28"/>
      <c r="B206" s="28" t="s">
        <v>198</v>
      </c>
      <c r="C206" s="29">
        <v>1</v>
      </c>
      <c r="D206" s="29"/>
      <c r="E206" s="29"/>
      <c r="F206" s="29"/>
      <c r="G206" s="29"/>
      <c r="H206" s="29"/>
      <c r="I206" s="29"/>
      <c r="J206" s="29">
        <f>'COLECTOR MOV. TIERRAS'!O22</f>
        <v>7.41</v>
      </c>
      <c r="K206" s="29"/>
      <c r="L206" s="28"/>
    </row>
    <row r="207" spans="1:12" ht="62" customHeight="1">
      <c r="A207" s="26" t="s">
        <v>113</v>
      </c>
      <c r="B207" s="26" t="s">
        <v>964</v>
      </c>
      <c r="C207" s="27"/>
      <c r="D207" s="27"/>
      <c r="E207" s="27"/>
      <c r="F207" s="27"/>
      <c r="G207" s="27"/>
      <c r="H207" s="27"/>
      <c r="I207" s="27"/>
      <c r="J207" s="27"/>
      <c r="K207" s="27">
        <f>SUM(J208:J223)</f>
        <v>82.773335000000117</v>
      </c>
      <c r="L207" s="26" t="s">
        <v>25</v>
      </c>
    </row>
    <row r="208" spans="1:12" ht="31" customHeight="1">
      <c r="A208" s="28"/>
      <c r="B208" s="28" t="s">
        <v>199</v>
      </c>
      <c r="C208" s="29">
        <v>1</v>
      </c>
      <c r="D208" s="29"/>
      <c r="E208" s="29"/>
      <c r="F208" s="29"/>
      <c r="G208" s="29"/>
      <c r="H208" s="29"/>
      <c r="I208" s="29"/>
      <c r="J208" s="29">
        <f>'COLECTOR MOV. TIERRAS'!P10</f>
        <v>18.3582</v>
      </c>
      <c r="K208" s="29"/>
      <c r="L208" s="28"/>
    </row>
    <row r="209" spans="1:12" ht="31" customHeight="1">
      <c r="A209" s="28"/>
      <c r="B209" s="28" t="s">
        <v>200</v>
      </c>
      <c r="C209" s="29">
        <v>1</v>
      </c>
      <c r="D209" s="29"/>
      <c r="E209" s="29"/>
      <c r="F209" s="29"/>
      <c r="G209" s="29"/>
      <c r="H209" s="29"/>
      <c r="I209" s="29"/>
      <c r="J209" s="29">
        <f>'COLECTOR MOV. TIERRAS'!P11</f>
        <v>3.19137</v>
      </c>
      <c r="K209" s="29"/>
      <c r="L209" s="28"/>
    </row>
    <row r="210" spans="1:12" ht="31" customHeight="1">
      <c r="A210" s="28"/>
      <c r="B210" s="28" t="s">
        <v>201</v>
      </c>
      <c r="C210" s="29">
        <v>1</v>
      </c>
      <c r="D210" s="29"/>
      <c r="E210" s="29"/>
      <c r="F210" s="29"/>
      <c r="G210" s="29"/>
      <c r="H210" s="29"/>
      <c r="I210" s="29"/>
      <c r="J210" s="29">
        <f>'COLECTOR MOV. TIERRAS'!P12</f>
        <v>5.2736400000000003</v>
      </c>
      <c r="K210" s="29"/>
      <c r="L210" s="28"/>
    </row>
    <row r="211" spans="1:12" ht="31" customHeight="1">
      <c r="A211" s="28"/>
      <c r="B211" s="28" t="s">
        <v>202</v>
      </c>
      <c r="C211" s="29">
        <v>1</v>
      </c>
      <c r="D211" s="29"/>
      <c r="E211" s="29"/>
      <c r="F211" s="29"/>
      <c r="G211" s="29"/>
      <c r="H211" s="29"/>
      <c r="I211" s="29"/>
      <c r="J211" s="29">
        <f>'COLECTOR MOV. TIERRAS'!P13</f>
        <v>1.605</v>
      </c>
      <c r="K211" s="29"/>
      <c r="L211" s="28"/>
    </row>
    <row r="212" spans="1:12" ht="31" customHeight="1">
      <c r="A212" s="28"/>
      <c r="B212" s="28" t="s">
        <v>203</v>
      </c>
      <c r="C212" s="29">
        <v>1</v>
      </c>
      <c r="D212" s="29"/>
      <c r="E212" s="29"/>
      <c r="F212" s="29"/>
      <c r="G212" s="29"/>
      <c r="H212" s="29"/>
      <c r="I212" s="29"/>
      <c r="J212" s="29">
        <f>'COLECTOR MOV. TIERRAS'!P14</f>
        <v>10.262174999999999</v>
      </c>
      <c r="K212" s="29"/>
      <c r="L212" s="28"/>
    </row>
    <row r="213" spans="1:12" ht="31" customHeight="1">
      <c r="A213" s="28"/>
      <c r="B213" s="28" t="s">
        <v>204</v>
      </c>
      <c r="C213" s="29">
        <v>1</v>
      </c>
      <c r="D213" s="29"/>
      <c r="E213" s="29"/>
      <c r="F213" s="29"/>
      <c r="G213" s="29"/>
      <c r="H213" s="29"/>
      <c r="I213" s="29"/>
      <c r="J213" s="29">
        <f>'COLECTOR MOV. TIERRAS'!P15</f>
        <v>4.1733199999999995</v>
      </c>
      <c r="K213" s="29"/>
      <c r="L213" s="28"/>
    </row>
    <row r="214" spans="1:12" ht="31" customHeight="1">
      <c r="A214" s="28"/>
      <c r="B214" s="28" t="s">
        <v>205</v>
      </c>
      <c r="C214" s="29">
        <v>1</v>
      </c>
      <c r="D214" s="29"/>
      <c r="E214" s="29"/>
      <c r="F214" s="29"/>
      <c r="G214" s="29"/>
      <c r="H214" s="29"/>
      <c r="I214" s="29"/>
      <c r="J214" s="29">
        <f>'COLECTOR MOV. TIERRAS'!P16</f>
        <v>1.593</v>
      </c>
      <c r="K214" s="29"/>
      <c r="L214" s="28"/>
    </row>
    <row r="215" spans="1:12" ht="31" customHeight="1">
      <c r="A215" s="28"/>
      <c r="B215" s="28" t="s">
        <v>206</v>
      </c>
      <c r="C215" s="29">
        <v>1</v>
      </c>
      <c r="D215" s="29"/>
      <c r="E215" s="29"/>
      <c r="F215" s="29"/>
      <c r="G215" s="29"/>
      <c r="H215" s="29"/>
      <c r="I215" s="29"/>
      <c r="J215" s="29">
        <f>'COLECTOR MOV. TIERRAS'!Q10</f>
        <v>9.0803999999999991</v>
      </c>
      <c r="K215" s="29"/>
      <c r="L215" s="28"/>
    </row>
    <row r="216" spans="1:12" ht="31" customHeight="1">
      <c r="A216" s="28"/>
      <c r="B216" s="28" t="s">
        <v>207</v>
      </c>
      <c r="C216" s="29">
        <v>1</v>
      </c>
      <c r="D216" s="29"/>
      <c r="E216" s="29"/>
      <c r="F216" s="29"/>
      <c r="G216" s="29"/>
      <c r="H216" s="29"/>
      <c r="I216" s="29"/>
      <c r="J216" s="29">
        <f>'COLECTOR MOV. TIERRAS'!Q11</f>
        <v>2.5701299999999998</v>
      </c>
      <c r="K216" s="29"/>
      <c r="L216" s="28"/>
    </row>
    <row r="217" spans="1:12" ht="31" customHeight="1">
      <c r="A217" s="28"/>
      <c r="B217" s="28" t="s">
        <v>208</v>
      </c>
      <c r="C217" s="29">
        <v>1</v>
      </c>
      <c r="D217" s="29"/>
      <c r="E217" s="29"/>
      <c r="F217" s="29"/>
      <c r="G217" s="29"/>
      <c r="H217" s="29"/>
      <c r="I217" s="29"/>
      <c r="J217" s="29">
        <f>'COLECTOR MOV. TIERRAS'!Q12</f>
        <v>3.3692699999999998</v>
      </c>
      <c r="K217" s="29"/>
      <c r="L217" s="28"/>
    </row>
    <row r="218" spans="1:12" ht="31" customHeight="1">
      <c r="A218" s="28"/>
      <c r="B218" s="28" t="s">
        <v>209</v>
      </c>
      <c r="C218" s="29">
        <v>1</v>
      </c>
      <c r="D218" s="29"/>
      <c r="E218" s="29"/>
      <c r="F218" s="29"/>
      <c r="G218" s="29"/>
      <c r="H218" s="29"/>
      <c r="I218" s="29"/>
      <c r="J218" s="29">
        <f>'COLECTOR MOV. TIERRAS'!Q13</f>
        <v>0.43</v>
      </c>
      <c r="K218" s="29"/>
      <c r="L218" s="28"/>
    </row>
    <row r="219" spans="1:12" ht="31" customHeight="1">
      <c r="A219" s="28"/>
      <c r="B219" s="28" t="s">
        <v>210</v>
      </c>
      <c r="C219" s="29">
        <v>1</v>
      </c>
      <c r="D219" s="29"/>
      <c r="E219" s="29"/>
      <c r="F219" s="29"/>
      <c r="G219" s="29"/>
      <c r="H219" s="29"/>
      <c r="I219" s="29"/>
      <c r="J219" s="29">
        <f>'COLECTOR MOV. TIERRAS'!Q14</f>
        <v>12.350149999999999</v>
      </c>
      <c r="K219" s="29"/>
      <c r="L219" s="28"/>
    </row>
    <row r="220" spans="1:12" ht="31" customHeight="1">
      <c r="A220" s="28"/>
      <c r="B220" s="28" t="s">
        <v>211</v>
      </c>
      <c r="C220" s="29">
        <v>1</v>
      </c>
      <c r="D220" s="29"/>
      <c r="E220" s="29"/>
      <c r="F220" s="29"/>
      <c r="G220" s="29"/>
      <c r="H220" s="29"/>
      <c r="I220" s="29"/>
      <c r="J220" s="29">
        <f>'COLECTOR MOV. TIERRAS'!Q15</f>
        <v>6.9084000000000003</v>
      </c>
      <c r="K220" s="29"/>
      <c r="L220" s="28"/>
    </row>
    <row r="221" spans="1:12" ht="31" customHeight="1">
      <c r="A221" s="28"/>
      <c r="B221" s="28" t="s">
        <v>212</v>
      </c>
      <c r="C221" s="29">
        <v>1</v>
      </c>
      <c r="D221" s="29"/>
      <c r="E221" s="29"/>
      <c r="F221" s="29"/>
      <c r="G221" s="29"/>
      <c r="H221" s="29"/>
      <c r="I221" s="29"/>
      <c r="J221" s="29">
        <f>'COLECTOR MOV. TIERRAS'!Q16</f>
        <v>2.5289999999999999</v>
      </c>
      <c r="K221" s="29"/>
      <c r="L221" s="28"/>
    </row>
    <row r="222" spans="1:12" ht="15.5" customHeight="1">
      <c r="A222" s="28"/>
      <c r="B222" s="28" t="s">
        <v>197</v>
      </c>
      <c r="C222" s="29">
        <v>1</v>
      </c>
      <c r="D222" s="29"/>
      <c r="E222" s="29"/>
      <c r="F222" s="29"/>
      <c r="G222" s="29"/>
      <c r="H222" s="29"/>
      <c r="I222" s="29"/>
      <c r="J222" s="29">
        <f>'COLECTOR MOV. TIERRAS'!P21</f>
        <v>1.079280000000125</v>
      </c>
      <c r="K222" s="29"/>
      <c r="L222" s="28"/>
    </row>
    <row r="223" spans="1:12" ht="15.5" customHeight="1">
      <c r="A223" s="28"/>
      <c r="B223" s="28" t="s">
        <v>198</v>
      </c>
      <c r="C223" s="29">
        <v>1</v>
      </c>
      <c r="D223" s="29"/>
      <c r="E223" s="29"/>
      <c r="F223" s="29"/>
      <c r="G223" s="29"/>
      <c r="H223" s="29"/>
      <c r="I223" s="29"/>
      <c r="J223" s="29">
        <f>'COLECTOR MOV. TIERRAS'!P22</f>
        <v>0</v>
      </c>
      <c r="K223" s="29"/>
      <c r="L223" s="28"/>
    </row>
    <row r="224" spans="1:12" ht="31" customHeight="1">
      <c r="A224" s="26" t="s">
        <v>115</v>
      </c>
      <c r="B224" s="26" t="s">
        <v>965</v>
      </c>
      <c r="C224" s="27"/>
      <c r="D224" s="27"/>
      <c r="E224" s="27"/>
      <c r="F224" s="27"/>
      <c r="G224" s="27"/>
      <c r="H224" s="27"/>
      <c r="I224" s="27"/>
      <c r="J224" s="27"/>
      <c r="K224" s="27">
        <f>SUM(J225:J226)*PARAMETROS!$B$16</f>
        <v>98.545249199999446</v>
      </c>
      <c r="L224" s="26" t="s">
        <v>25</v>
      </c>
    </row>
    <row r="225" spans="1:12" ht="15.5" customHeight="1">
      <c r="A225" s="28"/>
      <c r="B225" s="28" t="s">
        <v>213</v>
      </c>
      <c r="C225" s="29">
        <v>1</v>
      </c>
      <c r="D225" s="29"/>
      <c r="E225" s="29"/>
      <c r="F225" s="29"/>
      <c r="G225" s="29"/>
      <c r="H225" s="29"/>
      <c r="I225" s="29"/>
      <c r="J225" s="29">
        <f>K187</f>
        <v>164.89437599999965</v>
      </c>
      <c r="K225" s="29"/>
      <c r="L225" s="28"/>
    </row>
    <row r="226" spans="1:12" ht="15.5" customHeight="1">
      <c r="A226" s="28"/>
      <c r="B226" s="28" t="s">
        <v>214</v>
      </c>
      <c r="C226" s="29">
        <v>-1</v>
      </c>
      <c r="D226" s="29"/>
      <c r="E226" s="29"/>
      <c r="F226" s="29"/>
      <c r="G226" s="29"/>
      <c r="H226" s="29"/>
      <c r="I226" s="29"/>
      <c r="J226" s="29">
        <f>-K207</f>
        <v>-82.773335000000117</v>
      </c>
      <c r="K226" s="29"/>
      <c r="L226" s="28"/>
    </row>
    <row r="227" spans="1:12" ht="15.5" customHeight="1">
      <c r="A227" s="31" t="s">
        <v>116</v>
      </c>
      <c r="B227" s="31" t="s">
        <v>35</v>
      </c>
      <c r="C227" s="196"/>
      <c r="D227" s="196"/>
      <c r="E227" s="196"/>
      <c r="F227" s="196"/>
      <c r="G227" s="196"/>
      <c r="H227" s="196"/>
      <c r="I227" s="196"/>
      <c r="J227" s="196"/>
      <c r="K227" s="196"/>
      <c r="L227" s="197"/>
    </row>
    <row r="228" spans="1:12" ht="31" customHeight="1">
      <c r="A228" s="26" t="s">
        <v>117</v>
      </c>
      <c r="B228" s="26" t="s">
        <v>971</v>
      </c>
      <c r="C228" s="27"/>
      <c r="D228" s="27"/>
      <c r="E228" s="27"/>
      <c r="F228" s="27"/>
      <c r="G228" s="27"/>
      <c r="H228" s="27"/>
      <c r="I228" s="27"/>
      <c r="J228" s="27"/>
      <c r="K228" s="27">
        <f>SUM(J229:J237)</f>
        <v>93.937999999999988</v>
      </c>
      <c r="L228" s="26" t="s">
        <v>18</v>
      </c>
    </row>
    <row r="229" spans="1:12" ht="15.5" customHeight="1">
      <c r="A229" s="28"/>
      <c r="B229" s="28" t="s">
        <v>190</v>
      </c>
      <c r="C229" s="29">
        <v>1</v>
      </c>
      <c r="D229" s="29"/>
      <c r="E229" s="29"/>
      <c r="F229" s="29"/>
      <c r="G229" s="29"/>
      <c r="H229" s="29"/>
      <c r="I229" s="29"/>
      <c r="J229" s="29">
        <f>'COLECTOR CONCRETO'!H10</f>
        <v>31.584000000000007</v>
      </c>
      <c r="K229" s="29"/>
      <c r="L229" s="28"/>
    </row>
    <row r="230" spans="1:12" ht="31" customHeight="1">
      <c r="A230" s="28"/>
      <c r="B230" s="28" t="s">
        <v>191</v>
      </c>
      <c r="C230" s="29">
        <v>1</v>
      </c>
      <c r="D230" s="29"/>
      <c r="E230" s="29"/>
      <c r="F230" s="29"/>
      <c r="G230" s="29"/>
      <c r="H230" s="29"/>
      <c r="I230" s="29"/>
      <c r="J230" s="29">
        <f>'COLECTOR CONCRETO'!H11</f>
        <v>6.0120000000000005</v>
      </c>
      <c r="K230" s="29"/>
      <c r="L230" s="28"/>
    </row>
    <row r="231" spans="1:12" ht="15.5" customHeight="1">
      <c r="A231" s="28"/>
      <c r="B231" s="28" t="s">
        <v>192</v>
      </c>
      <c r="C231" s="29">
        <v>1</v>
      </c>
      <c r="D231" s="29"/>
      <c r="E231" s="29"/>
      <c r="F231" s="29"/>
      <c r="G231" s="29"/>
      <c r="H231" s="29"/>
      <c r="I231" s="29"/>
      <c r="J231" s="29">
        <f>'COLECTOR CONCRETO'!H12</f>
        <v>9.2520000000000007</v>
      </c>
      <c r="K231" s="29"/>
      <c r="L231" s="28"/>
    </row>
    <row r="232" spans="1:12" ht="15.5" customHeight="1">
      <c r="A232" s="28"/>
      <c r="B232" s="28" t="s">
        <v>193</v>
      </c>
      <c r="C232" s="29">
        <v>1</v>
      </c>
      <c r="D232" s="29"/>
      <c r="E232" s="29"/>
      <c r="F232" s="29"/>
      <c r="G232" s="29"/>
      <c r="H232" s="29"/>
      <c r="I232" s="29"/>
      <c r="J232" s="29">
        <f>'COLECTOR CONCRETO'!H13</f>
        <v>2.4000000000000004</v>
      </c>
      <c r="K232" s="29"/>
      <c r="L232" s="28"/>
    </row>
    <row r="233" spans="1:12" ht="15.5" customHeight="1">
      <c r="A233" s="28"/>
      <c r="B233" s="28" t="s">
        <v>194</v>
      </c>
      <c r="C233" s="29">
        <v>1</v>
      </c>
      <c r="D233" s="29"/>
      <c r="E233" s="29"/>
      <c r="F233" s="29"/>
      <c r="G233" s="29"/>
      <c r="H233" s="29"/>
      <c r="I233" s="29"/>
      <c r="J233" s="29">
        <f>'COLECTOR CONCRETO'!H14</f>
        <v>21.324000000000002</v>
      </c>
      <c r="K233" s="29"/>
      <c r="L233" s="28"/>
    </row>
    <row r="234" spans="1:12" ht="31" customHeight="1">
      <c r="A234" s="28"/>
      <c r="B234" s="28" t="s">
        <v>195</v>
      </c>
      <c r="C234" s="29">
        <v>1</v>
      </c>
      <c r="D234" s="29"/>
      <c r="E234" s="29"/>
      <c r="F234" s="29"/>
      <c r="G234" s="29"/>
      <c r="H234" s="29"/>
      <c r="I234" s="29"/>
      <c r="J234" s="29">
        <f>'COLECTOR CONCRETO'!H15</f>
        <v>9.6960000000000015</v>
      </c>
      <c r="K234" s="29"/>
      <c r="L234" s="28"/>
    </row>
    <row r="235" spans="1:12" ht="15.5" customHeight="1">
      <c r="A235" s="28"/>
      <c r="B235" s="28" t="s">
        <v>196</v>
      </c>
      <c r="C235" s="29">
        <v>1</v>
      </c>
      <c r="D235" s="29"/>
      <c r="E235" s="29"/>
      <c r="F235" s="29"/>
      <c r="G235" s="29"/>
      <c r="H235" s="29"/>
      <c r="I235" s="29"/>
      <c r="J235" s="29">
        <f>'COLECTOR CONCRETO'!H16</f>
        <v>3.6000000000000005</v>
      </c>
      <c r="K235" s="29"/>
      <c r="L235" s="28"/>
    </row>
    <row r="236" spans="1:12" ht="15.5" customHeight="1">
      <c r="A236" s="28"/>
      <c r="B236" s="28" t="s">
        <v>197</v>
      </c>
      <c r="C236" s="29">
        <v>1</v>
      </c>
      <c r="D236" s="29"/>
      <c r="E236" s="29"/>
      <c r="F236" s="29"/>
      <c r="G236" s="29"/>
      <c r="H236" s="29"/>
      <c r="I236" s="29"/>
      <c r="J236" s="29">
        <f>SUM('COLECTOR CONCRETO'!H21:H32)</f>
        <v>2.6600000000000006</v>
      </c>
      <c r="K236" s="29"/>
      <c r="L236" s="28"/>
    </row>
    <row r="237" spans="1:12" ht="15.5" customHeight="1">
      <c r="A237" s="28"/>
      <c r="B237" s="28" t="s">
        <v>198</v>
      </c>
      <c r="C237" s="29">
        <v>1</v>
      </c>
      <c r="D237" s="29"/>
      <c r="E237" s="29"/>
      <c r="F237" s="29"/>
      <c r="G237" s="29"/>
      <c r="H237" s="29"/>
      <c r="I237" s="29"/>
      <c r="J237" s="29">
        <f>SUM('COLECTOR CONCRETO'!H33:H43)</f>
        <v>7.41</v>
      </c>
      <c r="K237" s="29"/>
      <c r="L237" s="28"/>
    </row>
    <row r="238" spans="1:12" ht="31" customHeight="1">
      <c r="A238" s="31" t="s">
        <v>119</v>
      </c>
      <c r="B238" s="31" t="s">
        <v>120</v>
      </c>
      <c r="C238" s="196"/>
      <c r="D238" s="196"/>
      <c r="E238" s="196"/>
      <c r="F238" s="196"/>
      <c r="G238" s="196"/>
      <c r="H238" s="196"/>
      <c r="I238" s="196"/>
      <c r="J238" s="196"/>
      <c r="K238" s="196"/>
      <c r="L238" s="197"/>
    </row>
    <row r="239" spans="1:12" ht="31" customHeight="1">
      <c r="A239" s="26" t="s">
        <v>121</v>
      </c>
      <c r="B239" s="26" t="s">
        <v>976</v>
      </c>
      <c r="C239" s="27"/>
      <c r="D239" s="27"/>
      <c r="E239" s="27"/>
      <c r="F239" s="27"/>
      <c r="G239" s="27"/>
      <c r="H239" s="27"/>
      <c r="I239" s="27"/>
      <c r="J239" s="27"/>
      <c r="K239" s="27">
        <f>SUM(J240:J270)</f>
        <v>58.313615999999883</v>
      </c>
      <c r="L239" s="26" t="s">
        <v>25</v>
      </c>
    </row>
    <row r="240" spans="1:12" ht="15.5" customHeight="1">
      <c r="A240" s="28"/>
      <c r="B240" s="28" t="s">
        <v>977</v>
      </c>
      <c r="C240" s="29">
        <v>1</v>
      </c>
      <c r="D240" s="29"/>
      <c r="E240" s="29"/>
      <c r="F240" s="29"/>
      <c r="G240" s="29"/>
      <c r="H240" s="29"/>
      <c r="I240" s="29"/>
      <c r="J240" s="29">
        <f>'COLECTOR CONCRETO'!I10</f>
        <v>4.3428000000000004</v>
      </c>
      <c r="K240" s="29"/>
      <c r="L240" s="28"/>
    </row>
    <row r="241" spans="1:12" ht="31" customHeight="1">
      <c r="A241" s="28"/>
      <c r="B241" s="28" t="s">
        <v>978</v>
      </c>
      <c r="C241" s="29">
        <v>1</v>
      </c>
      <c r="D241" s="29"/>
      <c r="E241" s="29"/>
      <c r="F241" s="29"/>
      <c r="G241" s="29"/>
      <c r="H241" s="29"/>
      <c r="I241" s="29"/>
      <c r="J241" s="29">
        <f>'COLECTOR CONCRETO'!I11</f>
        <v>0.82665</v>
      </c>
      <c r="K241" s="29"/>
      <c r="L241" s="28"/>
    </row>
    <row r="242" spans="1:12" ht="15.5" customHeight="1">
      <c r="A242" s="28"/>
      <c r="B242" s="28" t="s">
        <v>979</v>
      </c>
      <c r="C242" s="29">
        <v>1</v>
      </c>
      <c r="D242" s="29"/>
      <c r="E242" s="29"/>
      <c r="F242" s="29"/>
      <c r="G242" s="29"/>
      <c r="H242" s="29"/>
      <c r="I242" s="29"/>
      <c r="J242" s="29">
        <f>'COLECTOR CONCRETO'!I12</f>
        <v>1.2721500000000001</v>
      </c>
      <c r="K242" s="29"/>
      <c r="L242" s="28"/>
    </row>
    <row r="243" spans="1:12" ht="15.5" customHeight="1">
      <c r="A243" s="28"/>
      <c r="B243" s="28" t="s">
        <v>980</v>
      </c>
      <c r="C243" s="29">
        <v>1</v>
      </c>
      <c r="D243" s="29"/>
      <c r="E243" s="29"/>
      <c r="F243" s="29"/>
      <c r="G243" s="29"/>
      <c r="H243" s="29"/>
      <c r="I243" s="29"/>
      <c r="J243" s="29">
        <f>'COLECTOR CONCRETO'!I13</f>
        <v>0.33</v>
      </c>
      <c r="K243" s="29"/>
      <c r="L243" s="28"/>
    </row>
    <row r="244" spans="1:12" ht="15.5" customHeight="1">
      <c r="A244" s="28"/>
      <c r="B244" s="28" t="s">
        <v>981</v>
      </c>
      <c r="C244" s="29">
        <v>1</v>
      </c>
      <c r="D244" s="29"/>
      <c r="E244" s="29"/>
      <c r="F244" s="29"/>
      <c r="G244" s="29"/>
      <c r="H244" s="29"/>
      <c r="I244" s="29"/>
      <c r="J244" s="29">
        <f>'COLECTOR CONCRETO'!I14</f>
        <v>2.9320500000000003</v>
      </c>
      <c r="K244" s="29"/>
      <c r="L244" s="28"/>
    </row>
    <row r="245" spans="1:12" ht="31" customHeight="1">
      <c r="A245" s="28"/>
      <c r="B245" s="28" t="s">
        <v>982</v>
      </c>
      <c r="C245" s="29">
        <v>1</v>
      </c>
      <c r="D245" s="29"/>
      <c r="E245" s="29"/>
      <c r="F245" s="29"/>
      <c r="G245" s="29"/>
      <c r="H245" s="29"/>
      <c r="I245" s="29"/>
      <c r="J245" s="29">
        <f>'COLECTOR CONCRETO'!I15</f>
        <v>1.3332000000000002</v>
      </c>
      <c r="K245" s="29"/>
      <c r="L245" s="28"/>
    </row>
    <row r="246" spans="1:12" ht="15.5" customHeight="1">
      <c r="A246" s="28"/>
      <c r="B246" s="28" t="s">
        <v>983</v>
      </c>
      <c r="C246" s="29">
        <v>1</v>
      </c>
      <c r="D246" s="29"/>
      <c r="E246" s="29"/>
      <c r="F246" s="29"/>
      <c r="G246" s="29"/>
      <c r="H246" s="29"/>
      <c r="I246" s="29"/>
      <c r="J246" s="29">
        <f>'COLECTOR CONCRETO'!I16</f>
        <v>0.495</v>
      </c>
      <c r="K246" s="29"/>
      <c r="L246" s="28"/>
    </row>
    <row r="247" spans="1:12" ht="15.5" customHeight="1">
      <c r="A247" s="28"/>
      <c r="B247" s="28" t="s">
        <v>984</v>
      </c>
      <c r="C247" s="29">
        <v>1</v>
      </c>
      <c r="D247" s="29"/>
      <c r="E247" s="29"/>
      <c r="F247" s="29"/>
      <c r="G247" s="29"/>
      <c r="H247" s="29"/>
      <c r="I247" s="29"/>
      <c r="J247" s="29">
        <f>SUM('COLECTOR CONCRETO'!I21:I32)</f>
        <v>0.35100000000000003</v>
      </c>
      <c r="K247" s="29"/>
      <c r="L247" s="28"/>
    </row>
    <row r="248" spans="1:12" ht="15.5" customHeight="1">
      <c r="A248" s="28"/>
      <c r="B248" s="28" t="s">
        <v>985</v>
      </c>
      <c r="C248" s="29">
        <v>1</v>
      </c>
      <c r="D248" s="29"/>
      <c r="E248" s="29"/>
      <c r="F248" s="29"/>
      <c r="G248" s="29"/>
      <c r="H248" s="29"/>
      <c r="I248" s="29"/>
      <c r="J248" s="29">
        <f>SUM('COLECTOR CONCRETO'!I33:I43)</f>
        <v>1.1760000000000002</v>
      </c>
      <c r="K248" s="29"/>
      <c r="L248" s="28"/>
    </row>
    <row r="249" spans="1:12" ht="15.5" customHeight="1">
      <c r="A249" s="28"/>
      <c r="B249" s="28" t="s">
        <v>986</v>
      </c>
      <c r="C249" s="29"/>
      <c r="D249" s="29"/>
      <c r="E249" s="29"/>
      <c r="F249" s="29"/>
      <c r="G249" s="29"/>
      <c r="H249" s="29"/>
      <c r="I249" s="29"/>
      <c r="J249" s="29"/>
      <c r="K249" s="29"/>
      <c r="L249" s="28"/>
    </row>
    <row r="250" spans="1:12" ht="15.5" customHeight="1">
      <c r="A250" s="28"/>
      <c r="B250" s="28" t="s">
        <v>190</v>
      </c>
      <c r="C250" s="29">
        <v>1</v>
      </c>
      <c r="D250" s="29"/>
      <c r="E250" s="29"/>
      <c r="F250" s="29"/>
      <c r="G250" s="29"/>
      <c r="H250" s="29"/>
      <c r="I250" s="29"/>
      <c r="J250" s="29">
        <f>'COLECTOR CONCRETO'!J10</f>
        <v>11.362344</v>
      </c>
      <c r="K250" s="29"/>
      <c r="L250" s="28"/>
    </row>
    <row r="251" spans="1:12" ht="31" customHeight="1">
      <c r="A251" s="28"/>
      <c r="B251" s="28" t="s">
        <v>191</v>
      </c>
      <c r="C251" s="29">
        <v>1</v>
      </c>
      <c r="D251" s="29"/>
      <c r="E251" s="29"/>
      <c r="F251" s="29"/>
      <c r="G251" s="29"/>
      <c r="H251" s="29"/>
      <c r="I251" s="29"/>
      <c r="J251" s="29">
        <f>'COLECTOR CONCRETO'!J11</f>
        <v>2.0080079999999998</v>
      </c>
      <c r="K251" s="29"/>
      <c r="L251" s="28"/>
    </row>
    <row r="252" spans="1:12" ht="15.5" customHeight="1">
      <c r="A252" s="28"/>
      <c r="B252" s="28" t="s">
        <v>192</v>
      </c>
      <c r="C252" s="29">
        <v>1</v>
      </c>
      <c r="D252" s="29"/>
      <c r="E252" s="29"/>
      <c r="F252" s="29"/>
      <c r="G252" s="29"/>
      <c r="H252" s="29"/>
      <c r="I252" s="29"/>
      <c r="J252" s="29">
        <f>'COLECTOR CONCRETO'!J12</f>
        <v>3.4833779999999996</v>
      </c>
      <c r="K252" s="29"/>
      <c r="L252" s="28"/>
    </row>
    <row r="253" spans="1:12" ht="15.5" customHeight="1">
      <c r="A253" s="28"/>
      <c r="B253" s="28" t="s">
        <v>193</v>
      </c>
      <c r="C253" s="29">
        <v>1</v>
      </c>
      <c r="D253" s="29"/>
      <c r="E253" s="29"/>
      <c r="F253" s="29"/>
      <c r="G253" s="29"/>
      <c r="H253" s="29"/>
      <c r="I253" s="29"/>
      <c r="J253" s="29">
        <f>'COLECTOR CONCRETO'!J13</f>
        <v>0.91199999999999992</v>
      </c>
      <c r="K253" s="29"/>
      <c r="L253" s="28"/>
    </row>
    <row r="254" spans="1:12" ht="15.5" customHeight="1">
      <c r="A254" s="28"/>
      <c r="B254" s="28" t="s">
        <v>194</v>
      </c>
      <c r="C254" s="29">
        <v>1</v>
      </c>
      <c r="D254" s="29"/>
      <c r="E254" s="29"/>
      <c r="F254" s="29"/>
      <c r="G254" s="29"/>
      <c r="H254" s="29"/>
      <c r="I254" s="29"/>
      <c r="J254" s="29">
        <f>'COLECTOR CONCRETO'!J14</f>
        <v>8.2630499999999998</v>
      </c>
      <c r="K254" s="29"/>
      <c r="L254" s="28"/>
    </row>
    <row r="255" spans="1:12" ht="31" customHeight="1">
      <c r="A255" s="28"/>
      <c r="B255" s="28" t="s">
        <v>195</v>
      </c>
      <c r="C255" s="29">
        <v>1</v>
      </c>
      <c r="D255" s="29"/>
      <c r="E255" s="29"/>
      <c r="F255" s="29"/>
      <c r="G255" s="29"/>
      <c r="H255" s="29"/>
      <c r="I255" s="29"/>
      <c r="J255" s="29">
        <f>'COLECTOR CONCRETO'!J15</f>
        <v>3.8517359999999998</v>
      </c>
      <c r="K255" s="29"/>
      <c r="L255" s="28"/>
    </row>
    <row r="256" spans="1:12" ht="15.5" customHeight="1">
      <c r="A256" s="28"/>
      <c r="B256" s="28" t="s">
        <v>196</v>
      </c>
      <c r="C256" s="29">
        <v>1</v>
      </c>
      <c r="D256" s="29"/>
      <c r="E256" s="29"/>
      <c r="F256" s="29"/>
      <c r="G256" s="29"/>
      <c r="H256" s="29"/>
      <c r="I256" s="29"/>
      <c r="J256" s="29">
        <f>'COLECTOR CONCRETO'!J16</f>
        <v>1.4444999999999999</v>
      </c>
      <c r="K256" s="29"/>
      <c r="L256" s="28"/>
    </row>
    <row r="257" spans="1:12" ht="31" customHeight="1">
      <c r="A257" s="28"/>
      <c r="B257" s="28" t="s">
        <v>216</v>
      </c>
      <c r="C257" s="29">
        <v>1</v>
      </c>
      <c r="D257" s="29"/>
      <c r="E257" s="29"/>
      <c r="F257" s="29"/>
      <c r="G257" s="29"/>
      <c r="H257" s="29"/>
      <c r="I257" s="29"/>
      <c r="J257" s="29">
        <f>SUM('COLECTOR CONCRETO'!J21:J32)</f>
        <v>1.6226999999999634</v>
      </c>
      <c r="K257" s="29"/>
      <c r="L257" s="28"/>
    </row>
    <row r="258" spans="1:12" ht="31" customHeight="1">
      <c r="A258" s="28"/>
      <c r="B258" s="28" t="s">
        <v>217</v>
      </c>
      <c r="C258" s="29">
        <v>1</v>
      </c>
      <c r="D258" s="29"/>
      <c r="E258" s="29"/>
      <c r="F258" s="29"/>
      <c r="G258" s="29"/>
      <c r="H258" s="29"/>
      <c r="I258" s="29"/>
      <c r="J258" s="29">
        <f>SUM('COLECTOR CONCRETO'!J33:J43)</f>
        <v>2.9144999999999208</v>
      </c>
      <c r="K258" s="29"/>
      <c r="L258" s="28"/>
    </row>
    <row r="259" spans="1:12" ht="15.5" customHeight="1">
      <c r="A259" s="28"/>
      <c r="B259" s="28" t="s">
        <v>987</v>
      </c>
      <c r="C259" s="29"/>
      <c r="D259" s="29"/>
      <c r="E259" s="29"/>
      <c r="F259" s="29"/>
      <c r="G259" s="29"/>
      <c r="H259" s="29"/>
      <c r="I259" s="29"/>
      <c r="J259" s="29"/>
      <c r="K259" s="29"/>
      <c r="L259" s="28"/>
    </row>
    <row r="260" spans="1:12" ht="15.5" customHeight="1">
      <c r="A260" s="28"/>
      <c r="B260" s="28" t="s">
        <v>190</v>
      </c>
      <c r="C260" s="29">
        <v>1</v>
      </c>
      <c r="D260" s="29"/>
      <c r="E260" s="29"/>
      <c r="F260" s="29"/>
      <c r="G260" s="29"/>
      <c r="H260" s="29"/>
      <c r="I260" s="29"/>
      <c r="J260" s="29">
        <f>'COLECTOR CONCRETO'!K10</f>
        <v>2.8952000000000004</v>
      </c>
      <c r="K260" s="29"/>
      <c r="L260" s="28"/>
    </row>
    <row r="261" spans="1:12" ht="31" customHeight="1">
      <c r="A261" s="28"/>
      <c r="B261" s="28" t="s">
        <v>191</v>
      </c>
      <c r="C261" s="29">
        <v>1</v>
      </c>
      <c r="D261" s="29"/>
      <c r="E261" s="29"/>
      <c r="F261" s="29"/>
      <c r="G261" s="29"/>
      <c r="H261" s="29"/>
      <c r="I261" s="29"/>
      <c r="J261" s="29">
        <f>'COLECTOR CONCRETO'!K11</f>
        <v>1.37775</v>
      </c>
      <c r="K261" s="29"/>
      <c r="L261" s="28"/>
    </row>
    <row r="262" spans="1:12" ht="15.5" customHeight="1">
      <c r="A262" s="28"/>
      <c r="B262" s="28" t="s">
        <v>192</v>
      </c>
      <c r="C262" s="29">
        <v>1</v>
      </c>
      <c r="D262" s="29"/>
      <c r="E262" s="29"/>
      <c r="F262" s="29"/>
      <c r="G262" s="29"/>
      <c r="H262" s="29"/>
      <c r="I262" s="29"/>
      <c r="J262" s="29">
        <f>'COLECTOR CONCRETO'!K12</f>
        <v>0.84810000000000008</v>
      </c>
      <c r="K262" s="29"/>
      <c r="L262" s="28"/>
    </row>
    <row r="263" spans="1:12" ht="15.5" customHeight="1">
      <c r="A263" s="28"/>
      <c r="B263" s="28" t="s">
        <v>193</v>
      </c>
      <c r="C263" s="29">
        <v>1</v>
      </c>
      <c r="D263" s="29"/>
      <c r="E263" s="29"/>
      <c r="F263" s="29"/>
      <c r="G263" s="29"/>
      <c r="H263" s="29"/>
      <c r="I263" s="29"/>
      <c r="J263" s="29">
        <f>'COLECTOR CONCRETO'!K13</f>
        <v>0.22000000000000003</v>
      </c>
      <c r="K263" s="29"/>
      <c r="L263" s="28"/>
    </row>
    <row r="264" spans="1:12" ht="15.5" customHeight="1">
      <c r="A264" s="28"/>
      <c r="B264" s="28" t="s">
        <v>194</v>
      </c>
      <c r="C264" s="29">
        <v>1</v>
      </c>
      <c r="D264" s="29"/>
      <c r="E264" s="29"/>
      <c r="F264" s="29"/>
      <c r="G264" s="29"/>
      <c r="H264" s="29"/>
      <c r="I264" s="29"/>
      <c r="J264" s="29">
        <f>'COLECTOR CONCRETO'!K14</f>
        <v>1.9547000000000001</v>
      </c>
      <c r="K264" s="29"/>
      <c r="L264" s="28"/>
    </row>
    <row r="265" spans="1:12" ht="31" customHeight="1">
      <c r="A265" s="28"/>
      <c r="B265" s="28" t="s">
        <v>195</v>
      </c>
      <c r="C265" s="29">
        <v>1</v>
      </c>
      <c r="D265" s="29"/>
      <c r="E265" s="29"/>
      <c r="F265" s="29"/>
      <c r="G265" s="29"/>
      <c r="H265" s="29"/>
      <c r="I265" s="29"/>
      <c r="J265" s="29">
        <f>'COLECTOR CONCRETO'!K15</f>
        <v>0.88880000000000015</v>
      </c>
      <c r="K265" s="29"/>
      <c r="L265" s="28"/>
    </row>
    <row r="266" spans="1:12" ht="15.5" customHeight="1">
      <c r="A266" s="28"/>
      <c r="B266" s="28" t="s">
        <v>196</v>
      </c>
      <c r="C266" s="29">
        <v>1</v>
      </c>
      <c r="D266" s="29"/>
      <c r="E266" s="29"/>
      <c r="F266" s="29"/>
      <c r="G266" s="29"/>
      <c r="H266" s="29"/>
      <c r="I266" s="29"/>
      <c r="J266" s="29">
        <f>'COLECTOR CONCRETO'!K16</f>
        <v>0.33000000000000007</v>
      </c>
      <c r="K266" s="29"/>
      <c r="L266" s="28"/>
    </row>
    <row r="267" spans="1:12" ht="31" customHeight="1">
      <c r="A267" s="28"/>
      <c r="B267" s="28" t="s">
        <v>218</v>
      </c>
      <c r="C267" s="29">
        <v>1</v>
      </c>
      <c r="D267" s="29"/>
      <c r="E267" s="29"/>
      <c r="F267" s="29"/>
      <c r="G267" s="29"/>
      <c r="H267" s="29"/>
      <c r="I267" s="29"/>
      <c r="J267" s="29">
        <f>SUM('COLECTOR CONCRETO'!K21:K32)</f>
        <v>0.18500000000000005</v>
      </c>
      <c r="K267" s="29"/>
      <c r="L267" s="28"/>
    </row>
    <row r="268" spans="1:12" ht="31" customHeight="1">
      <c r="A268" s="28"/>
      <c r="B268" s="28" t="s">
        <v>219</v>
      </c>
      <c r="C268" s="29">
        <v>1</v>
      </c>
      <c r="D268" s="29"/>
      <c r="E268" s="29"/>
      <c r="F268" s="29"/>
      <c r="G268" s="29"/>
      <c r="H268" s="29"/>
      <c r="I268" s="29"/>
      <c r="J268" s="29">
        <f>SUM('COLECTOR CONCRETO'!K33:K43)</f>
        <v>0.58600000000000008</v>
      </c>
      <c r="K268" s="29"/>
      <c r="L268" s="28"/>
    </row>
    <row r="269" spans="1:12" ht="31" customHeight="1">
      <c r="A269" s="28"/>
      <c r="B269" s="28" t="s">
        <v>220</v>
      </c>
      <c r="C269" s="29">
        <v>1</v>
      </c>
      <c r="D269" s="29"/>
      <c r="E269" s="29"/>
      <c r="F269" s="29"/>
      <c r="G269" s="29"/>
      <c r="H269" s="29"/>
      <c r="I269" s="29"/>
      <c r="J269" s="29">
        <f>'COLECTOR CONCRETO'!K45</f>
        <v>0.44999999999999996</v>
      </c>
      <c r="K269" s="29"/>
      <c r="L269" s="28"/>
    </row>
    <row r="270" spans="1:12" ht="31" customHeight="1">
      <c r="A270" s="28"/>
      <c r="B270" s="28" t="s">
        <v>221</v>
      </c>
      <c r="C270" s="29">
        <v>1</v>
      </c>
      <c r="D270" s="29"/>
      <c r="E270" s="29"/>
      <c r="F270" s="29"/>
      <c r="G270" s="29"/>
      <c r="H270" s="29"/>
      <c r="I270" s="29"/>
      <c r="J270" s="29">
        <f>'COLECTOR CONCRETO'!K46</f>
        <v>-0.34299999999999997</v>
      </c>
      <c r="K270" s="29"/>
      <c r="L270" s="28"/>
    </row>
    <row r="271" spans="1:12" ht="31" customHeight="1">
      <c r="A271" s="26" t="s">
        <v>123</v>
      </c>
      <c r="B271" s="26" t="s">
        <v>972</v>
      </c>
      <c r="C271" s="27"/>
      <c r="D271" s="27"/>
      <c r="E271" s="27"/>
      <c r="F271" s="27"/>
      <c r="G271" s="27"/>
      <c r="H271" s="27"/>
      <c r="I271" s="27"/>
      <c r="J271" s="27"/>
      <c r="K271" s="27">
        <f>SUM(J272:J280)</f>
        <v>585.23187999999834</v>
      </c>
      <c r="L271" s="26" t="s">
        <v>18</v>
      </c>
    </row>
    <row r="272" spans="1:12" ht="15.5" customHeight="1">
      <c r="A272" s="28"/>
      <c r="B272" s="28" t="s">
        <v>190</v>
      </c>
      <c r="C272" s="29">
        <v>1</v>
      </c>
      <c r="D272" s="29"/>
      <c r="E272" s="29"/>
      <c r="F272" s="29"/>
      <c r="G272" s="29"/>
      <c r="H272" s="29"/>
      <c r="I272" s="29"/>
      <c r="J272" s="29">
        <f>'COLECTOR ENCOFRADO'!K10</f>
        <v>185.71392</v>
      </c>
      <c r="K272" s="29"/>
      <c r="L272" s="28"/>
    </row>
    <row r="273" spans="1:12" ht="31" customHeight="1">
      <c r="A273" s="28"/>
      <c r="B273" s="28" t="s">
        <v>191</v>
      </c>
      <c r="C273" s="29">
        <v>1</v>
      </c>
      <c r="D273" s="29"/>
      <c r="E273" s="29"/>
      <c r="F273" s="29"/>
      <c r="G273" s="29"/>
      <c r="H273" s="29"/>
      <c r="I273" s="29"/>
      <c r="J273" s="29">
        <f>'COLECTOR ENCOFRADO'!K11</f>
        <v>34.789439999999999</v>
      </c>
      <c r="K273" s="29"/>
      <c r="L273" s="28"/>
    </row>
    <row r="274" spans="1:12" ht="15.5" customHeight="1">
      <c r="A274" s="28"/>
      <c r="B274" s="28" t="s">
        <v>192</v>
      </c>
      <c r="C274" s="29">
        <v>1</v>
      </c>
      <c r="D274" s="29"/>
      <c r="E274" s="29"/>
      <c r="F274" s="29"/>
      <c r="G274" s="29"/>
      <c r="H274" s="29"/>
      <c r="I274" s="29"/>
      <c r="J274" s="29">
        <f>'COLECTOR ENCOFRADO'!K12</f>
        <v>56.468039999999995</v>
      </c>
      <c r="K274" s="29"/>
      <c r="L274" s="28"/>
    </row>
    <row r="275" spans="1:12" ht="15.5" customHeight="1">
      <c r="A275" s="28"/>
      <c r="B275" s="28" t="s">
        <v>193</v>
      </c>
      <c r="C275" s="29">
        <v>1</v>
      </c>
      <c r="D275" s="29"/>
      <c r="E275" s="29"/>
      <c r="F275" s="29"/>
      <c r="G275" s="29"/>
      <c r="H275" s="29"/>
      <c r="I275" s="29"/>
      <c r="J275" s="29">
        <f>'COLECTOR ENCOFRADO'!K13</f>
        <v>14.76</v>
      </c>
      <c r="K275" s="29"/>
      <c r="L275" s="28"/>
    </row>
    <row r="276" spans="1:12" ht="15.5" customHeight="1">
      <c r="A276" s="28"/>
      <c r="B276" s="28" t="s">
        <v>194</v>
      </c>
      <c r="C276" s="29">
        <v>1</v>
      </c>
      <c r="D276" s="29"/>
      <c r="E276" s="29"/>
      <c r="F276" s="29"/>
      <c r="G276" s="29"/>
      <c r="H276" s="29"/>
      <c r="I276" s="29"/>
      <c r="J276" s="29">
        <f>'COLECTOR ENCOFRADO'!K14</f>
        <v>133.27500000000001</v>
      </c>
      <c r="K276" s="29"/>
      <c r="L276" s="28"/>
    </row>
    <row r="277" spans="1:12" ht="31" customHeight="1">
      <c r="A277" s="28"/>
      <c r="B277" s="28" t="s">
        <v>195</v>
      </c>
      <c r="C277" s="29">
        <v>1</v>
      </c>
      <c r="D277" s="29"/>
      <c r="E277" s="29"/>
      <c r="F277" s="29"/>
      <c r="G277" s="29"/>
      <c r="H277" s="29"/>
      <c r="I277" s="29"/>
      <c r="J277" s="29">
        <f>'COLECTOR ENCOFRADO'!K15</f>
        <v>61.860479999999995</v>
      </c>
      <c r="K277" s="29"/>
      <c r="L277" s="28"/>
    </row>
    <row r="278" spans="1:12" ht="15.5" customHeight="1">
      <c r="A278" s="28"/>
      <c r="B278" s="28" t="s">
        <v>196</v>
      </c>
      <c r="C278" s="29">
        <v>1</v>
      </c>
      <c r="D278" s="29"/>
      <c r="E278" s="29"/>
      <c r="F278" s="29"/>
      <c r="G278" s="29"/>
      <c r="H278" s="29"/>
      <c r="I278" s="29"/>
      <c r="J278" s="29">
        <f>'COLECTOR ENCOFRADO'!K16</f>
        <v>23.159999999999997</v>
      </c>
      <c r="K278" s="29"/>
      <c r="L278" s="28"/>
    </row>
    <row r="279" spans="1:12" ht="15.5" customHeight="1">
      <c r="A279" s="28"/>
      <c r="B279" s="28" t="s">
        <v>197</v>
      </c>
      <c r="C279" s="29">
        <v>1</v>
      </c>
      <c r="D279" s="29"/>
      <c r="E279" s="29"/>
      <c r="F279" s="29"/>
      <c r="G279" s="29"/>
      <c r="H279" s="29"/>
      <c r="I279" s="29"/>
      <c r="J279" s="29">
        <f>SUM('COLECTOR ENCOFRADO'!K21:K23)</f>
        <v>24.299999999999432</v>
      </c>
      <c r="K279" s="29"/>
      <c r="L279" s="28"/>
    </row>
    <row r="280" spans="1:12" ht="15.5" customHeight="1">
      <c r="A280" s="28"/>
      <c r="B280" s="28" t="s">
        <v>198</v>
      </c>
      <c r="C280" s="29">
        <v>1</v>
      </c>
      <c r="D280" s="29"/>
      <c r="E280" s="29"/>
      <c r="F280" s="29"/>
      <c r="G280" s="29"/>
      <c r="H280" s="29"/>
      <c r="I280" s="29"/>
      <c r="J280" s="29">
        <f>SUM('COLECTOR ENCOFRADO'!K24:K27)</f>
        <v>50.904999999998907</v>
      </c>
      <c r="K280" s="29"/>
      <c r="L280" s="28"/>
    </row>
    <row r="281" spans="1:12" ht="31" customHeight="1">
      <c r="A281" s="26" t="s">
        <v>125</v>
      </c>
      <c r="B281" s="26" t="s">
        <v>973</v>
      </c>
      <c r="C281" s="27"/>
      <c r="D281" s="27"/>
      <c r="E281" s="27"/>
      <c r="F281" s="27"/>
      <c r="G281" s="27"/>
      <c r="H281" s="27"/>
      <c r="I281" s="27"/>
      <c r="J281" s="27"/>
      <c r="K281" s="27">
        <f>SUM(J282:J290)</f>
        <v>3056.4463751111011</v>
      </c>
      <c r="L281" s="26" t="s">
        <v>50</v>
      </c>
    </row>
    <row r="282" spans="1:12" ht="15.5" customHeight="1">
      <c r="A282" s="28"/>
      <c r="B282" s="28" t="s">
        <v>190</v>
      </c>
      <c r="C282" s="29">
        <v>1</v>
      </c>
      <c r="D282" s="29"/>
      <c r="E282" s="29"/>
      <c r="F282" s="29"/>
      <c r="G282" s="29"/>
      <c r="H282" s="29"/>
      <c r="I282" s="29"/>
      <c r="J282" s="29">
        <f>'COLECTOR ACERO'!U10</f>
        <v>717.12554666666676</v>
      </c>
      <c r="K282" s="29"/>
      <c r="L282" s="28"/>
    </row>
    <row r="283" spans="1:12" ht="31" customHeight="1">
      <c r="A283" s="28"/>
      <c r="B283" s="28" t="s">
        <v>191</v>
      </c>
      <c r="C283" s="29">
        <v>1</v>
      </c>
      <c r="D283" s="29"/>
      <c r="E283" s="29"/>
      <c r="F283" s="29"/>
      <c r="G283" s="29"/>
      <c r="H283" s="29"/>
      <c r="I283" s="29"/>
      <c r="J283" s="29">
        <f>'COLECTOR ACERO'!U11</f>
        <v>536.43691733333333</v>
      </c>
      <c r="K283" s="29"/>
      <c r="L283" s="28"/>
    </row>
    <row r="284" spans="1:12" ht="15.5" customHeight="1">
      <c r="A284" s="28"/>
      <c r="B284" s="28" t="s">
        <v>192</v>
      </c>
      <c r="C284" s="29">
        <v>1</v>
      </c>
      <c r="D284" s="29"/>
      <c r="E284" s="29"/>
      <c r="F284" s="29"/>
      <c r="G284" s="29"/>
      <c r="H284" s="29"/>
      <c r="I284" s="29"/>
      <c r="J284" s="29">
        <f>'COLECTOR ACERO'!U12</f>
        <v>218.49893333333335</v>
      </c>
      <c r="K284" s="29"/>
      <c r="L284" s="28"/>
    </row>
    <row r="285" spans="1:12" ht="15.5" customHeight="1">
      <c r="A285" s="28"/>
      <c r="B285" s="28" t="s">
        <v>193</v>
      </c>
      <c r="C285" s="29">
        <v>1</v>
      </c>
      <c r="D285" s="29"/>
      <c r="E285" s="29"/>
      <c r="F285" s="29"/>
      <c r="G285" s="29"/>
      <c r="H285" s="29"/>
      <c r="I285" s="29"/>
      <c r="J285" s="29">
        <f>'COLECTOR ACERO'!U13</f>
        <v>68.776711111111112</v>
      </c>
      <c r="K285" s="29"/>
      <c r="L285" s="28"/>
    </row>
    <row r="286" spans="1:12" ht="15.5" customHeight="1">
      <c r="A286" s="28"/>
      <c r="B286" s="28" t="s">
        <v>194</v>
      </c>
      <c r="C286" s="29">
        <v>1</v>
      </c>
      <c r="D286" s="29"/>
      <c r="E286" s="29"/>
      <c r="F286" s="29"/>
      <c r="G286" s="29"/>
      <c r="H286" s="29"/>
      <c r="I286" s="29"/>
      <c r="J286" s="29">
        <f>'COLECTOR ACERO'!U14</f>
        <v>505.2684622222223</v>
      </c>
      <c r="K286" s="29"/>
      <c r="L286" s="28"/>
    </row>
    <row r="287" spans="1:12" ht="31" customHeight="1">
      <c r="A287" s="28"/>
      <c r="B287" s="28" t="s">
        <v>195</v>
      </c>
      <c r="C287" s="29">
        <v>1</v>
      </c>
      <c r="D287" s="29"/>
      <c r="E287" s="29"/>
      <c r="F287" s="29"/>
      <c r="G287" s="29"/>
      <c r="H287" s="29"/>
      <c r="I287" s="29"/>
      <c r="J287" s="29">
        <f>'COLECTOR ACERO'!U15</f>
        <v>237.91463111111113</v>
      </c>
      <c r="K287" s="29"/>
      <c r="L287" s="28"/>
    </row>
    <row r="288" spans="1:12" ht="15.5" customHeight="1">
      <c r="A288" s="28"/>
      <c r="B288" s="28" t="s">
        <v>196</v>
      </c>
      <c r="C288" s="29">
        <v>1</v>
      </c>
      <c r="D288" s="29"/>
      <c r="E288" s="29"/>
      <c r="F288" s="29"/>
      <c r="G288" s="29"/>
      <c r="H288" s="29"/>
      <c r="I288" s="29"/>
      <c r="J288" s="29">
        <f>'COLECTOR ACERO'!U16</f>
        <v>87.901333333333355</v>
      </c>
      <c r="K288" s="29"/>
      <c r="L288" s="28"/>
    </row>
    <row r="289" spans="1:12" ht="31" customHeight="1">
      <c r="A289" s="28"/>
      <c r="B289" s="28" t="s">
        <v>222</v>
      </c>
      <c r="C289" s="29">
        <v>1</v>
      </c>
      <c r="D289" s="29"/>
      <c r="E289" s="29"/>
      <c r="F289" s="29"/>
      <c r="G289" s="29"/>
      <c r="H289" s="29"/>
      <c r="I289" s="29"/>
      <c r="J289" s="29">
        <f>SUM('COLECTOR ACERO'!U21:U24)</f>
        <v>238.51519999999584</v>
      </c>
      <c r="K289" s="29"/>
      <c r="L289" s="28"/>
    </row>
    <row r="290" spans="1:12" ht="31" customHeight="1">
      <c r="A290" s="28"/>
      <c r="B290" s="28" t="s">
        <v>223</v>
      </c>
      <c r="C290" s="29">
        <v>1</v>
      </c>
      <c r="D290" s="29"/>
      <c r="E290" s="29"/>
      <c r="F290" s="29"/>
      <c r="G290" s="29"/>
      <c r="H290" s="29"/>
      <c r="I290" s="29"/>
      <c r="J290" s="29">
        <f>SUM('COLECTOR ACERO'!U25:U28)</f>
        <v>446.00863999999427</v>
      </c>
      <c r="K290" s="29"/>
      <c r="L290" s="28"/>
    </row>
    <row r="291" spans="1:12" ht="31" customHeight="1">
      <c r="A291" s="26" t="s">
        <v>127</v>
      </c>
      <c r="B291" s="26" t="s">
        <v>963</v>
      </c>
      <c r="C291" s="27"/>
      <c r="D291" s="27"/>
      <c r="E291" s="27"/>
      <c r="F291" s="27"/>
      <c r="G291" s="27"/>
      <c r="H291" s="27"/>
      <c r="I291" s="27"/>
      <c r="J291" s="27"/>
      <c r="K291" s="27">
        <f>SUM(J292:J300)</f>
        <v>86.059000000000012</v>
      </c>
      <c r="L291" s="26" t="s">
        <v>18</v>
      </c>
    </row>
    <row r="292" spans="1:12" ht="15.5" customHeight="1">
      <c r="A292" s="28"/>
      <c r="B292" s="28" t="s">
        <v>190</v>
      </c>
      <c r="C292" s="29">
        <v>1</v>
      </c>
      <c r="D292" s="29"/>
      <c r="E292" s="29"/>
      <c r="F292" s="29"/>
      <c r="G292" s="29"/>
      <c r="H292" s="29"/>
      <c r="I292" s="29"/>
      <c r="J292" s="29">
        <f>'COLECTOR CONCRETO'!L10</f>
        <v>28.952000000000002</v>
      </c>
      <c r="K292" s="29"/>
      <c r="L292" s="28"/>
    </row>
    <row r="293" spans="1:12" ht="31" customHeight="1">
      <c r="A293" s="28"/>
      <c r="B293" s="28" t="s">
        <v>191</v>
      </c>
      <c r="C293" s="29">
        <v>1</v>
      </c>
      <c r="D293" s="29"/>
      <c r="E293" s="29"/>
      <c r="F293" s="29"/>
      <c r="G293" s="29"/>
      <c r="H293" s="29"/>
      <c r="I293" s="29"/>
      <c r="J293" s="29">
        <f>'COLECTOR CONCRETO'!L11</f>
        <v>5.5110000000000001</v>
      </c>
      <c r="K293" s="29"/>
      <c r="L293" s="28"/>
    </row>
    <row r="294" spans="1:12" ht="15.5" customHeight="1">
      <c r="A294" s="28"/>
      <c r="B294" s="28" t="s">
        <v>192</v>
      </c>
      <c r="C294" s="29">
        <v>1</v>
      </c>
      <c r="D294" s="29"/>
      <c r="E294" s="29"/>
      <c r="F294" s="29"/>
      <c r="G294" s="29"/>
      <c r="H294" s="29"/>
      <c r="I294" s="29"/>
      <c r="J294" s="29">
        <f>'COLECTOR CONCRETO'!L12</f>
        <v>8.4809999999999999</v>
      </c>
      <c r="K294" s="29"/>
      <c r="L294" s="28"/>
    </row>
    <row r="295" spans="1:12" ht="15.5" customHeight="1">
      <c r="A295" s="28"/>
      <c r="B295" s="28" t="s">
        <v>193</v>
      </c>
      <c r="C295" s="29">
        <v>1</v>
      </c>
      <c r="D295" s="29"/>
      <c r="E295" s="29"/>
      <c r="F295" s="29"/>
      <c r="G295" s="29"/>
      <c r="H295" s="29"/>
      <c r="I295" s="29"/>
      <c r="J295" s="29">
        <f>'COLECTOR CONCRETO'!L13</f>
        <v>2.2000000000000002</v>
      </c>
      <c r="K295" s="29"/>
      <c r="L295" s="28"/>
    </row>
    <row r="296" spans="1:12" ht="15.5" customHeight="1">
      <c r="A296" s="28"/>
      <c r="B296" s="28" t="s">
        <v>194</v>
      </c>
      <c r="C296" s="29">
        <v>1</v>
      </c>
      <c r="D296" s="29"/>
      <c r="E296" s="29"/>
      <c r="F296" s="29"/>
      <c r="G296" s="29"/>
      <c r="H296" s="29"/>
      <c r="I296" s="29"/>
      <c r="J296" s="29">
        <f>'COLECTOR CONCRETO'!L14</f>
        <v>19.547000000000001</v>
      </c>
      <c r="K296" s="29"/>
      <c r="L296" s="28"/>
    </row>
    <row r="297" spans="1:12" ht="31" customHeight="1">
      <c r="A297" s="28"/>
      <c r="B297" s="28" t="s">
        <v>195</v>
      </c>
      <c r="C297" s="29">
        <v>1</v>
      </c>
      <c r="D297" s="29"/>
      <c r="E297" s="29"/>
      <c r="F297" s="29"/>
      <c r="G297" s="29"/>
      <c r="H297" s="29"/>
      <c r="I297" s="29"/>
      <c r="J297" s="29">
        <f>'COLECTOR CONCRETO'!L15</f>
        <v>8.8880000000000017</v>
      </c>
      <c r="K297" s="29"/>
      <c r="L297" s="28"/>
    </row>
    <row r="298" spans="1:12" ht="15.5" customHeight="1">
      <c r="A298" s="28"/>
      <c r="B298" s="28" t="s">
        <v>196</v>
      </c>
      <c r="C298" s="29">
        <v>1</v>
      </c>
      <c r="D298" s="29"/>
      <c r="E298" s="29"/>
      <c r="F298" s="29"/>
      <c r="G298" s="29"/>
      <c r="H298" s="29"/>
      <c r="I298" s="29"/>
      <c r="J298" s="29">
        <f>'COLECTOR CONCRETO'!L16</f>
        <v>3.3000000000000003</v>
      </c>
      <c r="K298" s="29"/>
      <c r="L298" s="28"/>
    </row>
    <row r="299" spans="1:12" ht="15.5" customHeight="1">
      <c r="A299" s="28"/>
      <c r="B299" s="28" t="s">
        <v>197</v>
      </c>
      <c r="C299" s="29">
        <v>1</v>
      </c>
      <c r="D299" s="29"/>
      <c r="E299" s="29"/>
      <c r="F299" s="29"/>
      <c r="G299" s="29"/>
      <c r="H299" s="29"/>
      <c r="I299" s="29"/>
      <c r="J299" s="29">
        <f>SUM('COLECTOR CONCRETO'!L21:L32)</f>
        <v>2.3400000000000003</v>
      </c>
      <c r="K299" s="29"/>
      <c r="L299" s="28"/>
    </row>
    <row r="300" spans="1:12" ht="15.5" customHeight="1">
      <c r="A300" s="28"/>
      <c r="B300" s="28" t="s">
        <v>198</v>
      </c>
      <c r="C300" s="29">
        <v>1</v>
      </c>
      <c r="D300" s="29"/>
      <c r="E300" s="29"/>
      <c r="F300" s="29"/>
      <c r="G300" s="29"/>
      <c r="H300" s="29"/>
      <c r="I300" s="29"/>
      <c r="J300" s="29">
        <f>SUM('COLECTOR CONCRETO'!L33:L43)</f>
        <v>6.84</v>
      </c>
      <c r="K300" s="29"/>
      <c r="L300" s="28"/>
    </row>
    <row r="301" spans="1:12" ht="31" customHeight="1">
      <c r="A301" s="26" t="s">
        <v>129</v>
      </c>
      <c r="B301" s="26" t="s">
        <v>974</v>
      </c>
      <c r="C301" s="27"/>
      <c r="D301" s="27"/>
      <c r="E301" s="27"/>
      <c r="F301" s="27"/>
      <c r="G301" s="27"/>
      <c r="H301" s="27"/>
      <c r="I301" s="27"/>
      <c r="J301" s="27"/>
      <c r="K301" s="27">
        <f>SUM(J302:J310)</f>
        <v>390.60443999999916</v>
      </c>
      <c r="L301" s="26" t="s">
        <v>18</v>
      </c>
    </row>
    <row r="302" spans="1:12" ht="15.5" customHeight="1">
      <c r="A302" s="28"/>
      <c r="B302" s="28" t="s">
        <v>190</v>
      </c>
      <c r="C302" s="29">
        <v>1</v>
      </c>
      <c r="D302" s="29"/>
      <c r="E302" s="29"/>
      <c r="F302" s="29"/>
      <c r="G302" s="29"/>
      <c r="H302" s="29"/>
      <c r="I302" s="29"/>
      <c r="J302" s="29">
        <f>'COLECTOR CONCRETO'!M10</f>
        <v>125.75696000000002</v>
      </c>
      <c r="K302" s="29"/>
      <c r="L302" s="28"/>
    </row>
    <row r="303" spans="1:12" ht="31" customHeight="1">
      <c r="A303" s="28"/>
      <c r="B303" s="28" t="s">
        <v>191</v>
      </c>
      <c r="C303" s="29">
        <v>1</v>
      </c>
      <c r="D303" s="29"/>
      <c r="E303" s="29"/>
      <c r="F303" s="29"/>
      <c r="G303" s="29"/>
      <c r="H303" s="29"/>
      <c r="I303" s="29"/>
      <c r="J303" s="29">
        <f>'COLECTOR CONCRETO'!M11</f>
        <v>22.905720000000002</v>
      </c>
      <c r="K303" s="29"/>
      <c r="L303" s="28"/>
    </row>
    <row r="304" spans="1:12" ht="15.5" customHeight="1">
      <c r="A304" s="28"/>
      <c r="B304" s="28" t="s">
        <v>192</v>
      </c>
      <c r="C304" s="29">
        <v>1</v>
      </c>
      <c r="D304" s="29"/>
      <c r="E304" s="29"/>
      <c r="F304" s="29"/>
      <c r="G304" s="29"/>
      <c r="H304" s="29"/>
      <c r="I304" s="29"/>
      <c r="J304" s="29">
        <f>'COLECTOR CONCRETO'!M12</f>
        <v>37.871520000000004</v>
      </c>
      <c r="K304" s="29"/>
      <c r="L304" s="28"/>
    </row>
    <row r="305" spans="1:12" ht="15.5" customHeight="1">
      <c r="A305" s="28"/>
      <c r="B305" s="28" t="s">
        <v>193</v>
      </c>
      <c r="C305" s="29">
        <v>1</v>
      </c>
      <c r="D305" s="29"/>
      <c r="E305" s="29"/>
      <c r="F305" s="29"/>
      <c r="G305" s="29"/>
      <c r="H305" s="29"/>
      <c r="I305" s="29"/>
      <c r="J305" s="29">
        <f>'COLECTOR CONCRETO'!M13</f>
        <v>9.879999999999999</v>
      </c>
      <c r="K305" s="29"/>
      <c r="L305" s="28"/>
    </row>
    <row r="306" spans="1:12" ht="15.5" customHeight="1">
      <c r="A306" s="28"/>
      <c r="B306" s="28" t="s">
        <v>194</v>
      </c>
      <c r="C306" s="29">
        <v>1</v>
      </c>
      <c r="D306" s="29"/>
      <c r="E306" s="29"/>
      <c r="F306" s="29"/>
      <c r="G306" s="29"/>
      <c r="H306" s="29"/>
      <c r="I306" s="29"/>
      <c r="J306" s="29">
        <f>'COLECTOR CONCRETO'!M14</f>
        <v>88.85</v>
      </c>
      <c r="K306" s="29"/>
      <c r="L306" s="28"/>
    </row>
    <row r="307" spans="1:12" ht="31" customHeight="1">
      <c r="A307" s="28"/>
      <c r="B307" s="28" t="s">
        <v>195</v>
      </c>
      <c r="C307" s="29">
        <v>1</v>
      </c>
      <c r="D307" s="29"/>
      <c r="E307" s="29"/>
      <c r="F307" s="29"/>
      <c r="G307" s="29"/>
      <c r="H307" s="29"/>
      <c r="I307" s="29"/>
      <c r="J307" s="29">
        <f>'COLECTOR CONCRETO'!M15</f>
        <v>41.030239999999992</v>
      </c>
      <c r="K307" s="29"/>
      <c r="L307" s="28"/>
    </row>
    <row r="308" spans="1:12" ht="15.5" customHeight="1">
      <c r="A308" s="28"/>
      <c r="B308" s="28" t="s">
        <v>196</v>
      </c>
      <c r="C308" s="29">
        <v>1</v>
      </c>
      <c r="D308" s="29"/>
      <c r="E308" s="29"/>
      <c r="F308" s="29"/>
      <c r="G308" s="29"/>
      <c r="H308" s="29"/>
      <c r="I308" s="29"/>
      <c r="J308" s="29">
        <f>'COLECTOR CONCRETO'!M16</f>
        <v>15.329999999999998</v>
      </c>
      <c r="K308" s="29"/>
      <c r="L308" s="28"/>
    </row>
    <row r="309" spans="1:12" ht="15.5" customHeight="1">
      <c r="A309" s="28"/>
      <c r="B309" s="28" t="s">
        <v>197</v>
      </c>
      <c r="C309" s="29">
        <v>1</v>
      </c>
      <c r="D309" s="29"/>
      <c r="E309" s="29"/>
      <c r="F309" s="29"/>
      <c r="G309" s="29"/>
      <c r="H309" s="29"/>
      <c r="I309" s="29"/>
      <c r="J309" s="29">
        <f>SUM('COLECTOR CONCRETO'!M21:M32)</f>
        <v>15.089999999999716</v>
      </c>
      <c r="K309" s="29"/>
      <c r="L309" s="28"/>
    </row>
    <row r="310" spans="1:12" ht="15.5" customHeight="1">
      <c r="A310" s="28"/>
      <c r="B310" s="28" t="s">
        <v>198</v>
      </c>
      <c r="C310" s="29">
        <v>1</v>
      </c>
      <c r="D310" s="29"/>
      <c r="E310" s="29"/>
      <c r="F310" s="29"/>
      <c r="G310" s="29"/>
      <c r="H310" s="29"/>
      <c r="I310" s="29"/>
      <c r="J310" s="29">
        <f>SUM('COLECTOR CONCRETO'!M33:M43)</f>
        <v>33.889999999999503</v>
      </c>
      <c r="K310" s="29"/>
      <c r="L310" s="28"/>
    </row>
    <row r="311" spans="1:12" ht="15.5" customHeight="1">
      <c r="A311" s="31" t="s">
        <v>135</v>
      </c>
      <c r="B311" s="31" t="s">
        <v>136</v>
      </c>
      <c r="C311" s="196"/>
      <c r="D311" s="196"/>
      <c r="E311" s="196"/>
      <c r="F311" s="196"/>
      <c r="G311" s="196"/>
      <c r="H311" s="196"/>
      <c r="I311" s="196"/>
      <c r="J311" s="196"/>
      <c r="K311" s="196"/>
      <c r="L311" s="197"/>
    </row>
    <row r="312" spans="1:12" ht="31" customHeight="1">
      <c r="A312" s="26" t="s">
        <v>137</v>
      </c>
      <c r="B312" s="26" t="s">
        <v>138</v>
      </c>
      <c r="C312" s="27"/>
      <c r="D312" s="27"/>
      <c r="E312" s="27"/>
      <c r="F312" s="27"/>
      <c r="G312" s="27"/>
      <c r="H312" s="27"/>
      <c r="I312" s="27"/>
      <c r="J312" s="27"/>
      <c r="K312" s="27">
        <f>+'COLECTOR REGISTROS Y TAPAS'!E23</f>
        <v>10</v>
      </c>
      <c r="L312" s="26" t="s">
        <v>60</v>
      </c>
    </row>
    <row r="313" spans="1:12" ht="31" customHeight="1">
      <c r="A313" s="26" t="s">
        <v>139</v>
      </c>
      <c r="B313" s="26" t="s">
        <v>140</v>
      </c>
      <c r="C313" s="27"/>
      <c r="D313" s="27"/>
      <c r="E313" s="27"/>
      <c r="F313" s="27"/>
      <c r="G313" s="27"/>
      <c r="H313" s="27"/>
      <c r="I313" s="27"/>
      <c r="J313" s="27"/>
      <c r="K313" s="27">
        <f>+'COLECTOR REGISTROS Y TAPAS'!E24</f>
        <v>10</v>
      </c>
      <c r="L313" s="26" t="s">
        <v>60</v>
      </c>
    </row>
    <row r="314" spans="1:12" ht="31" customHeight="1">
      <c r="A314" s="26" t="s">
        <v>141</v>
      </c>
      <c r="B314" s="26" t="s">
        <v>142</v>
      </c>
      <c r="C314" s="27"/>
      <c r="D314" s="27"/>
      <c r="E314" s="27"/>
      <c r="F314" s="27"/>
      <c r="G314" s="27"/>
      <c r="H314" s="27"/>
      <c r="I314" s="27"/>
      <c r="J314" s="27"/>
      <c r="K314" s="27">
        <f>+'COLECTOR REGISTROS Y TAPAS'!E25</f>
        <v>151.416</v>
      </c>
      <c r="L314" s="26" t="s">
        <v>50</v>
      </c>
    </row>
    <row r="315" spans="1:12" ht="31" customHeight="1">
      <c r="A315" s="26" t="s">
        <v>143</v>
      </c>
      <c r="B315" s="26" t="s">
        <v>144</v>
      </c>
      <c r="C315" s="27"/>
      <c r="D315" s="27"/>
      <c r="E315" s="27"/>
      <c r="F315" s="27"/>
      <c r="G315" s="27"/>
      <c r="H315" s="27"/>
      <c r="I315" s="27"/>
      <c r="J315" s="27"/>
      <c r="K315" s="27">
        <f>+'COLECTOR REGISTROS Y TAPAS'!E26</f>
        <v>10</v>
      </c>
      <c r="L315" s="26" t="s">
        <v>60</v>
      </c>
    </row>
    <row r="316" spans="1:12" ht="15.5" customHeight="1">
      <c r="A316" s="26" t="s">
        <v>145</v>
      </c>
      <c r="B316" s="26" t="s">
        <v>146</v>
      </c>
      <c r="C316" s="27"/>
      <c r="D316" s="27"/>
      <c r="E316" s="27"/>
      <c r="F316" s="27"/>
      <c r="G316" s="27"/>
      <c r="H316" s="27"/>
      <c r="I316" s="27"/>
      <c r="J316" s="27"/>
      <c r="K316" s="27">
        <f>+'COLECTOR REGISTROS Y TAPAS'!E27</f>
        <v>0.36992000000000003</v>
      </c>
      <c r="L316" s="26" t="s">
        <v>25</v>
      </c>
    </row>
    <row r="317" spans="1:12" ht="46.5" customHeight="1">
      <c r="A317" s="26" t="s">
        <v>147</v>
      </c>
      <c r="B317" s="26" t="s">
        <v>148</v>
      </c>
      <c r="C317" s="27"/>
      <c r="D317" s="27"/>
      <c r="E317" s="27"/>
      <c r="F317" s="27"/>
      <c r="G317" s="27"/>
      <c r="H317" s="27"/>
      <c r="I317" s="27"/>
      <c r="J317" s="27"/>
      <c r="K317" s="27">
        <f>+'COLECTOR ACERO'!I41</f>
        <v>173.376</v>
      </c>
      <c r="L317" s="26" t="s">
        <v>50</v>
      </c>
    </row>
    <row r="318" spans="1:12" ht="31" customHeight="1">
      <c r="A318" s="26" t="s">
        <v>149</v>
      </c>
      <c r="B318" s="26" t="s">
        <v>150</v>
      </c>
      <c r="C318" s="27"/>
      <c r="D318" s="27"/>
      <c r="E318" s="27"/>
      <c r="F318" s="27"/>
      <c r="G318" s="27"/>
      <c r="H318" s="27"/>
      <c r="I318" s="27"/>
      <c r="J318" s="27"/>
      <c r="K318" s="27">
        <f>+'COLECTOR REGISTROS Y TAPAS'!E28</f>
        <v>9.8184000000000005</v>
      </c>
      <c r="L318" s="26" t="s">
        <v>18</v>
      </c>
    </row>
    <row r="319" spans="1:12" ht="15.5" customHeight="1">
      <c r="A319" s="31" t="s">
        <v>151</v>
      </c>
      <c r="B319" s="31" t="s">
        <v>962</v>
      </c>
      <c r="C319" s="196"/>
      <c r="D319" s="196"/>
      <c r="E319" s="196"/>
      <c r="F319" s="196"/>
      <c r="G319" s="196"/>
      <c r="H319" s="196"/>
      <c r="I319" s="196"/>
      <c r="J319" s="196"/>
      <c r="K319" s="196"/>
      <c r="L319" s="197"/>
    </row>
    <row r="320" spans="1:12" ht="46.5" customHeight="1">
      <c r="A320" s="26" t="s">
        <v>152</v>
      </c>
      <c r="B320" s="26" t="s">
        <v>153</v>
      </c>
      <c r="C320" s="27"/>
      <c r="D320" s="27"/>
      <c r="E320" s="27"/>
      <c r="F320" s="27"/>
      <c r="G320" s="27"/>
      <c r="H320" s="27"/>
      <c r="I320" s="27"/>
      <c r="J320" s="27"/>
      <c r="K320" s="27">
        <f>+'COLECTOR JUNTAS Y EMPALMES'!F12</f>
        <v>100.64</v>
      </c>
      <c r="L320" s="26" t="s">
        <v>69</v>
      </c>
    </row>
    <row r="321" spans="1:12" ht="46.5" customHeight="1">
      <c r="A321" s="26" t="s">
        <v>154</v>
      </c>
      <c r="B321" s="26" t="s">
        <v>975</v>
      </c>
      <c r="C321" s="27"/>
      <c r="D321" s="27"/>
      <c r="E321" s="27"/>
      <c r="F321" s="27"/>
      <c r="G321" s="27"/>
      <c r="H321" s="27"/>
      <c r="I321" s="27"/>
      <c r="J321" s="27"/>
      <c r="K321" s="27">
        <f>+'COLECTOR JUNTAS Y EMPALMES'!F19</f>
        <v>210.97899999999998</v>
      </c>
      <c r="L321" s="26" t="s">
        <v>69</v>
      </c>
    </row>
  </sheetData>
  <mergeCells count="12">
    <mergeCell ref="K146:K147"/>
    <mergeCell ref="B136:L136"/>
    <mergeCell ref="B137:L137"/>
    <mergeCell ref="B9:L9"/>
    <mergeCell ref="B4:L4"/>
    <mergeCell ref="A2:L2"/>
    <mergeCell ref="B131:L131"/>
    <mergeCell ref="B6:L6"/>
    <mergeCell ref="K143:K144"/>
    <mergeCell ref="B3:L3"/>
    <mergeCell ref="B5:L5"/>
    <mergeCell ref="B10:L10"/>
  </mergeCells>
  <pageMargins left="0.7" right="0.7" top="0.75" bottom="0.75" header="0.3" footer="0.3"/>
  <pageSetup paperSize="9" scale="5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O157"/>
  <sheetViews>
    <sheetView view="pageBreakPreview" topLeftCell="A61" zoomScale="130" zoomScaleNormal="115" zoomScaleSheetLayoutView="130" workbookViewId="0">
      <selection activeCell="H64" sqref="H64"/>
    </sheetView>
  </sheetViews>
  <sheetFormatPr baseColWidth="10" defaultColWidth="12.36328125" defaultRowHeight="14"/>
  <cols>
    <col min="1" max="1" width="3.90625" style="3" customWidth="1"/>
    <col min="2" max="2" width="12.90625" style="3" customWidth="1"/>
    <col min="3" max="3" width="15.6328125" style="3" customWidth="1"/>
    <col min="4" max="6" width="12.36328125" style="3" customWidth="1"/>
    <col min="7" max="7" width="13.90625" style="3" customWidth="1"/>
    <col min="8" max="8" width="7.90625" style="3" customWidth="1"/>
    <col min="9" max="9" width="7.08984375" style="3" customWidth="1"/>
    <col min="10" max="14" width="12.36328125" style="3" customWidth="1"/>
    <col min="15" max="15" width="14.1796875" style="3" customWidth="1"/>
    <col min="16" max="17" width="12.36328125" style="3" customWidth="1"/>
    <col min="18" max="16384" width="12.36328125" style="3"/>
  </cols>
  <sheetData>
    <row r="1" spans="1:15" ht="27.5" customHeight="1"/>
    <row r="2" spans="1:15" ht="25" customHeight="1">
      <c r="B2" s="257" t="s">
        <v>224</v>
      </c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3"/>
    </row>
    <row r="3" spans="1:15" ht="25" customHeight="1">
      <c r="B3" s="96" t="s">
        <v>1</v>
      </c>
      <c r="C3" s="231" t="str">
        <f>+RESUMEN!B4</f>
        <v>GERENCIA TERRITORIAL BAJO MAYO - TARAPOTO</v>
      </c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3"/>
    </row>
    <row r="4" spans="1:15" ht="59.5" customHeight="1">
      <c r="B4" s="96" t="s">
        <v>3</v>
      </c>
      <c r="C4" s="231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3"/>
    </row>
    <row r="5" spans="1:15" ht="25" customHeight="1">
      <c r="B5" s="96" t="s">
        <v>5</v>
      </c>
      <c r="C5" s="231" t="str">
        <f>+RESUMEN!B6</f>
        <v>SAN MARTIN - SAN MARTIN - MORALES</v>
      </c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3"/>
    </row>
    <row r="6" spans="1:15" ht="25" customHeight="1">
      <c r="B6" s="96" t="s">
        <v>7</v>
      </c>
      <c r="C6" s="235">
        <f>+RESUMEN!B7</f>
        <v>46266</v>
      </c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3"/>
    </row>
    <row r="7" spans="1:15" ht="24.5" customHeight="1">
      <c r="A7" s="144"/>
      <c r="B7" s="266" t="s">
        <v>41</v>
      </c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</row>
    <row r="8" spans="1:15" ht="16" customHeight="1" thickBot="1"/>
    <row r="9" spans="1:15" ht="24" customHeight="1" thickBot="1">
      <c r="B9" s="268" t="s">
        <v>225</v>
      </c>
      <c r="C9" s="269"/>
      <c r="D9" s="270"/>
      <c r="E9" s="81" t="s">
        <v>185</v>
      </c>
      <c r="F9" s="81" t="s">
        <v>226</v>
      </c>
      <c r="G9" s="82" t="s">
        <v>227</v>
      </c>
      <c r="I9" s="4"/>
      <c r="J9" s="247" t="s">
        <v>225</v>
      </c>
      <c r="K9" s="232"/>
      <c r="L9" s="233"/>
      <c r="M9" s="17" t="s">
        <v>185</v>
      </c>
      <c r="N9" s="17" t="s">
        <v>226</v>
      </c>
      <c r="O9" s="17" t="s">
        <v>227</v>
      </c>
    </row>
    <row r="10" spans="1:15" ht="15.65" customHeight="1">
      <c r="B10" s="254" t="s">
        <v>228</v>
      </c>
      <c r="C10" s="244" t="s">
        <v>229</v>
      </c>
      <c r="D10" s="77" t="s">
        <v>163</v>
      </c>
      <c r="E10" s="78">
        <v>14.07</v>
      </c>
      <c r="F10" s="251">
        <f>E10*E11*E12</f>
        <v>2.8140000000000001</v>
      </c>
      <c r="G10" s="263">
        <f>SUM(F10:F18)</f>
        <v>5.3508000000000004</v>
      </c>
      <c r="I10" s="4"/>
      <c r="J10" s="274" t="s">
        <v>230</v>
      </c>
      <c r="K10" s="242" t="s">
        <v>229</v>
      </c>
      <c r="L10" s="13" t="s">
        <v>163</v>
      </c>
      <c r="M10" s="14">
        <v>74.5</v>
      </c>
      <c r="N10" s="253">
        <f>M10*M11*M12</f>
        <v>14.9</v>
      </c>
      <c r="O10" s="253">
        <f>SUM(N10:N18)</f>
        <v>23.906600000000001</v>
      </c>
    </row>
    <row r="11" spans="1:15" ht="15.5" customHeight="1">
      <c r="B11" s="255"/>
      <c r="C11" s="245"/>
      <c r="D11" s="13" t="s">
        <v>231</v>
      </c>
      <c r="E11" s="14">
        <v>0.1</v>
      </c>
      <c r="F11" s="243"/>
      <c r="G11" s="249"/>
      <c r="I11" s="4"/>
      <c r="J11" s="243"/>
      <c r="K11" s="243"/>
      <c r="L11" s="13" t="s">
        <v>231</v>
      </c>
      <c r="M11" s="14">
        <v>0.1</v>
      </c>
      <c r="N11" s="243"/>
      <c r="O11" s="243"/>
    </row>
    <row r="12" spans="1:15" ht="15.65" customHeight="1" thickBot="1">
      <c r="B12" s="255"/>
      <c r="C12" s="246"/>
      <c r="D12" s="79" t="s">
        <v>232</v>
      </c>
      <c r="E12" s="80">
        <v>2</v>
      </c>
      <c r="F12" s="252"/>
      <c r="G12" s="249"/>
      <c r="I12" s="4"/>
      <c r="J12" s="243"/>
      <c r="K12" s="238"/>
      <c r="L12" s="13" t="s">
        <v>232</v>
      </c>
      <c r="M12" s="14">
        <v>2</v>
      </c>
      <c r="N12" s="238"/>
      <c r="O12" s="243"/>
    </row>
    <row r="13" spans="1:15" ht="15.65" customHeight="1">
      <c r="B13" s="255"/>
      <c r="C13" s="244" t="s">
        <v>233</v>
      </c>
      <c r="D13" s="77" t="s">
        <v>231</v>
      </c>
      <c r="E13" s="78">
        <v>0.1</v>
      </c>
      <c r="F13" s="251">
        <f>E13*E14*E15</f>
        <v>2.2284000000000002</v>
      </c>
      <c r="G13" s="249"/>
      <c r="I13" s="4"/>
      <c r="J13" s="243"/>
      <c r="K13" s="242" t="s">
        <v>233</v>
      </c>
      <c r="L13" s="13" t="s">
        <v>231</v>
      </c>
      <c r="M13" s="14">
        <v>0.1</v>
      </c>
      <c r="N13" s="253">
        <f>M13*M14*M15</f>
        <v>7.5419999999999998</v>
      </c>
      <c r="O13" s="243"/>
    </row>
    <row r="14" spans="1:15" ht="15.65" customHeight="1">
      <c r="B14" s="255"/>
      <c r="C14" s="245"/>
      <c r="D14" s="13" t="s">
        <v>234</v>
      </c>
      <c r="E14" s="14">
        <v>37.14</v>
      </c>
      <c r="F14" s="243"/>
      <c r="G14" s="249"/>
      <c r="I14" s="4"/>
      <c r="J14" s="243"/>
      <c r="K14" s="243"/>
      <c r="L14" s="13" t="s">
        <v>234</v>
      </c>
      <c r="M14" s="14">
        <v>125.7</v>
      </c>
      <c r="N14" s="243"/>
      <c r="O14" s="243"/>
    </row>
    <row r="15" spans="1:15" ht="16" customHeight="1" thickBot="1">
      <c r="B15" s="255"/>
      <c r="C15" s="246"/>
      <c r="D15" s="79" t="s">
        <v>160</v>
      </c>
      <c r="E15" s="80">
        <v>0.6</v>
      </c>
      <c r="F15" s="252"/>
      <c r="G15" s="249"/>
      <c r="I15" s="4"/>
      <c r="J15" s="243"/>
      <c r="K15" s="238"/>
      <c r="L15" s="13" t="s">
        <v>160</v>
      </c>
      <c r="M15" s="14">
        <v>0.6</v>
      </c>
      <c r="N15" s="238"/>
      <c r="O15" s="243"/>
    </row>
    <row r="16" spans="1:15" ht="15.65" customHeight="1">
      <c r="B16" s="255"/>
      <c r="C16" s="244" t="s">
        <v>235</v>
      </c>
      <c r="D16" s="77" t="s">
        <v>234</v>
      </c>
      <c r="E16" s="78">
        <v>5.14</v>
      </c>
      <c r="F16" s="251">
        <f>E16*E17*E18</f>
        <v>0.30840000000000001</v>
      </c>
      <c r="G16" s="249"/>
      <c r="I16" s="4"/>
      <c r="J16" s="243"/>
      <c r="K16" s="242" t="s">
        <v>235</v>
      </c>
      <c r="L16" s="13" t="s">
        <v>234</v>
      </c>
      <c r="M16" s="15">
        <v>24.41</v>
      </c>
      <c r="N16" s="253">
        <f>M16*M17*M18</f>
        <v>1.4646000000000001</v>
      </c>
      <c r="O16" s="243"/>
    </row>
    <row r="17" spans="2:15" ht="15.5" customHeight="1">
      <c r="B17" s="255"/>
      <c r="C17" s="245"/>
      <c r="D17" s="13" t="s">
        <v>231</v>
      </c>
      <c r="E17" s="14">
        <v>0.1</v>
      </c>
      <c r="F17" s="243"/>
      <c r="G17" s="249"/>
      <c r="I17" s="4"/>
      <c r="J17" s="243"/>
      <c r="K17" s="243"/>
      <c r="L17" s="13" t="s">
        <v>231</v>
      </c>
      <c r="M17" s="14">
        <v>0.1</v>
      </c>
      <c r="N17" s="243"/>
      <c r="O17" s="243"/>
    </row>
    <row r="18" spans="2:15" ht="16" customHeight="1" thickBot="1">
      <c r="B18" s="256"/>
      <c r="C18" s="246"/>
      <c r="D18" s="79" t="s">
        <v>160</v>
      </c>
      <c r="E18" s="80">
        <v>0.6</v>
      </c>
      <c r="F18" s="252"/>
      <c r="G18" s="264"/>
      <c r="I18" s="4"/>
      <c r="J18" s="238"/>
      <c r="K18" s="238"/>
      <c r="L18" s="13" t="s">
        <v>160</v>
      </c>
      <c r="M18" s="14">
        <v>0.6</v>
      </c>
      <c r="N18" s="238"/>
      <c r="O18" s="238"/>
    </row>
    <row r="19" spans="2:15" ht="15.65" customHeight="1">
      <c r="F19" s="5"/>
      <c r="I19" s="4"/>
    </row>
    <row r="20" spans="2:15" ht="14.5" customHeight="1" thickBot="1">
      <c r="I20" s="4"/>
    </row>
    <row r="21" spans="2:15" ht="21" customHeight="1" thickBot="1">
      <c r="B21" s="268" t="s">
        <v>225</v>
      </c>
      <c r="C21" s="269"/>
      <c r="D21" s="270"/>
      <c r="E21" s="81" t="s">
        <v>185</v>
      </c>
      <c r="F21" s="81" t="s">
        <v>226</v>
      </c>
      <c r="G21" s="82" t="s">
        <v>227</v>
      </c>
      <c r="I21" s="4"/>
      <c r="J21" s="247" t="s">
        <v>225</v>
      </c>
      <c r="K21" s="232"/>
      <c r="L21" s="233"/>
      <c r="M21" s="17" t="s">
        <v>185</v>
      </c>
      <c r="N21" s="17" t="s">
        <v>226</v>
      </c>
      <c r="O21" s="17" t="s">
        <v>227</v>
      </c>
    </row>
    <row r="22" spans="2:15" ht="16.25" customHeight="1">
      <c r="B22" s="254" t="s">
        <v>236</v>
      </c>
      <c r="C22" s="244" t="s">
        <v>229</v>
      </c>
      <c r="D22" s="77" t="s">
        <v>163</v>
      </c>
      <c r="E22" s="78">
        <v>78.319999999999993</v>
      </c>
      <c r="F22" s="251">
        <f>E22*E23*E24</f>
        <v>15.664</v>
      </c>
      <c r="G22" s="263">
        <f>SUM(F22:F30)</f>
        <v>25.4146</v>
      </c>
      <c r="J22" s="274" t="s">
        <v>237</v>
      </c>
      <c r="K22" s="242" t="s">
        <v>229</v>
      </c>
      <c r="L22" s="13" t="s">
        <v>163</v>
      </c>
      <c r="M22" s="14">
        <v>2.62</v>
      </c>
      <c r="N22" s="253">
        <f>M22*M23*M24</f>
        <v>0.52400000000000002</v>
      </c>
      <c r="O22" s="253">
        <f>SUM(N22:N30)</f>
        <v>1.508</v>
      </c>
    </row>
    <row r="23" spans="2:15" ht="15.5" customHeight="1">
      <c r="B23" s="255"/>
      <c r="C23" s="245"/>
      <c r="D23" s="13" t="s">
        <v>231</v>
      </c>
      <c r="E23" s="14">
        <v>0.1</v>
      </c>
      <c r="F23" s="243"/>
      <c r="G23" s="249"/>
      <c r="J23" s="243"/>
      <c r="K23" s="243"/>
      <c r="L23" s="13" t="s">
        <v>231</v>
      </c>
      <c r="M23" s="14">
        <v>0.1</v>
      </c>
      <c r="N23" s="243"/>
      <c r="O23" s="243"/>
    </row>
    <row r="24" spans="2:15" ht="16" customHeight="1" thickBot="1">
      <c r="B24" s="255"/>
      <c r="C24" s="246"/>
      <c r="D24" s="79" t="s">
        <v>232</v>
      </c>
      <c r="E24" s="80">
        <v>2</v>
      </c>
      <c r="F24" s="252"/>
      <c r="G24" s="249"/>
      <c r="J24" s="243"/>
      <c r="K24" s="238"/>
      <c r="L24" s="13" t="s">
        <v>232</v>
      </c>
      <c r="M24" s="14">
        <v>2</v>
      </c>
      <c r="N24" s="238"/>
      <c r="O24" s="243"/>
    </row>
    <row r="25" spans="2:15" ht="15.5" customHeight="1">
      <c r="B25" s="255"/>
      <c r="C25" s="244" t="s">
        <v>233</v>
      </c>
      <c r="D25" s="77" t="s">
        <v>231</v>
      </c>
      <c r="E25" s="78">
        <v>0.1</v>
      </c>
      <c r="F25" s="251">
        <f>E25*E26*E27</f>
        <v>7.851</v>
      </c>
      <c r="G25" s="249"/>
      <c r="J25" s="243"/>
      <c r="K25" s="242" t="s">
        <v>233</v>
      </c>
      <c r="L25" s="13" t="s">
        <v>231</v>
      </c>
      <c r="M25" s="14">
        <v>0.1</v>
      </c>
      <c r="N25" s="253">
        <f>M25*M26*M27</f>
        <v>0.49199999999999994</v>
      </c>
      <c r="O25" s="243"/>
    </row>
    <row r="26" spans="2:15" ht="15.5" customHeight="1">
      <c r="B26" s="255"/>
      <c r="C26" s="245"/>
      <c r="D26" s="13" t="s">
        <v>234</v>
      </c>
      <c r="E26" s="14">
        <v>130.85</v>
      </c>
      <c r="F26" s="243"/>
      <c r="G26" s="249"/>
      <c r="J26" s="243"/>
      <c r="K26" s="243"/>
      <c r="L26" s="13" t="s">
        <v>234</v>
      </c>
      <c r="M26" s="14">
        <v>8.1999999999999993</v>
      </c>
      <c r="N26" s="243"/>
      <c r="O26" s="243"/>
    </row>
    <row r="27" spans="2:15" ht="16" customHeight="1" thickBot="1">
      <c r="B27" s="255"/>
      <c r="C27" s="246"/>
      <c r="D27" s="79" t="s">
        <v>160</v>
      </c>
      <c r="E27" s="80">
        <v>0.6</v>
      </c>
      <c r="F27" s="252"/>
      <c r="G27" s="249"/>
      <c r="J27" s="243"/>
      <c r="K27" s="238"/>
      <c r="L27" s="13" t="s">
        <v>160</v>
      </c>
      <c r="M27" s="14">
        <v>0.6</v>
      </c>
      <c r="N27" s="238"/>
      <c r="O27" s="243"/>
    </row>
    <row r="28" spans="2:15" ht="15.5" customHeight="1">
      <c r="B28" s="255"/>
      <c r="C28" s="244" t="s">
        <v>235</v>
      </c>
      <c r="D28" s="77" t="s">
        <v>234</v>
      </c>
      <c r="E28" s="78">
        <v>31.66</v>
      </c>
      <c r="F28" s="251">
        <f>E28*E29*E30</f>
        <v>1.8996000000000002</v>
      </c>
      <c r="G28" s="249"/>
      <c r="J28" s="243"/>
      <c r="K28" s="242" t="s">
        <v>235</v>
      </c>
      <c r="L28" s="13" t="s">
        <v>234</v>
      </c>
      <c r="M28" s="14">
        <v>8.1999999999999993</v>
      </c>
      <c r="N28" s="253">
        <f>M28*M29*M30</f>
        <v>0.49199999999999994</v>
      </c>
      <c r="O28" s="243"/>
    </row>
    <row r="29" spans="2:15" ht="15.5" customHeight="1">
      <c r="B29" s="255"/>
      <c r="C29" s="245"/>
      <c r="D29" s="13" t="s">
        <v>231</v>
      </c>
      <c r="E29" s="14">
        <v>0.1</v>
      </c>
      <c r="F29" s="243"/>
      <c r="G29" s="249"/>
      <c r="J29" s="243"/>
      <c r="K29" s="243"/>
      <c r="L29" s="13" t="s">
        <v>231</v>
      </c>
      <c r="M29" s="14">
        <v>0.1</v>
      </c>
      <c r="N29" s="243"/>
      <c r="O29" s="243"/>
    </row>
    <row r="30" spans="2:15" ht="16" customHeight="1" thickBot="1">
      <c r="B30" s="256"/>
      <c r="C30" s="246"/>
      <c r="D30" s="79" t="s">
        <v>160</v>
      </c>
      <c r="E30" s="80">
        <v>0.6</v>
      </c>
      <c r="F30" s="252"/>
      <c r="G30" s="264"/>
      <c r="J30" s="238"/>
      <c r="K30" s="238"/>
      <c r="L30" s="13" t="s">
        <v>160</v>
      </c>
      <c r="M30" s="14">
        <v>0.6</v>
      </c>
      <c r="N30" s="238"/>
      <c r="O30" s="238"/>
    </row>
    <row r="31" spans="2:15" ht="19.5" customHeight="1"/>
    <row r="33" spans="2:15" ht="19" customHeight="1" thickBot="1">
      <c r="B33" s="247" t="s">
        <v>225</v>
      </c>
      <c r="C33" s="232"/>
      <c r="D33" s="233"/>
      <c r="E33" s="17" t="s">
        <v>185</v>
      </c>
      <c r="F33" s="17" t="s">
        <v>226</v>
      </c>
      <c r="G33" s="17" t="s">
        <v>227</v>
      </c>
      <c r="J33" s="247" t="s">
        <v>225</v>
      </c>
      <c r="K33" s="232"/>
      <c r="L33" s="233"/>
      <c r="M33" s="74" t="s">
        <v>185</v>
      </c>
      <c r="N33" s="74" t="s">
        <v>226</v>
      </c>
      <c r="O33" s="74" t="s">
        <v>227</v>
      </c>
    </row>
    <row r="34" spans="2:15" ht="15.5" customHeight="1">
      <c r="B34" s="274" t="s">
        <v>238</v>
      </c>
      <c r="C34" s="242" t="s">
        <v>229</v>
      </c>
      <c r="D34" s="13" t="s">
        <v>163</v>
      </c>
      <c r="E34" s="14">
        <v>1.83</v>
      </c>
      <c r="F34" s="253">
        <f>E34*E35*E36</f>
        <v>0.36600000000000005</v>
      </c>
      <c r="G34" s="253">
        <f>SUM(F34:F42)</f>
        <v>0.71520000000000006</v>
      </c>
      <c r="J34" s="259" t="s">
        <v>239</v>
      </c>
      <c r="K34" s="244" t="s">
        <v>229</v>
      </c>
      <c r="L34" s="77" t="s">
        <v>163</v>
      </c>
      <c r="M34" s="78">
        <v>2.2200000000000002</v>
      </c>
      <c r="N34" s="251">
        <f>M34*M35*M36</f>
        <v>0.44400000000000006</v>
      </c>
      <c r="O34" s="263">
        <f>SUM(N34:N42)</f>
        <v>1.2840000000000003</v>
      </c>
    </row>
    <row r="35" spans="2:15" ht="16.25" customHeight="1">
      <c r="B35" s="243"/>
      <c r="C35" s="243"/>
      <c r="D35" s="13" t="s">
        <v>231</v>
      </c>
      <c r="E35" s="14">
        <v>0.1</v>
      </c>
      <c r="F35" s="243"/>
      <c r="G35" s="243"/>
      <c r="J35" s="260"/>
      <c r="K35" s="245"/>
      <c r="L35" s="13" t="s">
        <v>231</v>
      </c>
      <c r="M35" s="14">
        <v>0.1</v>
      </c>
      <c r="N35" s="243"/>
      <c r="O35" s="249"/>
    </row>
    <row r="36" spans="2:15" ht="16" customHeight="1" thickBot="1">
      <c r="B36" s="243"/>
      <c r="C36" s="238"/>
      <c r="D36" s="13" t="s">
        <v>232</v>
      </c>
      <c r="E36" s="14">
        <v>2</v>
      </c>
      <c r="F36" s="238"/>
      <c r="G36" s="243"/>
      <c r="J36" s="260"/>
      <c r="K36" s="246"/>
      <c r="L36" s="79" t="s">
        <v>232</v>
      </c>
      <c r="M36" s="80">
        <v>2</v>
      </c>
      <c r="N36" s="252"/>
      <c r="O36" s="249"/>
    </row>
    <row r="37" spans="2:15" ht="20" customHeight="1">
      <c r="B37" s="243"/>
      <c r="C37" s="242" t="s">
        <v>233</v>
      </c>
      <c r="D37" s="13" t="s">
        <v>231</v>
      </c>
      <c r="E37" s="14">
        <v>0.1</v>
      </c>
      <c r="F37" s="253">
        <f>E37*E38*E39</f>
        <v>0.34920000000000001</v>
      </c>
      <c r="G37" s="243"/>
      <c r="J37" s="260"/>
      <c r="K37" s="244" t="s">
        <v>233</v>
      </c>
      <c r="L37" s="77" t="s">
        <v>231</v>
      </c>
      <c r="M37" s="78">
        <v>0.1</v>
      </c>
      <c r="N37" s="251">
        <f>M37*M38*M39</f>
        <v>0.42000000000000004</v>
      </c>
      <c r="O37" s="249"/>
    </row>
    <row r="38" spans="2:15" ht="15.5" customHeight="1">
      <c r="B38" s="243"/>
      <c r="C38" s="243"/>
      <c r="D38" s="13" t="s">
        <v>234</v>
      </c>
      <c r="E38" s="14">
        <v>5.82</v>
      </c>
      <c r="F38" s="243"/>
      <c r="G38" s="243"/>
      <c r="J38" s="260"/>
      <c r="K38" s="245"/>
      <c r="L38" s="13" t="s">
        <v>234</v>
      </c>
      <c r="M38" s="14">
        <v>7</v>
      </c>
      <c r="N38" s="243"/>
      <c r="O38" s="249"/>
    </row>
    <row r="39" spans="2:15" ht="16" customHeight="1" thickBot="1">
      <c r="B39" s="243"/>
      <c r="C39" s="238"/>
      <c r="D39" s="13" t="s">
        <v>160</v>
      </c>
      <c r="E39" s="14">
        <v>0.6</v>
      </c>
      <c r="F39" s="238"/>
      <c r="G39" s="243"/>
      <c r="J39" s="260"/>
      <c r="K39" s="246"/>
      <c r="L39" s="79" t="s">
        <v>160</v>
      </c>
      <c r="M39" s="80">
        <v>0.6</v>
      </c>
      <c r="N39" s="252"/>
      <c r="O39" s="249"/>
    </row>
    <row r="40" spans="2:15" ht="15.5" customHeight="1">
      <c r="B40" s="243"/>
      <c r="C40" s="242" t="s">
        <v>235</v>
      </c>
      <c r="D40" s="13" t="s">
        <v>234</v>
      </c>
      <c r="E40" s="168">
        <v>0</v>
      </c>
      <c r="F40" s="253">
        <f>E40*E41*E42</f>
        <v>0</v>
      </c>
      <c r="G40" s="243"/>
      <c r="J40" s="260"/>
      <c r="K40" s="244" t="s">
        <v>235</v>
      </c>
      <c r="L40" s="77" t="s">
        <v>234</v>
      </c>
      <c r="M40" s="78">
        <v>7</v>
      </c>
      <c r="N40" s="251">
        <f>M40*M41*M42</f>
        <v>0.42000000000000004</v>
      </c>
      <c r="O40" s="249"/>
    </row>
    <row r="41" spans="2:15" ht="15.5" customHeight="1">
      <c r="B41" s="243"/>
      <c r="C41" s="243"/>
      <c r="D41" s="13" t="s">
        <v>231</v>
      </c>
      <c r="E41" s="14">
        <v>0.1</v>
      </c>
      <c r="F41" s="243"/>
      <c r="G41" s="243"/>
      <c r="J41" s="260"/>
      <c r="K41" s="245"/>
      <c r="L41" s="13" t="s">
        <v>231</v>
      </c>
      <c r="M41" s="14">
        <v>0.1</v>
      </c>
      <c r="N41" s="243"/>
      <c r="O41" s="249"/>
    </row>
    <row r="42" spans="2:15" ht="15.5" customHeight="1" thickBot="1">
      <c r="B42" s="238"/>
      <c r="C42" s="238"/>
      <c r="D42" s="13" t="s">
        <v>160</v>
      </c>
      <c r="E42" s="14">
        <v>0.6</v>
      </c>
      <c r="F42" s="238"/>
      <c r="G42" s="238"/>
      <c r="J42" s="261"/>
      <c r="K42" s="246"/>
      <c r="L42" s="79" t="s">
        <v>160</v>
      </c>
      <c r="M42" s="80">
        <v>0.6</v>
      </c>
      <c r="N42" s="252"/>
      <c r="O42" s="264"/>
    </row>
    <row r="45" spans="2:15" ht="20" customHeight="1" thickBot="1">
      <c r="B45" s="271" t="s">
        <v>225</v>
      </c>
      <c r="C45" s="272"/>
      <c r="D45" s="273"/>
      <c r="E45" s="74" t="s">
        <v>185</v>
      </c>
      <c r="F45" s="74" t="s">
        <v>226</v>
      </c>
      <c r="G45" s="74" t="s">
        <v>227</v>
      </c>
      <c r="J45" s="247" t="s">
        <v>225</v>
      </c>
      <c r="K45" s="232"/>
      <c r="L45" s="233"/>
      <c r="M45" s="74" t="s">
        <v>185</v>
      </c>
      <c r="N45" s="74" t="s">
        <v>226</v>
      </c>
      <c r="O45" s="74" t="s">
        <v>227</v>
      </c>
    </row>
    <row r="46" spans="2:15" ht="15.5" customHeight="1">
      <c r="B46" s="276" t="s">
        <v>240</v>
      </c>
      <c r="C46" s="244" t="s">
        <v>229</v>
      </c>
      <c r="D46" s="77" t="s">
        <v>163</v>
      </c>
      <c r="E46" s="78">
        <v>2.76</v>
      </c>
      <c r="F46" s="251">
        <f>E46*E47*E48</f>
        <v>0.55199999999999994</v>
      </c>
      <c r="G46" s="263">
        <f>SUM(F46:F54)</f>
        <v>1.0680000000000001</v>
      </c>
      <c r="J46" s="259" t="s">
        <v>241</v>
      </c>
      <c r="K46" s="244" t="s">
        <v>229</v>
      </c>
      <c r="L46" s="77" t="s">
        <v>163</v>
      </c>
      <c r="M46" s="78">
        <v>5.44</v>
      </c>
      <c r="N46" s="251">
        <f>M46*M47*M48</f>
        <v>1.0880000000000001</v>
      </c>
      <c r="O46" s="263">
        <f>SUM(N46:N54)</f>
        <v>2.048</v>
      </c>
    </row>
    <row r="47" spans="2:15" ht="15.5" customHeight="1">
      <c r="B47" s="245"/>
      <c r="C47" s="245"/>
      <c r="D47" s="13" t="s">
        <v>231</v>
      </c>
      <c r="E47" s="14">
        <v>0.1</v>
      </c>
      <c r="F47" s="243"/>
      <c r="G47" s="249"/>
      <c r="J47" s="260"/>
      <c r="K47" s="245"/>
      <c r="L47" s="13" t="s">
        <v>231</v>
      </c>
      <c r="M47" s="14">
        <v>0.1</v>
      </c>
      <c r="N47" s="243"/>
      <c r="O47" s="249"/>
    </row>
    <row r="48" spans="2:15" ht="16.25" customHeight="1" thickBot="1">
      <c r="B48" s="245"/>
      <c r="C48" s="246"/>
      <c r="D48" s="79" t="s">
        <v>232</v>
      </c>
      <c r="E48" s="80">
        <v>2</v>
      </c>
      <c r="F48" s="252"/>
      <c r="G48" s="249"/>
      <c r="J48" s="260"/>
      <c r="K48" s="246"/>
      <c r="L48" s="79" t="s">
        <v>232</v>
      </c>
      <c r="M48" s="80">
        <v>2</v>
      </c>
      <c r="N48" s="252"/>
      <c r="O48" s="249"/>
    </row>
    <row r="49" spans="2:15" ht="15.5" customHeight="1">
      <c r="B49" s="245"/>
      <c r="C49" s="244" t="s">
        <v>233</v>
      </c>
      <c r="D49" s="77" t="s">
        <v>231</v>
      </c>
      <c r="E49" s="78">
        <v>0.1</v>
      </c>
      <c r="F49" s="251">
        <f>E49*E50*E51</f>
        <v>0.51600000000000001</v>
      </c>
      <c r="G49" s="249"/>
      <c r="J49" s="260"/>
      <c r="K49" s="244" t="s">
        <v>233</v>
      </c>
      <c r="L49" s="77" t="s">
        <v>231</v>
      </c>
      <c r="M49" s="78">
        <v>0.1</v>
      </c>
      <c r="N49" s="251">
        <f>M49*M50*M51</f>
        <v>0.96</v>
      </c>
      <c r="O49" s="249"/>
    </row>
    <row r="50" spans="2:15" ht="15.5" customHeight="1">
      <c r="B50" s="245"/>
      <c r="C50" s="245"/>
      <c r="D50" s="13" t="s">
        <v>234</v>
      </c>
      <c r="E50" s="14">
        <v>8.6</v>
      </c>
      <c r="F50" s="243"/>
      <c r="G50" s="249"/>
      <c r="J50" s="260"/>
      <c r="K50" s="245"/>
      <c r="L50" s="13" t="s">
        <v>234</v>
      </c>
      <c r="M50" s="14">
        <v>16</v>
      </c>
      <c r="N50" s="243"/>
      <c r="O50" s="249"/>
    </row>
    <row r="51" spans="2:15" ht="21" customHeight="1" thickBot="1">
      <c r="B51" s="245"/>
      <c r="C51" s="246"/>
      <c r="D51" s="79" t="s">
        <v>160</v>
      </c>
      <c r="E51" s="80">
        <v>0.6</v>
      </c>
      <c r="F51" s="252"/>
      <c r="G51" s="249"/>
      <c r="J51" s="260"/>
      <c r="K51" s="246"/>
      <c r="L51" s="79" t="s">
        <v>160</v>
      </c>
      <c r="M51" s="80">
        <v>0.6</v>
      </c>
      <c r="N51" s="252"/>
      <c r="O51" s="249"/>
    </row>
    <row r="52" spans="2:15" ht="15.5" customHeight="1">
      <c r="B52" s="245"/>
      <c r="C52" s="262" t="s">
        <v>235</v>
      </c>
      <c r="D52" s="75" t="s">
        <v>234</v>
      </c>
      <c r="E52" s="169">
        <v>0</v>
      </c>
      <c r="F52" s="265">
        <f>E52*E53*E54</f>
        <v>0</v>
      </c>
      <c r="G52" s="249"/>
      <c r="J52" s="260"/>
      <c r="K52" s="244" t="s">
        <v>235</v>
      </c>
      <c r="L52" s="77" t="s">
        <v>234</v>
      </c>
      <c r="M52" s="86">
        <v>0</v>
      </c>
      <c r="N52" s="251">
        <f>M52*M53*M54</f>
        <v>0</v>
      </c>
      <c r="O52" s="249"/>
    </row>
    <row r="53" spans="2:15" ht="15.5" customHeight="1">
      <c r="B53" s="245"/>
      <c r="C53" s="243"/>
      <c r="D53" s="13" t="s">
        <v>231</v>
      </c>
      <c r="E53" s="14">
        <v>0.1</v>
      </c>
      <c r="F53" s="243"/>
      <c r="G53" s="249"/>
      <c r="J53" s="260"/>
      <c r="K53" s="245"/>
      <c r="L53" s="13" t="s">
        <v>231</v>
      </c>
      <c r="M53" s="14">
        <v>0.1</v>
      </c>
      <c r="N53" s="243"/>
      <c r="O53" s="249"/>
    </row>
    <row r="54" spans="2:15" ht="16" customHeight="1" thickBot="1">
      <c r="B54" s="277"/>
      <c r="C54" s="252"/>
      <c r="D54" s="79" t="s">
        <v>160</v>
      </c>
      <c r="E54" s="80">
        <v>0.6</v>
      </c>
      <c r="F54" s="252"/>
      <c r="G54" s="264"/>
      <c r="J54" s="261"/>
      <c r="K54" s="246"/>
      <c r="L54" s="79" t="s">
        <v>160</v>
      </c>
      <c r="M54" s="80">
        <v>0.6</v>
      </c>
      <c r="N54" s="252"/>
      <c r="O54" s="264"/>
    </row>
    <row r="57" spans="2:15" ht="21" customHeight="1" thickBot="1">
      <c r="B57" s="247" t="s">
        <v>225</v>
      </c>
      <c r="C57" s="232"/>
      <c r="D57" s="233"/>
      <c r="E57" s="17" t="s">
        <v>185</v>
      </c>
      <c r="F57" s="17" t="s">
        <v>226</v>
      </c>
      <c r="G57" s="17" t="s">
        <v>227</v>
      </c>
      <c r="J57" s="247" t="s">
        <v>225</v>
      </c>
      <c r="K57" s="232"/>
      <c r="L57" s="233"/>
      <c r="M57" s="74" t="s">
        <v>185</v>
      </c>
      <c r="N57" s="74" t="s">
        <v>226</v>
      </c>
      <c r="O57" s="74" t="s">
        <v>227</v>
      </c>
    </row>
    <row r="58" spans="2:15" ht="15.5" customHeight="1">
      <c r="B58" s="274" t="s">
        <v>242</v>
      </c>
      <c r="C58" s="242" t="s">
        <v>229</v>
      </c>
      <c r="D58" s="13" t="s">
        <v>163</v>
      </c>
      <c r="E58" s="14">
        <v>17.7</v>
      </c>
      <c r="F58" s="253">
        <f>E58*E59*E60</f>
        <v>3.54</v>
      </c>
      <c r="G58" s="253">
        <f>SUM(F58:F66)</f>
        <v>6.4757999999999987</v>
      </c>
      <c r="J58" s="259" t="s">
        <v>243</v>
      </c>
      <c r="K58" s="244" t="s">
        <v>229</v>
      </c>
      <c r="L58" s="77" t="s">
        <v>163</v>
      </c>
      <c r="M58" s="78">
        <v>33</v>
      </c>
      <c r="N58" s="251">
        <f>M58*M59*M60</f>
        <v>6.6000000000000005</v>
      </c>
      <c r="O58" s="263">
        <f>SUM(N58:N66)</f>
        <v>11.409599999999999</v>
      </c>
    </row>
    <row r="59" spans="2:15" ht="15.5" customHeight="1">
      <c r="B59" s="243"/>
      <c r="C59" s="243"/>
      <c r="D59" s="13" t="s">
        <v>231</v>
      </c>
      <c r="E59" s="14">
        <v>0.1</v>
      </c>
      <c r="F59" s="243"/>
      <c r="G59" s="243"/>
      <c r="J59" s="260"/>
      <c r="K59" s="245"/>
      <c r="L59" s="13" t="s">
        <v>231</v>
      </c>
      <c r="M59" s="14">
        <v>0.1</v>
      </c>
      <c r="N59" s="243"/>
      <c r="O59" s="249"/>
    </row>
    <row r="60" spans="2:15" ht="16" customHeight="1" thickBot="1">
      <c r="B60" s="243"/>
      <c r="C60" s="238"/>
      <c r="D60" s="13" t="s">
        <v>232</v>
      </c>
      <c r="E60" s="14">
        <v>2</v>
      </c>
      <c r="F60" s="238"/>
      <c r="G60" s="243"/>
      <c r="J60" s="260"/>
      <c r="K60" s="246"/>
      <c r="L60" s="79" t="s">
        <v>232</v>
      </c>
      <c r="M60" s="80">
        <v>2</v>
      </c>
      <c r="N60" s="252"/>
      <c r="O60" s="249"/>
    </row>
    <row r="61" spans="2:15" ht="15.5" customHeight="1">
      <c r="B61" s="243"/>
      <c r="C61" s="242" t="s">
        <v>233</v>
      </c>
      <c r="D61" s="13" t="s">
        <v>231</v>
      </c>
      <c r="E61" s="14">
        <v>0.1</v>
      </c>
      <c r="F61" s="253">
        <f>E61*E62*E63</f>
        <v>2.5937999999999994</v>
      </c>
      <c r="G61" s="243"/>
      <c r="J61" s="260"/>
      <c r="K61" s="244" t="s">
        <v>233</v>
      </c>
      <c r="L61" s="77" t="s">
        <v>231</v>
      </c>
      <c r="M61" s="78">
        <v>0.1</v>
      </c>
      <c r="N61" s="251">
        <f>M61*M62*M63</f>
        <v>4.2875999999999994</v>
      </c>
      <c r="O61" s="249"/>
    </row>
    <row r="62" spans="2:15" ht="15.5" customHeight="1">
      <c r="B62" s="243"/>
      <c r="C62" s="243"/>
      <c r="D62" s="13" t="s">
        <v>234</v>
      </c>
      <c r="E62" s="14">
        <v>43.23</v>
      </c>
      <c r="F62" s="243"/>
      <c r="G62" s="243"/>
      <c r="I62" s="4"/>
      <c r="J62" s="260"/>
      <c r="K62" s="245"/>
      <c r="L62" s="13" t="s">
        <v>234</v>
      </c>
      <c r="M62" s="14">
        <v>71.459999999999994</v>
      </c>
      <c r="N62" s="243"/>
      <c r="O62" s="249"/>
    </row>
    <row r="63" spans="2:15" ht="16" customHeight="1" thickBot="1">
      <c r="B63" s="243"/>
      <c r="C63" s="238"/>
      <c r="D63" s="13" t="s">
        <v>160</v>
      </c>
      <c r="E63" s="14">
        <v>0.6</v>
      </c>
      <c r="F63" s="238"/>
      <c r="G63" s="243"/>
      <c r="I63" s="4"/>
      <c r="J63" s="260"/>
      <c r="K63" s="246"/>
      <c r="L63" s="79" t="s">
        <v>160</v>
      </c>
      <c r="M63" s="80">
        <v>0.6</v>
      </c>
      <c r="N63" s="252"/>
      <c r="O63" s="249"/>
    </row>
    <row r="64" spans="2:15" ht="15.5" customHeight="1">
      <c r="B64" s="243"/>
      <c r="C64" s="242" t="s">
        <v>235</v>
      </c>
      <c r="D64" s="13" t="s">
        <v>234</v>
      </c>
      <c r="E64" s="14">
        <v>5.7</v>
      </c>
      <c r="F64" s="253">
        <f>E64*E65*E66</f>
        <v>0.34200000000000003</v>
      </c>
      <c r="G64" s="243"/>
      <c r="J64" s="260"/>
      <c r="K64" s="244" t="s">
        <v>235</v>
      </c>
      <c r="L64" s="77" t="s">
        <v>234</v>
      </c>
      <c r="M64" s="78">
        <v>8.6999999999999993</v>
      </c>
      <c r="N64" s="251">
        <f>M64*M65*M66</f>
        <v>0.52200000000000002</v>
      </c>
      <c r="O64" s="249"/>
    </row>
    <row r="65" spans="2:15" ht="15.5" customHeight="1">
      <c r="B65" s="243"/>
      <c r="C65" s="243"/>
      <c r="D65" s="13" t="s">
        <v>231</v>
      </c>
      <c r="E65" s="14">
        <v>0.1</v>
      </c>
      <c r="F65" s="243"/>
      <c r="G65" s="243"/>
      <c r="J65" s="260"/>
      <c r="K65" s="245"/>
      <c r="L65" s="13" t="s">
        <v>231</v>
      </c>
      <c r="M65" s="14">
        <v>0.1</v>
      </c>
      <c r="N65" s="243"/>
      <c r="O65" s="249"/>
    </row>
    <row r="66" spans="2:15" ht="18.5" customHeight="1" thickBot="1">
      <c r="B66" s="238"/>
      <c r="C66" s="238"/>
      <c r="D66" s="13" t="s">
        <v>160</v>
      </c>
      <c r="E66" s="14">
        <v>0.6</v>
      </c>
      <c r="F66" s="238"/>
      <c r="G66" s="238"/>
      <c r="J66" s="261"/>
      <c r="K66" s="246"/>
      <c r="L66" s="79" t="s">
        <v>160</v>
      </c>
      <c r="M66" s="80">
        <v>0.6</v>
      </c>
      <c r="N66" s="252"/>
      <c r="O66" s="264"/>
    </row>
    <row r="68" spans="2:15" ht="14.4" customHeight="1" thickBot="1"/>
    <row r="69" spans="2:15" ht="24.5" customHeight="1" thickBot="1">
      <c r="B69" s="268" t="s">
        <v>225</v>
      </c>
      <c r="C69" s="269"/>
      <c r="D69" s="270"/>
      <c r="E69" s="81" t="s">
        <v>185</v>
      </c>
      <c r="F69" s="81" t="s">
        <v>226</v>
      </c>
      <c r="G69" s="82" t="s">
        <v>227</v>
      </c>
      <c r="J69" s="247" t="s">
        <v>225</v>
      </c>
      <c r="K69" s="232"/>
      <c r="L69" s="233"/>
      <c r="M69" s="74" t="s">
        <v>185</v>
      </c>
      <c r="N69" s="74" t="s">
        <v>226</v>
      </c>
      <c r="O69" s="74" t="s">
        <v>227</v>
      </c>
    </row>
    <row r="70" spans="2:15" ht="19.75" customHeight="1">
      <c r="B70" s="254" t="s">
        <v>244</v>
      </c>
      <c r="C70" s="244" t="s">
        <v>229</v>
      </c>
      <c r="D70" s="77" t="s">
        <v>163</v>
      </c>
      <c r="E70" s="78">
        <v>69.72</v>
      </c>
      <c r="F70" s="251">
        <f>E70*E71*E72</f>
        <v>13.944000000000001</v>
      </c>
      <c r="G70" s="263">
        <f>SUM(F70:F78)</f>
        <v>22.7196</v>
      </c>
      <c r="J70" s="248" t="s">
        <v>245</v>
      </c>
      <c r="K70" s="244" t="s">
        <v>229</v>
      </c>
      <c r="L70" s="77" t="s">
        <v>163</v>
      </c>
      <c r="M70" s="78">
        <v>54</v>
      </c>
      <c r="N70" s="251">
        <f>M70*M71*M72</f>
        <v>10.8</v>
      </c>
      <c r="O70" s="263">
        <f>SUM(N70:N78)</f>
        <v>20.7456</v>
      </c>
    </row>
    <row r="71" spans="2:15" ht="14.4" customHeight="1">
      <c r="B71" s="255"/>
      <c r="C71" s="245"/>
      <c r="D71" s="13" t="s">
        <v>231</v>
      </c>
      <c r="E71" s="14">
        <v>0.1</v>
      </c>
      <c r="F71" s="243"/>
      <c r="G71" s="249"/>
      <c r="J71" s="249"/>
      <c r="K71" s="245"/>
      <c r="L71" s="13" t="s">
        <v>231</v>
      </c>
      <c r="M71" s="14">
        <v>0.1</v>
      </c>
      <c r="N71" s="243"/>
      <c r="O71" s="249"/>
    </row>
    <row r="72" spans="2:15" ht="22.75" customHeight="1" thickBot="1">
      <c r="B72" s="255"/>
      <c r="C72" s="246"/>
      <c r="D72" s="79" t="s">
        <v>232</v>
      </c>
      <c r="E72" s="80">
        <v>2</v>
      </c>
      <c r="F72" s="252"/>
      <c r="G72" s="249"/>
      <c r="J72" s="249"/>
      <c r="K72" s="246"/>
      <c r="L72" s="79" t="s">
        <v>232</v>
      </c>
      <c r="M72" s="80">
        <v>2</v>
      </c>
      <c r="N72" s="252"/>
      <c r="O72" s="249"/>
    </row>
    <row r="73" spans="2:15" ht="15.5" customHeight="1">
      <c r="B73" s="255"/>
      <c r="C73" s="258" t="s">
        <v>233</v>
      </c>
      <c r="D73" s="75" t="s">
        <v>231</v>
      </c>
      <c r="E73" s="76">
        <v>0.1</v>
      </c>
      <c r="F73" s="275">
        <f>E73*E74*E75</f>
        <v>7.2216000000000005</v>
      </c>
      <c r="G73" s="249"/>
      <c r="J73" s="249"/>
      <c r="K73" s="244" t="s">
        <v>233</v>
      </c>
      <c r="L73" s="77" t="s">
        <v>231</v>
      </c>
      <c r="M73" s="78">
        <v>0.1</v>
      </c>
      <c r="N73" s="251">
        <f>M73*M74*M75</f>
        <v>6.5472000000000001</v>
      </c>
      <c r="O73" s="249"/>
    </row>
    <row r="74" spans="2:15" ht="14.4" customHeight="1">
      <c r="B74" s="255"/>
      <c r="C74" s="243"/>
      <c r="D74" s="13" t="s">
        <v>234</v>
      </c>
      <c r="E74" s="14">
        <v>120.36</v>
      </c>
      <c r="F74" s="243"/>
      <c r="G74" s="249"/>
      <c r="J74" s="249"/>
      <c r="K74" s="245"/>
      <c r="L74" s="13" t="s">
        <v>234</v>
      </c>
      <c r="M74" s="14">
        <v>109.12</v>
      </c>
      <c r="N74" s="243"/>
      <c r="O74" s="249"/>
    </row>
    <row r="75" spans="2:15" ht="16" customHeight="1" thickBot="1">
      <c r="B75" s="255"/>
      <c r="C75" s="243"/>
      <c r="D75" s="84" t="s">
        <v>160</v>
      </c>
      <c r="E75" s="85">
        <v>0.6</v>
      </c>
      <c r="F75" s="243"/>
      <c r="G75" s="249"/>
      <c r="J75" s="249"/>
      <c r="K75" s="246"/>
      <c r="L75" s="79" t="s">
        <v>160</v>
      </c>
      <c r="M75" s="80">
        <v>0.6</v>
      </c>
      <c r="N75" s="252"/>
      <c r="O75" s="249"/>
    </row>
    <row r="76" spans="2:15" ht="15.5" customHeight="1">
      <c r="B76" s="255"/>
      <c r="C76" s="244" t="s">
        <v>235</v>
      </c>
      <c r="D76" s="77" t="s">
        <v>234</v>
      </c>
      <c r="E76" s="78">
        <v>25.9</v>
      </c>
      <c r="F76" s="251">
        <f>E76*E77*E78</f>
        <v>1.5539999999999998</v>
      </c>
      <c r="G76" s="249"/>
      <c r="J76" s="249"/>
      <c r="K76" s="244" t="s">
        <v>235</v>
      </c>
      <c r="L76" s="77" t="s">
        <v>234</v>
      </c>
      <c r="M76" s="170">
        <v>56.64</v>
      </c>
      <c r="N76" s="251">
        <f>M76*M77*M78</f>
        <v>3.3984000000000001</v>
      </c>
      <c r="O76" s="249"/>
    </row>
    <row r="77" spans="2:15" ht="14.4" customHeight="1">
      <c r="B77" s="255"/>
      <c r="C77" s="245"/>
      <c r="D77" s="13" t="s">
        <v>231</v>
      </c>
      <c r="E77" s="14">
        <v>0.1</v>
      </c>
      <c r="F77" s="243"/>
      <c r="G77" s="249"/>
      <c r="I77" s="4"/>
      <c r="J77" s="249"/>
      <c r="K77" s="245"/>
      <c r="L77" s="13" t="s">
        <v>231</v>
      </c>
      <c r="M77" s="14">
        <v>0.1</v>
      </c>
      <c r="N77" s="243"/>
      <c r="O77" s="249"/>
    </row>
    <row r="78" spans="2:15" ht="16" customHeight="1" thickBot="1">
      <c r="B78" s="256"/>
      <c r="C78" s="246"/>
      <c r="D78" s="79" t="s">
        <v>160</v>
      </c>
      <c r="E78" s="80">
        <v>0.6</v>
      </c>
      <c r="F78" s="252"/>
      <c r="G78" s="264"/>
      <c r="I78" s="4"/>
      <c r="J78" s="250"/>
      <c r="K78" s="246"/>
      <c r="L78" s="79" t="s">
        <v>160</v>
      </c>
      <c r="M78" s="80">
        <v>0.6</v>
      </c>
      <c r="N78" s="252"/>
      <c r="O78" s="264"/>
    </row>
    <row r="80" spans="2:15">
      <c r="I80" s="4"/>
    </row>
    <row r="81" spans="9:9">
      <c r="I81" s="4"/>
    </row>
    <row r="85" spans="9:9" ht="28" customHeight="1"/>
    <row r="96" spans="9:9">
      <c r="I96" s="4"/>
    </row>
    <row r="97" spans="9:9">
      <c r="I97" s="4"/>
    </row>
    <row r="100" spans="9:9" ht="24.5" customHeight="1"/>
    <row r="111" spans="9:9">
      <c r="I111" s="4"/>
    </row>
    <row r="112" spans="9:9">
      <c r="I112" s="4"/>
    </row>
    <row r="115" spans="9:9" ht="23.5" customHeight="1"/>
    <row r="126" spans="9:9">
      <c r="I126" s="4"/>
    </row>
    <row r="127" spans="9:9">
      <c r="I127" s="4"/>
    </row>
    <row r="130" spans="9:9" ht="26" customHeight="1"/>
    <row r="141" spans="9:9">
      <c r="I141" s="4"/>
    </row>
    <row r="142" spans="9:9">
      <c r="I142" s="4"/>
    </row>
    <row r="145" spans="9:9" ht="26" customHeight="1"/>
    <row r="146" spans="9:9" ht="15.5" customHeight="1"/>
    <row r="156" spans="9:9">
      <c r="I156" s="4"/>
    </row>
    <row r="157" spans="9:9">
      <c r="I157" s="4"/>
    </row>
  </sheetData>
  <mergeCells count="114">
    <mergeCell ref="C3:O3"/>
    <mergeCell ref="C28:C30"/>
    <mergeCell ref="C37:C39"/>
    <mergeCell ref="C5:O5"/>
    <mergeCell ref="F34:F36"/>
    <mergeCell ref="F16:F18"/>
    <mergeCell ref="J46:J54"/>
    <mergeCell ref="N25:N27"/>
    <mergeCell ref="O34:O42"/>
    <mergeCell ref="K40:K42"/>
    <mergeCell ref="J9:L9"/>
    <mergeCell ref="F22:F24"/>
    <mergeCell ref="J45:L45"/>
    <mergeCell ref="F46:F48"/>
    <mergeCell ref="F28:F30"/>
    <mergeCell ref="F37:F39"/>
    <mergeCell ref="F10:F12"/>
    <mergeCell ref="K34:K36"/>
    <mergeCell ref="K16:K18"/>
    <mergeCell ref="O46:O54"/>
    <mergeCell ref="J21:L21"/>
    <mergeCell ref="B33:D33"/>
    <mergeCell ref="F40:F42"/>
    <mergeCell ref="N16:N18"/>
    <mergeCell ref="C4:O4"/>
    <mergeCell ref="N22:N24"/>
    <mergeCell ref="N37:N39"/>
    <mergeCell ref="C40:C42"/>
    <mergeCell ref="J10:J18"/>
    <mergeCell ref="G70:G78"/>
    <mergeCell ref="C16:C18"/>
    <mergeCell ref="G46:G54"/>
    <mergeCell ref="N64:N66"/>
    <mergeCell ref="J69:L69"/>
    <mergeCell ref="J34:J42"/>
    <mergeCell ref="B21:D21"/>
    <mergeCell ref="K52:K54"/>
    <mergeCell ref="B58:B66"/>
    <mergeCell ref="N13:N15"/>
    <mergeCell ref="K13:K15"/>
    <mergeCell ref="N40:N42"/>
    <mergeCell ref="F58:F60"/>
    <mergeCell ref="N49:N51"/>
    <mergeCell ref="K28:K30"/>
    <mergeCell ref="J22:J30"/>
    <mergeCell ref="C34:C36"/>
    <mergeCell ref="F73:F75"/>
    <mergeCell ref="K25:K27"/>
    <mergeCell ref="B9:D9"/>
    <mergeCell ref="N76:N78"/>
    <mergeCell ref="C6:O6"/>
    <mergeCell ref="O58:O66"/>
    <mergeCell ref="J33:L33"/>
    <mergeCell ref="G22:G30"/>
    <mergeCell ref="B45:D45"/>
    <mergeCell ref="K64:K66"/>
    <mergeCell ref="F25:F27"/>
    <mergeCell ref="C64:C66"/>
    <mergeCell ref="J57:L57"/>
    <mergeCell ref="C70:C72"/>
    <mergeCell ref="K58:K60"/>
    <mergeCell ref="C76:C78"/>
    <mergeCell ref="K73:K75"/>
    <mergeCell ref="F64:F66"/>
    <mergeCell ref="B34:B42"/>
    <mergeCell ref="B69:D69"/>
    <mergeCell ref="O70:O78"/>
    <mergeCell ref="N70:N72"/>
    <mergeCell ref="O10:O18"/>
    <mergeCell ref="K22:K24"/>
    <mergeCell ref="N58:N60"/>
    <mergeCell ref="N52:N54"/>
    <mergeCell ref="B2:O2"/>
    <mergeCell ref="K49:K51"/>
    <mergeCell ref="C49:C51"/>
    <mergeCell ref="C58:C60"/>
    <mergeCell ref="C73:C75"/>
    <mergeCell ref="J58:J66"/>
    <mergeCell ref="N46:N48"/>
    <mergeCell ref="C10:C12"/>
    <mergeCell ref="K76:K78"/>
    <mergeCell ref="B22:B30"/>
    <mergeCell ref="N61:N63"/>
    <mergeCell ref="F70:F72"/>
    <mergeCell ref="C25:C27"/>
    <mergeCell ref="C52:C54"/>
    <mergeCell ref="C22:C24"/>
    <mergeCell ref="G10:G18"/>
    <mergeCell ref="B70:B78"/>
    <mergeCell ref="F13:F15"/>
    <mergeCell ref="N73:N75"/>
    <mergeCell ref="K61:K63"/>
    <mergeCell ref="F52:F54"/>
    <mergeCell ref="B7:O7"/>
    <mergeCell ref="G34:G42"/>
    <mergeCell ref="N10:N12"/>
    <mergeCell ref="C61:C63"/>
    <mergeCell ref="K70:K72"/>
    <mergeCell ref="B57:D57"/>
    <mergeCell ref="J70:J78"/>
    <mergeCell ref="N34:N36"/>
    <mergeCell ref="N28:N30"/>
    <mergeCell ref="B10:B18"/>
    <mergeCell ref="O22:O30"/>
    <mergeCell ref="C13:C15"/>
    <mergeCell ref="F61:F63"/>
    <mergeCell ref="F49:F51"/>
    <mergeCell ref="G58:G66"/>
    <mergeCell ref="K37:K39"/>
    <mergeCell ref="K10:K12"/>
    <mergeCell ref="F76:F78"/>
    <mergeCell ref="K46:K48"/>
    <mergeCell ref="B46:B54"/>
    <mergeCell ref="C46:C48"/>
  </mergeCells>
  <pageMargins left="0.5" right="0.11811023622047249" top="1.26" bottom="0.93" header="0.3" footer="0.11811023622047249"/>
  <pageSetup paperSize="9" scale="38" orientation="portrait" r:id="rId1"/>
  <headerFooter>
    <oddHeader>&amp;C&amp;G</oddHeader>
  </headerFooter>
  <rowBreaks count="1" manualBreakCount="1">
    <brk id="143" max="15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B2:P79"/>
  <sheetViews>
    <sheetView topLeftCell="C25" zoomScale="130" zoomScaleNormal="130" zoomScaleSheetLayoutView="130" workbookViewId="0">
      <selection activeCell="H81" sqref="H81"/>
    </sheetView>
  </sheetViews>
  <sheetFormatPr baseColWidth="10" defaultRowHeight="15.5"/>
  <cols>
    <col min="1" max="1" width="4.453125" style="6" customWidth="1"/>
    <col min="2" max="2" width="13.453125" style="6" customWidth="1"/>
    <col min="3" max="3" width="15" style="6" customWidth="1"/>
    <col min="4" max="7" width="10.90625" style="6" customWidth="1"/>
    <col min="8" max="8" width="12.26953125" style="6" customWidth="1"/>
    <col min="9" max="14" width="10.90625" style="6" customWidth="1"/>
    <col min="15" max="15" width="16.54296875" style="6" customWidth="1"/>
    <col min="16" max="16" width="12.36328125" style="6" customWidth="1"/>
    <col min="17" max="18" width="10.90625" style="6" customWidth="1"/>
    <col min="19" max="16384" width="10.90625" style="6"/>
  </cols>
  <sheetData>
    <row r="2" spans="2:16" ht="21.5" customHeight="1">
      <c r="B2" s="295" t="s">
        <v>246</v>
      </c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</row>
    <row r="3" spans="2:16" ht="20.5" customHeight="1">
      <c r="B3" s="171" t="s">
        <v>1</v>
      </c>
      <c r="C3" s="279" t="str">
        <f>+RESUMEN!B4</f>
        <v>GERENCIA TERRITORIAL BAJO MAYO - TARAPOTO</v>
      </c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</row>
    <row r="4" spans="2:16" ht="60" customHeight="1">
      <c r="B4" s="171" t="s">
        <v>3</v>
      </c>
      <c r="C4" s="279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3"/>
    </row>
    <row r="5" spans="2:16" ht="36" customHeight="1">
      <c r="B5" s="171" t="s">
        <v>5</v>
      </c>
      <c r="C5" s="279" t="str">
        <f>+RESUMEN!B6</f>
        <v>SAN MARTIN - SAN MARTIN - MORALES</v>
      </c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3"/>
    </row>
    <row r="6" spans="2:16" ht="19.5" customHeight="1">
      <c r="B6" s="171" t="s">
        <v>7</v>
      </c>
      <c r="C6" s="297">
        <f>+RESUMEN!B7</f>
        <v>46266</v>
      </c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2"/>
      <c r="P6" s="233"/>
    </row>
    <row r="7" spans="2:16" ht="19.5" customHeight="1" thickBot="1"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</row>
    <row r="8" spans="2:16">
      <c r="B8" s="289" t="s">
        <v>247</v>
      </c>
      <c r="C8" s="290"/>
      <c r="D8" s="290"/>
      <c r="E8" s="290"/>
      <c r="F8" s="290"/>
      <c r="G8" s="290"/>
      <c r="H8" s="290"/>
      <c r="I8" s="290"/>
      <c r="J8" s="290"/>
      <c r="K8" s="290"/>
      <c r="L8" s="290"/>
      <c r="M8" s="290"/>
      <c r="N8" s="290"/>
      <c r="O8" s="290"/>
      <c r="P8" s="291"/>
    </row>
    <row r="9" spans="2:16" ht="16" customHeight="1" thickBot="1">
      <c r="B9" s="292"/>
      <c r="C9" s="29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3"/>
      <c r="P9" s="294"/>
    </row>
    <row r="11" spans="2:16" ht="19.5" customHeight="1">
      <c r="B11" s="284" t="s">
        <v>225</v>
      </c>
      <c r="C11" s="232"/>
      <c r="D11" s="232"/>
      <c r="E11" s="232"/>
      <c r="F11" s="233"/>
      <c r="G11" s="150" t="s">
        <v>226</v>
      </c>
      <c r="H11" s="150" t="s">
        <v>248</v>
      </c>
      <c r="I11" s="24"/>
      <c r="J11" s="284" t="s">
        <v>225</v>
      </c>
      <c r="K11" s="232"/>
      <c r="L11" s="232"/>
      <c r="M11" s="232"/>
      <c r="N11" s="233"/>
      <c r="O11" s="150" t="s">
        <v>226</v>
      </c>
      <c r="P11" s="150" t="s">
        <v>248</v>
      </c>
    </row>
    <row r="12" spans="2:16" ht="15.5" customHeight="1">
      <c r="B12" s="285" t="s">
        <v>249</v>
      </c>
      <c r="C12" s="288" t="s">
        <v>250</v>
      </c>
      <c r="D12" s="285" t="s">
        <v>251</v>
      </c>
      <c r="E12" s="1" t="s">
        <v>163</v>
      </c>
      <c r="F12" s="15">
        <v>15.36</v>
      </c>
      <c r="G12" s="280">
        <f>F12*F13</f>
        <v>30.72</v>
      </c>
      <c r="H12" s="283">
        <f>SUM(G12:G20)</f>
        <v>66.796000000000006</v>
      </c>
      <c r="I12" s="24"/>
      <c r="J12" s="278" t="s">
        <v>169</v>
      </c>
      <c r="K12" s="282" t="s">
        <v>252</v>
      </c>
      <c r="L12" s="278" t="s">
        <v>251</v>
      </c>
      <c r="M12" s="2" t="s">
        <v>163</v>
      </c>
      <c r="N12" s="15">
        <v>68.67</v>
      </c>
      <c r="O12" s="280">
        <f>N12*N13</f>
        <v>137.34</v>
      </c>
      <c r="P12" s="283">
        <f>SUM(O12:O20)</f>
        <v>358.44399999999996</v>
      </c>
    </row>
    <row r="13" spans="2:16">
      <c r="B13" s="243"/>
      <c r="C13" s="243"/>
      <c r="D13" s="238"/>
      <c r="E13" s="1" t="s">
        <v>232</v>
      </c>
      <c r="F13" s="15">
        <v>2</v>
      </c>
      <c r="G13" s="238"/>
      <c r="H13" s="243"/>
      <c r="I13" s="24"/>
      <c r="J13" s="243"/>
      <c r="K13" s="243"/>
      <c r="L13" s="238"/>
      <c r="M13" s="2" t="s">
        <v>232</v>
      </c>
      <c r="N13" s="15">
        <v>2</v>
      </c>
      <c r="O13" s="238"/>
      <c r="P13" s="243"/>
    </row>
    <row r="14" spans="2:16" ht="15.5" customHeight="1">
      <c r="B14" s="243"/>
      <c r="C14" s="243"/>
      <c r="D14" s="285" t="s">
        <v>253</v>
      </c>
      <c r="E14" s="1" t="s">
        <v>163</v>
      </c>
      <c r="F14" s="15">
        <v>12.16</v>
      </c>
      <c r="G14" s="280">
        <f>F14*F15</f>
        <v>24.32</v>
      </c>
      <c r="H14" s="243"/>
      <c r="I14" s="24"/>
      <c r="J14" s="243"/>
      <c r="K14" s="243"/>
      <c r="L14" s="278" t="s">
        <v>253</v>
      </c>
      <c r="M14" s="2" t="s">
        <v>163</v>
      </c>
      <c r="N14" s="15">
        <v>58.75</v>
      </c>
      <c r="O14" s="280">
        <f>N14*N15</f>
        <v>117.5</v>
      </c>
      <c r="P14" s="243"/>
    </row>
    <row r="15" spans="2:16">
      <c r="B15" s="243"/>
      <c r="C15" s="238"/>
      <c r="D15" s="238"/>
      <c r="E15" s="1" t="s">
        <v>254</v>
      </c>
      <c r="F15" s="15">
        <v>2</v>
      </c>
      <c r="G15" s="238"/>
      <c r="H15" s="243"/>
      <c r="I15" s="24"/>
      <c r="J15" s="243"/>
      <c r="K15" s="238"/>
      <c r="L15" s="238"/>
      <c r="M15" s="2" t="s">
        <v>254</v>
      </c>
      <c r="N15" s="15">
        <v>2</v>
      </c>
      <c r="O15" s="238"/>
      <c r="P15" s="243"/>
    </row>
    <row r="16" spans="2:16" ht="15.5" customHeight="1">
      <c r="B16" s="243"/>
      <c r="C16" s="287" t="s">
        <v>255</v>
      </c>
      <c r="D16" s="285" t="s">
        <v>256</v>
      </c>
      <c r="E16" s="1" t="s">
        <v>163</v>
      </c>
      <c r="F16" s="14">
        <v>2.94</v>
      </c>
      <c r="G16" s="280">
        <f>F16*F17</f>
        <v>5.88</v>
      </c>
      <c r="H16" s="243"/>
      <c r="I16" s="24"/>
      <c r="J16" s="243"/>
      <c r="K16" s="281" t="s">
        <v>255</v>
      </c>
      <c r="L16" s="278" t="s">
        <v>256</v>
      </c>
      <c r="M16" s="2" t="s">
        <v>163</v>
      </c>
      <c r="N16" s="15">
        <v>25.9</v>
      </c>
      <c r="O16" s="280">
        <f>N16*N17</f>
        <v>51.8</v>
      </c>
      <c r="P16" s="243"/>
    </row>
    <row r="17" spans="2:16">
      <c r="B17" s="243"/>
      <c r="C17" s="243"/>
      <c r="D17" s="238"/>
      <c r="E17" s="1" t="s">
        <v>232</v>
      </c>
      <c r="F17" s="14">
        <v>2</v>
      </c>
      <c r="G17" s="238"/>
      <c r="H17" s="243"/>
      <c r="I17" s="24"/>
      <c r="J17" s="243"/>
      <c r="K17" s="243"/>
      <c r="L17" s="238"/>
      <c r="M17" s="2" t="s">
        <v>232</v>
      </c>
      <c r="N17" s="15">
        <v>2</v>
      </c>
      <c r="O17" s="238"/>
      <c r="P17" s="243"/>
    </row>
    <row r="18" spans="2:16" ht="15.5" customHeight="1">
      <c r="B18" s="243"/>
      <c r="C18" s="243"/>
      <c r="D18" s="285" t="s">
        <v>253</v>
      </c>
      <c r="E18" s="1" t="s">
        <v>163</v>
      </c>
      <c r="F18" s="14">
        <v>1.91</v>
      </c>
      <c r="G18" s="280">
        <f>(F18*F19)+F20</f>
        <v>5.8759999999999994</v>
      </c>
      <c r="H18" s="243"/>
      <c r="I18" s="24"/>
      <c r="J18" s="243"/>
      <c r="K18" s="243"/>
      <c r="L18" s="278" t="s">
        <v>253</v>
      </c>
      <c r="M18" s="2" t="s">
        <v>163</v>
      </c>
      <c r="N18" s="15">
        <v>19.57</v>
      </c>
      <c r="O18" s="280">
        <f>N18*N19+N20</f>
        <v>51.804000000000002</v>
      </c>
      <c r="P18" s="243"/>
    </row>
    <row r="19" spans="2:16">
      <c r="B19" s="243"/>
      <c r="C19" s="243"/>
      <c r="D19" s="243"/>
      <c r="E19" s="1" t="s">
        <v>254</v>
      </c>
      <c r="F19" s="14">
        <v>2</v>
      </c>
      <c r="G19" s="243"/>
      <c r="H19" s="243"/>
      <c r="I19" s="24"/>
      <c r="J19" s="243"/>
      <c r="K19" s="243"/>
      <c r="L19" s="243"/>
      <c r="M19" s="2" t="s">
        <v>254</v>
      </c>
      <c r="N19" s="15">
        <v>2</v>
      </c>
      <c r="O19" s="243"/>
      <c r="P19" s="243"/>
    </row>
    <row r="20" spans="2:16" ht="14.5" customHeight="1">
      <c r="B20" s="238"/>
      <c r="C20" s="238"/>
      <c r="D20" s="238"/>
      <c r="E20" s="1" t="s">
        <v>235</v>
      </c>
      <c r="F20" s="14">
        <f>5.14*0.4</f>
        <v>2.056</v>
      </c>
      <c r="G20" s="238"/>
      <c r="H20" s="238"/>
      <c r="I20" s="24"/>
      <c r="J20" s="238"/>
      <c r="K20" s="238"/>
      <c r="L20" s="238"/>
      <c r="M20" s="2" t="s">
        <v>235</v>
      </c>
      <c r="N20" s="15">
        <f>31.66*0.4</f>
        <v>12.664000000000001</v>
      </c>
      <c r="O20" s="238"/>
      <c r="P20" s="238"/>
    </row>
    <row r="21" spans="2:16">
      <c r="J21" s="172"/>
      <c r="K21" s="172"/>
      <c r="L21" s="172"/>
      <c r="M21" s="172"/>
      <c r="N21" s="172"/>
    </row>
    <row r="22" spans="2:16">
      <c r="B22" s="284" t="s">
        <v>225</v>
      </c>
      <c r="C22" s="232"/>
      <c r="D22" s="232"/>
      <c r="E22" s="232"/>
      <c r="F22" s="233"/>
      <c r="G22" s="150" t="s">
        <v>226</v>
      </c>
      <c r="H22" s="150" t="s">
        <v>248</v>
      </c>
      <c r="I22" s="24"/>
      <c r="J22" s="286" t="s">
        <v>225</v>
      </c>
      <c r="K22" s="232"/>
      <c r="L22" s="232"/>
      <c r="M22" s="232"/>
      <c r="N22" s="233"/>
      <c r="O22" s="150" t="s">
        <v>226</v>
      </c>
      <c r="P22" s="150" t="s">
        <v>248</v>
      </c>
    </row>
    <row r="23" spans="2:16">
      <c r="B23" s="278" t="s">
        <v>170</v>
      </c>
      <c r="C23" s="282" t="s">
        <v>250</v>
      </c>
      <c r="D23" s="278" t="s">
        <v>251</v>
      </c>
      <c r="E23" s="2" t="s">
        <v>163</v>
      </c>
      <c r="F23" s="15">
        <v>2.41</v>
      </c>
      <c r="G23" s="280">
        <f>F23*F24</f>
        <v>4.82</v>
      </c>
      <c r="H23" s="283">
        <f>SUM(G23:G31)</f>
        <v>8.48</v>
      </c>
      <c r="I23" s="24"/>
      <c r="J23" s="278" t="s">
        <v>171</v>
      </c>
      <c r="K23" s="282" t="s">
        <v>252</v>
      </c>
      <c r="L23" s="278" t="s">
        <v>251</v>
      </c>
      <c r="M23" s="2" t="s">
        <v>163</v>
      </c>
      <c r="N23" s="15">
        <v>3.62</v>
      </c>
      <c r="O23" s="280">
        <f>N23*N24</f>
        <v>7.24</v>
      </c>
      <c r="P23" s="283">
        <f>SUM(O23:O31)</f>
        <v>12.76</v>
      </c>
    </row>
    <row r="24" spans="2:16">
      <c r="B24" s="243"/>
      <c r="C24" s="243"/>
      <c r="D24" s="238"/>
      <c r="E24" s="2" t="s">
        <v>232</v>
      </c>
      <c r="F24" s="15">
        <v>2</v>
      </c>
      <c r="G24" s="238"/>
      <c r="H24" s="243"/>
      <c r="I24" s="24"/>
      <c r="J24" s="243"/>
      <c r="K24" s="243"/>
      <c r="L24" s="238"/>
      <c r="M24" s="2" t="s">
        <v>232</v>
      </c>
      <c r="N24" s="15">
        <v>2</v>
      </c>
      <c r="O24" s="238"/>
      <c r="P24" s="243"/>
    </row>
    <row r="25" spans="2:16">
      <c r="B25" s="243"/>
      <c r="C25" s="243"/>
      <c r="D25" s="278" t="s">
        <v>253</v>
      </c>
      <c r="E25" s="2" t="s">
        <v>163</v>
      </c>
      <c r="F25" s="15">
        <v>1.83</v>
      </c>
      <c r="G25" s="280">
        <f>F25*F26</f>
        <v>3.66</v>
      </c>
      <c r="H25" s="243"/>
      <c r="I25" s="24"/>
      <c r="J25" s="243"/>
      <c r="K25" s="243"/>
      <c r="L25" s="278" t="s">
        <v>253</v>
      </c>
      <c r="M25" s="2" t="s">
        <v>163</v>
      </c>
      <c r="N25" s="15">
        <v>2.76</v>
      </c>
      <c r="O25" s="280">
        <f>N25*N26</f>
        <v>5.52</v>
      </c>
      <c r="P25" s="243"/>
    </row>
    <row r="26" spans="2:16">
      <c r="B26" s="243"/>
      <c r="C26" s="238"/>
      <c r="D26" s="238"/>
      <c r="E26" s="2" t="s">
        <v>254</v>
      </c>
      <c r="F26" s="15">
        <v>2</v>
      </c>
      <c r="G26" s="238"/>
      <c r="H26" s="243"/>
      <c r="I26" s="24"/>
      <c r="J26" s="243"/>
      <c r="K26" s="238"/>
      <c r="L26" s="238"/>
      <c r="M26" s="2" t="s">
        <v>254</v>
      </c>
      <c r="N26" s="15">
        <v>2</v>
      </c>
      <c r="O26" s="238"/>
      <c r="P26" s="243"/>
    </row>
    <row r="27" spans="2:16">
      <c r="B27" s="243"/>
      <c r="C27" s="281" t="s">
        <v>255</v>
      </c>
      <c r="D27" s="278" t="s">
        <v>256</v>
      </c>
      <c r="E27" s="2" t="s">
        <v>163</v>
      </c>
      <c r="F27" s="83">
        <v>0</v>
      </c>
      <c r="G27" s="280">
        <f>F27*F28</f>
        <v>0</v>
      </c>
      <c r="H27" s="243"/>
      <c r="I27" s="24"/>
      <c r="J27" s="243"/>
      <c r="K27" s="281" t="s">
        <v>255</v>
      </c>
      <c r="L27" s="278" t="s">
        <v>256</v>
      </c>
      <c r="M27" s="2" t="s">
        <v>163</v>
      </c>
      <c r="N27" s="83">
        <v>0</v>
      </c>
      <c r="O27" s="280">
        <f>N27*N28</f>
        <v>0</v>
      </c>
      <c r="P27" s="243"/>
    </row>
    <row r="28" spans="2:16">
      <c r="B28" s="243"/>
      <c r="C28" s="243"/>
      <c r="D28" s="238"/>
      <c r="E28" s="2" t="s">
        <v>232</v>
      </c>
      <c r="F28" s="83">
        <v>2</v>
      </c>
      <c r="G28" s="238"/>
      <c r="H28" s="243"/>
      <c r="I28" s="24"/>
      <c r="J28" s="243"/>
      <c r="K28" s="243"/>
      <c r="L28" s="238"/>
      <c r="M28" s="2" t="s">
        <v>232</v>
      </c>
      <c r="N28" s="83">
        <v>2</v>
      </c>
      <c r="O28" s="238"/>
      <c r="P28" s="243"/>
    </row>
    <row r="29" spans="2:16">
      <c r="B29" s="243"/>
      <c r="C29" s="243"/>
      <c r="D29" s="278" t="s">
        <v>253</v>
      </c>
      <c r="E29" s="2" t="s">
        <v>163</v>
      </c>
      <c r="F29" s="83">
        <v>0</v>
      </c>
      <c r="G29" s="280">
        <f>F29*F30+F31</f>
        <v>0</v>
      </c>
      <c r="H29" s="243"/>
      <c r="I29" s="24"/>
      <c r="J29" s="243"/>
      <c r="K29" s="243"/>
      <c r="L29" s="278" t="s">
        <v>253</v>
      </c>
      <c r="M29" s="2" t="s">
        <v>163</v>
      </c>
      <c r="N29" s="83">
        <v>0</v>
      </c>
      <c r="O29" s="280">
        <f>N29*N30+N31</f>
        <v>0</v>
      </c>
      <c r="P29" s="243"/>
    </row>
    <row r="30" spans="2:16">
      <c r="B30" s="243"/>
      <c r="C30" s="243"/>
      <c r="D30" s="243"/>
      <c r="E30" s="2" t="s">
        <v>254</v>
      </c>
      <c r="F30" s="83">
        <v>2</v>
      </c>
      <c r="G30" s="243"/>
      <c r="H30" s="243"/>
      <c r="I30" s="24"/>
      <c r="J30" s="243"/>
      <c r="K30" s="243"/>
      <c r="L30" s="243"/>
      <c r="M30" s="2" t="s">
        <v>254</v>
      </c>
      <c r="N30" s="83">
        <v>2</v>
      </c>
      <c r="O30" s="243"/>
      <c r="P30" s="243"/>
    </row>
    <row r="31" spans="2:16" ht="14" customHeight="1">
      <c r="B31" s="238"/>
      <c r="C31" s="238"/>
      <c r="D31" s="238"/>
      <c r="E31" s="2" t="s">
        <v>235</v>
      </c>
      <c r="F31" s="83">
        <v>0</v>
      </c>
      <c r="G31" s="238"/>
      <c r="H31" s="238"/>
      <c r="I31" s="24"/>
      <c r="J31" s="238"/>
      <c r="K31" s="238"/>
      <c r="L31" s="238"/>
      <c r="M31" s="2" t="s">
        <v>235</v>
      </c>
      <c r="N31" s="83">
        <v>0</v>
      </c>
      <c r="O31" s="238"/>
      <c r="P31" s="238"/>
    </row>
    <row r="32" spans="2:16">
      <c r="B32" s="172"/>
      <c r="C32" s="172"/>
      <c r="D32" s="172"/>
      <c r="E32" s="172"/>
      <c r="F32" s="172"/>
      <c r="J32" s="172"/>
      <c r="K32" s="172"/>
      <c r="L32" s="172"/>
      <c r="M32" s="172"/>
      <c r="N32" s="172"/>
    </row>
    <row r="33" spans="2:16">
      <c r="B33" s="286" t="s">
        <v>225</v>
      </c>
      <c r="C33" s="232"/>
      <c r="D33" s="232"/>
      <c r="E33" s="232"/>
      <c r="F33" s="233"/>
      <c r="G33" s="150" t="s">
        <v>226</v>
      </c>
      <c r="H33" s="150" t="s">
        <v>248</v>
      </c>
      <c r="I33" s="24"/>
      <c r="J33" s="286" t="s">
        <v>225</v>
      </c>
      <c r="K33" s="232"/>
      <c r="L33" s="232"/>
      <c r="M33" s="232"/>
      <c r="N33" s="233"/>
      <c r="O33" s="150" t="s">
        <v>226</v>
      </c>
      <c r="P33" s="150" t="s">
        <v>248</v>
      </c>
    </row>
    <row r="34" spans="2:16">
      <c r="B34" s="278" t="s">
        <v>172</v>
      </c>
      <c r="C34" s="282" t="s">
        <v>252</v>
      </c>
      <c r="D34" s="278" t="s">
        <v>251</v>
      </c>
      <c r="E34" s="2" t="s">
        <v>163</v>
      </c>
      <c r="F34" s="15">
        <v>18.53</v>
      </c>
      <c r="G34" s="280">
        <f>F34*F35</f>
        <v>37.06</v>
      </c>
      <c r="H34" s="283">
        <f>SUM(G34:G42)</f>
        <v>80.36</v>
      </c>
      <c r="I34" s="24"/>
      <c r="J34" s="278" t="s">
        <v>173</v>
      </c>
      <c r="K34" s="282" t="s">
        <v>252</v>
      </c>
      <c r="L34" s="278" t="s">
        <v>251</v>
      </c>
      <c r="M34" s="2" t="s">
        <v>163</v>
      </c>
      <c r="N34" s="15">
        <v>63.19</v>
      </c>
      <c r="O34" s="280">
        <f>N34*N35</f>
        <v>126.38</v>
      </c>
      <c r="P34" s="283">
        <f>SUM(O34:O42)</f>
        <v>318.54000000000002</v>
      </c>
    </row>
    <row r="35" spans="2:16">
      <c r="B35" s="243"/>
      <c r="C35" s="243"/>
      <c r="D35" s="238"/>
      <c r="E35" s="2" t="s">
        <v>232</v>
      </c>
      <c r="F35" s="15">
        <v>2</v>
      </c>
      <c r="G35" s="238"/>
      <c r="H35" s="243"/>
      <c r="I35" s="24"/>
      <c r="J35" s="243"/>
      <c r="K35" s="243"/>
      <c r="L35" s="238"/>
      <c r="M35" s="2" t="s">
        <v>232</v>
      </c>
      <c r="N35" s="15">
        <v>2</v>
      </c>
      <c r="O35" s="238"/>
      <c r="P35" s="243"/>
    </row>
    <row r="36" spans="2:16">
      <c r="B36" s="243"/>
      <c r="C36" s="243"/>
      <c r="D36" s="278" t="s">
        <v>253</v>
      </c>
      <c r="E36" s="2" t="s">
        <v>163</v>
      </c>
      <c r="F36" s="15">
        <v>14.78</v>
      </c>
      <c r="G36" s="280">
        <f>F36*F37</f>
        <v>29.56</v>
      </c>
      <c r="H36" s="243"/>
      <c r="I36" s="24"/>
      <c r="J36" s="243"/>
      <c r="K36" s="243"/>
      <c r="L36" s="278" t="s">
        <v>253</v>
      </c>
      <c r="M36" s="2" t="s">
        <v>163</v>
      </c>
      <c r="N36" s="15">
        <v>53.74</v>
      </c>
      <c r="O36" s="280">
        <f>N36*N37</f>
        <v>107.48</v>
      </c>
      <c r="P36" s="243"/>
    </row>
    <row r="37" spans="2:16">
      <c r="B37" s="243"/>
      <c r="C37" s="238"/>
      <c r="D37" s="238"/>
      <c r="E37" s="2" t="s">
        <v>254</v>
      </c>
      <c r="F37" s="15">
        <v>2</v>
      </c>
      <c r="G37" s="238"/>
      <c r="H37" s="243"/>
      <c r="I37" s="24"/>
      <c r="J37" s="243"/>
      <c r="K37" s="238"/>
      <c r="L37" s="238"/>
      <c r="M37" s="2" t="s">
        <v>254</v>
      </c>
      <c r="N37" s="15">
        <v>2</v>
      </c>
      <c r="O37" s="238"/>
      <c r="P37" s="243"/>
    </row>
    <row r="38" spans="2:16">
      <c r="B38" s="243"/>
      <c r="C38" s="281" t="s">
        <v>255</v>
      </c>
      <c r="D38" s="278" t="s">
        <v>256</v>
      </c>
      <c r="E38" s="2" t="s">
        <v>163</v>
      </c>
      <c r="F38" s="14">
        <v>3.43</v>
      </c>
      <c r="G38" s="280">
        <f>F38*F39</f>
        <v>6.86</v>
      </c>
      <c r="H38" s="243"/>
      <c r="I38" s="24"/>
      <c r="J38" s="243"/>
      <c r="K38" s="281" t="s">
        <v>255</v>
      </c>
      <c r="L38" s="278" t="s">
        <v>256</v>
      </c>
      <c r="M38" s="2" t="s">
        <v>163</v>
      </c>
      <c r="N38" s="14">
        <v>21.16</v>
      </c>
      <c r="O38" s="280">
        <f>N38*N39</f>
        <v>42.32</v>
      </c>
      <c r="P38" s="243"/>
    </row>
    <row r="39" spans="2:16">
      <c r="B39" s="243"/>
      <c r="C39" s="243"/>
      <c r="D39" s="238"/>
      <c r="E39" s="2" t="s">
        <v>232</v>
      </c>
      <c r="F39" s="14">
        <v>2</v>
      </c>
      <c r="G39" s="238"/>
      <c r="H39" s="243"/>
      <c r="I39" s="24"/>
      <c r="J39" s="243"/>
      <c r="K39" s="243"/>
      <c r="L39" s="238"/>
      <c r="M39" s="2" t="s">
        <v>232</v>
      </c>
      <c r="N39" s="14">
        <v>2</v>
      </c>
      <c r="O39" s="238"/>
      <c r="P39" s="243"/>
    </row>
    <row r="40" spans="2:16">
      <c r="B40" s="243"/>
      <c r="C40" s="243"/>
      <c r="D40" s="278" t="s">
        <v>253</v>
      </c>
      <c r="E40" s="2" t="s">
        <v>163</v>
      </c>
      <c r="F40" s="14">
        <v>2.2999999999999998</v>
      </c>
      <c r="G40" s="280">
        <f>F40*F41+F42</f>
        <v>6.88</v>
      </c>
      <c r="H40" s="243"/>
      <c r="I40" s="24"/>
      <c r="J40" s="243"/>
      <c r="K40" s="243"/>
      <c r="L40" s="278" t="s">
        <v>253</v>
      </c>
      <c r="M40" s="2" t="s">
        <v>163</v>
      </c>
      <c r="N40" s="14">
        <v>16</v>
      </c>
      <c r="O40" s="280">
        <f>N40*N41+N42</f>
        <v>42.36</v>
      </c>
      <c r="P40" s="243"/>
    </row>
    <row r="41" spans="2:16">
      <c r="B41" s="243"/>
      <c r="C41" s="243"/>
      <c r="D41" s="243"/>
      <c r="E41" s="2" t="s">
        <v>254</v>
      </c>
      <c r="F41" s="14">
        <v>2</v>
      </c>
      <c r="G41" s="243"/>
      <c r="H41" s="243"/>
      <c r="I41" s="24"/>
      <c r="J41" s="243"/>
      <c r="K41" s="243"/>
      <c r="L41" s="243"/>
      <c r="M41" s="2" t="s">
        <v>254</v>
      </c>
      <c r="N41" s="14">
        <v>2</v>
      </c>
      <c r="O41" s="243"/>
      <c r="P41" s="243"/>
    </row>
    <row r="42" spans="2:16" ht="14" customHeight="1">
      <c r="B42" s="238"/>
      <c r="C42" s="238"/>
      <c r="D42" s="238"/>
      <c r="E42" s="2" t="s">
        <v>235</v>
      </c>
      <c r="F42" s="14">
        <f>5.7*0.4</f>
        <v>2.2800000000000002</v>
      </c>
      <c r="G42" s="238"/>
      <c r="H42" s="238"/>
      <c r="I42" s="24"/>
      <c r="J42" s="238"/>
      <c r="K42" s="238"/>
      <c r="L42" s="238"/>
      <c r="M42" s="2" t="s">
        <v>235</v>
      </c>
      <c r="N42" s="14">
        <f>25.9*0.4</f>
        <v>10.36</v>
      </c>
      <c r="O42" s="238"/>
      <c r="P42" s="238"/>
    </row>
    <row r="43" spans="2:16">
      <c r="B43" s="172"/>
      <c r="C43" s="172"/>
      <c r="D43" s="172"/>
      <c r="E43" s="172"/>
      <c r="F43" s="172"/>
      <c r="J43" s="172"/>
      <c r="K43" s="172"/>
      <c r="L43" s="172"/>
      <c r="M43" s="172"/>
      <c r="N43" s="172"/>
    </row>
    <row r="44" spans="2:16">
      <c r="B44" s="286" t="s">
        <v>225</v>
      </c>
      <c r="C44" s="232"/>
      <c r="D44" s="232"/>
      <c r="E44" s="232"/>
      <c r="F44" s="233"/>
      <c r="G44" s="150" t="s">
        <v>226</v>
      </c>
      <c r="H44" s="150" t="s">
        <v>248</v>
      </c>
      <c r="I44" s="24"/>
      <c r="J44" s="286" t="s">
        <v>225</v>
      </c>
      <c r="K44" s="232"/>
      <c r="L44" s="232"/>
      <c r="M44" s="232"/>
      <c r="N44" s="233"/>
      <c r="O44" s="150" t="s">
        <v>226</v>
      </c>
      <c r="P44" s="150" t="s">
        <v>248</v>
      </c>
    </row>
    <row r="45" spans="2:16">
      <c r="B45" s="278" t="s">
        <v>174</v>
      </c>
      <c r="C45" s="282" t="s">
        <v>252</v>
      </c>
      <c r="D45" s="278" t="s">
        <v>251</v>
      </c>
      <c r="E45" s="2" t="s">
        <v>163</v>
      </c>
      <c r="F45" s="15">
        <v>68.599999999999994</v>
      </c>
      <c r="G45" s="280">
        <f>F45*F46</f>
        <v>137.19999999999999</v>
      </c>
      <c r="H45" s="283">
        <f>SUM(G45:G53)</f>
        <v>337.7</v>
      </c>
      <c r="I45" s="24"/>
      <c r="J45" s="278" t="s">
        <v>175</v>
      </c>
      <c r="K45" s="282" t="s">
        <v>252</v>
      </c>
      <c r="L45" s="278" t="s">
        <v>251</v>
      </c>
      <c r="M45" s="2" t="s">
        <v>163</v>
      </c>
      <c r="N45" s="193">
        <v>0</v>
      </c>
      <c r="O45" s="280">
        <f>N45*N46</f>
        <v>0</v>
      </c>
      <c r="P45" s="283">
        <f>SUM(O45:O53)</f>
        <v>17.04</v>
      </c>
    </row>
    <row r="46" spans="2:16">
      <c r="B46" s="243"/>
      <c r="C46" s="243"/>
      <c r="D46" s="238"/>
      <c r="E46" s="2" t="s">
        <v>232</v>
      </c>
      <c r="F46" s="15">
        <v>2</v>
      </c>
      <c r="G46" s="238"/>
      <c r="H46" s="243"/>
      <c r="I46" s="24"/>
      <c r="J46" s="243"/>
      <c r="K46" s="243"/>
      <c r="L46" s="238"/>
      <c r="M46" s="2" t="s">
        <v>232</v>
      </c>
      <c r="N46" s="193">
        <v>2</v>
      </c>
      <c r="O46" s="238"/>
      <c r="P46" s="243"/>
    </row>
    <row r="47" spans="2:16">
      <c r="B47" s="243"/>
      <c r="C47" s="243"/>
      <c r="D47" s="278" t="s">
        <v>253</v>
      </c>
      <c r="E47" s="2" t="s">
        <v>163</v>
      </c>
      <c r="F47" s="15">
        <v>58.46</v>
      </c>
      <c r="G47" s="280">
        <f>F47*F48</f>
        <v>116.92</v>
      </c>
      <c r="H47" s="243"/>
      <c r="I47" s="24"/>
      <c r="J47" s="243"/>
      <c r="K47" s="243"/>
      <c r="L47" s="278" t="s">
        <v>253</v>
      </c>
      <c r="M47" s="2" t="s">
        <v>163</v>
      </c>
      <c r="N47" s="193">
        <v>0</v>
      </c>
      <c r="O47" s="280">
        <f>N47*N48</f>
        <v>0</v>
      </c>
      <c r="P47" s="243"/>
    </row>
    <row r="48" spans="2:16">
      <c r="B48" s="243"/>
      <c r="C48" s="238"/>
      <c r="D48" s="238"/>
      <c r="E48" s="2" t="s">
        <v>254</v>
      </c>
      <c r="F48" s="15">
        <v>2</v>
      </c>
      <c r="G48" s="238"/>
      <c r="H48" s="243"/>
      <c r="I48" s="24"/>
      <c r="J48" s="243"/>
      <c r="K48" s="238"/>
      <c r="L48" s="238"/>
      <c r="M48" s="2" t="s">
        <v>254</v>
      </c>
      <c r="N48" s="193">
        <v>2</v>
      </c>
      <c r="O48" s="238"/>
      <c r="P48" s="243"/>
    </row>
    <row r="49" spans="2:16">
      <c r="B49" s="243"/>
      <c r="C49" s="281" t="s">
        <v>255</v>
      </c>
      <c r="D49" s="278" t="s">
        <v>256</v>
      </c>
      <c r="E49" s="2" t="s">
        <v>163</v>
      </c>
      <c r="F49" s="14">
        <v>20.91</v>
      </c>
      <c r="G49" s="280">
        <f>F49*F50</f>
        <v>41.82</v>
      </c>
      <c r="H49" s="243"/>
      <c r="I49" s="24"/>
      <c r="J49" s="243"/>
      <c r="K49" s="281" t="s">
        <v>255</v>
      </c>
      <c r="L49" s="278" t="s">
        <v>256</v>
      </c>
      <c r="M49" s="2" t="s">
        <v>163</v>
      </c>
      <c r="N49" s="14">
        <v>4.26</v>
      </c>
      <c r="O49" s="280">
        <f>N49*N50</f>
        <v>8.52</v>
      </c>
      <c r="P49" s="243"/>
    </row>
    <row r="50" spans="2:16">
      <c r="B50" s="243"/>
      <c r="C50" s="243"/>
      <c r="D50" s="238"/>
      <c r="E50" s="2" t="s">
        <v>232</v>
      </c>
      <c r="F50" s="15">
        <v>2</v>
      </c>
      <c r="G50" s="238"/>
      <c r="H50" s="243"/>
      <c r="I50" s="24"/>
      <c r="J50" s="243"/>
      <c r="K50" s="243"/>
      <c r="L50" s="238"/>
      <c r="M50" s="2" t="s">
        <v>232</v>
      </c>
      <c r="N50" s="14">
        <v>2</v>
      </c>
      <c r="O50" s="238"/>
      <c r="P50" s="243"/>
    </row>
    <row r="51" spans="2:16">
      <c r="B51" s="243"/>
      <c r="C51" s="243"/>
      <c r="D51" s="278" t="s">
        <v>253</v>
      </c>
      <c r="E51" s="2" t="s">
        <v>163</v>
      </c>
      <c r="F51" s="14">
        <v>16</v>
      </c>
      <c r="G51" s="280">
        <f>F51*F52+F53</f>
        <v>41.76</v>
      </c>
      <c r="H51" s="243"/>
      <c r="I51" s="24"/>
      <c r="J51" s="243"/>
      <c r="K51" s="243"/>
      <c r="L51" s="278" t="s">
        <v>253</v>
      </c>
      <c r="M51" s="2" t="s">
        <v>163</v>
      </c>
      <c r="N51" s="14">
        <v>2.62</v>
      </c>
      <c r="O51" s="280">
        <f>N51*N52+N53</f>
        <v>8.52</v>
      </c>
      <c r="P51" s="243"/>
    </row>
    <row r="52" spans="2:16">
      <c r="B52" s="243"/>
      <c r="C52" s="243"/>
      <c r="D52" s="243"/>
      <c r="E52" s="2" t="s">
        <v>254</v>
      </c>
      <c r="F52" s="15">
        <v>2</v>
      </c>
      <c r="G52" s="243"/>
      <c r="H52" s="243"/>
      <c r="I52" s="24"/>
      <c r="J52" s="243"/>
      <c r="K52" s="243"/>
      <c r="L52" s="243"/>
      <c r="M52" s="2" t="s">
        <v>254</v>
      </c>
      <c r="N52" s="14">
        <v>2</v>
      </c>
      <c r="O52" s="243"/>
      <c r="P52" s="243"/>
    </row>
    <row r="53" spans="2:16" ht="14" customHeight="1">
      <c r="B53" s="238"/>
      <c r="C53" s="238"/>
      <c r="D53" s="238"/>
      <c r="E53" s="2" t="s">
        <v>235</v>
      </c>
      <c r="F53" s="15">
        <f>24.4*0.4</f>
        <v>9.76</v>
      </c>
      <c r="G53" s="238"/>
      <c r="H53" s="238"/>
      <c r="I53" s="24"/>
      <c r="J53" s="238"/>
      <c r="K53" s="238"/>
      <c r="L53" s="238"/>
      <c r="M53" s="2" t="s">
        <v>235</v>
      </c>
      <c r="N53" s="14">
        <f>8.2*0.4</f>
        <v>3.28</v>
      </c>
      <c r="O53" s="238"/>
      <c r="P53" s="238"/>
    </row>
    <row r="54" spans="2:16">
      <c r="B54" s="172"/>
      <c r="C54" s="172"/>
      <c r="D54" s="172"/>
      <c r="E54" s="172"/>
      <c r="F54" s="172"/>
      <c r="J54" s="172"/>
      <c r="K54" s="172"/>
      <c r="L54" s="172"/>
      <c r="M54" s="172"/>
      <c r="N54" s="172"/>
    </row>
    <row r="55" spans="2:16">
      <c r="B55" s="172"/>
      <c r="C55" s="172"/>
      <c r="D55" s="172"/>
      <c r="E55" s="172"/>
      <c r="F55" s="172"/>
      <c r="J55" s="172"/>
      <c r="K55" s="172"/>
      <c r="L55" s="172"/>
      <c r="M55" s="172"/>
      <c r="N55" s="172"/>
    </row>
    <row r="56" spans="2:16">
      <c r="B56" s="286" t="s">
        <v>225</v>
      </c>
      <c r="C56" s="232"/>
      <c r="D56" s="232"/>
      <c r="E56" s="232"/>
      <c r="F56" s="233"/>
      <c r="G56" s="150" t="s">
        <v>226</v>
      </c>
      <c r="H56" s="150" t="s">
        <v>248</v>
      </c>
      <c r="J56" s="286" t="s">
        <v>225</v>
      </c>
      <c r="K56" s="232"/>
      <c r="L56" s="232"/>
      <c r="M56" s="232"/>
      <c r="N56" s="233"/>
      <c r="O56" s="150" t="s">
        <v>226</v>
      </c>
      <c r="P56" s="150" t="s">
        <v>248</v>
      </c>
    </row>
    <row r="57" spans="2:16">
      <c r="B57" s="278" t="s">
        <v>176</v>
      </c>
      <c r="C57" s="282" t="s">
        <v>252</v>
      </c>
      <c r="D57" s="278" t="s">
        <v>251</v>
      </c>
      <c r="E57" s="2" t="s">
        <v>163</v>
      </c>
      <c r="F57" s="193">
        <v>0</v>
      </c>
      <c r="G57" s="280">
        <f>F57*F58</f>
        <v>0</v>
      </c>
      <c r="H57" s="283">
        <f>SUM(G57:G65)</f>
        <v>14.48</v>
      </c>
      <c r="J57" s="278" t="s">
        <v>177</v>
      </c>
      <c r="K57" s="282" t="s">
        <v>252</v>
      </c>
      <c r="L57" s="278" t="s">
        <v>251</v>
      </c>
      <c r="M57" s="2" t="s">
        <v>163</v>
      </c>
      <c r="N57" s="14">
        <v>7.04</v>
      </c>
      <c r="O57" s="280">
        <f>N57*N58</f>
        <v>14.08</v>
      </c>
      <c r="P57" s="283">
        <f>SUM(O57:O65)</f>
        <v>24.96</v>
      </c>
    </row>
    <row r="58" spans="2:16">
      <c r="B58" s="243"/>
      <c r="C58" s="243"/>
      <c r="D58" s="238"/>
      <c r="E58" s="2" t="s">
        <v>232</v>
      </c>
      <c r="F58" s="194">
        <v>2</v>
      </c>
      <c r="G58" s="238"/>
      <c r="H58" s="243"/>
      <c r="J58" s="243"/>
      <c r="K58" s="243"/>
      <c r="L58" s="238"/>
      <c r="M58" s="2" t="s">
        <v>232</v>
      </c>
      <c r="N58" s="15">
        <v>2</v>
      </c>
      <c r="O58" s="238"/>
      <c r="P58" s="243"/>
    </row>
    <row r="59" spans="2:16">
      <c r="B59" s="243"/>
      <c r="C59" s="243"/>
      <c r="D59" s="278" t="s">
        <v>253</v>
      </c>
      <c r="E59" s="2" t="s">
        <v>163</v>
      </c>
      <c r="F59" s="194">
        <v>0</v>
      </c>
      <c r="G59" s="280">
        <f>F59*F60</f>
        <v>0</v>
      </c>
      <c r="H59" s="243"/>
      <c r="J59" s="243"/>
      <c r="K59" s="243"/>
      <c r="L59" s="278" t="s">
        <v>253</v>
      </c>
      <c r="M59" s="2" t="s">
        <v>163</v>
      </c>
      <c r="N59" s="15">
        <v>5.44</v>
      </c>
      <c r="O59" s="280">
        <f>N59*N60</f>
        <v>10.88</v>
      </c>
      <c r="P59" s="243"/>
    </row>
    <row r="60" spans="2:16">
      <c r="B60" s="243"/>
      <c r="C60" s="238"/>
      <c r="D60" s="238"/>
      <c r="E60" s="2" t="s">
        <v>254</v>
      </c>
      <c r="F60" s="194">
        <v>2</v>
      </c>
      <c r="G60" s="238"/>
      <c r="H60" s="243"/>
      <c r="J60" s="243"/>
      <c r="K60" s="238"/>
      <c r="L60" s="238"/>
      <c r="M60" s="2" t="s">
        <v>254</v>
      </c>
      <c r="N60" s="15">
        <v>2</v>
      </c>
      <c r="O60" s="238"/>
      <c r="P60" s="243"/>
    </row>
    <row r="61" spans="2:16">
      <c r="B61" s="243"/>
      <c r="C61" s="281" t="s">
        <v>255</v>
      </c>
      <c r="D61" s="278" t="s">
        <v>256</v>
      </c>
      <c r="E61" s="2" t="s">
        <v>163</v>
      </c>
      <c r="F61" s="14">
        <v>3.62</v>
      </c>
      <c r="G61" s="280">
        <f>F61*F62</f>
        <v>7.24</v>
      </c>
      <c r="H61" s="243"/>
      <c r="J61" s="243"/>
      <c r="K61" s="281" t="s">
        <v>255</v>
      </c>
      <c r="L61" s="278" t="s">
        <v>256</v>
      </c>
      <c r="M61" s="2" t="s">
        <v>163</v>
      </c>
      <c r="N61" s="193">
        <v>0</v>
      </c>
      <c r="O61" s="280">
        <f>N61*N62</f>
        <v>0</v>
      </c>
      <c r="P61" s="243"/>
    </row>
    <row r="62" spans="2:16">
      <c r="B62" s="243"/>
      <c r="C62" s="243"/>
      <c r="D62" s="238"/>
      <c r="E62" s="2" t="s">
        <v>232</v>
      </c>
      <c r="F62" s="14">
        <v>2</v>
      </c>
      <c r="G62" s="238"/>
      <c r="H62" s="243"/>
      <c r="J62" s="243"/>
      <c r="K62" s="243"/>
      <c r="L62" s="238"/>
      <c r="M62" s="2" t="s">
        <v>232</v>
      </c>
      <c r="N62" s="193">
        <v>2</v>
      </c>
      <c r="O62" s="238"/>
      <c r="P62" s="243"/>
    </row>
    <row r="63" spans="2:16">
      <c r="B63" s="243"/>
      <c r="C63" s="243"/>
      <c r="D63" s="278" t="s">
        <v>253</v>
      </c>
      <c r="E63" s="2" t="s">
        <v>163</v>
      </c>
      <c r="F63" s="14">
        <v>2.2200000000000002</v>
      </c>
      <c r="G63" s="280">
        <f>F63*F64+F65</f>
        <v>7.24</v>
      </c>
      <c r="H63" s="243"/>
      <c r="J63" s="243"/>
      <c r="K63" s="243"/>
      <c r="L63" s="278" t="s">
        <v>253</v>
      </c>
      <c r="M63" s="2" t="s">
        <v>163</v>
      </c>
      <c r="N63" s="193">
        <v>0</v>
      </c>
      <c r="O63" s="280">
        <f>N63*N64+N65</f>
        <v>0</v>
      </c>
      <c r="P63" s="243"/>
    </row>
    <row r="64" spans="2:16">
      <c r="B64" s="243"/>
      <c r="C64" s="243"/>
      <c r="D64" s="243"/>
      <c r="E64" s="2" t="s">
        <v>254</v>
      </c>
      <c r="F64" s="14">
        <v>2</v>
      </c>
      <c r="G64" s="243"/>
      <c r="H64" s="243"/>
      <c r="J64" s="243"/>
      <c r="K64" s="243"/>
      <c r="L64" s="243"/>
      <c r="M64" s="2" t="s">
        <v>254</v>
      </c>
      <c r="N64" s="193">
        <v>2</v>
      </c>
      <c r="O64" s="243"/>
      <c r="P64" s="243"/>
    </row>
    <row r="65" spans="2:16" ht="14" customHeight="1">
      <c r="B65" s="238"/>
      <c r="C65" s="238"/>
      <c r="D65" s="238"/>
      <c r="E65" s="2" t="s">
        <v>235</v>
      </c>
      <c r="F65" s="14">
        <f>7*0.4</f>
        <v>2.8000000000000003</v>
      </c>
      <c r="G65" s="238"/>
      <c r="H65" s="238"/>
      <c r="J65" s="238"/>
      <c r="K65" s="238"/>
      <c r="L65" s="238"/>
      <c r="M65" s="2" t="s">
        <v>235</v>
      </c>
      <c r="N65" s="193">
        <v>0</v>
      </c>
      <c r="O65" s="238"/>
      <c r="P65" s="238"/>
    </row>
    <row r="66" spans="2:16">
      <c r="B66" s="172"/>
      <c r="C66" s="172"/>
      <c r="D66" s="172"/>
      <c r="E66" s="172"/>
      <c r="F66" s="172"/>
      <c r="J66" s="172"/>
      <c r="K66" s="172"/>
      <c r="L66" s="172"/>
      <c r="M66" s="172"/>
      <c r="N66" s="172"/>
    </row>
    <row r="67" spans="2:16">
      <c r="B67" s="172"/>
      <c r="C67" s="172"/>
      <c r="D67" s="172"/>
      <c r="E67" s="172"/>
      <c r="F67" s="172"/>
      <c r="J67" s="172"/>
      <c r="K67" s="172"/>
      <c r="L67" s="172"/>
      <c r="M67" s="172"/>
      <c r="N67" s="172"/>
    </row>
    <row r="68" spans="2:16">
      <c r="B68" s="286" t="s">
        <v>225</v>
      </c>
      <c r="C68" s="232"/>
      <c r="D68" s="232"/>
      <c r="E68" s="232"/>
      <c r="F68" s="233"/>
      <c r="G68" s="150" t="s">
        <v>226</v>
      </c>
      <c r="H68" s="150" t="s">
        <v>248</v>
      </c>
      <c r="J68" s="286" t="s">
        <v>225</v>
      </c>
      <c r="K68" s="232"/>
      <c r="L68" s="232"/>
      <c r="M68" s="232"/>
      <c r="N68" s="233"/>
      <c r="O68" s="150" t="s">
        <v>226</v>
      </c>
      <c r="P68" s="150" t="s">
        <v>248</v>
      </c>
    </row>
    <row r="69" spans="2:16">
      <c r="B69" s="278" t="s">
        <v>178</v>
      </c>
      <c r="C69" s="282" t="s">
        <v>252</v>
      </c>
      <c r="D69" s="278" t="s">
        <v>251</v>
      </c>
      <c r="E69" s="2" t="s">
        <v>163</v>
      </c>
      <c r="F69" s="15">
        <v>34.950000000000003</v>
      </c>
      <c r="G69" s="280">
        <f>F69*F70</f>
        <v>69.900000000000006</v>
      </c>
      <c r="H69" s="283">
        <f>SUM(G69:G77)</f>
        <v>150.624</v>
      </c>
      <c r="J69" s="278" t="s">
        <v>179</v>
      </c>
      <c r="K69" s="282" t="s">
        <v>252</v>
      </c>
      <c r="L69" s="278" t="s">
        <v>251</v>
      </c>
      <c r="M69" s="2" t="s">
        <v>163</v>
      </c>
      <c r="N69" s="14">
        <v>27.87</v>
      </c>
      <c r="O69" s="280">
        <f>N69*N70</f>
        <v>55.74</v>
      </c>
      <c r="P69" s="283">
        <f>SUM(O69:O77)</f>
        <v>271.77600000000001</v>
      </c>
    </row>
    <row r="70" spans="2:16">
      <c r="B70" s="243"/>
      <c r="C70" s="243"/>
      <c r="D70" s="238"/>
      <c r="E70" s="2" t="s">
        <v>232</v>
      </c>
      <c r="F70" s="16">
        <v>2</v>
      </c>
      <c r="G70" s="238"/>
      <c r="H70" s="243"/>
      <c r="J70" s="243"/>
      <c r="K70" s="243"/>
      <c r="L70" s="238"/>
      <c r="M70" s="2" t="s">
        <v>232</v>
      </c>
      <c r="N70" s="16">
        <v>2</v>
      </c>
      <c r="O70" s="238"/>
      <c r="P70" s="243"/>
    </row>
    <row r="71" spans="2:16">
      <c r="B71" s="243"/>
      <c r="C71" s="243"/>
      <c r="D71" s="278" t="s">
        <v>253</v>
      </c>
      <c r="E71" s="2" t="s">
        <v>163</v>
      </c>
      <c r="F71" s="16">
        <v>28.67</v>
      </c>
      <c r="G71" s="280">
        <f>F71*F72</f>
        <v>57.34</v>
      </c>
      <c r="H71" s="243"/>
      <c r="J71" s="243"/>
      <c r="K71" s="243"/>
      <c r="L71" s="278" t="s">
        <v>253</v>
      </c>
      <c r="M71" s="2" t="s">
        <v>163</v>
      </c>
      <c r="N71" s="151">
        <v>22.62</v>
      </c>
      <c r="O71" s="280">
        <f>N71*N72</f>
        <v>45.24</v>
      </c>
      <c r="P71" s="243"/>
    </row>
    <row r="72" spans="2:16">
      <c r="B72" s="243"/>
      <c r="C72" s="238"/>
      <c r="D72" s="238"/>
      <c r="E72" s="2" t="s">
        <v>254</v>
      </c>
      <c r="F72" s="16">
        <v>2</v>
      </c>
      <c r="G72" s="238"/>
      <c r="H72" s="243"/>
      <c r="J72" s="243"/>
      <c r="K72" s="238"/>
      <c r="L72" s="238"/>
      <c r="M72" s="2" t="s">
        <v>254</v>
      </c>
      <c r="N72" s="16">
        <v>2</v>
      </c>
      <c r="O72" s="238"/>
      <c r="P72" s="243"/>
    </row>
    <row r="73" spans="2:16">
      <c r="B73" s="243"/>
      <c r="C73" s="281" t="s">
        <v>255</v>
      </c>
      <c r="D73" s="278" t="s">
        <v>256</v>
      </c>
      <c r="E73" s="2" t="s">
        <v>163</v>
      </c>
      <c r="F73" s="14">
        <v>6.07</v>
      </c>
      <c r="G73" s="280">
        <f>F73*F74</f>
        <v>12.14</v>
      </c>
      <c r="H73" s="243"/>
      <c r="J73" s="243"/>
      <c r="K73" s="281" t="s">
        <v>255</v>
      </c>
      <c r="L73" s="278" t="s">
        <v>256</v>
      </c>
      <c r="M73" s="2" t="s">
        <v>163</v>
      </c>
      <c r="N73" s="15">
        <v>42.7</v>
      </c>
      <c r="O73" s="280">
        <f>N73*N74</f>
        <v>85.4</v>
      </c>
      <c r="P73" s="243"/>
    </row>
    <row r="74" spans="2:16">
      <c r="B74" s="243"/>
      <c r="C74" s="243"/>
      <c r="D74" s="238"/>
      <c r="E74" s="2" t="s">
        <v>232</v>
      </c>
      <c r="F74" s="14">
        <v>2</v>
      </c>
      <c r="G74" s="238"/>
      <c r="H74" s="243"/>
      <c r="J74" s="243"/>
      <c r="K74" s="243"/>
      <c r="L74" s="238"/>
      <c r="M74" s="2" t="s">
        <v>232</v>
      </c>
      <c r="N74" s="15">
        <v>2</v>
      </c>
      <c r="O74" s="238"/>
      <c r="P74" s="243"/>
    </row>
    <row r="75" spans="2:16">
      <c r="B75" s="243"/>
      <c r="C75" s="243"/>
      <c r="D75" s="278" t="s">
        <v>253</v>
      </c>
      <c r="E75" s="2" t="s">
        <v>163</v>
      </c>
      <c r="F75" s="14">
        <v>4.33</v>
      </c>
      <c r="G75" s="280">
        <f>F75*F76+F77</f>
        <v>11.244</v>
      </c>
      <c r="H75" s="243"/>
      <c r="J75" s="243"/>
      <c r="K75" s="243"/>
      <c r="L75" s="278" t="s">
        <v>253</v>
      </c>
      <c r="M75" s="2" t="s">
        <v>163</v>
      </c>
      <c r="N75" s="15">
        <v>31.37</v>
      </c>
      <c r="O75" s="280">
        <f>N75*N76+N77</f>
        <v>85.396000000000001</v>
      </c>
      <c r="P75" s="243"/>
    </row>
    <row r="76" spans="2:16">
      <c r="B76" s="243"/>
      <c r="C76" s="243"/>
      <c r="D76" s="243"/>
      <c r="E76" s="2" t="s">
        <v>254</v>
      </c>
      <c r="F76" s="14">
        <v>2</v>
      </c>
      <c r="G76" s="243"/>
      <c r="H76" s="243"/>
      <c r="J76" s="243"/>
      <c r="K76" s="243"/>
      <c r="L76" s="243"/>
      <c r="M76" s="2" t="s">
        <v>254</v>
      </c>
      <c r="N76" s="15">
        <v>2</v>
      </c>
      <c r="O76" s="243"/>
      <c r="P76" s="243"/>
    </row>
    <row r="77" spans="2:16" ht="14" customHeight="1">
      <c r="B77" s="238"/>
      <c r="C77" s="238"/>
      <c r="D77" s="238"/>
      <c r="E77" s="2" t="s">
        <v>235</v>
      </c>
      <c r="F77" s="14">
        <f>6.46*0.4</f>
        <v>2.5840000000000001</v>
      </c>
      <c r="G77" s="238"/>
      <c r="H77" s="238"/>
      <c r="J77" s="238"/>
      <c r="K77" s="238"/>
      <c r="L77" s="238"/>
      <c r="M77" s="2" t="s">
        <v>235</v>
      </c>
      <c r="N77" s="15">
        <f>56.64*0.4</f>
        <v>22.656000000000002</v>
      </c>
      <c r="O77" s="238"/>
      <c r="P77" s="238"/>
    </row>
    <row r="78" spans="2:16">
      <c r="B78" s="172"/>
      <c r="C78" s="172"/>
      <c r="D78" s="172"/>
      <c r="E78" s="172"/>
      <c r="F78" s="172"/>
    </row>
    <row r="79" spans="2:16">
      <c r="B79" s="172"/>
      <c r="C79" s="172"/>
      <c r="D79" s="172"/>
      <c r="E79" s="172"/>
      <c r="F79" s="172"/>
    </row>
  </sheetData>
  <mergeCells count="162">
    <mergeCell ref="B2:P2"/>
    <mergeCell ref="B57:B65"/>
    <mergeCell ref="G57:G58"/>
    <mergeCell ref="L47:L48"/>
    <mergeCell ref="C6:P6"/>
    <mergeCell ref="G51:G53"/>
    <mergeCell ref="B22:F22"/>
    <mergeCell ref="G63:G65"/>
    <mergeCell ref="B34:B42"/>
    <mergeCell ref="G34:G35"/>
    <mergeCell ref="O16:O17"/>
    <mergeCell ref="H57:H65"/>
    <mergeCell ref="D63:D65"/>
    <mergeCell ref="P12:P20"/>
    <mergeCell ref="L23:L24"/>
    <mergeCell ref="O59:O60"/>
    <mergeCell ref="O18:O20"/>
    <mergeCell ref="G14:G15"/>
    <mergeCell ref="C49:C53"/>
    <mergeCell ref="D40:D42"/>
    <mergeCell ref="K16:K20"/>
    <mergeCell ref="O61:O62"/>
    <mergeCell ref="B45:B53"/>
    <mergeCell ref="G45:G46"/>
    <mergeCell ref="C23:C26"/>
    <mergeCell ref="D14:D15"/>
    <mergeCell ref="J56:N56"/>
    <mergeCell ref="G71:G72"/>
    <mergeCell ref="L61:L62"/>
    <mergeCell ref="J23:J31"/>
    <mergeCell ref="O38:O39"/>
    <mergeCell ref="L36:L37"/>
    <mergeCell ref="P34:P42"/>
    <mergeCell ref="J33:N33"/>
    <mergeCell ref="O40:O42"/>
    <mergeCell ref="G18:G20"/>
    <mergeCell ref="J68:N68"/>
    <mergeCell ref="G59:G60"/>
    <mergeCell ref="O14:O15"/>
    <mergeCell ref="L49:L50"/>
    <mergeCell ref="L27:L28"/>
    <mergeCell ref="P45:P53"/>
    <mergeCell ref="L18:L20"/>
    <mergeCell ref="G47:G48"/>
    <mergeCell ref="B33:F33"/>
    <mergeCell ref="C69:C72"/>
    <mergeCell ref="O29:O31"/>
    <mergeCell ref="D69:D70"/>
    <mergeCell ref="D18:D20"/>
    <mergeCell ref="P23:P31"/>
    <mergeCell ref="D57:D58"/>
    <mergeCell ref="G75:G77"/>
    <mergeCell ref="D51:D53"/>
    <mergeCell ref="O25:O26"/>
    <mergeCell ref="H12:H20"/>
    <mergeCell ref="J12:J20"/>
    <mergeCell ref="O12:O13"/>
    <mergeCell ref="K12:K15"/>
    <mergeCell ref="L25:L26"/>
    <mergeCell ref="L69:L70"/>
    <mergeCell ref="K23:K26"/>
    <mergeCell ref="L59:L60"/>
    <mergeCell ref="G16:G17"/>
    <mergeCell ref="L73:L74"/>
    <mergeCell ref="L51:L53"/>
    <mergeCell ref="D59:D60"/>
    <mergeCell ref="B8:P9"/>
    <mergeCell ref="L34:L35"/>
    <mergeCell ref="D25:D26"/>
    <mergeCell ref="O73:O74"/>
    <mergeCell ref="G25:G26"/>
    <mergeCell ref="H23:H31"/>
    <mergeCell ref="O23:O24"/>
    <mergeCell ref="B68:F68"/>
    <mergeCell ref="K57:K60"/>
    <mergeCell ref="J57:J65"/>
    <mergeCell ref="O57:O58"/>
    <mergeCell ref="G27:G28"/>
    <mergeCell ref="D23:D24"/>
    <mergeCell ref="O63:O65"/>
    <mergeCell ref="J34:J42"/>
    <mergeCell ref="K34:K37"/>
    <mergeCell ref="O34:O35"/>
    <mergeCell ref="L29:L31"/>
    <mergeCell ref="O49:O50"/>
    <mergeCell ref="G61:G62"/>
    <mergeCell ref="J44:N44"/>
    <mergeCell ref="L71:L72"/>
    <mergeCell ref="H69:H77"/>
    <mergeCell ref="O69:O70"/>
    <mergeCell ref="P69:P77"/>
    <mergeCell ref="D38:D39"/>
    <mergeCell ref="B12:B20"/>
    <mergeCell ref="G12:G13"/>
    <mergeCell ref="J69:J77"/>
    <mergeCell ref="C34:C37"/>
    <mergeCell ref="C16:C20"/>
    <mergeCell ref="K69:K72"/>
    <mergeCell ref="L16:L17"/>
    <mergeCell ref="D34:D35"/>
    <mergeCell ref="G36:G37"/>
    <mergeCell ref="L57:L58"/>
    <mergeCell ref="H34:H42"/>
    <mergeCell ref="O75:O77"/>
    <mergeCell ref="D49:D50"/>
    <mergeCell ref="K45:K48"/>
    <mergeCell ref="D27:D28"/>
    <mergeCell ref="G23:G24"/>
    <mergeCell ref="B23:B31"/>
    <mergeCell ref="K61:K65"/>
    <mergeCell ref="C61:C65"/>
    <mergeCell ref="L63:L65"/>
    <mergeCell ref="G29:G31"/>
    <mergeCell ref="H45:H53"/>
    <mergeCell ref="L75:L77"/>
    <mergeCell ref="K49:K53"/>
    <mergeCell ref="J11:N11"/>
    <mergeCell ref="L38:L39"/>
    <mergeCell ref="D73:D74"/>
    <mergeCell ref="O27:O28"/>
    <mergeCell ref="C57:C60"/>
    <mergeCell ref="J22:N22"/>
    <mergeCell ref="C73:C77"/>
    <mergeCell ref="O36:O37"/>
    <mergeCell ref="B56:F56"/>
    <mergeCell ref="J45:J53"/>
    <mergeCell ref="O45:O46"/>
    <mergeCell ref="O47:O48"/>
    <mergeCell ref="C12:C15"/>
    <mergeCell ref="D12:D13"/>
    <mergeCell ref="G73:G74"/>
    <mergeCell ref="O71:O72"/>
    <mergeCell ref="K27:K31"/>
    <mergeCell ref="B69:B77"/>
    <mergeCell ref="G69:G70"/>
    <mergeCell ref="C27:C31"/>
    <mergeCell ref="G38:G39"/>
    <mergeCell ref="L40:L42"/>
    <mergeCell ref="D75:D77"/>
    <mergeCell ref="C3:P3"/>
    <mergeCell ref="L12:L13"/>
    <mergeCell ref="D61:D62"/>
    <mergeCell ref="O51:O53"/>
    <mergeCell ref="C5:P5"/>
    <mergeCell ref="K73:K77"/>
    <mergeCell ref="C45:C48"/>
    <mergeCell ref="D36:D37"/>
    <mergeCell ref="D45:D46"/>
    <mergeCell ref="L14:L15"/>
    <mergeCell ref="G40:G42"/>
    <mergeCell ref="P57:P65"/>
    <mergeCell ref="C4:P4"/>
    <mergeCell ref="B11:F11"/>
    <mergeCell ref="K38:K42"/>
    <mergeCell ref="C38:C42"/>
    <mergeCell ref="D29:D31"/>
    <mergeCell ref="D47:D48"/>
    <mergeCell ref="D16:D17"/>
    <mergeCell ref="G49:G50"/>
    <mergeCell ref="L45:L46"/>
    <mergeCell ref="B44:F44"/>
    <mergeCell ref="D71:D72"/>
  </mergeCells>
  <pageMargins left="0.35433070866141742" right="0.11811023622047249" top="1.1417322834645669" bottom="0.35433070866141742" header="0.19685039370078741" footer="0.31496062992125978"/>
  <pageSetup paperSize="9" scale="46" orientation="portrait"/>
  <headerFooter>
    <oddHeader>&amp;C&amp;G</oddHeader>
  </headerFooter>
  <rowBreaks count="1" manualBreakCount="1">
    <brk id="80" max="15" man="1"/>
  </rowBreaks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B1:R44"/>
  <sheetViews>
    <sheetView zoomScale="115" zoomScaleNormal="115" zoomScaleSheetLayoutView="115" workbookViewId="0">
      <selection activeCell="N42" sqref="N42"/>
    </sheetView>
  </sheetViews>
  <sheetFormatPr baseColWidth="10" defaultRowHeight="15.5"/>
  <cols>
    <col min="1" max="1" width="3.453125" style="6" customWidth="1"/>
    <col min="2" max="2" width="19.1796875" style="6" customWidth="1"/>
    <col min="3" max="3" width="16.26953125" style="6" customWidth="1"/>
    <col min="4" max="4" width="13.08984375" style="6" customWidth="1"/>
    <col min="5" max="5" width="12.90625" style="6" customWidth="1"/>
    <col min="6" max="6" width="8.7265625" style="6" customWidth="1"/>
    <col min="7" max="7" width="12.08984375" style="6" customWidth="1"/>
    <col min="8" max="8" width="8.54296875" style="6" customWidth="1"/>
    <col min="9" max="9" width="7.81640625" style="6" customWidth="1"/>
    <col min="10" max="10" width="12.08984375" style="6" customWidth="1"/>
    <col min="11" max="11" width="9.6328125" style="6" customWidth="1"/>
    <col min="12" max="12" width="8.453125" style="6" customWidth="1"/>
    <col min="13" max="13" width="12.26953125" style="6" customWidth="1"/>
    <col min="14" max="14" width="10.1796875" style="6" customWidth="1"/>
    <col min="15" max="15" width="8.36328125" style="6" customWidth="1"/>
    <col min="16" max="17" width="10.90625" style="6" customWidth="1"/>
    <col min="18" max="16384" width="10.90625" style="6"/>
  </cols>
  <sheetData>
    <row r="1" spans="2:18" ht="14.5" customHeight="1"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</row>
    <row r="2" spans="2:18" ht="24.5" customHeight="1">
      <c r="B2" s="298" t="s">
        <v>257</v>
      </c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</row>
    <row r="3" spans="2:18" ht="21" customHeight="1">
      <c r="B3" s="96" t="s">
        <v>1</v>
      </c>
      <c r="C3" s="231" t="str">
        <f>+RESUMEN!B4</f>
        <v>GERENCIA TERRITORIAL BAJO MAYO - TARAPOTO</v>
      </c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3"/>
    </row>
    <row r="4" spans="2:18" ht="42" customHeight="1">
      <c r="B4" s="96" t="s">
        <v>3</v>
      </c>
      <c r="C4" s="231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3"/>
    </row>
    <row r="5" spans="2:18" ht="31" customHeight="1">
      <c r="B5" s="96" t="s">
        <v>5</v>
      </c>
      <c r="C5" s="231" t="str">
        <f>+RESUMEN!B6</f>
        <v>SAN MARTIN - SAN MARTIN - MORALES</v>
      </c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3"/>
    </row>
    <row r="6" spans="2:18" ht="19" customHeight="1">
      <c r="B6" s="96" t="s">
        <v>7</v>
      </c>
      <c r="C6" s="235">
        <f>+RESUMEN!B7</f>
        <v>46266</v>
      </c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2"/>
      <c r="P6" s="232"/>
      <c r="Q6" s="232"/>
      <c r="R6" s="233"/>
    </row>
    <row r="7" spans="2:18">
      <c r="B7" s="61"/>
      <c r="C7" s="299"/>
      <c r="D7" s="296"/>
      <c r="E7" s="296"/>
      <c r="F7" s="296"/>
      <c r="G7" s="296"/>
      <c r="H7" s="296"/>
      <c r="I7" s="296"/>
      <c r="J7" s="296"/>
      <c r="K7" s="296"/>
      <c r="L7" s="296"/>
      <c r="M7" s="296"/>
      <c r="N7" s="296"/>
      <c r="O7" s="296"/>
      <c r="P7" s="296"/>
      <c r="Q7" s="296"/>
      <c r="R7" s="296"/>
    </row>
    <row r="9" spans="2:18" ht="16.5" customHeight="1">
      <c r="C9" s="247" t="s">
        <v>258</v>
      </c>
      <c r="D9" s="247" t="s">
        <v>259</v>
      </c>
      <c r="E9" s="232"/>
      <c r="F9" s="233"/>
      <c r="G9" s="247" t="s">
        <v>260</v>
      </c>
      <c r="H9" s="232"/>
      <c r="I9" s="233"/>
      <c r="J9" s="247" t="s">
        <v>261</v>
      </c>
      <c r="K9" s="232"/>
      <c r="L9" s="233"/>
      <c r="M9" s="247" t="s">
        <v>262</v>
      </c>
      <c r="N9" s="232"/>
      <c r="O9" s="233"/>
      <c r="P9" s="247" t="s">
        <v>263</v>
      </c>
      <c r="Q9" s="232"/>
      <c r="R9" s="233"/>
    </row>
    <row r="10" spans="2:18" ht="31" customHeight="1">
      <c r="C10" s="238"/>
      <c r="D10" s="18" t="s">
        <v>264</v>
      </c>
      <c r="E10" s="18" t="s">
        <v>234</v>
      </c>
      <c r="F10" s="7" t="s">
        <v>265</v>
      </c>
      <c r="G10" s="18" t="s">
        <v>254</v>
      </c>
      <c r="H10" s="18" t="s">
        <v>264</v>
      </c>
      <c r="I10" s="7" t="s">
        <v>266</v>
      </c>
      <c r="J10" s="18" t="s">
        <v>254</v>
      </c>
      <c r="K10" s="18" t="s">
        <v>264</v>
      </c>
      <c r="L10" s="7" t="s">
        <v>266</v>
      </c>
      <c r="M10" s="18" t="s">
        <v>254</v>
      </c>
      <c r="N10" s="18" t="s">
        <v>264</v>
      </c>
      <c r="O10" s="7" t="s">
        <v>266</v>
      </c>
      <c r="P10" s="18" t="s">
        <v>254</v>
      </c>
      <c r="Q10" s="18" t="s">
        <v>264</v>
      </c>
      <c r="R10" s="7" t="s">
        <v>266</v>
      </c>
    </row>
    <row r="11" spans="2:18" ht="23.5" customHeight="1">
      <c r="B11" s="8" t="s">
        <v>267</v>
      </c>
      <c r="C11" s="1"/>
      <c r="D11" s="1"/>
      <c r="E11" s="1"/>
      <c r="F11" s="10"/>
      <c r="G11" s="1"/>
      <c r="H11" s="1"/>
      <c r="I11" s="10"/>
      <c r="J11" s="1"/>
      <c r="K11" s="1"/>
      <c r="L11" s="10"/>
      <c r="M11" s="1"/>
      <c r="N11" s="1"/>
      <c r="O11" s="10"/>
      <c r="P11"/>
    </row>
    <row r="12" spans="2:18" ht="23.5" customHeight="1">
      <c r="B12" s="11" t="s">
        <v>268</v>
      </c>
      <c r="C12" s="1">
        <v>3</v>
      </c>
      <c r="D12" s="1">
        <f>C12</f>
        <v>3</v>
      </c>
      <c r="E12" s="1">
        <v>5.9</v>
      </c>
      <c r="F12" s="7">
        <f>E12*D12</f>
        <v>17.700000000000003</v>
      </c>
      <c r="G12" s="1">
        <v>3</v>
      </c>
      <c r="H12" s="1">
        <f>C12</f>
        <v>3</v>
      </c>
      <c r="I12" s="7">
        <f>H12*G12</f>
        <v>9</v>
      </c>
      <c r="J12" s="1">
        <f>MAX(1,ROUNDDOWN(E12/4,0))</f>
        <v>1</v>
      </c>
      <c r="K12" s="1">
        <f>C12</f>
        <v>3</v>
      </c>
      <c r="L12" s="7">
        <f>K12*J12</f>
        <v>3</v>
      </c>
      <c r="M12" s="1">
        <v>2</v>
      </c>
      <c r="N12" s="1">
        <f>C12</f>
        <v>3</v>
      </c>
      <c r="O12" s="7">
        <f>N12*M12</f>
        <v>6</v>
      </c>
      <c r="P12" s="21"/>
      <c r="Q12" s="21"/>
      <c r="R12" s="22">
        <f>Q12*P12</f>
        <v>0</v>
      </c>
    </row>
    <row r="13" spans="2:18" ht="23.5" customHeight="1">
      <c r="B13" s="11" t="s">
        <v>269</v>
      </c>
      <c r="C13" s="1">
        <v>3</v>
      </c>
      <c r="D13" s="1">
        <f>C13</f>
        <v>3</v>
      </c>
      <c r="E13" s="1">
        <v>5.9</v>
      </c>
      <c r="F13" s="7">
        <f>E13*D13</f>
        <v>17.700000000000003</v>
      </c>
      <c r="G13" s="1">
        <v>3</v>
      </c>
      <c r="H13" s="1">
        <f>C13</f>
        <v>3</v>
      </c>
      <c r="I13" s="7">
        <f>H13*G13</f>
        <v>9</v>
      </c>
      <c r="J13" s="1">
        <f>MAX(1,ROUNDDOWN(E13/4,0))</f>
        <v>1</v>
      </c>
      <c r="K13" s="1">
        <f>C13</f>
        <v>3</v>
      </c>
      <c r="L13" s="7">
        <f>K13*J13</f>
        <v>3</v>
      </c>
      <c r="M13" s="1">
        <v>2</v>
      </c>
      <c r="N13" s="1">
        <f>C13</f>
        <v>3</v>
      </c>
      <c r="O13" s="7">
        <f>N13*M13</f>
        <v>6</v>
      </c>
      <c r="P13" s="21"/>
      <c r="Q13" s="21"/>
      <c r="R13" s="22">
        <f>Q13*P13</f>
        <v>0</v>
      </c>
    </row>
    <row r="14" spans="2:18" ht="23.5" customHeight="1">
      <c r="B14" s="8" t="s">
        <v>270</v>
      </c>
      <c r="C14" s="1"/>
      <c r="D14" s="1"/>
      <c r="E14" s="1"/>
      <c r="F14" s="10"/>
      <c r="G14" s="1"/>
      <c r="H14" s="1"/>
      <c r="I14" s="10"/>
      <c r="J14" s="1"/>
      <c r="K14" s="1"/>
      <c r="L14" s="10"/>
      <c r="M14" s="1"/>
      <c r="N14" s="1"/>
      <c r="O14" s="10"/>
      <c r="P14" s="21"/>
      <c r="Q14" s="21"/>
      <c r="R14" s="23"/>
    </row>
    <row r="15" spans="2:18" ht="23.5" customHeight="1">
      <c r="B15" s="11" t="s">
        <v>268</v>
      </c>
      <c r="C15" s="1">
        <v>2</v>
      </c>
      <c r="D15" s="1">
        <f>C15</f>
        <v>2</v>
      </c>
      <c r="E15" s="1">
        <v>6.27</v>
      </c>
      <c r="F15" s="7">
        <f>E15*D15</f>
        <v>12.54</v>
      </c>
      <c r="G15" s="1">
        <v>3</v>
      </c>
      <c r="H15" s="1">
        <f>C15</f>
        <v>2</v>
      </c>
      <c r="I15" s="7">
        <f>H15*G15</f>
        <v>6</v>
      </c>
      <c r="J15" s="1">
        <f>MAX(1,ROUNDDOWN(E15/4,0))</f>
        <v>1</v>
      </c>
      <c r="K15" s="1">
        <f>C15</f>
        <v>2</v>
      </c>
      <c r="L15" s="7">
        <f>K15*J15</f>
        <v>2</v>
      </c>
      <c r="M15" s="1">
        <v>2</v>
      </c>
      <c r="N15" s="1">
        <f>C15</f>
        <v>2</v>
      </c>
      <c r="O15" s="7">
        <f>N15*M15</f>
        <v>4</v>
      </c>
      <c r="P15" s="21"/>
      <c r="Q15" s="21"/>
      <c r="R15" s="22">
        <f>Q15*P15</f>
        <v>0</v>
      </c>
    </row>
    <row r="16" spans="2:18" ht="23.5" customHeight="1">
      <c r="B16" s="11" t="s">
        <v>269</v>
      </c>
      <c r="C16" s="1">
        <v>2</v>
      </c>
      <c r="D16" s="1">
        <f>C16</f>
        <v>2</v>
      </c>
      <c r="E16" s="1">
        <v>6.27</v>
      </c>
      <c r="F16" s="7">
        <f>E16*D16</f>
        <v>12.54</v>
      </c>
      <c r="G16" s="1">
        <v>3</v>
      </c>
      <c r="H16" s="1">
        <f>C16</f>
        <v>2</v>
      </c>
      <c r="I16" s="7">
        <f>H16*G16</f>
        <v>6</v>
      </c>
      <c r="J16" s="1">
        <f>MAX(1,ROUNDDOWN(E16/4,0))</f>
        <v>1</v>
      </c>
      <c r="K16" s="1">
        <f>C16</f>
        <v>2</v>
      </c>
      <c r="L16" s="7">
        <f>K16*J16</f>
        <v>2</v>
      </c>
      <c r="M16" s="1">
        <v>2</v>
      </c>
      <c r="N16" s="1">
        <f>C16</f>
        <v>2</v>
      </c>
      <c r="O16" s="7">
        <f>N16*M16</f>
        <v>4</v>
      </c>
      <c r="P16" s="21"/>
      <c r="Q16" s="21"/>
      <c r="R16" s="22">
        <f>Q16*P16</f>
        <v>0</v>
      </c>
    </row>
    <row r="17" spans="2:18" ht="23.5" customHeight="1">
      <c r="B17" s="8" t="s">
        <v>271</v>
      </c>
      <c r="C17" s="1"/>
      <c r="D17" s="1"/>
      <c r="E17" s="1"/>
      <c r="F17" s="10"/>
      <c r="G17" s="1"/>
      <c r="H17" s="1"/>
      <c r="I17" s="10"/>
      <c r="J17" s="1"/>
      <c r="K17" s="12"/>
      <c r="L17" s="10"/>
      <c r="M17" s="1"/>
      <c r="N17" s="1"/>
      <c r="O17" s="10"/>
      <c r="P17" s="21"/>
      <c r="Q17" s="21"/>
      <c r="R17" s="23"/>
    </row>
    <row r="18" spans="2:18" ht="23.5" customHeight="1">
      <c r="B18" s="11" t="s">
        <v>268</v>
      </c>
      <c r="C18" s="1">
        <v>2</v>
      </c>
      <c r="D18" s="1">
        <f>C18</f>
        <v>2</v>
      </c>
      <c r="E18" s="1">
        <v>6.35</v>
      </c>
      <c r="F18" s="7">
        <f>E18*D18</f>
        <v>12.7</v>
      </c>
      <c r="G18" s="1">
        <v>3</v>
      </c>
      <c r="H18" s="1">
        <f>C18</f>
        <v>2</v>
      </c>
      <c r="I18" s="7">
        <f>H18*G18</f>
        <v>6</v>
      </c>
      <c r="J18" s="1">
        <f>MAX(1,ROUNDDOWN(E18/4,0))</f>
        <v>1</v>
      </c>
      <c r="K18" s="1">
        <f>C18</f>
        <v>2</v>
      </c>
      <c r="L18" s="7">
        <f>K18*J18</f>
        <v>2</v>
      </c>
      <c r="M18" s="1">
        <v>2</v>
      </c>
      <c r="N18" s="1">
        <f>C18</f>
        <v>2</v>
      </c>
      <c r="O18" s="7">
        <f>N18*M18</f>
        <v>4</v>
      </c>
      <c r="P18" s="21"/>
      <c r="Q18" s="21"/>
      <c r="R18" s="22">
        <f>Q18*P18</f>
        <v>0</v>
      </c>
    </row>
    <row r="19" spans="2:18" ht="23.5" customHeight="1">
      <c r="B19" s="11" t="s">
        <v>269</v>
      </c>
      <c r="C19" s="1">
        <v>2</v>
      </c>
      <c r="D19" s="1">
        <f>C19</f>
        <v>2</v>
      </c>
      <c r="E19" s="1">
        <v>6.35</v>
      </c>
      <c r="F19" s="7">
        <f>E19*D19</f>
        <v>12.7</v>
      </c>
      <c r="G19" s="1">
        <v>3</v>
      </c>
      <c r="H19" s="1">
        <f>C19</f>
        <v>2</v>
      </c>
      <c r="I19" s="7">
        <f>H19*G19</f>
        <v>6</v>
      </c>
      <c r="J19" s="1">
        <f>MAX(1,ROUNDDOWN(E19/4,0))</f>
        <v>1</v>
      </c>
      <c r="K19" s="1">
        <f>C19</f>
        <v>2</v>
      </c>
      <c r="L19" s="7">
        <f>K19*J19</f>
        <v>2</v>
      </c>
      <c r="M19" s="1">
        <v>2</v>
      </c>
      <c r="N19" s="1">
        <f>C19</f>
        <v>2</v>
      </c>
      <c r="O19" s="7">
        <f>N19*M19</f>
        <v>4</v>
      </c>
      <c r="P19" s="21"/>
      <c r="Q19" s="21"/>
      <c r="R19" s="22">
        <f>Q19*P19</f>
        <v>0</v>
      </c>
    </row>
    <row r="20" spans="2:18" ht="23.5" customHeight="1">
      <c r="B20" s="8" t="s">
        <v>272</v>
      </c>
      <c r="C20" s="1"/>
      <c r="D20" s="1"/>
      <c r="E20" s="1"/>
      <c r="F20" s="10"/>
      <c r="G20" s="1"/>
      <c r="H20" s="1"/>
      <c r="I20" s="10"/>
      <c r="J20" s="1"/>
      <c r="K20" s="1"/>
      <c r="L20" s="10"/>
      <c r="M20" s="1"/>
      <c r="N20" s="1"/>
      <c r="O20" s="10"/>
      <c r="P20" s="21"/>
      <c r="Q20" s="21"/>
      <c r="R20" s="23"/>
    </row>
    <row r="21" spans="2:18" ht="23.5" customHeight="1">
      <c r="B21" s="11" t="s">
        <v>268</v>
      </c>
      <c r="C21" s="1">
        <v>3</v>
      </c>
      <c r="D21" s="1">
        <f>C21</f>
        <v>3</v>
      </c>
      <c r="E21" s="1">
        <v>6.26</v>
      </c>
      <c r="F21" s="7">
        <f>E21*D21</f>
        <v>18.78</v>
      </c>
      <c r="G21" s="1">
        <v>3</v>
      </c>
      <c r="H21" s="1">
        <f>C21</f>
        <v>3</v>
      </c>
      <c r="I21" s="7">
        <f>H21*G21</f>
        <v>9</v>
      </c>
      <c r="J21" s="1">
        <f>MAX(1,ROUNDDOWN(E21/4,0))</f>
        <v>1</v>
      </c>
      <c r="K21" s="1">
        <f>C21</f>
        <v>3</v>
      </c>
      <c r="L21" s="7">
        <f>K21*J21</f>
        <v>3</v>
      </c>
      <c r="M21" s="1">
        <v>2</v>
      </c>
      <c r="N21" s="1">
        <f>C21</f>
        <v>3</v>
      </c>
      <c r="O21" s="7">
        <f>N21*M21</f>
        <v>6</v>
      </c>
      <c r="P21" s="21"/>
      <c r="Q21" s="21"/>
      <c r="R21" s="22">
        <f>Q21*P21</f>
        <v>0</v>
      </c>
    </row>
    <row r="22" spans="2:18" ht="23.5" customHeight="1">
      <c r="B22" s="11" t="s">
        <v>269</v>
      </c>
      <c r="C22" s="1">
        <v>3</v>
      </c>
      <c r="D22" s="1">
        <f>C22</f>
        <v>3</v>
      </c>
      <c r="E22" s="1">
        <v>6.26</v>
      </c>
      <c r="F22" s="7">
        <f>E22*D22</f>
        <v>18.78</v>
      </c>
      <c r="G22" s="1">
        <v>3</v>
      </c>
      <c r="H22" s="1">
        <f>C22</f>
        <v>3</v>
      </c>
      <c r="I22" s="7">
        <f>H22*G22</f>
        <v>9</v>
      </c>
      <c r="J22" s="1">
        <f>MAX(1,ROUNDDOWN(E22/4,0))</f>
        <v>1</v>
      </c>
      <c r="K22" s="1">
        <f>C22</f>
        <v>3</v>
      </c>
      <c r="L22" s="7">
        <f>K22*J22</f>
        <v>3</v>
      </c>
      <c r="M22" s="1">
        <v>2</v>
      </c>
      <c r="N22" s="1">
        <f>C22</f>
        <v>3</v>
      </c>
      <c r="O22" s="7">
        <f>N22*M22</f>
        <v>6</v>
      </c>
      <c r="P22" s="21"/>
      <c r="Q22" s="21"/>
      <c r="R22" s="22">
        <f>Q22*P22</f>
        <v>0</v>
      </c>
    </row>
    <row r="23" spans="2:18" ht="23.5" customHeight="1">
      <c r="B23" s="8" t="s">
        <v>273</v>
      </c>
      <c r="C23" s="1"/>
      <c r="D23" s="1"/>
      <c r="E23" s="1"/>
      <c r="F23" s="10"/>
      <c r="G23" s="1"/>
      <c r="H23" s="1"/>
      <c r="I23" s="10"/>
      <c r="J23" s="1"/>
      <c r="K23" s="1"/>
      <c r="L23" s="10"/>
      <c r="M23" s="1"/>
      <c r="N23" s="1"/>
      <c r="O23" s="10"/>
      <c r="P23" s="21"/>
      <c r="Q23" s="21"/>
      <c r="R23" s="23"/>
    </row>
    <row r="24" spans="2:18" ht="23.5" customHeight="1">
      <c r="B24" s="11" t="s">
        <v>268</v>
      </c>
      <c r="C24" s="1">
        <v>3</v>
      </c>
      <c r="D24" s="1">
        <f>C24</f>
        <v>3</v>
      </c>
      <c r="E24" s="1">
        <v>7.53</v>
      </c>
      <c r="F24" s="7">
        <f>E24*D24</f>
        <v>22.59</v>
      </c>
      <c r="G24" s="1">
        <v>3</v>
      </c>
      <c r="H24" s="1">
        <f>C24</f>
        <v>3</v>
      </c>
      <c r="I24" s="7">
        <f>H24*G24</f>
        <v>9</v>
      </c>
      <c r="J24" s="1">
        <f>MAX(1,ROUNDDOWN(E24/4,0))</f>
        <v>1</v>
      </c>
      <c r="K24" s="1">
        <f>C24</f>
        <v>3</v>
      </c>
      <c r="L24" s="7">
        <f>K24*J24</f>
        <v>3</v>
      </c>
      <c r="M24" s="1">
        <v>2</v>
      </c>
      <c r="N24" s="1">
        <f>C24</f>
        <v>3</v>
      </c>
      <c r="O24" s="7">
        <f>N24*M24</f>
        <v>6</v>
      </c>
      <c r="P24" s="21"/>
      <c r="Q24" s="21"/>
      <c r="R24" s="22">
        <f>Q24*P24</f>
        <v>0</v>
      </c>
    </row>
    <row r="25" spans="2:18" ht="23.5" customHeight="1">
      <c r="B25" s="11" t="s">
        <v>269</v>
      </c>
      <c r="C25" s="1">
        <v>3</v>
      </c>
      <c r="D25" s="1">
        <f>C25</f>
        <v>3</v>
      </c>
      <c r="E25" s="1">
        <v>7.53</v>
      </c>
      <c r="F25" s="7">
        <f>E25*D25</f>
        <v>22.59</v>
      </c>
      <c r="G25" s="1">
        <v>3</v>
      </c>
      <c r="H25" s="1">
        <f>C25</f>
        <v>3</v>
      </c>
      <c r="I25" s="7">
        <f>H25*G25</f>
        <v>9</v>
      </c>
      <c r="J25" s="1">
        <f>MAX(1,ROUNDDOWN(E25/4,0))</f>
        <v>1</v>
      </c>
      <c r="K25" s="1">
        <f>C25</f>
        <v>3</v>
      </c>
      <c r="L25" s="7">
        <f>K25*J25</f>
        <v>3</v>
      </c>
      <c r="M25" s="1">
        <v>2</v>
      </c>
      <c r="N25" s="1">
        <f>C25</f>
        <v>3</v>
      </c>
      <c r="O25" s="7">
        <f>N25*M25</f>
        <v>6</v>
      </c>
      <c r="P25" s="21"/>
      <c r="Q25" s="21"/>
      <c r="R25" s="22">
        <f>Q25*P25</f>
        <v>0</v>
      </c>
    </row>
    <row r="26" spans="2:18" ht="23.5" customHeight="1">
      <c r="B26" s="8" t="s">
        <v>274</v>
      </c>
      <c r="C26" s="1"/>
      <c r="D26" s="1"/>
      <c r="E26" s="1"/>
      <c r="F26" s="10"/>
      <c r="G26" s="1"/>
      <c r="H26" s="1"/>
      <c r="I26" s="10"/>
      <c r="J26" s="1"/>
      <c r="K26" s="1"/>
      <c r="L26" s="10"/>
      <c r="M26" s="1"/>
      <c r="N26" s="1"/>
      <c r="O26" s="10"/>
      <c r="P26" s="21"/>
      <c r="Q26" s="21"/>
      <c r="R26" s="23"/>
    </row>
    <row r="27" spans="2:18" ht="23.5" customHeight="1">
      <c r="B27" s="11" t="s">
        <v>268</v>
      </c>
      <c r="C27" s="1">
        <v>2</v>
      </c>
      <c r="D27" s="1">
        <f>C27</f>
        <v>2</v>
      </c>
      <c r="E27" s="1">
        <v>6.18</v>
      </c>
      <c r="F27" s="7">
        <f>E27*D27</f>
        <v>12.36</v>
      </c>
      <c r="G27" s="1">
        <v>3</v>
      </c>
      <c r="H27" s="1">
        <f>C27</f>
        <v>2</v>
      </c>
      <c r="I27" s="7">
        <f>H27*G27</f>
        <v>6</v>
      </c>
      <c r="J27" s="1">
        <f>MAX(1,ROUNDDOWN(E27/4,0))</f>
        <v>1</v>
      </c>
      <c r="K27" s="1">
        <f>C27</f>
        <v>2</v>
      </c>
      <c r="L27" s="7">
        <f>K27*J27</f>
        <v>2</v>
      </c>
      <c r="M27" s="1">
        <v>2</v>
      </c>
      <c r="N27" s="1">
        <f>C27</f>
        <v>2</v>
      </c>
      <c r="O27" s="7">
        <f>N27*M27</f>
        <v>4</v>
      </c>
      <c r="P27" s="21"/>
      <c r="Q27" s="21"/>
      <c r="R27" s="22">
        <f>Q27*P27</f>
        <v>0</v>
      </c>
    </row>
    <row r="28" spans="2:18" ht="23.5" customHeight="1">
      <c r="B28" s="11" t="s">
        <v>269</v>
      </c>
      <c r="C28" s="1">
        <v>2</v>
      </c>
      <c r="D28" s="1">
        <f>C28</f>
        <v>2</v>
      </c>
      <c r="E28" s="1">
        <v>6.18</v>
      </c>
      <c r="F28" s="7">
        <f>E28*D28</f>
        <v>12.36</v>
      </c>
      <c r="G28" s="1">
        <v>3</v>
      </c>
      <c r="H28" s="1">
        <f>C28</f>
        <v>2</v>
      </c>
      <c r="I28" s="7">
        <f>H28*G28</f>
        <v>6</v>
      </c>
      <c r="J28" s="1">
        <f>MAX(1,ROUNDDOWN(E28/4,0))</f>
        <v>1</v>
      </c>
      <c r="K28" s="1">
        <f>C28</f>
        <v>2</v>
      </c>
      <c r="L28" s="7">
        <f>K28*J28</f>
        <v>2</v>
      </c>
      <c r="M28" s="1">
        <v>2</v>
      </c>
      <c r="N28" s="1">
        <f>C28</f>
        <v>2</v>
      </c>
      <c r="O28" s="7">
        <f>N28*M28</f>
        <v>4</v>
      </c>
      <c r="P28" s="21"/>
      <c r="Q28" s="21"/>
      <c r="R28" s="22">
        <f>Q28*P28</f>
        <v>0</v>
      </c>
    </row>
    <row r="29" spans="2:18" ht="23.5" customHeight="1">
      <c r="B29" s="8" t="s">
        <v>275</v>
      </c>
      <c r="C29" s="1"/>
      <c r="D29" s="1"/>
      <c r="E29" s="1"/>
      <c r="F29" s="10"/>
      <c r="G29" s="1"/>
      <c r="H29" s="1"/>
      <c r="I29" s="10"/>
      <c r="J29" s="1"/>
      <c r="K29" s="1"/>
      <c r="L29" s="10"/>
      <c r="M29" s="1"/>
      <c r="N29" s="1"/>
      <c r="O29" s="10"/>
      <c r="P29" s="21"/>
      <c r="Q29" s="21"/>
      <c r="R29" s="23"/>
    </row>
    <row r="30" spans="2:18" ht="23.5" customHeight="1">
      <c r="B30" s="11" t="s">
        <v>268</v>
      </c>
      <c r="C30" s="1">
        <v>3</v>
      </c>
      <c r="D30" s="1">
        <f>C30</f>
        <v>3</v>
      </c>
      <c r="E30" s="1">
        <v>6.24</v>
      </c>
      <c r="F30" s="7">
        <f>E30*D30</f>
        <v>18.72</v>
      </c>
      <c r="G30" s="1">
        <v>3</v>
      </c>
      <c r="H30" s="1">
        <f>C30</f>
        <v>3</v>
      </c>
      <c r="I30" s="7">
        <f>H30*G30</f>
        <v>9</v>
      </c>
      <c r="J30" s="1">
        <f>MAX(1,ROUNDDOWN(E30/4,0))</f>
        <v>1</v>
      </c>
      <c r="K30" s="1">
        <f>C30</f>
        <v>3</v>
      </c>
      <c r="L30" s="7">
        <f>K30*J30</f>
        <v>3</v>
      </c>
      <c r="M30" s="1">
        <v>2</v>
      </c>
      <c r="N30" s="1">
        <f>C30</f>
        <v>3</v>
      </c>
      <c r="O30" s="7">
        <f>N30*M30</f>
        <v>6</v>
      </c>
      <c r="P30" s="21"/>
      <c r="Q30" s="21"/>
      <c r="R30" s="22">
        <f>Q30*P30</f>
        <v>0</v>
      </c>
    </row>
    <row r="31" spans="2:18" ht="23.5" customHeight="1">
      <c r="B31" s="11" t="s">
        <v>269</v>
      </c>
      <c r="C31" s="1">
        <v>3</v>
      </c>
      <c r="D31" s="1">
        <f>C31</f>
        <v>3</v>
      </c>
      <c r="E31" s="1">
        <v>6.24</v>
      </c>
      <c r="F31" s="7">
        <f>E31*D31</f>
        <v>18.72</v>
      </c>
      <c r="G31" s="1">
        <v>3</v>
      </c>
      <c r="H31" s="1">
        <f>C31</f>
        <v>3</v>
      </c>
      <c r="I31" s="7">
        <f>H31*G31</f>
        <v>9</v>
      </c>
      <c r="J31" s="1">
        <f>MAX(1,ROUNDDOWN(E31/4,0))</f>
        <v>1</v>
      </c>
      <c r="K31" s="1">
        <f>C31</f>
        <v>3</v>
      </c>
      <c r="L31" s="7">
        <f>K31*J31</f>
        <v>3</v>
      </c>
      <c r="M31" s="1">
        <v>2</v>
      </c>
      <c r="N31" s="1">
        <f>C31</f>
        <v>3</v>
      </c>
      <c r="O31" s="7">
        <f>N31*M31</f>
        <v>6</v>
      </c>
      <c r="P31" s="21"/>
      <c r="Q31" s="21"/>
      <c r="R31" s="22">
        <f>Q31*P31</f>
        <v>0</v>
      </c>
    </row>
    <row r="32" spans="2:18" ht="23.5" customHeight="1">
      <c r="B32" s="8" t="s">
        <v>276</v>
      </c>
      <c r="C32" s="1"/>
      <c r="D32" s="1"/>
      <c r="E32" s="1"/>
      <c r="F32" s="10"/>
      <c r="G32" s="1"/>
      <c r="H32" s="1"/>
      <c r="I32" s="10"/>
      <c r="J32" s="1"/>
      <c r="K32" s="1"/>
      <c r="L32" s="10"/>
      <c r="M32" s="1"/>
      <c r="N32" s="1"/>
      <c r="O32" s="10"/>
      <c r="P32" s="21"/>
      <c r="Q32" s="21"/>
      <c r="R32" s="23"/>
    </row>
    <row r="33" spans="2:18" ht="23.5" customHeight="1">
      <c r="B33" s="11" t="s">
        <v>268</v>
      </c>
      <c r="C33" s="1">
        <v>2</v>
      </c>
      <c r="D33" s="1">
        <f>C33</f>
        <v>2</v>
      </c>
      <c r="E33" s="1">
        <v>6.26</v>
      </c>
      <c r="F33" s="7">
        <f>E33*D33</f>
        <v>12.52</v>
      </c>
      <c r="G33" s="1">
        <v>3</v>
      </c>
      <c r="H33" s="19">
        <f>C33</f>
        <v>2</v>
      </c>
      <c r="I33" s="7">
        <f>H33*G33</f>
        <v>6</v>
      </c>
      <c r="J33" s="1">
        <f>MAX(1,ROUNDDOWN(E33/4,0))</f>
        <v>1</v>
      </c>
      <c r="K33" s="1">
        <f>C33</f>
        <v>2</v>
      </c>
      <c r="L33" s="7">
        <f>K33*J33</f>
        <v>2</v>
      </c>
      <c r="M33" s="1">
        <v>2</v>
      </c>
      <c r="N33" s="1">
        <f>C33</f>
        <v>2</v>
      </c>
      <c r="O33" s="7">
        <f>N33*M33</f>
        <v>4</v>
      </c>
      <c r="P33" s="21"/>
      <c r="Q33" s="21"/>
      <c r="R33" s="22">
        <f>Q33*P33</f>
        <v>0</v>
      </c>
    </row>
    <row r="34" spans="2:18" ht="23.5" customHeight="1">
      <c r="B34" s="11" t="s">
        <v>269</v>
      </c>
      <c r="C34" s="1">
        <v>2</v>
      </c>
      <c r="D34" s="1">
        <f>C34</f>
        <v>2</v>
      </c>
      <c r="E34" s="1">
        <v>6.26</v>
      </c>
      <c r="F34" s="7">
        <f>E34*D34</f>
        <v>12.52</v>
      </c>
      <c r="G34" s="1">
        <v>3</v>
      </c>
      <c r="H34" s="1">
        <f>C34</f>
        <v>2</v>
      </c>
      <c r="I34" s="7">
        <f>H34*G34</f>
        <v>6</v>
      </c>
      <c r="J34" s="1">
        <f>MAX(1,ROUNDDOWN(E34/4,0))</f>
        <v>1</v>
      </c>
      <c r="K34" s="1">
        <f>C34</f>
        <v>2</v>
      </c>
      <c r="L34" s="7">
        <f>K34*J34</f>
        <v>2</v>
      </c>
      <c r="M34" s="1">
        <v>2</v>
      </c>
      <c r="N34" s="1">
        <f>C34</f>
        <v>2</v>
      </c>
      <c r="O34" s="7">
        <f>N34*M34</f>
        <v>4</v>
      </c>
      <c r="P34" s="21"/>
      <c r="Q34" s="21"/>
      <c r="R34" s="22">
        <f>Q34*P34</f>
        <v>0</v>
      </c>
    </row>
    <row r="35" spans="2:18" ht="23.5" customHeight="1">
      <c r="B35" s="8" t="s">
        <v>277</v>
      </c>
      <c r="C35" s="1"/>
      <c r="D35" s="1"/>
      <c r="E35" s="1"/>
      <c r="F35" s="10"/>
      <c r="G35" s="1"/>
      <c r="H35" s="1"/>
      <c r="I35" s="10"/>
      <c r="J35" s="1"/>
      <c r="K35" s="1"/>
      <c r="L35" s="10"/>
      <c r="M35" s="1"/>
      <c r="N35" s="1"/>
      <c r="O35" s="10"/>
      <c r="P35" s="21"/>
      <c r="Q35" s="21"/>
      <c r="R35" s="23"/>
    </row>
    <row r="36" spans="2:18" ht="23.5" customHeight="1">
      <c r="B36" s="11" t="s">
        <v>268</v>
      </c>
      <c r="C36" s="1">
        <v>2</v>
      </c>
      <c r="D36" s="1">
        <f>C36</f>
        <v>2</v>
      </c>
      <c r="E36" s="1">
        <v>6.26</v>
      </c>
      <c r="F36" s="7">
        <f>E36*D36</f>
        <v>12.52</v>
      </c>
      <c r="G36" s="1">
        <v>3</v>
      </c>
      <c r="H36" s="1">
        <f>C36</f>
        <v>2</v>
      </c>
      <c r="I36" s="7">
        <f>H36*G36</f>
        <v>6</v>
      </c>
      <c r="J36" s="1">
        <f>MAX(1,ROUNDDOWN(E36/4,0))</f>
        <v>1</v>
      </c>
      <c r="K36" s="1">
        <f>C36</f>
        <v>2</v>
      </c>
      <c r="L36" s="7">
        <f>K36*J36</f>
        <v>2</v>
      </c>
      <c r="M36" s="1">
        <v>2</v>
      </c>
      <c r="N36" s="1">
        <f>C36</f>
        <v>2</v>
      </c>
      <c r="O36" s="7">
        <f>N36*M36</f>
        <v>4</v>
      </c>
      <c r="P36" s="21"/>
      <c r="Q36" s="21"/>
      <c r="R36" s="22">
        <f>Q36*P36</f>
        <v>0</v>
      </c>
    </row>
    <row r="37" spans="2:18" ht="23.5" customHeight="1">
      <c r="B37" s="11" t="s">
        <v>269</v>
      </c>
      <c r="C37" s="1">
        <v>2</v>
      </c>
      <c r="D37" s="1">
        <f>C37</f>
        <v>2</v>
      </c>
      <c r="E37" s="1">
        <v>6.26</v>
      </c>
      <c r="F37" s="7">
        <f>E37*D37</f>
        <v>12.52</v>
      </c>
      <c r="G37" s="1">
        <v>3</v>
      </c>
      <c r="H37" s="1">
        <f>C37</f>
        <v>2</v>
      </c>
      <c r="I37" s="7">
        <f>H37*G37</f>
        <v>6</v>
      </c>
      <c r="J37" s="1">
        <f>MAX(1,ROUNDDOWN(E37/4,0))</f>
        <v>1</v>
      </c>
      <c r="K37" s="1">
        <f>C37</f>
        <v>2</v>
      </c>
      <c r="L37" s="7">
        <f>K37*J37</f>
        <v>2</v>
      </c>
      <c r="M37" s="1">
        <v>2</v>
      </c>
      <c r="N37" s="1">
        <f>C37</f>
        <v>2</v>
      </c>
      <c r="O37" s="7">
        <f>N37*M37</f>
        <v>4</v>
      </c>
      <c r="P37" s="21"/>
      <c r="Q37" s="21"/>
      <c r="R37" s="22">
        <f>Q37*P37</f>
        <v>0</v>
      </c>
    </row>
    <row r="38" spans="2:18" ht="23.5" customHeight="1">
      <c r="B38" s="8" t="s">
        <v>278</v>
      </c>
      <c r="C38" s="20"/>
      <c r="D38" s="1"/>
      <c r="E38" s="1"/>
      <c r="F38" s="10"/>
      <c r="G38" s="1"/>
      <c r="H38" s="1"/>
      <c r="I38" s="10"/>
      <c r="J38" s="1"/>
      <c r="K38" s="1"/>
      <c r="L38" s="10"/>
      <c r="M38" s="1"/>
      <c r="N38" s="1"/>
      <c r="O38" s="10"/>
      <c r="P38" s="21"/>
      <c r="Q38" s="21"/>
      <c r="R38" s="23"/>
    </row>
    <row r="39" spans="2:18" ht="23.5" customHeight="1">
      <c r="B39" s="11" t="s">
        <v>268</v>
      </c>
      <c r="C39" s="21">
        <v>4</v>
      </c>
      <c r="D39" s="1">
        <f>C39</f>
        <v>4</v>
      </c>
      <c r="E39" s="1">
        <v>11</v>
      </c>
      <c r="F39" s="7">
        <f t="shared" ref="F39:F42" si="0">E39*D39</f>
        <v>44</v>
      </c>
      <c r="G39" s="1">
        <v>3</v>
      </c>
      <c r="H39" s="1">
        <f>C39</f>
        <v>4</v>
      </c>
      <c r="I39" s="7">
        <f t="shared" ref="I39:I42" si="1">H39*G39</f>
        <v>12</v>
      </c>
      <c r="J39" s="1">
        <v>3</v>
      </c>
      <c r="K39" s="1">
        <f>C39</f>
        <v>4</v>
      </c>
      <c r="L39" s="7">
        <f t="shared" ref="L39:L42" si="2">K39*J39</f>
        <v>12</v>
      </c>
      <c r="M39" s="1">
        <v>0</v>
      </c>
      <c r="N39" s="1">
        <f>C39</f>
        <v>4</v>
      </c>
      <c r="O39" s="7">
        <f t="shared" ref="O39:O42" si="3">N39*M39</f>
        <v>0</v>
      </c>
      <c r="P39" s="21"/>
      <c r="Q39" s="21"/>
      <c r="R39" s="22">
        <f t="shared" ref="R39:R42" si="4">Q39*P39</f>
        <v>0</v>
      </c>
    </row>
    <row r="40" spans="2:18" ht="23.5" customHeight="1">
      <c r="B40" s="11" t="s">
        <v>269</v>
      </c>
      <c r="C40" s="1">
        <v>4</v>
      </c>
      <c r="D40" s="1">
        <f>C40</f>
        <v>4</v>
      </c>
      <c r="E40" s="1">
        <v>11</v>
      </c>
      <c r="F40" s="7">
        <f t="shared" si="0"/>
        <v>44</v>
      </c>
      <c r="G40" s="1">
        <v>3</v>
      </c>
      <c r="H40" s="1">
        <f>C40</f>
        <v>4</v>
      </c>
      <c r="I40" s="7">
        <f t="shared" si="1"/>
        <v>12</v>
      </c>
      <c r="J40" s="1">
        <v>3</v>
      </c>
      <c r="K40" s="1">
        <f>C40</f>
        <v>4</v>
      </c>
      <c r="L40" s="7">
        <f t="shared" si="2"/>
        <v>12</v>
      </c>
      <c r="M40" s="1">
        <v>0</v>
      </c>
      <c r="N40" s="1">
        <f>C40</f>
        <v>4</v>
      </c>
      <c r="O40" s="7">
        <f t="shared" si="3"/>
        <v>0</v>
      </c>
      <c r="P40" s="21"/>
      <c r="Q40" s="21"/>
      <c r="R40" s="22">
        <f t="shared" si="4"/>
        <v>0</v>
      </c>
    </row>
    <row r="41" spans="2:18" ht="23.5" customHeight="1">
      <c r="B41" s="8" t="s">
        <v>279</v>
      </c>
      <c r="C41" s="1">
        <v>1</v>
      </c>
      <c r="D41" s="1">
        <f>C41</f>
        <v>1</v>
      </c>
      <c r="E41" s="1">
        <v>6</v>
      </c>
      <c r="F41" s="7">
        <f t="shared" si="0"/>
        <v>6</v>
      </c>
      <c r="G41" s="1">
        <v>3</v>
      </c>
      <c r="H41" s="1">
        <f>C41</f>
        <v>1</v>
      </c>
      <c r="I41" s="7">
        <f t="shared" si="1"/>
        <v>3</v>
      </c>
      <c r="J41" s="1">
        <v>1</v>
      </c>
      <c r="K41" s="1">
        <f>C41</f>
        <v>1</v>
      </c>
      <c r="L41" s="7">
        <f t="shared" si="2"/>
        <v>1</v>
      </c>
      <c r="M41" s="1">
        <v>1</v>
      </c>
      <c r="N41" s="1">
        <f>C41</f>
        <v>1</v>
      </c>
      <c r="O41" s="7">
        <f t="shared" si="3"/>
        <v>1</v>
      </c>
      <c r="P41" s="21"/>
      <c r="Q41" s="21"/>
      <c r="R41" s="22">
        <f t="shared" si="4"/>
        <v>0</v>
      </c>
    </row>
    <row r="42" spans="2:18" ht="23.5" customHeight="1">
      <c r="B42" s="8" t="s">
        <v>280</v>
      </c>
      <c r="C42" s="1">
        <v>1</v>
      </c>
      <c r="D42" s="1">
        <f>C42</f>
        <v>1</v>
      </c>
      <c r="E42" s="1">
        <v>6</v>
      </c>
      <c r="F42" s="7">
        <f t="shared" si="0"/>
        <v>6</v>
      </c>
      <c r="G42" s="1">
        <v>3</v>
      </c>
      <c r="H42" s="1">
        <f>C42</f>
        <v>1</v>
      </c>
      <c r="I42" s="7">
        <f t="shared" si="1"/>
        <v>3</v>
      </c>
      <c r="J42" s="1">
        <v>1</v>
      </c>
      <c r="K42" s="1">
        <f>C42</f>
        <v>1</v>
      </c>
      <c r="L42" s="7">
        <f t="shared" si="2"/>
        <v>1</v>
      </c>
      <c r="M42" s="1">
        <v>1</v>
      </c>
      <c r="N42" s="1">
        <f>C42</f>
        <v>1</v>
      </c>
      <c r="O42" s="7">
        <f t="shared" si="3"/>
        <v>1</v>
      </c>
      <c r="P42" s="21"/>
      <c r="Q42" s="21"/>
      <c r="R42" s="22">
        <f t="shared" si="4"/>
        <v>0</v>
      </c>
    </row>
    <row r="43" spans="2:18" ht="23.5" customHeight="1">
      <c r="C43" s="9">
        <f>SUM(C11:C42)</f>
        <v>54</v>
      </c>
      <c r="D43" s="1"/>
      <c r="E43" s="1"/>
      <c r="F43" s="9">
        <f>SUM(F11:F42)</f>
        <v>380.86</v>
      </c>
      <c r="G43" s="1"/>
      <c r="H43" s="1"/>
      <c r="I43" s="9">
        <f>SUM(I11:I42)</f>
        <v>162</v>
      </c>
      <c r="J43" s="1"/>
      <c r="K43" s="1"/>
      <c r="L43" s="9">
        <f>SUM(L11:L42)</f>
        <v>70</v>
      </c>
      <c r="M43" s="1"/>
      <c r="N43" s="1"/>
      <c r="O43" s="9">
        <f>SUM(O11:O42)</f>
        <v>90</v>
      </c>
      <c r="P43" s="21"/>
      <c r="Q43" s="21"/>
      <c r="R43" s="9">
        <f>SUM(R11:R42)</f>
        <v>0</v>
      </c>
    </row>
    <row r="44" spans="2:18">
      <c r="M44" s="19"/>
      <c r="N44" s="19"/>
      <c r="O44" s="19"/>
    </row>
  </sheetData>
  <mergeCells count="12">
    <mergeCell ref="B2:R2"/>
    <mergeCell ref="D9:F9"/>
    <mergeCell ref="J9:L9"/>
    <mergeCell ref="C6:R6"/>
    <mergeCell ref="C7:R7"/>
    <mergeCell ref="C9:C10"/>
    <mergeCell ref="C5:R5"/>
    <mergeCell ref="M9:O9"/>
    <mergeCell ref="C3:R3"/>
    <mergeCell ref="G9:I9"/>
    <mergeCell ref="C4:R4"/>
    <mergeCell ref="P9:R9"/>
  </mergeCells>
  <pageMargins left="1.417322834645669" right="0.39370078740157483" top="1.299212598425197" bottom="0.39370078740157483" header="0.31496062992125978" footer="0.31496062992125978"/>
  <pageSetup paperSize="9" scale="55" orientation="landscape" r:id="rId1"/>
  <headerFooter>
    <oddHeader>&amp;C&amp;G</oddHeader>
  </headerFooter>
  <legacy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K52"/>
  <sheetViews>
    <sheetView showGridLines="0" workbookViewId="0">
      <pane xSplit="2" ySplit="10" topLeftCell="C11" activePane="bottomRight" state="frozen"/>
      <selection pane="topRight"/>
      <selection pane="bottomLeft"/>
      <selection pane="bottomRight"/>
    </sheetView>
  </sheetViews>
  <sheetFormatPr baseColWidth="10" defaultColWidth="8.7265625" defaultRowHeight="14.5"/>
  <cols>
    <col min="1" max="1" width="3.453125" customWidth="1"/>
    <col min="2" max="2" width="22" customWidth="1"/>
    <col min="3" max="4" width="13" customWidth="1"/>
    <col min="5" max="9" width="12" customWidth="1"/>
    <col min="10" max="10" width="13" customWidth="1"/>
    <col min="11" max="11" width="12" customWidth="1"/>
  </cols>
  <sheetData>
    <row r="2" spans="2:11" ht="24.5" customHeight="1">
      <c r="B2" s="298" t="s">
        <v>281</v>
      </c>
      <c r="C2" s="306"/>
      <c r="D2" s="306"/>
      <c r="E2" s="306"/>
      <c r="F2" s="306"/>
      <c r="G2" s="306"/>
      <c r="H2" s="306"/>
      <c r="I2" s="306"/>
      <c r="J2" s="306"/>
      <c r="K2" s="306"/>
    </row>
    <row r="3" spans="2:11" ht="21" customHeight="1">
      <c r="B3" s="96" t="s">
        <v>1</v>
      </c>
      <c r="C3" s="231" t="str">
        <f>+RESUMEN!B4</f>
        <v>GERENCIA TERRITORIAL BAJO MAYO - TARAPOTO</v>
      </c>
      <c r="D3" s="232"/>
      <c r="E3" s="232"/>
      <c r="F3" s="232"/>
      <c r="G3" s="232"/>
      <c r="H3" s="232"/>
      <c r="I3" s="232"/>
      <c r="J3" s="232"/>
      <c r="K3" s="233"/>
    </row>
    <row r="4" spans="2:11" ht="75" customHeight="1">
      <c r="B4" s="96" t="s">
        <v>3</v>
      </c>
      <c r="C4" s="231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32"/>
      <c r="E4" s="232"/>
      <c r="F4" s="232"/>
      <c r="G4" s="232"/>
      <c r="H4" s="232"/>
      <c r="I4" s="232"/>
      <c r="J4" s="232"/>
      <c r="K4" s="233"/>
    </row>
    <row r="5" spans="2:11" ht="21" customHeight="1">
      <c r="B5" s="96" t="s">
        <v>5</v>
      </c>
      <c r="C5" s="231" t="str">
        <f>+RESUMEN!B6</f>
        <v>SAN MARTIN - SAN MARTIN - MORALES</v>
      </c>
      <c r="D5" s="232"/>
      <c r="E5" s="232"/>
      <c r="F5" s="232"/>
      <c r="G5" s="232"/>
      <c r="H5" s="232"/>
      <c r="I5" s="232"/>
      <c r="J5" s="232"/>
      <c r="K5" s="233"/>
    </row>
    <row r="6" spans="2:11" ht="21" customHeight="1">
      <c r="B6" s="96" t="s">
        <v>7</v>
      </c>
      <c r="C6" s="235">
        <f>+RESUMEN!B7</f>
        <v>46266</v>
      </c>
      <c r="D6" s="232"/>
      <c r="E6" s="232"/>
      <c r="F6" s="232"/>
      <c r="G6" s="232"/>
      <c r="H6" s="232"/>
      <c r="I6" s="232"/>
      <c r="J6" s="232"/>
      <c r="K6" s="233"/>
    </row>
    <row r="8" spans="2:11" ht="33" customHeight="1">
      <c r="B8" s="307" t="s">
        <v>282</v>
      </c>
      <c r="C8" s="232"/>
      <c r="D8" s="232"/>
      <c r="E8" s="232"/>
      <c r="F8" s="232"/>
      <c r="G8" s="232"/>
      <c r="H8" s="232"/>
      <c r="I8" s="232"/>
      <c r="J8" s="232"/>
      <c r="K8" s="233"/>
    </row>
    <row r="9" spans="2:11" ht="42" customHeight="1">
      <c r="B9" s="247" t="s">
        <v>283</v>
      </c>
      <c r="C9" s="247" t="s">
        <v>284</v>
      </c>
      <c r="D9" s="247" t="s">
        <v>285</v>
      </c>
      <c r="E9" s="233"/>
      <c r="F9" s="247" t="s">
        <v>286</v>
      </c>
      <c r="G9" s="233"/>
      <c r="H9" s="247" t="s">
        <v>287</v>
      </c>
      <c r="I9" s="233"/>
      <c r="J9" s="247" t="s">
        <v>288</v>
      </c>
      <c r="K9" s="233"/>
    </row>
    <row r="10" spans="2:11" ht="31" customHeight="1">
      <c r="B10" s="238"/>
      <c r="C10" s="238"/>
      <c r="D10" s="18" t="s">
        <v>289</v>
      </c>
      <c r="E10" s="18" t="s">
        <v>265</v>
      </c>
      <c r="F10" s="18" t="s">
        <v>254</v>
      </c>
      <c r="G10" s="18" t="s">
        <v>266</v>
      </c>
      <c r="H10" s="18" t="s">
        <v>254</v>
      </c>
      <c r="I10" s="18" t="s">
        <v>266</v>
      </c>
      <c r="J10" s="18" t="s">
        <v>254</v>
      </c>
      <c r="K10" s="18" t="s">
        <v>266</v>
      </c>
    </row>
    <row r="11" spans="2:11" ht="23.5" customHeight="1">
      <c r="B11" s="8" t="s">
        <v>267</v>
      </c>
      <c r="C11" s="1"/>
      <c r="D11" s="1"/>
      <c r="E11" s="1"/>
      <c r="F11" s="1"/>
      <c r="G11" s="1"/>
      <c r="H11" s="1"/>
      <c r="I11" s="1"/>
      <c r="J11" s="1"/>
      <c r="K11" s="1"/>
    </row>
    <row r="12" spans="2:11" ht="23.5" customHeight="1">
      <c r="B12" s="11" t="s">
        <v>290</v>
      </c>
      <c r="C12" s="1">
        <v>1</v>
      </c>
      <c r="D12" s="15">
        <v>25.33</v>
      </c>
      <c r="E12" s="222">
        <f>C12*D12</f>
        <v>25.33</v>
      </c>
      <c r="F12" s="1">
        <f>IF(D12&gt;0,ROUNDUP(D12/$F$50,0)+1,0)</f>
        <v>44</v>
      </c>
      <c r="G12" s="7">
        <f>C12*F12</f>
        <v>44</v>
      </c>
      <c r="H12" s="1">
        <f>$F$51</f>
        <v>2</v>
      </c>
      <c r="I12" s="7">
        <f>C12*H12</f>
        <v>2</v>
      </c>
      <c r="J12" s="1">
        <f>'METRADO MONTANTES'!C12</f>
        <v>3</v>
      </c>
      <c r="K12" s="7">
        <f>C12*J12</f>
        <v>3</v>
      </c>
    </row>
    <row r="13" spans="2:11" ht="23.5" customHeight="1">
      <c r="B13" s="11" t="s">
        <v>291</v>
      </c>
      <c r="C13" s="1">
        <v>1</v>
      </c>
      <c r="D13" s="15">
        <f>D12</f>
        <v>25.33</v>
      </c>
      <c r="E13" s="222">
        <f>C13*D13</f>
        <v>25.33</v>
      </c>
      <c r="F13" s="1">
        <f>IF(D13&gt;0,ROUNDUP(D13/$F$50,0)+1,0)</f>
        <v>44</v>
      </c>
      <c r="G13" s="7">
        <f>C13*F13</f>
        <v>44</v>
      </c>
      <c r="H13" s="1">
        <f>$F$51</f>
        <v>2</v>
      </c>
      <c r="I13" s="7">
        <f>C13*H13</f>
        <v>2</v>
      </c>
      <c r="J13" s="1">
        <f>'METRADO MONTANTES'!C13</f>
        <v>3</v>
      </c>
      <c r="K13" s="7">
        <f>C13*J13</f>
        <v>3</v>
      </c>
    </row>
    <row r="14" spans="2:11" ht="23.5" customHeight="1">
      <c r="B14" s="8" t="s">
        <v>270</v>
      </c>
      <c r="C14" s="1"/>
      <c r="D14" s="1"/>
      <c r="E14" s="1"/>
      <c r="F14" s="1"/>
      <c r="G14" s="1"/>
      <c r="H14" s="1"/>
      <c r="I14" s="1"/>
      <c r="J14" s="1"/>
      <c r="K14" s="1"/>
    </row>
    <row r="15" spans="2:11" ht="23.5" customHeight="1">
      <c r="B15" s="11" t="s">
        <v>290</v>
      </c>
      <c r="C15" s="1">
        <v>1</v>
      </c>
      <c r="D15" s="15">
        <v>14.33</v>
      </c>
      <c r="E15" s="222">
        <f>C15*D15</f>
        <v>14.33</v>
      </c>
      <c r="F15" s="1">
        <f>IF(D15&gt;0,ROUNDUP(D15/$F$50,0)+1,0)</f>
        <v>25</v>
      </c>
      <c r="G15" s="7">
        <f>C15*F15</f>
        <v>25</v>
      </c>
      <c r="H15" s="1">
        <f>$F$51</f>
        <v>2</v>
      </c>
      <c r="I15" s="7">
        <f>C15*H15</f>
        <v>2</v>
      </c>
      <c r="J15" s="1">
        <f>'METRADO MONTANTES'!C15</f>
        <v>2</v>
      </c>
      <c r="K15" s="7">
        <f>C15*J15</f>
        <v>2</v>
      </c>
    </row>
    <row r="16" spans="2:11" ht="23.5" customHeight="1">
      <c r="B16" s="11" t="s">
        <v>291</v>
      </c>
      <c r="C16" s="1">
        <v>1</v>
      </c>
      <c r="D16" s="15">
        <f>D15</f>
        <v>14.33</v>
      </c>
      <c r="E16" s="222">
        <f>C16*D16</f>
        <v>14.33</v>
      </c>
      <c r="F16" s="1">
        <f>IF(D16&gt;0,ROUNDUP(D16/$F$50,0)+1,0)</f>
        <v>25</v>
      </c>
      <c r="G16" s="7">
        <f>C16*F16</f>
        <v>25</v>
      </c>
      <c r="H16" s="1">
        <f>$F$51</f>
        <v>2</v>
      </c>
      <c r="I16" s="7">
        <f>C16*H16</f>
        <v>2</v>
      </c>
      <c r="J16" s="1">
        <f>'METRADO MONTANTES'!C16</f>
        <v>2</v>
      </c>
      <c r="K16" s="7">
        <f>C16*J16</f>
        <v>2</v>
      </c>
    </row>
    <row r="17" spans="2:11" ht="23.5" customHeight="1">
      <c r="B17" s="8" t="s">
        <v>271</v>
      </c>
      <c r="C17" s="1"/>
      <c r="D17" s="1"/>
      <c r="E17" s="1"/>
      <c r="F17" s="1"/>
      <c r="G17" s="1"/>
      <c r="H17" s="1"/>
      <c r="I17" s="1"/>
      <c r="J17" s="1"/>
      <c r="K17" s="1"/>
    </row>
    <row r="18" spans="2:11" ht="23.5" customHeight="1">
      <c r="B18" s="11" t="s">
        <v>290</v>
      </c>
      <c r="C18" s="1">
        <v>1</v>
      </c>
      <c r="D18" s="15">
        <v>17.329999999999998</v>
      </c>
      <c r="E18" s="222">
        <f>C18*D18</f>
        <v>17.329999999999998</v>
      </c>
      <c r="F18" s="1">
        <f>IF(D18&gt;0,ROUNDUP(D18/$F$50,0)+1,0)</f>
        <v>30</v>
      </c>
      <c r="G18" s="7">
        <f>C18*F18</f>
        <v>30</v>
      </c>
      <c r="H18" s="1">
        <f>$F$51</f>
        <v>2</v>
      </c>
      <c r="I18" s="7">
        <f>C18*H18</f>
        <v>2</v>
      </c>
      <c r="J18" s="1">
        <f>'METRADO MONTANTES'!C18</f>
        <v>2</v>
      </c>
      <c r="K18" s="7">
        <f>C18*J18</f>
        <v>2</v>
      </c>
    </row>
    <row r="19" spans="2:11" ht="23.5" customHeight="1">
      <c r="B19" s="11" t="s">
        <v>291</v>
      </c>
      <c r="C19" s="1">
        <v>1</v>
      </c>
      <c r="D19" s="15">
        <f>D18</f>
        <v>17.329999999999998</v>
      </c>
      <c r="E19" s="222">
        <f>C19*D19</f>
        <v>17.329999999999998</v>
      </c>
      <c r="F19" s="1">
        <f>IF(D19&gt;0,ROUNDUP(D19/$F$50,0)+1,0)</f>
        <v>30</v>
      </c>
      <c r="G19" s="7">
        <f>C19*F19</f>
        <v>30</v>
      </c>
      <c r="H19" s="1">
        <f>$F$51</f>
        <v>2</v>
      </c>
      <c r="I19" s="7">
        <f>C19*H19</f>
        <v>2</v>
      </c>
      <c r="J19" s="1">
        <f>'METRADO MONTANTES'!C19</f>
        <v>2</v>
      </c>
      <c r="K19" s="7">
        <f>C19*J19</f>
        <v>2</v>
      </c>
    </row>
    <row r="20" spans="2:11" ht="23.5" customHeight="1">
      <c r="B20" s="8" t="s">
        <v>272</v>
      </c>
      <c r="C20" s="1"/>
      <c r="D20" s="1"/>
      <c r="E20" s="1"/>
      <c r="F20" s="1"/>
      <c r="G20" s="1"/>
      <c r="H20" s="1"/>
      <c r="I20" s="1"/>
      <c r="J20" s="1"/>
      <c r="K20" s="1"/>
    </row>
    <row r="21" spans="2:11" ht="23.5" customHeight="1">
      <c r="B21" s="11" t="s">
        <v>290</v>
      </c>
      <c r="C21" s="1">
        <v>1</v>
      </c>
      <c r="D21" s="15">
        <v>38.130000000000003</v>
      </c>
      <c r="E21" s="222">
        <f>C21*D21</f>
        <v>38.130000000000003</v>
      </c>
      <c r="F21" s="1">
        <f>IF(D21&gt;0,ROUNDUP(D21/$F$50,0)+1,0)</f>
        <v>65</v>
      </c>
      <c r="G21" s="7">
        <f>C21*F21</f>
        <v>65</v>
      </c>
      <c r="H21" s="1">
        <f>$F$51</f>
        <v>2</v>
      </c>
      <c r="I21" s="7">
        <f>C21*H21</f>
        <v>2</v>
      </c>
      <c r="J21" s="1">
        <f>'METRADO MONTANTES'!C21</f>
        <v>3</v>
      </c>
      <c r="K21" s="7">
        <f>C21*J21</f>
        <v>3</v>
      </c>
    </row>
    <row r="22" spans="2:11" ht="23.5" customHeight="1">
      <c r="B22" s="11" t="s">
        <v>291</v>
      </c>
      <c r="C22" s="1">
        <v>1</v>
      </c>
      <c r="D22" s="15">
        <f>D21</f>
        <v>38.130000000000003</v>
      </c>
      <c r="E22" s="222">
        <f>C22*D22</f>
        <v>38.130000000000003</v>
      </c>
      <c r="F22" s="1">
        <f>IF(D22&gt;0,ROUNDUP(D22/$F$50,0)+1,0)</f>
        <v>65</v>
      </c>
      <c r="G22" s="7">
        <f>C22*F22</f>
        <v>65</v>
      </c>
      <c r="H22" s="1">
        <f>$F$51</f>
        <v>2</v>
      </c>
      <c r="I22" s="7">
        <f>C22*H22</f>
        <v>2</v>
      </c>
      <c r="J22" s="1">
        <f>'METRADO MONTANTES'!C22</f>
        <v>3</v>
      </c>
      <c r="K22" s="7">
        <f>C22*J22</f>
        <v>3</v>
      </c>
    </row>
    <row r="23" spans="2:11" ht="23.5" customHeight="1">
      <c r="B23" s="8" t="s">
        <v>273</v>
      </c>
      <c r="C23" s="1"/>
      <c r="D23" s="1"/>
      <c r="E23" s="1"/>
      <c r="F23" s="1"/>
      <c r="G23" s="1"/>
      <c r="H23" s="1"/>
      <c r="I23" s="1"/>
      <c r="J23" s="1"/>
      <c r="K23" s="1"/>
    </row>
    <row r="24" spans="2:11" ht="23.5" customHeight="1">
      <c r="B24" s="11" t="s">
        <v>290</v>
      </c>
      <c r="C24" s="1">
        <v>1</v>
      </c>
      <c r="D24" s="15">
        <v>32.31</v>
      </c>
      <c r="E24" s="222">
        <f>C24*D24</f>
        <v>32.31</v>
      </c>
      <c r="F24" s="1">
        <f>IF(D24&gt;0,ROUNDUP(D24/$F$50,0)+1,0)</f>
        <v>55</v>
      </c>
      <c r="G24" s="7">
        <f>C24*F24</f>
        <v>55</v>
      </c>
      <c r="H24" s="1">
        <f>$F$51</f>
        <v>2</v>
      </c>
      <c r="I24" s="7">
        <f>C24*H24</f>
        <v>2</v>
      </c>
      <c r="J24" s="1">
        <f>'METRADO MONTANTES'!C24</f>
        <v>3</v>
      </c>
      <c r="K24" s="7">
        <f>C24*J24</f>
        <v>3</v>
      </c>
    </row>
    <row r="25" spans="2:11" ht="23.5" customHeight="1">
      <c r="B25" s="11" t="s">
        <v>291</v>
      </c>
      <c r="C25" s="1">
        <v>1</v>
      </c>
      <c r="D25" s="15">
        <f>D24</f>
        <v>32.31</v>
      </c>
      <c r="E25" s="222">
        <f>C25*D25</f>
        <v>32.31</v>
      </c>
      <c r="F25" s="1">
        <f>IF(D25&gt;0,ROUNDUP(D25/$F$50,0)+1,0)</f>
        <v>55</v>
      </c>
      <c r="G25" s="7">
        <f>C25*F25</f>
        <v>55</v>
      </c>
      <c r="H25" s="1">
        <f>$F$51</f>
        <v>2</v>
      </c>
      <c r="I25" s="7">
        <f>C25*H25</f>
        <v>2</v>
      </c>
      <c r="J25" s="1">
        <f>'METRADO MONTANTES'!C25</f>
        <v>3</v>
      </c>
      <c r="K25" s="7">
        <f>C25*J25</f>
        <v>3</v>
      </c>
    </row>
    <row r="26" spans="2:11" ht="23.5" customHeight="1">
      <c r="B26" s="8" t="s">
        <v>274</v>
      </c>
      <c r="C26" s="1"/>
      <c r="D26" s="1"/>
      <c r="E26" s="1"/>
      <c r="F26" s="1"/>
      <c r="G26" s="1"/>
      <c r="H26" s="1"/>
      <c r="I26" s="1"/>
      <c r="J26" s="1"/>
      <c r="K26" s="1"/>
    </row>
    <row r="27" spans="2:11" ht="23.5" customHeight="1">
      <c r="B27" s="11" t="s">
        <v>290</v>
      </c>
      <c r="C27" s="1">
        <v>1</v>
      </c>
      <c r="D27" s="15">
        <v>20.73</v>
      </c>
      <c r="E27" s="222">
        <f>C27*D27</f>
        <v>20.73</v>
      </c>
      <c r="F27" s="1">
        <f>IF(D27&gt;0,ROUNDUP(D27/$F$50,0)+1,0)</f>
        <v>36</v>
      </c>
      <c r="G27" s="7">
        <f>C27*F27</f>
        <v>36</v>
      </c>
      <c r="H27" s="1">
        <f>$F$51</f>
        <v>2</v>
      </c>
      <c r="I27" s="7">
        <f>C27*H27</f>
        <v>2</v>
      </c>
      <c r="J27" s="1">
        <f>'METRADO MONTANTES'!C27</f>
        <v>2</v>
      </c>
      <c r="K27" s="7">
        <f>C27*J27</f>
        <v>2</v>
      </c>
    </row>
    <row r="28" spans="2:11" ht="23.5" customHeight="1">
      <c r="B28" s="11" t="s">
        <v>291</v>
      </c>
      <c r="C28" s="1">
        <v>1</v>
      </c>
      <c r="D28" s="15">
        <f>D27</f>
        <v>20.73</v>
      </c>
      <c r="E28" s="222">
        <f>C28*D28</f>
        <v>20.73</v>
      </c>
      <c r="F28" s="1">
        <f>IF(D28&gt;0,ROUNDUP(D28/$F$50,0)+1,0)</f>
        <v>36</v>
      </c>
      <c r="G28" s="7">
        <f>C28*F28</f>
        <v>36</v>
      </c>
      <c r="H28" s="1">
        <f>$F$51</f>
        <v>2</v>
      </c>
      <c r="I28" s="7">
        <f>C28*H28</f>
        <v>2</v>
      </c>
      <c r="J28" s="1">
        <f>'METRADO MONTANTES'!C28</f>
        <v>2</v>
      </c>
      <c r="K28" s="7">
        <f>C28*J28</f>
        <v>2</v>
      </c>
    </row>
    <row r="29" spans="2:11" ht="23.5" customHeight="1">
      <c r="B29" s="8" t="s">
        <v>275</v>
      </c>
      <c r="C29" s="1"/>
      <c r="D29" s="1"/>
      <c r="E29" s="1"/>
      <c r="F29" s="1"/>
      <c r="G29" s="1"/>
      <c r="H29" s="1"/>
      <c r="I29" s="1"/>
      <c r="J29" s="1"/>
      <c r="K29" s="1"/>
    </row>
    <row r="30" spans="2:11" ht="23.5" customHeight="1">
      <c r="B30" s="11" t="s">
        <v>290</v>
      </c>
      <c r="C30" s="1">
        <v>1</v>
      </c>
      <c r="D30" s="15">
        <v>38.130000000000003</v>
      </c>
      <c r="E30" s="222">
        <f>C30*D30</f>
        <v>38.130000000000003</v>
      </c>
      <c r="F30" s="1">
        <f>IF(D30&gt;0,ROUNDUP(D30/$F$50,0)+1,0)</f>
        <v>65</v>
      </c>
      <c r="G30" s="7">
        <f>C30*F30</f>
        <v>65</v>
      </c>
      <c r="H30" s="1">
        <f>$F$51</f>
        <v>2</v>
      </c>
      <c r="I30" s="7">
        <f>C30*H30</f>
        <v>2</v>
      </c>
      <c r="J30" s="1">
        <f>'METRADO MONTANTES'!C30</f>
        <v>3</v>
      </c>
      <c r="K30" s="7">
        <f>C30*J30</f>
        <v>3</v>
      </c>
    </row>
    <row r="31" spans="2:11" ht="23.5" customHeight="1">
      <c r="B31" s="11" t="s">
        <v>291</v>
      </c>
      <c r="C31" s="1">
        <v>1</v>
      </c>
      <c r="D31" s="15">
        <f>D30</f>
        <v>38.130000000000003</v>
      </c>
      <c r="E31" s="222">
        <f>C31*D31</f>
        <v>38.130000000000003</v>
      </c>
      <c r="F31" s="1">
        <f>IF(D31&gt;0,ROUNDUP(D31/$F$50,0)+1,0)</f>
        <v>65</v>
      </c>
      <c r="G31" s="7">
        <f>C31*F31</f>
        <v>65</v>
      </c>
      <c r="H31" s="1">
        <f>$F$51</f>
        <v>2</v>
      </c>
      <c r="I31" s="7">
        <f>C31*H31</f>
        <v>2</v>
      </c>
      <c r="J31" s="1">
        <f>'METRADO MONTANTES'!C31</f>
        <v>3</v>
      </c>
      <c r="K31" s="7">
        <f>C31*J31</f>
        <v>3</v>
      </c>
    </row>
    <row r="32" spans="2:11" ht="23.5" customHeight="1">
      <c r="B32" s="8" t="s">
        <v>276</v>
      </c>
      <c r="C32" s="1"/>
      <c r="D32" s="1"/>
      <c r="E32" s="1"/>
      <c r="F32" s="1"/>
      <c r="G32" s="1"/>
      <c r="H32" s="1"/>
      <c r="I32" s="1"/>
      <c r="J32" s="1"/>
      <c r="K32" s="1"/>
    </row>
    <row r="33" spans="2:11" ht="23.5" customHeight="1">
      <c r="B33" s="11" t="s">
        <v>290</v>
      </c>
      <c r="C33" s="1">
        <v>1</v>
      </c>
      <c r="D33" s="15">
        <v>20.73</v>
      </c>
      <c r="E33" s="222">
        <f>C33*D33</f>
        <v>20.73</v>
      </c>
      <c r="F33" s="1">
        <f>IF(D33&gt;0,ROUNDUP(D33/$F$50,0)+1,0)</f>
        <v>36</v>
      </c>
      <c r="G33" s="7">
        <f>C33*F33</f>
        <v>36</v>
      </c>
      <c r="H33" s="1">
        <f>$F$51</f>
        <v>2</v>
      </c>
      <c r="I33" s="7">
        <f>C33*H33</f>
        <v>2</v>
      </c>
      <c r="J33" s="1">
        <f>'METRADO MONTANTES'!C33</f>
        <v>2</v>
      </c>
      <c r="K33" s="7">
        <f>C33*J33</f>
        <v>2</v>
      </c>
    </row>
    <row r="34" spans="2:11" ht="23.5" customHeight="1">
      <c r="B34" s="11" t="s">
        <v>291</v>
      </c>
      <c r="C34" s="1">
        <v>1</v>
      </c>
      <c r="D34" s="15">
        <f>D33</f>
        <v>20.73</v>
      </c>
      <c r="E34" s="222">
        <f>C34*D34</f>
        <v>20.73</v>
      </c>
      <c r="F34" s="1">
        <f>IF(D34&gt;0,ROUNDUP(D34/$F$50,0)+1,0)</f>
        <v>36</v>
      </c>
      <c r="G34" s="7">
        <f>C34*F34</f>
        <v>36</v>
      </c>
      <c r="H34" s="1">
        <f>$F$51</f>
        <v>2</v>
      </c>
      <c r="I34" s="7">
        <f>C34*H34</f>
        <v>2</v>
      </c>
      <c r="J34" s="1">
        <f>'METRADO MONTANTES'!C34</f>
        <v>2</v>
      </c>
      <c r="K34" s="7">
        <f>C34*J34</f>
        <v>2</v>
      </c>
    </row>
    <row r="35" spans="2:11" ht="23.5" customHeight="1">
      <c r="B35" s="8" t="s">
        <v>277</v>
      </c>
      <c r="C35" s="1"/>
      <c r="D35" s="1"/>
      <c r="E35" s="1"/>
      <c r="F35" s="1"/>
      <c r="G35" s="1"/>
      <c r="H35" s="1"/>
      <c r="I35" s="1"/>
      <c r="J35" s="1"/>
      <c r="K35" s="1"/>
    </row>
    <row r="36" spans="2:11" ht="23.5" customHeight="1">
      <c r="B36" s="11" t="s">
        <v>290</v>
      </c>
      <c r="C36" s="1">
        <v>1</v>
      </c>
      <c r="D36" s="15">
        <v>14.77</v>
      </c>
      <c r="E36" s="222">
        <f>C36*D36</f>
        <v>14.77</v>
      </c>
      <c r="F36" s="1">
        <f>IF(D36&gt;0,ROUNDUP(D36/$F$50,0)+1,0)</f>
        <v>26</v>
      </c>
      <c r="G36" s="7">
        <f>C36*F36</f>
        <v>26</v>
      </c>
      <c r="H36" s="1">
        <f>$F$51</f>
        <v>2</v>
      </c>
      <c r="I36" s="7">
        <f>C36*H36</f>
        <v>2</v>
      </c>
      <c r="J36" s="1">
        <f>'METRADO MONTANTES'!C36</f>
        <v>2</v>
      </c>
      <c r="K36" s="7">
        <f>C36*J36</f>
        <v>2</v>
      </c>
    </row>
    <row r="37" spans="2:11" ht="23.5" customHeight="1">
      <c r="B37" s="11" t="s">
        <v>291</v>
      </c>
      <c r="C37" s="1">
        <v>1</v>
      </c>
      <c r="D37" s="15">
        <f>D36</f>
        <v>14.77</v>
      </c>
      <c r="E37" s="222">
        <f>C37*D37</f>
        <v>14.77</v>
      </c>
      <c r="F37" s="1">
        <f>IF(D37&gt;0,ROUNDUP(D37/$F$50,0)+1,0)</f>
        <v>26</v>
      </c>
      <c r="G37" s="7">
        <f>C37*F37</f>
        <v>26</v>
      </c>
      <c r="H37" s="1">
        <f>$F$51</f>
        <v>2</v>
      </c>
      <c r="I37" s="7">
        <f>C37*H37</f>
        <v>2</v>
      </c>
      <c r="J37" s="1">
        <f>'METRADO MONTANTES'!C37</f>
        <v>2</v>
      </c>
      <c r="K37" s="7">
        <f>C37*J37</f>
        <v>2</v>
      </c>
    </row>
    <row r="38" spans="2:11" ht="23.5" customHeight="1">
      <c r="B38" s="8" t="s">
        <v>278</v>
      </c>
      <c r="C38" s="1"/>
      <c r="D38" s="1"/>
      <c r="E38" s="1"/>
      <c r="F38" s="1"/>
      <c r="G38" s="1"/>
      <c r="H38" s="1"/>
      <c r="I38" s="1"/>
      <c r="J38" s="1"/>
      <c r="K38" s="1"/>
    </row>
    <row r="39" spans="2:11" ht="23.5" customHeight="1">
      <c r="B39" s="11" t="s">
        <v>290</v>
      </c>
      <c r="C39" s="1">
        <v>1</v>
      </c>
      <c r="D39" s="15">
        <v>35.200000000000003</v>
      </c>
      <c r="E39" s="222">
        <f>C39*D39</f>
        <v>35.200000000000003</v>
      </c>
      <c r="F39" s="1">
        <f>IF(D39&gt;0,ROUNDUP(D39/$F$50,0)+1,0)</f>
        <v>60</v>
      </c>
      <c r="G39" s="7">
        <f>C39*F39</f>
        <v>60</v>
      </c>
      <c r="H39" s="1">
        <f>$F$51</f>
        <v>2</v>
      </c>
      <c r="I39" s="7">
        <f>C39*H39</f>
        <v>2</v>
      </c>
      <c r="J39" s="1">
        <f>'METRADO MONTANTES'!C39</f>
        <v>4</v>
      </c>
      <c r="K39" s="7">
        <f>C39*J39</f>
        <v>4</v>
      </c>
    </row>
    <row r="40" spans="2:11" ht="23.5" customHeight="1">
      <c r="B40" s="11" t="s">
        <v>291</v>
      </c>
      <c r="C40" s="1">
        <v>1</v>
      </c>
      <c r="D40" s="15">
        <f>D39</f>
        <v>35.200000000000003</v>
      </c>
      <c r="E40" s="222">
        <f>C40*D40</f>
        <v>35.200000000000003</v>
      </c>
      <c r="F40" s="1">
        <f>IF(D40&gt;0,ROUNDUP(D40/$F$50,0)+1,0)</f>
        <v>60</v>
      </c>
      <c r="G40" s="7">
        <f>C40*F40</f>
        <v>60</v>
      </c>
      <c r="H40" s="1">
        <f>$F$51</f>
        <v>2</v>
      </c>
      <c r="I40" s="7">
        <f>C40*H40</f>
        <v>2</v>
      </c>
      <c r="J40" s="1">
        <f>'METRADO MONTANTES'!C40</f>
        <v>4</v>
      </c>
      <c r="K40" s="7">
        <f>C40*J40</f>
        <v>4</v>
      </c>
    </row>
    <row r="41" spans="2:11" ht="23.5" customHeight="1">
      <c r="B41" s="9" t="s">
        <v>166</v>
      </c>
      <c r="C41" s="9">
        <f>SUM(C11:C40)</f>
        <v>20</v>
      </c>
      <c r="D41" s="9"/>
      <c r="E41" s="223">
        <f>SUM(E11:E40)</f>
        <v>513.98</v>
      </c>
      <c r="F41" s="9"/>
      <c r="G41" s="9">
        <f>SUM(G11:G40)</f>
        <v>884</v>
      </c>
      <c r="H41" s="9"/>
      <c r="I41" s="9">
        <f>SUM(I11:I40)</f>
        <v>40</v>
      </c>
      <c r="J41" s="9"/>
      <c r="K41" s="9">
        <f>SUM(K11:K40)</f>
        <v>52</v>
      </c>
    </row>
    <row r="43" spans="2:11" ht="15.5">
      <c r="B43" s="305" t="s">
        <v>292</v>
      </c>
      <c r="C43" s="301"/>
      <c r="D43" s="301"/>
      <c r="E43" s="301"/>
      <c r="F43" s="301"/>
      <c r="G43" s="301"/>
      <c r="H43" s="301"/>
      <c r="I43" s="301"/>
      <c r="J43" s="301"/>
      <c r="K43" s="302"/>
    </row>
    <row r="44" spans="2:11" ht="15.5">
      <c r="B44" s="303" t="s">
        <v>293</v>
      </c>
      <c r="C44" s="301"/>
      <c r="D44" s="301"/>
      <c r="E44" s="302"/>
      <c r="F44" s="224" t="s">
        <v>294</v>
      </c>
      <c r="G44" s="224" t="s">
        <v>295</v>
      </c>
      <c r="H44" s="303" t="s">
        <v>296</v>
      </c>
      <c r="I44" s="301"/>
      <c r="J44" s="301"/>
      <c r="K44" s="302"/>
    </row>
    <row r="45" spans="2:11" ht="18" customHeight="1">
      <c r="B45" s="300" t="s">
        <v>297</v>
      </c>
      <c r="C45" s="301"/>
      <c r="D45" s="301"/>
      <c r="E45" s="302"/>
      <c r="F45" s="225">
        <v>0.25</v>
      </c>
      <c r="G45" s="226" t="s">
        <v>69</v>
      </c>
      <c r="H45" s="300" t="s">
        <v>298</v>
      </c>
      <c r="I45" s="301"/>
      <c r="J45" s="301"/>
      <c r="K45" s="302"/>
    </row>
    <row r="46" spans="2:11" ht="18" customHeight="1">
      <c r="B46" s="300" t="s">
        <v>299</v>
      </c>
      <c r="C46" s="301"/>
      <c r="D46" s="301"/>
      <c r="E46" s="302"/>
      <c r="F46" s="225">
        <v>0.2</v>
      </c>
      <c r="G46" s="226" t="s">
        <v>69</v>
      </c>
      <c r="H46" s="300" t="s">
        <v>298</v>
      </c>
      <c r="I46" s="301"/>
      <c r="J46" s="301"/>
      <c r="K46" s="302"/>
    </row>
    <row r="47" spans="2:11" ht="18" customHeight="1">
      <c r="B47" s="300" t="s">
        <v>300</v>
      </c>
      <c r="C47" s="301"/>
      <c r="D47" s="301"/>
      <c r="E47" s="302"/>
      <c r="F47" s="225">
        <v>0.05</v>
      </c>
      <c r="G47" s="226" t="s">
        <v>69</v>
      </c>
      <c r="H47" s="300" t="s">
        <v>301</v>
      </c>
      <c r="I47" s="301"/>
      <c r="J47" s="301"/>
      <c r="K47" s="302"/>
    </row>
    <row r="48" spans="2:11" ht="18" customHeight="1">
      <c r="B48" s="300" t="s">
        <v>302</v>
      </c>
      <c r="C48" s="301"/>
      <c r="D48" s="301"/>
      <c r="E48" s="302"/>
      <c r="F48" s="225">
        <f>F45+2*F46+2*F47</f>
        <v>0.75</v>
      </c>
      <c r="G48" s="226" t="s">
        <v>69</v>
      </c>
      <c r="H48" s="300" t="s">
        <v>303</v>
      </c>
      <c r="I48" s="301"/>
      <c r="J48" s="301"/>
      <c r="K48" s="302"/>
    </row>
    <row r="49" spans="2:11" ht="31" customHeight="1">
      <c r="B49" s="300" t="s">
        <v>304</v>
      </c>
      <c r="C49" s="301"/>
      <c r="D49" s="301"/>
      <c r="E49" s="302"/>
      <c r="F49" s="227">
        <v>0.9</v>
      </c>
      <c r="G49" s="226" t="s">
        <v>305</v>
      </c>
      <c r="H49" s="300" t="s">
        <v>306</v>
      </c>
      <c r="I49" s="301"/>
      <c r="J49" s="301"/>
      <c r="K49" s="302"/>
    </row>
    <row r="50" spans="2:11" ht="31" customHeight="1">
      <c r="B50" s="300" t="s">
        <v>307</v>
      </c>
      <c r="C50" s="301"/>
      <c r="D50" s="301"/>
      <c r="E50" s="302"/>
      <c r="F50" s="225">
        <v>0.6</v>
      </c>
      <c r="G50" s="226" t="s">
        <v>69</v>
      </c>
      <c r="H50" s="300" t="s">
        <v>308</v>
      </c>
      <c r="I50" s="301"/>
      <c r="J50" s="301"/>
      <c r="K50" s="302"/>
    </row>
    <row r="51" spans="2:11" ht="18" customHeight="1">
      <c r="B51" s="300" t="s">
        <v>309</v>
      </c>
      <c r="C51" s="301"/>
      <c r="D51" s="301"/>
      <c r="E51" s="302"/>
      <c r="F51" s="228">
        <v>2</v>
      </c>
      <c r="G51" s="226" t="s">
        <v>60</v>
      </c>
      <c r="H51" s="300" t="s">
        <v>310</v>
      </c>
      <c r="I51" s="301"/>
      <c r="J51" s="301"/>
      <c r="K51" s="302"/>
    </row>
    <row r="52" spans="2:11" ht="31" customHeight="1">
      <c r="B52" s="304" t="s">
        <v>311</v>
      </c>
      <c r="C52" s="301"/>
      <c r="D52" s="301"/>
      <c r="E52" s="302"/>
      <c r="F52" s="229">
        <f>E41*F48</f>
        <v>385.48500000000001</v>
      </c>
      <c r="G52" s="230" t="s">
        <v>18</v>
      </c>
      <c r="H52" s="304" t="s">
        <v>312</v>
      </c>
      <c r="I52" s="301"/>
      <c r="J52" s="301"/>
      <c r="K52" s="302"/>
    </row>
  </sheetData>
  <mergeCells count="31">
    <mergeCell ref="B2:K2"/>
    <mergeCell ref="D9:E9"/>
    <mergeCell ref="H49:K49"/>
    <mergeCell ref="H51:K51"/>
    <mergeCell ref="F9:G9"/>
    <mergeCell ref="C6:K6"/>
    <mergeCell ref="B8:K8"/>
    <mergeCell ref="C5:K5"/>
    <mergeCell ref="B44:E44"/>
    <mergeCell ref="H45:K45"/>
    <mergeCell ref="C4:K4"/>
    <mergeCell ref="B52:E52"/>
    <mergeCell ref="B48:E48"/>
    <mergeCell ref="B43:K43"/>
    <mergeCell ref="C3:K3"/>
    <mergeCell ref="H46:K46"/>
    <mergeCell ref="H52:K52"/>
    <mergeCell ref="B49:E49"/>
    <mergeCell ref="H47:K47"/>
    <mergeCell ref="H48:K48"/>
    <mergeCell ref="B51:E51"/>
    <mergeCell ref="H9:I9"/>
    <mergeCell ref="J9:K9"/>
    <mergeCell ref="C9:C10"/>
    <mergeCell ref="B45:E45"/>
    <mergeCell ref="B50:E50"/>
    <mergeCell ref="B47:E47"/>
    <mergeCell ref="B46:E46"/>
    <mergeCell ref="H50:K50"/>
    <mergeCell ref="B9:B10"/>
    <mergeCell ref="H44:K44"/>
  </mergeCells>
  <printOptions horizontalCentered="1"/>
  <pageMargins left="1.417322834645669" right="0.39370078740157483" top="1.299212598425197" bottom="0.39370078740157483" header="0.31496062992125978" footer="0.31496062992125978"/>
  <pageSetup paperSize="9" fitToHeight="0" orientation="portrait"/>
  <headerFooter>
    <oddHeader>&amp;C&amp;G</oddHeader>
  </headerFooter>
  <legacyDrawing r:id="rId1"/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G35"/>
  <sheetViews>
    <sheetView view="pageBreakPreview" zoomScale="115" zoomScaleNormal="115" zoomScaleSheetLayoutView="115" workbookViewId="0">
      <selection activeCell="F17" sqref="F17"/>
    </sheetView>
  </sheetViews>
  <sheetFormatPr baseColWidth="10" defaultRowHeight="14"/>
  <cols>
    <col min="1" max="1" width="17.453125" style="63" customWidth="1"/>
    <col min="2" max="2" width="26.1796875" style="63" customWidth="1"/>
    <col min="3" max="6" width="19.6328125" style="63" customWidth="1"/>
    <col min="7" max="7" width="24" style="63" customWidth="1"/>
    <col min="8" max="9" width="10.90625" style="63" customWidth="1"/>
    <col min="10" max="16384" width="10.90625" style="63"/>
  </cols>
  <sheetData>
    <row r="1" spans="1:7" ht="18" customHeight="1">
      <c r="A1" s="309" t="s">
        <v>313</v>
      </c>
      <c r="B1" s="310"/>
      <c r="C1" s="310"/>
      <c r="D1" s="310"/>
      <c r="E1" s="310"/>
      <c r="F1" s="310"/>
      <c r="G1" s="310"/>
    </row>
    <row r="2" spans="1:7" ht="25" customHeight="1">
      <c r="A2" s="96" t="s">
        <v>1</v>
      </c>
      <c r="B2" s="308" t="str">
        <f>+RESUMEN!B4</f>
        <v>GERENCIA TERRITORIAL BAJO MAYO - TARAPOTO</v>
      </c>
      <c r="C2" s="232"/>
      <c r="D2" s="232"/>
      <c r="E2" s="232"/>
      <c r="F2" s="232"/>
      <c r="G2" s="233"/>
    </row>
    <row r="3" spans="1:7" ht="53.5" customHeight="1">
      <c r="A3" s="96" t="s">
        <v>3</v>
      </c>
      <c r="B3" s="308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3" s="232"/>
      <c r="D3" s="232"/>
      <c r="E3" s="232"/>
      <c r="F3" s="232"/>
      <c r="G3" s="233"/>
    </row>
    <row r="4" spans="1:7" ht="25" customHeight="1">
      <c r="A4" s="96" t="s">
        <v>5</v>
      </c>
      <c r="B4" s="308" t="str">
        <f>+RESUMEN!B6</f>
        <v>SAN MARTIN - SAN MARTIN - MORALES</v>
      </c>
      <c r="C4" s="232"/>
      <c r="D4" s="232"/>
      <c r="E4" s="232"/>
      <c r="F4" s="232"/>
      <c r="G4" s="233"/>
    </row>
    <row r="5" spans="1:7" ht="25" customHeight="1">
      <c r="A5" s="96" t="s">
        <v>7</v>
      </c>
      <c r="B5" s="311">
        <f>+RESUMEN!B7</f>
        <v>46266</v>
      </c>
      <c r="C5" s="232"/>
      <c r="D5" s="232"/>
      <c r="E5" s="232"/>
      <c r="F5" s="232"/>
      <c r="G5" s="233"/>
    </row>
    <row r="6" spans="1:7">
      <c r="A6" s="64"/>
      <c r="B6" s="64"/>
      <c r="C6" s="64"/>
      <c r="D6" s="64"/>
      <c r="E6" s="64"/>
      <c r="F6" s="64"/>
      <c r="G6" s="64"/>
    </row>
    <row r="7" spans="1:7" ht="39" customHeight="1">
      <c r="A7" s="93" t="s">
        <v>314</v>
      </c>
      <c r="B7" s="94" t="s">
        <v>315</v>
      </c>
      <c r="C7" s="94" t="s">
        <v>316</v>
      </c>
      <c r="D7" s="94" t="s">
        <v>317</v>
      </c>
      <c r="E7" s="94" t="s">
        <v>318</v>
      </c>
      <c r="F7" s="94" t="s">
        <v>319</v>
      </c>
      <c r="G7" s="95" t="s">
        <v>320</v>
      </c>
    </row>
    <row r="8" spans="1:7" ht="21" customHeight="1">
      <c r="A8" s="65" t="s">
        <v>321</v>
      </c>
      <c r="B8" s="62">
        <v>26.52</v>
      </c>
      <c r="C8" s="66">
        <v>6</v>
      </c>
      <c r="D8" s="66">
        <v>4</v>
      </c>
      <c r="E8" s="66">
        <v>0</v>
      </c>
      <c r="F8" s="66">
        <v>2</v>
      </c>
      <c r="G8" s="67" t="s">
        <v>322</v>
      </c>
    </row>
    <row r="9" spans="1:7" ht="21" customHeight="1">
      <c r="A9" s="65" t="s">
        <v>323</v>
      </c>
      <c r="B9" s="62">
        <v>27.18</v>
      </c>
      <c r="C9" s="66">
        <v>8</v>
      </c>
      <c r="D9" s="66">
        <v>4</v>
      </c>
      <c r="E9" s="66">
        <v>0</v>
      </c>
      <c r="F9" s="66">
        <v>2</v>
      </c>
      <c r="G9" s="67" t="s">
        <v>322</v>
      </c>
    </row>
    <row r="10" spans="1:7" ht="21" customHeight="1">
      <c r="A10" s="65" t="s">
        <v>324</v>
      </c>
      <c r="B10" s="62">
        <v>32</v>
      </c>
      <c r="C10" s="66">
        <v>6</v>
      </c>
      <c r="D10" s="66">
        <v>6</v>
      </c>
      <c r="E10" s="66">
        <v>0</v>
      </c>
      <c r="F10" s="66">
        <v>0</v>
      </c>
      <c r="G10" s="67" t="s">
        <v>322</v>
      </c>
    </row>
    <row r="11" spans="1:7" ht="21" customHeight="1">
      <c r="A11" s="65" t="s">
        <v>325</v>
      </c>
      <c r="B11" s="62">
        <v>26.56</v>
      </c>
      <c r="C11" s="66">
        <v>10</v>
      </c>
      <c r="D11" s="66">
        <v>10</v>
      </c>
      <c r="E11" s="66">
        <v>0</v>
      </c>
      <c r="F11" s="66">
        <v>0</v>
      </c>
      <c r="G11" s="67" t="s">
        <v>322</v>
      </c>
    </row>
    <row r="12" spans="1:7" ht="21" customHeight="1">
      <c r="A12" s="68" t="s">
        <v>166</v>
      </c>
      <c r="B12" s="152">
        <f>SUM(B8:B11)</f>
        <v>112.26</v>
      </c>
      <c r="C12" s="69">
        <f>SUM(C8:C11)</f>
        <v>30</v>
      </c>
      <c r="D12" s="69">
        <f>SUM(D8:D11)</f>
        <v>24</v>
      </c>
      <c r="E12" s="69">
        <f>SUM(E8:E11)</f>
        <v>0</v>
      </c>
      <c r="F12" s="69">
        <f>SUM(F8:F11)</f>
        <v>4</v>
      </c>
      <c r="G12" s="70"/>
    </row>
    <row r="13" spans="1:7">
      <c r="A13" s="64"/>
      <c r="B13" s="64"/>
      <c r="C13" s="64"/>
      <c r="D13" s="64"/>
      <c r="E13" s="64"/>
      <c r="F13" s="64"/>
      <c r="G13" s="64"/>
    </row>
    <row r="14" spans="1:7">
      <c r="A14" s="64"/>
      <c r="B14" s="64"/>
      <c r="C14" s="64"/>
      <c r="D14" s="64"/>
      <c r="E14" s="64"/>
      <c r="F14" s="64"/>
      <c r="G14" s="64"/>
    </row>
    <row r="15" spans="1:7">
      <c r="A15" s="64"/>
      <c r="B15" s="64"/>
      <c r="C15" s="64"/>
      <c r="D15" s="64"/>
      <c r="E15" s="64"/>
      <c r="F15" s="64"/>
      <c r="G15" s="64"/>
    </row>
    <row r="16" spans="1:7">
      <c r="A16" s="64"/>
      <c r="B16" s="64"/>
      <c r="C16" s="64"/>
      <c r="D16" s="64"/>
      <c r="E16" s="64"/>
      <c r="F16" s="64"/>
      <c r="G16" s="64"/>
    </row>
    <row r="17" spans="1:7">
      <c r="A17" s="64"/>
      <c r="B17" s="64"/>
      <c r="C17" s="64"/>
      <c r="D17" s="64"/>
      <c r="E17" s="64"/>
      <c r="F17" s="64"/>
      <c r="G17" s="64"/>
    </row>
    <row r="18" spans="1:7">
      <c r="A18" s="64"/>
      <c r="B18" s="64"/>
      <c r="C18" s="64"/>
      <c r="D18" s="64"/>
      <c r="E18" s="64"/>
      <c r="F18" s="64"/>
      <c r="G18" s="64"/>
    </row>
    <row r="19" spans="1:7">
      <c r="A19" s="64"/>
      <c r="B19" s="64"/>
      <c r="C19" s="64"/>
      <c r="D19" s="64"/>
      <c r="E19" s="64"/>
      <c r="F19" s="64"/>
      <c r="G19" s="64"/>
    </row>
    <row r="20" spans="1:7">
      <c r="A20" s="64"/>
      <c r="B20" s="64"/>
      <c r="C20" s="64"/>
      <c r="D20" s="64"/>
      <c r="E20" s="64"/>
      <c r="F20" s="64"/>
      <c r="G20" s="64"/>
    </row>
    <row r="21" spans="1:7">
      <c r="A21" s="64"/>
      <c r="B21" s="64"/>
      <c r="C21" s="64"/>
      <c r="D21" s="64"/>
      <c r="E21" s="64"/>
      <c r="F21" s="64"/>
      <c r="G21" s="64"/>
    </row>
    <row r="22" spans="1:7">
      <c r="A22" s="64"/>
      <c r="B22" s="64"/>
      <c r="C22" s="64"/>
      <c r="D22" s="64"/>
      <c r="E22" s="64"/>
      <c r="F22" s="64"/>
      <c r="G22" s="64"/>
    </row>
    <row r="23" spans="1:7">
      <c r="A23" s="64"/>
      <c r="B23" s="64"/>
      <c r="C23" s="64"/>
      <c r="D23" s="64"/>
      <c r="E23" s="64"/>
      <c r="F23" s="64"/>
      <c r="G23" s="64"/>
    </row>
    <row r="24" spans="1:7">
      <c r="A24" s="64"/>
      <c r="B24" s="64"/>
      <c r="C24" s="64"/>
      <c r="D24" s="64"/>
      <c r="E24" s="64"/>
      <c r="F24" s="64"/>
      <c r="G24" s="64"/>
    </row>
    <row r="25" spans="1:7">
      <c r="A25" s="64"/>
      <c r="B25" s="64"/>
      <c r="C25" s="64"/>
      <c r="D25" s="64"/>
      <c r="E25" s="64"/>
      <c r="F25" s="64"/>
      <c r="G25" s="64"/>
    </row>
    <row r="26" spans="1:7">
      <c r="A26" s="64"/>
      <c r="B26" s="64"/>
      <c r="C26" s="64"/>
      <c r="D26" s="64"/>
      <c r="E26" s="64"/>
      <c r="F26" s="64"/>
      <c r="G26" s="64"/>
    </row>
    <row r="27" spans="1:7">
      <c r="A27" s="64"/>
      <c r="B27" s="64"/>
      <c r="C27" s="64"/>
      <c r="D27" s="64"/>
      <c r="E27" s="64"/>
      <c r="F27" s="64"/>
      <c r="G27" s="64"/>
    </row>
    <row r="28" spans="1:7">
      <c r="A28" s="64"/>
      <c r="B28" s="64"/>
      <c r="C28" s="64"/>
      <c r="D28" s="64"/>
      <c r="E28" s="64"/>
      <c r="F28" s="64"/>
      <c r="G28" s="64"/>
    </row>
    <row r="29" spans="1:7">
      <c r="A29" s="64"/>
      <c r="B29" s="64"/>
      <c r="C29" s="64"/>
      <c r="D29" s="64"/>
      <c r="E29" s="64"/>
      <c r="F29" s="64"/>
      <c r="G29" s="64"/>
    </row>
    <row r="30" spans="1:7">
      <c r="A30" s="64"/>
      <c r="B30" s="64"/>
      <c r="C30" s="64"/>
      <c r="D30" s="64"/>
      <c r="E30" s="64"/>
      <c r="F30" s="64"/>
      <c r="G30" s="64"/>
    </row>
    <row r="31" spans="1:7">
      <c r="A31" s="64"/>
      <c r="B31" s="64"/>
      <c r="C31" s="64"/>
      <c r="D31" s="64"/>
      <c r="E31" s="64"/>
      <c r="F31" s="64"/>
      <c r="G31" s="64"/>
    </row>
    <row r="32" spans="1:7">
      <c r="A32" s="64"/>
      <c r="B32" s="64"/>
      <c r="C32" s="64"/>
      <c r="D32" s="64"/>
      <c r="E32" s="64"/>
      <c r="F32" s="64"/>
      <c r="G32" s="64"/>
    </row>
    <row r="33" spans="1:7">
      <c r="A33" s="64"/>
      <c r="B33" s="64"/>
      <c r="C33" s="64"/>
      <c r="D33" s="64"/>
      <c r="E33" s="64"/>
      <c r="F33" s="64"/>
      <c r="G33" s="64"/>
    </row>
    <row r="34" spans="1:7">
      <c r="A34" s="64"/>
      <c r="B34" s="64"/>
      <c r="C34" s="64"/>
      <c r="D34" s="64"/>
      <c r="E34" s="64"/>
      <c r="F34" s="64"/>
      <c r="G34" s="64"/>
    </row>
    <row r="35" spans="1:7">
      <c r="A35" s="64"/>
      <c r="B35" s="64"/>
      <c r="C35" s="64"/>
      <c r="D35" s="64"/>
      <c r="E35" s="64"/>
      <c r="F35" s="64"/>
      <c r="G35" s="64"/>
    </row>
  </sheetData>
  <mergeCells count="5">
    <mergeCell ref="B3:G3"/>
    <mergeCell ref="B2:G2"/>
    <mergeCell ref="A1:G1"/>
    <mergeCell ref="B5:G5"/>
    <mergeCell ref="B4:G4"/>
  </mergeCells>
  <pageMargins left="0.7" right="0.7" top="0.75" bottom="0.75" header="0.3" footer="0.3"/>
  <pageSetup paperSize="9" scale="90" fitToHeight="0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AG38"/>
  <sheetViews>
    <sheetView topLeftCell="A6" zoomScale="85" zoomScaleNormal="85" zoomScaleSheetLayoutView="100" workbookViewId="0">
      <selection activeCell="G11" sqref="G11:G37"/>
    </sheetView>
  </sheetViews>
  <sheetFormatPr baseColWidth="10" defaultColWidth="9.453125" defaultRowHeight="14"/>
  <cols>
    <col min="1" max="1" width="18" style="98" customWidth="1"/>
    <col min="2" max="2" width="10.81640625" style="98" customWidth="1"/>
    <col min="3" max="3" width="14.1796875" style="98" customWidth="1"/>
    <col min="4" max="4" width="16.36328125" style="98" customWidth="1"/>
    <col min="5" max="6" width="12" style="98" customWidth="1"/>
    <col min="7" max="7" width="13.08984375" style="189" customWidth="1"/>
    <col min="8" max="8" width="12" style="98" customWidth="1"/>
    <col min="9" max="9" width="14.1796875" style="98" customWidth="1"/>
    <col min="10" max="10" width="13.08984375" style="98" customWidth="1"/>
    <col min="11" max="12" width="14.1796875" style="98" customWidth="1"/>
    <col min="13" max="13" width="13.08984375" style="98" customWidth="1"/>
    <col min="14" max="14" width="15.26953125" style="98" customWidth="1"/>
    <col min="15" max="15" width="12" style="98" customWidth="1"/>
    <col min="16" max="16" width="14.1796875" style="98" customWidth="1"/>
    <col min="17" max="18" width="16.36328125" style="98" customWidth="1"/>
    <col min="19" max="20" width="14.1796875" style="98" customWidth="1"/>
    <col min="21" max="21" width="16.36328125" style="98" customWidth="1"/>
    <col min="22" max="22" width="13.08984375" style="98" customWidth="1"/>
    <col min="23" max="23" width="15.26953125" style="98" customWidth="1"/>
    <col min="24" max="24" width="10.90625" style="98" customWidth="1"/>
    <col min="25" max="25" width="13.08984375" style="98" customWidth="1"/>
    <col min="26" max="26" width="15.26953125" style="98" customWidth="1"/>
    <col min="27" max="28" width="16.36328125" style="98" customWidth="1"/>
    <col min="29" max="29" width="15.26953125" style="98" customWidth="1"/>
    <col min="30" max="30" width="14.1796875" style="98" customWidth="1"/>
    <col min="31" max="31" width="16.36328125" style="98" customWidth="1"/>
    <col min="32" max="32" width="14.1796875" style="98" customWidth="1"/>
    <col min="33" max="33" width="15.26953125" style="98" customWidth="1"/>
    <col min="34" max="35" width="9.453125" style="98" customWidth="1"/>
    <col min="36" max="16384" width="9.453125" style="98"/>
  </cols>
  <sheetData>
    <row r="1" spans="1:33" s="147" customFormat="1">
      <c r="A1" s="145"/>
      <c r="B1" s="146"/>
      <c r="C1" s="146"/>
      <c r="D1" s="146"/>
      <c r="E1" s="146"/>
      <c r="F1" s="146"/>
      <c r="G1" s="188"/>
      <c r="H1" s="146"/>
      <c r="I1" s="145"/>
      <c r="J1" s="146"/>
      <c r="K1" s="146"/>
      <c r="L1" s="146"/>
      <c r="M1" s="146"/>
      <c r="N1" s="145"/>
      <c r="O1" s="146"/>
      <c r="P1" s="146"/>
      <c r="Q1" s="146"/>
      <c r="R1" s="146"/>
      <c r="S1" s="146"/>
      <c r="T1" s="146"/>
      <c r="U1" s="146"/>
      <c r="V1" s="146"/>
      <c r="W1" s="145"/>
      <c r="X1" s="146"/>
      <c r="Y1" s="146"/>
      <c r="Z1" s="146"/>
      <c r="AA1" s="146"/>
      <c r="AB1" s="146"/>
      <c r="AC1" s="146"/>
      <c r="AD1" s="146"/>
      <c r="AE1" s="146"/>
      <c r="AF1" s="146"/>
      <c r="AG1" s="146"/>
    </row>
    <row r="2" spans="1:33" s="147" customFormat="1" ht="33.5" customHeight="1">
      <c r="A2" s="317" t="s">
        <v>326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3"/>
    </row>
    <row r="3" spans="1:33" s="147" customFormat="1" ht="30" customHeight="1">
      <c r="A3" s="149" t="s">
        <v>1</v>
      </c>
      <c r="B3" s="314" t="str">
        <f>+RESUMEN!B4</f>
        <v>GERENCIA TERRITORIAL BAJO MAYO - TARAPOTO</v>
      </c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  <c r="AA3" s="232"/>
      <c r="AB3" s="232"/>
      <c r="AC3" s="232"/>
      <c r="AD3" s="232"/>
      <c r="AE3" s="232"/>
      <c r="AF3" s="232"/>
      <c r="AG3" s="233"/>
    </row>
    <row r="4" spans="1:33" s="147" customFormat="1" ht="40" customHeight="1">
      <c r="A4" s="149" t="s">
        <v>3</v>
      </c>
      <c r="B4" s="314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  <c r="W4" s="232"/>
      <c r="X4" s="232"/>
      <c r="Y4" s="232"/>
      <c r="Z4" s="232"/>
      <c r="AA4" s="232"/>
      <c r="AB4" s="232"/>
      <c r="AC4" s="232"/>
      <c r="AD4" s="232"/>
      <c r="AE4" s="232"/>
      <c r="AF4" s="232"/>
      <c r="AG4" s="233"/>
    </row>
    <row r="5" spans="1:33" s="147" customFormat="1" ht="34.5" customHeight="1">
      <c r="A5" s="149" t="s">
        <v>5</v>
      </c>
      <c r="B5" s="314" t="str">
        <f>+RESUMEN!B6</f>
        <v>SAN MARTIN - SAN MARTIN - MORALES</v>
      </c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2"/>
      <c r="X5" s="232"/>
      <c r="Y5" s="232"/>
      <c r="Z5" s="232"/>
      <c r="AA5" s="232"/>
      <c r="AB5" s="232"/>
      <c r="AC5" s="232"/>
      <c r="AD5" s="232"/>
      <c r="AE5" s="232"/>
      <c r="AF5" s="232"/>
      <c r="AG5" s="233"/>
    </row>
    <row r="6" spans="1:33" s="147" customFormat="1" ht="30.5" customHeight="1">
      <c r="A6" s="149" t="s">
        <v>7</v>
      </c>
      <c r="B6" s="319">
        <f>+RESUMEN!B7</f>
        <v>46266</v>
      </c>
      <c r="C6" s="232"/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2"/>
      <c r="P6" s="232"/>
      <c r="Q6" s="232"/>
      <c r="R6" s="232"/>
      <c r="S6" s="232"/>
      <c r="T6" s="232"/>
      <c r="U6" s="232"/>
      <c r="V6" s="232"/>
      <c r="W6" s="232"/>
      <c r="X6" s="232"/>
      <c r="Y6" s="232"/>
      <c r="Z6" s="232"/>
      <c r="AA6" s="232"/>
      <c r="AB6" s="232"/>
      <c r="AC6" s="232"/>
      <c r="AD6" s="232"/>
      <c r="AE6" s="232"/>
      <c r="AF6" s="232"/>
      <c r="AG6" s="233"/>
    </row>
    <row r="7" spans="1:33" s="147" customFormat="1" ht="15.5" customHeigh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</row>
    <row r="8" spans="1:33" ht="22" customHeight="1">
      <c r="A8" s="315" t="s">
        <v>327</v>
      </c>
      <c r="B8" s="232"/>
      <c r="C8" s="232"/>
      <c r="D8" s="232"/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2"/>
      <c r="P8" s="232"/>
      <c r="Q8" s="232"/>
      <c r="R8" s="232"/>
      <c r="S8" s="232"/>
      <c r="T8" s="232"/>
      <c r="U8" s="232"/>
      <c r="V8" s="232"/>
      <c r="W8" s="232"/>
      <c r="X8" s="232"/>
      <c r="Y8" s="232"/>
      <c r="Z8" s="232"/>
      <c r="AA8" s="232"/>
      <c r="AB8" s="232"/>
      <c r="AC8" s="232"/>
      <c r="AD8" s="232"/>
      <c r="AE8" s="232"/>
      <c r="AF8" s="232"/>
      <c r="AG8" s="233"/>
    </row>
    <row r="9" spans="1:33" ht="23.5" customHeight="1">
      <c r="A9" s="316" t="s">
        <v>328</v>
      </c>
      <c r="B9" s="232"/>
      <c r="C9" s="232"/>
      <c r="D9" s="232"/>
      <c r="E9" s="232"/>
      <c r="F9" s="232"/>
      <c r="G9" s="233"/>
      <c r="H9" s="320" t="s">
        <v>329</v>
      </c>
      <c r="I9" s="232"/>
      <c r="J9" s="232"/>
      <c r="K9" s="232"/>
      <c r="L9" s="232"/>
      <c r="M9" s="232"/>
      <c r="N9" s="232"/>
      <c r="O9" s="233"/>
      <c r="P9" s="313" t="s">
        <v>330</v>
      </c>
      <c r="Q9" s="232"/>
      <c r="R9" s="232"/>
      <c r="S9" s="232"/>
      <c r="T9" s="232"/>
      <c r="U9" s="232"/>
      <c r="V9" s="232"/>
      <c r="W9" s="233"/>
      <c r="X9" s="318" t="s">
        <v>331</v>
      </c>
      <c r="Y9" s="232"/>
      <c r="Z9" s="232"/>
      <c r="AA9" s="232"/>
      <c r="AB9" s="232"/>
      <c r="AC9" s="232"/>
      <c r="AD9" s="232"/>
      <c r="AE9" s="232"/>
      <c r="AF9" s="233"/>
      <c r="AG9" s="148" t="s">
        <v>332</v>
      </c>
    </row>
    <row r="10" spans="1:33" ht="60.5" customHeight="1">
      <c r="A10" s="134" t="s">
        <v>333</v>
      </c>
      <c r="B10" s="134" t="s">
        <v>334</v>
      </c>
      <c r="C10" s="134" t="s">
        <v>335</v>
      </c>
      <c r="D10" s="134" t="s">
        <v>336</v>
      </c>
      <c r="E10" s="134" t="s">
        <v>337</v>
      </c>
      <c r="F10" s="134" t="s">
        <v>338</v>
      </c>
      <c r="G10" s="134" t="s">
        <v>339</v>
      </c>
      <c r="H10" s="134" t="s">
        <v>340</v>
      </c>
      <c r="I10" s="134" t="s">
        <v>341</v>
      </c>
      <c r="J10" s="134" t="s">
        <v>342</v>
      </c>
      <c r="K10" s="134" t="s">
        <v>343</v>
      </c>
      <c r="L10" s="134" t="s">
        <v>344</v>
      </c>
      <c r="M10" s="134" t="s">
        <v>345</v>
      </c>
      <c r="N10" s="134" t="s">
        <v>346</v>
      </c>
      <c r="O10" s="134" t="s">
        <v>347</v>
      </c>
      <c r="P10" s="134" t="s">
        <v>348</v>
      </c>
      <c r="Q10" s="134" t="s">
        <v>349</v>
      </c>
      <c r="R10" s="134" t="s">
        <v>350</v>
      </c>
      <c r="S10" s="134" t="s">
        <v>351</v>
      </c>
      <c r="T10" s="134" t="s">
        <v>352</v>
      </c>
      <c r="U10" s="134" t="s">
        <v>353</v>
      </c>
      <c r="V10" s="134" t="s">
        <v>354</v>
      </c>
      <c r="W10" s="134" t="s">
        <v>355</v>
      </c>
      <c r="X10" s="134" t="s">
        <v>356</v>
      </c>
      <c r="Y10" s="134" t="s">
        <v>357</v>
      </c>
      <c r="Z10" s="134" t="s">
        <v>358</v>
      </c>
      <c r="AA10" s="134" t="s">
        <v>359</v>
      </c>
      <c r="AB10" s="134" t="s">
        <v>360</v>
      </c>
      <c r="AC10" s="134" t="s">
        <v>361</v>
      </c>
      <c r="AD10" s="134" t="s">
        <v>362</v>
      </c>
      <c r="AE10" s="134" t="s">
        <v>363</v>
      </c>
      <c r="AF10" s="134" t="s">
        <v>364</v>
      </c>
      <c r="AG10" s="134" t="s">
        <v>365</v>
      </c>
    </row>
    <row r="11" spans="1:33" ht="36.5" customHeight="1">
      <c r="A11" s="135">
        <v>1</v>
      </c>
      <c r="B11" s="104" t="s">
        <v>366</v>
      </c>
      <c r="C11" s="104" t="s">
        <v>367</v>
      </c>
      <c r="D11" s="136" t="s">
        <v>250</v>
      </c>
      <c r="E11" s="104" t="s">
        <v>368</v>
      </c>
      <c r="F11" s="104" t="s">
        <v>369</v>
      </c>
      <c r="G11" s="105">
        <v>12</v>
      </c>
      <c r="H11" s="104" t="s">
        <v>370</v>
      </c>
      <c r="I11" s="137">
        <f>IF(H11="","",IFERROR(VLOOKUP(H11,Listas!$A$4:$B$11,2,FALSE),""))</f>
        <v>0.56000000000000005</v>
      </c>
      <c r="J11" s="105">
        <v>0.21</v>
      </c>
      <c r="K11" s="105">
        <v>7</v>
      </c>
      <c r="L11" s="105">
        <v>7</v>
      </c>
      <c r="M11" s="138">
        <f t="shared" ref="M11:M37" si="0">IF(B11="","",(K11+L11)/2)</f>
        <v>7</v>
      </c>
      <c r="N11" s="138">
        <f t="shared" ref="N11:N37" si="1">IF(B11="","",G11*M11)</f>
        <v>84</v>
      </c>
      <c r="O11" s="138">
        <f t="shared" ref="O11:O37" si="2">IF(B11="","",N11*I11)</f>
        <v>47.040000000000006</v>
      </c>
      <c r="P11" s="105">
        <v>0.25</v>
      </c>
      <c r="Q11" s="105">
        <v>1.42</v>
      </c>
      <c r="R11" s="105">
        <v>1.5</v>
      </c>
      <c r="S11" s="138">
        <f t="shared" ref="S11:S37" si="3">IF(B11="","",(Q11+R11)/2)</f>
        <v>1.46</v>
      </c>
      <c r="T11" s="138">
        <f t="shared" ref="T11:T37" si="4">IF(B11="","",IFERROR(IF($X$1="ENTERO (redondeo arriba)",ROUNDUP(G11/P11,0)+1,G11/P11+1),0))</f>
        <v>49</v>
      </c>
      <c r="U11" s="138">
        <f t="shared" ref="U11:U37" si="5">IF(B11="","",S11*T11)</f>
        <v>71.539999999999992</v>
      </c>
      <c r="V11" s="138">
        <f t="shared" ref="V11:V37" si="6">IF(B11="","",U11*I11)</f>
        <v>40.062399999999997</v>
      </c>
      <c r="W11" s="138">
        <f t="shared" ref="W11:W37" si="7">IF(B11="","",O11+V11)</f>
        <v>87.102400000000003</v>
      </c>
      <c r="X11" s="139"/>
      <c r="Y11" s="140"/>
      <c r="Z11" s="141"/>
      <c r="AA11" s="141"/>
      <c r="AB11" s="141"/>
      <c r="AC11" s="106">
        <f t="shared" ref="AC11:AC37" si="8">IF(B11="","",IF(D11="TAPADA",(AA11+AB11)/2,0))</f>
        <v>0</v>
      </c>
      <c r="AD11" s="106">
        <f t="shared" ref="AD11:AD37" si="9">IF(B11="","",IF(D11="TAPADA",IFERROR(IF($X$1="ENTERO (redondeo arriba)",ROUNDUP(G11/Z11,0)+1,G11/Z11+1),0),0))</f>
        <v>0</v>
      </c>
      <c r="AE11" s="106">
        <f t="shared" ref="AE11:AE37" si="10">IF(B11="","",IF(D11="TAPADA",AC11*AD11,0))</f>
        <v>0</v>
      </c>
      <c r="AF11" s="106">
        <f t="shared" ref="AF11:AF37" si="11">IF(B11="","",IF(D11="TAPADA",AE11*Y11,0))</f>
        <v>0</v>
      </c>
      <c r="AG11" s="142">
        <f t="shared" ref="AG11:AG37" si="12">IF(B11="","",W11+AF11)</f>
        <v>87.102400000000003</v>
      </c>
    </row>
    <row r="12" spans="1:33" ht="36.5" customHeight="1">
      <c r="A12" s="135">
        <v>2</v>
      </c>
      <c r="B12" s="104" t="s">
        <v>366</v>
      </c>
      <c r="C12" s="104" t="s">
        <v>371</v>
      </c>
      <c r="D12" s="136" t="s">
        <v>372</v>
      </c>
      <c r="E12" s="104" t="s">
        <v>369</v>
      </c>
      <c r="F12" s="104" t="s">
        <v>373</v>
      </c>
      <c r="G12" s="105">
        <v>5.14</v>
      </c>
      <c r="H12" s="104" t="s">
        <v>370</v>
      </c>
      <c r="I12" s="137">
        <f>IF(H12="","",IFERROR(VLOOKUP(H12,Listas!$A$4:$B$11,2,FALSE),""))</f>
        <v>0.56000000000000005</v>
      </c>
      <c r="J12" s="105">
        <v>0.23</v>
      </c>
      <c r="K12" s="105">
        <v>8</v>
      </c>
      <c r="L12" s="105">
        <v>8</v>
      </c>
      <c r="M12" s="138">
        <f t="shared" si="0"/>
        <v>8</v>
      </c>
      <c r="N12" s="138">
        <f t="shared" si="1"/>
        <v>41.12</v>
      </c>
      <c r="O12" s="138">
        <f t="shared" si="2"/>
        <v>23.027200000000001</v>
      </c>
      <c r="P12" s="105">
        <v>0.25</v>
      </c>
      <c r="Q12" s="105">
        <v>1.5</v>
      </c>
      <c r="R12" s="105">
        <v>1.58</v>
      </c>
      <c r="S12" s="138">
        <f t="shared" si="3"/>
        <v>1.54</v>
      </c>
      <c r="T12" s="138">
        <f t="shared" si="4"/>
        <v>21.56</v>
      </c>
      <c r="U12" s="138">
        <f t="shared" si="5"/>
        <v>33.202399999999997</v>
      </c>
      <c r="V12" s="138">
        <f t="shared" si="6"/>
        <v>18.593344000000002</v>
      </c>
      <c r="W12" s="138">
        <f t="shared" si="7"/>
        <v>41.620544000000002</v>
      </c>
      <c r="X12" s="139" t="s">
        <v>370</v>
      </c>
      <c r="Y12" s="140">
        <v>0.56000000000000005</v>
      </c>
      <c r="Z12" s="141">
        <v>0.25</v>
      </c>
      <c r="AA12" s="141">
        <v>0.56000000000000005</v>
      </c>
      <c r="AB12" s="141">
        <v>0.56000000000000005</v>
      </c>
      <c r="AC12" s="106">
        <f t="shared" si="8"/>
        <v>0.56000000000000005</v>
      </c>
      <c r="AD12" s="106">
        <f t="shared" si="9"/>
        <v>21.56</v>
      </c>
      <c r="AE12" s="106">
        <f t="shared" si="10"/>
        <v>12.073600000000001</v>
      </c>
      <c r="AF12" s="106">
        <f t="shared" si="11"/>
        <v>6.761216000000001</v>
      </c>
      <c r="AG12" s="142">
        <f t="shared" si="12"/>
        <v>48.38176</v>
      </c>
    </row>
    <row r="13" spans="1:33" ht="36.5" customHeight="1">
      <c r="A13" s="135">
        <v>3</v>
      </c>
      <c r="B13" s="104" t="s">
        <v>374</v>
      </c>
      <c r="C13" s="104" t="s">
        <v>367</v>
      </c>
      <c r="D13" s="136" t="s">
        <v>250</v>
      </c>
      <c r="E13" s="104" t="s">
        <v>375</v>
      </c>
      <c r="F13" s="104" t="s">
        <v>376</v>
      </c>
      <c r="G13" s="105">
        <v>17.5</v>
      </c>
      <c r="H13" s="104" t="s">
        <v>370</v>
      </c>
      <c r="I13" s="137">
        <f>IF(H13="","",IFERROR(VLOOKUP(H13,Listas!$A$4:$B$11,2,FALSE),""))</f>
        <v>0.56000000000000005</v>
      </c>
      <c r="J13" s="105">
        <v>0.23</v>
      </c>
      <c r="K13" s="105">
        <v>7</v>
      </c>
      <c r="L13" s="105">
        <v>7</v>
      </c>
      <c r="M13" s="138">
        <f t="shared" si="0"/>
        <v>7</v>
      </c>
      <c r="N13" s="138">
        <f t="shared" si="1"/>
        <v>122.5</v>
      </c>
      <c r="O13" s="138">
        <f t="shared" si="2"/>
        <v>68.600000000000009</v>
      </c>
      <c r="P13" s="105">
        <v>0.25</v>
      </c>
      <c r="Q13" s="105">
        <v>1.42</v>
      </c>
      <c r="R13" s="105">
        <v>1.58</v>
      </c>
      <c r="S13" s="138">
        <f t="shared" si="3"/>
        <v>1.5</v>
      </c>
      <c r="T13" s="138">
        <f t="shared" si="4"/>
        <v>71</v>
      </c>
      <c r="U13" s="138">
        <f t="shared" si="5"/>
        <v>106.5</v>
      </c>
      <c r="V13" s="138">
        <f t="shared" si="6"/>
        <v>59.640000000000008</v>
      </c>
      <c r="W13" s="138">
        <f t="shared" si="7"/>
        <v>128.24</v>
      </c>
      <c r="X13" s="139"/>
      <c r="Y13" s="140"/>
      <c r="Z13" s="141"/>
      <c r="AA13" s="141"/>
      <c r="AB13" s="141"/>
      <c r="AC13" s="106">
        <f t="shared" si="8"/>
        <v>0</v>
      </c>
      <c r="AD13" s="106">
        <f t="shared" si="9"/>
        <v>0</v>
      </c>
      <c r="AE13" s="106">
        <f t="shared" si="10"/>
        <v>0</v>
      </c>
      <c r="AF13" s="106">
        <f t="shared" si="11"/>
        <v>0</v>
      </c>
      <c r="AG13" s="142">
        <f t="shared" si="12"/>
        <v>128.24</v>
      </c>
    </row>
    <row r="14" spans="1:33" ht="36.5" customHeight="1">
      <c r="A14" s="135">
        <v>4</v>
      </c>
      <c r="B14" s="104" t="s">
        <v>374</v>
      </c>
      <c r="C14" s="104" t="s">
        <v>371</v>
      </c>
      <c r="D14" s="136" t="s">
        <v>372</v>
      </c>
      <c r="E14" s="104" t="s">
        <v>376</v>
      </c>
      <c r="F14" s="104" t="s">
        <v>377</v>
      </c>
      <c r="G14" s="105">
        <v>10.199999999999999</v>
      </c>
      <c r="H14" s="104" t="s">
        <v>370</v>
      </c>
      <c r="I14" s="137">
        <f>IF(H14="","",IFERROR(VLOOKUP(H14,Listas!$A$4:$B$11,2,FALSE),""))</f>
        <v>0.56000000000000005</v>
      </c>
      <c r="J14" s="105">
        <v>0.22</v>
      </c>
      <c r="K14" s="105">
        <v>8</v>
      </c>
      <c r="L14" s="105">
        <v>10</v>
      </c>
      <c r="M14" s="138">
        <f t="shared" si="0"/>
        <v>9</v>
      </c>
      <c r="N14" s="138">
        <f t="shared" si="1"/>
        <v>91.8</v>
      </c>
      <c r="O14" s="138">
        <f t="shared" si="2"/>
        <v>51.408000000000001</v>
      </c>
      <c r="P14" s="105">
        <v>0.25</v>
      </c>
      <c r="Q14" s="105">
        <v>1.58</v>
      </c>
      <c r="R14" s="105">
        <v>1.66</v>
      </c>
      <c r="S14" s="138">
        <f t="shared" si="3"/>
        <v>1.62</v>
      </c>
      <c r="T14" s="138">
        <f t="shared" si="4"/>
        <v>41.8</v>
      </c>
      <c r="U14" s="138">
        <f t="shared" si="5"/>
        <v>67.715999999999994</v>
      </c>
      <c r="V14" s="138">
        <f t="shared" si="6"/>
        <v>37.920960000000001</v>
      </c>
      <c r="W14" s="138">
        <f t="shared" si="7"/>
        <v>89.328959999999995</v>
      </c>
      <c r="X14" s="139" t="s">
        <v>370</v>
      </c>
      <c r="Y14" s="140">
        <v>0.56000000000000005</v>
      </c>
      <c r="Z14" s="141">
        <v>0.25</v>
      </c>
      <c r="AA14" s="141">
        <v>0.56000000000000005</v>
      </c>
      <c r="AB14" s="141">
        <v>0.56000000000000005</v>
      </c>
      <c r="AC14" s="106">
        <f t="shared" si="8"/>
        <v>0.56000000000000005</v>
      </c>
      <c r="AD14" s="106">
        <f t="shared" si="9"/>
        <v>41.8</v>
      </c>
      <c r="AE14" s="106">
        <f t="shared" si="10"/>
        <v>23.408000000000001</v>
      </c>
      <c r="AF14" s="106">
        <f t="shared" si="11"/>
        <v>13.108480000000002</v>
      </c>
      <c r="AG14" s="142">
        <f t="shared" si="12"/>
        <v>102.43744</v>
      </c>
    </row>
    <row r="15" spans="1:33" ht="36.5" customHeight="1">
      <c r="A15" s="135">
        <v>5</v>
      </c>
      <c r="B15" s="104" t="s">
        <v>374</v>
      </c>
      <c r="C15" s="104" t="s">
        <v>378</v>
      </c>
      <c r="D15" s="136" t="s">
        <v>250</v>
      </c>
      <c r="E15" s="104" t="s">
        <v>377</v>
      </c>
      <c r="F15" s="104" t="s">
        <v>379</v>
      </c>
      <c r="G15" s="105">
        <v>31.33</v>
      </c>
      <c r="H15" s="104" t="s">
        <v>370</v>
      </c>
      <c r="I15" s="137">
        <f>IF(H15="","",IFERROR(VLOOKUP(H15,Listas!$A$4:$B$11,2,FALSE),""))</f>
        <v>0.56000000000000005</v>
      </c>
      <c r="J15" s="105">
        <v>0.2</v>
      </c>
      <c r="K15" s="105">
        <v>9</v>
      </c>
      <c r="L15" s="105">
        <v>9</v>
      </c>
      <c r="M15" s="138">
        <f t="shared" si="0"/>
        <v>9</v>
      </c>
      <c r="N15" s="138">
        <f t="shared" si="1"/>
        <v>281.96999999999997</v>
      </c>
      <c r="O15" s="138">
        <f t="shared" si="2"/>
        <v>157.9032</v>
      </c>
      <c r="P15" s="105">
        <v>0.25</v>
      </c>
      <c r="Q15" s="105">
        <v>1.66</v>
      </c>
      <c r="R15" s="105">
        <v>2.02</v>
      </c>
      <c r="S15" s="138">
        <f t="shared" si="3"/>
        <v>1.8399999999999999</v>
      </c>
      <c r="T15" s="138">
        <f t="shared" si="4"/>
        <v>126.32</v>
      </c>
      <c r="U15" s="138">
        <f t="shared" si="5"/>
        <v>232.42879999999997</v>
      </c>
      <c r="V15" s="138">
        <f t="shared" si="6"/>
        <v>130.16012799999999</v>
      </c>
      <c r="W15" s="138">
        <f t="shared" si="7"/>
        <v>288.06332799999996</v>
      </c>
      <c r="X15" s="139"/>
      <c r="Y15" s="140"/>
      <c r="Z15" s="141"/>
      <c r="AA15" s="141"/>
      <c r="AB15" s="141"/>
      <c r="AC15" s="106">
        <f t="shared" si="8"/>
        <v>0</v>
      </c>
      <c r="AD15" s="106">
        <f t="shared" si="9"/>
        <v>0</v>
      </c>
      <c r="AE15" s="106">
        <f t="shared" si="10"/>
        <v>0</v>
      </c>
      <c r="AF15" s="106">
        <f t="shared" si="11"/>
        <v>0</v>
      </c>
      <c r="AG15" s="142">
        <f t="shared" si="12"/>
        <v>288.06332799999996</v>
      </c>
    </row>
    <row r="16" spans="1:33" ht="36.5" customHeight="1">
      <c r="A16" s="135">
        <v>6</v>
      </c>
      <c r="B16" s="104" t="s">
        <v>374</v>
      </c>
      <c r="C16" s="104" t="s">
        <v>380</v>
      </c>
      <c r="D16" s="136" t="s">
        <v>372</v>
      </c>
      <c r="E16" s="104" t="s">
        <v>379</v>
      </c>
      <c r="F16" s="104" t="s">
        <v>381</v>
      </c>
      <c r="G16" s="105">
        <v>8.36</v>
      </c>
      <c r="H16" s="104" t="s">
        <v>370</v>
      </c>
      <c r="I16" s="137">
        <f>IF(H16="","",IFERROR(VLOOKUP(H16,Listas!$A$4:$B$11,2,FALSE),""))</f>
        <v>0.56000000000000005</v>
      </c>
      <c r="J16" s="105">
        <v>0.23</v>
      </c>
      <c r="K16" s="105">
        <v>10</v>
      </c>
      <c r="L16" s="105">
        <v>10</v>
      </c>
      <c r="M16" s="138">
        <f t="shared" si="0"/>
        <v>10</v>
      </c>
      <c r="N16" s="138">
        <f t="shared" si="1"/>
        <v>83.6</v>
      </c>
      <c r="O16" s="138">
        <f t="shared" si="2"/>
        <v>46.816000000000003</v>
      </c>
      <c r="P16" s="105">
        <v>0.25</v>
      </c>
      <c r="Q16" s="105">
        <v>2.02</v>
      </c>
      <c r="R16" s="105">
        <v>2.08</v>
      </c>
      <c r="S16" s="138">
        <f t="shared" si="3"/>
        <v>2.0499999999999998</v>
      </c>
      <c r="T16" s="138">
        <f t="shared" si="4"/>
        <v>34.44</v>
      </c>
      <c r="U16" s="138">
        <f t="shared" si="5"/>
        <v>70.60199999999999</v>
      </c>
      <c r="V16" s="138">
        <f t="shared" si="6"/>
        <v>39.537119999999994</v>
      </c>
      <c r="W16" s="138">
        <f t="shared" si="7"/>
        <v>86.35311999999999</v>
      </c>
      <c r="X16" s="139" t="s">
        <v>370</v>
      </c>
      <c r="Y16" s="140">
        <v>0.56000000000000005</v>
      </c>
      <c r="Z16" s="141">
        <v>0.25</v>
      </c>
      <c r="AA16" s="141">
        <v>0.56000000000000005</v>
      </c>
      <c r="AB16" s="141">
        <v>0.56000000000000005</v>
      </c>
      <c r="AC16" s="106">
        <f t="shared" si="8"/>
        <v>0.56000000000000005</v>
      </c>
      <c r="AD16" s="106">
        <f t="shared" si="9"/>
        <v>34.44</v>
      </c>
      <c r="AE16" s="106">
        <f t="shared" si="10"/>
        <v>19.2864</v>
      </c>
      <c r="AF16" s="106">
        <f t="shared" si="11"/>
        <v>10.800384000000001</v>
      </c>
      <c r="AG16" s="142">
        <f t="shared" si="12"/>
        <v>97.153503999999998</v>
      </c>
    </row>
    <row r="17" spans="1:33" ht="36.5" customHeight="1">
      <c r="A17" s="135">
        <v>7</v>
      </c>
      <c r="B17" s="104" t="s">
        <v>374</v>
      </c>
      <c r="C17" s="104" t="s">
        <v>382</v>
      </c>
      <c r="D17" s="136" t="s">
        <v>250</v>
      </c>
      <c r="E17" s="104" t="s">
        <v>383</v>
      </c>
      <c r="F17" s="104" t="s">
        <v>384</v>
      </c>
      <c r="G17" s="105">
        <v>30.36</v>
      </c>
      <c r="H17" s="104" t="s">
        <v>370</v>
      </c>
      <c r="I17" s="137">
        <f>IF(H17="","",IFERROR(VLOOKUP(H17,Listas!$A$4:$B$11,2,FALSE),""))</f>
        <v>0.56000000000000005</v>
      </c>
      <c r="J17" s="105">
        <v>0.22</v>
      </c>
      <c r="K17" s="105">
        <v>9</v>
      </c>
      <c r="L17" s="105">
        <v>11</v>
      </c>
      <c r="M17" s="138">
        <f t="shared" si="0"/>
        <v>10</v>
      </c>
      <c r="N17" s="138">
        <f t="shared" si="1"/>
        <v>303.60000000000002</v>
      </c>
      <c r="O17" s="138">
        <f t="shared" si="2"/>
        <v>170.01600000000002</v>
      </c>
      <c r="P17" s="105">
        <v>0.25</v>
      </c>
      <c r="Q17" s="105">
        <v>2.08</v>
      </c>
      <c r="R17" s="105">
        <v>2.36</v>
      </c>
      <c r="S17" s="138">
        <f t="shared" si="3"/>
        <v>2.2199999999999998</v>
      </c>
      <c r="T17" s="138">
        <f t="shared" si="4"/>
        <v>122.44</v>
      </c>
      <c r="U17" s="138">
        <f t="shared" si="5"/>
        <v>271.81679999999994</v>
      </c>
      <c r="V17" s="138">
        <f t="shared" si="6"/>
        <v>152.21740799999998</v>
      </c>
      <c r="W17" s="138">
        <f t="shared" si="7"/>
        <v>322.233408</v>
      </c>
      <c r="X17" s="139"/>
      <c r="Y17" s="140"/>
      <c r="Z17" s="141"/>
      <c r="AA17" s="141"/>
      <c r="AB17" s="141"/>
      <c r="AC17" s="106">
        <f t="shared" si="8"/>
        <v>0</v>
      </c>
      <c r="AD17" s="106">
        <f t="shared" si="9"/>
        <v>0</v>
      </c>
      <c r="AE17" s="106">
        <f t="shared" si="10"/>
        <v>0</v>
      </c>
      <c r="AF17" s="106">
        <f t="shared" si="11"/>
        <v>0</v>
      </c>
      <c r="AG17" s="142">
        <f t="shared" si="12"/>
        <v>322.233408</v>
      </c>
    </row>
    <row r="18" spans="1:33" ht="36.5" customHeight="1">
      <c r="A18" s="135">
        <v>8</v>
      </c>
      <c r="B18" s="104" t="s">
        <v>374</v>
      </c>
      <c r="C18" s="104" t="s">
        <v>385</v>
      </c>
      <c r="D18" s="136" t="s">
        <v>372</v>
      </c>
      <c r="E18" s="104" t="s">
        <v>384</v>
      </c>
      <c r="F18" s="104" t="s">
        <v>386</v>
      </c>
      <c r="G18" s="105">
        <v>2.25</v>
      </c>
      <c r="H18" s="104" t="s">
        <v>370</v>
      </c>
      <c r="I18" s="137">
        <f>IF(H18="","",IFERROR(VLOOKUP(H18,Listas!$A$4:$B$11,2,FALSE),""))</f>
        <v>0.56000000000000005</v>
      </c>
      <c r="J18" s="105">
        <v>0.22</v>
      </c>
      <c r="K18" s="105">
        <v>12</v>
      </c>
      <c r="L18" s="105">
        <v>12</v>
      </c>
      <c r="M18" s="138">
        <f t="shared" si="0"/>
        <v>12</v>
      </c>
      <c r="N18" s="138">
        <f t="shared" si="1"/>
        <v>27</v>
      </c>
      <c r="O18" s="138">
        <f t="shared" si="2"/>
        <v>15.120000000000001</v>
      </c>
      <c r="P18" s="105">
        <v>0.25</v>
      </c>
      <c r="Q18" s="105">
        <v>2.36</v>
      </c>
      <c r="R18" s="105">
        <v>2.42</v>
      </c>
      <c r="S18" s="138">
        <f t="shared" si="3"/>
        <v>2.3899999999999997</v>
      </c>
      <c r="T18" s="138">
        <f t="shared" si="4"/>
        <v>10</v>
      </c>
      <c r="U18" s="138">
        <f t="shared" si="5"/>
        <v>23.9</v>
      </c>
      <c r="V18" s="138">
        <f t="shared" si="6"/>
        <v>13.384</v>
      </c>
      <c r="W18" s="138">
        <f t="shared" si="7"/>
        <v>28.504000000000001</v>
      </c>
      <c r="X18" s="139" t="s">
        <v>370</v>
      </c>
      <c r="Y18" s="140">
        <v>0.56000000000000005</v>
      </c>
      <c r="Z18" s="141">
        <v>0.25</v>
      </c>
      <c r="AA18" s="141">
        <v>0.56000000000000005</v>
      </c>
      <c r="AB18" s="141">
        <v>0.56000000000000005</v>
      </c>
      <c r="AC18" s="106">
        <f t="shared" si="8"/>
        <v>0.56000000000000005</v>
      </c>
      <c r="AD18" s="106">
        <f t="shared" si="9"/>
        <v>10</v>
      </c>
      <c r="AE18" s="106">
        <f t="shared" si="10"/>
        <v>5.6000000000000005</v>
      </c>
      <c r="AF18" s="106">
        <f t="shared" si="11"/>
        <v>3.1360000000000006</v>
      </c>
      <c r="AG18" s="142">
        <f t="shared" si="12"/>
        <v>31.64</v>
      </c>
    </row>
    <row r="19" spans="1:33" ht="36.5" customHeight="1">
      <c r="A19" s="135">
        <v>9</v>
      </c>
      <c r="B19" s="104" t="s">
        <v>374</v>
      </c>
      <c r="C19" s="104" t="s">
        <v>387</v>
      </c>
      <c r="D19" s="136" t="s">
        <v>372</v>
      </c>
      <c r="E19" s="104" t="s">
        <v>388</v>
      </c>
      <c r="F19" s="104" t="s">
        <v>389</v>
      </c>
      <c r="G19" s="105">
        <v>10.85</v>
      </c>
      <c r="H19" s="104" t="s">
        <v>370</v>
      </c>
      <c r="I19" s="137">
        <f>IF(H19="","",IFERROR(VLOOKUP(H19,Listas!$A$4:$B$11,2,FALSE),""))</f>
        <v>0.56000000000000005</v>
      </c>
      <c r="J19" s="105">
        <v>0.21</v>
      </c>
      <c r="K19" s="105">
        <v>12</v>
      </c>
      <c r="L19" s="105">
        <v>12</v>
      </c>
      <c r="M19" s="138">
        <f t="shared" si="0"/>
        <v>12</v>
      </c>
      <c r="N19" s="138">
        <f t="shared" si="1"/>
        <v>130.19999999999999</v>
      </c>
      <c r="O19" s="138">
        <f t="shared" si="2"/>
        <v>72.912000000000006</v>
      </c>
      <c r="P19" s="105">
        <v>0.25</v>
      </c>
      <c r="Q19" s="105">
        <v>2.3199999999999998</v>
      </c>
      <c r="R19" s="105">
        <v>2.42</v>
      </c>
      <c r="S19" s="138">
        <f t="shared" si="3"/>
        <v>2.37</v>
      </c>
      <c r="T19" s="138">
        <f t="shared" si="4"/>
        <v>44.4</v>
      </c>
      <c r="U19" s="138">
        <f t="shared" si="5"/>
        <v>105.22799999999999</v>
      </c>
      <c r="V19" s="138">
        <f t="shared" si="6"/>
        <v>58.927680000000002</v>
      </c>
      <c r="W19" s="138">
        <f t="shared" si="7"/>
        <v>131.83968000000002</v>
      </c>
      <c r="X19" s="139" t="s">
        <v>370</v>
      </c>
      <c r="Y19" s="140">
        <v>0.56000000000000005</v>
      </c>
      <c r="Z19" s="141">
        <v>0.25</v>
      </c>
      <c r="AA19" s="141">
        <v>0.56000000000000005</v>
      </c>
      <c r="AB19" s="141">
        <v>0.56000000000000005</v>
      </c>
      <c r="AC19" s="106">
        <f t="shared" si="8"/>
        <v>0.56000000000000005</v>
      </c>
      <c r="AD19" s="106">
        <f t="shared" si="9"/>
        <v>44.4</v>
      </c>
      <c r="AE19" s="106">
        <f t="shared" si="10"/>
        <v>24.864000000000001</v>
      </c>
      <c r="AF19" s="106">
        <f t="shared" si="11"/>
        <v>13.923840000000002</v>
      </c>
      <c r="AG19" s="142">
        <f t="shared" si="12"/>
        <v>145.76352000000003</v>
      </c>
    </row>
    <row r="20" spans="1:33" ht="36.5" customHeight="1">
      <c r="A20" s="135">
        <v>10</v>
      </c>
      <c r="B20" s="104" t="s">
        <v>390</v>
      </c>
      <c r="C20" s="104" t="s">
        <v>367</v>
      </c>
      <c r="D20" s="136" t="s">
        <v>250</v>
      </c>
      <c r="E20" s="104" t="s">
        <v>391</v>
      </c>
      <c r="F20" s="104" t="s">
        <v>392</v>
      </c>
      <c r="G20" s="105">
        <v>17.53</v>
      </c>
      <c r="H20" s="104" t="s">
        <v>370</v>
      </c>
      <c r="I20" s="137">
        <f>IF(H20="","",IFERROR(VLOOKUP(H20,Listas!$A$4:$B$11,2,FALSE),""))</f>
        <v>0.56000000000000005</v>
      </c>
      <c r="J20" s="105">
        <v>0.22</v>
      </c>
      <c r="K20" s="105">
        <v>7</v>
      </c>
      <c r="L20" s="105">
        <v>7</v>
      </c>
      <c r="M20" s="138">
        <f t="shared" si="0"/>
        <v>7</v>
      </c>
      <c r="N20" s="138">
        <f t="shared" si="1"/>
        <v>122.71000000000001</v>
      </c>
      <c r="O20" s="138">
        <f t="shared" si="2"/>
        <v>68.717600000000004</v>
      </c>
      <c r="P20" s="105">
        <v>0.25</v>
      </c>
      <c r="Q20" s="105">
        <v>1.42</v>
      </c>
      <c r="R20" s="105">
        <v>1.58</v>
      </c>
      <c r="S20" s="138">
        <f t="shared" si="3"/>
        <v>1.5</v>
      </c>
      <c r="T20" s="138">
        <f t="shared" si="4"/>
        <v>71.12</v>
      </c>
      <c r="U20" s="138">
        <f t="shared" si="5"/>
        <v>106.68</v>
      </c>
      <c r="V20" s="138">
        <f t="shared" si="6"/>
        <v>59.740800000000007</v>
      </c>
      <c r="W20" s="138">
        <f t="shared" si="7"/>
        <v>128.45840000000001</v>
      </c>
      <c r="X20" s="139"/>
      <c r="Y20" s="140"/>
      <c r="Z20" s="141"/>
      <c r="AA20" s="141"/>
      <c r="AB20" s="141"/>
      <c r="AC20" s="106">
        <f t="shared" si="8"/>
        <v>0</v>
      </c>
      <c r="AD20" s="106">
        <f t="shared" si="9"/>
        <v>0</v>
      </c>
      <c r="AE20" s="106">
        <f t="shared" si="10"/>
        <v>0</v>
      </c>
      <c r="AF20" s="106">
        <f t="shared" si="11"/>
        <v>0</v>
      </c>
      <c r="AG20" s="142">
        <f t="shared" si="12"/>
        <v>128.45840000000001</v>
      </c>
    </row>
    <row r="21" spans="1:33" ht="36.5" customHeight="1">
      <c r="A21" s="135">
        <v>11</v>
      </c>
      <c r="B21" s="104" t="s">
        <v>390</v>
      </c>
      <c r="C21" s="104" t="s">
        <v>371</v>
      </c>
      <c r="D21" s="136" t="s">
        <v>372</v>
      </c>
      <c r="E21" s="104" t="s">
        <v>392</v>
      </c>
      <c r="F21" s="104" t="s">
        <v>393</v>
      </c>
      <c r="G21" s="105">
        <v>5.7</v>
      </c>
      <c r="H21" s="104" t="s">
        <v>370</v>
      </c>
      <c r="I21" s="137">
        <f>IF(H21="","",IFERROR(VLOOKUP(H21,Listas!$A$4:$B$11,2,FALSE),""))</f>
        <v>0.56000000000000005</v>
      </c>
      <c r="J21" s="105">
        <v>0.21</v>
      </c>
      <c r="K21" s="105">
        <v>8</v>
      </c>
      <c r="L21" s="105">
        <v>10</v>
      </c>
      <c r="M21" s="138">
        <f t="shared" si="0"/>
        <v>9</v>
      </c>
      <c r="N21" s="138">
        <f t="shared" si="1"/>
        <v>51.300000000000004</v>
      </c>
      <c r="O21" s="138">
        <f t="shared" si="2"/>
        <v>28.728000000000005</v>
      </c>
      <c r="P21" s="105">
        <v>0.25</v>
      </c>
      <c r="Q21" s="105">
        <v>1.58</v>
      </c>
      <c r="R21" s="105">
        <v>1.62</v>
      </c>
      <c r="S21" s="138">
        <f t="shared" si="3"/>
        <v>1.6</v>
      </c>
      <c r="T21" s="138">
        <f t="shared" si="4"/>
        <v>23.8</v>
      </c>
      <c r="U21" s="138">
        <f t="shared" si="5"/>
        <v>38.080000000000005</v>
      </c>
      <c r="V21" s="138">
        <f t="shared" si="6"/>
        <v>21.324800000000003</v>
      </c>
      <c r="W21" s="138">
        <f t="shared" si="7"/>
        <v>50.052800000000005</v>
      </c>
      <c r="X21" s="139" t="s">
        <v>370</v>
      </c>
      <c r="Y21" s="140">
        <v>0.56000000000000005</v>
      </c>
      <c r="Z21" s="141">
        <v>0.25</v>
      </c>
      <c r="AA21" s="141">
        <v>0.56000000000000005</v>
      </c>
      <c r="AB21" s="141">
        <v>0.56000000000000005</v>
      </c>
      <c r="AC21" s="106">
        <f t="shared" si="8"/>
        <v>0.56000000000000005</v>
      </c>
      <c r="AD21" s="106">
        <f t="shared" si="9"/>
        <v>23.8</v>
      </c>
      <c r="AE21" s="106">
        <f t="shared" si="10"/>
        <v>13.328000000000001</v>
      </c>
      <c r="AF21" s="106">
        <f t="shared" si="11"/>
        <v>7.463680000000001</v>
      </c>
      <c r="AG21" s="142">
        <f t="shared" si="12"/>
        <v>57.516480000000008</v>
      </c>
    </row>
    <row r="22" spans="1:33" ht="36.5" customHeight="1">
      <c r="A22" s="135">
        <v>12</v>
      </c>
      <c r="B22" s="104" t="s">
        <v>394</v>
      </c>
      <c r="C22" s="104" t="s">
        <v>367</v>
      </c>
      <c r="D22" s="136" t="s">
        <v>250</v>
      </c>
      <c r="E22" s="104" t="s">
        <v>395</v>
      </c>
      <c r="F22" s="104" t="s">
        <v>396</v>
      </c>
      <c r="G22" s="105">
        <v>17.53</v>
      </c>
      <c r="H22" s="104" t="s">
        <v>370</v>
      </c>
      <c r="I22" s="137">
        <f>IF(H22="","",IFERROR(VLOOKUP(H22,Listas!$A$4:$B$11,2,FALSE),""))</f>
        <v>0.56000000000000005</v>
      </c>
      <c r="J22" s="105">
        <v>0.22</v>
      </c>
      <c r="K22" s="105">
        <v>7</v>
      </c>
      <c r="L22" s="105">
        <v>7</v>
      </c>
      <c r="M22" s="138">
        <f t="shared" si="0"/>
        <v>7</v>
      </c>
      <c r="N22" s="138">
        <f t="shared" si="1"/>
        <v>122.71000000000001</v>
      </c>
      <c r="O22" s="138">
        <f t="shared" si="2"/>
        <v>68.717600000000004</v>
      </c>
      <c r="P22" s="105">
        <v>0.25</v>
      </c>
      <c r="Q22" s="105">
        <v>1.42</v>
      </c>
      <c r="R22" s="105">
        <v>1.58</v>
      </c>
      <c r="S22" s="138">
        <f t="shared" si="3"/>
        <v>1.5</v>
      </c>
      <c r="T22" s="138">
        <f t="shared" si="4"/>
        <v>71.12</v>
      </c>
      <c r="U22" s="138">
        <f t="shared" si="5"/>
        <v>106.68</v>
      </c>
      <c r="V22" s="138">
        <f t="shared" si="6"/>
        <v>59.740800000000007</v>
      </c>
      <c r="W22" s="138">
        <f t="shared" si="7"/>
        <v>128.45840000000001</v>
      </c>
      <c r="X22" s="139"/>
      <c r="Y22" s="140"/>
      <c r="Z22" s="141"/>
      <c r="AA22" s="141"/>
      <c r="AB22" s="141"/>
      <c r="AC22" s="106">
        <f t="shared" si="8"/>
        <v>0</v>
      </c>
      <c r="AD22" s="106">
        <f t="shared" si="9"/>
        <v>0</v>
      </c>
      <c r="AE22" s="106">
        <f t="shared" si="10"/>
        <v>0</v>
      </c>
      <c r="AF22" s="106">
        <f t="shared" si="11"/>
        <v>0</v>
      </c>
      <c r="AG22" s="142">
        <f t="shared" si="12"/>
        <v>128.45840000000001</v>
      </c>
    </row>
    <row r="23" spans="1:33" ht="36.5" customHeight="1">
      <c r="A23" s="135">
        <v>13</v>
      </c>
      <c r="B23" s="104" t="s">
        <v>394</v>
      </c>
      <c r="C23" s="104" t="s">
        <v>371</v>
      </c>
      <c r="D23" s="136" t="s">
        <v>372</v>
      </c>
      <c r="E23" s="104" t="s">
        <v>396</v>
      </c>
      <c r="F23" s="104" t="s">
        <v>397</v>
      </c>
      <c r="G23" s="105">
        <v>10.9</v>
      </c>
      <c r="H23" s="104" t="s">
        <v>370</v>
      </c>
      <c r="I23" s="137">
        <f>IF(H23="","",IFERROR(VLOOKUP(H23,Listas!$A$4:$B$11,2,FALSE),""))</f>
        <v>0.56000000000000005</v>
      </c>
      <c r="J23" s="105">
        <v>0.22</v>
      </c>
      <c r="K23" s="105">
        <v>8</v>
      </c>
      <c r="L23" s="105">
        <v>10</v>
      </c>
      <c r="M23" s="138">
        <f t="shared" si="0"/>
        <v>9</v>
      </c>
      <c r="N23" s="138">
        <f t="shared" si="1"/>
        <v>98.100000000000009</v>
      </c>
      <c r="O23" s="138">
        <f t="shared" si="2"/>
        <v>54.936000000000007</v>
      </c>
      <c r="P23" s="105">
        <v>0.25</v>
      </c>
      <c r="Q23" s="105">
        <v>1.58</v>
      </c>
      <c r="R23" s="105">
        <v>1.7</v>
      </c>
      <c r="S23" s="138">
        <f t="shared" si="3"/>
        <v>1.6400000000000001</v>
      </c>
      <c r="T23" s="138">
        <f t="shared" si="4"/>
        <v>44.6</v>
      </c>
      <c r="U23" s="138">
        <f t="shared" si="5"/>
        <v>73.144000000000005</v>
      </c>
      <c r="V23" s="138">
        <f t="shared" si="6"/>
        <v>40.960640000000005</v>
      </c>
      <c r="W23" s="138">
        <f t="shared" si="7"/>
        <v>95.896640000000019</v>
      </c>
      <c r="X23" s="139" t="s">
        <v>370</v>
      </c>
      <c r="Y23" s="140">
        <v>0.56000000000000005</v>
      </c>
      <c r="Z23" s="141">
        <v>0.25</v>
      </c>
      <c r="AA23" s="141">
        <v>0.56000000000000005</v>
      </c>
      <c r="AB23" s="141">
        <v>0.56000000000000005</v>
      </c>
      <c r="AC23" s="106">
        <f t="shared" si="8"/>
        <v>0.56000000000000005</v>
      </c>
      <c r="AD23" s="106">
        <f t="shared" si="9"/>
        <v>44.6</v>
      </c>
      <c r="AE23" s="106">
        <f t="shared" si="10"/>
        <v>24.976000000000003</v>
      </c>
      <c r="AF23" s="106">
        <f t="shared" si="11"/>
        <v>13.986560000000003</v>
      </c>
      <c r="AG23" s="142">
        <f t="shared" si="12"/>
        <v>109.88320000000002</v>
      </c>
    </row>
    <row r="24" spans="1:33" ht="36.5" customHeight="1">
      <c r="A24" s="135">
        <v>14</v>
      </c>
      <c r="B24" s="104" t="s">
        <v>394</v>
      </c>
      <c r="C24" s="104" t="s">
        <v>378</v>
      </c>
      <c r="D24" s="136" t="s">
        <v>250</v>
      </c>
      <c r="E24" s="104" t="s">
        <v>398</v>
      </c>
      <c r="F24" s="104" t="s">
        <v>399</v>
      </c>
      <c r="G24" s="105">
        <v>56.93</v>
      </c>
      <c r="H24" s="104" t="s">
        <v>370</v>
      </c>
      <c r="I24" s="137">
        <f>IF(H24="","",IFERROR(VLOOKUP(H24,Listas!$A$4:$B$11,2,FALSE),""))</f>
        <v>0.56000000000000005</v>
      </c>
      <c r="J24" s="105">
        <v>0.2</v>
      </c>
      <c r="K24" s="105">
        <v>9</v>
      </c>
      <c r="L24" s="105">
        <v>11</v>
      </c>
      <c r="M24" s="138">
        <f t="shared" si="0"/>
        <v>10</v>
      </c>
      <c r="N24" s="138">
        <f t="shared" si="1"/>
        <v>569.29999999999995</v>
      </c>
      <c r="O24" s="138">
        <f t="shared" si="2"/>
        <v>318.80799999999999</v>
      </c>
      <c r="P24" s="105">
        <v>0.25</v>
      </c>
      <c r="Q24" s="105">
        <v>1.7</v>
      </c>
      <c r="R24" s="105">
        <v>2.2599999999999998</v>
      </c>
      <c r="S24" s="138">
        <f t="shared" si="3"/>
        <v>1.98</v>
      </c>
      <c r="T24" s="138">
        <f t="shared" si="4"/>
        <v>228.72</v>
      </c>
      <c r="U24" s="138">
        <f t="shared" si="5"/>
        <v>452.86559999999997</v>
      </c>
      <c r="V24" s="138">
        <f t="shared" si="6"/>
        <v>253.604736</v>
      </c>
      <c r="W24" s="138">
        <f t="shared" si="7"/>
        <v>572.412736</v>
      </c>
      <c r="X24" s="139"/>
      <c r="Y24" s="140"/>
      <c r="Z24" s="141"/>
      <c r="AA24" s="141"/>
      <c r="AB24" s="141"/>
      <c r="AC24" s="106">
        <f t="shared" si="8"/>
        <v>0</v>
      </c>
      <c r="AD24" s="106">
        <f t="shared" si="9"/>
        <v>0</v>
      </c>
      <c r="AE24" s="106">
        <f t="shared" si="10"/>
        <v>0</v>
      </c>
      <c r="AF24" s="106">
        <f t="shared" si="11"/>
        <v>0</v>
      </c>
      <c r="AG24" s="142">
        <f t="shared" si="12"/>
        <v>572.412736</v>
      </c>
    </row>
    <row r="25" spans="1:33" ht="36.5" customHeight="1">
      <c r="A25" s="135">
        <v>15</v>
      </c>
      <c r="B25" s="104" t="s">
        <v>394</v>
      </c>
      <c r="C25" s="104" t="s">
        <v>380</v>
      </c>
      <c r="D25" s="136" t="s">
        <v>372</v>
      </c>
      <c r="E25" s="104" t="s">
        <v>399</v>
      </c>
      <c r="F25" s="104" t="s">
        <v>400</v>
      </c>
      <c r="G25" s="105">
        <v>15</v>
      </c>
      <c r="H25" s="104" t="s">
        <v>370</v>
      </c>
      <c r="I25" s="137">
        <f>IF(H25="","",IFERROR(VLOOKUP(H25,Listas!$A$4:$B$11,2,FALSE),""))</f>
        <v>0.56000000000000005</v>
      </c>
      <c r="J25" s="105">
        <v>0.21</v>
      </c>
      <c r="K25" s="105">
        <v>12</v>
      </c>
      <c r="L25" s="105">
        <v>12</v>
      </c>
      <c r="M25" s="138">
        <f t="shared" si="0"/>
        <v>12</v>
      </c>
      <c r="N25" s="138">
        <f t="shared" si="1"/>
        <v>180</v>
      </c>
      <c r="O25" s="138">
        <f t="shared" si="2"/>
        <v>100.80000000000001</v>
      </c>
      <c r="P25" s="105">
        <v>0.25</v>
      </c>
      <c r="Q25" s="105">
        <v>2.2599999999999998</v>
      </c>
      <c r="R25" s="105">
        <v>2.42</v>
      </c>
      <c r="S25" s="138">
        <f t="shared" si="3"/>
        <v>2.34</v>
      </c>
      <c r="T25" s="138">
        <f t="shared" si="4"/>
        <v>61</v>
      </c>
      <c r="U25" s="138">
        <f t="shared" si="5"/>
        <v>142.73999999999998</v>
      </c>
      <c r="V25" s="138">
        <f t="shared" si="6"/>
        <v>79.934399999999997</v>
      </c>
      <c r="W25" s="138">
        <f t="shared" si="7"/>
        <v>180.73439999999999</v>
      </c>
      <c r="X25" s="139" t="s">
        <v>370</v>
      </c>
      <c r="Y25" s="140">
        <v>0.56000000000000005</v>
      </c>
      <c r="Z25" s="141">
        <v>0.25</v>
      </c>
      <c r="AA25" s="141">
        <v>0.56000000000000005</v>
      </c>
      <c r="AB25" s="141">
        <v>0.56000000000000005</v>
      </c>
      <c r="AC25" s="106">
        <f t="shared" si="8"/>
        <v>0.56000000000000005</v>
      </c>
      <c r="AD25" s="106">
        <f t="shared" si="9"/>
        <v>61</v>
      </c>
      <c r="AE25" s="106">
        <f t="shared" si="10"/>
        <v>34.160000000000004</v>
      </c>
      <c r="AF25" s="106">
        <f t="shared" si="11"/>
        <v>19.129600000000003</v>
      </c>
      <c r="AG25" s="142">
        <f t="shared" si="12"/>
        <v>199.864</v>
      </c>
    </row>
    <row r="26" spans="1:33" ht="36.5" customHeight="1">
      <c r="A26" s="135">
        <v>16</v>
      </c>
      <c r="B26" s="104" t="s">
        <v>401</v>
      </c>
      <c r="C26" s="104" t="s">
        <v>367</v>
      </c>
      <c r="D26" s="136" t="s">
        <v>250</v>
      </c>
      <c r="E26" s="104" t="s">
        <v>402</v>
      </c>
      <c r="F26" s="104" t="s">
        <v>403</v>
      </c>
      <c r="G26" s="105">
        <v>17.53</v>
      </c>
      <c r="H26" s="104" t="s">
        <v>370</v>
      </c>
      <c r="I26" s="137">
        <f>IF(H26="","",IFERROR(VLOOKUP(H26,Listas!$A$4:$B$11,2,FALSE),""))</f>
        <v>0.56000000000000005</v>
      </c>
      <c r="J26" s="105">
        <v>0.22</v>
      </c>
      <c r="K26" s="105">
        <v>7</v>
      </c>
      <c r="L26" s="105">
        <v>7</v>
      </c>
      <c r="M26" s="138">
        <f t="shared" si="0"/>
        <v>7</v>
      </c>
      <c r="N26" s="138">
        <f t="shared" si="1"/>
        <v>122.71000000000001</v>
      </c>
      <c r="O26" s="138">
        <f t="shared" si="2"/>
        <v>68.717600000000004</v>
      </c>
      <c r="P26" s="105">
        <v>0.25</v>
      </c>
      <c r="Q26" s="105">
        <v>1.42</v>
      </c>
      <c r="R26" s="105">
        <v>1.58</v>
      </c>
      <c r="S26" s="138">
        <f t="shared" si="3"/>
        <v>1.5</v>
      </c>
      <c r="T26" s="138">
        <f t="shared" si="4"/>
        <v>71.12</v>
      </c>
      <c r="U26" s="138">
        <f t="shared" si="5"/>
        <v>106.68</v>
      </c>
      <c r="V26" s="138">
        <f t="shared" si="6"/>
        <v>59.740800000000007</v>
      </c>
      <c r="W26" s="138">
        <f t="shared" si="7"/>
        <v>128.45840000000001</v>
      </c>
      <c r="X26" s="139"/>
      <c r="Y26" s="140"/>
      <c r="Z26" s="141"/>
      <c r="AA26" s="141"/>
      <c r="AB26" s="141"/>
      <c r="AC26" s="106">
        <f t="shared" si="8"/>
        <v>0</v>
      </c>
      <c r="AD26" s="106">
        <f t="shared" si="9"/>
        <v>0</v>
      </c>
      <c r="AE26" s="106">
        <f t="shared" si="10"/>
        <v>0</v>
      </c>
      <c r="AF26" s="106">
        <f t="shared" si="11"/>
        <v>0</v>
      </c>
      <c r="AG26" s="142">
        <f t="shared" si="12"/>
        <v>128.45840000000001</v>
      </c>
    </row>
    <row r="27" spans="1:33" ht="36.5" customHeight="1">
      <c r="A27" s="135">
        <v>17</v>
      </c>
      <c r="B27" s="104" t="s">
        <v>401</v>
      </c>
      <c r="C27" s="104" t="s">
        <v>371</v>
      </c>
      <c r="D27" s="136" t="s">
        <v>372</v>
      </c>
      <c r="E27" s="104" t="s">
        <v>403</v>
      </c>
      <c r="F27" s="104" t="s">
        <v>404</v>
      </c>
      <c r="G27" s="105">
        <v>7.66</v>
      </c>
      <c r="H27" s="104" t="s">
        <v>370</v>
      </c>
      <c r="I27" s="137">
        <f>IF(H27="","",IFERROR(VLOOKUP(H27,Listas!$A$4:$B$11,2,FALSE),""))</f>
        <v>0.56000000000000005</v>
      </c>
      <c r="J27" s="105">
        <v>0.22</v>
      </c>
      <c r="K27" s="105">
        <v>8</v>
      </c>
      <c r="L27" s="105">
        <v>10</v>
      </c>
      <c r="M27" s="138">
        <f t="shared" si="0"/>
        <v>9</v>
      </c>
      <c r="N27" s="138">
        <f t="shared" si="1"/>
        <v>68.94</v>
      </c>
      <c r="O27" s="138">
        <f t="shared" si="2"/>
        <v>38.606400000000001</v>
      </c>
      <c r="P27" s="105">
        <v>0.25</v>
      </c>
      <c r="Q27" s="105">
        <v>1.58</v>
      </c>
      <c r="R27" s="105">
        <v>1.66</v>
      </c>
      <c r="S27" s="138">
        <f t="shared" si="3"/>
        <v>1.62</v>
      </c>
      <c r="T27" s="138">
        <f t="shared" si="4"/>
        <v>31.64</v>
      </c>
      <c r="U27" s="138">
        <f t="shared" si="5"/>
        <v>51.256800000000005</v>
      </c>
      <c r="V27" s="138">
        <f t="shared" si="6"/>
        <v>28.703808000000006</v>
      </c>
      <c r="W27" s="138">
        <f t="shared" si="7"/>
        <v>67.310208000000003</v>
      </c>
      <c r="X27" s="139" t="s">
        <v>370</v>
      </c>
      <c r="Y27" s="140">
        <v>0.56000000000000005</v>
      </c>
      <c r="Z27" s="141">
        <v>0.25</v>
      </c>
      <c r="AA27" s="141">
        <v>0.56000000000000005</v>
      </c>
      <c r="AB27" s="141">
        <v>0.56000000000000005</v>
      </c>
      <c r="AC27" s="106">
        <f t="shared" si="8"/>
        <v>0.56000000000000005</v>
      </c>
      <c r="AD27" s="106">
        <f t="shared" si="9"/>
        <v>31.64</v>
      </c>
      <c r="AE27" s="106">
        <f t="shared" si="10"/>
        <v>17.718400000000003</v>
      </c>
      <c r="AF27" s="106">
        <f t="shared" si="11"/>
        <v>9.9223040000000022</v>
      </c>
      <c r="AG27" s="142">
        <f t="shared" si="12"/>
        <v>77.232512</v>
      </c>
    </row>
    <row r="28" spans="1:33" ht="36.5" customHeight="1">
      <c r="A28" s="135">
        <v>18</v>
      </c>
      <c r="B28" s="104" t="s">
        <v>401</v>
      </c>
      <c r="C28" s="104" t="s">
        <v>378</v>
      </c>
      <c r="D28" s="136" t="s">
        <v>250</v>
      </c>
      <c r="E28" s="104" t="s">
        <v>404</v>
      </c>
      <c r="F28" s="104" t="s">
        <v>405</v>
      </c>
      <c r="G28" s="105">
        <v>63.75</v>
      </c>
      <c r="H28" s="104" t="s">
        <v>370</v>
      </c>
      <c r="I28" s="137">
        <f>IF(H28="","",IFERROR(VLOOKUP(H28,Listas!$A$4:$B$11,2,FALSE),""))</f>
        <v>0.56000000000000005</v>
      </c>
      <c r="J28" s="105">
        <v>0.19</v>
      </c>
      <c r="K28" s="105">
        <v>9</v>
      </c>
      <c r="L28" s="105">
        <v>11</v>
      </c>
      <c r="M28" s="138">
        <f t="shared" si="0"/>
        <v>10</v>
      </c>
      <c r="N28" s="138">
        <f t="shared" si="1"/>
        <v>637.5</v>
      </c>
      <c r="O28" s="138">
        <f t="shared" si="2"/>
        <v>357.00000000000006</v>
      </c>
      <c r="P28" s="105">
        <v>0.25</v>
      </c>
      <c r="Q28" s="105">
        <v>1.66</v>
      </c>
      <c r="R28" s="105">
        <v>2.3199999999999998</v>
      </c>
      <c r="S28" s="138">
        <f t="shared" si="3"/>
        <v>1.9899999999999998</v>
      </c>
      <c r="T28" s="138">
        <f t="shared" si="4"/>
        <v>256</v>
      </c>
      <c r="U28" s="138">
        <f t="shared" si="5"/>
        <v>509.43999999999994</v>
      </c>
      <c r="V28" s="138">
        <f t="shared" si="6"/>
        <v>285.28640000000001</v>
      </c>
      <c r="W28" s="138">
        <f t="shared" si="7"/>
        <v>642.28640000000007</v>
      </c>
      <c r="X28" s="139"/>
      <c r="Y28" s="140"/>
      <c r="Z28" s="141"/>
      <c r="AA28" s="141"/>
      <c r="AB28" s="141"/>
      <c r="AC28" s="106">
        <f t="shared" si="8"/>
        <v>0</v>
      </c>
      <c r="AD28" s="106">
        <f t="shared" si="9"/>
        <v>0</v>
      </c>
      <c r="AE28" s="106">
        <f t="shared" si="10"/>
        <v>0</v>
      </c>
      <c r="AF28" s="106">
        <f t="shared" si="11"/>
        <v>0</v>
      </c>
      <c r="AG28" s="142">
        <f t="shared" si="12"/>
        <v>642.28640000000007</v>
      </c>
    </row>
    <row r="29" spans="1:33" ht="36.5" customHeight="1">
      <c r="A29" s="135">
        <v>19</v>
      </c>
      <c r="B29" s="104" t="s">
        <v>401</v>
      </c>
      <c r="C29" s="104" t="s">
        <v>380</v>
      </c>
      <c r="D29" s="136" t="s">
        <v>372</v>
      </c>
      <c r="E29" s="104" t="s">
        <v>405</v>
      </c>
      <c r="F29" s="104" t="s">
        <v>406</v>
      </c>
      <c r="G29" s="105">
        <v>11.47</v>
      </c>
      <c r="H29" s="104" t="s">
        <v>370</v>
      </c>
      <c r="I29" s="137">
        <f>IF(H29="","",IFERROR(VLOOKUP(H29,Listas!$A$4:$B$11,2,FALSE),""))</f>
        <v>0.56000000000000005</v>
      </c>
      <c r="J29" s="105">
        <v>0.21</v>
      </c>
      <c r="K29" s="105">
        <v>12</v>
      </c>
      <c r="L29" s="105">
        <v>12</v>
      </c>
      <c r="M29" s="138">
        <f t="shared" si="0"/>
        <v>12</v>
      </c>
      <c r="N29" s="138">
        <f t="shared" si="1"/>
        <v>137.64000000000001</v>
      </c>
      <c r="O29" s="138">
        <f t="shared" si="2"/>
        <v>77.078400000000016</v>
      </c>
      <c r="P29" s="105">
        <v>0.25</v>
      </c>
      <c r="Q29" s="105">
        <v>2.3199999999999998</v>
      </c>
      <c r="R29" s="105">
        <v>2.42</v>
      </c>
      <c r="S29" s="138">
        <f t="shared" si="3"/>
        <v>2.37</v>
      </c>
      <c r="T29" s="138">
        <f t="shared" si="4"/>
        <v>46.88</v>
      </c>
      <c r="U29" s="138">
        <f t="shared" si="5"/>
        <v>111.10560000000001</v>
      </c>
      <c r="V29" s="138">
        <f t="shared" si="6"/>
        <v>62.219136000000013</v>
      </c>
      <c r="W29" s="138">
        <f t="shared" si="7"/>
        <v>139.29753600000004</v>
      </c>
      <c r="X29" s="139" t="s">
        <v>370</v>
      </c>
      <c r="Y29" s="140">
        <v>0.56000000000000005</v>
      </c>
      <c r="Z29" s="141">
        <v>0.25</v>
      </c>
      <c r="AA29" s="141">
        <v>0.56000000000000005</v>
      </c>
      <c r="AB29" s="141">
        <v>0.56000000000000005</v>
      </c>
      <c r="AC29" s="106">
        <f t="shared" si="8"/>
        <v>0.56000000000000005</v>
      </c>
      <c r="AD29" s="106">
        <f t="shared" si="9"/>
        <v>46.88</v>
      </c>
      <c r="AE29" s="106">
        <f t="shared" si="10"/>
        <v>26.252800000000004</v>
      </c>
      <c r="AF29" s="106">
        <f t="shared" si="11"/>
        <v>14.701568000000004</v>
      </c>
      <c r="AG29" s="142">
        <f t="shared" si="12"/>
        <v>153.99910400000005</v>
      </c>
    </row>
    <row r="30" spans="1:33" ht="36.5" customHeight="1">
      <c r="A30" s="135">
        <v>20</v>
      </c>
      <c r="B30" s="104" t="s">
        <v>401</v>
      </c>
      <c r="C30" s="104" t="s">
        <v>382</v>
      </c>
      <c r="D30" s="136" t="s">
        <v>372</v>
      </c>
      <c r="E30" s="104" t="s">
        <v>407</v>
      </c>
      <c r="F30" s="104" t="s">
        <v>408</v>
      </c>
      <c r="G30" s="105">
        <v>5.17</v>
      </c>
      <c r="H30" s="104" t="s">
        <v>370</v>
      </c>
      <c r="I30" s="137">
        <f>IF(H30="","",IFERROR(VLOOKUP(H30,Listas!$A$4:$B$11,2,FALSE),""))</f>
        <v>0.56000000000000005</v>
      </c>
      <c r="J30" s="105">
        <v>0.21</v>
      </c>
      <c r="K30" s="105">
        <v>12</v>
      </c>
      <c r="L30" s="105">
        <v>12</v>
      </c>
      <c r="M30" s="138">
        <f t="shared" si="0"/>
        <v>12</v>
      </c>
      <c r="N30" s="138">
        <f t="shared" si="1"/>
        <v>62.04</v>
      </c>
      <c r="O30" s="138">
        <f t="shared" si="2"/>
        <v>34.742400000000004</v>
      </c>
      <c r="P30" s="105">
        <v>0.25</v>
      </c>
      <c r="Q30" s="105">
        <v>2.3199999999999998</v>
      </c>
      <c r="R30" s="105">
        <v>2.36</v>
      </c>
      <c r="S30" s="138">
        <f t="shared" si="3"/>
        <v>2.34</v>
      </c>
      <c r="T30" s="138">
        <f t="shared" si="4"/>
        <v>21.68</v>
      </c>
      <c r="U30" s="138">
        <f t="shared" si="5"/>
        <v>50.731199999999994</v>
      </c>
      <c r="V30" s="138">
        <f t="shared" si="6"/>
        <v>28.409472000000001</v>
      </c>
      <c r="W30" s="138">
        <f t="shared" si="7"/>
        <v>63.151872000000004</v>
      </c>
      <c r="X30" s="139" t="s">
        <v>370</v>
      </c>
      <c r="Y30" s="140">
        <v>0.56000000000000005</v>
      </c>
      <c r="Z30" s="141">
        <v>0.25</v>
      </c>
      <c r="AA30" s="141">
        <v>0.56000000000000005</v>
      </c>
      <c r="AB30" s="141">
        <v>0.56000000000000005</v>
      </c>
      <c r="AC30" s="106">
        <f t="shared" si="8"/>
        <v>0.56000000000000005</v>
      </c>
      <c r="AD30" s="106">
        <f t="shared" si="9"/>
        <v>21.68</v>
      </c>
      <c r="AE30" s="106">
        <f t="shared" si="10"/>
        <v>12.1408</v>
      </c>
      <c r="AF30" s="106">
        <f t="shared" si="11"/>
        <v>6.7988480000000013</v>
      </c>
      <c r="AG30" s="142">
        <f t="shared" si="12"/>
        <v>69.950720000000004</v>
      </c>
    </row>
    <row r="31" spans="1:33" ht="36.5" customHeight="1">
      <c r="A31" s="135">
        <v>21</v>
      </c>
      <c r="B31" s="104" t="s">
        <v>409</v>
      </c>
      <c r="C31" s="104" t="s">
        <v>367</v>
      </c>
      <c r="D31" s="136" t="s">
        <v>372</v>
      </c>
      <c r="E31" s="104" t="s">
        <v>410</v>
      </c>
      <c r="F31" s="104" t="s">
        <v>411</v>
      </c>
      <c r="G31" s="105">
        <v>8.1999999999999993</v>
      </c>
      <c r="H31" s="104" t="s">
        <v>370</v>
      </c>
      <c r="I31" s="137">
        <f>IF(H31="","",IFERROR(VLOOKUP(H31,Listas!$A$4:$B$11,2,FALSE),""))</f>
        <v>0.56000000000000005</v>
      </c>
      <c r="J31" s="105">
        <v>0.21</v>
      </c>
      <c r="K31" s="105">
        <v>8</v>
      </c>
      <c r="L31" s="105">
        <v>8</v>
      </c>
      <c r="M31" s="138">
        <f t="shared" si="0"/>
        <v>8</v>
      </c>
      <c r="N31" s="138">
        <f t="shared" si="1"/>
        <v>65.599999999999994</v>
      </c>
      <c r="O31" s="138">
        <f t="shared" si="2"/>
        <v>36.735999999999997</v>
      </c>
      <c r="P31" s="105">
        <v>0.25</v>
      </c>
      <c r="Q31" s="105">
        <v>1.42</v>
      </c>
      <c r="R31" s="105">
        <v>1.48</v>
      </c>
      <c r="S31" s="138">
        <f t="shared" si="3"/>
        <v>1.45</v>
      </c>
      <c r="T31" s="138">
        <f t="shared" si="4"/>
        <v>33.799999999999997</v>
      </c>
      <c r="U31" s="138">
        <f t="shared" si="5"/>
        <v>49.009999999999991</v>
      </c>
      <c r="V31" s="138">
        <f t="shared" si="6"/>
        <v>27.445599999999999</v>
      </c>
      <c r="W31" s="138">
        <f t="shared" si="7"/>
        <v>64.181600000000003</v>
      </c>
      <c r="X31" s="139" t="s">
        <v>370</v>
      </c>
      <c r="Y31" s="140">
        <v>0.56000000000000005</v>
      </c>
      <c r="Z31" s="141">
        <v>0.25</v>
      </c>
      <c r="AA31" s="141">
        <v>0.56000000000000005</v>
      </c>
      <c r="AB31" s="141">
        <v>0.56000000000000005</v>
      </c>
      <c r="AC31" s="106">
        <f t="shared" si="8"/>
        <v>0.56000000000000005</v>
      </c>
      <c r="AD31" s="106">
        <f t="shared" si="9"/>
        <v>33.799999999999997</v>
      </c>
      <c r="AE31" s="106">
        <f t="shared" si="10"/>
        <v>18.928000000000001</v>
      </c>
      <c r="AF31" s="106">
        <f t="shared" si="11"/>
        <v>10.599680000000001</v>
      </c>
      <c r="AG31" s="142">
        <f t="shared" si="12"/>
        <v>74.78128000000001</v>
      </c>
    </row>
    <row r="32" spans="1:33" ht="36.5" customHeight="1">
      <c r="A32" s="135">
        <v>22</v>
      </c>
      <c r="B32" s="104" t="s">
        <v>412</v>
      </c>
      <c r="C32" s="104" t="s">
        <v>367</v>
      </c>
      <c r="D32" s="136" t="s">
        <v>372</v>
      </c>
      <c r="E32" s="104" t="s">
        <v>413</v>
      </c>
      <c r="F32" s="104" t="s">
        <v>414</v>
      </c>
      <c r="G32" s="105">
        <v>7</v>
      </c>
      <c r="H32" s="104" t="s">
        <v>370</v>
      </c>
      <c r="I32" s="137">
        <f>IF(H32="","",IFERROR(VLOOKUP(H32,Listas!$A$4:$B$11,2,FALSE),""))</f>
        <v>0.56000000000000005</v>
      </c>
      <c r="J32" s="105">
        <v>0.21</v>
      </c>
      <c r="K32" s="105">
        <v>8</v>
      </c>
      <c r="L32" s="105">
        <v>8</v>
      </c>
      <c r="M32" s="138">
        <f t="shared" si="0"/>
        <v>8</v>
      </c>
      <c r="N32" s="138">
        <f t="shared" si="1"/>
        <v>56</v>
      </c>
      <c r="O32" s="138">
        <f t="shared" si="2"/>
        <v>31.360000000000003</v>
      </c>
      <c r="P32" s="105">
        <v>0.25</v>
      </c>
      <c r="Q32" s="105">
        <v>1.42</v>
      </c>
      <c r="R32" s="105">
        <v>1.48</v>
      </c>
      <c r="S32" s="138">
        <f t="shared" si="3"/>
        <v>1.45</v>
      </c>
      <c r="T32" s="138">
        <f t="shared" si="4"/>
        <v>29</v>
      </c>
      <c r="U32" s="138">
        <f t="shared" si="5"/>
        <v>42.05</v>
      </c>
      <c r="V32" s="138">
        <f t="shared" si="6"/>
        <v>23.548000000000002</v>
      </c>
      <c r="W32" s="138">
        <f t="shared" si="7"/>
        <v>54.908000000000001</v>
      </c>
      <c r="X32" s="139" t="s">
        <v>370</v>
      </c>
      <c r="Y32" s="140">
        <v>0.56000000000000005</v>
      </c>
      <c r="Z32" s="141">
        <v>0.25</v>
      </c>
      <c r="AA32" s="141">
        <v>0.56000000000000005</v>
      </c>
      <c r="AB32" s="141">
        <v>0.56000000000000005</v>
      </c>
      <c r="AC32" s="106">
        <f t="shared" si="8"/>
        <v>0.56000000000000005</v>
      </c>
      <c r="AD32" s="106">
        <f t="shared" si="9"/>
        <v>29</v>
      </c>
      <c r="AE32" s="106">
        <f t="shared" si="10"/>
        <v>16.240000000000002</v>
      </c>
      <c r="AF32" s="106">
        <f t="shared" si="11"/>
        <v>9.094400000000002</v>
      </c>
      <c r="AG32" s="142">
        <f t="shared" si="12"/>
        <v>64.002400000000009</v>
      </c>
    </row>
    <row r="33" spans="1:33" ht="36.5" customHeight="1">
      <c r="A33" s="135">
        <v>23</v>
      </c>
      <c r="B33" s="104" t="s">
        <v>178</v>
      </c>
      <c r="C33" s="104" t="s">
        <v>367</v>
      </c>
      <c r="D33" s="136" t="s">
        <v>250</v>
      </c>
      <c r="E33" s="104" t="s">
        <v>415</v>
      </c>
      <c r="F33" s="104" t="s">
        <v>416</v>
      </c>
      <c r="G33" s="105">
        <v>42.76</v>
      </c>
      <c r="H33" s="104" t="s">
        <v>370</v>
      </c>
      <c r="I33" s="137">
        <f>IF(H33="","",IFERROR(VLOOKUP(H33,Listas!$A$4:$B$11,2,FALSE),""))</f>
        <v>0.56000000000000005</v>
      </c>
      <c r="J33" s="105">
        <v>0.2</v>
      </c>
      <c r="K33" s="105">
        <v>7</v>
      </c>
      <c r="L33" s="105">
        <v>9</v>
      </c>
      <c r="M33" s="138">
        <f t="shared" si="0"/>
        <v>8</v>
      </c>
      <c r="N33" s="138">
        <f t="shared" si="1"/>
        <v>342.08</v>
      </c>
      <c r="O33" s="138">
        <f t="shared" si="2"/>
        <v>191.56480000000002</v>
      </c>
      <c r="P33" s="105">
        <v>0.25</v>
      </c>
      <c r="Q33" s="105">
        <v>1.42</v>
      </c>
      <c r="R33" s="105">
        <v>1.82</v>
      </c>
      <c r="S33" s="138">
        <f t="shared" si="3"/>
        <v>1.62</v>
      </c>
      <c r="T33" s="138">
        <f t="shared" si="4"/>
        <v>172.04</v>
      </c>
      <c r="U33" s="138">
        <f t="shared" si="5"/>
        <v>278.70479999999998</v>
      </c>
      <c r="V33" s="138">
        <f t="shared" si="6"/>
        <v>156.07468800000001</v>
      </c>
      <c r="W33" s="138">
        <f t="shared" si="7"/>
        <v>347.63948800000003</v>
      </c>
      <c r="X33" s="139"/>
      <c r="Y33" s="140"/>
      <c r="Z33" s="141"/>
      <c r="AA33" s="141"/>
      <c r="AB33" s="141"/>
      <c r="AC33" s="106">
        <f t="shared" si="8"/>
        <v>0</v>
      </c>
      <c r="AD33" s="106">
        <f t="shared" si="9"/>
        <v>0</v>
      </c>
      <c r="AE33" s="106">
        <f t="shared" si="10"/>
        <v>0</v>
      </c>
      <c r="AF33" s="106">
        <f t="shared" si="11"/>
        <v>0</v>
      </c>
      <c r="AG33" s="142">
        <f t="shared" si="12"/>
        <v>347.63948800000003</v>
      </c>
    </row>
    <row r="34" spans="1:33" ht="36.5" customHeight="1">
      <c r="A34" s="135">
        <v>24</v>
      </c>
      <c r="B34" s="104" t="s">
        <v>178</v>
      </c>
      <c r="C34" s="104" t="s">
        <v>371</v>
      </c>
      <c r="D34" s="136" t="s">
        <v>372</v>
      </c>
      <c r="E34" s="104" t="s">
        <v>416</v>
      </c>
      <c r="F34" s="104" t="s">
        <v>417</v>
      </c>
      <c r="G34" s="105">
        <v>2.2000000000000002</v>
      </c>
      <c r="H34" s="104" t="s">
        <v>370</v>
      </c>
      <c r="I34" s="137">
        <f>IF(H34="","",IFERROR(VLOOKUP(H34,Listas!$A$4:$B$11,2,FALSE),""))</f>
        <v>0.56000000000000005</v>
      </c>
      <c r="J34" s="105">
        <v>0.2</v>
      </c>
      <c r="K34" s="105">
        <v>10</v>
      </c>
      <c r="L34" s="105">
        <v>10</v>
      </c>
      <c r="M34" s="138">
        <f t="shared" si="0"/>
        <v>10</v>
      </c>
      <c r="N34" s="138">
        <f t="shared" si="1"/>
        <v>22</v>
      </c>
      <c r="O34" s="138">
        <f t="shared" si="2"/>
        <v>12.32</v>
      </c>
      <c r="P34" s="105">
        <v>0.25</v>
      </c>
      <c r="Q34" s="105">
        <v>1.82</v>
      </c>
      <c r="R34" s="105">
        <v>1.84</v>
      </c>
      <c r="S34" s="138">
        <f t="shared" si="3"/>
        <v>1.83</v>
      </c>
      <c r="T34" s="138">
        <f t="shared" si="4"/>
        <v>9.8000000000000007</v>
      </c>
      <c r="U34" s="138">
        <f t="shared" si="5"/>
        <v>17.934000000000001</v>
      </c>
      <c r="V34" s="138">
        <f t="shared" si="6"/>
        <v>10.043040000000001</v>
      </c>
      <c r="W34" s="138">
        <f t="shared" si="7"/>
        <v>22.363040000000002</v>
      </c>
      <c r="X34" s="139" t="s">
        <v>370</v>
      </c>
      <c r="Y34" s="140">
        <v>0.56000000000000005</v>
      </c>
      <c r="Z34" s="141">
        <v>0.25</v>
      </c>
      <c r="AA34" s="141">
        <v>0.56000000000000005</v>
      </c>
      <c r="AB34" s="141">
        <v>0.56000000000000005</v>
      </c>
      <c r="AC34" s="106">
        <f t="shared" si="8"/>
        <v>0.56000000000000005</v>
      </c>
      <c r="AD34" s="106">
        <f t="shared" si="9"/>
        <v>9.8000000000000007</v>
      </c>
      <c r="AE34" s="106">
        <f t="shared" si="10"/>
        <v>5.4880000000000013</v>
      </c>
      <c r="AF34" s="106">
        <f t="shared" si="11"/>
        <v>3.0732800000000009</v>
      </c>
      <c r="AG34" s="142">
        <f t="shared" si="12"/>
        <v>25.436320000000002</v>
      </c>
    </row>
    <row r="35" spans="1:33" ht="36.5" customHeight="1">
      <c r="A35" s="135">
        <v>25</v>
      </c>
      <c r="B35" s="104" t="s">
        <v>178</v>
      </c>
      <c r="C35" s="104" t="s">
        <v>378</v>
      </c>
      <c r="D35" s="136" t="s">
        <v>372</v>
      </c>
      <c r="E35" s="104" t="s">
        <v>418</v>
      </c>
      <c r="F35" s="104" t="s">
        <v>419</v>
      </c>
      <c r="G35" s="105">
        <v>6.5</v>
      </c>
      <c r="H35" s="104" t="s">
        <v>370</v>
      </c>
      <c r="I35" s="137">
        <f>IF(H35="","",IFERROR(VLOOKUP(H35,Listas!$A$4:$B$11,2,FALSE),""))</f>
        <v>0.56000000000000005</v>
      </c>
      <c r="J35" s="105">
        <v>0.21</v>
      </c>
      <c r="K35" s="105">
        <v>10</v>
      </c>
      <c r="L35" s="105">
        <v>10</v>
      </c>
      <c r="M35" s="138">
        <f t="shared" si="0"/>
        <v>10</v>
      </c>
      <c r="N35" s="138">
        <f t="shared" si="1"/>
        <v>65</v>
      </c>
      <c r="O35" s="138">
        <f t="shared" si="2"/>
        <v>36.400000000000006</v>
      </c>
      <c r="P35" s="105">
        <v>0.25</v>
      </c>
      <c r="Q35" s="105">
        <v>1.76</v>
      </c>
      <c r="R35" s="105">
        <v>1.82</v>
      </c>
      <c r="S35" s="138">
        <f t="shared" si="3"/>
        <v>1.79</v>
      </c>
      <c r="T35" s="138">
        <f t="shared" si="4"/>
        <v>27</v>
      </c>
      <c r="U35" s="138">
        <f t="shared" si="5"/>
        <v>48.33</v>
      </c>
      <c r="V35" s="138">
        <f t="shared" si="6"/>
        <v>27.064800000000002</v>
      </c>
      <c r="W35" s="138">
        <f t="shared" si="7"/>
        <v>63.464800000000011</v>
      </c>
      <c r="X35" s="139" t="s">
        <v>370</v>
      </c>
      <c r="Y35" s="140">
        <v>0.56000000000000005</v>
      </c>
      <c r="Z35" s="141">
        <v>0.25</v>
      </c>
      <c r="AA35" s="141">
        <v>0.56000000000000005</v>
      </c>
      <c r="AB35" s="141">
        <v>0.56000000000000005</v>
      </c>
      <c r="AC35" s="106">
        <f t="shared" si="8"/>
        <v>0.56000000000000005</v>
      </c>
      <c r="AD35" s="106">
        <f t="shared" si="9"/>
        <v>27</v>
      </c>
      <c r="AE35" s="106">
        <f t="shared" si="10"/>
        <v>15.120000000000001</v>
      </c>
      <c r="AF35" s="106">
        <f t="shared" si="11"/>
        <v>8.4672000000000018</v>
      </c>
      <c r="AG35" s="142">
        <f t="shared" si="12"/>
        <v>71.932000000000016</v>
      </c>
    </row>
    <row r="36" spans="1:33" ht="36.5" customHeight="1">
      <c r="A36" s="135">
        <v>26</v>
      </c>
      <c r="B36" s="104" t="s">
        <v>179</v>
      </c>
      <c r="C36" s="104" t="s">
        <v>367</v>
      </c>
      <c r="D36" s="136" t="s">
        <v>250</v>
      </c>
      <c r="E36" s="104" t="s">
        <v>420</v>
      </c>
      <c r="F36" s="104" t="s">
        <v>421</v>
      </c>
      <c r="G36" s="105">
        <v>32.479999999999997</v>
      </c>
      <c r="H36" s="104" t="s">
        <v>370</v>
      </c>
      <c r="I36" s="137">
        <f>IF(H36="","",IFERROR(VLOOKUP(H36,Listas!$A$4:$B$11,2,FALSE),""))</f>
        <v>0.56000000000000005</v>
      </c>
      <c r="J36" s="105">
        <v>0.2</v>
      </c>
      <c r="K36" s="105">
        <v>7</v>
      </c>
      <c r="L36" s="105">
        <v>1.76</v>
      </c>
      <c r="M36" s="138">
        <f t="shared" si="0"/>
        <v>4.38</v>
      </c>
      <c r="N36" s="138">
        <f t="shared" si="1"/>
        <v>142.26239999999999</v>
      </c>
      <c r="O36" s="138">
        <f t="shared" si="2"/>
        <v>79.666944000000001</v>
      </c>
      <c r="P36" s="105">
        <v>0.25</v>
      </c>
      <c r="Q36" s="105">
        <v>1.42</v>
      </c>
      <c r="R36" s="105">
        <v>1.76</v>
      </c>
      <c r="S36" s="138">
        <f t="shared" si="3"/>
        <v>1.5899999999999999</v>
      </c>
      <c r="T36" s="138">
        <f t="shared" si="4"/>
        <v>130.91999999999999</v>
      </c>
      <c r="U36" s="138">
        <f t="shared" si="5"/>
        <v>208.16279999999995</v>
      </c>
      <c r="V36" s="138">
        <f t="shared" si="6"/>
        <v>116.57116799999999</v>
      </c>
      <c r="W36" s="138">
        <f t="shared" si="7"/>
        <v>196.238112</v>
      </c>
      <c r="X36" s="139"/>
      <c r="Y36" s="140"/>
      <c r="Z36" s="141"/>
      <c r="AA36" s="141"/>
      <c r="AB36" s="141"/>
      <c r="AC36" s="106">
        <f t="shared" si="8"/>
        <v>0</v>
      </c>
      <c r="AD36" s="106">
        <f t="shared" si="9"/>
        <v>0</v>
      </c>
      <c r="AE36" s="106">
        <f t="shared" si="10"/>
        <v>0</v>
      </c>
      <c r="AF36" s="106">
        <f t="shared" si="11"/>
        <v>0</v>
      </c>
      <c r="AG36" s="142">
        <f t="shared" si="12"/>
        <v>196.238112</v>
      </c>
    </row>
    <row r="37" spans="1:33" ht="36.5" customHeight="1">
      <c r="A37" s="135">
        <v>27</v>
      </c>
      <c r="B37" s="104" t="s">
        <v>179</v>
      </c>
      <c r="C37" s="104" t="s">
        <v>371</v>
      </c>
      <c r="D37" s="136" t="s">
        <v>372</v>
      </c>
      <c r="E37" s="104" t="s">
        <v>422</v>
      </c>
      <c r="F37" s="104" t="s">
        <v>423</v>
      </c>
      <c r="G37" s="105">
        <v>56.64</v>
      </c>
      <c r="H37" s="104" t="s">
        <v>370</v>
      </c>
      <c r="I37" s="137">
        <f>IF(H37="","",IFERROR(VLOOKUP(H37,Listas!$A$4:$B$11,2,FALSE),""))</f>
        <v>0.56000000000000005</v>
      </c>
      <c r="J37" s="105">
        <v>0.21</v>
      </c>
      <c r="K37" s="105">
        <v>10</v>
      </c>
      <c r="L37" s="105">
        <v>12</v>
      </c>
      <c r="M37" s="138">
        <f t="shared" si="0"/>
        <v>11</v>
      </c>
      <c r="N37" s="138">
        <f t="shared" si="1"/>
        <v>623.04</v>
      </c>
      <c r="O37" s="138">
        <f t="shared" si="2"/>
        <v>348.9024</v>
      </c>
      <c r="P37" s="105">
        <v>0.25</v>
      </c>
      <c r="Q37" s="105">
        <v>1.66</v>
      </c>
      <c r="R37" s="105">
        <v>2.2200000000000002</v>
      </c>
      <c r="S37" s="138">
        <f t="shared" si="3"/>
        <v>1.94</v>
      </c>
      <c r="T37" s="138">
        <f t="shared" si="4"/>
        <v>227.56</v>
      </c>
      <c r="U37" s="138">
        <f t="shared" si="5"/>
        <v>441.46639999999996</v>
      </c>
      <c r="V37" s="138">
        <f t="shared" si="6"/>
        <v>247.22118399999999</v>
      </c>
      <c r="W37" s="138">
        <f t="shared" si="7"/>
        <v>596.12358399999994</v>
      </c>
      <c r="X37" s="139" t="s">
        <v>370</v>
      </c>
      <c r="Y37" s="140">
        <v>0.56000000000000005</v>
      </c>
      <c r="Z37" s="141">
        <v>0.25</v>
      </c>
      <c r="AA37" s="141">
        <v>0.56000000000000005</v>
      </c>
      <c r="AB37" s="141">
        <v>0.56000000000000005</v>
      </c>
      <c r="AC37" s="106">
        <f t="shared" si="8"/>
        <v>0.56000000000000005</v>
      </c>
      <c r="AD37" s="106">
        <f t="shared" si="9"/>
        <v>227.56</v>
      </c>
      <c r="AE37" s="106">
        <f t="shared" si="10"/>
        <v>127.43360000000001</v>
      </c>
      <c r="AF37" s="106">
        <f t="shared" si="11"/>
        <v>71.362816000000009</v>
      </c>
      <c r="AG37" s="142">
        <f t="shared" si="12"/>
        <v>667.4864</v>
      </c>
    </row>
    <row r="38" spans="1:33" ht="36.5" customHeight="1">
      <c r="A38" s="312" t="s">
        <v>424</v>
      </c>
      <c r="B38" s="232"/>
      <c r="C38" s="232"/>
      <c r="D38" s="232"/>
      <c r="E38" s="232"/>
      <c r="F38" s="233"/>
      <c r="G38" s="143">
        <f>SUM(G11:G37)</f>
        <v>512.94000000000005</v>
      </c>
      <c r="H38" s="143"/>
      <c r="I38" s="143"/>
      <c r="J38" s="143"/>
      <c r="K38" s="143"/>
      <c r="L38" s="143"/>
      <c r="M38" s="143"/>
      <c r="N38" s="143">
        <f>SUM(N11:N37)</f>
        <v>4654.7223999999997</v>
      </c>
      <c r="O38" s="143">
        <f>SUM(O11:O37)</f>
        <v>2606.6445440000002</v>
      </c>
      <c r="P38" s="143"/>
      <c r="Q38" s="143"/>
      <c r="R38" s="143"/>
      <c r="S38" s="143"/>
      <c r="T38" s="143"/>
      <c r="U38" s="143">
        <f>SUM(U11:U37)</f>
        <v>3817.9952000000003</v>
      </c>
      <c r="V38" s="143">
        <f>SUM(V11:V37)</f>
        <v>2138.0773120000003</v>
      </c>
      <c r="W38" s="143">
        <f>SUM(W11:W37)</f>
        <v>4744.7218559999992</v>
      </c>
      <c r="X38" s="143"/>
      <c r="Y38" s="143"/>
      <c r="Z38" s="143"/>
      <c r="AA38" s="143"/>
      <c r="AB38" s="143"/>
      <c r="AC38" s="143"/>
      <c r="AD38" s="143"/>
      <c r="AE38" s="143">
        <f>SUM(AE11:AE37)</f>
        <v>397.01760000000002</v>
      </c>
      <c r="AF38" s="143">
        <f>SUM(AF11:AF37)</f>
        <v>222.32985600000004</v>
      </c>
      <c r="AG38" s="143">
        <f>SUM(AG11:AG37)</f>
        <v>4967.0517119999995</v>
      </c>
    </row>
  </sheetData>
  <mergeCells count="11">
    <mergeCell ref="B4:AG4"/>
    <mergeCell ref="A2:AG2"/>
    <mergeCell ref="B3:AG3"/>
    <mergeCell ref="X9:AF9"/>
    <mergeCell ref="B6:AG6"/>
    <mergeCell ref="H9:O9"/>
    <mergeCell ref="A38:F38"/>
    <mergeCell ref="P9:W9"/>
    <mergeCell ref="B5:AG5"/>
    <mergeCell ref="A8:AG8"/>
    <mergeCell ref="A9:G9"/>
  </mergeCells>
  <conditionalFormatting sqref="D11:D37">
    <cfRule type="expression" dxfId="8" priority="2">
      <formula>D11="TAPADA"</formula>
    </cfRule>
    <cfRule type="expression" dxfId="7" priority="3">
      <formula>D11="ABIERTA"</formula>
    </cfRule>
  </conditionalFormatting>
  <conditionalFormatting sqref="X11:AF37">
    <cfRule type="expression" dxfId="6" priority="1">
      <formula>$D11="ABIERTA"</formula>
    </cfRule>
  </conditionalFormatting>
  <pageMargins left="0.7" right="0.7" top="0.75" bottom="0.75" header="0.3" footer="0.3"/>
  <pageSetup paperSize="9" scale="28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fitToPage="1"/>
  </sheetPr>
  <dimension ref="A1:O38"/>
  <sheetViews>
    <sheetView topLeftCell="A22" zoomScaleNormal="100" zoomScaleSheetLayoutView="100" workbookViewId="0">
      <selection activeCell="F15" sqref="F15"/>
    </sheetView>
  </sheetViews>
  <sheetFormatPr baseColWidth="10" defaultColWidth="9.453125" defaultRowHeight="15.5"/>
  <cols>
    <col min="1" max="1" width="6.54296875" style="100" customWidth="1"/>
    <col min="2" max="2" width="13.08984375" style="100" customWidth="1"/>
    <col min="3" max="3" width="18.81640625" style="100" customWidth="1"/>
    <col min="4" max="4" width="17.453125" style="100" customWidth="1"/>
    <col min="5" max="5" width="16" style="100" customWidth="1"/>
    <col min="6" max="8" width="15.26953125" style="100" customWidth="1"/>
    <col min="9" max="9" width="14.1796875" style="100" customWidth="1"/>
    <col min="10" max="10" width="16.36328125" style="100" customWidth="1"/>
    <col min="11" max="11" width="15.26953125" style="100" customWidth="1"/>
    <col min="12" max="12" width="17.453125" style="100" customWidth="1"/>
    <col min="13" max="13" width="16.36328125" style="100" customWidth="1"/>
    <col min="14" max="14" width="10.90625" style="100" customWidth="1"/>
    <col min="15" max="15" width="8.7265625" style="100" customWidth="1"/>
    <col min="16" max="17" width="9.453125" style="100" customWidth="1"/>
    <col min="18" max="16384" width="9.453125" style="100"/>
  </cols>
  <sheetData>
    <row r="1" spans="1:15" ht="25" customHeight="1">
      <c r="A1" s="325" t="s">
        <v>425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3"/>
    </row>
    <row r="2" spans="1:15" ht="27" customHeight="1">
      <c r="A2" s="321" t="s">
        <v>1</v>
      </c>
      <c r="B2" s="233"/>
      <c r="C2" s="324" t="s">
        <v>2</v>
      </c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3"/>
    </row>
    <row r="3" spans="1:15" ht="47" customHeight="1">
      <c r="A3" s="321" t="s">
        <v>3</v>
      </c>
      <c r="B3" s="233"/>
      <c r="C3" s="324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3"/>
    </row>
    <row r="4" spans="1:15" ht="27" customHeight="1">
      <c r="A4" s="321" t="s">
        <v>5</v>
      </c>
      <c r="B4" s="233"/>
      <c r="C4" s="324" t="str">
        <f>+RESUMEN!B6</f>
        <v>SAN MARTIN - SAN MARTIN - MORALES</v>
      </c>
      <c r="D4" s="232"/>
      <c r="E4" s="232"/>
      <c r="F4" s="232"/>
      <c r="G4" s="232"/>
      <c r="H4" s="232"/>
      <c r="I4" s="232"/>
      <c r="J4" s="233"/>
      <c r="K4" s="110" t="s">
        <v>7</v>
      </c>
      <c r="L4" s="326">
        <f>+RESUMEN!B7</f>
        <v>46266</v>
      </c>
      <c r="M4" s="232"/>
      <c r="N4" s="232"/>
      <c r="O4" s="233"/>
    </row>
    <row r="6" spans="1:15" ht="37.4" customHeight="1">
      <c r="A6" s="102" t="s">
        <v>333</v>
      </c>
      <c r="B6" s="102" t="s">
        <v>334</v>
      </c>
      <c r="C6" s="102" t="s">
        <v>335</v>
      </c>
      <c r="D6" s="102" t="s">
        <v>336</v>
      </c>
      <c r="E6" s="102" t="s">
        <v>289</v>
      </c>
      <c r="F6" s="102" t="s">
        <v>426</v>
      </c>
      <c r="G6" s="102" t="s">
        <v>427</v>
      </c>
      <c r="H6" s="102" t="s">
        <v>428</v>
      </c>
      <c r="I6" s="102" t="s">
        <v>429</v>
      </c>
      <c r="J6" s="102" t="s">
        <v>430</v>
      </c>
      <c r="K6" s="102" t="s">
        <v>431</v>
      </c>
      <c r="L6" s="102" t="s">
        <v>432</v>
      </c>
      <c r="M6" s="102" t="s">
        <v>433</v>
      </c>
      <c r="N6" s="102" t="s">
        <v>434</v>
      </c>
      <c r="O6" s="102" t="s">
        <v>435</v>
      </c>
    </row>
    <row r="7" spans="1:15" ht="33" customHeight="1">
      <c r="A7" s="101">
        <v>1</v>
      </c>
      <c r="B7" s="132" t="s">
        <v>366</v>
      </c>
      <c r="C7" s="132" t="s">
        <v>367</v>
      </c>
      <c r="D7" s="136" t="s">
        <v>250</v>
      </c>
      <c r="E7" s="133">
        <v>32</v>
      </c>
      <c r="F7" s="195">
        <v>0.4</v>
      </c>
      <c r="G7" s="133">
        <v>0.3</v>
      </c>
      <c r="H7" s="133">
        <v>0.46</v>
      </c>
      <c r="I7" s="106">
        <f t="shared" ref="I7:I36" si="0">IF(B7="","",(G7+H7)/2)</f>
        <v>0.38</v>
      </c>
      <c r="J7" s="106">
        <f t="shared" ref="J7:J36" si="1">IF(B7="","",2*E7*I7)</f>
        <v>24.32</v>
      </c>
      <c r="K7" s="106">
        <f t="shared" ref="K7:K36" si="2">IF(B7="","",E7*F7)</f>
        <v>12.8</v>
      </c>
      <c r="L7" s="106">
        <f t="shared" ref="L7:L36" si="3">IF(B7="","",IF(D7="TAPADA",E7*F7,0))</f>
        <v>0</v>
      </c>
      <c r="M7" s="107">
        <f t="shared" ref="M7:M36" si="4">SUM(J7:L7)</f>
        <v>37.120000000000005</v>
      </c>
      <c r="N7" s="108">
        <f t="shared" ref="N7:N36" si="5">IF(B7="","",IF(D7="TAPADA",4,3))</f>
        <v>3</v>
      </c>
      <c r="O7" s="109" t="s">
        <v>18</v>
      </c>
    </row>
    <row r="8" spans="1:15" ht="33" customHeight="1">
      <c r="A8" s="101">
        <v>2</v>
      </c>
      <c r="B8" s="132" t="s">
        <v>366</v>
      </c>
      <c r="C8" s="132" t="s">
        <v>371</v>
      </c>
      <c r="D8" s="136" t="s">
        <v>372</v>
      </c>
      <c r="E8" s="133">
        <v>5.14</v>
      </c>
      <c r="F8" s="195">
        <v>0.4</v>
      </c>
      <c r="G8" s="133">
        <v>0.46</v>
      </c>
      <c r="H8" s="133">
        <v>0.48</v>
      </c>
      <c r="I8" s="106">
        <f t="shared" si="0"/>
        <v>0.47</v>
      </c>
      <c r="J8" s="106">
        <f t="shared" si="1"/>
        <v>4.831599999999999</v>
      </c>
      <c r="K8" s="106">
        <f t="shared" si="2"/>
        <v>2.056</v>
      </c>
      <c r="L8" s="106">
        <f t="shared" si="3"/>
        <v>2.056</v>
      </c>
      <c r="M8" s="107">
        <f t="shared" si="4"/>
        <v>8.9436</v>
      </c>
      <c r="N8" s="108">
        <f t="shared" si="5"/>
        <v>4</v>
      </c>
      <c r="O8" s="109" t="s">
        <v>18</v>
      </c>
    </row>
    <row r="9" spans="1:15" ht="33" customHeight="1">
      <c r="A9" s="101">
        <v>3</v>
      </c>
      <c r="B9" s="132" t="s">
        <v>374</v>
      </c>
      <c r="C9" s="132" t="s">
        <v>367</v>
      </c>
      <c r="D9" s="136" t="s">
        <v>250</v>
      </c>
      <c r="E9" s="133">
        <v>37.5</v>
      </c>
      <c r="F9" s="195">
        <v>0.4</v>
      </c>
      <c r="G9" s="133">
        <v>0.3</v>
      </c>
      <c r="H9" s="133">
        <v>0.48</v>
      </c>
      <c r="I9" s="106">
        <f t="shared" si="0"/>
        <v>0.39</v>
      </c>
      <c r="J9" s="106">
        <f t="shared" si="1"/>
        <v>29.25</v>
      </c>
      <c r="K9" s="106">
        <f t="shared" si="2"/>
        <v>15</v>
      </c>
      <c r="L9" s="106">
        <f t="shared" si="3"/>
        <v>0</v>
      </c>
      <c r="M9" s="107">
        <f t="shared" si="4"/>
        <v>44.25</v>
      </c>
      <c r="N9" s="108">
        <f t="shared" si="5"/>
        <v>3</v>
      </c>
      <c r="O9" s="109" t="s">
        <v>18</v>
      </c>
    </row>
    <row r="10" spans="1:15" ht="33" customHeight="1">
      <c r="A10" s="101">
        <v>4</v>
      </c>
      <c r="B10" s="132" t="s">
        <v>374</v>
      </c>
      <c r="C10" s="132" t="s">
        <v>371</v>
      </c>
      <c r="D10" s="136" t="s">
        <v>372</v>
      </c>
      <c r="E10" s="133">
        <v>10.199999999999999</v>
      </c>
      <c r="F10" s="195">
        <v>0.4</v>
      </c>
      <c r="G10" s="133">
        <v>0.48</v>
      </c>
      <c r="H10" s="133">
        <v>0.53</v>
      </c>
      <c r="I10" s="106">
        <f t="shared" si="0"/>
        <v>0.505</v>
      </c>
      <c r="J10" s="106">
        <f t="shared" si="1"/>
        <v>10.302</v>
      </c>
      <c r="K10" s="106">
        <f t="shared" si="2"/>
        <v>4.08</v>
      </c>
      <c r="L10" s="106">
        <f t="shared" si="3"/>
        <v>4.08</v>
      </c>
      <c r="M10" s="107">
        <f t="shared" si="4"/>
        <v>18.462</v>
      </c>
      <c r="N10" s="108">
        <f t="shared" si="5"/>
        <v>4</v>
      </c>
      <c r="O10" s="109" t="s">
        <v>18</v>
      </c>
    </row>
    <row r="11" spans="1:15" ht="33" customHeight="1">
      <c r="A11" s="101">
        <v>5</v>
      </c>
      <c r="B11" s="132" t="s">
        <v>374</v>
      </c>
      <c r="C11" s="132" t="s">
        <v>378</v>
      </c>
      <c r="D11" s="136" t="s">
        <v>250</v>
      </c>
      <c r="E11" s="133">
        <v>31.33</v>
      </c>
      <c r="F11" s="195">
        <v>0.4</v>
      </c>
      <c r="G11" s="133">
        <v>0.53</v>
      </c>
      <c r="H11" s="133">
        <v>0.7</v>
      </c>
      <c r="I11" s="106">
        <f t="shared" si="0"/>
        <v>0.61499999999999999</v>
      </c>
      <c r="J11" s="106">
        <f t="shared" si="1"/>
        <v>38.535899999999998</v>
      </c>
      <c r="K11" s="106">
        <f t="shared" si="2"/>
        <v>12.532</v>
      </c>
      <c r="L11" s="106">
        <f t="shared" si="3"/>
        <v>0</v>
      </c>
      <c r="M11" s="107">
        <f t="shared" si="4"/>
        <v>51.067899999999995</v>
      </c>
      <c r="N11" s="108">
        <f t="shared" si="5"/>
        <v>3</v>
      </c>
      <c r="O11" s="109" t="s">
        <v>18</v>
      </c>
    </row>
    <row r="12" spans="1:15" ht="40" customHeight="1">
      <c r="A12" s="101">
        <v>6</v>
      </c>
      <c r="B12" s="132" t="s">
        <v>374</v>
      </c>
      <c r="C12" s="132" t="s">
        <v>380</v>
      </c>
      <c r="D12" s="136" t="s">
        <v>372</v>
      </c>
      <c r="E12" s="133">
        <v>8.36</v>
      </c>
      <c r="F12" s="195">
        <v>0.4</v>
      </c>
      <c r="G12" s="133">
        <v>0.7</v>
      </c>
      <c r="H12" s="133">
        <v>0.73</v>
      </c>
      <c r="I12" s="106">
        <f t="shared" si="0"/>
        <v>0.71499999999999997</v>
      </c>
      <c r="J12" s="106">
        <f t="shared" si="1"/>
        <v>11.954799999999999</v>
      </c>
      <c r="K12" s="106">
        <f t="shared" si="2"/>
        <v>3.3439999999999999</v>
      </c>
      <c r="L12" s="106">
        <f t="shared" si="3"/>
        <v>3.3439999999999999</v>
      </c>
      <c r="M12" s="107">
        <f t="shared" si="4"/>
        <v>18.642799999999998</v>
      </c>
      <c r="N12" s="108">
        <f t="shared" si="5"/>
        <v>4</v>
      </c>
      <c r="O12" s="109" t="s">
        <v>18</v>
      </c>
    </row>
    <row r="13" spans="1:15" ht="33" customHeight="1">
      <c r="A13" s="101">
        <v>7</v>
      </c>
      <c r="B13" s="132" t="s">
        <v>374</v>
      </c>
      <c r="C13" s="132" t="s">
        <v>382</v>
      </c>
      <c r="D13" s="136" t="s">
        <v>250</v>
      </c>
      <c r="E13" s="133">
        <v>30.36</v>
      </c>
      <c r="F13" s="195">
        <v>0.4</v>
      </c>
      <c r="G13" s="133">
        <v>0.73</v>
      </c>
      <c r="H13" s="133">
        <v>0.88</v>
      </c>
      <c r="I13" s="106">
        <f t="shared" si="0"/>
        <v>0.80499999999999994</v>
      </c>
      <c r="J13" s="106">
        <f t="shared" si="1"/>
        <v>48.879599999999996</v>
      </c>
      <c r="K13" s="106">
        <f t="shared" si="2"/>
        <v>12.144</v>
      </c>
      <c r="L13" s="106">
        <f t="shared" si="3"/>
        <v>0</v>
      </c>
      <c r="M13" s="107">
        <f t="shared" si="4"/>
        <v>61.023599999999995</v>
      </c>
      <c r="N13" s="108">
        <f t="shared" si="5"/>
        <v>3</v>
      </c>
      <c r="O13" s="109" t="s">
        <v>18</v>
      </c>
    </row>
    <row r="14" spans="1:15" ht="33" customHeight="1">
      <c r="A14" s="101">
        <v>8</v>
      </c>
      <c r="B14" s="132" t="s">
        <v>374</v>
      </c>
      <c r="C14" s="132" t="s">
        <v>385</v>
      </c>
      <c r="D14" s="136" t="s">
        <v>372</v>
      </c>
      <c r="E14" s="133">
        <v>2.25</v>
      </c>
      <c r="F14" s="195">
        <v>0.4</v>
      </c>
      <c r="G14" s="133">
        <v>0.88</v>
      </c>
      <c r="H14" s="133">
        <v>0.9</v>
      </c>
      <c r="I14" s="106">
        <f t="shared" si="0"/>
        <v>0.89</v>
      </c>
      <c r="J14" s="106">
        <f t="shared" si="1"/>
        <v>4.0049999999999999</v>
      </c>
      <c r="K14" s="106">
        <f t="shared" si="2"/>
        <v>0.9</v>
      </c>
      <c r="L14" s="106">
        <f t="shared" si="3"/>
        <v>0.9</v>
      </c>
      <c r="M14" s="107">
        <f t="shared" si="4"/>
        <v>5.8050000000000006</v>
      </c>
      <c r="N14" s="108">
        <f t="shared" si="5"/>
        <v>4</v>
      </c>
      <c r="O14" s="109" t="s">
        <v>18</v>
      </c>
    </row>
    <row r="15" spans="1:15" ht="33" customHeight="1">
      <c r="A15" s="101">
        <v>9</v>
      </c>
      <c r="B15" s="132" t="s">
        <v>374</v>
      </c>
      <c r="C15" s="132" t="s">
        <v>387</v>
      </c>
      <c r="D15" s="136" t="s">
        <v>372</v>
      </c>
      <c r="E15" s="133">
        <v>10.85</v>
      </c>
      <c r="F15" s="195">
        <v>0.4</v>
      </c>
      <c r="G15" s="133">
        <v>0.85</v>
      </c>
      <c r="H15" s="133">
        <v>0.9</v>
      </c>
      <c r="I15" s="106">
        <f t="shared" si="0"/>
        <v>0.875</v>
      </c>
      <c r="J15" s="106">
        <f t="shared" si="1"/>
        <v>18.987500000000001</v>
      </c>
      <c r="K15" s="106">
        <f t="shared" si="2"/>
        <v>4.34</v>
      </c>
      <c r="L15" s="106">
        <f t="shared" si="3"/>
        <v>4.34</v>
      </c>
      <c r="M15" s="107">
        <f t="shared" si="4"/>
        <v>27.6675</v>
      </c>
      <c r="N15" s="108">
        <f t="shared" si="5"/>
        <v>4</v>
      </c>
      <c r="O15" s="109" t="s">
        <v>18</v>
      </c>
    </row>
    <row r="16" spans="1:15" ht="33" customHeight="1">
      <c r="A16" s="101">
        <v>10</v>
      </c>
      <c r="B16" s="132" t="s">
        <v>436</v>
      </c>
      <c r="C16" s="132" t="s">
        <v>367</v>
      </c>
      <c r="D16" s="136" t="s">
        <v>250</v>
      </c>
      <c r="E16" s="133">
        <v>5.82</v>
      </c>
      <c r="F16" s="195">
        <v>0.4</v>
      </c>
      <c r="G16" s="133">
        <v>0.3</v>
      </c>
      <c r="H16" s="133">
        <v>0.32</v>
      </c>
      <c r="I16" s="106">
        <f t="shared" si="0"/>
        <v>0.31</v>
      </c>
      <c r="J16" s="106">
        <f t="shared" si="1"/>
        <v>3.6084000000000001</v>
      </c>
      <c r="K16" s="106">
        <f t="shared" si="2"/>
        <v>2.3280000000000003</v>
      </c>
      <c r="L16" s="106">
        <f t="shared" si="3"/>
        <v>0</v>
      </c>
      <c r="M16" s="107">
        <f t="shared" si="4"/>
        <v>5.9364000000000008</v>
      </c>
      <c r="N16" s="108">
        <f t="shared" si="5"/>
        <v>3</v>
      </c>
      <c r="O16" s="109" t="s">
        <v>18</v>
      </c>
    </row>
    <row r="17" spans="1:15" ht="33" customHeight="1">
      <c r="A17" s="101">
        <v>11</v>
      </c>
      <c r="B17" s="132" t="s">
        <v>437</v>
      </c>
      <c r="C17" s="132" t="s">
        <v>367</v>
      </c>
      <c r="D17" s="136" t="s">
        <v>250</v>
      </c>
      <c r="E17" s="133">
        <v>8.6</v>
      </c>
      <c r="F17" s="195">
        <v>0.4</v>
      </c>
      <c r="G17" s="133">
        <v>0.3</v>
      </c>
      <c r="H17" s="133">
        <v>0.34</v>
      </c>
      <c r="I17" s="106">
        <f t="shared" si="0"/>
        <v>0.32</v>
      </c>
      <c r="J17" s="106">
        <f t="shared" si="1"/>
        <v>5.5039999999999996</v>
      </c>
      <c r="K17" s="106">
        <f t="shared" si="2"/>
        <v>3.44</v>
      </c>
      <c r="L17" s="106">
        <f t="shared" si="3"/>
        <v>0</v>
      </c>
      <c r="M17" s="107">
        <f t="shared" si="4"/>
        <v>8.9439999999999991</v>
      </c>
      <c r="N17" s="108">
        <f t="shared" si="5"/>
        <v>3</v>
      </c>
      <c r="O17" s="109" t="s">
        <v>18</v>
      </c>
    </row>
    <row r="18" spans="1:15" ht="33" customHeight="1">
      <c r="A18" s="101">
        <v>12</v>
      </c>
      <c r="B18" s="132" t="s">
        <v>390</v>
      </c>
      <c r="C18" s="132" t="s">
        <v>367</v>
      </c>
      <c r="D18" s="136" t="s">
        <v>250</v>
      </c>
      <c r="E18" s="133">
        <v>37.53</v>
      </c>
      <c r="F18" s="195">
        <v>0.4</v>
      </c>
      <c r="G18" s="133">
        <v>0.3</v>
      </c>
      <c r="H18" s="133">
        <v>0.48</v>
      </c>
      <c r="I18" s="106">
        <f t="shared" si="0"/>
        <v>0.39</v>
      </c>
      <c r="J18" s="106">
        <f t="shared" si="1"/>
        <v>29.273400000000002</v>
      </c>
      <c r="K18" s="106">
        <f t="shared" si="2"/>
        <v>15.012</v>
      </c>
      <c r="L18" s="106">
        <f t="shared" si="3"/>
        <v>0</v>
      </c>
      <c r="M18" s="107">
        <f t="shared" si="4"/>
        <v>44.285400000000003</v>
      </c>
      <c r="N18" s="108">
        <f t="shared" si="5"/>
        <v>3</v>
      </c>
      <c r="O18" s="109" t="s">
        <v>18</v>
      </c>
    </row>
    <row r="19" spans="1:15" ht="33" customHeight="1">
      <c r="A19" s="101">
        <v>13</v>
      </c>
      <c r="B19" s="132" t="s">
        <v>390</v>
      </c>
      <c r="C19" s="132" t="s">
        <v>371</v>
      </c>
      <c r="D19" s="136" t="s">
        <v>372</v>
      </c>
      <c r="E19" s="133">
        <v>5.7</v>
      </c>
      <c r="F19" s="195">
        <v>0.4</v>
      </c>
      <c r="G19" s="133">
        <v>0.48</v>
      </c>
      <c r="H19" s="133">
        <v>0.51</v>
      </c>
      <c r="I19" s="106">
        <f t="shared" si="0"/>
        <v>0.495</v>
      </c>
      <c r="J19" s="106">
        <f t="shared" si="1"/>
        <v>5.6429999999999998</v>
      </c>
      <c r="K19" s="106">
        <f t="shared" si="2"/>
        <v>2.2800000000000002</v>
      </c>
      <c r="L19" s="106">
        <f t="shared" si="3"/>
        <v>2.2800000000000002</v>
      </c>
      <c r="M19" s="107">
        <f t="shared" si="4"/>
        <v>10.202999999999999</v>
      </c>
      <c r="N19" s="108">
        <f t="shared" si="5"/>
        <v>4</v>
      </c>
      <c r="O19" s="109" t="s">
        <v>18</v>
      </c>
    </row>
    <row r="20" spans="1:15" ht="33" customHeight="1">
      <c r="A20" s="101">
        <v>14</v>
      </c>
      <c r="B20" s="132" t="s">
        <v>394</v>
      </c>
      <c r="C20" s="132" t="s">
        <v>367</v>
      </c>
      <c r="D20" s="136" t="s">
        <v>250</v>
      </c>
      <c r="E20" s="133">
        <v>37.53</v>
      </c>
      <c r="F20" s="195">
        <v>0.4</v>
      </c>
      <c r="G20" s="133">
        <v>0.3</v>
      </c>
      <c r="H20" s="133">
        <v>0.48</v>
      </c>
      <c r="I20" s="106">
        <f t="shared" si="0"/>
        <v>0.39</v>
      </c>
      <c r="J20" s="106">
        <f t="shared" si="1"/>
        <v>29.273400000000002</v>
      </c>
      <c r="K20" s="106">
        <f t="shared" si="2"/>
        <v>15.012</v>
      </c>
      <c r="L20" s="106">
        <f t="shared" si="3"/>
        <v>0</v>
      </c>
      <c r="M20" s="107">
        <f t="shared" si="4"/>
        <v>44.285400000000003</v>
      </c>
      <c r="N20" s="108">
        <f t="shared" si="5"/>
        <v>3</v>
      </c>
      <c r="O20" s="109" t="s">
        <v>18</v>
      </c>
    </row>
    <row r="21" spans="1:15" ht="33" customHeight="1">
      <c r="A21" s="101">
        <v>15</v>
      </c>
      <c r="B21" s="132" t="s">
        <v>394</v>
      </c>
      <c r="C21" s="132" t="s">
        <v>371</v>
      </c>
      <c r="D21" s="136" t="s">
        <v>372</v>
      </c>
      <c r="E21" s="133">
        <v>10.9</v>
      </c>
      <c r="F21" s="195">
        <v>0.4</v>
      </c>
      <c r="G21" s="133">
        <v>0.48</v>
      </c>
      <c r="H21" s="133">
        <v>0.54</v>
      </c>
      <c r="I21" s="106">
        <f t="shared" si="0"/>
        <v>0.51</v>
      </c>
      <c r="J21" s="106">
        <f t="shared" si="1"/>
        <v>11.118</v>
      </c>
      <c r="K21" s="106">
        <f t="shared" si="2"/>
        <v>4.3600000000000003</v>
      </c>
      <c r="L21" s="106">
        <f t="shared" si="3"/>
        <v>4.3600000000000003</v>
      </c>
      <c r="M21" s="107">
        <f t="shared" si="4"/>
        <v>19.838000000000001</v>
      </c>
      <c r="N21" s="108">
        <f t="shared" si="5"/>
        <v>4</v>
      </c>
      <c r="O21" s="109" t="s">
        <v>18</v>
      </c>
    </row>
    <row r="22" spans="1:15" ht="33" customHeight="1">
      <c r="A22" s="101">
        <v>16</v>
      </c>
      <c r="B22" s="132" t="s">
        <v>394</v>
      </c>
      <c r="C22" s="132" t="s">
        <v>378</v>
      </c>
      <c r="D22" s="136" t="s">
        <v>250</v>
      </c>
      <c r="E22" s="133">
        <v>56.93</v>
      </c>
      <c r="F22" s="195">
        <v>0.4</v>
      </c>
      <c r="G22" s="133">
        <v>0.54</v>
      </c>
      <c r="H22" s="133">
        <v>0.82</v>
      </c>
      <c r="I22" s="106">
        <f t="shared" si="0"/>
        <v>0.67999999999999994</v>
      </c>
      <c r="J22" s="106">
        <f t="shared" si="1"/>
        <v>77.424799999999991</v>
      </c>
      <c r="K22" s="106">
        <f t="shared" si="2"/>
        <v>22.772000000000002</v>
      </c>
      <c r="L22" s="106">
        <f t="shared" si="3"/>
        <v>0</v>
      </c>
      <c r="M22" s="107">
        <f t="shared" si="4"/>
        <v>100.1968</v>
      </c>
      <c r="N22" s="108">
        <f t="shared" si="5"/>
        <v>3</v>
      </c>
      <c r="O22" s="109" t="s">
        <v>18</v>
      </c>
    </row>
    <row r="23" spans="1:15" ht="33" customHeight="1">
      <c r="A23" s="101">
        <v>17</v>
      </c>
      <c r="B23" s="132" t="s">
        <v>394</v>
      </c>
      <c r="C23" s="132" t="s">
        <v>380</v>
      </c>
      <c r="D23" s="136" t="s">
        <v>372</v>
      </c>
      <c r="E23" s="133">
        <v>15</v>
      </c>
      <c r="F23" s="195">
        <v>0.4</v>
      </c>
      <c r="G23" s="133">
        <v>0.82</v>
      </c>
      <c r="H23" s="133">
        <v>0.9</v>
      </c>
      <c r="I23" s="106">
        <f t="shared" si="0"/>
        <v>0.86</v>
      </c>
      <c r="J23" s="106">
        <f t="shared" si="1"/>
        <v>25.8</v>
      </c>
      <c r="K23" s="106">
        <f t="shared" si="2"/>
        <v>6</v>
      </c>
      <c r="L23" s="106">
        <f t="shared" si="3"/>
        <v>6</v>
      </c>
      <c r="M23" s="107">
        <f t="shared" si="4"/>
        <v>37.799999999999997</v>
      </c>
      <c r="N23" s="108">
        <f t="shared" si="5"/>
        <v>4</v>
      </c>
      <c r="O23" s="109" t="s">
        <v>18</v>
      </c>
    </row>
    <row r="24" spans="1:15" ht="33" customHeight="1">
      <c r="A24" s="101">
        <v>18</v>
      </c>
      <c r="B24" s="132" t="s">
        <v>401</v>
      </c>
      <c r="C24" s="132" t="s">
        <v>367</v>
      </c>
      <c r="D24" s="136" t="s">
        <v>250</v>
      </c>
      <c r="E24" s="133">
        <v>37.53</v>
      </c>
      <c r="F24" s="195">
        <v>0.4</v>
      </c>
      <c r="G24" s="133">
        <v>0.3</v>
      </c>
      <c r="H24" s="133">
        <v>0.48</v>
      </c>
      <c r="I24" s="106">
        <f t="shared" si="0"/>
        <v>0.39</v>
      </c>
      <c r="J24" s="106">
        <f t="shared" si="1"/>
        <v>29.273400000000002</v>
      </c>
      <c r="K24" s="106">
        <f t="shared" si="2"/>
        <v>15.012</v>
      </c>
      <c r="L24" s="106">
        <f t="shared" si="3"/>
        <v>0</v>
      </c>
      <c r="M24" s="107">
        <f t="shared" si="4"/>
        <v>44.285400000000003</v>
      </c>
      <c r="N24" s="108">
        <f t="shared" si="5"/>
        <v>3</v>
      </c>
      <c r="O24" s="109" t="s">
        <v>18</v>
      </c>
    </row>
    <row r="25" spans="1:15" ht="33" customHeight="1">
      <c r="A25" s="101">
        <v>19</v>
      </c>
      <c r="B25" s="132" t="s">
        <v>401</v>
      </c>
      <c r="C25" s="132" t="s">
        <v>371</v>
      </c>
      <c r="D25" s="136" t="s">
        <v>372</v>
      </c>
      <c r="E25" s="133">
        <v>7.66</v>
      </c>
      <c r="F25" s="195">
        <v>0.4</v>
      </c>
      <c r="G25" s="133">
        <v>0.48</v>
      </c>
      <c r="H25" s="133">
        <v>0.52</v>
      </c>
      <c r="I25" s="106">
        <f t="shared" si="0"/>
        <v>0.5</v>
      </c>
      <c r="J25" s="106">
        <f t="shared" si="1"/>
        <v>7.66</v>
      </c>
      <c r="K25" s="106">
        <f t="shared" si="2"/>
        <v>3.0640000000000001</v>
      </c>
      <c r="L25" s="106">
        <f t="shared" si="3"/>
        <v>3.0640000000000001</v>
      </c>
      <c r="M25" s="107">
        <f t="shared" si="4"/>
        <v>13.788</v>
      </c>
      <c r="N25" s="108">
        <f t="shared" si="5"/>
        <v>4</v>
      </c>
      <c r="O25" s="109" t="s">
        <v>18</v>
      </c>
    </row>
    <row r="26" spans="1:15" ht="33" customHeight="1">
      <c r="A26" s="101">
        <v>20</v>
      </c>
      <c r="B26" s="132" t="s">
        <v>401</v>
      </c>
      <c r="C26" s="132" t="s">
        <v>378</v>
      </c>
      <c r="D26" s="136" t="s">
        <v>250</v>
      </c>
      <c r="E26" s="133">
        <v>63.75</v>
      </c>
      <c r="F26" s="195">
        <v>0.4</v>
      </c>
      <c r="G26" s="133">
        <v>0.52</v>
      </c>
      <c r="H26" s="133">
        <v>0.84</v>
      </c>
      <c r="I26" s="106">
        <f t="shared" si="0"/>
        <v>0.67999999999999994</v>
      </c>
      <c r="J26" s="106">
        <f t="shared" si="1"/>
        <v>86.699999999999989</v>
      </c>
      <c r="K26" s="106">
        <f t="shared" si="2"/>
        <v>25.5</v>
      </c>
      <c r="L26" s="106">
        <f t="shared" si="3"/>
        <v>0</v>
      </c>
      <c r="M26" s="107">
        <f t="shared" si="4"/>
        <v>112.19999999999999</v>
      </c>
      <c r="N26" s="108">
        <f t="shared" si="5"/>
        <v>3</v>
      </c>
      <c r="O26" s="109" t="s">
        <v>18</v>
      </c>
    </row>
    <row r="27" spans="1:15" ht="33" customHeight="1">
      <c r="A27" s="101">
        <v>21</v>
      </c>
      <c r="B27" s="132" t="s">
        <v>401</v>
      </c>
      <c r="C27" s="132" t="s">
        <v>380</v>
      </c>
      <c r="D27" s="136" t="s">
        <v>372</v>
      </c>
      <c r="E27" s="133">
        <v>11.47</v>
      </c>
      <c r="F27" s="195">
        <v>0.4</v>
      </c>
      <c r="G27" s="133">
        <v>0.84</v>
      </c>
      <c r="H27" s="133">
        <v>0.9</v>
      </c>
      <c r="I27" s="106">
        <f t="shared" si="0"/>
        <v>0.87</v>
      </c>
      <c r="J27" s="106">
        <f t="shared" si="1"/>
        <v>19.957800000000002</v>
      </c>
      <c r="K27" s="106">
        <f t="shared" si="2"/>
        <v>4.5880000000000001</v>
      </c>
      <c r="L27" s="106">
        <f t="shared" si="3"/>
        <v>4.5880000000000001</v>
      </c>
      <c r="M27" s="107">
        <f t="shared" si="4"/>
        <v>29.133800000000004</v>
      </c>
      <c r="N27" s="108">
        <f t="shared" si="5"/>
        <v>4</v>
      </c>
      <c r="O27" s="109" t="s">
        <v>18</v>
      </c>
    </row>
    <row r="28" spans="1:15" ht="33" customHeight="1">
      <c r="A28" s="101">
        <v>22</v>
      </c>
      <c r="B28" s="132" t="s">
        <v>401</v>
      </c>
      <c r="C28" s="132" t="s">
        <v>382</v>
      </c>
      <c r="D28" s="136" t="s">
        <v>372</v>
      </c>
      <c r="E28" s="133">
        <v>5.17</v>
      </c>
      <c r="F28" s="195">
        <v>0.4</v>
      </c>
      <c r="G28" s="133">
        <v>0.85</v>
      </c>
      <c r="H28" s="133">
        <v>0.88</v>
      </c>
      <c r="I28" s="106">
        <f t="shared" si="0"/>
        <v>0.86499999999999999</v>
      </c>
      <c r="J28" s="106">
        <f t="shared" si="1"/>
        <v>8.9441000000000006</v>
      </c>
      <c r="K28" s="106">
        <f t="shared" si="2"/>
        <v>2.0680000000000001</v>
      </c>
      <c r="L28" s="106">
        <f t="shared" si="3"/>
        <v>2.0680000000000001</v>
      </c>
      <c r="M28" s="107">
        <f t="shared" si="4"/>
        <v>13.0801</v>
      </c>
      <c r="N28" s="108">
        <f t="shared" si="5"/>
        <v>4</v>
      </c>
      <c r="O28" s="109" t="s">
        <v>18</v>
      </c>
    </row>
    <row r="29" spans="1:15" ht="33" customHeight="1">
      <c r="A29" s="101">
        <v>23</v>
      </c>
      <c r="B29" s="132" t="s">
        <v>409</v>
      </c>
      <c r="C29" s="132" t="s">
        <v>367</v>
      </c>
      <c r="D29" s="136" t="s">
        <v>372</v>
      </c>
      <c r="E29" s="133">
        <v>8.1999999999999993</v>
      </c>
      <c r="F29" s="195">
        <v>0.4</v>
      </c>
      <c r="G29" s="133">
        <v>0.4</v>
      </c>
      <c r="H29" s="133">
        <v>0.44</v>
      </c>
      <c r="I29" s="106">
        <f t="shared" si="0"/>
        <v>0.42000000000000004</v>
      </c>
      <c r="J29" s="106">
        <f t="shared" si="1"/>
        <v>6.8879999999999999</v>
      </c>
      <c r="K29" s="106">
        <f t="shared" si="2"/>
        <v>3.28</v>
      </c>
      <c r="L29" s="106">
        <f t="shared" si="3"/>
        <v>3.28</v>
      </c>
      <c r="M29" s="107">
        <f t="shared" si="4"/>
        <v>13.447999999999999</v>
      </c>
      <c r="N29" s="108">
        <f t="shared" si="5"/>
        <v>4</v>
      </c>
      <c r="O29" s="109" t="s">
        <v>18</v>
      </c>
    </row>
    <row r="30" spans="1:15" ht="33" customHeight="1">
      <c r="A30" s="101">
        <v>24</v>
      </c>
      <c r="B30" s="132" t="s">
        <v>412</v>
      </c>
      <c r="C30" s="132" t="s">
        <v>367</v>
      </c>
      <c r="D30" s="136" t="s">
        <v>372</v>
      </c>
      <c r="E30" s="133">
        <v>7</v>
      </c>
      <c r="F30" s="195">
        <v>0.4</v>
      </c>
      <c r="G30" s="133">
        <v>0.4</v>
      </c>
      <c r="H30" s="133">
        <v>0.43</v>
      </c>
      <c r="I30" s="106">
        <f t="shared" si="0"/>
        <v>0.41500000000000004</v>
      </c>
      <c r="J30" s="106">
        <f t="shared" si="1"/>
        <v>5.8100000000000005</v>
      </c>
      <c r="K30" s="106">
        <f t="shared" si="2"/>
        <v>2.8000000000000003</v>
      </c>
      <c r="L30" s="106">
        <f t="shared" si="3"/>
        <v>2.8000000000000003</v>
      </c>
      <c r="M30" s="107">
        <f t="shared" si="4"/>
        <v>11.410000000000002</v>
      </c>
      <c r="N30" s="108">
        <f t="shared" si="5"/>
        <v>4</v>
      </c>
      <c r="O30" s="109" t="s">
        <v>18</v>
      </c>
    </row>
    <row r="31" spans="1:15" ht="33" customHeight="1">
      <c r="A31" s="101">
        <v>25</v>
      </c>
      <c r="B31" s="132" t="s">
        <v>177</v>
      </c>
      <c r="C31" s="132" t="s">
        <v>367</v>
      </c>
      <c r="D31" s="136" t="s">
        <v>250</v>
      </c>
      <c r="E31" s="133">
        <v>16</v>
      </c>
      <c r="F31" s="195">
        <v>0.4</v>
      </c>
      <c r="G31" s="133">
        <v>0.3</v>
      </c>
      <c r="H31" s="133">
        <v>0.38</v>
      </c>
      <c r="I31" s="106">
        <f t="shared" si="0"/>
        <v>0.33999999999999997</v>
      </c>
      <c r="J31" s="106">
        <f t="shared" si="1"/>
        <v>10.879999999999999</v>
      </c>
      <c r="K31" s="106">
        <f t="shared" si="2"/>
        <v>6.4</v>
      </c>
      <c r="L31" s="106">
        <f t="shared" si="3"/>
        <v>0</v>
      </c>
      <c r="M31" s="107">
        <f t="shared" si="4"/>
        <v>17.28</v>
      </c>
      <c r="N31" s="108">
        <f t="shared" si="5"/>
        <v>3</v>
      </c>
      <c r="O31" s="109" t="s">
        <v>18</v>
      </c>
    </row>
    <row r="32" spans="1:15" ht="33" customHeight="1">
      <c r="A32" s="101">
        <v>26</v>
      </c>
      <c r="B32" s="132" t="s">
        <v>178</v>
      </c>
      <c r="C32" s="132" t="s">
        <v>367</v>
      </c>
      <c r="D32" s="136" t="s">
        <v>250</v>
      </c>
      <c r="E32" s="133">
        <v>62.76</v>
      </c>
      <c r="F32" s="195">
        <v>0.4</v>
      </c>
      <c r="G32" s="133">
        <v>0.3</v>
      </c>
      <c r="H32" s="133">
        <v>0.61</v>
      </c>
      <c r="I32" s="106">
        <f t="shared" si="0"/>
        <v>0.45499999999999996</v>
      </c>
      <c r="J32" s="106">
        <f t="shared" si="1"/>
        <v>57.111599999999996</v>
      </c>
      <c r="K32" s="106">
        <f t="shared" si="2"/>
        <v>25.103999999999999</v>
      </c>
      <c r="L32" s="106">
        <f t="shared" si="3"/>
        <v>0</v>
      </c>
      <c r="M32" s="107">
        <f t="shared" si="4"/>
        <v>82.215599999999995</v>
      </c>
      <c r="N32" s="108">
        <f t="shared" si="5"/>
        <v>3</v>
      </c>
      <c r="O32" s="109" t="s">
        <v>18</v>
      </c>
    </row>
    <row r="33" spans="1:15" ht="33" customHeight="1">
      <c r="A33" s="101">
        <v>27</v>
      </c>
      <c r="B33" s="132" t="s">
        <v>178</v>
      </c>
      <c r="C33" s="132" t="s">
        <v>371</v>
      </c>
      <c r="D33" s="136" t="s">
        <v>372</v>
      </c>
      <c r="E33" s="133">
        <v>2.2000000000000002</v>
      </c>
      <c r="F33" s="195">
        <v>0.4</v>
      </c>
      <c r="G33" s="133">
        <v>0.61</v>
      </c>
      <c r="H33" s="133">
        <v>0.62</v>
      </c>
      <c r="I33" s="106">
        <f t="shared" si="0"/>
        <v>0.61499999999999999</v>
      </c>
      <c r="J33" s="106">
        <f t="shared" si="1"/>
        <v>2.706</v>
      </c>
      <c r="K33" s="106">
        <f t="shared" si="2"/>
        <v>0.88000000000000012</v>
      </c>
      <c r="L33" s="106">
        <f t="shared" si="3"/>
        <v>0.88000000000000012</v>
      </c>
      <c r="M33" s="107">
        <f t="shared" si="4"/>
        <v>4.4660000000000002</v>
      </c>
      <c r="N33" s="108">
        <f t="shared" si="5"/>
        <v>4</v>
      </c>
      <c r="O33" s="109" t="s">
        <v>18</v>
      </c>
    </row>
    <row r="34" spans="1:15" ht="33" customHeight="1">
      <c r="A34" s="101">
        <v>28</v>
      </c>
      <c r="B34" s="132" t="s">
        <v>178</v>
      </c>
      <c r="C34" s="132" t="s">
        <v>378</v>
      </c>
      <c r="D34" s="136" t="s">
        <v>372</v>
      </c>
      <c r="E34" s="133">
        <v>6.5</v>
      </c>
      <c r="F34" s="195">
        <v>0.4</v>
      </c>
      <c r="G34" s="133">
        <v>0.56999999999999995</v>
      </c>
      <c r="H34" s="133">
        <v>0.6</v>
      </c>
      <c r="I34" s="106">
        <f t="shared" si="0"/>
        <v>0.58499999999999996</v>
      </c>
      <c r="J34" s="106">
        <f t="shared" si="1"/>
        <v>7.6049999999999995</v>
      </c>
      <c r="K34" s="106">
        <f t="shared" si="2"/>
        <v>2.6</v>
      </c>
      <c r="L34" s="106">
        <f t="shared" si="3"/>
        <v>2.6</v>
      </c>
      <c r="M34" s="107">
        <f t="shared" si="4"/>
        <v>12.805</v>
      </c>
      <c r="N34" s="108">
        <f t="shared" si="5"/>
        <v>4</v>
      </c>
      <c r="O34" s="109" t="s">
        <v>18</v>
      </c>
    </row>
    <row r="35" spans="1:15" ht="33" customHeight="1">
      <c r="A35" s="101">
        <v>29</v>
      </c>
      <c r="B35" s="132" t="s">
        <v>179</v>
      </c>
      <c r="C35" s="132" t="s">
        <v>367</v>
      </c>
      <c r="D35" s="136" t="s">
        <v>250</v>
      </c>
      <c r="E35" s="133">
        <v>52.47</v>
      </c>
      <c r="F35" s="195">
        <v>0.4</v>
      </c>
      <c r="G35" s="133">
        <v>0.3</v>
      </c>
      <c r="H35" s="133">
        <v>0.56000000000000005</v>
      </c>
      <c r="I35" s="106">
        <f t="shared" si="0"/>
        <v>0.43000000000000005</v>
      </c>
      <c r="J35" s="106">
        <f t="shared" si="1"/>
        <v>45.124200000000002</v>
      </c>
      <c r="K35" s="106">
        <f t="shared" si="2"/>
        <v>20.988</v>
      </c>
      <c r="L35" s="106">
        <f t="shared" si="3"/>
        <v>0</v>
      </c>
      <c r="M35" s="107">
        <f t="shared" si="4"/>
        <v>66.112200000000001</v>
      </c>
      <c r="N35" s="108">
        <f t="shared" si="5"/>
        <v>3</v>
      </c>
      <c r="O35" s="109" t="s">
        <v>18</v>
      </c>
    </row>
    <row r="36" spans="1:15" ht="33" customHeight="1">
      <c r="A36" s="101">
        <v>30</v>
      </c>
      <c r="B36" s="132" t="s">
        <v>179</v>
      </c>
      <c r="C36" s="132" t="s">
        <v>371</v>
      </c>
      <c r="D36" s="136" t="s">
        <v>372</v>
      </c>
      <c r="E36" s="133">
        <v>56.64</v>
      </c>
      <c r="F36" s="195">
        <v>0.4</v>
      </c>
      <c r="G36" s="133">
        <v>0.51</v>
      </c>
      <c r="H36" s="133">
        <v>0.8</v>
      </c>
      <c r="I36" s="106">
        <f t="shared" si="0"/>
        <v>0.65500000000000003</v>
      </c>
      <c r="J36" s="106">
        <f t="shared" si="1"/>
        <v>74.198400000000007</v>
      </c>
      <c r="K36" s="106">
        <f t="shared" si="2"/>
        <v>22.656000000000002</v>
      </c>
      <c r="L36" s="106">
        <f t="shared" si="3"/>
        <v>22.656000000000002</v>
      </c>
      <c r="M36" s="107">
        <f t="shared" si="4"/>
        <v>119.51040000000002</v>
      </c>
      <c r="N36" s="108">
        <f t="shared" si="5"/>
        <v>4</v>
      </c>
      <c r="O36" s="109" t="s">
        <v>18</v>
      </c>
    </row>
    <row r="38" spans="1:15" ht="22.5" customHeight="1">
      <c r="A38" s="322" t="s">
        <v>438</v>
      </c>
      <c r="B38" s="323"/>
      <c r="C38" s="323"/>
      <c r="D38" s="323"/>
      <c r="E38" s="323"/>
      <c r="F38" s="323"/>
      <c r="G38" s="323"/>
      <c r="H38" s="323"/>
      <c r="I38" s="323"/>
      <c r="J38" s="323"/>
      <c r="K38" s="323"/>
      <c r="L38" s="323"/>
      <c r="M38" s="103">
        <f>SUM(M7:M36)</f>
        <v>1084.2058999999999</v>
      </c>
      <c r="N38" s="103"/>
      <c r="O38" s="103" t="s">
        <v>18</v>
      </c>
    </row>
  </sheetData>
  <mergeCells count="9">
    <mergeCell ref="A4:B4"/>
    <mergeCell ref="A38:L38"/>
    <mergeCell ref="C4:J4"/>
    <mergeCell ref="A2:B2"/>
    <mergeCell ref="A1:O1"/>
    <mergeCell ref="C3:O3"/>
    <mergeCell ref="L4:O4"/>
    <mergeCell ref="A3:B3"/>
    <mergeCell ref="C2:O2"/>
  </mergeCells>
  <conditionalFormatting sqref="D7:D36">
    <cfRule type="expression" dxfId="5" priority="1">
      <formula>D7="TAPADA"</formula>
    </cfRule>
    <cfRule type="expression" dxfId="4" priority="2">
      <formula>D7="ABIERTA"</formula>
    </cfRule>
  </conditionalFormatting>
  <conditionalFormatting sqref="L7:L36">
    <cfRule type="expression" dxfId="3" priority="5">
      <formula>$D7="ABIERTA"</formula>
    </cfRule>
  </conditionalFormatting>
  <pageMargins left="0.7" right="0.7" top="0.75" bottom="0.75" header="0.3" footer="0.3"/>
  <pageSetup paperSize="9" scale="56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H38"/>
  <sheetViews>
    <sheetView view="pageBreakPreview" topLeftCell="A18" zoomScale="115" zoomScaleNormal="115" zoomScaleSheetLayoutView="115" workbookViewId="0">
      <selection activeCell="L14" sqref="L14"/>
    </sheetView>
  </sheetViews>
  <sheetFormatPr baseColWidth="10" defaultColWidth="9.453125" defaultRowHeight="14"/>
  <cols>
    <col min="1" max="1" width="6.54296875" style="98" customWidth="1"/>
    <col min="2" max="2" width="15.90625" style="98" customWidth="1"/>
    <col min="3" max="3" width="18.81640625" style="98" customWidth="1"/>
    <col min="4" max="4" width="17.453125" style="98" customWidth="1"/>
    <col min="5" max="5" width="14.7265625" style="98" customWidth="1"/>
    <col min="6" max="6" width="19.6328125" style="98" customWidth="1"/>
    <col min="7" max="7" width="27" style="98" customWidth="1"/>
    <col min="8" max="8" width="8.7265625" style="98" customWidth="1"/>
    <col min="9" max="10" width="9.453125" style="98" customWidth="1"/>
    <col min="11" max="16384" width="9.453125" style="98"/>
  </cols>
  <sheetData>
    <row r="1" spans="1:8" ht="21.4" customHeight="1">
      <c r="A1" s="330" t="s">
        <v>439</v>
      </c>
      <c r="B1" s="328"/>
      <c r="C1" s="328"/>
      <c r="D1" s="328"/>
      <c r="E1" s="328"/>
      <c r="F1" s="328"/>
      <c r="G1" s="328"/>
      <c r="H1" s="328"/>
    </row>
    <row r="2" spans="1:8" ht="22.5" customHeight="1">
      <c r="A2" s="329" t="s">
        <v>1</v>
      </c>
      <c r="B2" s="233"/>
      <c r="C2" s="331" t="s">
        <v>2</v>
      </c>
      <c r="D2" s="232"/>
      <c r="E2" s="232"/>
      <c r="F2" s="232"/>
      <c r="G2" s="232"/>
      <c r="H2" s="233"/>
    </row>
    <row r="3" spans="1:8" ht="54.5" customHeight="1">
      <c r="A3" s="329" t="s">
        <v>3</v>
      </c>
      <c r="B3" s="233"/>
      <c r="C3" s="331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232"/>
      <c r="E3" s="232"/>
      <c r="F3" s="232"/>
      <c r="G3" s="232"/>
      <c r="H3" s="233"/>
    </row>
    <row r="4" spans="1:8" ht="24" customHeight="1">
      <c r="A4" s="329" t="s">
        <v>5</v>
      </c>
      <c r="B4" s="233"/>
      <c r="C4" s="332" t="str">
        <f>+RESUMEN!B6</f>
        <v>SAN MARTIN - SAN MARTIN - MORALES</v>
      </c>
      <c r="D4" s="232"/>
      <c r="E4" s="232"/>
      <c r="F4" s="233"/>
      <c r="G4" s="112" t="s">
        <v>7</v>
      </c>
      <c r="H4" s="113">
        <f>+RESUMEN!B7</f>
        <v>46266</v>
      </c>
    </row>
    <row r="6" spans="1:8" ht="32" customHeight="1">
      <c r="A6" s="114" t="s">
        <v>333</v>
      </c>
      <c r="B6" s="114" t="s">
        <v>334</v>
      </c>
      <c r="C6" s="114" t="s">
        <v>335</v>
      </c>
      <c r="D6" s="114" t="s">
        <v>336</v>
      </c>
      <c r="E6" s="114" t="s">
        <v>440</v>
      </c>
      <c r="F6" s="114" t="s">
        <v>441</v>
      </c>
      <c r="G6" s="114" t="s">
        <v>442</v>
      </c>
      <c r="H6" s="114" t="s">
        <v>435</v>
      </c>
    </row>
    <row r="7" spans="1:8" ht="30" customHeight="1">
      <c r="A7" s="101">
        <v>1</v>
      </c>
      <c r="B7" s="132" t="s">
        <v>366</v>
      </c>
      <c r="C7" s="132" t="s">
        <v>367</v>
      </c>
      <c r="D7" s="136" t="s">
        <v>250</v>
      </c>
      <c r="E7" s="133">
        <v>32</v>
      </c>
      <c r="F7" s="173">
        <v>0</v>
      </c>
      <c r="G7" s="174">
        <f t="shared" ref="G7:G36" si="0">IF(B7="","",IF(D7="ABIERTA",IF(E7-F7&lt;0,0,E7-F7),0))</f>
        <v>32</v>
      </c>
      <c r="H7" s="175" t="s">
        <v>69</v>
      </c>
    </row>
    <row r="8" spans="1:8" ht="33.5" customHeight="1">
      <c r="A8" s="101">
        <v>2</v>
      </c>
      <c r="B8" s="132" t="s">
        <v>366</v>
      </c>
      <c r="C8" s="132" t="s">
        <v>371</v>
      </c>
      <c r="D8" s="136" t="s">
        <v>372</v>
      </c>
      <c r="E8" s="133">
        <v>5.14</v>
      </c>
      <c r="F8" s="173">
        <v>0</v>
      </c>
      <c r="G8" s="174">
        <f t="shared" si="0"/>
        <v>0</v>
      </c>
      <c r="H8" s="175" t="s">
        <v>69</v>
      </c>
    </row>
    <row r="9" spans="1:8" ht="28.5" customHeight="1">
      <c r="A9" s="101">
        <v>3</v>
      </c>
      <c r="B9" s="132" t="s">
        <v>374</v>
      </c>
      <c r="C9" s="132" t="s">
        <v>367</v>
      </c>
      <c r="D9" s="136" t="s">
        <v>250</v>
      </c>
      <c r="E9" s="133">
        <v>37.5</v>
      </c>
      <c r="F9" s="173">
        <v>0</v>
      </c>
      <c r="G9" s="174">
        <f t="shared" si="0"/>
        <v>37.5</v>
      </c>
      <c r="H9" s="175" t="s">
        <v>69</v>
      </c>
    </row>
    <row r="10" spans="1:8" ht="27" customHeight="1">
      <c r="A10" s="101">
        <v>4</v>
      </c>
      <c r="B10" s="132" t="s">
        <v>374</v>
      </c>
      <c r="C10" s="132" t="s">
        <v>371</v>
      </c>
      <c r="D10" s="136" t="s">
        <v>372</v>
      </c>
      <c r="E10" s="133">
        <v>10.199999999999999</v>
      </c>
      <c r="F10" s="173">
        <v>0</v>
      </c>
      <c r="G10" s="174">
        <f t="shared" si="0"/>
        <v>0</v>
      </c>
      <c r="H10" s="175" t="s">
        <v>69</v>
      </c>
    </row>
    <row r="11" spans="1:8" ht="27" customHeight="1">
      <c r="A11" s="101">
        <v>5</v>
      </c>
      <c r="B11" s="132" t="s">
        <v>374</v>
      </c>
      <c r="C11" s="132" t="s">
        <v>378</v>
      </c>
      <c r="D11" s="136" t="s">
        <v>250</v>
      </c>
      <c r="E11" s="133">
        <v>31.33</v>
      </c>
      <c r="F11" s="173">
        <v>0</v>
      </c>
      <c r="G11" s="174">
        <f t="shared" si="0"/>
        <v>31.33</v>
      </c>
      <c r="H11" s="175" t="s">
        <v>69</v>
      </c>
    </row>
    <row r="12" spans="1:8" ht="27" customHeight="1">
      <c r="A12" s="101">
        <v>6</v>
      </c>
      <c r="B12" s="132" t="s">
        <v>374</v>
      </c>
      <c r="C12" s="132" t="s">
        <v>380</v>
      </c>
      <c r="D12" s="136" t="s">
        <v>372</v>
      </c>
      <c r="E12" s="133">
        <v>8.36</v>
      </c>
      <c r="F12" s="173">
        <v>0</v>
      </c>
      <c r="G12" s="174">
        <f t="shared" si="0"/>
        <v>0</v>
      </c>
      <c r="H12" s="175" t="s">
        <v>69</v>
      </c>
    </row>
    <row r="13" spans="1:8" ht="27" customHeight="1">
      <c r="A13" s="101">
        <v>7</v>
      </c>
      <c r="B13" s="132" t="s">
        <v>374</v>
      </c>
      <c r="C13" s="132" t="s">
        <v>382</v>
      </c>
      <c r="D13" s="136" t="s">
        <v>250</v>
      </c>
      <c r="E13" s="133">
        <v>30.36</v>
      </c>
      <c r="F13" s="173">
        <v>0</v>
      </c>
      <c r="G13" s="174">
        <f t="shared" si="0"/>
        <v>30.36</v>
      </c>
      <c r="H13" s="175" t="s">
        <v>69</v>
      </c>
    </row>
    <row r="14" spans="1:8" ht="27" customHeight="1">
      <c r="A14" s="101">
        <v>8</v>
      </c>
      <c r="B14" s="132" t="s">
        <v>374</v>
      </c>
      <c r="C14" s="132" t="s">
        <v>385</v>
      </c>
      <c r="D14" s="136" t="s">
        <v>372</v>
      </c>
      <c r="E14" s="133">
        <v>2.25</v>
      </c>
      <c r="F14" s="173">
        <v>0</v>
      </c>
      <c r="G14" s="174">
        <f t="shared" si="0"/>
        <v>0</v>
      </c>
      <c r="H14" s="175" t="s">
        <v>69</v>
      </c>
    </row>
    <row r="15" spans="1:8" ht="27" customHeight="1">
      <c r="A15" s="101">
        <v>9</v>
      </c>
      <c r="B15" s="132" t="s">
        <v>374</v>
      </c>
      <c r="C15" s="132" t="s">
        <v>387</v>
      </c>
      <c r="D15" s="136" t="s">
        <v>372</v>
      </c>
      <c r="E15" s="133">
        <v>10.85</v>
      </c>
      <c r="F15" s="173">
        <v>0</v>
      </c>
      <c r="G15" s="174">
        <f t="shared" si="0"/>
        <v>0</v>
      </c>
      <c r="H15" s="175" t="s">
        <v>69</v>
      </c>
    </row>
    <row r="16" spans="1:8" ht="27" customHeight="1">
      <c r="A16" s="101">
        <v>10</v>
      </c>
      <c r="B16" s="132" t="s">
        <v>436</v>
      </c>
      <c r="C16" s="132" t="s">
        <v>367</v>
      </c>
      <c r="D16" s="136" t="s">
        <v>250</v>
      </c>
      <c r="E16" s="133">
        <v>5.82</v>
      </c>
      <c r="F16" s="173">
        <v>0</v>
      </c>
      <c r="G16" s="174">
        <f t="shared" si="0"/>
        <v>5.82</v>
      </c>
      <c r="H16" s="175" t="s">
        <v>69</v>
      </c>
    </row>
    <row r="17" spans="1:8" ht="27" customHeight="1">
      <c r="A17" s="101">
        <v>11</v>
      </c>
      <c r="B17" s="132" t="s">
        <v>437</v>
      </c>
      <c r="C17" s="132" t="s">
        <v>367</v>
      </c>
      <c r="D17" s="136" t="s">
        <v>250</v>
      </c>
      <c r="E17" s="133">
        <v>8.6</v>
      </c>
      <c r="F17" s="173">
        <v>0</v>
      </c>
      <c r="G17" s="174">
        <f t="shared" si="0"/>
        <v>8.6</v>
      </c>
      <c r="H17" s="175" t="s">
        <v>69</v>
      </c>
    </row>
    <row r="18" spans="1:8" ht="27" customHeight="1">
      <c r="A18" s="101">
        <v>12</v>
      </c>
      <c r="B18" s="132" t="s">
        <v>390</v>
      </c>
      <c r="C18" s="132" t="s">
        <v>367</v>
      </c>
      <c r="D18" s="136" t="s">
        <v>250</v>
      </c>
      <c r="E18" s="133">
        <v>37.53</v>
      </c>
      <c r="F18" s="173">
        <v>0</v>
      </c>
      <c r="G18" s="174">
        <f t="shared" si="0"/>
        <v>37.53</v>
      </c>
      <c r="H18" s="175" t="s">
        <v>69</v>
      </c>
    </row>
    <row r="19" spans="1:8" ht="27" customHeight="1">
      <c r="A19" s="101">
        <v>13</v>
      </c>
      <c r="B19" s="132" t="s">
        <v>390</v>
      </c>
      <c r="C19" s="132" t="s">
        <v>371</v>
      </c>
      <c r="D19" s="136" t="s">
        <v>372</v>
      </c>
      <c r="E19" s="133">
        <v>5.7</v>
      </c>
      <c r="F19" s="173">
        <v>0</v>
      </c>
      <c r="G19" s="174">
        <f t="shared" si="0"/>
        <v>0</v>
      </c>
      <c r="H19" s="175" t="s">
        <v>69</v>
      </c>
    </row>
    <row r="20" spans="1:8" ht="27" customHeight="1">
      <c r="A20" s="101">
        <v>14</v>
      </c>
      <c r="B20" s="132" t="s">
        <v>394</v>
      </c>
      <c r="C20" s="132" t="s">
        <v>367</v>
      </c>
      <c r="D20" s="136" t="s">
        <v>250</v>
      </c>
      <c r="E20" s="133">
        <v>37.53</v>
      </c>
      <c r="F20" s="173">
        <v>0</v>
      </c>
      <c r="G20" s="174">
        <f t="shared" si="0"/>
        <v>37.53</v>
      </c>
      <c r="H20" s="175" t="s">
        <v>69</v>
      </c>
    </row>
    <row r="21" spans="1:8" ht="27" customHeight="1">
      <c r="A21" s="101">
        <v>15</v>
      </c>
      <c r="B21" s="132" t="s">
        <v>394</v>
      </c>
      <c r="C21" s="132" t="s">
        <v>371</v>
      </c>
      <c r="D21" s="136" t="s">
        <v>372</v>
      </c>
      <c r="E21" s="133">
        <v>10.9</v>
      </c>
      <c r="F21" s="173">
        <v>0</v>
      </c>
      <c r="G21" s="174">
        <f t="shared" si="0"/>
        <v>0</v>
      </c>
      <c r="H21" s="175" t="s">
        <v>69</v>
      </c>
    </row>
    <row r="22" spans="1:8" ht="27" customHeight="1">
      <c r="A22" s="101">
        <v>16</v>
      </c>
      <c r="B22" s="132" t="s">
        <v>394</v>
      </c>
      <c r="C22" s="132" t="s">
        <v>378</v>
      </c>
      <c r="D22" s="136" t="s">
        <v>250</v>
      </c>
      <c r="E22" s="133">
        <v>56.93</v>
      </c>
      <c r="F22" s="173">
        <v>0</v>
      </c>
      <c r="G22" s="174">
        <f t="shared" si="0"/>
        <v>56.93</v>
      </c>
      <c r="H22" s="175" t="s">
        <v>69</v>
      </c>
    </row>
    <row r="23" spans="1:8" ht="27" customHeight="1">
      <c r="A23" s="101">
        <v>17</v>
      </c>
      <c r="B23" s="132" t="s">
        <v>394</v>
      </c>
      <c r="C23" s="132" t="s">
        <v>380</v>
      </c>
      <c r="D23" s="136" t="s">
        <v>372</v>
      </c>
      <c r="E23" s="133">
        <v>15</v>
      </c>
      <c r="F23" s="173">
        <v>0</v>
      </c>
      <c r="G23" s="174">
        <f t="shared" si="0"/>
        <v>0</v>
      </c>
      <c r="H23" s="175" t="s">
        <v>69</v>
      </c>
    </row>
    <row r="24" spans="1:8" ht="27" customHeight="1">
      <c r="A24" s="101">
        <v>18</v>
      </c>
      <c r="B24" s="132" t="s">
        <v>401</v>
      </c>
      <c r="C24" s="132" t="s">
        <v>367</v>
      </c>
      <c r="D24" s="136" t="s">
        <v>250</v>
      </c>
      <c r="E24" s="133">
        <v>37.53</v>
      </c>
      <c r="F24" s="173">
        <v>0</v>
      </c>
      <c r="G24" s="174">
        <f t="shared" si="0"/>
        <v>37.53</v>
      </c>
      <c r="H24" s="175" t="s">
        <v>69</v>
      </c>
    </row>
    <row r="25" spans="1:8" ht="27" customHeight="1">
      <c r="A25" s="101">
        <v>19</v>
      </c>
      <c r="B25" s="132" t="s">
        <v>401</v>
      </c>
      <c r="C25" s="132" t="s">
        <v>371</v>
      </c>
      <c r="D25" s="136" t="s">
        <v>372</v>
      </c>
      <c r="E25" s="133">
        <v>7.66</v>
      </c>
      <c r="F25" s="173">
        <v>0</v>
      </c>
      <c r="G25" s="174">
        <f t="shared" si="0"/>
        <v>0</v>
      </c>
      <c r="H25" s="175" t="s">
        <v>69</v>
      </c>
    </row>
    <row r="26" spans="1:8" ht="27" customHeight="1">
      <c r="A26" s="101">
        <v>20</v>
      </c>
      <c r="B26" s="132" t="s">
        <v>401</v>
      </c>
      <c r="C26" s="132" t="s">
        <v>378</v>
      </c>
      <c r="D26" s="136" t="s">
        <v>250</v>
      </c>
      <c r="E26" s="133">
        <v>63.75</v>
      </c>
      <c r="F26" s="173">
        <v>0</v>
      </c>
      <c r="G26" s="174">
        <f t="shared" si="0"/>
        <v>63.75</v>
      </c>
      <c r="H26" s="175" t="s">
        <v>69</v>
      </c>
    </row>
    <row r="27" spans="1:8" ht="27" customHeight="1">
      <c r="A27" s="101">
        <v>21</v>
      </c>
      <c r="B27" s="132" t="s">
        <v>401</v>
      </c>
      <c r="C27" s="132" t="s">
        <v>380</v>
      </c>
      <c r="D27" s="136" t="s">
        <v>372</v>
      </c>
      <c r="E27" s="133">
        <v>11.47</v>
      </c>
      <c r="F27" s="173">
        <v>0</v>
      </c>
      <c r="G27" s="174">
        <f t="shared" si="0"/>
        <v>0</v>
      </c>
      <c r="H27" s="175" t="s">
        <v>69</v>
      </c>
    </row>
    <row r="28" spans="1:8" ht="27" customHeight="1">
      <c r="A28" s="101">
        <v>22</v>
      </c>
      <c r="B28" s="132" t="s">
        <v>401</v>
      </c>
      <c r="C28" s="132" t="s">
        <v>382</v>
      </c>
      <c r="D28" s="136" t="s">
        <v>372</v>
      </c>
      <c r="E28" s="133">
        <v>5.17</v>
      </c>
      <c r="F28" s="173">
        <v>0</v>
      </c>
      <c r="G28" s="174">
        <f t="shared" si="0"/>
        <v>0</v>
      </c>
      <c r="H28" s="175" t="s">
        <v>69</v>
      </c>
    </row>
    <row r="29" spans="1:8" ht="27" customHeight="1">
      <c r="A29" s="101">
        <v>23</v>
      </c>
      <c r="B29" s="132" t="s">
        <v>409</v>
      </c>
      <c r="C29" s="132" t="s">
        <v>367</v>
      </c>
      <c r="D29" s="136" t="s">
        <v>372</v>
      </c>
      <c r="E29" s="133">
        <v>8.1999999999999993</v>
      </c>
      <c r="F29" s="173">
        <v>0</v>
      </c>
      <c r="G29" s="174">
        <f t="shared" si="0"/>
        <v>0</v>
      </c>
      <c r="H29" s="175" t="s">
        <v>69</v>
      </c>
    </row>
    <row r="30" spans="1:8" ht="27" customHeight="1">
      <c r="A30" s="101">
        <v>24</v>
      </c>
      <c r="B30" s="132" t="s">
        <v>412</v>
      </c>
      <c r="C30" s="132" t="s">
        <v>367</v>
      </c>
      <c r="D30" s="136" t="s">
        <v>372</v>
      </c>
      <c r="E30" s="133">
        <v>7</v>
      </c>
      <c r="F30" s="173">
        <v>0</v>
      </c>
      <c r="G30" s="174">
        <f t="shared" si="0"/>
        <v>0</v>
      </c>
      <c r="H30" s="175" t="s">
        <v>69</v>
      </c>
    </row>
    <row r="31" spans="1:8" ht="27" customHeight="1">
      <c r="A31" s="101">
        <v>25</v>
      </c>
      <c r="B31" s="132" t="s">
        <v>177</v>
      </c>
      <c r="C31" s="132" t="s">
        <v>367</v>
      </c>
      <c r="D31" s="136" t="s">
        <v>250</v>
      </c>
      <c r="E31" s="133">
        <v>16</v>
      </c>
      <c r="F31" s="173">
        <v>0</v>
      </c>
      <c r="G31" s="174">
        <f t="shared" si="0"/>
        <v>16</v>
      </c>
      <c r="H31" s="175" t="s">
        <v>69</v>
      </c>
    </row>
    <row r="32" spans="1:8" ht="27" customHeight="1">
      <c r="A32" s="101">
        <v>26</v>
      </c>
      <c r="B32" s="132" t="s">
        <v>178</v>
      </c>
      <c r="C32" s="132" t="s">
        <v>367</v>
      </c>
      <c r="D32" s="136" t="s">
        <v>250</v>
      </c>
      <c r="E32" s="133">
        <v>62.76</v>
      </c>
      <c r="F32" s="173">
        <v>0</v>
      </c>
      <c r="G32" s="174">
        <f t="shared" si="0"/>
        <v>62.76</v>
      </c>
      <c r="H32" s="175" t="s">
        <v>69</v>
      </c>
    </row>
    <row r="33" spans="1:8" ht="27" customHeight="1">
      <c r="A33" s="101">
        <v>27</v>
      </c>
      <c r="B33" s="132" t="s">
        <v>178</v>
      </c>
      <c r="C33" s="132" t="s">
        <v>371</v>
      </c>
      <c r="D33" s="136" t="s">
        <v>372</v>
      </c>
      <c r="E33" s="133">
        <v>2.2000000000000002</v>
      </c>
      <c r="F33" s="173">
        <v>0</v>
      </c>
      <c r="G33" s="174">
        <f t="shared" si="0"/>
        <v>0</v>
      </c>
      <c r="H33" s="175" t="s">
        <v>69</v>
      </c>
    </row>
    <row r="34" spans="1:8" ht="27" customHeight="1">
      <c r="A34" s="101">
        <v>28</v>
      </c>
      <c r="B34" s="132" t="s">
        <v>178</v>
      </c>
      <c r="C34" s="132" t="s">
        <v>378</v>
      </c>
      <c r="D34" s="136" t="s">
        <v>372</v>
      </c>
      <c r="E34" s="133">
        <v>6.5</v>
      </c>
      <c r="F34" s="173">
        <v>0</v>
      </c>
      <c r="G34" s="174">
        <f t="shared" si="0"/>
        <v>0</v>
      </c>
      <c r="H34" s="175" t="s">
        <v>69</v>
      </c>
    </row>
    <row r="35" spans="1:8" ht="27" customHeight="1">
      <c r="A35" s="101">
        <v>29</v>
      </c>
      <c r="B35" s="132" t="s">
        <v>179</v>
      </c>
      <c r="C35" s="132" t="s">
        <v>367</v>
      </c>
      <c r="D35" s="136" t="s">
        <v>250</v>
      </c>
      <c r="E35" s="133">
        <v>52.47</v>
      </c>
      <c r="F35" s="173">
        <v>0</v>
      </c>
      <c r="G35" s="174">
        <f t="shared" si="0"/>
        <v>52.47</v>
      </c>
      <c r="H35" s="175" t="s">
        <v>69</v>
      </c>
    </row>
    <row r="36" spans="1:8" ht="27" customHeight="1">
      <c r="A36" s="101">
        <v>30</v>
      </c>
      <c r="B36" s="132" t="s">
        <v>179</v>
      </c>
      <c r="C36" s="132" t="s">
        <v>371</v>
      </c>
      <c r="D36" s="136" t="s">
        <v>372</v>
      </c>
      <c r="E36" s="133">
        <v>56.64</v>
      </c>
      <c r="F36" s="173">
        <v>0</v>
      </c>
      <c r="G36" s="174">
        <f t="shared" si="0"/>
        <v>0</v>
      </c>
      <c r="H36" s="175" t="s">
        <v>69</v>
      </c>
    </row>
    <row r="38" spans="1:8" ht="18" customHeight="1">
      <c r="A38" s="327" t="s">
        <v>443</v>
      </c>
      <c r="B38" s="328"/>
      <c r="C38" s="328"/>
      <c r="D38" s="328"/>
      <c r="E38" s="328"/>
      <c r="F38" s="328"/>
      <c r="G38" s="99">
        <f>SUM(G7:G36)</f>
        <v>510.11</v>
      </c>
      <c r="H38" s="99" t="s">
        <v>69</v>
      </c>
    </row>
  </sheetData>
  <mergeCells count="8">
    <mergeCell ref="A38:F38"/>
    <mergeCell ref="A4:B4"/>
    <mergeCell ref="A1:H1"/>
    <mergeCell ref="C2:H2"/>
    <mergeCell ref="A2:B2"/>
    <mergeCell ref="C4:F4"/>
    <mergeCell ref="C3:H3"/>
    <mergeCell ref="A3:B3"/>
  </mergeCells>
  <conditionalFormatting sqref="D7:D36">
    <cfRule type="expression" dxfId="2" priority="1">
      <formula>D7="TAPADA"</formula>
    </cfRule>
    <cfRule type="expression" dxfId="1" priority="2">
      <formula>D7="ABIERTA"</formula>
    </cfRule>
  </conditionalFormatting>
  <conditionalFormatting sqref="G7:G36">
    <cfRule type="expression" dxfId="0" priority="7">
      <formula>$D7="TAPADA"</formula>
    </cfRule>
  </conditionalFormatting>
  <pageMargins left="0.7" right="0.7" top="0.75" bottom="0.75" header="0.3" footer="0.3"/>
  <pageSetup paperSize="9" scale="6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J24"/>
  <sheetViews>
    <sheetView view="pageBreakPreview" zoomScaleNormal="130" zoomScaleSheetLayoutView="100" workbookViewId="0">
      <pane ySplit="11" topLeftCell="A12" activePane="bottomLeft" state="frozen"/>
      <selection pane="bottomLeft" activeCell="P10" sqref="P10"/>
    </sheetView>
  </sheetViews>
  <sheetFormatPr baseColWidth="10" defaultColWidth="8.6328125" defaultRowHeight="14"/>
  <cols>
    <col min="1" max="1" width="24.90625" style="176" customWidth="1"/>
    <col min="2" max="2" width="16" style="176" customWidth="1"/>
    <col min="3" max="3" width="7" style="176" customWidth="1"/>
    <col min="4" max="10" width="15.26953125" style="176" customWidth="1"/>
    <col min="11" max="12" width="8.6328125" style="176" customWidth="1"/>
    <col min="13" max="16384" width="8.6328125" style="176"/>
  </cols>
  <sheetData>
    <row r="1" spans="1:10" ht="31.5" customHeight="1">
      <c r="A1" s="333" t="s">
        <v>444</v>
      </c>
      <c r="B1" s="334"/>
      <c r="C1" s="334"/>
      <c r="D1" s="334"/>
      <c r="E1" s="334"/>
      <c r="F1" s="334"/>
      <c r="G1" s="334"/>
      <c r="H1" s="334"/>
      <c r="I1" s="334"/>
      <c r="J1" s="334"/>
    </row>
    <row r="2" spans="1:10" ht="15" customHeight="1">
      <c r="A2" s="186" t="s">
        <v>1</v>
      </c>
      <c r="B2" s="335" t="s">
        <v>2</v>
      </c>
      <c r="C2" s="232"/>
      <c r="D2" s="232"/>
      <c r="E2" s="232"/>
      <c r="F2" s="232"/>
      <c r="G2" s="232"/>
      <c r="H2" s="232"/>
      <c r="I2" s="232"/>
      <c r="J2" s="233"/>
    </row>
    <row r="3" spans="1:10" ht="59.5" customHeight="1">
      <c r="A3" s="186" t="s">
        <v>3</v>
      </c>
      <c r="B3" s="335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3" s="232"/>
      <c r="D3" s="232"/>
      <c r="E3" s="232"/>
      <c r="F3" s="232"/>
      <c r="G3" s="232"/>
      <c r="H3" s="232"/>
      <c r="I3" s="232"/>
      <c r="J3" s="233"/>
    </row>
    <row r="4" spans="1:10" ht="15" customHeight="1">
      <c r="A4" s="186" t="s">
        <v>5</v>
      </c>
      <c r="B4" s="335" t="str">
        <f>+RESUMEN!B6</f>
        <v>SAN MARTIN - SAN MARTIN - MORALES</v>
      </c>
      <c r="C4" s="232"/>
      <c r="D4" s="232"/>
      <c r="E4" s="232"/>
      <c r="F4" s="232"/>
      <c r="G4" s="232"/>
      <c r="H4" s="232"/>
      <c r="I4" s="232"/>
      <c r="J4" s="233"/>
    </row>
    <row r="5" spans="1:10" ht="15" customHeight="1">
      <c r="A5" s="186" t="s">
        <v>7</v>
      </c>
      <c r="B5" s="336">
        <f>+RESUMEN!B7</f>
        <v>46266</v>
      </c>
      <c r="C5" s="232"/>
      <c r="D5" s="232"/>
      <c r="E5" s="232"/>
      <c r="F5" s="232"/>
      <c r="G5" s="232"/>
      <c r="H5" s="232"/>
      <c r="I5" s="232"/>
      <c r="J5" s="233"/>
    </row>
    <row r="7" spans="1:10">
      <c r="A7" s="177" t="s">
        <v>445</v>
      </c>
      <c r="B7" s="178"/>
    </row>
    <row r="8" spans="1:10" ht="36.5" customHeight="1">
      <c r="A8" s="179" t="s">
        <v>446</v>
      </c>
      <c r="B8" s="180">
        <v>3</v>
      </c>
    </row>
    <row r="9" spans="1:10" ht="26.5" customHeight="1">
      <c r="A9" s="179" t="s">
        <v>447</v>
      </c>
      <c r="B9" s="180">
        <v>2</v>
      </c>
    </row>
    <row r="10" spans="1:10" ht="28" customHeight="1">
      <c r="A10" s="181" t="s">
        <v>448</v>
      </c>
      <c r="B10" s="181" t="s">
        <v>449</v>
      </c>
    </row>
    <row r="11" spans="1:10" ht="39.75" customHeight="1">
      <c r="A11" s="182" t="s">
        <v>156</v>
      </c>
      <c r="B11" s="182" t="s">
        <v>450</v>
      </c>
      <c r="C11" s="182" t="s">
        <v>435</v>
      </c>
      <c r="D11" s="182" t="s">
        <v>451</v>
      </c>
      <c r="E11" s="182" t="s">
        <v>452</v>
      </c>
      <c r="F11" s="182" t="s">
        <v>453</v>
      </c>
      <c r="G11" s="182" t="s">
        <v>454</v>
      </c>
      <c r="H11" s="182" t="s">
        <v>455</v>
      </c>
      <c r="I11" s="182" t="s">
        <v>456</v>
      </c>
      <c r="J11" s="182" t="s">
        <v>457</v>
      </c>
    </row>
    <row r="12" spans="1:10" ht="25.5" customHeight="1">
      <c r="A12" s="183" t="s">
        <v>458</v>
      </c>
      <c r="B12" s="183" t="s">
        <v>62</v>
      </c>
      <c r="C12" s="183" t="s">
        <v>57</v>
      </c>
      <c r="D12" s="184"/>
      <c r="E12" s="184"/>
      <c r="F12" s="184"/>
      <c r="G12" s="184"/>
      <c r="H12" s="184"/>
      <c r="I12" s="184"/>
      <c r="J12" s="184">
        <f>SUM(J13:J24)</f>
        <v>241.95954396630202</v>
      </c>
    </row>
    <row r="13" spans="1:10" ht="15.5" customHeight="1">
      <c r="A13" s="181">
        <v>1</v>
      </c>
      <c r="B13" s="181" t="s">
        <v>366</v>
      </c>
      <c r="C13" s="181"/>
      <c r="D13" s="187">
        <v>37.14</v>
      </c>
      <c r="E13" s="185">
        <f>+'CONCRETO EN CUNETAS'!E10</f>
        <v>14.07</v>
      </c>
      <c r="F13" s="185">
        <f t="shared" ref="F13:F24" si="0">E13/D13</f>
        <v>0.3788368336025848</v>
      </c>
      <c r="G13" s="185">
        <f>B8</f>
        <v>3</v>
      </c>
      <c r="H13" s="185">
        <f t="shared" ref="H13:H24" si="1">ROUNDUP(D13/G13,0)</f>
        <v>13</v>
      </c>
      <c r="I13" s="185">
        <f>B9</f>
        <v>2</v>
      </c>
      <c r="J13" s="185">
        <f t="shared" ref="J13:J24" si="2">H13*I13*F13</f>
        <v>9.8497576736672041</v>
      </c>
    </row>
    <row r="14" spans="1:10" ht="15.5" customHeight="1">
      <c r="A14" s="181">
        <v>2</v>
      </c>
      <c r="B14" s="181" t="s">
        <v>374</v>
      </c>
      <c r="C14" s="181"/>
      <c r="D14" s="187">
        <v>130.85</v>
      </c>
      <c r="E14" s="185">
        <f>+'CONCRETO EN CUNETAS'!E22</f>
        <v>78.319999999999993</v>
      </c>
      <c r="F14" s="185">
        <f t="shared" si="0"/>
        <v>0.5985479556744363</v>
      </c>
      <c r="G14" s="185">
        <f>B8</f>
        <v>3</v>
      </c>
      <c r="H14" s="185">
        <f t="shared" si="1"/>
        <v>44</v>
      </c>
      <c r="I14" s="185">
        <f>B9</f>
        <v>2</v>
      </c>
      <c r="J14" s="185">
        <f t="shared" si="2"/>
        <v>52.672220099350398</v>
      </c>
    </row>
    <row r="15" spans="1:10" ht="15.5" customHeight="1">
      <c r="A15" s="181">
        <v>3</v>
      </c>
      <c r="B15" s="181" t="s">
        <v>436</v>
      </c>
      <c r="C15" s="181"/>
      <c r="D15" s="187">
        <v>5.82</v>
      </c>
      <c r="E15" s="185">
        <f>+'CONCRETO EN CUNETAS'!E34</f>
        <v>1.83</v>
      </c>
      <c r="F15" s="185">
        <f t="shared" si="0"/>
        <v>0.31443298969072164</v>
      </c>
      <c r="G15" s="185">
        <f>B8</f>
        <v>3</v>
      </c>
      <c r="H15" s="185">
        <f t="shared" si="1"/>
        <v>2</v>
      </c>
      <c r="I15" s="185">
        <f>B9</f>
        <v>2</v>
      </c>
      <c r="J15" s="185">
        <f t="shared" si="2"/>
        <v>1.2577319587628866</v>
      </c>
    </row>
    <row r="16" spans="1:10" ht="15.5" customHeight="1">
      <c r="A16" s="181">
        <v>4</v>
      </c>
      <c r="B16" s="181" t="s">
        <v>437</v>
      </c>
      <c r="C16" s="181"/>
      <c r="D16" s="187">
        <v>8.6</v>
      </c>
      <c r="E16" s="185">
        <f>+'CONCRETO EN CUNETAS'!E46</f>
        <v>2.76</v>
      </c>
      <c r="F16" s="185">
        <f t="shared" si="0"/>
        <v>0.32093023255813952</v>
      </c>
      <c r="G16" s="185">
        <f>B8</f>
        <v>3</v>
      </c>
      <c r="H16" s="185">
        <f t="shared" si="1"/>
        <v>3</v>
      </c>
      <c r="I16" s="185">
        <f>B9</f>
        <v>2</v>
      </c>
      <c r="J16" s="185">
        <f t="shared" si="2"/>
        <v>1.925581395348837</v>
      </c>
    </row>
    <row r="17" spans="1:10" ht="15.5" customHeight="1">
      <c r="A17" s="181">
        <v>5</v>
      </c>
      <c r="B17" s="181" t="s">
        <v>390</v>
      </c>
      <c r="C17" s="181"/>
      <c r="D17" s="187">
        <v>43.23</v>
      </c>
      <c r="E17" s="185">
        <f>+'CONCRETO EN CUNETAS'!E58</f>
        <v>17.7</v>
      </c>
      <c r="F17" s="185">
        <f t="shared" si="0"/>
        <v>0.40943789035392092</v>
      </c>
      <c r="G17" s="185">
        <f>B8</f>
        <v>3</v>
      </c>
      <c r="H17" s="185">
        <f t="shared" si="1"/>
        <v>15</v>
      </c>
      <c r="I17" s="185">
        <f>B9</f>
        <v>2</v>
      </c>
      <c r="J17" s="185">
        <f t="shared" si="2"/>
        <v>12.283136710617628</v>
      </c>
    </row>
    <row r="18" spans="1:10" ht="15.5" customHeight="1">
      <c r="A18" s="181">
        <v>6</v>
      </c>
      <c r="B18" s="181" t="s">
        <v>394</v>
      </c>
      <c r="C18" s="181"/>
      <c r="D18" s="187">
        <v>120.36</v>
      </c>
      <c r="E18" s="185">
        <f>+'CONCRETO EN CUNETAS'!E70</f>
        <v>69.72</v>
      </c>
      <c r="F18" s="185">
        <f t="shared" si="0"/>
        <v>0.57926221335992023</v>
      </c>
      <c r="G18" s="185">
        <f>B8</f>
        <v>3</v>
      </c>
      <c r="H18" s="185">
        <f t="shared" si="1"/>
        <v>41</v>
      </c>
      <c r="I18" s="185">
        <f>B9</f>
        <v>2</v>
      </c>
      <c r="J18" s="185">
        <f t="shared" si="2"/>
        <v>47.499501495513456</v>
      </c>
    </row>
    <row r="19" spans="1:10" ht="15.5" customHeight="1">
      <c r="A19" s="181">
        <v>7</v>
      </c>
      <c r="B19" s="181" t="s">
        <v>401</v>
      </c>
      <c r="C19" s="181"/>
      <c r="D19" s="187">
        <v>125.7</v>
      </c>
      <c r="E19" s="185">
        <f>+'CONCRETO EN CUNETAS'!M10</f>
        <v>74.5</v>
      </c>
      <c r="F19" s="185">
        <f t="shared" si="0"/>
        <v>0.59268098647573586</v>
      </c>
      <c r="G19" s="185">
        <f>B8</f>
        <v>3</v>
      </c>
      <c r="H19" s="185">
        <f t="shared" si="1"/>
        <v>42</v>
      </c>
      <c r="I19" s="185">
        <f>B9</f>
        <v>2</v>
      </c>
      <c r="J19" s="185">
        <f t="shared" si="2"/>
        <v>49.785202863961814</v>
      </c>
    </row>
    <row r="20" spans="1:10" ht="15.5" customHeight="1">
      <c r="A20" s="181">
        <v>8</v>
      </c>
      <c r="B20" s="181" t="s">
        <v>409</v>
      </c>
      <c r="C20" s="181"/>
      <c r="D20" s="187">
        <v>8.1999999999999993</v>
      </c>
      <c r="E20" s="185">
        <f>+'CONCRETO EN CUNETAS'!M22</f>
        <v>2.62</v>
      </c>
      <c r="F20" s="185">
        <f t="shared" si="0"/>
        <v>0.31951219512195128</v>
      </c>
      <c r="G20" s="185">
        <f>B8</f>
        <v>3</v>
      </c>
      <c r="H20" s="185">
        <f t="shared" si="1"/>
        <v>3</v>
      </c>
      <c r="I20" s="185">
        <f>B9</f>
        <v>2</v>
      </c>
      <c r="J20" s="185">
        <f t="shared" si="2"/>
        <v>1.9170731707317077</v>
      </c>
    </row>
    <row r="21" spans="1:10" ht="15.5" customHeight="1">
      <c r="A21" s="181">
        <v>9</v>
      </c>
      <c r="B21" s="181" t="s">
        <v>412</v>
      </c>
      <c r="C21" s="181"/>
      <c r="D21" s="187">
        <v>7</v>
      </c>
      <c r="E21" s="185">
        <f>+'CONCRETO EN CUNETAS'!M34</f>
        <v>2.2200000000000002</v>
      </c>
      <c r="F21" s="185">
        <f t="shared" si="0"/>
        <v>0.31714285714285717</v>
      </c>
      <c r="G21" s="185">
        <f>B8</f>
        <v>3</v>
      </c>
      <c r="H21" s="185">
        <f t="shared" si="1"/>
        <v>3</v>
      </c>
      <c r="I21" s="185">
        <f>B9</f>
        <v>2</v>
      </c>
      <c r="J21" s="185">
        <f t="shared" si="2"/>
        <v>1.902857142857143</v>
      </c>
    </row>
    <row r="22" spans="1:10" ht="15.5" customHeight="1">
      <c r="A22" s="181">
        <v>10</v>
      </c>
      <c r="B22" s="181" t="s">
        <v>177</v>
      </c>
      <c r="C22" s="181"/>
      <c r="D22" s="187">
        <v>16</v>
      </c>
      <c r="E22" s="185">
        <f>+'CONCRETO EN CUNETAS'!M46</f>
        <v>5.44</v>
      </c>
      <c r="F22" s="185">
        <f t="shared" si="0"/>
        <v>0.34</v>
      </c>
      <c r="G22" s="185">
        <f>B8</f>
        <v>3</v>
      </c>
      <c r="H22" s="185">
        <f t="shared" si="1"/>
        <v>6</v>
      </c>
      <c r="I22" s="185">
        <f>B9</f>
        <v>2</v>
      </c>
      <c r="J22" s="185">
        <f t="shared" si="2"/>
        <v>4.08</v>
      </c>
    </row>
    <row r="23" spans="1:10" ht="15.5" customHeight="1">
      <c r="A23" s="181">
        <v>11</v>
      </c>
      <c r="B23" s="181" t="s">
        <v>178</v>
      </c>
      <c r="C23" s="181"/>
      <c r="D23" s="187">
        <v>71.459999999999994</v>
      </c>
      <c r="E23" s="185">
        <f>+'CONCRETO EN CUNETAS'!M58</f>
        <v>33</v>
      </c>
      <c r="F23" s="185">
        <f t="shared" si="0"/>
        <v>0.46179680940386236</v>
      </c>
      <c r="G23" s="185">
        <f>B8</f>
        <v>3</v>
      </c>
      <c r="H23" s="185">
        <f t="shared" si="1"/>
        <v>24</v>
      </c>
      <c r="I23" s="185">
        <f>B9</f>
        <v>2</v>
      </c>
      <c r="J23" s="185">
        <f t="shared" si="2"/>
        <v>22.166246851385395</v>
      </c>
    </row>
    <row r="24" spans="1:10" ht="15.5" customHeight="1">
      <c r="A24" s="181">
        <v>12</v>
      </c>
      <c r="B24" s="181" t="s">
        <v>179</v>
      </c>
      <c r="C24" s="181"/>
      <c r="D24" s="187">
        <v>109.12</v>
      </c>
      <c r="E24" s="185">
        <f>+'CONCRETO EN CUNETAS'!M70</f>
        <v>54</v>
      </c>
      <c r="F24" s="185">
        <f t="shared" si="0"/>
        <v>0.49486803519061584</v>
      </c>
      <c r="G24" s="185">
        <f>B8</f>
        <v>3</v>
      </c>
      <c r="H24" s="185">
        <f t="shared" si="1"/>
        <v>37</v>
      </c>
      <c r="I24" s="185">
        <f>B9</f>
        <v>2</v>
      </c>
      <c r="J24" s="185">
        <f t="shared" si="2"/>
        <v>36.620234604105569</v>
      </c>
    </row>
  </sheetData>
  <mergeCells count="5">
    <mergeCell ref="A1:J1"/>
    <mergeCell ref="B3:J3"/>
    <mergeCell ref="B5:J5"/>
    <mergeCell ref="B4:J4"/>
    <mergeCell ref="B2:J2"/>
  </mergeCells>
  <pageMargins left="0.75" right="0.75" top="1" bottom="1" header="0.511811023622047" footer="0.511811023622047"/>
  <pageSetup paperSize="9" scale="55" orientation="portrait" horizontalDpi="300" verticalDpi="3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1:K23"/>
  <sheetViews>
    <sheetView topLeftCell="B8" zoomScale="115" zoomScaleNormal="115" zoomScaleSheetLayoutView="115" workbookViewId="0">
      <selection activeCell="J26" sqref="J26"/>
    </sheetView>
  </sheetViews>
  <sheetFormatPr baseColWidth="10" defaultColWidth="9.453125" defaultRowHeight="15.5"/>
  <cols>
    <col min="1" max="1" width="22.453125" style="100" customWidth="1"/>
    <col min="2" max="2" width="50.7265625" style="100" customWidth="1"/>
    <col min="3" max="3" width="14.1796875" style="100" customWidth="1"/>
    <col min="4" max="4" width="18.1796875" style="100" customWidth="1"/>
    <col min="5" max="5" width="12.54296875" style="100" customWidth="1"/>
    <col min="6" max="8" width="12" style="100" customWidth="1"/>
    <col min="9" max="10" width="16.36328125" style="100" customWidth="1"/>
    <col min="11" max="11" width="9.81640625" style="100" customWidth="1"/>
    <col min="12" max="13" width="9.453125" style="100" customWidth="1"/>
    <col min="14" max="16384" width="9.453125" style="100"/>
  </cols>
  <sheetData>
    <row r="1" spans="1:11" ht="20" customHeight="1">
      <c r="A1" s="338" t="s">
        <v>459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</row>
    <row r="2" spans="1:11" ht="25" customHeight="1">
      <c r="A2" s="110" t="s">
        <v>1</v>
      </c>
      <c r="B2" s="324" t="s">
        <v>2</v>
      </c>
      <c r="C2" s="232"/>
      <c r="D2" s="232"/>
      <c r="E2" s="232"/>
      <c r="F2" s="232"/>
      <c r="G2" s="232"/>
      <c r="H2" s="232"/>
      <c r="I2" s="232"/>
      <c r="J2" s="232"/>
      <c r="K2" s="233"/>
    </row>
    <row r="3" spans="1:11" ht="40" customHeight="1">
      <c r="A3" s="110" t="s">
        <v>3</v>
      </c>
      <c r="B3" s="324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3" s="232"/>
      <c r="D3" s="232"/>
      <c r="E3" s="232"/>
      <c r="F3" s="232"/>
      <c r="G3" s="232"/>
      <c r="H3" s="232"/>
      <c r="I3" s="232"/>
      <c r="J3" s="232"/>
      <c r="K3" s="233"/>
    </row>
    <row r="4" spans="1:11" ht="24.5" customHeight="1">
      <c r="A4" s="110" t="s">
        <v>5</v>
      </c>
      <c r="B4" s="324" t="str">
        <f>+RESUMEN!B6</f>
        <v>SAN MARTIN - SAN MARTIN - MORALES</v>
      </c>
      <c r="C4" s="232"/>
      <c r="D4" s="232"/>
      <c r="E4" s="232"/>
      <c r="F4" s="232"/>
      <c r="G4" s="232"/>
      <c r="H4" s="232"/>
      <c r="I4" s="232"/>
      <c r="J4" s="232"/>
      <c r="K4" s="233"/>
    </row>
    <row r="5" spans="1:11" ht="18" customHeight="1">
      <c r="A5" s="110" t="s">
        <v>7</v>
      </c>
      <c r="B5" s="339">
        <f>+RESUMEN!B7</f>
        <v>46266</v>
      </c>
      <c r="C5" s="232"/>
      <c r="D5" s="232"/>
      <c r="E5" s="232"/>
      <c r="F5" s="232"/>
      <c r="G5" s="232"/>
      <c r="H5" s="232"/>
      <c r="I5" s="232"/>
      <c r="J5" s="232"/>
      <c r="K5" s="233"/>
    </row>
    <row r="6" spans="1:11" ht="10" customHeight="1">
      <c r="A6" s="119"/>
      <c r="B6" s="119"/>
      <c r="C6" s="119"/>
      <c r="D6" s="119"/>
      <c r="E6" s="119"/>
      <c r="F6" s="119"/>
      <c r="G6" s="119"/>
      <c r="H6" s="119"/>
      <c r="I6" s="119"/>
      <c r="J6" s="119"/>
      <c r="K6" s="119"/>
    </row>
    <row r="7" spans="1:11" ht="20" customHeight="1">
      <c r="A7" s="337" t="s">
        <v>156</v>
      </c>
      <c r="B7" s="337" t="s">
        <v>293</v>
      </c>
      <c r="C7" s="121" t="s">
        <v>158</v>
      </c>
      <c r="D7" s="337" t="s">
        <v>460</v>
      </c>
      <c r="E7" s="232"/>
      <c r="F7" s="232"/>
      <c r="G7" s="232"/>
      <c r="H7" s="233"/>
      <c r="I7" s="121" t="s">
        <v>165</v>
      </c>
      <c r="J7" s="337" t="s">
        <v>166</v>
      </c>
      <c r="K7" s="337" t="s">
        <v>167</v>
      </c>
    </row>
    <row r="8" spans="1:11" ht="36.5" customHeight="1">
      <c r="A8" s="238"/>
      <c r="B8" s="238"/>
      <c r="C8" s="121"/>
      <c r="D8" s="121" t="s">
        <v>159</v>
      </c>
      <c r="E8" s="121" t="s">
        <v>160</v>
      </c>
      <c r="F8" s="121" t="s">
        <v>161</v>
      </c>
      <c r="G8" s="121" t="s">
        <v>162</v>
      </c>
      <c r="H8" s="121" t="s">
        <v>163</v>
      </c>
      <c r="I8" s="121" t="s">
        <v>461</v>
      </c>
      <c r="J8" s="238"/>
      <c r="K8" s="238"/>
    </row>
    <row r="9" spans="1:11" ht="20" customHeight="1">
      <c r="A9" s="101" t="s">
        <v>58</v>
      </c>
      <c r="B9" s="122" t="s">
        <v>462</v>
      </c>
      <c r="C9" s="101"/>
      <c r="D9" s="101"/>
      <c r="E9" s="101"/>
      <c r="F9" s="101"/>
      <c r="G9" s="101"/>
      <c r="H9" s="101"/>
      <c r="I9" s="101"/>
      <c r="J9" s="130">
        <f>+PARAMETROS!B4</f>
        <v>17</v>
      </c>
      <c r="K9" s="131" t="s">
        <v>60</v>
      </c>
    </row>
    <row r="10" spans="1:11" ht="20" customHeight="1">
      <c r="A10" s="101"/>
      <c r="B10" s="122"/>
      <c r="C10" s="101"/>
      <c r="D10" s="101"/>
      <c r="E10" s="101"/>
      <c r="F10" s="101"/>
      <c r="G10" s="101"/>
      <c r="H10" s="101"/>
      <c r="I10" s="101"/>
      <c r="J10" s="101"/>
      <c r="K10" s="101"/>
    </row>
    <row r="11" spans="1:11" ht="20" customHeight="1">
      <c r="A11" s="124"/>
      <c r="B11" s="125" t="s">
        <v>463</v>
      </c>
      <c r="C11" s="124"/>
      <c r="D11" s="124"/>
      <c r="E11" s="124"/>
      <c r="F11" s="124"/>
      <c r="G11" s="124"/>
      <c r="H11" s="124"/>
      <c r="I11" s="124" t="s">
        <v>166</v>
      </c>
      <c r="J11" s="124"/>
      <c r="K11" s="124"/>
    </row>
    <row r="12" spans="1:11" ht="20" customHeight="1">
      <c r="A12" s="101"/>
      <c r="B12" s="122" t="s">
        <v>464</v>
      </c>
      <c r="C12" s="123">
        <f>PARAMETROS!B4</f>
        <v>17</v>
      </c>
      <c r="D12" s="123">
        <f>PARAMETROS!B5</f>
        <v>0.6</v>
      </c>
      <c r="E12" s="123">
        <f>PARAMETROS!B6</f>
        <v>0.6</v>
      </c>
      <c r="F12" s="123">
        <f>PARAMETROS!B7</f>
        <v>0.1</v>
      </c>
      <c r="G12" s="126"/>
      <c r="H12" s="126"/>
      <c r="I12" s="123">
        <f>C12*D12*E12*F12</f>
        <v>0.61199999999999999</v>
      </c>
      <c r="J12" s="130">
        <f>I12</f>
        <v>0.61199999999999999</v>
      </c>
      <c r="K12" s="131" t="s">
        <v>185</v>
      </c>
    </row>
    <row r="13" spans="1:11" ht="20" customHeight="1">
      <c r="A13" s="101"/>
      <c r="B13" s="122"/>
      <c r="C13" s="126"/>
      <c r="D13" s="126"/>
      <c r="E13" s="126"/>
      <c r="F13" s="126"/>
      <c r="G13" s="126"/>
      <c r="H13" s="126"/>
      <c r="I13" s="126"/>
      <c r="J13" s="126"/>
      <c r="K13" s="101"/>
    </row>
    <row r="14" spans="1:11" ht="29.5" customHeight="1">
      <c r="A14" s="124"/>
      <c r="B14" s="125" t="s">
        <v>465</v>
      </c>
      <c r="C14" s="127"/>
      <c r="D14" s="127"/>
      <c r="E14" s="127"/>
      <c r="F14" s="127"/>
      <c r="G14" s="127"/>
      <c r="H14" s="127"/>
      <c r="I14" s="127" t="s">
        <v>166</v>
      </c>
      <c r="J14" s="127"/>
      <c r="K14" s="124"/>
    </row>
    <row r="15" spans="1:11" ht="20" customHeight="1">
      <c r="A15" s="101"/>
      <c r="B15" s="122" t="s">
        <v>466</v>
      </c>
      <c r="C15" s="123">
        <f>PARAMETROS!B4</f>
        <v>17</v>
      </c>
      <c r="D15" s="123">
        <f>2*(PARAMETROS!B5+PARAMETROS!B6)</f>
        <v>2.4</v>
      </c>
      <c r="E15" s="123"/>
      <c r="F15" s="123">
        <f>PARAMETROS!B7</f>
        <v>0.1</v>
      </c>
      <c r="G15" s="126"/>
      <c r="H15" s="123">
        <f>D15*F15</f>
        <v>0.24</v>
      </c>
      <c r="I15" s="123">
        <f>C15*H15</f>
        <v>4.08</v>
      </c>
      <c r="J15" s="123">
        <f>I15</f>
        <v>4.08</v>
      </c>
      <c r="K15" s="101" t="s">
        <v>186</v>
      </c>
    </row>
    <row r="16" spans="1:11" ht="20" customHeight="1">
      <c r="A16" s="101"/>
      <c r="B16" s="122" t="s">
        <v>467</v>
      </c>
      <c r="C16" s="123">
        <f>PARAMETROS!B4</f>
        <v>17</v>
      </c>
      <c r="D16" s="123">
        <f>PARAMETROS!B5</f>
        <v>0.6</v>
      </c>
      <c r="E16" s="123">
        <f>PARAMETROS!B6</f>
        <v>0.6</v>
      </c>
      <c r="F16" s="123"/>
      <c r="G16" s="126"/>
      <c r="H16" s="123">
        <f>D16*E16</f>
        <v>0.36</v>
      </c>
      <c r="I16" s="123">
        <f>C16*H16</f>
        <v>6.12</v>
      </c>
      <c r="J16" s="123">
        <f>I16</f>
        <v>6.12</v>
      </c>
      <c r="K16" s="101" t="s">
        <v>186</v>
      </c>
    </row>
    <row r="17" spans="1:11" ht="20" customHeight="1">
      <c r="A17" s="101"/>
      <c r="B17" s="122" t="s">
        <v>468</v>
      </c>
      <c r="C17" s="126"/>
      <c r="D17" s="126"/>
      <c r="E17" s="126"/>
      <c r="F17" s="126"/>
      <c r="G17" s="126"/>
      <c r="H17" s="123"/>
      <c r="I17" s="123"/>
      <c r="J17" s="130">
        <f>J15+J16</f>
        <v>10.199999999999999</v>
      </c>
      <c r="K17" s="131" t="s">
        <v>186</v>
      </c>
    </row>
    <row r="18" spans="1:11" ht="20" customHeight="1">
      <c r="A18" s="101"/>
      <c r="B18" s="122"/>
      <c r="C18" s="126"/>
      <c r="D18" s="126"/>
      <c r="E18" s="126"/>
      <c r="F18" s="126"/>
      <c r="G18" s="126"/>
      <c r="H18" s="126"/>
      <c r="I18" s="126"/>
      <c r="J18" s="126"/>
      <c r="K18" s="101"/>
    </row>
    <row r="19" spans="1:11" ht="43" customHeight="1">
      <c r="A19" s="124"/>
      <c r="B19" s="125" t="s">
        <v>469</v>
      </c>
      <c r="C19" s="127"/>
      <c r="D19" s="129" t="s">
        <v>470</v>
      </c>
      <c r="E19" s="128" t="s">
        <v>471</v>
      </c>
      <c r="F19" s="127"/>
      <c r="G19" s="127"/>
      <c r="H19" s="127"/>
      <c r="I19" s="127" t="s">
        <v>166</v>
      </c>
      <c r="J19" s="127"/>
      <c r="K19" s="124"/>
    </row>
    <row r="20" spans="1:11" ht="20" customHeight="1">
      <c r="A20" s="101"/>
      <c r="B20" s="122" t="s">
        <v>472</v>
      </c>
      <c r="C20" s="123">
        <f>PARAMETROS!B4</f>
        <v>17</v>
      </c>
      <c r="D20" s="123">
        <f>PARAMETROS!B5-2*PARAMETROS!B8</f>
        <v>0.54999999999999993</v>
      </c>
      <c r="E20" s="123">
        <f>ROUND((PARAMETROS!B6-2*PARAMETROS!B8)/PARAMETROS!B9,0)+1</f>
        <v>5</v>
      </c>
      <c r="F20" s="123"/>
      <c r="G20" s="123">
        <f>PARAMETROS!B10</f>
        <v>0.56000000000000005</v>
      </c>
      <c r="H20" s="126"/>
      <c r="I20" s="123">
        <f>C20*D20*E20*G20</f>
        <v>26.180000000000003</v>
      </c>
      <c r="J20" s="123">
        <f>I20</f>
        <v>26.180000000000003</v>
      </c>
      <c r="K20" s="101" t="s">
        <v>50</v>
      </c>
    </row>
    <row r="21" spans="1:11" ht="20" customHeight="1">
      <c r="A21" s="101"/>
      <c r="B21" s="122" t="s">
        <v>473</v>
      </c>
      <c r="C21" s="123">
        <f>PARAMETROS!B4</f>
        <v>17</v>
      </c>
      <c r="D21" s="123">
        <f>PARAMETROS!B6-2*PARAMETROS!B8</f>
        <v>0.54999999999999993</v>
      </c>
      <c r="E21" s="123">
        <f>ROUND((PARAMETROS!B5-2*PARAMETROS!B8)/PARAMETROS!B9,0)+1</f>
        <v>5</v>
      </c>
      <c r="F21" s="123"/>
      <c r="G21" s="123">
        <f>PARAMETROS!B10</f>
        <v>0.56000000000000005</v>
      </c>
      <c r="H21" s="126"/>
      <c r="I21" s="123">
        <f>C21*D21*E21*G21</f>
        <v>26.180000000000003</v>
      </c>
      <c r="J21" s="123">
        <f>I21</f>
        <v>26.180000000000003</v>
      </c>
      <c r="K21" s="101" t="s">
        <v>50</v>
      </c>
    </row>
    <row r="22" spans="1:11" ht="20" customHeight="1">
      <c r="A22" s="101"/>
      <c r="B22" s="122" t="s">
        <v>474</v>
      </c>
      <c r="C22" s="126"/>
      <c r="D22" s="126"/>
      <c r="E22" s="126"/>
      <c r="F22" s="126"/>
      <c r="G22" s="126"/>
      <c r="H22" s="126"/>
      <c r="I22" s="123"/>
      <c r="J22" s="130">
        <f>J20+J21</f>
        <v>52.360000000000007</v>
      </c>
      <c r="K22" s="131" t="s">
        <v>50</v>
      </c>
    </row>
    <row r="23" spans="1:11" ht="20" customHeight="1">
      <c r="A23" s="120"/>
      <c r="B23" s="119"/>
      <c r="C23" s="120"/>
      <c r="D23" s="120"/>
      <c r="E23" s="120"/>
      <c r="F23" s="120"/>
      <c r="G23" s="120"/>
      <c r="H23" s="120"/>
      <c r="I23" s="120"/>
      <c r="J23" s="120"/>
      <c r="K23" s="120"/>
    </row>
  </sheetData>
  <mergeCells count="10">
    <mergeCell ref="B2:K2"/>
    <mergeCell ref="J7:J8"/>
    <mergeCell ref="A1:K1"/>
    <mergeCell ref="B3:K3"/>
    <mergeCell ref="B5:K5"/>
    <mergeCell ref="D7:H7"/>
    <mergeCell ref="B4:K4"/>
    <mergeCell ref="B7:B8"/>
    <mergeCell ref="A7:A8"/>
    <mergeCell ref="K7:K8"/>
  </mergeCells>
  <pageMargins left="0.7" right="0.7" top="0.75" bottom="0.75" header="0.3" footer="0.3"/>
  <pageSetup paperSize="9" scale="67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6"/>
  <sheetViews>
    <sheetView view="pageBreakPreview" zoomScale="160" zoomScaleNormal="100" zoomScaleSheetLayoutView="160" workbookViewId="0">
      <selection activeCell="B5" sqref="B5"/>
    </sheetView>
  </sheetViews>
  <sheetFormatPr baseColWidth="10" defaultColWidth="9.453125" defaultRowHeight="14"/>
  <cols>
    <col min="1" max="1" width="34.90625" style="87" customWidth="1"/>
    <col min="2" max="2" width="14.1796875" style="87" customWidth="1"/>
    <col min="3" max="3" width="13.08984375" style="87" customWidth="1"/>
    <col min="4" max="4" width="52.36328125" style="87" customWidth="1"/>
    <col min="5" max="6" width="9.453125" style="87" customWidth="1"/>
    <col min="7" max="16384" width="9.453125" style="87"/>
  </cols>
  <sheetData>
    <row r="1" spans="1:4" ht="10" customHeight="1">
      <c r="A1" s="340" t="s">
        <v>475</v>
      </c>
      <c r="B1" s="341"/>
      <c r="C1" s="341"/>
      <c r="D1" s="341"/>
    </row>
    <row r="2" spans="1:4" ht="10" customHeight="1">
      <c r="A2" s="116"/>
      <c r="B2" s="116"/>
      <c r="C2" s="116"/>
      <c r="D2" s="116"/>
    </row>
    <row r="3" spans="1:4" ht="10" customHeight="1">
      <c r="A3" s="117" t="s">
        <v>9</v>
      </c>
      <c r="B3" s="117" t="s">
        <v>476</v>
      </c>
      <c r="C3" s="117" t="s">
        <v>477</v>
      </c>
      <c r="D3" s="117" t="s">
        <v>478</v>
      </c>
    </row>
    <row r="4" spans="1:4" ht="15.5" customHeight="1">
      <c r="A4" s="116" t="s">
        <v>479</v>
      </c>
      <c r="B4" s="118">
        <v>17</v>
      </c>
      <c r="C4" s="115" t="s">
        <v>60</v>
      </c>
      <c r="D4" s="116" t="s">
        <v>480</v>
      </c>
    </row>
    <row r="5" spans="1:4" ht="15.5" customHeight="1">
      <c r="A5" s="116" t="s">
        <v>481</v>
      </c>
      <c r="B5" s="118">
        <v>0.6</v>
      </c>
      <c r="C5" s="115" t="s">
        <v>69</v>
      </c>
      <c r="D5" s="116" t="s">
        <v>482</v>
      </c>
    </row>
    <row r="6" spans="1:4" ht="15.5" customHeight="1">
      <c r="A6" s="116" t="s">
        <v>483</v>
      </c>
      <c r="B6" s="118">
        <v>0.6</v>
      </c>
      <c r="C6" s="115" t="s">
        <v>69</v>
      </c>
      <c r="D6" s="116" t="s">
        <v>482</v>
      </c>
    </row>
    <row r="7" spans="1:4" ht="15.5" customHeight="1">
      <c r="A7" s="116" t="s">
        <v>484</v>
      </c>
      <c r="B7" s="118">
        <v>0.1</v>
      </c>
      <c r="C7" s="115" t="s">
        <v>69</v>
      </c>
      <c r="D7" s="116" t="s">
        <v>482</v>
      </c>
    </row>
    <row r="8" spans="1:4" ht="15.5" customHeight="1">
      <c r="A8" s="116" t="s">
        <v>485</v>
      </c>
      <c r="B8" s="118">
        <v>2.5000000000000001E-2</v>
      </c>
      <c r="C8" s="115" t="s">
        <v>69</v>
      </c>
      <c r="D8" s="116" t="s">
        <v>486</v>
      </c>
    </row>
    <row r="9" spans="1:4" ht="15.5" customHeight="1">
      <c r="A9" s="116" t="s">
        <v>487</v>
      </c>
      <c r="B9" s="118">
        <v>0.15</v>
      </c>
      <c r="C9" s="115" t="s">
        <v>69</v>
      </c>
      <c r="D9" s="116" t="s">
        <v>488</v>
      </c>
    </row>
    <row r="10" spans="1:4" ht="15.5" customHeight="1">
      <c r="A10" s="116" t="s">
        <v>489</v>
      </c>
      <c r="B10" s="118">
        <v>0.56000000000000005</v>
      </c>
      <c r="C10" s="115" t="s">
        <v>490</v>
      </c>
      <c r="D10" s="116" t="s">
        <v>491</v>
      </c>
    </row>
    <row r="11" spans="1:4" ht="15.5" customHeight="1">
      <c r="A11" s="116" t="s">
        <v>492</v>
      </c>
      <c r="B11" s="118">
        <v>9</v>
      </c>
      <c r="C11" s="115" t="s">
        <v>69</v>
      </c>
      <c r="D11" s="116" t="s">
        <v>493</v>
      </c>
    </row>
    <row r="13" spans="1:4" ht="28" customHeight="1">
      <c r="A13" s="192" t="s">
        <v>494</v>
      </c>
    </row>
    <row r="14" spans="1:4">
      <c r="A14" s="117" t="s">
        <v>9</v>
      </c>
      <c r="B14" s="117" t="s">
        <v>476</v>
      </c>
      <c r="C14" s="117" t="s">
        <v>477</v>
      </c>
      <c r="D14" s="117" t="s">
        <v>478</v>
      </c>
    </row>
    <row r="15" spans="1:4" ht="28" customHeight="1">
      <c r="A15" s="116" t="s">
        <v>495</v>
      </c>
      <c r="B15" s="118">
        <v>0.1</v>
      </c>
      <c r="C15" s="115" t="s">
        <v>69</v>
      </c>
      <c r="D15" s="116" t="s">
        <v>496</v>
      </c>
    </row>
    <row r="16" spans="1:4">
      <c r="A16" s="116" t="s">
        <v>497</v>
      </c>
      <c r="B16" s="118">
        <v>1.2</v>
      </c>
      <c r="C16" s="115" t="s">
        <v>498</v>
      </c>
      <c r="D16" s="116" t="s">
        <v>499</v>
      </c>
    </row>
  </sheetData>
  <mergeCells count="1">
    <mergeCell ref="A1:D1"/>
  </mergeCells>
  <pageMargins left="0.7" right="0.7" top="0.75" bottom="0.75" header="0.3" footer="0.3"/>
  <pageSetup paperSize="9" scale="7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6"/>
  <sheetViews>
    <sheetView workbookViewId="0">
      <selection activeCell="E20" sqref="E20"/>
    </sheetView>
  </sheetViews>
  <sheetFormatPr baseColWidth="10" defaultColWidth="9.453125" defaultRowHeight="14"/>
  <cols>
    <col min="1" max="2" width="16.36328125" style="87" customWidth="1"/>
    <col min="3" max="3" width="9.453125" style="87" customWidth="1"/>
    <col min="4" max="4" width="19.6328125" style="87" customWidth="1"/>
    <col min="5" max="5" width="9.453125" style="87" customWidth="1"/>
    <col min="6" max="6" width="30.54296875" style="87" customWidth="1"/>
    <col min="7" max="8" width="9.453125" style="87" customWidth="1"/>
    <col min="9" max="16384" width="9.453125" style="87"/>
  </cols>
  <sheetData>
    <row r="1" spans="1:6" ht="18.649999999999999" customHeight="1">
      <c r="A1" s="344" t="s">
        <v>500</v>
      </c>
      <c r="B1" s="341"/>
      <c r="C1" s="341"/>
      <c r="D1" s="341"/>
      <c r="E1" s="341"/>
      <c r="F1" s="341"/>
    </row>
    <row r="3" spans="1:6">
      <c r="A3" s="88" t="s">
        <v>501</v>
      </c>
      <c r="B3" s="88" t="s">
        <v>502</v>
      </c>
      <c r="D3" s="88" t="s">
        <v>336</v>
      </c>
      <c r="F3" s="88" t="s">
        <v>503</v>
      </c>
    </row>
    <row r="4" spans="1:6">
      <c r="A4" s="90" t="s">
        <v>504</v>
      </c>
      <c r="B4" s="89">
        <v>0.222</v>
      </c>
      <c r="D4" s="92" t="s">
        <v>250</v>
      </c>
      <c r="F4" s="91" t="s">
        <v>505</v>
      </c>
    </row>
    <row r="5" spans="1:6">
      <c r="A5" s="90" t="s">
        <v>506</v>
      </c>
      <c r="B5" s="89">
        <v>0.39500000000000002</v>
      </c>
      <c r="D5" s="92" t="s">
        <v>372</v>
      </c>
      <c r="F5" s="91" t="s">
        <v>507</v>
      </c>
    </row>
    <row r="6" spans="1:6">
      <c r="A6" s="90" t="s">
        <v>370</v>
      </c>
      <c r="B6" s="89">
        <v>0.56000000000000005</v>
      </c>
    </row>
    <row r="7" spans="1:6">
      <c r="A7" s="90" t="s">
        <v>508</v>
      </c>
      <c r="B7" s="89">
        <v>0.88800000000000001</v>
      </c>
    </row>
    <row r="8" spans="1:6">
      <c r="A8" s="90" t="s">
        <v>509</v>
      </c>
      <c r="B8" s="89">
        <v>0.99399999999999999</v>
      </c>
    </row>
    <row r="9" spans="1:6">
      <c r="A9" s="90" t="s">
        <v>510</v>
      </c>
      <c r="B9" s="89">
        <v>1.552</v>
      </c>
    </row>
    <row r="10" spans="1:6">
      <c r="A10" s="90" t="s">
        <v>511</v>
      </c>
      <c r="B10" s="89">
        <v>2.2349999999999999</v>
      </c>
    </row>
    <row r="11" spans="1:6">
      <c r="A11" s="90" t="s">
        <v>512</v>
      </c>
      <c r="B11" s="89">
        <v>3.9729999999999999</v>
      </c>
    </row>
    <row r="13" spans="1:6">
      <c r="A13" s="343" t="s">
        <v>513</v>
      </c>
      <c r="B13" s="341"/>
      <c r="C13" s="341"/>
      <c r="D13" s="341"/>
      <c r="E13" s="341"/>
      <c r="F13" s="341"/>
    </row>
    <row r="14" spans="1:6">
      <c r="A14" s="342" t="s">
        <v>514</v>
      </c>
      <c r="B14" s="341"/>
      <c r="C14" s="341"/>
      <c r="D14" s="341"/>
      <c r="E14" s="341"/>
      <c r="F14" s="341"/>
    </row>
    <row r="15" spans="1:6">
      <c r="A15" s="342" t="s">
        <v>515</v>
      </c>
      <c r="B15" s="341"/>
      <c r="C15" s="341"/>
      <c r="D15" s="341"/>
      <c r="E15" s="341"/>
      <c r="F15" s="341"/>
    </row>
    <row r="16" spans="1:6">
      <c r="A16" s="342" t="s">
        <v>516</v>
      </c>
      <c r="B16" s="341"/>
      <c r="C16" s="341"/>
      <c r="D16" s="341"/>
      <c r="E16" s="341"/>
      <c r="F16" s="341"/>
    </row>
  </sheetData>
  <mergeCells count="5">
    <mergeCell ref="A16:F16"/>
    <mergeCell ref="A13:F13"/>
    <mergeCell ref="A14:F14"/>
    <mergeCell ref="A1:F1"/>
    <mergeCell ref="A15:F1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5"/>
  <sheetViews>
    <sheetView workbookViewId="0">
      <selection sqref="A1:F1"/>
    </sheetView>
  </sheetViews>
  <sheetFormatPr baseColWidth="10" defaultColWidth="8.7265625" defaultRowHeight="14.5"/>
  <cols>
    <col min="1" max="1" width="5" customWidth="1"/>
    <col min="2" max="2" width="62" customWidth="1"/>
    <col min="3" max="3" width="12" customWidth="1"/>
    <col min="4" max="4" width="8" customWidth="1"/>
    <col min="5" max="5" width="70" customWidth="1"/>
  </cols>
  <sheetData>
    <row r="1" spans="1:6" ht="27" customHeight="1">
      <c r="A1" s="349" t="s">
        <v>517</v>
      </c>
      <c r="B1" s="348"/>
      <c r="C1" s="348"/>
      <c r="D1" s="348"/>
      <c r="E1" s="348"/>
      <c r="F1" s="346"/>
    </row>
    <row r="2" spans="1:6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6"/>
    </row>
    <row r="3" spans="1:6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6"/>
    </row>
    <row r="4" spans="1:6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6"/>
    </row>
    <row r="5" spans="1:6" ht="25" customHeight="1">
      <c r="A5" s="345" t="s">
        <v>7</v>
      </c>
      <c r="B5" s="346"/>
      <c r="C5" s="350">
        <f>+RESUMEN!B7</f>
        <v>46266</v>
      </c>
      <c r="D5" s="348"/>
      <c r="E5" s="348"/>
      <c r="F5" s="346"/>
    </row>
    <row r="7" spans="1:6" ht="48" customHeight="1">
      <c r="A7" s="351" t="s">
        <v>518</v>
      </c>
      <c r="B7" s="348"/>
      <c r="C7" s="348"/>
      <c r="D7" s="348"/>
      <c r="E7" s="348"/>
      <c r="F7" s="346"/>
    </row>
    <row r="9" spans="1:6" ht="30" customHeight="1">
      <c r="A9" s="199" t="s">
        <v>333</v>
      </c>
      <c r="B9" s="199" t="s">
        <v>519</v>
      </c>
      <c r="C9" s="199" t="s">
        <v>294</v>
      </c>
      <c r="D9" s="199" t="s">
        <v>167</v>
      </c>
      <c r="E9" s="199" t="s">
        <v>520</v>
      </c>
    </row>
    <row r="10" spans="1:6" ht="15.5" customHeight="1">
      <c r="A10" s="200">
        <v>1</v>
      </c>
      <c r="B10" s="201" t="s">
        <v>521</v>
      </c>
      <c r="C10" s="202">
        <v>0.8</v>
      </c>
      <c r="D10" s="203" t="s">
        <v>69</v>
      </c>
      <c r="E10" s="204" t="s">
        <v>522</v>
      </c>
    </row>
    <row r="11" spans="1:6" ht="15.5" customHeight="1">
      <c r="A11" s="200">
        <v>2</v>
      </c>
      <c r="B11" s="201" t="s">
        <v>523</v>
      </c>
      <c r="C11" s="202">
        <v>0.15</v>
      </c>
      <c r="D11" s="203" t="s">
        <v>69</v>
      </c>
      <c r="E11" s="204" t="s">
        <v>524</v>
      </c>
    </row>
    <row r="12" spans="1:6" ht="15.5" customHeight="1">
      <c r="A12" s="200">
        <v>3</v>
      </c>
      <c r="B12" s="201" t="s">
        <v>525</v>
      </c>
      <c r="C12" s="202">
        <v>0.15</v>
      </c>
      <c r="D12" s="203" t="s">
        <v>69</v>
      </c>
      <c r="E12" s="204" t="s">
        <v>526</v>
      </c>
    </row>
    <row r="13" spans="1:6" ht="15.5" customHeight="1">
      <c r="A13" s="200">
        <v>4</v>
      </c>
      <c r="B13" s="201" t="s">
        <v>527</v>
      </c>
      <c r="C13" s="202">
        <v>0.1</v>
      </c>
      <c r="D13" s="203" t="s">
        <v>69</v>
      </c>
      <c r="E13" s="204" t="s">
        <v>528</v>
      </c>
    </row>
    <row r="14" spans="1:6" ht="15.5" customHeight="1">
      <c r="A14" s="200">
        <v>5</v>
      </c>
      <c r="B14" s="201" t="s">
        <v>529</v>
      </c>
      <c r="C14" s="202">
        <v>0.25</v>
      </c>
      <c r="D14" s="203" t="s">
        <v>69</v>
      </c>
      <c r="E14" s="204" t="s">
        <v>530</v>
      </c>
    </row>
    <row r="15" spans="1:6" ht="15.5" customHeight="1">
      <c r="A15" s="200">
        <v>6</v>
      </c>
      <c r="B15" s="201" t="s">
        <v>531</v>
      </c>
      <c r="C15" s="202">
        <v>0.05</v>
      </c>
      <c r="D15" s="203" t="s">
        <v>69</v>
      </c>
      <c r="E15" s="204" t="s">
        <v>532</v>
      </c>
    </row>
    <row r="16" spans="1:6" ht="15.5" customHeight="1">
      <c r="A16" s="200">
        <v>7</v>
      </c>
      <c r="B16" s="201" t="s">
        <v>533</v>
      </c>
      <c r="C16" s="202">
        <v>260.60000000000002</v>
      </c>
      <c r="D16" s="203" t="s">
        <v>534</v>
      </c>
      <c r="E16" s="204" t="s">
        <v>535</v>
      </c>
    </row>
    <row r="17" spans="1:5" ht="15.5" customHeight="1">
      <c r="A17" s="200">
        <v>8</v>
      </c>
      <c r="B17" s="201" t="s">
        <v>536</v>
      </c>
      <c r="C17" s="202">
        <v>0.25</v>
      </c>
      <c r="D17" s="203" t="s">
        <v>69</v>
      </c>
      <c r="E17" s="204" t="s">
        <v>537</v>
      </c>
    </row>
    <row r="18" spans="1:5" ht="15.5" customHeight="1">
      <c r="A18" s="200">
        <v>9</v>
      </c>
      <c r="B18" s="201" t="s">
        <v>538</v>
      </c>
      <c r="C18" s="202">
        <v>1</v>
      </c>
      <c r="D18" s="203" t="s">
        <v>69</v>
      </c>
      <c r="E18" s="204" t="s">
        <v>539</v>
      </c>
    </row>
    <row r="19" spans="1:5" ht="15.5" customHeight="1">
      <c r="A19" s="200">
        <v>10</v>
      </c>
      <c r="B19" s="201" t="s">
        <v>540</v>
      </c>
      <c r="C19" s="202">
        <v>0.04</v>
      </c>
      <c r="D19" s="203" t="s">
        <v>69</v>
      </c>
      <c r="E19" s="204" t="s">
        <v>541</v>
      </c>
    </row>
    <row r="20" spans="1:5" ht="15.5" customHeight="1">
      <c r="A20" s="200">
        <v>11</v>
      </c>
      <c r="B20" s="201" t="s">
        <v>542</v>
      </c>
      <c r="C20" s="202">
        <v>0.56000000000000005</v>
      </c>
      <c r="D20" s="203" t="s">
        <v>490</v>
      </c>
      <c r="E20" s="204" t="s">
        <v>543</v>
      </c>
    </row>
    <row r="21" spans="1:5" ht="15.5" customHeight="1">
      <c r="A21" s="200">
        <v>12</v>
      </c>
      <c r="B21" s="201" t="s">
        <v>544</v>
      </c>
      <c r="C21" s="202">
        <v>0.99399999999999999</v>
      </c>
      <c r="D21" s="203" t="s">
        <v>490</v>
      </c>
      <c r="E21" s="204" t="s">
        <v>545</v>
      </c>
    </row>
    <row r="22" spans="1:5" ht="15.5" customHeight="1">
      <c r="A22" s="200">
        <v>13</v>
      </c>
      <c r="B22" s="201" t="s">
        <v>546</v>
      </c>
      <c r="C22" s="202">
        <v>0.4</v>
      </c>
      <c r="D22" s="203" t="s">
        <v>69</v>
      </c>
      <c r="E22" s="204" t="s">
        <v>547</v>
      </c>
    </row>
    <row r="23" spans="1:5" ht="15.5" customHeight="1">
      <c r="A23" s="200">
        <v>14</v>
      </c>
      <c r="B23" s="201" t="s">
        <v>548</v>
      </c>
      <c r="C23" s="202">
        <v>9</v>
      </c>
      <c r="D23" s="203" t="s">
        <v>69</v>
      </c>
      <c r="E23" s="204" t="s">
        <v>549</v>
      </c>
    </row>
    <row r="24" spans="1:5" ht="15.5" customHeight="1">
      <c r="A24" s="200">
        <v>15</v>
      </c>
      <c r="B24" s="201" t="s">
        <v>550</v>
      </c>
      <c r="C24" s="202">
        <v>0.3</v>
      </c>
      <c r="D24" s="203" t="s">
        <v>69</v>
      </c>
      <c r="E24" s="204" t="s">
        <v>551</v>
      </c>
    </row>
    <row r="25" spans="1:5" ht="15.5" customHeight="1">
      <c r="A25" s="200">
        <v>16</v>
      </c>
      <c r="B25" s="201" t="s">
        <v>497</v>
      </c>
      <c r="C25" s="205">
        <f>PARAMETROS!$B$16</f>
        <v>1.2</v>
      </c>
      <c r="D25" s="203" t="s">
        <v>498</v>
      </c>
      <c r="E25" s="204" t="s">
        <v>552</v>
      </c>
    </row>
    <row r="26" spans="1:5" ht="15.5" customHeight="1">
      <c r="A26" s="200">
        <v>17</v>
      </c>
      <c r="B26" s="201" t="s">
        <v>553</v>
      </c>
      <c r="C26" s="202">
        <v>0.2</v>
      </c>
      <c r="D26" s="203" t="s">
        <v>69</v>
      </c>
      <c r="E26" s="204" t="s">
        <v>554</v>
      </c>
    </row>
    <row r="27" spans="1:5" ht="15.5" customHeight="1">
      <c r="A27" s="200">
        <v>18</v>
      </c>
      <c r="B27" s="201" t="s">
        <v>555</v>
      </c>
      <c r="C27" s="202">
        <v>0.15</v>
      </c>
      <c r="D27" s="203" t="s">
        <v>69</v>
      </c>
      <c r="E27" s="204" t="s">
        <v>556</v>
      </c>
    </row>
    <row r="28" spans="1:5" ht="15.5" customHeight="1">
      <c r="A28" s="200">
        <v>19</v>
      </c>
      <c r="B28" s="201" t="s">
        <v>557</v>
      </c>
      <c r="C28" s="202">
        <v>0.25</v>
      </c>
      <c r="D28" s="203" t="s">
        <v>69</v>
      </c>
      <c r="E28" s="204" t="s">
        <v>558</v>
      </c>
    </row>
    <row r="29" spans="1:5" ht="15.5" customHeight="1">
      <c r="A29" s="200">
        <v>20</v>
      </c>
      <c r="B29" s="201" t="s">
        <v>559</v>
      </c>
      <c r="C29" s="202">
        <v>0.2</v>
      </c>
      <c r="D29" s="203" t="s">
        <v>69</v>
      </c>
      <c r="E29" s="204" t="s">
        <v>560</v>
      </c>
    </row>
    <row r="30" spans="1:5" ht="15.5" customHeight="1">
      <c r="A30" s="200">
        <v>21</v>
      </c>
      <c r="B30" s="201" t="s">
        <v>561</v>
      </c>
      <c r="C30" s="202">
        <v>0.2</v>
      </c>
      <c r="D30" s="203" t="s">
        <v>69</v>
      </c>
      <c r="E30" s="204" t="s">
        <v>562</v>
      </c>
    </row>
    <row r="31" spans="1:5" ht="15.5" customHeight="1">
      <c r="A31" s="200">
        <v>22</v>
      </c>
      <c r="B31" s="201" t="s">
        <v>563</v>
      </c>
      <c r="C31" s="202">
        <v>1.1000000000000001</v>
      </c>
      <c r="D31" s="203" t="s">
        <v>498</v>
      </c>
      <c r="E31" s="204" t="s">
        <v>564</v>
      </c>
    </row>
    <row r="32" spans="1:5" ht="28" customHeight="1">
      <c r="A32" s="200">
        <v>23</v>
      </c>
      <c r="B32" s="201" t="s">
        <v>565</v>
      </c>
      <c r="C32" s="202">
        <v>10</v>
      </c>
      <c r="D32" s="203" t="s">
        <v>60</v>
      </c>
      <c r="E32" s="204" t="s">
        <v>566</v>
      </c>
    </row>
    <row r="33" spans="1:5" ht="15.5" customHeight="1">
      <c r="A33" s="200">
        <v>24</v>
      </c>
      <c r="B33" s="201" t="s">
        <v>567</v>
      </c>
      <c r="C33" s="202">
        <v>0.68</v>
      </c>
      <c r="D33" s="203" t="s">
        <v>69</v>
      </c>
      <c r="E33" s="204" t="s">
        <v>568</v>
      </c>
    </row>
    <row r="34" spans="1:5" ht="15.5" customHeight="1">
      <c r="A34" s="200">
        <v>25</v>
      </c>
      <c r="B34" s="201" t="s">
        <v>569</v>
      </c>
      <c r="C34" s="202">
        <v>0.08</v>
      </c>
      <c r="D34" s="203" t="s">
        <v>69</v>
      </c>
      <c r="E34" s="204" t="s">
        <v>568</v>
      </c>
    </row>
    <row r="35" spans="1:5" ht="15.5" customHeight="1">
      <c r="A35" s="200">
        <v>26</v>
      </c>
      <c r="B35" s="201" t="s">
        <v>570</v>
      </c>
      <c r="C35" s="202">
        <v>0.7</v>
      </c>
      <c r="D35" s="203" t="s">
        <v>69</v>
      </c>
      <c r="E35" s="204" t="s">
        <v>568</v>
      </c>
    </row>
    <row r="36" spans="1:5" ht="15.5" customHeight="1">
      <c r="A36" s="200">
        <v>27</v>
      </c>
      <c r="B36" s="201" t="s">
        <v>571</v>
      </c>
      <c r="C36" s="202">
        <v>2.8</v>
      </c>
      <c r="D36" s="203" t="s">
        <v>69</v>
      </c>
      <c r="E36" s="204" t="s">
        <v>568</v>
      </c>
    </row>
    <row r="37" spans="1:5" ht="15.5" customHeight="1">
      <c r="A37" s="200">
        <v>28</v>
      </c>
      <c r="B37" s="201" t="s">
        <v>572</v>
      </c>
      <c r="C37" s="202">
        <v>2.72</v>
      </c>
      <c r="D37" s="203" t="s">
        <v>69</v>
      </c>
      <c r="E37" s="204" t="s">
        <v>568</v>
      </c>
    </row>
    <row r="38" spans="1:5" ht="15.5" customHeight="1">
      <c r="A38" s="200">
        <v>29</v>
      </c>
      <c r="B38" s="201" t="s">
        <v>573</v>
      </c>
      <c r="C38" s="202">
        <v>3.63</v>
      </c>
      <c r="D38" s="203" t="s">
        <v>490</v>
      </c>
      <c r="E38" s="204" t="s">
        <v>574</v>
      </c>
    </row>
    <row r="39" spans="1:5" ht="15.5" customHeight="1">
      <c r="A39" s="200">
        <v>30</v>
      </c>
      <c r="B39" s="201" t="s">
        <v>575</v>
      </c>
      <c r="C39" s="202">
        <v>1.83</v>
      </c>
      <c r="D39" s="203" t="s">
        <v>490</v>
      </c>
      <c r="E39" s="204" t="s">
        <v>574</v>
      </c>
    </row>
    <row r="40" spans="1:5" ht="15.5" customHeight="1">
      <c r="A40" s="200">
        <v>31</v>
      </c>
      <c r="B40" s="201" t="s">
        <v>576</v>
      </c>
      <c r="C40" s="202">
        <v>0.20300000000000001</v>
      </c>
      <c r="D40" s="203" t="s">
        <v>577</v>
      </c>
      <c r="E40" s="204" t="s">
        <v>578</v>
      </c>
    </row>
    <row r="41" spans="1:5" ht="15.5" customHeight="1">
      <c r="A41" s="200">
        <v>32</v>
      </c>
      <c r="B41" s="201" t="s">
        <v>579</v>
      </c>
      <c r="C41" s="202">
        <v>0.152</v>
      </c>
      <c r="D41" s="203" t="s">
        <v>577</v>
      </c>
      <c r="E41" s="204" t="s">
        <v>580</v>
      </c>
    </row>
    <row r="42" spans="1:5" ht="15.5" customHeight="1">
      <c r="A42" s="200">
        <v>33</v>
      </c>
      <c r="B42" s="201" t="s">
        <v>581</v>
      </c>
      <c r="C42" s="202">
        <v>3</v>
      </c>
      <c r="D42" s="203" t="s">
        <v>69</v>
      </c>
      <c r="E42" s="204" t="s">
        <v>582</v>
      </c>
    </row>
    <row r="43" spans="1:5" ht="15.5" customHeight="1">
      <c r="A43" s="200">
        <v>34</v>
      </c>
      <c r="B43" s="201" t="s">
        <v>583</v>
      </c>
      <c r="C43" s="202">
        <v>1.4999999999999999E-2</v>
      </c>
      <c r="D43" s="203" t="s">
        <v>186</v>
      </c>
      <c r="E43" s="204" t="s">
        <v>568</v>
      </c>
    </row>
    <row r="44" spans="1:5" ht="15.5" customHeight="1">
      <c r="A44" s="200">
        <v>35</v>
      </c>
      <c r="B44" s="201" t="s">
        <v>584</v>
      </c>
      <c r="C44" s="202">
        <v>1.5</v>
      </c>
      <c r="D44" s="203" t="s">
        <v>69</v>
      </c>
      <c r="E44" s="204" t="s">
        <v>562</v>
      </c>
    </row>
    <row r="45" spans="1:5" ht="15.5" customHeight="1">
      <c r="A45" s="200">
        <v>36</v>
      </c>
      <c r="B45" s="201" t="s">
        <v>585</v>
      </c>
      <c r="C45" s="202">
        <v>1</v>
      </c>
      <c r="D45" s="203" t="s">
        <v>69</v>
      </c>
      <c r="E45" s="204" t="s">
        <v>562</v>
      </c>
    </row>
    <row r="46" spans="1:5" ht="15.5" customHeight="1">
      <c r="A46" s="200">
        <v>37</v>
      </c>
      <c r="B46" s="201" t="s">
        <v>586</v>
      </c>
      <c r="C46" s="202">
        <v>0.3</v>
      </c>
      <c r="D46" s="203" t="s">
        <v>69</v>
      </c>
      <c r="E46" s="204" t="s">
        <v>562</v>
      </c>
    </row>
    <row r="47" spans="1:5" ht="15.5" customHeight="1">
      <c r="A47" s="200">
        <v>38</v>
      </c>
      <c r="B47" s="201" t="s">
        <v>587</v>
      </c>
      <c r="C47" s="202">
        <v>259.10000000000002</v>
      </c>
      <c r="D47" s="203" t="s">
        <v>534</v>
      </c>
      <c r="E47" s="204" t="s">
        <v>588</v>
      </c>
    </row>
    <row r="48" spans="1:5" ht="31" customHeight="1">
      <c r="A48" s="200">
        <v>39</v>
      </c>
      <c r="B48" s="201" t="s">
        <v>589</v>
      </c>
      <c r="C48" s="202">
        <v>0.6</v>
      </c>
      <c r="D48" s="203" t="s">
        <v>69</v>
      </c>
      <c r="E48" s="204" t="s">
        <v>590</v>
      </c>
    </row>
    <row r="49" spans="1:5" ht="31" customHeight="1">
      <c r="A49" s="200">
        <v>40</v>
      </c>
      <c r="B49" s="201" t="s">
        <v>591</v>
      </c>
      <c r="C49" s="202">
        <v>259.88400000000001</v>
      </c>
      <c r="D49" s="203" t="s">
        <v>534</v>
      </c>
      <c r="E49" s="204" t="s">
        <v>592</v>
      </c>
    </row>
    <row r="50" spans="1:5" ht="28" customHeight="1">
      <c r="A50" s="200">
        <v>41</v>
      </c>
      <c r="B50" s="201" t="s">
        <v>593</v>
      </c>
      <c r="C50" s="202">
        <v>261.14999999999998</v>
      </c>
      <c r="D50" s="203" t="s">
        <v>534</v>
      </c>
      <c r="E50" s="204" t="s">
        <v>594</v>
      </c>
    </row>
    <row r="51" spans="1:5" ht="31" customHeight="1">
      <c r="A51" s="200">
        <v>42</v>
      </c>
      <c r="B51" s="201" t="s">
        <v>595</v>
      </c>
      <c r="C51" s="202">
        <v>0.4</v>
      </c>
      <c r="D51" s="203" t="s">
        <v>69</v>
      </c>
      <c r="E51" s="204" t="s">
        <v>596</v>
      </c>
    </row>
    <row r="52" spans="1:5" ht="15.5" customHeight="1">
      <c r="A52" s="200">
        <v>43</v>
      </c>
      <c r="B52" s="201" t="s">
        <v>597</v>
      </c>
      <c r="C52" s="202">
        <v>260.39400000000001</v>
      </c>
      <c r="D52" s="203" t="s">
        <v>534</v>
      </c>
      <c r="E52" s="204" t="s">
        <v>596</v>
      </c>
    </row>
    <row r="53" spans="1:5" ht="15.5" customHeight="1">
      <c r="A53" s="200">
        <v>44</v>
      </c>
      <c r="B53" s="201" t="s">
        <v>598</v>
      </c>
      <c r="C53" s="202">
        <v>3.5</v>
      </c>
      <c r="D53" s="203" t="s">
        <v>69</v>
      </c>
      <c r="E53" s="204" t="s">
        <v>562</v>
      </c>
    </row>
    <row r="54" spans="1:5" ht="15.5" customHeight="1">
      <c r="A54" s="200">
        <v>45</v>
      </c>
      <c r="B54" s="201" t="s">
        <v>599</v>
      </c>
      <c r="C54" s="202">
        <v>1.5</v>
      </c>
      <c r="D54" s="203" t="s">
        <v>69</v>
      </c>
      <c r="E54" s="204" t="s">
        <v>562</v>
      </c>
    </row>
    <row r="55" spans="1:5" ht="15.5" customHeight="1">
      <c r="A55" s="200">
        <v>46</v>
      </c>
      <c r="B55" s="201" t="s">
        <v>600</v>
      </c>
      <c r="C55" s="202">
        <v>0.4</v>
      </c>
      <c r="D55" s="203" t="s">
        <v>69</v>
      </c>
      <c r="E55" s="204" t="s">
        <v>562</v>
      </c>
    </row>
    <row r="56" spans="1:5" ht="15.5" customHeight="1">
      <c r="A56" s="200">
        <v>47</v>
      </c>
      <c r="B56" s="201" t="s">
        <v>601</v>
      </c>
      <c r="C56" s="202">
        <v>258.72000000000003</v>
      </c>
      <c r="D56" s="203" t="s">
        <v>534</v>
      </c>
      <c r="E56" s="204" t="s">
        <v>602</v>
      </c>
    </row>
    <row r="57" spans="1:5" ht="15.5" customHeight="1">
      <c r="A57" s="200">
        <v>48</v>
      </c>
      <c r="B57" s="201" t="s">
        <v>603</v>
      </c>
      <c r="C57" s="202">
        <v>259.06200000000001</v>
      </c>
      <c r="D57" s="203" t="s">
        <v>534</v>
      </c>
      <c r="E57" s="204" t="s">
        <v>602</v>
      </c>
    </row>
    <row r="58" spans="1:5" ht="15.5" customHeight="1">
      <c r="A58" s="200">
        <v>49</v>
      </c>
      <c r="B58" s="201" t="s">
        <v>604</v>
      </c>
      <c r="C58" s="202">
        <v>258.89</v>
      </c>
      <c r="D58" s="203" t="s">
        <v>534</v>
      </c>
      <c r="E58" s="204" t="s">
        <v>588</v>
      </c>
    </row>
    <row r="59" spans="1:5" ht="15.5" customHeight="1">
      <c r="A59" s="200">
        <v>50</v>
      </c>
      <c r="B59" s="201" t="s">
        <v>605</v>
      </c>
      <c r="C59" s="202">
        <v>1.5</v>
      </c>
      <c r="D59" s="203" t="s">
        <v>69</v>
      </c>
      <c r="E59" s="204" t="s">
        <v>606</v>
      </c>
    </row>
    <row r="60" spans="1:5" ht="15.5" customHeight="1">
      <c r="A60" s="200">
        <v>51</v>
      </c>
      <c r="B60" s="201" t="s">
        <v>607</v>
      </c>
      <c r="C60" s="202">
        <v>0.25</v>
      </c>
      <c r="D60" s="203" t="s">
        <v>69</v>
      </c>
      <c r="E60" s="204" t="s">
        <v>562</v>
      </c>
    </row>
    <row r="61" spans="1:5" ht="15.5" customHeight="1">
      <c r="A61" s="200">
        <v>52</v>
      </c>
      <c r="B61" s="201" t="s">
        <v>608</v>
      </c>
      <c r="C61" s="202">
        <v>0.4</v>
      </c>
      <c r="D61" s="203" t="s">
        <v>69</v>
      </c>
      <c r="E61" s="204" t="s">
        <v>562</v>
      </c>
    </row>
    <row r="62" spans="1:5" ht="15.5" customHeight="1">
      <c r="A62" s="200">
        <v>53</v>
      </c>
      <c r="B62" s="201" t="s">
        <v>609</v>
      </c>
      <c r="C62" s="202">
        <v>4</v>
      </c>
      <c r="D62" s="203" t="s">
        <v>69</v>
      </c>
      <c r="E62" s="204" t="s">
        <v>610</v>
      </c>
    </row>
    <row r="63" spans="1:5" ht="15.5" customHeight="1">
      <c r="A63" s="200">
        <v>54</v>
      </c>
      <c r="B63" s="201" t="s">
        <v>611</v>
      </c>
      <c r="C63" s="202">
        <v>1.61</v>
      </c>
      <c r="D63" s="203" t="s">
        <v>69</v>
      </c>
      <c r="E63" s="204" t="s">
        <v>612</v>
      </c>
    </row>
    <row r="64" spans="1:5" ht="15.5" customHeight="1">
      <c r="A64" s="200">
        <v>55</v>
      </c>
      <c r="B64" s="201" t="s">
        <v>613</v>
      </c>
      <c r="C64" s="202">
        <v>69.887</v>
      </c>
      <c r="D64" s="203" t="s">
        <v>69</v>
      </c>
      <c r="E64" s="204" t="s">
        <v>614</v>
      </c>
    </row>
    <row r="65" spans="1:5" ht="15.5" customHeight="1">
      <c r="A65" s="200">
        <v>56</v>
      </c>
      <c r="B65" s="201" t="s">
        <v>615</v>
      </c>
      <c r="C65" s="202">
        <v>58.805</v>
      </c>
      <c r="D65" s="203" t="s">
        <v>69</v>
      </c>
      <c r="E65" s="204" t="s">
        <v>614</v>
      </c>
    </row>
  </sheetData>
  <mergeCells count="10">
    <mergeCell ref="A5:B5"/>
    <mergeCell ref="C2:F2"/>
    <mergeCell ref="C5:F5"/>
    <mergeCell ref="A3:B3"/>
    <mergeCell ref="A7:F7"/>
    <mergeCell ref="A4:B4"/>
    <mergeCell ref="A2:B2"/>
    <mergeCell ref="C3:F3"/>
    <mergeCell ref="C4:F4"/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32"/>
  <sheetViews>
    <sheetView workbookViewId="0">
      <pane xSplit="2" ySplit="9" topLeftCell="C10" activePane="bottomRight" state="frozen"/>
      <selection pane="topRight"/>
      <selection pane="bottomLeft"/>
      <selection pane="bottomRight" sqref="A1:R1"/>
    </sheetView>
  </sheetViews>
  <sheetFormatPr baseColWidth="10" defaultColWidth="8.7265625" defaultRowHeight="14.5"/>
  <cols>
    <col min="1" max="1" width="5" customWidth="1"/>
    <col min="2" max="2" width="24" customWidth="1"/>
    <col min="3" max="7" width="11" customWidth="1"/>
    <col min="8" max="8" width="10" customWidth="1"/>
    <col min="9" max="10" width="11" customWidth="1"/>
    <col min="11" max="11" width="13" customWidth="1"/>
    <col min="12" max="12" width="11" customWidth="1"/>
    <col min="13" max="17" width="12" customWidth="1"/>
    <col min="18" max="18" width="46" customWidth="1"/>
  </cols>
  <sheetData>
    <row r="1" spans="1:18" ht="27" customHeight="1">
      <c r="A1" s="349" t="s">
        <v>616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6"/>
    </row>
    <row r="2" spans="1:18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6"/>
    </row>
    <row r="3" spans="1:18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6"/>
    </row>
    <row r="4" spans="1:18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8"/>
      <c r="O4" s="348"/>
      <c r="P4" s="348"/>
      <c r="Q4" s="348"/>
      <c r="R4" s="346"/>
    </row>
    <row r="5" spans="1:18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6"/>
    </row>
    <row r="7" spans="1:18" ht="48" customHeight="1">
      <c r="A7" s="351" t="s">
        <v>617</v>
      </c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6"/>
    </row>
    <row r="9" spans="1:18" ht="48" customHeight="1">
      <c r="A9" s="199" t="s">
        <v>333</v>
      </c>
      <c r="B9" s="199" t="s">
        <v>335</v>
      </c>
      <c r="C9" s="199" t="s">
        <v>618</v>
      </c>
      <c r="D9" s="199" t="s">
        <v>619</v>
      </c>
      <c r="E9" s="199" t="s">
        <v>620</v>
      </c>
      <c r="F9" s="199" t="s">
        <v>289</v>
      </c>
      <c r="G9" s="199" t="s">
        <v>621</v>
      </c>
      <c r="H9" s="199" t="s">
        <v>622</v>
      </c>
      <c r="I9" s="199" t="s">
        <v>623</v>
      </c>
      <c r="J9" s="199" t="s">
        <v>624</v>
      </c>
      <c r="K9" s="199" t="s">
        <v>625</v>
      </c>
      <c r="L9" s="199" t="s">
        <v>626</v>
      </c>
      <c r="M9" s="199" t="s">
        <v>627</v>
      </c>
      <c r="N9" s="199" t="s">
        <v>628</v>
      </c>
      <c r="O9" s="199" t="s">
        <v>629</v>
      </c>
      <c r="P9" s="199" t="s">
        <v>630</v>
      </c>
      <c r="Q9" s="199" t="s">
        <v>631</v>
      </c>
      <c r="R9" s="199" t="s">
        <v>632</v>
      </c>
    </row>
    <row r="10" spans="1:18" ht="30" customHeight="1">
      <c r="A10" s="200">
        <v>1</v>
      </c>
      <c r="B10" s="200" t="s">
        <v>633</v>
      </c>
      <c r="C10" s="206" t="s">
        <v>252</v>
      </c>
      <c r="D10" s="200" t="s">
        <v>634</v>
      </c>
      <c r="E10" s="200" t="s">
        <v>635</v>
      </c>
      <c r="F10" s="207">
        <v>26.32</v>
      </c>
      <c r="G10" s="202">
        <v>1.4390000000000001</v>
      </c>
      <c r="H10" s="207">
        <v>0.1</v>
      </c>
      <c r="I10" s="208">
        <f>'COLECTOR PARAMETROS'!$C$10+2*'COLECTOR PARAMETROS'!$C$11</f>
        <v>1.1000000000000001</v>
      </c>
      <c r="J10" s="208">
        <f>I10+2*'COLECTOR PARAMETROS'!$C$17</f>
        <v>1.6</v>
      </c>
      <c r="K10" s="202">
        <v>1.395</v>
      </c>
      <c r="L10" s="202">
        <v>0.34499999999999997</v>
      </c>
      <c r="M10" s="208">
        <f t="shared" ref="M10:M16" si="0">J10*F10</f>
        <v>42.112000000000002</v>
      </c>
      <c r="N10" s="208">
        <f t="shared" ref="N10:N16" si="1">J10*K10*F10</f>
        <v>58.746240000000007</v>
      </c>
      <c r="O10" s="208">
        <f t="shared" ref="O10:O16" si="2">(I10+0.1)*F10</f>
        <v>31.584000000000007</v>
      </c>
      <c r="P10" s="208">
        <f>2*'COLECTOR PARAMETROS'!$C$17*K10*F10</f>
        <v>18.3582</v>
      </c>
      <c r="Q10" s="208">
        <f>'COLECTOR PARAMETROS'!$C$18*L10*F10</f>
        <v>9.0803999999999991</v>
      </c>
      <c r="R10" s="204" t="s">
        <v>636</v>
      </c>
    </row>
    <row r="11" spans="1:18" ht="30" customHeight="1">
      <c r="A11" s="200">
        <v>2</v>
      </c>
      <c r="B11" s="200" t="s">
        <v>637</v>
      </c>
      <c r="C11" s="206" t="s">
        <v>638</v>
      </c>
      <c r="D11" s="200" t="s">
        <v>635</v>
      </c>
      <c r="E11" s="200" t="s">
        <v>639</v>
      </c>
      <c r="F11" s="207">
        <v>5.01</v>
      </c>
      <c r="G11" s="202">
        <v>1.3360000000000001</v>
      </c>
      <c r="H11" s="207">
        <v>0.25</v>
      </c>
      <c r="I11" s="208">
        <f>'COLECTOR PARAMETROS'!$C$10+2*'COLECTOR PARAMETROS'!$C$11</f>
        <v>1.1000000000000001</v>
      </c>
      <c r="J11" s="208">
        <f>I11+2*'COLECTOR PARAMETROS'!$C$17</f>
        <v>1.6</v>
      </c>
      <c r="K11" s="202">
        <v>1.274</v>
      </c>
      <c r="L11" s="202">
        <v>0.51300000000000001</v>
      </c>
      <c r="M11" s="208">
        <f t="shared" si="0"/>
        <v>8.016</v>
      </c>
      <c r="N11" s="208">
        <f t="shared" si="1"/>
        <v>10.212384</v>
      </c>
      <c r="O11" s="208">
        <f t="shared" si="2"/>
        <v>6.0120000000000005</v>
      </c>
      <c r="P11" s="208">
        <f>2*'COLECTOR PARAMETROS'!$C$17*K11*F11</f>
        <v>3.19137</v>
      </c>
      <c r="Q11" s="208">
        <f>'COLECTOR PARAMETROS'!$C$18*L11*F11</f>
        <v>2.5701299999999998</v>
      </c>
      <c r="R11" s="204" t="s">
        <v>636</v>
      </c>
    </row>
    <row r="12" spans="1:18" ht="30" customHeight="1">
      <c r="A12" s="200">
        <v>3</v>
      </c>
      <c r="B12" s="200" t="s">
        <v>633</v>
      </c>
      <c r="C12" s="206" t="s">
        <v>252</v>
      </c>
      <c r="D12" s="200" t="s">
        <v>639</v>
      </c>
      <c r="E12" s="200" t="s">
        <v>640</v>
      </c>
      <c r="F12" s="207">
        <v>7.71</v>
      </c>
      <c r="G12" s="202">
        <v>1.506</v>
      </c>
      <c r="H12" s="207">
        <v>0.1</v>
      </c>
      <c r="I12" s="208">
        <f>'COLECTOR PARAMETROS'!$C$10+2*'COLECTOR PARAMETROS'!$C$11</f>
        <v>1.1000000000000001</v>
      </c>
      <c r="J12" s="208">
        <f>I12+2*'COLECTOR PARAMETROS'!$C$17</f>
        <v>1.6</v>
      </c>
      <c r="K12" s="202">
        <v>1.3680000000000001</v>
      </c>
      <c r="L12" s="202">
        <v>0.437</v>
      </c>
      <c r="M12" s="208">
        <f t="shared" si="0"/>
        <v>12.336</v>
      </c>
      <c r="N12" s="208">
        <f t="shared" si="1"/>
        <v>16.875648000000002</v>
      </c>
      <c r="O12" s="208">
        <f t="shared" si="2"/>
        <v>9.2520000000000007</v>
      </c>
      <c r="P12" s="208">
        <f>2*'COLECTOR PARAMETROS'!$C$17*K12*F12</f>
        <v>5.2736400000000003</v>
      </c>
      <c r="Q12" s="208">
        <f>'COLECTOR PARAMETROS'!$C$18*L12*F12</f>
        <v>3.3692699999999998</v>
      </c>
      <c r="R12" s="204" t="s">
        <v>636</v>
      </c>
    </row>
    <row r="13" spans="1:18" ht="30" customHeight="1">
      <c r="A13" s="200">
        <v>4</v>
      </c>
      <c r="B13" s="200" t="s">
        <v>641</v>
      </c>
      <c r="C13" s="206" t="s">
        <v>642</v>
      </c>
      <c r="D13" s="200" t="s">
        <v>640</v>
      </c>
      <c r="E13" s="200" t="s">
        <v>643</v>
      </c>
      <c r="F13" s="207">
        <v>2</v>
      </c>
      <c r="G13" s="202">
        <v>1.52</v>
      </c>
      <c r="H13" s="207">
        <v>0.1</v>
      </c>
      <c r="I13" s="208">
        <f>'COLECTOR PARAMETROS'!$C$10+2*'COLECTOR PARAMETROS'!$C$11</f>
        <v>1.1000000000000001</v>
      </c>
      <c r="J13" s="208">
        <f>I13+2*'COLECTOR PARAMETROS'!$C$17</f>
        <v>1.6</v>
      </c>
      <c r="K13" s="202">
        <v>1.605</v>
      </c>
      <c r="L13" s="202">
        <v>0.215</v>
      </c>
      <c r="M13" s="208">
        <f t="shared" si="0"/>
        <v>3.2</v>
      </c>
      <c r="N13" s="208">
        <f t="shared" si="1"/>
        <v>5.1360000000000001</v>
      </c>
      <c r="O13" s="208">
        <f t="shared" si="2"/>
        <v>2.4000000000000004</v>
      </c>
      <c r="P13" s="208">
        <f>2*'COLECTOR PARAMETROS'!$C$17*K13*F13</f>
        <v>1.605</v>
      </c>
      <c r="Q13" s="208">
        <f>'COLECTOR PARAMETROS'!$C$18*L13*F13</f>
        <v>0.43</v>
      </c>
      <c r="R13" s="204" t="s">
        <v>636</v>
      </c>
    </row>
    <row r="14" spans="1:18" ht="30" customHeight="1">
      <c r="A14" s="200">
        <v>5</v>
      </c>
      <c r="B14" s="200" t="s">
        <v>633</v>
      </c>
      <c r="C14" s="206" t="s">
        <v>252</v>
      </c>
      <c r="D14" s="200" t="s">
        <v>643</v>
      </c>
      <c r="E14" s="200" t="s">
        <v>644</v>
      </c>
      <c r="F14" s="207">
        <v>17.77</v>
      </c>
      <c r="G14" s="202">
        <v>1.55</v>
      </c>
      <c r="H14" s="207">
        <v>0.1</v>
      </c>
      <c r="I14" s="208">
        <f>'COLECTOR PARAMETROS'!$C$10+2*'COLECTOR PARAMETROS'!$C$11</f>
        <v>1.1000000000000001</v>
      </c>
      <c r="J14" s="208">
        <f>I14+2*'COLECTOR PARAMETROS'!$C$17</f>
        <v>1.6</v>
      </c>
      <c r="K14" s="202">
        <v>1.155</v>
      </c>
      <c r="L14" s="202">
        <v>0.69499999999999995</v>
      </c>
      <c r="M14" s="208">
        <f t="shared" si="0"/>
        <v>28.432000000000002</v>
      </c>
      <c r="N14" s="208">
        <f t="shared" si="1"/>
        <v>32.83896</v>
      </c>
      <c r="O14" s="208">
        <f t="shared" si="2"/>
        <v>21.324000000000002</v>
      </c>
      <c r="P14" s="208">
        <f>2*'COLECTOR PARAMETROS'!$C$17*K14*F14</f>
        <v>10.262174999999999</v>
      </c>
      <c r="Q14" s="208">
        <f>'COLECTOR PARAMETROS'!$C$18*L14*F14</f>
        <v>12.350149999999999</v>
      </c>
      <c r="R14" s="204" t="s">
        <v>636</v>
      </c>
    </row>
    <row r="15" spans="1:18" ht="30" customHeight="1">
      <c r="A15" s="200">
        <v>6</v>
      </c>
      <c r="B15" s="200" t="s">
        <v>645</v>
      </c>
      <c r="C15" s="206" t="s">
        <v>252</v>
      </c>
      <c r="D15" s="200" t="s">
        <v>644</v>
      </c>
      <c r="E15" s="200" t="s">
        <v>646</v>
      </c>
      <c r="F15" s="207">
        <v>8.08</v>
      </c>
      <c r="G15" s="202">
        <v>1.589</v>
      </c>
      <c r="H15" s="207">
        <v>0.1</v>
      </c>
      <c r="I15" s="208">
        <f>'COLECTOR PARAMETROS'!$C$10+2*'COLECTOR PARAMETROS'!$C$11</f>
        <v>1.1000000000000001</v>
      </c>
      <c r="J15" s="208">
        <f>I15+2*'COLECTOR PARAMETROS'!$C$17</f>
        <v>1.6</v>
      </c>
      <c r="K15" s="202">
        <v>1.0329999999999999</v>
      </c>
      <c r="L15" s="202">
        <v>0.85499999999999998</v>
      </c>
      <c r="M15" s="208">
        <f t="shared" si="0"/>
        <v>12.928000000000001</v>
      </c>
      <c r="N15" s="208">
        <f t="shared" si="1"/>
        <v>13.354624000000001</v>
      </c>
      <c r="O15" s="208">
        <f t="shared" si="2"/>
        <v>9.6960000000000015</v>
      </c>
      <c r="P15" s="208">
        <f>2*'COLECTOR PARAMETROS'!$C$17*K15*F15</f>
        <v>4.1733199999999995</v>
      </c>
      <c r="Q15" s="208">
        <f>'COLECTOR PARAMETROS'!$C$18*L15*F15</f>
        <v>6.9084000000000003</v>
      </c>
      <c r="R15" s="204" t="s">
        <v>636</v>
      </c>
    </row>
    <row r="16" spans="1:18" ht="30" customHeight="1">
      <c r="A16" s="200">
        <v>7</v>
      </c>
      <c r="B16" s="200" t="s">
        <v>647</v>
      </c>
      <c r="C16" s="206" t="s">
        <v>252</v>
      </c>
      <c r="D16" s="200" t="s">
        <v>646</v>
      </c>
      <c r="E16" s="200" t="s">
        <v>648</v>
      </c>
      <c r="F16" s="207">
        <v>3</v>
      </c>
      <c r="G16" s="202">
        <v>1.605</v>
      </c>
      <c r="H16" s="207">
        <v>0.1</v>
      </c>
      <c r="I16" s="208">
        <f>'COLECTOR PARAMETROS'!$C$10+2*'COLECTOR PARAMETROS'!$C$11</f>
        <v>1.1000000000000001</v>
      </c>
      <c r="J16" s="208">
        <f>I16+2*'COLECTOR PARAMETROS'!$C$17</f>
        <v>1.6</v>
      </c>
      <c r="K16" s="202">
        <v>1.0620000000000001</v>
      </c>
      <c r="L16" s="202">
        <v>0.84299999999999997</v>
      </c>
      <c r="M16" s="208">
        <f t="shared" si="0"/>
        <v>4.8000000000000007</v>
      </c>
      <c r="N16" s="208">
        <f t="shared" si="1"/>
        <v>5.0976000000000008</v>
      </c>
      <c r="O16" s="208">
        <f t="shared" si="2"/>
        <v>3.6000000000000005</v>
      </c>
      <c r="P16" s="208">
        <f>2*'COLECTOR PARAMETROS'!$C$17*K16*F16</f>
        <v>1.593</v>
      </c>
      <c r="Q16" s="208">
        <f>'COLECTOR PARAMETROS'!$C$18*L16*F16</f>
        <v>2.5289999999999999</v>
      </c>
      <c r="R16" s="204" t="s">
        <v>636</v>
      </c>
    </row>
    <row r="17" spans="1:18" ht="22" customHeight="1">
      <c r="A17" s="209" t="s">
        <v>649</v>
      </c>
      <c r="B17" s="210"/>
      <c r="C17" s="210"/>
      <c r="D17" s="210"/>
      <c r="E17" s="210"/>
      <c r="F17" s="211">
        <f>SUM(F10:F16)</f>
        <v>69.89</v>
      </c>
      <c r="G17" s="210"/>
      <c r="H17" s="210"/>
      <c r="I17" s="210"/>
      <c r="J17" s="210"/>
      <c r="K17" s="210"/>
      <c r="L17" s="210"/>
      <c r="M17" s="211">
        <f>SUM(M10:M16)</f>
        <v>111.824</v>
      </c>
      <c r="N17" s="211">
        <f>SUM(N10:N16)</f>
        <v>142.26145600000001</v>
      </c>
      <c r="O17" s="211">
        <f>SUM(O10:O16)</f>
        <v>83.867999999999995</v>
      </c>
      <c r="P17" s="211">
        <f>SUM(P10:P16)</f>
        <v>44.456704999999999</v>
      </c>
      <c r="Q17" s="211">
        <f>SUM(Q10:Q16)</f>
        <v>37.237349999999992</v>
      </c>
      <c r="R17" s="210"/>
    </row>
    <row r="19" spans="1:18" ht="20" customHeight="1">
      <c r="A19" s="353" t="s">
        <v>650</v>
      </c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8"/>
      <c r="O19" s="348"/>
      <c r="P19" s="348"/>
      <c r="Q19" s="348"/>
      <c r="R19" s="346"/>
    </row>
    <row r="20" spans="1:18" ht="48" customHeight="1">
      <c r="A20" s="199" t="s">
        <v>333</v>
      </c>
      <c r="B20" s="199" t="s">
        <v>651</v>
      </c>
      <c r="C20" s="199" t="s">
        <v>652</v>
      </c>
      <c r="D20" s="199" t="s">
        <v>653</v>
      </c>
      <c r="E20" s="199" t="s">
        <v>654</v>
      </c>
      <c r="F20" s="199" t="s">
        <v>655</v>
      </c>
      <c r="G20" s="199" t="s">
        <v>656</v>
      </c>
      <c r="H20" s="199" t="s">
        <v>657</v>
      </c>
      <c r="I20" s="199" t="s">
        <v>658</v>
      </c>
      <c r="J20" s="199" t="s">
        <v>659</v>
      </c>
      <c r="K20" s="199" t="s">
        <v>660</v>
      </c>
      <c r="L20" s="199" t="s">
        <v>661</v>
      </c>
      <c r="M20" s="199" t="s">
        <v>627</v>
      </c>
      <c r="N20" s="199" t="s">
        <v>628</v>
      </c>
      <c r="O20" s="199" t="s">
        <v>629</v>
      </c>
      <c r="P20" s="199" t="s">
        <v>662</v>
      </c>
      <c r="Q20" s="199" t="s">
        <v>663</v>
      </c>
      <c r="R20" s="199" t="s">
        <v>632</v>
      </c>
    </row>
    <row r="21" spans="1:18" ht="30" customHeight="1">
      <c r="A21" s="200">
        <v>1</v>
      </c>
      <c r="B21" s="200" t="s">
        <v>197</v>
      </c>
      <c r="C21" s="200" t="s">
        <v>634</v>
      </c>
      <c r="D21" s="208">
        <f>'COLECTOR PARAMETROS'!$C$44</f>
        <v>1.5</v>
      </c>
      <c r="E21" s="208">
        <f>'COLECTOR PARAMETROS'!$C$45</f>
        <v>1</v>
      </c>
      <c r="F21" s="205">
        <f>'COLECTOR PARAMETROS'!$C$50-'COLECTOR PARAMETROS'!$C$13-G21</f>
        <v>2.2499999999999432</v>
      </c>
      <c r="G21" s="205">
        <f>'COLECTOR PARAMETROS'!$C$47-'COLECTOR PARAMETROS'!$C$46</f>
        <v>258.8</v>
      </c>
      <c r="H21" s="202">
        <v>260.30200000000002</v>
      </c>
      <c r="I21" s="208">
        <f>D21+2*'COLECTOR PARAMETROS'!$C$11+2*'COLECTOR PARAMETROS'!$C$17</f>
        <v>2.2999999999999998</v>
      </c>
      <c r="J21" s="208">
        <f>E21+2*'COLECTOR PARAMETROS'!$C$11+2*'COLECTOR PARAMETROS'!$C$17</f>
        <v>1.8</v>
      </c>
      <c r="K21" s="205">
        <f>H21-(G21-'COLECTOR PARAMETROS'!$C$12-'COLECTOR PARAMETROS'!$C$15)</f>
        <v>1.7019999999999982</v>
      </c>
      <c r="L21" s="208">
        <f>(D21+2*'COLECTOR PARAMETROS'!$C$11)*(E21+2*'COLECTOR PARAMETROS'!$C$11)*(F21+'COLECTOR PARAMETROS'!$C$13+'COLECTOR PARAMETROS'!$C$12+'COLECTOR PARAMETROS'!$C$15)</f>
        <v>5.9669999999998673</v>
      </c>
      <c r="M21" s="208">
        <f>I21*J21</f>
        <v>4.1399999999999997</v>
      </c>
      <c r="N21" s="208">
        <f>I21*J21*K21</f>
        <v>7.0462799999999923</v>
      </c>
      <c r="O21" s="208">
        <f>(D21+2*'COLECTOR PARAMETROS'!$C$11+0.1)*(E21+2*'COLECTOR PARAMETROS'!$C$11+0.1)</f>
        <v>2.6600000000000006</v>
      </c>
      <c r="P21" s="208">
        <f>MAX(0,N21-L21)</f>
        <v>1.079280000000125</v>
      </c>
      <c r="Q21" s="208">
        <v>0</v>
      </c>
      <c r="R21" s="204" t="s">
        <v>664</v>
      </c>
    </row>
    <row r="22" spans="1:18" ht="30" customHeight="1">
      <c r="A22" s="200">
        <v>2</v>
      </c>
      <c r="B22" s="200" t="s">
        <v>198</v>
      </c>
      <c r="C22" s="200" t="s">
        <v>648</v>
      </c>
      <c r="D22" s="208">
        <f>'COLECTOR PARAMETROS'!$C$53</f>
        <v>3.5</v>
      </c>
      <c r="E22" s="208">
        <f>'COLECTOR PARAMETROS'!$C$54</f>
        <v>1.5</v>
      </c>
      <c r="F22" s="205">
        <f>'COLECTOR PARAMETROS'!$C$16-'COLECTOR PARAMETROS'!$C$13-G22</f>
        <v>2.17999999999995</v>
      </c>
      <c r="G22" s="205">
        <f>'COLECTOR PARAMETROS'!$C$56-'COLECTOR PARAMETROS'!$C$55</f>
        <v>258.32000000000005</v>
      </c>
      <c r="H22" s="202">
        <v>259.69600000000003</v>
      </c>
      <c r="I22" s="208">
        <f>D22+2*'COLECTOR PARAMETROS'!$C$11+2*'COLECTOR PARAMETROS'!$C$17</f>
        <v>4.3</v>
      </c>
      <c r="J22" s="208">
        <f>E22+2*'COLECTOR PARAMETROS'!$C$11+2*'COLECTOR PARAMETROS'!$C$17</f>
        <v>2.2999999999999998</v>
      </c>
      <c r="K22" s="205">
        <f>H22-(G22-'COLECTOR PARAMETROS'!$C$12-'COLECTOR PARAMETROS'!$C$15)</f>
        <v>1.575999999999965</v>
      </c>
      <c r="L22" s="208">
        <f>(D22+2*'COLECTOR PARAMETROS'!$C$11)*(E22+2*'COLECTOR PARAMETROS'!$C$11)*(F22+'COLECTOR PARAMETROS'!$C$13+'COLECTOR PARAMETROS'!$C$12+'COLECTOR PARAMETROS'!$C$15)</f>
        <v>16.963199999999656</v>
      </c>
      <c r="M22" s="208">
        <f>I22*J22</f>
        <v>9.8899999999999988</v>
      </c>
      <c r="N22" s="208">
        <f>I22*J22*K22</f>
        <v>15.586639999999651</v>
      </c>
      <c r="O22" s="208">
        <f>(D22+2*'COLECTOR PARAMETROS'!$C$11+0.1)*(E22+2*'COLECTOR PARAMETROS'!$C$11+0.1)</f>
        <v>7.41</v>
      </c>
      <c r="P22" s="208">
        <f>MAX(0,N22-L22)</f>
        <v>0</v>
      </c>
      <c r="Q22" s="208">
        <v>0</v>
      </c>
      <c r="R22" s="204" t="s">
        <v>664</v>
      </c>
    </row>
    <row r="23" spans="1:18" ht="22" customHeight="1">
      <c r="A23" s="209" t="s">
        <v>665</v>
      </c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1">
        <f>SUM(M21:M22)</f>
        <v>14.029999999999998</v>
      </c>
      <c r="N23" s="211">
        <f>SUM(N21:N22)</f>
        <v>22.632919999999643</v>
      </c>
      <c r="O23" s="211">
        <f>SUM(O21:O22)</f>
        <v>10.07</v>
      </c>
      <c r="P23" s="211">
        <f>SUM(P21:P22)</f>
        <v>1.079280000000125</v>
      </c>
      <c r="Q23" s="211">
        <f>SUM(Q21:Q22)</f>
        <v>0</v>
      </c>
      <c r="R23" s="210"/>
    </row>
    <row r="25" spans="1:18" ht="20" customHeight="1">
      <c r="A25" s="353" t="s">
        <v>666</v>
      </c>
      <c r="B25" s="348"/>
      <c r="C25" s="348"/>
      <c r="D25" s="348"/>
      <c r="E25" s="348"/>
      <c r="F25" s="348"/>
      <c r="G25" s="348"/>
      <c r="H25" s="348"/>
      <c r="I25" s="348"/>
      <c r="J25" s="348"/>
      <c r="K25" s="348"/>
      <c r="L25" s="348"/>
      <c r="M25" s="348"/>
      <c r="N25" s="348"/>
      <c r="O25" s="348"/>
      <c r="P25" s="348"/>
      <c r="Q25" s="348"/>
      <c r="R25" s="346"/>
    </row>
    <row r="26" spans="1:18" ht="22" customHeight="1">
      <c r="A26" s="200">
        <v>1</v>
      </c>
      <c r="B26" s="352" t="s">
        <v>667</v>
      </c>
      <c r="C26" s="348"/>
      <c r="D26" s="348"/>
      <c r="E26" s="346"/>
      <c r="F26" s="203" t="s">
        <v>186</v>
      </c>
      <c r="G26" s="208">
        <f>M17</f>
        <v>111.824</v>
      </c>
      <c r="H26" s="208">
        <f>M23</f>
        <v>14.029999999999998</v>
      </c>
      <c r="I26" s="213">
        <f>G26+H26</f>
        <v>125.854</v>
      </c>
    </row>
    <row r="27" spans="1:18" ht="22" customHeight="1">
      <c r="A27" s="200">
        <v>2</v>
      </c>
      <c r="B27" s="352" t="s">
        <v>668</v>
      </c>
      <c r="C27" s="348"/>
      <c r="D27" s="348"/>
      <c r="E27" s="346"/>
      <c r="F27" s="203" t="s">
        <v>185</v>
      </c>
      <c r="G27" s="208">
        <f>N17</f>
        <v>142.26145600000001</v>
      </c>
      <c r="H27" s="208">
        <f>N23</f>
        <v>22.632919999999643</v>
      </c>
      <c r="I27" s="213">
        <f>G27+H27</f>
        <v>164.89437599999965</v>
      </c>
    </row>
    <row r="28" spans="1:18" ht="22" customHeight="1">
      <c r="A28" s="200">
        <v>3</v>
      </c>
      <c r="B28" s="352" t="s">
        <v>669</v>
      </c>
      <c r="C28" s="348"/>
      <c r="D28" s="348"/>
      <c r="E28" s="346"/>
      <c r="F28" s="203" t="s">
        <v>186</v>
      </c>
      <c r="G28" s="208">
        <f>O17</f>
        <v>83.867999999999995</v>
      </c>
      <c r="H28" s="208">
        <f>O23</f>
        <v>10.07</v>
      </c>
      <c r="I28" s="213">
        <f>G28+H28</f>
        <v>93.937999999999988</v>
      </c>
    </row>
    <row r="29" spans="1:18" ht="22" customHeight="1">
      <c r="A29" s="200">
        <v>4</v>
      </c>
      <c r="B29" s="352" t="s">
        <v>670</v>
      </c>
      <c r="C29" s="348"/>
      <c r="D29" s="348"/>
      <c r="E29" s="346"/>
      <c r="F29" s="203" t="s">
        <v>185</v>
      </c>
      <c r="G29" s="208">
        <f>P17+Q17</f>
        <v>81.694054999999992</v>
      </c>
      <c r="H29" s="208">
        <f>P23+Q23</f>
        <v>1.079280000000125</v>
      </c>
      <c r="I29" s="213">
        <f>G29+H29</f>
        <v>82.773335000000117</v>
      </c>
    </row>
    <row r="30" spans="1:18" ht="22" customHeight="1">
      <c r="A30" s="200">
        <v>5</v>
      </c>
      <c r="B30" s="352" t="s">
        <v>671</v>
      </c>
      <c r="C30" s="348"/>
      <c r="D30" s="348"/>
      <c r="E30" s="346"/>
      <c r="F30" s="203" t="s">
        <v>185</v>
      </c>
      <c r="G30" s="208">
        <f>(I27-I29)</f>
        <v>82.121040999999536</v>
      </c>
      <c r="H30" s="208">
        <f>'COLECTOR PARAMETROS'!$C$25</f>
        <v>1.2</v>
      </c>
      <c r="I30" s="213">
        <f>G30*H30</f>
        <v>98.545249199999446</v>
      </c>
    </row>
    <row r="32" spans="1:18" ht="34" customHeight="1">
      <c r="A32" s="354" t="s">
        <v>672</v>
      </c>
      <c r="B32" s="306"/>
      <c r="C32" s="306"/>
      <c r="D32" s="306"/>
      <c r="E32" s="306"/>
      <c r="F32" s="306"/>
      <c r="G32" s="306"/>
      <c r="H32" s="306"/>
      <c r="I32" s="306"/>
      <c r="J32" s="306"/>
      <c r="K32" s="306"/>
      <c r="L32" s="306"/>
      <c r="M32" s="306"/>
      <c r="N32" s="306"/>
      <c r="O32" s="306"/>
      <c r="P32" s="306"/>
      <c r="Q32" s="306"/>
      <c r="R32" s="306"/>
    </row>
  </sheetData>
  <mergeCells count="18">
    <mergeCell ref="A32:R32"/>
    <mergeCell ref="B30:E30"/>
    <mergeCell ref="B29:E29"/>
    <mergeCell ref="C4:R4"/>
    <mergeCell ref="A1:R1"/>
    <mergeCell ref="B28:E28"/>
    <mergeCell ref="A3:B3"/>
    <mergeCell ref="A4:B4"/>
    <mergeCell ref="C2:R2"/>
    <mergeCell ref="B27:E27"/>
    <mergeCell ref="A2:B2"/>
    <mergeCell ref="C5:R5"/>
    <mergeCell ref="A7:R7"/>
    <mergeCell ref="A25:R25"/>
    <mergeCell ref="B26:E26"/>
    <mergeCell ref="A19:R19"/>
    <mergeCell ref="C3:R3"/>
    <mergeCell ref="A5:B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55"/>
  <sheetViews>
    <sheetView workbookViewId="0">
      <pane xSplit="2" ySplit="9" topLeftCell="C10" activePane="bottomRight" state="frozen"/>
      <selection pane="topRight"/>
      <selection pane="bottomLeft"/>
      <selection pane="bottomRight" sqref="A1:N1"/>
    </sheetView>
  </sheetViews>
  <sheetFormatPr baseColWidth="10" defaultColWidth="8.7265625" defaultRowHeight="14.5"/>
  <cols>
    <col min="1" max="1" width="5" customWidth="1"/>
    <col min="2" max="2" width="24" customWidth="1"/>
    <col min="3" max="5" width="11" customWidth="1"/>
    <col min="6" max="7" width="10" customWidth="1"/>
    <col min="8" max="13" width="12" customWidth="1"/>
    <col min="14" max="14" width="46" customWidth="1"/>
  </cols>
  <sheetData>
    <row r="1" spans="1:14" ht="27" customHeight="1">
      <c r="A1" s="349" t="s">
        <v>673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6"/>
    </row>
    <row r="2" spans="1:14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6"/>
    </row>
    <row r="3" spans="1:14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6"/>
    </row>
    <row r="4" spans="1:14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6"/>
    </row>
    <row r="5" spans="1:14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6"/>
    </row>
    <row r="7" spans="1:14" ht="48" customHeight="1">
      <c r="A7" s="351" t="s">
        <v>674</v>
      </c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6"/>
    </row>
    <row r="9" spans="1:14" ht="48" customHeight="1">
      <c r="A9" s="199" t="s">
        <v>333</v>
      </c>
      <c r="B9" s="199" t="s">
        <v>335</v>
      </c>
      <c r="C9" s="199" t="s">
        <v>618</v>
      </c>
      <c r="D9" s="199" t="s">
        <v>289</v>
      </c>
      <c r="E9" s="199" t="s">
        <v>621</v>
      </c>
      <c r="F9" s="199" t="s">
        <v>622</v>
      </c>
      <c r="G9" s="199" t="s">
        <v>675</v>
      </c>
      <c r="H9" s="199" t="s">
        <v>676</v>
      </c>
      <c r="I9" s="199" t="s">
        <v>677</v>
      </c>
      <c r="J9" s="199" t="s">
        <v>678</v>
      </c>
      <c r="K9" s="199" t="s">
        <v>679</v>
      </c>
      <c r="L9" s="199" t="s">
        <v>680</v>
      </c>
      <c r="M9" s="199" t="s">
        <v>681</v>
      </c>
      <c r="N9" s="199" t="s">
        <v>632</v>
      </c>
    </row>
    <row r="10" spans="1:14" ht="30" customHeight="1">
      <c r="A10" s="200">
        <v>1</v>
      </c>
      <c r="B10" s="200" t="s">
        <v>633</v>
      </c>
      <c r="C10" s="206" t="s">
        <v>252</v>
      </c>
      <c r="D10" s="208">
        <f>'COLECTOR MOV. TIERRAS'!F10</f>
        <v>26.32</v>
      </c>
      <c r="E10" s="205">
        <f>'COLECTOR MOV. TIERRAS'!G10</f>
        <v>1.4390000000000001</v>
      </c>
      <c r="F10" s="208">
        <f>'COLECTOR MOV. TIERRAS'!H10</f>
        <v>0.1</v>
      </c>
      <c r="G10" s="208">
        <f>'COLECTOR MOV. TIERRAS'!I10</f>
        <v>1.1000000000000001</v>
      </c>
      <c r="H10" s="208">
        <f t="shared" ref="H10:H16" si="0">(G10+0.1)*D10</f>
        <v>31.584000000000007</v>
      </c>
      <c r="I10" s="208">
        <f>G10*'COLECTOR PARAMETROS'!$C$12*D10</f>
        <v>4.3428000000000004</v>
      </c>
      <c r="J10" s="208">
        <f>2*'COLECTOR PARAMETROS'!$C$11*E10*D10</f>
        <v>11.362344</v>
      </c>
      <c r="K10" s="208">
        <f t="shared" ref="K10:K16" si="1">G10*F10*D10</f>
        <v>2.8952000000000004</v>
      </c>
      <c r="L10" s="208">
        <f t="shared" ref="L10:L16" si="2">G10*D10</f>
        <v>28.952000000000002</v>
      </c>
      <c r="M10" s="208">
        <f>(2*E10+'COLECTOR PARAMETROS'!$C$10+G10)*D10</f>
        <v>125.75696000000002</v>
      </c>
      <c r="N10" s="204" t="s">
        <v>682</v>
      </c>
    </row>
    <row r="11" spans="1:14" ht="30" customHeight="1">
      <c r="A11" s="200">
        <v>2</v>
      </c>
      <c r="B11" s="200" t="s">
        <v>637</v>
      </c>
      <c r="C11" s="206" t="s">
        <v>638</v>
      </c>
      <c r="D11" s="208">
        <f>'COLECTOR MOV. TIERRAS'!F11</f>
        <v>5.01</v>
      </c>
      <c r="E11" s="205">
        <f>'COLECTOR MOV. TIERRAS'!G11</f>
        <v>1.3360000000000001</v>
      </c>
      <c r="F11" s="208">
        <f>'COLECTOR MOV. TIERRAS'!H11</f>
        <v>0.25</v>
      </c>
      <c r="G11" s="208">
        <f>'COLECTOR MOV. TIERRAS'!I11</f>
        <v>1.1000000000000001</v>
      </c>
      <c r="H11" s="208">
        <f t="shared" si="0"/>
        <v>6.0120000000000005</v>
      </c>
      <c r="I11" s="208">
        <f>G11*'COLECTOR PARAMETROS'!$C$12*D11</f>
        <v>0.82665</v>
      </c>
      <c r="J11" s="208">
        <f>2*'COLECTOR PARAMETROS'!$C$11*E11*D11</f>
        <v>2.0080079999999998</v>
      </c>
      <c r="K11" s="208">
        <f t="shared" si="1"/>
        <v>1.37775</v>
      </c>
      <c r="L11" s="208">
        <f t="shared" si="2"/>
        <v>5.5110000000000001</v>
      </c>
      <c r="M11" s="208">
        <f>(2*E11+'COLECTOR PARAMETROS'!$C$10+G11)*D11</f>
        <v>22.905720000000002</v>
      </c>
      <c r="N11" s="204" t="s">
        <v>682</v>
      </c>
    </row>
    <row r="12" spans="1:14" ht="30" customHeight="1">
      <c r="A12" s="200">
        <v>3</v>
      </c>
      <c r="B12" s="200" t="s">
        <v>633</v>
      </c>
      <c r="C12" s="206" t="s">
        <v>252</v>
      </c>
      <c r="D12" s="208">
        <f>'COLECTOR MOV. TIERRAS'!F12</f>
        <v>7.71</v>
      </c>
      <c r="E12" s="205">
        <f>'COLECTOR MOV. TIERRAS'!G12</f>
        <v>1.506</v>
      </c>
      <c r="F12" s="208">
        <f>'COLECTOR MOV. TIERRAS'!H12</f>
        <v>0.1</v>
      </c>
      <c r="G12" s="208">
        <f>'COLECTOR MOV. TIERRAS'!I12</f>
        <v>1.1000000000000001</v>
      </c>
      <c r="H12" s="208">
        <f t="shared" si="0"/>
        <v>9.2520000000000007</v>
      </c>
      <c r="I12" s="208">
        <f>G12*'COLECTOR PARAMETROS'!$C$12*D12</f>
        <v>1.2721500000000001</v>
      </c>
      <c r="J12" s="208">
        <f>2*'COLECTOR PARAMETROS'!$C$11*E12*D12</f>
        <v>3.4833779999999996</v>
      </c>
      <c r="K12" s="208">
        <f t="shared" si="1"/>
        <v>0.84810000000000008</v>
      </c>
      <c r="L12" s="208">
        <f t="shared" si="2"/>
        <v>8.4809999999999999</v>
      </c>
      <c r="M12" s="208">
        <f>(2*E12+'COLECTOR PARAMETROS'!$C$10+G12)*D12</f>
        <v>37.871520000000004</v>
      </c>
      <c r="N12" s="204" t="s">
        <v>682</v>
      </c>
    </row>
    <row r="13" spans="1:14" ht="30" customHeight="1">
      <c r="A13" s="200">
        <v>4</v>
      </c>
      <c r="B13" s="200" t="s">
        <v>641</v>
      </c>
      <c r="C13" s="206" t="s">
        <v>642</v>
      </c>
      <c r="D13" s="208">
        <f>'COLECTOR MOV. TIERRAS'!F13</f>
        <v>2</v>
      </c>
      <c r="E13" s="205">
        <f>'COLECTOR MOV. TIERRAS'!G13</f>
        <v>1.52</v>
      </c>
      <c r="F13" s="208">
        <f>'COLECTOR MOV. TIERRAS'!H13</f>
        <v>0.1</v>
      </c>
      <c r="G13" s="208">
        <f>'COLECTOR MOV. TIERRAS'!I13</f>
        <v>1.1000000000000001</v>
      </c>
      <c r="H13" s="208">
        <f t="shared" si="0"/>
        <v>2.4000000000000004</v>
      </c>
      <c r="I13" s="208">
        <f>G13*'COLECTOR PARAMETROS'!$C$12*D13</f>
        <v>0.33</v>
      </c>
      <c r="J13" s="208">
        <f>2*'COLECTOR PARAMETROS'!$C$11*E13*D13</f>
        <v>0.91199999999999992</v>
      </c>
      <c r="K13" s="208">
        <f t="shared" si="1"/>
        <v>0.22000000000000003</v>
      </c>
      <c r="L13" s="208">
        <f t="shared" si="2"/>
        <v>2.2000000000000002</v>
      </c>
      <c r="M13" s="208">
        <f>(2*E13+'COLECTOR PARAMETROS'!$C$10+G13)*D13</f>
        <v>9.879999999999999</v>
      </c>
      <c r="N13" s="204" t="s">
        <v>682</v>
      </c>
    </row>
    <row r="14" spans="1:14" ht="30" customHeight="1">
      <c r="A14" s="200">
        <v>5</v>
      </c>
      <c r="B14" s="200" t="s">
        <v>633</v>
      </c>
      <c r="C14" s="206" t="s">
        <v>252</v>
      </c>
      <c r="D14" s="208">
        <f>'COLECTOR MOV. TIERRAS'!F14</f>
        <v>17.77</v>
      </c>
      <c r="E14" s="205">
        <f>'COLECTOR MOV. TIERRAS'!G14</f>
        <v>1.55</v>
      </c>
      <c r="F14" s="208">
        <f>'COLECTOR MOV. TIERRAS'!H14</f>
        <v>0.1</v>
      </c>
      <c r="G14" s="208">
        <f>'COLECTOR MOV. TIERRAS'!I14</f>
        <v>1.1000000000000001</v>
      </c>
      <c r="H14" s="208">
        <f t="shared" si="0"/>
        <v>21.324000000000002</v>
      </c>
      <c r="I14" s="208">
        <f>G14*'COLECTOR PARAMETROS'!$C$12*D14</f>
        <v>2.9320500000000003</v>
      </c>
      <c r="J14" s="208">
        <f>2*'COLECTOR PARAMETROS'!$C$11*E14*D14</f>
        <v>8.2630499999999998</v>
      </c>
      <c r="K14" s="208">
        <f t="shared" si="1"/>
        <v>1.9547000000000001</v>
      </c>
      <c r="L14" s="208">
        <f t="shared" si="2"/>
        <v>19.547000000000001</v>
      </c>
      <c r="M14" s="208">
        <f>(2*E14+'COLECTOR PARAMETROS'!$C$10+G14)*D14</f>
        <v>88.85</v>
      </c>
      <c r="N14" s="204" t="s">
        <v>682</v>
      </c>
    </row>
    <row r="15" spans="1:14" ht="30" customHeight="1">
      <c r="A15" s="200">
        <v>6</v>
      </c>
      <c r="B15" s="200" t="s">
        <v>645</v>
      </c>
      <c r="C15" s="206" t="s">
        <v>252</v>
      </c>
      <c r="D15" s="208">
        <f>'COLECTOR MOV. TIERRAS'!F15</f>
        <v>8.08</v>
      </c>
      <c r="E15" s="205">
        <f>'COLECTOR MOV. TIERRAS'!G15</f>
        <v>1.589</v>
      </c>
      <c r="F15" s="208">
        <f>'COLECTOR MOV. TIERRAS'!H15</f>
        <v>0.1</v>
      </c>
      <c r="G15" s="208">
        <f>'COLECTOR MOV. TIERRAS'!I15</f>
        <v>1.1000000000000001</v>
      </c>
      <c r="H15" s="208">
        <f t="shared" si="0"/>
        <v>9.6960000000000015</v>
      </c>
      <c r="I15" s="208">
        <f>G15*'COLECTOR PARAMETROS'!$C$12*D15</f>
        <v>1.3332000000000002</v>
      </c>
      <c r="J15" s="208">
        <f>2*'COLECTOR PARAMETROS'!$C$11*E15*D15</f>
        <v>3.8517359999999998</v>
      </c>
      <c r="K15" s="208">
        <f t="shared" si="1"/>
        <v>0.88880000000000015</v>
      </c>
      <c r="L15" s="208">
        <f t="shared" si="2"/>
        <v>8.8880000000000017</v>
      </c>
      <c r="M15" s="208">
        <f>(2*E15+'COLECTOR PARAMETROS'!$C$10+G15)*D15</f>
        <v>41.030239999999992</v>
      </c>
      <c r="N15" s="204" t="s">
        <v>682</v>
      </c>
    </row>
    <row r="16" spans="1:14" ht="30" customHeight="1">
      <c r="A16" s="200">
        <v>7</v>
      </c>
      <c r="B16" s="200" t="s">
        <v>647</v>
      </c>
      <c r="C16" s="206" t="s">
        <v>252</v>
      </c>
      <c r="D16" s="208">
        <f>'COLECTOR MOV. TIERRAS'!F16</f>
        <v>3</v>
      </c>
      <c r="E16" s="205">
        <f>'COLECTOR MOV. TIERRAS'!G16</f>
        <v>1.605</v>
      </c>
      <c r="F16" s="208">
        <f>'COLECTOR MOV. TIERRAS'!H16</f>
        <v>0.1</v>
      </c>
      <c r="G16" s="208">
        <f>'COLECTOR MOV. TIERRAS'!I16</f>
        <v>1.1000000000000001</v>
      </c>
      <c r="H16" s="208">
        <f t="shared" si="0"/>
        <v>3.6000000000000005</v>
      </c>
      <c r="I16" s="208">
        <f>G16*'COLECTOR PARAMETROS'!$C$12*D16</f>
        <v>0.495</v>
      </c>
      <c r="J16" s="208">
        <f>2*'COLECTOR PARAMETROS'!$C$11*E16*D16</f>
        <v>1.4444999999999999</v>
      </c>
      <c r="K16" s="208">
        <f t="shared" si="1"/>
        <v>0.33000000000000007</v>
      </c>
      <c r="L16" s="208">
        <f t="shared" si="2"/>
        <v>3.3000000000000003</v>
      </c>
      <c r="M16" s="208">
        <f>(2*E16+'COLECTOR PARAMETROS'!$C$10+G16)*D16</f>
        <v>15.329999999999998</v>
      </c>
      <c r="N16" s="204" t="s">
        <v>682</v>
      </c>
    </row>
    <row r="17" spans="1:14" ht="22" customHeight="1">
      <c r="A17" s="209" t="s">
        <v>649</v>
      </c>
      <c r="B17" s="210"/>
      <c r="C17" s="210"/>
      <c r="D17" s="211">
        <f>SUM(D10:D16)</f>
        <v>69.89</v>
      </c>
      <c r="E17" s="210"/>
      <c r="F17" s="210"/>
      <c r="G17" s="210"/>
      <c r="H17" s="211">
        <f t="shared" ref="H17:M17" si="3">SUM(H10:H16)</f>
        <v>83.867999999999995</v>
      </c>
      <c r="I17" s="211">
        <f t="shared" si="3"/>
        <v>11.531849999999999</v>
      </c>
      <c r="J17" s="211">
        <f t="shared" si="3"/>
        <v>31.325015999999998</v>
      </c>
      <c r="K17" s="211">
        <f t="shared" si="3"/>
        <v>8.5145499999999998</v>
      </c>
      <c r="L17" s="211">
        <f t="shared" si="3"/>
        <v>76.879000000000005</v>
      </c>
      <c r="M17" s="211">
        <f t="shared" si="3"/>
        <v>341.62443999999999</v>
      </c>
      <c r="N17" s="210"/>
    </row>
    <row r="19" spans="1:14" ht="20" customHeight="1">
      <c r="A19" s="353" t="s">
        <v>683</v>
      </c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6"/>
    </row>
    <row r="20" spans="1:14" ht="48" customHeight="1">
      <c r="A20" s="199" t="s">
        <v>333</v>
      </c>
      <c r="B20" s="199" t="s">
        <v>684</v>
      </c>
      <c r="C20" s="199" t="s">
        <v>685</v>
      </c>
      <c r="D20" s="199" t="s">
        <v>686</v>
      </c>
      <c r="E20" s="199" t="s">
        <v>687</v>
      </c>
      <c r="F20" s="199" t="s">
        <v>688</v>
      </c>
      <c r="G20" s="199" t="s">
        <v>264</v>
      </c>
      <c r="H20" s="199" t="s">
        <v>689</v>
      </c>
      <c r="I20" s="199" t="s">
        <v>677</v>
      </c>
      <c r="J20" s="199" t="s">
        <v>678</v>
      </c>
      <c r="K20" s="199" t="s">
        <v>679</v>
      </c>
      <c r="L20" s="199" t="s">
        <v>690</v>
      </c>
      <c r="M20" s="199" t="s">
        <v>681</v>
      </c>
      <c r="N20" s="199" t="s">
        <v>632</v>
      </c>
    </row>
    <row r="21" spans="1:14" ht="30" customHeight="1">
      <c r="A21" s="198"/>
      <c r="B21" s="201" t="s">
        <v>691</v>
      </c>
      <c r="C21" s="200" t="s">
        <v>692</v>
      </c>
      <c r="D21" s="208">
        <f>'COLECTOR MOV. TIERRAS'!D21+2*'COLECTOR PARAMETROS'!$C$11+0.1</f>
        <v>1.9000000000000001</v>
      </c>
      <c r="E21" s="208">
        <f>'COLECTOR MOV. TIERRAS'!E21+2*'COLECTOR PARAMETROS'!$C$11+0.1</f>
        <v>1.4000000000000001</v>
      </c>
      <c r="F21" s="202">
        <v>1</v>
      </c>
      <c r="G21" s="214">
        <v>1</v>
      </c>
      <c r="H21" s="208">
        <f>D21*E21</f>
        <v>2.6600000000000006</v>
      </c>
      <c r="I21" s="198"/>
      <c r="J21" s="198"/>
      <c r="K21" s="198"/>
      <c r="L21" s="198"/>
      <c r="M21" s="198"/>
      <c r="N21" s="204" t="s">
        <v>693</v>
      </c>
    </row>
    <row r="22" spans="1:14" ht="30" customHeight="1">
      <c r="A22" s="198"/>
      <c r="B22" s="201" t="s">
        <v>694</v>
      </c>
      <c r="C22" s="200" t="s">
        <v>695</v>
      </c>
      <c r="D22" s="208">
        <f>'COLECTOR MOV. TIERRAS'!D21+2*'COLECTOR PARAMETROS'!$C$11</f>
        <v>1.8</v>
      </c>
      <c r="E22" s="208">
        <f>'COLECTOR MOV. TIERRAS'!E21+2*'COLECTOR PARAMETROS'!$C$11</f>
        <v>1.3</v>
      </c>
      <c r="F22" s="205">
        <f>'COLECTOR PARAMETROS'!$C$12</f>
        <v>0.15</v>
      </c>
      <c r="G22" s="214">
        <v>1</v>
      </c>
      <c r="H22" s="198"/>
      <c r="I22" s="208">
        <f>D22*E22*F22*G22</f>
        <v>0.35100000000000003</v>
      </c>
      <c r="J22" s="198"/>
      <c r="K22" s="198"/>
      <c r="L22" s="198"/>
      <c r="M22" s="198"/>
      <c r="N22" s="204" t="s">
        <v>696</v>
      </c>
    </row>
    <row r="23" spans="1:14" ht="30" customHeight="1">
      <c r="A23" s="198"/>
      <c r="B23" s="201" t="s">
        <v>697</v>
      </c>
      <c r="C23" s="200" t="s">
        <v>698</v>
      </c>
      <c r="D23" s="208">
        <f>'COLECTOR MOV. TIERRAS'!D21+2*'COLECTOR PARAMETROS'!$C$11</f>
        <v>1.8</v>
      </c>
      <c r="E23" s="208">
        <f>'COLECTOR PARAMETROS'!$C$11</f>
        <v>0.15</v>
      </c>
      <c r="F23" s="205">
        <f>'COLECTOR MOV. TIERRAS'!F21</f>
        <v>2.2499999999999432</v>
      </c>
      <c r="G23" s="214">
        <v>2</v>
      </c>
      <c r="H23" s="198"/>
      <c r="I23" s="198"/>
      <c r="J23" s="208">
        <f t="shared" ref="J23:J28" si="4">D23*E23*F23*G23</f>
        <v>1.2149999999999694</v>
      </c>
      <c r="K23" s="198"/>
      <c r="L23" s="198"/>
      <c r="M23" s="198"/>
      <c r="N23" s="204" t="s">
        <v>699</v>
      </c>
    </row>
    <row r="24" spans="1:14" ht="30" customHeight="1">
      <c r="A24" s="198"/>
      <c r="B24" s="201" t="s">
        <v>700</v>
      </c>
      <c r="C24" s="200" t="s">
        <v>701</v>
      </c>
      <c r="D24" s="208">
        <f>'COLECTOR MOV. TIERRAS'!E21</f>
        <v>1</v>
      </c>
      <c r="E24" s="208">
        <f>'COLECTOR PARAMETROS'!$C$11</f>
        <v>0.15</v>
      </c>
      <c r="F24" s="205">
        <f>'COLECTOR MOV. TIERRAS'!F21</f>
        <v>2.2499999999999432</v>
      </c>
      <c r="G24" s="214">
        <v>2</v>
      </c>
      <c r="H24" s="198"/>
      <c r="I24" s="198"/>
      <c r="J24" s="208">
        <f t="shared" si="4"/>
        <v>0.67499999999998295</v>
      </c>
      <c r="K24" s="198"/>
      <c r="L24" s="198"/>
      <c r="M24" s="198"/>
      <c r="N24" s="204" t="s">
        <v>702</v>
      </c>
    </row>
    <row r="25" spans="1:14" ht="30" customHeight="1">
      <c r="A25" s="198"/>
      <c r="B25" s="201" t="s">
        <v>703</v>
      </c>
      <c r="C25" s="200" t="s">
        <v>704</v>
      </c>
      <c r="D25" s="208">
        <f>'COLECTOR PARAMETROS'!$C$10</f>
        <v>0.8</v>
      </c>
      <c r="E25" s="208">
        <f>'COLECTOR PARAMETROS'!$C$11</f>
        <v>0.15</v>
      </c>
      <c r="F25" s="205">
        <f>'COLECTOR PARAMETROS'!$C$16-'COLECTOR PARAMETROS'!$C$13-'COLECTOR PARAMETROS'!$C$47</f>
        <v>1.3999999999999773</v>
      </c>
      <c r="G25" s="214">
        <v>-1</v>
      </c>
      <c r="H25" s="198"/>
      <c r="I25" s="198"/>
      <c r="J25" s="208">
        <f t="shared" si="4"/>
        <v>-0.16799999999999726</v>
      </c>
      <c r="K25" s="198"/>
      <c r="L25" s="198"/>
      <c r="M25" s="198"/>
      <c r="N25" s="204" t="s">
        <v>705</v>
      </c>
    </row>
    <row r="26" spans="1:14" ht="30" customHeight="1">
      <c r="A26" s="198"/>
      <c r="B26" s="201" t="s">
        <v>706</v>
      </c>
      <c r="C26" s="200" t="s">
        <v>704</v>
      </c>
      <c r="D26" s="208">
        <f>'COLECTOR PARAMETROS'!$C$48</f>
        <v>0.6</v>
      </c>
      <c r="E26" s="208">
        <f>'COLECTOR PARAMETROS'!$C$11</f>
        <v>0.15</v>
      </c>
      <c r="F26" s="205">
        <f>'COLECTOR PARAMETROS'!$C$50-'COLECTOR PARAMETROS'!$C$13-'COLECTOR PARAMETROS'!$C$49</f>
        <v>1.16599999999994</v>
      </c>
      <c r="G26" s="214">
        <v>-1</v>
      </c>
      <c r="H26" s="198"/>
      <c r="I26" s="198"/>
      <c r="J26" s="208">
        <f t="shared" si="4"/>
        <v>-0.10493999999999459</v>
      </c>
      <c r="K26" s="198"/>
      <c r="L26" s="198"/>
      <c r="M26" s="198"/>
      <c r="N26" s="204" t="s">
        <v>707</v>
      </c>
    </row>
    <row r="27" spans="1:14" ht="30" customHeight="1">
      <c r="A27" s="198"/>
      <c r="B27" s="201" t="s">
        <v>708</v>
      </c>
      <c r="C27" s="200" t="s">
        <v>704</v>
      </c>
      <c r="D27" s="208">
        <f>'COLECTOR PARAMETROS'!$C$51</f>
        <v>0.4</v>
      </c>
      <c r="E27" s="208">
        <f>'COLECTOR PARAMETROS'!$C$11</f>
        <v>0.15</v>
      </c>
      <c r="F27" s="205">
        <f>'COLECTOR PARAMETROS'!$C$50-'COLECTOR PARAMETROS'!$C$13-'COLECTOR PARAMETROS'!$C$52</f>
        <v>0.65599999999994907</v>
      </c>
      <c r="G27" s="214">
        <v>-1</v>
      </c>
      <c r="H27" s="198"/>
      <c r="I27" s="198"/>
      <c r="J27" s="208">
        <f t="shared" si="4"/>
        <v>-3.9359999999996946E-2</v>
      </c>
      <c r="K27" s="198"/>
      <c r="L27" s="198"/>
      <c r="M27" s="198"/>
      <c r="N27" s="204" t="s">
        <v>709</v>
      </c>
    </row>
    <row r="28" spans="1:14" ht="30" customHeight="1">
      <c r="A28" s="198"/>
      <c r="B28" s="201" t="s">
        <v>710</v>
      </c>
      <c r="C28" s="200" t="s">
        <v>711</v>
      </c>
      <c r="D28" s="208">
        <f>'COLECTOR MOV. TIERRAS'!E21</f>
        <v>1</v>
      </c>
      <c r="E28" s="208">
        <f>'COLECTOR PARAMETROS'!$C$11</f>
        <v>0.15</v>
      </c>
      <c r="F28" s="205">
        <f>'COLECTOR PARAMETROS'!$C$46</f>
        <v>0.3</v>
      </c>
      <c r="G28" s="214">
        <v>1</v>
      </c>
      <c r="H28" s="198"/>
      <c r="I28" s="198"/>
      <c r="J28" s="208">
        <f t="shared" si="4"/>
        <v>4.4999999999999998E-2</v>
      </c>
      <c r="K28" s="198"/>
      <c r="L28" s="198"/>
      <c r="M28" s="198"/>
      <c r="N28" s="204" t="s">
        <v>712</v>
      </c>
    </row>
    <row r="29" spans="1:14" ht="30" customHeight="1">
      <c r="A29" s="198"/>
      <c r="B29" s="201" t="s">
        <v>713</v>
      </c>
      <c r="C29" s="200" t="s">
        <v>695</v>
      </c>
      <c r="D29" s="208">
        <f>'COLECTOR MOV. TIERRAS'!D21+2*'COLECTOR PARAMETROS'!$C$11</f>
        <v>1.8</v>
      </c>
      <c r="E29" s="208">
        <f>'COLECTOR MOV. TIERRAS'!E21+2*'COLECTOR PARAMETROS'!$C$11</f>
        <v>1.3</v>
      </c>
      <c r="F29" s="205">
        <f>'COLECTOR PARAMETROS'!$C$13</f>
        <v>0.1</v>
      </c>
      <c r="G29" s="214">
        <v>1</v>
      </c>
      <c r="H29" s="198"/>
      <c r="I29" s="198"/>
      <c r="J29" s="198"/>
      <c r="K29" s="208">
        <f>D29*E29*F29*G29</f>
        <v>0.23400000000000004</v>
      </c>
      <c r="L29" s="198"/>
      <c r="M29" s="198"/>
      <c r="N29" s="204" t="s">
        <v>714</v>
      </c>
    </row>
    <row r="30" spans="1:14" ht="30" customHeight="1">
      <c r="A30" s="198"/>
      <c r="B30" s="201" t="s">
        <v>715</v>
      </c>
      <c r="C30" s="200" t="s">
        <v>716</v>
      </c>
      <c r="D30" s="208">
        <f>'COLECTOR PARAMETROS'!$C$35</f>
        <v>0.7</v>
      </c>
      <c r="E30" s="208">
        <f>'COLECTOR PARAMETROS'!$C$35</f>
        <v>0.7</v>
      </c>
      <c r="F30" s="205">
        <f>'COLECTOR PARAMETROS'!$C$13</f>
        <v>0.1</v>
      </c>
      <c r="G30" s="214">
        <v>-1</v>
      </c>
      <c r="H30" s="198"/>
      <c r="I30" s="198"/>
      <c r="J30" s="198"/>
      <c r="K30" s="208">
        <f>D30*E30*F30*G30</f>
        <v>-4.8999999999999995E-2</v>
      </c>
      <c r="L30" s="198"/>
      <c r="M30" s="198"/>
      <c r="N30" s="204" t="s">
        <v>717</v>
      </c>
    </row>
    <row r="31" spans="1:14" ht="30" customHeight="1">
      <c r="A31" s="198"/>
      <c r="B31" s="201" t="s">
        <v>718</v>
      </c>
      <c r="C31" s="200" t="s">
        <v>719</v>
      </c>
      <c r="D31" s="208">
        <f>'COLECTOR MOV. TIERRAS'!D21+2*'COLECTOR PARAMETROS'!$C$11</f>
        <v>1.8</v>
      </c>
      <c r="E31" s="208">
        <f>'COLECTOR MOV. TIERRAS'!E21+2*'COLECTOR PARAMETROS'!$C$11</f>
        <v>1.3</v>
      </c>
      <c r="F31" s="202">
        <v>1</v>
      </c>
      <c r="G31" s="214">
        <v>1</v>
      </c>
      <c r="H31" s="198"/>
      <c r="I31" s="198"/>
      <c r="J31" s="198"/>
      <c r="K31" s="198"/>
      <c r="L31" s="208">
        <f>D31*E31</f>
        <v>2.3400000000000003</v>
      </c>
      <c r="M31" s="198"/>
      <c r="N31" s="204" t="s">
        <v>720</v>
      </c>
    </row>
    <row r="32" spans="1:14" ht="30" customHeight="1">
      <c r="A32" s="198"/>
      <c r="B32" s="201" t="s">
        <v>721</v>
      </c>
      <c r="C32" s="200" t="s">
        <v>722</v>
      </c>
      <c r="D32" s="208">
        <f>2*('COLECTOR MOV. TIERRAS'!D21+'COLECTOR MOV. TIERRAS'!E21)</f>
        <v>5</v>
      </c>
      <c r="E32" s="208">
        <f>'COLECTOR MOV. TIERRAS'!F21</f>
        <v>2.2499999999999432</v>
      </c>
      <c r="F32" s="202">
        <v>1</v>
      </c>
      <c r="G32" s="214">
        <v>1</v>
      </c>
      <c r="H32" s="198"/>
      <c r="I32" s="198"/>
      <c r="J32" s="198"/>
      <c r="K32" s="198"/>
      <c r="L32" s="198"/>
      <c r="M32" s="208">
        <f>D32*E32+'COLECTOR MOV. TIERRAS'!D21*'COLECTOR MOV. TIERRAS'!E21+('COLECTOR MOV. TIERRAS'!D21+2*'COLECTOR PARAMETROS'!$C$11)*('COLECTOR MOV. TIERRAS'!E21+2*'COLECTOR PARAMETROS'!$C$11)</f>
        <v>15.089999999999716</v>
      </c>
      <c r="N32" s="204" t="s">
        <v>723</v>
      </c>
    </row>
    <row r="33" spans="1:14" ht="30" customHeight="1">
      <c r="A33" s="198"/>
      <c r="B33" s="201" t="s">
        <v>724</v>
      </c>
      <c r="C33" s="200" t="s">
        <v>692</v>
      </c>
      <c r="D33" s="208">
        <f>'COLECTOR MOV. TIERRAS'!D22+2*'COLECTOR PARAMETROS'!$C$11+0.1</f>
        <v>3.9</v>
      </c>
      <c r="E33" s="208">
        <f>'COLECTOR MOV. TIERRAS'!E22+2*'COLECTOR PARAMETROS'!$C$11+0.1</f>
        <v>1.9000000000000001</v>
      </c>
      <c r="F33" s="202">
        <v>1</v>
      </c>
      <c r="G33" s="214">
        <v>1</v>
      </c>
      <c r="H33" s="208">
        <f>D33*E33</f>
        <v>7.41</v>
      </c>
      <c r="I33" s="198"/>
      <c r="J33" s="198"/>
      <c r="K33" s="198"/>
      <c r="L33" s="198"/>
      <c r="M33" s="198"/>
      <c r="N33" s="204" t="s">
        <v>693</v>
      </c>
    </row>
    <row r="34" spans="1:14" ht="30" customHeight="1">
      <c r="A34" s="198"/>
      <c r="B34" s="201" t="s">
        <v>725</v>
      </c>
      <c r="C34" s="200" t="s">
        <v>695</v>
      </c>
      <c r="D34" s="208">
        <f>'COLECTOR MOV. TIERRAS'!D22+2*'COLECTOR PARAMETROS'!$C$11</f>
        <v>3.8</v>
      </c>
      <c r="E34" s="208">
        <f>'COLECTOR MOV. TIERRAS'!E22+2*'COLECTOR PARAMETROS'!$C$11</f>
        <v>1.8</v>
      </c>
      <c r="F34" s="205">
        <f>'COLECTOR PARAMETROS'!$C$12</f>
        <v>0.15</v>
      </c>
      <c r="G34" s="214">
        <v>1</v>
      </c>
      <c r="H34" s="198"/>
      <c r="I34" s="208">
        <f>D34*E34*F34*G34</f>
        <v>1.026</v>
      </c>
      <c r="J34" s="198"/>
      <c r="K34" s="198"/>
      <c r="L34" s="198"/>
      <c r="M34" s="198"/>
      <c r="N34" s="204" t="s">
        <v>696</v>
      </c>
    </row>
    <row r="35" spans="1:14" ht="30" customHeight="1">
      <c r="A35" s="198"/>
      <c r="B35" s="201" t="s">
        <v>726</v>
      </c>
      <c r="C35" s="200" t="s">
        <v>727</v>
      </c>
      <c r="D35" s="208">
        <f>'COLECTOR MOV. TIERRAS'!E22</f>
        <v>1.5</v>
      </c>
      <c r="E35" s="208">
        <f>'COLECTOR PARAMETROS'!$C$60</f>
        <v>0.25</v>
      </c>
      <c r="F35" s="205">
        <f>'COLECTOR PARAMETROS'!$C$61</f>
        <v>0.4</v>
      </c>
      <c r="G35" s="214">
        <v>1</v>
      </c>
      <c r="H35" s="198"/>
      <c r="I35" s="208">
        <f>D35*E35*F35*G35</f>
        <v>0.15000000000000002</v>
      </c>
      <c r="J35" s="198"/>
      <c r="K35" s="198"/>
      <c r="L35" s="198"/>
      <c r="M35" s="198"/>
      <c r="N35" s="204" t="s">
        <v>728</v>
      </c>
    </row>
    <row r="36" spans="1:14" ht="30" customHeight="1">
      <c r="A36" s="198"/>
      <c r="B36" s="201" t="s">
        <v>729</v>
      </c>
      <c r="C36" s="200" t="s">
        <v>698</v>
      </c>
      <c r="D36" s="208">
        <f>'COLECTOR MOV. TIERRAS'!D22+2*'COLECTOR PARAMETROS'!$C$11</f>
        <v>3.8</v>
      </c>
      <c r="E36" s="208">
        <f>'COLECTOR PARAMETROS'!$C$11</f>
        <v>0.15</v>
      </c>
      <c r="F36" s="205">
        <f>'COLECTOR MOV. TIERRAS'!F22</f>
        <v>2.17999999999995</v>
      </c>
      <c r="G36" s="214">
        <v>2</v>
      </c>
      <c r="H36" s="198"/>
      <c r="I36" s="198"/>
      <c r="J36" s="208">
        <f>D36*E36*F36*G36</f>
        <v>2.4851999999999426</v>
      </c>
      <c r="K36" s="198"/>
      <c r="L36" s="198"/>
      <c r="M36" s="198"/>
      <c r="N36" s="204" t="s">
        <v>699</v>
      </c>
    </row>
    <row r="37" spans="1:14" ht="30" customHeight="1">
      <c r="A37" s="198"/>
      <c r="B37" s="201" t="s">
        <v>730</v>
      </c>
      <c r="C37" s="200" t="s">
        <v>701</v>
      </c>
      <c r="D37" s="208">
        <f>'COLECTOR MOV. TIERRAS'!E22</f>
        <v>1.5</v>
      </c>
      <c r="E37" s="208">
        <f>'COLECTOR PARAMETROS'!$C$11</f>
        <v>0.15</v>
      </c>
      <c r="F37" s="205">
        <f>'COLECTOR MOV. TIERRAS'!F22</f>
        <v>2.17999999999995</v>
      </c>
      <c r="G37" s="214">
        <v>1</v>
      </c>
      <c r="H37" s="198"/>
      <c r="I37" s="198"/>
      <c r="J37" s="208">
        <f>D37*E37*F37*G37</f>
        <v>0.49049999999998872</v>
      </c>
      <c r="K37" s="198"/>
      <c r="L37" s="198"/>
      <c r="M37" s="198"/>
      <c r="N37" s="204" t="s">
        <v>731</v>
      </c>
    </row>
    <row r="38" spans="1:14" ht="30" customHeight="1">
      <c r="A38" s="198"/>
      <c r="B38" s="201" t="s">
        <v>732</v>
      </c>
      <c r="C38" s="200" t="s">
        <v>704</v>
      </c>
      <c r="D38" s="208">
        <f>'COLECTOR PARAMETROS'!$C$59</f>
        <v>1.5</v>
      </c>
      <c r="E38" s="208">
        <f>'COLECTOR PARAMETROS'!$C$11</f>
        <v>0.15</v>
      </c>
      <c r="F38" s="205">
        <f>'COLECTOR PARAMETROS'!$C$57+0.5-'COLECTOR PARAMETROS'!$C$56</f>
        <v>0.84199999999998454</v>
      </c>
      <c r="G38" s="214">
        <v>-1</v>
      </c>
      <c r="H38" s="198"/>
      <c r="I38" s="198"/>
      <c r="J38" s="208">
        <f>D38*E38*F38*G38</f>
        <v>-0.18944999999999651</v>
      </c>
      <c r="K38" s="198"/>
      <c r="L38" s="198"/>
      <c r="M38" s="198"/>
      <c r="N38" s="204" t="s">
        <v>733</v>
      </c>
    </row>
    <row r="39" spans="1:14" ht="30" customHeight="1">
      <c r="A39" s="198"/>
      <c r="B39" s="201" t="s">
        <v>734</v>
      </c>
      <c r="C39" s="200" t="s">
        <v>711</v>
      </c>
      <c r="D39" s="208">
        <f>'COLECTOR MOV. TIERRAS'!E22</f>
        <v>1.5</v>
      </c>
      <c r="E39" s="208">
        <f>'COLECTOR PARAMETROS'!$C$11</f>
        <v>0.15</v>
      </c>
      <c r="F39" s="205">
        <f>'COLECTOR PARAMETROS'!$C$58-('COLECTOR PARAMETROS'!$C$56-'COLECTOR PARAMETROS'!$C$55)</f>
        <v>0.56999999999993634</v>
      </c>
      <c r="G39" s="214">
        <v>1</v>
      </c>
      <c r="H39" s="198"/>
      <c r="I39" s="198"/>
      <c r="J39" s="208">
        <f>D39*E39*F39*G39</f>
        <v>0.12824999999998565</v>
      </c>
      <c r="K39" s="198"/>
      <c r="L39" s="198"/>
      <c r="M39" s="198"/>
      <c r="N39" s="204" t="s">
        <v>712</v>
      </c>
    </row>
    <row r="40" spans="1:14" ht="30" customHeight="1">
      <c r="A40" s="198"/>
      <c r="B40" s="201" t="s">
        <v>735</v>
      </c>
      <c r="C40" s="200" t="s">
        <v>695</v>
      </c>
      <c r="D40" s="208">
        <f>'COLECTOR MOV. TIERRAS'!D22+2*'COLECTOR PARAMETROS'!$C$11</f>
        <v>3.8</v>
      </c>
      <c r="E40" s="208">
        <f>'COLECTOR MOV. TIERRAS'!E22+2*'COLECTOR PARAMETROS'!$C$11</f>
        <v>1.8</v>
      </c>
      <c r="F40" s="205">
        <f>'COLECTOR PARAMETROS'!$C$13</f>
        <v>0.1</v>
      </c>
      <c r="G40" s="214">
        <v>1</v>
      </c>
      <c r="H40" s="198"/>
      <c r="I40" s="198"/>
      <c r="J40" s="198"/>
      <c r="K40" s="208">
        <f>D40*E40*F40*G40</f>
        <v>0.68400000000000005</v>
      </c>
      <c r="L40" s="198"/>
      <c r="M40" s="198"/>
      <c r="N40" s="204" t="s">
        <v>714</v>
      </c>
    </row>
    <row r="41" spans="1:14" ht="30" customHeight="1">
      <c r="A41" s="198"/>
      <c r="B41" s="201" t="s">
        <v>736</v>
      </c>
      <c r="C41" s="200" t="s">
        <v>716</v>
      </c>
      <c r="D41" s="208">
        <f>'COLECTOR PARAMETROS'!$C$35</f>
        <v>0.7</v>
      </c>
      <c r="E41" s="208">
        <f>'COLECTOR PARAMETROS'!$C$35</f>
        <v>0.7</v>
      </c>
      <c r="F41" s="205">
        <f>'COLECTOR PARAMETROS'!$C$13</f>
        <v>0.1</v>
      </c>
      <c r="G41" s="214">
        <v>-2</v>
      </c>
      <c r="H41" s="198"/>
      <c r="I41" s="198"/>
      <c r="J41" s="198"/>
      <c r="K41" s="208">
        <f>D41*E41*F41*G41</f>
        <v>-9.799999999999999E-2</v>
      </c>
      <c r="L41" s="198"/>
      <c r="M41" s="198"/>
      <c r="N41" s="204" t="s">
        <v>737</v>
      </c>
    </row>
    <row r="42" spans="1:14" ht="30" customHeight="1">
      <c r="A42" s="198"/>
      <c r="B42" s="201" t="s">
        <v>738</v>
      </c>
      <c r="C42" s="200" t="s">
        <v>719</v>
      </c>
      <c r="D42" s="208">
        <f>'COLECTOR MOV. TIERRAS'!D22+2*'COLECTOR PARAMETROS'!$C$11</f>
        <v>3.8</v>
      </c>
      <c r="E42" s="208">
        <f>'COLECTOR MOV. TIERRAS'!E22+2*'COLECTOR PARAMETROS'!$C$11</f>
        <v>1.8</v>
      </c>
      <c r="F42" s="202">
        <v>1</v>
      </c>
      <c r="G42" s="214">
        <v>1</v>
      </c>
      <c r="H42" s="198"/>
      <c r="I42" s="198"/>
      <c r="J42" s="198"/>
      <c r="K42" s="198"/>
      <c r="L42" s="208">
        <f>D42*E42</f>
        <v>6.84</v>
      </c>
      <c r="M42" s="198"/>
      <c r="N42" s="204" t="s">
        <v>720</v>
      </c>
    </row>
    <row r="43" spans="1:14" ht="30" customHeight="1">
      <c r="A43" s="198"/>
      <c r="B43" s="201" t="s">
        <v>739</v>
      </c>
      <c r="C43" s="200" t="s">
        <v>722</v>
      </c>
      <c r="D43" s="208">
        <f>2*('COLECTOR MOV. TIERRAS'!D22+'COLECTOR MOV. TIERRAS'!E22)</f>
        <v>10</v>
      </c>
      <c r="E43" s="208">
        <f>'COLECTOR MOV. TIERRAS'!F22</f>
        <v>2.17999999999995</v>
      </c>
      <c r="F43" s="202">
        <v>1</v>
      </c>
      <c r="G43" s="214">
        <v>1</v>
      </c>
      <c r="H43" s="198"/>
      <c r="I43" s="198"/>
      <c r="J43" s="198"/>
      <c r="K43" s="198"/>
      <c r="L43" s="198"/>
      <c r="M43" s="208">
        <f>D43*E43+'COLECTOR MOV. TIERRAS'!D22*'COLECTOR MOV. TIERRAS'!E22+('COLECTOR MOV. TIERRAS'!D22+2*'COLECTOR PARAMETROS'!$C$11)*('COLECTOR MOV. TIERRAS'!E22+2*'COLECTOR PARAMETROS'!$C$11)</f>
        <v>33.889999999999503</v>
      </c>
      <c r="N43" s="204" t="s">
        <v>723</v>
      </c>
    </row>
    <row r="44" spans="1:14" ht="20" customHeight="1">
      <c r="A44" s="353" t="s">
        <v>740</v>
      </c>
      <c r="B44" s="348"/>
      <c r="C44" s="348"/>
      <c r="D44" s="348"/>
      <c r="E44" s="348"/>
      <c r="F44" s="348"/>
      <c r="G44" s="348"/>
      <c r="H44" s="348"/>
      <c r="I44" s="348"/>
      <c r="J44" s="348"/>
      <c r="K44" s="348"/>
      <c r="L44" s="348"/>
      <c r="M44" s="348"/>
      <c r="N44" s="346"/>
    </row>
    <row r="45" spans="1:14" ht="30" customHeight="1">
      <c r="A45" s="198"/>
      <c r="B45" s="200" t="s">
        <v>741</v>
      </c>
      <c r="C45" s="200" t="s">
        <v>742</v>
      </c>
      <c r="D45" s="208">
        <f>'COLECTOR PARAMETROS'!$C$42</f>
        <v>3</v>
      </c>
      <c r="E45" s="208">
        <f>'COLECTOR PARAMETROS'!$C$43</f>
        <v>1.4999999999999999E-2</v>
      </c>
      <c r="F45" s="202">
        <v>1</v>
      </c>
      <c r="G45" s="215">
        <f>'COLECTOR PARAMETROS'!$C$32</f>
        <v>10</v>
      </c>
      <c r="H45" s="198"/>
      <c r="I45" s="198"/>
      <c r="J45" s="198"/>
      <c r="K45" s="208">
        <f>D45*E45*F45*G45</f>
        <v>0.44999999999999996</v>
      </c>
      <c r="L45" s="198"/>
      <c r="M45" s="198"/>
      <c r="N45" s="204" t="s">
        <v>743</v>
      </c>
    </row>
    <row r="46" spans="1:14" ht="30" customHeight="1">
      <c r="A46" s="198"/>
      <c r="B46" s="200" t="s">
        <v>744</v>
      </c>
      <c r="C46" s="200" t="s">
        <v>716</v>
      </c>
      <c r="D46" s="208">
        <f>'COLECTOR PARAMETROS'!$C$35</f>
        <v>0.7</v>
      </c>
      <c r="E46" s="208">
        <f>'COLECTOR PARAMETROS'!$C$35</f>
        <v>0.7</v>
      </c>
      <c r="F46" s="205">
        <f>'COLECTOR PARAMETROS'!$C$13</f>
        <v>0.1</v>
      </c>
      <c r="G46" s="215">
        <f>-('COLECTOR PARAMETROS'!$C$32-3)</f>
        <v>-7</v>
      </c>
      <c r="H46" s="198"/>
      <c r="I46" s="198"/>
      <c r="J46" s="198"/>
      <c r="K46" s="208">
        <f>D46*E46*F46*G46</f>
        <v>-0.34299999999999997</v>
      </c>
      <c r="L46" s="198"/>
      <c r="M46" s="198"/>
      <c r="N46" s="204" t="s">
        <v>745</v>
      </c>
    </row>
    <row r="47" spans="1:14" ht="22" customHeight="1">
      <c r="A47" s="209" t="s">
        <v>746</v>
      </c>
      <c r="B47" s="210"/>
      <c r="C47" s="210"/>
      <c r="D47" s="210"/>
      <c r="E47" s="210"/>
      <c r="F47" s="210"/>
      <c r="G47" s="210"/>
      <c r="H47" s="211">
        <f t="shared" ref="H47:M47" si="5">SUM(H21:H46)</f>
        <v>10.07</v>
      </c>
      <c r="I47" s="211">
        <f t="shared" si="5"/>
        <v>1.5270000000000001</v>
      </c>
      <c r="J47" s="211">
        <f t="shared" si="5"/>
        <v>4.5371999999998831</v>
      </c>
      <c r="K47" s="211">
        <f t="shared" si="5"/>
        <v>0.87800000000000011</v>
      </c>
      <c r="L47" s="211">
        <f t="shared" si="5"/>
        <v>9.18</v>
      </c>
      <c r="M47" s="211">
        <f t="shared" si="5"/>
        <v>48.979999999999222</v>
      </c>
      <c r="N47" s="210"/>
    </row>
    <row r="49" spans="1:14" ht="20" customHeight="1">
      <c r="A49" s="353" t="s">
        <v>747</v>
      </c>
      <c r="B49" s="348"/>
      <c r="C49" s="348"/>
      <c r="D49" s="348"/>
      <c r="E49" s="348"/>
      <c r="F49" s="348"/>
      <c r="G49" s="348"/>
      <c r="H49" s="348"/>
      <c r="I49" s="348"/>
      <c r="J49" s="348"/>
      <c r="K49" s="348"/>
      <c r="L49" s="348"/>
      <c r="M49" s="348"/>
      <c r="N49" s="346"/>
    </row>
    <row r="50" spans="1:14" ht="22" customHeight="1">
      <c r="A50" s="200">
        <v>1</v>
      </c>
      <c r="B50" s="352" t="s">
        <v>748</v>
      </c>
      <c r="C50" s="348"/>
      <c r="D50" s="348"/>
      <c r="E50" s="346"/>
      <c r="F50" s="203" t="s">
        <v>186</v>
      </c>
      <c r="G50" s="208">
        <f>H17</f>
        <v>83.867999999999995</v>
      </c>
      <c r="H50" s="208">
        <f>H47</f>
        <v>10.07</v>
      </c>
      <c r="I50" s="213">
        <f t="shared" ref="I50:I55" si="6">G50+H50</f>
        <v>93.937999999999988</v>
      </c>
    </row>
    <row r="51" spans="1:14" ht="22" customHeight="1">
      <c r="A51" s="200">
        <v>2</v>
      </c>
      <c r="B51" s="352" t="s">
        <v>749</v>
      </c>
      <c r="C51" s="348"/>
      <c r="D51" s="348"/>
      <c r="E51" s="346"/>
      <c r="F51" s="203" t="s">
        <v>185</v>
      </c>
      <c r="G51" s="208">
        <f>I17</f>
        <v>11.531849999999999</v>
      </c>
      <c r="H51" s="208">
        <f>I47</f>
        <v>1.5270000000000001</v>
      </c>
      <c r="I51" s="213">
        <f t="shared" si="6"/>
        <v>13.05885</v>
      </c>
    </row>
    <row r="52" spans="1:14" ht="22" customHeight="1">
      <c r="A52" s="200">
        <v>3</v>
      </c>
      <c r="B52" s="352" t="s">
        <v>750</v>
      </c>
      <c r="C52" s="348"/>
      <c r="D52" s="348"/>
      <c r="E52" s="346"/>
      <c r="F52" s="203" t="s">
        <v>185</v>
      </c>
      <c r="G52" s="208">
        <f>J17</f>
        <v>31.325015999999998</v>
      </c>
      <c r="H52" s="208">
        <f>J47</f>
        <v>4.5371999999998831</v>
      </c>
      <c r="I52" s="213">
        <f t="shared" si="6"/>
        <v>35.862215999999883</v>
      </c>
    </row>
    <row r="53" spans="1:14" ht="22" customHeight="1">
      <c r="A53" s="200">
        <v>4</v>
      </c>
      <c r="B53" s="352" t="s">
        <v>751</v>
      </c>
      <c r="C53" s="348"/>
      <c r="D53" s="348"/>
      <c r="E53" s="346"/>
      <c r="F53" s="203" t="s">
        <v>185</v>
      </c>
      <c r="G53" s="208">
        <f>K17</f>
        <v>8.5145499999999998</v>
      </c>
      <c r="H53" s="208">
        <f>K47</f>
        <v>0.87800000000000011</v>
      </c>
      <c r="I53" s="213">
        <f t="shared" si="6"/>
        <v>9.39255</v>
      </c>
    </row>
    <row r="54" spans="1:14" ht="22" customHeight="1">
      <c r="A54" s="200">
        <v>5</v>
      </c>
      <c r="B54" s="352" t="s">
        <v>963</v>
      </c>
      <c r="C54" s="348"/>
      <c r="D54" s="348"/>
      <c r="E54" s="346"/>
      <c r="F54" s="203" t="s">
        <v>186</v>
      </c>
      <c r="G54" s="208">
        <f>L17</f>
        <v>76.879000000000005</v>
      </c>
      <c r="H54" s="208">
        <f>L47</f>
        <v>9.18</v>
      </c>
      <c r="I54" s="213">
        <f t="shared" si="6"/>
        <v>86.058999999999997</v>
      </c>
    </row>
    <row r="55" spans="1:14" ht="22" customHeight="1">
      <c r="A55" s="200">
        <v>6</v>
      </c>
      <c r="B55" s="352" t="s">
        <v>752</v>
      </c>
      <c r="C55" s="348"/>
      <c r="D55" s="348"/>
      <c r="E55" s="346"/>
      <c r="F55" s="203" t="s">
        <v>186</v>
      </c>
      <c r="G55" s="208">
        <f>M17</f>
        <v>341.62443999999999</v>
      </c>
      <c r="H55" s="208">
        <f>M47</f>
        <v>48.979999999999222</v>
      </c>
      <c r="I55" s="213">
        <f t="shared" si="6"/>
        <v>390.60443999999922</v>
      </c>
    </row>
  </sheetData>
  <mergeCells count="19">
    <mergeCell ref="C5:N5"/>
    <mergeCell ref="A19:N19"/>
    <mergeCell ref="A44:N44"/>
    <mergeCell ref="B55:E55"/>
    <mergeCell ref="A49:N49"/>
    <mergeCell ref="B51:E51"/>
    <mergeCell ref="A1:N1"/>
    <mergeCell ref="C2:N2"/>
    <mergeCell ref="B50:E50"/>
    <mergeCell ref="B54:E54"/>
    <mergeCell ref="A7:N7"/>
    <mergeCell ref="A3:B3"/>
    <mergeCell ref="A2:B2"/>
    <mergeCell ref="B52:E52"/>
    <mergeCell ref="A5:B5"/>
    <mergeCell ref="C3:N3"/>
    <mergeCell ref="A4:B4"/>
    <mergeCell ref="C4:N4"/>
    <mergeCell ref="B53:E5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31"/>
  <sheetViews>
    <sheetView workbookViewId="0">
      <pane xSplit="2" ySplit="9" topLeftCell="C10" activePane="bottomRight" state="frozen"/>
      <selection pane="topRight"/>
      <selection pane="bottomLeft"/>
      <selection pane="bottomRight" sqref="A1:L1"/>
    </sheetView>
  </sheetViews>
  <sheetFormatPr baseColWidth="10" defaultColWidth="8.7265625" defaultRowHeight="14.5"/>
  <cols>
    <col min="1" max="1" width="5" customWidth="1"/>
    <col min="2" max="2" width="24" customWidth="1"/>
    <col min="3" max="5" width="11" customWidth="1"/>
    <col min="6" max="7" width="10" customWidth="1"/>
    <col min="8" max="8" width="13" customWidth="1"/>
    <col min="9" max="9" width="14" customWidth="1"/>
    <col min="10" max="10" width="13" customWidth="1"/>
    <col min="11" max="11" width="12" customWidth="1"/>
    <col min="12" max="12" width="46" customWidth="1"/>
  </cols>
  <sheetData>
    <row r="1" spans="1:12" ht="27" customHeight="1">
      <c r="A1" s="349" t="s">
        <v>753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6"/>
    </row>
    <row r="2" spans="1:12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8"/>
      <c r="H2" s="348"/>
      <c r="I2" s="348"/>
      <c r="J2" s="348"/>
      <c r="K2" s="348"/>
      <c r="L2" s="346"/>
    </row>
    <row r="3" spans="1:12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8"/>
      <c r="H3" s="348"/>
      <c r="I3" s="348"/>
      <c r="J3" s="348"/>
      <c r="K3" s="348"/>
      <c r="L3" s="346"/>
    </row>
    <row r="4" spans="1:12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8"/>
      <c r="H4" s="348"/>
      <c r="I4" s="348"/>
      <c r="J4" s="348"/>
      <c r="K4" s="348"/>
      <c r="L4" s="346"/>
    </row>
    <row r="5" spans="1:12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8"/>
      <c r="H5" s="348"/>
      <c r="I5" s="348"/>
      <c r="J5" s="348"/>
      <c r="K5" s="348"/>
      <c r="L5" s="346"/>
    </row>
    <row r="7" spans="1:12" ht="48" customHeight="1">
      <c r="A7" s="351" t="s">
        <v>754</v>
      </c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6"/>
    </row>
    <row r="9" spans="1:12" ht="48" customHeight="1">
      <c r="A9" s="199" t="s">
        <v>333</v>
      </c>
      <c r="B9" s="199" t="s">
        <v>335</v>
      </c>
      <c r="C9" s="199" t="s">
        <v>618</v>
      </c>
      <c r="D9" s="199" t="s">
        <v>289</v>
      </c>
      <c r="E9" s="199" t="s">
        <v>621</v>
      </c>
      <c r="F9" s="199" t="s">
        <v>622</v>
      </c>
      <c r="G9" s="199" t="s">
        <v>755</v>
      </c>
      <c r="H9" s="199" t="s">
        <v>756</v>
      </c>
      <c r="I9" s="199" t="s">
        <v>757</v>
      </c>
      <c r="J9" s="199" t="s">
        <v>758</v>
      </c>
      <c r="K9" s="199" t="s">
        <v>759</v>
      </c>
      <c r="L9" s="199" t="s">
        <v>632</v>
      </c>
    </row>
    <row r="10" spans="1:12" ht="30" customHeight="1">
      <c r="A10" s="200">
        <v>1</v>
      </c>
      <c r="B10" s="200" t="s">
        <v>633</v>
      </c>
      <c r="C10" s="206" t="s">
        <v>252</v>
      </c>
      <c r="D10" s="208">
        <f>'COLECTOR MOV. TIERRAS'!F10</f>
        <v>26.32</v>
      </c>
      <c r="E10" s="205">
        <f>'COLECTOR MOV. TIERRAS'!G10</f>
        <v>1.4390000000000001</v>
      </c>
      <c r="F10" s="208">
        <f>'COLECTOR MOV. TIERRAS'!H10</f>
        <v>0.1</v>
      </c>
      <c r="G10" s="208">
        <f>'COLECTOR PARAMETROS'!$C$10</f>
        <v>0.8</v>
      </c>
      <c r="H10" s="208">
        <f t="shared" ref="H10:H16" si="0">2*E10*D10</f>
        <v>75.748959999999997</v>
      </c>
      <c r="I10" s="208">
        <f>2*('COLECTOR PARAMETROS'!$C$12+E10+F10)*D10</f>
        <v>88.908960000000008</v>
      </c>
      <c r="J10" s="208">
        <f t="shared" ref="J10:J16" si="1">G10*D10</f>
        <v>21.056000000000001</v>
      </c>
      <c r="K10" s="213">
        <f t="shared" ref="K10:K16" si="2">SUM(H10:J10)</f>
        <v>185.71392</v>
      </c>
      <c r="L10" s="204" t="s">
        <v>760</v>
      </c>
    </row>
    <row r="11" spans="1:12" ht="30" customHeight="1">
      <c r="A11" s="200">
        <v>2</v>
      </c>
      <c r="B11" s="200" t="s">
        <v>637</v>
      </c>
      <c r="C11" s="206" t="s">
        <v>638</v>
      </c>
      <c r="D11" s="208">
        <f>'COLECTOR MOV. TIERRAS'!F11</f>
        <v>5.01</v>
      </c>
      <c r="E11" s="205">
        <f>'COLECTOR MOV. TIERRAS'!G11</f>
        <v>1.3360000000000001</v>
      </c>
      <c r="F11" s="208">
        <f>'COLECTOR MOV. TIERRAS'!H11</f>
        <v>0.25</v>
      </c>
      <c r="G11" s="208">
        <f>'COLECTOR PARAMETROS'!$C$10</f>
        <v>0.8</v>
      </c>
      <c r="H11" s="208">
        <f t="shared" si="0"/>
        <v>13.38672</v>
      </c>
      <c r="I11" s="208">
        <f>2*('COLECTOR PARAMETROS'!$C$12+E11+F11)*D11</f>
        <v>17.39472</v>
      </c>
      <c r="J11" s="208">
        <f t="shared" si="1"/>
        <v>4.008</v>
      </c>
      <c r="K11" s="213">
        <f t="shared" si="2"/>
        <v>34.789439999999999</v>
      </c>
      <c r="L11" s="204" t="s">
        <v>760</v>
      </c>
    </row>
    <row r="12" spans="1:12" ht="30" customHeight="1">
      <c r="A12" s="200">
        <v>3</v>
      </c>
      <c r="B12" s="200" t="s">
        <v>633</v>
      </c>
      <c r="C12" s="206" t="s">
        <v>252</v>
      </c>
      <c r="D12" s="208">
        <f>'COLECTOR MOV. TIERRAS'!F12</f>
        <v>7.71</v>
      </c>
      <c r="E12" s="205">
        <f>'COLECTOR MOV. TIERRAS'!G12</f>
        <v>1.506</v>
      </c>
      <c r="F12" s="208">
        <f>'COLECTOR MOV. TIERRAS'!H12</f>
        <v>0.1</v>
      </c>
      <c r="G12" s="208">
        <f>'COLECTOR PARAMETROS'!$C$10</f>
        <v>0.8</v>
      </c>
      <c r="H12" s="208">
        <f t="shared" si="0"/>
        <v>23.222519999999999</v>
      </c>
      <c r="I12" s="208">
        <f>2*('COLECTOR PARAMETROS'!$C$12+E12+F12)*D12</f>
        <v>27.07752</v>
      </c>
      <c r="J12" s="208">
        <f t="shared" si="1"/>
        <v>6.1680000000000001</v>
      </c>
      <c r="K12" s="213">
        <f t="shared" si="2"/>
        <v>56.468039999999995</v>
      </c>
      <c r="L12" s="204" t="s">
        <v>760</v>
      </c>
    </row>
    <row r="13" spans="1:12" ht="30" customHeight="1">
      <c r="A13" s="200">
        <v>4</v>
      </c>
      <c r="B13" s="200" t="s">
        <v>641</v>
      </c>
      <c r="C13" s="206" t="s">
        <v>642</v>
      </c>
      <c r="D13" s="208">
        <f>'COLECTOR MOV. TIERRAS'!F13</f>
        <v>2</v>
      </c>
      <c r="E13" s="205">
        <f>'COLECTOR MOV. TIERRAS'!G13</f>
        <v>1.52</v>
      </c>
      <c r="F13" s="208">
        <f>'COLECTOR MOV. TIERRAS'!H13</f>
        <v>0.1</v>
      </c>
      <c r="G13" s="208">
        <f>'COLECTOR PARAMETROS'!$C$10</f>
        <v>0.8</v>
      </c>
      <c r="H13" s="208">
        <f t="shared" si="0"/>
        <v>6.08</v>
      </c>
      <c r="I13" s="208">
        <f>2*('COLECTOR PARAMETROS'!$C$12+E13+F13)*D13</f>
        <v>7.08</v>
      </c>
      <c r="J13" s="208">
        <f t="shared" si="1"/>
        <v>1.6</v>
      </c>
      <c r="K13" s="213">
        <f t="shared" si="2"/>
        <v>14.76</v>
      </c>
      <c r="L13" s="204" t="s">
        <v>760</v>
      </c>
    </row>
    <row r="14" spans="1:12" ht="30" customHeight="1">
      <c r="A14" s="200">
        <v>5</v>
      </c>
      <c r="B14" s="200" t="s">
        <v>633</v>
      </c>
      <c r="C14" s="206" t="s">
        <v>252</v>
      </c>
      <c r="D14" s="208">
        <f>'COLECTOR MOV. TIERRAS'!F14</f>
        <v>17.77</v>
      </c>
      <c r="E14" s="205">
        <f>'COLECTOR MOV. TIERRAS'!G14</f>
        <v>1.55</v>
      </c>
      <c r="F14" s="208">
        <f>'COLECTOR MOV. TIERRAS'!H14</f>
        <v>0.1</v>
      </c>
      <c r="G14" s="208">
        <f>'COLECTOR PARAMETROS'!$C$10</f>
        <v>0.8</v>
      </c>
      <c r="H14" s="208">
        <f t="shared" si="0"/>
        <v>55.087000000000003</v>
      </c>
      <c r="I14" s="208">
        <f>2*('COLECTOR PARAMETROS'!$C$12+E14+F14)*D14</f>
        <v>63.972000000000001</v>
      </c>
      <c r="J14" s="208">
        <f t="shared" si="1"/>
        <v>14.216000000000001</v>
      </c>
      <c r="K14" s="213">
        <f t="shared" si="2"/>
        <v>133.27500000000001</v>
      </c>
      <c r="L14" s="204" t="s">
        <v>760</v>
      </c>
    </row>
    <row r="15" spans="1:12" ht="30" customHeight="1">
      <c r="A15" s="200">
        <v>6</v>
      </c>
      <c r="B15" s="200" t="s">
        <v>645</v>
      </c>
      <c r="C15" s="206" t="s">
        <v>252</v>
      </c>
      <c r="D15" s="208">
        <f>'COLECTOR MOV. TIERRAS'!F15</f>
        <v>8.08</v>
      </c>
      <c r="E15" s="205">
        <f>'COLECTOR MOV. TIERRAS'!G15</f>
        <v>1.589</v>
      </c>
      <c r="F15" s="208">
        <f>'COLECTOR MOV. TIERRAS'!H15</f>
        <v>0.1</v>
      </c>
      <c r="G15" s="208">
        <f>'COLECTOR PARAMETROS'!$C$10</f>
        <v>0.8</v>
      </c>
      <c r="H15" s="208">
        <f t="shared" si="0"/>
        <v>25.678239999999999</v>
      </c>
      <c r="I15" s="208">
        <f>2*('COLECTOR PARAMETROS'!$C$12+E15+F15)*D15</f>
        <v>29.718239999999998</v>
      </c>
      <c r="J15" s="208">
        <f t="shared" si="1"/>
        <v>6.4640000000000004</v>
      </c>
      <c r="K15" s="213">
        <f t="shared" si="2"/>
        <v>61.860479999999995</v>
      </c>
      <c r="L15" s="204" t="s">
        <v>760</v>
      </c>
    </row>
    <row r="16" spans="1:12" ht="30" customHeight="1">
      <c r="A16" s="200">
        <v>7</v>
      </c>
      <c r="B16" s="200" t="s">
        <v>647</v>
      </c>
      <c r="C16" s="206" t="s">
        <v>252</v>
      </c>
      <c r="D16" s="208">
        <f>'COLECTOR MOV. TIERRAS'!F16</f>
        <v>3</v>
      </c>
      <c r="E16" s="205">
        <f>'COLECTOR MOV. TIERRAS'!G16</f>
        <v>1.605</v>
      </c>
      <c r="F16" s="208">
        <f>'COLECTOR MOV. TIERRAS'!H16</f>
        <v>0.1</v>
      </c>
      <c r="G16" s="208">
        <f>'COLECTOR PARAMETROS'!$C$10</f>
        <v>0.8</v>
      </c>
      <c r="H16" s="208">
        <f t="shared" si="0"/>
        <v>9.629999999999999</v>
      </c>
      <c r="I16" s="208">
        <f>2*('COLECTOR PARAMETROS'!$C$12+E16+F16)*D16</f>
        <v>11.129999999999999</v>
      </c>
      <c r="J16" s="208">
        <f t="shared" si="1"/>
        <v>2.4000000000000004</v>
      </c>
      <c r="K16" s="213">
        <f t="shared" si="2"/>
        <v>23.159999999999997</v>
      </c>
      <c r="L16" s="204" t="s">
        <v>760</v>
      </c>
    </row>
    <row r="17" spans="1:12" ht="22" customHeight="1">
      <c r="A17" s="209" t="s">
        <v>649</v>
      </c>
      <c r="B17" s="210"/>
      <c r="C17" s="210"/>
      <c r="D17" s="211">
        <f>SUM(D10:D16)</f>
        <v>69.89</v>
      </c>
      <c r="E17" s="210"/>
      <c r="F17" s="210"/>
      <c r="G17" s="210"/>
      <c r="H17" s="211">
        <f>SUM(H10:H16)</f>
        <v>208.83343999999997</v>
      </c>
      <c r="I17" s="211">
        <f>SUM(I10:I16)</f>
        <v>245.28144000000003</v>
      </c>
      <c r="J17" s="211">
        <f>SUM(J10:J16)</f>
        <v>55.911999999999999</v>
      </c>
      <c r="K17" s="211">
        <f>SUM(K10:K16)</f>
        <v>510.02688000000001</v>
      </c>
      <c r="L17" s="210"/>
    </row>
    <row r="19" spans="1:12" ht="20" customHeight="1">
      <c r="A19" s="353" t="s">
        <v>761</v>
      </c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6"/>
    </row>
    <row r="20" spans="1:12" ht="48" customHeight="1">
      <c r="A20" s="199" t="s">
        <v>333</v>
      </c>
      <c r="B20" s="199" t="s">
        <v>684</v>
      </c>
      <c r="C20" s="199" t="s">
        <v>685</v>
      </c>
      <c r="D20" s="199" t="s">
        <v>686</v>
      </c>
      <c r="E20" s="199" t="s">
        <v>762</v>
      </c>
      <c r="F20" s="199" t="s">
        <v>763</v>
      </c>
      <c r="G20" s="199"/>
      <c r="H20" s="199"/>
      <c r="I20" s="199"/>
      <c r="J20" s="199"/>
      <c r="K20" s="199" t="s">
        <v>764</v>
      </c>
      <c r="L20" s="199" t="s">
        <v>632</v>
      </c>
    </row>
    <row r="21" spans="1:12" ht="30" customHeight="1">
      <c r="A21" s="198"/>
      <c r="B21" s="201" t="s">
        <v>765</v>
      </c>
      <c r="C21" s="200" t="s">
        <v>766</v>
      </c>
      <c r="D21" s="208">
        <f>2*('COLECTOR MOV. TIERRAS'!D21+'COLECTOR MOV. TIERRAS'!E21)</f>
        <v>5</v>
      </c>
      <c r="E21" s="205">
        <f>'COLECTOR MOV. TIERRAS'!F21</f>
        <v>2.2499999999999432</v>
      </c>
      <c r="F21" s="214">
        <v>2</v>
      </c>
      <c r="G21" s="198"/>
      <c r="H21" s="198"/>
      <c r="I21" s="198"/>
      <c r="J21" s="198"/>
      <c r="K21" s="208">
        <f t="shared" ref="K21:K27" si="3">D21*E21*F21</f>
        <v>22.499999999999432</v>
      </c>
      <c r="L21" s="204" t="s">
        <v>767</v>
      </c>
    </row>
    <row r="22" spans="1:12" ht="30" customHeight="1">
      <c r="A22" s="198"/>
      <c r="B22" s="201" t="s">
        <v>768</v>
      </c>
      <c r="C22" s="200" t="s">
        <v>769</v>
      </c>
      <c r="D22" s="208">
        <f>'COLECTOR MOV. TIERRAS'!D21</f>
        <v>1.5</v>
      </c>
      <c r="E22" s="205">
        <f>'COLECTOR MOV. TIERRAS'!E21</f>
        <v>1</v>
      </c>
      <c r="F22" s="214">
        <v>1</v>
      </c>
      <c r="G22" s="198"/>
      <c r="H22" s="198"/>
      <c r="I22" s="198"/>
      <c r="J22" s="198"/>
      <c r="K22" s="208">
        <f t="shared" si="3"/>
        <v>1.5</v>
      </c>
      <c r="L22" s="204" t="s">
        <v>770</v>
      </c>
    </row>
    <row r="23" spans="1:12" ht="30" customHeight="1">
      <c r="A23" s="198"/>
      <c r="B23" s="201" t="s">
        <v>771</v>
      </c>
      <c r="C23" s="200" t="s">
        <v>772</v>
      </c>
      <c r="D23" s="208">
        <f>'COLECTOR MOV. TIERRAS'!E21</f>
        <v>1</v>
      </c>
      <c r="E23" s="205">
        <f>'COLECTOR PARAMETROS'!$C$46</f>
        <v>0.3</v>
      </c>
      <c r="F23" s="214">
        <v>1</v>
      </c>
      <c r="G23" s="198"/>
      <c r="H23" s="198"/>
      <c r="I23" s="198"/>
      <c r="J23" s="198"/>
      <c r="K23" s="208">
        <f t="shared" si="3"/>
        <v>0.3</v>
      </c>
      <c r="L23" s="204" t="s">
        <v>773</v>
      </c>
    </row>
    <row r="24" spans="1:12" ht="30" customHeight="1">
      <c r="A24" s="198"/>
      <c r="B24" s="201" t="s">
        <v>774</v>
      </c>
      <c r="C24" s="200" t="s">
        <v>766</v>
      </c>
      <c r="D24" s="208">
        <f>2*('COLECTOR MOV. TIERRAS'!D22+'COLECTOR MOV. TIERRAS'!E22)</f>
        <v>10</v>
      </c>
      <c r="E24" s="205">
        <f>'COLECTOR MOV. TIERRAS'!F22</f>
        <v>2.17999999999995</v>
      </c>
      <c r="F24" s="214">
        <v>2</v>
      </c>
      <c r="G24" s="198"/>
      <c r="H24" s="198"/>
      <c r="I24" s="198"/>
      <c r="J24" s="198"/>
      <c r="K24" s="208">
        <f t="shared" si="3"/>
        <v>43.599999999999</v>
      </c>
      <c r="L24" s="204" t="s">
        <v>767</v>
      </c>
    </row>
    <row r="25" spans="1:12" ht="30" customHeight="1">
      <c r="A25" s="198"/>
      <c r="B25" s="201" t="s">
        <v>775</v>
      </c>
      <c r="C25" s="200" t="s">
        <v>769</v>
      </c>
      <c r="D25" s="208">
        <f>'COLECTOR MOV. TIERRAS'!D22</f>
        <v>3.5</v>
      </c>
      <c r="E25" s="205">
        <f>'COLECTOR MOV. TIERRAS'!E22</f>
        <v>1.5</v>
      </c>
      <c r="F25" s="214">
        <v>1</v>
      </c>
      <c r="G25" s="198"/>
      <c r="H25" s="198"/>
      <c r="I25" s="198"/>
      <c r="J25" s="198"/>
      <c r="K25" s="208">
        <f t="shared" si="3"/>
        <v>5.25</v>
      </c>
      <c r="L25" s="204" t="s">
        <v>770</v>
      </c>
    </row>
    <row r="26" spans="1:12" ht="30" customHeight="1">
      <c r="A26" s="198"/>
      <c r="B26" s="201" t="s">
        <v>776</v>
      </c>
      <c r="C26" s="200" t="s">
        <v>777</v>
      </c>
      <c r="D26" s="208">
        <f>'COLECTOR MOV. TIERRAS'!E22</f>
        <v>1.5</v>
      </c>
      <c r="E26" s="205">
        <f>'COLECTOR PARAMETROS'!$C$61</f>
        <v>0.4</v>
      </c>
      <c r="F26" s="214">
        <v>2</v>
      </c>
      <c r="G26" s="198"/>
      <c r="H26" s="198"/>
      <c r="I26" s="198"/>
      <c r="J26" s="198"/>
      <c r="K26" s="208">
        <f t="shared" si="3"/>
        <v>1.2000000000000002</v>
      </c>
      <c r="L26" s="204" t="s">
        <v>778</v>
      </c>
    </row>
    <row r="27" spans="1:12" ht="30" customHeight="1">
      <c r="A27" s="198"/>
      <c r="B27" s="201" t="s">
        <v>779</v>
      </c>
      <c r="C27" s="200" t="s">
        <v>772</v>
      </c>
      <c r="D27" s="208">
        <f>'COLECTOR MOV. TIERRAS'!E22</f>
        <v>1.5</v>
      </c>
      <c r="E27" s="205">
        <f>'COLECTOR PARAMETROS'!$C$58-('COLECTOR PARAMETROS'!$C$56-'COLECTOR PARAMETROS'!$C$55)</f>
        <v>0.56999999999993634</v>
      </c>
      <c r="F27" s="214">
        <v>1</v>
      </c>
      <c r="G27" s="198"/>
      <c r="H27" s="198"/>
      <c r="I27" s="198"/>
      <c r="J27" s="198"/>
      <c r="K27" s="208">
        <f t="shared" si="3"/>
        <v>0.8549999999999045</v>
      </c>
      <c r="L27" s="204" t="s">
        <v>773</v>
      </c>
    </row>
    <row r="28" spans="1:12" ht="22" customHeight="1">
      <c r="A28" s="209" t="s">
        <v>665</v>
      </c>
      <c r="B28" s="210"/>
      <c r="C28" s="210"/>
      <c r="D28" s="210"/>
      <c r="E28" s="210"/>
      <c r="F28" s="210"/>
      <c r="G28" s="210"/>
      <c r="H28" s="210"/>
      <c r="I28" s="210"/>
      <c r="J28" s="210"/>
      <c r="K28" s="211">
        <f>SUM(K21:K27)</f>
        <v>75.204999999998336</v>
      </c>
      <c r="L28" s="210"/>
    </row>
    <row r="30" spans="1:12" ht="20" customHeight="1">
      <c r="A30" s="353" t="s">
        <v>780</v>
      </c>
      <c r="B30" s="348"/>
      <c r="C30" s="348"/>
      <c r="D30" s="348"/>
      <c r="E30" s="348"/>
      <c r="F30" s="348"/>
      <c r="G30" s="348"/>
      <c r="H30" s="348"/>
      <c r="I30" s="348"/>
      <c r="J30" s="348"/>
      <c r="K30" s="348"/>
      <c r="L30" s="346"/>
    </row>
    <row r="31" spans="1:12" ht="22" customHeight="1">
      <c r="A31" s="200">
        <v>1</v>
      </c>
      <c r="B31" s="352" t="s">
        <v>972</v>
      </c>
      <c r="C31" s="348"/>
      <c r="D31" s="348"/>
      <c r="E31" s="346"/>
      <c r="F31" s="203" t="s">
        <v>186</v>
      </c>
      <c r="G31" s="208">
        <f>K17</f>
        <v>510.02688000000001</v>
      </c>
      <c r="H31" s="208">
        <f>K28</f>
        <v>75.204999999998336</v>
      </c>
      <c r="I31" s="213">
        <f>G31+H31</f>
        <v>585.23187999999834</v>
      </c>
    </row>
  </sheetData>
  <mergeCells count="13">
    <mergeCell ref="A1:L1"/>
    <mergeCell ref="C3:L3"/>
    <mergeCell ref="A5:B5"/>
    <mergeCell ref="C2:L2"/>
    <mergeCell ref="A3:B3"/>
    <mergeCell ref="A4:B4"/>
    <mergeCell ref="B31:E31"/>
    <mergeCell ref="C5:L5"/>
    <mergeCell ref="A30:L30"/>
    <mergeCell ref="A2:B2"/>
    <mergeCell ref="A7:L7"/>
    <mergeCell ref="A19:L19"/>
    <mergeCell ref="C4:L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41"/>
  <sheetViews>
    <sheetView workbookViewId="0">
      <pane xSplit="2" ySplit="9" topLeftCell="C10" activePane="bottomRight" state="frozen"/>
      <selection pane="topRight"/>
      <selection pane="bottomLeft"/>
      <selection pane="bottomRight" sqref="A1:V1"/>
    </sheetView>
  </sheetViews>
  <sheetFormatPr baseColWidth="10" defaultColWidth="8.7265625" defaultRowHeight="14.5"/>
  <cols>
    <col min="1" max="1" width="5" customWidth="1"/>
    <col min="2" max="2" width="24" customWidth="1"/>
    <col min="3" max="3" width="11" customWidth="1"/>
    <col min="4" max="5" width="10" customWidth="1"/>
    <col min="6" max="8" width="9" customWidth="1"/>
    <col min="9" max="9" width="11" customWidth="1"/>
    <col min="10" max="20" width="9" customWidth="1"/>
    <col min="21" max="21" width="11" customWidth="1"/>
    <col min="22" max="22" width="44" customWidth="1"/>
  </cols>
  <sheetData>
    <row r="1" spans="1:22" ht="27" customHeight="1">
      <c r="A1" s="349" t="s">
        <v>781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  <c r="V1" s="346"/>
    </row>
    <row r="2" spans="1:22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346"/>
    </row>
    <row r="3" spans="1:22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8"/>
      <c r="S3" s="348"/>
      <c r="T3" s="348"/>
      <c r="U3" s="348"/>
      <c r="V3" s="346"/>
    </row>
    <row r="4" spans="1:22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8"/>
      <c r="O4" s="348"/>
      <c r="P4" s="348"/>
      <c r="Q4" s="348"/>
      <c r="R4" s="348"/>
      <c r="S4" s="348"/>
      <c r="T4" s="348"/>
      <c r="U4" s="348"/>
      <c r="V4" s="346"/>
    </row>
    <row r="5" spans="1:22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8"/>
      <c r="S5" s="348"/>
      <c r="T5" s="348"/>
      <c r="U5" s="348"/>
      <c r="V5" s="346"/>
    </row>
    <row r="7" spans="1:22" ht="48" customHeight="1">
      <c r="A7" s="351" t="s">
        <v>782</v>
      </c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6"/>
    </row>
    <row r="9" spans="1:22" ht="60" customHeight="1">
      <c r="A9" s="199" t="s">
        <v>333</v>
      </c>
      <c r="B9" s="199" t="s">
        <v>335</v>
      </c>
      <c r="C9" s="199" t="s">
        <v>618</v>
      </c>
      <c r="D9" s="199" t="s">
        <v>289</v>
      </c>
      <c r="E9" s="199" t="s">
        <v>621</v>
      </c>
      <c r="F9" s="199" t="s">
        <v>622</v>
      </c>
      <c r="G9" s="199" t="s">
        <v>675</v>
      </c>
      <c r="H9" s="199" t="s">
        <v>783</v>
      </c>
      <c r="I9" s="199" t="s">
        <v>784</v>
      </c>
      <c r="J9" s="199" t="s">
        <v>785</v>
      </c>
      <c r="K9" s="199" t="s">
        <v>786</v>
      </c>
      <c r="L9" s="199" t="s">
        <v>787</v>
      </c>
      <c r="M9" s="199" t="s">
        <v>788</v>
      </c>
      <c r="N9" s="199" t="s">
        <v>789</v>
      </c>
      <c r="O9" s="199" t="s">
        <v>790</v>
      </c>
      <c r="P9" s="199" t="s">
        <v>791</v>
      </c>
      <c r="Q9" s="199" t="s">
        <v>792</v>
      </c>
      <c r="R9" s="199" t="s">
        <v>793</v>
      </c>
      <c r="S9" s="199" t="s">
        <v>794</v>
      </c>
      <c r="T9" s="199" t="s">
        <v>795</v>
      </c>
      <c r="U9" s="199" t="s">
        <v>796</v>
      </c>
      <c r="V9" s="199" t="s">
        <v>632</v>
      </c>
    </row>
    <row r="10" spans="1:22" ht="30" customHeight="1">
      <c r="A10" s="200">
        <v>1</v>
      </c>
      <c r="B10" s="200" t="s">
        <v>633</v>
      </c>
      <c r="C10" s="206" t="s">
        <v>252</v>
      </c>
      <c r="D10" s="208">
        <f>'COLECTOR MOV. TIERRAS'!F10</f>
        <v>26.32</v>
      </c>
      <c r="E10" s="205">
        <f>'COLECTOR MOV. TIERRAS'!G10</f>
        <v>1.4390000000000001</v>
      </c>
      <c r="F10" s="208">
        <f>'COLECTOR MOV. TIERRAS'!H10</f>
        <v>0.1</v>
      </c>
      <c r="G10" s="208">
        <f>'COLECTOR MOV. TIERRAS'!I10</f>
        <v>1.1000000000000001</v>
      </c>
      <c r="H10" s="208">
        <f>'COLECTOR PARAMETROS'!$C$26</f>
        <v>0.2</v>
      </c>
      <c r="I10" s="214">
        <v>1</v>
      </c>
      <c r="J10" s="206" t="s">
        <v>370</v>
      </c>
      <c r="K10" s="215">
        <f t="shared" ref="K10:K16" si="0">ROUNDUP(D10/H10,0)</f>
        <v>132</v>
      </c>
      <c r="L10" s="205">
        <f>IF(I10=2,2*(G10-2*'COLECTOR PARAMETROS'!$C$19)+2*('COLECTOR PARAMETROS'!$C$12+E10+F10-2*'COLECTOR PARAMETROS'!$C$19)+'COLECTOR PARAMETROS'!$C$24,2*(G10-'COLECTOR PARAMETROS'!$C$11)+2*('COLECTOR PARAMETROS'!$C$12/2+E10+F10/2)+'COLECTOR PARAMETROS'!$C$24)</f>
        <v>5.3280000000000003</v>
      </c>
      <c r="M10" s="205">
        <f>IF(I10=2,2*('COLECTOR PARAMETROS'!$C$10+2*('COLECTOR PARAMETROS'!$C$11-'COLECTOR PARAMETROS'!$C$19))+2*(E10+2*('COLECTOR PARAMETROS'!$C$11-'COLECTOR PARAMETROS'!$C$19))+'COLECTOR PARAMETROS'!$C$24,0)</f>
        <v>0</v>
      </c>
      <c r="N10" s="208">
        <f t="shared" ref="N10:N16" si="1">K10*(L10+M10)</f>
        <v>703.29600000000005</v>
      </c>
      <c r="O10" s="205">
        <f>IF(J10="1/2""",'COLECTOR PARAMETROS'!$C$21,'COLECTOR PARAMETROS'!$C$20)</f>
        <v>0.56000000000000005</v>
      </c>
      <c r="P10" s="208">
        <f t="shared" ref="P10:P16" si="2">N10*O10</f>
        <v>393.84576000000004</v>
      </c>
      <c r="Q10" s="208">
        <f>'COLECTOR PARAMETROS'!$C$28</f>
        <v>0.25</v>
      </c>
      <c r="R10" s="215">
        <f t="shared" ref="R10:R16" si="3">ROUND(L10/Q10,0)+IF(M10&gt;0,ROUND(M10/Q10,0),0)</f>
        <v>21</v>
      </c>
      <c r="S10" s="208">
        <f>R10*D10*(1+'COLECTOR PARAMETROS'!$C$22/'COLECTOR PARAMETROS'!$C$23)</f>
        <v>577.28533333333337</v>
      </c>
      <c r="T10" s="208">
        <f>S10*'COLECTOR PARAMETROS'!$C$20</f>
        <v>323.27978666666672</v>
      </c>
      <c r="U10" s="213">
        <f t="shared" ref="U10:U16" si="4">P10+T10</f>
        <v>717.12554666666676</v>
      </c>
      <c r="V10" s="204" t="s">
        <v>797</v>
      </c>
    </row>
    <row r="11" spans="1:22" ht="30" customHeight="1">
      <c r="A11" s="200">
        <v>2</v>
      </c>
      <c r="B11" s="200" t="s">
        <v>637</v>
      </c>
      <c r="C11" s="206" t="s">
        <v>638</v>
      </c>
      <c r="D11" s="208">
        <f>'COLECTOR MOV. TIERRAS'!F11</f>
        <v>5.01</v>
      </c>
      <c r="E11" s="205">
        <f>'COLECTOR MOV. TIERRAS'!G11</f>
        <v>1.3360000000000001</v>
      </c>
      <c r="F11" s="208">
        <f>'COLECTOR MOV. TIERRAS'!H11</f>
        <v>0.25</v>
      </c>
      <c r="G11" s="208">
        <f>'COLECTOR MOV. TIERRAS'!I11</f>
        <v>1.1000000000000001</v>
      </c>
      <c r="H11" s="208">
        <f>'COLECTOR PARAMETROS'!$C$27</f>
        <v>0.15</v>
      </c>
      <c r="I11" s="214">
        <v>2</v>
      </c>
      <c r="J11" s="206" t="s">
        <v>509</v>
      </c>
      <c r="K11" s="215">
        <f t="shared" si="0"/>
        <v>34</v>
      </c>
      <c r="L11" s="205">
        <f>IF(I11=2,2*(G11-2*'COLECTOR PARAMETROS'!$C$19)+2*('COLECTOR PARAMETROS'!$C$12+E11+F11-2*'COLECTOR PARAMETROS'!$C$19)+'COLECTOR PARAMETROS'!$C$24,2*(G11-'COLECTOR PARAMETROS'!$C$11)+2*('COLECTOR PARAMETROS'!$C$12/2+E11+F11/2)+'COLECTOR PARAMETROS'!$C$24)</f>
        <v>5.6520000000000001</v>
      </c>
      <c r="M11" s="205">
        <f>IF(I11=2,2*('COLECTOR PARAMETROS'!$C$10+2*('COLECTOR PARAMETROS'!$C$11-'COLECTOR PARAMETROS'!$C$19))+2*(E11+2*('COLECTOR PARAMETROS'!$C$11-'COLECTOR PARAMETROS'!$C$19))+'COLECTOR PARAMETROS'!$C$24,0)</f>
        <v>5.452</v>
      </c>
      <c r="N11" s="208">
        <f t="shared" si="1"/>
        <v>377.53599999999994</v>
      </c>
      <c r="O11" s="205">
        <f>IF(J11="1/2""",'COLECTOR PARAMETROS'!$C$21,'COLECTOR PARAMETROS'!$C$20)</f>
        <v>0.99399999999999999</v>
      </c>
      <c r="P11" s="208">
        <f t="shared" si="2"/>
        <v>375.27078399999994</v>
      </c>
      <c r="Q11" s="208">
        <f>'COLECTOR PARAMETROS'!$C$29</f>
        <v>0.2</v>
      </c>
      <c r="R11" s="215">
        <f t="shared" si="3"/>
        <v>55</v>
      </c>
      <c r="S11" s="208">
        <f>R11*D11*(1+'COLECTOR PARAMETROS'!$C$22/'COLECTOR PARAMETROS'!$C$23)</f>
        <v>287.79666666666668</v>
      </c>
      <c r="T11" s="208">
        <f>S11*'COLECTOR PARAMETROS'!$C$20</f>
        <v>161.16613333333336</v>
      </c>
      <c r="U11" s="213">
        <f t="shared" si="4"/>
        <v>536.43691733333333</v>
      </c>
      <c r="V11" s="204" t="s">
        <v>798</v>
      </c>
    </row>
    <row r="12" spans="1:22" ht="30" customHeight="1">
      <c r="A12" s="200">
        <v>3</v>
      </c>
      <c r="B12" s="200" t="s">
        <v>633</v>
      </c>
      <c r="C12" s="206" t="s">
        <v>252</v>
      </c>
      <c r="D12" s="208">
        <f>'COLECTOR MOV. TIERRAS'!F12</f>
        <v>7.71</v>
      </c>
      <c r="E12" s="205">
        <f>'COLECTOR MOV. TIERRAS'!G12</f>
        <v>1.506</v>
      </c>
      <c r="F12" s="208">
        <f>'COLECTOR MOV. TIERRAS'!H12</f>
        <v>0.1</v>
      </c>
      <c r="G12" s="208">
        <f>'COLECTOR MOV. TIERRAS'!I12</f>
        <v>1.1000000000000001</v>
      </c>
      <c r="H12" s="208">
        <f>'COLECTOR PARAMETROS'!$C$26</f>
        <v>0.2</v>
      </c>
      <c r="I12" s="214">
        <v>1</v>
      </c>
      <c r="J12" s="206" t="s">
        <v>370</v>
      </c>
      <c r="K12" s="215">
        <f t="shared" si="0"/>
        <v>39</v>
      </c>
      <c r="L12" s="205">
        <f>IF(I12=2,2*(G12-2*'COLECTOR PARAMETROS'!$C$19)+2*('COLECTOR PARAMETROS'!$C$12+E12+F12-2*'COLECTOR PARAMETROS'!$C$19)+'COLECTOR PARAMETROS'!$C$24,2*(G12-'COLECTOR PARAMETROS'!$C$11)+2*('COLECTOR PARAMETROS'!$C$12/2+E12+F12/2)+'COLECTOR PARAMETROS'!$C$24)</f>
        <v>5.4619999999999997</v>
      </c>
      <c r="M12" s="205">
        <f>IF(I12=2,2*('COLECTOR PARAMETROS'!$C$10+2*('COLECTOR PARAMETROS'!$C$11-'COLECTOR PARAMETROS'!$C$19))+2*(E12+2*('COLECTOR PARAMETROS'!$C$11-'COLECTOR PARAMETROS'!$C$19))+'COLECTOR PARAMETROS'!$C$24,0)</f>
        <v>0</v>
      </c>
      <c r="N12" s="208">
        <f t="shared" si="1"/>
        <v>213.018</v>
      </c>
      <c r="O12" s="205">
        <f>IF(J12="1/2""",'COLECTOR PARAMETROS'!$C$21,'COLECTOR PARAMETROS'!$C$20)</f>
        <v>0.56000000000000005</v>
      </c>
      <c r="P12" s="208">
        <f t="shared" si="2"/>
        <v>119.29008000000002</v>
      </c>
      <c r="Q12" s="208">
        <f>'COLECTOR PARAMETROS'!$C$28</f>
        <v>0.25</v>
      </c>
      <c r="R12" s="215">
        <f t="shared" si="3"/>
        <v>22</v>
      </c>
      <c r="S12" s="208">
        <f>R12*D12*(1+'COLECTOR PARAMETROS'!$C$22/'COLECTOR PARAMETROS'!$C$23)</f>
        <v>177.15866666666668</v>
      </c>
      <c r="T12" s="208">
        <f>S12*'COLECTOR PARAMETROS'!$C$20</f>
        <v>99.208853333333352</v>
      </c>
      <c r="U12" s="213">
        <f t="shared" si="4"/>
        <v>218.49893333333335</v>
      </c>
      <c r="V12" s="204" t="s">
        <v>797</v>
      </c>
    </row>
    <row r="13" spans="1:22" ht="30" customHeight="1">
      <c r="A13" s="200">
        <v>4</v>
      </c>
      <c r="B13" s="200" t="s">
        <v>641</v>
      </c>
      <c r="C13" s="206" t="s">
        <v>642</v>
      </c>
      <c r="D13" s="208">
        <f>'COLECTOR MOV. TIERRAS'!F13</f>
        <v>2</v>
      </c>
      <c r="E13" s="205">
        <f>'COLECTOR MOV. TIERRAS'!G13</f>
        <v>1.52</v>
      </c>
      <c r="F13" s="208">
        <f>'COLECTOR MOV. TIERRAS'!H13</f>
        <v>0.1</v>
      </c>
      <c r="G13" s="208">
        <f>'COLECTOR MOV. TIERRAS'!I13</f>
        <v>1.1000000000000001</v>
      </c>
      <c r="H13" s="208">
        <f>'COLECTOR PARAMETROS'!$C$27</f>
        <v>0.15</v>
      </c>
      <c r="I13" s="214">
        <v>1</v>
      </c>
      <c r="J13" s="206" t="s">
        <v>370</v>
      </c>
      <c r="K13" s="215">
        <f t="shared" si="0"/>
        <v>14</v>
      </c>
      <c r="L13" s="205">
        <f>IF(I13=2,2*(G13-2*'COLECTOR PARAMETROS'!$C$19)+2*('COLECTOR PARAMETROS'!$C$12+E13+F13-2*'COLECTOR PARAMETROS'!$C$19)+'COLECTOR PARAMETROS'!$C$24,2*(G13-'COLECTOR PARAMETROS'!$C$11)+2*('COLECTOR PARAMETROS'!$C$12/2+E13+F13/2)+'COLECTOR PARAMETROS'!$C$24)</f>
        <v>5.49</v>
      </c>
      <c r="M13" s="205">
        <f>IF(I13=2,2*('COLECTOR PARAMETROS'!$C$10+2*('COLECTOR PARAMETROS'!$C$11-'COLECTOR PARAMETROS'!$C$19))+2*(E13+2*('COLECTOR PARAMETROS'!$C$11-'COLECTOR PARAMETROS'!$C$19))+'COLECTOR PARAMETROS'!$C$24,0)</f>
        <v>0</v>
      </c>
      <c r="N13" s="208">
        <f t="shared" si="1"/>
        <v>76.86</v>
      </c>
      <c r="O13" s="205">
        <f>IF(J13="1/2""",'COLECTOR PARAMETROS'!$C$21,'COLECTOR PARAMETROS'!$C$20)</f>
        <v>0.56000000000000005</v>
      </c>
      <c r="P13" s="208">
        <f t="shared" si="2"/>
        <v>43.041600000000003</v>
      </c>
      <c r="Q13" s="208">
        <f>'COLECTOR PARAMETROS'!$C$28</f>
        <v>0.25</v>
      </c>
      <c r="R13" s="215">
        <f t="shared" si="3"/>
        <v>22</v>
      </c>
      <c r="S13" s="208">
        <f>R13*D13*(1+'COLECTOR PARAMETROS'!$C$22/'COLECTOR PARAMETROS'!$C$23)</f>
        <v>45.955555555555556</v>
      </c>
      <c r="T13" s="208">
        <f>S13*'COLECTOR PARAMETROS'!$C$20</f>
        <v>25.735111111111113</v>
      </c>
      <c r="U13" s="213">
        <f t="shared" si="4"/>
        <v>68.776711111111112</v>
      </c>
      <c r="V13" s="204" t="s">
        <v>799</v>
      </c>
    </row>
    <row r="14" spans="1:22" ht="30" customHeight="1">
      <c r="A14" s="200">
        <v>5</v>
      </c>
      <c r="B14" s="200" t="s">
        <v>633</v>
      </c>
      <c r="C14" s="206" t="s">
        <v>252</v>
      </c>
      <c r="D14" s="208">
        <f>'COLECTOR MOV. TIERRAS'!F14</f>
        <v>17.77</v>
      </c>
      <c r="E14" s="205">
        <f>'COLECTOR MOV. TIERRAS'!G14</f>
        <v>1.55</v>
      </c>
      <c r="F14" s="208">
        <f>'COLECTOR MOV. TIERRAS'!H14</f>
        <v>0.1</v>
      </c>
      <c r="G14" s="208">
        <f>'COLECTOR MOV. TIERRAS'!I14</f>
        <v>1.1000000000000001</v>
      </c>
      <c r="H14" s="208">
        <f>'COLECTOR PARAMETROS'!$C$26</f>
        <v>0.2</v>
      </c>
      <c r="I14" s="214">
        <v>1</v>
      </c>
      <c r="J14" s="206" t="s">
        <v>370</v>
      </c>
      <c r="K14" s="215">
        <f t="shared" si="0"/>
        <v>89</v>
      </c>
      <c r="L14" s="205">
        <f>IF(I14=2,2*(G14-2*'COLECTOR PARAMETROS'!$C$19)+2*('COLECTOR PARAMETROS'!$C$12+E14+F14-2*'COLECTOR PARAMETROS'!$C$19)+'COLECTOR PARAMETROS'!$C$24,2*(G14-'COLECTOR PARAMETROS'!$C$11)+2*('COLECTOR PARAMETROS'!$C$12/2+E14+F14/2)+'COLECTOR PARAMETROS'!$C$24)</f>
        <v>5.55</v>
      </c>
      <c r="M14" s="205">
        <f>IF(I14=2,2*('COLECTOR PARAMETROS'!$C$10+2*('COLECTOR PARAMETROS'!$C$11-'COLECTOR PARAMETROS'!$C$19))+2*(E14+2*('COLECTOR PARAMETROS'!$C$11-'COLECTOR PARAMETROS'!$C$19))+'COLECTOR PARAMETROS'!$C$24,0)</f>
        <v>0</v>
      </c>
      <c r="N14" s="208">
        <f t="shared" si="1"/>
        <v>493.95</v>
      </c>
      <c r="O14" s="205">
        <f>IF(J14="1/2""",'COLECTOR PARAMETROS'!$C$21,'COLECTOR PARAMETROS'!$C$20)</f>
        <v>0.56000000000000005</v>
      </c>
      <c r="P14" s="208">
        <f t="shared" si="2"/>
        <v>276.61200000000002</v>
      </c>
      <c r="Q14" s="208">
        <f>'COLECTOR PARAMETROS'!$C$28</f>
        <v>0.25</v>
      </c>
      <c r="R14" s="215">
        <f t="shared" si="3"/>
        <v>22</v>
      </c>
      <c r="S14" s="208">
        <f>R14*D14*(1+'COLECTOR PARAMETROS'!$C$22/'COLECTOR PARAMETROS'!$C$23)</f>
        <v>408.31511111111115</v>
      </c>
      <c r="T14" s="208">
        <f>S14*'COLECTOR PARAMETROS'!$C$20</f>
        <v>228.65646222222227</v>
      </c>
      <c r="U14" s="213">
        <f t="shared" si="4"/>
        <v>505.2684622222223</v>
      </c>
      <c r="V14" s="204" t="s">
        <v>797</v>
      </c>
    </row>
    <row r="15" spans="1:22" ht="30" customHeight="1">
      <c r="A15" s="200">
        <v>6</v>
      </c>
      <c r="B15" s="200" t="s">
        <v>645</v>
      </c>
      <c r="C15" s="206" t="s">
        <v>252</v>
      </c>
      <c r="D15" s="208">
        <f>'COLECTOR MOV. TIERRAS'!F15</f>
        <v>8.08</v>
      </c>
      <c r="E15" s="205">
        <f>'COLECTOR MOV. TIERRAS'!G15</f>
        <v>1.589</v>
      </c>
      <c r="F15" s="208">
        <f>'COLECTOR MOV. TIERRAS'!H15</f>
        <v>0.1</v>
      </c>
      <c r="G15" s="208">
        <f>'COLECTOR MOV. TIERRAS'!I15</f>
        <v>1.1000000000000001</v>
      </c>
      <c r="H15" s="208">
        <f>'COLECTOR PARAMETROS'!$C$26</f>
        <v>0.2</v>
      </c>
      <c r="I15" s="214">
        <v>1</v>
      </c>
      <c r="J15" s="206" t="s">
        <v>370</v>
      </c>
      <c r="K15" s="215">
        <f t="shared" si="0"/>
        <v>41</v>
      </c>
      <c r="L15" s="205">
        <f>IF(I15=2,2*(G15-2*'COLECTOR PARAMETROS'!$C$19)+2*('COLECTOR PARAMETROS'!$C$12+E15+F15-2*'COLECTOR PARAMETROS'!$C$19)+'COLECTOR PARAMETROS'!$C$24,2*(G15-'COLECTOR PARAMETROS'!$C$11)+2*('COLECTOR PARAMETROS'!$C$12/2+E15+F15/2)+'COLECTOR PARAMETROS'!$C$24)</f>
        <v>5.6280000000000001</v>
      </c>
      <c r="M15" s="205">
        <f>IF(I15=2,2*('COLECTOR PARAMETROS'!$C$10+2*('COLECTOR PARAMETROS'!$C$11-'COLECTOR PARAMETROS'!$C$19))+2*(E15+2*('COLECTOR PARAMETROS'!$C$11-'COLECTOR PARAMETROS'!$C$19))+'COLECTOR PARAMETROS'!$C$24,0)</f>
        <v>0</v>
      </c>
      <c r="N15" s="208">
        <f t="shared" si="1"/>
        <v>230.74799999999999</v>
      </c>
      <c r="O15" s="205">
        <f>IF(J15="1/2""",'COLECTOR PARAMETROS'!$C$21,'COLECTOR PARAMETROS'!$C$20)</f>
        <v>0.56000000000000005</v>
      </c>
      <c r="P15" s="208">
        <f t="shared" si="2"/>
        <v>129.21888000000001</v>
      </c>
      <c r="Q15" s="208">
        <f>'COLECTOR PARAMETROS'!$C$28</f>
        <v>0.25</v>
      </c>
      <c r="R15" s="215">
        <f t="shared" si="3"/>
        <v>23</v>
      </c>
      <c r="S15" s="208">
        <f>R15*D15*(1+'COLECTOR PARAMETROS'!$C$22/'COLECTOR PARAMETROS'!$C$23)</f>
        <v>194.09955555555558</v>
      </c>
      <c r="T15" s="208">
        <f>S15*'COLECTOR PARAMETROS'!$C$20</f>
        <v>108.69575111111114</v>
      </c>
      <c r="U15" s="213">
        <f t="shared" si="4"/>
        <v>237.91463111111113</v>
      </c>
      <c r="V15" s="204" t="s">
        <v>797</v>
      </c>
    </row>
    <row r="16" spans="1:22" ht="30" customHeight="1">
      <c r="A16" s="200">
        <v>7</v>
      </c>
      <c r="B16" s="200" t="s">
        <v>647</v>
      </c>
      <c r="C16" s="206" t="s">
        <v>252</v>
      </c>
      <c r="D16" s="208">
        <f>'COLECTOR MOV. TIERRAS'!F16</f>
        <v>3</v>
      </c>
      <c r="E16" s="205">
        <f>'COLECTOR MOV. TIERRAS'!G16</f>
        <v>1.605</v>
      </c>
      <c r="F16" s="208">
        <f>'COLECTOR MOV. TIERRAS'!H16</f>
        <v>0.1</v>
      </c>
      <c r="G16" s="208">
        <f>'COLECTOR MOV. TIERRAS'!I16</f>
        <v>1.1000000000000001</v>
      </c>
      <c r="H16" s="208">
        <f>'COLECTOR PARAMETROS'!$C$26</f>
        <v>0.2</v>
      </c>
      <c r="I16" s="214">
        <v>1</v>
      </c>
      <c r="J16" s="206" t="s">
        <v>370</v>
      </c>
      <c r="K16" s="215">
        <f t="shared" si="0"/>
        <v>15</v>
      </c>
      <c r="L16" s="205">
        <f>IF(I16=2,2*(G16-2*'COLECTOR PARAMETROS'!$C$19)+2*('COLECTOR PARAMETROS'!$C$12+E16+F16-2*'COLECTOR PARAMETROS'!$C$19)+'COLECTOR PARAMETROS'!$C$24,2*(G16-'COLECTOR PARAMETROS'!$C$11)+2*('COLECTOR PARAMETROS'!$C$12/2+E16+F16/2)+'COLECTOR PARAMETROS'!$C$24)</f>
        <v>5.66</v>
      </c>
      <c r="M16" s="205">
        <f>IF(I16=2,2*('COLECTOR PARAMETROS'!$C$10+2*('COLECTOR PARAMETROS'!$C$11-'COLECTOR PARAMETROS'!$C$19))+2*(E16+2*('COLECTOR PARAMETROS'!$C$11-'COLECTOR PARAMETROS'!$C$19))+'COLECTOR PARAMETROS'!$C$24,0)</f>
        <v>0</v>
      </c>
      <c r="N16" s="208">
        <f t="shared" si="1"/>
        <v>84.9</v>
      </c>
      <c r="O16" s="205">
        <f>IF(J16="1/2""",'COLECTOR PARAMETROS'!$C$21,'COLECTOR PARAMETROS'!$C$20)</f>
        <v>0.56000000000000005</v>
      </c>
      <c r="P16" s="208">
        <f t="shared" si="2"/>
        <v>47.544000000000011</v>
      </c>
      <c r="Q16" s="208">
        <f>'COLECTOR PARAMETROS'!$C$28</f>
        <v>0.25</v>
      </c>
      <c r="R16" s="215">
        <f t="shared" si="3"/>
        <v>23</v>
      </c>
      <c r="S16" s="208">
        <f>R16*D16*(1+'COLECTOR PARAMETROS'!$C$22/'COLECTOR PARAMETROS'!$C$23)</f>
        <v>72.066666666666677</v>
      </c>
      <c r="T16" s="208">
        <f>S16*'COLECTOR PARAMETROS'!$C$20</f>
        <v>40.357333333333344</v>
      </c>
      <c r="U16" s="213">
        <f t="shared" si="4"/>
        <v>87.901333333333355</v>
      </c>
      <c r="V16" s="204" t="s">
        <v>797</v>
      </c>
    </row>
    <row r="17" spans="1:22" ht="22" customHeight="1">
      <c r="A17" s="209" t="s">
        <v>649</v>
      </c>
      <c r="B17" s="210"/>
      <c r="C17" s="210"/>
      <c r="D17" s="211">
        <f>SUM(D10:D16)</f>
        <v>69.89</v>
      </c>
      <c r="E17" s="210"/>
      <c r="F17" s="210"/>
      <c r="G17" s="210"/>
      <c r="H17" s="210"/>
      <c r="I17" s="210"/>
      <c r="J17" s="210"/>
      <c r="K17" s="210"/>
      <c r="L17" s="210"/>
      <c r="M17" s="210"/>
      <c r="N17" s="211">
        <f>SUM(N10:N16)</f>
        <v>2180.308</v>
      </c>
      <c r="O17" s="210"/>
      <c r="P17" s="211">
        <f>SUM(P10:P16)</f>
        <v>1384.8231040000003</v>
      </c>
      <c r="Q17" s="210"/>
      <c r="R17" s="210"/>
      <c r="S17" s="211">
        <f>SUM(S10:S16)</f>
        <v>1762.6775555555555</v>
      </c>
      <c r="T17" s="211">
        <f>SUM(T10:T16)</f>
        <v>987.09943111111124</v>
      </c>
      <c r="U17" s="211">
        <f>SUM(U10:U16)</f>
        <v>2371.9225351111113</v>
      </c>
      <c r="V17" s="210"/>
    </row>
    <row r="19" spans="1:22" ht="20" customHeight="1">
      <c r="A19" s="353" t="s">
        <v>800</v>
      </c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8"/>
      <c r="O19" s="348"/>
      <c r="P19" s="348"/>
      <c r="Q19" s="348"/>
      <c r="R19" s="348"/>
      <c r="S19" s="348"/>
      <c r="T19" s="348"/>
      <c r="U19" s="348"/>
      <c r="V19" s="346"/>
    </row>
    <row r="20" spans="1:22" ht="60" customHeight="1">
      <c r="A20" s="199" t="s">
        <v>333</v>
      </c>
      <c r="B20" s="199" t="s">
        <v>801</v>
      </c>
      <c r="C20" s="199" t="s">
        <v>685</v>
      </c>
      <c r="D20" s="199" t="s">
        <v>802</v>
      </c>
      <c r="E20" s="199" t="s">
        <v>803</v>
      </c>
      <c r="F20" s="199" t="s">
        <v>804</v>
      </c>
      <c r="G20" s="199" t="s">
        <v>763</v>
      </c>
      <c r="H20" s="199" t="s">
        <v>805</v>
      </c>
      <c r="I20" s="199" t="s">
        <v>806</v>
      </c>
      <c r="J20" s="199" t="s">
        <v>807</v>
      </c>
      <c r="K20" s="199" t="s">
        <v>790</v>
      </c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808</v>
      </c>
      <c r="V20" s="199" t="s">
        <v>632</v>
      </c>
    </row>
    <row r="21" spans="1:22" ht="30" customHeight="1">
      <c r="A21" s="198"/>
      <c r="B21" s="201" t="s">
        <v>694</v>
      </c>
      <c r="C21" s="200" t="s">
        <v>719</v>
      </c>
      <c r="D21" s="208">
        <f>'COLECTOR MOV. TIERRAS'!D21+2*'COLECTOR PARAMETROS'!$C$11</f>
        <v>1.8</v>
      </c>
      <c r="E21" s="205">
        <f>'COLECTOR MOV. TIERRAS'!E21+2*'COLECTOR PARAMETROS'!$C$11</f>
        <v>1.3</v>
      </c>
      <c r="F21" s="208">
        <f>'COLECTOR PARAMETROS'!$C$30</f>
        <v>0.2</v>
      </c>
      <c r="G21" s="214">
        <v>2</v>
      </c>
      <c r="H21" s="214">
        <v>1</v>
      </c>
      <c r="I21" s="208">
        <f t="shared" ref="I21:I28" si="5">((D21/F21+1)*E21+(E21/F21+1)*D21)*G21*H21</f>
        <v>53</v>
      </c>
      <c r="J21" s="208">
        <f>'COLECTOR PARAMETROS'!$C$31</f>
        <v>1.1000000000000001</v>
      </c>
      <c r="K21" s="205">
        <f>'COLECTOR PARAMETROS'!$C$20</f>
        <v>0.56000000000000005</v>
      </c>
      <c r="L21" s="198"/>
      <c r="M21" s="198"/>
      <c r="N21" s="198"/>
      <c r="O21" s="198"/>
      <c r="P21" s="198"/>
      <c r="Q21" s="198"/>
      <c r="R21" s="198"/>
      <c r="S21" s="198"/>
      <c r="T21" s="198"/>
      <c r="U21" s="213">
        <f t="shared" ref="U21:U28" si="6">I21*J21*K21</f>
        <v>32.648000000000003</v>
      </c>
      <c r="V21" s="204" t="s">
        <v>809</v>
      </c>
    </row>
    <row r="22" spans="1:22" ht="30" customHeight="1">
      <c r="A22" s="198"/>
      <c r="B22" s="201" t="s">
        <v>713</v>
      </c>
      <c r="C22" s="200" t="s">
        <v>719</v>
      </c>
      <c r="D22" s="208">
        <f>'COLECTOR MOV. TIERRAS'!D21+2*'COLECTOR PARAMETROS'!$C$11</f>
        <v>1.8</v>
      </c>
      <c r="E22" s="205">
        <f>'COLECTOR MOV. TIERRAS'!E21+2*'COLECTOR PARAMETROS'!$C$11</f>
        <v>1.3</v>
      </c>
      <c r="F22" s="208">
        <f>'COLECTOR PARAMETROS'!$C$30</f>
        <v>0.2</v>
      </c>
      <c r="G22" s="214">
        <v>2</v>
      </c>
      <c r="H22" s="214">
        <v>1</v>
      </c>
      <c r="I22" s="208">
        <f t="shared" si="5"/>
        <v>53</v>
      </c>
      <c r="J22" s="208">
        <f>'COLECTOR PARAMETROS'!$C$31</f>
        <v>1.1000000000000001</v>
      </c>
      <c r="K22" s="205">
        <f>'COLECTOR PARAMETROS'!$C$20</f>
        <v>0.56000000000000005</v>
      </c>
      <c r="L22" s="198"/>
      <c r="M22" s="198"/>
      <c r="N22" s="198"/>
      <c r="O22" s="198"/>
      <c r="P22" s="198"/>
      <c r="Q22" s="198"/>
      <c r="R22" s="198"/>
      <c r="S22" s="198"/>
      <c r="T22" s="198"/>
      <c r="U22" s="213">
        <f t="shared" si="6"/>
        <v>32.648000000000003</v>
      </c>
      <c r="V22" s="204" t="s">
        <v>809</v>
      </c>
    </row>
    <row r="23" spans="1:22" ht="30" customHeight="1">
      <c r="A23" s="198"/>
      <c r="B23" s="201" t="s">
        <v>697</v>
      </c>
      <c r="C23" s="200" t="s">
        <v>810</v>
      </c>
      <c r="D23" s="208">
        <f>'COLECTOR MOV. TIERRAS'!D21+2*'COLECTOR PARAMETROS'!$C$11</f>
        <v>1.8</v>
      </c>
      <c r="E23" s="205">
        <f>'COLECTOR MOV. TIERRAS'!F21</f>
        <v>2.2499999999999432</v>
      </c>
      <c r="F23" s="208">
        <f>'COLECTOR PARAMETROS'!$C$30</f>
        <v>0.2</v>
      </c>
      <c r="G23" s="214">
        <v>2</v>
      </c>
      <c r="H23" s="214">
        <v>2</v>
      </c>
      <c r="I23" s="208">
        <f t="shared" si="5"/>
        <v>178.19999999999567</v>
      </c>
      <c r="J23" s="208">
        <f>'COLECTOR PARAMETROS'!$C$31</f>
        <v>1.1000000000000001</v>
      </c>
      <c r="K23" s="205">
        <f>'COLECTOR PARAMETROS'!$C$20</f>
        <v>0.56000000000000005</v>
      </c>
      <c r="L23" s="198"/>
      <c r="M23" s="198"/>
      <c r="N23" s="198"/>
      <c r="O23" s="198"/>
      <c r="P23" s="198"/>
      <c r="Q23" s="198"/>
      <c r="R23" s="198"/>
      <c r="S23" s="198"/>
      <c r="T23" s="198"/>
      <c r="U23" s="213">
        <f t="shared" si="6"/>
        <v>109.77119999999736</v>
      </c>
      <c r="V23" s="204" t="s">
        <v>811</v>
      </c>
    </row>
    <row r="24" spans="1:22" ht="30" customHeight="1">
      <c r="A24" s="198"/>
      <c r="B24" s="201" t="s">
        <v>700</v>
      </c>
      <c r="C24" s="200" t="s">
        <v>812</v>
      </c>
      <c r="D24" s="208">
        <f>'COLECTOR MOV. TIERRAS'!E21</f>
        <v>1</v>
      </c>
      <c r="E24" s="205">
        <f>'COLECTOR MOV. TIERRAS'!F21</f>
        <v>2.2499999999999432</v>
      </c>
      <c r="F24" s="208">
        <f>'COLECTOR PARAMETROS'!$C$30</f>
        <v>0.2</v>
      </c>
      <c r="G24" s="214">
        <v>2</v>
      </c>
      <c r="H24" s="214">
        <v>2</v>
      </c>
      <c r="I24" s="208">
        <f t="shared" si="5"/>
        <v>102.9999999999975</v>
      </c>
      <c r="J24" s="208">
        <f>'COLECTOR PARAMETROS'!$C$31</f>
        <v>1.1000000000000001</v>
      </c>
      <c r="K24" s="205">
        <f>'COLECTOR PARAMETROS'!$C$20</f>
        <v>0.56000000000000005</v>
      </c>
      <c r="L24" s="198"/>
      <c r="M24" s="198"/>
      <c r="N24" s="198"/>
      <c r="O24" s="198"/>
      <c r="P24" s="198"/>
      <c r="Q24" s="198"/>
      <c r="R24" s="198"/>
      <c r="S24" s="198"/>
      <c r="T24" s="198"/>
      <c r="U24" s="213">
        <f t="shared" si="6"/>
        <v>63.447999999998466</v>
      </c>
      <c r="V24" s="204" t="s">
        <v>813</v>
      </c>
    </row>
    <row r="25" spans="1:22" ht="30" customHeight="1">
      <c r="A25" s="198"/>
      <c r="B25" s="201" t="s">
        <v>725</v>
      </c>
      <c r="C25" s="200" t="s">
        <v>719</v>
      </c>
      <c r="D25" s="208">
        <f>'COLECTOR MOV. TIERRAS'!D22+2*'COLECTOR PARAMETROS'!$C$11</f>
        <v>3.8</v>
      </c>
      <c r="E25" s="205">
        <f>'COLECTOR MOV. TIERRAS'!E22+2*'COLECTOR PARAMETROS'!$C$11</f>
        <v>1.8</v>
      </c>
      <c r="F25" s="208">
        <f>'COLECTOR PARAMETROS'!$C$30</f>
        <v>0.2</v>
      </c>
      <c r="G25" s="214">
        <v>2</v>
      </c>
      <c r="H25" s="214">
        <v>1</v>
      </c>
      <c r="I25" s="208">
        <f t="shared" si="5"/>
        <v>148</v>
      </c>
      <c r="J25" s="208">
        <f>'COLECTOR PARAMETROS'!$C$31</f>
        <v>1.1000000000000001</v>
      </c>
      <c r="K25" s="205">
        <f>'COLECTOR PARAMETROS'!$C$20</f>
        <v>0.56000000000000005</v>
      </c>
      <c r="L25" s="198"/>
      <c r="M25" s="198"/>
      <c r="N25" s="198"/>
      <c r="O25" s="198"/>
      <c r="P25" s="198"/>
      <c r="Q25" s="198"/>
      <c r="R25" s="198"/>
      <c r="S25" s="198"/>
      <c r="T25" s="198"/>
      <c r="U25" s="213">
        <f t="shared" si="6"/>
        <v>91.168000000000021</v>
      </c>
      <c r="V25" s="204" t="s">
        <v>809</v>
      </c>
    </row>
    <row r="26" spans="1:22" ht="30" customHeight="1">
      <c r="A26" s="198"/>
      <c r="B26" s="201" t="s">
        <v>735</v>
      </c>
      <c r="C26" s="200" t="s">
        <v>719</v>
      </c>
      <c r="D26" s="208">
        <f>'COLECTOR MOV. TIERRAS'!D22+2*'COLECTOR PARAMETROS'!$C$11</f>
        <v>3.8</v>
      </c>
      <c r="E26" s="205">
        <f>'COLECTOR MOV. TIERRAS'!E22+2*'COLECTOR PARAMETROS'!$C$11</f>
        <v>1.8</v>
      </c>
      <c r="F26" s="208">
        <f>'COLECTOR PARAMETROS'!$C$30</f>
        <v>0.2</v>
      </c>
      <c r="G26" s="214">
        <v>2</v>
      </c>
      <c r="H26" s="214">
        <v>1</v>
      </c>
      <c r="I26" s="208">
        <f t="shared" si="5"/>
        <v>148</v>
      </c>
      <c r="J26" s="208">
        <f>'COLECTOR PARAMETROS'!$C$31</f>
        <v>1.1000000000000001</v>
      </c>
      <c r="K26" s="205">
        <f>'COLECTOR PARAMETROS'!$C$20</f>
        <v>0.56000000000000005</v>
      </c>
      <c r="L26" s="198"/>
      <c r="M26" s="198"/>
      <c r="N26" s="198"/>
      <c r="O26" s="198"/>
      <c r="P26" s="198"/>
      <c r="Q26" s="198"/>
      <c r="R26" s="198"/>
      <c r="S26" s="198"/>
      <c r="T26" s="198"/>
      <c r="U26" s="213">
        <f t="shared" si="6"/>
        <v>91.168000000000021</v>
      </c>
      <c r="V26" s="204" t="s">
        <v>809</v>
      </c>
    </row>
    <row r="27" spans="1:22" ht="30" customHeight="1">
      <c r="A27" s="198"/>
      <c r="B27" s="201" t="s">
        <v>729</v>
      </c>
      <c r="C27" s="200" t="s">
        <v>810</v>
      </c>
      <c r="D27" s="208">
        <f>'COLECTOR MOV. TIERRAS'!D22+2*'COLECTOR PARAMETROS'!$C$11</f>
        <v>3.8</v>
      </c>
      <c r="E27" s="205">
        <f>'COLECTOR MOV. TIERRAS'!F22</f>
        <v>2.17999999999995</v>
      </c>
      <c r="F27" s="208">
        <f>'COLECTOR PARAMETROS'!$C$30</f>
        <v>0.2</v>
      </c>
      <c r="G27" s="214">
        <v>2</v>
      </c>
      <c r="H27" s="214">
        <v>2</v>
      </c>
      <c r="I27" s="208">
        <f t="shared" si="5"/>
        <v>355.27999999999213</v>
      </c>
      <c r="J27" s="208">
        <f>'COLECTOR PARAMETROS'!$C$31</f>
        <v>1.1000000000000001</v>
      </c>
      <c r="K27" s="205">
        <f>'COLECTOR PARAMETROS'!$C$20</f>
        <v>0.56000000000000005</v>
      </c>
      <c r="L27" s="198"/>
      <c r="M27" s="198"/>
      <c r="N27" s="198"/>
      <c r="O27" s="198"/>
      <c r="P27" s="198"/>
      <c r="Q27" s="198"/>
      <c r="R27" s="198"/>
      <c r="S27" s="198"/>
      <c r="T27" s="198"/>
      <c r="U27" s="213">
        <f t="shared" si="6"/>
        <v>218.85247999999518</v>
      </c>
      <c r="V27" s="204" t="s">
        <v>811</v>
      </c>
    </row>
    <row r="28" spans="1:22" ht="30" customHeight="1">
      <c r="A28" s="198"/>
      <c r="B28" s="201" t="s">
        <v>730</v>
      </c>
      <c r="C28" s="200" t="s">
        <v>812</v>
      </c>
      <c r="D28" s="208">
        <f>'COLECTOR MOV. TIERRAS'!E22</f>
        <v>1.5</v>
      </c>
      <c r="E28" s="205">
        <f>'COLECTOR MOV. TIERRAS'!F22</f>
        <v>2.17999999999995</v>
      </c>
      <c r="F28" s="208">
        <f>'COLECTOR PARAMETROS'!$C$30</f>
        <v>0.2</v>
      </c>
      <c r="G28" s="214">
        <v>2</v>
      </c>
      <c r="H28" s="214">
        <v>1</v>
      </c>
      <c r="I28" s="208">
        <f t="shared" si="5"/>
        <v>72.759999999998399</v>
      </c>
      <c r="J28" s="208">
        <f>'COLECTOR PARAMETROS'!$C$31</f>
        <v>1.1000000000000001</v>
      </c>
      <c r="K28" s="205">
        <f>'COLECTOR PARAMETROS'!$C$20</f>
        <v>0.56000000000000005</v>
      </c>
      <c r="L28" s="198"/>
      <c r="M28" s="198"/>
      <c r="N28" s="198"/>
      <c r="O28" s="198"/>
      <c r="P28" s="198"/>
      <c r="Q28" s="198"/>
      <c r="R28" s="198"/>
      <c r="S28" s="198"/>
      <c r="T28" s="198"/>
      <c r="U28" s="213">
        <f t="shared" si="6"/>
        <v>44.820159999999021</v>
      </c>
      <c r="V28" s="204" t="s">
        <v>813</v>
      </c>
    </row>
    <row r="29" spans="1:22" ht="22" customHeight="1">
      <c r="A29" s="209" t="s">
        <v>665</v>
      </c>
      <c r="B29" s="210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1">
        <f>SUM(U21:U28)</f>
        <v>684.52383999999006</v>
      </c>
      <c r="V29" s="210"/>
    </row>
    <row r="31" spans="1:22" ht="20" customHeight="1">
      <c r="A31" s="353" t="s">
        <v>814</v>
      </c>
      <c r="B31" s="348"/>
      <c r="C31" s="348"/>
      <c r="D31" s="348"/>
      <c r="E31" s="348"/>
      <c r="F31" s="348"/>
      <c r="G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6"/>
    </row>
    <row r="32" spans="1:22" ht="40" customHeight="1">
      <c r="A32" s="199" t="s">
        <v>333</v>
      </c>
      <c r="B32" s="199" t="s">
        <v>815</v>
      </c>
      <c r="C32" s="199" t="s">
        <v>816</v>
      </c>
      <c r="D32" s="199" t="s">
        <v>817</v>
      </c>
      <c r="E32" s="199" t="s">
        <v>818</v>
      </c>
      <c r="F32" s="199" t="s">
        <v>819</v>
      </c>
      <c r="G32" s="199" t="s">
        <v>820</v>
      </c>
      <c r="H32" s="199" t="s">
        <v>821</v>
      </c>
      <c r="I32" s="199" t="s">
        <v>790</v>
      </c>
      <c r="J32" s="199"/>
      <c r="K32" s="199"/>
      <c r="L32" s="199"/>
      <c r="M32" s="199"/>
      <c r="N32" s="199"/>
      <c r="O32" s="199"/>
      <c r="P32" s="199"/>
      <c r="Q32" s="199"/>
      <c r="R32" s="199"/>
      <c r="S32" s="199"/>
      <c r="T32" s="199"/>
      <c r="U32" s="199" t="s">
        <v>808</v>
      </c>
      <c r="V32" s="199" t="s">
        <v>632</v>
      </c>
    </row>
    <row r="33" spans="1:22" ht="30" customHeight="1">
      <c r="A33" s="200">
        <v>1</v>
      </c>
      <c r="B33" s="201" t="s">
        <v>822</v>
      </c>
      <c r="C33" s="206" t="s">
        <v>509</v>
      </c>
      <c r="D33" s="200" t="s">
        <v>823</v>
      </c>
      <c r="E33" s="214">
        <v>8</v>
      </c>
      <c r="F33" s="215">
        <f>'COLECTOR PARAMETROS'!$C$32</f>
        <v>10</v>
      </c>
      <c r="G33" s="207">
        <v>1.4</v>
      </c>
      <c r="H33" s="208">
        <f>E33*F33*G33</f>
        <v>112</v>
      </c>
      <c r="I33" s="205">
        <f>'COLECTOR PARAMETROS'!$C$21</f>
        <v>0.99399999999999999</v>
      </c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213">
        <f>H33*I33</f>
        <v>111.328</v>
      </c>
      <c r="V33" s="204" t="s">
        <v>824</v>
      </c>
    </row>
    <row r="34" spans="1:22" ht="30" customHeight="1">
      <c r="A34" s="200">
        <v>2</v>
      </c>
      <c r="B34" s="201" t="s">
        <v>825</v>
      </c>
      <c r="C34" s="206" t="s">
        <v>370</v>
      </c>
      <c r="D34" s="200" t="s">
        <v>823</v>
      </c>
      <c r="E34" s="214">
        <v>14</v>
      </c>
      <c r="F34" s="215">
        <f>'COLECTOR PARAMETROS'!$C$32</f>
        <v>10</v>
      </c>
      <c r="G34" s="207">
        <v>0.62</v>
      </c>
      <c r="H34" s="208">
        <f>E34*F34*G34</f>
        <v>86.8</v>
      </c>
      <c r="I34" s="205">
        <f>'COLECTOR PARAMETROS'!$C$20</f>
        <v>0.56000000000000005</v>
      </c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213">
        <f>H34*I34</f>
        <v>48.608000000000004</v>
      </c>
      <c r="V34" s="204" t="s">
        <v>826</v>
      </c>
    </row>
    <row r="35" spans="1:22" ht="30" customHeight="1">
      <c r="A35" s="200">
        <v>3</v>
      </c>
      <c r="B35" s="201" t="s">
        <v>827</v>
      </c>
      <c r="C35" s="206" t="s">
        <v>828</v>
      </c>
      <c r="D35" s="200" t="s">
        <v>829</v>
      </c>
      <c r="E35" s="214">
        <v>2</v>
      </c>
      <c r="F35" s="215">
        <f>'COLECTOR PARAMETROS'!$C$32</f>
        <v>10</v>
      </c>
      <c r="G35" s="207">
        <v>0.4</v>
      </c>
      <c r="H35" s="208">
        <f>E35*F35*G35</f>
        <v>8</v>
      </c>
      <c r="I35" s="205">
        <f>'COLECTOR PARAMETROS'!$C$20</f>
        <v>0.56000000000000005</v>
      </c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213">
        <f>H35*I35</f>
        <v>4.4800000000000004</v>
      </c>
      <c r="V35" s="204" t="s">
        <v>830</v>
      </c>
    </row>
    <row r="36" spans="1:22" ht="30" customHeight="1">
      <c r="A36" s="200">
        <v>4</v>
      </c>
      <c r="B36" s="201" t="s">
        <v>831</v>
      </c>
      <c r="C36" s="206" t="s">
        <v>370</v>
      </c>
      <c r="D36" s="200" t="s">
        <v>832</v>
      </c>
      <c r="E36" s="214">
        <v>8</v>
      </c>
      <c r="F36" s="215">
        <f>'COLECTOR PARAMETROS'!$C$32</f>
        <v>10</v>
      </c>
      <c r="G36" s="207">
        <v>0.2</v>
      </c>
      <c r="H36" s="208">
        <f>E36*F36*G36</f>
        <v>16</v>
      </c>
      <c r="I36" s="205">
        <f>'COLECTOR PARAMETROS'!$C$20</f>
        <v>0.56000000000000005</v>
      </c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213">
        <f>H36*I36</f>
        <v>8.9600000000000009</v>
      </c>
      <c r="V36" s="204" t="s">
        <v>833</v>
      </c>
    </row>
    <row r="37" spans="1:22" ht="22" customHeight="1">
      <c r="A37" s="209" t="s">
        <v>834</v>
      </c>
      <c r="B37" s="210"/>
      <c r="C37" s="210"/>
      <c r="D37" s="210"/>
      <c r="E37" s="210"/>
      <c r="F37" s="210"/>
      <c r="G37" s="210"/>
      <c r="H37" s="210"/>
      <c r="I37" s="210"/>
      <c r="J37" s="210"/>
      <c r="K37" s="210"/>
      <c r="L37" s="210"/>
      <c r="M37" s="210"/>
      <c r="N37" s="210"/>
      <c r="O37" s="210"/>
      <c r="P37" s="210"/>
      <c r="Q37" s="210"/>
      <c r="R37" s="210"/>
      <c r="S37" s="210"/>
      <c r="T37" s="210"/>
      <c r="U37" s="211">
        <f>SUM(U33:U36)</f>
        <v>173.376</v>
      </c>
      <c r="V37" s="210"/>
    </row>
    <row r="39" spans="1:22" ht="20" customHeight="1">
      <c r="A39" s="353" t="s">
        <v>835</v>
      </c>
      <c r="B39" s="348"/>
      <c r="C39" s="348"/>
      <c r="D39" s="348"/>
      <c r="E39" s="348"/>
      <c r="F39" s="348"/>
      <c r="G39" s="348"/>
      <c r="H39" s="348"/>
      <c r="I39" s="348"/>
      <c r="J39" s="348"/>
      <c r="K39" s="348"/>
      <c r="L39" s="348"/>
      <c r="M39" s="348"/>
      <c r="N39" s="348"/>
      <c r="O39" s="348"/>
      <c r="P39" s="348"/>
      <c r="Q39" s="348"/>
      <c r="R39" s="348"/>
      <c r="S39" s="348"/>
      <c r="T39" s="348"/>
      <c r="U39" s="348"/>
      <c r="V39" s="346"/>
    </row>
    <row r="40" spans="1:22" ht="22" customHeight="1">
      <c r="A40" s="200">
        <v>1</v>
      </c>
      <c r="B40" s="352" t="s">
        <v>836</v>
      </c>
      <c r="C40" s="348"/>
      <c r="D40" s="348"/>
      <c r="E40" s="346"/>
      <c r="F40" s="203" t="s">
        <v>50</v>
      </c>
      <c r="G40" s="208">
        <f>SUMIF(J10:J16,"3/8""",P10:P16)+T17+U29</f>
        <v>2681.1755911111013</v>
      </c>
      <c r="H40" s="208">
        <f>SUMIF(J10:J16,"1/2""",P10:P16)</f>
        <v>375.27078399999994</v>
      </c>
      <c r="I40" s="213">
        <f>U17+U29</f>
        <v>3056.4463751111016</v>
      </c>
    </row>
    <row r="41" spans="1:22" ht="22" customHeight="1">
      <c r="A41" s="200">
        <v>2</v>
      </c>
      <c r="B41" s="352" t="s">
        <v>837</v>
      </c>
      <c r="C41" s="348"/>
      <c r="D41" s="348"/>
      <c r="E41" s="346"/>
      <c r="F41" s="203" t="s">
        <v>50</v>
      </c>
      <c r="G41" s="208">
        <f>SUMIF(C33:C36,"3/8*",U33:U36)</f>
        <v>62.048000000000009</v>
      </c>
      <c r="H41" s="208">
        <f>SUMIF(C33:C36,"1/2*",U33:U36)</f>
        <v>111.328</v>
      </c>
      <c r="I41" s="213">
        <f>U37</f>
        <v>173.376</v>
      </c>
    </row>
  </sheetData>
  <mergeCells count="15">
    <mergeCell ref="A1:V1"/>
    <mergeCell ref="C3:V3"/>
    <mergeCell ref="A5:B5"/>
    <mergeCell ref="A31:V31"/>
    <mergeCell ref="C2:V2"/>
    <mergeCell ref="A3:B3"/>
    <mergeCell ref="A7:V7"/>
    <mergeCell ref="C5:V5"/>
    <mergeCell ref="A4:B4"/>
    <mergeCell ref="B40:E40"/>
    <mergeCell ref="B41:E41"/>
    <mergeCell ref="A2:B2"/>
    <mergeCell ref="A19:V19"/>
    <mergeCell ref="C4:V4"/>
    <mergeCell ref="A39:V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8"/>
  <sheetViews>
    <sheetView workbookViewId="0"/>
  </sheetViews>
  <sheetFormatPr baseColWidth="10" defaultColWidth="8.7265625" defaultRowHeight="14.5"/>
  <cols>
    <col min="1" max="1" width="5" customWidth="1"/>
    <col min="2" max="2" width="40" customWidth="1"/>
    <col min="3" max="3" width="12" customWidth="1"/>
    <col min="4" max="4" width="40" customWidth="1"/>
    <col min="5" max="5" width="12" customWidth="1"/>
    <col min="6" max="6" width="50" customWidth="1"/>
  </cols>
  <sheetData>
    <row r="1" spans="1:6" ht="27" customHeight="1">
      <c r="A1" s="349" t="s">
        <v>838</v>
      </c>
      <c r="B1" s="348"/>
      <c r="C1" s="348"/>
      <c r="D1" s="348"/>
      <c r="E1" s="348"/>
      <c r="F1" s="346"/>
    </row>
    <row r="2" spans="1:6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6"/>
    </row>
    <row r="3" spans="1:6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6"/>
    </row>
    <row r="4" spans="1:6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6"/>
    </row>
    <row r="5" spans="1:6" ht="25" customHeight="1">
      <c r="A5" s="345" t="s">
        <v>7</v>
      </c>
      <c r="B5" s="346"/>
      <c r="C5" s="350">
        <f>+RESUMEN!B7</f>
        <v>46266</v>
      </c>
      <c r="D5" s="348"/>
      <c r="E5" s="348"/>
      <c r="F5" s="346"/>
    </row>
    <row r="7" spans="1:6" ht="48" customHeight="1">
      <c r="A7" s="351" t="s">
        <v>839</v>
      </c>
      <c r="B7" s="348"/>
      <c r="C7" s="348"/>
      <c r="D7" s="348"/>
      <c r="E7" s="348"/>
      <c r="F7" s="346"/>
    </row>
    <row r="9" spans="1:6" ht="30" customHeight="1">
      <c r="A9" s="199" t="s">
        <v>333</v>
      </c>
      <c r="B9" s="199" t="s">
        <v>840</v>
      </c>
      <c r="C9" s="199" t="s">
        <v>841</v>
      </c>
      <c r="D9" s="199" t="s">
        <v>842</v>
      </c>
      <c r="E9" s="199" t="s">
        <v>843</v>
      </c>
      <c r="F9" s="199" t="s">
        <v>632</v>
      </c>
    </row>
    <row r="10" spans="1:6" ht="24" customHeight="1">
      <c r="A10" s="200">
        <v>1</v>
      </c>
      <c r="B10" s="200" t="s">
        <v>844</v>
      </c>
      <c r="C10" s="200" t="s">
        <v>634</v>
      </c>
      <c r="D10" s="201" t="s">
        <v>845</v>
      </c>
      <c r="E10" s="214">
        <v>1</v>
      </c>
      <c r="F10" s="204" t="s">
        <v>846</v>
      </c>
    </row>
    <row r="11" spans="1:6" ht="24" customHeight="1">
      <c r="A11" s="200">
        <v>2</v>
      </c>
      <c r="B11" s="200" t="s">
        <v>847</v>
      </c>
      <c r="C11" s="200" t="s">
        <v>848</v>
      </c>
      <c r="D11" s="201" t="s">
        <v>849</v>
      </c>
      <c r="E11" s="214">
        <v>1</v>
      </c>
      <c r="F11" s="204" t="s">
        <v>850</v>
      </c>
    </row>
    <row r="12" spans="1:6" ht="24" customHeight="1">
      <c r="A12" s="200">
        <v>3</v>
      </c>
      <c r="B12" s="200" t="s">
        <v>851</v>
      </c>
      <c r="C12" s="200" t="s">
        <v>852</v>
      </c>
      <c r="D12" s="201" t="s">
        <v>853</v>
      </c>
      <c r="E12" s="214">
        <v>1</v>
      </c>
      <c r="F12" s="204" t="s">
        <v>850</v>
      </c>
    </row>
    <row r="13" spans="1:6" ht="24" customHeight="1">
      <c r="A13" s="200">
        <v>4</v>
      </c>
      <c r="B13" s="200" t="s">
        <v>854</v>
      </c>
      <c r="C13" s="200" t="s">
        <v>855</v>
      </c>
      <c r="D13" s="201" t="s">
        <v>849</v>
      </c>
      <c r="E13" s="214">
        <v>1</v>
      </c>
      <c r="F13" s="204" t="s">
        <v>850</v>
      </c>
    </row>
    <row r="14" spans="1:6" ht="24" customHeight="1">
      <c r="A14" s="200">
        <v>5</v>
      </c>
      <c r="B14" s="200" t="s">
        <v>856</v>
      </c>
      <c r="C14" s="200" t="s">
        <v>857</v>
      </c>
      <c r="D14" s="201" t="s">
        <v>849</v>
      </c>
      <c r="E14" s="214">
        <v>1</v>
      </c>
      <c r="F14" s="204" t="s">
        <v>850</v>
      </c>
    </row>
    <row r="15" spans="1:6" ht="24" customHeight="1">
      <c r="A15" s="200">
        <v>6</v>
      </c>
      <c r="B15" s="200" t="s">
        <v>858</v>
      </c>
      <c r="C15" s="200" t="s">
        <v>859</v>
      </c>
      <c r="D15" s="201" t="s">
        <v>853</v>
      </c>
      <c r="E15" s="214">
        <v>1</v>
      </c>
      <c r="F15" s="204" t="s">
        <v>850</v>
      </c>
    </row>
    <row r="16" spans="1:6" ht="24" customHeight="1">
      <c r="A16" s="200">
        <v>7</v>
      </c>
      <c r="B16" s="200" t="s">
        <v>860</v>
      </c>
      <c r="C16" s="200" t="s">
        <v>644</v>
      </c>
      <c r="D16" s="201" t="s">
        <v>853</v>
      </c>
      <c r="E16" s="214">
        <v>1</v>
      </c>
      <c r="F16" s="204" t="s">
        <v>850</v>
      </c>
    </row>
    <row r="17" spans="1:6" ht="24" customHeight="1">
      <c r="A17" s="200">
        <v>8</v>
      </c>
      <c r="B17" s="200" t="s">
        <v>861</v>
      </c>
      <c r="C17" s="200" t="s">
        <v>646</v>
      </c>
      <c r="D17" s="201" t="s">
        <v>853</v>
      </c>
      <c r="E17" s="214">
        <v>1</v>
      </c>
      <c r="F17" s="204" t="s">
        <v>850</v>
      </c>
    </row>
    <row r="18" spans="1:6" ht="24" customHeight="1">
      <c r="A18" s="200">
        <v>9</v>
      </c>
      <c r="B18" s="200" t="s">
        <v>862</v>
      </c>
      <c r="C18" s="200" t="s">
        <v>648</v>
      </c>
      <c r="D18" s="201" t="s">
        <v>863</v>
      </c>
      <c r="E18" s="214">
        <v>2</v>
      </c>
      <c r="F18" s="204" t="s">
        <v>846</v>
      </c>
    </row>
    <row r="19" spans="1:6" ht="22" customHeight="1">
      <c r="A19" s="209" t="s">
        <v>864</v>
      </c>
      <c r="B19" s="210"/>
      <c r="C19" s="210"/>
      <c r="D19" s="210"/>
      <c r="E19" s="216">
        <f>SUM(E10:E18)</f>
        <v>10</v>
      </c>
      <c r="F19" s="210"/>
    </row>
    <row r="21" spans="1:6" ht="20" customHeight="1">
      <c r="A21" s="353" t="s">
        <v>865</v>
      </c>
      <c r="B21" s="348"/>
      <c r="C21" s="348"/>
      <c r="D21" s="348"/>
      <c r="E21" s="348"/>
      <c r="F21" s="346"/>
    </row>
    <row r="22" spans="1:6" ht="30" customHeight="1">
      <c r="A22" s="199" t="s">
        <v>333</v>
      </c>
      <c r="B22" s="199" t="s">
        <v>866</v>
      </c>
      <c r="C22" s="199" t="s">
        <v>167</v>
      </c>
      <c r="D22" s="199" t="s">
        <v>867</v>
      </c>
      <c r="E22" s="199" t="s">
        <v>166</v>
      </c>
      <c r="F22" s="199" t="s">
        <v>632</v>
      </c>
    </row>
    <row r="23" spans="1:6" ht="30" customHeight="1">
      <c r="A23" s="200">
        <v>1</v>
      </c>
      <c r="B23" s="201" t="s">
        <v>138</v>
      </c>
      <c r="C23" s="203" t="s">
        <v>60</v>
      </c>
      <c r="D23" s="200" t="s">
        <v>868</v>
      </c>
      <c r="E23" s="213">
        <f>E19</f>
        <v>10</v>
      </c>
      <c r="F23" s="204" t="s">
        <v>745</v>
      </c>
    </row>
    <row r="24" spans="1:6" ht="30" customHeight="1">
      <c r="A24" s="200">
        <v>2</v>
      </c>
      <c r="B24" s="201" t="s">
        <v>140</v>
      </c>
      <c r="C24" s="203" t="s">
        <v>60</v>
      </c>
      <c r="D24" s="200" t="s">
        <v>869</v>
      </c>
      <c r="E24" s="213">
        <f>E19</f>
        <v>10</v>
      </c>
      <c r="F24" s="204" t="s">
        <v>745</v>
      </c>
    </row>
    <row r="25" spans="1:6" ht="30" customHeight="1">
      <c r="A25" s="200">
        <v>3</v>
      </c>
      <c r="B25" s="201" t="s">
        <v>870</v>
      </c>
      <c r="C25" s="203" t="s">
        <v>50</v>
      </c>
      <c r="D25" s="200" t="s">
        <v>871</v>
      </c>
      <c r="E25" s="213">
        <f>E19*('COLECTOR PARAMETROS'!$C$36*'COLECTOR PARAMETROS'!$C$38+'COLECTOR PARAMETROS'!$C$37*'COLECTOR PARAMETROS'!$C$39)</f>
        <v>151.416</v>
      </c>
      <c r="F25" s="204" t="s">
        <v>872</v>
      </c>
    </row>
    <row r="26" spans="1:6" ht="30" customHeight="1">
      <c r="A26" s="200">
        <v>4</v>
      </c>
      <c r="B26" s="201" t="s">
        <v>873</v>
      </c>
      <c r="C26" s="203" t="s">
        <v>60</v>
      </c>
      <c r="D26" s="200" t="s">
        <v>868</v>
      </c>
      <c r="E26" s="213">
        <f>E19</f>
        <v>10</v>
      </c>
      <c r="F26" s="204" t="s">
        <v>745</v>
      </c>
    </row>
    <row r="27" spans="1:6" ht="30" customHeight="1">
      <c r="A27" s="200">
        <v>5</v>
      </c>
      <c r="B27" s="201" t="s">
        <v>874</v>
      </c>
      <c r="C27" s="203" t="s">
        <v>185</v>
      </c>
      <c r="D27" s="200" t="s">
        <v>875</v>
      </c>
      <c r="E27" s="213">
        <f>E19*'COLECTOR PARAMETROS'!$C$33*'COLECTOR PARAMETROS'!$C$33*'COLECTOR PARAMETROS'!$C$34</f>
        <v>0.36992000000000003</v>
      </c>
      <c r="F27" s="204" t="s">
        <v>745</v>
      </c>
    </row>
    <row r="28" spans="1:6" ht="30" customHeight="1">
      <c r="A28" s="200">
        <v>6</v>
      </c>
      <c r="B28" s="201" t="s">
        <v>150</v>
      </c>
      <c r="C28" s="203" t="s">
        <v>186</v>
      </c>
      <c r="D28" s="200" t="s">
        <v>876</v>
      </c>
      <c r="E28" s="213">
        <f>E19*('COLECTOR PARAMETROS'!$C$36*'COLECTOR PARAMETROS'!$C$40+'COLECTOR PARAMETROS'!$C$37*'COLECTOR PARAMETROS'!$C$41)</f>
        <v>9.8184000000000005</v>
      </c>
      <c r="F28" s="204" t="s">
        <v>877</v>
      </c>
    </row>
  </sheetData>
  <mergeCells count="11">
    <mergeCell ref="A5:B5"/>
    <mergeCell ref="C2:F2"/>
    <mergeCell ref="C5:F5"/>
    <mergeCell ref="A21:F21"/>
    <mergeCell ref="A3:B3"/>
    <mergeCell ref="A7:F7"/>
    <mergeCell ref="A4:B4"/>
    <mergeCell ref="A2:B2"/>
    <mergeCell ref="C3:F3"/>
    <mergeCell ref="C4:F4"/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0"/>
  <sheetViews>
    <sheetView workbookViewId="0"/>
  </sheetViews>
  <sheetFormatPr baseColWidth="10" defaultColWidth="8.7265625" defaultRowHeight="14.5"/>
  <cols>
    <col min="1" max="1" width="5" customWidth="1"/>
    <col min="2" max="2" width="44" customWidth="1"/>
    <col min="3" max="3" width="22" customWidth="1"/>
    <col min="4" max="4" width="9" customWidth="1"/>
    <col min="5" max="6" width="12" customWidth="1"/>
    <col min="7" max="7" width="52" customWidth="1"/>
  </cols>
  <sheetData>
    <row r="1" spans="1:7" ht="27" customHeight="1">
      <c r="A1" s="349" t="s">
        <v>878</v>
      </c>
      <c r="B1" s="348"/>
      <c r="C1" s="348"/>
      <c r="D1" s="348"/>
      <c r="E1" s="348"/>
      <c r="F1" s="348"/>
      <c r="G1" s="346"/>
    </row>
    <row r="2" spans="1:7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6"/>
    </row>
    <row r="3" spans="1:7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6"/>
    </row>
    <row r="4" spans="1:7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6"/>
    </row>
    <row r="5" spans="1:7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6"/>
    </row>
    <row r="7" spans="1:7" ht="48" customHeight="1">
      <c r="A7" s="351" t="s">
        <v>879</v>
      </c>
      <c r="B7" s="348"/>
      <c r="C7" s="348"/>
      <c r="D7" s="348"/>
      <c r="E7" s="348"/>
      <c r="F7" s="348"/>
      <c r="G7" s="346"/>
    </row>
    <row r="9" spans="1:7" ht="30" customHeight="1">
      <c r="A9" s="199" t="s">
        <v>333</v>
      </c>
      <c r="B9" s="199" t="s">
        <v>815</v>
      </c>
      <c r="C9" s="199" t="s">
        <v>880</v>
      </c>
      <c r="D9" s="199" t="s">
        <v>264</v>
      </c>
      <c r="E9" s="199" t="s">
        <v>289</v>
      </c>
      <c r="F9" s="199" t="s">
        <v>881</v>
      </c>
      <c r="G9" s="199" t="s">
        <v>632</v>
      </c>
    </row>
    <row r="10" spans="1:7" ht="20" customHeight="1">
      <c r="A10" s="353" t="s">
        <v>882</v>
      </c>
      <c r="B10" s="348"/>
      <c r="C10" s="348"/>
      <c r="D10" s="348"/>
      <c r="E10" s="348"/>
      <c r="F10" s="348"/>
      <c r="G10" s="346"/>
    </row>
    <row r="11" spans="1:7" ht="30" customHeight="1">
      <c r="A11" s="200">
        <v>1</v>
      </c>
      <c r="B11" s="201" t="s">
        <v>883</v>
      </c>
      <c r="C11" s="217" t="str">
        <f>"n = ENTERO("&amp;TEXT('COLECTOR PARAMETROS'!$C$64,"0.00")&amp;" / 4.00)"</f>
        <v>n = ENTERO(69.89 / 4.00)</v>
      </c>
      <c r="D11" s="215">
        <f>INT('COLECTOR PARAMETROS'!$C$64/'COLECTOR PARAMETROS'!$C$62)</f>
        <v>17</v>
      </c>
      <c r="E11" s="208">
        <f>2*('COLECTOR PARAMETROS'!$C$10+2*'COLECTOR PARAMETROS'!$C$11)+2*('COLECTOR PARAMETROS'!$C$12+'COLECTOR PARAMETROS'!$C$63+'COLECTOR PARAMETROS'!$C$13)</f>
        <v>5.92</v>
      </c>
      <c r="F11" s="208">
        <f>D11*E11</f>
        <v>100.64</v>
      </c>
      <c r="G11" s="204" t="s">
        <v>884</v>
      </c>
    </row>
    <row r="12" spans="1:7" ht="22" customHeight="1">
      <c r="A12" s="209" t="s">
        <v>885</v>
      </c>
      <c r="B12" s="218"/>
      <c r="C12" s="210"/>
      <c r="D12" s="210"/>
      <c r="E12" s="210"/>
      <c r="F12" s="211">
        <f>SUM(F11:F11)</f>
        <v>100.64</v>
      </c>
      <c r="G12" s="210"/>
    </row>
    <row r="13" spans="1:7">
      <c r="B13" s="219"/>
    </row>
    <row r="14" spans="1:7" ht="20" customHeight="1">
      <c r="A14" s="353" t="s">
        <v>886</v>
      </c>
      <c r="B14" s="348"/>
      <c r="C14" s="348"/>
      <c r="D14" s="348"/>
      <c r="E14" s="348"/>
      <c r="F14" s="348"/>
      <c r="G14" s="346"/>
    </row>
    <row r="15" spans="1:7" ht="30" customHeight="1">
      <c r="A15" s="200">
        <v>1</v>
      </c>
      <c r="B15" s="201" t="s">
        <v>887</v>
      </c>
      <c r="C15" s="217" t="str">
        <f>"0+000.00 a 0+"&amp;TEXT('COLECTOR PARAMETROS'!$C$65,"000.00")</f>
        <v>0+000.00 a 0+058.81</v>
      </c>
      <c r="D15" s="214">
        <v>1</v>
      </c>
      <c r="E15" s="208">
        <f>'COLECTOR PARAMETROS'!$C$65</f>
        <v>58.805</v>
      </c>
      <c r="F15" s="208">
        <f>D15*E15</f>
        <v>58.805</v>
      </c>
      <c r="G15" s="204" t="s">
        <v>888</v>
      </c>
    </row>
    <row r="16" spans="1:7" ht="30" customHeight="1">
      <c r="A16" s="200">
        <v>2</v>
      </c>
      <c r="B16" s="201" t="s">
        <v>889</v>
      </c>
      <c r="C16" s="217" t="str">
        <f>"2 x 0+"&amp;TEXT('COLECTOR PARAMETROS'!$C$64,"000.00")</f>
        <v>2 x 0+069.89</v>
      </c>
      <c r="D16" s="214">
        <v>2</v>
      </c>
      <c r="E16" s="208">
        <f>'COLECTOR PARAMETROS'!$C$64</f>
        <v>69.887</v>
      </c>
      <c r="F16" s="208">
        <f>D16*E16</f>
        <v>139.774</v>
      </c>
      <c r="G16" s="204" t="s">
        <v>890</v>
      </c>
    </row>
    <row r="17" spans="1:7" ht="30" customHeight="1">
      <c r="A17" s="200">
        <v>3</v>
      </c>
      <c r="B17" s="201" t="s">
        <v>891</v>
      </c>
      <c r="C17" s="200" t="s">
        <v>892</v>
      </c>
      <c r="D17" s="214">
        <v>2</v>
      </c>
      <c r="E17" s="208">
        <f>'COLECTOR MOV. TIERRAS'!D21+2*'COLECTOR PARAMETROS'!$C$11+0.3</f>
        <v>2.1</v>
      </c>
      <c r="F17" s="208">
        <f>D17*E17</f>
        <v>4.2</v>
      </c>
      <c r="G17" s="204" t="s">
        <v>846</v>
      </c>
    </row>
    <row r="18" spans="1:7" ht="30" customHeight="1">
      <c r="A18" s="200">
        <v>4</v>
      </c>
      <c r="B18" s="201" t="s">
        <v>893</v>
      </c>
      <c r="C18" s="200" t="s">
        <v>892</v>
      </c>
      <c r="D18" s="214">
        <v>2</v>
      </c>
      <c r="E18" s="208">
        <f>'COLECTOR MOV. TIERRAS'!D22+2*'COLECTOR PARAMETROS'!$C$11+0.3</f>
        <v>4.0999999999999996</v>
      </c>
      <c r="F18" s="208">
        <f>D18*E18</f>
        <v>8.1999999999999993</v>
      </c>
      <c r="G18" s="204" t="s">
        <v>846</v>
      </c>
    </row>
    <row r="19" spans="1:7" ht="22" customHeight="1">
      <c r="A19" s="209" t="s">
        <v>894</v>
      </c>
      <c r="B19" s="218"/>
      <c r="C19" s="210"/>
      <c r="D19" s="210"/>
      <c r="E19" s="210"/>
      <c r="F19" s="211">
        <f>SUM(F15:F18)</f>
        <v>210.97899999999998</v>
      </c>
      <c r="G19" s="210"/>
    </row>
    <row r="20" spans="1:7">
      <c r="B20" s="219"/>
    </row>
    <row r="21" spans="1:7" ht="20" customHeight="1">
      <c r="A21" s="353" t="s">
        <v>895</v>
      </c>
      <c r="B21" s="348"/>
      <c r="C21" s="348"/>
      <c r="D21" s="348"/>
      <c r="E21" s="348"/>
      <c r="F21" s="348"/>
      <c r="G21" s="346"/>
    </row>
    <row r="22" spans="1:7" ht="24" customHeight="1">
      <c r="A22" s="200">
        <v>1</v>
      </c>
      <c r="B22" s="201" t="s">
        <v>896</v>
      </c>
      <c r="C22" s="200" t="s">
        <v>897</v>
      </c>
      <c r="D22" s="214">
        <v>1</v>
      </c>
      <c r="E22" s="198"/>
      <c r="F22" s="215">
        <f t="shared" ref="F22:F27" si="0">D22</f>
        <v>1</v>
      </c>
      <c r="G22" s="204" t="s">
        <v>898</v>
      </c>
    </row>
    <row r="23" spans="1:7" ht="24" customHeight="1">
      <c r="A23" s="200">
        <v>2</v>
      </c>
      <c r="B23" s="201" t="s">
        <v>899</v>
      </c>
      <c r="C23" s="200" t="s">
        <v>848</v>
      </c>
      <c r="D23" s="214">
        <v>1</v>
      </c>
      <c r="E23" s="198"/>
      <c r="F23" s="215">
        <f t="shared" si="0"/>
        <v>1</v>
      </c>
      <c r="G23" s="204" t="s">
        <v>898</v>
      </c>
    </row>
    <row r="24" spans="1:7" ht="24" customHeight="1">
      <c r="A24" s="200">
        <v>3</v>
      </c>
      <c r="B24" s="201" t="s">
        <v>900</v>
      </c>
      <c r="C24" s="200" t="s">
        <v>855</v>
      </c>
      <c r="D24" s="214">
        <v>1</v>
      </c>
      <c r="E24" s="198"/>
      <c r="F24" s="215">
        <f t="shared" si="0"/>
        <v>1</v>
      </c>
      <c r="G24" s="204" t="s">
        <v>898</v>
      </c>
    </row>
    <row r="25" spans="1:7" ht="24" customHeight="1">
      <c r="A25" s="200">
        <v>4</v>
      </c>
      <c r="B25" s="201" t="s">
        <v>901</v>
      </c>
      <c r="C25" s="200" t="s">
        <v>857</v>
      </c>
      <c r="D25" s="214">
        <v>1</v>
      </c>
      <c r="E25" s="198"/>
      <c r="F25" s="215">
        <f t="shared" si="0"/>
        <v>1</v>
      </c>
      <c r="G25" s="204" t="s">
        <v>898</v>
      </c>
    </row>
    <row r="26" spans="1:7" ht="24" customHeight="1">
      <c r="A26" s="200">
        <v>5</v>
      </c>
      <c r="B26" s="201" t="s">
        <v>902</v>
      </c>
      <c r="C26" s="200" t="s">
        <v>903</v>
      </c>
      <c r="D26" s="214">
        <v>1</v>
      </c>
      <c r="E26" s="198"/>
      <c r="F26" s="215">
        <f t="shared" si="0"/>
        <v>1</v>
      </c>
      <c r="G26" s="204" t="s">
        <v>898</v>
      </c>
    </row>
    <row r="27" spans="1:7" ht="24" customHeight="1">
      <c r="A27" s="200">
        <v>6</v>
      </c>
      <c r="B27" s="201" t="s">
        <v>904</v>
      </c>
      <c r="C27" s="200" t="s">
        <v>905</v>
      </c>
      <c r="D27" s="214">
        <v>1</v>
      </c>
      <c r="E27" s="198"/>
      <c r="F27" s="215">
        <f t="shared" si="0"/>
        <v>1</v>
      </c>
      <c r="G27" s="204" t="s">
        <v>898</v>
      </c>
    </row>
    <row r="28" spans="1:7" ht="22" customHeight="1">
      <c r="A28" s="209" t="s">
        <v>906</v>
      </c>
      <c r="B28" s="218"/>
      <c r="C28" s="210"/>
      <c r="D28" s="210"/>
      <c r="E28" s="210"/>
      <c r="F28" s="216">
        <f>SUM(F22:F27)</f>
        <v>6</v>
      </c>
      <c r="G28" s="210"/>
    </row>
    <row r="30" spans="1:7" ht="34" customHeight="1">
      <c r="A30" s="354" t="s">
        <v>907</v>
      </c>
      <c r="B30" s="306"/>
      <c r="C30" s="306"/>
      <c r="D30" s="306"/>
      <c r="E30" s="306"/>
      <c r="F30" s="306"/>
      <c r="G30" s="306"/>
    </row>
  </sheetData>
  <mergeCells count="14">
    <mergeCell ref="A21:G21"/>
    <mergeCell ref="A5:B5"/>
    <mergeCell ref="C5:G5"/>
    <mergeCell ref="A30:G30"/>
    <mergeCell ref="A7:G7"/>
    <mergeCell ref="A10:G10"/>
    <mergeCell ref="A4:B4"/>
    <mergeCell ref="A14:G14"/>
    <mergeCell ref="C4:G4"/>
    <mergeCell ref="A2:B2"/>
    <mergeCell ref="A1:G1"/>
    <mergeCell ref="C2:G2"/>
    <mergeCell ref="A3:B3"/>
    <mergeCell ref="C3:G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73"/>
  <sheetViews>
    <sheetView workbookViewId="0"/>
  </sheetViews>
  <sheetFormatPr baseColWidth="10" defaultColWidth="8.7265625" defaultRowHeight="14.5"/>
  <cols>
    <col min="1" max="1" width="5" customWidth="1"/>
    <col min="2" max="2" width="44" customWidth="1"/>
    <col min="3" max="3" width="8" customWidth="1"/>
    <col min="4" max="4" width="12" customWidth="1"/>
    <col min="5" max="5" width="44" customWidth="1"/>
    <col min="6" max="6" width="10" customWidth="1"/>
    <col min="7" max="8" width="14" customWidth="1"/>
  </cols>
  <sheetData>
    <row r="1" spans="1:8" ht="27" customHeight="1">
      <c r="A1" s="349" t="s">
        <v>908</v>
      </c>
      <c r="B1" s="348"/>
      <c r="C1" s="348"/>
      <c r="D1" s="348"/>
      <c r="E1" s="348"/>
      <c r="F1" s="348"/>
      <c r="G1" s="348"/>
      <c r="H1" s="346"/>
    </row>
    <row r="2" spans="1:8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8"/>
      <c r="H2" s="346"/>
    </row>
    <row r="3" spans="1:8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8"/>
      <c r="H3" s="346"/>
    </row>
    <row r="4" spans="1:8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8"/>
      <c r="H4" s="346"/>
    </row>
    <row r="5" spans="1:8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8"/>
      <c r="H5" s="346"/>
    </row>
    <row r="7" spans="1:8" ht="48" customHeight="1">
      <c r="A7" s="351" t="s">
        <v>909</v>
      </c>
      <c r="B7" s="348"/>
      <c r="C7" s="348"/>
      <c r="D7" s="348"/>
      <c r="E7" s="348"/>
      <c r="F7" s="348"/>
      <c r="G7" s="348"/>
      <c r="H7" s="346"/>
    </row>
    <row r="9" spans="1:8" ht="40" customHeight="1">
      <c r="A9" s="199" t="s">
        <v>333</v>
      </c>
      <c r="B9" s="199" t="s">
        <v>866</v>
      </c>
      <c r="C9" s="199" t="s">
        <v>167</v>
      </c>
      <c r="D9" s="199" t="s">
        <v>910</v>
      </c>
      <c r="E9" s="199" t="s">
        <v>911</v>
      </c>
      <c r="F9" s="199" t="s">
        <v>912</v>
      </c>
      <c r="G9" s="199" t="s">
        <v>913</v>
      </c>
      <c r="H9" s="199" t="s">
        <v>914</v>
      </c>
    </row>
    <row r="10" spans="1:8" ht="20" customHeight="1">
      <c r="A10" s="200">
        <v>1</v>
      </c>
      <c r="B10" s="212" t="s">
        <v>988</v>
      </c>
      <c r="C10" s="203" t="s">
        <v>185</v>
      </c>
      <c r="D10" s="208">
        <f>SUM('PLANILLA GENERAL DE METRADOS'!J240:J248)</f>
      </c>
      <c r="E10" s="212" t="s">
        <v>916</v>
      </c>
      <c r="F10" s="203" t="s">
        <v>917</v>
      </c>
      <c r="G10" s="202">
        <v>9.73</v>
      </c>
      <c r="H10" s="213">
        <f t="shared" ref="H10:H18" si="0">G10*$D$10</f>
        <v>127.06261050000001</v>
      </c>
    </row>
    <row r="11" spans="1:8" ht="20" customHeight="1">
      <c r="A11" s="198"/>
      <c r="B11" s="220"/>
      <c r="C11" s="198"/>
      <c r="D11" s="198"/>
      <c r="E11" s="212" t="s">
        <v>918</v>
      </c>
      <c r="F11" s="203" t="s">
        <v>185</v>
      </c>
      <c r="G11" s="202">
        <v>0.52</v>
      </c>
      <c r="H11" s="213">
        <f t="shared" si="0"/>
        <v>6.7906019999999998</v>
      </c>
    </row>
    <row r="12" spans="1:8" ht="20" customHeight="1">
      <c r="A12" s="198"/>
      <c r="B12" s="220"/>
      <c r="C12" s="198"/>
      <c r="D12" s="198"/>
      <c r="E12" s="212" t="s">
        <v>919</v>
      </c>
      <c r="F12" s="203" t="s">
        <v>185</v>
      </c>
      <c r="G12" s="202">
        <v>0.53</v>
      </c>
      <c r="H12" s="213">
        <f t="shared" si="0"/>
        <v>6.9211904999999998</v>
      </c>
    </row>
    <row r="13" spans="1:8" ht="20" customHeight="1">
      <c r="A13" s="198"/>
      <c r="B13" s="220"/>
      <c r="C13" s="198"/>
      <c r="D13" s="198"/>
      <c r="E13" s="212" t="s">
        <v>920</v>
      </c>
      <c r="F13" s="203" t="s">
        <v>185</v>
      </c>
      <c r="G13" s="202">
        <v>0.186</v>
      </c>
      <c r="H13" s="213">
        <f t="shared" si="0"/>
        <v>2.4289461000000001</v>
      </c>
    </row>
    <row r="14" spans="1:8" ht="20" customHeight="1">
      <c r="A14" s="198"/>
      <c r="B14" s="220"/>
      <c r="C14" s="198"/>
      <c r="D14" s="198"/>
      <c r="E14" s="212" t="s">
        <v>921</v>
      </c>
      <c r="F14" s="203" t="s">
        <v>922</v>
      </c>
      <c r="G14" s="202">
        <v>0.8</v>
      </c>
      <c r="H14" s="213">
        <f t="shared" si="0"/>
        <v>10.44708</v>
      </c>
    </row>
    <row r="15" spans="1:8" ht="20" customHeight="1">
      <c r="A15" s="198"/>
      <c r="B15" s="220"/>
      <c r="C15" s="198"/>
      <c r="D15" s="198"/>
      <c r="E15" s="212" t="s">
        <v>923</v>
      </c>
      <c r="F15" s="203" t="s">
        <v>922</v>
      </c>
      <c r="G15" s="202">
        <v>0.8</v>
      </c>
      <c r="H15" s="213">
        <f t="shared" si="0"/>
        <v>10.44708</v>
      </c>
    </row>
    <row r="16" spans="1:8" ht="20" customHeight="1">
      <c r="A16" s="198"/>
      <c r="B16" s="220"/>
      <c r="C16" s="198"/>
      <c r="D16" s="198"/>
      <c r="E16" s="212" t="s">
        <v>924</v>
      </c>
      <c r="F16" s="203" t="s">
        <v>925</v>
      </c>
      <c r="G16" s="202">
        <v>0.8</v>
      </c>
      <c r="H16" s="213">
        <f t="shared" si="0"/>
        <v>10.44708</v>
      </c>
    </row>
    <row r="17" spans="1:8" ht="20" customHeight="1">
      <c r="A17" s="198"/>
      <c r="B17" s="220"/>
      <c r="C17" s="198"/>
      <c r="D17" s="198"/>
      <c r="E17" s="212" t="s">
        <v>926</v>
      </c>
      <c r="F17" s="203" t="s">
        <v>925</v>
      </c>
      <c r="G17" s="202">
        <v>0.8</v>
      </c>
      <c r="H17" s="213">
        <f t="shared" si="0"/>
        <v>10.44708</v>
      </c>
    </row>
    <row r="18" spans="1:8" ht="20" customHeight="1">
      <c r="A18" s="198"/>
      <c r="B18" s="220"/>
      <c r="C18" s="198"/>
      <c r="D18" s="198"/>
      <c r="E18" s="212" t="s">
        <v>927</v>
      </c>
      <c r="F18" s="203" t="s">
        <v>925</v>
      </c>
      <c r="G18" s="202">
        <v>6.4</v>
      </c>
      <c r="H18" s="213">
        <f t="shared" si="0"/>
        <v>83.576639999999998</v>
      </c>
    </row>
    <row r="19" spans="1:8" ht="20" customHeight="1">
      <c r="A19" s="200">
        <v>2</v>
      </c>
      <c r="B19" s="212" t="s">
        <v>989</v>
      </c>
      <c r="C19" s="203" t="s">
        <v>185</v>
      </c>
      <c r="D19" s="208">
        <f>SUM('PLANILLA GENERAL DE METRADOS'!J250:J258)</f>
      </c>
      <c r="E19" s="212" t="s">
        <v>916</v>
      </c>
      <c r="F19" s="203" t="s">
        <v>917</v>
      </c>
      <c r="G19" s="202">
        <v>9.73</v>
      </c>
      <c r="H19" s="213">
        <f t="shared" ref="H19:H27" si="1">G19*$D$19</f>
        <v>348.93936167999885</v>
      </c>
    </row>
    <row r="20" spans="1:8" ht="20" customHeight="1">
      <c r="A20" s="198"/>
      <c r="B20" s="220"/>
      <c r="C20" s="198"/>
      <c r="D20" s="198"/>
      <c r="E20" s="212" t="s">
        <v>918</v>
      </c>
      <c r="F20" s="203" t="s">
        <v>185</v>
      </c>
      <c r="G20" s="202">
        <v>0.52</v>
      </c>
      <c r="H20" s="213">
        <f t="shared" si="1"/>
        <v>18.64835231999994</v>
      </c>
    </row>
    <row r="21" spans="1:8" ht="20" customHeight="1">
      <c r="A21" s="198"/>
      <c r="B21" s="220"/>
      <c r="C21" s="198"/>
      <c r="D21" s="198"/>
      <c r="E21" s="212" t="s">
        <v>919</v>
      </c>
      <c r="F21" s="203" t="s">
        <v>185</v>
      </c>
      <c r="G21" s="202">
        <v>0.53</v>
      </c>
      <c r="H21" s="213">
        <f t="shared" si="1"/>
        <v>19.00697447999994</v>
      </c>
    </row>
    <row r="22" spans="1:8" ht="20" customHeight="1">
      <c r="A22" s="198"/>
      <c r="B22" s="220"/>
      <c r="C22" s="198"/>
      <c r="D22" s="198"/>
      <c r="E22" s="212" t="s">
        <v>920</v>
      </c>
      <c r="F22" s="203" t="s">
        <v>185</v>
      </c>
      <c r="G22" s="202">
        <v>0.186</v>
      </c>
      <c r="H22" s="213">
        <f t="shared" si="1"/>
        <v>6.6703721759999786</v>
      </c>
    </row>
    <row r="23" spans="1:8" ht="20" customHeight="1">
      <c r="A23" s="198"/>
      <c r="B23" s="220"/>
      <c r="C23" s="198"/>
      <c r="D23" s="198"/>
      <c r="E23" s="212" t="s">
        <v>921</v>
      </c>
      <c r="F23" s="203" t="s">
        <v>922</v>
      </c>
      <c r="G23" s="202">
        <v>1</v>
      </c>
      <c r="H23" s="213">
        <f t="shared" si="1"/>
        <v>35.862215999999883</v>
      </c>
    </row>
    <row r="24" spans="1:8" ht="20" customHeight="1">
      <c r="A24" s="198"/>
      <c r="B24" s="220"/>
      <c r="C24" s="198"/>
      <c r="D24" s="198"/>
      <c r="E24" s="212" t="s">
        <v>923</v>
      </c>
      <c r="F24" s="203" t="s">
        <v>922</v>
      </c>
      <c r="G24" s="202">
        <v>1</v>
      </c>
      <c r="H24" s="213">
        <f t="shared" si="1"/>
        <v>35.862215999999883</v>
      </c>
    </row>
    <row r="25" spans="1:8" ht="20" customHeight="1">
      <c r="A25" s="198"/>
      <c r="B25" s="220"/>
      <c r="C25" s="198"/>
      <c r="D25" s="198"/>
      <c r="E25" s="212" t="s">
        <v>924</v>
      </c>
      <c r="F25" s="203" t="s">
        <v>925</v>
      </c>
      <c r="G25" s="202">
        <v>1</v>
      </c>
      <c r="H25" s="213">
        <f t="shared" si="1"/>
        <v>35.862215999999883</v>
      </c>
    </row>
    <row r="26" spans="1:8" ht="20" customHeight="1">
      <c r="A26" s="198"/>
      <c r="B26" s="220"/>
      <c r="C26" s="198"/>
      <c r="D26" s="198"/>
      <c r="E26" s="212" t="s">
        <v>926</v>
      </c>
      <c r="F26" s="203" t="s">
        <v>925</v>
      </c>
      <c r="G26" s="202">
        <v>1</v>
      </c>
      <c r="H26" s="213">
        <f t="shared" si="1"/>
        <v>35.862215999999883</v>
      </c>
    </row>
    <row r="27" spans="1:8" ht="20" customHeight="1">
      <c r="A27" s="198"/>
      <c r="B27" s="220"/>
      <c r="C27" s="198"/>
      <c r="D27" s="198"/>
      <c r="E27" s="212" t="s">
        <v>927</v>
      </c>
      <c r="F27" s="203" t="s">
        <v>925</v>
      </c>
      <c r="G27" s="202">
        <v>8</v>
      </c>
      <c r="H27" s="213">
        <f t="shared" si="1"/>
        <v>286.89772799999906</v>
      </c>
    </row>
    <row r="28" spans="1:8" ht="20" customHeight="1">
      <c r="A28" s="200">
        <v>3</v>
      </c>
      <c r="B28" s="212" t="s">
        <v>990</v>
      </c>
      <c r="C28" s="203" t="s">
        <v>185</v>
      </c>
      <c r="D28" s="208">
        <f>SUM('PLANILLA GENERAL DE METRADOS'!J260:J270)</f>
      </c>
      <c r="E28" s="212" t="s">
        <v>916</v>
      </c>
      <c r="F28" s="203" t="s">
        <v>917</v>
      </c>
      <c r="G28" s="202">
        <v>9.73</v>
      </c>
      <c r="H28" s="213">
        <f t="shared" ref="H28:H36" si="2">G28*$D$28</f>
        <v>91.389511499999998</v>
      </c>
    </row>
    <row r="29" spans="1:8" ht="20" customHeight="1">
      <c r="A29" s="198"/>
      <c r="B29" s="220"/>
      <c r="C29" s="198"/>
      <c r="D29" s="198"/>
      <c r="E29" s="212" t="s">
        <v>918</v>
      </c>
      <c r="F29" s="203" t="s">
        <v>185</v>
      </c>
      <c r="G29" s="202">
        <v>0.52</v>
      </c>
      <c r="H29" s="213">
        <f t="shared" si="2"/>
        <v>4.8841260000000002</v>
      </c>
    </row>
    <row r="30" spans="1:8" ht="20" customHeight="1">
      <c r="A30" s="198"/>
      <c r="B30" s="220"/>
      <c r="C30" s="198"/>
      <c r="D30" s="198"/>
      <c r="E30" s="212" t="s">
        <v>919</v>
      </c>
      <c r="F30" s="203" t="s">
        <v>185</v>
      </c>
      <c r="G30" s="202">
        <v>0.53</v>
      </c>
      <c r="H30" s="213">
        <f t="shared" si="2"/>
        <v>4.9780515000000003</v>
      </c>
    </row>
    <row r="31" spans="1:8" ht="20" customHeight="1">
      <c r="A31" s="198"/>
      <c r="B31" s="220"/>
      <c r="C31" s="198"/>
      <c r="D31" s="198"/>
      <c r="E31" s="212" t="s">
        <v>920</v>
      </c>
      <c r="F31" s="203" t="s">
        <v>185</v>
      </c>
      <c r="G31" s="202">
        <v>0.186</v>
      </c>
      <c r="H31" s="213">
        <f t="shared" si="2"/>
        <v>1.7470143</v>
      </c>
    </row>
    <row r="32" spans="1:8" ht="20" customHeight="1">
      <c r="A32" s="198"/>
      <c r="B32" s="220"/>
      <c r="C32" s="198"/>
      <c r="D32" s="198"/>
      <c r="E32" s="212" t="s">
        <v>921</v>
      </c>
      <c r="F32" s="203" t="s">
        <v>922</v>
      </c>
      <c r="G32" s="202">
        <v>0.8</v>
      </c>
      <c r="H32" s="213">
        <f t="shared" si="2"/>
        <v>7.5140400000000005</v>
      </c>
    </row>
    <row r="33" spans="1:8" ht="20" customHeight="1">
      <c r="A33" s="198"/>
      <c r="B33" s="220"/>
      <c r="C33" s="198"/>
      <c r="D33" s="198"/>
      <c r="E33" s="212" t="s">
        <v>923</v>
      </c>
      <c r="F33" s="203" t="s">
        <v>922</v>
      </c>
      <c r="G33" s="202">
        <v>0.8</v>
      </c>
      <c r="H33" s="213">
        <f t="shared" si="2"/>
        <v>7.5140400000000005</v>
      </c>
    </row>
    <row r="34" spans="1:8" ht="20" customHeight="1">
      <c r="A34" s="198"/>
      <c r="B34" s="220"/>
      <c r="C34" s="198"/>
      <c r="D34" s="198"/>
      <c r="E34" s="212" t="s">
        <v>924</v>
      </c>
      <c r="F34" s="203" t="s">
        <v>925</v>
      </c>
      <c r="G34" s="202">
        <v>0.8</v>
      </c>
      <c r="H34" s="213">
        <f t="shared" si="2"/>
        <v>7.5140400000000005</v>
      </c>
    </row>
    <row r="35" spans="1:8" ht="20" customHeight="1">
      <c r="A35" s="198"/>
      <c r="B35" s="220"/>
      <c r="C35" s="198"/>
      <c r="D35" s="198"/>
      <c r="E35" s="212" t="s">
        <v>926</v>
      </c>
      <c r="F35" s="203" t="s">
        <v>925</v>
      </c>
      <c r="G35" s="202">
        <v>0.8</v>
      </c>
      <c r="H35" s="213">
        <f t="shared" si="2"/>
        <v>7.5140400000000005</v>
      </c>
    </row>
    <row r="36" spans="1:8" ht="20" customHeight="1">
      <c r="A36" s="198"/>
      <c r="B36" s="220"/>
      <c r="C36" s="198"/>
      <c r="D36" s="198"/>
      <c r="E36" s="212" t="s">
        <v>927</v>
      </c>
      <c r="F36" s="203" t="s">
        <v>925</v>
      </c>
      <c r="G36" s="202">
        <v>6.4</v>
      </c>
      <c r="H36" s="213">
        <f t="shared" si="2"/>
        <v>60.112320000000004</v>
      </c>
    </row>
    <row r="37" spans="1:8" ht="20" customHeight="1">
      <c r="A37" s="200">
        <v>4</v>
      </c>
      <c r="B37" s="212" t="s">
        <v>991</v>
      </c>
      <c r="C37" s="203" t="s">
        <v>186</v>
      </c>
      <c r="D37" s="208">
        <f>'PLANILLA GENERAL DE METRADOS'!K271</f>
        <v>585.23187999999834</v>
      </c>
      <c r="E37" s="212" t="s">
        <v>931</v>
      </c>
      <c r="F37" s="203" t="s">
        <v>932</v>
      </c>
      <c r="G37" s="202">
        <v>4.24</v>
      </c>
      <c r="H37" s="213">
        <f>G37*$D$37</f>
        <v>2481.3831711999933</v>
      </c>
    </row>
    <row r="38" spans="1:8" ht="20" customHeight="1">
      <c r="A38" s="198"/>
      <c r="B38" s="220"/>
      <c r="C38" s="198"/>
      <c r="D38" s="198"/>
      <c r="E38" s="212" t="s">
        <v>933</v>
      </c>
      <c r="F38" s="203" t="s">
        <v>50</v>
      </c>
      <c r="G38" s="202">
        <v>0.2</v>
      </c>
      <c r="H38" s="213">
        <f>G38*$D$37</f>
        <v>117.04637599999967</v>
      </c>
    </row>
    <row r="39" spans="1:8" ht="20" customHeight="1">
      <c r="A39" s="198"/>
      <c r="B39" s="220"/>
      <c r="C39" s="198"/>
      <c r="D39" s="198"/>
      <c r="E39" s="212" t="s">
        <v>934</v>
      </c>
      <c r="F39" s="203" t="s">
        <v>50</v>
      </c>
      <c r="G39" s="202">
        <v>0.2</v>
      </c>
      <c r="H39" s="213">
        <f>G39*$D$37</f>
        <v>117.04637599999967</v>
      </c>
    </row>
    <row r="40" spans="1:8" ht="20" customHeight="1">
      <c r="A40" s="198"/>
      <c r="B40" s="220"/>
      <c r="C40" s="198"/>
      <c r="D40" s="198"/>
      <c r="E40" s="212" t="s">
        <v>924</v>
      </c>
      <c r="F40" s="203" t="s">
        <v>925</v>
      </c>
      <c r="G40" s="202">
        <v>0.8</v>
      </c>
      <c r="H40" s="213">
        <f>G40*$D$37</f>
        <v>468.18550399999867</v>
      </c>
    </row>
    <row r="41" spans="1:8" ht="20" customHeight="1">
      <c r="A41" s="198"/>
      <c r="B41" s="220"/>
      <c r="C41" s="198"/>
      <c r="D41" s="198"/>
      <c r="E41" s="212" t="s">
        <v>926</v>
      </c>
      <c r="F41" s="203" t="s">
        <v>925</v>
      </c>
      <c r="G41" s="202">
        <v>0.8</v>
      </c>
      <c r="H41" s="213">
        <f>G41*$D$37</f>
        <v>468.18550399999867</v>
      </c>
    </row>
    <row r="42" spans="1:8" ht="20" customHeight="1">
      <c r="A42" s="200">
        <v>5</v>
      </c>
      <c r="B42" s="212" t="s">
        <v>992</v>
      </c>
      <c r="C42" s="203" t="s">
        <v>50</v>
      </c>
      <c r="D42" s="208">
        <f>'PLANILLA GENERAL DE METRADOS'!K281</f>
        <v>3056.4463751111011</v>
      </c>
      <c r="E42" s="212" t="s">
        <v>936</v>
      </c>
      <c r="F42" s="203" t="s">
        <v>50</v>
      </c>
      <c r="G42" s="202">
        <v>1.05</v>
      </c>
      <c r="H42" s="213">
        <f>G42*$D$42</f>
        <v>3209.2686938666561</v>
      </c>
    </row>
    <row r="43" spans="1:8" ht="20" customHeight="1">
      <c r="A43" s="198"/>
      <c r="B43" s="220"/>
      <c r="C43" s="198"/>
      <c r="D43" s="198"/>
      <c r="E43" s="212" t="s">
        <v>937</v>
      </c>
      <c r="F43" s="203" t="s">
        <v>50</v>
      </c>
      <c r="G43" s="202">
        <v>0.06</v>
      </c>
      <c r="H43" s="213">
        <f>G43*$D$42</f>
        <v>183.38678250666607</v>
      </c>
    </row>
    <row r="44" spans="1:8" ht="20" customHeight="1">
      <c r="A44" s="198"/>
      <c r="B44" s="220"/>
      <c r="C44" s="198"/>
      <c r="D44" s="198"/>
      <c r="E44" s="212" t="s">
        <v>924</v>
      </c>
      <c r="F44" s="203" t="s">
        <v>925</v>
      </c>
      <c r="G44" s="202">
        <v>3.2000000000000001E-2</v>
      </c>
      <c r="H44" s="213">
        <f>G44*$D$42</f>
        <v>97.806284003555234</v>
      </c>
    </row>
    <row r="45" spans="1:8" ht="20" customHeight="1">
      <c r="A45" s="198"/>
      <c r="B45" s="220"/>
      <c r="C45" s="198"/>
      <c r="D45" s="198"/>
      <c r="E45" s="212" t="s">
        <v>926</v>
      </c>
      <c r="F45" s="203" t="s">
        <v>925</v>
      </c>
      <c r="G45" s="202">
        <v>3.2000000000000001E-2</v>
      </c>
      <c r="H45" s="213">
        <f>G45*$D$42</f>
        <v>97.806284003555234</v>
      </c>
    </row>
    <row r="46" spans="1:8" ht="20" customHeight="1">
      <c r="A46" s="200">
        <v>6</v>
      </c>
      <c r="B46" s="212" t="s">
        <v>938</v>
      </c>
      <c r="C46" s="203" t="s">
        <v>186</v>
      </c>
      <c r="D46" s="208">
        <f>'PLANILLA GENERAL DE METRADOS'!K228</f>
        <v>93.937999999999988</v>
      </c>
      <c r="E46" s="212" t="s">
        <v>916</v>
      </c>
      <c r="F46" s="203" t="s">
        <v>917</v>
      </c>
      <c r="G46" s="202">
        <v>0.3</v>
      </c>
      <c r="H46" s="213">
        <f>G46*$D$46</f>
        <v>28.181399999999996</v>
      </c>
    </row>
    <row r="47" spans="1:8" ht="20" customHeight="1">
      <c r="A47" s="198"/>
      <c r="B47" s="220"/>
      <c r="C47" s="198"/>
      <c r="D47" s="198"/>
      <c r="E47" s="212" t="s">
        <v>939</v>
      </c>
      <c r="F47" s="203" t="s">
        <v>185</v>
      </c>
      <c r="G47" s="202">
        <v>6.4000000000000001E-2</v>
      </c>
      <c r="H47" s="213">
        <f>G47*$D$46</f>
        <v>6.0120319999999996</v>
      </c>
    </row>
    <row r="48" spans="1:8" ht="20" customHeight="1">
      <c r="A48" s="198"/>
      <c r="B48" s="220"/>
      <c r="C48" s="198"/>
      <c r="D48" s="198"/>
      <c r="E48" s="212" t="s">
        <v>920</v>
      </c>
      <c r="F48" s="203" t="s">
        <v>185</v>
      </c>
      <c r="G48" s="202">
        <v>0.01</v>
      </c>
      <c r="H48" s="213">
        <f>G48*$D$46</f>
        <v>0.93937999999999988</v>
      </c>
    </row>
    <row r="49" spans="1:8" ht="20" customHeight="1">
      <c r="A49" s="198"/>
      <c r="B49" s="220"/>
      <c r="C49" s="198"/>
      <c r="D49" s="198"/>
      <c r="E49" s="212" t="s">
        <v>924</v>
      </c>
      <c r="F49" s="203" t="s">
        <v>925</v>
      </c>
      <c r="G49" s="202">
        <v>0.1</v>
      </c>
      <c r="H49" s="213">
        <f>G49*$D$46</f>
        <v>9.3937999999999988</v>
      </c>
    </row>
    <row r="50" spans="1:8" ht="20" customHeight="1">
      <c r="A50" s="198"/>
      <c r="B50" s="220"/>
      <c r="C50" s="198"/>
      <c r="D50" s="198"/>
      <c r="E50" s="212" t="s">
        <v>927</v>
      </c>
      <c r="F50" s="203" t="s">
        <v>925</v>
      </c>
      <c r="G50" s="202">
        <v>0.4</v>
      </c>
      <c r="H50" s="213">
        <f>G50*$D$46</f>
        <v>37.575199999999995</v>
      </c>
    </row>
    <row r="51" spans="1:8" ht="20" customHeight="1">
      <c r="A51" s="200">
        <v>7</v>
      </c>
      <c r="B51" s="212" t="s">
        <v>940</v>
      </c>
      <c r="C51" s="203" t="s">
        <v>185</v>
      </c>
      <c r="D51" s="208">
        <f>'PLANILLA GENERAL DE METRADOS'!K187</f>
        <v>164.89437599999965</v>
      </c>
      <c r="E51" s="212" t="s">
        <v>927</v>
      </c>
      <c r="F51" s="203" t="s">
        <v>925</v>
      </c>
      <c r="G51" s="202">
        <v>2.67</v>
      </c>
      <c r="H51" s="213">
        <f>G51*$D$51</f>
        <v>440.26798391999904</v>
      </c>
    </row>
    <row r="52" spans="1:8" ht="20" customHeight="1">
      <c r="A52" s="198"/>
      <c r="B52" s="220"/>
      <c r="C52" s="198"/>
      <c r="D52" s="198"/>
      <c r="E52" s="212" t="s">
        <v>941</v>
      </c>
      <c r="F52" s="203" t="s">
        <v>942</v>
      </c>
      <c r="G52" s="202">
        <v>0.03</v>
      </c>
      <c r="H52" s="213">
        <f>G52*$D$51</f>
        <v>4.9468312799999898</v>
      </c>
    </row>
    <row r="53" spans="1:8" ht="20" customHeight="1">
      <c r="A53" s="200">
        <v>8</v>
      </c>
      <c r="B53" s="212" t="s">
        <v>943</v>
      </c>
      <c r="C53" s="203" t="s">
        <v>185</v>
      </c>
      <c r="D53" s="208">
        <f>'PLANILLA GENERAL DE METRADOS'!K207</f>
        <v>82.773335000000117</v>
      </c>
      <c r="E53" s="212" t="s">
        <v>920</v>
      </c>
      <c r="F53" s="203" t="s">
        <v>185</v>
      </c>
      <c r="G53" s="202">
        <v>0.05</v>
      </c>
      <c r="H53" s="213">
        <f>G53*$D$53</f>
        <v>4.1386667500000058</v>
      </c>
    </row>
    <row r="54" spans="1:8" ht="20" customHeight="1">
      <c r="A54" s="198"/>
      <c r="B54" s="220"/>
      <c r="C54" s="198"/>
      <c r="D54" s="198"/>
      <c r="E54" s="212" t="s">
        <v>944</v>
      </c>
      <c r="F54" s="203" t="s">
        <v>922</v>
      </c>
      <c r="G54" s="202">
        <v>0.4</v>
      </c>
      <c r="H54" s="213">
        <f>G54*$D$53</f>
        <v>33.109334000000047</v>
      </c>
    </row>
    <row r="55" spans="1:8" ht="20" customHeight="1">
      <c r="A55" s="198"/>
      <c r="B55" s="220"/>
      <c r="C55" s="198"/>
      <c r="D55" s="198"/>
      <c r="E55" s="212" t="s">
        <v>924</v>
      </c>
      <c r="F55" s="203" t="s">
        <v>925</v>
      </c>
      <c r="G55" s="202">
        <v>0.4</v>
      </c>
      <c r="H55" s="213">
        <f>G55*$D$53</f>
        <v>33.109334000000047</v>
      </c>
    </row>
    <row r="56" spans="1:8" ht="20" customHeight="1">
      <c r="A56" s="198"/>
      <c r="B56" s="220"/>
      <c r="C56" s="198"/>
      <c r="D56" s="198"/>
      <c r="E56" s="212" t="s">
        <v>927</v>
      </c>
      <c r="F56" s="203" t="s">
        <v>925</v>
      </c>
      <c r="G56" s="202">
        <v>1.6</v>
      </c>
      <c r="H56" s="213">
        <f>G56*$D$53</f>
        <v>132.43733600000019</v>
      </c>
    </row>
    <row r="57" spans="1:8" ht="20" customHeight="1">
      <c r="A57" s="200">
        <v>9</v>
      </c>
      <c r="B57" s="212" t="s">
        <v>945</v>
      </c>
      <c r="C57" s="203" t="s">
        <v>185</v>
      </c>
      <c r="D57" s="208">
        <f>'PLANILLA GENERAL DE METRADOS'!K224</f>
        <v>98.545249199999446</v>
      </c>
      <c r="E57" s="212" t="s">
        <v>946</v>
      </c>
      <c r="F57" s="203" t="s">
        <v>922</v>
      </c>
      <c r="G57" s="202">
        <v>0.13300000000000001</v>
      </c>
      <c r="H57" s="213">
        <f>G57*$D$57</f>
        <v>13.106518143599928</v>
      </c>
    </row>
    <row r="58" spans="1:8" ht="20" customHeight="1">
      <c r="A58" s="198"/>
      <c r="B58" s="220"/>
      <c r="C58" s="198"/>
      <c r="D58" s="198"/>
      <c r="E58" s="212" t="s">
        <v>947</v>
      </c>
      <c r="F58" s="203" t="s">
        <v>922</v>
      </c>
      <c r="G58" s="202">
        <v>3.3000000000000002E-2</v>
      </c>
      <c r="H58" s="213">
        <f>G58*$D$57</f>
        <v>3.2519932235999818</v>
      </c>
    </row>
    <row r="59" spans="1:8" ht="20" customHeight="1">
      <c r="A59" s="198"/>
      <c r="B59" s="220"/>
      <c r="C59" s="198"/>
      <c r="D59" s="198"/>
      <c r="E59" s="212" t="s">
        <v>927</v>
      </c>
      <c r="F59" s="203" t="s">
        <v>925</v>
      </c>
      <c r="G59" s="202">
        <v>0.13300000000000001</v>
      </c>
      <c r="H59" s="213">
        <f>G59*$D$57</f>
        <v>13.106518143599928</v>
      </c>
    </row>
    <row r="60" spans="1:8" ht="20" customHeight="1">
      <c r="A60" s="200">
        <v>10</v>
      </c>
      <c r="B60" s="212" t="s">
        <v>948</v>
      </c>
      <c r="C60" s="203" t="s">
        <v>50</v>
      </c>
      <c r="D60" s="208">
        <f>'PLANILLA GENERAL DE METRADOS'!K314</f>
        <v>151.416</v>
      </c>
      <c r="E60" s="212" t="s">
        <v>949</v>
      </c>
      <c r="F60" s="203" t="s">
        <v>50</v>
      </c>
      <c r="G60" s="202">
        <v>1.05</v>
      </c>
      <c r="H60" s="213">
        <f>G60*$D$60</f>
        <v>158.98680000000002</v>
      </c>
    </row>
    <row r="61" spans="1:8" ht="20" customHeight="1">
      <c r="A61" s="198"/>
      <c r="B61" s="220"/>
      <c r="C61" s="198"/>
      <c r="D61" s="198"/>
      <c r="E61" s="212" t="s">
        <v>950</v>
      </c>
      <c r="F61" s="203" t="s">
        <v>50</v>
      </c>
      <c r="G61" s="202">
        <v>0.03</v>
      </c>
      <c r="H61" s="213">
        <f>G61*$D$60</f>
        <v>4.5424799999999994</v>
      </c>
    </row>
    <row r="62" spans="1:8" ht="20" customHeight="1">
      <c r="A62" s="198"/>
      <c r="B62" s="220"/>
      <c r="C62" s="198"/>
      <c r="D62" s="198"/>
      <c r="E62" s="212" t="s">
        <v>924</v>
      </c>
      <c r="F62" s="203" t="s">
        <v>925</v>
      </c>
      <c r="G62" s="202">
        <v>0.1</v>
      </c>
      <c r="H62" s="213">
        <f>G62*$D$60</f>
        <v>15.1416</v>
      </c>
    </row>
    <row r="63" spans="1:8" ht="20" customHeight="1">
      <c r="A63" s="198"/>
      <c r="B63" s="220"/>
      <c r="C63" s="198"/>
      <c r="D63" s="198"/>
      <c r="E63" s="212" t="s">
        <v>926</v>
      </c>
      <c r="F63" s="203" t="s">
        <v>925</v>
      </c>
      <c r="G63" s="202">
        <v>0.1</v>
      </c>
      <c r="H63" s="213">
        <f>G63*$D$60</f>
        <v>15.1416</v>
      </c>
    </row>
    <row r="64" spans="1:8" ht="20" customHeight="1">
      <c r="A64" s="200">
        <v>11</v>
      </c>
      <c r="B64" s="212" t="s">
        <v>951</v>
      </c>
      <c r="C64" s="203" t="s">
        <v>186</v>
      </c>
      <c r="D64" s="208">
        <f>'PLANILLA GENERAL DE METRADOS'!K318</f>
        <v>9.8184000000000005</v>
      </c>
      <c r="E64" s="212" t="s">
        <v>952</v>
      </c>
      <c r="F64" s="203" t="s">
        <v>953</v>
      </c>
      <c r="G64" s="202">
        <v>0.08</v>
      </c>
      <c r="H64" s="213">
        <f>G64*$D$64</f>
        <v>0.78547200000000006</v>
      </c>
    </row>
    <row r="65" spans="1:8" ht="20" customHeight="1">
      <c r="A65" s="198"/>
      <c r="B65" s="220"/>
      <c r="C65" s="198"/>
      <c r="D65" s="198"/>
      <c r="E65" s="212" t="s">
        <v>954</v>
      </c>
      <c r="F65" s="203" t="s">
        <v>953</v>
      </c>
      <c r="G65" s="202">
        <v>0.08</v>
      </c>
      <c r="H65" s="213">
        <f>G65*$D$64</f>
        <v>0.78547200000000006</v>
      </c>
    </row>
    <row r="66" spans="1:8" ht="20" customHeight="1">
      <c r="A66" s="198"/>
      <c r="B66" s="220"/>
      <c r="C66" s="198"/>
      <c r="D66" s="198"/>
      <c r="E66" s="212" t="s">
        <v>955</v>
      </c>
      <c r="F66" s="203" t="s">
        <v>956</v>
      </c>
      <c r="G66" s="202">
        <v>0.05</v>
      </c>
      <c r="H66" s="213">
        <f>G66*$D$64</f>
        <v>0.49092000000000002</v>
      </c>
    </row>
    <row r="67" spans="1:8" ht="20" customHeight="1">
      <c r="A67" s="198"/>
      <c r="B67" s="220"/>
      <c r="C67" s="198"/>
      <c r="D67" s="198"/>
      <c r="E67" s="212" t="s">
        <v>924</v>
      </c>
      <c r="F67" s="203" t="s">
        <v>925</v>
      </c>
      <c r="G67" s="202">
        <v>0.4</v>
      </c>
      <c r="H67" s="213">
        <f>G67*$D$64</f>
        <v>3.9273600000000002</v>
      </c>
    </row>
    <row r="68" spans="1:8" ht="20" customHeight="1">
      <c r="A68" s="200">
        <v>12</v>
      </c>
      <c r="B68" s="212" t="s">
        <v>957</v>
      </c>
      <c r="C68" s="203" t="s">
        <v>69</v>
      </c>
      <c r="D68" s="208">
        <f>'PLANILLA GENERAL DE METRADOS'!K320</f>
        <v>100.64</v>
      </c>
      <c r="E68" s="212" t="s">
        <v>958</v>
      </c>
      <c r="F68" s="203" t="s">
        <v>186</v>
      </c>
      <c r="G68" s="202">
        <v>0.25</v>
      </c>
      <c r="H68" s="213">
        <f>G68*$D$68</f>
        <v>25.16</v>
      </c>
    </row>
    <row r="69" spans="1:8" ht="20" customHeight="1">
      <c r="A69" s="198"/>
      <c r="B69" s="220"/>
      <c r="C69" s="198"/>
      <c r="D69" s="198"/>
      <c r="E69" s="212" t="s">
        <v>959</v>
      </c>
      <c r="F69" s="203" t="s">
        <v>50</v>
      </c>
      <c r="G69" s="202">
        <v>0.35</v>
      </c>
      <c r="H69" s="213">
        <f>G69*$D$68</f>
        <v>35.223999999999997</v>
      </c>
    </row>
    <row r="70" spans="1:8" ht="20" customHeight="1">
      <c r="A70" s="198"/>
      <c r="B70" s="220"/>
      <c r="C70" s="198"/>
      <c r="D70" s="198"/>
      <c r="E70" s="212" t="s">
        <v>924</v>
      </c>
      <c r="F70" s="203" t="s">
        <v>925</v>
      </c>
      <c r="G70" s="202">
        <v>0.2</v>
      </c>
      <c r="H70" s="213">
        <f>G70*$D$68</f>
        <v>20.128</v>
      </c>
    </row>
    <row r="71" spans="1:8" ht="20" customHeight="1">
      <c r="A71" s="198"/>
      <c r="B71" s="220"/>
      <c r="C71" s="198"/>
      <c r="D71" s="198"/>
      <c r="E71" s="212" t="s">
        <v>927</v>
      </c>
      <c r="F71" s="203" t="s">
        <v>925</v>
      </c>
      <c r="G71" s="202">
        <v>0.2</v>
      </c>
      <c r="H71" s="213">
        <f>G71*$D$68</f>
        <v>20.128</v>
      </c>
    </row>
    <row r="72" spans="1:8" ht="20" customHeight="1">
      <c r="A72" s="200">
        <v>13</v>
      </c>
      <c r="B72" s="212" t="s">
        <v>960</v>
      </c>
      <c r="C72" s="203" t="s">
        <v>69</v>
      </c>
      <c r="D72" s="208">
        <f>'PLANILLA GENERAL DE METRADOS'!K321</f>
        <v>210.97899999999998</v>
      </c>
      <c r="E72" s="212" t="s">
        <v>958</v>
      </c>
      <c r="F72" s="203" t="s">
        <v>186</v>
      </c>
      <c r="G72" s="202">
        <v>0.15</v>
      </c>
      <c r="H72" s="213">
        <f>G72*$D$72</f>
        <v>31.646849999999997</v>
      </c>
    </row>
    <row r="73" spans="1:8" ht="20" customHeight="1">
      <c r="A73" s="198"/>
      <c r="B73" s="220"/>
      <c r="C73" s="198"/>
      <c r="D73" s="198"/>
      <c r="E73" s="212" t="s">
        <v>927</v>
      </c>
      <c r="F73" s="203" t="s">
        <v>925</v>
      </c>
      <c r="G73" s="202">
        <v>0.1</v>
      </c>
      <c r="H73" s="213">
        <f>G73*$D$72</f>
        <v>21.097899999999999</v>
      </c>
    </row>
  </sheetData>
  <mergeCells count="10">
    <mergeCell ref="A4:B4"/>
    <mergeCell ref="A1:H1"/>
    <mergeCell ref="C2:H2"/>
    <mergeCell ref="A2:B2"/>
    <mergeCell ref="A7:H7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96"/>
  <sheetViews>
    <sheetView showGridLines="0" workbookViewId="0"/>
  </sheetViews>
  <sheetFormatPr defaultRowHeight="14.5"/>
  <cols>
    <col min="1" max="1" width="6" customWidth="1"/>
    <col min="2" max="2" width="46" customWidth="1"/>
    <col min="3" max="3" width="8" customWidth="1"/>
    <col min="4" max="7" width="14" customWidth="1"/>
    <col min="8" max="8" width="44" customWidth="1"/>
  </cols>
  <sheetData>
    <row r="1" spans="1:8" ht="27" customHeight="1">
      <c r="A1" s="349" t="inlineStr">
        <is>
          <t xml:space="preserve">ANALISIS DE COSTO UNITARIO - TAPA DE REGISTRO 0.68 x 0.68 C/MARCO Y CONTRAMARCO</t>
        </is>
      </c>
      <c r="B1" s="348"/>
      <c r="C1" s="348"/>
      <c r="D1" s="348"/>
      <c r="E1" s="348"/>
      <c r="F1" s="348"/>
      <c r="G1" s="348"/>
      <c r="H1" s="346"/>
    </row>
    <row r="2" spans="1:8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8"/>
      <c r="H2" s="346"/>
    </row>
    <row r="3" spans="1:8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8"/>
      <c r="H3" s="346"/>
    </row>
    <row r="4" spans="1:8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8"/>
      <c r="H4" s="346"/>
    </row>
    <row r="5" spans="1:8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8"/>
      <c r="H5" s="346"/>
    </row>
    <row r="7" spans="1:8" ht="66" customHeight="1">
      <c r="A7" s="351" t="inlineStr">
        <is>
          <t xml:space="preserve">Analisis de la partida de Delphin 01.04.04.06.05.01 TAPA DE REGISTRO 0.68x0.68 C/MARCO Y CONTRAMARCO, armado con los componentes que este metrado lleva por separado (partidas 01.04.04.05.01 a 01.04.04.05.07). Cantidad por tapa = metrado del componente / numero de tapas. Ratios de insumos tomados de la hoja COLECTOR INSUMOS. Celda amarilla = dato (ratio o precio); verde = formula. Precios sin IGV, referenciales: al pasar a Delphin rigen los de la base de precios del presupuesto.</t>
        </is>
      </c>
      <c r="B7" s="212"/>
      <c r="C7" s="212"/>
      <c r="D7" s="212"/>
      <c r="E7" s="212"/>
      <c r="F7" s="212"/>
      <c r="G7" s="212"/>
      <c r="H7" s="212"/>
    </row>
    <row r="9" spans="1:8" ht="20" customHeight="1">
      <c r="A9" s="353" t="inlineStr">
        <is>
          <t xml:space="preserve">1. CANTIDADES POR TAPA (tomadas de este metrado)</t>
        </is>
      </c>
      <c r="B9" s="353"/>
      <c r="C9" s="353"/>
      <c r="D9" s="353"/>
      <c r="E9" s="353"/>
      <c r="F9" s="353"/>
      <c r="G9" s="353"/>
      <c r="H9" s="353"/>
    </row>
    <row r="10" spans="1:8" ht="32" customHeight="1">
      <c r="A10" s="199" t="inlineStr">
        <is>
          <t xml:space="preserve">N°</t>
        </is>
      </c>
      <c r="B10" s="199" t="inlineStr">
        <is>
          <t xml:space="preserve">COMPONENTE</t>
        </is>
      </c>
      <c r="C10" s="199" t="inlineStr">
        <is>
          <t xml:space="preserve">UND</t>
        </is>
      </c>
      <c r="D10" s="199" t="inlineStr">
        <is>
          <t xml:space="preserve">METRADO TOTAL</t>
        </is>
      </c>
      <c r="E10" s="199" t="inlineStr">
        <is>
          <t xml:space="preserve">N° DE TAPAS</t>
        </is>
      </c>
      <c r="F10" s="199" t="inlineStr">
        <is>
          <t xml:space="preserve">CANTIDAD POR TAPA</t>
        </is>
      </c>
      <c r="G10" s="199" t="inlineStr">
        <is>
          <t xml:space="preserve">PARTIDA DEL METRADO</t>
        </is>
      </c>
      <c r="H10" s="199" t="inlineStr">
        <is>
          <t xml:space="preserve">SUSTENTO</t>
        </is>
      </c>
    </row>
    <row r="11" spans="1:8" ht="32" customHeight="1">
      <c r="A11" s="200">
        <v>1</v>
      </c>
      <c r="B11" s="364" t="inlineStr">
        <is>
          <t xml:space="preserve">Contramarco metalico L 2"x2"x3/16" con anclajes</t>
        </is>
      </c>
      <c r="C11" s="203" t="inlineStr">
        <is>
          <t xml:space="preserve">und</t>
        </is>
      </c>
      <c r="D11" s="208">
        <f>+'PLANILLA GENERAL DE METRADOS'!K312</f>
        <v>10</v>
      </c>
      <c r="E11" s="200">
        <f>+'COLECTOR REGISTROS Y TAPAS'!E19</f>
        <v>10</v>
      </c>
      <c r="F11" s="361">
        <f>D11/E11</f>
        <v>1</v>
      </c>
      <c r="G11" s="200" t="inlineStr">
        <is>
          <t xml:space="preserve">01.04.04.05.01</t>
        </is>
      </c>
      <c r="H11" s="364" t="inlineStr">
        <is>
          <t xml:space="preserve">DP-06B; 1 por registro</t>
        </is>
      </c>
    </row>
    <row r="12" spans="1:8" ht="32" customHeight="1">
      <c r="A12" s="200">
        <v>2</v>
      </c>
      <c r="B12" s="364" t="inlineStr">
        <is>
          <t xml:space="preserve">Marco metalico de tapa L 1 1/2"x1 1/2"x1/8"</t>
        </is>
      </c>
      <c r="C12" s="203" t="inlineStr">
        <is>
          <t xml:space="preserve">und</t>
        </is>
      </c>
      <c r="D12" s="208">
        <f>+'PLANILLA GENERAL DE METRADOS'!K313</f>
        <v>10</v>
      </c>
      <c r="E12" s="200">
        <f>+'COLECTOR REGISTROS Y TAPAS'!E19</f>
        <v>10</v>
      </c>
      <c r="F12" s="361">
        <f>D12/E12</f>
        <v>1</v>
      </c>
      <c r="G12" s="200" t="inlineStr">
        <is>
          <t xml:space="preserve">01.04.04.05.02</t>
        </is>
      </c>
      <c r="H12" s="364" t="inlineStr">
        <is>
          <t xml:space="preserve">DP-06B; 1 por tapa</t>
        </is>
      </c>
    </row>
    <row r="13" spans="1:8" ht="32" customHeight="1">
      <c r="A13" s="200">
        <v>3</v>
      </c>
      <c r="B13" s="364" t="inlineStr">
        <is>
          <t xml:space="preserve">Angulos metalicos para marco y contramarco (incluye soldadura)</t>
        </is>
      </c>
      <c r="C13" s="203" t="inlineStr">
        <is>
          <t xml:space="preserve">kg</t>
        </is>
      </c>
      <c r="D13" s="208">
        <f>+'PLANILLA GENERAL DE METRADOS'!K314</f>
        <v>151.416</v>
      </c>
      <c r="E13" s="200">
        <f>+'COLECTOR REGISTROS Y TAPAS'!E19</f>
        <v>10</v>
      </c>
      <c r="F13" s="361">
        <f>D13/E13</f>
        <v>15.1416</v>
      </c>
      <c r="G13" s="200" t="inlineStr">
        <is>
          <t xml:space="preserve">01.04.04.05.03</t>
        </is>
      </c>
      <c r="H13" s="364" t="inlineStr">
        <is>
          <t xml:space="preserve">2.80 x 3.63 + 2.72 x 1.83 = 15.14 kg por tapa</t>
        </is>
      </c>
    </row>
    <row r="14" spans="1:8" ht="32" customHeight="1">
      <c r="A14" s="200">
        <v>4</v>
      </c>
      <c r="B14" s="364" t="inlineStr">
        <is>
          <t xml:space="preserve">Tapa de concreto armado 0.68 x 0.68 x 0.08 m (incluye acero y asas)</t>
        </is>
      </c>
      <c r="C14" s="203" t="inlineStr">
        <is>
          <t xml:space="preserve">und</t>
        </is>
      </c>
      <c r="D14" s="208">
        <f>+'PLANILLA GENERAL DE METRADOS'!K315</f>
        <v>10</v>
      </c>
      <c r="E14" s="200">
        <f>+'COLECTOR REGISTROS Y TAPAS'!E19</f>
        <v>10</v>
      </c>
      <c r="F14" s="361">
        <f>D14/E14</f>
        <v>1</v>
      </c>
      <c r="G14" s="200" t="inlineStr">
        <is>
          <t xml:space="preserve">01.04.04.05.04</t>
        </is>
      </c>
      <c r="H14" s="364" t="inlineStr">
        <is>
          <t xml:space="preserve">DP-06B</t>
        </is>
      </c>
    </row>
    <row r="15" spans="1:8" ht="32" customHeight="1">
      <c r="A15" s="200">
        <v>5</v>
      </c>
      <c r="B15" s="364" t="inlineStr">
        <is>
          <t xml:space="preserve">Concreto f'c=210 kg/cm2 en tapas</t>
        </is>
      </c>
      <c r="C15" s="203" t="inlineStr">
        <is>
          <t xml:space="preserve">m3</t>
        </is>
      </c>
      <c r="D15" s="361">
        <f>+'PLANILLA GENERAL DE METRADOS'!K316</f>
        <v>0.36992</v>
      </c>
      <c r="E15" s="200">
        <f>+'COLECTOR REGISTROS Y TAPAS'!E19</f>
        <v>10</v>
      </c>
      <c r="F15" s="361">
        <f>D15/E15</f>
        <v>0.036992</v>
      </c>
      <c r="G15" s="200" t="inlineStr">
        <is>
          <t xml:space="preserve">01.04.04.05.05</t>
        </is>
      </c>
      <c r="H15" s="364" t="inlineStr">
        <is>
          <t xml:space="preserve">0.68 x 0.68 x 0.08 = 0.0370 m3 por tapa</t>
        </is>
      </c>
    </row>
    <row r="16" spans="1:8" ht="32" customHeight="1">
      <c r="A16" s="200">
        <v>6</v>
      </c>
      <c r="B16" s="364" t="inlineStr">
        <is>
          <t xml:space="preserve">Acero fy=4200 kg/cm2 en tapas, bordes y anclajes</t>
        </is>
      </c>
      <c r="C16" s="203" t="inlineStr">
        <is>
          <t xml:space="preserve">kg</t>
        </is>
      </c>
      <c r="D16" s="208">
        <f>+'PLANILLA GENERAL DE METRADOS'!K317</f>
        <v>173.376</v>
      </c>
      <c r="E16" s="200">
        <f>+'COLECTOR REGISTROS Y TAPAS'!E19</f>
        <v>10</v>
      </c>
      <c r="F16" s="361">
        <f>D16/E16</f>
        <v>17.3376</v>
      </c>
      <c r="G16" s="200" t="inlineStr">
        <is>
          <t xml:space="preserve">01.04.04.05.06</t>
        </is>
      </c>
      <c r="H16" s="364" t="inlineStr">
        <is>
          <t xml:space="preserve">Hoja COLECTOR ACERO, filas 33 a 36</t>
        </is>
      </c>
    </row>
    <row r="17" spans="1:8" ht="32" customHeight="1">
      <c r="A17" s="200">
        <v>7</v>
      </c>
      <c r="B17" s="364" t="inlineStr">
        <is>
          <t xml:space="preserve">Pintura anticorrosiva y esmalte en angulos</t>
        </is>
      </c>
      <c r="C17" s="203" t="inlineStr">
        <is>
          <t xml:space="preserve">m2</t>
        </is>
      </c>
      <c r="D17" s="208">
        <f>+'PLANILLA GENERAL DE METRADOS'!K318</f>
        <v>9.8184</v>
      </c>
      <c r="E17" s="200">
        <f>+'COLECTOR REGISTROS Y TAPAS'!E19</f>
        <v>10</v>
      </c>
      <c r="F17" s="361">
        <f>D17/E17</f>
        <v>0.98184</v>
      </c>
      <c r="G17" s="200" t="inlineStr">
        <is>
          <t xml:space="preserve">01.04.04.05.07</t>
        </is>
      </c>
      <c r="H17" s="364" t="inlineStr">
        <is>
          <t xml:space="preserve">2.80 x 0.203 + 2.72 x 0.152 = 0.98 m2 por tapa</t>
        </is>
      </c>
    </row>
    <row r="19" spans="1:8" ht="20" customHeight="1">
      <c r="A19" s="353" t="inlineStr">
        <is>
          <t xml:space="preserve">2. DESGLOSE POR COMPONENTE (insumos que aporta cada componente a una tapa)</t>
        </is>
      </c>
      <c r="B19" s="353"/>
      <c r="C19" s="353"/>
      <c r="D19" s="353"/>
      <c r="E19" s="353"/>
      <c r="F19" s="353"/>
      <c r="G19" s="353"/>
      <c r="H19" s="353"/>
    </row>
    <row r="20" spans="1:8" ht="62" customHeight="1">
      <c r="A20" s="199" t="inlineStr">
        <is>
          <t xml:space="preserve">N°</t>
        </is>
      </c>
      <c r="B20" s="199" t="inlineStr">
        <is>
          <t xml:space="preserve">INSUMO</t>
        </is>
      </c>
      <c r="C20" s="199" t="inlineStr">
        <is>
          <t xml:space="preserve">UND</t>
        </is>
      </c>
      <c r="D20" s="199" t="inlineStr">
        <is>
          <t xml:space="preserve">CANTIDAD DEL COMPONENTE POR TAPA</t>
        </is>
      </c>
      <c r="E20" s="199" t="inlineStr">
        <is>
          <t xml:space="preserve">RATIO POR UND DE COMPONENTE</t>
        </is>
      </c>
      <c r="F20" s="199" t="inlineStr">
        <is>
          <t xml:space="preserve">APORTE POR TAPA</t>
        </is>
      </c>
      <c r="G20" s="199" t="inlineStr">
        <is>
          <t xml:space="preserve">PARCIAL S/</t>
        </is>
      </c>
      <c r="H20" s="199" t="inlineStr">
        <is>
          <t xml:space="preserve">SUSTENTO DEL RATIO</t>
        </is>
      </c>
    </row>
    <row r="21" spans="1:8" ht="32" customHeight="1">
      <c r="A21" s="200" t="inlineStr">
        <is>
          <t xml:space="preserve">A</t>
        </is>
      </c>
      <c r="B21" s="353" t="inlineStr">
        <is>
          <t xml:space="preserve">Marco y contramarco metalicos: fabricacion, soldadura de anclajes y colocacion (kg de angulo por tapa)</t>
        </is>
      </c>
      <c r="C21" s="353"/>
      <c r="D21" s="353"/>
      <c r="E21" s="353"/>
      <c r="F21" s="353"/>
      <c r="G21" s="353"/>
      <c r="H21" s="353"/>
    </row>
    <row r="22" spans="1:8" ht="32" customHeight="1">
      <c r="A22" s="198"/>
      <c r="B22" s="212" t="inlineStr">
        <is>
          <t xml:space="preserve">Angulo L 2"x2"x3/16"</t>
        </is>
      </c>
      <c r="C22" s="203" t="inlineStr">
        <is>
          <t xml:space="preserve">kg</t>
        </is>
      </c>
      <c r="D22" s="361">
        <f>'COLECTOR PARAMETROS'!C36*'COLECTOR PARAMETROS'!C38</f>
        <v>10.164</v>
      </c>
      <c r="E22" s="361">
        <f>+'COLECTOR INSUMOS'!G60</f>
        <v>1.05</v>
      </c>
      <c r="F22" s="361">
        <f>D22*E22</f>
        <v>10.6722</v>
      </c>
      <c r="G22" s="208">
        <f>F22*SUMIF($B$68:$B$93,B22,$F$68:$F$93)</f>
        <v>49.732452</v>
      </c>
      <c r="H22" s="364" t="inlineStr">
        <is>
          <t xml:space="preserve">Contramarco 4 x 0.70 = 2.80 m x 3.63 kg/m; 5 % de desperdicio (COLECTOR INSUMOS)</t>
        </is>
      </c>
    </row>
    <row r="23" spans="1:8" ht="32" customHeight="1">
      <c r="A23" s="198"/>
      <c r="B23" s="212" t="inlineStr">
        <is>
          <t xml:space="preserve">Angulo L 1 1/2"x1 1/2"x1/8"</t>
        </is>
      </c>
      <c r="C23" s="203" t="inlineStr">
        <is>
          <t xml:space="preserve">kg</t>
        </is>
      </c>
      <c r="D23" s="361">
        <f>'COLECTOR PARAMETROS'!C37*'COLECTOR PARAMETROS'!C39</f>
        <v>4.9776</v>
      </c>
      <c r="E23" s="361">
        <f>+'COLECTOR INSUMOS'!G60</f>
        <v>1.05</v>
      </c>
      <c r="F23" s="361">
        <f>D23*E23</f>
        <v>5.22648</v>
      </c>
      <c r="G23" s="208">
        <f>F23*SUMIF($B$68:$B$93,B23,$F$68:$F$93)</f>
        <v>24.3553968</v>
      </c>
      <c r="H23" s="364" t="inlineStr">
        <is>
          <t xml:space="preserve">Marco 4 x 0.68 = 2.72 m x 1.83 kg/m; 5 % de desperdicio</t>
        </is>
      </c>
    </row>
    <row r="24" spans="1:8" ht="20" customHeight="1">
      <c r="A24" s="198"/>
      <c r="B24" s="212" t="inlineStr">
        <is>
          <t xml:space="preserve">Soldadura cellocord E6011 1/8"</t>
        </is>
      </c>
      <c r="C24" s="203" t="inlineStr">
        <is>
          <t xml:space="preserve">kg</t>
        </is>
      </c>
      <c r="D24" s="361">
        <f>F13</f>
        <v>15.1416</v>
      </c>
      <c r="E24" s="361">
        <f>+'COLECTOR INSUMOS'!G61</f>
        <v>0.03</v>
      </c>
      <c r="F24" s="361">
        <f>D24*E24</f>
        <v>0.454248</v>
      </c>
      <c r="G24" s="208">
        <f>F24*SUMIF($B$68:$B$93,B24,$F$68:$F$93)</f>
        <v>6.15960288</v>
      </c>
      <c r="H24" s="364" t="inlineStr">
        <is>
          <t xml:space="preserve">COLECTOR INSUMOS, ratio por kg de angulo</t>
        </is>
      </c>
    </row>
    <row r="25" spans="1:8" ht="20" customHeight="1">
      <c r="A25" s="198"/>
      <c r="B25" s="212" t="inlineStr">
        <is>
          <t xml:space="preserve">Operario</t>
        </is>
      </c>
      <c r="C25" s="203" t="inlineStr">
        <is>
          <t xml:space="preserve">hh</t>
        </is>
      </c>
      <c r="D25" s="361">
        <f>F13</f>
        <v>15.1416</v>
      </c>
      <c r="E25" s="361">
        <f>+'COLECTOR INSUMOS'!G62</f>
        <v>0.1</v>
      </c>
      <c r="F25" s="361">
        <f>D25*E25</f>
        <v>1.51416</v>
      </c>
      <c r="G25" s="208">
        <f>F25*SUMIF($B$68:$B$93,B25,$F$68:$F$93)</f>
        <v>46.0607472</v>
      </c>
      <c r="H25" s="364" t="inlineStr">
        <is>
          <t xml:space="preserve">COLECTOR INSUMOS, ratio por kg de angulo</t>
        </is>
      </c>
    </row>
    <row r="26" spans="1:8" ht="20" customHeight="1">
      <c r="A26" s="198"/>
      <c r="B26" s="212" t="inlineStr">
        <is>
          <t xml:space="preserve">Oficial</t>
        </is>
      </c>
      <c r="C26" s="203" t="inlineStr">
        <is>
          <t xml:space="preserve">hh</t>
        </is>
      </c>
      <c r="D26" s="361">
        <f>F13</f>
        <v>15.1416</v>
      </c>
      <c r="E26" s="361">
        <f>+'COLECTOR INSUMOS'!G63</f>
        <v>0.1</v>
      </c>
      <c r="F26" s="361">
        <f>D26*E26</f>
        <v>1.51416</v>
      </c>
      <c r="G26" s="208">
        <f>F26*SUMIF($B$68:$B$93,B26,$F$68:$F$93)</f>
        <v>34.749972</v>
      </c>
      <c r="H26" s="364" t="inlineStr">
        <is>
          <t xml:space="preserve">COLECTOR INSUMOS, ratio por kg de angulo</t>
        </is>
      </c>
    </row>
    <row r="27" spans="1:8" ht="20" customHeight="1">
      <c r="A27" s="198"/>
      <c r="B27" s="212" t="inlineStr">
        <is>
          <t xml:space="preserve">Maquina de soldar 250 A</t>
        </is>
      </c>
      <c r="C27" s="203" t="inlineStr">
        <is>
          <t xml:space="preserve">hm</t>
        </is>
      </c>
      <c r="D27" s="361">
        <f>F13</f>
        <v>15.1416</v>
      </c>
      <c r="E27" s="361">
        <f>+'COLECTOR INSUMOS'!G62</f>
        <v>0.1</v>
      </c>
      <c r="F27" s="361">
        <f>D27*E27</f>
        <v>1.51416</v>
      </c>
      <c r="G27" s="208">
        <f>F27*SUMIF($B$68:$B$93,B27,$F$68:$F$93)</f>
        <v>12.11328</v>
      </c>
      <c r="H27" s="364" t="inlineStr">
        <is>
          <t xml:space="preserve">Mismo tiempo del operario soldador</t>
        </is>
      </c>
    </row>
    <row r="28" spans="1:8" ht="20" customHeight="1">
      <c r="A28" s="198"/>
      <c r="B28" s="353" t="inlineStr">
        <is>
          <t xml:space="preserve">Subtotal A</t>
        </is>
      </c>
      <c r="C28" s="212"/>
      <c r="D28" s="212"/>
      <c r="E28" s="212"/>
      <c r="F28" s="212"/>
      <c r="G28" s="213">
        <f>SUM(G22:G27)</f>
        <v>173.17145088</v>
      </c>
      <c r="H28" s="212"/>
    </row>
    <row r="29" spans="1:8" ht="32" customHeight="1">
      <c r="A29" s="200" t="inlineStr">
        <is>
          <t xml:space="preserve">B</t>
        </is>
      </c>
      <c r="B29" s="353" t="inlineStr">
        <is>
          <t xml:space="preserve">Concreto f'c=210 kg/cm2 de la tapa (m3 por tapa)</t>
        </is>
      </c>
      <c r="C29" s="353"/>
      <c r="D29" s="353"/>
      <c r="E29" s="353"/>
      <c r="F29" s="353"/>
      <c r="G29" s="353"/>
      <c r="H29" s="353"/>
    </row>
    <row r="30" spans="1:8" ht="32" customHeight="1">
      <c r="A30" s="198"/>
      <c r="B30" s="212" t="inlineStr">
        <is>
          <t xml:space="preserve">Cemento Portland tipo I</t>
        </is>
      </c>
      <c r="C30" s="203" t="inlineStr">
        <is>
          <t xml:space="preserve">bol</t>
        </is>
      </c>
      <c r="D30" s="361">
        <f>F15</f>
        <v>0.036992</v>
      </c>
      <c r="E30" s="361">
        <f>+'COLECTOR INSUMOS'!G28</f>
        <v>9.73</v>
      </c>
      <c r="F30" s="361">
        <f>D30*E30</f>
        <v>0.35993216</v>
      </c>
      <c r="G30" s="208">
        <f>F30*SUMIF($B$68:$B$93,B30,$F$68:$F$93)</f>
        <v>10.9815302016</v>
      </c>
      <c r="H30" s="364" t="inlineStr">
        <is>
          <t xml:space="preserve">COLECTOR INSUMOS, concreto f'c=210 (diseno de mezcla)</t>
        </is>
      </c>
    </row>
    <row r="31" spans="1:8" ht="20" customHeight="1">
      <c r="A31" s="198"/>
      <c r="B31" s="212" t="inlineStr">
        <is>
          <t xml:space="preserve">Arena gruesa</t>
        </is>
      </c>
      <c r="C31" s="203" t="inlineStr">
        <is>
          <t xml:space="preserve">m3</t>
        </is>
      </c>
      <c r="D31" s="361">
        <f>F15</f>
        <v>0.036992</v>
      </c>
      <c r="E31" s="361">
        <f>+'COLECTOR INSUMOS'!G29</f>
        <v>0.52</v>
      </c>
      <c r="F31" s="361">
        <f>D31*E31</f>
        <v>0.01923584</v>
      </c>
      <c r="G31" s="208">
        <f>F31*SUMIF($B$68:$B$93,B31,$F$68:$F$93)</f>
        <v>0.978142464</v>
      </c>
      <c r="H31" s="364" t="inlineStr">
        <is>
          <t xml:space="preserve">COLECTOR INSUMOS</t>
        </is>
      </c>
    </row>
    <row r="32" spans="1:8" ht="20" customHeight="1">
      <c r="A32" s="198"/>
      <c r="B32" s="212" t="inlineStr">
        <is>
          <t xml:space="preserve">Piedra chancada 1/2"</t>
        </is>
      </c>
      <c r="C32" s="203" t="inlineStr">
        <is>
          <t xml:space="preserve">m3</t>
        </is>
      </c>
      <c r="D32" s="361">
        <f>F15</f>
        <v>0.036992</v>
      </c>
      <c r="E32" s="361">
        <f>+'COLECTOR INSUMOS'!G30</f>
        <v>0.53</v>
      </c>
      <c r="F32" s="361">
        <f>D32*E32</f>
        <v>0.01960576</v>
      </c>
      <c r="G32" s="208">
        <f>F32*SUMIF($B$68:$B$93,B32,$F$68:$F$93)</f>
        <v>1.9937097344</v>
      </c>
      <c r="H32" s="364" t="inlineStr">
        <is>
          <t xml:space="preserve">COLECTOR INSUMOS</t>
        </is>
      </c>
    </row>
    <row r="33" spans="1:8" ht="20" customHeight="1">
      <c r="A33" s="198"/>
      <c r="B33" s="212" t="inlineStr">
        <is>
          <t xml:space="preserve">Agua</t>
        </is>
      </c>
      <c r="C33" s="203" t="inlineStr">
        <is>
          <t xml:space="preserve">m3</t>
        </is>
      </c>
      <c r="D33" s="361">
        <f>F15</f>
        <v>0.036992</v>
      </c>
      <c r="E33" s="361">
        <f>+'COLECTOR INSUMOS'!G31</f>
        <v>0.186</v>
      </c>
      <c r="F33" s="361">
        <f>D33*E33</f>
        <v>0.006880512</v>
      </c>
      <c r="G33" s="208">
        <f>F33*SUMIF($B$68:$B$93,B33,$F$68:$F$93)</f>
        <v>0.03440256</v>
      </c>
      <c r="H33" s="364" t="inlineStr">
        <is>
          <t xml:space="preserve">COLECTOR INSUMOS</t>
        </is>
      </c>
    </row>
    <row r="34" spans="1:8" ht="20" customHeight="1">
      <c r="A34" s="198"/>
      <c r="B34" s="212" t="inlineStr">
        <is>
          <t xml:space="preserve">Mezcladora 9-11 p3</t>
        </is>
      </c>
      <c r="C34" s="203" t="inlineStr">
        <is>
          <t xml:space="preserve">hm</t>
        </is>
      </c>
      <c r="D34" s="361">
        <f>F15</f>
        <v>0.036992</v>
      </c>
      <c r="E34" s="361">
        <f>+'COLECTOR INSUMOS'!G32</f>
        <v>0.8</v>
      </c>
      <c r="F34" s="361">
        <f>D34*E34</f>
        <v>0.0295936</v>
      </c>
      <c r="G34" s="208">
        <f>F34*SUMIF($B$68:$B$93,B34,$F$68:$F$93)</f>
        <v>0.443904</v>
      </c>
      <c r="H34" s="364" t="inlineStr">
        <is>
          <t xml:space="preserve">COLECTOR INSUMOS</t>
        </is>
      </c>
    </row>
    <row r="35" spans="1:8" ht="20" customHeight="1">
      <c r="A35" s="198"/>
      <c r="B35" s="212" t="inlineStr">
        <is>
          <t xml:space="preserve">Vibrador de concreto</t>
        </is>
      </c>
      <c r="C35" s="203" t="inlineStr">
        <is>
          <t xml:space="preserve">hm</t>
        </is>
      </c>
      <c r="D35" s="361">
        <f>F15</f>
        <v>0.036992</v>
      </c>
      <c r="E35" s="361">
        <f>+'COLECTOR INSUMOS'!G33</f>
        <v>0.8</v>
      </c>
      <c r="F35" s="361">
        <f>D35*E35</f>
        <v>0.0295936</v>
      </c>
      <c r="G35" s="208">
        <f>F35*SUMIF($B$68:$B$93,B35,$F$68:$F$93)</f>
        <v>0.295936</v>
      </c>
      <c r="H35" s="364" t="inlineStr">
        <is>
          <t xml:space="preserve">COLECTOR INSUMOS</t>
        </is>
      </c>
    </row>
    <row r="36" spans="1:8" ht="20" customHeight="1">
      <c r="A36" s="198"/>
      <c r="B36" s="212" t="inlineStr">
        <is>
          <t xml:space="preserve">Operario</t>
        </is>
      </c>
      <c r="C36" s="203" t="inlineStr">
        <is>
          <t xml:space="preserve">hh</t>
        </is>
      </c>
      <c r="D36" s="361">
        <f>F15</f>
        <v>0.036992</v>
      </c>
      <c r="E36" s="361">
        <f>+'COLECTOR INSUMOS'!G34</f>
        <v>0.8</v>
      </c>
      <c r="F36" s="361">
        <f>D36*E36</f>
        <v>0.0295936</v>
      </c>
      <c r="G36" s="208">
        <f>F36*SUMIF($B$68:$B$93,B36,$F$68:$F$93)</f>
        <v>0.900237312</v>
      </c>
      <c r="H36" s="364" t="inlineStr">
        <is>
          <t xml:space="preserve">COLECTOR INSUMOS</t>
        </is>
      </c>
    </row>
    <row r="37" spans="1:8" ht="20" customHeight="1">
      <c r="A37" s="198"/>
      <c r="B37" s="212" t="inlineStr">
        <is>
          <t xml:space="preserve">Oficial</t>
        </is>
      </c>
      <c r="C37" s="203" t="inlineStr">
        <is>
          <t xml:space="preserve">hh</t>
        </is>
      </c>
      <c r="D37" s="361">
        <f>F15</f>
        <v>0.036992</v>
      </c>
      <c r="E37" s="361">
        <f>+'COLECTOR INSUMOS'!G35</f>
        <v>0.8</v>
      </c>
      <c r="F37" s="361">
        <f>D37*E37</f>
        <v>0.0295936</v>
      </c>
      <c r="G37" s="208">
        <f>F37*SUMIF($B$68:$B$93,B37,$F$68:$F$93)</f>
        <v>0.67917312</v>
      </c>
      <c r="H37" s="364" t="inlineStr">
        <is>
          <t xml:space="preserve">COLECTOR INSUMOS</t>
        </is>
      </c>
    </row>
    <row r="38" spans="1:8" ht="20" customHeight="1">
      <c r="A38" s="198"/>
      <c r="B38" s="212" t="inlineStr">
        <is>
          <t xml:space="preserve">Peon</t>
        </is>
      </c>
      <c r="C38" s="203" t="inlineStr">
        <is>
          <t xml:space="preserve">hh</t>
        </is>
      </c>
      <c r="D38" s="361">
        <f>F15</f>
        <v>0.036992</v>
      </c>
      <c r="E38" s="361">
        <f>+'COLECTOR INSUMOS'!G36</f>
        <v>6.4</v>
      </c>
      <c r="F38" s="361">
        <f>D38*E38</f>
        <v>0.2367488</v>
      </c>
      <c r="G38" s="208">
        <f>F38*SUMIF($B$68:$B$93,B38,$F$68:$F$93)</f>
        <v>4.922007552</v>
      </c>
      <c r="H38" s="364" t="inlineStr">
        <is>
          <t xml:space="preserve">COLECTOR INSUMOS</t>
        </is>
      </c>
    </row>
    <row r="39" spans="1:8" ht="20" customHeight="1">
      <c r="A39" s="198"/>
      <c r="B39" s="353" t="inlineStr">
        <is>
          <t xml:space="preserve">Subtotal B</t>
        </is>
      </c>
      <c r="C39" s="212"/>
      <c r="D39" s="212"/>
      <c r="E39" s="212"/>
      <c r="F39" s="212"/>
      <c r="G39" s="213">
        <f>SUM(G30:G38)</f>
        <v>21.229042944</v>
      </c>
      <c r="H39" s="212"/>
    </row>
    <row r="40" spans="1:8" ht="32" customHeight="1">
      <c r="A40" s="200" t="inlineStr">
        <is>
          <t xml:space="preserve">C</t>
        </is>
      </c>
      <c r="B40" s="353" t="inlineStr">
        <is>
          <t xml:space="preserve">Vaciado de la tapa dentro del marco (und de tapa)</t>
        </is>
      </c>
      <c r="C40" s="353"/>
      <c r="D40" s="353"/>
      <c r="E40" s="353"/>
      <c r="F40" s="353"/>
      <c r="G40" s="353"/>
      <c r="H40" s="353"/>
    </row>
    <row r="41" spans="1:8" ht="32" customHeight="1">
      <c r="A41" s="198"/>
      <c r="B41" s="212" t="inlineStr">
        <is>
          <t xml:space="preserve">Madera tornillo</t>
        </is>
      </c>
      <c r="C41" s="203" t="inlineStr">
        <is>
          <t xml:space="preserve">p2</t>
        </is>
      </c>
      <c r="D41" s="361">
        <f>F14</f>
        <v>1</v>
      </c>
      <c r="E41" s="363">
        <v>1.15</v>
      </c>
      <c r="F41" s="361">
        <f>D41*E41</f>
        <v>1.15</v>
      </c>
      <c r="G41" s="208">
        <f>F41*SUMIF($B$68:$B$93,B41,$F$68:$F$93)</f>
        <v>5.842</v>
      </c>
      <c r="H41" s="364" t="inlineStr">
        <is>
          <t xml:space="preserve">Tablero de vaciado 0.80 x 0.80 x 1" = 6.89 p2, 6 usos; el marco metalico hace de encofrado lateral</t>
        </is>
      </c>
    </row>
    <row r="42" spans="1:8" ht="20" customHeight="1">
      <c r="A42" s="198"/>
      <c r="B42" s="353" t="inlineStr">
        <is>
          <t xml:space="preserve">Subtotal C</t>
        </is>
      </c>
      <c r="C42" s="212"/>
      <c r="D42" s="212"/>
      <c r="E42" s="212"/>
      <c r="F42" s="212"/>
      <c r="G42" s="213">
        <f>SUM(G41:G41)</f>
        <v>5.842</v>
      </c>
      <c r="H42" s="212"/>
    </row>
    <row r="43" spans="1:8" ht="32" customHeight="1">
      <c r="A43" s="200" t="inlineStr">
        <is>
          <t xml:space="preserve">D</t>
        </is>
      </c>
      <c r="B43" s="353" t="inlineStr">
        <is>
          <t xml:space="preserve">Acero fy=4200 kg/cm2 de tapa, borde de abertura, asas y anclajes (kg por tapa)</t>
        </is>
      </c>
      <c r="C43" s="353"/>
      <c r="D43" s="353"/>
      <c r="E43" s="353"/>
      <c r="F43" s="353"/>
      <c r="G43" s="353"/>
      <c r="H43" s="353"/>
    </row>
    <row r="44" spans="1:8" ht="32" customHeight="1">
      <c r="A44" s="198"/>
      <c r="B44" s="212" t="inlineStr">
        <is>
          <t xml:space="preserve">Acero corrugado fy=4200</t>
        </is>
      </c>
      <c r="C44" s="203" t="inlineStr">
        <is>
          <t xml:space="preserve">kg</t>
        </is>
      </c>
      <c r="D44" s="361">
        <f>F16</f>
        <v>17.3376</v>
      </c>
      <c r="E44" s="361">
        <f>+'COLECTOR INSUMOS'!G42</f>
        <v>1.05</v>
      </c>
      <c r="F44" s="361">
        <f>D44*E44</f>
        <v>18.20448</v>
      </c>
      <c r="G44" s="208">
        <f>F44*SUMIF($B$68:$B$93,B44,$F$68:$F$93)</f>
        <v>69.3590688</v>
      </c>
      <c r="H44" s="364" t="inlineStr">
        <is>
          <t xml:space="preserve">COLECTOR INSUMOS (incluye 5 % de desperdicio)</t>
        </is>
      </c>
    </row>
    <row r="45" spans="1:8" ht="20" customHeight="1">
      <c r="A45" s="198"/>
      <c r="B45" s="212" t="inlineStr">
        <is>
          <t xml:space="preserve">Alambre negro N 16</t>
        </is>
      </c>
      <c r="C45" s="203" t="inlineStr">
        <is>
          <t xml:space="preserve">kg</t>
        </is>
      </c>
      <c r="D45" s="361">
        <f>F16</f>
        <v>17.3376</v>
      </c>
      <c r="E45" s="361">
        <f>+'COLECTOR INSUMOS'!G43</f>
        <v>0.06</v>
      </c>
      <c r="F45" s="361">
        <f>D45*E45</f>
        <v>1.040256</v>
      </c>
      <c r="G45" s="208">
        <f>F45*SUMIF($B$68:$B$93,B45,$F$68:$F$93)</f>
        <v>5.28450048</v>
      </c>
      <c r="H45" s="364" t="inlineStr">
        <is>
          <t xml:space="preserve">COLECTOR INSUMOS</t>
        </is>
      </c>
    </row>
    <row r="46" spans="1:8" ht="20" customHeight="1">
      <c r="A46" s="198"/>
      <c r="B46" s="212" t="inlineStr">
        <is>
          <t xml:space="preserve">Operario</t>
        </is>
      </c>
      <c r="C46" s="203" t="inlineStr">
        <is>
          <t xml:space="preserve">hh</t>
        </is>
      </c>
      <c r="D46" s="361">
        <f>F16</f>
        <v>17.3376</v>
      </c>
      <c r="E46" s="361">
        <f>+'COLECTOR INSUMOS'!G44</f>
        <v>0.032</v>
      </c>
      <c r="F46" s="361">
        <f>D46*E46</f>
        <v>0.5548032</v>
      </c>
      <c r="G46" s="208">
        <f>F46*SUMIF($B$68:$B$93,B46,$F$68:$F$93)</f>
        <v>16.877113344</v>
      </c>
      <c r="H46" s="364" t="inlineStr">
        <is>
          <t xml:space="preserve">COLECTOR INSUMOS</t>
        </is>
      </c>
    </row>
    <row r="47" spans="1:8" ht="20" customHeight="1">
      <c r="A47" s="198"/>
      <c r="B47" s="212" t="inlineStr">
        <is>
          <t xml:space="preserve">Oficial</t>
        </is>
      </c>
      <c r="C47" s="203" t="inlineStr">
        <is>
          <t xml:space="preserve">hh</t>
        </is>
      </c>
      <c r="D47" s="361">
        <f>F16</f>
        <v>17.3376</v>
      </c>
      <c r="E47" s="361">
        <f>+'COLECTOR INSUMOS'!G45</f>
        <v>0.032</v>
      </c>
      <c r="F47" s="361">
        <f>D47*E47</f>
        <v>0.5548032</v>
      </c>
      <c r="G47" s="208">
        <f>F47*SUMIF($B$68:$B$93,B47,$F$68:$F$93)</f>
        <v>12.73273344</v>
      </c>
      <c r="H47" s="364" t="inlineStr">
        <is>
          <t xml:space="preserve">COLECTOR INSUMOS</t>
        </is>
      </c>
    </row>
    <row r="48" spans="1:8" ht="20" customHeight="1">
      <c r="A48" s="198"/>
      <c r="B48" s="353" t="inlineStr">
        <is>
          <t xml:space="preserve">Subtotal D</t>
        </is>
      </c>
      <c r="C48" s="212"/>
      <c r="D48" s="212"/>
      <c r="E48" s="212"/>
      <c r="F48" s="212"/>
      <c r="G48" s="213">
        <f>SUM(G44:G47)</f>
        <v>104.253416064</v>
      </c>
      <c r="H48" s="212"/>
    </row>
    <row r="49" spans="1:8" ht="32" customHeight="1">
      <c r="A49" s="200" t="inlineStr">
        <is>
          <t xml:space="preserve">E</t>
        </is>
      </c>
      <c r="B49" s="353" t="inlineStr">
        <is>
          <t xml:space="preserve">Pintura anticorrosiva y esmalte en angulos (m2 por tapa)</t>
        </is>
      </c>
      <c r="C49" s="353"/>
      <c r="D49" s="353"/>
      <c r="E49" s="353"/>
      <c r="F49" s="353"/>
      <c r="G49" s="353"/>
      <c r="H49" s="353"/>
    </row>
    <row r="50" spans="1:8" ht="20" customHeight="1">
      <c r="A50" s="198"/>
      <c r="B50" s="212" t="inlineStr">
        <is>
          <t xml:space="preserve">Pintura anticorrosiva</t>
        </is>
      </c>
      <c r="C50" s="203" t="inlineStr">
        <is>
          <t xml:space="preserve">gal</t>
        </is>
      </c>
      <c r="D50" s="361">
        <f>F17</f>
        <v>0.98184</v>
      </c>
      <c r="E50" s="361">
        <f>+'COLECTOR INSUMOS'!G64</f>
        <v>0.08</v>
      </c>
      <c r="F50" s="361">
        <f>D50*E50</f>
        <v>0.0785472</v>
      </c>
      <c r="G50" s="208">
        <f>F50*SUMIF($B$68:$B$93,B50,$F$68:$F$93)</f>
        <v>4.659419904</v>
      </c>
      <c r="H50" s="364" t="inlineStr">
        <is>
          <t xml:space="preserve">COLECTOR INSUMOS</t>
        </is>
      </c>
    </row>
    <row r="51" spans="1:8" ht="20" customHeight="1">
      <c r="A51" s="198"/>
      <c r="B51" s="212" t="inlineStr">
        <is>
          <t xml:space="preserve">Esmalte sintetico</t>
        </is>
      </c>
      <c r="C51" s="203" t="inlineStr">
        <is>
          <t xml:space="preserve">gal</t>
        </is>
      </c>
      <c r="D51" s="361">
        <f>F17</f>
        <v>0.98184</v>
      </c>
      <c r="E51" s="361">
        <f>+'COLECTOR INSUMOS'!G65</f>
        <v>0.08</v>
      </c>
      <c r="F51" s="361">
        <f>D51*E51</f>
        <v>0.0785472</v>
      </c>
      <c r="G51" s="208">
        <f>F51*SUMIF($B$68:$B$93,B51,$F$68:$F$93)</f>
        <v>4.326379776</v>
      </c>
      <c r="H51" s="364" t="inlineStr">
        <is>
          <t xml:space="preserve">COLECTOR INSUMOS</t>
        </is>
      </c>
    </row>
    <row r="52" spans="1:8" ht="20" customHeight="1">
      <c r="A52" s="198"/>
      <c r="B52" s="212" t="inlineStr">
        <is>
          <t xml:space="preserve">Lija y thinner</t>
        </is>
      </c>
      <c r="C52" s="203" t="inlineStr">
        <is>
          <t xml:space="preserve">glb</t>
        </is>
      </c>
      <c r="D52" s="361">
        <f>F17</f>
        <v>0.98184</v>
      </c>
      <c r="E52" s="361">
        <f>+'COLECTOR INSUMOS'!G66</f>
        <v>0.05</v>
      </c>
      <c r="F52" s="361">
        <f>D52*E52</f>
        <v>0.049092</v>
      </c>
      <c r="G52" s="208">
        <f>F52*SUMIF($B$68:$B$93,B52,$F$68:$F$93)</f>
        <v>1.24791864</v>
      </c>
      <c r="H52" s="364" t="inlineStr">
        <is>
          <t xml:space="preserve">COLECTOR INSUMOS</t>
        </is>
      </c>
    </row>
    <row r="53" spans="1:8" ht="20" customHeight="1">
      <c r="A53" s="198"/>
      <c r="B53" s="212" t="inlineStr">
        <is>
          <t xml:space="preserve">Operario</t>
        </is>
      </c>
      <c r="C53" s="203" t="inlineStr">
        <is>
          <t xml:space="preserve">hh</t>
        </is>
      </c>
      <c r="D53" s="361">
        <f>F17</f>
        <v>0.98184</v>
      </c>
      <c r="E53" s="361">
        <f>+'COLECTOR INSUMOS'!G67</f>
        <v>0.4</v>
      </c>
      <c r="F53" s="361">
        <f>D53*E53</f>
        <v>0.392736</v>
      </c>
      <c r="G53" s="208">
        <f>F53*SUMIF($B$68:$B$93,B53,$F$68:$F$93)</f>
        <v>11.94702912</v>
      </c>
      <c r="H53" s="364" t="inlineStr">
        <is>
          <t xml:space="preserve">COLECTOR INSUMOS</t>
        </is>
      </c>
    </row>
    <row r="54" spans="1:8" ht="20" customHeight="1">
      <c r="A54" s="198"/>
      <c r="B54" s="353" t="inlineStr">
        <is>
          <t xml:space="preserve">Subtotal E</t>
        </is>
      </c>
      <c r="C54" s="212"/>
      <c r="D54" s="212"/>
      <c r="E54" s="212"/>
      <c r="F54" s="212"/>
      <c r="G54" s="213">
        <f>SUM(G50:G53)</f>
        <v>22.18074744</v>
      </c>
      <c r="H54" s="212"/>
    </row>
    <row r="55" spans="1:8" ht="32" customHeight="1">
      <c r="A55" s="200" t="inlineStr">
        <is>
          <t xml:space="preserve">F</t>
        </is>
      </c>
      <c r="B55" s="353" t="inlineStr">
        <is>
          <t xml:space="preserve">Colocacion: nivelacion y fijacion del contramarco antes del vaciado de la losa y asentado de la tapa (und de tapa)</t>
        </is>
      </c>
      <c r="C55" s="353"/>
      <c r="D55" s="353"/>
      <c r="E55" s="353"/>
      <c r="F55" s="353"/>
      <c r="G55" s="353"/>
      <c r="H55" s="353"/>
    </row>
    <row r="56" spans="1:8" ht="20" customHeight="1">
      <c r="A56" s="198"/>
      <c r="B56" s="212" t="inlineStr">
        <is>
          <t xml:space="preserve">Operario</t>
        </is>
      </c>
      <c r="C56" s="203" t="inlineStr">
        <is>
          <t xml:space="preserve">hh</t>
        </is>
      </c>
      <c r="D56" s="361">
        <f>F14</f>
        <v>1</v>
      </c>
      <c r="E56" s="363">
        <v>1.0</v>
      </c>
      <c r="F56" s="361">
        <f>D56*E56</f>
        <v>1</v>
      </c>
      <c r="G56" s="208">
        <f>F56*SUMIF($B$68:$B$93,B56,$F$68:$F$93)</f>
        <v>30.42</v>
      </c>
      <c r="H56" s="364" t="inlineStr">
        <is>
          <t xml:space="preserve">Criterio de obra: 1 hh por registro</t>
        </is>
      </c>
    </row>
    <row r="57" spans="1:8" ht="20" customHeight="1">
      <c r="A57" s="198"/>
      <c r="B57" s="212" t="inlineStr">
        <is>
          <t xml:space="preserve">Peon</t>
        </is>
      </c>
      <c r="C57" s="203" t="inlineStr">
        <is>
          <t xml:space="preserve">hh</t>
        </is>
      </c>
      <c r="D57" s="361">
        <f>F14</f>
        <v>1</v>
      </c>
      <c r="E57" s="363">
        <v>1.0</v>
      </c>
      <c r="F57" s="361">
        <f>D57*E57</f>
        <v>1</v>
      </c>
      <c r="G57" s="208">
        <f>F57*SUMIF($B$68:$B$93,B57,$F$68:$F$93)</f>
        <v>20.79</v>
      </c>
      <c r="H57" s="364" t="inlineStr">
        <is>
          <t xml:space="preserve">Criterio de obra: 1 hh por registro</t>
        </is>
      </c>
    </row>
    <row r="58" spans="1:8" ht="20" customHeight="1">
      <c r="A58" s="198"/>
      <c r="B58" s="353" t="inlineStr">
        <is>
          <t xml:space="preserve">Subtotal F</t>
        </is>
      </c>
      <c r="C58" s="212"/>
      <c r="D58" s="212"/>
      <c r="E58" s="212"/>
      <c r="F58" s="212"/>
      <c r="G58" s="213">
        <f>SUM(G56:G57)</f>
        <v>51.21</v>
      </c>
      <c r="H58" s="212"/>
    </row>
    <row r="59" spans="1:8" ht="20" customHeight="1">
      <c r="A59" s="212"/>
      <c r="B59" s="353" t="inlineStr">
        <is>
          <t xml:space="preserve">Costo de los componentes por tapa (sin herramientas manuales)</t>
        </is>
      </c>
      <c r="C59" s="212"/>
      <c r="D59" s="212"/>
      <c r="E59" s="212"/>
      <c r="F59" s="212"/>
      <c r="G59" s="213">
        <f>+G28+G39+G42+G48+G54+G58</f>
        <v>377.886657328</v>
      </c>
      <c r="H59" s="212"/>
    </row>
    <row r="61" spans="1:8" ht="20" customHeight="1">
      <c r="A61" s="353" t="inlineStr">
        <is>
          <t xml:space="preserve">3. ANALISIS DE COSTO UNITARIO (formato Delphin)</t>
        </is>
      </c>
      <c r="B61" s="353"/>
      <c r="C61" s="353"/>
      <c r="D61" s="353"/>
      <c r="E61" s="353"/>
      <c r="F61" s="353"/>
      <c r="G61" s="353"/>
      <c r="H61" s="353"/>
    </row>
    <row r="62" spans="1:8" ht="20" customHeight="1">
      <c r="A62" s="353" t="inlineStr">
        <is>
          <t xml:space="preserve">Partida</t>
        </is>
      </c>
      <c r="B62" s="353"/>
      <c r="C62" s="212" t="inlineStr">
        <is>
          <t xml:space="preserve">01.04.04.06.05.01 TAPA DE REGISTRO 0.68x0.68 C/MARCO Y CONTRAMARCO</t>
        </is>
      </c>
      <c r="D62" s="212"/>
      <c r="E62" s="212"/>
      <c r="F62" s="212"/>
      <c r="G62" s="212"/>
      <c r="H62" s="212"/>
    </row>
    <row r="63" spans="1:8" ht="20" customHeight="1">
      <c r="A63" s="353" t="inlineStr">
        <is>
          <t xml:space="preserve">Agrupa del metrado</t>
        </is>
      </c>
      <c r="B63" s="353"/>
      <c r="C63" s="212" t="inlineStr">
        <is>
          <t xml:space="preserve">01.04.04.05.01 a 01.04.04.05.07 (contramarco, marco, angulos, tapa, concreto, acero y pintura)</t>
        </is>
      </c>
      <c r="D63" s="212"/>
      <c r="E63" s="212"/>
      <c r="F63" s="212"/>
      <c r="G63" s="212"/>
      <c r="H63" s="212"/>
    </row>
    <row r="64" spans="1:8" ht="20" customHeight="1">
      <c r="A64" s="353" t="inlineStr">
        <is>
          <t xml:space="preserve">Unidad</t>
        </is>
      </c>
      <c r="B64" s="353"/>
      <c r="C64" s="212" t="inlineStr">
        <is>
          <t xml:space="preserve">und</t>
        </is>
      </c>
      <c r="D64" s="212"/>
      <c r="E64" s="212"/>
      <c r="F64" s="212"/>
      <c r="G64" s="212"/>
      <c r="H64" s="212"/>
    </row>
    <row r="65" spans="1:8" ht="20" customHeight="1">
      <c r="A65" s="353" t="inlineStr">
        <is>
          <t xml:space="preserve">Metrado</t>
        </is>
      </c>
      <c r="B65" s="353"/>
      <c r="C65" s="208">
        <f>+E11</f>
        <v>10</v>
      </c>
      <c r="D65" s="212"/>
      <c r="E65" s="212"/>
      <c r="F65" s="212"/>
      <c r="G65" s="212"/>
      <c r="H65" s="212"/>
    </row>
    <row r="66" spans="1:8" ht="20" customHeight="1">
      <c r="A66" s="353" t="inlineStr">
        <is>
          <t xml:space="preserve">Rendimiento (und/dia, cuadrilla de 1 operario)</t>
        </is>
      </c>
      <c r="B66" s="353"/>
      <c r="C66" s="208">
        <f>8/E69</f>
        <v>2.29141480198968</v>
      </c>
      <c r="D66" s="212"/>
      <c r="E66" s="212"/>
      <c r="F66" s="212"/>
      <c r="G66" s="212"/>
      <c r="H66" s="212"/>
    </row>
    <row r="67" spans="1:8" ht="32" customHeight="1">
      <c r="A67" s="199" t="inlineStr">
        <is>
          <t xml:space="preserve">N°</t>
        </is>
      </c>
      <c r="B67" s="199" t="inlineStr">
        <is>
          <t xml:space="preserve">RECURSO</t>
        </is>
      </c>
      <c r="C67" s="199" t="inlineStr">
        <is>
          <t xml:space="preserve">UND</t>
        </is>
      </c>
      <c r="D67" s="199" t="inlineStr">
        <is>
          <t xml:space="preserve">CUADRILLA</t>
        </is>
      </c>
      <c r="E67" s="199" t="inlineStr">
        <is>
          <t xml:space="preserve">CANTIDAD POR TAPA</t>
        </is>
      </c>
      <c r="F67" s="199" t="inlineStr">
        <is>
          <t xml:space="preserve">PRECIO S/</t>
        </is>
      </c>
      <c r="G67" s="199" t="inlineStr">
        <is>
          <t xml:space="preserve">PARCIAL S/</t>
        </is>
      </c>
      <c r="H67" s="199" t="inlineStr">
        <is>
          <t xml:space="preserve">FUENTE DEL PRECIO</t>
        </is>
      </c>
    </row>
    <row r="68" spans="1:8" ht="20" customHeight="1">
      <c r="A68" s="198"/>
      <c r="B68" s="353" t="inlineStr">
        <is>
          <t xml:space="preserve">MANO DE OBRA</t>
        </is>
      </c>
      <c r="C68" s="353"/>
      <c r="D68" s="353"/>
      <c r="E68" s="353"/>
      <c r="F68" s="353"/>
      <c r="G68" s="353"/>
      <c r="H68" s="353"/>
    </row>
    <row r="69" spans="1:8" ht="32" customHeight="1">
      <c r="A69" s="200">
        <v>1</v>
      </c>
      <c r="B69" s="212" t="inlineStr">
        <is>
          <t xml:space="preserve">Operario</t>
        </is>
      </c>
      <c r="C69" s="203" t="inlineStr">
        <is>
          <t xml:space="preserve">hh</t>
        </is>
      </c>
      <c r="D69" s="361">
        <f>E69*$C$66/8</f>
        <v>1</v>
      </c>
      <c r="E69" s="361">
        <f>SUMIF($B$21:$B$58,B69,$F$21:$F$58)</f>
        <v>3.4912928</v>
      </c>
      <c r="F69" s="362">
        <v>30.42</v>
      </c>
      <c r="G69" s="208">
        <f>E69*F69</f>
        <v>106.205126976</v>
      </c>
      <c r="H69" s="364" t="inlineStr">
        <is>
          <t xml:space="preserve">CAPECO: costo hora-hombre 2024-2025 llevado al jornal basico 2025-2026</t>
        </is>
      </c>
    </row>
    <row r="70" spans="1:8" ht="32" customHeight="1">
      <c r="A70" s="200">
        <v>2</v>
      </c>
      <c r="B70" s="212" t="inlineStr">
        <is>
          <t xml:space="preserve">Oficial</t>
        </is>
      </c>
      <c r="C70" s="203" t="inlineStr">
        <is>
          <t xml:space="preserve">hh</t>
        </is>
      </c>
      <c r="D70" s="361">
        <f>E70*$C$66/8</f>
        <v>0.601083014292013</v>
      </c>
      <c r="E70" s="361">
        <f>SUMIF($B$21:$B$58,B70,$F$21:$F$58)</f>
        <v>2.0985568</v>
      </c>
      <c r="F70" s="362">
        <v>22.95</v>
      </c>
      <c r="G70" s="208">
        <f>E70*F70</f>
        <v>48.16187856</v>
      </c>
      <c r="H70" s="364" t="inlineStr">
        <is>
          <t xml:space="preserve">CAPECO: costo hora-hombre 2024-2025 llevado al jornal basico 2025-2026</t>
        </is>
      </c>
    </row>
    <row r="71" spans="1:8" ht="32" customHeight="1">
      <c r="A71" s="200">
        <v>3</v>
      </c>
      <c r="B71" s="212" t="inlineStr">
        <is>
          <t xml:space="preserve">Peon</t>
        </is>
      </c>
      <c r="C71" s="203" t="inlineStr">
        <is>
          <t xml:space="preserve">hh</t>
        </is>
      </c>
      <c r="D71" s="361">
        <f>E71*$C$66/8</f>
        <v>0.354238063332872</v>
      </c>
      <c r="E71" s="361">
        <f>SUMIF($B$21:$B$58,B71,$F$21:$F$58)</f>
        <v>1.2367488</v>
      </c>
      <c r="F71" s="362">
        <v>20.79</v>
      </c>
      <c r="G71" s="208">
        <f>E71*F71</f>
        <v>25.712007552</v>
      </c>
      <c r="H71" s="364" t="inlineStr">
        <is>
          <t xml:space="preserve">CAPECO: costo hora-hombre 2024-2025 llevado al jornal basico 2025-2026</t>
        </is>
      </c>
    </row>
    <row r="72" spans="1:8" ht="20" customHeight="1">
      <c r="A72" s="198"/>
      <c r="B72" s="353" t="inlineStr">
        <is>
          <t xml:space="preserve">Subtotal mano de obra</t>
        </is>
      </c>
      <c r="C72" s="212"/>
      <c r="D72" s="212"/>
      <c r="E72" s="212"/>
      <c r="F72" s="212"/>
      <c r="G72" s="213">
        <f>SUM(G69:G71)</f>
        <v>180.079013088</v>
      </c>
      <c r="H72" s="212"/>
    </row>
    <row r="73" spans="1:8" ht="20" customHeight="1">
      <c r="A73" s="198"/>
      <c r="B73" s="353" t="inlineStr">
        <is>
          <t xml:space="preserve">MATERIALES</t>
        </is>
      </c>
      <c r="C73" s="353"/>
      <c r="D73" s="353"/>
      <c r="E73" s="353"/>
      <c r="F73" s="353"/>
      <c r="G73" s="353"/>
      <c r="H73" s="353"/>
    </row>
    <row r="74" spans="1:8" ht="20" customHeight="1">
      <c r="A74" s="200">
        <v>4</v>
      </c>
      <c r="B74" s="212" t="inlineStr">
        <is>
          <t xml:space="preserve">Angulo L 2"x2"x3/16"</t>
        </is>
      </c>
      <c r="C74" s="203" t="inlineStr">
        <is>
          <t xml:space="preserve">kg</t>
        </is>
      </c>
      <c r="D74" s="212"/>
      <c r="E74" s="361">
        <f>SUMIF($B$21:$B$58,B74,$F$21:$F$58)</f>
        <v>10.6722</v>
      </c>
      <c r="F74" s="362">
        <v>4.66</v>
      </c>
      <c r="G74" s="208">
        <f>E74*F74</f>
        <v>49.732452</v>
      </c>
      <c r="H74" s="364" t="inlineStr">
        <is>
          <t xml:space="preserve">Mercado Tarapoto 2026, sin IGV (referencial)</t>
        </is>
      </c>
    </row>
    <row r="75" spans="1:8" ht="20" customHeight="1">
      <c r="A75" s="200">
        <v>5</v>
      </c>
      <c r="B75" s="212" t="inlineStr">
        <is>
          <t xml:space="preserve">Angulo L 1 1/2"x1 1/2"x1/8"</t>
        </is>
      </c>
      <c r="C75" s="203" t="inlineStr">
        <is>
          <t xml:space="preserve">kg</t>
        </is>
      </c>
      <c r="D75" s="212"/>
      <c r="E75" s="361">
        <f>SUMIF($B$21:$B$58,B75,$F$21:$F$58)</f>
        <v>5.22648</v>
      </c>
      <c r="F75" s="362">
        <v>4.66</v>
      </c>
      <c r="G75" s="208">
        <f>E75*F75</f>
        <v>24.3553968</v>
      </c>
      <c r="H75" s="364" t="inlineStr">
        <is>
          <t xml:space="preserve">Mercado Tarapoto 2026, sin IGV (referencial)</t>
        </is>
      </c>
    </row>
    <row r="76" spans="1:8" ht="20" customHeight="1">
      <c r="A76" s="200">
        <v>6</v>
      </c>
      <c r="B76" s="212" t="inlineStr">
        <is>
          <t xml:space="preserve">Soldadura cellocord E6011 1/8"</t>
        </is>
      </c>
      <c r="C76" s="203" t="inlineStr">
        <is>
          <t xml:space="preserve">kg</t>
        </is>
      </c>
      <c r="D76" s="212"/>
      <c r="E76" s="361">
        <f>SUMIF($B$21:$B$58,B76,$F$21:$F$58)</f>
        <v>0.454248</v>
      </c>
      <c r="F76" s="362">
        <v>13.56</v>
      </c>
      <c r="G76" s="208">
        <f>E76*F76</f>
        <v>6.15960288</v>
      </c>
      <c r="H76" s="364" t="inlineStr">
        <is>
          <t xml:space="preserve">Mercado Tarapoto 2026, sin IGV (referencial)</t>
        </is>
      </c>
    </row>
    <row r="77" spans="1:8" ht="20" customHeight="1">
      <c r="A77" s="200">
        <v>7</v>
      </c>
      <c r="B77" s="212" t="inlineStr">
        <is>
          <t xml:space="preserve">Cemento Portland tipo I</t>
        </is>
      </c>
      <c r="C77" s="203" t="inlineStr">
        <is>
          <t xml:space="preserve">bol</t>
        </is>
      </c>
      <c r="D77" s="212"/>
      <c r="E77" s="361">
        <f>SUMIF($B$21:$B$58,B77,$F$21:$F$58)</f>
        <v>0.35993216</v>
      </c>
      <c r="F77" s="362">
        <v>30.51</v>
      </c>
      <c r="G77" s="208">
        <f>E77*F77</f>
        <v>10.9815302016</v>
      </c>
      <c r="H77" s="364" t="inlineStr">
        <is>
          <t xml:space="preserve">Mercado Tarapoto 2026, sin IGV (referencial)</t>
        </is>
      </c>
    </row>
    <row r="78" spans="1:8" ht="20" customHeight="1">
      <c r="A78" s="200">
        <v>8</v>
      </c>
      <c r="B78" s="212" t="inlineStr">
        <is>
          <t xml:space="preserve">Arena gruesa</t>
        </is>
      </c>
      <c r="C78" s="203" t="inlineStr">
        <is>
          <t xml:space="preserve">m3</t>
        </is>
      </c>
      <c r="D78" s="212"/>
      <c r="E78" s="361">
        <f>SUMIF($B$21:$B$58,B78,$F$21:$F$58)</f>
        <v>0.01923584</v>
      </c>
      <c r="F78" s="362">
        <v>50.85</v>
      </c>
      <c r="G78" s="208">
        <f>E78*F78</f>
        <v>0.978142464</v>
      </c>
      <c r="H78" s="364" t="inlineStr">
        <is>
          <t xml:space="preserve">Mercado Tarapoto 2026, sin IGV (referencial)</t>
        </is>
      </c>
    </row>
    <row r="79" spans="1:8" ht="20" customHeight="1">
      <c r="A79" s="200">
        <v>9</v>
      </c>
      <c r="B79" s="212" t="inlineStr">
        <is>
          <t xml:space="preserve">Piedra chancada 1/2"</t>
        </is>
      </c>
      <c r="C79" s="203" t="inlineStr">
        <is>
          <t xml:space="preserve">m3</t>
        </is>
      </c>
      <c r="D79" s="212"/>
      <c r="E79" s="361">
        <f>SUMIF($B$21:$B$58,B79,$F$21:$F$58)</f>
        <v>0.01960576</v>
      </c>
      <c r="F79" s="362">
        <v>101.69</v>
      </c>
      <c r="G79" s="208">
        <f>E79*F79</f>
        <v>1.9937097344</v>
      </c>
      <c r="H79" s="364" t="inlineStr">
        <is>
          <t xml:space="preserve">Mercado Tarapoto 2026, sin IGV (referencial)</t>
        </is>
      </c>
    </row>
    <row r="80" spans="1:8" ht="20" customHeight="1">
      <c r="A80" s="200">
        <v>10</v>
      </c>
      <c r="B80" s="212" t="inlineStr">
        <is>
          <t xml:space="preserve">Agua</t>
        </is>
      </c>
      <c r="C80" s="203" t="inlineStr">
        <is>
          <t xml:space="preserve">m3</t>
        </is>
      </c>
      <c r="D80" s="212"/>
      <c r="E80" s="361">
        <f>SUMIF($B$21:$B$58,B80,$F$21:$F$58)</f>
        <v>0.006880512</v>
      </c>
      <c r="F80" s="362">
        <v>5.0</v>
      </c>
      <c r="G80" s="208">
        <f>E80*F80</f>
        <v>0.03440256</v>
      </c>
      <c r="H80" s="364" t="inlineStr">
        <is>
          <t xml:space="preserve">Mercado Tarapoto 2026, sin IGV (referencial)</t>
        </is>
      </c>
    </row>
    <row r="81" spans="1:8" ht="20" customHeight="1">
      <c r="A81" s="200">
        <v>11</v>
      </c>
      <c r="B81" s="212" t="inlineStr">
        <is>
          <t xml:space="preserve">Madera tornillo</t>
        </is>
      </c>
      <c r="C81" s="203" t="inlineStr">
        <is>
          <t xml:space="preserve">p2</t>
        </is>
      </c>
      <c r="D81" s="212"/>
      <c r="E81" s="361">
        <f>SUMIF($B$21:$B$58,B81,$F$21:$F$58)</f>
        <v>1.15</v>
      </c>
      <c r="F81" s="362">
        <v>5.08</v>
      </c>
      <c r="G81" s="208">
        <f>E81*F81</f>
        <v>5.842</v>
      </c>
      <c r="H81" s="364" t="inlineStr">
        <is>
          <t xml:space="preserve">Mercado Tarapoto 2026, sin IGV (referencial)</t>
        </is>
      </c>
    </row>
    <row r="82" spans="1:8" ht="20" customHeight="1">
      <c r="A82" s="200">
        <v>12</v>
      </c>
      <c r="B82" s="212" t="inlineStr">
        <is>
          <t xml:space="preserve">Acero corrugado fy=4200</t>
        </is>
      </c>
      <c r="C82" s="203" t="inlineStr">
        <is>
          <t xml:space="preserve">kg</t>
        </is>
      </c>
      <c r="D82" s="212"/>
      <c r="E82" s="361">
        <f>SUMIF($B$21:$B$58,B82,$F$21:$F$58)</f>
        <v>18.20448</v>
      </c>
      <c r="F82" s="362">
        <v>3.81</v>
      </c>
      <c r="G82" s="208">
        <f>E82*F82</f>
        <v>69.3590688</v>
      </c>
      <c r="H82" s="364" t="inlineStr">
        <is>
          <t xml:space="preserve">Mercado Tarapoto 2026, sin IGV (referencial)</t>
        </is>
      </c>
    </row>
    <row r="83" spans="1:8" ht="20" customHeight="1">
      <c r="A83" s="200">
        <v>13</v>
      </c>
      <c r="B83" s="212" t="inlineStr">
        <is>
          <t xml:space="preserve">Alambre negro N 16</t>
        </is>
      </c>
      <c r="C83" s="203" t="inlineStr">
        <is>
          <t xml:space="preserve">kg</t>
        </is>
      </c>
      <c r="D83" s="212"/>
      <c r="E83" s="361">
        <f>SUMIF($B$21:$B$58,B83,$F$21:$F$58)</f>
        <v>1.040256</v>
      </c>
      <c r="F83" s="362">
        <v>5.08</v>
      </c>
      <c r="G83" s="208">
        <f>E83*F83</f>
        <v>5.28450048</v>
      </c>
      <c r="H83" s="364" t="inlineStr">
        <is>
          <t xml:space="preserve">Mercado Tarapoto 2026, sin IGV (referencial)</t>
        </is>
      </c>
    </row>
    <row r="84" spans="1:8" ht="20" customHeight="1">
      <c r="A84" s="200">
        <v>14</v>
      </c>
      <c r="B84" s="212" t="inlineStr">
        <is>
          <t xml:space="preserve">Pintura anticorrosiva</t>
        </is>
      </c>
      <c r="C84" s="203" t="inlineStr">
        <is>
          <t xml:space="preserve">gal</t>
        </is>
      </c>
      <c r="D84" s="212"/>
      <c r="E84" s="361">
        <f>SUMIF($B$21:$B$58,B84,$F$21:$F$58)</f>
        <v>0.0785472</v>
      </c>
      <c r="F84" s="362">
        <v>59.32</v>
      </c>
      <c r="G84" s="208">
        <f>E84*F84</f>
        <v>4.659419904</v>
      </c>
      <c r="H84" s="364" t="inlineStr">
        <is>
          <t xml:space="preserve">Mercado Tarapoto 2026, sin IGV (referencial)</t>
        </is>
      </c>
    </row>
    <row r="85" spans="1:8" ht="20" customHeight="1">
      <c r="A85" s="200">
        <v>15</v>
      </c>
      <c r="B85" s="212" t="inlineStr">
        <is>
          <t xml:space="preserve">Esmalte sintetico</t>
        </is>
      </c>
      <c r="C85" s="203" t="inlineStr">
        <is>
          <t xml:space="preserve">gal</t>
        </is>
      </c>
      <c r="D85" s="212"/>
      <c r="E85" s="361">
        <f>SUMIF($B$21:$B$58,B85,$F$21:$F$58)</f>
        <v>0.0785472</v>
      </c>
      <c r="F85" s="362">
        <v>55.08</v>
      </c>
      <c r="G85" s="208">
        <f>E85*F85</f>
        <v>4.326379776</v>
      </c>
      <c r="H85" s="364" t="inlineStr">
        <is>
          <t xml:space="preserve">Mercado Tarapoto 2026, sin IGV (referencial)</t>
        </is>
      </c>
    </row>
    <row r="86" spans="1:8" ht="20" customHeight="1">
      <c r="A86" s="200">
        <v>16</v>
      </c>
      <c r="B86" s="212" t="inlineStr">
        <is>
          <t xml:space="preserve">Lija y thinner</t>
        </is>
      </c>
      <c r="C86" s="203" t="inlineStr">
        <is>
          <t xml:space="preserve">glb</t>
        </is>
      </c>
      <c r="D86" s="212"/>
      <c r="E86" s="361">
        <f>SUMIF($B$21:$B$58,B86,$F$21:$F$58)</f>
        <v>0.049092</v>
      </c>
      <c r="F86" s="362">
        <v>25.42</v>
      </c>
      <c r="G86" s="208">
        <f>E86*F86</f>
        <v>1.24791864</v>
      </c>
      <c r="H86" s="364" t="inlineStr">
        <is>
          <t xml:space="preserve">Mercado Tarapoto 2026, sin IGV (referencial)</t>
        </is>
      </c>
    </row>
    <row r="87" spans="1:8" ht="20" customHeight="1">
      <c r="A87" s="198"/>
      <c r="B87" s="353" t="inlineStr">
        <is>
          <t xml:space="preserve">Subtotal materiales</t>
        </is>
      </c>
      <c r="C87" s="212"/>
      <c r="D87" s="212"/>
      <c r="E87" s="212"/>
      <c r="F87" s="212"/>
      <c r="G87" s="213">
        <f>SUM(G74:G86)</f>
        <v>184.95452424</v>
      </c>
      <c r="H87" s="212"/>
    </row>
    <row r="88" spans="1:8" ht="20" customHeight="1">
      <c r="A88" s="198"/>
      <c r="B88" s="353" t="inlineStr">
        <is>
          <t xml:space="preserve">EQUIPOS</t>
        </is>
      </c>
      <c r="C88" s="353"/>
      <c r="D88" s="353"/>
      <c r="E88" s="353"/>
      <c r="F88" s="353"/>
      <c r="G88" s="353"/>
      <c r="H88" s="353"/>
    </row>
    <row r="89" spans="1:8" ht="20" customHeight="1">
      <c r="A89" s="200">
        <v>17</v>
      </c>
      <c r="B89" s="212" t="inlineStr">
        <is>
          <t xml:space="preserve">Herramientas manuales</t>
        </is>
      </c>
      <c r="C89" s="203" t="inlineStr">
        <is>
          <t xml:space="preserve">%mo</t>
        </is>
      </c>
      <c r="D89" s="212"/>
      <c r="E89" s="202">
        <v>0.03</v>
      </c>
      <c r="F89" s="208">
        <f>+G72</f>
        <v>180.079013088</v>
      </c>
      <c r="G89" s="208">
        <f>E89*F89</f>
        <v>5.40237039264</v>
      </c>
      <c r="H89" s="364" t="inlineStr">
        <is>
          <t xml:space="preserve">3 % del costo de mano de obra</t>
        </is>
      </c>
    </row>
    <row r="90" spans="1:8" ht="20" customHeight="1">
      <c r="A90" s="200">
        <v>18</v>
      </c>
      <c r="B90" s="212" t="inlineStr">
        <is>
          <t xml:space="preserve">Mezcladora 9-11 p3</t>
        </is>
      </c>
      <c r="C90" s="203" t="inlineStr">
        <is>
          <t xml:space="preserve">hm</t>
        </is>
      </c>
      <c r="D90" s="361">
        <f>E90*$C$66/8</f>
        <v>0.00847640163552023</v>
      </c>
      <c r="E90" s="361">
        <f>SUMIF($B$21:$B$58,B90,$F$21:$F$58)</f>
        <v>0.0295936</v>
      </c>
      <c r="F90" s="362">
        <v>15.0</v>
      </c>
      <c r="G90" s="208">
        <f>E90*F90</f>
        <v>0.443904</v>
      </c>
      <c r="H90" s="364" t="inlineStr">
        <is>
          <t xml:space="preserve">Tarifa horaria de mercado sin IGV</t>
        </is>
      </c>
    </row>
    <row r="91" spans="1:8" ht="20" customHeight="1">
      <c r="A91" s="200">
        <v>19</v>
      </c>
      <c r="B91" s="212" t="inlineStr">
        <is>
          <t xml:space="preserve">Vibrador de concreto</t>
        </is>
      </c>
      <c r="C91" s="203" t="inlineStr">
        <is>
          <t xml:space="preserve">hm</t>
        </is>
      </c>
      <c r="D91" s="361">
        <f>E91*$C$66/8</f>
        <v>0.00847640163552023</v>
      </c>
      <c r="E91" s="361">
        <f>SUMIF($B$21:$B$58,B91,$F$21:$F$58)</f>
        <v>0.0295936</v>
      </c>
      <c r="F91" s="362">
        <v>10.0</v>
      </c>
      <c r="G91" s="208">
        <f>E91*F91</f>
        <v>0.295936</v>
      </c>
      <c r="H91" s="364" t="inlineStr">
        <is>
          <t xml:space="preserve">Tarifa horaria de mercado sin IGV</t>
        </is>
      </c>
    </row>
    <row r="92" spans="1:8" ht="20" customHeight="1">
      <c r="A92" s="200">
        <v>20</v>
      </c>
      <c r="B92" s="212" t="inlineStr">
        <is>
          <t xml:space="preserve">Maquina de soldar 250 A</t>
        </is>
      </c>
      <c r="C92" s="203" t="inlineStr">
        <is>
          <t xml:space="preserve">hm</t>
        </is>
      </c>
      <c r="D92" s="361">
        <f>E92*$C$66/8</f>
        <v>0.433696079572587</v>
      </c>
      <c r="E92" s="361">
        <f>SUMIF($B$21:$B$58,B92,$F$21:$F$58)</f>
        <v>1.51416</v>
      </c>
      <c r="F92" s="362">
        <v>8.0</v>
      </c>
      <c r="G92" s="208">
        <f>E92*F92</f>
        <v>12.11328</v>
      </c>
      <c r="H92" s="364" t="inlineStr">
        <is>
          <t xml:space="preserve">Tarifa horaria de mercado sin IGV</t>
        </is>
      </c>
    </row>
    <row r="93" spans="1:8" ht="20" customHeight="1">
      <c r="A93" s="198"/>
      <c r="B93" s="353" t="inlineStr">
        <is>
          <t xml:space="preserve">Subtotal equipos</t>
        </is>
      </c>
      <c r="C93" s="212"/>
      <c r="D93" s="212"/>
      <c r="E93" s="212"/>
      <c r="F93" s="212"/>
      <c r="G93" s="213">
        <f>SUM(G89:G92)</f>
        <v>18.25549039264</v>
      </c>
      <c r="H93" s="212"/>
    </row>
    <row r="94" spans="1:8" ht="22" customHeight="1">
      <c r="A94" s="353" t="inlineStr">
        <is>
          <t xml:space="preserve">COSTO UNITARIO DIRECTO POR TAPA (S/ por und)</t>
        </is>
      </c>
      <c r="B94" s="353"/>
      <c r="C94" s="353"/>
      <c r="D94" s="353"/>
      <c r="E94" s="353"/>
      <c r="F94" s="353"/>
      <c r="G94" s="213">
        <f>+G72+G87+G93</f>
        <v>383.28902772064</v>
      </c>
      <c r="H94" s="212"/>
    </row>
    <row r="95" spans="1:8" ht="22" customHeight="1">
      <c r="A95" s="353" t="inlineStr">
        <is>
          <t xml:space="preserve">COSTO DIRECTO DE LA PARTIDA (metrado x costo unitario)</t>
        </is>
      </c>
      <c r="B95" s="353"/>
      <c r="C95" s="353"/>
      <c r="D95" s="353"/>
      <c r="E95" s="353"/>
      <c r="F95" s="353"/>
      <c r="G95" s="213">
        <f>G94*C65</f>
        <v>3832.8902772064</v>
      </c>
      <c r="H95" s="212"/>
    </row>
    <row r="96" spans="1:8" ht="20" customHeight="1">
      <c r="A96" s="212" t="inlineStr">
        <is>
          <t xml:space="preserve">Control: costo de componentes (seccion 2) + herramientas manuales = costo unitario</t>
        </is>
      </c>
      <c r="B96" s="212"/>
      <c r="C96" s="212"/>
      <c r="D96" s="212"/>
      <c r="E96" s="212"/>
      <c r="F96" s="212"/>
      <c r="G96" s="200" t="str">
        <f>IF(ABS(G59+G89-G94)&lt;0.005,"CONFORME","REVISAR")</f>
        <v>CONFORME</v>
      </c>
      <c r="H96" s="212"/>
    </row>
  </sheetData>
  <mergeCells count="35">
    <mergeCell ref="A1:H1"/>
    <mergeCell ref="A2:B2"/>
    <mergeCell ref="C2:H2"/>
    <mergeCell ref="A3:B3"/>
    <mergeCell ref="C3:H3"/>
    <mergeCell ref="A4:B4"/>
    <mergeCell ref="C4:H4"/>
    <mergeCell ref="A5:B5"/>
    <mergeCell ref="C5:H5"/>
    <mergeCell ref="A7:H7"/>
    <mergeCell ref="A9:H9"/>
    <mergeCell ref="A19:H19"/>
    <mergeCell ref="B21:H21"/>
    <mergeCell ref="B29:H29"/>
    <mergeCell ref="B40:H40"/>
    <mergeCell ref="B43:H43"/>
    <mergeCell ref="B49:H49"/>
    <mergeCell ref="B55:H55"/>
    <mergeCell ref="A61:H61"/>
    <mergeCell ref="A62:B62"/>
    <mergeCell ref="C62:H62"/>
    <mergeCell ref="A63:B63"/>
    <mergeCell ref="C63:H63"/>
    <mergeCell ref="A64:B64"/>
    <mergeCell ref="C64:H64"/>
    <mergeCell ref="A65:B65"/>
    <mergeCell ref="C65:H65"/>
    <mergeCell ref="A66:B66"/>
    <mergeCell ref="C66:H66"/>
    <mergeCell ref="B68:H68"/>
    <mergeCell ref="B73:H73"/>
    <mergeCell ref="B88:H88"/>
    <mergeCell ref="A94:F94"/>
    <mergeCell ref="A95:F95"/>
    <mergeCell ref="A96:F96"/>
  </mergeCells>
  <pageMargins left="0.5" right="0.5" top="0.75" bottom="0.75" header="0.3" footer="0.3"/>
  <pageSetup paperSize="9" orientation="portrait" fitToWidth="1" fitToHeight="0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11"/>
  <sheetViews>
    <sheetView showGridLines="0" workbookViewId="0"/>
  </sheetViews>
  <sheetFormatPr defaultRowHeight="14.5"/>
  <cols>
    <col min="1" max="1" width="16" customWidth="1"/>
    <col min="2" max="2" width="48" customWidth="1"/>
    <col min="3" max="3" width="8" customWidth="1"/>
    <col min="4" max="7" width="13" customWidth="1"/>
    <col min="8" max="8" width="46" customWidth="1"/>
  </cols>
  <sheetData>
    <row r="1" spans="1:8" ht="27" customHeight="1">
      <c r="A1" s="349" t="inlineStr">
        <is>
          <t xml:space="preserve">ANALISIS DE COSTOS UNITARIOS - CANALETAS DE TECHO DE PLANCHA GALVANIZADA</t>
        </is>
      </c>
      <c r="B1" s="348"/>
      <c r="C1" s="348"/>
      <c r="D1" s="348"/>
      <c r="E1" s="348"/>
      <c r="F1" s="348"/>
      <c r="G1" s="348"/>
      <c r="H1" s="346"/>
    </row>
    <row r="2" spans="1:8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8"/>
      <c r="H2" s="346"/>
    </row>
    <row r="3" spans="1:8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8"/>
      <c r="H3" s="346"/>
    </row>
    <row r="4" spans="1:8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8"/>
      <c r="H4" s="346"/>
    </row>
    <row r="5" spans="1:8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8"/>
      <c r="H5" s="346"/>
    </row>
    <row r="7" spans="1:8" ht="66" customHeight="1">
      <c r="A7" s="351" t="inlineStr">
        <is>
          <t xml:space="preserve">Analisis de las partidas 01.04.03.05.01.03 a 01.04.03.05.01.06 (red de recoleccion de techo). Las cantidades de insumos salen de los parametros de la hoja METRADO CANALETAS (seccion 0.25 x 0.20, pestana 0.05, plancha e=0.9 mm, soportes @0.60). Celda amarilla = dato (cuadrilla, rendimiento, aporte o precio); verde = formula. Precios sin IGV, referenciales: al pasar a Delphin rigen los de la base de precios del presupuesto.</t>
        </is>
      </c>
      <c r="B7" s="212"/>
      <c r="C7" s="212"/>
      <c r="D7" s="212"/>
      <c r="E7" s="212"/>
      <c r="F7" s="212"/>
      <c r="G7" s="212"/>
      <c r="H7" s="212"/>
    </row>
    <row r="9" spans="1:8" ht="20" customHeight="1">
      <c r="A9" s="353" t="inlineStr">
        <is>
          <t xml:space="preserve">DATOS DE CALCULO (de la hoja METRADO CANALETAS y de catalogo)</t>
        </is>
      </c>
      <c r="B9" s="353"/>
      <c r="C9" s="353"/>
      <c r="D9" s="353"/>
      <c r="E9" s="353"/>
      <c r="F9" s="353"/>
      <c r="G9" s="353"/>
      <c r="H9" s="353"/>
    </row>
    <row r="10" spans="1:8" ht="22" customHeight="1">
      <c r="A10" s="199" t="inlineStr">
        <is>
          <t xml:space="preserve">N°</t>
        </is>
      </c>
      <c r="B10" s="199" t="inlineStr">
        <is>
          <t xml:space="preserve">DATO</t>
        </is>
      </c>
      <c r="C10" s="199" t="inlineStr">
        <is>
          <t xml:space="preserve">UND</t>
        </is>
      </c>
      <c r="D10" s="199" t="inlineStr">
        <is>
          <t xml:space="preserve">VALOR</t>
        </is>
      </c>
      <c r="E10" s="199" t="inlineStr">
        <is>
          <t xml:space="preserve"/>
        </is>
      </c>
      <c r="F10" s="199" t="inlineStr">
        <is>
          <t xml:space="preserve"/>
        </is>
      </c>
      <c r="G10" s="199" t="inlineStr">
        <is>
          <t xml:space="preserve"/>
        </is>
      </c>
      <c r="H10" s="199" t="inlineStr">
        <is>
          <t xml:space="preserve">SUSTENTO</t>
        </is>
      </c>
    </row>
    <row r="11" spans="1:8" ht="20" customHeight="1">
      <c r="A11" s="200">
        <v>1</v>
      </c>
      <c r="B11" s="212" t="inlineStr">
        <is>
          <t xml:space="preserve">Fondo interior de la canaleta</t>
        </is>
      </c>
      <c r="C11" s="203" t="inlineStr">
        <is>
          <t xml:space="preserve">m</t>
        </is>
      </c>
      <c r="D11" s="361">
        <f>+'METRADO CANALETAS'!F45</f>
        <v>0.25</v>
      </c>
      <c r="E11" s="212"/>
      <c r="F11" s="212"/>
      <c r="G11" s="212"/>
      <c r="H11" s="364" t="inlineStr">
        <is>
          <t xml:space="preserve">METRADO CANALETAS F45</t>
        </is>
      </c>
    </row>
    <row r="12" spans="1:8" ht="20" customHeight="1">
      <c r="A12" s="200">
        <v>2</v>
      </c>
      <c r="B12" s="212" t="inlineStr">
        <is>
          <t xml:space="preserve">Altura interior de la canaleta</t>
        </is>
      </c>
      <c r="C12" s="203" t="inlineStr">
        <is>
          <t xml:space="preserve">m</t>
        </is>
      </c>
      <c r="D12" s="361">
        <f>+'METRADO CANALETAS'!F46</f>
        <v>0.2</v>
      </c>
      <c r="E12" s="212"/>
      <c r="F12" s="212"/>
      <c r="G12" s="212"/>
      <c r="H12" s="364" t="inlineStr">
        <is>
          <t xml:space="preserve">METRADO CANALETAS F46</t>
        </is>
      </c>
    </row>
    <row r="13" spans="1:8" ht="20" customHeight="1">
      <c r="A13" s="200">
        <v>3</v>
      </c>
      <c r="B13" s="212" t="inlineStr">
        <is>
          <t xml:space="preserve">Pestana superior (cada lado)</t>
        </is>
      </c>
      <c r="C13" s="203" t="inlineStr">
        <is>
          <t xml:space="preserve">m</t>
        </is>
      </c>
      <c r="D13" s="361">
        <f>+'METRADO CANALETAS'!F47</f>
        <v>0.05</v>
      </c>
      <c r="E13" s="212"/>
      <c r="F13" s="212"/>
      <c r="G13" s="212"/>
      <c r="H13" s="364" t="inlineStr">
        <is>
          <t xml:space="preserve">METRADO CANALETAS F47</t>
        </is>
      </c>
    </row>
    <row r="14" spans="1:8" ht="20" customHeight="1">
      <c r="A14" s="200">
        <v>4</v>
      </c>
      <c r="B14" s="212" t="inlineStr">
        <is>
          <t xml:space="preserve">Desarrollo de plancha por metro de canaleta</t>
        </is>
      </c>
      <c r="C14" s="203" t="inlineStr">
        <is>
          <t xml:space="preserve">m2/m</t>
        </is>
      </c>
      <c r="D14" s="361">
        <f>+'METRADO CANALETAS'!F48</f>
        <v>0.75</v>
      </c>
      <c r="E14" s="212"/>
      <c r="F14" s="212"/>
      <c r="G14" s="212"/>
      <c r="H14" s="364" t="inlineStr">
        <is>
          <t xml:space="preserve">fondo + 2 alturas + 2 pestanas</t>
        </is>
      </c>
    </row>
    <row r="15" spans="1:8" ht="20" customHeight="1">
      <c r="A15" s="200">
        <v>5</v>
      </c>
      <c r="B15" s="212" t="inlineStr">
        <is>
          <t xml:space="preserve">Espesor de plancha galvanizada</t>
        </is>
      </c>
      <c r="C15" s="203" t="inlineStr">
        <is>
          <t xml:space="preserve">mm</t>
        </is>
      </c>
      <c r="D15" s="361">
        <f>+'METRADO CANALETAS'!F49</f>
        <v>0.9</v>
      </c>
      <c r="E15" s="212"/>
      <c r="F15" s="212"/>
      <c r="G15" s="212"/>
      <c r="H15" s="364" t="inlineStr">
        <is>
          <t xml:space="preserve">METRADO CANALETAS F49</t>
        </is>
      </c>
    </row>
    <row r="16" spans="1:8" ht="20" customHeight="1">
      <c r="A16" s="200">
        <v>6</v>
      </c>
      <c r="B16" s="212" t="inlineStr">
        <is>
          <t xml:space="preserve">Separacion de soportes</t>
        </is>
      </c>
      <c r="C16" s="203" t="inlineStr">
        <is>
          <t xml:space="preserve">m</t>
        </is>
      </c>
      <c r="D16" s="361">
        <f>+'METRADO CANALETAS'!F50</f>
        <v>0.6</v>
      </c>
      <c r="E16" s="212"/>
      <c r="F16" s="212"/>
      <c r="G16" s="212"/>
      <c r="H16" s="364" t="inlineStr">
        <is>
          <t xml:space="preserve">METRADO CANALETAS F50</t>
        </is>
      </c>
    </row>
    <row r="17" spans="1:8" ht="20" customHeight="1">
      <c r="A17" s="200">
        <v>7</v>
      </c>
      <c r="B17" s="212" t="inlineStr">
        <is>
          <t xml:space="preserve">Peso de la plancha galvanizada</t>
        </is>
      </c>
      <c r="C17" s="203" t="inlineStr">
        <is>
          <t xml:space="preserve">kg/m2</t>
        </is>
      </c>
      <c r="D17" s="361">
        <f>D15*7.85+0.3</f>
        <v>7.365</v>
      </c>
      <c r="E17" s="212"/>
      <c r="F17" s="212"/>
      <c r="G17" s="212"/>
      <c r="H17" s="364" t="inlineStr">
        <is>
          <t xml:space="preserve">espesor x 7.85 kg/m2 por mm + zinc (0.3 kg/m2)</t>
        </is>
      </c>
    </row>
    <row r="18" spans="1:8" ht="20" customHeight="1">
      <c r="A18" s="200">
        <v>8</v>
      </c>
      <c r="B18" s="212" t="inlineStr">
        <is>
          <t xml:space="preserve">Largo de la plancha comercial (1.22 x 2.44)</t>
        </is>
      </c>
      <c r="C18" s="203" t="inlineStr">
        <is>
          <t xml:space="preserve">m</t>
        </is>
      </c>
      <c r="D18" s="363">
        <v>2.44</v>
      </c>
      <c r="E18" s="212"/>
      <c r="F18" s="212"/>
      <c r="G18" s="212"/>
      <c r="H18" s="364" t="inlineStr">
        <is>
          <t xml:space="preserve">catalogo; la canaleta se fabrica en tramos de 2.44 m</t>
        </is>
      </c>
    </row>
    <row r="19" spans="1:8" ht="20" customHeight="1">
      <c r="A19" s="200">
        <v>9</v>
      </c>
      <c r="B19" s="212" t="inlineStr">
        <is>
          <t xml:space="preserve">Traslape entre tramos</t>
        </is>
      </c>
      <c r="C19" s="203" t="inlineStr">
        <is>
          <t xml:space="preserve">m</t>
        </is>
      </c>
      <c r="D19" s="363">
        <v>0.05</v>
      </c>
      <c r="E19" s="212"/>
      <c r="F19" s="212"/>
      <c r="G19" s="212"/>
      <c r="H19" s="364" t="inlineStr">
        <is>
          <t xml:space="preserve">criterio de obra (remachado y sellado)</t>
        </is>
      </c>
    </row>
    <row r="20" spans="1:8" ht="20" customHeight="1">
      <c r="A20" s="200">
        <v>10</v>
      </c>
      <c r="B20" s="212" t="inlineStr">
        <is>
          <t xml:space="preserve">Desarrollo de la platina de un soporte</t>
        </is>
      </c>
      <c r="C20" s="203" t="inlineStr">
        <is>
          <t xml:space="preserve">m</t>
        </is>
      </c>
      <c r="D20" s="361">
        <f>D11+2*D12+2*0.10</f>
        <v>0.85</v>
      </c>
      <c r="E20" s="212"/>
      <c r="F20" s="212"/>
      <c r="G20" s="212"/>
      <c r="H20" s="364" t="inlineStr">
        <is>
          <t xml:space="preserve">abraza la canaleta (fondo + 2 lados) + 2 orejas de fijacion de 0.10</t>
        </is>
      </c>
    </row>
    <row r="21" spans="1:8" ht="20" customHeight="1">
      <c r="A21" s="200">
        <v>11</v>
      </c>
      <c r="B21" s="212" t="inlineStr">
        <is>
          <t xml:space="preserve">Peso de la platina 1" x 1/8"</t>
        </is>
      </c>
      <c r="C21" s="203" t="inlineStr">
        <is>
          <t xml:space="preserve">kg/m</t>
        </is>
      </c>
      <c r="D21" s="363">
        <v>0.633</v>
      </c>
      <c r="E21" s="212"/>
      <c r="F21" s="212"/>
      <c r="G21" s="212"/>
      <c r="H21" s="364" t="inlineStr">
        <is>
          <t xml:space="preserve">25.4 x 3.18 mm x 7.85 = 0.633 kg/m</t>
        </is>
      </c>
    </row>
    <row r="22" spans="1:8" ht="20" customHeight="1">
      <c r="A22" s="200">
        <v>12</v>
      </c>
      <c r="B22" s="212" t="inlineStr">
        <is>
          <t xml:space="preserve">Largo de la platina comercial</t>
        </is>
      </c>
      <c r="C22" s="203" t="inlineStr">
        <is>
          <t xml:space="preserve">m</t>
        </is>
      </c>
      <c r="D22" s="363">
        <v>6.0</v>
      </c>
      <c r="E22" s="212"/>
      <c r="F22" s="212"/>
      <c r="G22" s="212"/>
      <c r="H22" s="364" t="inlineStr">
        <is>
          <t xml:space="preserve">catalogo</t>
        </is>
      </c>
    </row>
    <row r="25" spans="1:8" ht="22" customHeight="1">
      <c r="A25" s="353" t="inlineStr">
        <is>
          <t xml:space="preserve">ACU 1: 01.04.03.05.01.03 CANALETA DE PLANCHA DE ACERO GALVANIZADO e=0.9mm, SECCION 0.25m x 0.20m</t>
        </is>
      </c>
      <c r="B25" s="353"/>
      <c r="C25" s="353"/>
      <c r="D25" s="353"/>
      <c r="E25" s="353"/>
      <c r="F25" s="353"/>
      <c r="G25" s="353"/>
      <c r="H25" s="353"/>
    </row>
    <row r="26" spans="1:8" ht="20" customHeight="1">
      <c r="A26" s="353" t="inlineStr">
        <is>
          <t xml:space="preserve">Unidad</t>
        </is>
      </c>
      <c r="B26" s="353"/>
      <c r="C26" s="212" t="inlineStr">
        <is>
          <t xml:space="preserve">m</t>
        </is>
      </c>
      <c r="D26" s="212"/>
      <c r="E26" s="212"/>
      <c r="F26" s="212"/>
      <c r="G26" s="212"/>
      <c r="H26" s="212"/>
    </row>
    <row r="27" spans="1:8" ht="20" customHeight="1">
      <c r="A27" s="353" t="inlineStr">
        <is>
          <t xml:space="preserve">Metrado</t>
        </is>
      </c>
      <c r="B27" s="353"/>
      <c r="C27" s="208">
        <f>+'PLANILLA GENERAL DE METRADOS'!K148</f>
        <v>513.98</v>
      </c>
      <c r="D27" s="212"/>
      <c r="E27" s="212"/>
      <c r="F27" s="212"/>
      <c r="G27" s="212"/>
      <c r="H27" s="212"/>
    </row>
    <row r="28" spans="1:8" ht="20" customHeight="1">
      <c r="A28" s="353" t="inlineStr">
        <is>
          <t xml:space="preserve">Rendimiento (m/dia)</t>
        </is>
      </c>
      <c r="B28" s="353"/>
      <c r="C28" s="362">
        <v>25</v>
      </c>
      <c r="D28" s="212"/>
      <c r="E28" s="212" t="inlineStr">
        <is>
          <t xml:space="preserve">fabricacion (corte y doblado en obra), remachado, sellado y colocacion sobre los soportes; cuadrilla 1 op + 1 peon</t>
        </is>
      </c>
      <c r="F28" s="212"/>
      <c r="G28" s="212"/>
      <c r="H28" s="212"/>
    </row>
    <row r="29" spans="1:8" ht="32" customHeight="1">
      <c r="A29" s="199" t="inlineStr">
        <is>
          <t xml:space="preserve">N°</t>
        </is>
      </c>
      <c r="B29" s="199" t="inlineStr">
        <is>
          <t xml:space="preserve">RECURSO</t>
        </is>
      </c>
      <c r="C29" s="199" t="inlineStr">
        <is>
          <t xml:space="preserve">UND</t>
        </is>
      </c>
      <c r="D29" s="199" t="inlineStr">
        <is>
          <t xml:space="preserve">CUADRILLA</t>
        </is>
      </c>
      <c r="E29" s="199" t="inlineStr">
        <is>
          <t xml:space="preserve">CANTIDAD</t>
        </is>
      </c>
      <c r="F29" s="199" t="inlineStr">
        <is>
          <t xml:space="preserve">PRECIO S/</t>
        </is>
      </c>
      <c r="G29" s="199" t="inlineStr">
        <is>
          <t xml:space="preserve">PARCIAL S/</t>
        </is>
      </c>
      <c r="H29" s="199" t="inlineStr">
        <is>
          <t xml:space="preserve">SUSTENTO / FUENTE</t>
        </is>
      </c>
    </row>
    <row r="30" spans="1:8" ht="20" customHeight="1">
      <c r="A30" s="198"/>
      <c r="B30" s="353" t="inlineStr">
        <is>
          <t xml:space="preserve">MANO DE OBRA</t>
        </is>
      </c>
      <c r="C30" s="353"/>
      <c r="D30" s="353"/>
      <c r="E30" s="353"/>
      <c r="F30" s="353"/>
      <c r="G30" s="353"/>
      <c r="H30" s="353"/>
    </row>
    <row r="31" spans="1:8" ht="32" customHeight="1">
      <c r="A31" s="200">
        <v>1</v>
      </c>
      <c r="B31" s="212" t="inlineStr">
        <is>
          <t xml:space="preserve">Operario (hojalatero)</t>
        </is>
      </c>
      <c r="C31" s="203" t="inlineStr">
        <is>
          <t xml:space="preserve">hh</t>
        </is>
      </c>
      <c r="D31" s="202">
        <v>1</v>
      </c>
      <c r="E31" s="361">
        <f>D31*8/$C$28</f>
        <v>0.32</v>
      </c>
      <c r="F31" s="362">
        <v>30.42</v>
      </c>
      <c r="G31" s="208">
        <f>E31*F31</f>
        <v>9.7344</v>
      </c>
      <c r="H31" s="364" t="inlineStr">
        <is>
          <t xml:space="preserve">CAPECO: costo hora-hombre 2024-2025 llevado al jornal basico 2025-2026</t>
        </is>
      </c>
    </row>
    <row r="32" spans="1:8" ht="32" customHeight="1">
      <c r="A32" s="200">
        <v>2</v>
      </c>
      <c r="B32" s="212" t="inlineStr">
        <is>
          <t xml:space="preserve">Peon</t>
        </is>
      </c>
      <c r="C32" s="203" t="inlineStr">
        <is>
          <t xml:space="preserve">hh</t>
        </is>
      </c>
      <c r="D32" s="202">
        <v>1</v>
      </c>
      <c r="E32" s="361">
        <f>D32*8/$C$28</f>
        <v>0.32</v>
      </c>
      <c r="F32" s="362">
        <v>20.79</v>
      </c>
      <c r="G32" s="208">
        <f>E32*F32</f>
        <v>6.6528</v>
      </c>
      <c r="H32" s="364" t="inlineStr">
        <is>
          <t xml:space="preserve">CAPECO: costo hora-hombre 2024-2025 llevado al jornal basico 2025-2026</t>
        </is>
      </c>
    </row>
    <row r="33" spans="1:8" ht="20" customHeight="1">
      <c r="A33" s="198"/>
      <c r="B33" s="353" t="inlineStr">
        <is>
          <t xml:space="preserve">Subtotal mano de obra</t>
        </is>
      </c>
      <c r="C33" s="212"/>
      <c r="D33" s="212"/>
      <c r="E33" s="212"/>
      <c r="F33" s="212"/>
      <c r="G33" s="213">
        <f>SUM(G31:G32)</f>
        <v>16.3872</v>
      </c>
      <c r="H33" s="212"/>
    </row>
    <row r="34" spans="1:8" ht="20" customHeight="1">
      <c r="A34" s="198"/>
      <c r="B34" s="353" t="inlineStr">
        <is>
          <t xml:space="preserve">MATERIALES</t>
        </is>
      </c>
      <c r="C34" s="353"/>
      <c r="D34" s="353"/>
      <c r="E34" s="353"/>
      <c r="F34" s="353"/>
      <c r="G34" s="353"/>
      <c r="H34" s="353"/>
    </row>
    <row r="35" spans="1:8" ht="32" customHeight="1">
      <c r="A35" s="200">
        <v>3</v>
      </c>
      <c r="B35" s="212" t="inlineStr">
        <is>
          <t xml:space="preserve">Plancha de acero galvanizado e=0.9 mm</t>
        </is>
      </c>
      <c r="C35" s="203" t="inlineStr">
        <is>
          <t xml:space="preserve">m2</t>
        </is>
      </c>
      <c r="D35" s="212"/>
      <c r="E35" s="361">
        <f>$D$14*(1+$D$19/$D$18)*1.05</f>
        <v>0.803637295081967</v>
      </c>
      <c r="F35" s="362">
        <v>26.95</v>
      </c>
      <c r="G35" s="208">
        <f>E35*F35</f>
        <v>21.658025102459</v>
      </c>
      <c r="H35" s="364" t="inlineStr">
        <is>
          <t xml:space="preserve">desarrollo x (1 + traslape/2.44) x 1.05 desperdicio; Mercado Tarapoto 2026, sin IGV (referencial)</t>
        </is>
      </c>
    </row>
    <row r="36" spans="1:8" ht="20" customHeight="1">
      <c r="A36" s="200">
        <v>4</v>
      </c>
      <c r="B36" s="212" t="inlineStr">
        <is>
          <t xml:space="preserve">Remache pop 1/8"</t>
        </is>
      </c>
      <c r="C36" s="203" t="inlineStr">
        <is>
          <t xml:space="preserve">und</t>
        </is>
      </c>
      <c r="D36" s="212"/>
      <c r="E36" s="361">
        <f>2*($D$11+2*$D$12)/0.05/$D$18</f>
        <v>10.655737704918</v>
      </c>
      <c r="F36" s="362">
        <v>0.1</v>
      </c>
      <c r="G36" s="208">
        <f>E36*F36</f>
        <v>1.0655737704918</v>
      </c>
      <c r="H36" s="364" t="inlineStr">
        <is>
          <t xml:space="preserve">2 filas a @0.05 en cada traslape (cada 2.44 m)</t>
        </is>
      </c>
    </row>
    <row r="37" spans="1:8" ht="32" customHeight="1">
      <c r="A37" s="200">
        <v>5</v>
      </c>
      <c r="B37" s="212" t="inlineStr">
        <is>
          <t xml:space="preserve">Sellador de poliuretano (cartucho 300 ml)</t>
        </is>
      </c>
      <c r="C37" s="203" t="inlineStr">
        <is>
          <t xml:space="preserve">und</t>
        </is>
      </c>
      <c r="D37" s="212"/>
      <c r="E37" s="361">
        <f>($D$11+2*$D$12)/$D$18/8</f>
        <v>0.0332991803278689</v>
      </c>
      <c r="F37" s="362">
        <v>21.19</v>
      </c>
      <c r="G37" s="208">
        <f>E37*F37</f>
        <v>0.705609631147541</v>
      </c>
      <c r="H37" s="364" t="inlineStr">
        <is>
          <t xml:space="preserve">1 cartucho = 8 m de cordon de 6 mm; una junta (0.65 m) cada 2.44 m</t>
        </is>
      </c>
    </row>
    <row r="38" spans="1:8" ht="20" customHeight="1">
      <c r="A38" s="198"/>
      <c r="B38" s="353" t="inlineStr">
        <is>
          <t xml:space="preserve">Subtotal materiales</t>
        </is>
      </c>
      <c r="C38" s="212"/>
      <c r="D38" s="212"/>
      <c r="E38" s="212"/>
      <c r="F38" s="212"/>
      <c r="G38" s="213">
        <f>SUM(G35:G37)</f>
        <v>23.4292085040984</v>
      </c>
      <c r="H38" s="212"/>
    </row>
    <row r="39" spans="1:8" ht="20" customHeight="1">
      <c r="A39" s="198"/>
      <c r="B39" s="353" t="inlineStr">
        <is>
          <t xml:space="preserve">EQUIPOS</t>
        </is>
      </c>
      <c r="C39" s="353"/>
      <c r="D39" s="353"/>
      <c r="E39" s="353"/>
      <c r="F39" s="353"/>
      <c r="G39" s="353"/>
      <c r="H39" s="353"/>
    </row>
    <row r="40" spans="1:8" ht="20" customHeight="1">
      <c r="A40" s="200">
        <v>6</v>
      </c>
      <c r="B40" s="212" t="inlineStr">
        <is>
          <t xml:space="preserve">Herramientas manuales</t>
        </is>
      </c>
      <c r="C40" s="203" t="inlineStr">
        <is>
          <t xml:space="preserve">%mo</t>
        </is>
      </c>
      <c r="D40" s="212"/>
      <c r="E40" s="202">
        <v>0.05</v>
      </c>
      <c r="F40" s="208">
        <f>+G33</f>
        <v>16.3872</v>
      </c>
      <c r="G40" s="208">
        <f>E40*F40</f>
        <v>0.81936</v>
      </c>
      <c r="H40" s="364" t="inlineStr">
        <is>
          <t xml:space="preserve">5 % del costo de mano de obra (hojalateria)</t>
        </is>
      </c>
    </row>
    <row r="41" spans="1:8" ht="20" customHeight="1">
      <c r="A41" s="198"/>
      <c r="B41" s="353" t="inlineStr">
        <is>
          <t xml:space="preserve">Subtotal equipos</t>
        </is>
      </c>
      <c r="C41" s="212"/>
      <c r="D41" s="212"/>
      <c r="E41" s="212"/>
      <c r="F41" s="212"/>
      <c r="G41" s="213">
        <f>SUM(G40:G40)</f>
        <v>0.81936</v>
      </c>
      <c r="H41" s="212"/>
    </row>
    <row r="42" spans="1:8" ht="22" customHeight="1">
      <c r="A42" s="353" t="inlineStr">
        <is>
          <t xml:space="preserve">COSTO UNITARIO DIRECTO (S/ por m)</t>
        </is>
      </c>
      <c r="B42" s="353"/>
      <c r="C42" s="353"/>
      <c r="D42" s="353"/>
      <c r="E42" s="353"/>
      <c r="F42" s="353"/>
      <c r="G42" s="213">
        <f>+G33+G38+G41</f>
        <v>40.6357685040984</v>
      </c>
      <c r="H42" s="212"/>
    </row>
    <row r="43" spans="1:8" ht="22" customHeight="1">
      <c r="A43" s="353" t="inlineStr">
        <is>
          <t xml:space="preserve">COSTO DIRECTO DE LA PARTIDA (metrado x costo unitario)</t>
        </is>
      </c>
      <c r="B43" s="353"/>
      <c r="C43" s="353"/>
      <c r="D43" s="353"/>
      <c r="E43" s="353"/>
      <c r="F43" s="353"/>
      <c r="G43" s="213">
        <f>G42*C27</f>
        <v>20885.9722957365</v>
      </c>
      <c r="H43" s="212"/>
    </row>
    <row r="45" spans="1:8" ht="22" customHeight="1">
      <c r="A45" s="353" t="inlineStr">
        <is>
          <t xml:space="preserve">ACU 2: 01.04.03.05.01.04 SOPORTE DE PLATINA F°G° 1" x 1/8" P/CANALETA</t>
        </is>
      </c>
      <c r="B45" s="353"/>
      <c r="C45" s="353"/>
      <c r="D45" s="353"/>
      <c r="E45" s="353"/>
      <c r="F45" s="353"/>
      <c r="G45" s="353"/>
      <c r="H45" s="353"/>
    </row>
    <row r="46" spans="1:8" ht="20" customHeight="1">
      <c r="A46" s="353" t="inlineStr">
        <is>
          <t xml:space="preserve">Unidad</t>
        </is>
      </c>
      <c r="B46" s="353"/>
      <c r="C46" s="212" t="inlineStr">
        <is>
          <t xml:space="preserve">und</t>
        </is>
      </c>
      <c r="D46" s="212"/>
      <c r="E46" s="212"/>
      <c r="F46" s="212"/>
      <c r="G46" s="212"/>
      <c r="H46" s="212"/>
    </row>
    <row r="47" spans="1:8" ht="20" customHeight="1">
      <c r="A47" s="353" t="inlineStr">
        <is>
          <t xml:space="preserve">Metrado</t>
        </is>
      </c>
      <c r="B47" s="353"/>
      <c r="C47" s="208">
        <f>+'PLANILLA GENERAL DE METRADOS'!K149</f>
        <v>884</v>
      </c>
      <c r="D47" s="212"/>
      <c r="E47" s="212"/>
      <c r="F47" s="212"/>
      <c r="G47" s="212"/>
      <c r="H47" s="212"/>
    </row>
    <row r="48" spans="1:8" ht="20" customHeight="1">
      <c r="A48" s="353" t="inlineStr">
        <is>
          <t xml:space="preserve">Rendimiento (und/dia)</t>
        </is>
      </c>
      <c r="B48" s="353"/>
      <c r="C48" s="362">
        <v>40</v>
      </c>
      <c r="D48" s="212"/>
      <c r="E48" s="212" t="inlineStr">
        <is>
          <t xml:space="preserve">corte, doblado en U con orejas, perforado y fijacion al alero o viga; cuadrilla 1 op + 0.5 peon</t>
        </is>
      </c>
      <c r="F48" s="212"/>
      <c r="G48" s="212"/>
      <c r="H48" s="212"/>
    </row>
    <row r="49" spans="1:8" ht="32" customHeight="1">
      <c r="A49" s="199" t="inlineStr">
        <is>
          <t xml:space="preserve">N°</t>
        </is>
      </c>
      <c r="B49" s="199" t="inlineStr">
        <is>
          <t xml:space="preserve">RECURSO</t>
        </is>
      </c>
      <c r="C49" s="199" t="inlineStr">
        <is>
          <t xml:space="preserve">UND</t>
        </is>
      </c>
      <c r="D49" s="199" t="inlineStr">
        <is>
          <t xml:space="preserve">CUADRILLA</t>
        </is>
      </c>
      <c r="E49" s="199" t="inlineStr">
        <is>
          <t xml:space="preserve">CANTIDAD</t>
        </is>
      </c>
      <c r="F49" s="199" t="inlineStr">
        <is>
          <t xml:space="preserve">PRECIO S/</t>
        </is>
      </c>
      <c r="G49" s="199" t="inlineStr">
        <is>
          <t xml:space="preserve">PARCIAL S/</t>
        </is>
      </c>
      <c r="H49" s="199" t="inlineStr">
        <is>
          <t xml:space="preserve">SUSTENTO / FUENTE</t>
        </is>
      </c>
    </row>
    <row r="50" spans="1:8" ht="20" customHeight="1">
      <c r="A50" s="198"/>
      <c r="B50" s="353" t="inlineStr">
        <is>
          <t xml:space="preserve">MANO DE OBRA</t>
        </is>
      </c>
      <c r="C50" s="353"/>
      <c r="D50" s="353"/>
      <c r="E50" s="353"/>
      <c r="F50" s="353"/>
      <c r="G50" s="353"/>
      <c r="H50" s="353"/>
    </row>
    <row r="51" spans="1:8" ht="32" customHeight="1">
      <c r="A51" s="200">
        <v>1</v>
      </c>
      <c r="B51" s="212" t="inlineStr">
        <is>
          <t xml:space="preserve">Operario</t>
        </is>
      </c>
      <c r="C51" s="203" t="inlineStr">
        <is>
          <t xml:space="preserve">hh</t>
        </is>
      </c>
      <c r="D51" s="202">
        <v>1</v>
      </c>
      <c r="E51" s="361">
        <f>D51*8/$C$48</f>
        <v>0.2</v>
      </c>
      <c r="F51" s="362">
        <v>30.42</v>
      </c>
      <c r="G51" s="208">
        <f>E51*F51</f>
        <v>6.084</v>
      </c>
      <c r="H51" s="364" t="inlineStr">
        <is>
          <t xml:space="preserve">CAPECO: costo hora-hombre 2024-2025 llevado al jornal basico 2025-2026</t>
        </is>
      </c>
    </row>
    <row r="52" spans="1:8" ht="32" customHeight="1">
      <c r="A52" s="200">
        <v>2</v>
      </c>
      <c r="B52" s="212" t="inlineStr">
        <is>
          <t xml:space="preserve">Peon</t>
        </is>
      </c>
      <c r="C52" s="203" t="inlineStr">
        <is>
          <t xml:space="preserve">hh</t>
        </is>
      </c>
      <c r="D52" s="202">
        <v>0.5</v>
      </c>
      <c r="E52" s="361">
        <f>D52*8/$C$48</f>
        <v>0.1</v>
      </c>
      <c r="F52" s="362">
        <v>20.79</v>
      </c>
      <c r="G52" s="208">
        <f>E52*F52</f>
        <v>2.079</v>
      </c>
      <c r="H52" s="364" t="inlineStr">
        <is>
          <t xml:space="preserve">CAPECO: costo hora-hombre 2024-2025 llevado al jornal basico 2025-2026</t>
        </is>
      </c>
    </row>
    <row r="53" spans="1:8" ht="20" customHeight="1">
      <c r="A53" s="198"/>
      <c r="B53" s="353" t="inlineStr">
        <is>
          <t xml:space="preserve">Subtotal mano de obra</t>
        </is>
      </c>
      <c r="C53" s="212"/>
      <c r="D53" s="212"/>
      <c r="E53" s="212"/>
      <c r="F53" s="212"/>
      <c r="G53" s="213">
        <f>SUM(G51:G52)</f>
        <v>8.163</v>
      </c>
      <c r="H53" s="212"/>
    </row>
    <row r="54" spans="1:8" ht="20" customHeight="1">
      <c r="A54" s="198"/>
      <c r="B54" s="353" t="inlineStr">
        <is>
          <t xml:space="preserve">MATERIALES</t>
        </is>
      </c>
      <c r="C54" s="353"/>
      <c r="D54" s="353"/>
      <c r="E54" s="353"/>
      <c r="F54" s="353"/>
      <c r="G54" s="353"/>
      <c r="H54" s="353"/>
    </row>
    <row r="55" spans="1:8" ht="32" customHeight="1">
      <c r="A55" s="200">
        <v>3</v>
      </c>
      <c r="B55" s="212" t="inlineStr">
        <is>
          <t xml:space="preserve">Platina de fierro galvanizado 1" x 1/8"</t>
        </is>
      </c>
      <c r="C55" s="203" t="inlineStr">
        <is>
          <t xml:space="preserve">m</t>
        </is>
      </c>
      <c r="D55" s="212"/>
      <c r="E55" s="361">
        <f>$D$20*1.05</f>
        <v>0.8925</v>
      </c>
      <c r="F55" s="362">
        <v>6.36</v>
      </c>
      <c r="G55" s="208">
        <f>E55*F55</f>
        <v>5.6763</v>
      </c>
      <c r="H55" s="364" t="inlineStr">
        <is>
          <t xml:space="preserve">desarrollo del soporte x 1.05 desperdicio; Mercado Tarapoto 2026, sin IGV (referencial)</t>
        </is>
      </c>
    </row>
    <row r="56" spans="1:8" ht="20" customHeight="1">
      <c r="A56" s="200">
        <v>4</v>
      </c>
      <c r="B56" s="212" t="inlineStr">
        <is>
          <t xml:space="preserve">Perno de expansion 1/4" x 2 1/2" con tarugo</t>
        </is>
      </c>
      <c r="C56" s="203" t="inlineStr">
        <is>
          <t xml:space="preserve">und</t>
        </is>
      </c>
      <c r="D56" s="212"/>
      <c r="E56" s="363">
        <v>2</v>
      </c>
      <c r="F56" s="362">
        <v>1.02</v>
      </c>
      <c r="G56" s="208">
        <f>E56*F56</f>
        <v>2.04</v>
      </c>
      <c r="H56" s="364" t="inlineStr">
        <is>
          <t xml:space="preserve">2 por soporte (una oreja a cada lado)</t>
        </is>
      </c>
    </row>
    <row r="57" spans="1:8" ht="20" customHeight="1">
      <c r="A57" s="200">
        <v>5</v>
      </c>
      <c r="B57" s="212" t="inlineStr">
        <is>
          <t xml:space="preserve">Tornillo autorroscante 1/4" x 3/4" (soporte a canaleta)</t>
        </is>
      </c>
      <c r="C57" s="203" t="inlineStr">
        <is>
          <t xml:space="preserve">und</t>
        </is>
      </c>
      <c r="D57" s="212"/>
      <c r="E57" s="363">
        <v>2</v>
      </c>
      <c r="F57" s="362">
        <v>0.25</v>
      </c>
      <c r="G57" s="208">
        <f>E57*F57</f>
        <v>0.5</v>
      </c>
      <c r="H57" s="364" t="inlineStr">
        <is>
          <t xml:space="preserve">2 por soporte</t>
        </is>
      </c>
    </row>
    <row r="58" spans="1:8" ht="20" customHeight="1">
      <c r="A58" s="198"/>
      <c r="B58" s="353" t="inlineStr">
        <is>
          <t xml:space="preserve">Subtotal materiales</t>
        </is>
      </c>
      <c r="C58" s="212"/>
      <c r="D58" s="212"/>
      <c r="E58" s="212"/>
      <c r="F58" s="212"/>
      <c r="G58" s="213">
        <f>SUM(G55:G57)</f>
        <v>8.2163</v>
      </c>
      <c r="H58" s="212"/>
    </row>
    <row r="59" spans="1:8" ht="20" customHeight="1">
      <c r="A59" s="198"/>
      <c r="B59" s="353" t="inlineStr">
        <is>
          <t xml:space="preserve">EQUIPOS</t>
        </is>
      </c>
      <c r="C59" s="353"/>
      <c r="D59" s="353"/>
      <c r="E59" s="353"/>
      <c r="F59" s="353"/>
      <c r="G59" s="353"/>
      <c r="H59" s="353"/>
    </row>
    <row r="60" spans="1:8" ht="20" customHeight="1">
      <c r="A60" s="200">
        <v>6</v>
      </c>
      <c r="B60" s="212" t="inlineStr">
        <is>
          <t xml:space="preserve">Herramientas manuales</t>
        </is>
      </c>
      <c r="C60" s="203" t="inlineStr">
        <is>
          <t xml:space="preserve">%mo</t>
        </is>
      </c>
      <c r="D60" s="212"/>
      <c r="E60" s="202">
        <v>0.05</v>
      </c>
      <c r="F60" s="208">
        <f>+G53</f>
        <v>8.163</v>
      </c>
      <c r="G60" s="208">
        <f>E60*F60</f>
        <v>0.40815</v>
      </c>
      <c r="H60" s="364" t="inlineStr">
        <is>
          <t xml:space="preserve">5 % del costo de mano de obra (hojalateria)</t>
        </is>
      </c>
    </row>
    <row r="61" spans="1:8" ht="20" customHeight="1">
      <c r="A61" s="198"/>
      <c r="B61" s="353" t="inlineStr">
        <is>
          <t xml:space="preserve">Subtotal equipos</t>
        </is>
      </c>
      <c r="C61" s="212"/>
      <c r="D61" s="212"/>
      <c r="E61" s="212"/>
      <c r="F61" s="212"/>
      <c r="G61" s="213">
        <f>SUM(G60:G60)</f>
        <v>0.40815</v>
      </c>
      <c r="H61" s="212"/>
    </row>
    <row r="62" spans="1:8" ht="22" customHeight="1">
      <c r="A62" s="353" t="inlineStr">
        <is>
          <t xml:space="preserve">COSTO UNITARIO DIRECTO (S/ por und)</t>
        </is>
      </c>
      <c r="B62" s="353"/>
      <c r="C62" s="353"/>
      <c r="D62" s="353"/>
      <c r="E62" s="353"/>
      <c r="F62" s="353"/>
      <c r="G62" s="213">
        <f>+G53+G58+G61</f>
        <v>16.78745</v>
      </c>
      <c r="H62" s="212"/>
    </row>
    <row r="63" spans="1:8" ht="22" customHeight="1">
      <c r="A63" s="353" t="inlineStr">
        <is>
          <t xml:space="preserve">COSTO DIRECTO DE LA PARTIDA (metrado x costo unitario)</t>
        </is>
      </c>
      <c r="B63" s="353"/>
      <c r="C63" s="353"/>
      <c r="D63" s="353"/>
      <c r="E63" s="353"/>
      <c r="F63" s="353"/>
      <c r="G63" s="213">
        <f>G62*C47</f>
        <v>14840.1058</v>
      </c>
      <c r="H63" s="212"/>
    </row>
    <row r="65" spans="1:8" ht="22" customHeight="1">
      <c r="A65" s="353" t="inlineStr">
        <is>
          <t xml:space="preserve">ACU 3: 01.04.03.05.01.05 TAPA LATERAL DE PLANCHA GALVANIZADA P/CANALETA</t>
        </is>
      </c>
      <c r="B65" s="353"/>
      <c r="C65" s="353"/>
      <c r="D65" s="353"/>
      <c r="E65" s="353"/>
      <c r="F65" s="353"/>
      <c r="G65" s="353"/>
      <c r="H65" s="353"/>
    </row>
    <row r="66" spans="1:8" ht="20" customHeight="1">
      <c r="A66" s="353" t="inlineStr">
        <is>
          <t xml:space="preserve">Unidad</t>
        </is>
      </c>
      <c r="B66" s="353"/>
      <c r="C66" s="212" t="inlineStr">
        <is>
          <t xml:space="preserve">und</t>
        </is>
      </c>
      <c r="D66" s="212"/>
      <c r="E66" s="212"/>
      <c r="F66" s="212"/>
      <c r="G66" s="212"/>
      <c r="H66" s="212"/>
    </row>
    <row r="67" spans="1:8" ht="20" customHeight="1">
      <c r="A67" s="353" t="inlineStr">
        <is>
          <t xml:space="preserve">Metrado</t>
        </is>
      </c>
      <c r="B67" s="353"/>
      <c r="C67" s="208">
        <f>+'PLANILLA GENERAL DE METRADOS'!K150</f>
        <v>40</v>
      </c>
      <c r="D67" s="212"/>
      <c r="E67" s="212"/>
      <c r="F67" s="212"/>
      <c r="G67" s="212"/>
      <c r="H67" s="212"/>
    </row>
    <row r="68" spans="1:8" ht="20" customHeight="1">
      <c r="A68" s="353" t="inlineStr">
        <is>
          <t xml:space="preserve">Rendimiento (und/dia)</t>
        </is>
      </c>
      <c r="B68" s="353"/>
      <c r="C68" s="362">
        <v>30</v>
      </c>
      <c r="D68" s="212"/>
      <c r="E68" s="212" t="inlineStr">
        <is>
          <t xml:space="preserve">trazo, corte, doblez de pestanas, remachado y sellado en el extremo de la canaleta; cuadrilla 1 op + 0.5 peon</t>
        </is>
      </c>
      <c r="F68" s="212"/>
      <c r="G68" s="212"/>
      <c r="H68" s="212"/>
    </row>
    <row r="69" spans="1:8" ht="32" customHeight="1">
      <c r="A69" s="199" t="inlineStr">
        <is>
          <t xml:space="preserve">N°</t>
        </is>
      </c>
      <c r="B69" s="199" t="inlineStr">
        <is>
          <t xml:space="preserve">RECURSO</t>
        </is>
      </c>
      <c r="C69" s="199" t="inlineStr">
        <is>
          <t xml:space="preserve">UND</t>
        </is>
      </c>
      <c r="D69" s="199" t="inlineStr">
        <is>
          <t xml:space="preserve">CUADRILLA</t>
        </is>
      </c>
      <c r="E69" s="199" t="inlineStr">
        <is>
          <t xml:space="preserve">CANTIDAD</t>
        </is>
      </c>
      <c r="F69" s="199" t="inlineStr">
        <is>
          <t xml:space="preserve">PRECIO S/</t>
        </is>
      </c>
      <c r="G69" s="199" t="inlineStr">
        <is>
          <t xml:space="preserve">PARCIAL S/</t>
        </is>
      </c>
      <c r="H69" s="199" t="inlineStr">
        <is>
          <t xml:space="preserve">SUSTENTO / FUENTE</t>
        </is>
      </c>
    </row>
    <row r="70" spans="1:8" ht="20" customHeight="1">
      <c r="A70" s="198"/>
      <c r="B70" s="353" t="inlineStr">
        <is>
          <t xml:space="preserve">MANO DE OBRA</t>
        </is>
      </c>
      <c r="C70" s="353"/>
      <c r="D70" s="353"/>
      <c r="E70" s="353"/>
      <c r="F70" s="353"/>
      <c r="G70" s="353"/>
      <c r="H70" s="353"/>
    </row>
    <row r="71" spans="1:8" ht="32" customHeight="1">
      <c r="A71" s="200">
        <v>1</v>
      </c>
      <c r="B71" s="212" t="inlineStr">
        <is>
          <t xml:space="preserve">Operario (hojalatero)</t>
        </is>
      </c>
      <c r="C71" s="203" t="inlineStr">
        <is>
          <t xml:space="preserve">hh</t>
        </is>
      </c>
      <c r="D71" s="202">
        <v>1</v>
      </c>
      <c r="E71" s="361">
        <f>D71*8/$C$68</f>
        <v>0.266666666666667</v>
      </c>
      <c r="F71" s="362">
        <v>30.42</v>
      </c>
      <c r="G71" s="208">
        <f>E71*F71</f>
        <v>8.112</v>
      </c>
      <c r="H71" s="364" t="inlineStr">
        <is>
          <t xml:space="preserve">CAPECO: costo hora-hombre 2024-2025 llevado al jornal basico 2025-2026</t>
        </is>
      </c>
    </row>
    <row r="72" spans="1:8" ht="32" customHeight="1">
      <c r="A72" s="200">
        <v>2</v>
      </c>
      <c r="B72" s="212" t="inlineStr">
        <is>
          <t xml:space="preserve">Peon</t>
        </is>
      </c>
      <c r="C72" s="203" t="inlineStr">
        <is>
          <t xml:space="preserve">hh</t>
        </is>
      </c>
      <c r="D72" s="202">
        <v>0.5</v>
      </c>
      <c r="E72" s="361">
        <f>D72*8/$C$68</f>
        <v>0.133333333333333</v>
      </c>
      <c r="F72" s="362">
        <v>20.79</v>
      </c>
      <c r="G72" s="208">
        <f>E72*F72</f>
        <v>2.772</v>
      </c>
      <c r="H72" s="364" t="inlineStr">
        <is>
          <t xml:space="preserve">CAPECO: costo hora-hombre 2024-2025 llevado al jornal basico 2025-2026</t>
        </is>
      </c>
    </row>
    <row r="73" spans="1:8" ht="20" customHeight="1">
      <c r="A73" s="198"/>
      <c r="B73" s="353" t="inlineStr">
        <is>
          <t xml:space="preserve">Subtotal mano de obra</t>
        </is>
      </c>
      <c r="C73" s="212"/>
      <c r="D73" s="212"/>
      <c r="E73" s="212"/>
      <c r="F73" s="212"/>
      <c r="G73" s="213">
        <f>SUM(G71:G72)</f>
        <v>10.884</v>
      </c>
      <c r="H73" s="212"/>
    </row>
    <row r="74" spans="1:8" ht="20" customHeight="1">
      <c r="A74" s="198"/>
      <c r="B74" s="353" t="inlineStr">
        <is>
          <t xml:space="preserve">MATERIALES</t>
        </is>
      </c>
      <c r="C74" s="353"/>
      <c r="D74" s="353"/>
      <c r="E74" s="353"/>
      <c r="F74" s="353"/>
      <c r="G74" s="353"/>
      <c r="H74" s="353"/>
    </row>
    <row r="75" spans="1:8" ht="32" customHeight="1">
      <c r="A75" s="200">
        <v>3</v>
      </c>
      <c r="B75" s="212" t="inlineStr">
        <is>
          <t xml:space="preserve">Plancha de acero galvanizado e=0.9 mm</t>
        </is>
      </c>
      <c r="C75" s="203" t="inlineStr">
        <is>
          <t xml:space="preserve">m2</t>
        </is>
      </c>
      <c r="D75" s="212"/>
      <c r="E75" s="361">
        <f>($D$11*$D$12+2*($D$11+$D$12)*0.03)*1.10</f>
        <v>0.0847</v>
      </c>
      <c r="F75" s="362">
        <v>26.95</v>
      </c>
      <c r="G75" s="208">
        <f>E75*F75</f>
        <v>2.282665</v>
      </c>
      <c r="H75" s="364" t="inlineStr">
        <is>
          <t xml:space="preserve">tapa 0.25 x 0.20 + pestana de 0.03 en el contorno, 10 % desperdicio</t>
        </is>
      </c>
    </row>
    <row r="76" spans="1:8" ht="20" customHeight="1">
      <c r="A76" s="200">
        <v>4</v>
      </c>
      <c r="B76" s="212" t="inlineStr">
        <is>
          <t xml:space="preserve">Remache pop 1/8"</t>
        </is>
      </c>
      <c r="C76" s="203" t="inlineStr">
        <is>
          <t xml:space="preserve">und</t>
        </is>
      </c>
      <c r="D76" s="212"/>
      <c r="E76" s="363">
        <v>6</v>
      </c>
      <c r="F76" s="362">
        <v>0.1</v>
      </c>
      <c r="G76" s="208">
        <f>E76*F76</f>
        <v>0.6</v>
      </c>
      <c r="H76" s="364" t="inlineStr">
        <is>
          <t xml:space="preserve">6 por tapa</t>
        </is>
      </c>
    </row>
    <row r="77" spans="1:8" ht="20" customHeight="1">
      <c r="A77" s="200">
        <v>5</v>
      </c>
      <c r="B77" s="212" t="inlineStr">
        <is>
          <t xml:space="preserve">Sellador de poliuretano (cartucho 300 ml)</t>
        </is>
      </c>
      <c r="C77" s="203" t="inlineStr">
        <is>
          <t xml:space="preserve">und</t>
        </is>
      </c>
      <c r="D77" s="212"/>
      <c r="E77" s="361">
        <f>($D$11+2*$D$12)/8</f>
        <v>0.08125</v>
      </c>
      <c r="F77" s="362">
        <v>21.19</v>
      </c>
      <c r="G77" s="208">
        <f>E77*F77</f>
        <v>1.7216875</v>
      </c>
      <c r="H77" s="364" t="inlineStr">
        <is>
          <t xml:space="preserve">contorno de la tapa (0.65 m) / 8 m por cartucho</t>
        </is>
      </c>
    </row>
    <row r="78" spans="1:8" ht="20" customHeight="1">
      <c r="A78" s="198"/>
      <c r="B78" s="353" t="inlineStr">
        <is>
          <t xml:space="preserve">Subtotal materiales</t>
        </is>
      </c>
      <c r="C78" s="212"/>
      <c r="D78" s="212"/>
      <c r="E78" s="212"/>
      <c r="F78" s="212"/>
      <c r="G78" s="213">
        <f>SUM(G75:G77)</f>
        <v>4.6043525</v>
      </c>
      <c r="H78" s="212"/>
    </row>
    <row r="79" spans="1:8" ht="20" customHeight="1">
      <c r="A79" s="198"/>
      <c r="B79" s="353" t="inlineStr">
        <is>
          <t xml:space="preserve">EQUIPOS</t>
        </is>
      </c>
      <c r="C79" s="353"/>
      <c r="D79" s="353"/>
      <c r="E79" s="353"/>
      <c r="F79" s="353"/>
      <c r="G79" s="353"/>
      <c r="H79" s="353"/>
    </row>
    <row r="80" spans="1:8" ht="20" customHeight="1">
      <c r="A80" s="200">
        <v>6</v>
      </c>
      <c r="B80" s="212" t="inlineStr">
        <is>
          <t xml:space="preserve">Herramientas manuales</t>
        </is>
      </c>
      <c r="C80" s="203" t="inlineStr">
        <is>
          <t xml:space="preserve">%mo</t>
        </is>
      </c>
      <c r="D80" s="212"/>
      <c r="E80" s="202">
        <v>0.05</v>
      </c>
      <c r="F80" s="208">
        <f>+G73</f>
        <v>10.884</v>
      </c>
      <c r="G80" s="208">
        <f>E80*F80</f>
        <v>0.5442</v>
      </c>
      <c r="H80" s="364" t="inlineStr">
        <is>
          <t xml:space="preserve">5 % del costo de mano de obra (hojalateria)</t>
        </is>
      </c>
    </row>
    <row r="81" spans="1:8" ht="20" customHeight="1">
      <c r="A81" s="198"/>
      <c r="B81" s="353" t="inlineStr">
        <is>
          <t xml:space="preserve">Subtotal equipos</t>
        </is>
      </c>
      <c r="C81" s="212"/>
      <c r="D81" s="212"/>
      <c r="E81" s="212"/>
      <c r="F81" s="212"/>
      <c r="G81" s="213">
        <f>SUM(G80:G80)</f>
        <v>0.5442</v>
      </c>
      <c r="H81" s="212"/>
    </row>
    <row r="82" spans="1:8" ht="22" customHeight="1">
      <c r="A82" s="353" t="inlineStr">
        <is>
          <t xml:space="preserve">COSTO UNITARIO DIRECTO (S/ por und)</t>
        </is>
      </c>
      <c r="B82" s="353"/>
      <c r="C82" s="353"/>
      <c r="D82" s="353"/>
      <c r="E82" s="353"/>
      <c r="F82" s="353"/>
      <c r="G82" s="213">
        <f>+G73+G78+G81</f>
        <v>16.0325525</v>
      </c>
      <c r="H82" s="212"/>
    </row>
    <row r="83" spans="1:8" ht="22" customHeight="1">
      <c r="A83" s="353" t="inlineStr">
        <is>
          <t xml:space="preserve">COSTO DIRECTO DE LA PARTIDA (metrado x costo unitario)</t>
        </is>
      </c>
      <c r="B83" s="353"/>
      <c r="C83" s="353"/>
      <c r="D83" s="353"/>
      <c r="E83" s="353"/>
      <c r="F83" s="353"/>
      <c r="G83" s="213">
        <f>G82*C67</f>
        <v>641.3021</v>
      </c>
      <c r="H83" s="212"/>
    </row>
    <row r="85" spans="1:8" ht="22" customHeight="1">
      <c r="A85" s="353" t="inlineStr">
        <is>
          <t xml:space="preserve">ACU 4: 01.04.03.05.01.06 BOQUILLA DE PLANCHA GALVANIZADA P/CONEXION DE CANALETA A MONTANTE Ø4"</t>
        </is>
      </c>
      <c r="B85" s="353"/>
      <c r="C85" s="353"/>
      <c r="D85" s="353"/>
      <c r="E85" s="353"/>
      <c r="F85" s="353"/>
      <c r="G85" s="353"/>
      <c r="H85" s="353"/>
    </row>
    <row r="86" spans="1:8" ht="20" customHeight="1">
      <c r="A86" s="353" t="inlineStr">
        <is>
          <t xml:space="preserve">Unidad</t>
        </is>
      </c>
      <c r="B86" s="353"/>
      <c r="C86" s="212" t="inlineStr">
        <is>
          <t xml:space="preserve">und</t>
        </is>
      </c>
      <c r="D86" s="212"/>
      <c r="E86" s="212"/>
      <c r="F86" s="212"/>
      <c r="G86" s="212"/>
      <c r="H86" s="212"/>
    </row>
    <row r="87" spans="1:8" ht="20" customHeight="1">
      <c r="A87" s="353" t="inlineStr">
        <is>
          <t xml:space="preserve">Metrado</t>
        </is>
      </c>
      <c r="B87" s="353"/>
      <c r="C87" s="208">
        <f>+'PLANILLA GENERAL DE METRADOS'!K151</f>
        <v>52</v>
      </c>
      <c r="D87" s="212"/>
      <c r="E87" s="212"/>
      <c r="F87" s="212"/>
      <c r="G87" s="212"/>
      <c r="H87" s="212"/>
    </row>
    <row r="88" spans="1:8" ht="20" customHeight="1">
      <c r="A88" s="353" t="inlineStr">
        <is>
          <t xml:space="preserve">Rendimiento (und/dia)</t>
        </is>
      </c>
      <c r="B88" s="353"/>
      <c r="C88" s="362">
        <v>16</v>
      </c>
      <c r="D88" s="212"/>
      <c r="E88" s="212" t="inlineStr">
        <is>
          <t xml:space="preserve">corte de la abertura en el fondo, fabricacion del tubo y la brida, remachado, sellado y embone al montante; cuadrilla 1 op + 0.5 peon</t>
        </is>
      </c>
      <c r="F88" s="212"/>
      <c r="G88" s="212"/>
      <c r="H88" s="212"/>
    </row>
    <row r="89" spans="1:8" ht="32" customHeight="1">
      <c r="A89" s="199" t="inlineStr">
        <is>
          <t xml:space="preserve">N°</t>
        </is>
      </c>
      <c r="B89" s="199" t="inlineStr">
        <is>
          <t xml:space="preserve">RECURSO</t>
        </is>
      </c>
      <c r="C89" s="199" t="inlineStr">
        <is>
          <t xml:space="preserve">UND</t>
        </is>
      </c>
      <c r="D89" s="199" t="inlineStr">
        <is>
          <t xml:space="preserve">CUADRILLA</t>
        </is>
      </c>
      <c r="E89" s="199" t="inlineStr">
        <is>
          <t xml:space="preserve">CANTIDAD</t>
        </is>
      </c>
      <c r="F89" s="199" t="inlineStr">
        <is>
          <t xml:space="preserve">PRECIO S/</t>
        </is>
      </c>
      <c r="G89" s="199" t="inlineStr">
        <is>
          <t xml:space="preserve">PARCIAL S/</t>
        </is>
      </c>
      <c r="H89" s="199" t="inlineStr">
        <is>
          <t xml:space="preserve">SUSTENTO / FUENTE</t>
        </is>
      </c>
    </row>
    <row r="90" spans="1:8" ht="20" customHeight="1">
      <c r="A90" s="198"/>
      <c r="B90" s="353" t="inlineStr">
        <is>
          <t xml:space="preserve">MANO DE OBRA</t>
        </is>
      </c>
      <c r="C90" s="353"/>
      <c r="D90" s="353"/>
      <c r="E90" s="353"/>
      <c r="F90" s="353"/>
      <c r="G90" s="353"/>
      <c r="H90" s="353"/>
    </row>
    <row r="91" spans="1:8" ht="32" customHeight="1">
      <c r="A91" s="200">
        <v>1</v>
      </c>
      <c r="B91" s="212" t="inlineStr">
        <is>
          <t xml:space="preserve">Operario (hojalatero)</t>
        </is>
      </c>
      <c r="C91" s="203" t="inlineStr">
        <is>
          <t xml:space="preserve">hh</t>
        </is>
      </c>
      <c r="D91" s="202">
        <v>1</v>
      </c>
      <c r="E91" s="361">
        <f>D91*8/$C$88</f>
        <v>0.5</v>
      </c>
      <c r="F91" s="362">
        <v>30.42</v>
      </c>
      <c r="G91" s="208">
        <f>E91*F91</f>
        <v>15.21</v>
      </c>
      <c r="H91" s="364" t="inlineStr">
        <is>
          <t xml:space="preserve">CAPECO: costo hora-hombre 2024-2025 llevado al jornal basico 2025-2026</t>
        </is>
      </c>
    </row>
    <row r="92" spans="1:8" ht="32" customHeight="1">
      <c r="A92" s="200">
        <v>2</v>
      </c>
      <c r="B92" s="212" t="inlineStr">
        <is>
          <t xml:space="preserve">Peon</t>
        </is>
      </c>
      <c r="C92" s="203" t="inlineStr">
        <is>
          <t xml:space="preserve">hh</t>
        </is>
      </c>
      <c r="D92" s="202">
        <v>0.5</v>
      </c>
      <c r="E92" s="361">
        <f>D92*8/$C$88</f>
        <v>0.25</v>
      </c>
      <c r="F92" s="362">
        <v>20.79</v>
      </c>
      <c r="G92" s="208">
        <f>E92*F92</f>
        <v>5.1975</v>
      </c>
      <c r="H92" s="364" t="inlineStr">
        <is>
          <t xml:space="preserve">CAPECO: costo hora-hombre 2024-2025 llevado al jornal basico 2025-2026</t>
        </is>
      </c>
    </row>
    <row r="93" spans="1:8" ht="20" customHeight="1">
      <c r="A93" s="198"/>
      <c r="B93" s="353" t="inlineStr">
        <is>
          <t xml:space="preserve">Subtotal mano de obra</t>
        </is>
      </c>
      <c r="C93" s="212"/>
      <c r="D93" s="212"/>
      <c r="E93" s="212"/>
      <c r="F93" s="212"/>
      <c r="G93" s="213">
        <f>SUM(G91:G92)</f>
        <v>20.4075</v>
      </c>
      <c r="H93" s="212"/>
    </row>
    <row r="94" spans="1:8" ht="20" customHeight="1">
      <c r="A94" s="198"/>
      <c r="B94" s="353" t="inlineStr">
        <is>
          <t xml:space="preserve">MATERIALES</t>
        </is>
      </c>
      <c r="C94" s="353"/>
      <c r="D94" s="353"/>
      <c r="E94" s="353"/>
      <c r="F94" s="353"/>
      <c r="G94" s="353"/>
      <c r="H94" s="353"/>
    </row>
    <row r="95" spans="1:8" ht="32" customHeight="1">
      <c r="A95" s="200">
        <v>3</v>
      </c>
      <c r="B95" s="212" t="inlineStr">
        <is>
          <t xml:space="preserve">Plancha de acero galvanizado e=0.9 mm</t>
        </is>
      </c>
      <c r="C95" s="203" t="inlineStr">
        <is>
          <t xml:space="preserve">m2</t>
        </is>
      </c>
      <c r="D95" s="212"/>
      <c r="E95" s="361">
        <f>(PI()*0.1016*0.15+0.20*0.20)*1.15</f>
        <v>0.101059552846815</v>
      </c>
      <c r="F95" s="362">
        <v>26.95</v>
      </c>
      <c r="G95" s="208">
        <f>E95*F95</f>
        <v>2.72355494922166</v>
      </c>
      <c r="H95" s="364" t="inlineStr">
        <is>
          <t xml:space="preserve">tubo de 4" x 0.15 m (embone en el montante) + brida 0.20 x 0.20 en el fondo de la canaleta; 15 % desperdicio</t>
        </is>
      </c>
    </row>
    <row r="96" spans="1:8" ht="20" customHeight="1">
      <c r="A96" s="200">
        <v>4</v>
      </c>
      <c r="B96" s="212" t="inlineStr">
        <is>
          <t xml:space="preserve">Remache pop 1/8"</t>
        </is>
      </c>
      <c r="C96" s="203" t="inlineStr">
        <is>
          <t xml:space="preserve">und</t>
        </is>
      </c>
      <c r="D96" s="212"/>
      <c r="E96" s="363">
        <v>8</v>
      </c>
      <c r="F96" s="362">
        <v>0.1</v>
      </c>
      <c r="G96" s="208">
        <f>E96*F96</f>
        <v>0.8</v>
      </c>
      <c r="H96" s="364" t="inlineStr">
        <is>
          <t xml:space="preserve">8 por boquilla (brida al fondo de la canaleta)</t>
        </is>
      </c>
    </row>
    <row r="97" spans="1:8" ht="32" customHeight="1">
      <c r="A97" s="200">
        <v>5</v>
      </c>
      <c r="B97" s="212" t="inlineStr">
        <is>
          <t xml:space="preserve">Sellador de poliuretano (cartucho 300 ml)</t>
        </is>
      </c>
      <c r="C97" s="203" t="inlineStr">
        <is>
          <t xml:space="preserve">und</t>
        </is>
      </c>
      <c r="D97" s="212"/>
      <c r="E97" s="361">
        <f>(4*0.20+PI()*0.1016)/8</f>
        <v>0.13989822670059</v>
      </c>
      <c r="F97" s="362">
        <v>21.19</v>
      </c>
      <c r="G97" s="208">
        <f>E97*F97</f>
        <v>2.96444342378551</v>
      </c>
      <c r="H97" s="364" t="inlineStr">
        <is>
          <t xml:space="preserve">contorno de la brida + embone (1.12 m) / 8 m por cartucho</t>
        </is>
      </c>
    </row>
    <row r="98" spans="1:8" ht="20" customHeight="1">
      <c r="A98" s="198"/>
      <c r="B98" s="353" t="inlineStr">
        <is>
          <t xml:space="preserve">Subtotal materiales</t>
        </is>
      </c>
      <c r="C98" s="212"/>
      <c r="D98" s="212"/>
      <c r="E98" s="212"/>
      <c r="F98" s="212"/>
      <c r="G98" s="213">
        <f>SUM(G95:G97)</f>
        <v>6.48799837300717</v>
      </c>
      <c r="H98" s="212"/>
    </row>
    <row r="99" spans="1:8" ht="20" customHeight="1">
      <c r="A99" s="198"/>
      <c r="B99" s="353" t="inlineStr">
        <is>
          <t xml:space="preserve">EQUIPOS</t>
        </is>
      </c>
      <c r="C99" s="353"/>
      <c r="D99" s="353"/>
      <c r="E99" s="353"/>
      <c r="F99" s="353"/>
      <c r="G99" s="353"/>
      <c r="H99" s="353"/>
    </row>
    <row r="100" spans="1:8" ht="20" customHeight="1">
      <c r="A100" s="200">
        <v>6</v>
      </c>
      <c r="B100" s="212" t="inlineStr">
        <is>
          <t xml:space="preserve">Herramientas manuales</t>
        </is>
      </c>
      <c r="C100" s="203" t="inlineStr">
        <is>
          <t xml:space="preserve">%mo</t>
        </is>
      </c>
      <c r="D100" s="212"/>
      <c r="E100" s="202">
        <v>0.05</v>
      </c>
      <c r="F100" s="208">
        <f>+G93</f>
        <v>20.4075</v>
      </c>
      <c r="G100" s="208">
        <f>E100*F100</f>
        <v>1.020375</v>
      </c>
      <c r="H100" s="364" t="inlineStr">
        <is>
          <t xml:space="preserve">5 % del costo de mano de obra (hojalateria)</t>
        </is>
      </c>
    </row>
    <row r="101" spans="1:8" ht="20" customHeight="1">
      <c r="A101" s="198"/>
      <c r="B101" s="353" t="inlineStr">
        <is>
          <t xml:space="preserve">Subtotal equipos</t>
        </is>
      </c>
      <c r="C101" s="212"/>
      <c r="D101" s="212"/>
      <c r="E101" s="212"/>
      <c r="F101" s="212"/>
      <c r="G101" s="213">
        <f>SUM(G100:G100)</f>
        <v>1.020375</v>
      </c>
      <c r="H101" s="212"/>
    </row>
    <row r="102" spans="1:8" ht="22" customHeight="1">
      <c r="A102" s="353" t="inlineStr">
        <is>
          <t xml:space="preserve">COSTO UNITARIO DIRECTO (S/ por und)</t>
        </is>
      </c>
      <c r="B102" s="353"/>
      <c r="C102" s="353"/>
      <c r="D102" s="353"/>
      <c r="E102" s="353"/>
      <c r="F102" s="353"/>
      <c r="G102" s="213">
        <f>+G93+G98+G101</f>
        <v>27.9158733730072</v>
      </c>
      <c r="H102" s="212"/>
    </row>
    <row r="103" spans="1:8" ht="22" customHeight="1">
      <c r="A103" s="353" t="inlineStr">
        <is>
          <t xml:space="preserve">COSTO DIRECTO DE LA PARTIDA (metrado x costo unitario)</t>
        </is>
      </c>
      <c r="B103" s="353"/>
      <c r="C103" s="353"/>
      <c r="D103" s="353"/>
      <c r="E103" s="353"/>
      <c r="F103" s="353"/>
      <c r="G103" s="213">
        <f>G102*C87</f>
        <v>1451.62541539637</v>
      </c>
      <c r="H103" s="212"/>
    </row>
    <row r="105" spans="1:8" ht="20" customHeight="1">
      <c r="A105" s="353" t="inlineStr">
        <is>
          <t xml:space="preserve">RESUMEN DE COSTOS DIRECTOS (referencial)</t>
        </is>
      </c>
      <c r="B105" s="353"/>
      <c r="C105" s="353"/>
      <c r="D105" s="353"/>
      <c r="E105" s="353"/>
      <c r="F105" s="353"/>
      <c r="G105" s="353"/>
      <c r="H105" s="353"/>
    </row>
    <row r="106" spans="1:8" ht="20" customHeight="1">
      <c r="A106" s="199" t="inlineStr">
        <is>
          <t xml:space="preserve"/>
        </is>
      </c>
      <c r="B106" s="199" t="inlineStr">
        <is>
          <t xml:space="preserve">PARTIDA</t>
        </is>
      </c>
      <c r="C106" s="199" t="inlineStr">
        <is>
          <t xml:space="preserve">UND</t>
        </is>
      </c>
      <c r="D106" s="199" t="inlineStr">
        <is>
          <t xml:space="preserve">METRADO</t>
        </is>
      </c>
      <c r="E106" s="199" t="inlineStr">
        <is>
          <t xml:space="preserve">C.U. S/</t>
        </is>
      </c>
      <c r="F106" s="199" t="inlineStr">
        <is>
          <t xml:space="preserve">PARCIAL S/</t>
        </is>
      </c>
      <c r="G106" s="199" t="inlineStr">
        <is>
          <t xml:space="preserve"/>
        </is>
      </c>
      <c r="H106" s="199" t="inlineStr">
        <is>
          <t xml:space="preserve"/>
        </is>
      </c>
    </row>
    <row r="107" spans="1:8" ht="32" customHeight="1">
      <c r="A107" s="364" t="inlineStr">
        <is>
          <t xml:space="preserve">01.04.03.05.01.03</t>
        </is>
      </c>
      <c r="B107" s="364" t="inlineStr">
        <is>
          <t xml:space="preserve">CANALETA DE PLANCHA DE ACERO GALVANIZADO e=0.9mm, SECCION 0.25m x 0.20m</t>
        </is>
      </c>
      <c r="C107" s="203" t="inlineStr">
        <is>
          <t xml:space="preserve">m</t>
        </is>
      </c>
      <c r="D107" s="208">
        <f>+C27</f>
        <v>513.98</v>
      </c>
      <c r="E107" s="208">
        <f>+G42</f>
        <v>40.6357685040984</v>
      </c>
      <c r="F107" s="208">
        <f>+G43</f>
        <v>20885.9722957365</v>
      </c>
      <c r="G107" s="212"/>
      <c r="H107" s="212"/>
    </row>
    <row r="108" spans="1:8" ht="32" customHeight="1">
      <c r="A108" s="364" t="inlineStr">
        <is>
          <t xml:space="preserve">01.04.03.05.01.04</t>
        </is>
      </c>
      <c r="B108" s="364" t="inlineStr">
        <is>
          <t xml:space="preserve">SOPORTE DE PLATINA F°G° 1" x 1/8" P/CANALETA</t>
        </is>
      </c>
      <c r="C108" s="203" t="inlineStr">
        <is>
          <t xml:space="preserve">und</t>
        </is>
      </c>
      <c r="D108" s="208">
        <f>+C47</f>
        <v>884</v>
      </c>
      <c r="E108" s="208">
        <f>+G62</f>
        <v>16.78745</v>
      </c>
      <c r="F108" s="208">
        <f>+G63</f>
        <v>14840.1058</v>
      </c>
      <c r="G108" s="212"/>
      <c r="H108" s="212"/>
    </row>
    <row r="109" spans="1:8" ht="32" customHeight="1">
      <c r="A109" s="364" t="inlineStr">
        <is>
          <t xml:space="preserve">01.04.03.05.01.05</t>
        </is>
      </c>
      <c r="B109" s="364" t="inlineStr">
        <is>
          <t xml:space="preserve">TAPA LATERAL DE PLANCHA GALVANIZADA P/CANALETA</t>
        </is>
      </c>
      <c r="C109" s="203" t="inlineStr">
        <is>
          <t xml:space="preserve">und</t>
        </is>
      </c>
      <c r="D109" s="208">
        <f>+C67</f>
        <v>40</v>
      </c>
      <c r="E109" s="208">
        <f>+G82</f>
        <v>16.0325525</v>
      </c>
      <c r="F109" s="208">
        <f>+G83</f>
        <v>641.3021</v>
      </c>
      <c r="G109" s="212"/>
      <c r="H109" s="212"/>
    </row>
    <row r="110" spans="1:8" ht="32" customHeight="1">
      <c r="A110" s="364" t="inlineStr">
        <is>
          <t xml:space="preserve">01.04.03.05.01.06</t>
        </is>
      </c>
      <c r="B110" s="364" t="inlineStr">
        <is>
          <t xml:space="preserve">BOQUILLA DE PLANCHA GALVANIZADA P/CONEXION DE CANALETA A MONTANTE Ø4"</t>
        </is>
      </c>
      <c r="C110" s="203" t="inlineStr">
        <is>
          <t xml:space="preserve">und</t>
        </is>
      </c>
      <c r="D110" s="208">
        <f>+C87</f>
        <v>52</v>
      </c>
      <c r="E110" s="208">
        <f>+G102</f>
        <v>27.9158733730072</v>
      </c>
      <c r="F110" s="208">
        <f>+G103</f>
        <v>1451.62541539637</v>
      </c>
      <c r="G110" s="212"/>
      <c r="H110" s="212"/>
    </row>
    <row r="111" spans="1:8" ht="20" customHeight="1">
      <c r="A111" s="212"/>
      <c r="B111" s="353" t="inlineStr">
        <is>
          <t xml:space="preserve">TOTAL CANALETAS (costo directo)</t>
        </is>
      </c>
      <c r="C111" s="212"/>
      <c r="D111" s="212"/>
      <c r="E111" s="212"/>
      <c r="F111" s="213">
        <f>SUM(F107:F110)</f>
        <v>37819.0056111329</v>
      </c>
      <c r="G111" s="212"/>
      <c r="H111" s="212"/>
    </row>
  </sheetData>
  <mergeCells count="52">
    <mergeCell ref="A1:H1"/>
    <mergeCell ref="A2:B2"/>
    <mergeCell ref="C2:H2"/>
    <mergeCell ref="A3:B3"/>
    <mergeCell ref="C3:H3"/>
    <mergeCell ref="A4:B4"/>
    <mergeCell ref="C4:H4"/>
    <mergeCell ref="A5:B5"/>
    <mergeCell ref="C5:H5"/>
    <mergeCell ref="A7:H7"/>
    <mergeCell ref="A9:H9"/>
    <mergeCell ref="A25:H25"/>
    <mergeCell ref="A26:B26"/>
    <mergeCell ref="A27:B27"/>
    <mergeCell ref="A28:B28"/>
    <mergeCell ref="E28:H28"/>
    <mergeCell ref="B30:H30"/>
    <mergeCell ref="B34:H34"/>
    <mergeCell ref="B39:H39"/>
    <mergeCell ref="A42:F42"/>
    <mergeCell ref="A43:F43"/>
    <mergeCell ref="A45:H45"/>
    <mergeCell ref="A46:B46"/>
    <mergeCell ref="A47:B47"/>
    <mergeCell ref="A48:B48"/>
    <mergeCell ref="E48:H48"/>
    <mergeCell ref="B50:H50"/>
    <mergeCell ref="B54:H54"/>
    <mergeCell ref="B59:H59"/>
    <mergeCell ref="A62:F62"/>
    <mergeCell ref="A63:F63"/>
    <mergeCell ref="A65:H65"/>
    <mergeCell ref="A66:B66"/>
    <mergeCell ref="A67:B67"/>
    <mergeCell ref="A68:B68"/>
    <mergeCell ref="E68:H68"/>
    <mergeCell ref="B70:H70"/>
    <mergeCell ref="B74:H74"/>
    <mergeCell ref="B79:H79"/>
    <mergeCell ref="A82:F82"/>
    <mergeCell ref="A83:F83"/>
    <mergeCell ref="A85:H85"/>
    <mergeCell ref="A86:B86"/>
    <mergeCell ref="A87:B87"/>
    <mergeCell ref="A88:B88"/>
    <mergeCell ref="E88:H88"/>
    <mergeCell ref="B90:H90"/>
    <mergeCell ref="B94:H94"/>
    <mergeCell ref="B99:H99"/>
    <mergeCell ref="A102:F102"/>
    <mergeCell ref="A103:F103"/>
    <mergeCell ref="A105:H105"/>
  </mergeCells>
  <pageMargins left="0.5" right="0.5" top="0.75" bottom="0.7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10</vt:i4>
      </vt:variant>
    </vt:vector>
  </HeadingPairs>
  <TitlesOfParts>
    <vt:vector size="34" baseType="lpstr">
      <vt:lpstr>RESUMEN</vt:lpstr>
      <vt:lpstr>PLANILLA GENERAL DE METRADOS</vt:lpstr>
      <vt:lpstr>CONCRETO EN CUNETAS</vt:lpstr>
      <vt:lpstr>ENCOFRADO Y DESENCOFRADO</vt:lpstr>
      <vt:lpstr>METRADO MONTANTES</vt:lpstr>
      <vt:lpstr>METRADO CANALETAS</vt:lpstr>
      <vt:lpstr>METRADO  EN PISO (SUMIDERO)</vt:lpstr>
      <vt:lpstr>METRADO ACERO</vt:lpstr>
      <vt:lpstr>METRADO DE CURADO</vt:lpstr>
      <vt:lpstr>METRADO DE REJILLAS</vt:lpstr>
      <vt:lpstr>METRADO JUNTA DE DILATACION</vt:lpstr>
      <vt:lpstr>PLANILLA TAPAS REGISTRO INTERNO</vt:lpstr>
      <vt:lpstr>PARAMETROS</vt:lpstr>
      <vt:lpstr>Listas</vt:lpstr>
      <vt:lpstr>COLECTOR PARAMETROS</vt:lpstr>
      <vt:lpstr>COLECTOR MOV. TIERRAS</vt:lpstr>
      <vt:lpstr>COLECTOR CONCRETO</vt:lpstr>
      <vt:lpstr>COLECTOR ENCOFRADO</vt:lpstr>
      <vt:lpstr>COLECTOR ACERO</vt:lpstr>
      <vt:lpstr>COLECTOR REGISTROS Y TAPAS</vt:lpstr>
      <vt:lpstr>COLECTOR JUNTAS Y EMPALMES</vt:lpstr>
      <vt:lpstr>COLECTOR INSUMOS</vt:lpstr>
      <vt:lpstr>ACU TAPA REGISTRO</vt:lpstr>
      <vt:lpstr>ACU CANALETAS</vt:lpstr>
      <vt:lpstr>'CONCRETO EN CUNETAS'!Área_de_impresión</vt:lpstr>
      <vt:lpstr>'ENCOFRADO Y DESENCOFRADO'!Área_de_impresión</vt:lpstr>
      <vt:lpstr>'METRADO CANALETAS'!Área_de_impresión</vt:lpstr>
      <vt:lpstr>'METRADO MONTANTES'!Área_de_impresión</vt:lpstr>
      <vt:lpstr>'PLANILLA GENERAL DE METRADOS'!Área_de_impresión</vt:lpstr>
      <vt:lpstr>RESUMEN!Área_de_impresión</vt:lpstr>
      <vt:lpstr>'CONCRETO EN CUNETAS'!Títulos_a_imprimir</vt:lpstr>
      <vt:lpstr>'ENCOFRADO Y DESENCOFRADO'!Títulos_a_imprimir</vt:lpstr>
      <vt:lpstr>'METRADO CANALETAS'!Títulos_a_imprimir</vt:lpstr>
      <vt:lpstr>'METRADO MONTANTES'!Títulos_a_imprimir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SWORD GAMING</dc:creator>
  <cp:lastModifiedBy>jose pizarro</cp:lastModifiedBy>
  <cp:lastPrinted>2026-03-10T13:03:41Z</cp:lastPrinted>
  <dcterms:created xsi:type="dcterms:W3CDTF">2025-06-05T14:29:57Z</dcterms:created>
  <dcterms:modified xsi:type="dcterms:W3CDTF">2026-10-04T22:49:19Z</dcterms:modified>
</cp:coreProperties>
</file>